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U:\Swapna\OPERATIONS\PORTFOLIO\Temp\Final sent\"/>
    </mc:Choice>
  </mc:AlternateContent>
  <xr:revisionPtr revIDLastSave="0" documentId="13_ncr:1_{DB5CFB48-14FC-4797-9808-2B1BE874E830}" xr6:coauthVersionLast="47" xr6:coauthVersionMax="47" xr10:uidLastSave="{00000000-0000-0000-0000-000000000000}"/>
  <bookViews>
    <workbookView xWindow="-120" yWindow="-120" windowWidth="29040" windowHeight="15840" tabRatio="954" xr2:uid="{3BB541DD-A321-4F66-967B-06697E444736}"/>
  </bookViews>
  <sheets>
    <sheet name="Index" sheetId="30" r:id="rId1"/>
    <sheet name="CAPEXG" sheetId="1" r:id="rId2"/>
    <sheet name="GLOB" sheetId="31" r:id="rId3"/>
    <sheet name="MIDCAP" sheetId="2" r:id="rId4"/>
    <sheet name="MULTIP" sheetId="3" r:id="rId5"/>
    <sheet name="SLTADV3" sheetId="4" r:id="rId6"/>
    <sheet name="SLTADV4" sheetId="5" r:id="rId7"/>
    <sheet name="SLTAX2" sheetId="6" r:id="rId8"/>
    <sheet name="SLTAX3" sheetId="7" r:id="rId9"/>
    <sheet name="SLTAX4" sheetId="8" r:id="rId10"/>
    <sheet name="SLTAX5" sheetId="9" r:id="rId11"/>
    <sheet name="SLTAX6" sheetId="10" r:id="rId12"/>
    <sheet name="SMILE" sheetId="11" r:id="rId13"/>
    <sheet name="SPAHF" sheetId="12" r:id="rId14"/>
    <sheet name="SPARF" sheetId="13" r:id="rId15"/>
    <sheet name="SPBAF" sheetId="14" r:id="rId16"/>
    <sheet name="SPDYF" sheetId="15" r:id="rId17"/>
    <sheet name="SPESF" sheetId="16" r:id="rId18"/>
    <sheet name="SPFOCUS" sheetId="17" r:id="rId19"/>
    <sheet name="SPMUCF" sheetId="18" r:id="rId20"/>
    <sheet name="SPSN100" sheetId="19" r:id="rId21"/>
    <sheet name="SPTAX" sheetId="20" r:id="rId22"/>
    <sheet name="SRURAL" sheetId="21" r:id="rId23"/>
    <sheet name="SSFUND" sheetId="22" r:id="rId24"/>
    <sheet name="STAX" sheetId="23" r:id="rId25"/>
    <sheet name="SUNBCF" sheetId="24" r:id="rId26"/>
    <sheet name="SUNCYF" sheetId="25" r:id="rId27"/>
    <sheet name="SUNFCF" sheetId="26" r:id="rId28"/>
    <sheet name="SUNFOP" sheetId="27" r:id="rId29"/>
    <sheet name="SUNMAF" sheetId="28" r:id="rId30"/>
    <sheet name="SUNMFF" sheetId="29" r:id="rId31"/>
    <sheet name="Annexure-A" sheetId="32" r:id="rId32"/>
  </sheets>
  <definedNames>
    <definedName name="_xlnm._FilterDatabase" localSheetId="31" hidden="1">'Annexure-A'!$A$8:$F$8</definedName>
    <definedName name="_xlnm._FilterDatabase" localSheetId="0" hidden="1">Index!$A$1:$C$27</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7" i="28" l="1"/>
  <c r="D111" i="24"/>
  <c r="D113" i="21"/>
  <c r="D180" i="19"/>
  <c r="D105" i="17"/>
  <c r="D135" i="1"/>
  <c r="D155" i="2"/>
  <c r="D186" i="16"/>
  <c r="D92" i="31"/>
  <c r="F163" i="13" l="1"/>
  <c r="F162" i="13"/>
  <c r="F136" i="11"/>
  <c r="F135" i="11"/>
  <c r="F156" i="28" l="1"/>
  <c r="G156" i="28" s="1"/>
  <c r="G100" i="28"/>
  <c r="F100" i="28"/>
  <c r="G97" i="28"/>
  <c r="G96" i="28"/>
  <c r="G95" i="28"/>
  <c r="G94" i="28"/>
  <c r="G93" i="28"/>
  <c r="G92" i="28"/>
  <c r="G91" i="28"/>
  <c r="G90" i="28"/>
  <c r="G89" i="28"/>
  <c r="G88" i="28"/>
  <c r="G87" i="28"/>
  <c r="G86" i="28"/>
  <c r="G85" i="28"/>
  <c r="G84" i="28"/>
  <c r="D143" i="22"/>
  <c r="F59" i="20"/>
  <c r="G59" i="20"/>
  <c r="G67" i="20"/>
  <c r="F67" i="20"/>
  <c r="D134" i="20" s="1"/>
  <c r="F81" i="18"/>
  <c r="D147" i="18" s="1"/>
  <c r="G81" i="18"/>
  <c r="G67" i="18"/>
  <c r="F67" i="18"/>
  <c r="F175" i="16"/>
  <c r="G175" i="16" s="1"/>
  <c r="G117" i="16"/>
  <c r="F117" i="16"/>
  <c r="G114"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D137" i="15"/>
  <c r="F35" i="15"/>
  <c r="F11" i="15"/>
  <c r="F61" i="15" s="1"/>
  <c r="F82" i="15" s="1"/>
  <c r="F127" i="15" s="1"/>
  <c r="F181" i="14"/>
  <c r="F90" i="14"/>
  <c r="F54" i="14"/>
  <c r="F12" i="14"/>
  <c r="F75" i="14" s="1"/>
  <c r="I193" i="13"/>
  <c r="F193" i="13"/>
  <c r="G162"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49" i="13"/>
  <c r="F49" i="13"/>
  <c r="F111" i="13" s="1"/>
  <c r="G250" i="12"/>
  <c r="I240" i="12"/>
  <c r="F240" i="12"/>
  <c r="F80" i="12"/>
  <c r="D217" i="12"/>
  <c r="F113" i="12"/>
  <c r="F206" i="12" s="1"/>
  <c r="G11" i="15" l="1"/>
  <c r="G35" i="15"/>
  <c r="G61" i="15" s="1"/>
  <c r="G82" i="15" s="1"/>
  <c r="G127" i="15" s="1"/>
  <c r="F119" i="14"/>
  <c r="F182" i="14" s="1"/>
  <c r="G12" i="14"/>
  <c r="G103" i="14"/>
  <c r="G54" i="14"/>
  <c r="G104" i="14"/>
  <c r="G105" i="14"/>
  <c r="G95" i="14"/>
  <c r="G107" i="14"/>
  <c r="G96" i="14"/>
  <c r="G108" i="14"/>
  <c r="G109" i="14"/>
  <c r="F91" i="14"/>
  <c r="G110" i="14" l="1"/>
  <c r="G102" i="14"/>
  <c r="G101" i="14"/>
  <c r="G100" i="14"/>
  <c r="G99" i="14"/>
  <c r="G98" i="14"/>
  <c r="G116" i="14"/>
  <c r="G97" i="14"/>
  <c r="G117" i="14" s="1"/>
  <c r="G115" i="14"/>
  <c r="G114" i="14"/>
  <c r="G113" i="14"/>
  <c r="G112" i="14"/>
  <c r="G111" i="14"/>
  <c r="G181" i="14"/>
  <c r="G106" i="14"/>
  <c r="G90" i="14"/>
  <c r="G91" i="14" s="1"/>
  <c r="G75" i="14"/>
  <c r="G119" i="14" s="1"/>
  <c r="G182" i="14" s="1"/>
  <c r="F89" i="12"/>
  <c r="F90" i="12" s="1"/>
  <c r="F72" i="12"/>
  <c r="F14" i="12"/>
  <c r="D146" i="11"/>
  <c r="F73" i="12" l="1"/>
  <c r="F115" i="12"/>
  <c r="F207" i="12" s="1"/>
  <c r="G89" i="12"/>
  <c r="G90" i="12"/>
  <c r="G103" i="12" l="1"/>
  <c r="G206" i="12"/>
  <c r="G109" i="12"/>
  <c r="G98" i="12"/>
  <c r="G104" i="12"/>
  <c r="G110" i="12"/>
  <c r="G93" i="12"/>
  <c r="G99" i="12"/>
  <c r="G105" i="12"/>
  <c r="G111" i="12"/>
  <c r="G95" i="12"/>
  <c r="G100" i="12"/>
  <c r="G107" i="12"/>
  <c r="G112" i="12"/>
  <c r="G94" i="12"/>
  <c r="G101" i="12"/>
  <c r="G106" i="12"/>
  <c r="G102" i="12"/>
  <c r="G96" i="12"/>
  <c r="G108" i="12"/>
  <c r="G97" i="12"/>
  <c r="G14" i="12"/>
  <c r="G73" i="12" s="1"/>
  <c r="G115" i="12" s="1"/>
  <c r="G113" i="12" l="1"/>
  <c r="G207" i="12"/>
</calcChain>
</file>

<file path=xl/sharedStrings.xml><?xml version="1.0" encoding="utf-8"?>
<sst xmlns="http://schemas.openxmlformats.org/spreadsheetml/2006/main" count="12850" uniqueCount="1223">
  <si>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</si>
  <si>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</si>
  <si>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</si>
  <si>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</si>
  <si>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</si>
  <si>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</si>
  <si>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</si>
  <si>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</si>
  <si>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</si>
  <si>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</si>
  <si>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</si>
  <si>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INE397D01024</t>
  </si>
  <si>
    <t>Bharti Airtel Ltd</t>
  </si>
  <si>
    <t>Telecom - Services</t>
  </si>
  <si>
    <t>INE018A01030</t>
  </si>
  <si>
    <t>Larsen &amp; Toubro Ltd</t>
  </si>
  <si>
    <t>Construction</t>
  </si>
  <si>
    <t>INE002A01018</t>
  </si>
  <si>
    <t>Reliance Industries Ltd</t>
  </si>
  <si>
    <t>Petroleum Products</t>
  </si>
  <si>
    <t>INE733E01010</t>
  </si>
  <si>
    <t>NTPC LTD</t>
  </si>
  <si>
    <t>Power</t>
  </si>
  <si>
    <t>INE481G01011</t>
  </si>
  <si>
    <t>Ultratech Cement Ltd</t>
  </si>
  <si>
    <t>Cement &amp; Cement Products</t>
  </si>
  <si>
    <t>INE263A01024</t>
  </si>
  <si>
    <t>Bharat Electronics Ltd</t>
  </si>
  <si>
    <t>Aerospace &amp; Defense</t>
  </si>
  <si>
    <t>INE752E01010</t>
  </si>
  <si>
    <t>Power Grid Corporation of India Ltd</t>
  </si>
  <si>
    <t>INE090A01021</t>
  </si>
  <si>
    <t>ICICI Bank Ltd</t>
  </si>
  <si>
    <t>Banks</t>
  </si>
  <si>
    <t>INE200A01026</t>
  </si>
  <si>
    <t>GE Vernova T and D India Ltd</t>
  </si>
  <si>
    <t>Electrical Equipment</t>
  </si>
  <si>
    <t>INE029A01011</t>
  </si>
  <si>
    <t>Bharat Petroleum Corporation Ltd</t>
  </si>
  <si>
    <t>INE220B01022</t>
  </si>
  <si>
    <t>Kalpataru Projects International Ltd</t>
  </si>
  <si>
    <t>INE284S01014</t>
  </si>
  <si>
    <t>S.J.S. Enterprises Ltd</t>
  </si>
  <si>
    <t>Auto Components</t>
  </si>
  <si>
    <t>INE371P01015</t>
  </si>
  <si>
    <t>Amber Enterprises India Ltd</t>
  </si>
  <si>
    <t>Consumer Durables</t>
  </si>
  <si>
    <t>INE245A01021</t>
  </si>
  <si>
    <t>TATA Power Company Ltd</t>
  </si>
  <si>
    <t>INE062A01020</t>
  </si>
  <si>
    <t>State Bank of India</t>
  </si>
  <si>
    <t>INE646L01027</t>
  </si>
  <si>
    <t>Interglobe Aviation Ltd</t>
  </si>
  <si>
    <t>Transport Services</t>
  </si>
  <si>
    <t>INE823G01014</t>
  </si>
  <si>
    <t>JK Cement Ltd</t>
  </si>
  <si>
    <t>INE040H01021</t>
  </si>
  <si>
    <t>Suzlon Energy Ltd</t>
  </si>
  <si>
    <t>INE342J01019</t>
  </si>
  <si>
    <t>ZF Commercial Vehicle Control Systems I Ltd</t>
  </si>
  <si>
    <t>INE742F01042</t>
  </si>
  <si>
    <t>Adani Ports and Special Economic Zone Ltd</t>
  </si>
  <si>
    <t>Transport Infrastructure</t>
  </si>
  <si>
    <t>INE213A01029</t>
  </si>
  <si>
    <t>Oil &amp; Natural Gas Corporation Ltd</t>
  </si>
  <si>
    <t>Oil</t>
  </si>
  <si>
    <t>INE284A01012</t>
  </si>
  <si>
    <t>ESAB India Ltd</t>
  </si>
  <si>
    <t>Industrial Products</t>
  </si>
  <si>
    <t>INE999A01023</t>
  </si>
  <si>
    <t>KSB LTD</t>
  </si>
  <si>
    <t>INE298A01020</t>
  </si>
  <si>
    <t>Cummins India Ltd</t>
  </si>
  <si>
    <t>INE07Y701011</t>
  </si>
  <si>
    <t>Hitachi Energy India Ltd</t>
  </si>
  <si>
    <t>INE791I01019</t>
  </si>
  <si>
    <t>Brigade Enterprises Ltd</t>
  </si>
  <si>
    <t>Realty</t>
  </si>
  <si>
    <t>INE129A01019</t>
  </si>
  <si>
    <t>GAIL (India) Ltd</t>
  </si>
  <si>
    <t>Gas</t>
  </si>
  <si>
    <t>INE343G01021</t>
  </si>
  <si>
    <t>Bharti Hexacom Ltd</t>
  </si>
  <si>
    <t>INE00LO01017</t>
  </si>
  <si>
    <t>Craftsman Automation Ltd</t>
  </si>
  <si>
    <t>INE878B01027</t>
  </si>
  <si>
    <t>KEI Industries Ltd</t>
  </si>
  <si>
    <t>INE121J01017</t>
  </si>
  <si>
    <t>Indus Towers Ltd (Prev Bharti Infratel Ltd)</t>
  </si>
  <si>
    <t>INE148O01028</t>
  </si>
  <si>
    <t>Delhivery Ltd</t>
  </si>
  <si>
    <t>INE813H01021</t>
  </si>
  <si>
    <t>Torrent Power Ltd</t>
  </si>
  <si>
    <t>INE671H01015</t>
  </si>
  <si>
    <t>Sobha Ltd</t>
  </si>
  <si>
    <t>INE003A01024</t>
  </si>
  <si>
    <t>Siemens Ltd</t>
  </si>
  <si>
    <t>INE146L01010</t>
  </si>
  <si>
    <t>Kirloskar Oil Engines Ltd</t>
  </si>
  <si>
    <t>INE079A01024</t>
  </si>
  <si>
    <t>Ambuja Cements Ltd</t>
  </si>
  <si>
    <t>INE513A01022</t>
  </si>
  <si>
    <t>Schaeffler India Ltd</t>
  </si>
  <si>
    <t>INE205B01031</t>
  </si>
  <si>
    <t>Elecon Engineering Company Ltd</t>
  </si>
  <si>
    <t>INE419M01027</t>
  </si>
  <si>
    <t>TD Power Systems Ltd</t>
  </si>
  <si>
    <t>INE811A01020</t>
  </si>
  <si>
    <t>Kirlosakar Pneumatic Company Ltd</t>
  </si>
  <si>
    <t>INE117A01022</t>
  </si>
  <si>
    <t>ABB India Ltd</t>
  </si>
  <si>
    <t>INE868B01028</t>
  </si>
  <si>
    <t>NCC Ltd</t>
  </si>
  <si>
    <t>INE702C01027</t>
  </si>
  <si>
    <t>APL Apollo Tubes Ltd</t>
  </si>
  <si>
    <t>INE1NPP01017</t>
  </si>
  <si>
    <t>Siemens Energy India Limited</t>
  </si>
  <si>
    <t>INE152M01016</t>
  </si>
  <si>
    <t>Triveni Turbine Ltd</t>
  </si>
  <si>
    <t>INE926X01010</t>
  </si>
  <si>
    <t>H.G. Infra Engineering Ltd</t>
  </si>
  <si>
    <t>INE257A01026</t>
  </si>
  <si>
    <t>Bharat Heavy Electricals Ltd</t>
  </si>
  <si>
    <t>INE935N01020</t>
  </si>
  <si>
    <t>Dixon Technologies (India) Ltd</t>
  </si>
  <si>
    <t>INE152A01029</t>
  </si>
  <si>
    <t>Thermax Ltd</t>
  </si>
  <si>
    <t>INE111A01025</t>
  </si>
  <si>
    <t>Container Corporation of India Ltd</t>
  </si>
  <si>
    <t>INE0BYP01024</t>
  </si>
  <si>
    <t>OSWAL PUMPS LIMITED</t>
  </si>
  <si>
    <t>INE074A01025</t>
  </si>
  <si>
    <t>Praj Industries Ltd</t>
  </si>
  <si>
    <t>Industrial Manufacturing</t>
  </si>
  <si>
    <t>INE465A01025</t>
  </si>
  <si>
    <t>Bharat Forge Ltd</t>
  </si>
  <si>
    <t>INE749A01030</t>
  </si>
  <si>
    <t>Jindal Steel &amp; Power Ltd</t>
  </si>
  <si>
    <t>Ferrous Metals</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</si>
  <si>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</si>
  <si>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</si>
  <si>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</si>
  <si>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</si>
  <si>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</si>
  <si>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</si>
  <si>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</si>
  <si>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</si>
  <si>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</si>
  <si>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</si>
  <si>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</si>
  <si>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</si>
  <si>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</si>
  <si>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</si>
  <si>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</si>
  <si>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</si>
  <si>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</si>
  <si>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</si>
  <si>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</si>
  <si>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</si>
  <si>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</si>
  <si>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</si>
  <si>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</si>
  <si>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</si>
  <si>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</si>
  <si>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</si>
  <si>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</si>
  <si>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</si>
  <si>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</si>
  <si>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</si>
  <si>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</si>
  <si>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</si>
  <si>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</si>
  <si>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</si>
  <si>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</si>
  <si>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</si>
  <si>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</si>
  <si>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</si>
  <si>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</si>
  <si>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</si>
  <si>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</si>
  <si>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</si>
  <si>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</si>
  <si>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</si>
  <si>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INE169A01031</t>
  </si>
  <si>
    <t>Coromandel International Ltd</t>
  </si>
  <si>
    <t>Fertilizers &amp; Agrochemicals</t>
  </si>
  <si>
    <t>INE061F01013</t>
  </si>
  <si>
    <t>Fortis Health Care Ltd</t>
  </si>
  <si>
    <t>Healthcare Services</t>
  </si>
  <si>
    <t>INE774D01024</t>
  </si>
  <si>
    <t>Mahindra &amp; Mahindra Financial Services Ltd</t>
  </si>
  <si>
    <t>Finance</t>
  </si>
  <si>
    <t>INE326A01037</t>
  </si>
  <si>
    <t>Lupin Ltd</t>
  </si>
  <si>
    <t>Pharmaceuticals &amp; Biotechnology</t>
  </si>
  <si>
    <t>INE303R01014</t>
  </si>
  <si>
    <t>Kalyan Jewellers India Ltd</t>
  </si>
  <si>
    <t>INE262H01021</t>
  </si>
  <si>
    <t>Persistent Systems Ltd</t>
  </si>
  <si>
    <t>It - Software</t>
  </si>
  <si>
    <t>INE562A01011</t>
  </si>
  <si>
    <t>Indian Bank</t>
  </si>
  <si>
    <t>INE196A01026</t>
  </si>
  <si>
    <t>Marico Ltd</t>
  </si>
  <si>
    <t>Agricultural Food &amp; Other Products</t>
  </si>
  <si>
    <t>INE797F01020</t>
  </si>
  <si>
    <t>Jubilant Foodworks Ltd</t>
  </si>
  <si>
    <t>Leisure Services</t>
  </si>
  <si>
    <t>INE092T01019</t>
  </si>
  <si>
    <t>IDFC First Bank Ltd</t>
  </si>
  <si>
    <t>INE591G01025</t>
  </si>
  <si>
    <t>Coforge Ltd</t>
  </si>
  <si>
    <t>INE171A01029</t>
  </si>
  <si>
    <t>The Federal Bank Ltd</t>
  </si>
  <si>
    <t>INE094A01015</t>
  </si>
  <si>
    <t>Hindustan Petroleum Corporation Ltd</t>
  </si>
  <si>
    <t>INE211B01039</t>
  </si>
  <si>
    <t>The Phoenix Mills Ltd</t>
  </si>
  <si>
    <t>INE417T01026</t>
  </si>
  <si>
    <t>PB Fintech Ltd</t>
  </si>
  <si>
    <t>Financial Technology (Fintech)</t>
  </si>
  <si>
    <t>INE118H01025</t>
  </si>
  <si>
    <t>BSE Ltd</t>
  </si>
  <si>
    <t>Capital Markets</t>
  </si>
  <si>
    <t>INE438A01022</t>
  </si>
  <si>
    <t>Apollo Tyres Ltd</t>
  </si>
  <si>
    <t>INE427F01016</t>
  </si>
  <si>
    <t>Chalet Hotels Ltd</t>
  </si>
  <si>
    <t>INE455K01017</t>
  </si>
  <si>
    <t>Polycab India Ltd</t>
  </si>
  <si>
    <t>INE686F01025</t>
  </si>
  <si>
    <t>United Breweries Ltd</t>
  </si>
  <si>
    <t>Beverages</t>
  </si>
  <si>
    <t>INE027H01010</t>
  </si>
  <si>
    <t>Max Healthcare Institute Ltd</t>
  </si>
  <si>
    <t>INE105A01035</t>
  </si>
  <si>
    <t>TVS Holdings Ltd</t>
  </si>
  <si>
    <t>INE600L01024</t>
  </si>
  <si>
    <t>Dr Lal Path Labs Ltd</t>
  </si>
  <si>
    <t>INE195A01028</t>
  </si>
  <si>
    <t>Supreme Industries Ltd</t>
  </si>
  <si>
    <t>INE494B01023</t>
  </si>
  <si>
    <t>TVS Motor Company Ltd</t>
  </si>
  <si>
    <t>Automobiles</t>
  </si>
  <si>
    <t>INE115A01026</t>
  </si>
  <si>
    <t>LIC Housing Finance Ltd</t>
  </si>
  <si>
    <t>INE540L01014</t>
  </si>
  <si>
    <t>Alkem Laboratories Ltd</t>
  </si>
  <si>
    <t>INE949L01017</t>
  </si>
  <si>
    <t>AU Small Finance Bank Ltd</t>
  </si>
  <si>
    <t>INE721A01047</t>
  </si>
  <si>
    <t>Shriram Finance Ltd</t>
  </si>
  <si>
    <t>INE405E01023</t>
  </si>
  <si>
    <t>UNO Minda Ltd</t>
  </si>
  <si>
    <t>INE010V01017</t>
  </si>
  <si>
    <t>L&amp;T Technology Services Ltd</t>
  </si>
  <si>
    <t>It - Services</t>
  </si>
  <si>
    <t>INE872J01023</t>
  </si>
  <si>
    <t>Devyani international limited</t>
  </si>
  <si>
    <t>INE634S01028</t>
  </si>
  <si>
    <t>Mankind Pharma Ltd</t>
  </si>
  <si>
    <t>INE180A01020</t>
  </si>
  <si>
    <t>Max Financial Services Ltd</t>
  </si>
  <si>
    <t>Insurance</t>
  </si>
  <si>
    <t>INE338I01027</t>
  </si>
  <si>
    <t>Motilal Oswal Financial Services Ltd</t>
  </si>
  <si>
    <t>INE288B01029</t>
  </si>
  <si>
    <t>Deepak Nitrite Ltd</t>
  </si>
  <si>
    <t>Chemicals &amp; Petrochemicals</t>
  </si>
  <si>
    <t>INE811K01011</t>
  </si>
  <si>
    <t>Prestige Estates Projects Ltd</t>
  </si>
  <si>
    <t>INE466L01038</t>
  </si>
  <si>
    <t>360 ONE WAM Ltd (Prev IIFL Wealth Management Ltd)</t>
  </si>
  <si>
    <t>INE388Y01029</t>
  </si>
  <si>
    <t>FSN E–Commerce Ventures Ltd(NYKAA)</t>
  </si>
  <si>
    <t>Retailing</t>
  </si>
  <si>
    <t>INE073K01018</t>
  </si>
  <si>
    <t>Sona BLW Precision Forgings Ltd</t>
  </si>
  <si>
    <t>INE093I01010</t>
  </si>
  <si>
    <t>Oberoi Realty Ltd</t>
  </si>
  <si>
    <t>INE848E01016</t>
  </si>
  <si>
    <t>NHPC Ltd</t>
  </si>
  <si>
    <t>INE010B01027</t>
  </si>
  <si>
    <t>Zydus Lifesciences Ltd</t>
  </si>
  <si>
    <t>INE299U01018</t>
  </si>
  <si>
    <t>Crompton Greaves Consumer Electricals Ltd</t>
  </si>
  <si>
    <t>INE179A01014</t>
  </si>
  <si>
    <t>Procter &amp; Gamble Hygiene and Health Care Ltd</t>
  </si>
  <si>
    <t>Personal Products</t>
  </si>
  <si>
    <t>INE603J01030</t>
  </si>
  <si>
    <t>PI Industries Ltd</t>
  </si>
  <si>
    <t>INE548C01032</t>
  </si>
  <si>
    <t>Emami Ltd</t>
  </si>
  <si>
    <t>INE012A01025</t>
  </si>
  <si>
    <t>ACC Ltd</t>
  </si>
  <si>
    <t>INE246F01010</t>
  </si>
  <si>
    <t>Gujarat State Petronet Ltd</t>
  </si>
  <si>
    <t>INE007A01025</t>
  </si>
  <si>
    <t>CRISIL Ltd</t>
  </si>
  <si>
    <t>INE536A01023</t>
  </si>
  <si>
    <t>Grindwell Norton Ltd</t>
  </si>
  <si>
    <t>INE726G01019</t>
  </si>
  <si>
    <t>ICICI Prudential Life Insurance Company Ltd</t>
  </si>
  <si>
    <t>INE065X01017</t>
  </si>
  <si>
    <t>Indegene Limited</t>
  </si>
  <si>
    <t>INE640A01023</t>
  </si>
  <si>
    <t>SKF India Ltd</t>
  </si>
  <si>
    <t>INE0LXG01040</t>
  </si>
  <si>
    <t>Ola Electric Mobility Ltd</t>
  </si>
  <si>
    <t>INE068V01023</t>
  </si>
  <si>
    <t>Gland Pharma Ltd</t>
  </si>
  <si>
    <t>INE00R701025</t>
  </si>
  <si>
    <t>Dalmia Cement (Bharat) Ltd.</t>
  </si>
  <si>
    <t>INE259A01022</t>
  </si>
  <si>
    <t>Colgate Palmolive (India) Ltd</t>
  </si>
  <si>
    <t>INE226A01021</t>
  </si>
  <si>
    <t>Voltas Ltd</t>
  </si>
  <si>
    <t>INE494B04019</t>
  </si>
  <si>
    <t>TVS Motor Company Ltd 6.00% (Preference Share) 25-Aug-2026</t>
  </si>
  <si>
    <t>INF173K01GU0</t>
  </si>
  <si>
    <t>Sundaram Large and Mid Cap Fund</t>
  </si>
  <si>
    <t>INE040A01034</t>
  </si>
  <si>
    <t>HDFC Bank Ltd</t>
  </si>
  <si>
    <t>INE237A01028</t>
  </si>
  <si>
    <t>Kotak Mahindra Bank Ltd</t>
  </si>
  <si>
    <t>INE009A01021</t>
  </si>
  <si>
    <t>Infosys Ltd</t>
  </si>
  <si>
    <t>INE238A01034</t>
  </si>
  <si>
    <t>Axis Bank Ltd</t>
  </si>
  <si>
    <t>INE296A01032</t>
  </si>
  <si>
    <t>Bajaj Finance Ltd</t>
  </si>
  <si>
    <t>INE101A01026</t>
  </si>
  <si>
    <t>Mahindra &amp; Mahindra Ltd</t>
  </si>
  <si>
    <t>INE028A01039</t>
  </si>
  <si>
    <t>Bank of Baroda</t>
  </si>
  <si>
    <t>INE047A01021</t>
  </si>
  <si>
    <t>Grasim Industries Ltd</t>
  </si>
  <si>
    <t>INE066F01020</t>
  </si>
  <si>
    <t>Hindustan Aeronautics Ltd</t>
  </si>
  <si>
    <t>INE745G01035</t>
  </si>
  <si>
    <t>Multi Commodity Exchange of India Ltd</t>
  </si>
  <si>
    <t>INE00WC01027</t>
  </si>
  <si>
    <t>Affle (India) Ltd</t>
  </si>
  <si>
    <t>INE758T01015</t>
  </si>
  <si>
    <t>Zomato Ltd</t>
  </si>
  <si>
    <t>INE053A01029</t>
  </si>
  <si>
    <t>The Indian Hotels Company Ltd</t>
  </si>
  <si>
    <t>INE044A01036</t>
  </si>
  <si>
    <t>Sun Pharmaceutical Industries Ltd</t>
  </si>
  <si>
    <t>INE200M01039</t>
  </si>
  <si>
    <t>Varun Beverages Ltd</t>
  </si>
  <si>
    <t>INE121A01024</t>
  </si>
  <si>
    <t>Cholamandalam Investment and Finance Company Ltd</t>
  </si>
  <si>
    <t>INE880J01026</t>
  </si>
  <si>
    <t>JSW Infrastructure Ltd</t>
  </si>
  <si>
    <t>INF173K01FS6</t>
  </si>
  <si>
    <t>Sundaram Low Duration Fund - Direct Growth</t>
  </si>
  <si>
    <t>Sundaram Long Term Tax Advantage Fund Series III</t>
  </si>
  <si>
    <t>INE914M01019</t>
  </si>
  <si>
    <t>Aster DM Healthcare Ltd</t>
  </si>
  <si>
    <t>INE806T01020</t>
  </si>
  <si>
    <t>Sapphire Foods India Ltd</t>
  </si>
  <si>
    <t>INE429E01023</t>
  </si>
  <si>
    <t>Safari Industries (India) Ltd</t>
  </si>
  <si>
    <t>INE679A01013</t>
  </si>
  <si>
    <t>CSB Bank Ltd</t>
  </si>
  <si>
    <t>INE08ZM01014</t>
  </si>
  <si>
    <t>Green Panel Industries Ltd</t>
  </si>
  <si>
    <t>INE551W01018</t>
  </si>
  <si>
    <t>Ujjivan Small Finance Bank Ltd</t>
  </si>
  <si>
    <t>INE199A01012</t>
  </si>
  <si>
    <t>Procter &amp; Gamble Health Ltd</t>
  </si>
  <si>
    <t>INE572A01036</t>
  </si>
  <si>
    <t>JB Chemicals &amp; Pharmaceuticals Ltd</t>
  </si>
  <si>
    <t>INE048G01026</t>
  </si>
  <si>
    <t>Navin Fluorine International Ltd</t>
  </si>
  <si>
    <t>INE732I01013</t>
  </si>
  <si>
    <t>Angel One Ltd</t>
  </si>
  <si>
    <t>INE947Q01028</t>
  </si>
  <si>
    <t>Laurus Labs Ltd</t>
  </si>
  <si>
    <t>INE191H01014</t>
  </si>
  <si>
    <t>PVR INOX Ltd</t>
  </si>
  <si>
    <t>Entertainment</t>
  </si>
  <si>
    <t>INE063P01018</t>
  </si>
  <si>
    <t>Equitas Small Finance Bank Limited</t>
  </si>
  <si>
    <t>INE0CLI01024</t>
  </si>
  <si>
    <t>Rate Gain Travel Technologies Ltd</t>
  </si>
  <si>
    <t>INE285J01028</t>
  </si>
  <si>
    <t>SIS Ltd</t>
  </si>
  <si>
    <t>Other Consumer Services</t>
  </si>
  <si>
    <t>INE477A01020</t>
  </si>
  <si>
    <t>Can Fin Homes Ltd</t>
  </si>
  <si>
    <t>INE741K01010</t>
  </si>
  <si>
    <t>Creditaccess Grameen Ltd</t>
  </si>
  <si>
    <t>INE149A01033</t>
  </si>
  <si>
    <t>Cholamandalam Financial Holdings Ltd</t>
  </si>
  <si>
    <t>INE743M01012</t>
  </si>
  <si>
    <t>RHI Magnesita India Ltd</t>
  </si>
  <si>
    <t>INE274F01020</t>
  </si>
  <si>
    <t>Westlife Foodworld Ltd</t>
  </si>
  <si>
    <t>INE411H01032</t>
  </si>
  <si>
    <t>R Systems International Ltd</t>
  </si>
  <si>
    <t>INE987B01026</t>
  </si>
  <si>
    <t>Natco Pharma Ltd</t>
  </si>
  <si>
    <t>INE845D01014</t>
  </si>
  <si>
    <t>Ganesha Ecosphere Ltd</t>
  </si>
  <si>
    <t>Textiles &amp; Apparels</t>
  </si>
  <si>
    <t>INE572E01012</t>
  </si>
  <si>
    <t>PNB Housing Finance Ltd</t>
  </si>
  <si>
    <t>INE081A01020</t>
  </si>
  <si>
    <t>Tata Steel Ltd</t>
  </si>
  <si>
    <t>INE836A01035</t>
  </si>
  <si>
    <t>Birlasoft Ltd</t>
  </si>
  <si>
    <t>INE348B01021</t>
  </si>
  <si>
    <t>Century Plyboards (India) Ltd</t>
  </si>
  <si>
    <t>INE295F01017</t>
  </si>
  <si>
    <t>Butterfly Gandhimathi Appliances Ltd</t>
  </si>
  <si>
    <t>INE120A01034</t>
  </si>
  <si>
    <t>Carborundum Universal Ltd</t>
  </si>
  <si>
    <t>INE227C01017</t>
  </si>
  <si>
    <t>MM Forgings Ltd</t>
  </si>
  <si>
    <t>Sundaram Long Term Tax Advantage Fund Series IV</t>
  </si>
  <si>
    <t>Sundaram Long Term Tax Advantage Fund Series-II</t>
  </si>
  <si>
    <t>INE280A01028</t>
  </si>
  <si>
    <t>Titan Company Ltd</t>
  </si>
  <si>
    <t>INE155A01022</t>
  </si>
  <si>
    <t>Tata Motors Ltd</t>
  </si>
  <si>
    <t>INE154A01025</t>
  </si>
  <si>
    <t>ITC Ltd</t>
  </si>
  <si>
    <t>Diversified Fmcg</t>
  </si>
  <si>
    <t>INE860A01027</t>
  </si>
  <si>
    <t>HCL Technologies Ltd</t>
  </si>
  <si>
    <t>INE123W01016</t>
  </si>
  <si>
    <t>SBI Life Insurance Company Ltd</t>
  </si>
  <si>
    <t>INE038A01020</t>
  </si>
  <si>
    <t>Hindalco Industries Ltd</t>
  </si>
  <si>
    <t>Non - Ferrous Metals</t>
  </si>
  <si>
    <t>INE467B01029</t>
  </si>
  <si>
    <t>Tata Consultancy Services Ltd</t>
  </si>
  <si>
    <t>INE059A01026</t>
  </si>
  <si>
    <t>Cipla Ltd</t>
  </si>
  <si>
    <t>INE192A01025</t>
  </si>
  <si>
    <t>TATA Consumer Products Ltd</t>
  </si>
  <si>
    <t>INE340A01012</t>
  </si>
  <si>
    <t>Birla Corporation Ltd</t>
  </si>
  <si>
    <t>INE030A01027</t>
  </si>
  <si>
    <t>Hindustan UniLever Ltd</t>
  </si>
  <si>
    <t>INE075A01022</t>
  </si>
  <si>
    <t>Wipro Ltd</t>
  </si>
  <si>
    <t>INE095A01012</t>
  </si>
  <si>
    <t>IndusInd Bank Ltd</t>
  </si>
  <si>
    <t>Sundaram Long Term Micro Cap Tax Advantage Fund Series III</t>
  </si>
  <si>
    <t>INE386D01027</t>
  </si>
  <si>
    <t>Shivalik Bimetal Controls Ltd</t>
  </si>
  <si>
    <t>Sundaram Long Term Micro Cap Tax Advantage Fund Series IV</t>
  </si>
  <si>
    <t>Sundaram Long Term Micro Cap Tax Advantage Fund Series V</t>
  </si>
  <si>
    <t>Sundaram Long Term Micro Cap Tax Advantage Fund Series VI</t>
  </si>
  <si>
    <t>Sundaram Small Cap Fund</t>
  </si>
  <si>
    <t>INE126A01031</t>
  </si>
  <si>
    <t>EID Parry India Ltd</t>
  </si>
  <si>
    <t>Food Products</t>
  </si>
  <si>
    <t>INE119A01028</t>
  </si>
  <si>
    <t>Balrampur Chini Mills Ltd</t>
  </si>
  <si>
    <t>INE794A01010</t>
  </si>
  <si>
    <t>Neuland Laboratories Ltd</t>
  </si>
  <si>
    <t>INE0UOS01011</t>
  </si>
  <si>
    <t>Sanofi Consumer Healthcare India Ltd</t>
  </si>
  <si>
    <t>INE503A01015</t>
  </si>
  <si>
    <t>DCB Bank Ltd</t>
  </si>
  <si>
    <t>INE864I01014</t>
  </si>
  <si>
    <t>MTAR Technologies Ltd</t>
  </si>
  <si>
    <t>INE011K01018</t>
  </si>
  <si>
    <t>Tega Industries Ltd</t>
  </si>
  <si>
    <t>INE177F01017</t>
  </si>
  <si>
    <t>Kovai Medical Center &amp; Hospital Ltd</t>
  </si>
  <si>
    <t>INE456Z01021</t>
  </si>
  <si>
    <t>Medi Assist Healthcare Services Ltd</t>
  </si>
  <si>
    <t>INE482A01020</t>
  </si>
  <si>
    <t>Ceat Ltd</t>
  </si>
  <si>
    <t>INE663F01032</t>
  </si>
  <si>
    <t>Info Edge (India) Ltd</t>
  </si>
  <si>
    <t>INE570A01022</t>
  </si>
  <si>
    <t>Ion Exchange (India) Ltd</t>
  </si>
  <si>
    <t>Other Utilities</t>
  </si>
  <si>
    <t>INE00F201020</t>
  </si>
  <si>
    <t>Prudent Corporate Advisory Services Ltd</t>
  </si>
  <si>
    <t>INE136B01020</t>
  </si>
  <si>
    <t>Cyient Ltd</t>
  </si>
  <si>
    <t>INE142Z01019</t>
  </si>
  <si>
    <t>Orient Electric Ltd</t>
  </si>
  <si>
    <t>INE094J01016</t>
  </si>
  <si>
    <t>UTI Asset Management Co Ltd</t>
  </si>
  <si>
    <t>INE136S01016</t>
  </si>
  <si>
    <t>Neogen Chemicals Ltd</t>
  </si>
  <si>
    <t>INE602W01027</t>
  </si>
  <si>
    <t>Senco Gold Ltd</t>
  </si>
  <si>
    <t>INE02YR01019</t>
  </si>
  <si>
    <t>Electronics Mart India Ltd</t>
  </si>
  <si>
    <t>INE930H01031</t>
  </si>
  <si>
    <t>K.P.R. Mill Ltd</t>
  </si>
  <si>
    <t>INF903JA1FR6</t>
  </si>
  <si>
    <t>Sundaram Money Market Fund-Direct Plan - Growth</t>
  </si>
  <si>
    <t>Sundaram Aggressive Hybrid Fund</t>
  </si>
  <si>
    <t>INE134E01011</t>
  </si>
  <si>
    <t>Power Finance Corporation Ltd</t>
  </si>
  <si>
    <t>INE585B01010</t>
  </si>
  <si>
    <t>Maruti Suzuki India Ltd</t>
  </si>
  <si>
    <t>INE917I01010</t>
  </si>
  <si>
    <t>Bajaj Auto Ltd</t>
  </si>
  <si>
    <t>INE854D01024</t>
  </si>
  <si>
    <t>United Spirits Ltd</t>
  </si>
  <si>
    <t>INE318A01026</t>
  </si>
  <si>
    <t>Pidilite Industries Ltd</t>
  </si>
  <si>
    <t>INE481N01025</t>
  </si>
  <si>
    <t>Home First Finance Company Ltd</t>
  </si>
  <si>
    <t>INE669C01036</t>
  </si>
  <si>
    <t>Tech Mahindra Ltd</t>
  </si>
  <si>
    <t>INE885A01032</t>
  </si>
  <si>
    <t>Amara Raja Energy &amp; Mobility Ltd</t>
  </si>
  <si>
    <t>INE158A01026</t>
  </si>
  <si>
    <t>Hero MotoCorp Ltd</t>
  </si>
  <si>
    <t>INE376G01013</t>
  </si>
  <si>
    <t>Biocon Ltd</t>
  </si>
  <si>
    <t>INE674K01013</t>
  </si>
  <si>
    <t>Aditya Birla Capital Ltd</t>
  </si>
  <si>
    <t>INE121E01018</t>
  </si>
  <si>
    <t>JSW Energy Ltd</t>
  </si>
  <si>
    <t>INE918I01026</t>
  </si>
  <si>
    <t>Bajaj Finserv Ltd</t>
  </si>
  <si>
    <t>INE852S01026</t>
  </si>
  <si>
    <t>Stock Future</t>
  </si>
  <si>
    <t>INE261F08EF5</t>
  </si>
  <si>
    <t>National Bank for Agriculture &amp; Rural Development - 7.8% - 15/03/2027</t>
  </si>
  <si>
    <t>ICRA AAA</t>
  </si>
  <si>
    <t>INE261F08EO7</t>
  </si>
  <si>
    <t>National Bank for Agriculture &amp; Rural Development - 7.48% - 15/09/2028</t>
  </si>
  <si>
    <t>CRISIL AAA</t>
  </si>
  <si>
    <t>INE261F08EP4</t>
  </si>
  <si>
    <t>National Bank for Agriculture &amp; Rural Development - 6.66% - 12/10/2028**</t>
  </si>
  <si>
    <t>INE121A07RZ4</t>
  </si>
  <si>
    <t>Cholamandalam Investment and Finance Company Ltd - 8.54% - 12/04/2029**</t>
  </si>
  <si>
    <t>ICRA AA+</t>
  </si>
  <si>
    <t>INE296A07SV1</t>
  </si>
  <si>
    <t>Bajaj Finance Ltd - 7.82% - 31/01/2034**</t>
  </si>
  <si>
    <t>INE134E08MB9</t>
  </si>
  <si>
    <t>Power Finance Corporation Ltd - 7.82% - 06/03/2038**</t>
  </si>
  <si>
    <t>INE115A07QH6</t>
  </si>
  <si>
    <t>LIC Housing Finance Ltd - 8.025% - 23/03/2033**</t>
  </si>
  <si>
    <t>INE134E08MX3</t>
  </si>
  <si>
    <t>Power Finance Corporation Ltd - 7.6% - 13/04/2029**</t>
  </si>
  <si>
    <t>INE040A08955</t>
  </si>
  <si>
    <t>HDFC Bank Ltd - 7.7% - 16/05/2028**</t>
  </si>
  <si>
    <t>INE556F08KM1</t>
  </si>
  <si>
    <t>Small Industries Development Bank of India - 7.79% - 14/05/2027**</t>
  </si>
  <si>
    <t>INE261F08DV4</t>
  </si>
  <si>
    <t>National Bank for Agriculture &amp; Rural Development - 7.62% - 31/01/2028**</t>
  </si>
  <si>
    <t>INE721A07RH9</t>
  </si>
  <si>
    <t>Shriram Finance Ltd - 8.75% - 15/06/2026**</t>
  </si>
  <si>
    <t>CRISIL AA+</t>
  </si>
  <si>
    <t>INE414G07JQ6</t>
  </si>
  <si>
    <t>Muthoot Finance Ltd - 8.05% - 25/11/2027</t>
  </si>
  <si>
    <t>INE296A07SU3</t>
  </si>
  <si>
    <t>Bajaj Finance Ltd - 7.87% - 08/02/2034**</t>
  </si>
  <si>
    <t>INE020B08FF1</t>
  </si>
  <si>
    <t>REC LTD - 7.56% - 31/08/2027**</t>
  </si>
  <si>
    <t>INE020B08FL9</t>
  </si>
  <si>
    <t>REC LTD - 7.34% - 30/04/2030**</t>
  </si>
  <si>
    <t>INE053F08338</t>
  </si>
  <si>
    <t>Indian Railway Finance Corporation Ltd - 7.68% - 24/11/2026**</t>
  </si>
  <si>
    <t>INE053F08296</t>
  </si>
  <si>
    <t>Indian Railway Finance Corporation Ltd - 7.74% - 15/04/2038**</t>
  </si>
  <si>
    <t>INE134E08MJ2</t>
  </si>
  <si>
    <t>Power Finance Corporation Ltd - 7.77% - 15/04/2028**</t>
  </si>
  <si>
    <t>INE752E08734</t>
  </si>
  <si>
    <t>Power Grid Corporation of India Ltd - 7.35% - 12/03/2034**</t>
  </si>
  <si>
    <t>INE261F08EM1</t>
  </si>
  <si>
    <t>National Bank for Agriculture &amp; Rural Development - 7.53% - 24/03/2028</t>
  </si>
  <si>
    <t>INE414G07II5</t>
  </si>
  <si>
    <t>Muthoot Finance Ltd - 8.4% - 28/08/2028**</t>
  </si>
  <si>
    <t>INE134E08MC7</t>
  </si>
  <si>
    <t>Power Finance Corporation Ltd - 7.77% - 15/07/2026**</t>
  </si>
  <si>
    <t>INE296A07TM8</t>
  </si>
  <si>
    <t>Bajaj Finance Ltd - 7.11% - 10/07/2028**</t>
  </si>
  <si>
    <t>INE115A07PI6</t>
  </si>
  <si>
    <t>LIC Housing Finance Ltd - 6.17% - 03/09/2026**</t>
  </si>
  <si>
    <t>INE556F08KP4</t>
  </si>
  <si>
    <t>Small Industries Development Bank of India - 7.68% - 10/08/2027**</t>
  </si>
  <si>
    <t>INE572E07183</t>
  </si>
  <si>
    <t>PNB Housing Finance Ltd - 8.15% - 29/07/2027**</t>
  </si>
  <si>
    <t>CARE AA+</t>
  </si>
  <si>
    <t>INE477A07415</t>
  </si>
  <si>
    <t>Can Fin Homes Ltd - 8.09% - 04/01/2027**</t>
  </si>
  <si>
    <t>INE020B08EI8</t>
  </si>
  <si>
    <t>REC LTD - 7.51% - 31/07/2026**</t>
  </si>
  <si>
    <t>INE756I07EN4</t>
  </si>
  <si>
    <t>HDB Financial Services Ltd - 7.84% - 14/07/2026</t>
  </si>
  <si>
    <t>INE557F08FR8</t>
  </si>
  <si>
    <t>National Housing Bank - 7.22% - 23/07/2026**</t>
  </si>
  <si>
    <t>INE020B08EL2</t>
  </si>
  <si>
    <t>REC LTD - 7.44% - 30/04/2026**</t>
  </si>
  <si>
    <t>INE756I07FG5</t>
  </si>
  <si>
    <t>HDB Financial Services Ltd - 7.4091% - 05/06/2028**</t>
  </si>
  <si>
    <t>INE121A07SN8</t>
  </si>
  <si>
    <t>Cholamandalam Investment and Finance Company Ltd - 7.38% - 28/05/2027**</t>
  </si>
  <si>
    <t>IN0020240019</t>
  </si>
  <si>
    <t>7.10% Central Government Securities 08/04/2034</t>
  </si>
  <si>
    <t>Sovereign</t>
  </si>
  <si>
    <t>IN0020240027</t>
  </si>
  <si>
    <t>IN0020230077</t>
  </si>
  <si>
    <t>7.18%  Government Securities - 24/07/2037</t>
  </si>
  <si>
    <t>IN0020220011</t>
  </si>
  <si>
    <t>IN0020230051</t>
  </si>
  <si>
    <t>7.30% Government Securities - 19/06/2053</t>
  </si>
  <si>
    <t>IN0020240035</t>
  </si>
  <si>
    <t>7.34% Central Government Securities 22/04/2064</t>
  </si>
  <si>
    <t>IN0020240076</t>
  </si>
  <si>
    <t>7.02% Central Government Securities 18/06/2031</t>
  </si>
  <si>
    <t>IN0020210160</t>
  </si>
  <si>
    <t>IN3120230484</t>
  </si>
  <si>
    <t>7.44% Tamil Nadu State Government Securities -20/03/2034</t>
  </si>
  <si>
    <t>IN0020250026</t>
  </si>
  <si>
    <t>6.33% Central Government Securities 05/05/2035</t>
  </si>
  <si>
    <t>INE238AD6AM2</t>
  </si>
  <si>
    <t>Axis Bank Ltd - 04/02/2026**</t>
  </si>
  <si>
    <t>CRISIL A1+</t>
  </si>
  <si>
    <t>Margin Money For Derivatives</t>
  </si>
  <si>
    <t>Individual &amp; HUF</t>
  </si>
  <si>
    <t>Others</t>
  </si>
  <si>
    <t>Sundaram Arbitrage Fund</t>
  </si>
  <si>
    <t>INE423A01024</t>
  </si>
  <si>
    <t>Adani Enterprises</t>
  </si>
  <si>
    <t>Metals &amp; Minerals Trading</t>
  </si>
  <si>
    <t>INE976G01028</t>
  </si>
  <si>
    <t>RBL Bank Ltd</t>
  </si>
  <si>
    <t>INE160A01022</t>
  </si>
  <si>
    <t>Punjab National Bank</t>
  </si>
  <si>
    <t>INE476A01022</t>
  </si>
  <si>
    <t>Canara Bank</t>
  </si>
  <si>
    <t>INE271C01023</t>
  </si>
  <si>
    <t>DLF Ltd</t>
  </si>
  <si>
    <t>INE066A01021</t>
  </si>
  <si>
    <t>Eicher Motors Ltd</t>
  </si>
  <si>
    <t>INE758E01017</t>
  </si>
  <si>
    <t>Jio Financial Services Ltd</t>
  </si>
  <si>
    <t>INE982J01020</t>
  </si>
  <si>
    <t>One 97 Communications Ltd</t>
  </si>
  <si>
    <t>IN0020220037</t>
  </si>
  <si>
    <t>7.38% Central Government Securities 20/06/2027</t>
  </si>
  <si>
    <t>IN002024Z347</t>
  </si>
  <si>
    <t>IN002024Z412</t>
  </si>
  <si>
    <t>IN002024Z438</t>
  </si>
  <si>
    <t>Sundaram Balanced Advantage Fund</t>
  </si>
  <si>
    <t>INE619A01035</t>
  </si>
  <si>
    <t>Patanjali Foods Ltd</t>
  </si>
  <si>
    <t>INE216A01030</t>
  </si>
  <si>
    <t>Britannia Industries Ltd</t>
  </si>
  <si>
    <t>INE020B08FD6</t>
  </si>
  <si>
    <t>REC LTD - 7.58% - 31/05/2029**</t>
  </si>
  <si>
    <t>INE261F08DX0</t>
  </si>
  <si>
    <t>National Bank for Agriculture &amp; Rural Development - 7.58% - 31/07/2026</t>
  </si>
  <si>
    <t>INE115A07QD5</t>
  </si>
  <si>
    <t>LIC Housing Finance Ltd - 7.82% - 28/11/2025</t>
  </si>
  <si>
    <t>IN0020230135</t>
  </si>
  <si>
    <t>IN0020230036</t>
  </si>
  <si>
    <t>7.17% Government Securities - 17/04/20230</t>
  </si>
  <si>
    <t>-</t>
  </si>
  <si>
    <t>Sundaram Dividend Yield Fund</t>
  </si>
  <si>
    <t>INE522F01014</t>
  </si>
  <si>
    <t>Coal India Ltd</t>
  </si>
  <si>
    <t>Consumable Fuels</t>
  </si>
  <si>
    <t>INE172A01027</t>
  </si>
  <si>
    <t>Castrol India Ltd</t>
  </si>
  <si>
    <t>INE486A01021</t>
  </si>
  <si>
    <t>CESC Ltd</t>
  </si>
  <si>
    <t>INE356A01018</t>
  </si>
  <si>
    <t>MphasiS Ltd</t>
  </si>
  <si>
    <t>INE102D01028</t>
  </si>
  <si>
    <t>Godrej Consumer Products Ltd</t>
  </si>
  <si>
    <t>INE214T01019</t>
  </si>
  <si>
    <t>LTIMindtree Ltd</t>
  </si>
  <si>
    <t>INE274J01014</t>
  </si>
  <si>
    <t>Oil India Ltd</t>
  </si>
  <si>
    <t>INE242A01010</t>
  </si>
  <si>
    <t>Indian Oil Corporation Ltd</t>
  </si>
  <si>
    <t>INE020B01018</t>
  </si>
  <si>
    <t>REC Ltd</t>
  </si>
  <si>
    <t>INE058A01010</t>
  </si>
  <si>
    <t>Sanofi India Ltd</t>
  </si>
  <si>
    <t>INE021A01026</t>
  </si>
  <si>
    <t>Asian Paints Ltd</t>
  </si>
  <si>
    <t>INE462A01022</t>
  </si>
  <si>
    <t>Bayer Cropscience Ltd</t>
  </si>
  <si>
    <t>IDIA00069480</t>
  </si>
  <si>
    <t>IDIA00069477</t>
  </si>
  <si>
    <t>INE02CF01010</t>
  </si>
  <si>
    <t>INE759J01022</t>
  </si>
  <si>
    <t>Sundaram Equity Savings Fund</t>
  </si>
  <si>
    <t>INE019A01038</t>
  </si>
  <si>
    <t>JSW Steel Ltd</t>
  </si>
  <si>
    <t>INE795G01014</t>
  </si>
  <si>
    <t>HDFC Life Insurance Company Ltd</t>
  </si>
  <si>
    <t>INE406A01037</t>
  </si>
  <si>
    <t>Aurobindo Pharma Ltd</t>
  </si>
  <si>
    <t>INE115A07PR7</t>
  </si>
  <si>
    <t>LIC Housing Finance Ltd - 6.65% - 15/02/2027**</t>
  </si>
  <si>
    <t>INE556F08KH1</t>
  </si>
  <si>
    <t>Small Industries Development Bank of India - 7.43% - 31/08/2026**</t>
  </si>
  <si>
    <t>INE134E08IE1</t>
  </si>
  <si>
    <t>Power Finance Corporation Ltd - 8.03% - 02/05/2026**</t>
  </si>
  <si>
    <t>INE261F08EA6</t>
  </si>
  <si>
    <t>National Bank for Agriculture &amp; Rural Development - 7.5% - 31/08/2026</t>
  </si>
  <si>
    <t>INE134E08IO0</t>
  </si>
  <si>
    <t>Power Finance Corporation Ltd - 7.23% - 05/01/2027**</t>
  </si>
  <si>
    <t>IN0020230101</t>
  </si>
  <si>
    <t>7.37% Government Securities-23/10/2028</t>
  </si>
  <si>
    <t>IN0020240050</t>
  </si>
  <si>
    <t>7.04% Central Government Securities 03/06/2029</t>
  </si>
  <si>
    <t>INE476A16ZO0</t>
  </si>
  <si>
    <t>Canara Bank - 04/12/2025</t>
  </si>
  <si>
    <t>INE514E16CI1</t>
  </si>
  <si>
    <t>Export Import Bank of India - 30/12/2025**</t>
  </si>
  <si>
    <t>IN002024Z362</t>
  </si>
  <si>
    <t>364 Days - T Bill - 18/12/2025</t>
  </si>
  <si>
    <t>Sundaram Focused  Fund</t>
  </si>
  <si>
    <t>INE089A01031</t>
  </si>
  <si>
    <t>Dr. Reddys Laboratories Ltd</t>
  </si>
  <si>
    <t>INE192R01011</t>
  </si>
  <si>
    <t>Avenue Supermarts Ltd</t>
  </si>
  <si>
    <t>INE330T01021</t>
  </si>
  <si>
    <t>Happy Forgings Ltd</t>
  </si>
  <si>
    <t>INE437A01024</t>
  </si>
  <si>
    <t>Apollo Hospitals Enterprise Ltd</t>
  </si>
  <si>
    <t>INE765G01017</t>
  </si>
  <si>
    <t>ICICI Lombard General Insurance Company Ltd</t>
  </si>
  <si>
    <t>INE491A01021</t>
  </si>
  <si>
    <t>City Union Bank Ltd</t>
  </si>
  <si>
    <t>INE389H01022</t>
  </si>
  <si>
    <t>KEC International Ltd</t>
  </si>
  <si>
    <t>Sundaram Multi Cap Fund</t>
  </si>
  <si>
    <t>INE668F01031</t>
  </si>
  <si>
    <t>Jyothy Laboratories Ltd</t>
  </si>
  <si>
    <t>Household Products</t>
  </si>
  <si>
    <t>INE472A01039</t>
  </si>
  <si>
    <t>Blue Star Ltd</t>
  </si>
  <si>
    <t>INE112L01020</t>
  </si>
  <si>
    <t>Metropolis Healthcare Ltd</t>
  </si>
  <si>
    <t>INE147E01013</t>
  </si>
  <si>
    <t>INE348C01011</t>
  </si>
  <si>
    <t>Paper, Forest &amp; Jute Products</t>
  </si>
  <si>
    <t>INE431E01011</t>
  </si>
  <si>
    <t>Healthcare Equipment &amp; Supplies</t>
  </si>
  <si>
    <t>INE406B01019</t>
  </si>
  <si>
    <t>INE604A01011</t>
  </si>
  <si>
    <t>IDIA00069356</t>
  </si>
  <si>
    <t>IDIA00069359</t>
  </si>
  <si>
    <t>Sundaram Nifty 100 Equal Weight Fund</t>
  </si>
  <si>
    <t>INE323A01026</t>
  </si>
  <si>
    <t>Bosch Ltd</t>
  </si>
  <si>
    <t>INE0V6F01027</t>
  </si>
  <si>
    <t>Hyundai Motor India Ltd</t>
  </si>
  <si>
    <t>INE016A01026</t>
  </si>
  <si>
    <t>Dabur India Ltd</t>
  </si>
  <si>
    <t>INE685A01028</t>
  </si>
  <si>
    <t>Torrent Pharmaceuticals Ltd</t>
  </si>
  <si>
    <t>INE814H01011</t>
  </si>
  <si>
    <t>Adani Power Ltd</t>
  </si>
  <si>
    <t>INE00H001014</t>
  </si>
  <si>
    <t>Swiggy Ltd</t>
  </si>
  <si>
    <t>INE067A01029</t>
  </si>
  <si>
    <t>CG Power and Industrial Solutions Ltd</t>
  </si>
  <si>
    <t>INE070A01015</t>
  </si>
  <si>
    <t>Shree Cement Ltd</t>
  </si>
  <si>
    <t>INE176B01034</t>
  </si>
  <si>
    <t>Havells India Ltd</t>
  </si>
  <si>
    <t>INE239A01024</t>
  </si>
  <si>
    <t>Nestle India Ltd</t>
  </si>
  <si>
    <t>INE205A01025</t>
  </si>
  <si>
    <t>Vedanta Ltd</t>
  </si>
  <si>
    <t>Diversified Metals</t>
  </si>
  <si>
    <t>INE118A01012</t>
  </si>
  <si>
    <t>Bajaj Holdings &amp; Investment Ltd</t>
  </si>
  <si>
    <t>INE361B01024</t>
  </si>
  <si>
    <t>Divis Laboratories Ltd</t>
  </si>
  <si>
    <t>INE364U01010</t>
  </si>
  <si>
    <t>Adani Green Energy Ltd</t>
  </si>
  <si>
    <t>INE377Y01014</t>
  </si>
  <si>
    <t>BAJAJ HOUSING FINANCE LTD</t>
  </si>
  <si>
    <t>INE775A01035</t>
  </si>
  <si>
    <t>Samvardhana Motherson International Ltd</t>
  </si>
  <si>
    <t>INE931S01010</t>
  </si>
  <si>
    <t>Adani Energy Solutions Ltd</t>
  </si>
  <si>
    <t>INE0J1Y01017</t>
  </si>
  <si>
    <t>LIC of India Ltd</t>
  </si>
  <si>
    <t>INE849A01020</t>
  </si>
  <si>
    <t>Trent Ltd</t>
  </si>
  <si>
    <t>INE670K01029</t>
  </si>
  <si>
    <t>Macrotech Developers Ltd</t>
  </si>
  <si>
    <t>INE053F01010</t>
  </si>
  <si>
    <t>Indian Railway Finance Corporation Ltd</t>
  </si>
  <si>
    <t>Sundaram ELSS Tax Saver Fund</t>
  </si>
  <si>
    <t>INE451A01017</t>
  </si>
  <si>
    <t>Force Motors Ltd</t>
  </si>
  <si>
    <t>INE628A01036</t>
  </si>
  <si>
    <t>UPL Ltd</t>
  </si>
  <si>
    <t>INE217B01036</t>
  </si>
  <si>
    <t>Kajaria Ceramics Ltd</t>
  </si>
  <si>
    <t>Sundaram Consumption Fund</t>
  </si>
  <si>
    <t>INE716A01013</t>
  </si>
  <si>
    <t>Whirlpool of India Ltd</t>
  </si>
  <si>
    <t>INE0BJS01011</t>
  </si>
  <si>
    <t>Go Fashion (India ) Ltd</t>
  </si>
  <si>
    <t>Sundaram Services Fund</t>
  </si>
  <si>
    <t>INE545U01014</t>
  </si>
  <si>
    <t>Bandhan Bank Ltd</t>
  </si>
  <si>
    <t>MU0295S00016</t>
  </si>
  <si>
    <t>IN002024Z248</t>
  </si>
  <si>
    <t>Sundaram Diversified Equity</t>
  </si>
  <si>
    <t>INE176A01028</t>
  </si>
  <si>
    <t>Bata India Ltd</t>
  </si>
  <si>
    <t>INE884B01025</t>
  </si>
  <si>
    <t>Kirloskar Ferrous Ind Ltd</t>
  </si>
  <si>
    <t>Sundaram Large Cap Fund</t>
  </si>
  <si>
    <t>Sundaram Business Cycle Fund</t>
  </si>
  <si>
    <t>INE410P01011</t>
  </si>
  <si>
    <t>Narayana Hrudayalaya Ltd</t>
  </si>
  <si>
    <t>INE04I401011</t>
  </si>
  <si>
    <t>KPIT Technologies Ltd</t>
  </si>
  <si>
    <t>INE224A01026</t>
  </si>
  <si>
    <t>Greaves Cotton Ltd</t>
  </si>
  <si>
    <t>INE716B01029</t>
  </si>
  <si>
    <t>Tips Music Ltd</t>
  </si>
  <si>
    <t>INE599M01018</t>
  </si>
  <si>
    <t>Just Dial Ltd</t>
  </si>
  <si>
    <t>INE559R01029</t>
  </si>
  <si>
    <t>Landmark Cars Ltd</t>
  </si>
  <si>
    <t>Sundaram Flexi Cap Fund</t>
  </si>
  <si>
    <t>Sundaram Financial Services Opportunities Fund</t>
  </si>
  <si>
    <t>INE756I01012</t>
  </si>
  <si>
    <t>HDB Financial Services Ltd</t>
  </si>
  <si>
    <t>Sundaram Multi Asset Allocation Fund</t>
  </si>
  <si>
    <t>IN0020240183</t>
  </si>
  <si>
    <t>6.75% Central Government Securities 23/12/2029</t>
  </si>
  <si>
    <t>INF200KA16D8</t>
  </si>
  <si>
    <t>SBI-ETF GOLD</t>
  </si>
  <si>
    <t>INF204KB17I5</t>
  </si>
  <si>
    <t>Nippon India ETF Gold Bees</t>
  </si>
  <si>
    <t>INF174KA1HJ8</t>
  </si>
  <si>
    <t>Kotak Mutual Fund - Gold Exchange Traded Fund</t>
  </si>
  <si>
    <t>INF179KC1981</t>
  </si>
  <si>
    <t>HDFC Gold Exchange Traded Fund</t>
  </si>
  <si>
    <t>INF740KA1SW3</t>
  </si>
  <si>
    <t>DSP-GOLD ETF</t>
  </si>
  <si>
    <t>Sundaram Multi-Factor Fund</t>
  </si>
  <si>
    <t>INE260B01028</t>
  </si>
  <si>
    <t>Godfrey Phillips India Ltd</t>
  </si>
  <si>
    <t>Cigarettes &amp; Tobacco Products</t>
  </si>
  <si>
    <t>INE159A01016</t>
  </si>
  <si>
    <t>GlaxoSmithKline Pharmaceuticals Ltd</t>
  </si>
  <si>
    <t>INE918Z01012</t>
  </si>
  <si>
    <t>Kaynes Technology India Ltd</t>
  </si>
  <si>
    <t>INE343H01029</t>
  </si>
  <si>
    <t>Solar Industries India Ltd</t>
  </si>
  <si>
    <t>INE084A01016</t>
  </si>
  <si>
    <t>Bank of India</t>
  </si>
  <si>
    <t>INE267A01025</t>
  </si>
  <si>
    <t>Hindustan Zinc Ltd</t>
  </si>
  <si>
    <t>INE347G01014</t>
  </si>
  <si>
    <t>Petronet LNG Ltd</t>
  </si>
  <si>
    <t>INE692A01016</t>
  </si>
  <si>
    <t>Union Bank of India</t>
  </si>
  <si>
    <t>INE498L01015</t>
  </si>
  <si>
    <t>L &amp; T Finance Ltd</t>
  </si>
  <si>
    <t>INE935A01035</t>
  </si>
  <si>
    <t>GlenMark Pharmaceuticals Ltd</t>
  </si>
  <si>
    <t>INE127D01025</t>
  </si>
  <si>
    <t>HDFC Asset Management Company Ltd</t>
  </si>
  <si>
    <t>INE298J01013</t>
  </si>
  <si>
    <t>Nippon Life India Asset Management Ltd</t>
  </si>
  <si>
    <t>INE704P01025</t>
  </si>
  <si>
    <t>Cochin Shipyard Ltd</t>
  </si>
  <si>
    <t>INE171Z01026</t>
  </si>
  <si>
    <t>Bharat Dynamics Ltd</t>
  </si>
  <si>
    <t>INE944F01028</t>
  </si>
  <si>
    <t>Radico Khaitan Ltd</t>
  </si>
  <si>
    <t>INE571A01038</t>
  </si>
  <si>
    <t>IPCA Laboratories Ltd</t>
  </si>
  <si>
    <t>INE031A01017</t>
  </si>
  <si>
    <t>Housing &amp; Urban Development Corporation Ltd</t>
  </si>
  <si>
    <t>INE414G01012</t>
  </si>
  <si>
    <t>Muthoot Finance Ltd</t>
  </si>
  <si>
    <t>INE584A01023</t>
  </si>
  <si>
    <t>NMDC Ltd</t>
  </si>
  <si>
    <t>Minerals &amp; Mining</t>
  </si>
  <si>
    <t>INE114A01011</t>
  </si>
  <si>
    <t>Steel Authority of India Ltd</t>
  </si>
  <si>
    <t>INE589A01014</t>
  </si>
  <si>
    <t>Neyveli Lignite Corporation Ltd</t>
  </si>
  <si>
    <t>YTM (%)</t>
  </si>
  <si>
    <t>Index</t>
  </si>
  <si>
    <t>S.NO.</t>
  </si>
  <si>
    <t>ACRONYM</t>
  </si>
  <si>
    <t>SCHEME NAME</t>
  </si>
  <si>
    <t>CAPEXG</t>
  </si>
  <si>
    <t>GLOB</t>
  </si>
  <si>
    <t>Sundaram Global Brand Theme-Equity Active FOF</t>
  </si>
  <si>
    <t>MIDCAP</t>
  </si>
  <si>
    <t>MULTIP</t>
  </si>
  <si>
    <t>Sundaram Large And Mid Cap Fund</t>
  </si>
  <si>
    <t>SLTADV3</t>
  </si>
  <si>
    <t>Sundaram Long Term Advantage Fund Series III</t>
  </si>
  <si>
    <t>SLTADV4</t>
  </si>
  <si>
    <t>Sundaram Long Term Advantage Fund Series IV</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</si>
  <si>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</si>
  <si>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</si>
  <si>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</si>
  <si>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</si>
  <si>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</si>
  <si>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</si>
  <si>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</si>
  <si>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</si>
  <si>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</si>
  <si>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</si>
  <si>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</si>
  <si>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</si>
  <si>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</si>
  <si>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</si>
  <si>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</si>
  <si>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</si>
  <si>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</si>
  <si>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</si>
  <si>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</si>
  <si>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</si>
  <si>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</si>
  <si>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</si>
  <si>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</si>
  <si>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</si>
  <si>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</si>
  <si>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</si>
  <si>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</si>
  <si>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SUNMFF</t>
  </si>
  <si>
    <t>Monthly Portfolio Statement for the month ended 31 August 2025</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</si>
  <si>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</si>
  <si>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</si>
  <si>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</si>
  <si>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</si>
  <si>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</si>
  <si>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</si>
  <si>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</si>
  <si>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</si>
  <si>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d) IDCW declared during the period (Rupees per unit)</t>
  </si>
  <si>
    <t>Scheme Riskometer :</t>
  </si>
  <si>
    <t>Tier I Benchmark Riskometer :</t>
  </si>
  <si>
    <t xml:space="preserve">                     NIFTY Infrastructure TRI</t>
  </si>
  <si>
    <t>Sundaram Liquid Fund - Direct Growth*</t>
  </si>
  <si>
    <t>Direct Plan - IDCW</t>
  </si>
  <si>
    <t>Regular Plan - IDCW</t>
  </si>
  <si>
    <t>Tier II Benchmark Riskometer :</t>
  </si>
  <si>
    <t xml:space="preserve">                        Nifty Mid Cap 150 TRI</t>
  </si>
  <si>
    <t xml:space="preserve">                            Nifty Mid Cap 100 TRI</t>
  </si>
  <si>
    <t xml:space="preserve">           Nifty Large Mid Cap 250 TRI</t>
  </si>
  <si>
    <t xml:space="preserve">                           BSE 500 INDEX</t>
  </si>
  <si>
    <t xml:space="preserve">                                    BSE 500 TRI</t>
  </si>
  <si>
    <t xml:space="preserve">                    BSE 500 INDEX</t>
  </si>
  <si>
    <t xml:space="preserve">                    Nifty Small Cap 100 TRI</t>
  </si>
  <si>
    <t xml:space="preserve">                   Nifty Small Cap 100</t>
  </si>
  <si>
    <t xml:space="preserve">                      Nifty Small Cap 100</t>
  </si>
  <si>
    <t xml:space="preserve">                     Nifty Small Cap 100</t>
  </si>
  <si>
    <t xml:space="preserve">           Nifty Small Cap 250 TRI</t>
  </si>
  <si>
    <t xml:space="preserve">           Nifty Small Cap 100 TRI</t>
  </si>
  <si>
    <t>INE041025011</t>
  </si>
  <si>
    <t>Embassy Office Parks (REIT)</t>
  </si>
  <si>
    <t>INE0JEI23010</t>
  </si>
  <si>
    <t>Roadstar Infra Investment Trust (InvIT)</t>
  </si>
  <si>
    <t>Services</t>
  </si>
  <si>
    <t>Chennai Super Kings Ltd @</t>
  </si>
  <si>
    <t>(f) Convertible Debenture</t>
  </si>
  <si>
    <t>INE121A08PJ0</t>
  </si>
  <si>
    <t>7.5% Cholamandalam Investment and Company Ltd - 30/09/2026</t>
  </si>
  <si>
    <t>Unrated</t>
  </si>
  <si>
    <t>Bajaj Finserv Ltd SEP-2025</t>
  </si>
  <si>
    <t>JSW Energy Ltd SEP-2025</t>
  </si>
  <si>
    <t>TATA Consultancy Services Ltd SEP-2025</t>
  </si>
  <si>
    <t>IDFC First Bank Ltd (PrevIDFC Bank Ltd) SEP-2025</t>
  </si>
  <si>
    <t>Grasim Industries Ltd  SEP-2025</t>
  </si>
  <si>
    <t>Bharat Electronics Ltd SEP-2025</t>
  </si>
  <si>
    <t>Adani Ports &amp; SEZ Ltd SEP-2025</t>
  </si>
  <si>
    <t>Marico Ltd (Pre Marico Industries Ltd) SEP-2025</t>
  </si>
  <si>
    <t>Kotak Mahindra Bank Ltd SEP-2025</t>
  </si>
  <si>
    <t>Aditya Birla Capital Ltd SEP-2025</t>
  </si>
  <si>
    <t>Bharti Airtel Ltd SEP-2025</t>
  </si>
  <si>
    <t>Bank of Baroda SEP-2025</t>
  </si>
  <si>
    <t>Dixon Technologies India Ltd SEP-2025</t>
  </si>
  <si>
    <t>Indian Hotels Company Ltd SEP-2025</t>
  </si>
  <si>
    <t>Biocon Ltd SEP-2025</t>
  </si>
  <si>
    <t>Reliance Industries Ltd SEP-2025</t>
  </si>
  <si>
    <t>State Bank Of India Ltd SEP-2025</t>
  </si>
  <si>
    <t>HDFC Bank Ltd SEP-2025</t>
  </si>
  <si>
    <t>ICICI Bank Ltd SEP-2025</t>
  </si>
  <si>
    <t>Multi Commodity Exchange of India Limited SEP-2025</t>
  </si>
  <si>
    <t>7.11% Central Government Securities_Floating Rate Bond - 04/10/2028 ~</t>
  </si>
  <si>
    <t>Cash and Other Net Current Assets^</t>
  </si>
  <si>
    <t>Refer below point i)</t>
  </si>
  <si>
    <t>Direct Plan - Monthly IDCW</t>
  </si>
  <si>
    <t>Regular Plan - Monthly IDCW</t>
  </si>
  <si>
    <t>Annexure-A</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</si>
  <si>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</si>
  <si>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</si>
  <si>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</si>
  <si>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</si>
  <si>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</si>
  <si>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</si>
  <si>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</si>
  <si>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</si>
  <si>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</si>
  <si>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</si>
  <si>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</si>
  <si>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</si>
  <si>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</si>
  <si>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</si>
  <si>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</si>
  <si>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https://www.sundarammutual.com/pdf2/2025/Rationale_for_Valuation/Update_on_ILFS_Financial_Services_Recovery_06_03_2025.pdf</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</si>
  <si>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</si>
  <si>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</si>
  <si>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</si>
  <si>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</si>
  <si>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</si>
  <si>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</si>
  <si>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</si>
  <si>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</si>
  <si>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</si>
  <si>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</si>
  <si>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</si>
  <si>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</si>
  <si>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</si>
  <si>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</si>
  <si>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</si>
  <si>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</si>
  <si>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</si>
  <si>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</si>
  <si>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xml:space="preserve">           CRISIL Hybrid 35 Plus 65 - Aggressive Index</t>
  </si>
  <si>
    <t>One 97 Communications Ltd SEP-2025</t>
  </si>
  <si>
    <t>Bharti Airtel Ltd OCT-2025</t>
  </si>
  <si>
    <t>Titan Industries Ltd SEP-2025</t>
  </si>
  <si>
    <t>NTPC Ltd SEP-2025</t>
  </si>
  <si>
    <t>Jio Financial Services Ltd (Prev Reliance Strategic Investments Ltd) SEP-2025</t>
  </si>
  <si>
    <t>Supreme Industries Ltd SEP-2025</t>
  </si>
  <si>
    <t>IndusInd Bank Ltd OCT-2025</t>
  </si>
  <si>
    <t>Eicher Motor Ltd SEP-2025</t>
  </si>
  <si>
    <t>DLF Ltd SEP-2025</t>
  </si>
  <si>
    <t>PNB Housing Finance Ltd SEP-2025</t>
  </si>
  <si>
    <t>Tata Motors Ltd SEP-2025</t>
  </si>
  <si>
    <t>Mahindra &amp; Mahindra Ltd SEP-2025</t>
  </si>
  <si>
    <t>Canara Bank SEP-2025</t>
  </si>
  <si>
    <t>Tata Consumer Products Limited SEP-2025</t>
  </si>
  <si>
    <t>Kotak Mahindra Bank Ltd OCT-2025</t>
  </si>
  <si>
    <t>Punjab National Bank SEP-2025</t>
  </si>
  <si>
    <t>Tata Steel Ltd SEP-2025</t>
  </si>
  <si>
    <t>Indus Towers Ltd (Prev name Bharti Infratel Ltd) SEP-2025</t>
  </si>
  <si>
    <t>SBI Life Insurance Company Ltd SEP-2025</t>
  </si>
  <si>
    <t>Reliance Industries Ltd OCT-2025</t>
  </si>
  <si>
    <t>Cipla Ltd SEP-2025</t>
  </si>
  <si>
    <t>IndusInd Bank Ltd SEP-2025</t>
  </si>
  <si>
    <t>Hindustan Unilever Ltd SEP-2025</t>
  </si>
  <si>
    <t>Hindustan Aeronautics Ltd SEP-2025</t>
  </si>
  <si>
    <t>Max Financial Services Ltd (Prev: Max India Ltd) SEP-2025</t>
  </si>
  <si>
    <t>RBL Bank Ltd SEP-2025</t>
  </si>
  <si>
    <t>Sun Pharmaceuticals Ltd SEP-2025</t>
  </si>
  <si>
    <t>Hindalco Industries Ltd SEP-2025</t>
  </si>
  <si>
    <t>Adani Enterprises Ltd SEP-2025</t>
  </si>
  <si>
    <t>Larsen &amp; Toubro Ltd SEP-2025</t>
  </si>
  <si>
    <t>Gujarat Ambuja Cement Co.Ltd SEP-2025</t>
  </si>
  <si>
    <t>Bajaj Finance Ltd SEP-2025</t>
  </si>
  <si>
    <t>Axis Bank Ltd  SEP-2025</t>
  </si>
  <si>
    <t>ITC Ltd SEP-2025</t>
  </si>
  <si>
    <t xml:space="preserve">           NIFTY 50 Arbitrage INDEX</t>
  </si>
  <si>
    <t>INE0GGX23010</t>
  </si>
  <si>
    <t>Power Grid Infrastructure Investment Trust (InvIT)</t>
  </si>
  <si>
    <t>GAIL (India) Ltd SEP-2025</t>
  </si>
  <si>
    <t>Britannia Industries Ltd    SEP-2025</t>
  </si>
  <si>
    <t>Infosys Ltd SEP-2025</t>
  </si>
  <si>
    <t>Patanjali Foods Ltd(Prev Ruchi Soya Industries Ltd) SEP-2025</t>
  </si>
  <si>
    <t>Cholamandalam Investment &amp; Finance Company Ltd SEP-2025</t>
  </si>
  <si>
    <t>Eternal Ltd ( Previously named as Zomato Ltd ) SEP-2025</t>
  </si>
  <si>
    <t xml:space="preserve">           NIFTY 50 Hybrid Composite Debt 50 : 50 INDEX</t>
  </si>
  <si>
    <t>Power Grid Infrastructure Investment Trust(InvIT)</t>
  </si>
  <si>
    <t>Sandur Laminates Ltd @</t>
  </si>
  <si>
    <t>Crystal Cable Industries Ltd @</t>
  </si>
  <si>
    <t>Tirrihannah Company Ltd @</t>
  </si>
  <si>
    <t>Minerava Holdings Ltd @</t>
  </si>
  <si>
    <t>Name of The security</t>
  </si>
  <si>
    <t xml:space="preserve">ISIN </t>
  </si>
  <si>
    <t>Net receivable/Market value  (Rs. Lakh)</t>
  </si>
  <si>
    <t>% to NAV</t>
  </si>
  <si>
    <t>Total Amount(Principal &amp; Interest)  (Rs. Lakh)</t>
  </si>
  <si>
    <t>21.50% Dewan Rubber Ltd</t>
  </si>
  <si>
    <t>Not Available</t>
  </si>
  <si>
    <t>Chemox Chemicals Industries</t>
  </si>
  <si>
    <t xml:space="preserve">                                NIFTY 500 TRI</t>
  </si>
  <si>
    <t xml:space="preserve">           NIFTY Dividend Opportunities 50 TRI</t>
  </si>
  <si>
    <t>Lupin Ltd SEP-2025</t>
  </si>
  <si>
    <t>United Spirits Ltd SEP-2025</t>
  </si>
  <si>
    <t>TVS Motor Company Ltd   SEP-2025</t>
  </si>
  <si>
    <t>Aurobindo Pharma Ltd-Equ SEP-2025</t>
  </si>
  <si>
    <t>HDFC Life Insurance Company Ltd SEP-2025</t>
  </si>
  <si>
    <t>JSW Steel Ltd SEP-2025</t>
  </si>
  <si>
    <t>Direct Plan - Half Yearly IDCW</t>
  </si>
  <si>
    <t>Regular Plan - Half Yearly IDCW</t>
  </si>
  <si>
    <t xml:space="preserve">                      Nifty Equity Savings TRI</t>
  </si>
  <si>
    <t xml:space="preserve">                              Nifty 500 TRI</t>
  </si>
  <si>
    <t xml:space="preserve">           Nifty Large MID CAP 250 TRI</t>
  </si>
  <si>
    <t>Crescent Finstock Ltd @</t>
  </si>
  <si>
    <t>Balmer Lawrie Freight Containers Ltd @</t>
  </si>
  <si>
    <t>Precision Fasteners Ltd @</t>
  </si>
  <si>
    <t>Virtual Dynamics Software Ltd @</t>
  </si>
  <si>
    <t>Noble Brothers Impex Ltd @</t>
  </si>
  <si>
    <t>Sangam Health Care Products Ltd @</t>
  </si>
  <si>
    <t>Mukerian Papers Ltd @</t>
  </si>
  <si>
    <t>15% Premier Vinyl Ltd</t>
  </si>
  <si>
    <t xml:space="preserve">           Nifty 500 MultiCap 50:25:25 TRI</t>
  </si>
  <si>
    <t xml:space="preserve">          Nifty 100 Equal Weight INDEX TRI</t>
  </si>
  <si>
    <t>18% Jord Engineering Ltd</t>
  </si>
  <si>
    <t xml:space="preserve">                          NIFTY 500 TRI</t>
  </si>
  <si>
    <t xml:space="preserve">           Nifty India Consumption TRI</t>
  </si>
  <si>
    <t>Make My Trip Ltd (USD)</t>
  </si>
  <si>
    <t xml:space="preserve">           NIFTY Services Sector TRI</t>
  </si>
  <si>
    <t xml:space="preserve">           NIFTY 500 MULTICAP 50:25:25 TRI</t>
  </si>
  <si>
    <t xml:space="preserve">                       NIFTY 500_TRI</t>
  </si>
  <si>
    <t xml:space="preserve">               Nifty 100 TRI</t>
  </si>
  <si>
    <t xml:space="preserve">                      Nifty_500_ TRI</t>
  </si>
  <si>
    <t xml:space="preserve">                  Nifty 500 TRI</t>
  </si>
  <si>
    <t xml:space="preserve">           Nifty Financial Services TRI</t>
  </si>
  <si>
    <t>Oil &amp; Natural Gas Corpn.Ltd SEP-2025</t>
  </si>
  <si>
    <t>Indian Oil Corporation Ltd SEP-2025</t>
  </si>
  <si>
    <t>Alkem Laboratories Ltd SEP-2025</t>
  </si>
  <si>
    <t>Hindustan Petroleum Corpn Ltd SEP-2025</t>
  </si>
  <si>
    <t>Ultra Tech Cement Ltd SEP-2025</t>
  </si>
  <si>
    <t>NIFTY 500 TRI (65%) + NIFTY Short Duration Debt Index (10%) + Domestic Prices of Gold (25%)</t>
  </si>
  <si>
    <t xml:space="preserve">                     BSE 200 TRI</t>
  </si>
  <si>
    <t>Direct Plan - Halfyearly IDCW</t>
  </si>
  <si>
    <t>Regular Plan - Halfyearly IDCW</t>
  </si>
  <si>
    <t>Sundaram Money Market Fund-Direct Plan - Growth*</t>
  </si>
  <si>
    <t>7.10% Central Government Securities 18/04/2029*</t>
  </si>
  <si>
    <t>7.23% Central Government Securities 15/04/2039*</t>
  </si>
  <si>
    <t>7.10% Central Government Securities 08/04/2034*</t>
  </si>
  <si>
    <t>7.38% Central Government Securities 20/06/2027*</t>
  </si>
  <si>
    <t>364 Days - T Bill - 04/12/2025*</t>
  </si>
  <si>
    <t>364 Days - T Bill - 22/01/2026*</t>
  </si>
  <si>
    <t>364 Days - T Bill - 05/02/2026*</t>
  </si>
  <si>
    <t>7.32% Government Securities-13/11/2030*</t>
  </si>
  <si>
    <t>7.37% Government Securities-23/10/2028*</t>
  </si>
  <si>
    <t>364 Days - T Bill - 11/09/2025*</t>
  </si>
  <si>
    <t>7.04% Central Government Securities 03/06/2029*</t>
  </si>
  <si>
    <t>SG9999013908</t>
  </si>
  <si>
    <t>Sundaram Global Brand Fund - Master Class</t>
  </si>
  <si>
    <t xml:space="preserve"> (a) Investments in Foreign Securities - Units of Mutual Funds</t>
  </si>
  <si>
    <t xml:space="preserve">                    MSCI ACWI TRI</t>
  </si>
  <si>
    <t>DERIVATIVES DISCLOSURE</t>
  </si>
  <si>
    <t>Disclosure regarding Derivative positions pursuant to SEBI Circular no CIR/IMD/DF/11/2010 dated August18,2010</t>
  </si>
  <si>
    <t>DETAILS OF INVESTMENTS IN DERIVATIVE INSTRUMENTS</t>
  </si>
  <si>
    <t>A. Hedging Positions through Futures as on August 31,2025 :</t>
  </si>
  <si>
    <t>Scheme Name</t>
  </si>
  <si>
    <t>Underlying</t>
  </si>
  <si>
    <t>Long/Short</t>
  </si>
  <si>
    <t>Futures Price When Purchased</t>
  </si>
  <si>
    <t>Current Price of the contract</t>
  </si>
  <si>
    <t>Margin maintained in       (Rs in Lakhs)*</t>
  </si>
  <si>
    <t>short</t>
  </si>
  <si>
    <t xml:space="preserve">Total percentage of existing assets hedged through futures as a percentage of net assets </t>
  </si>
  <si>
    <t>%</t>
  </si>
  <si>
    <t>For the period ended August 31,2025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</si>
  <si>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</si>
  <si>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</si>
  <si>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</si>
  <si>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</si>
  <si>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</si>
  <si>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Sundaram Multi Factor Fund</t>
  </si>
  <si>
    <t>B. Other than hedging positions through futures as on August 31,2025 : NIL</t>
  </si>
  <si>
    <t>For the period ended August 31,2025 following were the non-hedging transactions through futures which have been squared off / expired</t>
  </si>
  <si>
    <t>Gross Notional value of contracts where futures were sold      ( Rs. in Lakhs)</t>
  </si>
  <si>
    <t>Net Profit / (Loss) value on all contracts combined      (Rs. in lakhs)</t>
  </si>
  <si>
    <t>C. Hedging Positions through Put Options as on August 31,2025: NIL</t>
  </si>
  <si>
    <t>Call/Put</t>
  </si>
  <si>
    <t>Number of Contracts</t>
  </si>
  <si>
    <t>Option Price when purchased</t>
  </si>
  <si>
    <t>Current Option Price</t>
  </si>
  <si>
    <t>Total % of existing assets hedged through Put Options</t>
  </si>
  <si>
    <t xml:space="preserve"> </t>
  </si>
  <si>
    <t>For the period ended  July 31,2025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</si>
  <si>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</si>
  <si>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</si>
  <si>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</si>
  <si>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</si>
  <si>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August 31,2025 : NIL</t>
  </si>
  <si>
    <t xml:space="preserve">Total Exposure through Options other than hedging as a percentage of net assets </t>
  </si>
  <si>
    <t>For the period ended July 31,2025 , the following non hedging transactions through options which have been already exercised/expired</t>
  </si>
  <si>
    <t>Gross Notional value of contracts  bought(Rs. in Lakhs)</t>
  </si>
  <si>
    <t>Gross Notional value of contracts  sold (Rs. in Lakhs)</t>
  </si>
  <si>
    <t>E. Hedging Positions through Swaps as on August 31,2025:</t>
  </si>
  <si>
    <t>Scheme name</t>
  </si>
  <si>
    <t>Swap Type</t>
  </si>
  <si>
    <t>Underlying Security</t>
  </si>
  <si>
    <t>Long Position</t>
  </si>
  <si>
    <t>Short Position</t>
  </si>
  <si>
    <t>Notional Value (Rs. in lacs.)</t>
  </si>
  <si>
    <t>Maturity date</t>
  </si>
  <si>
    <t>Sundaram Ultra Short Duration  Fund</t>
  </si>
  <si>
    <t>Fixed to Float</t>
  </si>
  <si>
    <t>7.56% REC Ltd NCD MD 30-06-2026</t>
  </si>
  <si>
    <t>Receiving Floating</t>
  </si>
  <si>
    <t>Pay Fixed</t>
  </si>
  <si>
    <t>7.58%  NABARD- NCD-31-07-2026</t>
  </si>
  <si>
    <t>9.20% Shriram Finance Ltd 22 05 2026</t>
  </si>
  <si>
    <t>F. Hedging Positions through Interest Rate Futures as on August 31,2025: NIL</t>
  </si>
  <si>
    <t xml:space="preserve">Futures Price
When Purchased </t>
  </si>
  <si>
    <t>Current Price of
the contract</t>
  </si>
  <si>
    <t>Margin maintained
in (Rs. in Lakhs)</t>
  </si>
  <si>
    <t>Total percentage of existing assets hedged through Interest Rate Futures a Percentage of net assets</t>
  </si>
  <si>
    <t>For the period ended July 31,2025 following were the hedging transactions through Interest Rate Futures which have been squared off/ expired</t>
  </si>
  <si>
    <t>For the period ended July 31,2025 following were the Non Hedging transactions through Interest Rate Futures which have been squared off/ expired</t>
  </si>
  <si>
    <t>* Note: Margin maintained denotes security specific margin.</t>
  </si>
  <si>
    <t>31-Aug-2025</t>
  </si>
  <si>
    <t>i) Exposure to securities classified as below investment grade or default as on 31-Aug-2025</t>
  </si>
  <si>
    <t>% to AUM as on 31-Aug-2025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</si>
</sst>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
    <numFmt numFmtId="173" formatCode="[$-1014009]#,##0.00;\(#,##0.00\)"/>
    <numFmt numFmtId="174" formatCode="_(* #,##0_);_(* \(#,##0\);_(* &quot;-&quot;??_);_(@_)"/>
    <numFmt numFmtId="175" formatCode="#,##0.0000;\(#,##0.0000\)"/>
    <numFmt numFmtId="176" formatCode="_(* #,##0.000_);_(* \(#,##0.000\);_(* &quot;-&quot;??_);_(@_)"/>
    <numFmt numFmtId="177" formatCode="[$-1014009]#,##0.000;\-#,##0.000"/>
  </numFmts>
  <fonts count="32" x14ac:knownFonts="1">
    <font>
      <sz val="10"/>
      <name val="Arial"/>
      <charset val="1"/>
    </font>
    <font>
      <sz val="11"/>
      <color theme="1"/>
      <name val="Aptos Narrow"/>
      <family val="2"/>
      <scheme val="minor"/>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u/>
      <sz val="10"/>
      <color theme="10"/>
      <name val="Arial"/>
      <family val="2"/>
    </font>
    <font>
      <sz val="10"/>
      <name val="Arial"/>
      <family val="2"/>
    </font>
    <font>
      <b/>
      <sz val="11"/>
      <name val="Aptos Narrow"/>
      <family val="2"/>
      <scheme val="minor"/>
    </font>
    <font>
      <sz val="10"/>
      <name val="Arial"/>
      <family val="2"/>
    </font>
    <font>
      <sz val="11"/>
      <name val="Aptos Narrow"/>
      <family val="2"/>
      <scheme val="minor"/>
    </font>
    <font>
      <u/>
      <sz val="11"/>
      <color theme="10"/>
      <name val="Aptos Narrow"/>
      <family val="2"/>
      <scheme val="minor"/>
    </font>
    <font>
      <b/>
      <i/>
      <sz val="10"/>
      <color indexed="8"/>
      <name val="Calibri"/>
      <family val="2"/>
    </font>
    <font>
      <b/>
      <sz val="10"/>
      <name val="Arial"/>
      <family val="2"/>
    </font>
    <font>
      <sz val="10"/>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sz val="10"/>
      <color theme="1"/>
      <name val="Calibri"/>
      <family val="2"/>
    </font>
    <font>
      <b/>
      <sz val="10"/>
      <name val="Calibri"/>
      <family val="2"/>
    </font>
    <font>
      <sz val="10"/>
      <name val="Aptos Narrow"/>
      <family val="2"/>
      <scheme val="minor"/>
    </font>
    <font>
      <b/>
      <sz val="10"/>
      <color theme="1"/>
      <name val="Arial"/>
      <family val="2"/>
    </font>
    <font>
      <b/>
      <sz val="10"/>
      <color theme="1"/>
      <name val="Tahoma"/>
      <family val="2"/>
    </font>
    <font>
      <b/>
      <sz val="10"/>
      <color rgb="FF000000"/>
      <name val="Tahoma"/>
      <family val="2"/>
    </font>
  </fonts>
  <fills count="2">
    <fill>
      <patternFill patternType="none"/>
    </fill>
    <fill>
      <patternFill patternType="gray125"/>
    </fill>
  </fills>
  <borders count="2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5">
    <xf numFmtId="0" fontId="0" fillId="0" borderId="0">
      <alignment wrapText="1"/>
    </xf>
    <xf numFmtId="0" fontId="8" fillId="0" borderId="0" applyNumberFormat="0" applyFill="0" applyBorder="0" applyAlignment="0" applyProtection="0">
      <alignment wrapText="1"/>
    </xf>
    <xf numFmtId="0" fontId="12" fillId="0" borderId="0" applyNumberFormat="0" applyFill="0" applyBorder="0" applyAlignment="0" applyProtection="0">
      <alignment wrapText="1"/>
    </xf>
    <xf numFmtId="164" fontId="13" fillId="0" borderId="0" applyFont="0" applyFill="0" applyBorder="0" applyAlignment="0" applyProtection="0"/>
    <xf numFmtId="9" fontId="13" fillId="0" borderId="0" applyFont="0" applyFill="0" applyBorder="0" applyAlignment="0" applyProtection="0"/>
    <xf numFmtId="0" fontId="2" fillId="0" borderId="0"/>
    <xf numFmtId="0" fontId="15" fillId="0" borderId="0">
      <alignment wrapText="1"/>
    </xf>
    <xf numFmtId="0" fontId="2" fillId="0" borderId="0"/>
    <xf numFmtId="0" fontId="15" fillId="0" borderId="0">
      <alignment wrapText="1"/>
    </xf>
    <xf numFmtId="164" fontId="2" fillId="0" borderId="0" applyFont="0" applyFill="0" applyBorder="0" applyAlignment="0" applyProtection="0"/>
    <xf numFmtId="9" fontId="24" fillId="0" borderId="0" applyFont="0" applyFill="0" applyBorder="0" applyAlignment="0" applyProtection="0"/>
    <xf numFmtId="0" fontId="15" fillId="0" borderId="0">
      <alignment wrapText="1"/>
    </xf>
    <xf numFmtId="0" fontId="1" fillId="0" borderId="0"/>
    <xf numFmtId="0" fontId="13" fillId="0" borderId="0"/>
    <xf numFmtId="43" fontId="24" fillId="0" borderId="0" applyFont="0" applyFill="0" applyBorder="0" applyAlignment="0" applyProtection="0"/>
  </cellStyleXfs>
  <cellXfs count="243">
    <xf numFmtId="0" fontId="0" fillId="0" borderId="0" xfId="0">
      <alignment wrapText="1"/>
    </xf>
    <xf numFmtId="0" fontId="9" fillId="0" borderId="0" xfId="1" applyFont="1" applyFill="1" applyBorder="1" applyAlignment="1">
      <alignment horizontal="center" vertical="center" wrapText="1"/>
    </xf>
    <xf numFmtId="0" fontId="14" fillId="0" borderId="8" xfId="5" applyFont="1" applyBorder="1" applyAlignment="1">
      <alignment horizontal="center" vertical="center"/>
    </xf>
    <xf numFmtId="0" fontId="16" fillId="0" borderId="0" xfId="6" applyFont="1">
      <alignment wrapText="1"/>
    </xf>
    <xf numFmtId="0" fontId="16" fillId="0" borderId="8" xfId="6" applyFont="1" applyBorder="1" applyAlignment="1">
      <alignment horizontal="center" wrapText="1"/>
    </xf>
    <xf numFmtId="0" fontId="17" fillId="0" borderId="8" xfId="1" applyFont="1" applyBorder="1" applyAlignment="1"/>
    <xf numFmtId="0" fontId="16" fillId="0" borderId="8" xfId="6" applyFont="1" applyBorder="1" applyAlignment="1"/>
    <xf numFmtId="0" fontId="8" fillId="0" borderId="8" xfId="1" applyBorder="1" applyAlignment="1"/>
    <xf numFmtId="0" fontId="12" fillId="0" borderId="8" xfId="2" applyBorder="1" applyAlignment="1"/>
    <xf numFmtId="164" fontId="23" fillId="0" borderId="8" xfId="9" applyFont="1" applyFill="1" applyBorder="1"/>
    <xf numFmtId="4" fontId="23" fillId="0" borderId="8" xfId="10" applyNumberFormat="1" applyFont="1" applyFill="1" applyBorder="1"/>
    <xf numFmtId="0" fontId="8" fillId="0" borderId="0" xfId="1" applyFill="1" applyAlignment="1"/>
    <xf numFmtId="174" fontId="21" fillId="0" borderId="0" xfId="3" applyNumberFormat="1" applyFont="1" applyFill="1"/>
    <xf numFmtId="164" fontId="21" fillId="0" borderId="0" xfId="3" applyFont="1" applyFill="1"/>
    <xf numFmtId="10" fontId="21" fillId="0" borderId="0" xfId="4" applyNumberFormat="1" applyFont="1" applyFill="1" applyBorder="1" applyAlignment="1">
      <alignment vertical="center"/>
    </xf>
    <xf numFmtId="4" fontId="20" fillId="0" borderId="8" xfId="9" applyNumberFormat="1" applyFont="1" applyFill="1" applyBorder="1" applyAlignment="1">
      <alignment horizontal="center" vertical="center"/>
    </xf>
    <xf numFmtId="10" fontId="20" fillId="0" borderId="8" xfId="9" applyNumberFormat="1" applyFont="1" applyFill="1" applyBorder="1" applyAlignment="1">
      <alignment horizontal="center" vertical="center"/>
    </xf>
    <xf numFmtId="4" fontId="28" fillId="0" borderId="8" xfId="9" applyNumberFormat="1" applyFont="1" applyFill="1" applyBorder="1" applyAlignment="1">
      <alignment horizontal="center" vertical="center"/>
    </xf>
    <xf numFmtId="10" fontId="28" fillId="0" borderId="8" xfId="9" applyNumberFormat="1" applyFont="1" applyFill="1" applyBorder="1" applyAlignment="1">
      <alignment horizontal="center" vertical="center"/>
    </xf>
    <xf numFmtId="174" fontId="23" fillId="0" borderId="0" xfId="3" applyNumberFormat="1" applyFont="1" applyFill="1"/>
    <xf numFmtId="164" fontId="23" fillId="0" borderId="0" xfId="3" applyFont="1" applyFill="1"/>
    <xf numFmtId="164" fontId="28" fillId="0" borderId="17" xfId="9" applyFont="1" applyFill="1" applyBorder="1" applyAlignment="1">
      <alignment horizontal="right" vertical="center"/>
    </xf>
    <xf numFmtId="164" fontId="28" fillId="0" borderId="17" xfId="9" applyFont="1" applyFill="1" applyBorder="1" applyAlignment="1">
      <alignment horizontal="center" vertical="center"/>
    </xf>
    <xf numFmtId="0" fontId="28" fillId="0" borderId="0" xfId="12" applyFont="1"/>
    <xf numFmtId="0" fontId="25" fillId="0" borderId="0" xfId="12" applyFont="1"/>
    <xf numFmtId="0" fontId="25" fillId="0" borderId="17" xfId="12" applyFont="1" applyBorder="1" applyAlignment="1">
      <alignment horizontal="center" vertical="top"/>
    </xf>
    <xf numFmtId="0" fontId="25" fillId="0" borderId="17" xfId="12" applyFont="1" applyBorder="1" applyAlignment="1">
      <alignment horizontal="center" vertical="top" wrapText="1"/>
    </xf>
    <xf numFmtId="0" fontId="28" fillId="0" borderId="17" xfId="12" applyFont="1" applyBorder="1" applyAlignment="1">
      <alignment horizontal="left" vertical="top"/>
    </xf>
    <xf numFmtId="0" fontId="28" fillId="0" borderId="17" xfId="12" applyFont="1" applyBorder="1" applyAlignment="1">
      <alignment horizontal="center" vertical="top"/>
    </xf>
    <xf numFmtId="173" fontId="3" fillId="0" borderId="18" xfId="13" applyNumberFormat="1" applyFont="1" applyBorder="1" applyAlignment="1">
      <alignment horizontal="center" vertical="center" wrapText="1" readingOrder="1"/>
    </xf>
    <xf numFmtId="2" fontId="3" fillId="0" borderId="18" xfId="13" applyNumberFormat="1" applyFont="1" applyBorder="1" applyAlignment="1">
      <alignment horizontal="center" vertical="center" wrapText="1" readingOrder="1"/>
    </xf>
    <xf numFmtId="2" fontId="28" fillId="0" borderId="19" xfId="12" applyNumberFormat="1" applyFont="1" applyBorder="1" applyAlignment="1">
      <alignment horizontal="center" vertical="top" wrapText="1"/>
    </xf>
    <xf numFmtId="2" fontId="28" fillId="0" borderId="0" xfId="12" applyNumberFormat="1" applyFont="1"/>
    <xf numFmtId="0" fontId="28" fillId="0" borderId="19" xfId="12" applyFont="1" applyBorder="1" applyAlignment="1">
      <alignment horizontal="left" vertical="top"/>
    </xf>
    <xf numFmtId="0" fontId="28" fillId="0" borderId="19" xfId="12" applyFont="1" applyBorder="1" applyAlignment="1">
      <alignment horizontal="center" vertical="top"/>
    </xf>
    <xf numFmtId="0" fontId="25" fillId="0" borderId="19" xfId="12" applyFont="1" applyBorder="1" applyAlignment="1">
      <alignment horizontal="center" vertical="top"/>
    </xf>
    <xf numFmtId="0" fontId="25" fillId="0" borderId="19" xfId="12" applyFont="1" applyBorder="1" applyAlignment="1">
      <alignment horizontal="center" vertical="top" wrapText="1"/>
    </xf>
    <xf numFmtId="173" fontId="3" fillId="0" borderId="19" xfId="13" applyNumberFormat="1" applyFont="1" applyBorder="1" applyAlignment="1">
      <alignment horizontal="center" vertical="center" wrapText="1" readingOrder="1"/>
    </xf>
    <xf numFmtId="2" fontId="3" fillId="0" borderId="19" xfId="13" applyNumberFormat="1" applyFont="1" applyBorder="1" applyAlignment="1">
      <alignment horizontal="center" vertical="center" wrapText="1" readingOrder="1"/>
    </xf>
    <xf numFmtId="173" fontId="28" fillId="0" borderId="0" xfId="12" applyNumberFormat="1" applyFont="1"/>
    <xf numFmtId="0" fontId="25" fillId="0" borderId="19" xfId="12" applyFont="1" applyBorder="1" applyAlignment="1">
      <alignment horizontal="center"/>
    </xf>
    <xf numFmtId="2" fontId="28" fillId="0" borderId="19" xfId="12" applyNumberFormat="1" applyFont="1" applyBorder="1" applyAlignment="1">
      <alignment horizontal="center"/>
    </xf>
    <xf numFmtId="0" fontId="28" fillId="0" borderId="19" xfId="12" applyFont="1" applyBorder="1"/>
    <xf numFmtId="37" fontId="28" fillId="0" borderId="19" xfId="14" applyNumberFormat="1" applyFont="1" applyFill="1" applyBorder="1" applyAlignment="1">
      <alignment horizontal="center"/>
    </xf>
    <xf numFmtId="39" fontId="28" fillId="0" borderId="19" xfId="14" applyNumberFormat="1" applyFont="1" applyFill="1" applyBorder="1" applyAlignment="1">
      <alignment horizontal="center"/>
    </xf>
    <xf numFmtId="43" fontId="28" fillId="0" borderId="0" xfId="14" applyFont="1" applyFill="1" applyBorder="1"/>
    <xf numFmtId="43" fontId="28" fillId="0" borderId="0" xfId="12" applyNumberFormat="1" applyFont="1"/>
    <xf numFmtId="4" fontId="28" fillId="0" borderId="0" xfId="12" applyNumberFormat="1" applyFont="1"/>
    <xf numFmtId="0" fontId="28" fillId="0" borderId="0" xfId="12" applyFont="1" applyAlignment="1">
      <alignment horizontal="left" vertical="top"/>
    </xf>
    <xf numFmtId="173" fontId="3" fillId="0" borderId="0" xfId="12" applyNumberFormat="1" applyFont="1" applyAlignment="1">
      <alignment horizontal="center" vertical="center" wrapText="1" readingOrder="1"/>
    </xf>
    <xf numFmtId="39" fontId="28" fillId="0" borderId="0" xfId="12" applyNumberFormat="1" applyFont="1"/>
    <xf numFmtId="174" fontId="28" fillId="0" borderId="19" xfId="14" applyNumberFormat="1" applyFont="1" applyFill="1" applyBorder="1" applyAlignment="1">
      <alignment horizontal="left" vertical="top"/>
    </xf>
    <xf numFmtId="0" fontId="28" fillId="0" borderId="19" xfId="12" applyFont="1" applyBorder="1" applyAlignment="1">
      <alignment horizontal="center" vertical="top" wrapText="1"/>
    </xf>
    <xf numFmtId="37" fontId="28" fillId="0" borderId="0" xfId="12" applyNumberFormat="1" applyFont="1"/>
    <xf numFmtId="0" fontId="25" fillId="0" borderId="0" xfId="12" applyFont="1" applyAlignment="1">
      <alignment vertical="top" wrapText="1"/>
    </xf>
    <xf numFmtId="0" fontId="28" fillId="0" borderId="0" xfId="12" applyFont="1" applyAlignment="1">
      <alignment horizontal="center"/>
    </xf>
    <xf numFmtId="2" fontId="28" fillId="0" borderId="0" xfId="12" applyNumberFormat="1" applyFont="1" applyAlignment="1">
      <alignment horizontal="right"/>
    </xf>
    <xf numFmtId="0" fontId="28" fillId="0" borderId="0" xfId="12" applyFont="1" applyAlignment="1">
      <alignment horizontal="right" vertical="top" wrapText="1"/>
    </xf>
    <xf numFmtId="175" fontId="28" fillId="0" borderId="0" xfId="12" applyNumberFormat="1" applyFont="1" applyAlignment="1">
      <alignment horizontal="right" vertical="top" wrapText="1"/>
    </xf>
    <xf numFmtId="2" fontId="28" fillId="0" borderId="0" xfId="12" applyNumberFormat="1" applyFont="1" applyAlignment="1">
      <alignment horizontal="center"/>
    </xf>
    <xf numFmtId="10" fontId="28" fillId="0" borderId="0" xfId="12" applyNumberFormat="1" applyFont="1" applyAlignment="1">
      <alignment horizontal="center"/>
    </xf>
    <xf numFmtId="0" fontId="28" fillId="0" borderId="19" xfId="12" applyFont="1" applyBorder="1" applyAlignment="1">
      <alignment horizontal="left"/>
    </xf>
    <xf numFmtId="43" fontId="28" fillId="0" borderId="19" xfId="14" applyFont="1" applyFill="1" applyBorder="1" applyAlignment="1">
      <alignment horizontal="center" vertical="top" wrapText="1"/>
    </xf>
    <xf numFmtId="0" fontId="28" fillId="0" borderId="0" xfId="12" applyFont="1" applyAlignment="1">
      <alignment horizontal="left"/>
    </xf>
    <xf numFmtId="0" fontId="28" fillId="0" borderId="0" xfId="12" applyFont="1" applyAlignment="1">
      <alignment horizontal="right" vertical="top"/>
    </xf>
    <xf numFmtId="2" fontId="28" fillId="0" borderId="0" xfId="12" applyNumberFormat="1" applyFont="1" applyAlignment="1">
      <alignment horizontal="right" vertical="top"/>
    </xf>
    <xf numFmtId="176" fontId="28" fillId="0" borderId="0" xfId="14" applyNumberFormat="1" applyFont="1" applyFill="1" applyBorder="1" applyAlignment="1">
      <alignment horizontal="center" vertical="top" wrapText="1"/>
    </xf>
    <xf numFmtId="0" fontId="28" fillId="0" borderId="0" xfId="12" applyFont="1" applyAlignment="1" applyProtection="1">
      <alignment horizontal="left"/>
      <protection locked="0"/>
    </xf>
    <xf numFmtId="0" fontId="28" fillId="0" borderId="0" xfId="12" applyFont="1" applyAlignment="1">
      <alignment horizontal="left" vertical="top" wrapText="1"/>
    </xf>
    <xf numFmtId="174" fontId="28" fillId="0" borderId="0" xfId="14" applyNumberFormat="1" applyFont="1" applyFill="1" applyBorder="1" applyAlignment="1">
      <alignment horizontal="right" vertical="top" wrapText="1"/>
    </xf>
    <xf numFmtId="4" fontId="28" fillId="0" borderId="0" xfId="14" applyNumberFormat="1" applyFont="1" applyFill="1" applyBorder="1"/>
    <xf numFmtId="0" fontId="29" fillId="0" borderId="19" xfId="12" applyFont="1" applyBorder="1"/>
    <xf numFmtId="0" fontId="30" fillId="0" borderId="19" xfId="12" applyFont="1" applyBorder="1" applyAlignment="1">
      <alignment horizontal="left" wrapText="1"/>
    </xf>
    <xf numFmtId="0" fontId="31" fillId="0" borderId="19" xfId="12" applyFont="1" applyBorder="1" applyAlignment="1">
      <alignment horizontal="left" wrapText="1"/>
    </xf>
    <xf numFmtId="43" fontId="28" fillId="0" borderId="19" xfId="14" applyFont="1" applyFill="1" applyBorder="1" applyAlignment="1">
      <alignment horizontal="left" vertical="top"/>
    </xf>
    <xf numFmtId="14" fontId="28" fillId="0" borderId="19" xfId="14" applyNumberFormat="1" applyFont="1" applyFill="1" applyBorder="1" applyAlignment="1">
      <alignment horizontal="center" vertical="top"/>
    </xf>
    <xf numFmtId="43" fontId="28" fillId="0" borderId="19" xfId="14" applyFont="1" applyFill="1" applyBorder="1" applyAlignment="1"/>
    <xf numFmtId="0" fontId="28" fillId="0" borderId="19" xfId="12" applyFont="1" applyBorder="1" applyAlignment="1">
      <alignment horizontal="center"/>
    </xf>
    <xf numFmtId="4" fontId="28" fillId="0" borderId="19" xfId="12" applyNumberFormat="1" applyFont="1" applyBorder="1" applyAlignment="1">
      <alignment horizontal="center"/>
    </xf>
    <xf numFmtId="4" fontId="28" fillId="0" borderId="19" xfId="14" applyNumberFormat="1" applyFont="1" applyFill="1" applyBorder="1" applyAlignment="1">
      <alignment horizontal="center"/>
    </xf>
    <xf numFmtId="4" fontId="25" fillId="0" borderId="19" xfId="12" applyNumberFormat="1" applyFont="1" applyBorder="1" applyAlignment="1">
      <alignment horizontal="center" vertical="top" wrapText="1"/>
    </xf>
    <xf numFmtId="4" fontId="28" fillId="0" borderId="19" xfId="12" applyNumberFormat="1" applyFont="1" applyBorder="1" applyAlignment="1">
      <alignment horizontal="center" vertical="top" wrapText="1"/>
    </xf>
    <xf numFmtId="0" fontId="7" fillId="0" borderId="9" xfId="0" applyFont="1" applyBorder="1" applyAlignment="1">
      <alignment horizontal="center" vertical="center" wrapText="1" readingOrder="1"/>
    </xf>
    <xf numFmtId="0" fontId="7" fillId="0" borderId="7" xfId="0" applyFont="1" applyBorder="1" applyAlignment="1">
      <alignment horizontal="center" vertical="center" wrapText="1" readingOrder="1"/>
    </xf>
    <xf numFmtId="0" fontId="0" fillId="0" borderId="0" xfId="0" applyAlignment="1">
      <alignment horizontal="center" vertical="center" wrapText="1"/>
    </xf>
    <xf numFmtId="0" fontId="10" fillId="0" borderId="4" xfId="0" applyFont="1" applyBorder="1" applyAlignment="1">
      <alignment horizontal="right" vertical="top" wrapText="1" readingOrder="1"/>
    </xf>
    <xf numFmtId="0" fontId="11" fillId="0" borderId="4" xfId="0" applyFont="1" applyBorder="1" applyAlignment="1">
      <alignment horizontal="left" vertical="center" wrapText="1" readingOrder="1"/>
    </xf>
    <xf numFmtId="167" fontId="10" fillId="0" borderId="8"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6" fontId="3"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168" fontId="3" fillId="0" borderId="4" xfId="0" applyNumberFormat="1" applyFont="1" applyBorder="1" applyAlignment="1">
      <alignment horizontal="right"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0" fontId="4" fillId="0" borderId="4" xfId="0" applyFont="1" applyBorder="1" applyAlignment="1">
      <alignment horizontal="right" vertical="center" wrapText="1" readingOrder="1"/>
    </xf>
    <xf numFmtId="0" fontId="3" fillId="0" borderId="4" xfId="0" applyFont="1" applyBorder="1" applyAlignment="1">
      <alignment horizontal="right" vertical="center" wrapText="1" readingOrder="1"/>
    </xf>
    <xf numFmtId="169"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18" fillId="0" borderId="0" xfId="0" applyFont="1" applyAlignment="1">
      <alignment horizontal="left" vertical="center" wrapText="1" readingOrder="1"/>
    </xf>
    <xf numFmtId="0" fontId="10" fillId="0" borderId="0" xfId="0" applyFont="1" applyAlignment="1">
      <alignment horizontal="left" vertical="center" wrapText="1" readingOrder="1"/>
    </xf>
    <xf numFmtId="0" fontId="19" fillId="0" borderId="0" xfId="0" applyFont="1" applyAlignment="1">
      <alignment horizontal="center" vertical="center" wrapText="1"/>
    </xf>
    <xf numFmtId="0" fontId="18" fillId="0" borderId="0" xfId="5" applyFont="1" applyAlignment="1">
      <alignment horizontal="left" vertical="center" wrapText="1" readingOrder="1"/>
    </xf>
    <xf numFmtId="0" fontId="2" fillId="0" borderId="0" xfId="5" applyAlignment="1">
      <alignment wrapText="1"/>
    </xf>
    <xf numFmtId="0" fontId="18" fillId="0" borderId="0" xfId="0" applyFont="1" applyAlignment="1">
      <alignment horizontal="right" vertical="center" wrapText="1" readingOrder="1"/>
    </xf>
    <xf numFmtId="0" fontId="18" fillId="0" borderId="6" xfId="0" applyFont="1" applyBorder="1" applyAlignment="1">
      <alignment horizontal="right" vertical="center" wrapText="1" readingOrder="1"/>
    </xf>
    <xf numFmtId="0" fontId="18" fillId="0" borderId="4" xfId="0" applyFont="1" applyBorder="1" applyAlignment="1">
      <alignment horizontal="right" vertical="center" wrapText="1" readingOrder="1"/>
    </xf>
    <xf numFmtId="0" fontId="10" fillId="0" borderId="0" xfId="0" applyFont="1" applyAlignment="1">
      <alignment horizontal="right" vertical="top" wrapText="1" readingOrder="1"/>
    </xf>
    <xf numFmtId="0" fontId="11" fillId="0" borderId="4" xfId="0" applyFont="1" applyBorder="1" applyAlignment="1">
      <alignment horizontal="right" vertical="top" wrapText="1" readingOrder="1"/>
    </xf>
    <xf numFmtId="0" fontId="11" fillId="0" borderId="4" xfId="0" applyFont="1" applyBorder="1" applyAlignment="1">
      <alignment horizontal="center" vertical="top" wrapText="1" readingOrder="1"/>
    </xf>
    <xf numFmtId="15" fontId="11" fillId="0" borderId="4" xfId="0" applyNumberFormat="1" applyFont="1" applyBorder="1" applyAlignment="1">
      <alignment horizontal="right" vertical="top" wrapText="1" readingOrder="1"/>
    </xf>
    <xf numFmtId="0" fontId="3" fillId="0" borderId="0" xfId="0" applyFont="1" applyAlignment="1">
      <alignment horizontal="right" vertical="top" wrapText="1" readingOrder="1"/>
    </xf>
    <xf numFmtId="170"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0" fillId="0" borderId="0" xfId="0" applyAlignment="1">
      <alignment horizontal="center" vertical="top" readingOrder="1"/>
    </xf>
    <xf numFmtId="0" fontId="10" fillId="0" borderId="6" xfId="0" applyFont="1" applyBorder="1" applyAlignment="1">
      <alignment horizontal="right" vertical="top" wrapText="1" readingOrder="1"/>
    </xf>
    <xf numFmtId="171" fontId="11" fillId="0" borderId="4" xfId="0" applyNumberFormat="1" applyFont="1" applyBorder="1" applyAlignment="1">
      <alignment horizontal="left" vertical="center" wrapText="1" readingOrder="1"/>
    </xf>
    <xf numFmtId="0" fontId="10" fillId="0" borderId="0" xfId="0" applyFont="1" applyAlignment="1">
      <alignment horizontal="right" vertical="center" wrapText="1" readingOrder="1"/>
    </xf>
    <xf numFmtId="0" fontId="19" fillId="0" borderId="0" xfId="0" applyFont="1" applyAlignment="1"/>
    <xf numFmtId="0" fontId="0" fillId="0" borderId="0" xfId="0" applyAlignment="1"/>
    <xf numFmtId="172" fontId="3" fillId="0" borderId="4" xfId="0" applyNumberFormat="1" applyFont="1" applyBorder="1" applyAlignment="1">
      <alignment horizontal="right" vertical="center" wrapText="1" readingOrder="1"/>
    </xf>
    <xf numFmtId="0" fontId="10" fillId="0" borderId="4" xfId="0" applyFont="1" applyBorder="1" applyAlignment="1">
      <alignment horizontal="left" vertical="center" wrapText="1" readingOrder="1"/>
    </xf>
    <xf numFmtId="0" fontId="20" fillId="0" borderId="8" xfId="0" applyFont="1" applyBorder="1" applyAlignment="1">
      <alignment horizontal="center" vertical="center" wrapText="1"/>
    </xf>
    <xf numFmtId="0" fontId="20" fillId="0" borderId="8" xfId="0" applyFont="1" applyBorder="1">
      <alignment wrapText="1"/>
    </xf>
    <xf numFmtId="0" fontId="20" fillId="0" borderId="8" xfId="0" applyFont="1" applyBorder="1" applyAlignment="1">
      <alignment horizontal="justify" vertical="center" wrapText="1"/>
    </xf>
    <xf numFmtId="173" fontId="11" fillId="0" borderId="4" xfId="0" applyNumberFormat="1" applyFont="1" applyBorder="1" applyAlignment="1">
      <alignment horizontal="left" vertical="center" wrapText="1" readingOrder="1"/>
    </xf>
    <xf numFmtId="14" fontId="20" fillId="0" borderId="8" xfId="0" quotePrefix="1" applyNumberFormat="1" applyFont="1" applyBorder="1" applyAlignment="1">
      <alignment horizontal="justify" vertical="center" wrapText="1"/>
    </xf>
    <xf numFmtId="167" fontId="11" fillId="0" borderId="4" xfId="0" applyNumberFormat="1" applyFont="1" applyBorder="1" applyAlignment="1">
      <alignment horizontal="left" vertical="center" wrapText="1" readingOrder="1"/>
    </xf>
    <xf numFmtId="0" fontId="15" fillId="0" borderId="0" xfId="0" applyFont="1" applyAlignment="1"/>
    <xf numFmtId="0" fontId="20" fillId="0" borderId="0" xfId="0" applyFont="1" applyAlignment="1"/>
    <xf numFmtId="0" fontId="23" fillId="0" borderId="0" xfId="0" applyFont="1" applyAlignment="1"/>
    <xf numFmtId="0" fontId="22" fillId="0" borderId="17" xfId="0" applyFont="1" applyBorder="1" applyAlignment="1">
      <alignment horizontal="center" wrapText="1"/>
    </xf>
    <xf numFmtId="0" fontId="28" fillId="0" borderId="17" xfId="0" applyFont="1" applyBorder="1" applyAlignment="1">
      <alignment horizontal="left" vertical="center"/>
    </xf>
    <xf numFmtId="0" fontId="28" fillId="0" borderId="17" xfId="0" applyFont="1" applyBorder="1" applyAlignment="1">
      <alignment horizontal="center" vertical="center"/>
    </xf>
    <xf numFmtId="4" fontId="28" fillId="0" borderId="17" xfId="0" applyNumberFormat="1" applyFont="1" applyBorder="1" applyAlignment="1">
      <alignment horizontal="right" vertical="center"/>
    </xf>
    <xf numFmtId="0" fontId="22" fillId="0" borderId="8" xfId="0" applyFont="1" applyBorder="1" applyAlignment="1">
      <alignment horizontal="center" vertical="center" wrapText="1"/>
    </xf>
    <xf numFmtId="0" fontId="28" fillId="0" borderId="8" xfId="0" applyFont="1" applyBorder="1" applyAlignment="1">
      <alignment horizontal="left" vertical="center"/>
    </xf>
    <xf numFmtId="0" fontId="28" fillId="0" borderId="8" xfId="0" applyFont="1" applyBorder="1" applyAlignment="1">
      <alignment horizontal="center" vertical="center"/>
    </xf>
    <xf numFmtId="4" fontId="28" fillId="0" borderId="8" xfId="0" applyNumberFormat="1" applyFont="1" applyBorder="1" applyAlignment="1">
      <alignment horizontal="center" vertical="center"/>
    </xf>
    <xf numFmtId="164" fontId="18" fillId="0" borderId="6" xfId="3" applyFont="1" applyFill="1" applyBorder="1" applyAlignment="1">
      <alignment horizontal="right" vertical="center" wrapText="1" readingOrder="1"/>
    </xf>
    <xf numFmtId="2" fontId="18" fillId="0" borderId="0" xfId="0" applyNumberFormat="1" applyFont="1" applyAlignment="1">
      <alignment horizontal="right" vertical="center" wrapText="1" readingOrder="1"/>
    </xf>
    <xf numFmtId="0" fontId="20" fillId="0" borderId="8" xfId="0" applyFont="1" applyBorder="1" applyAlignment="1">
      <alignment horizontal="justify" vertical="center"/>
    </xf>
    <xf numFmtId="165" fontId="10" fillId="0" borderId="4" xfId="0" applyNumberFormat="1" applyFont="1" applyBorder="1" applyAlignment="1">
      <alignment horizontal="right" vertical="center" wrapText="1" readingOrder="1"/>
    </xf>
    <xf numFmtId="166" fontId="10" fillId="0" borderId="4" xfId="0" applyNumberFormat="1" applyFont="1" applyBorder="1" applyAlignment="1">
      <alignment horizontal="right" vertical="center" wrapText="1" readingOrder="1"/>
    </xf>
    <xf numFmtId="167" fontId="10" fillId="0" borderId="4" xfId="0" applyNumberFormat="1" applyFont="1" applyBorder="1" applyAlignment="1">
      <alignment horizontal="right" vertical="center" wrapText="1" readingOrder="1"/>
    </xf>
    <xf numFmtId="168" fontId="20" fillId="0" borderId="4" xfId="0" applyNumberFormat="1" applyFont="1" applyBorder="1" applyAlignment="1">
      <alignment horizontal="right" vertical="center" wrapText="1" readingOrder="1"/>
    </xf>
    <xf numFmtId="0" fontId="20" fillId="0" borderId="0" xfId="0" applyFont="1">
      <alignment wrapText="1"/>
    </xf>
    <xf numFmtId="0" fontId="21" fillId="0" borderId="0" xfId="0" applyFont="1" applyAlignment="1"/>
    <xf numFmtId="0" fontId="26" fillId="0" borderId="8" xfId="0" applyFont="1" applyBorder="1" applyAlignment="1">
      <alignment horizontal="left" wrapText="1"/>
    </xf>
    <xf numFmtId="0" fontId="26" fillId="0" borderId="8" xfId="0" applyFont="1" applyBorder="1" applyAlignment="1">
      <alignment horizontal="center" wrapText="1"/>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4" fontId="20" fillId="0" borderId="8" xfId="0" applyNumberFormat="1" applyFont="1" applyBorder="1" applyAlignment="1">
      <alignment horizontal="center" vertical="center"/>
    </xf>
    <xf numFmtId="0" fontId="18" fillId="0" borderId="4" xfId="0" applyFont="1" applyBorder="1" applyAlignment="1">
      <alignment horizontal="left" vertical="center" wrapText="1" readingOrder="1"/>
    </xf>
    <xf numFmtId="168" fontId="10" fillId="0" borderId="4" xfId="0" applyNumberFormat="1" applyFont="1" applyBorder="1" applyAlignment="1">
      <alignment horizontal="right" vertical="center" wrapText="1" readingOrder="1"/>
    </xf>
    <xf numFmtId="167" fontId="11" fillId="0" borderId="4" xfId="0" applyNumberFormat="1" applyFont="1" applyBorder="1" applyAlignment="1">
      <alignment horizontal="right" vertical="center" wrapText="1" readingOrder="1"/>
    </xf>
    <xf numFmtId="168" fontId="11"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7" fontId="3" fillId="0" borderId="4" xfId="0" applyNumberFormat="1" applyFont="1" applyBorder="1" applyAlignment="1">
      <alignment horizontal="righ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10" fontId="0" fillId="0" borderId="0" xfId="4" applyNumberFormat="1" applyFont="1" applyFill="1" applyAlignment="1">
      <alignment wrapText="1"/>
    </xf>
    <xf numFmtId="0" fontId="11" fillId="0" borderId="4" xfId="11" applyFont="1" applyBorder="1" applyAlignment="1">
      <alignment horizontal="left" vertical="center" wrapText="1" readingOrder="1"/>
    </xf>
    <xf numFmtId="0" fontId="0" fillId="0" borderId="0" xfId="0" applyAlignment="1">
      <alignment vertical="center" wrapText="1"/>
    </xf>
    <xf numFmtId="0" fontId="15" fillId="0" borderId="0" xfId="8">
      <alignment wrapText="1"/>
    </xf>
    <xf numFmtId="0" fontId="22" fillId="0" borderId="8" xfId="7" applyFont="1" applyBorder="1" applyAlignment="1">
      <alignment horizontal="center" vertical="center" wrapText="1"/>
    </xf>
    <xf numFmtId="0" fontId="23" fillId="0" borderId="8" xfId="7" applyFont="1" applyBorder="1"/>
    <xf numFmtId="0" fontId="23" fillId="0" borderId="8" xfId="7" applyFont="1" applyBorder="1" applyAlignment="1">
      <alignment wrapText="1"/>
    </xf>
    <xf numFmtId="4" fontId="20" fillId="0" borderId="8" xfId="0" applyNumberFormat="1" applyFont="1" applyBorder="1" applyAlignment="1">
      <alignment vertical="center"/>
    </xf>
    <xf numFmtId="43" fontId="23" fillId="0" borderId="8" xfId="7" applyNumberFormat="1" applyFont="1" applyBorder="1"/>
    <xf numFmtId="0" fontId="20" fillId="0" borderId="0" xfId="0" applyFont="1" applyAlignment="1">
      <alignment vertical="center" wrapText="1"/>
    </xf>
    <xf numFmtId="0" fontId="20" fillId="0" borderId="0" xfId="0" applyFont="1" applyAlignment="1">
      <alignment vertical="center"/>
    </xf>
    <xf numFmtId="2" fontId="20" fillId="0" borderId="0" xfId="0" applyNumberFormat="1" applyFont="1" applyAlignment="1">
      <alignment vertical="center"/>
    </xf>
    <xf numFmtId="4" fontId="20" fillId="0" borderId="0" xfId="0" applyNumberFormat="1" applyFont="1" applyAlignment="1">
      <alignment vertical="center"/>
    </xf>
    <xf numFmtId="0" fontId="23" fillId="0" borderId="0" xfId="7" applyFont="1" applyAlignment="1">
      <alignment vertical="center" wrapText="1"/>
    </xf>
    <xf numFmtId="0" fontId="25" fillId="0" borderId="0" xfId="0" applyFont="1" applyAlignment="1"/>
    <xf numFmtId="0" fontId="11" fillId="0" borderId="4" xfId="0" applyFont="1" applyBorder="1" applyAlignment="1">
      <alignment horizontal="right" vertical="center" wrapText="1" readingOrder="1"/>
    </xf>
    <xf numFmtId="0" fontId="21" fillId="0" borderId="0" xfId="0" applyFont="1" applyAlignment="1">
      <alignment vertical="center"/>
    </xf>
    <xf numFmtId="0" fontId="26" fillId="0" borderId="8" xfId="5" applyFont="1" applyBorder="1" applyAlignment="1">
      <alignment horizontal="center" vertical="center"/>
    </xf>
    <xf numFmtId="0" fontId="21" fillId="0" borderId="8" xfId="5" applyFont="1" applyBorder="1" applyAlignment="1">
      <alignment vertical="center"/>
    </xf>
    <xf numFmtId="0" fontId="21" fillId="0" borderId="8" xfId="5" applyFont="1" applyBorder="1" applyAlignment="1">
      <alignment vertical="center" wrapText="1"/>
    </xf>
    <xf numFmtId="0" fontId="26" fillId="0" borderId="8" xfId="5" applyFont="1" applyBorder="1" applyAlignment="1">
      <alignment horizontal="center" vertical="center" wrapText="1"/>
    </xf>
    <xf numFmtId="0" fontId="14" fillId="0" borderId="0" xfId="6" applyFont="1" applyAlignment="1">
      <alignment horizontal="center" vertical="center"/>
    </xf>
    <xf numFmtId="0" fontId="21" fillId="0" borderId="8" xfId="5" applyFont="1" applyBorder="1" applyAlignment="1">
      <alignment horizontal="left" vertical="center"/>
    </xf>
    <xf numFmtId="2" fontId="21" fillId="0" borderId="8" xfId="5" applyNumberFormat="1" applyFont="1" applyBorder="1" applyAlignment="1">
      <alignment horizontal="right" vertical="center" wrapText="1"/>
    </xf>
    <xf numFmtId="4" fontId="21" fillId="0" borderId="8" xfId="5" applyNumberFormat="1" applyFont="1" applyBorder="1" applyAlignment="1">
      <alignment horizontal="right" vertical="center"/>
    </xf>
    <xf numFmtId="10" fontId="21" fillId="0" borderId="8" xfId="4" applyNumberFormat="1" applyFont="1" applyFill="1" applyBorder="1" applyAlignment="1">
      <alignment vertical="center" wrapText="1"/>
    </xf>
    <xf numFmtId="4" fontId="16" fillId="0" borderId="0" xfId="5" applyNumberFormat="1" applyFont="1" applyAlignment="1">
      <alignment vertical="center"/>
    </xf>
    <xf numFmtId="0" fontId="27" fillId="0" borderId="8" xfId="0" applyFont="1" applyBorder="1" applyAlignment="1">
      <alignment horizontal="justify" vertical="center" wrapText="1"/>
    </xf>
    <xf numFmtId="0" fontId="15" fillId="0" borderId="0" xfId="6">
      <alignment wrapText="1"/>
    </xf>
    <xf numFmtId="0" fontId="10" fillId="0" borderId="5" xfId="0" applyFont="1" applyBorder="1" applyAlignment="1">
      <alignment horizontal="left" vertical="center" wrapText="1" readingOrder="1"/>
    </xf>
    <xf numFmtId="0" fontId="11" fillId="0" borderId="5" xfId="0" applyFont="1" applyBorder="1" applyAlignment="1">
      <alignment horizontal="left" vertical="center" wrapText="1" readingOrder="1"/>
    </xf>
    <xf numFmtId="0" fontId="11" fillId="0" borderId="1" xfId="0" applyFont="1" applyBorder="1" applyAlignment="1">
      <alignment horizontal="left" vertical="center" wrapText="1" readingOrder="1"/>
    </xf>
    <xf numFmtId="0" fontId="11" fillId="0" borderId="2"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10" fillId="0" borderId="1"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19" fillId="0" borderId="0" xfId="0" applyFont="1" applyAlignment="1">
      <alignment horizontal="left" vertical="top" wrapText="1"/>
    </xf>
    <xf numFmtId="0" fontId="7" fillId="0" borderId="8" xfId="0" applyFont="1" applyBorder="1" applyAlignment="1">
      <alignment horizontal="center" vertical="center" wrapText="1" readingOrder="1"/>
    </xf>
    <xf numFmtId="0" fontId="10" fillId="0" borderId="0" xfId="0" applyFont="1" applyAlignment="1">
      <alignment horizontal="left" vertical="center" wrapText="1" readingOrder="1"/>
    </xf>
    <xf numFmtId="0" fontId="10" fillId="0" borderId="0" xfId="0" applyFont="1" applyAlignment="1">
      <alignment horizontal="justify" vertical="top"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10" fillId="0" borderId="11" xfId="0" applyFont="1" applyBorder="1" applyAlignment="1">
      <alignment horizontal="left" vertical="center" wrapText="1" readingOrder="1"/>
    </xf>
    <xf numFmtId="0" fontId="10" fillId="0" borderId="12" xfId="0" applyFont="1" applyBorder="1" applyAlignment="1">
      <alignment horizontal="left" vertical="center" wrapText="1" readingOrder="1"/>
    </xf>
    <xf numFmtId="0" fontId="10" fillId="0" borderId="13" xfId="0" applyFont="1" applyBorder="1" applyAlignment="1">
      <alignment horizontal="left" vertical="center" wrapText="1" readingOrder="1"/>
    </xf>
    <xf numFmtId="0" fontId="10" fillId="0" borderId="8" xfId="0" applyFont="1" applyBorder="1" applyAlignment="1">
      <alignment horizontal="left" vertical="center" wrapText="1" readingOrder="1"/>
    </xf>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1" xfId="5" applyFont="1" applyBorder="1" applyAlignment="1">
      <alignment horizontal="center" vertical="center"/>
    </xf>
    <xf numFmtId="0" fontId="26" fillId="0" borderId="12" xfId="5" applyFont="1" applyBorder="1" applyAlignment="1">
      <alignment horizontal="center" vertical="center"/>
    </xf>
    <xf numFmtId="0" fontId="26" fillId="0" borderId="13" xfId="5" applyFont="1" applyBorder="1" applyAlignment="1">
      <alignment horizontal="center" vertical="center"/>
    </xf>
    <xf numFmtId="0" fontId="26" fillId="0" borderId="8" xfId="5" applyFont="1" applyBorder="1" applyAlignment="1">
      <alignment horizontal="center" vertical="center"/>
    </xf>
    <xf numFmtId="0" fontId="21" fillId="0" borderId="11" xfId="5" applyFont="1" applyBorder="1" applyAlignment="1">
      <alignment horizontal="left" vertical="center" wrapText="1"/>
    </xf>
    <xf numFmtId="0" fontId="21" fillId="0" borderId="12" xfId="5" applyFont="1" applyBorder="1" applyAlignment="1">
      <alignment horizontal="left" vertical="center" wrapText="1"/>
    </xf>
    <xf numFmtId="0" fontId="21" fillId="0" borderId="13" xfId="5" applyFont="1" applyBorder="1" applyAlignment="1">
      <alignment horizontal="left" vertical="center" wrapText="1"/>
    </xf>
    <xf numFmtId="0" fontId="23" fillId="0" borderId="0" xfId="7" applyFont="1" applyAlignment="1">
      <alignment horizontal="justify" vertical="center" wrapText="1"/>
    </xf>
    <xf numFmtId="0" fontId="26" fillId="0" borderId="11" xfId="5" applyFont="1" applyBorder="1" applyAlignment="1">
      <alignment horizontal="center" vertical="center" wrapText="1"/>
    </xf>
    <xf numFmtId="0" fontId="26" fillId="0" borderId="13" xfId="5" applyFont="1" applyBorder="1" applyAlignment="1">
      <alignment horizontal="center" vertical="center" wrapText="1"/>
    </xf>
    <xf numFmtId="0" fontId="21" fillId="0" borderId="11" xfId="3" applyNumberFormat="1" applyFont="1" applyFill="1" applyBorder="1" applyAlignment="1">
      <alignment horizontal="center" vertical="center"/>
    </xf>
    <xf numFmtId="0" fontId="21" fillId="0" borderId="13" xfId="3" applyNumberFormat="1" applyFont="1" applyFill="1" applyBorder="1" applyAlignment="1">
      <alignment horizontal="center" vertical="center"/>
    </xf>
    <xf numFmtId="0" fontId="22" fillId="0" borderId="11" xfId="7" applyFont="1" applyBorder="1" applyAlignment="1">
      <alignment horizontal="center" vertical="center" wrapText="1"/>
    </xf>
    <xf numFmtId="0" fontId="22" fillId="0" borderId="12" xfId="7" applyFont="1" applyBorder="1" applyAlignment="1">
      <alignment horizontal="center" vertical="center" wrapText="1"/>
    </xf>
    <xf numFmtId="0" fontId="22" fillId="0" borderId="13"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15" xfId="7" applyFont="1" applyBorder="1" applyAlignment="1">
      <alignment horizontal="center" vertical="center" wrapText="1"/>
    </xf>
    <xf numFmtId="0" fontId="22" fillId="0" borderId="16" xfId="7" applyFont="1" applyBorder="1" applyAlignment="1">
      <alignment horizontal="center" vertical="center" wrapText="1"/>
    </xf>
    <xf numFmtId="0" fontId="22" fillId="0" borderId="10" xfId="7" applyFont="1" applyBorder="1" applyAlignment="1">
      <alignment horizontal="center" vertical="center"/>
    </xf>
    <xf numFmtId="0" fontId="22" fillId="0" borderId="14" xfId="7" applyFont="1" applyBorder="1" applyAlignment="1">
      <alignment horizontal="center" vertical="center"/>
    </xf>
    <xf numFmtId="0" fontId="22" fillId="0" borderId="7" xfId="7" applyFont="1" applyBorder="1" applyAlignment="1">
      <alignment horizontal="center" vertical="center"/>
    </xf>
    <xf numFmtId="0" fontId="22" fillId="0" borderId="11" xfId="7" applyFont="1" applyBorder="1" applyAlignment="1">
      <alignment horizontal="center" vertical="center"/>
    </xf>
    <xf numFmtId="0" fontId="22" fillId="0" borderId="12" xfId="7" applyFont="1" applyBorder="1" applyAlignment="1">
      <alignment horizontal="center" vertical="center"/>
    </xf>
    <xf numFmtId="0" fontId="22" fillId="0" borderId="13" xfId="7" applyFont="1" applyBorder="1" applyAlignment="1">
      <alignment horizontal="center" vertical="center"/>
    </xf>
    <xf numFmtId="0" fontId="25" fillId="0" borderId="0" xfId="12" applyFont="1" applyAlignment="1">
      <alignment horizontal="center"/>
    </xf>
  </cellXfs>
  <cellStyles count="15">
    <cellStyle name="Comma" xfId="3" builtinId="3"/>
    <cellStyle name="Comma 2" xfId="9" xr:uid="{9D94A5B8-3D5C-4DDA-A4B2-37DE8DB3062D}"/>
    <cellStyle name="Comma 3" xfId="14" xr:uid="{9FFE9A72-FF24-4D90-B54C-E79877F7B00D}"/>
    <cellStyle name="Hyperlink" xfId="2" builtinId="8"/>
    <cellStyle name="Hyperlink 2" xfId="1" xr:uid="{994C8297-A44C-4A9E-B516-36063C1D4B9E}"/>
    <cellStyle name="Normal" xfId="0" builtinId="0"/>
    <cellStyle name="Normal 2" xfId="6" xr:uid="{F2F214EF-4B41-4BE5-862F-9CC3ABF8D738}"/>
    <cellStyle name="Normal 2 2" xfId="11" xr:uid="{D159C3CD-5612-4AD2-A4B7-0DCCD534142A}"/>
    <cellStyle name="Normal 2 2 2" xfId="7" xr:uid="{570BC2E7-6699-4B29-BE5F-FA7649B2EAC0}"/>
    <cellStyle name="Normal 2 2 3 2 2 3 2 2" xfId="5" xr:uid="{3D856CDC-2DF2-4794-A9A8-875778C7721A}"/>
    <cellStyle name="Normal 2 3" xfId="13" xr:uid="{3DBCEB48-890D-4722-B728-30FE2AFCE08A}"/>
    <cellStyle name="Normal 3" xfId="8" xr:uid="{90FE4C7B-7418-42DC-9DF7-F9F362365B87}"/>
    <cellStyle name="Normal 4" xfId="12" xr:uid="{401988A7-5E1E-45AB-A14E-7D5E49008C03}"/>
    <cellStyle name="Percent" xfId="4" builtinId="5"/>
    <cellStyle name="Percent 2" xfId="10" xr:uid="{6F03A4B5-DB6F-4C39-B05A-C87488834A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152</xdr:row>
      <xdr:rowOff>0</xdr:rowOff>
    </xdr:from>
    <xdr:to>
      <xdr:col>2</xdr:col>
      <xdr:colOff>1975855</xdr:colOff>
      <xdr:row>153</xdr:row>
      <xdr:rowOff>27375</xdr:rowOff>
    </xdr:to>
    <xdr:pic>
      <xdr:nvPicPr>
        <xdr:cNvPr id="2" name="Picture 1">
          <a:extLst>
            <a:ext uri="{FF2B5EF4-FFF2-40B4-BE49-F238E27FC236}">
              <a16:creationId xmlns:a16="http://schemas.microsoft.com/office/drawing/2014/main" id="{36259FAD-0031-467D-B1F9-A7BCA52ADF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6033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157</xdr:row>
      <xdr:rowOff>0</xdr:rowOff>
    </xdr:from>
    <xdr:to>
      <xdr:col>2</xdr:col>
      <xdr:colOff>2033005</xdr:colOff>
      <xdr:row>157</xdr:row>
      <xdr:rowOff>1980000</xdr:rowOff>
    </xdr:to>
    <xdr:pic>
      <xdr:nvPicPr>
        <xdr:cNvPr id="3" name="Picture 2">
          <a:extLst>
            <a:ext uri="{FF2B5EF4-FFF2-40B4-BE49-F238E27FC236}">
              <a16:creationId xmlns:a16="http://schemas.microsoft.com/office/drawing/2014/main" id="{B67878D4-3BC2-4140-AA33-25E3FDB031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2036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97</xdr:row>
      <xdr:rowOff>0</xdr:rowOff>
    </xdr:from>
    <xdr:to>
      <xdr:col>2</xdr:col>
      <xdr:colOff>1975855</xdr:colOff>
      <xdr:row>98</xdr:row>
      <xdr:rowOff>27375</xdr:rowOff>
    </xdr:to>
    <xdr:pic>
      <xdr:nvPicPr>
        <xdr:cNvPr id="2" name="Picture 1">
          <a:extLst>
            <a:ext uri="{FF2B5EF4-FFF2-40B4-BE49-F238E27FC236}">
              <a16:creationId xmlns:a16="http://schemas.microsoft.com/office/drawing/2014/main" id="{D2758358-6D8D-497F-98B6-EC03AF0BFC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70497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102</xdr:row>
      <xdr:rowOff>0</xdr:rowOff>
    </xdr:from>
    <xdr:to>
      <xdr:col>2</xdr:col>
      <xdr:colOff>1975855</xdr:colOff>
      <xdr:row>102</xdr:row>
      <xdr:rowOff>1980000</xdr:rowOff>
    </xdr:to>
    <xdr:pic>
      <xdr:nvPicPr>
        <xdr:cNvPr id="3" name="Picture 2">
          <a:extLst>
            <a:ext uri="{FF2B5EF4-FFF2-40B4-BE49-F238E27FC236}">
              <a16:creationId xmlns:a16="http://schemas.microsoft.com/office/drawing/2014/main" id="{FED441DB-84FF-4976-8915-50EA74FDC2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196500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177</xdr:row>
      <xdr:rowOff>0</xdr:rowOff>
    </xdr:from>
    <xdr:to>
      <xdr:col>2</xdr:col>
      <xdr:colOff>1975855</xdr:colOff>
      <xdr:row>189</xdr:row>
      <xdr:rowOff>36900</xdr:rowOff>
    </xdr:to>
    <xdr:pic>
      <xdr:nvPicPr>
        <xdr:cNvPr id="2" name="Picture 1">
          <a:extLst>
            <a:ext uri="{FF2B5EF4-FFF2-40B4-BE49-F238E27FC236}">
              <a16:creationId xmlns:a16="http://schemas.microsoft.com/office/drawing/2014/main" id="{4C357CCC-468F-4D38-997E-AFAA2315E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43852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200025</xdr:colOff>
      <xdr:row>177</xdr:row>
      <xdr:rowOff>0</xdr:rowOff>
    </xdr:from>
    <xdr:to>
      <xdr:col>5</xdr:col>
      <xdr:colOff>1080505</xdr:colOff>
      <xdr:row>189</xdr:row>
      <xdr:rowOff>36900</xdr:rowOff>
    </xdr:to>
    <xdr:pic>
      <xdr:nvPicPr>
        <xdr:cNvPr id="3" name="Picture 2">
          <a:extLst>
            <a:ext uri="{FF2B5EF4-FFF2-40B4-BE49-F238E27FC236}">
              <a16:creationId xmlns:a16="http://schemas.microsoft.com/office/drawing/2014/main" id="{DB2F6C7A-0EFC-4203-A374-7DEAB371B4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9175" y="34385250"/>
          <a:ext cx="24425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172</xdr:row>
      <xdr:rowOff>0</xdr:rowOff>
    </xdr:from>
    <xdr:to>
      <xdr:col>2</xdr:col>
      <xdr:colOff>1975855</xdr:colOff>
      <xdr:row>173</xdr:row>
      <xdr:rowOff>27375</xdr:rowOff>
    </xdr:to>
    <xdr:pic>
      <xdr:nvPicPr>
        <xdr:cNvPr id="4" name="Picture 3">
          <a:extLst>
            <a:ext uri="{FF2B5EF4-FFF2-40B4-BE49-F238E27FC236}">
              <a16:creationId xmlns:a16="http://schemas.microsoft.com/office/drawing/2014/main" id="{05300D4F-EDA1-4184-ACA7-182D0F9CAB7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7849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257175</xdr:colOff>
      <xdr:row>180</xdr:row>
      <xdr:rowOff>85725</xdr:rowOff>
    </xdr:from>
    <xdr:to>
      <xdr:col>2</xdr:col>
      <xdr:colOff>1775830</xdr:colOff>
      <xdr:row>192</xdr:row>
      <xdr:rowOff>122625</xdr:rowOff>
    </xdr:to>
    <xdr:pic>
      <xdr:nvPicPr>
        <xdr:cNvPr id="2" name="Picture 1">
          <a:extLst>
            <a:ext uri="{FF2B5EF4-FFF2-40B4-BE49-F238E27FC236}">
              <a16:creationId xmlns:a16="http://schemas.microsoft.com/office/drawing/2014/main" id="{463DA597-37ED-483B-A9EA-2DA39E841F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32842200"/>
          <a:ext cx="322363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165</xdr:row>
      <xdr:rowOff>0</xdr:rowOff>
    </xdr:from>
    <xdr:to>
      <xdr:col>2</xdr:col>
      <xdr:colOff>1975855</xdr:colOff>
      <xdr:row>177</xdr:row>
      <xdr:rowOff>36900</xdr:rowOff>
    </xdr:to>
    <xdr:pic>
      <xdr:nvPicPr>
        <xdr:cNvPr id="3" name="Picture 2">
          <a:extLst>
            <a:ext uri="{FF2B5EF4-FFF2-40B4-BE49-F238E27FC236}">
              <a16:creationId xmlns:a16="http://schemas.microsoft.com/office/drawing/2014/main" id="{DF4F71FA-47D1-4617-A9BC-D9C9828F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3276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135</xdr:row>
      <xdr:rowOff>0</xdr:rowOff>
    </xdr:from>
    <xdr:to>
      <xdr:col>2</xdr:col>
      <xdr:colOff>1975855</xdr:colOff>
      <xdr:row>136</xdr:row>
      <xdr:rowOff>27375</xdr:rowOff>
    </xdr:to>
    <xdr:pic>
      <xdr:nvPicPr>
        <xdr:cNvPr id="6" name="Picture 5">
          <a:extLst>
            <a:ext uri="{FF2B5EF4-FFF2-40B4-BE49-F238E27FC236}">
              <a16:creationId xmlns:a16="http://schemas.microsoft.com/office/drawing/2014/main" id="{9DEB674C-E9BA-4502-A7D2-D4F18D3DD0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1744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140</xdr:row>
      <xdr:rowOff>0</xdr:rowOff>
    </xdr:from>
    <xdr:to>
      <xdr:col>2</xdr:col>
      <xdr:colOff>1975855</xdr:colOff>
      <xdr:row>140</xdr:row>
      <xdr:rowOff>1980000</xdr:rowOff>
    </xdr:to>
    <xdr:pic>
      <xdr:nvPicPr>
        <xdr:cNvPr id="7" name="Picture 6">
          <a:extLst>
            <a:ext uri="{FF2B5EF4-FFF2-40B4-BE49-F238E27FC236}">
              <a16:creationId xmlns:a16="http://schemas.microsoft.com/office/drawing/2014/main" id="{0279A81A-256A-4ED7-BCE5-799F1CC0C57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7747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136</xdr:row>
      <xdr:rowOff>0</xdr:rowOff>
    </xdr:from>
    <xdr:to>
      <xdr:col>2</xdr:col>
      <xdr:colOff>1975855</xdr:colOff>
      <xdr:row>137</xdr:row>
      <xdr:rowOff>27375</xdr:rowOff>
    </xdr:to>
    <xdr:pic>
      <xdr:nvPicPr>
        <xdr:cNvPr id="2" name="Picture 1">
          <a:extLst>
            <a:ext uri="{FF2B5EF4-FFF2-40B4-BE49-F238E27FC236}">
              <a16:creationId xmlns:a16="http://schemas.microsoft.com/office/drawing/2014/main" id="{C515D7D7-667F-4F38-99EC-D20B32155E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3363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141</xdr:row>
      <xdr:rowOff>0</xdr:rowOff>
    </xdr:from>
    <xdr:to>
      <xdr:col>2</xdr:col>
      <xdr:colOff>1975855</xdr:colOff>
      <xdr:row>141</xdr:row>
      <xdr:rowOff>1980000</xdr:rowOff>
    </xdr:to>
    <xdr:pic>
      <xdr:nvPicPr>
        <xdr:cNvPr id="3" name="Picture 2">
          <a:extLst>
            <a:ext uri="{FF2B5EF4-FFF2-40B4-BE49-F238E27FC236}">
              <a16:creationId xmlns:a16="http://schemas.microsoft.com/office/drawing/2014/main" id="{17B12319-18B0-4EAA-9BDA-78F74348CD7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9367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127</xdr:row>
      <xdr:rowOff>0</xdr:rowOff>
    </xdr:from>
    <xdr:to>
      <xdr:col>2</xdr:col>
      <xdr:colOff>1975855</xdr:colOff>
      <xdr:row>128</xdr:row>
      <xdr:rowOff>27375</xdr:rowOff>
    </xdr:to>
    <xdr:pic>
      <xdr:nvPicPr>
        <xdr:cNvPr id="2" name="Picture 1">
          <a:extLst>
            <a:ext uri="{FF2B5EF4-FFF2-40B4-BE49-F238E27FC236}">
              <a16:creationId xmlns:a16="http://schemas.microsoft.com/office/drawing/2014/main" id="{AB554026-BBC4-49CE-9066-F5D5CA018C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7171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132</xdr:row>
      <xdr:rowOff>0</xdr:rowOff>
    </xdr:from>
    <xdr:to>
      <xdr:col>2</xdr:col>
      <xdr:colOff>1975855</xdr:colOff>
      <xdr:row>132</xdr:row>
      <xdr:rowOff>1980000</xdr:rowOff>
    </xdr:to>
    <xdr:pic>
      <xdr:nvPicPr>
        <xdr:cNvPr id="3" name="Picture 2">
          <a:extLst>
            <a:ext uri="{FF2B5EF4-FFF2-40B4-BE49-F238E27FC236}">
              <a16:creationId xmlns:a16="http://schemas.microsoft.com/office/drawing/2014/main" id="{8139203B-7EC0-49DE-BB6F-CFC878FA13A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3174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132</xdr:row>
      <xdr:rowOff>0</xdr:rowOff>
    </xdr:from>
    <xdr:to>
      <xdr:col>2</xdr:col>
      <xdr:colOff>1975855</xdr:colOff>
      <xdr:row>133</xdr:row>
      <xdr:rowOff>27375</xdr:rowOff>
    </xdr:to>
    <xdr:pic>
      <xdr:nvPicPr>
        <xdr:cNvPr id="2" name="Picture 1">
          <a:extLst>
            <a:ext uri="{FF2B5EF4-FFF2-40B4-BE49-F238E27FC236}">
              <a16:creationId xmlns:a16="http://schemas.microsoft.com/office/drawing/2014/main" id="{FE2DFE17-BC2D-4CBD-8AC6-9A257F74A5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3648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137</xdr:row>
      <xdr:rowOff>0</xdr:rowOff>
    </xdr:from>
    <xdr:to>
      <xdr:col>2</xdr:col>
      <xdr:colOff>1975855</xdr:colOff>
      <xdr:row>137</xdr:row>
      <xdr:rowOff>1980000</xdr:rowOff>
    </xdr:to>
    <xdr:pic>
      <xdr:nvPicPr>
        <xdr:cNvPr id="3" name="Picture 2">
          <a:extLst>
            <a:ext uri="{FF2B5EF4-FFF2-40B4-BE49-F238E27FC236}">
              <a16:creationId xmlns:a16="http://schemas.microsoft.com/office/drawing/2014/main" id="{952A1D85-B235-44CF-9C63-E91CFCADE8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9651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132</xdr:row>
      <xdr:rowOff>0</xdr:rowOff>
    </xdr:from>
    <xdr:to>
      <xdr:col>2</xdr:col>
      <xdr:colOff>1975855</xdr:colOff>
      <xdr:row>133</xdr:row>
      <xdr:rowOff>27375</xdr:rowOff>
    </xdr:to>
    <xdr:pic>
      <xdr:nvPicPr>
        <xdr:cNvPr id="2" name="Picture 1">
          <a:extLst>
            <a:ext uri="{FF2B5EF4-FFF2-40B4-BE49-F238E27FC236}">
              <a16:creationId xmlns:a16="http://schemas.microsoft.com/office/drawing/2014/main" id="{7F3D6550-35CD-4E4E-9359-D32CA6215F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3648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137</xdr:row>
      <xdr:rowOff>0</xdr:rowOff>
    </xdr:from>
    <xdr:to>
      <xdr:col>2</xdr:col>
      <xdr:colOff>1975855</xdr:colOff>
      <xdr:row>137</xdr:row>
      <xdr:rowOff>1980000</xdr:rowOff>
    </xdr:to>
    <xdr:pic>
      <xdr:nvPicPr>
        <xdr:cNvPr id="3" name="Picture 2">
          <a:extLst>
            <a:ext uri="{FF2B5EF4-FFF2-40B4-BE49-F238E27FC236}">
              <a16:creationId xmlns:a16="http://schemas.microsoft.com/office/drawing/2014/main" id="{2C7835D2-9174-4C94-8431-DED40A2793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9651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134</xdr:row>
      <xdr:rowOff>0</xdr:rowOff>
    </xdr:from>
    <xdr:to>
      <xdr:col>2</xdr:col>
      <xdr:colOff>1975855</xdr:colOff>
      <xdr:row>135</xdr:row>
      <xdr:rowOff>27375</xdr:rowOff>
    </xdr:to>
    <xdr:pic>
      <xdr:nvPicPr>
        <xdr:cNvPr id="2" name="Picture 1">
          <a:extLst>
            <a:ext uri="{FF2B5EF4-FFF2-40B4-BE49-F238E27FC236}">
              <a16:creationId xmlns:a16="http://schemas.microsoft.com/office/drawing/2014/main" id="{FCC824AE-A965-47E2-B5AD-5301D3AAFE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8506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139</xdr:row>
      <xdr:rowOff>0</xdr:rowOff>
    </xdr:from>
    <xdr:to>
      <xdr:col>2</xdr:col>
      <xdr:colOff>1975855</xdr:colOff>
      <xdr:row>139</xdr:row>
      <xdr:rowOff>1980000</xdr:rowOff>
    </xdr:to>
    <xdr:pic>
      <xdr:nvPicPr>
        <xdr:cNvPr id="3" name="Picture 2">
          <a:extLst>
            <a:ext uri="{FF2B5EF4-FFF2-40B4-BE49-F238E27FC236}">
              <a16:creationId xmlns:a16="http://schemas.microsoft.com/office/drawing/2014/main" id="{4FC4D6FD-C2E7-44E6-8AC2-5054242EE4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4509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131</xdr:row>
      <xdr:rowOff>0</xdr:rowOff>
    </xdr:from>
    <xdr:to>
      <xdr:col>2</xdr:col>
      <xdr:colOff>1975855</xdr:colOff>
      <xdr:row>132</xdr:row>
      <xdr:rowOff>27375</xdr:rowOff>
    </xdr:to>
    <xdr:pic>
      <xdr:nvPicPr>
        <xdr:cNvPr id="2" name="Picture 1">
          <a:extLst>
            <a:ext uri="{FF2B5EF4-FFF2-40B4-BE49-F238E27FC236}">
              <a16:creationId xmlns:a16="http://schemas.microsoft.com/office/drawing/2014/main" id="{11FB7CA6-F7AF-450C-9567-987862C6FF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2029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136</xdr:row>
      <xdr:rowOff>0</xdr:rowOff>
    </xdr:from>
    <xdr:to>
      <xdr:col>2</xdr:col>
      <xdr:colOff>1975855</xdr:colOff>
      <xdr:row>136</xdr:row>
      <xdr:rowOff>1980000</xdr:rowOff>
    </xdr:to>
    <xdr:pic>
      <xdr:nvPicPr>
        <xdr:cNvPr id="3" name="Picture 2">
          <a:extLst>
            <a:ext uri="{FF2B5EF4-FFF2-40B4-BE49-F238E27FC236}">
              <a16:creationId xmlns:a16="http://schemas.microsoft.com/office/drawing/2014/main" id="{1DEA70CD-BC88-4560-8A30-7E21647964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8032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163</xdr:row>
      <xdr:rowOff>0</xdr:rowOff>
    </xdr:from>
    <xdr:to>
      <xdr:col>2</xdr:col>
      <xdr:colOff>1975855</xdr:colOff>
      <xdr:row>164</xdr:row>
      <xdr:rowOff>27375</xdr:rowOff>
    </xdr:to>
    <xdr:pic>
      <xdr:nvPicPr>
        <xdr:cNvPr id="5" name="Picture 4">
          <a:extLst>
            <a:ext uri="{FF2B5EF4-FFF2-40B4-BE49-F238E27FC236}">
              <a16:creationId xmlns:a16="http://schemas.microsoft.com/office/drawing/2014/main" id="{1B81C3F7-2D28-41AF-ADA0-F13AC16FD5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3180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168</xdr:row>
      <xdr:rowOff>0</xdr:rowOff>
    </xdr:from>
    <xdr:to>
      <xdr:col>2</xdr:col>
      <xdr:colOff>1975855</xdr:colOff>
      <xdr:row>168</xdr:row>
      <xdr:rowOff>1980000</xdr:rowOff>
    </xdr:to>
    <xdr:pic>
      <xdr:nvPicPr>
        <xdr:cNvPr id="6" name="Picture 5">
          <a:extLst>
            <a:ext uri="{FF2B5EF4-FFF2-40B4-BE49-F238E27FC236}">
              <a16:creationId xmlns:a16="http://schemas.microsoft.com/office/drawing/2014/main" id="{E0B32483-BB4F-4748-B61F-A6ECCA85B8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9184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167</xdr:row>
      <xdr:rowOff>152400</xdr:rowOff>
    </xdr:from>
    <xdr:to>
      <xdr:col>5</xdr:col>
      <xdr:colOff>918580</xdr:colOff>
      <xdr:row>168</xdr:row>
      <xdr:rowOff>1970475</xdr:rowOff>
    </xdr:to>
    <xdr:pic>
      <xdr:nvPicPr>
        <xdr:cNvPr id="7" name="Picture 6">
          <a:extLst>
            <a:ext uri="{FF2B5EF4-FFF2-40B4-BE49-F238E27FC236}">
              <a16:creationId xmlns:a16="http://schemas.microsoft.com/office/drawing/2014/main" id="{0A6F755B-A029-4DC6-B422-0C54FD207F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86300" y="32908875"/>
          <a:ext cx="272833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9525</xdr:colOff>
      <xdr:row>266</xdr:row>
      <xdr:rowOff>0</xdr:rowOff>
    </xdr:from>
    <xdr:to>
      <xdr:col>2</xdr:col>
      <xdr:colOff>1986302</xdr:colOff>
      <xdr:row>267</xdr:row>
      <xdr:rowOff>27375</xdr:rowOff>
    </xdr:to>
    <xdr:pic>
      <xdr:nvPicPr>
        <xdr:cNvPr id="2" name="Picture 1">
          <a:extLst>
            <a:ext uri="{FF2B5EF4-FFF2-40B4-BE49-F238E27FC236}">
              <a16:creationId xmlns:a16="http://schemas.microsoft.com/office/drawing/2014/main" id="{1996B653-E5C1-4305-B6CB-A23C6C6AD1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56864250"/>
          <a:ext cx="3281702"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271</xdr:row>
      <xdr:rowOff>171450</xdr:rowOff>
    </xdr:from>
    <xdr:to>
      <xdr:col>2</xdr:col>
      <xdr:colOff>1976777</xdr:colOff>
      <xdr:row>272</xdr:row>
      <xdr:rowOff>55950</xdr:rowOff>
    </xdr:to>
    <xdr:pic>
      <xdr:nvPicPr>
        <xdr:cNvPr id="3" name="Picture 2">
          <a:extLst>
            <a:ext uri="{FF2B5EF4-FFF2-40B4-BE49-F238E27FC236}">
              <a16:creationId xmlns:a16="http://schemas.microsoft.com/office/drawing/2014/main" id="{15FD48CB-0822-47AE-89B3-E62C069470C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59636025"/>
          <a:ext cx="3281702"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217</xdr:row>
      <xdr:rowOff>0</xdr:rowOff>
    </xdr:from>
    <xdr:to>
      <xdr:col>2</xdr:col>
      <xdr:colOff>2015039</xdr:colOff>
      <xdr:row>217</xdr:row>
      <xdr:rowOff>1980000</xdr:rowOff>
    </xdr:to>
    <xdr:pic>
      <xdr:nvPicPr>
        <xdr:cNvPr id="2" name="Picture 1">
          <a:extLst>
            <a:ext uri="{FF2B5EF4-FFF2-40B4-BE49-F238E27FC236}">
              <a16:creationId xmlns:a16="http://schemas.microsoft.com/office/drawing/2014/main" id="{91C1BD1F-A14B-414F-AE87-BB2CD11A1B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8890575"/>
          <a:ext cx="332948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212</xdr:row>
      <xdr:rowOff>0</xdr:rowOff>
    </xdr:from>
    <xdr:to>
      <xdr:col>2</xdr:col>
      <xdr:colOff>2015039</xdr:colOff>
      <xdr:row>213</xdr:row>
      <xdr:rowOff>27375</xdr:rowOff>
    </xdr:to>
    <xdr:pic>
      <xdr:nvPicPr>
        <xdr:cNvPr id="3" name="Picture 2">
          <a:extLst>
            <a:ext uri="{FF2B5EF4-FFF2-40B4-BE49-F238E27FC236}">
              <a16:creationId xmlns:a16="http://schemas.microsoft.com/office/drawing/2014/main" id="{2F1AF862-2465-485F-8406-47CFAFD41F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6290250"/>
          <a:ext cx="332948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229</xdr:row>
      <xdr:rowOff>133350</xdr:rowOff>
    </xdr:from>
    <xdr:to>
      <xdr:col>2</xdr:col>
      <xdr:colOff>1976777</xdr:colOff>
      <xdr:row>230</xdr:row>
      <xdr:rowOff>17850</xdr:rowOff>
    </xdr:to>
    <xdr:pic>
      <xdr:nvPicPr>
        <xdr:cNvPr id="2" name="Picture 1">
          <a:extLst>
            <a:ext uri="{FF2B5EF4-FFF2-40B4-BE49-F238E27FC236}">
              <a16:creationId xmlns:a16="http://schemas.microsoft.com/office/drawing/2014/main" id="{B0AEE38B-8519-4F32-9140-F91B04BF8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7805975"/>
          <a:ext cx="3281702"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224</xdr:row>
      <xdr:rowOff>0</xdr:rowOff>
    </xdr:from>
    <xdr:to>
      <xdr:col>2</xdr:col>
      <xdr:colOff>2033927</xdr:colOff>
      <xdr:row>225</xdr:row>
      <xdr:rowOff>27375</xdr:rowOff>
    </xdr:to>
    <xdr:pic>
      <xdr:nvPicPr>
        <xdr:cNvPr id="4" name="Picture 3">
          <a:extLst>
            <a:ext uri="{FF2B5EF4-FFF2-40B4-BE49-F238E27FC236}">
              <a16:creationId xmlns:a16="http://schemas.microsoft.com/office/drawing/2014/main" id="{5C2A6411-D13B-6550-CB8B-BB93A936D1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186237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159</xdr:row>
      <xdr:rowOff>0</xdr:rowOff>
    </xdr:from>
    <xdr:to>
      <xdr:col>2</xdr:col>
      <xdr:colOff>1975855</xdr:colOff>
      <xdr:row>160</xdr:row>
      <xdr:rowOff>27375</xdr:rowOff>
    </xdr:to>
    <xdr:pic>
      <xdr:nvPicPr>
        <xdr:cNvPr id="2" name="Picture 1">
          <a:extLst>
            <a:ext uri="{FF2B5EF4-FFF2-40B4-BE49-F238E27FC236}">
              <a16:creationId xmlns:a16="http://schemas.microsoft.com/office/drawing/2014/main" id="{F6E9A160-7106-4719-AFC9-B29162905E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803600"/>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164</xdr:row>
      <xdr:rowOff>0</xdr:rowOff>
    </xdr:from>
    <xdr:to>
      <xdr:col>2</xdr:col>
      <xdr:colOff>1975855</xdr:colOff>
      <xdr:row>164</xdr:row>
      <xdr:rowOff>1980000</xdr:rowOff>
    </xdr:to>
    <xdr:pic>
      <xdr:nvPicPr>
        <xdr:cNvPr id="3" name="Picture 2">
          <a:extLst>
            <a:ext uri="{FF2B5EF4-FFF2-40B4-BE49-F238E27FC236}">
              <a16:creationId xmlns:a16="http://schemas.microsoft.com/office/drawing/2014/main" id="{4DB09A2B-43DB-459B-87AB-683D54FFB6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403925"/>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164</xdr:row>
      <xdr:rowOff>0</xdr:rowOff>
    </xdr:from>
    <xdr:to>
      <xdr:col>6</xdr:col>
      <xdr:colOff>909055</xdr:colOff>
      <xdr:row>164</xdr:row>
      <xdr:rowOff>1980000</xdr:rowOff>
    </xdr:to>
    <xdr:pic>
      <xdr:nvPicPr>
        <xdr:cNvPr id="4" name="Picture 3">
          <a:extLst>
            <a:ext uri="{FF2B5EF4-FFF2-40B4-BE49-F238E27FC236}">
              <a16:creationId xmlns:a16="http://schemas.microsoft.com/office/drawing/2014/main" id="{660B45F0-1D58-4510-9DC1-5F480FFD37C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0" y="314039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215</xdr:row>
      <xdr:rowOff>0</xdr:rowOff>
    </xdr:from>
    <xdr:to>
      <xdr:col>2</xdr:col>
      <xdr:colOff>2015039</xdr:colOff>
      <xdr:row>216</xdr:row>
      <xdr:rowOff>27375</xdr:rowOff>
    </xdr:to>
    <xdr:pic>
      <xdr:nvPicPr>
        <xdr:cNvPr id="2" name="Picture 1">
          <a:extLst>
            <a:ext uri="{FF2B5EF4-FFF2-40B4-BE49-F238E27FC236}">
              <a16:creationId xmlns:a16="http://schemas.microsoft.com/office/drawing/2014/main" id="{66A8E89D-77EF-49F5-B18A-2E400C2AA0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0871775"/>
          <a:ext cx="330091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220</xdr:row>
      <xdr:rowOff>57150</xdr:rowOff>
    </xdr:from>
    <xdr:to>
      <xdr:col>2</xdr:col>
      <xdr:colOff>2024564</xdr:colOff>
      <xdr:row>220</xdr:row>
      <xdr:rowOff>2037150</xdr:rowOff>
    </xdr:to>
    <xdr:pic>
      <xdr:nvPicPr>
        <xdr:cNvPr id="3" name="Picture 2">
          <a:extLst>
            <a:ext uri="{FF2B5EF4-FFF2-40B4-BE49-F238E27FC236}">
              <a16:creationId xmlns:a16="http://schemas.microsoft.com/office/drawing/2014/main" id="{91B1FBB6-D43E-4AB2-A850-2D2B30EBA4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43529250"/>
          <a:ext cx="330091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0</xdr:colOff>
      <xdr:row>122</xdr:row>
      <xdr:rowOff>0</xdr:rowOff>
    </xdr:from>
    <xdr:to>
      <xdr:col>2</xdr:col>
      <xdr:colOff>1975855</xdr:colOff>
      <xdr:row>123</xdr:row>
      <xdr:rowOff>27375</xdr:rowOff>
    </xdr:to>
    <xdr:pic>
      <xdr:nvPicPr>
        <xdr:cNvPr id="2" name="Picture 1">
          <a:extLst>
            <a:ext uri="{FF2B5EF4-FFF2-40B4-BE49-F238E27FC236}">
              <a16:creationId xmlns:a16="http://schemas.microsoft.com/office/drawing/2014/main" id="{3312D0AE-FBA0-485C-B32F-B498FDE65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078950"/>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127</xdr:row>
      <xdr:rowOff>0</xdr:rowOff>
    </xdr:from>
    <xdr:to>
      <xdr:col>2</xdr:col>
      <xdr:colOff>1975855</xdr:colOff>
      <xdr:row>127</xdr:row>
      <xdr:rowOff>1980000</xdr:rowOff>
    </xdr:to>
    <xdr:pic>
      <xdr:nvPicPr>
        <xdr:cNvPr id="3" name="Picture 2">
          <a:extLst>
            <a:ext uri="{FF2B5EF4-FFF2-40B4-BE49-F238E27FC236}">
              <a16:creationId xmlns:a16="http://schemas.microsoft.com/office/drawing/2014/main" id="{BF715B03-8CA1-43B2-837D-AD2AE985394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679275"/>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127</xdr:row>
      <xdr:rowOff>0</xdr:rowOff>
    </xdr:from>
    <xdr:to>
      <xdr:col>6</xdr:col>
      <xdr:colOff>928105</xdr:colOff>
      <xdr:row>127</xdr:row>
      <xdr:rowOff>1980000</xdr:rowOff>
    </xdr:to>
    <xdr:pic>
      <xdr:nvPicPr>
        <xdr:cNvPr id="4" name="Picture 3">
          <a:extLst>
            <a:ext uri="{FF2B5EF4-FFF2-40B4-BE49-F238E27FC236}">
              <a16:creationId xmlns:a16="http://schemas.microsoft.com/office/drawing/2014/main" id="{07E8E3E7-17AF-425C-B910-F5F56DE0CB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0" y="246792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0</xdr:colOff>
      <xdr:row>168</xdr:row>
      <xdr:rowOff>0</xdr:rowOff>
    </xdr:from>
    <xdr:to>
      <xdr:col>2</xdr:col>
      <xdr:colOff>1975855</xdr:colOff>
      <xdr:row>169</xdr:row>
      <xdr:rowOff>27375</xdr:rowOff>
    </xdr:to>
    <xdr:pic>
      <xdr:nvPicPr>
        <xdr:cNvPr id="2" name="Picture 1">
          <a:extLst>
            <a:ext uri="{FF2B5EF4-FFF2-40B4-BE49-F238E27FC236}">
              <a16:creationId xmlns:a16="http://schemas.microsoft.com/office/drawing/2014/main" id="{F6BDBB3C-980B-470D-949B-4DC35F2579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527750"/>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173</xdr:row>
      <xdr:rowOff>0</xdr:rowOff>
    </xdr:from>
    <xdr:to>
      <xdr:col>2</xdr:col>
      <xdr:colOff>1975855</xdr:colOff>
      <xdr:row>173</xdr:row>
      <xdr:rowOff>1980000</xdr:rowOff>
    </xdr:to>
    <xdr:pic>
      <xdr:nvPicPr>
        <xdr:cNvPr id="3" name="Picture 2">
          <a:extLst>
            <a:ext uri="{FF2B5EF4-FFF2-40B4-BE49-F238E27FC236}">
              <a16:creationId xmlns:a16="http://schemas.microsoft.com/office/drawing/2014/main" id="{5568962D-B550-4D1A-ABF3-9A9D6E26DA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128075"/>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197</xdr:row>
      <xdr:rowOff>0</xdr:rowOff>
    </xdr:from>
    <xdr:to>
      <xdr:col>2</xdr:col>
      <xdr:colOff>1975855</xdr:colOff>
      <xdr:row>198</xdr:row>
      <xdr:rowOff>27375</xdr:rowOff>
    </xdr:to>
    <xdr:pic>
      <xdr:nvPicPr>
        <xdr:cNvPr id="2" name="Picture 1">
          <a:extLst>
            <a:ext uri="{FF2B5EF4-FFF2-40B4-BE49-F238E27FC236}">
              <a16:creationId xmlns:a16="http://schemas.microsoft.com/office/drawing/2014/main" id="{74D62978-C511-4750-9AB3-E2AD59385C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3472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201</xdr:row>
      <xdr:rowOff>0</xdr:rowOff>
    </xdr:from>
    <xdr:to>
      <xdr:col>2</xdr:col>
      <xdr:colOff>1975855</xdr:colOff>
      <xdr:row>201</xdr:row>
      <xdr:rowOff>1980000</xdr:rowOff>
    </xdr:to>
    <xdr:pic>
      <xdr:nvPicPr>
        <xdr:cNvPr id="3" name="Picture 2">
          <a:extLst>
            <a:ext uri="{FF2B5EF4-FFF2-40B4-BE49-F238E27FC236}">
              <a16:creationId xmlns:a16="http://schemas.microsoft.com/office/drawing/2014/main" id="{A5F97FC9-CE16-45CC-9833-1FDABD18D44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77856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76200</xdr:colOff>
      <xdr:row>155</xdr:row>
      <xdr:rowOff>0</xdr:rowOff>
    </xdr:from>
    <xdr:to>
      <xdr:col>2</xdr:col>
      <xdr:colOff>2052055</xdr:colOff>
      <xdr:row>156</xdr:row>
      <xdr:rowOff>27375</xdr:rowOff>
    </xdr:to>
    <xdr:pic>
      <xdr:nvPicPr>
        <xdr:cNvPr id="2" name="Picture 1">
          <a:extLst>
            <a:ext uri="{FF2B5EF4-FFF2-40B4-BE49-F238E27FC236}">
              <a16:creationId xmlns:a16="http://schemas.microsoft.com/office/drawing/2014/main" id="{3441C068-2ACE-4D88-AD24-033AAB31D9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9432250"/>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160</xdr:row>
      <xdr:rowOff>161925</xdr:rowOff>
    </xdr:from>
    <xdr:to>
      <xdr:col>2</xdr:col>
      <xdr:colOff>1975855</xdr:colOff>
      <xdr:row>161</xdr:row>
      <xdr:rowOff>46425</xdr:rowOff>
    </xdr:to>
    <xdr:pic>
      <xdr:nvPicPr>
        <xdr:cNvPr id="3" name="Picture 2">
          <a:extLst>
            <a:ext uri="{FF2B5EF4-FFF2-40B4-BE49-F238E27FC236}">
              <a16:creationId xmlns:a16="http://schemas.microsoft.com/office/drawing/2014/main" id="{4D87333A-FD20-4605-A164-74C9C67B77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194500"/>
          <a:ext cx="3280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0</xdr:colOff>
      <xdr:row>130</xdr:row>
      <xdr:rowOff>0</xdr:rowOff>
    </xdr:from>
    <xdr:to>
      <xdr:col>2</xdr:col>
      <xdr:colOff>1975855</xdr:colOff>
      <xdr:row>131</xdr:row>
      <xdr:rowOff>27375</xdr:rowOff>
    </xdr:to>
    <xdr:pic>
      <xdr:nvPicPr>
        <xdr:cNvPr id="2" name="Picture 1">
          <a:extLst>
            <a:ext uri="{FF2B5EF4-FFF2-40B4-BE49-F238E27FC236}">
              <a16:creationId xmlns:a16="http://schemas.microsoft.com/office/drawing/2014/main" id="{4BDD75F3-02EE-4AA3-9F56-C2A49F8565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1646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135</xdr:row>
      <xdr:rowOff>0</xdr:rowOff>
    </xdr:from>
    <xdr:to>
      <xdr:col>2</xdr:col>
      <xdr:colOff>1975855</xdr:colOff>
      <xdr:row>135</xdr:row>
      <xdr:rowOff>1980000</xdr:rowOff>
    </xdr:to>
    <xdr:pic>
      <xdr:nvPicPr>
        <xdr:cNvPr id="3" name="Picture 2">
          <a:extLst>
            <a:ext uri="{FF2B5EF4-FFF2-40B4-BE49-F238E27FC236}">
              <a16:creationId xmlns:a16="http://schemas.microsoft.com/office/drawing/2014/main" id="{120F9E94-5AFB-4AE7-9776-E47E3D38AD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7650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0</xdr:colOff>
      <xdr:row>148</xdr:row>
      <xdr:rowOff>0</xdr:rowOff>
    </xdr:from>
    <xdr:to>
      <xdr:col>2</xdr:col>
      <xdr:colOff>1975855</xdr:colOff>
      <xdr:row>149</xdr:row>
      <xdr:rowOff>27375</xdr:rowOff>
    </xdr:to>
    <xdr:pic>
      <xdr:nvPicPr>
        <xdr:cNvPr id="2" name="Picture 1">
          <a:extLst>
            <a:ext uri="{FF2B5EF4-FFF2-40B4-BE49-F238E27FC236}">
              <a16:creationId xmlns:a16="http://schemas.microsoft.com/office/drawing/2014/main" id="{28858F4A-EF1E-452C-8C53-7E44AF4773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2890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154</xdr:row>
      <xdr:rowOff>0</xdr:rowOff>
    </xdr:from>
    <xdr:to>
      <xdr:col>2</xdr:col>
      <xdr:colOff>1975855</xdr:colOff>
      <xdr:row>154</xdr:row>
      <xdr:rowOff>2046675</xdr:rowOff>
    </xdr:to>
    <xdr:pic>
      <xdr:nvPicPr>
        <xdr:cNvPr id="3" name="Picture 2">
          <a:extLst>
            <a:ext uri="{FF2B5EF4-FFF2-40B4-BE49-F238E27FC236}">
              <a16:creationId xmlns:a16="http://schemas.microsoft.com/office/drawing/2014/main" id="{17863716-7754-4919-A525-E3167193CF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051250"/>
          <a:ext cx="3290305" cy="2046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154</xdr:row>
      <xdr:rowOff>0</xdr:rowOff>
    </xdr:from>
    <xdr:to>
      <xdr:col>6</xdr:col>
      <xdr:colOff>661405</xdr:colOff>
      <xdr:row>154</xdr:row>
      <xdr:rowOff>1980000</xdr:rowOff>
    </xdr:to>
    <xdr:pic>
      <xdr:nvPicPr>
        <xdr:cNvPr id="4" name="Picture 3">
          <a:extLst>
            <a:ext uri="{FF2B5EF4-FFF2-40B4-BE49-F238E27FC236}">
              <a16:creationId xmlns:a16="http://schemas.microsoft.com/office/drawing/2014/main" id="{A227D5DB-EAEF-4DF0-870A-B12DB07F536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76775" y="290512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149</xdr:row>
      <xdr:rowOff>0</xdr:rowOff>
    </xdr:from>
    <xdr:to>
      <xdr:col>2</xdr:col>
      <xdr:colOff>1975855</xdr:colOff>
      <xdr:row>149</xdr:row>
      <xdr:rowOff>1980000</xdr:rowOff>
    </xdr:to>
    <xdr:pic>
      <xdr:nvPicPr>
        <xdr:cNvPr id="2" name="Picture 1">
          <a:extLst>
            <a:ext uri="{FF2B5EF4-FFF2-40B4-BE49-F238E27FC236}">
              <a16:creationId xmlns:a16="http://schemas.microsoft.com/office/drawing/2014/main" id="{F7D98BC0-AE75-4360-B39E-C3BBB400AE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8320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144</xdr:row>
      <xdr:rowOff>0</xdr:rowOff>
    </xdr:from>
    <xdr:to>
      <xdr:col>2</xdr:col>
      <xdr:colOff>1975855</xdr:colOff>
      <xdr:row>145</xdr:row>
      <xdr:rowOff>27375</xdr:rowOff>
    </xdr:to>
    <xdr:pic>
      <xdr:nvPicPr>
        <xdr:cNvPr id="4" name="Picture 3">
          <a:extLst>
            <a:ext uri="{FF2B5EF4-FFF2-40B4-BE49-F238E27FC236}">
              <a16:creationId xmlns:a16="http://schemas.microsoft.com/office/drawing/2014/main" id="{F1388E85-CAB3-4283-8B2F-686A6CE89D5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9271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0</xdr:colOff>
      <xdr:row>128</xdr:row>
      <xdr:rowOff>0</xdr:rowOff>
    </xdr:from>
    <xdr:to>
      <xdr:col>2</xdr:col>
      <xdr:colOff>1975855</xdr:colOff>
      <xdr:row>129</xdr:row>
      <xdr:rowOff>27375</xdr:rowOff>
    </xdr:to>
    <xdr:pic>
      <xdr:nvPicPr>
        <xdr:cNvPr id="2" name="Picture 1">
          <a:extLst>
            <a:ext uri="{FF2B5EF4-FFF2-40B4-BE49-F238E27FC236}">
              <a16:creationId xmlns:a16="http://schemas.microsoft.com/office/drawing/2014/main" id="{4897119D-67A4-44FB-A9CE-FFE3DFEF26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9076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133</xdr:row>
      <xdr:rowOff>0</xdr:rowOff>
    </xdr:from>
    <xdr:to>
      <xdr:col>2</xdr:col>
      <xdr:colOff>1975855</xdr:colOff>
      <xdr:row>133</xdr:row>
      <xdr:rowOff>1980000</xdr:rowOff>
    </xdr:to>
    <xdr:pic>
      <xdr:nvPicPr>
        <xdr:cNvPr id="3" name="Picture 2">
          <a:extLst>
            <a:ext uri="{FF2B5EF4-FFF2-40B4-BE49-F238E27FC236}">
              <a16:creationId xmlns:a16="http://schemas.microsoft.com/office/drawing/2014/main" id="{11AEF79B-6E4F-4403-91F5-310393D7DA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5079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28575</xdr:colOff>
      <xdr:row>140</xdr:row>
      <xdr:rowOff>0</xdr:rowOff>
    </xdr:from>
    <xdr:to>
      <xdr:col>2</xdr:col>
      <xdr:colOff>2004430</xdr:colOff>
      <xdr:row>141</xdr:row>
      <xdr:rowOff>27375</xdr:rowOff>
    </xdr:to>
    <xdr:pic>
      <xdr:nvPicPr>
        <xdr:cNvPr id="2" name="Picture 1">
          <a:extLst>
            <a:ext uri="{FF2B5EF4-FFF2-40B4-BE49-F238E27FC236}">
              <a16:creationId xmlns:a16="http://schemas.microsoft.com/office/drawing/2014/main" id="{60916C25-278F-44B7-8687-855A81409E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244983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144</xdr:row>
      <xdr:rowOff>152400</xdr:rowOff>
    </xdr:from>
    <xdr:to>
      <xdr:col>2</xdr:col>
      <xdr:colOff>1975855</xdr:colOff>
      <xdr:row>145</xdr:row>
      <xdr:rowOff>1970475</xdr:rowOff>
    </xdr:to>
    <xdr:pic>
      <xdr:nvPicPr>
        <xdr:cNvPr id="3" name="Picture 2">
          <a:extLst>
            <a:ext uri="{FF2B5EF4-FFF2-40B4-BE49-F238E27FC236}">
              <a16:creationId xmlns:a16="http://schemas.microsoft.com/office/drawing/2014/main" id="{4832A207-4C40-4E96-A56F-4E33E90C09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70891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149</xdr:row>
      <xdr:rowOff>0</xdr:rowOff>
    </xdr:from>
    <xdr:to>
      <xdr:col>2</xdr:col>
      <xdr:colOff>1975855</xdr:colOff>
      <xdr:row>150</xdr:row>
      <xdr:rowOff>27375</xdr:rowOff>
    </xdr:to>
    <xdr:pic>
      <xdr:nvPicPr>
        <xdr:cNvPr id="2" name="Picture 1">
          <a:extLst>
            <a:ext uri="{FF2B5EF4-FFF2-40B4-BE49-F238E27FC236}">
              <a16:creationId xmlns:a16="http://schemas.microsoft.com/office/drawing/2014/main" id="{9DFD8E47-D9DA-4844-9A7F-FD10D7A6E2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4034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154</xdr:row>
      <xdr:rowOff>0</xdr:rowOff>
    </xdr:from>
    <xdr:to>
      <xdr:col>2</xdr:col>
      <xdr:colOff>1975855</xdr:colOff>
      <xdr:row>154</xdr:row>
      <xdr:rowOff>1980000</xdr:rowOff>
    </xdr:to>
    <xdr:pic>
      <xdr:nvPicPr>
        <xdr:cNvPr id="3" name="Picture 2">
          <a:extLst>
            <a:ext uri="{FF2B5EF4-FFF2-40B4-BE49-F238E27FC236}">
              <a16:creationId xmlns:a16="http://schemas.microsoft.com/office/drawing/2014/main" id="{0288D435-864F-4C51-81DB-E59CA745ABC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0037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123</xdr:row>
      <xdr:rowOff>0</xdr:rowOff>
    </xdr:from>
    <xdr:to>
      <xdr:col>2</xdr:col>
      <xdr:colOff>1975855</xdr:colOff>
      <xdr:row>124</xdr:row>
      <xdr:rowOff>27375</xdr:rowOff>
    </xdr:to>
    <xdr:pic>
      <xdr:nvPicPr>
        <xdr:cNvPr id="2" name="Picture 1">
          <a:extLst>
            <a:ext uri="{FF2B5EF4-FFF2-40B4-BE49-F238E27FC236}">
              <a16:creationId xmlns:a16="http://schemas.microsoft.com/office/drawing/2014/main" id="{10041FE6-6B74-4691-ABF9-C57FD270A0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4312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128</xdr:row>
      <xdr:rowOff>0</xdr:rowOff>
    </xdr:from>
    <xdr:to>
      <xdr:col>2</xdr:col>
      <xdr:colOff>1975855</xdr:colOff>
      <xdr:row>128</xdr:row>
      <xdr:rowOff>1980000</xdr:rowOff>
    </xdr:to>
    <xdr:pic>
      <xdr:nvPicPr>
        <xdr:cNvPr id="3" name="Picture 2">
          <a:extLst>
            <a:ext uri="{FF2B5EF4-FFF2-40B4-BE49-F238E27FC236}">
              <a16:creationId xmlns:a16="http://schemas.microsoft.com/office/drawing/2014/main" id="{AEE234F2-3AE3-414D-894D-5006328722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0315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1</xdr:col>
      <xdr:colOff>0</xdr:colOff>
      <xdr:row>201</xdr:row>
      <xdr:rowOff>152400</xdr:rowOff>
    </xdr:from>
    <xdr:to>
      <xdr:col>2</xdr:col>
      <xdr:colOff>1976777</xdr:colOff>
      <xdr:row>202</xdr:row>
      <xdr:rowOff>36900</xdr:rowOff>
    </xdr:to>
    <xdr:pic>
      <xdr:nvPicPr>
        <xdr:cNvPr id="2" name="Picture 1">
          <a:extLst>
            <a:ext uri="{FF2B5EF4-FFF2-40B4-BE49-F238E27FC236}">
              <a16:creationId xmlns:a16="http://schemas.microsoft.com/office/drawing/2014/main" id="{292144D8-7BED-4A88-B271-E36685017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995725"/>
          <a:ext cx="329122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196</xdr:row>
      <xdr:rowOff>0</xdr:rowOff>
    </xdr:from>
    <xdr:to>
      <xdr:col>2</xdr:col>
      <xdr:colOff>1976777</xdr:colOff>
      <xdr:row>197</xdr:row>
      <xdr:rowOff>27375</xdr:rowOff>
    </xdr:to>
    <xdr:pic>
      <xdr:nvPicPr>
        <xdr:cNvPr id="3" name="Picture 2">
          <a:extLst>
            <a:ext uri="{FF2B5EF4-FFF2-40B4-BE49-F238E27FC236}">
              <a16:creationId xmlns:a16="http://schemas.microsoft.com/office/drawing/2014/main" id="{7F9F9C3B-590A-4D22-884C-F7CD0F27C7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243000"/>
          <a:ext cx="329122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1</xdr:col>
      <xdr:colOff>0</xdr:colOff>
      <xdr:row>169</xdr:row>
      <xdr:rowOff>0</xdr:rowOff>
    </xdr:from>
    <xdr:to>
      <xdr:col>2</xdr:col>
      <xdr:colOff>1975855</xdr:colOff>
      <xdr:row>169</xdr:row>
      <xdr:rowOff>1980000</xdr:rowOff>
    </xdr:to>
    <xdr:pic>
      <xdr:nvPicPr>
        <xdr:cNvPr id="2" name="Picture 1">
          <a:extLst>
            <a:ext uri="{FF2B5EF4-FFF2-40B4-BE49-F238E27FC236}">
              <a16:creationId xmlns:a16="http://schemas.microsoft.com/office/drawing/2014/main" id="{0A55D3E3-206E-4589-8F41-9D9D7D36A9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7646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164</xdr:row>
      <xdr:rowOff>0</xdr:rowOff>
    </xdr:from>
    <xdr:to>
      <xdr:col>2</xdr:col>
      <xdr:colOff>1975855</xdr:colOff>
      <xdr:row>165</xdr:row>
      <xdr:rowOff>27375</xdr:rowOff>
    </xdr:to>
    <xdr:pic>
      <xdr:nvPicPr>
        <xdr:cNvPr id="3" name="Picture 2">
          <a:extLst>
            <a:ext uri="{FF2B5EF4-FFF2-40B4-BE49-F238E27FC236}">
              <a16:creationId xmlns:a16="http://schemas.microsoft.com/office/drawing/2014/main" id="{A8BA1280-8EE0-42D3-8A5F-9C7FEE5718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191643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8E398-C312-4AFB-97D3-33C00F31E6F7}">
  <dimension ref="A1:C31"/>
  <sheetViews>
    <sheetView tabSelected="1" zoomScale="110" zoomScaleNormal="110" workbookViewId="0">
      <pane ySplit="1" topLeftCell="A2" activePane="bottomLeft" state="frozen"/>
      <selection sqref="A1:H1"/>
      <selection pane="bottomLeft" activeCell="F20" sqref="F20"/>
    </sheetView>
  </sheetViews>
  <sheetFormatPr defaultColWidth="9.140625" defaultRowHeight="15" x14ac:dyDescent="0.25"/>
  <cols>
    <col min="1" max="1" width="6.140625" style="3" bestFit="1" customWidth="1"/>
    <col min="2" max="2" width="10.42578125" style="3" bestFit="1" customWidth="1"/>
    <col min="3" max="3" width="56.140625" style="3" bestFit="1" customWidth="1"/>
    <col min="4" max="16384" width="9.140625" style="3"/>
  </cols>
  <sheetData>
    <row r="1" spans="1:3" x14ac:dyDescent="0.25">
      <c r="A1" s="2" t="s">
        <v>899</v>
      </c>
      <c r="B1" s="2" t="s">
        <v>900</v>
      </c>
      <c r="C1" s="2" t="s">
        <v>901</v>
      </c>
    </row>
    <row r="2" spans="1:3" x14ac:dyDescent="0.25">
      <c r="A2" s="4">
        <v>1</v>
      </c>
      <c r="B2" s="5" t="s">
        <v>902</v>
      </c>
      <c r="C2" s="6" t="s">
        <v>1</v>
      </c>
    </row>
    <row r="3" spans="1:3" x14ac:dyDescent="0.25">
      <c r="A3" s="4">
        <v>2</v>
      </c>
      <c r="B3" s="5" t="s">
        <v>903</v>
      </c>
      <c r="C3" s="6" t="s">
        <v>904</v>
      </c>
    </row>
    <row r="4" spans="1:3" x14ac:dyDescent="0.25">
      <c r="A4" s="4">
        <v>3</v>
      </c>
      <c r="B4" s="5" t="s">
        <v>905</v>
      </c>
      <c r="C4" s="6" t="s">
        <v>182</v>
      </c>
    </row>
    <row r="5" spans="1:3" x14ac:dyDescent="0.25">
      <c r="A5" s="4">
        <v>4</v>
      </c>
      <c r="B5" s="5" t="s">
        <v>906</v>
      </c>
      <c r="C5" s="6" t="s">
        <v>907</v>
      </c>
    </row>
    <row r="6" spans="1:3" x14ac:dyDescent="0.25">
      <c r="A6" s="4">
        <v>5</v>
      </c>
      <c r="B6" s="5" t="s">
        <v>908</v>
      </c>
      <c r="C6" s="6" t="s">
        <v>909</v>
      </c>
    </row>
    <row r="7" spans="1:3" x14ac:dyDescent="0.25">
      <c r="A7" s="4">
        <v>6</v>
      </c>
      <c r="B7" s="5" t="s">
        <v>910</v>
      </c>
      <c r="C7" s="6" t="s">
        <v>911</v>
      </c>
    </row>
    <row r="8" spans="1:3" x14ac:dyDescent="0.25">
      <c r="A8" s="4">
        <v>7</v>
      </c>
      <c r="B8" s="5" t="s">
        <v>912</v>
      </c>
      <c r="C8" s="6" t="s">
        <v>913</v>
      </c>
    </row>
    <row r="9" spans="1:3" x14ac:dyDescent="0.25">
      <c r="A9" s="4">
        <v>8</v>
      </c>
      <c r="B9" s="5" t="s">
        <v>914</v>
      </c>
      <c r="C9" s="6" t="s">
        <v>451</v>
      </c>
    </row>
    <row r="10" spans="1:3" x14ac:dyDescent="0.25">
      <c r="A10" s="4">
        <v>9</v>
      </c>
      <c r="B10" s="5" t="s">
        <v>915</v>
      </c>
      <c r="C10" s="6" t="s">
        <v>454</v>
      </c>
    </row>
    <row r="11" spans="1:3" x14ac:dyDescent="0.25">
      <c r="A11" s="4">
        <v>10</v>
      </c>
      <c r="B11" s="5" t="s">
        <v>916</v>
      </c>
      <c r="C11" s="6" t="s">
        <v>455</v>
      </c>
    </row>
    <row r="12" spans="1:3" x14ac:dyDescent="0.25">
      <c r="A12" s="4">
        <v>11</v>
      </c>
      <c r="B12" s="5" t="s">
        <v>917</v>
      </c>
      <c r="C12" s="6" t="s">
        <v>456</v>
      </c>
    </row>
    <row r="13" spans="1:3" x14ac:dyDescent="0.25">
      <c r="A13" s="4">
        <v>12</v>
      </c>
      <c r="B13" s="5" t="s">
        <v>918</v>
      </c>
      <c r="C13" s="6" t="s">
        <v>457</v>
      </c>
    </row>
    <row r="14" spans="1:3" x14ac:dyDescent="0.25">
      <c r="A14" s="4">
        <v>13</v>
      </c>
      <c r="B14" s="5" t="s">
        <v>919</v>
      </c>
      <c r="C14" s="6" t="s">
        <v>502</v>
      </c>
    </row>
    <row r="15" spans="1:3" x14ac:dyDescent="0.25">
      <c r="A15" s="4">
        <v>14</v>
      </c>
      <c r="B15" s="5" t="s">
        <v>920</v>
      </c>
      <c r="C15" s="6" t="s">
        <v>921</v>
      </c>
    </row>
    <row r="16" spans="1:3" x14ac:dyDescent="0.25">
      <c r="A16" s="4">
        <v>15</v>
      </c>
      <c r="B16" s="5" t="s">
        <v>922</v>
      </c>
      <c r="C16" s="6" t="s">
        <v>651</v>
      </c>
    </row>
    <row r="17" spans="1:3" x14ac:dyDescent="0.25">
      <c r="A17" s="4">
        <v>16</v>
      </c>
      <c r="B17" s="5" t="s">
        <v>923</v>
      </c>
      <c r="C17" s="6" t="s">
        <v>666</v>
      </c>
    </row>
    <row r="18" spans="1:3" x14ac:dyDescent="0.25">
      <c r="A18" s="4">
        <v>17</v>
      </c>
      <c r="B18" s="5" t="s">
        <v>924</v>
      </c>
      <c r="C18" s="6" t="s">
        <v>696</v>
      </c>
    </row>
    <row r="19" spans="1:3" x14ac:dyDescent="0.25">
      <c r="A19" s="4">
        <v>18</v>
      </c>
      <c r="B19" s="5" t="s">
        <v>925</v>
      </c>
      <c r="C19" s="6" t="s">
        <v>926</v>
      </c>
    </row>
    <row r="20" spans="1:3" x14ac:dyDescent="0.25">
      <c r="A20" s="4">
        <v>19</v>
      </c>
      <c r="B20" s="5" t="s">
        <v>927</v>
      </c>
      <c r="C20" s="6" t="s">
        <v>738</v>
      </c>
    </row>
    <row r="21" spans="1:3" x14ac:dyDescent="0.25">
      <c r="A21" s="4">
        <v>20</v>
      </c>
      <c r="B21" s="5" t="s">
        <v>928</v>
      </c>
      <c r="C21" s="6" t="s">
        <v>929</v>
      </c>
    </row>
    <row r="22" spans="1:3" x14ac:dyDescent="0.25">
      <c r="A22" s="4">
        <v>21</v>
      </c>
      <c r="B22" s="5" t="s">
        <v>930</v>
      </c>
      <c r="C22" s="6" t="s">
        <v>799</v>
      </c>
    </row>
    <row r="23" spans="1:3" x14ac:dyDescent="0.25">
      <c r="A23" s="4">
        <v>22</v>
      </c>
      <c r="B23" s="5" t="s">
        <v>931</v>
      </c>
      <c r="C23" s="6" t="s">
        <v>806</v>
      </c>
    </row>
    <row r="24" spans="1:3" x14ac:dyDescent="0.25">
      <c r="A24" s="4">
        <v>23</v>
      </c>
      <c r="B24" s="5" t="s">
        <v>932</v>
      </c>
      <c r="C24" s="6" t="s">
        <v>811</v>
      </c>
    </row>
    <row r="25" spans="1:3" x14ac:dyDescent="0.25">
      <c r="A25" s="4">
        <v>24</v>
      </c>
      <c r="B25" s="5" t="s">
        <v>933</v>
      </c>
      <c r="C25" s="6" t="s">
        <v>816</v>
      </c>
    </row>
    <row r="26" spans="1:3" x14ac:dyDescent="0.25">
      <c r="A26" s="4">
        <v>25</v>
      </c>
      <c r="B26" s="5" t="s">
        <v>934</v>
      </c>
      <c r="C26" s="6" t="s">
        <v>821</v>
      </c>
    </row>
    <row r="27" spans="1:3" x14ac:dyDescent="0.25">
      <c r="A27" s="4">
        <v>26</v>
      </c>
      <c r="B27" s="5" t="s">
        <v>935</v>
      </c>
      <c r="C27" s="6" t="s">
        <v>835</v>
      </c>
    </row>
    <row r="28" spans="1:3" x14ac:dyDescent="0.25">
      <c r="A28" s="4">
        <v>27</v>
      </c>
      <c r="B28" s="5" t="s">
        <v>936</v>
      </c>
      <c r="C28" s="6" t="s">
        <v>836</v>
      </c>
    </row>
    <row r="29" spans="1:3" x14ac:dyDescent="0.25">
      <c r="A29" s="4">
        <v>28</v>
      </c>
      <c r="B29" s="5" t="s">
        <v>937</v>
      </c>
      <c r="C29" s="6" t="s">
        <v>839</v>
      </c>
    </row>
    <row r="30" spans="1:3" x14ac:dyDescent="0.25">
      <c r="A30" s="4">
        <v>29</v>
      </c>
      <c r="B30" s="7" t="s">
        <v>938</v>
      </c>
      <c r="C30" s="6" t="s">
        <v>822</v>
      </c>
    </row>
    <row r="31" spans="1:3" x14ac:dyDescent="0.25">
      <c r="A31" s="4">
        <v>30</v>
      </c>
      <c r="B31" s="8" t="s">
        <v>939</v>
      </c>
      <c r="C31" s="6" t="s">
        <v>852</v>
      </c>
    </row>
  </sheetData>
  <hyperlinks>
    <hyperlink ref="B4" location="MIDCAP!A1" display="MIDCAP" xr:uid="{25A6EC9A-FF52-465A-B5C5-B77F28631F76}"/>
    <hyperlink ref="B5" location="MULTIP!A1" display="MULTIP" xr:uid="{D96743AF-4151-457C-848E-418B6527A48D}"/>
    <hyperlink ref="B6" location="SLTADV3!A1" display="SLTADV3" xr:uid="{1F53A0FC-CBEA-43E4-BDD2-B4401443D1E1}"/>
    <hyperlink ref="B7" location="SLTADV4!A1" display="SLTADV4" xr:uid="{06C7FA2A-E444-47A4-A225-2261C87275BC}"/>
    <hyperlink ref="B8" location="SLTAX2!A1" display="SLTAX2" xr:uid="{C63A9E16-0E09-4AE4-8A73-6CD7B9B43EC6}"/>
    <hyperlink ref="B9" location="SLTAX3!A1" display="SLTAX3" xr:uid="{D8EBC03A-8A92-4BB2-95B2-F646B456457E}"/>
    <hyperlink ref="B10" location="SLTAX4!A1" display="SLTAX4" xr:uid="{9F140EA1-66C0-420F-820A-0CEC004A1159}"/>
    <hyperlink ref="B11" location="SLTAX5!A1" display="SLTAX5" xr:uid="{21F2C301-7DD9-43DB-993C-947AF9218E6E}"/>
    <hyperlink ref="B12" location="SLTAX6!A1" display="SLTAX6" xr:uid="{B8F9B3EB-A22D-45D4-8CA8-E8F085E4E36E}"/>
    <hyperlink ref="B13" location="SMILE!A1" display="SMILE" xr:uid="{DA6E9878-AD51-4EA0-BA4F-A9B19E16AD81}"/>
    <hyperlink ref="B14" location="SPAHF!A1" display="SPAHF" xr:uid="{E2F2AC6F-C0A3-43AF-A5C9-66535DBA326B}"/>
    <hyperlink ref="B15" location="SPARF!A1" display="SPARF" xr:uid="{E2B2CE68-1FB7-4DA6-8624-F435DA33611C}"/>
    <hyperlink ref="B16" location="SPBAF!A1" display="SPBAF" xr:uid="{E6D8AB33-2C75-487A-978A-38FE2C33F604}"/>
    <hyperlink ref="B18" location="SPESF!A1" display="SPESF" xr:uid="{BBC327F2-633D-4664-8A12-518302EB4838}"/>
    <hyperlink ref="B19" location="SPFOCUS!A1" display="SPFOCUS" xr:uid="{956F7461-0A29-445A-A39D-9987D5EC0DA3}"/>
    <hyperlink ref="B20" location="SPMUCF!A1" display="SPMUCF" xr:uid="{754F6F8B-AECF-44E1-BC9A-8BC0959E676B}"/>
    <hyperlink ref="B21" location="SPSN100!A1" display="SPSN100" xr:uid="{115B0EDD-C1FC-4424-B895-782CAB0860E5}"/>
    <hyperlink ref="B22" location="SPTAX!A1" display="SPTAX" xr:uid="{738E7E06-802D-42E5-AA90-6F9B721DB66E}"/>
    <hyperlink ref="B23" location="SRURAL!A1" display="SRURAL" xr:uid="{D2B69003-0FE2-47C5-90B8-34BD7E3DC668}"/>
    <hyperlink ref="B24" location="SSFUND!A1" display="SSFUND" xr:uid="{19B177BE-72D3-4F06-8F4D-2ABBE8FB8437}"/>
    <hyperlink ref="B25" location="STAX!A1" display="STAX" xr:uid="{41953B01-A4ED-45FA-84E8-F21CD44B7ACA}"/>
    <hyperlink ref="B26" location="SUNBCF!A1" display="SUNBCF" xr:uid="{D9078C86-4EAE-45AC-AE8E-947EC748E287}"/>
    <hyperlink ref="B28" location="SUNFOP!A1" display="SUNFOP" xr:uid="{094BA3C9-CC4B-4F31-A552-ECFC4C30AF0D}"/>
    <hyperlink ref="B3" location="GLOB!A1" display="GLOB" xr:uid="{E2D3E822-3554-4601-8667-7701F1860296}"/>
    <hyperlink ref="B27" location="SUNFCF!A1" display="SUNFCF" xr:uid="{767EA727-6080-46F3-9F43-50310B35DBF0}"/>
    <hyperlink ref="B17" location="SPDYF!A1" display="SPDYF" xr:uid="{BE06FA3E-4CB0-4AD1-ACD4-50003FCB4341}"/>
    <hyperlink ref="B29" location="SUNMAF!A1" display="SUNMAF" xr:uid="{04BE1B02-0A73-4E9B-ADFF-A159943E1590}"/>
    <hyperlink ref="B2" location="CAPEXG!A1" display="CAPEXG" xr:uid="{F392B682-8A9F-4CE0-9FEB-7126C4D3BB5A}"/>
    <hyperlink ref="B30" location="SUNCYF!A1" display="SUNCYF" xr:uid="{BBE40201-9661-4D07-B73E-FCE46E56400F}"/>
    <hyperlink ref="B31" location="SUNMFF!A1" display="SUNMFF" xr:uid="{0C264574-DC47-4D82-A0B6-92C94C5467D9}"/>
  </hyperlinks>
  <pageMargins left="0.7" right="0.7" top="0.75" bottom="0.75" header="0.3" footer="0.3"/>
  <headerFooter>
    <oddHeader>&amp;L&amp;"Calibri"&amp;10&amp;KFF0000 "Sensitivity: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BC8CC-30F1-4D77-8499-9F06AC8D3B28}">
  <sheetPr>
    <outlinePr summaryBelow="0" summaryRight="0"/>
  </sheetPr>
  <dimension ref="A1:Q169"/>
  <sheetViews>
    <sheetView showGridLines="0" workbookViewId="0">
      <selection activeCell="C26" sqref="C26"/>
    </sheetView>
  </sheetViews>
  <sheetFormatPr defaultRowHeight="14.25" customHeight="1" x14ac:dyDescent="0.2"/>
  <cols>
    <col min="1" max="1" width="5.85546875" bestFit="1" customWidth="1"/>
    <col min="2" max="2" width="20" customWidth="1"/>
    <col min="3" max="3" width="39.140625" bestFit="1" customWidth="1"/>
    <col min="4" max="4" width="22.425781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1</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11</v>
      </c>
      <c r="C7" s="89" t="s">
        <v>12</v>
      </c>
      <c r="D7" s="89" t="s">
        <v>13</v>
      </c>
      <c r="E7" s="90">
        <v>415000</v>
      </c>
      <c r="F7" s="91">
        <v>7838.52</v>
      </c>
      <c r="G7" s="92">
        <v>8.3795330000000001E-2</v>
      </c>
      <c r="H7" s="87" t="s">
        <v>143</v>
      </c>
    </row>
    <row r="8" spans="1:9" ht="14.25" customHeight="1" x14ac:dyDescent="0.2">
      <c r="A8" s="88">
        <v>2</v>
      </c>
      <c r="B8" s="89" t="s">
        <v>14</v>
      </c>
      <c r="C8" s="89" t="s">
        <v>15</v>
      </c>
      <c r="D8" s="89" t="s">
        <v>16</v>
      </c>
      <c r="E8" s="90">
        <v>210000</v>
      </c>
      <c r="F8" s="91">
        <v>7562.1</v>
      </c>
      <c r="G8" s="92">
        <v>8.0840350000000005E-2</v>
      </c>
      <c r="H8" s="87" t="s">
        <v>143</v>
      </c>
    </row>
    <row r="9" spans="1:9" ht="14.25" customHeight="1" x14ac:dyDescent="0.2">
      <c r="A9" s="88">
        <v>3</v>
      </c>
      <c r="B9" s="89" t="s">
        <v>17</v>
      </c>
      <c r="C9" s="89" t="s">
        <v>18</v>
      </c>
      <c r="D9" s="89" t="s">
        <v>19</v>
      </c>
      <c r="E9" s="90">
        <v>525000</v>
      </c>
      <c r="F9" s="91">
        <v>7125.3</v>
      </c>
      <c r="G9" s="92">
        <v>7.6170870000000002E-2</v>
      </c>
      <c r="H9" s="87" t="s">
        <v>143</v>
      </c>
    </row>
    <row r="10" spans="1:9" ht="14.25" customHeight="1" x14ac:dyDescent="0.2">
      <c r="A10" s="88">
        <v>4</v>
      </c>
      <c r="B10" s="89" t="s">
        <v>20</v>
      </c>
      <c r="C10" s="89" t="s">
        <v>21</v>
      </c>
      <c r="D10" s="89" t="s">
        <v>22</v>
      </c>
      <c r="E10" s="90">
        <v>1340000</v>
      </c>
      <c r="F10" s="91">
        <v>4389.17</v>
      </c>
      <c r="G10" s="92">
        <v>4.69211E-2</v>
      </c>
      <c r="H10" s="87" t="s">
        <v>143</v>
      </c>
    </row>
    <row r="11" spans="1:9" ht="14.25" customHeight="1" x14ac:dyDescent="0.2">
      <c r="A11" s="88">
        <v>5</v>
      </c>
      <c r="B11" s="89" t="s">
        <v>23</v>
      </c>
      <c r="C11" s="89" t="s">
        <v>24</v>
      </c>
      <c r="D11" s="89" t="s">
        <v>25</v>
      </c>
      <c r="E11" s="90">
        <v>28000</v>
      </c>
      <c r="F11" s="91">
        <v>3539.2</v>
      </c>
      <c r="G11" s="92">
        <v>3.783475E-2</v>
      </c>
      <c r="H11" s="87" t="s">
        <v>143</v>
      </c>
    </row>
    <row r="12" spans="1:9" ht="14.25" customHeight="1" x14ac:dyDescent="0.2">
      <c r="A12" s="88">
        <v>6</v>
      </c>
      <c r="B12" s="89" t="s">
        <v>26</v>
      </c>
      <c r="C12" s="89" t="s">
        <v>27</v>
      </c>
      <c r="D12" s="89" t="s">
        <v>28</v>
      </c>
      <c r="E12" s="90">
        <v>675000</v>
      </c>
      <c r="F12" s="91">
        <v>2493.4499999999998</v>
      </c>
      <c r="G12" s="92">
        <v>2.6655479999999999E-2</v>
      </c>
      <c r="H12" s="87" t="s">
        <v>143</v>
      </c>
    </row>
    <row r="13" spans="1:9" ht="14.25" customHeight="1" x14ac:dyDescent="0.2">
      <c r="A13" s="88">
        <v>7</v>
      </c>
      <c r="B13" s="89" t="s">
        <v>29</v>
      </c>
      <c r="C13" s="89" t="s">
        <v>30</v>
      </c>
      <c r="D13" s="89" t="s">
        <v>22</v>
      </c>
      <c r="E13" s="90">
        <v>800000</v>
      </c>
      <c r="F13" s="91">
        <v>2202</v>
      </c>
      <c r="G13" s="92">
        <v>2.3539819999999999E-2</v>
      </c>
      <c r="H13" s="87" t="s">
        <v>143</v>
      </c>
    </row>
    <row r="14" spans="1:9" ht="14.25" customHeight="1" x14ac:dyDescent="0.2">
      <c r="A14" s="88">
        <v>8</v>
      </c>
      <c r="B14" s="89" t="s">
        <v>31</v>
      </c>
      <c r="C14" s="89" t="s">
        <v>32</v>
      </c>
      <c r="D14" s="89" t="s">
        <v>33</v>
      </c>
      <c r="E14" s="90">
        <v>150000</v>
      </c>
      <c r="F14" s="91">
        <v>2096.6999999999998</v>
      </c>
      <c r="G14" s="92">
        <v>2.2414139999999999E-2</v>
      </c>
      <c r="H14" s="87" t="s">
        <v>143</v>
      </c>
    </row>
    <row r="15" spans="1:9" ht="14.25" customHeight="1" x14ac:dyDescent="0.2">
      <c r="A15" s="88">
        <v>9</v>
      </c>
      <c r="B15" s="89" t="s">
        <v>34</v>
      </c>
      <c r="C15" s="89" t="s">
        <v>35</v>
      </c>
      <c r="D15" s="89" t="s">
        <v>36</v>
      </c>
      <c r="E15" s="90">
        <v>67000</v>
      </c>
      <c r="F15" s="91">
        <v>1862.0640000000001</v>
      </c>
      <c r="G15" s="92">
        <v>1.9905829999999999E-2</v>
      </c>
      <c r="H15" s="87" t="s">
        <v>143</v>
      </c>
    </row>
    <row r="16" spans="1:9" ht="14.25" customHeight="1" x14ac:dyDescent="0.2">
      <c r="A16" s="88">
        <v>10</v>
      </c>
      <c r="B16" s="89" t="s">
        <v>37</v>
      </c>
      <c r="C16" s="89" t="s">
        <v>38</v>
      </c>
      <c r="D16" s="89" t="s">
        <v>19</v>
      </c>
      <c r="E16" s="90">
        <v>575000</v>
      </c>
      <c r="F16" s="91">
        <v>1772.15</v>
      </c>
      <c r="G16" s="92">
        <v>1.8944639999999999E-2</v>
      </c>
      <c r="H16" s="87" t="s">
        <v>143</v>
      </c>
    </row>
    <row r="17" spans="1:8" ht="14.25" customHeight="1" x14ac:dyDescent="0.2">
      <c r="A17" s="88">
        <v>11</v>
      </c>
      <c r="B17" s="89" t="s">
        <v>39</v>
      </c>
      <c r="C17" s="89" t="s">
        <v>40</v>
      </c>
      <c r="D17" s="89" t="s">
        <v>16</v>
      </c>
      <c r="E17" s="90">
        <v>138000</v>
      </c>
      <c r="F17" s="91">
        <v>1723.62</v>
      </c>
      <c r="G17" s="92">
        <v>1.8425839999999999E-2</v>
      </c>
      <c r="H17" s="87" t="s">
        <v>143</v>
      </c>
    </row>
    <row r="18" spans="1:8" ht="14.25" customHeight="1" x14ac:dyDescent="0.2">
      <c r="A18" s="88">
        <v>12</v>
      </c>
      <c r="B18" s="89" t="s">
        <v>41</v>
      </c>
      <c r="C18" s="89" t="s">
        <v>42</v>
      </c>
      <c r="D18" s="89" t="s">
        <v>43</v>
      </c>
      <c r="E18" s="90">
        <v>125000</v>
      </c>
      <c r="F18" s="91">
        <v>1618.75</v>
      </c>
      <c r="G18" s="92">
        <v>1.7304759999999999E-2</v>
      </c>
      <c r="H18" s="87" t="s">
        <v>143</v>
      </c>
    </row>
    <row r="19" spans="1:8" ht="14.25" customHeight="1" x14ac:dyDescent="0.2">
      <c r="A19" s="88">
        <v>13</v>
      </c>
      <c r="B19" s="89" t="s">
        <v>44</v>
      </c>
      <c r="C19" s="89" t="s">
        <v>45</v>
      </c>
      <c r="D19" s="89" t="s">
        <v>46</v>
      </c>
      <c r="E19" s="90">
        <v>21500</v>
      </c>
      <c r="F19" s="91">
        <v>1562.5125</v>
      </c>
      <c r="G19" s="92">
        <v>1.6703570000000001E-2</v>
      </c>
      <c r="H19" s="87" t="s">
        <v>143</v>
      </c>
    </row>
    <row r="20" spans="1:8" ht="14.25" customHeight="1" x14ac:dyDescent="0.2">
      <c r="A20" s="88">
        <v>14</v>
      </c>
      <c r="B20" s="89" t="s">
        <v>47</v>
      </c>
      <c r="C20" s="89" t="s">
        <v>48</v>
      </c>
      <c r="D20" s="89" t="s">
        <v>22</v>
      </c>
      <c r="E20" s="90">
        <v>415000</v>
      </c>
      <c r="F20" s="91">
        <v>1552.7225000000001</v>
      </c>
      <c r="G20" s="92">
        <v>1.6598910000000001E-2</v>
      </c>
      <c r="H20" s="87" t="s">
        <v>143</v>
      </c>
    </row>
    <row r="21" spans="1:8" ht="14.25" customHeight="1" x14ac:dyDescent="0.2">
      <c r="A21" s="88">
        <v>15</v>
      </c>
      <c r="B21" s="89" t="s">
        <v>49</v>
      </c>
      <c r="C21" s="89" t="s">
        <v>50</v>
      </c>
      <c r="D21" s="89" t="s">
        <v>33</v>
      </c>
      <c r="E21" s="90">
        <v>190000</v>
      </c>
      <c r="F21" s="91">
        <v>1524.75</v>
      </c>
      <c r="G21" s="92">
        <v>1.6299879999999999E-2</v>
      </c>
      <c r="H21" s="87" t="s">
        <v>143</v>
      </c>
    </row>
    <row r="22" spans="1:8" ht="14.25" customHeight="1" x14ac:dyDescent="0.2">
      <c r="A22" s="88">
        <v>16</v>
      </c>
      <c r="B22" s="89" t="s">
        <v>51</v>
      </c>
      <c r="C22" s="89" t="s">
        <v>52</v>
      </c>
      <c r="D22" s="89" t="s">
        <v>53</v>
      </c>
      <c r="E22" s="90">
        <v>25000</v>
      </c>
      <c r="F22" s="91">
        <v>1411.5</v>
      </c>
      <c r="G22" s="92">
        <v>1.508922E-2</v>
      </c>
      <c r="H22" s="87" t="s">
        <v>143</v>
      </c>
    </row>
    <row r="23" spans="1:8" ht="14.25" customHeight="1" x14ac:dyDescent="0.2">
      <c r="A23" s="88">
        <v>17</v>
      </c>
      <c r="B23" s="89" t="s">
        <v>54</v>
      </c>
      <c r="C23" s="89" t="s">
        <v>55</v>
      </c>
      <c r="D23" s="89" t="s">
        <v>25</v>
      </c>
      <c r="E23" s="90">
        <v>20000</v>
      </c>
      <c r="F23" s="91">
        <v>1389.3</v>
      </c>
      <c r="G23" s="92">
        <v>1.485189E-2</v>
      </c>
      <c r="H23" s="87" t="s">
        <v>143</v>
      </c>
    </row>
    <row r="24" spans="1:8" ht="14.25" customHeight="1" x14ac:dyDescent="0.2">
      <c r="A24" s="88">
        <v>18</v>
      </c>
      <c r="B24" s="89" t="s">
        <v>56</v>
      </c>
      <c r="C24" s="89" t="s">
        <v>57</v>
      </c>
      <c r="D24" s="89" t="s">
        <v>36</v>
      </c>
      <c r="E24" s="90">
        <v>2400000</v>
      </c>
      <c r="F24" s="91">
        <v>1354.32</v>
      </c>
      <c r="G24" s="92">
        <v>1.447795E-2</v>
      </c>
      <c r="H24" s="87" t="s">
        <v>143</v>
      </c>
    </row>
    <row r="25" spans="1:8" ht="14.25" customHeight="1" x14ac:dyDescent="0.2">
      <c r="A25" s="88">
        <v>19</v>
      </c>
      <c r="B25" s="89" t="s">
        <v>58</v>
      </c>
      <c r="C25" s="89" t="s">
        <v>59</v>
      </c>
      <c r="D25" s="89" t="s">
        <v>43</v>
      </c>
      <c r="E25" s="90">
        <v>9500</v>
      </c>
      <c r="F25" s="91">
        <v>1337.125</v>
      </c>
      <c r="G25" s="92">
        <v>1.429413E-2</v>
      </c>
      <c r="H25" s="87" t="s">
        <v>143</v>
      </c>
    </row>
    <row r="26" spans="1:8" ht="14.25" customHeight="1" x14ac:dyDescent="0.2">
      <c r="A26" s="88">
        <v>20</v>
      </c>
      <c r="B26" s="89" t="s">
        <v>60</v>
      </c>
      <c r="C26" s="89" t="s">
        <v>61</v>
      </c>
      <c r="D26" s="89" t="s">
        <v>62</v>
      </c>
      <c r="E26" s="90">
        <v>100000</v>
      </c>
      <c r="F26" s="91">
        <v>1312.8</v>
      </c>
      <c r="G26" s="92">
        <v>1.4034090000000001E-2</v>
      </c>
      <c r="H26" s="87" t="s">
        <v>143</v>
      </c>
    </row>
    <row r="27" spans="1:8" ht="14.25" customHeight="1" x14ac:dyDescent="0.2">
      <c r="A27" s="88">
        <v>21</v>
      </c>
      <c r="B27" s="89" t="s">
        <v>63</v>
      </c>
      <c r="C27" s="89" t="s">
        <v>64</v>
      </c>
      <c r="D27" s="89" t="s">
        <v>65</v>
      </c>
      <c r="E27" s="90">
        <v>550000</v>
      </c>
      <c r="F27" s="91">
        <v>1285.405</v>
      </c>
      <c r="G27" s="92">
        <v>1.374123E-2</v>
      </c>
      <c r="H27" s="87" t="s">
        <v>143</v>
      </c>
    </row>
    <row r="28" spans="1:8" ht="14.25" customHeight="1" x14ac:dyDescent="0.2">
      <c r="A28" s="88">
        <v>22</v>
      </c>
      <c r="B28" s="89" t="s">
        <v>66</v>
      </c>
      <c r="C28" s="89" t="s">
        <v>67</v>
      </c>
      <c r="D28" s="89" t="s">
        <v>68</v>
      </c>
      <c r="E28" s="90">
        <v>25000</v>
      </c>
      <c r="F28" s="91">
        <v>1285.125</v>
      </c>
      <c r="G28" s="92">
        <v>1.3738240000000001E-2</v>
      </c>
      <c r="H28" s="87" t="s">
        <v>143</v>
      </c>
    </row>
    <row r="29" spans="1:8" ht="14.25" customHeight="1" x14ac:dyDescent="0.2">
      <c r="A29" s="88">
        <v>23</v>
      </c>
      <c r="B29" s="89" t="s">
        <v>69</v>
      </c>
      <c r="C29" s="89" t="s">
        <v>70</v>
      </c>
      <c r="D29" s="89" t="s">
        <v>68</v>
      </c>
      <c r="E29" s="90">
        <v>155000</v>
      </c>
      <c r="F29" s="91">
        <v>1280.145</v>
      </c>
      <c r="G29" s="92">
        <v>1.3684999999999999E-2</v>
      </c>
      <c r="H29" s="87" t="s">
        <v>143</v>
      </c>
    </row>
    <row r="30" spans="1:8" ht="14.25" customHeight="1" x14ac:dyDescent="0.2">
      <c r="A30" s="88">
        <v>24</v>
      </c>
      <c r="B30" s="89" t="s">
        <v>71</v>
      </c>
      <c r="C30" s="89" t="s">
        <v>72</v>
      </c>
      <c r="D30" s="89" t="s">
        <v>68</v>
      </c>
      <c r="E30" s="90">
        <v>33000</v>
      </c>
      <c r="F30" s="91">
        <v>1262.646</v>
      </c>
      <c r="G30" s="92">
        <v>1.349794E-2</v>
      </c>
      <c r="H30" s="87" t="s">
        <v>143</v>
      </c>
    </row>
    <row r="31" spans="1:8" ht="14.25" customHeight="1" x14ac:dyDescent="0.2">
      <c r="A31" s="88">
        <v>25</v>
      </c>
      <c r="B31" s="89" t="s">
        <v>73</v>
      </c>
      <c r="C31" s="89" t="s">
        <v>74</v>
      </c>
      <c r="D31" s="89" t="s">
        <v>36</v>
      </c>
      <c r="E31" s="90">
        <v>6500</v>
      </c>
      <c r="F31" s="91">
        <v>1242.1500000000001</v>
      </c>
      <c r="G31" s="92">
        <v>1.327883E-2</v>
      </c>
      <c r="H31" s="87" t="s">
        <v>143</v>
      </c>
    </row>
    <row r="32" spans="1:8" ht="14.25" customHeight="1" x14ac:dyDescent="0.2">
      <c r="A32" s="88">
        <v>26</v>
      </c>
      <c r="B32" s="89" t="s">
        <v>75</v>
      </c>
      <c r="C32" s="89" t="s">
        <v>76</v>
      </c>
      <c r="D32" s="89" t="s">
        <v>77</v>
      </c>
      <c r="E32" s="90">
        <v>127695</v>
      </c>
      <c r="F32" s="91">
        <v>1178.7525450000001</v>
      </c>
      <c r="G32" s="92">
        <v>1.26011E-2</v>
      </c>
      <c r="H32" s="87" t="s">
        <v>143</v>
      </c>
    </row>
    <row r="33" spans="1:8" ht="14.25" customHeight="1" x14ac:dyDescent="0.2">
      <c r="A33" s="88">
        <v>27</v>
      </c>
      <c r="B33" s="89" t="s">
        <v>78</v>
      </c>
      <c r="C33" s="89" t="s">
        <v>79</v>
      </c>
      <c r="D33" s="89" t="s">
        <v>80</v>
      </c>
      <c r="E33" s="90">
        <v>675000</v>
      </c>
      <c r="F33" s="91">
        <v>1168.2225000000001</v>
      </c>
      <c r="G33" s="92">
        <v>1.2488529999999999E-2</v>
      </c>
      <c r="H33" s="87" t="s">
        <v>143</v>
      </c>
    </row>
    <row r="34" spans="1:8" ht="14.25" customHeight="1" x14ac:dyDescent="0.2">
      <c r="A34" s="88">
        <v>28</v>
      </c>
      <c r="B34" s="89" t="s">
        <v>81</v>
      </c>
      <c r="C34" s="89" t="s">
        <v>82</v>
      </c>
      <c r="D34" s="89" t="s">
        <v>13</v>
      </c>
      <c r="E34" s="90">
        <v>65000</v>
      </c>
      <c r="F34" s="91">
        <v>1153.0999999999999</v>
      </c>
      <c r="G34" s="92">
        <v>1.232687E-2</v>
      </c>
      <c r="H34" s="87" t="s">
        <v>143</v>
      </c>
    </row>
    <row r="35" spans="1:8" ht="14.25" customHeight="1" x14ac:dyDescent="0.2">
      <c r="A35" s="88">
        <v>29</v>
      </c>
      <c r="B35" s="89" t="s">
        <v>83</v>
      </c>
      <c r="C35" s="89" t="s">
        <v>84</v>
      </c>
      <c r="D35" s="89" t="s">
        <v>43</v>
      </c>
      <c r="E35" s="90">
        <v>16612</v>
      </c>
      <c r="F35" s="91">
        <v>1148.3045</v>
      </c>
      <c r="G35" s="92">
        <v>1.2275599999999999E-2</v>
      </c>
      <c r="H35" s="87" t="s">
        <v>143</v>
      </c>
    </row>
    <row r="36" spans="1:8" ht="14.25" customHeight="1" x14ac:dyDescent="0.2">
      <c r="A36" s="88">
        <v>30</v>
      </c>
      <c r="B36" s="89" t="s">
        <v>85</v>
      </c>
      <c r="C36" s="89" t="s">
        <v>86</v>
      </c>
      <c r="D36" s="89" t="s">
        <v>68</v>
      </c>
      <c r="E36" s="90">
        <v>29000</v>
      </c>
      <c r="F36" s="91">
        <v>1105.0740000000001</v>
      </c>
      <c r="G36" s="92">
        <v>1.181346E-2</v>
      </c>
      <c r="H36" s="87" t="s">
        <v>143</v>
      </c>
    </row>
    <row r="37" spans="1:8" ht="14.25" customHeight="1" x14ac:dyDescent="0.2">
      <c r="A37" s="88">
        <v>31</v>
      </c>
      <c r="B37" s="89" t="s">
        <v>87</v>
      </c>
      <c r="C37" s="89" t="s">
        <v>88</v>
      </c>
      <c r="D37" s="89" t="s">
        <v>13</v>
      </c>
      <c r="E37" s="90">
        <v>325000</v>
      </c>
      <c r="F37" s="91">
        <v>1100.45</v>
      </c>
      <c r="G37" s="92">
        <v>1.176403E-2</v>
      </c>
      <c r="H37" s="87" t="s">
        <v>143</v>
      </c>
    </row>
    <row r="38" spans="1:8" ht="14.25" customHeight="1" x14ac:dyDescent="0.2">
      <c r="A38" s="88">
        <v>32</v>
      </c>
      <c r="B38" s="89" t="s">
        <v>89</v>
      </c>
      <c r="C38" s="89" t="s">
        <v>90</v>
      </c>
      <c r="D38" s="89" t="s">
        <v>53</v>
      </c>
      <c r="E38" s="90">
        <v>235000</v>
      </c>
      <c r="F38" s="91">
        <v>1099.9175</v>
      </c>
      <c r="G38" s="92">
        <v>1.1758340000000001E-2</v>
      </c>
      <c r="H38" s="87" t="s">
        <v>143</v>
      </c>
    </row>
    <row r="39" spans="1:8" ht="14.25" customHeight="1" x14ac:dyDescent="0.2">
      <c r="A39" s="88">
        <v>33</v>
      </c>
      <c r="B39" s="89" t="s">
        <v>91</v>
      </c>
      <c r="C39" s="89" t="s">
        <v>92</v>
      </c>
      <c r="D39" s="89" t="s">
        <v>22</v>
      </c>
      <c r="E39" s="90">
        <v>88000</v>
      </c>
      <c r="F39" s="91">
        <v>1080.0239999999999</v>
      </c>
      <c r="G39" s="92">
        <v>1.1545669999999999E-2</v>
      </c>
      <c r="H39" s="87" t="s">
        <v>143</v>
      </c>
    </row>
    <row r="40" spans="1:8" ht="14.25" customHeight="1" x14ac:dyDescent="0.2">
      <c r="A40" s="88">
        <v>34</v>
      </c>
      <c r="B40" s="89" t="s">
        <v>93</v>
      </c>
      <c r="C40" s="89" t="s">
        <v>94</v>
      </c>
      <c r="D40" s="89" t="s">
        <v>77</v>
      </c>
      <c r="E40" s="90">
        <v>75000</v>
      </c>
      <c r="F40" s="91">
        <v>1072.5</v>
      </c>
      <c r="G40" s="92">
        <v>1.146524E-2</v>
      </c>
      <c r="H40" s="87" t="s">
        <v>143</v>
      </c>
    </row>
    <row r="41" spans="1:8" ht="14.25" customHeight="1" x14ac:dyDescent="0.2">
      <c r="A41" s="88">
        <v>35</v>
      </c>
      <c r="B41" s="89" t="s">
        <v>95</v>
      </c>
      <c r="C41" s="89" t="s">
        <v>96</v>
      </c>
      <c r="D41" s="89" t="s">
        <v>36</v>
      </c>
      <c r="E41" s="90">
        <v>33000</v>
      </c>
      <c r="F41" s="91">
        <v>1011.021</v>
      </c>
      <c r="G41" s="92">
        <v>1.080802E-2</v>
      </c>
      <c r="H41" s="87" t="s">
        <v>143</v>
      </c>
    </row>
    <row r="42" spans="1:8" ht="14.25" customHeight="1" x14ac:dyDescent="0.2">
      <c r="A42" s="88">
        <v>36</v>
      </c>
      <c r="B42" s="89" t="s">
        <v>97</v>
      </c>
      <c r="C42" s="89" t="s">
        <v>98</v>
      </c>
      <c r="D42" s="89" t="s">
        <v>68</v>
      </c>
      <c r="E42" s="90">
        <v>112000</v>
      </c>
      <c r="F42" s="91">
        <v>1006.264</v>
      </c>
      <c r="G42" s="92">
        <v>1.075716E-2</v>
      </c>
      <c r="H42" s="87" t="s">
        <v>143</v>
      </c>
    </row>
    <row r="43" spans="1:8" ht="14.25" customHeight="1" x14ac:dyDescent="0.2">
      <c r="A43" s="88">
        <v>37</v>
      </c>
      <c r="B43" s="89" t="s">
        <v>99</v>
      </c>
      <c r="C43" s="89" t="s">
        <v>100</v>
      </c>
      <c r="D43" s="89" t="s">
        <v>25</v>
      </c>
      <c r="E43" s="90">
        <v>175000</v>
      </c>
      <c r="F43" s="91">
        <v>985.6</v>
      </c>
      <c r="G43" s="92">
        <v>1.053626E-2</v>
      </c>
      <c r="H43" s="87" t="s">
        <v>143</v>
      </c>
    </row>
    <row r="44" spans="1:8" ht="14.25" customHeight="1" x14ac:dyDescent="0.2">
      <c r="A44" s="88">
        <v>38</v>
      </c>
      <c r="B44" s="89" t="s">
        <v>101</v>
      </c>
      <c r="C44" s="89" t="s">
        <v>102</v>
      </c>
      <c r="D44" s="89" t="s">
        <v>43</v>
      </c>
      <c r="E44" s="90">
        <v>25000</v>
      </c>
      <c r="F44" s="91">
        <v>966.85</v>
      </c>
      <c r="G44" s="92">
        <v>1.0335820000000001E-2</v>
      </c>
      <c r="H44" s="87" t="s">
        <v>143</v>
      </c>
    </row>
    <row r="45" spans="1:8" ht="14.25" customHeight="1" x14ac:dyDescent="0.2">
      <c r="A45" s="88">
        <v>39</v>
      </c>
      <c r="B45" s="89" t="s">
        <v>103</v>
      </c>
      <c r="C45" s="89" t="s">
        <v>104</v>
      </c>
      <c r="D45" s="89" t="s">
        <v>36</v>
      </c>
      <c r="E45" s="90">
        <v>175000</v>
      </c>
      <c r="F45" s="91">
        <v>966.52499999999998</v>
      </c>
      <c r="G45" s="92">
        <v>1.0332340000000001E-2</v>
      </c>
      <c r="H45" s="87" t="s">
        <v>143</v>
      </c>
    </row>
    <row r="46" spans="1:8" ht="14.25" customHeight="1" x14ac:dyDescent="0.2">
      <c r="A46" s="88">
        <v>40</v>
      </c>
      <c r="B46" s="89" t="s">
        <v>105</v>
      </c>
      <c r="C46" s="89" t="s">
        <v>106</v>
      </c>
      <c r="D46" s="89" t="s">
        <v>36</v>
      </c>
      <c r="E46" s="90">
        <v>190000</v>
      </c>
      <c r="F46" s="91">
        <v>953.51499999999999</v>
      </c>
      <c r="G46" s="92">
        <v>1.0193260000000001E-2</v>
      </c>
      <c r="H46" s="87" t="s">
        <v>143</v>
      </c>
    </row>
    <row r="47" spans="1:8" ht="14.25" customHeight="1" x14ac:dyDescent="0.2">
      <c r="A47" s="88">
        <v>41</v>
      </c>
      <c r="B47" s="89" t="s">
        <v>107</v>
      </c>
      <c r="C47" s="89" t="s">
        <v>108</v>
      </c>
      <c r="D47" s="89" t="s">
        <v>68</v>
      </c>
      <c r="E47" s="90">
        <v>77000</v>
      </c>
      <c r="F47" s="91">
        <v>938.399</v>
      </c>
      <c r="G47" s="92">
        <v>1.0031669999999999E-2</v>
      </c>
      <c r="H47" s="87" t="s">
        <v>143</v>
      </c>
    </row>
    <row r="48" spans="1:8" ht="14.25" customHeight="1" x14ac:dyDescent="0.2">
      <c r="A48" s="88">
        <v>42</v>
      </c>
      <c r="B48" s="89" t="s">
        <v>109</v>
      </c>
      <c r="C48" s="89" t="s">
        <v>110</v>
      </c>
      <c r="D48" s="89" t="s">
        <v>36</v>
      </c>
      <c r="E48" s="90">
        <v>16000</v>
      </c>
      <c r="F48" s="91">
        <v>799.84</v>
      </c>
      <c r="G48" s="92">
        <v>8.5504499999999994E-3</v>
      </c>
      <c r="H48" s="87" t="s">
        <v>143</v>
      </c>
    </row>
    <row r="49" spans="1:8" ht="14.25" customHeight="1" x14ac:dyDescent="0.2">
      <c r="A49" s="88">
        <v>43</v>
      </c>
      <c r="B49" s="89" t="s">
        <v>111</v>
      </c>
      <c r="C49" s="89" t="s">
        <v>112</v>
      </c>
      <c r="D49" s="89" t="s">
        <v>16</v>
      </c>
      <c r="E49" s="90">
        <v>380000</v>
      </c>
      <c r="F49" s="91">
        <v>777.1</v>
      </c>
      <c r="G49" s="92">
        <v>8.3073499999999998E-3</v>
      </c>
      <c r="H49" s="87" t="s">
        <v>143</v>
      </c>
    </row>
    <row r="50" spans="1:8" ht="14.25" customHeight="1" x14ac:dyDescent="0.2">
      <c r="A50" s="88">
        <v>44</v>
      </c>
      <c r="B50" s="89" t="s">
        <v>113</v>
      </c>
      <c r="C50" s="89" t="s">
        <v>114</v>
      </c>
      <c r="D50" s="89" t="s">
        <v>68</v>
      </c>
      <c r="E50" s="90">
        <v>45000</v>
      </c>
      <c r="F50" s="91">
        <v>722.11500000000001</v>
      </c>
      <c r="G50" s="92">
        <v>7.7195500000000004E-3</v>
      </c>
      <c r="H50" s="87" t="s">
        <v>143</v>
      </c>
    </row>
    <row r="51" spans="1:8" ht="14.25" customHeight="1" x14ac:dyDescent="0.2">
      <c r="A51" s="88">
        <v>45</v>
      </c>
      <c r="B51" s="89" t="s">
        <v>115</v>
      </c>
      <c r="C51" s="89" t="s">
        <v>116</v>
      </c>
      <c r="D51" s="89" t="s">
        <v>36</v>
      </c>
      <c r="E51" s="90">
        <v>21000</v>
      </c>
      <c r="F51" s="91">
        <v>708.72900000000004</v>
      </c>
      <c r="G51" s="92">
        <v>7.5764500000000002E-3</v>
      </c>
      <c r="H51" s="87" t="s">
        <v>143</v>
      </c>
    </row>
    <row r="52" spans="1:8" ht="14.25" customHeight="1" x14ac:dyDescent="0.2">
      <c r="A52" s="88">
        <v>46</v>
      </c>
      <c r="B52" s="89" t="s">
        <v>117</v>
      </c>
      <c r="C52" s="89" t="s">
        <v>118</v>
      </c>
      <c r="D52" s="89" t="s">
        <v>36</v>
      </c>
      <c r="E52" s="90">
        <v>135000</v>
      </c>
      <c r="F52" s="91">
        <v>700.78499999999997</v>
      </c>
      <c r="G52" s="92">
        <v>7.4915299999999997E-3</v>
      </c>
      <c r="H52" s="87" t="s">
        <v>143</v>
      </c>
    </row>
    <row r="53" spans="1:8" ht="14.25" customHeight="1" x14ac:dyDescent="0.2">
      <c r="A53" s="88">
        <v>47</v>
      </c>
      <c r="B53" s="89" t="s">
        <v>119</v>
      </c>
      <c r="C53" s="89" t="s">
        <v>120</v>
      </c>
      <c r="D53" s="89" t="s">
        <v>16</v>
      </c>
      <c r="E53" s="90">
        <v>70000</v>
      </c>
      <c r="F53" s="91">
        <v>679.91</v>
      </c>
      <c r="G53" s="92">
        <v>7.2683699999999997E-3</v>
      </c>
      <c r="H53" s="87" t="s">
        <v>143</v>
      </c>
    </row>
    <row r="54" spans="1:8" ht="14.25" customHeight="1" x14ac:dyDescent="0.2">
      <c r="A54" s="88">
        <v>48</v>
      </c>
      <c r="B54" s="89" t="s">
        <v>121</v>
      </c>
      <c r="C54" s="89" t="s">
        <v>122</v>
      </c>
      <c r="D54" s="89" t="s">
        <v>36</v>
      </c>
      <c r="E54" s="90">
        <v>325000</v>
      </c>
      <c r="F54" s="91">
        <v>676.03250000000003</v>
      </c>
      <c r="G54" s="92">
        <v>7.2269200000000004E-3</v>
      </c>
      <c r="H54" s="87" t="s">
        <v>143</v>
      </c>
    </row>
    <row r="55" spans="1:8" ht="14.25" customHeight="1" x14ac:dyDescent="0.2">
      <c r="A55" s="88">
        <v>49</v>
      </c>
      <c r="B55" s="89" t="s">
        <v>123</v>
      </c>
      <c r="C55" s="89" t="s">
        <v>124</v>
      </c>
      <c r="D55" s="89" t="s">
        <v>46</v>
      </c>
      <c r="E55" s="90">
        <v>4000</v>
      </c>
      <c r="F55" s="91">
        <v>667.6</v>
      </c>
      <c r="G55" s="92">
        <v>7.1367799999999997E-3</v>
      </c>
      <c r="H55" s="87" t="s">
        <v>143</v>
      </c>
    </row>
    <row r="56" spans="1:8" ht="14.25" customHeight="1" x14ac:dyDescent="0.2">
      <c r="A56" s="88">
        <v>50</v>
      </c>
      <c r="B56" s="89" t="s">
        <v>125</v>
      </c>
      <c r="C56" s="89" t="s">
        <v>126</v>
      </c>
      <c r="D56" s="89" t="s">
        <v>36</v>
      </c>
      <c r="E56" s="90">
        <v>20000</v>
      </c>
      <c r="F56" s="91">
        <v>641.52</v>
      </c>
      <c r="G56" s="92">
        <v>6.8579799999999996E-3</v>
      </c>
      <c r="H56" s="87" t="s">
        <v>143</v>
      </c>
    </row>
    <row r="57" spans="1:8" ht="14.25" customHeight="1" x14ac:dyDescent="0.2">
      <c r="A57" s="88">
        <v>51</v>
      </c>
      <c r="B57" s="89" t="s">
        <v>127</v>
      </c>
      <c r="C57" s="89" t="s">
        <v>128</v>
      </c>
      <c r="D57" s="89" t="s">
        <v>53</v>
      </c>
      <c r="E57" s="90">
        <v>112500</v>
      </c>
      <c r="F57" s="91">
        <v>593.26874999999995</v>
      </c>
      <c r="G57" s="92">
        <v>6.3421600000000003E-3</v>
      </c>
      <c r="H57" s="87" t="s">
        <v>143</v>
      </c>
    </row>
    <row r="58" spans="1:8" ht="14.25" customHeight="1" x14ac:dyDescent="0.2">
      <c r="A58" s="88">
        <v>52</v>
      </c>
      <c r="B58" s="89" t="s">
        <v>129</v>
      </c>
      <c r="C58" s="89" t="s">
        <v>130</v>
      </c>
      <c r="D58" s="89" t="s">
        <v>68</v>
      </c>
      <c r="E58" s="90">
        <v>70000</v>
      </c>
      <c r="F58" s="91">
        <v>554.78499999999997</v>
      </c>
      <c r="G58" s="92">
        <v>5.9307600000000002E-3</v>
      </c>
      <c r="H58" s="87" t="s">
        <v>143</v>
      </c>
    </row>
    <row r="59" spans="1:8" ht="14.25" customHeight="1" x14ac:dyDescent="0.2">
      <c r="A59" s="88">
        <v>53</v>
      </c>
      <c r="B59" s="89" t="s">
        <v>131</v>
      </c>
      <c r="C59" s="89" t="s">
        <v>132</v>
      </c>
      <c r="D59" s="89" t="s">
        <v>133</v>
      </c>
      <c r="E59" s="90">
        <v>135000</v>
      </c>
      <c r="F59" s="91">
        <v>528.255</v>
      </c>
      <c r="G59" s="92">
        <v>5.6471500000000001E-3</v>
      </c>
      <c r="H59" s="87" t="s">
        <v>143</v>
      </c>
    </row>
    <row r="60" spans="1:8" ht="14.25" customHeight="1" x14ac:dyDescent="0.2">
      <c r="A60" s="88">
        <v>54</v>
      </c>
      <c r="B60" s="89" t="s">
        <v>134</v>
      </c>
      <c r="C60" s="89" t="s">
        <v>135</v>
      </c>
      <c r="D60" s="89" t="s">
        <v>43</v>
      </c>
      <c r="E60" s="90">
        <v>45000</v>
      </c>
      <c r="F60" s="91">
        <v>498.01499999999999</v>
      </c>
      <c r="G60" s="92">
        <v>5.3238799999999996E-3</v>
      </c>
      <c r="H60" s="87" t="s">
        <v>143</v>
      </c>
    </row>
    <row r="61" spans="1:8" ht="14.25" customHeight="1" x14ac:dyDescent="0.2">
      <c r="A61" s="88">
        <v>55</v>
      </c>
      <c r="B61" s="89" t="s">
        <v>136</v>
      </c>
      <c r="C61" s="89" t="s">
        <v>137</v>
      </c>
      <c r="D61" s="89" t="s">
        <v>138</v>
      </c>
      <c r="E61" s="90">
        <v>50000</v>
      </c>
      <c r="F61" s="91">
        <v>472.9</v>
      </c>
      <c r="G61" s="92">
        <v>5.0553999999999998E-3</v>
      </c>
      <c r="H61" s="87" t="s">
        <v>143</v>
      </c>
    </row>
    <row r="62" spans="1:8" ht="14.25" customHeight="1" x14ac:dyDescent="0.2">
      <c r="A62" s="93"/>
      <c r="B62" s="93"/>
      <c r="C62" s="94" t="s">
        <v>142</v>
      </c>
      <c r="D62" s="93"/>
      <c r="E62" s="93" t="s">
        <v>143</v>
      </c>
      <c r="F62" s="95">
        <v>87978.899306189007</v>
      </c>
      <c r="G62" s="96">
        <v>0.94051189000000002</v>
      </c>
      <c r="H62" s="87" t="s">
        <v>143</v>
      </c>
    </row>
    <row r="63" spans="1:8" ht="14.25" customHeight="1" x14ac:dyDescent="0.2">
      <c r="A63" s="93"/>
      <c r="B63" s="93"/>
      <c r="C63" s="97"/>
      <c r="D63" s="93"/>
      <c r="E63" s="93"/>
      <c r="F63" s="98"/>
      <c r="G63" s="98"/>
      <c r="H63" s="87" t="s">
        <v>143</v>
      </c>
    </row>
    <row r="64" spans="1:8" ht="14.25" customHeight="1" x14ac:dyDescent="0.2">
      <c r="A64" s="93"/>
      <c r="B64" s="93"/>
      <c r="C64" s="94" t="s">
        <v>144</v>
      </c>
      <c r="D64" s="93"/>
      <c r="E64" s="93"/>
      <c r="F64" s="93"/>
      <c r="G64" s="93"/>
      <c r="H64" s="87" t="s">
        <v>143</v>
      </c>
    </row>
    <row r="65" spans="1:8" ht="14.25" customHeight="1" x14ac:dyDescent="0.2">
      <c r="A65" s="93"/>
      <c r="B65" s="93"/>
      <c r="C65" s="94" t="s">
        <v>142</v>
      </c>
      <c r="D65" s="93"/>
      <c r="E65" s="93" t="s">
        <v>143</v>
      </c>
      <c r="F65" s="99" t="s">
        <v>145</v>
      </c>
      <c r="G65" s="96">
        <v>0</v>
      </c>
      <c r="H65" s="87" t="s">
        <v>143</v>
      </c>
    </row>
    <row r="66" spans="1:8" ht="14.25" customHeight="1" x14ac:dyDescent="0.2">
      <c r="A66" s="93"/>
      <c r="B66" s="93"/>
      <c r="C66" s="97"/>
      <c r="D66" s="93"/>
      <c r="E66" s="93"/>
      <c r="F66" s="98"/>
      <c r="G66" s="98"/>
      <c r="H66" s="87" t="s">
        <v>143</v>
      </c>
    </row>
    <row r="67" spans="1:8" ht="14.25" customHeight="1" x14ac:dyDescent="0.2">
      <c r="A67" s="93"/>
      <c r="B67" s="93"/>
      <c r="C67" s="94" t="s">
        <v>146</v>
      </c>
      <c r="D67" s="93"/>
      <c r="E67" s="93"/>
      <c r="F67" s="93"/>
      <c r="G67" s="93"/>
      <c r="H67" s="87" t="s">
        <v>143</v>
      </c>
    </row>
    <row r="68" spans="1:8" ht="14.25" customHeight="1" x14ac:dyDescent="0.2">
      <c r="A68" s="88">
        <v>1</v>
      </c>
      <c r="B68" s="89" t="s">
        <v>139</v>
      </c>
      <c r="C68" s="127" t="s">
        <v>941</v>
      </c>
      <c r="D68" s="89" t="s">
        <v>140</v>
      </c>
      <c r="E68" s="90">
        <v>559425</v>
      </c>
      <c r="F68" s="91">
        <v>1.1189000000000001E-5</v>
      </c>
      <c r="G68" s="100" t="s">
        <v>141</v>
      </c>
      <c r="H68" s="87" t="s">
        <v>143</v>
      </c>
    </row>
    <row r="69" spans="1:8" ht="14.25" customHeight="1" x14ac:dyDescent="0.2">
      <c r="A69" s="93"/>
      <c r="B69" s="93"/>
      <c r="C69" s="94" t="s">
        <v>142</v>
      </c>
      <c r="D69" s="93"/>
      <c r="E69" s="93" t="s">
        <v>143</v>
      </c>
      <c r="F69" s="99" t="s">
        <v>145</v>
      </c>
      <c r="G69" s="96">
        <v>0</v>
      </c>
      <c r="H69" s="87" t="s">
        <v>143</v>
      </c>
    </row>
    <row r="70" spans="1:8" ht="14.25" customHeight="1" x14ac:dyDescent="0.2">
      <c r="A70" s="93"/>
      <c r="B70" s="93"/>
      <c r="C70" s="97"/>
      <c r="D70" s="93"/>
      <c r="E70" s="93"/>
      <c r="F70" s="98"/>
      <c r="G70" s="98"/>
      <c r="H70" s="87" t="s">
        <v>143</v>
      </c>
    </row>
    <row r="71" spans="1:8" ht="14.25" customHeight="1" x14ac:dyDescent="0.2">
      <c r="A71" s="93"/>
      <c r="B71" s="93"/>
      <c r="C71" s="94" t="s">
        <v>147</v>
      </c>
      <c r="D71" s="93"/>
      <c r="E71" s="93"/>
      <c r="F71" s="93"/>
      <c r="G71" s="93"/>
      <c r="H71" s="87" t="s">
        <v>143</v>
      </c>
    </row>
    <row r="72" spans="1:8" ht="14.25" customHeight="1" x14ac:dyDescent="0.2">
      <c r="A72" s="93"/>
      <c r="B72" s="93"/>
      <c r="C72" s="94" t="s">
        <v>142</v>
      </c>
      <c r="D72" s="93"/>
      <c r="E72" s="93" t="s">
        <v>143</v>
      </c>
      <c r="F72" s="99" t="s">
        <v>145</v>
      </c>
      <c r="G72" s="96">
        <v>0</v>
      </c>
      <c r="H72" s="87" t="s">
        <v>143</v>
      </c>
    </row>
    <row r="73" spans="1:8" ht="14.25" customHeight="1" x14ac:dyDescent="0.2">
      <c r="A73" s="93"/>
      <c r="B73" s="93"/>
      <c r="C73" s="97"/>
      <c r="D73" s="93"/>
      <c r="E73" s="93"/>
      <c r="F73" s="98"/>
      <c r="G73" s="98"/>
      <c r="H73" s="87" t="s">
        <v>143</v>
      </c>
    </row>
    <row r="74" spans="1:8" ht="14.25" customHeight="1" x14ac:dyDescent="0.2">
      <c r="A74" s="93"/>
      <c r="B74" s="93"/>
      <c r="C74" s="94" t="s">
        <v>148</v>
      </c>
      <c r="D74" s="93"/>
      <c r="E74" s="93"/>
      <c r="F74" s="98"/>
      <c r="G74" s="98"/>
      <c r="H74" s="87" t="s">
        <v>143</v>
      </c>
    </row>
    <row r="75" spans="1:8" ht="14.25" customHeight="1" x14ac:dyDescent="0.2">
      <c r="A75" s="93"/>
      <c r="B75" s="93"/>
      <c r="C75" s="94" t="s">
        <v>142</v>
      </c>
      <c r="D75" s="93"/>
      <c r="E75" s="93" t="s">
        <v>143</v>
      </c>
      <c r="F75" s="99" t="s">
        <v>145</v>
      </c>
      <c r="G75" s="96">
        <v>0</v>
      </c>
      <c r="H75" s="87" t="s">
        <v>143</v>
      </c>
    </row>
    <row r="76" spans="1:8" ht="14.25" customHeight="1" x14ac:dyDescent="0.2">
      <c r="A76" s="93"/>
      <c r="B76" s="93"/>
      <c r="C76" s="97"/>
      <c r="D76" s="93"/>
      <c r="E76" s="93"/>
      <c r="F76" s="98"/>
      <c r="G76" s="98"/>
      <c r="H76" s="87" t="s">
        <v>143</v>
      </c>
    </row>
    <row r="77" spans="1:8" ht="14.25" customHeight="1" x14ac:dyDescent="0.2">
      <c r="A77" s="93"/>
      <c r="B77" s="93"/>
      <c r="C77" s="94" t="s">
        <v>149</v>
      </c>
      <c r="D77" s="93"/>
      <c r="E77" s="93"/>
      <c r="F77" s="98"/>
      <c r="G77" s="98"/>
      <c r="H77" s="87" t="s">
        <v>143</v>
      </c>
    </row>
    <row r="78" spans="1:8" ht="14.25" customHeight="1" x14ac:dyDescent="0.2">
      <c r="A78" s="93"/>
      <c r="B78" s="93"/>
      <c r="C78" s="94" t="s">
        <v>142</v>
      </c>
      <c r="D78" s="93"/>
      <c r="E78" s="93" t="s">
        <v>143</v>
      </c>
      <c r="F78" s="99" t="s">
        <v>145</v>
      </c>
      <c r="G78" s="96">
        <v>0</v>
      </c>
      <c r="H78" s="87" t="s">
        <v>143</v>
      </c>
    </row>
    <row r="79" spans="1:8" ht="14.25" customHeight="1" x14ac:dyDescent="0.2">
      <c r="A79" s="93"/>
      <c r="B79" s="93"/>
      <c r="C79" s="97"/>
      <c r="D79" s="93"/>
      <c r="E79" s="93"/>
      <c r="F79" s="98"/>
      <c r="G79" s="98"/>
      <c r="H79" s="87" t="s">
        <v>143</v>
      </c>
    </row>
    <row r="80" spans="1:8" ht="14.25" customHeight="1" x14ac:dyDescent="0.2">
      <c r="A80" s="93"/>
      <c r="B80" s="93"/>
      <c r="C80" s="94" t="s">
        <v>150</v>
      </c>
      <c r="D80" s="93"/>
      <c r="E80" s="93"/>
      <c r="F80" s="95">
        <v>87978.899306189007</v>
      </c>
      <c r="G80" s="96">
        <v>0.94051189000000002</v>
      </c>
      <c r="H80" s="87" t="s">
        <v>143</v>
      </c>
    </row>
    <row r="81" spans="1:8" ht="14.25" customHeight="1" x14ac:dyDescent="0.2">
      <c r="A81" s="93"/>
      <c r="B81" s="93"/>
      <c r="C81" s="97"/>
      <c r="D81" s="93"/>
      <c r="E81" s="93"/>
      <c r="F81" s="98"/>
      <c r="G81" s="98"/>
      <c r="H81" s="87" t="s">
        <v>143</v>
      </c>
    </row>
    <row r="82" spans="1:8" ht="14.25" customHeight="1" x14ac:dyDescent="0.2">
      <c r="A82" s="93"/>
      <c r="B82" s="93"/>
      <c r="C82" s="94" t="s">
        <v>151</v>
      </c>
      <c r="D82" s="93"/>
      <c r="E82" s="93"/>
      <c r="F82" s="98"/>
      <c r="G82" s="98"/>
      <c r="H82" s="87" t="s">
        <v>143</v>
      </c>
    </row>
    <row r="83" spans="1:8" ht="14.25" customHeight="1" x14ac:dyDescent="0.2">
      <c r="A83" s="93"/>
      <c r="B83" s="93"/>
      <c r="C83" s="94" t="s">
        <v>10</v>
      </c>
      <c r="D83" s="93"/>
      <c r="E83" s="93"/>
      <c r="F83" s="98"/>
      <c r="G83" s="98"/>
      <c r="H83" s="87" t="s">
        <v>143</v>
      </c>
    </row>
    <row r="84" spans="1:8" ht="14.25" customHeight="1" x14ac:dyDescent="0.2">
      <c r="A84" s="93"/>
      <c r="B84" s="93"/>
      <c r="C84" s="94" t="s">
        <v>142</v>
      </c>
      <c r="D84" s="93"/>
      <c r="E84" s="93" t="s">
        <v>143</v>
      </c>
      <c r="F84" s="99" t="s">
        <v>145</v>
      </c>
      <c r="G84" s="96">
        <v>0</v>
      </c>
      <c r="H84" s="87" t="s">
        <v>143</v>
      </c>
    </row>
    <row r="85" spans="1:8" ht="14.25" customHeight="1" x14ac:dyDescent="0.2">
      <c r="A85" s="93"/>
      <c r="B85" s="93"/>
      <c r="C85" s="97"/>
      <c r="D85" s="93"/>
      <c r="E85" s="93"/>
      <c r="F85" s="98"/>
      <c r="G85" s="98"/>
      <c r="H85" s="87" t="s">
        <v>143</v>
      </c>
    </row>
    <row r="86" spans="1:8" ht="14.25" customHeight="1" x14ac:dyDescent="0.2">
      <c r="A86" s="93"/>
      <c r="B86" s="93"/>
      <c r="C86" s="94" t="s">
        <v>152</v>
      </c>
      <c r="D86" s="93"/>
      <c r="E86" s="93"/>
      <c r="F86" s="93"/>
      <c r="G86" s="93"/>
      <c r="H86" s="87" t="s">
        <v>143</v>
      </c>
    </row>
    <row r="87" spans="1:8" ht="14.25" customHeight="1" x14ac:dyDescent="0.2">
      <c r="A87" s="93"/>
      <c r="B87" s="93"/>
      <c r="C87" s="94" t="s">
        <v>142</v>
      </c>
      <c r="D87" s="93"/>
      <c r="E87" s="93" t="s">
        <v>143</v>
      </c>
      <c r="F87" s="99" t="s">
        <v>145</v>
      </c>
      <c r="G87" s="96">
        <v>0</v>
      </c>
      <c r="H87" s="87" t="s">
        <v>143</v>
      </c>
    </row>
    <row r="88" spans="1:8" ht="14.25" customHeight="1" x14ac:dyDescent="0.2">
      <c r="A88" s="93"/>
      <c r="B88" s="93"/>
      <c r="C88" s="97"/>
      <c r="D88" s="93"/>
      <c r="E88" s="93"/>
      <c r="F88" s="98"/>
      <c r="G88" s="98"/>
      <c r="H88" s="87" t="s">
        <v>143</v>
      </c>
    </row>
    <row r="89" spans="1:8" ht="14.25" customHeight="1" x14ac:dyDescent="0.2">
      <c r="A89" s="93"/>
      <c r="B89" s="93"/>
      <c r="C89" s="94" t="s">
        <v>153</v>
      </c>
      <c r="D89" s="93"/>
      <c r="E89" s="93"/>
      <c r="F89" s="93"/>
      <c r="G89" s="93"/>
      <c r="H89" s="87" t="s">
        <v>143</v>
      </c>
    </row>
    <row r="90" spans="1:8" ht="14.25" customHeight="1" x14ac:dyDescent="0.2">
      <c r="A90" s="93"/>
      <c r="B90" s="93"/>
      <c r="C90" s="94" t="s">
        <v>142</v>
      </c>
      <c r="D90" s="93"/>
      <c r="E90" s="93" t="s">
        <v>143</v>
      </c>
      <c r="F90" s="99" t="s">
        <v>145</v>
      </c>
      <c r="G90" s="96">
        <v>0</v>
      </c>
      <c r="H90" s="87" t="s">
        <v>143</v>
      </c>
    </row>
    <row r="91" spans="1:8" ht="14.25" customHeight="1" x14ac:dyDescent="0.2">
      <c r="A91" s="93"/>
      <c r="B91" s="93"/>
      <c r="C91" s="97"/>
      <c r="D91" s="93"/>
      <c r="E91" s="93"/>
      <c r="F91" s="98"/>
      <c r="G91" s="98"/>
      <c r="H91" s="87" t="s">
        <v>143</v>
      </c>
    </row>
    <row r="92" spans="1:8" ht="14.25" customHeight="1" x14ac:dyDescent="0.2">
      <c r="A92" s="93"/>
      <c r="B92" s="93"/>
      <c r="C92" s="94" t="s">
        <v>154</v>
      </c>
      <c r="D92" s="93"/>
      <c r="E92" s="93"/>
      <c r="F92" s="98"/>
      <c r="G92" s="98"/>
      <c r="H92" s="87" t="s">
        <v>143</v>
      </c>
    </row>
    <row r="93" spans="1:8" ht="14.25" customHeight="1" x14ac:dyDescent="0.2">
      <c r="A93" s="93"/>
      <c r="B93" s="93"/>
      <c r="C93" s="94" t="s">
        <v>142</v>
      </c>
      <c r="D93" s="93"/>
      <c r="E93" s="93" t="s">
        <v>143</v>
      </c>
      <c r="F93" s="99" t="s">
        <v>145</v>
      </c>
      <c r="G93" s="96">
        <v>0</v>
      </c>
      <c r="H93" s="87" t="s">
        <v>143</v>
      </c>
    </row>
    <row r="94" spans="1:8" ht="14.25" customHeight="1" x14ac:dyDescent="0.2">
      <c r="A94" s="93"/>
      <c r="B94" s="93"/>
      <c r="C94" s="97"/>
      <c r="D94" s="93"/>
      <c r="E94" s="93"/>
      <c r="F94" s="98"/>
      <c r="G94" s="98"/>
      <c r="H94" s="87" t="s">
        <v>143</v>
      </c>
    </row>
    <row r="95" spans="1:8" ht="14.25" customHeight="1" x14ac:dyDescent="0.2">
      <c r="A95" s="93"/>
      <c r="B95" s="93"/>
      <c r="C95" s="94" t="s">
        <v>155</v>
      </c>
      <c r="D95" s="93"/>
      <c r="E95" s="93"/>
      <c r="F95" s="95">
        <v>0</v>
      </c>
      <c r="G95" s="96">
        <v>0</v>
      </c>
      <c r="H95" s="87" t="s">
        <v>143</v>
      </c>
    </row>
    <row r="96" spans="1:8" ht="14.25" customHeight="1" x14ac:dyDescent="0.2">
      <c r="A96" s="93"/>
      <c r="B96" s="93"/>
      <c r="C96" s="97"/>
      <c r="D96" s="93"/>
      <c r="E96" s="93"/>
      <c r="F96" s="98"/>
      <c r="G96" s="98"/>
      <c r="H96" s="87" t="s">
        <v>143</v>
      </c>
    </row>
    <row r="97" spans="1:8" ht="14.25" customHeight="1" x14ac:dyDescent="0.2">
      <c r="A97" s="93"/>
      <c r="B97" s="93"/>
      <c r="C97" s="94" t="s">
        <v>156</v>
      </c>
      <c r="D97" s="93"/>
      <c r="E97" s="93"/>
      <c r="F97" s="98"/>
      <c r="G97" s="98"/>
      <c r="H97" s="87" t="s">
        <v>143</v>
      </c>
    </row>
    <row r="98" spans="1:8" ht="14.25" customHeight="1" x14ac:dyDescent="0.2">
      <c r="A98" s="93"/>
      <c r="B98" s="93"/>
      <c r="C98" s="94" t="s">
        <v>157</v>
      </c>
      <c r="D98" s="93"/>
      <c r="E98" s="93"/>
      <c r="F98" s="98"/>
      <c r="G98" s="98"/>
      <c r="H98" s="87" t="s">
        <v>143</v>
      </c>
    </row>
    <row r="99" spans="1:8" ht="14.25" customHeight="1" x14ac:dyDescent="0.2">
      <c r="A99" s="93"/>
      <c r="B99" s="93"/>
      <c r="C99" s="94" t="s">
        <v>142</v>
      </c>
      <c r="D99" s="93"/>
      <c r="E99" s="93" t="s">
        <v>143</v>
      </c>
      <c r="F99" s="99" t="s">
        <v>145</v>
      </c>
      <c r="G99" s="96">
        <v>0</v>
      </c>
      <c r="H99" s="87" t="s">
        <v>143</v>
      </c>
    </row>
    <row r="100" spans="1:8" ht="14.25" customHeight="1" x14ac:dyDescent="0.2">
      <c r="A100" s="93"/>
      <c r="B100" s="93"/>
      <c r="C100" s="97"/>
      <c r="D100" s="93"/>
      <c r="E100" s="93"/>
      <c r="F100" s="98"/>
      <c r="G100" s="98"/>
      <c r="H100" s="87" t="s">
        <v>143</v>
      </c>
    </row>
    <row r="101" spans="1:8" ht="14.25" customHeight="1" x14ac:dyDescent="0.2">
      <c r="A101" s="93"/>
      <c r="B101" s="93"/>
      <c r="C101" s="94" t="s">
        <v>158</v>
      </c>
      <c r="D101" s="93"/>
      <c r="E101" s="93"/>
      <c r="F101" s="98"/>
      <c r="G101" s="98"/>
      <c r="H101" s="87" t="s">
        <v>143</v>
      </c>
    </row>
    <row r="102" spans="1:8" ht="14.25" customHeight="1" x14ac:dyDescent="0.2">
      <c r="A102" s="93"/>
      <c r="B102" s="93"/>
      <c r="C102" s="94" t="s">
        <v>142</v>
      </c>
      <c r="D102" s="93"/>
      <c r="E102" s="93" t="s">
        <v>143</v>
      </c>
      <c r="F102" s="99" t="s">
        <v>145</v>
      </c>
      <c r="G102" s="96">
        <v>0</v>
      </c>
      <c r="H102" s="87" t="s">
        <v>143</v>
      </c>
    </row>
    <row r="103" spans="1:8" ht="14.25" customHeight="1" x14ac:dyDescent="0.2">
      <c r="A103" s="93"/>
      <c r="B103" s="93"/>
      <c r="C103" s="97"/>
      <c r="D103" s="93"/>
      <c r="E103" s="93"/>
      <c r="F103" s="98"/>
      <c r="G103" s="98"/>
      <c r="H103" s="87" t="s">
        <v>143</v>
      </c>
    </row>
    <row r="104" spans="1:8" ht="14.25" customHeight="1" x14ac:dyDescent="0.2">
      <c r="A104" s="93"/>
      <c r="B104" s="93"/>
      <c r="C104" s="94" t="s">
        <v>159</v>
      </c>
      <c r="D104" s="93"/>
      <c r="E104" s="93"/>
      <c r="F104" s="98"/>
      <c r="G104" s="98"/>
      <c r="H104" s="87" t="s">
        <v>143</v>
      </c>
    </row>
    <row r="105" spans="1:8" ht="14.25" customHeight="1" x14ac:dyDescent="0.2">
      <c r="A105" s="93"/>
      <c r="B105" s="93"/>
      <c r="C105" s="94" t="s">
        <v>142</v>
      </c>
      <c r="D105" s="93"/>
      <c r="E105" s="93" t="s">
        <v>143</v>
      </c>
      <c r="F105" s="99" t="s">
        <v>145</v>
      </c>
      <c r="G105" s="96">
        <v>0</v>
      </c>
      <c r="H105" s="87" t="s">
        <v>143</v>
      </c>
    </row>
    <row r="106" spans="1:8" ht="14.25" customHeight="1" x14ac:dyDescent="0.2">
      <c r="A106" s="93"/>
      <c r="B106" s="93"/>
      <c r="C106" s="97"/>
      <c r="D106" s="93"/>
      <c r="E106" s="93"/>
      <c r="F106" s="98"/>
      <c r="G106" s="98"/>
      <c r="H106" s="87" t="s">
        <v>143</v>
      </c>
    </row>
    <row r="107" spans="1:8" ht="14.25" customHeight="1" x14ac:dyDescent="0.2">
      <c r="A107" s="93"/>
      <c r="B107" s="93"/>
      <c r="C107" s="94" t="s">
        <v>160</v>
      </c>
      <c r="D107" s="93"/>
      <c r="E107" s="93"/>
      <c r="F107" s="98"/>
      <c r="G107" s="98"/>
      <c r="H107" s="87" t="s">
        <v>143</v>
      </c>
    </row>
    <row r="108" spans="1:8" ht="14.25" customHeight="1" x14ac:dyDescent="0.2">
      <c r="A108" s="88">
        <v>1</v>
      </c>
      <c r="B108" s="89"/>
      <c r="C108" s="89" t="s">
        <v>161</v>
      </c>
      <c r="D108" s="89"/>
      <c r="E108" s="100"/>
      <c r="F108" s="91">
        <v>4755.0204729910001</v>
      </c>
      <c r="G108" s="92">
        <v>5.083211E-2</v>
      </c>
      <c r="H108" s="87">
        <v>5.38</v>
      </c>
    </row>
    <row r="109" spans="1:8" ht="14.25" customHeight="1" x14ac:dyDescent="0.2">
      <c r="A109" s="93"/>
      <c r="B109" s="93"/>
      <c r="C109" s="94" t="s">
        <v>142</v>
      </c>
      <c r="D109" s="93"/>
      <c r="E109" s="93" t="s">
        <v>143</v>
      </c>
      <c r="F109" s="95">
        <v>4755.0204729910001</v>
      </c>
      <c r="G109" s="96">
        <v>5.083211E-2</v>
      </c>
      <c r="H109" s="87" t="s">
        <v>143</v>
      </c>
    </row>
    <row r="110" spans="1:8" ht="14.25" customHeight="1" x14ac:dyDescent="0.2">
      <c r="A110" s="93"/>
      <c r="B110" s="93"/>
      <c r="C110" s="97"/>
      <c r="D110" s="93"/>
      <c r="E110" s="93"/>
      <c r="F110" s="98"/>
      <c r="G110" s="98"/>
      <c r="H110" s="87" t="s">
        <v>143</v>
      </c>
    </row>
    <row r="111" spans="1:8" ht="14.25" customHeight="1" x14ac:dyDescent="0.2">
      <c r="A111" s="93"/>
      <c r="B111" s="93"/>
      <c r="C111" s="94" t="s">
        <v>162</v>
      </c>
      <c r="D111" s="93"/>
      <c r="E111" s="93"/>
      <c r="F111" s="95">
        <v>4755.0204729910001</v>
      </c>
      <c r="G111" s="96">
        <v>5.083211E-2</v>
      </c>
      <c r="H111" s="87" t="s">
        <v>143</v>
      </c>
    </row>
    <row r="112" spans="1:8" ht="14.25" customHeight="1" x14ac:dyDescent="0.2">
      <c r="A112" s="93"/>
      <c r="B112" s="93"/>
      <c r="C112" s="98"/>
      <c r="D112" s="93"/>
      <c r="E112" s="93"/>
      <c r="F112" s="93"/>
      <c r="G112" s="93"/>
      <c r="H112" s="87" t="s">
        <v>143</v>
      </c>
    </row>
    <row r="113" spans="1:10" ht="14.25" customHeight="1" x14ac:dyDescent="0.2">
      <c r="A113" s="93"/>
      <c r="B113" s="93"/>
      <c r="C113" s="94" t="s">
        <v>163</v>
      </c>
      <c r="D113" s="93"/>
      <c r="E113" s="93"/>
      <c r="F113" s="93"/>
      <c r="G113" s="93"/>
      <c r="H113" s="87" t="s">
        <v>143</v>
      </c>
    </row>
    <row r="114" spans="1:10" ht="14.25" customHeight="1" x14ac:dyDescent="0.2">
      <c r="A114" s="93"/>
      <c r="B114" s="93"/>
      <c r="C114" s="94" t="s">
        <v>164</v>
      </c>
      <c r="D114" s="93"/>
      <c r="E114" s="93"/>
      <c r="F114" s="93"/>
      <c r="G114" s="93"/>
      <c r="H114" s="87" t="s">
        <v>143</v>
      </c>
    </row>
    <row r="115" spans="1:10" ht="14.25" customHeight="1" x14ac:dyDescent="0.2">
      <c r="A115" s="93"/>
      <c r="B115" s="93"/>
      <c r="C115" s="94" t="s">
        <v>142</v>
      </c>
      <c r="D115" s="93"/>
      <c r="E115" s="93" t="s">
        <v>143</v>
      </c>
      <c r="F115" s="99" t="s">
        <v>145</v>
      </c>
      <c r="G115" s="96">
        <v>0</v>
      </c>
      <c r="H115" s="87" t="s">
        <v>143</v>
      </c>
    </row>
    <row r="116" spans="1:10" ht="14.25" customHeight="1" x14ac:dyDescent="0.2">
      <c r="A116" s="93"/>
      <c r="B116" s="93"/>
      <c r="C116" s="97"/>
      <c r="D116" s="93"/>
      <c r="E116" s="93"/>
      <c r="F116" s="98"/>
      <c r="G116" s="98"/>
      <c r="H116" s="87" t="s">
        <v>143</v>
      </c>
    </row>
    <row r="117" spans="1:10" ht="14.25" customHeight="1" x14ac:dyDescent="0.2">
      <c r="A117" s="93"/>
      <c r="B117" s="93"/>
      <c r="C117" s="94" t="s">
        <v>165</v>
      </c>
      <c r="D117" s="93"/>
      <c r="E117" s="93"/>
      <c r="F117" s="93"/>
      <c r="G117" s="93"/>
      <c r="H117" s="87" t="s">
        <v>143</v>
      </c>
    </row>
    <row r="118" spans="1:10" ht="14.25" customHeight="1" x14ac:dyDescent="0.2">
      <c r="A118" s="93"/>
      <c r="B118" s="93"/>
      <c r="C118" s="94" t="s">
        <v>166</v>
      </c>
      <c r="D118" s="93"/>
      <c r="E118" s="93"/>
      <c r="F118" s="93"/>
      <c r="G118" s="93"/>
      <c r="H118" s="87" t="s">
        <v>143</v>
      </c>
    </row>
    <row r="119" spans="1:10" ht="14.25" customHeight="1" x14ac:dyDescent="0.2">
      <c r="A119" s="93"/>
      <c r="B119" s="93"/>
      <c r="C119" s="94" t="s">
        <v>142</v>
      </c>
      <c r="D119" s="93"/>
      <c r="E119" s="93" t="s">
        <v>143</v>
      </c>
      <c r="F119" s="99" t="s">
        <v>145</v>
      </c>
      <c r="G119" s="96">
        <v>0</v>
      </c>
      <c r="H119" s="87" t="s">
        <v>143</v>
      </c>
    </row>
    <row r="120" spans="1:10" ht="14.25" customHeight="1" x14ac:dyDescent="0.2">
      <c r="A120" s="93"/>
      <c r="B120" s="93"/>
      <c r="C120" s="97"/>
      <c r="D120" s="93"/>
      <c r="E120" s="93"/>
      <c r="F120" s="98"/>
      <c r="G120" s="98"/>
      <c r="H120" s="87" t="s">
        <v>143</v>
      </c>
    </row>
    <row r="121" spans="1:10" ht="14.25" customHeight="1" x14ac:dyDescent="0.2">
      <c r="A121" s="93"/>
      <c r="B121" s="93"/>
      <c r="C121" s="94" t="s">
        <v>167</v>
      </c>
      <c r="D121" s="93"/>
      <c r="E121" s="93"/>
      <c r="F121" s="98"/>
      <c r="G121" s="98"/>
      <c r="H121" s="87" t="s">
        <v>143</v>
      </c>
    </row>
    <row r="122" spans="1:10" ht="14.25" customHeight="1" x14ac:dyDescent="0.2">
      <c r="A122" s="93"/>
      <c r="B122" s="93"/>
      <c r="C122" s="94" t="s">
        <v>142</v>
      </c>
      <c r="D122" s="93"/>
      <c r="E122" s="93" t="s">
        <v>143</v>
      </c>
      <c r="F122" s="99" t="s">
        <v>145</v>
      </c>
      <c r="G122" s="96">
        <v>0</v>
      </c>
      <c r="H122" s="87" t="s">
        <v>143</v>
      </c>
    </row>
    <row r="123" spans="1:10" ht="14.25" customHeight="1" x14ac:dyDescent="0.2">
      <c r="A123" s="93"/>
      <c r="B123" s="89"/>
      <c r="C123" s="89"/>
      <c r="D123" s="94"/>
      <c r="E123" s="93"/>
      <c r="F123" s="89"/>
      <c r="G123" s="100"/>
      <c r="H123" s="87" t="s">
        <v>143</v>
      </c>
    </row>
    <row r="124" spans="1:10" ht="14.25" customHeight="1" x14ac:dyDescent="0.2">
      <c r="A124" s="100"/>
      <c r="B124" s="89"/>
      <c r="C124" s="89" t="s">
        <v>168</v>
      </c>
      <c r="D124" s="89"/>
      <c r="E124" s="100"/>
      <c r="F124" s="91">
        <v>809.71443627999997</v>
      </c>
      <c r="G124" s="92">
        <v>8.6560100000000004E-3</v>
      </c>
      <c r="H124" s="87" t="s">
        <v>143</v>
      </c>
    </row>
    <row r="125" spans="1:10" ht="14.25" customHeight="1" x14ac:dyDescent="0.2">
      <c r="A125" s="97"/>
      <c r="B125" s="97"/>
      <c r="C125" s="94" t="s">
        <v>169</v>
      </c>
      <c r="D125" s="98"/>
      <c r="E125" s="98"/>
      <c r="F125" s="95">
        <v>93543.634215459999</v>
      </c>
      <c r="G125" s="101">
        <v>1.0000000099999999</v>
      </c>
      <c r="H125" s="87" t="s">
        <v>143</v>
      </c>
    </row>
    <row r="126" spans="1:10" ht="12.75" x14ac:dyDescent="0.2">
      <c r="A126" s="102"/>
      <c r="B126" s="102"/>
      <c r="C126" s="102"/>
      <c r="D126" s="103"/>
      <c r="E126" s="103"/>
      <c r="F126" s="103"/>
      <c r="G126" s="103"/>
    </row>
    <row r="127" spans="1:10" ht="12.75" x14ac:dyDescent="0.2">
      <c r="A127" s="104"/>
      <c r="B127" s="206" t="s">
        <v>942</v>
      </c>
      <c r="C127" s="206"/>
      <c r="D127" s="206"/>
      <c r="E127" s="206"/>
      <c r="F127" s="206"/>
      <c r="G127" s="206"/>
      <c r="H127" s="206"/>
      <c r="J127" s="106"/>
    </row>
    <row r="128" spans="1:10" ht="12.75" x14ac:dyDescent="0.2">
      <c r="A128" s="104"/>
      <c r="B128" s="206" t="s">
        <v>943</v>
      </c>
      <c r="C128" s="206"/>
      <c r="D128" s="206"/>
      <c r="E128" s="206"/>
      <c r="F128" s="206"/>
      <c r="G128" s="206"/>
      <c r="H128" s="206"/>
      <c r="J128" s="106"/>
    </row>
    <row r="129" spans="1:17" ht="12.75" x14ac:dyDescent="0.2">
      <c r="A129" s="104"/>
      <c r="B129" s="206" t="s">
        <v>944</v>
      </c>
      <c r="C129" s="206"/>
      <c r="D129" s="206"/>
      <c r="E129" s="206"/>
      <c r="F129" s="206"/>
      <c r="G129" s="206"/>
      <c r="H129" s="206"/>
      <c r="J129" s="106"/>
    </row>
    <row r="130" spans="1:17" s="108" customFormat="1" ht="66.75" customHeight="1" x14ac:dyDescent="0.25">
      <c r="A130" s="107"/>
      <c r="B130" s="207" t="s">
        <v>945</v>
      </c>
      <c r="C130" s="207"/>
      <c r="D130" s="207"/>
      <c r="E130" s="207"/>
      <c r="F130" s="207"/>
      <c r="G130" s="207"/>
      <c r="H130" s="207"/>
      <c r="I130"/>
      <c r="J130" s="106"/>
      <c r="K130"/>
      <c r="L130"/>
      <c r="M130"/>
      <c r="N130"/>
      <c r="O130"/>
      <c r="P130"/>
      <c r="Q130"/>
    </row>
    <row r="131" spans="1:17" ht="12.75" x14ac:dyDescent="0.2">
      <c r="A131" s="104"/>
      <c r="B131" s="206" t="s">
        <v>946</v>
      </c>
      <c r="C131" s="206"/>
      <c r="D131" s="206"/>
      <c r="E131" s="206"/>
      <c r="F131" s="206"/>
      <c r="G131" s="206"/>
      <c r="H131" s="206"/>
      <c r="J131" s="106"/>
    </row>
    <row r="132" spans="1:17" ht="12.75" x14ac:dyDescent="0.2">
      <c r="A132" s="104"/>
      <c r="B132" s="104"/>
      <c r="C132" s="104"/>
      <c r="D132" s="109"/>
      <c r="E132" s="109"/>
      <c r="F132" s="109"/>
      <c r="G132" s="109"/>
    </row>
    <row r="133" spans="1:17" ht="12.75" x14ac:dyDescent="0.2">
      <c r="A133" s="104"/>
      <c r="B133" s="199" t="s">
        <v>170</v>
      </c>
      <c r="C133" s="200"/>
      <c r="D133" s="201"/>
      <c r="E133" s="110"/>
      <c r="F133" s="109"/>
      <c r="G133" s="109"/>
    </row>
    <row r="134" spans="1:17" ht="27.75" customHeight="1" x14ac:dyDescent="0.2">
      <c r="A134" s="104"/>
      <c r="B134" s="202" t="s">
        <v>171</v>
      </c>
      <c r="C134" s="203"/>
      <c r="D134" s="86" t="s">
        <v>172</v>
      </c>
      <c r="E134" s="110"/>
      <c r="F134" s="109"/>
      <c r="G134" s="109"/>
    </row>
    <row r="135" spans="1:17" ht="12.75" customHeight="1" x14ac:dyDescent="0.2">
      <c r="A135" s="104"/>
      <c r="B135" s="202" t="s">
        <v>947</v>
      </c>
      <c r="C135" s="203"/>
      <c r="D135" s="86" t="str">
        <f>"Rs. "&amp;TEXT(F69,"0.00")&amp;" lacs/ "&amp;IF(ROUND((G69*100),2) = 0,"#",(TEXT((G69*100),"0.00")&amp;"%"))</f>
        <v>Rs. 0.00 lacs/ #</v>
      </c>
      <c r="E135" s="110"/>
      <c r="F135" s="109"/>
      <c r="G135" s="109"/>
    </row>
    <row r="136" spans="1:17" ht="12.75" x14ac:dyDescent="0.2">
      <c r="A136" s="104"/>
      <c r="B136" s="202" t="s">
        <v>173</v>
      </c>
      <c r="C136" s="203"/>
      <c r="D136" s="111" t="s">
        <v>143</v>
      </c>
      <c r="E136" s="110"/>
      <c r="F136" s="109"/>
      <c r="G136" s="109"/>
    </row>
    <row r="137" spans="1:17" ht="12.75" x14ac:dyDescent="0.2">
      <c r="A137" s="112"/>
      <c r="B137" s="113" t="s">
        <v>143</v>
      </c>
      <c r="C137" s="113" t="s">
        <v>948</v>
      </c>
      <c r="D137" s="113" t="s">
        <v>174</v>
      </c>
      <c r="E137" s="112"/>
      <c r="F137" s="112"/>
      <c r="G137" s="112"/>
      <c r="H137" s="112"/>
      <c r="J137" s="106"/>
    </row>
    <row r="138" spans="1:17" ht="12.75" x14ac:dyDescent="0.2">
      <c r="A138" s="112"/>
      <c r="B138" s="114" t="s">
        <v>175</v>
      </c>
      <c r="C138" s="115">
        <v>45869</v>
      </c>
      <c r="D138" s="115">
        <v>45900</v>
      </c>
      <c r="E138" s="112"/>
      <c r="F138" s="112"/>
      <c r="G138" s="112"/>
      <c r="J138" s="106"/>
    </row>
    <row r="139" spans="1:17" ht="14.25" customHeight="1" x14ac:dyDescent="0.2">
      <c r="A139" s="116"/>
      <c r="B139" s="89" t="s">
        <v>176</v>
      </c>
      <c r="C139" s="117">
        <v>101.5172</v>
      </c>
      <c r="D139" s="117">
        <v>99.152699999999996</v>
      </c>
      <c r="E139" s="116"/>
      <c r="F139" s="118"/>
      <c r="G139" s="119"/>
    </row>
    <row r="140" spans="1:17" ht="14.25" customHeight="1" x14ac:dyDescent="0.2">
      <c r="A140" s="116"/>
      <c r="B140" s="89" t="s">
        <v>954</v>
      </c>
      <c r="C140" s="117">
        <v>62.548400000000001</v>
      </c>
      <c r="D140" s="117">
        <v>61.0916</v>
      </c>
      <c r="E140" s="116"/>
      <c r="F140" s="118"/>
      <c r="G140" s="119"/>
    </row>
    <row r="141" spans="1:17" ht="14.25" customHeight="1" x14ac:dyDescent="0.2">
      <c r="A141" s="116"/>
      <c r="B141" s="89" t="s">
        <v>177</v>
      </c>
      <c r="C141" s="117">
        <v>94.985799999999998</v>
      </c>
      <c r="D141" s="117">
        <v>92.732500000000002</v>
      </c>
      <c r="E141" s="116"/>
      <c r="F141" s="118"/>
      <c r="G141" s="119"/>
    </row>
    <row r="142" spans="1:17" ht="14.25" customHeight="1" x14ac:dyDescent="0.2">
      <c r="A142" s="116"/>
      <c r="B142" s="89" t="s">
        <v>955</v>
      </c>
      <c r="C142" s="117">
        <v>58.224600000000002</v>
      </c>
      <c r="D142" s="117">
        <v>56.843299999999999</v>
      </c>
      <c r="E142" s="116"/>
      <c r="F142" s="118"/>
      <c r="G142" s="119"/>
    </row>
    <row r="143" spans="1:17" ht="14.25" customHeight="1" x14ac:dyDescent="0.2">
      <c r="A143" s="116"/>
      <c r="B143" s="116"/>
      <c r="C143" s="116"/>
      <c r="D143" s="116"/>
      <c r="E143" s="116"/>
      <c r="F143" s="116"/>
      <c r="G143" s="116"/>
    </row>
    <row r="144" spans="1:17" ht="12.75" x14ac:dyDescent="0.2">
      <c r="A144" s="112"/>
      <c r="B144" s="202" t="s">
        <v>949</v>
      </c>
      <c r="C144" s="203"/>
      <c r="D144" s="86" t="s">
        <v>172</v>
      </c>
      <c r="E144" s="112"/>
      <c r="F144" s="112"/>
      <c r="G144" s="112"/>
    </row>
    <row r="145" spans="1:10" ht="12.75" x14ac:dyDescent="0.2">
      <c r="A145" s="112"/>
      <c r="B145" s="197"/>
      <c r="C145" s="197"/>
      <c r="D145" s="198"/>
      <c r="E145" s="112"/>
      <c r="F145" s="105"/>
      <c r="G145" s="123"/>
      <c r="J145" s="106"/>
    </row>
    <row r="146" spans="1:10" ht="12.75" x14ac:dyDescent="0.2">
      <c r="A146" s="112"/>
      <c r="B146" s="202" t="s">
        <v>178</v>
      </c>
      <c r="C146" s="203"/>
      <c r="D146" s="86" t="s">
        <v>172</v>
      </c>
      <c r="E146" s="121"/>
      <c r="F146" s="112"/>
      <c r="G146" s="112"/>
      <c r="J146" s="106"/>
    </row>
    <row r="147" spans="1:10" ht="12.75" x14ac:dyDescent="0.2">
      <c r="A147" s="112"/>
      <c r="B147" s="202" t="s">
        <v>179</v>
      </c>
      <c r="C147" s="203"/>
      <c r="D147" s="86" t="s">
        <v>172</v>
      </c>
      <c r="E147" s="121"/>
      <c r="F147" s="112"/>
      <c r="G147" s="112"/>
      <c r="J147" s="106"/>
    </row>
    <row r="148" spans="1:10" ht="12.75" x14ac:dyDescent="0.2">
      <c r="A148" s="112"/>
      <c r="B148" s="202" t="s">
        <v>180</v>
      </c>
      <c r="C148" s="203"/>
      <c r="D148" s="86" t="s">
        <v>172</v>
      </c>
      <c r="E148" s="121"/>
      <c r="F148" s="112"/>
      <c r="G148" s="112"/>
      <c r="J148" s="106"/>
    </row>
    <row r="149" spans="1:10" ht="12.75" x14ac:dyDescent="0.2">
      <c r="A149" s="112"/>
      <c r="B149" s="202" t="s">
        <v>181</v>
      </c>
      <c r="C149" s="203"/>
      <c r="D149" s="122">
        <v>0.28943365730982978</v>
      </c>
      <c r="E149" s="112"/>
      <c r="F149" s="105"/>
      <c r="G149" s="123"/>
      <c r="J149" s="106"/>
    </row>
    <row r="150" spans="1:10" ht="12.75" x14ac:dyDescent="0.2">
      <c r="J150" s="106"/>
    </row>
    <row r="151" spans="1:10" ht="12.75" x14ac:dyDescent="0.2">
      <c r="B151" s="204" t="s">
        <v>950</v>
      </c>
      <c r="C151" s="204"/>
    </row>
    <row r="152" spans="1:10" ht="12.75" x14ac:dyDescent="0.2"/>
    <row r="153" spans="1:10" ht="153.75" customHeight="1" x14ac:dyDescent="0.2"/>
    <row r="154" spans="1:10" ht="12.75" x14ac:dyDescent="0.2"/>
    <row r="155" spans="1:10" ht="12.75" x14ac:dyDescent="0.2"/>
    <row r="156" spans="1:10" ht="12.75" x14ac:dyDescent="0.2">
      <c r="B156" s="124" t="s">
        <v>951</v>
      </c>
      <c r="C156" s="125"/>
      <c r="D156" s="124"/>
    </row>
    <row r="157" spans="1:10" ht="12.75" x14ac:dyDescent="0.2">
      <c r="B157" s="124" t="s">
        <v>952</v>
      </c>
      <c r="D157" s="124"/>
    </row>
    <row r="158" spans="1:10" ht="165" customHeight="1" x14ac:dyDescent="0.2"/>
    <row r="159" spans="1:10" ht="12.75" x14ac:dyDescent="0.2"/>
    <row r="160" spans="1:10" ht="12.75" x14ac:dyDescent="0.2">
      <c r="J160" s="84"/>
    </row>
    <row r="161" spans="10:10" ht="12.75" x14ac:dyDescent="0.2">
      <c r="J161" s="84"/>
    </row>
    <row r="162" spans="10:10" ht="12.75" x14ac:dyDescent="0.2">
      <c r="J162" s="84"/>
    </row>
    <row r="163" spans="10:10" ht="12.75" x14ac:dyDescent="0.2"/>
    <row r="164" spans="10:10" ht="12.75" x14ac:dyDescent="0.2"/>
    <row r="165" spans="10:10" ht="12.75" x14ac:dyDescent="0.2"/>
    <row r="166" spans="10:10" ht="12.75" x14ac:dyDescent="0.2"/>
    <row r="167" spans="10:10" ht="12.75" x14ac:dyDescent="0.2"/>
    <row r="168" spans="10:10" ht="12.75" x14ac:dyDescent="0.2"/>
    <row r="169" spans="10:10" ht="12.75" x14ac:dyDescent="0.2"/>
  </sheetData>
  <mergeCells count="18">
    <mergeCell ref="B130:H130"/>
    <mergeCell ref="B131:H131"/>
    <mergeCell ref="B133:D133"/>
    <mergeCell ref="B134:C134"/>
    <mergeCell ref="B151:C151"/>
    <mergeCell ref="A1:H1"/>
    <mergeCell ref="A2:H2"/>
    <mergeCell ref="A3:H3"/>
    <mergeCell ref="B144:C144"/>
    <mergeCell ref="B148:C148"/>
    <mergeCell ref="B149:C149"/>
    <mergeCell ref="B127:H127"/>
    <mergeCell ref="B128:H128"/>
    <mergeCell ref="B135:C135"/>
    <mergeCell ref="B136:C136"/>
    <mergeCell ref="B146:C146"/>
    <mergeCell ref="B147:C147"/>
    <mergeCell ref="B129:H129"/>
  </mergeCells>
  <hyperlinks>
    <hyperlink ref="I1" location="Index!B2" display="Index" xr:uid="{E6E86B35-B34A-4CA6-9625-F59B36F9AEF1}"/>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D5C73-E6F6-462D-B4DE-1FAA0CC22692}">
  <sheetPr>
    <outlinePr summaryBelow="0" summaryRight="0"/>
  </sheetPr>
  <dimension ref="A1:Q114"/>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4.28515625" customWidth="1"/>
    <col min="5" max="5" width="12.42578125" bestFit="1" customWidth="1"/>
    <col min="6" max="6" width="10.140625" bestFit="1" customWidth="1"/>
    <col min="7" max="7" width="14" bestFit="1" customWidth="1"/>
    <col min="8" max="8" width="8.42578125" bestFit="1" customWidth="1"/>
    <col min="257" max="257" width="6.85546875" customWidth="1"/>
    <col min="258" max="258" width="20.5703125" customWidth="1"/>
    <col min="259" max="259" width="34.28515625" customWidth="1"/>
    <col min="260" max="260" width="17.85546875" customWidth="1"/>
    <col min="261" max="262" width="19.140625" customWidth="1"/>
    <col min="263" max="263" width="16.42578125" customWidth="1"/>
    <col min="513" max="513" width="6.85546875" customWidth="1"/>
    <col min="514" max="514" width="20.5703125" customWidth="1"/>
    <col min="515" max="515" width="34.28515625" customWidth="1"/>
    <col min="516" max="516" width="17.85546875" customWidth="1"/>
    <col min="517" max="518" width="19.140625" customWidth="1"/>
    <col min="519" max="519" width="16.42578125" customWidth="1"/>
    <col min="769" max="769" width="6.85546875" customWidth="1"/>
    <col min="770" max="770" width="20.5703125" customWidth="1"/>
    <col min="771" max="771" width="34.28515625" customWidth="1"/>
    <col min="772" max="772" width="17.85546875" customWidth="1"/>
    <col min="773" max="774" width="19.140625" customWidth="1"/>
    <col min="775" max="775" width="16.42578125" customWidth="1"/>
    <col min="1025" max="1025" width="6.85546875" customWidth="1"/>
    <col min="1026" max="1026" width="20.5703125" customWidth="1"/>
    <col min="1027" max="1027" width="34.28515625" customWidth="1"/>
    <col min="1028" max="1028" width="17.85546875" customWidth="1"/>
    <col min="1029" max="1030" width="19.140625" customWidth="1"/>
    <col min="1031" max="1031" width="16.42578125" customWidth="1"/>
    <col min="1281" max="1281" width="6.85546875" customWidth="1"/>
    <col min="1282" max="1282" width="20.5703125" customWidth="1"/>
    <col min="1283" max="1283" width="34.28515625" customWidth="1"/>
    <col min="1284" max="1284" width="17.85546875" customWidth="1"/>
    <col min="1285" max="1286" width="19.140625" customWidth="1"/>
    <col min="1287" max="1287" width="16.42578125" customWidth="1"/>
    <col min="1537" max="1537" width="6.85546875" customWidth="1"/>
    <col min="1538" max="1538" width="20.5703125" customWidth="1"/>
    <col min="1539" max="1539" width="34.28515625" customWidth="1"/>
    <col min="1540" max="1540" width="17.85546875" customWidth="1"/>
    <col min="1541" max="1542" width="19.140625" customWidth="1"/>
    <col min="1543" max="1543" width="16.42578125" customWidth="1"/>
    <col min="1793" max="1793" width="6.85546875" customWidth="1"/>
    <col min="1794" max="1794" width="20.5703125" customWidth="1"/>
    <col min="1795" max="1795" width="34.28515625" customWidth="1"/>
    <col min="1796" max="1796" width="17.85546875" customWidth="1"/>
    <col min="1797" max="1798" width="19.140625" customWidth="1"/>
    <col min="1799" max="1799" width="16.42578125" customWidth="1"/>
    <col min="2049" max="2049" width="6.85546875" customWidth="1"/>
    <col min="2050" max="2050" width="20.5703125" customWidth="1"/>
    <col min="2051" max="2051" width="34.28515625" customWidth="1"/>
    <col min="2052" max="2052" width="17.85546875" customWidth="1"/>
    <col min="2053" max="2054" width="19.140625" customWidth="1"/>
    <col min="2055" max="2055" width="16.42578125" customWidth="1"/>
    <col min="2305" max="2305" width="6.85546875" customWidth="1"/>
    <col min="2306" max="2306" width="20.5703125" customWidth="1"/>
    <col min="2307" max="2307" width="34.28515625" customWidth="1"/>
    <col min="2308" max="2308" width="17.85546875" customWidth="1"/>
    <col min="2309" max="2310" width="19.140625" customWidth="1"/>
    <col min="2311" max="2311" width="16.42578125" customWidth="1"/>
    <col min="2561" max="2561" width="6.85546875" customWidth="1"/>
    <col min="2562" max="2562" width="20.5703125" customWidth="1"/>
    <col min="2563" max="2563" width="34.28515625" customWidth="1"/>
    <col min="2564" max="2564" width="17.85546875" customWidth="1"/>
    <col min="2565" max="2566" width="19.140625" customWidth="1"/>
    <col min="2567" max="2567" width="16.42578125" customWidth="1"/>
    <col min="2817" max="2817" width="6.85546875" customWidth="1"/>
    <col min="2818" max="2818" width="20.5703125" customWidth="1"/>
    <col min="2819" max="2819" width="34.28515625" customWidth="1"/>
    <col min="2820" max="2820" width="17.85546875" customWidth="1"/>
    <col min="2821" max="2822" width="19.140625" customWidth="1"/>
    <col min="2823" max="2823" width="16.42578125" customWidth="1"/>
    <col min="3073" max="3073" width="6.85546875" customWidth="1"/>
    <col min="3074" max="3074" width="20.5703125" customWidth="1"/>
    <col min="3075" max="3075" width="34.28515625" customWidth="1"/>
    <col min="3076" max="3076" width="17.85546875" customWidth="1"/>
    <col min="3077" max="3078" width="19.140625" customWidth="1"/>
    <col min="3079" max="3079" width="16.42578125" customWidth="1"/>
    <col min="3329" max="3329" width="6.85546875" customWidth="1"/>
    <col min="3330" max="3330" width="20.5703125" customWidth="1"/>
    <col min="3331" max="3331" width="34.28515625" customWidth="1"/>
    <col min="3332" max="3332" width="17.85546875" customWidth="1"/>
    <col min="3333" max="3334" width="19.140625" customWidth="1"/>
    <col min="3335" max="3335" width="16.42578125" customWidth="1"/>
    <col min="3585" max="3585" width="6.85546875" customWidth="1"/>
    <col min="3586" max="3586" width="20.5703125" customWidth="1"/>
    <col min="3587" max="3587" width="34.28515625" customWidth="1"/>
    <col min="3588" max="3588" width="17.85546875" customWidth="1"/>
    <col min="3589" max="3590" width="19.140625" customWidth="1"/>
    <col min="3591" max="3591" width="16.42578125" customWidth="1"/>
    <col min="3841" max="3841" width="6.85546875" customWidth="1"/>
    <col min="3842" max="3842" width="20.5703125" customWidth="1"/>
    <col min="3843" max="3843" width="34.28515625" customWidth="1"/>
    <col min="3844" max="3844" width="17.85546875" customWidth="1"/>
    <col min="3845" max="3846" width="19.140625" customWidth="1"/>
    <col min="3847" max="3847" width="16.42578125" customWidth="1"/>
    <col min="4097" max="4097" width="6.85546875" customWidth="1"/>
    <col min="4098" max="4098" width="20.5703125" customWidth="1"/>
    <col min="4099" max="4099" width="34.28515625" customWidth="1"/>
    <col min="4100" max="4100" width="17.85546875" customWidth="1"/>
    <col min="4101" max="4102" width="19.140625" customWidth="1"/>
    <col min="4103" max="4103" width="16.42578125" customWidth="1"/>
    <col min="4353" max="4353" width="6.85546875" customWidth="1"/>
    <col min="4354" max="4354" width="20.5703125" customWidth="1"/>
    <col min="4355" max="4355" width="34.28515625" customWidth="1"/>
    <col min="4356" max="4356" width="17.85546875" customWidth="1"/>
    <col min="4357" max="4358" width="19.140625" customWidth="1"/>
    <col min="4359" max="4359" width="16.42578125" customWidth="1"/>
    <col min="4609" max="4609" width="6.85546875" customWidth="1"/>
    <col min="4610" max="4610" width="20.5703125" customWidth="1"/>
    <col min="4611" max="4611" width="34.28515625" customWidth="1"/>
    <col min="4612" max="4612" width="17.85546875" customWidth="1"/>
    <col min="4613" max="4614" width="19.140625" customWidth="1"/>
    <col min="4615" max="4615" width="16.42578125" customWidth="1"/>
    <col min="4865" max="4865" width="6.85546875" customWidth="1"/>
    <col min="4866" max="4866" width="20.5703125" customWidth="1"/>
    <col min="4867" max="4867" width="34.28515625" customWidth="1"/>
    <col min="4868" max="4868" width="17.85546875" customWidth="1"/>
    <col min="4869" max="4870" width="19.140625" customWidth="1"/>
    <col min="4871" max="4871" width="16.42578125" customWidth="1"/>
    <col min="5121" max="5121" width="6.85546875" customWidth="1"/>
    <col min="5122" max="5122" width="20.5703125" customWidth="1"/>
    <col min="5123" max="5123" width="34.28515625" customWidth="1"/>
    <col min="5124" max="5124" width="17.85546875" customWidth="1"/>
    <col min="5125" max="5126" width="19.140625" customWidth="1"/>
    <col min="5127" max="5127" width="16.42578125" customWidth="1"/>
    <col min="5377" max="5377" width="6.85546875" customWidth="1"/>
    <col min="5378" max="5378" width="20.5703125" customWidth="1"/>
    <col min="5379" max="5379" width="34.28515625" customWidth="1"/>
    <col min="5380" max="5380" width="17.85546875" customWidth="1"/>
    <col min="5381" max="5382" width="19.140625" customWidth="1"/>
    <col min="5383" max="5383" width="16.42578125" customWidth="1"/>
    <col min="5633" max="5633" width="6.85546875" customWidth="1"/>
    <col min="5634" max="5634" width="20.5703125" customWidth="1"/>
    <col min="5635" max="5635" width="34.28515625" customWidth="1"/>
    <col min="5636" max="5636" width="17.85546875" customWidth="1"/>
    <col min="5637" max="5638" width="19.140625" customWidth="1"/>
    <col min="5639" max="5639" width="16.42578125" customWidth="1"/>
    <col min="5889" max="5889" width="6.85546875" customWidth="1"/>
    <col min="5890" max="5890" width="20.5703125" customWidth="1"/>
    <col min="5891" max="5891" width="34.28515625" customWidth="1"/>
    <col min="5892" max="5892" width="17.85546875" customWidth="1"/>
    <col min="5893" max="5894" width="19.140625" customWidth="1"/>
    <col min="5895" max="5895" width="16.42578125" customWidth="1"/>
    <col min="6145" max="6145" width="6.85546875" customWidth="1"/>
    <col min="6146" max="6146" width="20.5703125" customWidth="1"/>
    <col min="6147" max="6147" width="34.28515625" customWidth="1"/>
    <col min="6148" max="6148" width="17.85546875" customWidth="1"/>
    <col min="6149" max="6150" width="19.140625" customWidth="1"/>
    <col min="6151" max="6151" width="16.42578125" customWidth="1"/>
    <col min="6401" max="6401" width="6.85546875" customWidth="1"/>
    <col min="6402" max="6402" width="20.5703125" customWidth="1"/>
    <col min="6403" max="6403" width="34.28515625" customWidth="1"/>
    <col min="6404" max="6404" width="17.85546875" customWidth="1"/>
    <col min="6405" max="6406" width="19.140625" customWidth="1"/>
    <col min="6407" max="6407" width="16.42578125" customWidth="1"/>
    <col min="6657" max="6657" width="6.85546875" customWidth="1"/>
    <col min="6658" max="6658" width="20.5703125" customWidth="1"/>
    <col min="6659" max="6659" width="34.28515625" customWidth="1"/>
    <col min="6660" max="6660" width="17.85546875" customWidth="1"/>
    <col min="6661" max="6662" width="19.140625" customWidth="1"/>
    <col min="6663" max="6663" width="16.42578125" customWidth="1"/>
    <col min="6913" max="6913" width="6.85546875" customWidth="1"/>
    <col min="6914" max="6914" width="20.5703125" customWidth="1"/>
    <col min="6915" max="6915" width="34.28515625" customWidth="1"/>
    <col min="6916" max="6916" width="17.85546875" customWidth="1"/>
    <col min="6917" max="6918" width="19.140625" customWidth="1"/>
    <col min="6919" max="6919" width="16.42578125" customWidth="1"/>
    <col min="7169" max="7169" width="6.85546875" customWidth="1"/>
    <col min="7170" max="7170" width="20.5703125" customWidth="1"/>
    <col min="7171" max="7171" width="34.28515625" customWidth="1"/>
    <col min="7172" max="7172" width="17.85546875" customWidth="1"/>
    <col min="7173" max="7174" width="19.140625" customWidth="1"/>
    <col min="7175" max="7175" width="16.42578125" customWidth="1"/>
    <col min="7425" max="7425" width="6.85546875" customWidth="1"/>
    <col min="7426" max="7426" width="20.5703125" customWidth="1"/>
    <col min="7427" max="7427" width="34.28515625" customWidth="1"/>
    <col min="7428" max="7428" width="17.85546875" customWidth="1"/>
    <col min="7429" max="7430" width="19.140625" customWidth="1"/>
    <col min="7431" max="7431" width="16.42578125" customWidth="1"/>
    <col min="7681" max="7681" width="6.85546875" customWidth="1"/>
    <col min="7682" max="7682" width="20.5703125" customWidth="1"/>
    <col min="7683" max="7683" width="34.28515625" customWidth="1"/>
    <col min="7684" max="7684" width="17.85546875" customWidth="1"/>
    <col min="7685" max="7686" width="19.140625" customWidth="1"/>
    <col min="7687" max="7687" width="16.42578125" customWidth="1"/>
    <col min="7937" max="7937" width="6.85546875" customWidth="1"/>
    <col min="7938" max="7938" width="20.5703125" customWidth="1"/>
    <col min="7939" max="7939" width="34.28515625" customWidth="1"/>
    <col min="7940" max="7940" width="17.85546875" customWidth="1"/>
    <col min="7941" max="7942" width="19.140625" customWidth="1"/>
    <col min="7943" max="7943" width="16.42578125" customWidth="1"/>
    <col min="8193" max="8193" width="6.85546875" customWidth="1"/>
    <col min="8194" max="8194" width="20.5703125" customWidth="1"/>
    <col min="8195" max="8195" width="34.28515625" customWidth="1"/>
    <col min="8196" max="8196" width="17.85546875" customWidth="1"/>
    <col min="8197" max="8198" width="19.140625" customWidth="1"/>
    <col min="8199" max="8199" width="16.42578125" customWidth="1"/>
    <col min="8449" max="8449" width="6.85546875" customWidth="1"/>
    <col min="8450" max="8450" width="20.5703125" customWidth="1"/>
    <col min="8451" max="8451" width="34.28515625" customWidth="1"/>
    <col min="8452" max="8452" width="17.85546875" customWidth="1"/>
    <col min="8453" max="8454" width="19.140625" customWidth="1"/>
    <col min="8455" max="8455" width="16.42578125" customWidth="1"/>
    <col min="8705" max="8705" width="6.85546875" customWidth="1"/>
    <col min="8706" max="8706" width="20.5703125" customWidth="1"/>
    <col min="8707" max="8707" width="34.28515625" customWidth="1"/>
    <col min="8708" max="8708" width="17.85546875" customWidth="1"/>
    <col min="8709" max="8710" width="19.140625" customWidth="1"/>
    <col min="8711" max="8711" width="16.42578125" customWidth="1"/>
    <col min="8961" max="8961" width="6.85546875" customWidth="1"/>
    <col min="8962" max="8962" width="20.5703125" customWidth="1"/>
    <col min="8963" max="8963" width="34.28515625" customWidth="1"/>
    <col min="8964" max="8964" width="17.85546875" customWidth="1"/>
    <col min="8965" max="8966" width="19.140625" customWidth="1"/>
    <col min="8967" max="8967" width="16.42578125" customWidth="1"/>
    <col min="9217" max="9217" width="6.85546875" customWidth="1"/>
    <col min="9218" max="9218" width="20.5703125" customWidth="1"/>
    <col min="9219" max="9219" width="34.28515625" customWidth="1"/>
    <col min="9220" max="9220" width="17.85546875" customWidth="1"/>
    <col min="9221" max="9222" width="19.140625" customWidth="1"/>
    <col min="9223" max="9223" width="16.42578125" customWidth="1"/>
    <col min="9473" max="9473" width="6.85546875" customWidth="1"/>
    <col min="9474" max="9474" width="20.5703125" customWidth="1"/>
    <col min="9475" max="9475" width="34.28515625" customWidth="1"/>
    <col min="9476" max="9476" width="17.85546875" customWidth="1"/>
    <col min="9477" max="9478" width="19.140625" customWidth="1"/>
    <col min="9479" max="9479" width="16.42578125" customWidth="1"/>
    <col min="9729" max="9729" width="6.85546875" customWidth="1"/>
    <col min="9730" max="9730" width="20.5703125" customWidth="1"/>
    <col min="9731" max="9731" width="34.28515625" customWidth="1"/>
    <col min="9732" max="9732" width="17.85546875" customWidth="1"/>
    <col min="9733" max="9734" width="19.140625" customWidth="1"/>
    <col min="9735" max="9735" width="16.42578125" customWidth="1"/>
    <col min="9985" max="9985" width="6.85546875" customWidth="1"/>
    <col min="9986" max="9986" width="20.5703125" customWidth="1"/>
    <col min="9987" max="9987" width="34.28515625" customWidth="1"/>
    <col min="9988" max="9988" width="17.85546875" customWidth="1"/>
    <col min="9989" max="9990" width="19.140625" customWidth="1"/>
    <col min="9991" max="9991" width="16.42578125" customWidth="1"/>
    <col min="10241" max="10241" width="6.85546875" customWidth="1"/>
    <col min="10242" max="10242" width="20.5703125" customWidth="1"/>
    <col min="10243" max="10243" width="34.28515625" customWidth="1"/>
    <col min="10244" max="10244" width="17.85546875" customWidth="1"/>
    <col min="10245" max="10246" width="19.140625" customWidth="1"/>
    <col min="10247" max="10247" width="16.42578125" customWidth="1"/>
    <col min="10497" max="10497" width="6.85546875" customWidth="1"/>
    <col min="10498" max="10498" width="20.5703125" customWidth="1"/>
    <col min="10499" max="10499" width="34.28515625" customWidth="1"/>
    <col min="10500" max="10500" width="17.85546875" customWidth="1"/>
    <col min="10501" max="10502" width="19.140625" customWidth="1"/>
    <col min="10503" max="10503" width="16.42578125" customWidth="1"/>
    <col min="10753" max="10753" width="6.85546875" customWidth="1"/>
    <col min="10754" max="10754" width="20.5703125" customWidth="1"/>
    <col min="10755" max="10755" width="34.28515625" customWidth="1"/>
    <col min="10756" max="10756" width="17.85546875" customWidth="1"/>
    <col min="10757" max="10758" width="19.140625" customWidth="1"/>
    <col min="10759" max="10759" width="16.42578125" customWidth="1"/>
    <col min="11009" max="11009" width="6.85546875" customWidth="1"/>
    <col min="11010" max="11010" width="20.5703125" customWidth="1"/>
    <col min="11011" max="11011" width="34.28515625" customWidth="1"/>
    <col min="11012" max="11012" width="17.85546875" customWidth="1"/>
    <col min="11013" max="11014" width="19.140625" customWidth="1"/>
    <col min="11015" max="11015" width="16.42578125" customWidth="1"/>
    <col min="11265" max="11265" width="6.85546875" customWidth="1"/>
    <col min="11266" max="11266" width="20.5703125" customWidth="1"/>
    <col min="11267" max="11267" width="34.28515625" customWidth="1"/>
    <col min="11268" max="11268" width="17.85546875" customWidth="1"/>
    <col min="11269" max="11270" width="19.140625" customWidth="1"/>
    <col min="11271" max="11271" width="16.42578125" customWidth="1"/>
    <col min="11521" max="11521" width="6.85546875" customWidth="1"/>
    <col min="11522" max="11522" width="20.5703125" customWidth="1"/>
    <col min="11523" max="11523" width="34.28515625" customWidth="1"/>
    <col min="11524" max="11524" width="17.85546875" customWidth="1"/>
    <col min="11525" max="11526" width="19.140625" customWidth="1"/>
    <col min="11527" max="11527" width="16.42578125" customWidth="1"/>
    <col min="11777" max="11777" width="6.85546875" customWidth="1"/>
    <col min="11778" max="11778" width="20.5703125" customWidth="1"/>
    <col min="11779" max="11779" width="34.28515625" customWidth="1"/>
    <col min="11780" max="11780" width="17.85546875" customWidth="1"/>
    <col min="11781" max="11782" width="19.140625" customWidth="1"/>
    <col min="11783" max="11783" width="16.42578125" customWidth="1"/>
    <col min="12033" max="12033" width="6.85546875" customWidth="1"/>
    <col min="12034" max="12034" width="20.5703125" customWidth="1"/>
    <col min="12035" max="12035" width="34.28515625" customWidth="1"/>
    <col min="12036" max="12036" width="17.85546875" customWidth="1"/>
    <col min="12037" max="12038" width="19.140625" customWidth="1"/>
    <col min="12039" max="12039" width="16.42578125" customWidth="1"/>
    <col min="12289" max="12289" width="6.85546875" customWidth="1"/>
    <col min="12290" max="12290" width="20.5703125" customWidth="1"/>
    <col min="12291" max="12291" width="34.28515625" customWidth="1"/>
    <col min="12292" max="12292" width="17.85546875" customWidth="1"/>
    <col min="12293" max="12294" width="19.140625" customWidth="1"/>
    <col min="12295" max="12295" width="16.42578125" customWidth="1"/>
    <col min="12545" max="12545" width="6.85546875" customWidth="1"/>
    <col min="12546" max="12546" width="20.5703125" customWidth="1"/>
    <col min="12547" max="12547" width="34.28515625" customWidth="1"/>
    <col min="12548" max="12548" width="17.85546875" customWidth="1"/>
    <col min="12549" max="12550" width="19.140625" customWidth="1"/>
    <col min="12551" max="12551" width="16.42578125" customWidth="1"/>
    <col min="12801" max="12801" width="6.85546875" customWidth="1"/>
    <col min="12802" max="12802" width="20.5703125" customWidth="1"/>
    <col min="12803" max="12803" width="34.28515625" customWidth="1"/>
    <col min="12804" max="12804" width="17.85546875" customWidth="1"/>
    <col min="12805" max="12806" width="19.140625" customWidth="1"/>
    <col min="12807" max="12807" width="16.42578125" customWidth="1"/>
    <col min="13057" max="13057" width="6.85546875" customWidth="1"/>
    <col min="13058" max="13058" width="20.5703125" customWidth="1"/>
    <col min="13059" max="13059" width="34.28515625" customWidth="1"/>
    <col min="13060" max="13060" width="17.85546875" customWidth="1"/>
    <col min="13061" max="13062" width="19.140625" customWidth="1"/>
    <col min="13063" max="13063" width="16.42578125" customWidth="1"/>
    <col min="13313" max="13313" width="6.85546875" customWidth="1"/>
    <col min="13314" max="13314" width="20.5703125" customWidth="1"/>
    <col min="13315" max="13315" width="34.28515625" customWidth="1"/>
    <col min="13316" max="13316" width="17.85546875" customWidth="1"/>
    <col min="13317" max="13318" width="19.140625" customWidth="1"/>
    <col min="13319" max="13319" width="16.42578125" customWidth="1"/>
    <col min="13569" max="13569" width="6.85546875" customWidth="1"/>
    <col min="13570" max="13570" width="20.5703125" customWidth="1"/>
    <col min="13571" max="13571" width="34.28515625" customWidth="1"/>
    <col min="13572" max="13572" width="17.85546875" customWidth="1"/>
    <col min="13573" max="13574" width="19.140625" customWidth="1"/>
    <col min="13575" max="13575" width="16.42578125" customWidth="1"/>
    <col min="13825" max="13825" width="6.85546875" customWidth="1"/>
    <col min="13826" max="13826" width="20.5703125" customWidth="1"/>
    <col min="13827" max="13827" width="34.28515625" customWidth="1"/>
    <col min="13828" max="13828" width="17.85546875" customWidth="1"/>
    <col min="13829" max="13830" width="19.140625" customWidth="1"/>
    <col min="13831" max="13831" width="16.42578125" customWidth="1"/>
    <col min="14081" max="14081" width="6.85546875" customWidth="1"/>
    <col min="14082" max="14082" width="20.5703125" customWidth="1"/>
    <col min="14083" max="14083" width="34.28515625" customWidth="1"/>
    <col min="14084" max="14084" width="17.85546875" customWidth="1"/>
    <col min="14085" max="14086" width="19.140625" customWidth="1"/>
    <col min="14087" max="14087" width="16.42578125" customWidth="1"/>
    <col min="14337" max="14337" width="6.85546875" customWidth="1"/>
    <col min="14338" max="14338" width="20.5703125" customWidth="1"/>
    <col min="14339" max="14339" width="34.28515625" customWidth="1"/>
    <col min="14340" max="14340" width="17.85546875" customWidth="1"/>
    <col min="14341" max="14342" width="19.140625" customWidth="1"/>
    <col min="14343" max="14343" width="16.42578125" customWidth="1"/>
    <col min="14593" max="14593" width="6.85546875" customWidth="1"/>
    <col min="14594" max="14594" width="20.5703125" customWidth="1"/>
    <col min="14595" max="14595" width="34.28515625" customWidth="1"/>
    <col min="14596" max="14596" width="17.85546875" customWidth="1"/>
    <col min="14597" max="14598" width="19.140625" customWidth="1"/>
    <col min="14599" max="14599" width="16.42578125" customWidth="1"/>
    <col min="14849" max="14849" width="6.85546875" customWidth="1"/>
    <col min="14850" max="14850" width="20.5703125" customWidth="1"/>
    <col min="14851" max="14851" width="34.28515625" customWidth="1"/>
    <col min="14852" max="14852" width="17.85546875" customWidth="1"/>
    <col min="14853" max="14854" width="19.140625" customWidth="1"/>
    <col min="14855" max="14855" width="16.42578125" customWidth="1"/>
    <col min="15105" max="15105" width="6.85546875" customWidth="1"/>
    <col min="15106" max="15106" width="20.5703125" customWidth="1"/>
    <col min="15107" max="15107" width="34.28515625" customWidth="1"/>
    <col min="15108" max="15108" width="17.85546875" customWidth="1"/>
    <col min="15109" max="15110" width="19.140625" customWidth="1"/>
    <col min="15111" max="15111" width="16.42578125" customWidth="1"/>
    <col min="15361" max="15361" width="6.85546875" customWidth="1"/>
    <col min="15362" max="15362" width="20.5703125" customWidth="1"/>
    <col min="15363" max="15363" width="34.28515625" customWidth="1"/>
    <col min="15364" max="15364" width="17.85546875" customWidth="1"/>
    <col min="15365" max="15366" width="19.140625" customWidth="1"/>
    <col min="15367" max="15367" width="16.42578125" customWidth="1"/>
    <col min="15617" max="15617" width="6.85546875" customWidth="1"/>
    <col min="15618" max="15618" width="20.5703125" customWidth="1"/>
    <col min="15619" max="15619" width="34.28515625" customWidth="1"/>
    <col min="15620" max="15620" width="17.85546875" customWidth="1"/>
    <col min="15621" max="15622" width="19.140625" customWidth="1"/>
    <col min="15623" max="15623" width="16.42578125" customWidth="1"/>
    <col min="15873" max="15873" width="6.85546875" customWidth="1"/>
    <col min="15874" max="15874" width="20.5703125" customWidth="1"/>
    <col min="15875" max="15875" width="34.28515625" customWidth="1"/>
    <col min="15876" max="15876" width="17.85546875" customWidth="1"/>
    <col min="15877" max="15878" width="19.140625" customWidth="1"/>
    <col min="15879" max="15879" width="16.42578125" customWidth="1"/>
    <col min="16129" max="16129" width="6.85546875" customWidth="1"/>
    <col min="16130" max="16130" width="20.5703125" customWidth="1"/>
    <col min="16131" max="16131" width="34.28515625" customWidth="1"/>
    <col min="16132" max="16132" width="17.85546875" customWidth="1"/>
    <col min="16133" max="16134" width="19.140625" customWidth="1"/>
    <col min="16135" max="16135" width="16.42578125" customWidth="1"/>
  </cols>
  <sheetData>
    <row r="1" spans="1:9" ht="15" x14ac:dyDescent="0.2">
      <c r="A1" s="205" t="s">
        <v>0</v>
      </c>
      <c r="B1" s="205"/>
      <c r="C1" s="205"/>
      <c r="D1" s="205"/>
      <c r="E1" s="205"/>
      <c r="F1" s="205"/>
      <c r="G1" s="205"/>
      <c r="H1" s="205"/>
      <c r="I1" s="1"/>
    </row>
    <row r="2" spans="1:9" ht="15" x14ac:dyDescent="0.2">
      <c r="A2" s="205" t="s">
        <v>904</v>
      </c>
      <c r="B2" s="205"/>
      <c r="C2" s="205"/>
      <c r="D2" s="205"/>
      <c r="E2" s="205"/>
      <c r="F2" s="205"/>
      <c r="G2" s="205"/>
      <c r="H2" s="205"/>
    </row>
    <row r="3" spans="1:9" ht="15" x14ac:dyDescent="0.2">
      <c r="A3" s="205" t="s">
        <v>940</v>
      </c>
      <c r="B3" s="205"/>
      <c r="C3" s="205"/>
      <c r="D3" s="205"/>
      <c r="E3" s="205"/>
      <c r="F3" s="205"/>
      <c r="G3" s="205"/>
      <c r="H3" s="205"/>
    </row>
    <row r="4" spans="1:9" s="84" customFormat="1" ht="30" x14ac:dyDescent="0.2">
      <c r="A4" s="82" t="s">
        <v>2</v>
      </c>
      <c r="B4" s="82" t="s">
        <v>3</v>
      </c>
      <c r="C4" s="82" t="s">
        <v>4</v>
      </c>
      <c r="D4" s="82" t="s">
        <v>5</v>
      </c>
      <c r="E4" s="82" t="s">
        <v>6</v>
      </c>
      <c r="F4" s="82" t="s">
        <v>7</v>
      </c>
      <c r="G4" s="82" t="s">
        <v>8</v>
      </c>
      <c r="H4" s="83" t="s">
        <v>897</v>
      </c>
    </row>
    <row r="5" spans="1:9" x14ac:dyDescent="0.2">
      <c r="A5" s="85"/>
      <c r="B5" s="85"/>
      <c r="C5" s="86" t="s">
        <v>9</v>
      </c>
      <c r="D5" s="85"/>
      <c r="E5" s="85"/>
      <c r="F5" s="85"/>
      <c r="G5" s="85"/>
      <c r="H5" s="87"/>
    </row>
    <row r="6" spans="1:9" x14ac:dyDescent="0.2">
      <c r="A6" s="88"/>
      <c r="B6" s="89"/>
      <c r="C6" s="89" t="s">
        <v>10</v>
      </c>
      <c r="D6" s="89"/>
      <c r="E6" s="90"/>
      <c r="F6" s="91"/>
      <c r="G6" s="92"/>
      <c r="H6" s="87"/>
    </row>
    <row r="7" spans="1:9" x14ac:dyDescent="0.2">
      <c r="A7" s="93"/>
      <c r="B7" s="93"/>
      <c r="C7" s="94" t="s">
        <v>142</v>
      </c>
      <c r="D7" s="93"/>
      <c r="E7" s="93" t="s">
        <v>143</v>
      </c>
      <c r="F7" s="99" t="s">
        <v>145</v>
      </c>
      <c r="G7" s="96">
        <v>0</v>
      </c>
      <c r="H7" s="87"/>
    </row>
    <row r="8" spans="1:9" x14ac:dyDescent="0.2">
      <c r="A8" s="93"/>
      <c r="B8" s="93"/>
      <c r="C8" s="97"/>
      <c r="D8" s="93"/>
      <c r="E8" s="93"/>
      <c r="F8" s="98"/>
      <c r="G8" s="98"/>
      <c r="H8" s="87"/>
    </row>
    <row r="9" spans="1:9" x14ac:dyDescent="0.2">
      <c r="A9" s="93"/>
      <c r="B9" s="93"/>
      <c r="C9" s="94" t="s">
        <v>144</v>
      </c>
      <c r="D9" s="93"/>
      <c r="E9" s="93"/>
      <c r="F9" s="93"/>
      <c r="G9" s="93"/>
      <c r="H9" s="87"/>
    </row>
    <row r="10" spans="1:9" x14ac:dyDescent="0.2">
      <c r="A10" s="93"/>
      <c r="B10" s="93"/>
      <c r="C10" s="94" t="s">
        <v>142</v>
      </c>
      <c r="D10" s="93"/>
      <c r="E10" s="93" t="s">
        <v>143</v>
      </c>
      <c r="F10" s="99" t="s">
        <v>145</v>
      </c>
      <c r="G10" s="96">
        <v>0</v>
      </c>
      <c r="H10" s="87"/>
    </row>
    <row r="11" spans="1:9" x14ac:dyDescent="0.2">
      <c r="A11" s="93"/>
      <c r="B11" s="93"/>
      <c r="C11" s="97"/>
      <c r="D11" s="93"/>
      <c r="E11" s="93"/>
      <c r="F11" s="98"/>
      <c r="G11" s="98"/>
      <c r="H11" s="87"/>
    </row>
    <row r="12" spans="1:9" x14ac:dyDescent="0.2">
      <c r="A12" s="93"/>
      <c r="B12" s="93"/>
      <c r="C12" s="94" t="s">
        <v>146</v>
      </c>
      <c r="D12" s="93"/>
      <c r="E12" s="93"/>
      <c r="F12" s="93"/>
      <c r="G12" s="93"/>
      <c r="H12" s="87"/>
    </row>
    <row r="13" spans="1:9" x14ac:dyDescent="0.2">
      <c r="A13" s="93"/>
      <c r="B13" s="93"/>
      <c r="C13" s="94" t="s">
        <v>142</v>
      </c>
      <c r="D13" s="93"/>
      <c r="E13" s="93" t="s">
        <v>143</v>
      </c>
      <c r="F13" s="99" t="s">
        <v>145</v>
      </c>
      <c r="G13" s="96">
        <v>0</v>
      </c>
      <c r="H13" s="87"/>
    </row>
    <row r="14" spans="1:9" x14ac:dyDescent="0.2">
      <c r="A14" s="93"/>
      <c r="B14" s="93"/>
      <c r="C14" s="97"/>
      <c r="D14" s="93"/>
      <c r="E14" s="93"/>
      <c r="F14" s="98"/>
      <c r="G14" s="98"/>
      <c r="H14" s="87"/>
    </row>
    <row r="15" spans="1:9" x14ac:dyDescent="0.2">
      <c r="A15" s="93"/>
      <c r="B15" s="93"/>
      <c r="C15" s="94" t="s">
        <v>147</v>
      </c>
      <c r="D15" s="93"/>
      <c r="E15" s="93"/>
      <c r="F15" s="93"/>
      <c r="G15" s="93"/>
      <c r="H15" s="87"/>
    </row>
    <row r="16" spans="1:9" x14ac:dyDescent="0.2">
      <c r="A16" s="93"/>
      <c r="B16" s="93"/>
      <c r="C16" s="94" t="s">
        <v>142</v>
      </c>
      <c r="D16" s="93"/>
      <c r="E16" s="93" t="s">
        <v>143</v>
      </c>
      <c r="F16" s="99" t="s">
        <v>145</v>
      </c>
      <c r="G16" s="96">
        <v>0</v>
      </c>
      <c r="H16" s="87"/>
    </row>
    <row r="17" spans="1:8" x14ac:dyDescent="0.2">
      <c r="A17" s="93"/>
      <c r="B17" s="93"/>
      <c r="C17" s="97"/>
      <c r="D17" s="93"/>
      <c r="E17" s="93"/>
      <c r="F17" s="98"/>
      <c r="G17" s="98"/>
      <c r="H17" s="87"/>
    </row>
    <row r="18" spans="1:8" x14ac:dyDescent="0.2">
      <c r="A18" s="93"/>
      <c r="B18" s="93"/>
      <c r="C18" s="94" t="s">
        <v>148</v>
      </c>
      <c r="D18" s="93"/>
      <c r="E18" s="93"/>
      <c r="F18" s="98"/>
      <c r="G18" s="98"/>
      <c r="H18" s="87"/>
    </row>
    <row r="19" spans="1:8" x14ac:dyDescent="0.2">
      <c r="A19" s="93"/>
      <c r="B19" s="93"/>
      <c r="C19" s="94" t="s">
        <v>142</v>
      </c>
      <c r="D19" s="93"/>
      <c r="E19" s="93" t="s">
        <v>143</v>
      </c>
      <c r="F19" s="99" t="s">
        <v>145</v>
      </c>
      <c r="G19" s="96">
        <v>0</v>
      </c>
      <c r="H19" s="87"/>
    </row>
    <row r="20" spans="1:8" x14ac:dyDescent="0.2">
      <c r="A20" s="93"/>
      <c r="B20" s="93"/>
      <c r="C20" s="97"/>
      <c r="D20" s="93"/>
      <c r="E20" s="93"/>
      <c r="F20" s="98"/>
      <c r="G20" s="98"/>
      <c r="H20" s="87"/>
    </row>
    <row r="21" spans="1:8" x14ac:dyDescent="0.2">
      <c r="A21" s="93"/>
      <c r="B21" s="93"/>
      <c r="C21" s="94" t="s">
        <v>149</v>
      </c>
      <c r="D21" s="93"/>
      <c r="E21" s="93"/>
      <c r="F21" s="98"/>
      <c r="G21" s="98"/>
      <c r="H21" s="87"/>
    </row>
    <row r="22" spans="1:8" x14ac:dyDescent="0.2">
      <c r="A22" s="93"/>
      <c r="B22" s="93"/>
      <c r="C22" s="94" t="s">
        <v>142</v>
      </c>
      <c r="D22" s="93"/>
      <c r="E22" s="93" t="s">
        <v>143</v>
      </c>
      <c r="F22" s="99" t="s">
        <v>145</v>
      </c>
      <c r="G22" s="96">
        <v>0</v>
      </c>
      <c r="H22" s="87"/>
    </row>
    <row r="23" spans="1:8" x14ac:dyDescent="0.2">
      <c r="A23" s="93"/>
      <c r="B23" s="93"/>
      <c r="C23" s="97"/>
      <c r="D23" s="93"/>
      <c r="E23" s="93"/>
      <c r="F23" s="98"/>
      <c r="G23" s="98"/>
      <c r="H23" s="87"/>
    </row>
    <row r="24" spans="1:8" x14ac:dyDescent="0.2">
      <c r="A24" s="93"/>
      <c r="B24" s="93"/>
      <c r="C24" s="94" t="s">
        <v>150</v>
      </c>
      <c r="D24" s="93"/>
      <c r="E24" s="93"/>
      <c r="F24" s="95">
        <v>0</v>
      </c>
      <c r="G24" s="96">
        <v>0</v>
      </c>
      <c r="H24" s="87"/>
    </row>
    <row r="25" spans="1:8" x14ac:dyDescent="0.2">
      <c r="A25" s="93"/>
      <c r="B25" s="93"/>
      <c r="C25" s="97"/>
      <c r="D25" s="93"/>
      <c r="E25" s="93"/>
      <c r="F25" s="98"/>
      <c r="G25" s="98"/>
      <c r="H25" s="87"/>
    </row>
    <row r="26" spans="1:8" x14ac:dyDescent="0.2">
      <c r="A26" s="93"/>
      <c r="B26" s="93"/>
      <c r="C26" s="94" t="s">
        <v>151</v>
      </c>
      <c r="D26" s="93"/>
      <c r="E26" s="93"/>
      <c r="F26" s="98"/>
      <c r="G26" s="98"/>
      <c r="H26" s="87"/>
    </row>
    <row r="27" spans="1:8" x14ac:dyDescent="0.2">
      <c r="A27" s="93"/>
      <c r="B27" s="93"/>
      <c r="C27" s="94" t="s">
        <v>10</v>
      </c>
      <c r="D27" s="93"/>
      <c r="E27" s="93"/>
      <c r="F27" s="98"/>
      <c r="G27" s="98"/>
      <c r="H27" s="87"/>
    </row>
    <row r="28" spans="1:8" x14ac:dyDescent="0.2">
      <c r="A28" s="93"/>
      <c r="B28" s="93"/>
      <c r="C28" s="94" t="s">
        <v>142</v>
      </c>
      <c r="D28" s="93"/>
      <c r="E28" s="93" t="s">
        <v>143</v>
      </c>
      <c r="F28" s="99" t="s">
        <v>145</v>
      </c>
      <c r="G28" s="96">
        <v>0</v>
      </c>
      <c r="H28" s="87"/>
    </row>
    <row r="29" spans="1:8" x14ac:dyDescent="0.2">
      <c r="A29" s="93"/>
      <c r="B29" s="93"/>
      <c r="C29" s="97"/>
      <c r="D29" s="93"/>
      <c r="E29" s="93"/>
      <c r="F29" s="98"/>
      <c r="G29" s="98"/>
      <c r="H29" s="87"/>
    </row>
    <row r="30" spans="1:8" x14ac:dyDescent="0.2">
      <c r="A30" s="93"/>
      <c r="B30" s="93"/>
      <c r="C30" s="94" t="s">
        <v>152</v>
      </c>
      <c r="D30" s="93"/>
      <c r="E30" s="93"/>
      <c r="F30" s="93"/>
      <c r="G30" s="93"/>
      <c r="H30" s="87"/>
    </row>
    <row r="31" spans="1:8" x14ac:dyDescent="0.2">
      <c r="A31" s="93"/>
      <c r="B31" s="93"/>
      <c r="C31" s="94" t="s">
        <v>142</v>
      </c>
      <c r="D31" s="93"/>
      <c r="E31" s="93" t="s">
        <v>143</v>
      </c>
      <c r="F31" s="99" t="s">
        <v>145</v>
      </c>
      <c r="G31" s="96">
        <v>0</v>
      </c>
      <c r="H31" s="87"/>
    </row>
    <row r="32" spans="1:8" x14ac:dyDescent="0.2">
      <c r="A32" s="93"/>
      <c r="B32" s="93"/>
      <c r="C32" s="97"/>
      <c r="D32" s="93"/>
      <c r="E32" s="93"/>
      <c r="F32" s="98"/>
      <c r="G32" s="98"/>
      <c r="H32" s="87"/>
    </row>
    <row r="33" spans="1:8" x14ac:dyDescent="0.2">
      <c r="A33" s="93"/>
      <c r="B33" s="93"/>
      <c r="C33" s="94" t="s">
        <v>153</v>
      </c>
      <c r="D33" s="93"/>
      <c r="E33" s="93"/>
      <c r="F33" s="93"/>
      <c r="G33" s="93"/>
      <c r="H33" s="87"/>
    </row>
    <row r="34" spans="1:8" x14ac:dyDescent="0.2">
      <c r="A34" s="93"/>
      <c r="B34" s="93"/>
      <c r="C34" s="94" t="s">
        <v>142</v>
      </c>
      <c r="D34" s="93"/>
      <c r="E34" s="93" t="s">
        <v>143</v>
      </c>
      <c r="F34" s="99" t="s">
        <v>145</v>
      </c>
      <c r="G34" s="96">
        <v>0</v>
      </c>
      <c r="H34" s="87"/>
    </row>
    <row r="35" spans="1:8" x14ac:dyDescent="0.2">
      <c r="A35" s="93"/>
      <c r="B35" s="93"/>
      <c r="C35" s="97"/>
      <c r="D35" s="93"/>
      <c r="E35" s="93"/>
      <c r="F35" s="98"/>
      <c r="G35" s="98"/>
      <c r="H35" s="87"/>
    </row>
    <row r="36" spans="1:8" x14ac:dyDescent="0.2">
      <c r="A36" s="93"/>
      <c r="B36" s="93"/>
      <c r="C36" s="94" t="s">
        <v>154</v>
      </c>
      <c r="D36" s="93"/>
      <c r="E36" s="93"/>
      <c r="F36" s="98"/>
      <c r="G36" s="98"/>
      <c r="H36" s="87"/>
    </row>
    <row r="37" spans="1:8" x14ac:dyDescent="0.2">
      <c r="A37" s="93"/>
      <c r="B37" s="93"/>
      <c r="C37" s="94" t="s">
        <v>142</v>
      </c>
      <c r="D37" s="93"/>
      <c r="E37" s="93" t="s">
        <v>143</v>
      </c>
      <c r="F37" s="99" t="s">
        <v>145</v>
      </c>
      <c r="G37" s="96">
        <v>0</v>
      </c>
      <c r="H37" s="87"/>
    </row>
    <row r="38" spans="1:8" x14ac:dyDescent="0.2">
      <c r="A38" s="93"/>
      <c r="B38" s="93"/>
      <c r="C38" s="97"/>
      <c r="D38" s="93"/>
      <c r="E38" s="93"/>
      <c r="F38" s="98"/>
      <c r="G38" s="98"/>
      <c r="H38" s="87"/>
    </row>
    <row r="39" spans="1:8" x14ac:dyDescent="0.2">
      <c r="A39" s="93"/>
      <c r="B39" s="93"/>
      <c r="C39" s="94" t="s">
        <v>155</v>
      </c>
      <c r="D39" s="93"/>
      <c r="E39" s="93"/>
      <c r="F39" s="95">
        <v>0</v>
      </c>
      <c r="G39" s="96">
        <v>0</v>
      </c>
      <c r="H39" s="87"/>
    </row>
    <row r="40" spans="1:8" x14ac:dyDescent="0.2">
      <c r="A40" s="93"/>
      <c r="B40" s="93"/>
      <c r="C40" s="97"/>
      <c r="D40" s="93"/>
      <c r="E40" s="93"/>
      <c r="F40" s="98"/>
      <c r="G40" s="98"/>
      <c r="H40" s="87"/>
    </row>
    <row r="41" spans="1:8" x14ac:dyDescent="0.2">
      <c r="A41" s="93"/>
      <c r="B41" s="93"/>
      <c r="C41" s="94" t="s">
        <v>156</v>
      </c>
      <c r="D41" s="93"/>
      <c r="E41" s="93"/>
      <c r="F41" s="98"/>
      <c r="G41" s="98"/>
      <c r="H41" s="87"/>
    </row>
    <row r="42" spans="1:8" x14ac:dyDescent="0.2">
      <c r="A42" s="93"/>
      <c r="B42" s="93"/>
      <c r="C42" s="94" t="s">
        <v>157</v>
      </c>
      <c r="D42" s="93"/>
      <c r="E42" s="93"/>
      <c r="F42" s="98"/>
      <c r="G42" s="98"/>
      <c r="H42" s="87"/>
    </row>
    <row r="43" spans="1:8" x14ac:dyDescent="0.2">
      <c r="A43" s="93"/>
      <c r="B43" s="93"/>
      <c r="C43" s="94" t="s">
        <v>142</v>
      </c>
      <c r="D43" s="93"/>
      <c r="E43" s="93" t="s">
        <v>143</v>
      </c>
      <c r="F43" s="99" t="s">
        <v>145</v>
      </c>
      <c r="G43" s="96">
        <v>0</v>
      </c>
      <c r="H43" s="87"/>
    </row>
    <row r="44" spans="1:8" x14ac:dyDescent="0.2">
      <c r="A44" s="93"/>
      <c r="B44" s="93"/>
      <c r="C44" s="97"/>
      <c r="D44" s="93"/>
      <c r="E44" s="93"/>
      <c r="F44" s="98"/>
      <c r="G44" s="98"/>
      <c r="H44" s="87"/>
    </row>
    <row r="45" spans="1:8" x14ac:dyDescent="0.2">
      <c r="A45" s="93"/>
      <c r="B45" s="93"/>
      <c r="C45" s="94" t="s">
        <v>158</v>
      </c>
      <c r="D45" s="93"/>
      <c r="E45" s="93"/>
      <c r="F45" s="98"/>
      <c r="G45" s="98"/>
      <c r="H45" s="87"/>
    </row>
    <row r="46" spans="1:8" x14ac:dyDescent="0.2">
      <c r="A46" s="93"/>
      <c r="B46" s="93"/>
      <c r="C46" s="94" t="s">
        <v>142</v>
      </c>
      <c r="D46" s="93"/>
      <c r="E46" s="93" t="s">
        <v>143</v>
      </c>
      <c r="F46" s="99" t="s">
        <v>145</v>
      </c>
      <c r="G46" s="96">
        <v>0</v>
      </c>
      <c r="H46" s="87"/>
    </row>
    <row r="47" spans="1:8" x14ac:dyDescent="0.2">
      <c r="A47" s="93"/>
      <c r="B47" s="93"/>
      <c r="C47" s="97"/>
      <c r="D47" s="93"/>
      <c r="E47" s="93"/>
      <c r="F47" s="98"/>
      <c r="G47" s="98"/>
      <c r="H47" s="87"/>
    </row>
    <row r="48" spans="1:8" x14ac:dyDescent="0.2">
      <c r="A48" s="93"/>
      <c r="B48" s="93"/>
      <c r="C48" s="94" t="s">
        <v>159</v>
      </c>
      <c r="D48" s="93"/>
      <c r="E48" s="93"/>
      <c r="F48" s="98"/>
      <c r="G48" s="98"/>
      <c r="H48" s="87"/>
    </row>
    <row r="49" spans="1:8" x14ac:dyDescent="0.2">
      <c r="A49" s="93"/>
      <c r="B49" s="93"/>
      <c r="C49" s="94" t="s">
        <v>142</v>
      </c>
      <c r="D49" s="93"/>
      <c r="E49" s="93" t="s">
        <v>143</v>
      </c>
      <c r="F49" s="99" t="s">
        <v>145</v>
      </c>
      <c r="G49" s="96">
        <v>0</v>
      </c>
      <c r="H49" s="87"/>
    </row>
    <row r="50" spans="1:8" x14ac:dyDescent="0.2">
      <c r="A50" s="93"/>
      <c r="B50" s="93"/>
      <c r="C50" s="97"/>
      <c r="D50" s="93"/>
      <c r="E50" s="93"/>
      <c r="F50" s="98"/>
      <c r="G50" s="98"/>
      <c r="H50" s="87"/>
    </row>
    <row r="51" spans="1:8" x14ac:dyDescent="0.2">
      <c r="A51" s="93"/>
      <c r="B51" s="93"/>
      <c r="C51" s="94" t="s">
        <v>160</v>
      </c>
      <c r="D51" s="93"/>
      <c r="E51" s="93"/>
      <c r="F51" s="98"/>
      <c r="G51" s="98"/>
      <c r="H51" s="87"/>
    </row>
    <row r="52" spans="1:8" x14ac:dyDescent="0.2">
      <c r="A52" s="88">
        <v>1</v>
      </c>
      <c r="B52" s="89"/>
      <c r="C52" s="89" t="s">
        <v>161</v>
      </c>
      <c r="D52" s="89"/>
      <c r="E52" s="100"/>
      <c r="F52" s="91">
        <v>600.70648500000004</v>
      </c>
      <c r="G52" s="92">
        <v>4.6316610000000001E-2</v>
      </c>
      <c r="H52" s="87">
        <v>5.38</v>
      </c>
    </row>
    <row r="53" spans="1:8" x14ac:dyDescent="0.2">
      <c r="A53" s="93"/>
      <c r="B53" s="93"/>
      <c r="C53" s="94" t="s">
        <v>142</v>
      </c>
      <c r="D53" s="93"/>
      <c r="E53" s="93" t="s">
        <v>143</v>
      </c>
      <c r="F53" s="95">
        <v>600.70648500000004</v>
      </c>
      <c r="G53" s="96">
        <v>4.6316610000000001E-2</v>
      </c>
      <c r="H53" s="87"/>
    </row>
    <row r="54" spans="1:8" x14ac:dyDescent="0.2">
      <c r="A54" s="93"/>
      <c r="B54" s="93"/>
      <c r="C54" s="97"/>
      <c r="D54" s="93"/>
      <c r="E54" s="93"/>
      <c r="F54" s="98"/>
      <c r="G54" s="98"/>
      <c r="H54" s="87"/>
    </row>
    <row r="55" spans="1:8" x14ac:dyDescent="0.2">
      <c r="A55" s="93"/>
      <c r="B55" s="93"/>
      <c r="C55" s="94" t="s">
        <v>162</v>
      </c>
      <c r="D55" s="93"/>
      <c r="E55" s="93"/>
      <c r="F55" s="95">
        <v>600.70648500000004</v>
      </c>
      <c r="G55" s="96">
        <v>4.6316610000000001E-2</v>
      </c>
      <c r="H55" s="87"/>
    </row>
    <row r="56" spans="1:8" x14ac:dyDescent="0.2">
      <c r="A56" s="93"/>
      <c r="B56" s="93"/>
      <c r="C56" s="98"/>
      <c r="D56" s="93"/>
      <c r="E56" s="93"/>
      <c r="F56" s="93"/>
      <c r="G56" s="93"/>
      <c r="H56" s="87"/>
    </row>
    <row r="57" spans="1:8" x14ac:dyDescent="0.2">
      <c r="A57" s="93"/>
      <c r="B57" s="93"/>
      <c r="C57" s="94" t="s">
        <v>163</v>
      </c>
      <c r="D57" s="93"/>
      <c r="E57" s="93"/>
      <c r="F57" s="93"/>
      <c r="G57" s="93"/>
      <c r="H57" s="87"/>
    </row>
    <row r="58" spans="1:8" ht="25.5" x14ac:dyDescent="0.2">
      <c r="A58" s="93"/>
      <c r="B58" s="93"/>
      <c r="C58" s="86" t="s">
        <v>1154</v>
      </c>
      <c r="D58" s="93"/>
      <c r="E58" s="93"/>
      <c r="F58" s="93"/>
      <c r="G58" s="93"/>
      <c r="H58" s="87"/>
    </row>
    <row r="59" spans="1:8" x14ac:dyDescent="0.2">
      <c r="A59" s="88">
        <v>1</v>
      </c>
      <c r="B59" s="89" t="s">
        <v>1152</v>
      </c>
      <c r="C59" s="89" t="s">
        <v>1153</v>
      </c>
      <c r="D59" s="89"/>
      <c r="E59" s="126">
        <v>8283224.3490000004</v>
      </c>
      <c r="F59" s="91">
        <v>12399.886258977</v>
      </c>
      <c r="G59" s="92">
        <v>0.95607534999999999</v>
      </c>
      <c r="H59" s="87"/>
    </row>
    <row r="60" spans="1:8" x14ac:dyDescent="0.2">
      <c r="A60" s="93"/>
      <c r="B60" s="93"/>
      <c r="C60" s="94" t="s">
        <v>142</v>
      </c>
      <c r="D60" s="93"/>
      <c r="E60" s="93" t="s">
        <v>143</v>
      </c>
      <c r="F60" s="95">
        <v>12399.886258977</v>
      </c>
      <c r="G60" s="96">
        <v>0.95607534999999999</v>
      </c>
      <c r="H60" s="87"/>
    </row>
    <row r="61" spans="1:8" x14ac:dyDescent="0.2">
      <c r="A61" s="93"/>
      <c r="B61" s="93"/>
      <c r="C61" s="97"/>
      <c r="D61" s="93"/>
      <c r="E61" s="93"/>
      <c r="F61" s="98"/>
      <c r="G61" s="98"/>
      <c r="H61" s="87"/>
    </row>
    <row r="62" spans="1:8" x14ac:dyDescent="0.2">
      <c r="A62" s="93"/>
      <c r="B62" s="93"/>
      <c r="C62" s="94" t="s">
        <v>165</v>
      </c>
      <c r="D62" s="93"/>
      <c r="E62" s="93"/>
      <c r="F62" s="93"/>
      <c r="G62" s="93"/>
      <c r="H62" s="87"/>
    </row>
    <row r="63" spans="1:8" x14ac:dyDescent="0.2">
      <c r="A63" s="93"/>
      <c r="B63" s="93"/>
      <c r="C63" s="94" t="s">
        <v>166</v>
      </c>
      <c r="D63" s="93"/>
      <c r="E63" s="93"/>
      <c r="F63" s="93"/>
      <c r="G63" s="93"/>
      <c r="H63" s="87"/>
    </row>
    <row r="64" spans="1:8" x14ac:dyDescent="0.2">
      <c r="A64" s="93"/>
      <c r="B64" s="93"/>
      <c r="C64" s="94" t="s">
        <v>142</v>
      </c>
      <c r="D64" s="93"/>
      <c r="E64" s="93" t="s">
        <v>143</v>
      </c>
      <c r="F64" s="99" t="s">
        <v>145</v>
      </c>
      <c r="G64" s="96">
        <v>0</v>
      </c>
      <c r="H64" s="87"/>
    </row>
    <row r="65" spans="1:17" x14ac:dyDescent="0.2">
      <c r="A65" s="93"/>
      <c r="B65" s="93"/>
      <c r="C65" s="97"/>
      <c r="D65" s="93"/>
      <c r="E65" s="93"/>
      <c r="F65" s="98"/>
      <c r="G65" s="98"/>
      <c r="H65" s="87"/>
    </row>
    <row r="66" spans="1:17" x14ac:dyDescent="0.2">
      <c r="A66" s="93"/>
      <c r="B66" s="93"/>
      <c r="C66" s="94" t="s">
        <v>167</v>
      </c>
      <c r="D66" s="93"/>
      <c r="E66" s="93"/>
      <c r="F66" s="98"/>
      <c r="G66" s="98"/>
      <c r="H66" s="87"/>
    </row>
    <row r="67" spans="1:17" x14ac:dyDescent="0.2">
      <c r="A67" s="93"/>
      <c r="B67" s="93"/>
      <c r="C67" s="94" t="s">
        <v>142</v>
      </c>
      <c r="D67" s="93"/>
      <c r="E67" s="93" t="s">
        <v>143</v>
      </c>
      <c r="F67" s="99" t="s">
        <v>145</v>
      </c>
      <c r="G67" s="96">
        <v>0</v>
      </c>
      <c r="H67" s="87"/>
    </row>
    <row r="68" spans="1:17" x14ac:dyDescent="0.2">
      <c r="A68" s="93"/>
      <c r="B68" s="93"/>
      <c r="C68" s="97"/>
      <c r="D68" s="93"/>
      <c r="E68" s="93"/>
      <c r="F68" s="98"/>
      <c r="G68" s="98"/>
      <c r="H68" s="87"/>
    </row>
    <row r="69" spans="1:17" x14ac:dyDescent="0.2">
      <c r="A69" s="100"/>
      <c r="B69" s="89"/>
      <c r="C69" s="89" t="s">
        <v>168</v>
      </c>
      <c r="D69" s="89"/>
      <c r="E69" s="100"/>
      <c r="F69" s="91">
        <v>-31.02267441</v>
      </c>
      <c r="G69" s="92">
        <v>-2.3919599999999998E-3</v>
      </c>
      <c r="H69" s="87"/>
    </row>
    <row r="70" spans="1:17" x14ac:dyDescent="0.2">
      <c r="A70" s="97"/>
      <c r="B70" s="97"/>
      <c r="C70" s="94" t="s">
        <v>169</v>
      </c>
      <c r="D70" s="98"/>
      <c r="E70" s="98"/>
      <c r="F70" s="95">
        <v>12969.570069567</v>
      </c>
      <c r="G70" s="101">
        <v>1</v>
      </c>
      <c r="H70" s="87"/>
    </row>
    <row r="71" spans="1:17" x14ac:dyDescent="0.2">
      <c r="A71" s="102"/>
      <c r="B71" s="102"/>
      <c r="C71" s="102"/>
      <c r="D71" s="103"/>
      <c r="E71" s="103"/>
      <c r="F71" s="103"/>
      <c r="G71" s="103"/>
    </row>
    <row r="72" spans="1:17" x14ac:dyDescent="0.2">
      <c r="A72" s="104"/>
      <c r="B72" s="206" t="s">
        <v>942</v>
      </c>
      <c r="C72" s="206"/>
      <c r="D72" s="206"/>
      <c r="E72" s="206"/>
      <c r="F72" s="206"/>
      <c r="G72" s="206"/>
      <c r="H72" s="206"/>
      <c r="J72" s="106"/>
    </row>
    <row r="73" spans="1:17" x14ac:dyDescent="0.2">
      <c r="A73" s="104"/>
      <c r="B73" s="206" t="s">
        <v>943</v>
      </c>
      <c r="C73" s="206"/>
      <c r="D73" s="206"/>
      <c r="E73" s="206"/>
      <c r="F73" s="206"/>
      <c r="G73" s="206"/>
      <c r="H73" s="206"/>
      <c r="J73" s="106"/>
    </row>
    <row r="74" spans="1:17" x14ac:dyDescent="0.2">
      <c r="A74" s="104"/>
      <c r="B74" s="206" t="s">
        <v>944</v>
      </c>
      <c r="C74" s="206"/>
      <c r="D74" s="206"/>
      <c r="E74" s="206"/>
      <c r="F74" s="206"/>
      <c r="G74" s="206"/>
      <c r="H74" s="206"/>
      <c r="J74" s="106"/>
    </row>
    <row r="75" spans="1:17" s="108" customFormat="1" ht="65.25" customHeight="1" x14ac:dyDescent="0.25">
      <c r="A75" s="107"/>
      <c r="B75" s="207" t="s">
        <v>945</v>
      </c>
      <c r="C75" s="207"/>
      <c r="D75" s="207"/>
      <c r="E75" s="207"/>
      <c r="F75" s="207"/>
      <c r="G75" s="207"/>
      <c r="H75" s="207"/>
      <c r="I75"/>
      <c r="J75" s="106"/>
      <c r="K75"/>
      <c r="L75"/>
      <c r="M75"/>
      <c r="N75"/>
      <c r="O75"/>
      <c r="P75"/>
      <c r="Q75"/>
    </row>
    <row r="76" spans="1:17" x14ac:dyDescent="0.2">
      <c r="A76" s="104"/>
      <c r="B76" s="206" t="s">
        <v>946</v>
      </c>
      <c r="C76" s="206"/>
      <c r="D76" s="206"/>
      <c r="E76" s="206"/>
      <c r="F76" s="206"/>
      <c r="G76" s="206"/>
      <c r="H76" s="206"/>
      <c r="J76" s="106"/>
    </row>
    <row r="77" spans="1:17" x14ac:dyDescent="0.2">
      <c r="A77" s="104"/>
      <c r="B77" s="104"/>
      <c r="C77" s="104"/>
      <c r="D77" s="109"/>
      <c r="E77" s="109"/>
      <c r="F77" s="109"/>
      <c r="G77" s="109"/>
    </row>
    <row r="78" spans="1:17" x14ac:dyDescent="0.2">
      <c r="A78" s="104"/>
      <c r="B78" s="199" t="s">
        <v>170</v>
      </c>
      <c r="C78" s="200"/>
      <c r="D78" s="201"/>
      <c r="E78" s="110"/>
      <c r="F78" s="109"/>
      <c r="G78" s="109"/>
    </row>
    <row r="79" spans="1:17" ht="27.75" customHeight="1" x14ac:dyDescent="0.2">
      <c r="A79" s="104"/>
      <c r="B79" s="202" t="s">
        <v>171</v>
      </c>
      <c r="C79" s="203"/>
      <c r="D79" s="86" t="s">
        <v>172</v>
      </c>
      <c r="E79" s="110"/>
      <c r="F79" s="109"/>
      <c r="G79" s="109"/>
    </row>
    <row r="80" spans="1:17" ht="12.75" customHeight="1" x14ac:dyDescent="0.2">
      <c r="A80" s="104"/>
      <c r="B80" s="202" t="s">
        <v>947</v>
      </c>
      <c r="C80" s="203"/>
      <c r="D80" s="86" t="s">
        <v>172</v>
      </c>
      <c r="E80" s="110"/>
      <c r="F80" s="109"/>
      <c r="G80" s="109"/>
    </row>
    <row r="81" spans="1:10" x14ac:dyDescent="0.2">
      <c r="A81" s="104"/>
      <c r="B81" s="202" t="s">
        <v>173</v>
      </c>
      <c r="C81" s="203"/>
      <c r="D81" s="111" t="s">
        <v>143</v>
      </c>
      <c r="E81" s="110"/>
      <c r="F81" s="109"/>
      <c r="G81" s="109"/>
    </row>
    <row r="82" spans="1:10" x14ac:dyDescent="0.2">
      <c r="A82" s="112"/>
      <c r="B82" s="113" t="s">
        <v>143</v>
      </c>
      <c r="C82" s="113" t="s">
        <v>948</v>
      </c>
      <c r="D82" s="113" t="s">
        <v>174</v>
      </c>
      <c r="E82" s="112"/>
      <c r="F82" s="112"/>
      <c r="G82" s="112"/>
      <c r="H82" s="112"/>
      <c r="J82" s="106"/>
    </row>
    <row r="83" spans="1:10" x14ac:dyDescent="0.2">
      <c r="A83" s="112"/>
      <c r="B83" s="114" t="s">
        <v>175</v>
      </c>
      <c r="C83" s="115">
        <v>45869</v>
      </c>
      <c r="D83" s="115">
        <v>45900</v>
      </c>
      <c r="E83" s="112"/>
      <c r="F83" s="112"/>
      <c r="G83" s="112"/>
      <c r="J83" s="106"/>
    </row>
    <row r="84" spans="1:10" x14ac:dyDescent="0.2">
      <c r="A84" s="116"/>
      <c r="B84" s="89" t="s">
        <v>176</v>
      </c>
      <c r="C84" s="117">
        <v>38.856400000000001</v>
      </c>
      <c r="D84" s="117">
        <v>39.838900000000002</v>
      </c>
      <c r="E84" s="116"/>
      <c r="F84" s="118"/>
      <c r="G84" s="119"/>
    </row>
    <row r="85" spans="1:10" x14ac:dyDescent="0.2">
      <c r="A85" s="116"/>
      <c r="B85" s="89" t="s">
        <v>954</v>
      </c>
      <c r="C85" s="117">
        <v>34.556600000000003</v>
      </c>
      <c r="D85" s="117">
        <v>35.430300000000003</v>
      </c>
      <c r="E85" s="116"/>
      <c r="F85" s="118"/>
      <c r="G85" s="119"/>
    </row>
    <row r="86" spans="1:10" x14ac:dyDescent="0.2">
      <c r="A86" s="116"/>
      <c r="B86" s="89" t="s">
        <v>177</v>
      </c>
      <c r="C86" s="117">
        <v>35.472999999999999</v>
      </c>
      <c r="D86" s="117">
        <v>36.342399999999998</v>
      </c>
      <c r="E86" s="116"/>
      <c r="F86" s="118"/>
      <c r="G86" s="119"/>
    </row>
    <row r="87" spans="1:10" x14ac:dyDescent="0.2">
      <c r="A87" s="116"/>
      <c r="B87" s="89" t="s">
        <v>955</v>
      </c>
      <c r="C87" s="117">
        <v>30.397200000000002</v>
      </c>
      <c r="D87" s="117">
        <v>31.142199999999999</v>
      </c>
      <c r="E87" s="116"/>
      <c r="F87" s="118"/>
      <c r="G87" s="119"/>
    </row>
    <row r="88" spans="1:10" x14ac:dyDescent="0.2">
      <c r="A88" s="116"/>
      <c r="B88" s="116"/>
      <c r="C88" s="116"/>
      <c r="D88" s="116"/>
      <c r="E88" s="116"/>
      <c r="F88" s="116"/>
      <c r="G88" s="116"/>
    </row>
    <row r="89" spans="1:10" x14ac:dyDescent="0.2">
      <c r="A89" s="116"/>
      <c r="B89" s="208" t="s">
        <v>949</v>
      </c>
      <c r="C89" s="209"/>
      <c r="D89" s="86" t="s">
        <v>172</v>
      </c>
      <c r="E89" s="116"/>
      <c r="F89" s="116"/>
      <c r="G89" s="116"/>
    </row>
    <row r="90" spans="1:10" x14ac:dyDescent="0.2">
      <c r="A90" s="116"/>
      <c r="B90" s="120"/>
      <c r="C90" s="120"/>
      <c r="D90" s="120"/>
      <c r="E90" s="116"/>
      <c r="F90" s="116"/>
      <c r="G90" s="116"/>
    </row>
    <row r="91" spans="1:10" x14ac:dyDescent="0.2">
      <c r="A91" s="112"/>
      <c r="B91" s="202" t="s">
        <v>178</v>
      </c>
      <c r="C91" s="203"/>
      <c r="D91" s="86" t="s">
        <v>172</v>
      </c>
      <c r="E91" s="121"/>
      <c r="F91" s="112"/>
      <c r="G91" s="112"/>
      <c r="I91" s="196"/>
    </row>
    <row r="92" spans="1:10" ht="25.5" x14ac:dyDescent="0.2">
      <c r="A92" s="112"/>
      <c r="B92" s="202" t="s">
        <v>179</v>
      </c>
      <c r="C92" s="203"/>
      <c r="D92" s="86" t="str">
        <f>"Rs. "&amp;TEXT(F60,"0,000.00")&amp;" Lacs"</f>
        <v>Rs. 12,399.89 Lacs</v>
      </c>
      <c r="E92" s="121"/>
      <c r="F92" s="112"/>
      <c r="G92" s="112"/>
      <c r="I92" s="196"/>
    </row>
    <row r="93" spans="1:10" x14ac:dyDescent="0.2">
      <c r="A93" s="112"/>
      <c r="B93" s="202" t="s">
        <v>180</v>
      </c>
      <c r="C93" s="203"/>
      <c r="D93" s="86" t="s">
        <v>172</v>
      </c>
      <c r="E93" s="121"/>
      <c r="F93" s="112"/>
      <c r="G93" s="112"/>
      <c r="I93" s="196"/>
    </row>
    <row r="94" spans="1:10" x14ac:dyDescent="0.2">
      <c r="A94" s="112"/>
      <c r="B94" s="202" t="s">
        <v>181</v>
      </c>
      <c r="C94" s="203"/>
      <c r="D94" s="122">
        <v>0</v>
      </c>
      <c r="E94" s="112"/>
      <c r="F94" s="105"/>
      <c r="G94" s="123"/>
      <c r="I94" s="196"/>
    </row>
    <row r="95" spans="1:10" x14ac:dyDescent="0.2">
      <c r="I95" s="196"/>
    </row>
    <row r="96" spans="1:10" x14ac:dyDescent="0.2">
      <c r="B96" s="204" t="s">
        <v>950</v>
      </c>
      <c r="C96" s="204"/>
    </row>
    <row r="98" spans="2:4" ht="153.75" customHeight="1" x14ac:dyDescent="0.2"/>
    <row r="101" spans="2:4" x14ac:dyDescent="0.2">
      <c r="B101" s="124" t="s">
        <v>951</v>
      </c>
      <c r="C101" s="125"/>
      <c r="D101" s="124"/>
    </row>
    <row r="102" spans="2:4" x14ac:dyDescent="0.2">
      <c r="B102" s="124" t="s">
        <v>1155</v>
      </c>
      <c r="D102" s="124"/>
    </row>
    <row r="103" spans="2:4" ht="165" customHeight="1" x14ac:dyDescent="0.2"/>
    <row r="113" customFormat="1" x14ac:dyDescent="0.2"/>
    <row r="114" customFormat="1" x14ac:dyDescent="0.2"/>
  </sheetData>
  <mergeCells count="18">
    <mergeCell ref="B74:H74"/>
    <mergeCell ref="B75:H75"/>
    <mergeCell ref="B76:H76"/>
    <mergeCell ref="B89:C89"/>
    <mergeCell ref="B93:C93"/>
    <mergeCell ref="B91:C91"/>
    <mergeCell ref="B92:C92"/>
    <mergeCell ref="A1:H1"/>
    <mergeCell ref="A2:H2"/>
    <mergeCell ref="A3:H3"/>
    <mergeCell ref="B72:H72"/>
    <mergeCell ref="B73:H73"/>
    <mergeCell ref="B78:D78"/>
    <mergeCell ref="B79:C79"/>
    <mergeCell ref="B80:C80"/>
    <mergeCell ref="B81:C81"/>
    <mergeCell ref="B96:C96"/>
    <mergeCell ref="B94:C94"/>
  </mergeCell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8234-74F5-49E4-92AE-97A2ACE74B31}">
  <sheetPr>
    <outlinePr summaryBelow="0" summaryRight="0"/>
  </sheetPr>
  <dimension ref="A1:Q200"/>
  <sheetViews>
    <sheetView showGridLines="0" workbookViewId="0">
      <selection sqref="A1:H1"/>
    </sheetView>
  </sheetViews>
  <sheetFormatPr defaultRowHeight="14.25" customHeight="1" x14ac:dyDescent="0.2"/>
  <cols>
    <col min="1" max="1" width="5.85546875" bestFit="1" customWidth="1"/>
    <col min="2" max="2" width="19.28515625" customWidth="1"/>
    <col min="3" max="3" width="51.140625" bestFit="1" customWidth="1"/>
    <col min="4" max="4" width="29.28515625" bestFit="1" customWidth="1"/>
    <col min="5" max="5" width="11.42578125" bestFit="1" customWidth="1"/>
    <col min="6" max="6" width="10.425781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182</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71</v>
      </c>
      <c r="C7" s="89" t="s">
        <v>72</v>
      </c>
      <c r="D7" s="89" t="s">
        <v>68</v>
      </c>
      <c r="E7" s="90">
        <v>1290127</v>
      </c>
      <c r="F7" s="91">
        <v>49362.839273999998</v>
      </c>
      <c r="G7" s="92">
        <v>3.9487010000000003E-2</v>
      </c>
      <c r="H7" s="87" t="s">
        <v>143</v>
      </c>
    </row>
    <row r="8" spans="1:9" ht="14.25" customHeight="1" x14ac:dyDescent="0.2">
      <c r="A8" s="88">
        <v>2</v>
      </c>
      <c r="B8" s="89" t="s">
        <v>183</v>
      </c>
      <c r="C8" s="89" t="s">
        <v>184</v>
      </c>
      <c r="D8" s="89" t="s">
        <v>185</v>
      </c>
      <c r="E8" s="90">
        <v>1712601</v>
      </c>
      <c r="F8" s="91">
        <v>39545.669691000003</v>
      </c>
      <c r="G8" s="92">
        <v>3.1633929999999998E-2</v>
      </c>
      <c r="H8" s="87" t="s">
        <v>143</v>
      </c>
    </row>
    <row r="9" spans="1:9" ht="14.25" customHeight="1" x14ac:dyDescent="0.2">
      <c r="A9" s="88">
        <v>3</v>
      </c>
      <c r="B9" s="89" t="s">
        <v>186</v>
      </c>
      <c r="C9" s="89" t="s">
        <v>187</v>
      </c>
      <c r="D9" s="89" t="s">
        <v>188</v>
      </c>
      <c r="E9" s="90">
        <v>3879249</v>
      </c>
      <c r="F9" s="91">
        <v>35359.354635000003</v>
      </c>
      <c r="G9" s="92">
        <v>2.8285149999999998E-2</v>
      </c>
      <c r="H9" s="87" t="s">
        <v>143</v>
      </c>
    </row>
    <row r="10" spans="1:9" ht="14.25" customHeight="1" x14ac:dyDescent="0.2">
      <c r="A10" s="88">
        <v>4</v>
      </c>
      <c r="B10" s="89" t="s">
        <v>34</v>
      </c>
      <c r="C10" s="89" t="s">
        <v>35</v>
      </c>
      <c r="D10" s="89" t="s">
        <v>36</v>
      </c>
      <c r="E10" s="90">
        <v>1179542</v>
      </c>
      <c r="F10" s="91">
        <v>32781.831264</v>
      </c>
      <c r="G10" s="92">
        <v>2.6223300000000001E-2</v>
      </c>
      <c r="H10" s="87" t="s">
        <v>143</v>
      </c>
    </row>
    <row r="11" spans="1:9" ht="14.25" customHeight="1" x14ac:dyDescent="0.2">
      <c r="A11" s="88">
        <v>5</v>
      </c>
      <c r="B11" s="89" t="s">
        <v>189</v>
      </c>
      <c r="C11" s="89" t="s">
        <v>190</v>
      </c>
      <c r="D11" s="89" t="s">
        <v>191</v>
      </c>
      <c r="E11" s="90">
        <v>11920703</v>
      </c>
      <c r="F11" s="91">
        <v>30272.6252685</v>
      </c>
      <c r="G11" s="92">
        <v>2.4216100000000001E-2</v>
      </c>
      <c r="H11" s="87" t="s">
        <v>143</v>
      </c>
    </row>
    <row r="12" spans="1:9" ht="14.25" customHeight="1" x14ac:dyDescent="0.2">
      <c r="A12" s="88">
        <v>6</v>
      </c>
      <c r="B12" s="89" t="s">
        <v>192</v>
      </c>
      <c r="C12" s="89" t="s">
        <v>193</v>
      </c>
      <c r="D12" s="89" t="s">
        <v>194</v>
      </c>
      <c r="E12" s="90">
        <v>1569363</v>
      </c>
      <c r="F12" s="91">
        <v>29737.859487000002</v>
      </c>
      <c r="G12" s="92">
        <v>2.378833E-2</v>
      </c>
      <c r="H12" s="87" t="s">
        <v>143</v>
      </c>
    </row>
    <row r="13" spans="1:9" ht="14.25" customHeight="1" x14ac:dyDescent="0.2">
      <c r="A13" s="88">
        <v>7</v>
      </c>
      <c r="B13" s="89" t="s">
        <v>195</v>
      </c>
      <c r="C13" s="89" t="s">
        <v>196</v>
      </c>
      <c r="D13" s="89" t="s">
        <v>46</v>
      </c>
      <c r="E13" s="90">
        <v>5375605</v>
      </c>
      <c r="F13" s="91">
        <v>27101.112607499999</v>
      </c>
      <c r="G13" s="92">
        <v>2.16791E-2</v>
      </c>
      <c r="H13" s="87" t="s">
        <v>143</v>
      </c>
    </row>
    <row r="14" spans="1:9" ht="14.25" customHeight="1" x14ac:dyDescent="0.2">
      <c r="A14" s="88">
        <v>8</v>
      </c>
      <c r="B14" s="89" t="s">
        <v>54</v>
      </c>
      <c r="C14" s="89" t="s">
        <v>55</v>
      </c>
      <c r="D14" s="89" t="s">
        <v>25</v>
      </c>
      <c r="E14" s="90">
        <v>373091</v>
      </c>
      <c r="F14" s="91">
        <v>25916.766315000001</v>
      </c>
      <c r="G14" s="92">
        <v>2.0731699999999999E-2</v>
      </c>
      <c r="H14" s="87" t="s">
        <v>143</v>
      </c>
    </row>
    <row r="15" spans="1:9" ht="14.25" customHeight="1" x14ac:dyDescent="0.2">
      <c r="A15" s="88">
        <v>9</v>
      </c>
      <c r="B15" s="89" t="s">
        <v>197</v>
      </c>
      <c r="C15" s="89" t="s">
        <v>198</v>
      </c>
      <c r="D15" s="89" t="s">
        <v>199</v>
      </c>
      <c r="E15" s="90">
        <v>484892</v>
      </c>
      <c r="F15" s="91">
        <v>25725.945059999998</v>
      </c>
      <c r="G15" s="92">
        <v>2.057906E-2</v>
      </c>
      <c r="H15" s="87" t="s">
        <v>143</v>
      </c>
    </row>
    <row r="16" spans="1:9" ht="14.25" customHeight="1" x14ac:dyDescent="0.2">
      <c r="A16" s="88">
        <v>10</v>
      </c>
      <c r="B16" s="89" t="s">
        <v>200</v>
      </c>
      <c r="C16" s="89" t="s">
        <v>201</v>
      </c>
      <c r="D16" s="89" t="s">
        <v>33</v>
      </c>
      <c r="E16" s="90">
        <v>3926468</v>
      </c>
      <c r="F16" s="91">
        <v>25643.762508</v>
      </c>
      <c r="G16" s="92">
        <v>2.0513320000000002E-2</v>
      </c>
      <c r="H16" s="87" t="s">
        <v>143</v>
      </c>
    </row>
    <row r="17" spans="1:8" ht="14.25" customHeight="1" x14ac:dyDescent="0.2">
      <c r="A17" s="88">
        <v>11</v>
      </c>
      <c r="B17" s="89" t="s">
        <v>202</v>
      </c>
      <c r="C17" s="89" t="s">
        <v>203</v>
      </c>
      <c r="D17" s="89" t="s">
        <v>204</v>
      </c>
      <c r="E17" s="90">
        <v>3499011</v>
      </c>
      <c r="F17" s="91">
        <v>25397.5713435</v>
      </c>
      <c r="G17" s="92">
        <v>2.0316379999999998E-2</v>
      </c>
      <c r="H17" s="87" t="s">
        <v>143</v>
      </c>
    </row>
    <row r="18" spans="1:8" ht="14.25" customHeight="1" x14ac:dyDescent="0.2">
      <c r="A18" s="88">
        <v>12</v>
      </c>
      <c r="B18" s="89" t="s">
        <v>205</v>
      </c>
      <c r="C18" s="89" t="s">
        <v>206</v>
      </c>
      <c r="D18" s="89" t="s">
        <v>207</v>
      </c>
      <c r="E18" s="90">
        <v>3937754</v>
      </c>
      <c r="F18" s="91">
        <v>24719.250735000001</v>
      </c>
      <c r="G18" s="92">
        <v>1.977377E-2</v>
      </c>
      <c r="H18" s="87" t="s">
        <v>143</v>
      </c>
    </row>
    <row r="19" spans="1:8" ht="14.25" customHeight="1" x14ac:dyDescent="0.2">
      <c r="A19" s="88">
        <v>13</v>
      </c>
      <c r="B19" s="89" t="s">
        <v>208</v>
      </c>
      <c r="C19" s="89" t="s">
        <v>209</v>
      </c>
      <c r="D19" s="89" t="s">
        <v>33</v>
      </c>
      <c r="E19" s="90">
        <v>35632201</v>
      </c>
      <c r="F19" s="91">
        <v>24226.333459900001</v>
      </c>
      <c r="G19" s="92">
        <v>1.9379469999999999E-2</v>
      </c>
      <c r="H19" s="87" t="s">
        <v>143</v>
      </c>
    </row>
    <row r="20" spans="1:8" ht="14.25" customHeight="1" x14ac:dyDescent="0.2">
      <c r="A20" s="88">
        <v>14</v>
      </c>
      <c r="B20" s="89" t="s">
        <v>210</v>
      </c>
      <c r="C20" s="89" t="s">
        <v>211</v>
      </c>
      <c r="D20" s="89" t="s">
        <v>199</v>
      </c>
      <c r="E20" s="90">
        <v>1391162</v>
      </c>
      <c r="F20" s="91">
        <v>23987.806366000001</v>
      </c>
      <c r="G20" s="92">
        <v>1.918866E-2</v>
      </c>
      <c r="H20" s="87" t="s">
        <v>143</v>
      </c>
    </row>
    <row r="21" spans="1:8" ht="14.25" customHeight="1" x14ac:dyDescent="0.2">
      <c r="A21" s="88">
        <v>15</v>
      </c>
      <c r="B21" s="89" t="s">
        <v>212</v>
      </c>
      <c r="C21" s="89" t="s">
        <v>213</v>
      </c>
      <c r="D21" s="89" t="s">
        <v>33</v>
      </c>
      <c r="E21" s="90">
        <v>12344646</v>
      </c>
      <c r="F21" s="91">
        <v>23665.920846599998</v>
      </c>
      <c r="G21" s="92">
        <v>1.8931179999999999E-2</v>
      </c>
      <c r="H21" s="87" t="s">
        <v>143</v>
      </c>
    </row>
    <row r="22" spans="1:8" ht="14.25" customHeight="1" x14ac:dyDescent="0.2">
      <c r="A22" s="88">
        <v>16</v>
      </c>
      <c r="B22" s="89" t="s">
        <v>214</v>
      </c>
      <c r="C22" s="89" t="s">
        <v>215</v>
      </c>
      <c r="D22" s="89" t="s">
        <v>19</v>
      </c>
      <c r="E22" s="90">
        <v>6144382</v>
      </c>
      <c r="F22" s="91">
        <v>23096.731938000001</v>
      </c>
      <c r="G22" s="92">
        <v>1.847586E-2</v>
      </c>
      <c r="H22" s="87" t="s">
        <v>143</v>
      </c>
    </row>
    <row r="23" spans="1:8" ht="14.25" customHeight="1" x14ac:dyDescent="0.2">
      <c r="A23" s="88">
        <v>17</v>
      </c>
      <c r="B23" s="89" t="s">
        <v>136</v>
      </c>
      <c r="C23" s="89" t="s">
        <v>137</v>
      </c>
      <c r="D23" s="89" t="s">
        <v>138</v>
      </c>
      <c r="E23" s="90">
        <v>2380218</v>
      </c>
      <c r="F23" s="91">
        <v>22512.101844000001</v>
      </c>
      <c r="G23" s="92">
        <v>1.8008199999999999E-2</v>
      </c>
      <c r="H23" s="87" t="s">
        <v>143</v>
      </c>
    </row>
    <row r="24" spans="1:8" ht="14.25" customHeight="1" x14ac:dyDescent="0.2">
      <c r="A24" s="88">
        <v>18</v>
      </c>
      <c r="B24" s="89" t="s">
        <v>89</v>
      </c>
      <c r="C24" s="89" t="s">
        <v>90</v>
      </c>
      <c r="D24" s="89" t="s">
        <v>53</v>
      </c>
      <c r="E24" s="90">
        <v>4801674</v>
      </c>
      <c r="F24" s="91">
        <v>22474.235156999999</v>
      </c>
      <c r="G24" s="92">
        <v>1.797791E-2</v>
      </c>
      <c r="H24" s="87" t="s">
        <v>143</v>
      </c>
    </row>
    <row r="25" spans="1:8" ht="14.25" customHeight="1" x14ac:dyDescent="0.2">
      <c r="A25" s="88">
        <v>19</v>
      </c>
      <c r="B25" s="89" t="s">
        <v>216</v>
      </c>
      <c r="C25" s="89" t="s">
        <v>217</v>
      </c>
      <c r="D25" s="89" t="s">
        <v>77</v>
      </c>
      <c r="E25" s="90">
        <v>1493619</v>
      </c>
      <c r="F25" s="91">
        <v>22452.080807999999</v>
      </c>
      <c r="G25" s="92">
        <v>1.7960179999999999E-2</v>
      </c>
      <c r="H25" s="87" t="s">
        <v>143</v>
      </c>
    </row>
    <row r="26" spans="1:8" ht="14.25" customHeight="1" x14ac:dyDescent="0.2">
      <c r="A26" s="88">
        <v>20</v>
      </c>
      <c r="B26" s="89" t="s">
        <v>218</v>
      </c>
      <c r="C26" s="89" t="s">
        <v>219</v>
      </c>
      <c r="D26" s="89" t="s">
        <v>220</v>
      </c>
      <c r="E26" s="90">
        <v>1204245</v>
      </c>
      <c r="F26" s="91">
        <v>21324.77046</v>
      </c>
      <c r="G26" s="92">
        <v>1.705841E-2</v>
      </c>
      <c r="H26" s="87" t="s">
        <v>143</v>
      </c>
    </row>
    <row r="27" spans="1:8" ht="14.25" customHeight="1" x14ac:dyDescent="0.2">
      <c r="A27" s="88">
        <v>21</v>
      </c>
      <c r="B27" s="89" t="s">
        <v>221</v>
      </c>
      <c r="C27" s="89" t="s">
        <v>222</v>
      </c>
      <c r="D27" s="89" t="s">
        <v>223</v>
      </c>
      <c r="E27" s="90">
        <v>992562</v>
      </c>
      <c r="F27" s="91">
        <v>20806.084643999999</v>
      </c>
      <c r="G27" s="92">
        <v>1.664349E-2</v>
      </c>
      <c r="H27" s="87" t="s">
        <v>143</v>
      </c>
    </row>
    <row r="28" spans="1:8" ht="14.25" customHeight="1" x14ac:dyDescent="0.2">
      <c r="A28" s="88">
        <v>22</v>
      </c>
      <c r="B28" s="89" t="s">
        <v>224</v>
      </c>
      <c r="C28" s="89" t="s">
        <v>225</v>
      </c>
      <c r="D28" s="89" t="s">
        <v>43</v>
      </c>
      <c r="E28" s="90">
        <v>4156994</v>
      </c>
      <c r="F28" s="91">
        <v>19213.626268</v>
      </c>
      <c r="G28" s="92">
        <v>1.536963E-2</v>
      </c>
      <c r="H28" s="87" t="s">
        <v>143</v>
      </c>
    </row>
    <row r="29" spans="1:8" ht="14.25" customHeight="1" x14ac:dyDescent="0.2">
      <c r="A29" s="88">
        <v>23</v>
      </c>
      <c r="B29" s="89" t="s">
        <v>226</v>
      </c>
      <c r="C29" s="89" t="s">
        <v>227</v>
      </c>
      <c r="D29" s="89" t="s">
        <v>207</v>
      </c>
      <c r="E29" s="90">
        <v>1863350</v>
      </c>
      <c r="F29" s="91">
        <v>18825.425050000002</v>
      </c>
      <c r="G29" s="92">
        <v>1.5059100000000001E-2</v>
      </c>
      <c r="H29" s="87" t="s">
        <v>143</v>
      </c>
    </row>
    <row r="30" spans="1:8" ht="14.25" customHeight="1" x14ac:dyDescent="0.2">
      <c r="A30" s="88">
        <v>24</v>
      </c>
      <c r="B30" s="89" t="s">
        <v>228</v>
      </c>
      <c r="C30" s="89" t="s">
        <v>229</v>
      </c>
      <c r="D30" s="89" t="s">
        <v>68</v>
      </c>
      <c r="E30" s="90">
        <v>263330</v>
      </c>
      <c r="F30" s="91">
        <v>18672.730299999999</v>
      </c>
      <c r="G30" s="92">
        <v>1.4936949999999999E-2</v>
      </c>
      <c r="H30" s="87" t="s">
        <v>143</v>
      </c>
    </row>
    <row r="31" spans="1:8" ht="14.25" customHeight="1" x14ac:dyDescent="0.2">
      <c r="A31" s="88">
        <v>25</v>
      </c>
      <c r="B31" s="89" t="s">
        <v>26</v>
      </c>
      <c r="C31" s="89" t="s">
        <v>27</v>
      </c>
      <c r="D31" s="89" t="s">
        <v>28</v>
      </c>
      <c r="E31" s="90">
        <v>5030754</v>
      </c>
      <c r="F31" s="91">
        <v>18583.605275999998</v>
      </c>
      <c r="G31" s="92">
        <v>1.4865659999999999E-2</v>
      </c>
      <c r="H31" s="87" t="s">
        <v>143</v>
      </c>
    </row>
    <row r="32" spans="1:8" ht="14.25" customHeight="1" x14ac:dyDescent="0.2">
      <c r="A32" s="88">
        <v>26</v>
      </c>
      <c r="B32" s="89" t="s">
        <v>230</v>
      </c>
      <c r="C32" s="89" t="s">
        <v>231</v>
      </c>
      <c r="D32" s="89" t="s">
        <v>232</v>
      </c>
      <c r="E32" s="90">
        <v>993091</v>
      </c>
      <c r="F32" s="91">
        <v>18373.176590999999</v>
      </c>
      <c r="G32" s="92">
        <v>1.469733E-2</v>
      </c>
      <c r="H32" s="87" t="s">
        <v>143</v>
      </c>
    </row>
    <row r="33" spans="1:8" ht="14.25" customHeight="1" x14ac:dyDescent="0.2">
      <c r="A33" s="88">
        <v>27</v>
      </c>
      <c r="B33" s="89" t="s">
        <v>58</v>
      </c>
      <c r="C33" s="89" t="s">
        <v>59</v>
      </c>
      <c r="D33" s="89" t="s">
        <v>43</v>
      </c>
      <c r="E33" s="90">
        <v>129128</v>
      </c>
      <c r="F33" s="91">
        <v>18174.766</v>
      </c>
      <c r="G33" s="92">
        <v>1.453861E-2</v>
      </c>
      <c r="H33" s="87" t="s">
        <v>143</v>
      </c>
    </row>
    <row r="34" spans="1:8" ht="14.25" customHeight="1" x14ac:dyDescent="0.2">
      <c r="A34" s="88">
        <v>28</v>
      </c>
      <c r="B34" s="89" t="s">
        <v>233</v>
      </c>
      <c r="C34" s="89" t="s">
        <v>234</v>
      </c>
      <c r="D34" s="89" t="s">
        <v>188</v>
      </c>
      <c r="E34" s="90">
        <v>1553545</v>
      </c>
      <c r="F34" s="91">
        <v>17932.569935</v>
      </c>
      <c r="G34" s="92">
        <v>1.4344869999999999E-2</v>
      </c>
      <c r="H34" s="87" t="s">
        <v>143</v>
      </c>
    </row>
    <row r="35" spans="1:8" ht="14.25" customHeight="1" x14ac:dyDescent="0.2">
      <c r="A35" s="88">
        <v>29</v>
      </c>
      <c r="B35" s="89" t="s">
        <v>235</v>
      </c>
      <c r="C35" s="89" t="s">
        <v>236</v>
      </c>
      <c r="D35" s="89" t="s">
        <v>191</v>
      </c>
      <c r="E35" s="90">
        <v>149775</v>
      </c>
      <c r="F35" s="91">
        <v>17781.288</v>
      </c>
      <c r="G35" s="92">
        <v>1.422386E-2</v>
      </c>
      <c r="H35" s="87" t="s">
        <v>143</v>
      </c>
    </row>
    <row r="36" spans="1:8" ht="14.25" customHeight="1" x14ac:dyDescent="0.2">
      <c r="A36" s="88">
        <v>30</v>
      </c>
      <c r="B36" s="89" t="s">
        <v>87</v>
      </c>
      <c r="C36" s="89" t="s">
        <v>88</v>
      </c>
      <c r="D36" s="89" t="s">
        <v>13</v>
      </c>
      <c r="E36" s="90">
        <v>5069388</v>
      </c>
      <c r="F36" s="91">
        <v>17164.947768000002</v>
      </c>
      <c r="G36" s="92">
        <v>1.3730829999999999E-2</v>
      </c>
      <c r="H36" s="87" t="s">
        <v>143</v>
      </c>
    </row>
    <row r="37" spans="1:8" ht="14.25" customHeight="1" x14ac:dyDescent="0.2">
      <c r="A37" s="88">
        <v>31</v>
      </c>
      <c r="B37" s="89" t="s">
        <v>237</v>
      </c>
      <c r="C37" s="89" t="s">
        <v>238</v>
      </c>
      <c r="D37" s="89" t="s">
        <v>188</v>
      </c>
      <c r="E37" s="90">
        <v>515995</v>
      </c>
      <c r="F37" s="91">
        <v>17073.758555</v>
      </c>
      <c r="G37" s="92">
        <v>1.3657880000000001E-2</v>
      </c>
      <c r="H37" s="87" t="s">
        <v>143</v>
      </c>
    </row>
    <row r="38" spans="1:8" ht="14.25" customHeight="1" x14ac:dyDescent="0.2">
      <c r="A38" s="88">
        <v>32</v>
      </c>
      <c r="B38" s="89" t="s">
        <v>239</v>
      </c>
      <c r="C38" s="89" t="s">
        <v>240</v>
      </c>
      <c r="D38" s="89" t="s">
        <v>68</v>
      </c>
      <c r="E38" s="90">
        <v>355891</v>
      </c>
      <c r="F38" s="91">
        <v>15912.598392</v>
      </c>
      <c r="G38" s="92">
        <v>1.2729030000000001E-2</v>
      </c>
      <c r="H38" s="87" t="s">
        <v>143</v>
      </c>
    </row>
    <row r="39" spans="1:8" ht="14.25" customHeight="1" x14ac:dyDescent="0.2">
      <c r="A39" s="88">
        <v>33</v>
      </c>
      <c r="B39" s="89" t="s">
        <v>241</v>
      </c>
      <c r="C39" s="89" t="s">
        <v>242</v>
      </c>
      <c r="D39" s="89" t="s">
        <v>243</v>
      </c>
      <c r="E39" s="90">
        <v>465740</v>
      </c>
      <c r="F39" s="91">
        <v>15260.43684</v>
      </c>
      <c r="G39" s="92">
        <v>1.2207340000000001E-2</v>
      </c>
      <c r="H39" s="87" t="s">
        <v>143</v>
      </c>
    </row>
    <row r="40" spans="1:8" ht="14.25" customHeight="1" x14ac:dyDescent="0.2">
      <c r="A40" s="88">
        <v>34</v>
      </c>
      <c r="B40" s="89" t="s">
        <v>244</v>
      </c>
      <c r="C40" s="89" t="s">
        <v>245</v>
      </c>
      <c r="D40" s="89" t="s">
        <v>191</v>
      </c>
      <c r="E40" s="90">
        <v>2651690</v>
      </c>
      <c r="F40" s="91">
        <v>14722.18288</v>
      </c>
      <c r="G40" s="92">
        <v>1.1776780000000001E-2</v>
      </c>
      <c r="H40" s="87" t="s">
        <v>143</v>
      </c>
    </row>
    <row r="41" spans="1:8" ht="14.25" customHeight="1" x14ac:dyDescent="0.2">
      <c r="A41" s="88">
        <v>35</v>
      </c>
      <c r="B41" s="89" t="s">
        <v>246</v>
      </c>
      <c r="C41" s="89" t="s">
        <v>247</v>
      </c>
      <c r="D41" s="89" t="s">
        <v>194</v>
      </c>
      <c r="E41" s="90">
        <v>275425</v>
      </c>
      <c r="F41" s="91">
        <v>14607.164875</v>
      </c>
      <c r="G41" s="92">
        <v>1.1684770000000001E-2</v>
      </c>
      <c r="H41" s="87" t="s">
        <v>143</v>
      </c>
    </row>
    <row r="42" spans="1:8" ht="14.25" customHeight="1" x14ac:dyDescent="0.2">
      <c r="A42" s="88">
        <v>36</v>
      </c>
      <c r="B42" s="89" t="s">
        <v>248</v>
      </c>
      <c r="C42" s="89" t="s">
        <v>249</v>
      </c>
      <c r="D42" s="89" t="s">
        <v>33</v>
      </c>
      <c r="E42" s="90">
        <v>1989510</v>
      </c>
      <c r="F42" s="91">
        <v>14285.676555</v>
      </c>
      <c r="G42" s="92">
        <v>1.14276E-2</v>
      </c>
      <c r="H42" s="87" t="s">
        <v>143</v>
      </c>
    </row>
    <row r="43" spans="1:8" ht="14.25" customHeight="1" x14ac:dyDescent="0.2">
      <c r="A43" s="88">
        <v>37</v>
      </c>
      <c r="B43" s="89" t="s">
        <v>250</v>
      </c>
      <c r="C43" s="89" t="s">
        <v>251</v>
      </c>
      <c r="D43" s="89" t="s">
        <v>191</v>
      </c>
      <c r="E43" s="90">
        <v>2437153</v>
      </c>
      <c r="F43" s="91">
        <v>14141.580282499999</v>
      </c>
      <c r="G43" s="92">
        <v>1.1312330000000001E-2</v>
      </c>
      <c r="H43" s="87" t="s">
        <v>143</v>
      </c>
    </row>
    <row r="44" spans="1:8" ht="14.25" customHeight="1" x14ac:dyDescent="0.2">
      <c r="A44" s="88">
        <v>38</v>
      </c>
      <c r="B44" s="89" t="s">
        <v>252</v>
      </c>
      <c r="C44" s="89" t="s">
        <v>253</v>
      </c>
      <c r="D44" s="89" t="s">
        <v>43</v>
      </c>
      <c r="E44" s="90">
        <v>1056387</v>
      </c>
      <c r="F44" s="91">
        <v>13511.18973</v>
      </c>
      <c r="G44" s="92">
        <v>1.080806E-2</v>
      </c>
      <c r="H44" s="87" t="s">
        <v>143</v>
      </c>
    </row>
    <row r="45" spans="1:8" ht="14.25" customHeight="1" x14ac:dyDescent="0.2">
      <c r="A45" s="88">
        <v>39</v>
      </c>
      <c r="B45" s="89" t="s">
        <v>254</v>
      </c>
      <c r="C45" s="89" t="s">
        <v>255</v>
      </c>
      <c r="D45" s="89" t="s">
        <v>256</v>
      </c>
      <c r="E45" s="90">
        <v>317951</v>
      </c>
      <c r="F45" s="91">
        <v>13428.660485</v>
      </c>
      <c r="G45" s="92">
        <v>1.074204E-2</v>
      </c>
      <c r="H45" s="87" t="s">
        <v>143</v>
      </c>
    </row>
    <row r="46" spans="1:8" ht="14.25" customHeight="1" x14ac:dyDescent="0.2">
      <c r="A46" s="88">
        <v>40</v>
      </c>
      <c r="B46" s="89" t="s">
        <v>257</v>
      </c>
      <c r="C46" s="89" t="s">
        <v>258</v>
      </c>
      <c r="D46" s="89" t="s">
        <v>207</v>
      </c>
      <c r="E46" s="90">
        <v>7564846</v>
      </c>
      <c r="F46" s="91">
        <v>13179.474701200001</v>
      </c>
      <c r="G46" s="92">
        <v>1.054271E-2</v>
      </c>
      <c r="H46" s="87" t="s">
        <v>143</v>
      </c>
    </row>
    <row r="47" spans="1:8" ht="14.25" customHeight="1" x14ac:dyDescent="0.2">
      <c r="A47" s="88">
        <v>41</v>
      </c>
      <c r="B47" s="89" t="s">
        <v>56</v>
      </c>
      <c r="C47" s="89" t="s">
        <v>57</v>
      </c>
      <c r="D47" s="89" t="s">
        <v>36</v>
      </c>
      <c r="E47" s="90">
        <v>22788906</v>
      </c>
      <c r="F47" s="91">
        <v>12859.779655799999</v>
      </c>
      <c r="G47" s="92">
        <v>1.0286979999999999E-2</v>
      </c>
      <c r="H47" s="87" t="s">
        <v>143</v>
      </c>
    </row>
    <row r="48" spans="1:8" ht="14.25" customHeight="1" x14ac:dyDescent="0.2">
      <c r="A48" s="88">
        <v>42</v>
      </c>
      <c r="B48" s="89" t="s">
        <v>259</v>
      </c>
      <c r="C48" s="89" t="s">
        <v>260</v>
      </c>
      <c r="D48" s="89" t="s">
        <v>194</v>
      </c>
      <c r="E48" s="90">
        <v>515555</v>
      </c>
      <c r="F48" s="91">
        <v>12741.42627</v>
      </c>
      <c r="G48" s="92">
        <v>1.01923E-2</v>
      </c>
      <c r="H48" s="87" t="s">
        <v>143</v>
      </c>
    </row>
    <row r="49" spans="1:8" ht="14.25" customHeight="1" x14ac:dyDescent="0.2">
      <c r="A49" s="88">
        <v>43</v>
      </c>
      <c r="B49" s="89" t="s">
        <v>91</v>
      </c>
      <c r="C49" s="89" t="s">
        <v>92</v>
      </c>
      <c r="D49" s="89" t="s">
        <v>22</v>
      </c>
      <c r="E49" s="90">
        <v>1029049</v>
      </c>
      <c r="F49" s="91">
        <v>12629.518377</v>
      </c>
      <c r="G49" s="92">
        <v>1.010278E-2</v>
      </c>
      <c r="H49" s="87" t="s">
        <v>143</v>
      </c>
    </row>
    <row r="50" spans="1:8" ht="14.25" customHeight="1" x14ac:dyDescent="0.2">
      <c r="A50" s="88">
        <v>44</v>
      </c>
      <c r="B50" s="89" t="s">
        <v>261</v>
      </c>
      <c r="C50" s="89" t="s">
        <v>262</v>
      </c>
      <c r="D50" s="89" t="s">
        <v>263</v>
      </c>
      <c r="E50" s="90">
        <v>782298</v>
      </c>
      <c r="F50" s="91">
        <v>12533.978556</v>
      </c>
      <c r="G50" s="92">
        <v>1.002636E-2</v>
      </c>
      <c r="H50" s="87" t="s">
        <v>143</v>
      </c>
    </row>
    <row r="51" spans="1:8" ht="14.25" customHeight="1" x14ac:dyDescent="0.2">
      <c r="A51" s="88">
        <v>45</v>
      </c>
      <c r="B51" s="89" t="s">
        <v>264</v>
      </c>
      <c r="C51" s="89" t="s">
        <v>265</v>
      </c>
      <c r="D51" s="89" t="s">
        <v>223</v>
      </c>
      <c r="E51" s="90">
        <v>1454585</v>
      </c>
      <c r="F51" s="91">
        <v>12470.157205</v>
      </c>
      <c r="G51" s="92">
        <v>9.9752999999999994E-3</v>
      </c>
      <c r="H51" s="87" t="s">
        <v>143</v>
      </c>
    </row>
    <row r="52" spans="1:8" ht="14.25" customHeight="1" x14ac:dyDescent="0.2">
      <c r="A52" s="88">
        <v>46</v>
      </c>
      <c r="B52" s="89" t="s">
        <v>266</v>
      </c>
      <c r="C52" s="89" t="s">
        <v>267</v>
      </c>
      <c r="D52" s="89" t="s">
        <v>268</v>
      </c>
      <c r="E52" s="90">
        <v>674186</v>
      </c>
      <c r="F52" s="91">
        <v>12053.771494000001</v>
      </c>
      <c r="G52" s="92">
        <v>9.64222E-3</v>
      </c>
      <c r="H52" s="87" t="s">
        <v>143</v>
      </c>
    </row>
    <row r="53" spans="1:8" ht="14.25" customHeight="1" x14ac:dyDescent="0.2">
      <c r="A53" s="88">
        <v>47</v>
      </c>
      <c r="B53" s="89" t="s">
        <v>269</v>
      </c>
      <c r="C53" s="89" t="s">
        <v>270</v>
      </c>
      <c r="D53" s="89" t="s">
        <v>77</v>
      </c>
      <c r="E53" s="90">
        <v>769848</v>
      </c>
      <c r="F53" s="91">
        <v>12023.486064000001</v>
      </c>
      <c r="G53" s="92">
        <v>9.6179999999999998E-3</v>
      </c>
      <c r="H53" s="87" t="s">
        <v>143</v>
      </c>
    </row>
    <row r="54" spans="1:8" ht="14.25" customHeight="1" x14ac:dyDescent="0.2">
      <c r="A54" s="88">
        <v>48</v>
      </c>
      <c r="B54" s="89" t="s">
        <v>271</v>
      </c>
      <c r="C54" s="89" t="s">
        <v>272</v>
      </c>
      <c r="D54" s="89" t="s">
        <v>223</v>
      </c>
      <c r="E54" s="90">
        <v>1143578</v>
      </c>
      <c r="F54" s="91">
        <v>11642.767618</v>
      </c>
      <c r="G54" s="92">
        <v>9.3134499999999992E-3</v>
      </c>
      <c r="H54" s="87" t="s">
        <v>143</v>
      </c>
    </row>
    <row r="55" spans="1:8" ht="14.25" customHeight="1" x14ac:dyDescent="0.2">
      <c r="A55" s="88">
        <v>49</v>
      </c>
      <c r="B55" s="89" t="s">
        <v>273</v>
      </c>
      <c r="C55" s="89" t="s">
        <v>274</v>
      </c>
      <c r="D55" s="89" t="s">
        <v>275</v>
      </c>
      <c r="E55" s="90">
        <v>4718876</v>
      </c>
      <c r="F55" s="91">
        <v>10860.493114000001</v>
      </c>
      <c r="G55" s="92">
        <v>8.6876799999999997E-3</v>
      </c>
      <c r="H55" s="87" t="s">
        <v>143</v>
      </c>
    </row>
    <row r="56" spans="1:8" ht="14.25" customHeight="1" x14ac:dyDescent="0.2">
      <c r="A56" s="88">
        <v>50</v>
      </c>
      <c r="B56" s="89" t="s">
        <v>276</v>
      </c>
      <c r="C56" s="89" t="s">
        <v>277</v>
      </c>
      <c r="D56" s="89" t="s">
        <v>43</v>
      </c>
      <c r="E56" s="90">
        <v>2423909</v>
      </c>
      <c r="F56" s="91">
        <v>10739.1288245</v>
      </c>
      <c r="G56" s="92">
        <v>8.5905900000000004E-3</v>
      </c>
      <c r="H56" s="87" t="s">
        <v>143</v>
      </c>
    </row>
    <row r="57" spans="1:8" ht="14.25" customHeight="1" x14ac:dyDescent="0.2">
      <c r="A57" s="88">
        <v>51</v>
      </c>
      <c r="B57" s="89" t="s">
        <v>278</v>
      </c>
      <c r="C57" s="89" t="s">
        <v>279</v>
      </c>
      <c r="D57" s="89" t="s">
        <v>77</v>
      </c>
      <c r="E57" s="90">
        <v>644655</v>
      </c>
      <c r="F57" s="91">
        <v>10384.10274</v>
      </c>
      <c r="G57" s="92">
        <v>8.3066000000000008E-3</v>
      </c>
      <c r="H57" s="87" t="s">
        <v>143</v>
      </c>
    </row>
    <row r="58" spans="1:8" ht="14.25" customHeight="1" x14ac:dyDescent="0.2">
      <c r="A58" s="88">
        <v>52</v>
      </c>
      <c r="B58" s="89" t="s">
        <v>81</v>
      </c>
      <c r="C58" s="89" t="s">
        <v>82</v>
      </c>
      <c r="D58" s="89" t="s">
        <v>13</v>
      </c>
      <c r="E58" s="90">
        <v>583736</v>
      </c>
      <c r="F58" s="91">
        <v>10355.476640000001</v>
      </c>
      <c r="G58" s="92">
        <v>8.2836999999999997E-3</v>
      </c>
      <c r="H58" s="87" t="s">
        <v>143</v>
      </c>
    </row>
    <row r="59" spans="1:8" ht="14.25" customHeight="1" x14ac:dyDescent="0.2">
      <c r="A59" s="88">
        <v>53</v>
      </c>
      <c r="B59" s="89" t="s">
        <v>44</v>
      </c>
      <c r="C59" s="89" t="s">
        <v>45</v>
      </c>
      <c r="D59" s="89" t="s">
        <v>46</v>
      </c>
      <c r="E59" s="90">
        <v>141333</v>
      </c>
      <c r="F59" s="91">
        <v>10271.375775</v>
      </c>
      <c r="G59" s="92">
        <v>8.2164200000000003E-3</v>
      </c>
      <c r="H59" s="87" t="s">
        <v>143</v>
      </c>
    </row>
    <row r="60" spans="1:8" ht="14.25" customHeight="1" x14ac:dyDescent="0.2">
      <c r="A60" s="88">
        <v>54</v>
      </c>
      <c r="B60" s="89" t="s">
        <v>113</v>
      </c>
      <c r="C60" s="89" t="s">
        <v>114</v>
      </c>
      <c r="D60" s="89" t="s">
        <v>68</v>
      </c>
      <c r="E60" s="90">
        <v>631409</v>
      </c>
      <c r="F60" s="91">
        <v>10132.220223</v>
      </c>
      <c r="G60" s="92">
        <v>8.1051100000000004E-3</v>
      </c>
      <c r="H60" s="87" t="s">
        <v>143</v>
      </c>
    </row>
    <row r="61" spans="1:8" ht="14.25" customHeight="1" x14ac:dyDescent="0.2">
      <c r="A61" s="88">
        <v>55</v>
      </c>
      <c r="B61" s="89" t="s">
        <v>280</v>
      </c>
      <c r="C61" s="89" t="s">
        <v>281</v>
      </c>
      <c r="D61" s="89" t="s">
        <v>22</v>
      </c>
      <c r="E61" s="90">
        <v>13035894</v>
      </c>
      <c r="F61" s="91">
        <v>10067.620936200001</v>
      </c>
      <c r="G61" s="92">
        <v>8.0534300000000003E-3</v>
      </c>
      <c r="H61" s="87" t="s">
        <v>143</v>
      </c>
    </row>
    <row r="62" spans="1:8" ht="14.25" customHeight="1" x14ac:dyDescent="0.2">
      <c r="A62" s="88">
        <v>56</v>
      </c>
      <c r="B62" s="89" t="s">
        <v>282</v>
      </c>
      <c r="C62" s="89" t="s">
        <v>283</v>
      </c>
      <c r="D62" s="89" t="s">
        <v>194</v>
      </c>
      <c r="E62" s="90">
        <v>1023690</v>
      </c>
      <c r="F62" s="91">
        <v>10042.910744999999</v>
      </c>
      <c r="G62" s="92">
        <v>8.0336699999999997E-3</v>
      </c>
      <c r="H62" s="87" t="s">
        <v>143</v>
      </c>
    </row>
    <row r="63" spans="1:8" ht="14.25" customHeight="1" x14ac:dyDescent="0.2">
      <c r="A63" s="88">
        <v>57</v>
      </c>
      <c r="B63" s="89" t="s">
        <v>101</v>
      </c>
      <c r="C63" s="89" t="s">
        <v>102</v>
      </c>
      <c r="D63" s="89" t="s">
        <v>43</v>
      </c>
      <c r="E63" s="90">
        <v>258555</v>
      </c>
      <c r="F63" s="91">
        <v>9999.3560699999998</v>
      </c>
      <c r="G63" s="92">
        <v>7.9988300000000002E-3</v>
      </c>
      <c r="H63" s="87" t="s">
        <v>143</v>
      </c>
    </row>
    <row r="64" spans="1:8" ht="14.25" customHeight="1" x14ac:dyDescent="0.2">
      <c r="A64" s="88">
        <v>58</v>
      </c>
      <c r="B64" s="89" t="s">
        <v>284</v>
      </c>
      <c r="C64" s="89" t="s">
        <v>285</v>
      </c>
      <c r="D64" s="89" t="s">
        <v>46</v>
      </c>
      <c r="E64" s="90">
        <v>3018063</v>
      </c>
      <c r="F64" s="91">
        <v>9959.6079000000009</v>
      </c>
      <c r="G64" s="92">
        <v>7.9670299999999999E-3</v>
      </c>
      <c r="H64" s="87" t="s">
        <v>143</v>
      </c>
    </row>
    <row r="65" spans="1:8" ht="14.25" customHeight="1" x14ac:dyDescent="0.2">
      <c r="A65" s="88">
        <v>59</v>
      </c>
      <c r="B65" s="89" t="s">
        <v>286</v>
      </c>
      <c r="C65" s="89" t="s">
        <v>287</v>
      </c>
      <c r="D65" s="89" t="s">
        <v>288</v>
      </c>
      <c r="E65" s="90">
        <v>75639</v>
      </c>
      <c r="F65" s="91">
        <v>9898.1195399999997</v>
      </c>
      <c r="G65" s="92">
        <v>7.9178400000000006E-3</v>
      </c>
      <c r="H65" s="87" t="s">
        <v>143</v>
      </c>
    </row>
    <row r="66" spans="1:8" ht="14.25" customHeight="1" x14ac:dyDescent="0.2">
      <c r="A66" s="88">
        <v>60</v>
      </c>
      <c r="B66" s="89" t="s">
        <v>123</v>
      </c>
      <c r="C66" s="89" t="s">
        <v>124</v>
      </c>
      <c r="D66" s="89" t="s">
        <v>46</v>
      </c>
      <c r="E66" s="90">
        <v>57621</v>
      </c>
      <c r="F66" s="91">
        <v>9616.9449000000004</v>
      </c>
      <c r="G66" s="92">
        <v>7.6929199999999998E-3</v>
      </c>
      <c r="H66" s="87" t="s">
        <v>143</v>
      </c>
    </row>
    <row r="67" spans="1:8" ht="14.25" customHeight="1" x14ac:dyDescent="0.2">
      <c r="A67" s="88">
        <v>61</v>
      </c>
      <c r="B67" s="89" t="s">
        <v>289</v>
      </c>
      <c r="C67" s="89" t="s">
        <v>290</v>
      </c>
      <c r="D67" s="89" t="s">
        <v>185</v>
      </c>
      <c r="E67" s="90">
        <v>255227</v>
      </c>
      <c r="F67" s="91">
        <v>9430.1271959999995</v>
      </c>
      <c r="G67" s="92">
        <v>7.54348E-3</v>
      </c>
      <c r="H67" s="87" t="s">
        <v>143</v>
      </c>
    </row>
    <row r="68" spans="1:8" ht="14.25" customHeight="1" x14ac:dyDescent="0.2">
      <c r="A68" s="88">
        <v>62</v>
      </c>
      <c r="B68" s="89" t="s">
        <v>291</v>
      </c>
      <c r="C68" s="89" t="s">
        <v>292</v>
      </c>
      <c r="D68" s="89" t="s">
        <v>288</v>
      </c>
      <c r="E68" s="90">
        <v>1611272</v>
      </c>
      <c r="F68" s="91">
        <v>9242.2561920000007</v>
      </c>
      <c r="G68" s="92">
        <v>7.3931999999999999E-3</v>
      </c>
      <c r="H68" s="87" t="s">
        <v>143</v>
      </c>
    </row>
    <row r="69" spans="1:8" ht="14.25" customHeight="1" x14ac:dyDescent="0.2">
      <c r="A69" s="88">
        <v>63</v>
      </c>
      <c r="B69" s="89" t="s">
        <v>293</v>
      </c>
      <c r="C69" s="89" t="s">
        <v>294</v>
      </c>
      <c r="D69" s="89" t="s">
        <v>25</v>
      </c>
      <c r="E69" s="90">
        <v>458881</v>
      </c>
      <c r="F69" s="91">
        <v>8268.1178579999996</v>
      </c>
      <c r="G69" s="92">
        <v>6.6139500000000004E-3</v>
      </c>
      <c r="H69" s="87" t="s">
        <v>143</v>
      </c>
    </row>
    <row r="70" spans="1:8" ht="14.25" customHeight="1" x14ac:dyDescent="0.2">
      <c r="A70" s="88">
        <v>64</v>
      </c>
      <c r="B70" s="89" t="s">
        <v>295</v>
      </c>
      <c r="C70" s="89" t="s">
        <v>296</v>
      </c>
      <c r="D70" s="89" t="s">
        <v>80</v>
      </c>
      <c r="E70" s="90">
        <v>2549078</v>
      </c>
      <c r="F70" s="91">
        <v>7389.7771220000004</v>
      </c>
      <c r="G70" s="92">
        <v>5.9113300000000002E-3</v>
      </c>
      <c r="H70" s="87" t="s">
        <v>143</v>
      </c>
    </row>
    <row r="71" spans="1:8" ht="14.25" customHeight="1" x14ac:dyDescent="0.2">
      <c r="A71" s="88">
        <v>65</v>
      </c>
      <c r="B71" s="89" t="s">
        <v>297</v>
      </c>
      <c r="C71" s="89" t="s">
        <v>298</v>
      </c>
      <c r="D71" s="89" t="s">
        <v>191</v>
      </c>
      <c r="E71" s="90">
        <v>146517</v>
      </c>
      <c r="F71" s="91">
        <v>7305.3376200000002</v>
      </c>
      <c r="G71" s="92">
        <v>5.8437899999999997E-3</v>
      </c>
      <c r="H71" s="87" t="s">
        <v>143</v>
      </c>
    </row>
    <row r="72" spans="1:8" ht="14.25" customHeight="1" x14ac:dyDescent="0.2">
      <c r="A72" s="88">
        <v>66</v>
      </c>
      <c r="B72" s="89" t="s">
        <v>299</v>
      </c>
      <c r="C72" s="89" t="s">
        <v>300</v>
      </c>
      <c r="D72" s="89" t="s">
        <v>68</v>
      </c>
      <c r="E72" s="90">
        <v>414473</v>
      </c>
      <c r="F72" s="91">
        <v>6480.285355</v>
      </c>
      <c r="G72" s="92">
        <v>5.1837999999999997E-3</v>
      </c>
      <c r="H72" s="87" t="s">
        <v>143</v>
      </c>
    </row>
    <row r="73" spans="1:8" ht="14.25" customHeight="1" x14ac:dyDescent="0.2">
      <c r="A73" s="88">
        <v>67</v>
      </c>
      <c r="B73" s="89" t="s">
        <v>301</v>
      </c>
      <c r="C73" s="89" t="s">
        <v>302</v>
      </c>
      <c r="D73" s="89" t="s">
        <v>263</v>
      </c>
      <c r="E73" s="90">
        <v>1030215</v>
      </c>
      <c r="F73" s="91">
        <v>6179.7446774999999</v>
      </c>
      <c r="G73" s="92">
        <v>4.9433899999999998E-3</v>
      </c>
      <c r="H73" s="87" t="s">
        <v>143</v>
      </c>
    </row>
    <row r="74" spans="1:8" ht="14.25" customHeight="1" x14ac:dyDescent="0.2">
      <c r="A74" s="88">
        <v>68</v>
      </c>
      <c r="B74" s="89" t="s">
        <v>303</v>
      </c>
      <c r="C74" s="89" t="s">
        <v>304</v>
      </c>
      <c r="D74" s="89" t="s">
        <v>188</v>
      </c>
      <c r="E74" s="90">
        <v>1087841</v>
      </c>
      <c r="F74" s="91">
        <v>5899.3617430000004</v>
      </c>
      <c r="G74" s="92">
        <v>4.7191000000000004E-3</v>
      </c>
      <c r="H74" s="87" t="s">
        <v>143</v>
      </c>
    </row>
    <row r="75" spans="1:8" ht="14.25" customHeight="1" x14ac:dyDescent="0.2">
      <c r="A75" s="88">
        <v>69</v>
      </c>
      <c r="B75" s="89" t="s">
        <v>305</v>
      </c>
      <c r="C75" s="89" t="s">
        <v>306</v>
      </c>
      <c r="D75" s="89" t="s">
        <v>68</v>
      </c>
      <c r="E75" s="90">
        <v>131311</v>
      </c>
      <c r="F75" s="91">
        <v>5830.2084000000004</v>
      </c>
      <c r="G75" s="92">
        <v>4.6637800000000002E-3</v>
      </c>
      <c r="H75" s="87" t="s">
        <v>143</v>
      </c>
    </row>
    <row r="76" spans="1:8" ht="14.25" customHeight="1" x14ac:dyDescent="0.2">
      <c r="A76" s="88">
        <v>70</v>
      </c>
      <c r="B76" s="89" t="s">
        <v>307</v>
      </c>
      <c r="C76" s="89" t="s">
        <v>308</v>
      </c>
      <c r="D76" s="89" t="s">
        <v>243</v>
      </c>
      <c r="E76" s="90">
        <v>9465949</v>
      </c>
      <c r="F76" s="91">
        <v>5116.3454345</v>
      </c>
      <c r="G76" s="92">
        <v>4.0927400000000001E-3</v>
      </c>
      <c r="H76" s="87" t="s">
        <v>143</v>
      </c>
    </row>
    <row r="77" spans="1:8" ht="14.25" customHeight="1" x14ac:dyDescent="0.2">
      <c r="A77" s="88">
        <v>71</v>
      </c>
      <c r="B77" s="89" t="s">
        <v>309</v>
      </c>
      <c r="C77" s="89" t="s">
        <v>310</v>
      </c>
      <c r="D77" s="89" t="s">
        <v>194</v>
      </c>
      <c r="E77" s="90">
        <v>228690</v>
      </c>
      <c r="F77" s="91">
        <v>4279.9333500000002</v>
      </c>
      <c r="G77" s="92">
        <v>3.4236599999999998E-3</v>
      </c>
      <c r="H77" s="87" t="s">
        <v>143</v>
      </c>
    </row>
    <row r="78" spans="1:8" ht="14.25" customHeight="1" x14ac:dyDescent="0.2">
      <c r="A78" s="88">
        <v>72</v>
      </c>
      <c r="B78" s="89" t="s">
        <v>311</v>
      </c>
      <c r="C78" s="89" t="s">
        <v>312</v>
      </c>
      <c r="D78" s="89" t="s">
        <v>25</v>
      </c>
      <c r="E78" s="90">
        <v>172111</v>
      </c>
      <c r="F78" s="91">
        <v>4133.2456650000004</v>
      </c>
      <c r="G78" s="92">
        <v>3.3063200000000002E-3</v>
      </c>
      <c r="H78" s="87" t="s">
        <v>143</v>
      </c>
    </row>
    <row r="79" spans="1:8" ht="14.25" customHeight="1" x14ac:dyDescent="0.2">
      <c r="A79" s="88">
        <v>73</v>
      </c>
      <c r="B79" s="89" t="s">
        <v>313</v>
      </c>
      <c r="C79" s="89" t="s">
        <v>314</v>
      </c>
      <c r="D79" s="89" t="s">
        <v>288</v>
      </c>
      <c r="E79" s="90">
        <v>85654</v>
      </c>
      <c r="F79" s="91">
        <v>1997.279972</v>
      </c>
      <c r="G79" s="92">
        <v>1.5976899999999999E-3</v>
      </c>
      <c r="H79" s="87" t="s">
        <v>143</v>
      </c>
    </row>
    <row r="80" spans="1:8" ht="14.25" customHeight="1" x14ac:dyDescent="0.2">
      <c r="A80" s="88">
        <v>74</v>
      </c>
      <c r="B80" s="89" t="s">
        <v>315</v>
      </c>
      <c r="C80" s="89" t="s">
        <v>316</v>
      </c>
      <c r="D80" s="89" t="s">
        <v>46</v>
      </c>
      <c r="E80" s="90">
        <v>25125</v>
      </c>
      <c r="F80" s="91">
        <v>345.21749999999997</v>
      </c>
      <c r="G80" s="92">
        <v>2.7615000000000002E-4</v>
      </c>
      <c r="H80" s="87" t="s">
        <v>143</v>
      </c>
    </row>
    <row r="81" spans="1:8" ht="14.25" customHeight="1" x14ac:dyDescent="0.2">
      <c r="A81" s="93"/>
      <c r="B81" s="93"/>
      <c r="C81" s="94" t="s">
        <v>142</v>
      </c>
      <c r="D81" s="93"/>
      <c r="E81" s="93" t="s">
        <v>143</v>
      </c>
      <c r="F81" s="95">
        <v>1190134.9929281999</v>
      </c>
      <c r="G81" s="96">
        <v>0.95202947999999998</v>
      </c>
      <c r="H81" s="87" t="s">
        <v>143</v>
      </c>
    </row>
    <row r="82" spans="1:8" ht="14.25" customHeight="1" x14ac:dyDescent="0.2">
      <c r="A82" s="93"/>
      <c r="B82" s="93"/>
      <c r="C82" s="97"/>
      <c r="D82" s="93"/>
      <c r="E82" s="93"/>
      <c r="F82" s="98"/>
      <c r="G82" s="98"/>
      <c r="H82" s="87" t="s">
        <v>143</v>
      </c>
    </row>
    <row r="83" spans="1:8" ht="14.25" customHeight="1" x14ac:dyDescent="0.2">
      <c r="A83" s="93"/>
      <c r="B83" s="93"/>
      <c r="C83" s="94" t="s">
        <v>144</v>
      </c>
      <c r="D83" s="93"/>
      <c r="E83" s="93"/>
      <c r="F83" s="93"/>
      <c r="G83" s="93"/>
      <c r="H83" s="87" t="s">
        <v>143</v>
      </c>
    </row>
    <row r="84" spans="1:8" ht="14.25" customHeight="1" x14ac:dyDescent="0.2">
      <c r="A84" s="93"/>
      <c r="B84" s="93"/>
      <c r="C84" s="94" t="s">
        <v>142</v>
      </c>
      <c r="D84" s="93"/>
      <c r="E84" s="93" t="s">
        <v>143</v>
      </c>
      <c r="F84" s="99" t="s">
        <v>145</v>
      </c>
      <c r="G84" s="96">
        <v>0</v>
      </c>
      <c r="H84" s="87" t="s">
        <v>143</v>
      </c>
    </row>
    <row r="85" spans="1:8" ht="14.25" customHeight="1" x14ac:dyDescent="0.2">
      <c r="A85" s="93"/>
      <c r="B85" s="93"/>
      <c r="C85" s="97"/>
      <c r="D85" s="93"/>
      <c r="E85" s="93"/>
      <c r="F85" s="98"/>
      <c r="G85" s="98"/>
      <c r="H85" s="87" t="s">
        <v>143</v>
      </c>
    </row>
    <row r="86" spans="1:8" ht="14.25" customHeight="1" x14ac:dyDescent="0.2">
      <c r="A86" s="93"/>
      <c r="B86" s="93"/>
      <c r="C86" s="94" t="s">
        <v>146</v>
      </c>
      <c r="D86" s="93"/>
      <c r="E86" s="93"/>
      <c r="F86" s="93"/>
      <c r="G86" s="93"/>
      <c r="H86" s="87" t="s">
        <v>143</v>
      </c>
    </row>
    <row r="87" spans="1:8" ht="14.25" customHeight="1" x14ac:dyDescent="0.2">
      <c r="A87" s="93"/>
      <c r="B87" s="93"/>
      <c r="C87" s="94" t="s">
        <v>142</v>
      </c>
      <c r="D87" s="93"/>
      <c r="E87" s="93" t="s">
        <v>143</v>
      </c>
      <c r="F87" s="99" t="s">
        <v>145</v>
      </c>
      <c r="G87" s="96">
        <v>0</v>
      </c>
      <c r="H87" s="87" t="s">
        <v>143</v>
      </c>
    </row>
    <row r="88" spans="1:8" ht="14.25" customHeight="1" x14ac:dyDescent="0.2">
      <c r="A88" s="93"/>
      <c r="B88" s="93"/>
      <c r="C88" s="97"/>
      <c r="D88" s="93"/>
      <c r="E88" s="93"/>
      <c r="F88" s="98"/>
      <c r="G88" s="98"/>
      <c r="H88" s="87" t="s">
        <v>143</v>
      </c>
    </row>
    <row r="89" spans="1:8" ht="14.25" customHeight="1" x14ac:dyDescent="0.2">
      <c r="A89" s="93"/>
      <c r="B89" s="93"/>
      <c r="C89" s="94" t="s">
        <v>147</v>
      </c>
      <c r="D89" s="93"/>
      <c r="E89" s="93"/>
      <c r="F89" s="93"/>
      <c r="G89" s="93"/>
      <c r="H89" s="87" t="s">
        <v>143</v>
      </c>
    </row>
    <row r="90" spans="1:8" ht="14.25" customHeight="1" x14ac:dyDescent="0.2">
      <c r="A90" s="88">
        <v>1</v>
      </c>
      <c r="B90" s="89" t="s">
        <v>317</v>
      </c>
      <c r="C90" s="89" t="s">
        <v>318</v>
      </c>
      <c r="D90" s="89" t="s">
        <v>243</v>
      </c>
      <c r="E90" s="90">
        <v>1862960</v>
      </c>
      <c r="F90" s="91">
        <v>186.29599999999999</v>
      </c>
      <c r="G90" s="92">
        <v>1.4903E-4</v>
      </c>
      <c r="H90" s="87" t="s">
        <v>143</v>
      </c>
    </row>
    <row r="91" spans="1:8" ht="14.25" customHeight="1" x14ac:dyDescent="0.2">
      <c r="A91" s="93"/>
      <c r="B91" s="93"/>
      <c r="C91" s="94" t="s">
        <v>142</v>
      </c>
      <c r="D91" s="93"/>
      <c r="E91" s="93" t="s">
        <v>143</v>
      </c>
      <c r="F91" s="95">
        <v>186.29599999999999</v>
      </c>
      <c r="G91" s="96">
        <v>1.4903E-4</v>
      </c>
      <c r="H91" s="87" t="s">
        <v>143</v>
      </c>
    </row>
    <row r="92" spans="1:8" ht="14.25" customHeight="1" x14ac:dyDescent="0.2">
      <c r="A92" s="93"/>
      <c r="B92" s="93"/>
      <c r="C92" s="97"/>
      <c r="D92" s="93"/>
      <c r="E92" s="93"/>
      <c r="F92" s="98"/>
      <c r="G92" s="98"/>
      <c r="H92" s="87" t="s">
        <v>143</v>
      </c>
    </row>
    <row r="93" spans="1:8" ht="14.25" customHeight="1" x14ac:dyDescent="0.2">
      <c r="A93" s="93"/>
      <c r="B93" s="93"/>
      <c r="C93" s="94" t="s">
        <v>148</v>
      </c>
      <c r="D93" s="93"/>
      <c r="E93" s="93"/>
      <c r="F93" s="98"/>
      <c r="G93" s="98"/>
      <c r="H93" s="87" t="s">
        <v>143</v>
      </c>
    </row>
    <row r="94" spans="1:8" ht="14.25" customHeight="1" x14ac:dyDescent="0.2">
      <c r="A94" s="93"/>
      <c r="B94" s="93"/>
      <c r="C94" s="94" t="s">
        <v>142</v>
      </c>
      <c r="D94" s="93"/>
      <c r="E94" s="93" t="s">
        <v>143</v>
      </c>
      <c r="F94" s="99" t="s">
        <v>145</v>
      </c>
      <c r="G94" s="96">
        <v>0</v>
      </c>
      <c r="H94" s="87" t="s">
        <v>143</v>
      </c>
    </row>
    <row r="95" spans="1:8" ht="14.25" customHeight="1" x14ac:dyDescent="0.2">
      <c r="A95" s="93"/>
      <c r="B95" s="93"/>
      <c r="C95" s="97"/>
      <c r="D95" s="93"/>
      <c r="E95" s="93"/>
      <c r="F95" s="98"/>
      <c r="G95" s="98"/>
      <c r="H95" s="87" t="s">
        <v>143</v>
      </c>
    </row>
    <row r="96" spans="1:8" ht="14.25" customHeight="1" x14ac:dyDescent="0.2">
      <c r="A96" s="93"/>
      <c r="B96" s="93"/>
      <c r="C96" s="94" t="s">
        <v>149</v>
      </c>
      <c r="D96" s="93"/>
      <c r="E96" s="93"/>
      <c r="F96" s="98"/>
      <c r="G96" s="98"/>
      <c r="H96" s="87" t="s">
        <v>143</v>
      </c>
    </row>
    <row r="97" spans="1:8" ht="14.25" customHeight="1" x14ac:dyDescent="0.2">
      <c r="A97" s="93"/>
      <c r="B97" s="93"/>
      <c r="C97" s="94" t="s">
        <v>142</v>
      </c>
      <c r="D97" s="93"/>
      <c r="E97" s="93" t="s">
        <v>143</v>
      </c>
      <c r="F97" s="99" t="s">
        <v>145</v>
      </c>
      <c r="G97" s="96">
        <v>0</v>
      </c>
      <c r="H97" s="87" t="s">
        <v>143</v>
      </c>
    </row>
    <row r="98" spans="1:8" ht="14.25" customHeight="1" x14ac:dyDescent="0.2">
      <c r="A98" s="93"/>
      <c r="B98" s="93"/>
      <c r="C98" s="97"/>
      <c r="D98" s="93"/>
      <c r="E98" s="93"/>
      <c r="F98" s="98"/>
      <c r="G98" s="98"/>
      <c r="H98" s="87" t="s">
        <v>143</v>
      </c>
    </row>
    <row r="99" spans="1:8" ht="14.25" customHeight="1" x14ac:dyDescent="0.2">
      <c r="A99" s="93"/>
      <c r="B99" s="93"/>
      <c r="C99" s="94" t="s">
        <v>150</v>
      </c>
      <c r="D99" s="93"/>
      <c r="E99" s="93"/>
      <c r="F99" s="95">
        <v>1190321.2889282</v>
      </c>
      <c r="G99" s="96">
        <v>0.95217850999999998</v>
      </c>
      <c r="H99" s="87" t="s">
        <v>143</v>
      </c>
    </row>
    <row r="100" spans="1:8" ht="14.25" customHeight="1" x14ac:dyDescent="0.2">
      <c r="A100" s="93"/>
      <c r="B100" s="93"/>
      <c r="C100" s="97"/>
      <c r="D100" s="93"/>
      <c r="E100" s="93"/>
      <c r="F100" s="98"/>
      <c r="G100" s="98"/>
      <c r="H100" s="87" t="s">
        <v>143</v>
      </c>
    </row>
    <row r="101" spans="1:8" ht="14.25" customHeight="1" x14ac:dyDescent="0.2">
      <c r="A101" s="93"/>
      <c r="B101" s="93"/>
      <c r="C101" s="94" t="s">
        <v>151</v>
      </c>
      <c r="D101" s="93"/>
      <c r="E101" s="93"/>
      <c r="F101" s="98"/>
      <c r="G101" s="98"/>
      <c r="H101" s="87" t="s">
        <v>143</v>
      </c>
    </row>
    <row r="102" spans="1:8" ht="14.25" customHeight="1" x14ac:dyDescent="0.2">
      <c r="A102" s="93"/>
      <c r="B102" s="93"/>
      <c r="C102" s="94" t="s">
        <v>10</v>
      </c>
      <c r="D102" s="93"/>
      <c r="E102" s="93"/>
      <c r="F102" s="98"/>
      <c r="G102" s="98"/>
      <c r="H102" s="87" t="s">
        <v>143</v>
      </c>
    </row>
    <row r="103" spans="1:8" ht="14.25" customHeight="1" x14ac:dyDescent="0.2">
      <c r="A103" s="93"/>
      <c r="B103" s="93"/>
      <c r="C103" s="94" t="s">
        <v>142</v>
      </c>
      <c r="D103" s="93"/>
      <c r="E103" s="93" t="s">
        <v>143</v>
      </c>
      <c r="F103" s="99" t="s">
        <v>145</v>
      </c>
      <c r="G103" s="96">
        <v>0</v>
      </c>
      <c r="H103" s="87" t="s">
        <v>143</v>
      </c>
    </row>
    <row r="104" spans="1:8" ht="14.25" customHeight="1" x14ac:dyDescent="0.2">
      <c r="A104" s="93"/>
      <c r="B104" s="93"/>
      <c r="C104" s="97"/>
      <c r="D104" s="93"/>
      <c r="E104" s="93"/>
      <c r="F104" s="98"/>
      <c r="G104" s="98"/>
      <c r="H104" s="87" t="s">
        <v>143</v>
      </c>
    </row>
    <row r="105" spans="1:8" ht="14.25" customHeight="1" x14ac:dyDescent="0.2">
      <c r="A105" s="93"/>
      <c r="B105" s="93"/>
      <c r="C105" s="94" t="s">
        <v>152</v>
      </c>
      <c r="D105" s="93"/>
      <c r="E105" s="93"/>
      <c r="F105" s="93"/>
      <c r="G105" s="93"/>
      <c r="H105" s="87" t="s">
        <v>143</v>
      </c>
    </row>
    <row r="106" spans="1:8" ht="14.25" customHeight="1" x14ac:dyDescent="0.2">
      <c r="A106" s="93"/>
      <c r="B106" s="93"/>
      <c r="C106" s="94" t="s">
        <v>142</v>
      </c>
      <c r="D106" s="93"/>
      <c r="E106" s="93" t="s">
        <v>143</v>
      </c>
      <c r="F106" s="99" t="s">
        <v>145</v>
      </c>
      <c r="G106" s="96">
        <v>0</v>
      </c>
      <c r="H106" s="87" t="s">
        <v>143</v>
      </c>
    </row>
    <row r="107" spans="1:8" ht="14.25" customHeight="1" x14ac:dyDescent="0.2">
      <c r="A107" s="93"/>
      <c r="B107" s="93"/>
      <c r="C107" s="97"/>
      <c r="D107" s="93"/>
      <c r="E107" s="93"/>
      <c r="F107" s="98"/>
      <c r="G107" s="98"/>
      <c r="H107" s="87" t="s">
        <v>143</v>
      </c>
    </row>
    <row r="108" spans="1:8" ht="14.25" customHeight="1" x14ac:dyDescent="0.2">
      <c r="A108" s="93"/>
      <c r="B108" s="93"/>
      <c r="C108" s="94" t="s">
        <v>153</v>
      </c>
      <c r="D108" s="93"/>
      <c r="E108" s="93"/>
      <c r="F108" s="93"/>
      <c r="G108" s="93"/>
      <c r="H108" s="87" t="s">
        <v>143</v>
      </c>
    </row>
    <row r="109" spans="1:8" ht="14.25" customHeight="1" x14ac:dyDescent="0.2">
      <c r="A109" s="93"/>
      <c r="B109" s="93"/>
      <c r="C109" s="94" t="s">
        <v>142</v>
      </c>
      <c r="D109" s="93"/>
      <c r="E109" s="93" t="s">
        <v>143</v>
      </c>
      <c r="F109" s="99" t="s">
        <v>145</v>
      </c>
      <c r="G109" s="96">
        <v>0</v>
      </c>
      <c r="H109" s="87" t="s">
        <v>143</v>
      </c>
    </row>
    <row r="110" spans="1:8" ht="14.25" customHeight="1" x14ac:dyDescent="0.2">
      <c r="A110" s="93"/>
      <c r="B110" s="93"/>
      <c r="C110" s="97"/>
      <c r="D110" s="93"/>
      <c r="E110" s="93"/>
      <c r="F110" s="98"/>
      <c r="G110" s="98"/>
      <c r="H110" s="87" t="s">
        <v>143</v>
      </c>
    </row>
    <row r="111" spans="1:8" ht="14.25" customHeight="1" x14ac:dyDescent="0.2">
      <c r="A111" s="93"/>
      <c r="B111" s="93"/>
      <c r="C111" s="94" t="s">
        <v>154</v>
      </c>
      <c r="D111" s="93"/>
      <c r="E111" s="93"/>
      <c r="F111" s="98"/>
      <c r="G111" s="98"/>
      <c r="H111" s="87" t="s">
        <v>143</v>
      </c>
    </row>
    <row r="112" spans="1:8" ht="14.25" customHeight="1" x14ac:dyDescent="0.2">
      <c r="A112" s="93"/>
      <c r="B112" s="93"/>
      <c r="C112" s="94" t="s">
        <v>142</v>
      </c>
      <c r="D112" s="93"/>
      <c r="E112" s="93" t="s">
        <v>143</v>
      </c>
      <c r="F112" s="99" t="s">
        <v>145</v>
      </c>
      <c r="G112" s="96">
        <v>0</v>
      </c>
      <c r="H112" s="87" t="s">
        <v>143</v>
      </c>
    </row>
    <row r="113" spans="1:8" ht="14.25" customHeight="1" x14ac:dyDescent="0.2">
      <c r="A113" s="93"/>
      <c r="B113" s="93"/>
      <c r="C113" s="97"/>
      <c r="D113" s="93"/>
      <c r="E113" s="93"/>
      <c r="F113" s="98"/>
      <c r="G113" s="98"/>
      <c r="H113" s="87" t="s">
        <v>143</v>
      </c>
    </row>
    <row r="114" spans="1:8" ht="14.25" customHeight="1" x14ac:dyDescent="0.2">
      <c r="A114" s="93"/>
      <c r="B114" s="93"/>
      <c r="C114" s="94" t="s">
        <v>155</v>
      </c>
      <c r="D114" s="93"/>
      <c r="E114" s="93"/>
      <c r="F114" s="95">
        <v>0</v>
      </c>
      <c r="G114" s="96">
        <v>0</v>
      </c>
      <c r="H114" s="87" t="s">
        <v>143</v>
      </c>
    </row>
    <row r="115" spans="1:8" ht="14.25" customHeight="1" x14ac:dyDescent="0.2">
      <c r="A115" s="93"/>
      <c r="B115" s="93"/>
      <c r="C115" s="97"/>
      <c r="D115" s="93"/>
      <c r="E115" s="93"/>
      <c r="F115" s="98"/>
      <c r="G115" s="98"/>
      <c r="H115" s="87" t="s">
        <v>143</v>
      </c>
    </row>
    <row r="116" spans="1:8" ht="14.25" customHeight="1" x14ac:dyDescent="0.2">
      <c r="A116" s="93"/>
      <c r="B116" s="93"/>
      <c r="C116" s="94" t="s">
        <v>156</v>
      </c>
      <c r="D116" s="93"/>
      <c r="E116" s="93"/>
      <c r="F116" s="98"/>
      <c r="G116" s="98"/>
      <c r="H116" s="87" t="s">
        <v>143</v>
      </c>
    </row>
    <row r="117" spans="1:8" ht="14.25" customHeight="1" x14ac:dyDescent="0.2">
      <c r="A117" s="93"/>
      <c r="B117" s="93"/>
      <c r="C117" s="94" t="s">
        <v>157</v>
      </c>
      <c r="D117" s="93"/>
      <c r="E117" s="93"/>
      <c r="F117" s="98"/>
      <c r="G117" s="98"/>
      <c r="H117" s="87" t="s">
        <v>143</v>
      </c>
    </row>
    <row r="118" spans="1:8" ht="14.25" customHeight="1" x14ac:dyDescent="0.2">
      <c r="A118" s="93"/>
      <c r="B118" s="93"/>
      <c r="C118" s="94" t="s">
        <v>142</v>
      </c>
      <c r="D118" s="93"/>
      <c r="E118" s="93" t="s">
        <v>143</v>
      </c>
      <c r="F118" s="99" t="s">
        <v>145</v>
      </c>
      <c r="G118" s="96">
        <v>0</v>
      </c>
      <c r="H118" s="87" t="s">
        <v>143</v>
      </c>
    </row>
    <row r="119" spans="1:8" ht="14.25" customHeight="1" x14ac:dyDescent="0.2">
      <c r="A119" s="93"/>
      <c r="B119" s="93"/>
      <c r="C119" s="97"/>
      <c r="D119" s="93"/>
      <c r="E119" s="93"/>
      <c r="F119" s="98"/>
      <c r="G119" s="98"/>
      <c r="H119" s="87" t="s">
        <v>143</v>
      </c>
    </row>
    <row r="120" spans="1:8" ht="14.25" customHeight="1" x14ac:dyDescent="0.2">
      <c r="A120" s="93"/>
      <c r="B120" s="93"/>
      <c r="C120" s="94" t="s">
        <v>158</v>
      </c>
      <c r="D120" s="93"/>
      <c r="E120" s="93"/>
      <c r="F120" s="98"/>
      <c r="G120" s="98"/>
      <c r="H120" s="87" t="s">
        <v>143</v>
      </c>
    </row>
    <row r="121" spans="1:8" ht="14.25" customHeight="1" x14ac:dyDescent="0.2">
      <c r="A121" s="93"/>
      <c r="B121" s="93"/>
      <c r="C121" s="94" t="s">
        <v>142</v>
      </c>
      <c r="D121" s="93"/>
      <c r="E121" s="93" t="s">
        <v>143</v>
      </c>
      <c r="F121" s="99" t="s">
        <v>145</v>
      </c>
      <c r="G121" s="96">
        <v>0</v>
      </c>
      <c r="H121" s="87" t="s">
        <v>143</v>
      </c>
    </row>
    <row r="122" spans="1:8" ht="14.25" customHeight="1" x14ac:dyDescent="0.2">
      <c r="A122" s="93"/>
      <c r="B122" s="93"/>
      <c r="C122" s="97"/>
      <c r="D122" s="93"/>
      <c r="E122" s="93"/>
      <c r="F122" s="98"/>
      <c r="G122" s="98"/>
      <c r="H122" s="87" t="s">
        <v>143</v>
      </c>
    </row>
    <row r="123" spans="1:8" ht="14.25" customHeight="1" x14ac:dyDescent="0.2">
      <c r="A123" s="93"/>
      <c r="B123" s="93"/>
      <c r="C123" s="94" t="s">
        <v>159</v>
      </c>
      <c r="D123" s="93"/>
      <c r="E123" s="93"/>
      <c r="F123" s="98"/>
      <c r="G123" s="98"/>
      <c r="H123" s="87" t="s">
        <v>143</v>
      </c>
    </row>
    <row r="124" spans="1:8" ht="14.25" customHeight="1" x14ac:dyDescent="0.2">
      <c r="A124" s="93"/>
      <c r="B124" s="93"/>
      <c r="C124" s="94" t="s">
        <v>142</v>
      </c>
      <c r="D124" s="93"/>
      <c r="E124" s="93" t="s">
        <v>143</v>
      </c>
      <c r="F124" s="99" t="s">
        <v>145</v>
      </c>
      <c r="G124" s="96">
        <v>0</v>
      </c>
      <c r="H124" s="87" t="s">
        <v>143</v>
      </c>
    </row>
    <row r="125" spans="1:8" ht="14.25" customHeight="1" x14ac:dyDescent="0.2">
      <c r="A125" s="93"/>
      <c r="B125" s="93"/>
      <c r="C125" s="97"/>
      <c r="D125" s="93"/>
      <c r="E125" s="93"/>
      <c r="F125" s="98"/>
      <c r="G125" s="98"/>
      <c r="H125" s="87" t="s">
        <v>143</v>
      </c>
    </row>
    <row r="126" spans="1:8" ht="14.25" customHeight="1" x14ac:dyDescent="0.2">
      <c r="A126" s="93"/>
      <c r="B126" s="93"/>
      <c r="C126" s="94" t="s">
        <v>160</v>
      </c>
      <c r="D126" s="93"/>
      <c r="E126" s="93"/>
      <c r="F126" s="98"/>
      <c r="G126" s="98"/>
      <c r="H126" s="87" t="s">
        <v>143</v>
      </c>
    </row>
    <row r="127" spans="1:8" ht="14.25" customHeight="1" x14ac:dyDescent="0.2">
      <c r="A127" s="88">
        <v>1</v>
      </c>
      <c r="B127" s="89"/>
      <c r="C127" s="89" t="s">
        <v>161</v>
      </c>
      <c r="D127" s="89"/>
      <c r="E127" s="100"/>
      <c r="F127" s="91">
        <v>39183.754571003999</v>
      </c>
      <c r="G127" s="92">
        <v>3.1344419999999998E-2</v>
      </c>
      <c r="H127" s="87">
        <v>5.38</v>
      </c>
    </row>
    <row r="128" spans="1:8" ht="14.25" customHeight="1" x14ac:dyDescent="0.2">
      <c r="A128" s="93"/>
      <c r="B128" s="93"/>
      <c r="C128" s="94" t="s">
        <v>142</v>
      </c>
      <c r="D128" s="93"/>
      <c r="E128" s="93" t="s">
        <v>143</v>
      </c>
      <c r="F128" s="95">
        <v>39183.754571003999</v>
      </c>
      <c r="G128" s="96">
        <v>3.1344419999999998E-2</v>
      </c>
      <c r="H128" s="87" t="s">
        <v>143</v>
      </c>
    </row>
    <row r="129" spans="1:8" ht="14.25" customHeight="1" x14ac:dyDescent="0.2">
      <c r="A129" s="93"/>
      <c r="B129" s="93"/>
      <c r="C129" s="97"/>
      <c r="D129" s="93"/>
      <c r="E129" s="93"/>
      <c r="F129" s="98"/>
      <c r="G129" s="98"/>
      <c r="H129" s="87" t="s">
        <v>143</v>
      </c>
    </row>
    <row r="130" spans="1:8" ht="14.25" customHeight="1" x14ac:dyDescent="0.2">
      <c r="A130" s="93"/>
      <c r="B130" s="93"/>
      <c r="C130" s="94" t="s">
        <v>162</v>
      </c>
      <c r="D130" s="93"/>
      <c r="E130" s="93"/>
      <c r="F130" s="95">
        <v>39183.754571003999</v>
      </c>
      <c r="G130" s="96">
        <v>3.1344419999999998E-2</v>
      </c>
      <c r="H130" s="87" t="s">
        <v>143</v>
      </c>
    </row>
    <row r="131" spans="1:8" ht="14.25" customHeight="1" x14ac:dyDescent="0.2">
      <c r="A131" s="93"/>
      <c r="B131" s="93"/>
      <c r="C131" s="98"/>
      <c r="D131" s="93"/>
      <c r="E131" s="93"/>
      <c r="F131" s="93"/>
      <c r="G131" s="93"/>
      <c r="H131" s="87" t="s">
        <v>143</v>
      </c>
    </row>
    <row r="132" spans="1:8" ht="14.25" customHeight="1" x14ac:dyDescent="0.2">
      <c r="A132" s="93"/>
      <c r="B132" s="93"/>
      <c r="C132" s="94" t="s">
        <v>163</v>
      </c>
      <c r="D132" s="93"/>
      <c r="E132" s="93"/>
      <c r="F132" s="93"/>
      <c r="G132" s="93"/>
      <c r="H132" s="87" t="s">
        <v>143</v>
      </c>
    </row>
    <row r="133" spans="1:8" ht="14.25" customHeight="1" x14ac:dyDescent="0.2">
      <c r="A133" s="93"/>
      <c r="B133" s="93"/>
      <c r="C133" s="94" t="s">
        <v>164</v>
      </c>
      <c r="D133" s="93"/>
      <c r="E133" s="93"/>
      <c r="F133" s="93"/>
      <c r="G133" s="93"/>
      <c r="H133" s="87" t="s">
        <v>143</v>
      </c>
    </row>
    <row r="134" spans="1:8" ht="14.25" customHeight="1" x14ac:dyDescent="0.2">
      <c r="A134" s="88">
        <v>1</v>
      </c>
      <c r="B134" s="89" t="s">
        <v>319</v>
      </c>
      <c r="C134" s="127" t="s">
        <v>953</v>
      </c>
      <c r="D134" s="89"/>
      <c r="E134" s="126">
        <v>231364.02650000001</v>
      </c>
      <c r="F134" s="91">
        <v>5443.6260551949999</v>
      </c>
      <c r="G134" s="92">
        <v>4.3545399999999996E-3</v>
      </c>
      <c r="H134" s="87" t="s">
        <v>143</v>
      </c>
    </row>
    <row r="135" spans="1:8" ht="14.25" customHeight="1" x14ac:dyDescent="0.2">
      <c r="A135" s="93"/>
      <c r="B135" s="93"/>
      <c r="C135" s="94" t="s">
        <v>142</v>
      </c>
      <c r="D135" s="93"/>
      <c r="E135" s="93" t="s">
        <v>143</v>
      </c>
      <c r="F135" s="95">
        <v>5443.6260551949999</v>
      </c>
      <c r="G135" s="96">
        <v>4.3545399999999996E-3</v>
      </c>
      <c r="H135" s="87" t="s">
        <v>143</v>
      </c>
    </row>
    <row r="136" spans="1:8" ht="14.25" customHeight="1" x14ac:dyDescent="0.2">
      <c r="A136" s="93"/>
      <c r="B136" s="93"/>
      <c r="C136" s="97"/>
      <c r="D136" s="93"/>
      <c r="E136" s="93"/>
      <c r="F136" s="98"/>
      <c r="G136" s="98"/>
      <c r="H136" s="87" t="s">
        <v>143</v>
      </c>
    </row>
    <row r="137" spans="1:8" ht="14.25" customHeight="1" x14ac:dyDescent="0.2">
      <c r="A137" s="93"/>
      <c r="B137" s="93"/>
      <c r="C137" s="94" t="s">
        <v>165</v>
      </c>
      <c r="D137" s="93"/>
      <c r="E137" s="93"/>
      <c r="F137" s="93"/>
      <c r="G137" s="93"/>
      <c r="H137" s="87" t="s">
        <v>143</v>
      </c>
    </row>
    <row r="138" spans="1:8" ht="14.25" customHeight="1" x14ac:dyDescent="0.2">
      <c r="A138" s="93"/>
      <c r="B138" s="93"/>
      <c r="C138" s="94" t="s">
        <v>166</v>
      </c>
      <c r="D138" s="93"/>
      <c r="E138" s="93"/>
      <c r="F138" s="93"/>
      <c r="G138" s="93"/>
      <c r="H138" s="87" t="s">
        <v>143</v>
      </c>
    </row>
    <row r="139" spans="1:8" ht="14.25" customHeight="1" x14ac:dyDescent="0.2">
      <c r="A139" s="93"/>
      <c r="B139" s="93"/>
      <c r="C139" s="94" t="s">
        <v>142</v>
      </c>
      <c r="D139" s="93"/>
      <c r="E139" s="93" t="s">
        <v>143</v>
      </c>
      <c r="F139" s="99" t="s">
        <v>145</v>
      </c>
      <c r="G139" s="96">
        <v>0</v>
      </c>
      <c r="H139" s="87" t="s">
        <v>143</v>
      </c>
    </row>
    <row r="140" spans="1:8" ht="14.25" customHeight="1" x14ac:dyDescent="0.2">
      <c r="A140" s="93"/>
      <c r="B140" s="93"/>
      <c r="C140" s="97"/>
      <c r="D140" s="93"/>
      <c r="E140" s="93"/>
      <c r="F140" s="98"/>
      <c r="G140" s="98"/>
      <c r="H140" s="87" t="s">
        <v>143</v>
      </c>
    </row>
    <row r="141" spans="1:8" ht="14.25" customHeight="1" x14ac:dyDescent="0.2">
      <c r="A141" s="93"/>
      <c r="B141" s="93"/>
      <c r="C141" s="94" t="s">
        <v>167</v>
      </c>
      <c r="D141" s="93"/>
      <c r="E141" s="93"/>
      <c r="F141" s="98"/>
      <c r="G141" s="98"/>
      <c r="H141" s="87" t="s">
        <v>143</v>
      </c>
    </row>
    <row r="142" spans="1:8" ht="14.25" customHeight="1" x14ac:dyDescent="0.2">
      <c r="A142" s="93"/>
      <c r="B142" s="93"/>
      <c r="C142" s="94" t="s">
        <v>142</v>
      </c>
      <c r="D142" s="93"/>
      <c r="E142" s="93" t="s">
        <v>143</v>
      </c>
      <c r="F142" s="99" t="s">
        <v>145</v>
      </c>
      <c r="G142" s="96">
        <v>0</v>
      </c>
      <c r="H142" s="87" t="s">
        <v>143</v>
      </c>
    </row>
    <row r="143" spans="1:8" ht="14.25" customHeight="1" x14ac:dyDescent="0.2">
      <c r="A143" s="93"/>
      <c r="B143" s="89"/>
      <c r="C143" s="89"/>
      <c r="D143" s="94"/>
      <c r="E143" s="93"/>
      <c r="F143" s="89"/>
      <c r="G143" s="100"/>
      <c r="H143" s="87" t="s">
        <v>143</v>
      </c>
    </row>
    <row r="144" spans="1:8" ht="14.25" customHeight="1" x14ac:dyDescent="0.2">
      <c r="A144" s="100"/>
      <c r="B144" s="89"/>
      <c r="C144" s="89" t="s">
        <v>168</v>
      </c>
      <c r="D144" s="89"/>
      <c r="E144" s="100"/>
      <c r="F144" s="91">
        <v>15154.47797109</v>
      </c>
      <c r="G144" s="92">
        <v>1.2122580000000001E-2</v>
      </c>
      <c r="H144" s="87" t="s">
        <v>143</v>
      </c>
    </row>
    <row r="145" spans="1:17" ht="14.25" customHeight="1" x14ac:dyDescent="0.2">
      <c r="A145" s="97"/>
      <c r="B145" s="97"/>
      <c r="C145" s="94" t="s">
        <v>169</v>
      </c>
      <c r="D145" s="98"/>
      <c r="E145" s="98"/>
      <c r="F145" s="95">
        <v>1250103.1475254891</v>
      </c>
      <c r="G145" s="101">
        <v>1.0000000499999999</v>
      </c>
      <c r="H145" s="87" t="s">
        <v>143</v>
      </c>
    </row>
    <row r="146" spans="1:17" ht="12.75" x14ac:dyDescent="0.2">
      <c r="A146" s="102"/>
      <c r="B146" s="102"/>
      <c r="C146" s="102"/>
      <c r="D146" s="103"/>
      <c r="E146" s="103"/>
      <c r="F146" s="103"/>
      <c r="G146" s="103"/>
    </row>
    <row r="147" spans="1:17" ht="12.75" x14ac:dyDescent="0.2">
      <c r="A147" s="104"/>
      <c r="B147" s="206" t="s">
        <v>942</v>
      </c>
      <c r="C147" s="206"/>
      <c r="D147" s="206"/>
      <c r="E147" s="206"/>
      <c r="F147" s="206"/>
      <c r="G147" s="206"/>
      <c r="H147" s="206"/>
      <c r="J147" s="106"/>
    </row>
    <row r="148" spans="1:17" ht="12.75" x14ac:dyDescent="0.2">
      <c r="A148" s="104"/>
      <c r="B148" s="206" t="s">
        <v>943</v>
      </c>
      <c r="C148" s="206"/>
      <c r="D148" s="206"/>
      <c r="E148" s="206"/>
      <c r="F148" s="206"/>
      <c r="G148" s="206"/>
      <c r="H148" s="206"/>
      <c r="J148" s="106"/>
    </row>
    <row r="149" spans="1:17" ht="12.75" x14ac:dyDescent="0.2">
      <c r="A149" s="104"/>
      <c r="B149" s="206" t="s">
        <v>944</v>
      </c>
      <c r="C149" s="206"/>
      <c r="D149" s="206"/>
      <c r="E149" s="206"/>
      <c r="F149" s="206"/>
      <c r="G149" s="206"/>
      <c r="H149" s="206"/>
      <c r="J149" s="106"/>
    </row>
    <row r="150" spans="1:17" s="108" customFormat="1" ht="54" customHeight="1" x14ac:dyDescent="0.25">
      <c r="A150" s="107"/>
      <c r="B150" s="207" t="s">
        <v>945</v>
      </c>
      <c r="C150" s="207"/>
      <c r="D150" s="207"/>
      <c r="E150" s="207"/>
      <c r="F150" s="207"/>
      <c r="G150" s="207"/>
      <c r="H150" s="207"/>
      <c r="I150"/>
      <c r="J150" s="106"/>
      <c r="K150"/>
      <c r="L150"/>
      <c r="M150"/>
      <c r="N150"/>
      <c r="O150"/>
      <c r="P150"/>
      <c r="Q150"/>
    </row>
    <row r="151" spans="1:17" ht="12.75" x14ac:dyDescent="0.2">
      <c r="A151" s="104"/>
      <c r="B151" s="206" t="s">
        <v>946</v>
      </c>
      <c r="C151" s="206"/>
      <c r="D151" s="206"/>
      <c r="E151" s="206"/>
      <c r="F151" s="206"/>
      <c r="G151" s="206"/>
      <c r="H151" s="206"/>
      <c r="J151" s="106"/>
    </row>
    <row r="152" spans="1:17" ht="12.75" x14ac:dyDescent="0.2">
      <c r="A152" s="104"/>
      <c r="B152" s="104"/>
      <c r="C152" s="104"/>
      <c r="D152" s="109"/>
      <c r="E152" s="109"/>
      <c r="F152" s="109"/>
      <c r="G152" s="109"/>
    </row>
    <row r="153" spans="1:17" ht="12.75" x14ac:dyDescent="0.2">
      <c r="A153" s="104"/>
      <c r="B153" s="199" t="s">
        <v>170</v>
      </c>
      <c r="C153" s="200"/>
      <c r="D153" s="201"/>
      <c r="E153" s="110"/>
      <c r="F153" s="109"/>
      <c r="G153" s="109"/>
    </row>
    <row r="154" spans="1:17" ht="27.75" customHeight="1" x14ac:dyDescent="0.2">
      <c r="A154" s="104"/>
      <c r="B154" s="202" t="s">
        <v>171</v>
      </c>
      <c r="C154" s="203"/>
      <c r="D154" s="86" t="s">
        <v>172</v>
      </c>
      <c r="E154" s="110"/>
      <c r="F154" s="109"/>
      <c r="G154" s="109"/>
    </row>
    <row r="155" spans="1:17" ht="12.75" customHeight="1" x14ac:dyDescent="0.2">
      <c r="A155" s="104"/>
      <c r="B155" s="202" t="s">
        <v>947</v>
      </c>
      <c r="C155" s="203"/>
      <c r="D155" s="86" t="str">
        <f>"Rs. "&amp;TEXT(F91,"0.00")&amp;" lacs/ "&amp;IF(ROUND((G91*100),2) = 0,"#",(TEXT((G91*100),"0.00")&amp;"%"))</f>
        <v>Rs. 186.30 lacs/ 0.01%</v>
      </c>
      <c r="E155" s="110"/>
      <c r="F155" s="109"/>
      <c r="G155" s="109"/>
    </row>
    <row r="156" spans="1:17" ht="12.75" x14ac:dyDescent="0.2">
      <c r="A156" s="104"/>
      <c r="B156" s="202" t="s">
        <v>173</v>
      </c>
      <c r="C156" s="203"/>
      <c r="D156" s="111" t="s">
        <v>143</v>
      </c>
      <c r="E156" s="110"/>
      <c r="F156" s="109"/>
      <c r="G156" s="109"/>
    </row>
    <row r="157" spans="1:17" ht="12.75" x14ac:dyDescent="0.2">
      <c r="A157" s="112"/>
      <c r="B157" s="113" t="s">
        <v>143</v>
      </c>
      <c r="C157" s="113" t="s">
        <v>948</v>
      </c>
      <c r="D157" s="113" t="s">
        <v>174</v>
      </c>
      <c r="E157" s="112"/>
      <c r="F157" s="112"/>
      <c r="G157" s="112"/>
      <c r="H157" s="112"/>
      <c r="J157" s="106"/>
    </row>
    <row r="158" spans="1:17" ht="12.75" x14ac:dyDescent="0.2">
      <c r="A158" s="112"/>
      <c r="B158" s="114" t="s">
        <v>175</v>
      </c>
      <c r="C158" s="115">
        <v>45869</v>
      </c>
      <c r="D158" s="115">
        <v>45900</v>
      </c>
      <c r="E158" s="112"/>
      <c r="F158" s="112"/>
      <c r="G158" s="112"/>
      <c r="J158" s="106"/>
    </row>
    <row r="159" spans="1:17" ht="14.25" customHeight="1" x14ac:dyDescent="0.2">
      <c r="A159" s="116"/>
      <c r="B159" s="89" t="s">
        <v>176</v>
      </c>
      <c r="C159" s="117">
        <v>1499.1328000000001</v>
      </c>
      <c r="D159" s="117">
        <v>1486.0450000000001</v>
      </c>
      <c r="E159" s="116"/>
      <c r="F159" s="118"/>
      <c r="G159" s="119"/>
    </row>
    <row r="160" spans="1:17" ht="14.25" customHeight="1" x14ac:dyDescent="0.2">
      <c r="A160" s="116"/>
      <c r="B160" s="89" t="s">
        <v>954</v>
      </c>
      <c r="C160" s="117">
        <v>70.395300000000006</v>
      </c>
      <c r="D160" s="117">
        <v>69.780699999999996</v>
      </c>
      <c r="E160" s="116"/>
      <c r="F160" s="118"/>
      <c r="G160" s="119"/>
    </row>
    <row r="161" spans="1:7" ht="14.25" customHeight="1" x14ac:dyDescent="0.2">
      <c r="A161" s="116"/>
      <c r="B161" s="89" t="s">
        <v>177</v>
      </c>
      <c r="C161" s="117">
        <v>1372.5780999999999</v>
      </c>
      <c r="D161" s="117">
        <v>1359.6478999999999</v>
      </c>
      <c r="E161" s="116"/>
      <c r="F161" s="118"/>
      <c r="G161" s="119"/>
    </row>
    <row r="162" spans="1:7" ht="14.25" customHeight="1" x14ac:dyDescent="0.2">
      <c r="A162" s="116"/>
      <c r="B162" s="89" t="s">
        <v>955</v>
      </c>
      <c r="C162" s="117">
        <v>63.532699999999998</v>
      </c>
      <c r="D162" s="117">
        <v>62.934199999999997</v>
      </c>
      <c r="E162" s="116"/>
      <c r="F162" s="118"/>
      <c r="G162" s="119"/>
    </row>
    <row r="163" spans="1:7" ht="14.25" customHeight="1" x14ac:dyDescent="0.2">
      <c r="A163" s="116"/>
      <c r="B163" s="116"/>
      <c r="C163" s="116"/>
      <c r="D163" s="116"/>
      <c r="E163" s="116"/>
      <c r="F163" s="116"/>
      <c r="G163" s="116"/>
    </row>
    <row r="164" spans="1:7" ht="14.25" customHeight="1" x14ac:dyDescent="0.2">
      <c r="A164" s="116"/>
      <c r="B164" s="208" t="s">
        <v>949</v>
      </c>
      <c r="C164" s="209"/>
      <c r="D164" s="86" t="s">
        <v>172</v>
      </c>
      <c r="E164" s="116"/>
      <c r="F164" s="116"/>
      <c r="G164" s="116"/>
    </row>
    <row r="165" spans="1:7" ht="12.75" x14ac:dyDescent="0.2">
      <c r="A165" s="116"/>
      <c r="B165" s="166"/>
      <c r="C165" s="166"/>
      <c r="D165" s="167"/>
      <c r="E165" s="116"/>
      <c r="F165" s="118"/>
      <c r="G165" s="119"/>
    </row>
    <row r="166" spans="1:7" ht="12.75" x14ac:dyDescent="0.2">
      <c r="A166" s="112"/>
      <c r="B166" s="202" t="s">
        <v>178</v>
      </c>
      <c r="C166" s="203"/>
      <c r="D166" s="86" t="s">
        <v>172</v>
      </c>
      <c r="E166" s="120"/>
      <c r="F166" s="120"/>
      <c r="G166" s="120"/>
    </row>
    <row r="167" spans="1:7" ht="12.75" x14ac:dyDescent="0.2">
      <c r="A167" s="112"/>
      <c r="B167" s="202" t="s">
        <v>179</v>
      </c>
      <c r="C167" s="203"/>
      <c r="D167" s="86" t="s">
        <v>172</v>
      </c>
      <c r="E167" s="112"/>
      <c r="F167" s="112"/>
      <c r="G167" s="112"/>
    </row>
    <row r="168" spans="1:7" ht="12.75" x14ac:dyDescent="0.2">
      <c r="A168" s="112"/>
      <c r="B168" s="202" t="s">
        <v>180</v>
      </c>
      <c r="C168" s="203"/>
      <c r="D168" s="86" t="s">
        <v>172</v>
      </c>
      <c r="E168" s="121"/>
      <c r="F168" s="112"/>
      <c r="G168" s="112"/>
    </row>
    <row r="169" spans="1:7" ht="12.75" x14ac:dyDescent="0.2">
      <c r="A169" s="112"/>
      <c r="B169" s="202" t="s">
        <v>181</v>
      </c>
      <c r="C169" s="203"/>
      <c r="D169" s="122">
        <v>0.56255971111220526</v>
      </c>
      <c r="E169" s="121"/>
      <c r="F169" s="112"/>
      <c r="G169" s="112"/>
    </row>
    <row r="170" spans="1:7" ht="12.75" x14ac:dyDescent="0.2"/>
    <row r="171" spans="1:7" ht="12.75" x14ac:dyDescent="0.2">
      <c r="B171" s="204" t="s">
        <v>950</v>
      </c>
      <c r="C171" s="204"/>
    </row>
    <row r="172" spans="1:7" ht="12.75" x14ac:dyDescent="0.2"/>
    <row r="173" spans="1:7" ht="153.75" customHeight="1" x14ac:dyDescent="0.2">
      <c r="B173" s="124"/>
      <c r="C173" s="125"/>
      <c r="D173" s="124"/>
    </row>
    <row r="174" spans="1:7" ht="12.75" x14ac:dyDescent="0.2">
      <c r="B174" s="124"/>
      <c r="D174" s="124"/>
    </row>
    <row r="175" spans="1:7" ht="12.75" x14ac:dyDescent="0.2">
      <c r="B175" s="124" t="s">
        <v>951</v>
      </c>
      <c r="C175" s="125"/>
      <c r="D175" s="124" t="s">
        <v>956</v>
      </c>
    </row>
    <row r="176" spans="1:7" ht="12.75" x14ac:dyDescent="0.2">
      <c r="B176" s="124" t="s">
        <v>957</v>
      </c>
      <c r="D176" s="124" t="s">
        <v>958</v>
      </c>
    </row>
    <row r="177" customFormat="1" ht="12.75" x14ac:dyDescent="0.2"/>
    <row r="178" customFormat="1" ht="12.75" x14ac:dyDescent="0.2"/>
    <row r="179" customFormat="1" ht="12.75" x14ac:dyDescent="0.2"/>
    <row r="180" customFormat="1" ht="12.75" x14ac:dyDescent="0.2"/>
    <row r="181" customFormat="1" ht="12.75" x14ac:dyDescent="0.2"/>
    <row r="182" customFormat="1" ht="12.75" x14ac:dyDescent="0.2"/>
    <row r="183" customFormat="1" ht="12.75" x14ac:dyDescent="0.2"/>
    <row r="184" customFormat="1" ht="12.75" x14ac:dyDescent="0.2"/>
    <row r="185" customFormat="1" ht="12.75" x14ac:dyDescent="0.2"/>
    <row r="186" customFormat="1" ht="12.75" x14ac:dyDescent="0.2"/>
    <row r="187" customFormat="1" ht="12.75" x14ac:dyDescent="0.2"/>
    <row r="188" customFormat="1" ht="12.75" x14ac:dyDescent="0.2"/>
    <row r="189" customFormat="1" ht="12.75" x14ac:dyDescent="0.2"/>
    <row r="190" customFormat="1" ht="12.75" x14ac:dyDescent="0.2"/>
    <row r="191" customFormat="1" ht="12.75" x14ac:dyDescent="0.2"/>
    <row r="192" customFormat="1" ht="12.75" x14ac:dyDescent="0.2"/>
    <row r="193" customFormat="1" ht="12.75" x14ac:dyDescent="0.2"/>
    <row r="194" customFormat="1" ht="12.75" x14ac:dyDescent="0.2"/>
    <row r="195" customFormat="1" ht="12.75" x14ac:dyDescent="0.2"/>
    <row r="196" customFormat="1" ht="12.75" x14ac:dyDescent="0.2"/>
    <row r="197" customFormat="1" ht="12.75" x14ac:dyDescent="0.2"/>
    <row r="198" customFormat="1" ht="12.75" x14ac:dyDescent="0.2"/>
    <row r="199" customFormat="1" ht="12.75" x14ac:dyDescent="0.2"/>
    <row r="200" customFormat="1" ht="12.75" x14ac:dyDescent="0.2"/>
  </sheetData>
  <mergeCells count="18">
    <mergeCell ref="A1:H1"/>
    <mergeCell ref="A2:H2"/>
    <mergeCell ref="A3:H3"/>
    <mergeCell ref="B164:C164"/>
    <mergeCell ref="B147:H147"/>
    <mergeCell ref="B148:H148"/>
    <mergeCell ref="B149:H149"/>
    <mergeCell ref="B150:H150"/>
    <mergeCell ref="B151:H151"/>
    <mergeCell ref="B153:D153"/>
    <mergeCell ref="B154:C154"/>
    <mergeCell ref="B171:C171"/>
    <mergeCell ref="B155:C155"/>
    <mergeCell ref="B156:C156"/>
    <mergeCell ref="B168:C168"/>
    <mergeCell ref="B169:C169"/>
    <mergeCell ref="B167:C167"/>
    <mergeCell ref="B166:C166"/>
  </mergeCells>
  <hyperlinks>
    <hyperlink ref="I1" location="Index!B2" display="Index" xr:uid="{C1A710EB-9458-47D6-AFDB-C93596097FFF}"/>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8C2D9-DCE7-4648-87EB-028FB249D39A}">
  <sheetPr>
    <outlinePr summaryBelow="0" summaryRight="0"/>
  </sheetPr>
  <dimension ref="A1:Q195"/>
  <sheetViews>
    <sheetView showGridLines="0" workbookViewId="0">
      <selection sqref="A1:H1"/>
    </sheetView>
  </sheetViews>
  <sheetFormatPr defaultRowHeight="14.25" customHeight="1" x14ac:dyDescent="0.2"/>
  <cols>
    <col min="1" max="1" width="5.85546875" bestFit="1" customWidth="1"/>
    <col min="2" max="2" width="20.28515625" customWidth="1"/>
    <col min="3" max="3" width="44.5703125" bestFit="1" customWidth="1"/>
    <col min="4" max="4" width="29.28515625" bestFit="1" customWidth="1"/>
    <col min="5" max="5" width="11.4257812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320</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321</v>
      </c>
      <c r="C7" s="89" t="s">
        <v>322</v>
      </c>
      <c r="D7" s="89" t="s">
        <v>33</v>
      </c>
      <c r="E7" s="90">
        <v>3800000</v>
      </c>
      <c r="F7" s="91">
        <v>36160.800000000003</v>
      </c>
      <c r="G7" s="92">
        <v>5.4371320000000001E-2</v>
      </c>
      <c r="H7" s="87" t="s">
        <v>143</v>
      </c>
    </row>
    <row r="8" spans="1:9" ht="14.25" customHeight="1" x14ac:dyDescent="0.2">
      <c r="A8" s="88">
        <v>2</v>
      </c>
      <c r="B8" s="89" t="s">
        <v>17</v>
      </c>
      <c r="C8" s="89" t="s">
        <v>18</v>
      </c>
      <c r="D8" s="89" t="s">
        <v>19</v>
      </c>
      <c r="E8" s="90">
        <v>2010000</v>
      </c>
      <c r="F8" s="91">
        <v>27279.72</v>
      </c>
      <c r="G8" s="92">
        <v>4.1017739999999997E-2</v>
      </c>
      <c r="H8" s="87" t="s">
        <v>143</v>
      </c>
    </row>
    <row r="9" spans="1:9" ht="14.25" customHeight="1" x14ac:dyDescent="0.2">
      <c r="A9" s="88">
        <v>3</v>
      </c>
      <c r="B9" s="89" t="s">
        <v>31</v>
      </c>
      <c r="C9" s="89" t="s">
        <v>32</v>
      </c>
      <c r="D9" s="89" t="s">
        <v>33</v>
      </c>
      <c r="E9" s="90">
        <v>1800000</v>
      </c>
      <c r="F9" s="91">
        <v>25160.400000000001</v>
      </c>
      <c r="G9" s="92">
        <v>3.7831139999999999E-2</v>
      </c>
      <c r="H9" s="87" t="s">
        <v>143</v>
      </c>
    </row>
    <row r="10" spans="1:9" ht="14.25" customHeight="1" x14ac:dyDescent="0.2">
      <c r="A10" s="88">
        <v>4</v>
      </c>
      <c r="B10" s="89" t="s">
        <v>49</v>
      </c>
      <c r="C10" s="89" t="s">
        <v>50</v>
      </c>
      <c r="D10" s="89" t="s">
        <v>33</v>
      </c>
      <c r="E10" s="90">
        <v>2375000</v>
      </c>
      <c r="F10" s="91">
        <v>19059.375</v>
      </c>
      <c r="G10" s="92">
        <v>2.865765E-2</v>
      </c>
      <c r="H10" s="87" t="s">
        <v>143</v>
      </c>
    </row>
    <row r="11" spans="1:9" ht="14.25" customHeight="1" x14ac:dyDescent="0.2">
      <c r="A11" s="88">
        <v>5</v>
      </c>
      <c r="B11" s="89" t="s">
        <v>11</v>
      </c>
      <c r="C11" s="89" t="s">
        <v>12</v>
      </c>
      <c r="D11" s="89" t="s">
        <v>13</v>
      </c>
      <c r="E11" s="90">
        <v>900000</v>
      </c>
      <c r="F11" s="91">
        <v>16999.2</v>
      </c>
      <c r="G11" s="92">
        <v>2.5559970000000001E-2</v>
      </c>
      <c r="H11" s="87" t="s">
        <v>143</v>
      </c>
    </row>
    <row r="12" spans="1:9" ht="14.25" customHeight="1" x14ac:dyDescent="0.2">
      <c r="A12" s="88">
        <v>6</v>
      </c>
      <c r="B12" s="89" t="s">
        <v>252</v>
      </c>
      <c r="C12" s="89" t="s">
        <v>253</v>
      </c>
      <c r="D12" s="89" t="s">
        <v>43</v>
      </c>
      <c r="E12" s="90">
        <v>1150000</v>
      </c>
      <c r="F12" s="91">
        <v>14708.5</v>
      </c>
      <c r="G12" s="92">
        <v>2.2115679999999999E-2</v>
      </c>
      <c r="H12" s="87" t="s">
        <v>143</v>
      </c>
    </row>
    <row r="13" spans="1:9" ht="14.25" customHeight="1" x14ac:dyDescent="0.2">
      <c r="A13" s="88">
        <v>7</v>
      </c>
      <c r="B13" s="89" t="s">
        <v>44</v>
      </c>
      <c r="C13" s="89" t="s">
        <v>45</v>
      </c>
      <c r="D13" s="89" t="s">
        <v>46</v>
      </c>
      <c r="E13" s="90">
        <v>200000</v>
      </c>
      <c r="F13" s="91">
        <v>14535</v>
      </c>
      <c r="G13" s="92">
        <v>2.1854800000000001E-2</v>
      </c>
      <c r="H13" s="87" t="s">
        <v>143</v>
      </c>
    </row>
    <row r="14" spans="1:9" ht="14.25" customHeight="1" x14ac:dyDescent="0.2">
      <c r="A14" s="88">
        <v>8</v>
      </c>
      <c r="B14" s="89" t="s">
        <v>323</v>
      </c>
      <c r="C14" s="89" t="s">
        <v>324</v>
      </c>
      <c r="D14" s="89" t="s">
        <v>33</v>
      </c>
      <c r="E14" s="90">
        <v>700000</v>
      </c>
      <c r="F14" s="91">
        <v>13722.1</v>
      </c>
      <c r="G14" s="92">
        <v>2.063253E-2</v>
      </c>
      <c r="H14" s="87" t="s">
        <v>143</v>
      </c>
    </row>
    <row r="15" spans="1:9" ht="14.25" customHeight="1" x14ac:dyDescent="0.2">
      <c r="A15" s="88">
        <v>9</v>
      </c>
      <c r="B15" s="89" t="s">
        <v>325</v>
      </c>
      <c r="C15" s="89" t="s">
        <v>326</v>
      </c>
      <c r="D15" s="89" t="s">
        <v>199</v>
      </c>
      <c r="E15" s="90">
        <v>900000</v>
      </c>
      <c r="F15" s="91">
        <v>13226.4</v>
      </c>
      <c r="G15" s="92">
        <v>1.9887189999999999E-2</v>
      </c>
      <c r="H15" s="87" t="s">
        <v>143</v>
      </c>
    </row>
    <row r="16" spans="1:9" ht="14.25" customHeight="1" x14ac:dyDescent="0.2">
      <c r="A16" s="88">
        <v>10</v>
      </c>
      <c r="B16" s="89" t="s">
        <v>327</v>
      </c>
      <c r="C16" s="89" t="s">
        <v>328</v>
      </c>
      <c r="D16" s="89" t="s">
        <v>33</v>
      </c>
      <c r="E16" s="90">
        <v>1250000</v>
      </c>
      <c r="F16" s="91">
        <v>13065</v>
      </c>
      <c r="G16" s="92">
        <v>1.964451E-2</v>
      </c>
      <c r="H16" s="87" t="s">
        <v>143</v>
      </c>
    </row>
    <row r="17" spans="1:8" ht="14.25" customHeight="1" x14ac:dyDescent="0.2">
      <c r="A17" s="88">
        <v>11</v>
      </c>
      <c r="B17" s="89" t="s">
        <v>14</v>
      </c>
      <c r="C17" s="89" t="s">
        <v>15</v>
      </c>
      <c r="D17" s="89" t="s">
        <v>16</v>
      </c>
      <c r="E17" s="90">
        <v>350000</v>
      </c>
      <c r="F17" s="91">
        <v>12603.5</v>
      </c>
      <c r="G17" s="92">
        <v>1.8950600000000001E-2</v>
      </c>
      <c r="H17" s="87" t="s">
        <v>143</v>
      </c>
    </row>
    <row r="18" spans="1:8" ht="14.25" customHeight="1" x14ac:dyDescent="0.2">
      <c r="A18" s="88">
        <v>12</v>
      </c>
      <c r="B18" s="89" t="s">
        <v>71</v>
      </c>
      <c r="C18" s="89" t="s">
        <v>72</v>
      </c>
      <c r="D18" s="89" t="s">
        <v>68</v>
      </c>
      <c r="E18" s="90">
        <v>325000</v>
      </c>
      <c r="F18" s="91">
        <v>12435.15</v>
      </c>
      <c r="G18" s="92">
        <v>1.8697470000000001E-2</v>
      </c>
      <c r="H18" s="87" t="s">
        <v>143</v>
      </c>
    </row>
    <row r="19" spans="1:8" ht="14.25" customHeight="1" x14ac:dyDescent="0.2">
      <c r="A19" s="88">
        <v>13</v>
      </c>
      <c r="B19" s="89" t="s">
        <v>202</v>
      </c>
      <c r="C19" s="89" t="s">
        <v>203</v>
      </c>
      <c r="D19" s="89" t="s">
        <v>204</v>
      </c>
      <c r="E19" s="90">
        <v>1700000</v>
      </c>
      <c r="F19" s="91">
        <v>12339.45</v>
      </c>
      <c r="G19" s="92">
        <v>1.855358E-2</v>
      </c>
      <c r="H19" s="87" t="s">
        <v>143</v>
      </c>
    </row>
    <row r="20" spans="1:8" ht="14.25" customHeight="1" x14ac:dyDescent="0.2">
      <c r="A20" s="88">
        <v>14</v>
      </c>
      <c r="B20" s="89" t="s">
        <v>246</v>
      </c>
      <c r="C20" s="89" t="s">
        <v>247</v>
      </c>
      <c r="D20" s="89" t="s">
        <v>194</v>
      </c>
      <c r="E20" s="90">
        <v>232400</v>
      </c>
      <c r="F20" s="91">
        <v>12325.334000000001</v>
      </c>
      <c r="G20" s="92">
        <v>1.853235E-2</v>
      </c>
      <c r="H20" s="87" t="s">
        <v>143</v>
      </c>
    </row>
    <row r="21" spans="1:8" ht="14.25" customHeight="1" x14ac:dyDescent="0.2">
      <c r="A21" s="88">
        <v>15</v>
      </c>
      <c r="B21" s="89" t="s">
        <v>205</v>
      </c>
      <c r="C21" s="89" t="s">
        <v>206</v>
      </c>
      <c r="D21" s="89" t="s">
        <v>207</v>
      </c>
      <c r="E21" s="90">
        <v>1925000</v>
      </c>
      <c r="F21" s="91">
        <v>12084.1875</v>
      </c>
      <c r="G21" s="92">
        <v>1.8169769999999998E-2</v>
      </c>
      <c r="H21" s="87" t="s">
        <v>143</v>
      </c>
    </row>
    <row r="22" spans="1:8" ht="14.25" customHeight="1" x14ac:dyDescent="0.2">
      <c r="A22" s="88">
        <v>16</v>
      </c>
      <c r="B22" s="89" t="s">
        <v>186</v>
      </c>
      <c r="C22" s="89" t="s">
        <v>187</v>
      </c>
      <c r="D22" s="89" t="s">
        <v>188</v>
      </c>
      <c r="E22" s="90">
        <v>1300000</v>
      </c>
      <c r="F22" s="91">
        <v>11849.5</v>
      </c>
      <c r="G22" s="92">
        <v>1.7816889999999998E-2</v>
      </c>
      <c r="H22" s="87" t="s">
        <v>143</v>
      </c>
    </row>
    <row r="23" spans="1:8" ht="14.25" customHeight="1" x14ac:dyDescent="0.2">
      <c r="A23" s="88">
        <v>17</v>
      </c>
      <c r="B23" s="89" t="s">
        <v>23</v>
      </c>
      <c r="C23" s="89" t="s">
        <v>24</v>
      </c>
      <c r="D23" s="89" t="s">
        <v>25</v>
      </c>
      <c r="E23" s="90">
        <v>92500</v>
      </c>
      <c r="F23" s="91">
        <v>11692</v>
      </c>
      <c r="G23" s="92">
        <v>1.758007E-2</v>
      </c>
      <c r="H23" s="87" t="s">
        <v>143</v>
      </c>
    </row>
    <row r="24" spans="1:8" ht="14.25" customHeight="1" x14ac:dyDescent="0.2">
      <c r="A24" s="88">
        <v>18</v>
      </c>
      <c r="B24" s="89" t="s">
        <v>54</v>
      </c>
      <c r="C24" s="89" t="s">
        <v>55</v>
      </c>
      <c r="D24" s="89" t="s">
        <v>25</v>
      </c>
      <c r="E24" s="90">
        <v>165000</v>
      </c>
      <c r="F24" s="91">
        <v>11461.725</v>
      </c>
      <c r="G24" s="92">
        <v>1.7233829999999999E-2</v>
      </c>
      <c r="H24" s="87" t="s">
        <v>143</v>
      </c>
    </row>
    <row r="25" spans="1:8" ht="14.25" customHeight="1" x14ac:dyDescent="0.2">
      <c r="A25" s="88">
        <v>19</v>
      </c>
      <c r="B25" s="89" t="s">
        <v>269</v>
      </c>
      <c r="C25" s="89" t="s">
        <v>270</v>
      </c>
      <c r="D25" s="89" t="s">
        <v>77</v>
      </c>
      <c r="E25" s="90">
        <v>690000</v>
      </c>
      <c r="F25" s="91">
        <v>10776.42</v>
      </c>
      <c r="G25" s="92">
        <v>1.6203410000000001E-2</v>
      </c>
      <c r="H25" s="87" t="s">
        <v>143</v>
      </c>
    </row>
    <row r="26" spans="1:8" ht="14.25" customHeight="1" x14ac:dyDescent="0.2">
      <c r="A26" s="88">
        <v>20</v>
      </c>
      <c r="B26" s="89" t="s">
        <v>237</v>
      </c>
      <c r="C26" s="89" t="s">
        <v>238</v>
      </c>
      <c r="D26" s="89" t="s">
        <v>188</v>
      </c>
      <c r="E26" s="90">
        <v>320000</v>
      </c>
      <c r="F26" s="91">
        <v>10588.48</v>
      </c>
      <c r="G26" s="92">
        <v>1.5920819999999999E-2</v>
      </c>
      <c r="H26" s="87" t="s">
        <v>143</v>
      </c>
    </row>
    <row r="27" spans="1:8" ht="14.25" customHeight="1" x14ac:dyDescent="0.2">
      <c r="A27" s="88">
        <v>21</v>
      </c>
      <c r="B27" s="89" t="s">
        <v>81</v>
      </c>
      <c r="C27" s="89" t="s">
        <v>82</v>
      </c>
      <c r="D27" s="89" t="s">
        <v>13</v>
      </c>
      <c r="E27" s="90">
        <v>575000</v>
      </c>
      <c r="F27" s="91">
        <v>10200.5</v>
      </c>
      <c r="G27" s="92">
        <v>1.5337460000000001E-2</v>
      </c>
      <c r="H27" s="87" t="s">
        <v>143</v>
      </c>
    </row>
    <row r="28" spans="1:8" ht="14.25" customHeight="1" x14ac:dyDescent="0.2">
      <c r="A28" s="88">
        <v>22</v>
      </c>
      <c r="B28" s="89" t="s">
        <v>189</v>
      </c>
      <c r="C28" s="89" t="s">
        <v>190</v>
      </c>
      <c r="D28" s="89" t="s">
        <v>191</v>
      </c>
      <c r="E28" s="90">
        <v>4000000</v>
      </c>
      <c r="F28" s="91">
        <v>10158</v>
      </c>
      <c r="G28" s="92">
        <v>1.527355E-2</v>
      </c>
      <c r="H28" s="87" t="s">
        <v>143</v>
      </c>
    </row>
    <row r="29" spans="1:8" ht="14.25" customHeight="1" x14ac:dyDescent="0.2">
      <c r="A29" s="88">
        <v>23</v>
      </c>
      <c r="B29" s="89" t="s">
        <v>136</v>
      </c>
      <c r="C29" s="89" t="s">
        <v>137</v>
      </c>
      <c r="D29" s="89" t="s">
        <v>138</v>
      </c>
      <c r="E29" s="90">
        <v>1053125</v>
      </c>
      <c r="F29" s="91">
        <v>9960.4562499999993</v>
      </c>
      <c r="G29" s="92">
        <v>1.497653E-2</v>
      </c>
      <c r="H29" s="87" t="s">
        <v>143</v>
      </c>
    </row>
    <row r="30" spans="1:8" ht="14.25" customHeight="1" x14ac:dyDescent="0.2">
      <c r="A30" s="88">
        <v>24</v>
      </c>
      <c r="B30" s="89" t="s">
        <v>329</v>
      </c>
      <c r="C30" s="89" t="s">
        <v>330</v>
      </c>
      <c r="D30" s="89" t="s">
        <v>191</v>
      </c>
      <c r="E30" s="90">
        <v>1100000</v>
      </c>
      <c r="F30" s="91">
        <v>9656.35</v>
      </c>
      <c r="G30" s="92">
        <v>1.4519270000000001E-2</v>
      </c>
      <c r="H30" s="87" t="s">
        <v>143</v>
      </c>
    </row>
    <row r="31" spans="1:8" ht="14.25" customHeight="1" x14ac:dyDescent="0.2">
      <c r="A31" s="88">
        <v>25</v>
      </c>
      <c r="B31" s="89" t="s">
        <v>331</v>
      </c>
      <c r="C31" s="89" t="s">
        <v>332</v>
      </c>
      <c r="D31" s="89" t="s">
        <v>243</v>
      </c>
      <c r="E31" s="90">
        <v>300000</v>
      </c>
      <c r="F31" s="91">
        <v>9598.5</v>
      </c>
      <c r="G31" s="92">
        <v>1.443229E-2</v>
      </c>
      <c r="H31" s="87" t="s">
        <v>143</v>
      </c>
    </row>
    <row r="32" spans="1:8" ht="14.25" customHeight="1" x14ac:dyDescent="0.2">
      <c r="A32" s="88">
        <v>26</v>
      </c>
      <c r="B32" s="89" t="s">
        <v>333</v>
      </c>
      <c r="C32" s="89" t="s">
        <v>334</v>
      </c>
      <c r="D32" s="89" t="s">
        <v>33</v>
      </c>
      <c r="E32" s="90">
        <v>4100000</v>
      </c>
      <c r="F32" s="91">
        <v>9546.0300000000007</v>
      </c>
      <c r="G32" s="92">
        <v>1.4353400000000001E-2</v>
      </c>
      <c r="H32" s="87" t="s">
        <v>143</v>
      </c>
    </row>
    <row r="33" spans="1:8" ht="14.25" customHeight="1" x14ac:dyDescent="0.2">
      <c r="A33" s="88">
        <v>27</v>
      </c>
      <c r="B33" s="89" t="s">
        <v>230</v>
      </c>
      <c r="C33" s="89" t="s">
        <v>231</v>
      </c>
      <c r="D33" s="89" t="s">
        <v>232</v>
      </c>
      <c r="E33" s="90">
        <v>500000</v>
      </c>
      <c r="F33" s="91">
        <v>9250.5</v>
      </c>
      <c r="G33" s="92">
        <v>1.3909039999999999E-2</v>
      </c>
      <c r="H33" s="87" t="s">
        <v>143</v>
      </c>
    </row>
    <row r="34" spans="1:8" ht="14.25" customHeight="1" x14ac:dyDescent="0.2">
      <c r="A34" s="88">
        <v>28</v>
      </c>
      <c r="B34" s="89" t="s">
        <v>259</v>
      </c>
      <c r="C34" s="89" t="s">
        <v>260</v>
      </c>
      <c r="D34" s="89" t="s">
        <v>194</v>
      </c>
      <c r="E34" s="90">
        <v>369994</v>
      </c>
      <c r="F34" s="91">
        <v>9144.0317159999995</v>
      </c>
      <c r="G34" s="92">
        <v>1.3748949999999999E-2</v>
      </c>
      <c r="H34" s="87" t="s">
        <v>143</v>
      </c>
    </row>
    <row r="35" spans="1:8" ht="14.25" customHeight="1" x14ac:dyDescent="0.2">
      <c r="A35" s="88">
        <v>29</v>
      </c>
      <c r="B35" s="89" t="s">
        <v>335</v>
      </c>
      <c r="C35" s="89" t="s">
        <v>336</v>
      </c>
      <c r="D35" s="89" t="s">
        <v>25</v>
      </c>
      <c r="E35" s="90">
        <v>320000</v>
      </c>
      <c r="F35" s="91">
        <v>8881.92</v>
      </c>
      <c r="G35" s="92">
        <v>1.335484E-2</v>
      </c>
      <c r="H35" s="87" t="s">
        <v>143</v>
      </c>
    </row>
    <row r="36" spans="1:8" ht="14.25" customHeight="1" x14ac:dyDescent="0.2">
      <c r="A36" s="88">
        <v>30</v>
      </c>
      <c r="B36" s="89" t="s">
        <v>228</v>
      </c>
      <c r="C36" s="89" t="s">
        <v>229</v>
      </c>
      <c r="D36" s="89" t="s">
        <v>68</v>
      </c>
      <c r="E36" s="90">
        <v>125000</v>
      </c>
      <c r="F36" s="91">
        <v>8863.75</v>
      </c>
      <c r="G36" s="92">
        <v>1.3327520000000001E-2</v>
      </c>
      <c r="H36" s="87" t="s">
        <v>143</v>
      </c>
    </row>
    <row r="37" spans="1:8" ht="14.25" customHeight="1" x14ac:dyDescent="0.2">
      <c r="A37" s="88">
        <v>31</v>
      </c>
      <c r="B37" s="89" t="s">
        <v>273</v>
      </c>
      <c r="C37" s="89" t="s">
        <v>274</v>
      </c>
      <c r="D37" s="89" t="s">
        <v>275</v>
      </c>
      <c r="E37" s="90">
        <v>3806234</v>
      </c>
      <c r="F37" s="91">
        <v>8760.0475509999997</v>
      </c>
      <c r="G37" s="92">
        <v>1.317159E-2</v>
      </c>
      <c r="H37" s="87" t="s">
        <v>143</v>
      </c>
    </row>
    <row r="38" spans="1:8" ht="14.25" customHeight="1" x14ac:dyDescent="0.2">
      <c r="A38" s="88">
        <v>32</v>
      </c>
      <c r="B38" s="89" t="s">
        <v>337</v>
      </c>
      <c r="C38" s="89" t="s">
        <v>338</v>
      </c>
      <c r="D38" s="89" t="s">
        <v>28</v>
      </c>
      <c r="E38" s="90">
        <v>200000</v>
      </c>
      <c r="F38" s="91">
        <v>8665.2000000000007</v>
      </c>
      <c r="G38" s="92">
        <v>1.3028980000000001E-2</v>
      </c>
      <c r="H38" s="87" t="s">
        <v>143</v>
      </c>
    </row>
    <row r="39" spans="1:8" ht="14.25" customHeight="1" x14ac:dyDescent="0.2">
      <c r="A39" s="88">
        <v>33</v>
      </c>
      <c r="B39" s="89" t="s">
        <v>214</v>
      </c>
      <c r="C39" s="89" t="s">
        <v>215</v>
      </c>
      <c r="D39" s="89" t="s">
        <v>19</v>
      </c>
      <c r="E39" s="90">
        <v>2302328</v>
      </c>
      <c r="F39" s="91">
        <v>8654.4509519999992</v>
      </c>
      <c r="G39" s="92">
        <v>1.301282E-2</v>
      </c>
      <c r="H39" s="87" t="s">
        <v>143</v>
      </c>
    </row>
    <row r="40" spans="1:8" ht="14.25" customHeight="1" x14ac:dyDescent="0.2">
      <c r="A40" s="88">
        <v>34</v>
      </c>
      <c r="B40" s="89" t="s">
        <v>192</v>
      </c>
      <c r="C40" s="89" t="s">
        <v>193</v>
      </c>
      <c r="D40" s="89" t="s">
        <v>194</v>
      </c>
      <c r="E40" s="90">
        <v>450000</v>
      </c>
      <c r="F40" s="91">
        <v>8527.0499999999993</v>
      </c>
      <c r="G40" s="92">
        <v>1.2821259999999999E-2</v>
      </c>
      <c r="H40" s="87" t="s">
        <v>143</v>
      </c>
    </row>
    <row r="41" spans="1:8" ht="14.25" customHeight="1" x14ac:dyDescent="0.2">
      <c r="A41" s="88">
        <v>35</v>
      </c>
      <c r="B41" s="89" t="s">
        <v>212</v>
      </c>
      <c r="C41" s="89" t="s">
        <v>213</v>
      </c>
      <c r="D41" s="89" t="s">
        <v>33</v>
      </c>
      <c r="E41" s="90">
        <v>4443625</v>
      </c>
      <c r="F41" s="91">
        <v>8518.8734874999991</v>
      </c>
      <c r="G41" s="92">
        <v>1.2808959999999999E-2</v>
      </c>
      <c r="H41" s="87" t="s">
        <v>143</v>
      </c>
    </row>
    <row r="42" spans="1:8" ht="14.25" customHeight="1" x14ac:dyDescent="0.2">
      <c r="A42" s="88">
        <v>36</v>
      </c>
      <c r="B42" s="89" t="s">
        <v>339</v>
      </c>
      <c r="C42" s="89" t="s">
        <v>340</v>
      </c>
      <c r="D42" s="89" t="s">
        <v>223</v>
      </c>
      <c r="E42" s="90">
        <v>115000</v>
      </c>
      <c r="F42" s="91">
        <v>8498.5</v>
      </c>
      <c r="G42" s="92">
        <v>1.2778329999999999E-2</v>
      </c>
      <c r="H42" s="87" t="s">
        <v>143</v>
      </c>
    </row>
    <row r="43" spans="1:8" ht="14.25" customHeight="1" x14ac:dyDescent="0.2">
      <c r="A43" s="88">
        <v>37</v>
      </c>
      <c r="B43" s="89" t="s">
        <v>261</v>
      </c>
      <c r="C43" s="89" t="s">
        <v>262</v>
      </c>
      <c r="D43" s="89" t="s">
        <v>263</v>
      </c>
      <c r="E43" s="90">
        <v>521344</v>
      </c>
      <c r="F43" s="91">
        <v>8352.9735679999994</v>
      </c>
      <c r="G43" s="92">
        <v>1.2559519999999999E-2</v>
      </c>
      <c r="H43" s="87" t="s">
        <v>143</v>
      </c>
    </row>
    <row r="44" spans="1:8" ht="14.25" customHeight="1" x14ac:dyDescent="0.2">
      <c r="A44" s="88">
        <v>38</v>
      </c>
      <c r="B44" s="89" t="s">
        <v>289</v>
      </c>
      <c r="C44" s="89" t="s">
        <v>290</v>
      </c>
      <c r="D44" s="89" t="s">
        <v>185</v>
      </c>
      <c r="E44" s="90">
        <v>225000</v>
      </c>
      <c r="F44" s="91">
        <v>8313.2999999999993</v>
      </c>
      <c r="G44" s="92">
        <v>1.249986E-2</v>
      </c>
      <c r="H44" s="87" t="s">
        <v>143</v>
      </c>
    </row>
    <row r="45" spans="1:8" ht="14.25" customHeight="1" x14ac:dyDescent="0.2">
      <c r="A45" s="88">
        <v>39</v>
      </c>
      <c r="B45" s="89" t="s">
        <v>341</v>
      </c>
      <c r="C45" s="89" t="s">
        <v>342</v>
      </c>
      <c r="D45" s="89" t="s">
        <v>256</v>
      </c>
      <c r="E45" s="90">
        <v>430000</v>
      </c>
      <c r="F45" s="91">
        <v>8202.68</v>
      </c>
      <c r="G45" s="92">
        <v>1.233354E-2</v>
      </c>
      <c r="H45" s="87" t="s">
        <v>143</v>
      </c>
    </row>
    <row r="46" spans="1:8" ht="14.25" customHeight="1" x14ac:dyDescent="0.2">
      <c r="A46" s="88">
        <v>40</v>
      </c>
      <c r="B46" s="89" t="s">
        <v>197</v>
      </c>
      <c r="C46" s="89" t="s">
        <v>198</v>
      </c>
      <c r="D46" s="89" t="s">
        <v>199</v>
      </c>
      <c r="E46" s="90">
        <v>150000</v>
      </c>
      <c r="F46" s="91">
        <v>7958.25</v>
      </c>
      <c r="G46" s="92">
        <v>1.1966009999999999E-2</v>
      </c>
      <c r="H46" s="87" t="s">
        <v>143</v>
      </c>
    </row>
    <row r="47" spans="1:8" ht="14.25" customHeight="1" x14ac:dyDescent="0.2">
      <c r="A47" s="88">
        <v>41</v>
      </c>
      <c r="B47" s="89" t="s">
        <v>343</v>
      </c>
      <c r="C47" s="89" t="s">
        <v>344</v>
      </c>
      <c r="D47" s="89" t="s">
        <v>275</v>
      </c>
      <c r="E47" s="90">
        <v>2500000</v>
      </c>
      <c r="F47" s="91">
        <v>7848.75</v>
      </c>
      <c r="G47" s="92">
        <v>1.180137E-2</v>
      </c>
      <c r="H47" s="87" t="s">
        <v>143</v>
      </c>
    </row>
    <row r="48" spans="1:8" ht="14.25" customHeight="1" x14ac:dyDescent="0.2">
      <c r="A48" s="88">
        <v>42</v>
      </c>
      <c r="B48" s="89" t="s">
        <v>233</v>
      </c>
      <c r="C48" s="89" t="s">
        <v>234</v>
      </c>
      <c r="D48" s="89" t="s">
        <v>188</v>
      </c>
      <c r="E48" s="90">
        <v>640000</v>
      </c>
      <c r="F48" s="91">
        <v>7387.52</v>
      </c>
      <c r="G48" s="92">
        <v>1.1107860000000001E-2</v>
      </c>
      <c r="H48" s="87" t="s">
        <v>143</v>
      </c>
    </row>
    <row r="49" spans="1:8" ht="14.25" customHeight="1" x14ac:dyDescent="0.2">
      <c r="A49" s="88">
        <v>43</v>
      </c>
      <c r="B49" s="89" t="s">
        <v>345</v>
      </c>
      <c r="C49" s="89" t="s">
        <v>346</v>
      </c>
      <c r="D49" s="89" t="s">
        <v>207</v>
      </c>
      <c r="E49" s="90">
        <v>925000</v>
      </c>
      <c r="F49" s="91">
        <v>7015.6625000000004</v>
      </c>
      <c r="G49" s="92">
        <v>1.0548739999999999E-2</v>
      </c>
      <c r="H49" s="87" t="s">
        <v>143</v>
      </c>
    </row>
    <row r="50" spans="1:8" ht="14.25" customHeight="1" x14ac:dyDescent="0.2">
      <c r="A50" s="88">
        <v>44</v>
      </c>
      <c r="B50" s="89" t="s">
        <v>37</v>
      </c>
      <c r="C50" s="89" t="s">
        <v>38</v>
      </c>
      <c r="D50" s="89" t="s">
        <v>19</v>
      </c>
      <c r="E50" s="90">
        <v>2200000</v>
      </c>
      <c r="F50" s="91">
        <v>6780.4</v>
      </c>
      <c r="G50" s="92">
        <v>1.0194999999999999E-2</v>
      </c>
      <c r="H50" s="87" t="s">
        <v>143</v>
      </c>
    </row>
    <row r="51" spans="1:8" ht="14.25" customHeight="1" x14ac:dyDescent="0.2">
      <c r="A51" s="88">
        <v>45</v>
      </c>
      <c r="B51" s="89" t="s">
        <v>216</v>
      </c>
      <c r="C51" s="89" t="s">
        <v>217</v>
      </c>
      <c r="D51" s="89" t="s">
        <v>77</v>
      </c>
      <c r="E51" s="90">
        <v>450000</v>
      </c>
      <c r="F51" s="91">
        <v>6764.4</v>
      </c>
      <c r="G51" s="92">
        <v>1.017094E-2</v>
      </c>
      <c r="H51" s="87" t="s">
        <v>143</v>
      </c>
    </row>
    <row r="52" spans="1:8" ht="14.25" customHeight="1" x14ac:dyDescent="0.2">
      <c r="A52" s="88">
        <v>46</v>
      </c>
      <c r="B52" s="89" t="s">
        <v>20</v>
      </c>
      <c r="C52" s="89" t="s">
        <v>21</v>
      </c>
      <c r="D52" s="89" t="s">
        <v>22</v>
      </c>
      <c r="E52" s="90">
        <v>2000000</v>
      </c>
      <c r="F52" s="91">
        <v>6551</v>
      </c>
      <c r="G52" s="92">
        <v>9.8500700000000007E-3</v>
      </c>
      <c r="H52" s="87" t="s">
        <v>143</v>
      </c>
    </row>
    <row r="53" spans="1:8" ht="14.25" customHeight="1" x14ac:dyDescent="0.2">
      <c r="A53" s="88">
        <v>47</v>
      </c>
      <c r="B53" s="89" t="s">
        <v>183</v>
      </c>
      <c r="C53" s="89" t="s">
        <v>184</v>
      </c>
      <c r="D53" s="89" t="s">
        <v>185</v>
      </c>
      <c r="E53" s="90">
        <v>280000</v>
      </c>
      <c r="F53" s="91">
        <v>6465.48</v>
      </c>
      <c r="G53" s="92">
        <v>9.7214899999999993E-3</v>
      </c>
      <c r="H53" s="87" t="s">
        <v>143</v>
      </c>
    </row>
    <row r="54" spans="1:8" ht="14.25" customHeight="1" x14ac:dyDescent="0.2">
      <c r="A54" s="88">
        <v>48</v>
      </c>
      <c r="B54" s="89" t="s">
        <v>101</v>
      </c>
      <c r="C54" s="89" t="s">
        <v>102</v>
      </c>
      <c r="D54" s="89" t="s">
        <v>43</v>
      </c>
      <c r="E54" s="90">
        <v>165000</v>
      </c>
      <c r="F54" s="91">
        <v>6381.21</v>
      </c>
      <c r="G54" s="92">
        <v>9.5947800000000007E-3</v>
      </c>
      <c r="H54" s="87" t="s">
        <v>143</v>
      </c>
    </row>
    <row r="55" spans="1:8" ht="14.25" customHeight="1" x14ac:dyDescent="0.2">
      <c r="A55" s="88">
        <v>49</v>
      </c>
      <c r="B55" s="89" t="s">
        <v>347</v>
      </c>
      <c r="C55" s="89" t="s">
        <v>348</v>
      </c>
      <c r="D55" s="89" t="s">
        <v>194</v>
      </c>
      <c r="E55" s="90">
        <v>400000</v>
      </c>
      <c r="F55" s="91">
        <v>6378</v>
      </c>
      <c r="G55" s="92">
        <v>9.5899499999999999E-3</v>
      </c>
      <c r="H55" s="87" t="s">
        <v>143</v>
      </c>
    </row>
    <row r="56" spans="1:8" ht="14.25" customHeight="1" x14ac:dyDescent="0.2">
      <c r="A56" s="88">
        <v>50</v>
      </c>
      <c r="B56" s="89" t="s">
        <v>291</v>
      </c>
      <c r="C56" s="89" t="s">
        <v>292</v>
      </c>
      <c r="D56" s="89" t="s">
        <v>288</v>
      </c>
      <c r="E56" s="90">
        <v>1095225</v>
      </c>
      <c r="F56" s="91">
        <v>6282.2106000000003</v>
      </c>
      <c r="G56" s="92">
        <v>9.44592E-3</v>
      </c>
      <c r="H56" s="87" t="s">
        <v>143</v>
      </c>
    </row>
    <row r="57" spans="1:8" ht="14.25" customHeight="1" x14ac:dyDescent="0.2">
      <c r="A57" s="88">
        <v>51</v>
      </c>
      <c r="B57" s="89" t="s">
        <v>349</v>
      </c>
      <c r="C57" s="89" t="s">
        <v>350</v>
      </c>
      <c r="D57" s="89" t="s">
        <v>232</v>
      </c>
      <c r="E57" s="90">
        <v>1250000</v>
      </c>
      <c r="F57" s="91">
        <v>6089.375</v>
      </c>
      <c r="G57" s="92">
        <v>9.1559699999999994E-3</v>
      </c>
      <c r="H57" s="87" t="s">
        <v>143</v>
      </c>
    </row>
    <row r="58" spans="1:8" ht="14.25" customHeight="1" x14ac:dyDescent="0.2">
      <c r="A58" s="88">
        <v>52</v>
      </c>
      <c r="B58" s="89" t="s">
        <v>351</v>
      </c>
      <c r="C58" s="89" t="s">
        <v>352</v>
      </c>
      <c r="D58" s="89" t="s">
        <v>191</v>
      </c>
      <c r="E58" s="90">
        <v>425000</v>
      </c>
      <c r="F58" s="91">
        <v>6037.9750000000004</v>
      </c>
      <c r="G58" s="92">
        <v>9.0786900000000004E-3</v>
      </c>
      <c r="H58" s="87" t="s">
        <v>143</v>
      </c>
    </row>
    <row r="59" spans="1:8" ht="14.25" customHeight="1" x14ac:dyDescent="0.2">
      <c r="A59" s="88">
        <v>53</v>
      </c>
      <c r="B59" s="89" t="s">
        <v>224</v>
      </c>
      <c r="C59" s="89" t="s">
        <v>225</v>
      </c>
      <c r="D59" s="89" t="s">
        <v>43</v>
      </c>
      <c r="E59" s="90">
        <v>1300000</v>
      </c>
      <c r="F59" s="91">
        <v>6008.6</v>
      </c>
      <c r="G59" s="92">
        <v>9.0345200000000007E-3</v>
      </c>
      <c r="H59" s="87" t="s">
        <v>143</v>
      </c>
    </row>
    <row r="60" spans="1:8" ht="14.25" customHeight="1" x14ac:dyDescent="0.2">
      <c r="A60" s="88">
        <v>54</v>
      </c>
      <c r="B60" s="89" t="s">
        <v>47</v>
      </c>
      <c r="C60" s="89" t="s">
        <v>48</v>
      </c>
      <c r="D60" s="89" t="s">
        <v>22</v>
      </c>
      <c r="E60" s="90">
        <v>1600000</v>
      </c>
      <c r="F60" s="91">
        <v>5986.4</v>
      </c>
      <c r="G60" s="92">
        <v>9.0011399999999995E-3</v>
      </c>
      <c r="H60" s="87" t="s">
        <v>143</v>
      </c>
    </row>
    <row r="61" spans="1:8" ht="14.25" customHeight="1" x14ac:dyDescent="0.2">
      <c r="A61" s="88">
        <v>55</v>
      </c>
      <c r="B61" s="89" t="s">
        <v>89</v>
      </c>
      <c r="C61" s="89" t="s">
        <v>90</v>
      </c>
      <c r="D61" s="89" t="s">
        <v>53</v>
      </c>
      <c r="E61" s="90">
        <v>1250000</v>
      </c>
      <c r="F61" s="91">
        <v>5850.625</v>
      </c>
      <c r="G61" s="92">
        <v>8.7969899999999993E-3</v>
      </c>
      <c r="H61" s="87" t="s">
        <v>143</v>
      </c>
    </row>
    <row r="62" spans="1:8" ht="14.25" customHeight="1" x14ac:dyDescent="0.2">
      <c r="A62" s="88">
        <v>56</v>
      </c>
      <c r="B62" s="89" t="s">
        <v>264</v>
      </c>
      <c r="C62" s="89" t="s">
        <v>265</v>
      </c>
      <c r="D62" s="89" t="s">
        <v>223</v>
      </c>
      <c r="E62" s="90">
        <v>640000</v>
      </c>
      <c r="F62" s="91">
        <v>5486.72</v>
      </c>
      <c r="G62" s="92">
        <v>8.2498199999999997E-3</v>
      </c>
      <c r="H62" s="87" t="s">
        <v>143</v>
      </c>
    </row>
    <row r="63" spans="1:8" ht="14.25" customHeight="1" x14ac:dyDescent="0.2">
      <c r="A63" s="88">
        <v>57</v>
      </c>
      <c r="B63" s="89" t="s">
        <v>97</v>
      </c>
      <c r="C63" s="89" t="s">
        <v>98</v>
      </c>
      <c r="D63" s="89" t="s">
        <v>68</v>
      </c>
      <c r="E63" s="90">
        <v>600000</v>
      </c>
      <c r="F63" s="91">
        <v>5390.7</v>
      </c>
      <c r="G63" s="92">
        <v>8.1054500000000002E-3</v>
      </c>
      <c r="H63" s="87" t="s">
        <v>143</v>
      </c>
    </row>
    <row r="64" spans="1:8" ht="14.25" customHeight="1" x14ac:dyDescent="0.2">
      <c r="A64" s="88">
        <v>58</v>
      </c>
      <c r="B64" s="89" t="s">
        <v>91</v>
      </c>
      <c r="C64" s="89" t="s">
        <v>92</v>
      </c>
      <c r="D64" s="89" t="s">
        <v>22</v>
      </c>
      <c r="E64" s="90">
        <v>425000</v>
      </c>
      <c r="F64" s="91">
        <v>5216.0249999999996</v>
      </c>
      <c r="G64" s="92">
        <v>7.8428100000000004E-3</v>
      </c>
      <c r="H64" s="87" t="s">
        <v>143</v>
      </c>
    </row>
    <row r="65" spans="1:8" ht="14.25" customHeight="1" x14ac:dyDescent="0.2">
      <c r="A65" s="88">
        <v>59</v>
      </c>
      <c r="B65" s="89" t="s">
        <v>353</v>
      </c>
      <c r="C65" s="89" t="s">
        <v>354</v>
      </c>
      <c r="D65" s="89" t="s">
        <v>62</v>
      </c>
      <c r="E65" s="90">
        <v>1710000</v>
      </c>
      <c r="F65" s="91">
        <v>5061.6000000000004</v>
      </c>
      <c r="G65" s="92">
        <v>7.6106100000000003E-3</v>
      </c>
      <c r="H65" s="87" t="s">
        <v>143</v>
      </c>
    </row>
    <row r="66" spans="1:8" ht="14.25" customHeight="1" x14ac:dyDescent="0.2">
      <c r="A66" s="88">
        <v>60</v>
      </c>
      <c r="B66" s="89" t="s">
        <v>257</v>
      </c>
      <c r="C66" s="89" t="s">
        <v>258</v>
      </c>
      <c r="D66" s="89" t="s">
        <v>207</v>
      </c>
      <c r="E66" s="90">
        <v>2900000</v>
      </c>
      <c r="F66" s="91">
        <v>5052.38</v>
      </c>
      <c r="G66" s="92">
        <v>7.5967500000000002E-3</v>
      </c>
      <c r="H66" s="87" t="s">
        <v>143</v>
      </c>
    </row>
    <row r="67" spans="1:8" ht="14.25" customHeight="1" x14ac:dyDescent="0.2">
      <c r="A67" s="88">
        <v>61</v>
      </c>
      <c r="B67" s="89" t="s">
        <v>58</v>
      </c>
      <c r="C67" s="89" t="s">
        <v>59</v>
      </c>
      <c r="D67" s="89" t="s">
        <v>43</v>
      </c>
      <c r="E67" s="90">
        <v>35685</v>
      </c>
      <c r="F67" s="91">
        <v>5022.6637499999997</v>
      </c>
      <c r="G67" s="92">
        <v>7.5520700000000001E-3</v>
      </c>
      <c r="H67" s="87" t="s">
        <v>143</v>
      </c>
    </row>
    <row r="68" spans="1:8" ht="14.25" customHeight="1" x14ac:dyDescent="0.2">
      <c r="A68" s="88">
        <v>62</v>
      </c>
      <c r="B68" s="89" t="s">
        <v>305</v>
      </c>
      <c r="C68" s="89" t="s">
        <v>306</v>
      </c>
      <c r="D68" s="89" t="s">
        <v>68</v>
      </c>
      <c r="E68" s="90">
        <v>100000</v>
      </c>
      <c r="F68" s="91">
        <v>4440</v>
      </c>
      <c r="G68" s="92">
        <v>6.6759799999999998E-3</v>
      </c>
      <c r="H68" s="87" t="s">
        <v>143</v>
      </c>
    </row>
    <row r="69" spans="1:8" ht="14.25" customHeight="1" x14ac:dyDescent="0.2">
      <c r="A69" s="88">
        <v>63</v>
      </c>
      <c r="B69" s="89" t="s">
        <v>87</v>
      </c>
      <c r="C69" s="89" t="s">
        <v>88</v>
      </c>
      <c r="D69" s="89" t="s">
        <v>13</v>
      </c>
      <c r="E69" s="90">
        <v>1300000</v>
      </c>
      <c r="F69" s="91">
        <v>4401.8</v>
      </c>
      <c r="G69" s="92">
        <v>6.61854E-3</v>
      </c>
      <c r="H69" s="87" t="s">
        <v>143</v>
      </c>
    </row>
    <row r="70" spans="1:8" ht="14.25" customHeight="1" x14ac:dyDescent="0.2">
      <c r="A70" s="88">
        <v>64</v>
      </c>
      <c r="B70" s="89" t="s">
        <v>210</v>
      </c>
      <c r="C70" s="89" t="s">
        <v>211</v>
      </c>
      <c r="D70" s="89" t="s">
        <v>199</v>
      </c>
      <c r="E70" s="90">
        <v>246000</v>
      </c>
      <c r="F70" s="91">
        <v>4241.7780000000002</v>
      </c>
      <c r="G70" s="92">
        <v>6.3779300000000004E-3</v>
      </c>
      <c r="H70" s="87" t="s">
        <v>143</v>
      </c>
    </row>
    <row r="71" spans="1:8" ht="14.25" customHeight="1" x14ac:dyDescent="0.2">
      <c r="A71" s="88">
        <v>65</v>
      </c>
      <c r="B71" s="89" t="s">
        <v>195</v>
      </c>
      <c r="C71" s="89" t="s">
        <v>196</v>
      </c>
      <c r="D71" s="89" t="s">
        <v>46</v>
      </c>
      <c r="E71" s="90">
        <v>829572</v>
      </c>
      <c r="F71" s="91">
        <v>4182.2872379999999</v>
      </c>
      <c r="G71" s="92">
        <v>6.2884799999999999E-3</v>
      </c>
      <c r="H71" s="87" t="s">
        <v>143</v>
      </c>
    </row>
    <row r="72" spans="1:8" ht="14.25" customHeight="1" x14ac:dyDescent="0.2">
      <c r="A72" s="88">
        <v>66</v>
      </c>
      <c r="B72" s="89" t="s">
        <v>286</v>
      </c>
      <c r="C72" s="89" t="s">
        <v>287</v>
      </c>
      <c r="D72" s="89" t="s">
        <v>288</v>
      </c>
      <c r="E72" s="90">
        <v>29446</v>
      </c>
      <c r="F72" s="91">
        <v>3853.3035599999998</v>
      </c>
      <c r="G72" s="92">
        <v>5.7938199999999999E-3</v>
      </c>
      <c r="H72" s="87" t="s">
        <v>143</v>
      </c>
    </row>
    <row r="73" spans="1:8" ht="14.25" customHeight="1" x14ac:dyDescent="0.2">
      <c r="A73" s="88">
        <v>67</v>
      </c>
      <c r="B73" s="89" t="s">
        <v>307</v>
      </c>
      <c r="C73" s="89" t="s">
        <v>308</v>
      </c>
      <c r="D73" s="89" t="s">
        <v>243</v>
      </c>
      <c r="E73" s="90">
        <v>5272093</v>
      </c>
      <c r="F73" s="91">
        <v>2849.5662665</v>
      </c>
      <c r="G73" s="92">
        <v>4.2846000000000004E-3</v>
      </c>
      <c r="H73" s="87" t="s">
        <v>143</v>
      </c>
    </row>
    <row r="74" spans="1:8" ht="14.25" customHeight="1" x14ac:dyDescent="0.2">
      <c r="A74" s="88">
        <v>68</v>
      </c>
      <c r="B74" s="89" t="s">
        <v>309</v>
      </c>
      <c r="C74" s="89" t="s">
        <v>310</v>
      </c>
      <c r="D74" s="89" t="s">
        <v>194</v>
      </c>
      <c r="E74" s="90">
        <v>100000</v>
      </c>
      <c r="F74" s="91">
        <v>1871.5</v>
      </c>
      <c r="G74" s="92">
        <v>2.8139800000000002E-3</v>
      </c>
      <c r="H74" s="87" t="s">
        <v>143</v>
      </c>
    </row>
    <row r="75" spans="1:8" ht="14.25" customHeight="1" x14ac:dyDescent="0.2">
      <c r="A75" s="93"/>
      <c r="B75" s="93"/>
      <c r="C75" s="94" t="s">
        <v>142</v>
      </c>
      <c r="D75" s="93"/>
      <c r="E75" s="93" t="s">
        <v>143</v>
      </c>
      <c r="F75" s="95">
        <v>646681.53693900001</v>
      </c>
      <c r="G75" s="96">
        <v>0.97234931000000002</v>
      </c>
      <c r="H75" s="87" t="s">
        <v>143</v>
      </c>
    </row>
    <row r="76" spans="1:8" ht="14.25" customHeight="1" x14ac:dyDescent="0.2">
      <c r="A76" s="93"/>
      <c r="B76" s="93"/>
      <c r="C76" s="97"/>
      <c r="D76" s="93"/>
      <c r="E76" s="93"/>
      <c r="F76" s="98"/>
      <c r="G76" s="98"/>
      <c r="H76" s="87" t="s">
        <v>143</v>
      </c>
    </row>
    <row r="77" spans="1:8" ht="14.25" customHeight="1" x14ac:dyDescent="0.2">
      <c r="A77" s="93"/>
      <c r="B77" s="93"/>
      <c r="C77" s="94" t="s">
        <v>144</v>
      </c>
      <c r="D77" s="93"/>
      <c r="E77" s="93"/>
      <c r="F77" s="93"/>
      <c r="G77" s="93"/>
      <c r="H77" s="87" t="s">
        <v>143</v>
      </c>
    </row>
    <row r="78" spans="1:8" ht="14.25" customHeight="1" x14ac:dyDescent="0.2">
      <c r="A78" s="93"/>
      <c r="B78" s="93"/>
      <c r="C78" s="94" t="s">
        <v>142</v>
      </c>
      <c r="D78" s="93"/>
      <c r="E78" s="93" t="s">
        <v>143</v>
      </c>
      <c r="F78" s="99" t="s">
        <v>145</v>
      </c>
      <c r="G78" s="96">
        <v>0</v>
      </c>
      <c r="H78" s="87" t="s">
        <v>143</v>
      </c>
    </row>
    <row r="79" spans="1:8" ht="14.25" customHeight="1" x14ac:dyDescent="0.2">
      <c r="A79" s="93"/>
      <c r="B79" s="93"/>
      <c r="C79" s="97"/>
      <c r="D79" s="93"/>
      <c r="E79" s="93"/>
      <c r="F79" s="98"/>
      <c r="G79" s="98"/>
      <c r="H79" s="87" t="s">
        <v>143</v>
      </c>
    </row>
    <row r="80" spans="1:8" ht="14.25" customHeight="1" x14ac:dyDescent="0.2">
      <c r="A80" s="93"/>
      <c r="B80" s="93"/>
      <c r="C80" s="94" t="s">
        <v>146</v>
      </c>
      <c r="D80" s="93"/>
      <c r="E80" s="93"/>
      <c r="F80" s="93"/>
      <c r="G80" s="93"/>
      <c r="H80" s="87" t="s">
        <v>143</v>
      </c>
    </row>
    <row r="81" spans="1:8" ht="14.25" customHeight="1" x14ac:dyDescent="0.2">
      <c r="A81" s="93"/>
      <c r="B81" s="93"/>
      <c r="C81" s="94" t="s">
        <v>142</v>
      </c>
      <c r="D81" s="93"/>
      <c r="E81" s="93" t="s">
        <v>143</v>
      </c>
      <c r="F81" s="99" t="s">
        <v>145</v>
      </c>
      <c r="G81" s="96">
        <v>0</v>
      </c>
      <c r="H81" s="87" t="s">
        <v>143</v>
      </c>
    </row>
    <row r="82" spans="1:8" ht="14.25" customHeight="1" x14ac:dyDescent="0.2">
      <c r="A82" s="93"/>
      <c r="B82" s="93"/>
      <c r="C82" s="97"/>
      <c r="D82" s="93"/>
      <c r="E82" s="93"/>
      <c r="F82" s="98"/>
      <c r="G82" s="98"/>
      <c r="H82" s="87" t="s">
        <v>143</v>
      </c>
    </row>
    <row r="83" spans="1:8" ht="14.25" customHeight="1" x14ac:dyDescent="0.2">
      <c r="A83" s="93"/>
      <c r="B83" s="93"/>
      <c r="C83" s="94" t="s">
        <v>147</v>
      </c>
      <c r="D83" s="93"/>
      <c r="E83" s="93"/>
      <c r="F83" s="93"/>
      <c r="G83" s="93"/>
      <c r="H83" s="87" t="s">
        <v>143</v>
      </c>
    </row>
    <row r="84" spans="1:8" ht="14.25" customHeight="1" x14ac:dyDescent="0.2">
      <c r="A84" s="93"/>
      <c r="B84" s="93"/>
      <c r="C84" s="94" t="s">
        <v>142</v>
      </c>
      <c r="D84" s="93"/>
      <c r="E84" s="93" t="s">
        <v>143</v>
      </c>
      <c r="F84" s="99" t="s">
        <v>145</v>
      </c>
      <c r="G84" s="96">
        <v>0</v>
      </c>
      <c r="H84" s="87" t="s">
        <v>143</v>
      </c>
    </row>
    <row r="85" spans="1:8" ht="14.25" customHeight="1" x14ac:dyDescent="0.2">
      <c r="A85" s="93"/>
      <c r="B85" s="93"/>
      <c r="C85" s="97"/>
      <c r="D85" s="93"/>
      <c r="E85" s="93"/>
      <c r="F85" s="98"/>
      <c r="G85" s="98"/>
      <c r="H85" s="87" t="s">
        <v>143</v>
      </c>
    </row>
    <row r="86" spans="1:8" ht="14.25" customHeight="1" x14ac:dyDescent="0.2">
      <c r="A86" s="93"/>
      <c r="B86" s="93"/>
      <c r="C86" s="94" t="s">
        <v>148</v>
      </c>
      <c r="D86" s="93"/>
      <c r="E86" s="93"/>
      <c r="F86" s="98"/>
      <c r="G86" s="98"/>
      <c r="H86" s="87" t="s">
        <v>143</v>
      </c>
    </row>
    <row r="87" spans="1:8" ht="14.25" customHeight="1" x14ac:dyDescent="0.2">
      <c r="A87" s="93"/>
      <c r="B87" s="93"/>
      <c r="C87" s="94" t="s">
        <v>142</v>
      </c>
      <c r="D87" s="93"/>
      <c r="E87" s="93" t="s">
        <v>143</v>
      </c>
      <c r="F87" s="99" t="s">
        <v>145</v>
      </c>
      <c r="G87" s="96">
        <v>0</v>
      </c>
      <c r="H87" s="87" t="s">
        <v>143</v>
      </c>
    </row>
    <row r="88" spans="1:8" ht="14.25" customHeight="1" x14ac:dyDescent="0.2">
      <c r="A88" s="93"/>
      <c r="B88" s="93"/>
      <c r="C88" s="97"/>
      <c r="D88" s="93"/>
      <c r="E88" s="93"/>
      <c r="F88" s="98"/>
      <c r="G88" s="98"/>
      <c r="H88" s="87" t="s">
        <v>143</v>
      </c>
    </row>
    <row r="89" spans="1:8" ht="14.25" customHeight="1" x14ac:dyDescent="0.2">
      <c r="A89" s="93"/>
      <c r="B89" s="93"/>
      <c r="C89" s="94" t="s">
        <v>149</v>
      </c>
      <c r="D89" s="93"/>
      <c r="E89" s="93"/>
      <c r="F89" s="98"/>
      <c r="G89" s="98"/>
      <c r="H89" s="87" t="s">
        <v>143</v>
      </c>
    </row>
    <row r="90" spans="1:8" ht="14.25" customHeight="1" x14ac:dyDescent="0.2">
      <c r="A90" s="93"/>
      <c r="B90" s="93"/>
      <c r="C90" s="94" t="s">
        <v>142</v>
      </c>
      <c r="D90" s="93"/>
      <c r="E90" s="93" t="s">
        <v>143</v>
      </c>
      <c r="F90" s="99" t="s">
        <v>145</v>
      </c>
      <c r="G90" s="96">
        <v>0</v>
      </c>
      <c r="H90" s="87" t="s">
        <v>143</v>
      </c>
    </row>
    <row r="91" spans="1:8" ht="14.25" customHeight="1" x14ac:dyDescent="0.2">
      <c r="A91" s="93"/>
      <c r="B91" s="93"/>
      <c r="C91" s="97"/>
      <c r="D91" s="93"/>
      <c r="E91" s="93"/>
      <c r="F91" s="98"/>
      <c r="G91" s="98"/>
      <c r="H91" s="87" t="s">
        <v>143</v>
      </c>
    </row>
    <row r="92" spans="1:8" ht="14.25" customHeight="1" x14ac:dyDescent="0.2">
      <c r="A92" s="93"/>
      <c r="B92" s="93"/>
      <c r="C92" s="94" t="s">
        <v>150</v>
      </c>
      <c r="D92" s="93"/>
      <c r="E92" s="93"/>
      <c r="F92" s="95">
        <v>646681.53693900001</v>
      </c>
      <c r="G92" s="96">
        <v>0.97234931000000002</v>
      </c>
      <c r="H92" s="87" t="s">
        <v>143</v>
      </c>
    </row>
    <row r="93" spans="1:8" ht="14.25" customHeight="1" x14ac:dyDescent="0.2">
      <c r="A93" s="93"/>
      <c r="B93" s="93"/>
      <c r="C93" s="97"/>
      <c r="D93" s="93"/>
      <c r="E93" s="93"/>
      <c r="F93" s="98"/>
      <c r="G93" s="98"/>
      <c r="H93" s="87" t="s">
        <v>143</v>
      </c>
    </row>
    <row r="94" spans="1:8" ht="14.25" customHeight="1" x14ac:dyDescent="0.2">
      <c r="A94" s="93"/>
      <c r="B94" s="93"/>
      <c r="C94" s="94" t="s">
        <v>151</v>
      </c>
      <c r="D94" s="93"/>
      <c r="E94" s="93"/>
      <c r="F94" s="98"/>
      <c r="G94" s="98"/>
      <c r="H94" s="87" t="s">
        <v>143</v>
      </c>
    </row>
    <row r="95" spans="1:8" ht="14.25" customHeight="1" x14ac:dyDescent="0.2">
      <c r="A95" s="93"/>
      <c r="B95" s="93"/>
      <c r="C95" s="94" t="s">
        <v>10</v>
      </c>
      <c r="D95" s="93"/>
      <c r="E95" s="93"/>
      <c r="F95" s="98"/>
      <c r="G95" s="98"/>
      <c r="H95" s="87" t="s">
        <v>143</v>
      </c>
    </row>
    <row r="96" spans="1:8" ht="14.25" customHeight="1" x14ac:dyDescent="0.2">
      <c r="A96" s="93"/>
      <c r="B96" s="93"/>
      <c r="C96" s="94" t="s">
        <v>142</v>
      </c>
      <c r="D96" s="93"/>
      <c r="E96" s="93" t="s">
        <v>143</v>
      </c>
      <c r="F96" s="99" t="s">
        <v>145</v>
      </c>
      <c r="G96" s="96">
        <v>0</v>
      </c>
      <c r="H96" s="87" t="s">
        <v>143</v>
      </c>
    </row>
    <row r="97" spans="1:8" ht="14.25" customHeight="1" x14ac:dyDescent="0.2">
      <c r="A97" s="93"/>
      <c r="B97" s="93"/>
      <c r="C97" s="97"/>
      <c r="D97" s="93"/>
      <c r="E97" s="93"/>
      <c r="F97" s="98"/>
      <c r="G97" s="98"/>
      <c r="H97" s="87" t="s">
        <v>143</v>
      </c>
    </row>
    <row r="98" spans="1:8" ht="14.25" customHeight="1" x14ac:dyDescent="0.2">
      <c r="A98" s="93"/>
      <c r="B98" s="93"/>
      <c r="C98" s="94" t="s">
        <v>152</v>
      </c>
      <c r="D98" s="93"/>
      <c r="E98" s="93"/>
      <c r="F98" s="93"/>
      <c r="G98" s="93"/>
      <c r="H98" s="87" t="s">
        <v>143</v>
      </c>
    </row>
    <row r="99" spans="1:8" ht="14.25" customHeight="1" x14ac:dyDescent="0.2">
      <c r="A99" s="93"/>
      <c r="B99" s="93"/>
      <c r="C99" s="94" t="s">
        <v>142</v>
      </c>
      <c r="D99" s="93"/>
      <c r="E99" s="93" t="s">
        <v>143</v>
      </c>
      <c r="F99" s="99" t="s">
        <v>145</v>
      </c>
      <c r="G99" s="96">
        <v>0</v>
      </c>
      <c r="H99" s="87" t="s">
        <v>143</v>
      </c>
    </row>
    <row r="100" spans="1:8" ht="14.25" customHeight="1" x14ac:dyDescent="0.2">
      <c r="A100" s="93"/>
      <c r="B100" s="93"/>
      <c r="C100" s="97"/>
      <c r="D100" s="93"/>
      <c r="E100" s="93"/>
      <c r="F100" s="98"/>
      <c r="G100" s="98"/>
      <c r="H100" s="87" t="s">
        <v>143</v>
      </c>
    </row>
    <row r="101" spans="1:8" ht="14.25" customHeight="1" x14ac:dyDescent="0.2">
      <c r="A101" s="93"/>
      <c r="B101" s="93"/>
      <c r="C101" s="94" t="s">
        <v>153</v>
      </c>
      <c r="D101" s="93"/>
      <c r="E101" s="93"/>
      <c r="F101" s="93"/>
      <c r="G101" s="93"/>
      <c r="H101" s="87" t="s">
        <v>143</v>
      </c>
    </row>
    <row r="102" spans="1:8" ht="14.25" customHeight="1" x14ac:dyDescent="0.2">
      <c r="A102" s="93"/>
      <c r="B102" s="93"/>
      <c r="C102" s="94" t="s">
        <v>142</v>
      </c>
      <c r="D102" s="93"/>
      <c r="E102" s="93" t="s">
        <v>143</v>
      </c>
      <c r="F102" s="99" t="s">
        <v>145</v>
      </c>
      <c r="G102" s="96">
        <v>0</v>
      </c>
      <c r="H102" s="87" t="s">
        <v>143</v>
      </c>
    </row>
    <row r="103" spans="1:8" ht="14.25" customHeight="1" x14ac:dyDescent="0.2">
      <c r="A103" s="93"/>
      <c r="B103" s="93"/>
      <c r="C103" s="97"/>
      <c r="D103" s="93"/>
      <c r="E103" s="93"/>
      <c r="F103" s="98"/>
      <c r="G103" s="98"/>
      <c r="H103" s="87" t="s">
        <v>143</v>
      </c>
    </row>
    <row r="104" spans="1:8" ht="14.25" customHeight="1" x14ac:dyDescent="0.2">
      <c r="A104" s="93"/>
      <c r="B104" s="93"/>
      <c r="C104" s="94" t="s">
        <v>154</v>
      </c>
      <c r="D104" s="93"/>
      <c r="E104" s="93"/>
      <c r="F104" s="98"/>
      <c r="G104" s="98"/>
      <c r="H104" s="87" t="s">
        <v>143</v>
      </c>
    </row>
    <row r="105" spans="1:8" ht="14.25" customHeight="1" x14ac:dyDescent="0.2">
      <c r="A105" s="93"/>
      <c r="B105" s="93"/>
      <c r="C105" s="94" t="s">
        <v>142</v>
      </c>
      <c r="D105" s="93"/>
      <c r="E105" s="93" t="s">
        <v>143</v>
      </c>
      <c r="F105" s="99" t="s">
        <v>145</v>
      </c>
      <c r="G105" s="96">
        <v>0</v>
      </c>
      <c r="H105" s="87" t="s">
        <v>143</v>
      </c>
    </row>
    <row r="106" spans="1:8" ht="14.25" customHeight="1" x14ac:dyDescent="0.2">
      <c r="A106" s="93"/>
      <c r="B106" s="93"/>
      <c r="C106" s="97"/>
      <c r="D106" s="93"/>
      <c r="E106" s="93"/>
      <c r="F106" s="98"/>
      <c r="G106" s="98"/>
      <c r="H106" s="87" t="s">
        <v>143</v>
      </c>
    </row>
    <row r="107" spans="1:8" ht="14.25" customHeight="1" x14ac:dyDescent="0.2">
      <c r="A107" s="93"/>
      <c r="B107" s="93"/>
      <c r="C107" s="94" t="s">
        <v>155</v>
      </c>
      <c r="D107" s="93"/>
      <c r="E107" s="93"/>
      <c r="F107" s="95">
        <v>0</v>
      </c>
      <c r="G107" s="96">
        <v>0</v>
      </c>
      <c r="H107" s="87" t="s">
        <v>143</v>
      </c>
    </row>
    <row r="108" spans="1:8" ht="14.25" customHeight="1" x14ac:dyDescent="0.2">
      <c r="A108" s="93"/>
      <c r="B108" s="93"/>
      <c r="C108" s="97"/>
      <c r="D108" s="93"/>
      <c r="E108" s="93"/>
      <c r="F108" s="98"/>
      <c r="G108" s="98"/>
      <c r="H108" s="87" t="s">
        <v>143</v>
      </c>
    </row>
    <row r="109" spans="1:8" ht="14.25" customHeight="1" x14ac:dyDescent="0.2">
      <c r="A109" s="93"/>
      <c r="B109" s="93"/>
      <c r="C109" s="94" t="s">
        <v>156</v>
      </c>
      <c r="D109" s="93"/>
      <c r="E109" s="93"/>
      <c r="F109" s="98"/>
      <c r="G109" s="98"/>
      <c r="H109" s="87" t="s">
        <v>143</v>
      </c>
    </row>
    <row r="110" spans="1:8" ht="14.25" customHeight="1" x14ac:dyDescent="0.2">
      <c r="A110" s="93"/>
      <c r="B110" s="93"/>
      <c r="C110" s="94" t="s">
        <v>157</v>
      </c>
      <c r="D110" s="93"/>
      <c r="E110" s="93"/>
      <c r="F110" s="98"/>
      <c r="G110" s="98"/>
      <c r="H110" s="87" t="s">
        <v>143</v>
      </c>
    </row>
    <row r="111" spans="1:8" ht="14.25" customHeight="1" x14ac:dyDescent="0.2">
      <c r="A111" s="93"/>
      <c r="B111" s="93"/>
      <c r="C111" s="94" t="s">
        <v>142</v>
      </c>
      <c r="D111" s="93"/>
      <c r="E111" s="93" t="s">
        <v>143</v>
      </c>
      <c r="F111" s="99" t="s">
        <v>145</v>
      </c>
      <c r="G111" s="96">
        <v>0</v>
      </c>
      <c r="H111" s="87" t="s">
        <v>143</v>
      </c>
    </row>
    <row r="112" spans="1:8" ht="14.25" customHeight="1" x14ac:dyDescent="0.2">
      <c r="A112" s="93"/>
      <c r="B112" s="93"/>
      <c r="C112" s="97"/>
      <c r="D112" s="93"/>
      <c r="E112" s="93"/>
      <c r="F112" s="98"/>
      <c r="G112" s="98"/>
      <c r="H112" s="87" t="s">
        <v>143</v>
      </c>
    </row>
    <row r="113" spans="1:8" ht="14.25" customHeight="1" x14ac:dyDescent="0.2">
      <c r="A113" s="93"/>
      <c r="B113" s="93"/>
      <c r="C113" s="94" t="s">
        <v>158</v>
      </c>
      <c r="D113" s="93"/>
      <c r="E113" s="93"/>
      <c r="F113" s="98"/>
      <c r="G113" s="98"/>
      <c r="H113" s="87" t="s">
        <v>143</v>
      </c>
    </row>
    <row r="114" spans="1:8" ht="14.25" customHeight="1" x14ac:dyDescent="0.2">
      <c r="A114" s="93"/>
      <c r="B114" s="93"/>
      <c r="C114" s="94" t="s">
        <v>142</v>
      </c>
      <c r="D114" s="93"/>
      <c r="E114" s="93" t="s">
        <v>143</v>
      </c>
      <c r="F114" s="99" t="s">
        <v>145</v>
      </c>
      <c r="G114" s="96">
        <v>0</v>
      </c>
      <c r="H114" s="87" t="s">
        <v>143</v>
      </c>
    </row>
    <row r="115" spans="1:8" ht="14.25" customHeight="1" x14ac:dyDescent="0.2">
      <c r="A115" s="93"/>
      <c r="B115" s="93"/>
      <c r="C115" s="97"/>
      <c r="D115" s="93"/>
      <c r="E115" s="93"/>
      <c r="F115" s="98"/>
      <c r="G115" s="98"/>
      <c r="H115" s="87" t="s">
        <v>143</v>
      </c>
    </row>
    <row r="116" spans="1:8" ht="14.25" customHeight="1" x14ac:dyDescent="0.2">
      <c r="A116" s="93"/>
      <c r="B116" s="93"/>
      <c r="C116" s="94" t="s">
        <v>159</v>
      </c>
      <c r="D116" s="93"/>
      <c r="E116" s="93"/>
      <c r="F116" s="98"/>
      <c r="G116" s="98"/>
      <c r="H116" s="87" t="s">
        <v>143</v>
      </c>
    </row>
    <row r="117" spans="1:8" ht="14.25" customHeight="1" x14ac:dyDescent="0.2">
      <c r="A117" s="93"/>
      <c r="B117" s="93"/>
      <c r="C117" s="94" t="s">
        <v>142</v>
      </c>
      <c r="D117" s="93"/>
      <c r="E117" s="93" t="s">
        <v>143</v>
      </c>
      <c r="F117" s="99" t="s">
        <v>145</v>
      </c>
      <c r="G117" s="96">
        <v>0</v>
      </c>
      <c r="H117" s="87" t="s">
        <v>143</v>
      </c>
    </row>
    <row r="118" spans="1:8" ht="14.25" customHeight="1" x14ac:dyDescent="0.2">
      <c r="A118" s="93"/>
      <c r="B118" s="93"/>
      <c r="C118" s="97"/>
      <c r="D118" s="93"/>
      <c r="E118" s="93"/>
      <c r="F118" s="98"/>
      <c r="G118" s="98"/>
      <c r="H118" s="87" t="s">
        <v>143</v>
      </c>
    </row>
    <row r="119" spans="1:8" ht="14.25" customHeight="1" x14ac:dyDescent="0.2">
      <c r="A119" s="93"/>
      <c r="B119" s="93"/>
      <c r="C119" s="94" t="s">
        <v>160</v>
      </c>
      <c r="D119" s="93"/>
      <c r="E119" s="93"/>
      <c r="F119" s="98"/>
      <c r="G119" s="98"/>
      <c r="H119" s="87" t="s">
        <v>143</v>
      </c>
    </row>
    <row r="120" spans="1:8" ht="14.25" customHeight="1" x14ac:dyDescent="0.2">
      <c r="A120" s="88">
        <v>1</v>
      </c>
      <c r="B120" s="89"/>
      <c r="C120" s="89" t="s">
        <v>161</v>
      </c>
      <c r="D120" s="89"/>
      <c r="E120" s="100"/>
      <c r="F120" s="91">
        <v>5753.7182050060001</v>
      </c>
      <c r="G120" s="92">
        <v>8.6512800000000008E-3</v>
      </c>
      <c r="H120" s="87">
        <v>5.38</v>
      </c>
    </row>
    <row r="121" spans="1:8" ht="14.25" customHeight="1" x14ac:dyDescent="0.2">
      <c r="A121" s="93"/>
      <c r="B121" s="93"/>
      <c r="C121" s="94" t="s">
        <v>142</v>
      </c>
      <c r="D121" s="93"/>
      <c r="E121" s="93" t="s">
        <v>143</v>
      </c>
      <c r="F121" s="95">
        <v>5753.7182050060001</v>
      </c>
      <c r="G121" s="96">
        <v>8.6512800000000008E-3</v>
      </c>
      <c r="H121" s="87" t="s">
        <v>143</v>
      </c>
    </row>
    <row r="122" spans="1:8" ht="14.25" customHeight="1" x14ac:dyDescent="0.2">
      <c r="A122" s="93"/>
      <c r="B122" s="93"/>
      <c r="C122" s="97"/>
      <c r="D122" s="93"/>
      <c r="E122" s="93"/>
      <c r="F122" s="98"/>
      <c r="G122" s="98"/>
      <c r="H122" s="87" t="s">
        <v>143</v>
      </c>
    </row>
    <row r="123" spans="1:8" ht="14.25" customHeight="1" x14ac:dyDescent="0.2">
      <c r="A123" s="93"/>
      <c r="B123" s="93"/>
      <c r="C123" s="94" t="s">
        <v>162</v>
      </c>
      <c r="D123" s="93"/>
      <c r="E123" s="93"/>
      <c r="F123" s="95">
        <v>5753.7182050060001</v>
      </c>
      <c r="G123" s="96">
        <v>8.6512800000000008E-3</v>
      </c>
      <c r="H123" s="87" t="s">
        <v>143</v>
      </c>
    </row>
    <row r="124" spans="1:8" ht="14.25" customHeight="1" x14ac:dyDescent="0.2">
      <c r="A124" s="93"/>
      <c r="B124" s="93"/>
      <c r="C124" s="98"/>
      <c r="D124" s="93"/>
      <c r="E124" s="93"/>
      <c r="F124" s="93"/>
      <c r="G124" s="93"/>
      <c r="H124" s="87" t="s">
        <v>143</v>
      </c>
    </row>
    <row r="125" spans="1:8" ht="14.25" customHeight="1" x14ac:dyDescent="0.2">
      <c r="A125" s="93"/>
      <c r="B125" s="93"/>
      <c r="C125" s="94" t="s">
        <v>163</v>
      </c>
      <c r="D125" s="93"/>
      <c r="E125" s="93"/>
      <c r="F125" s="93"/>
      <c r="G125" s="93"/>
      <c r="H125" s="87" t="s">
        <v>143</v>
      </c>
    </row>
    <row r="126" spans="1:8" ht="14.25" customHeight="1" x14ac:dyDescent="0.2">
      <c r="A126" s="93"/>
      <c r="B126" s="93"/>
      <c r="C126" s="94" t="s">
        <v>164</v>
      </c>
      <c r="D126" s="93"/>
      <c r="E126" s="93"/>
      <c r="F126" s="93"/>
      <c r="G126" s="93"/>
      <c r="H126" s="87" t="s">
        <v>143</v>
      </c>
    </row>
    <row r="127" spans="1:8" ht="14.25" customHeight="1" x14ac:dyDescent="0.2">
      <c r="A127" s="88">
        <v>1</v>
      </c>
      <c r="B127" s="89" t="s">
        <v>355</v>
      </c>
      <c r="C127" s="89" t="s">
        <v>356</v>
      </c>
      <c r="D127" s="89"/>
      <c r="E127" s="126">
        <v>186455.68299999999</v>
      </c>
      <c r="F127" s="91">
        <v>7002.6743203579999</v>
      </c>
      <c r="G127" s="92">
        <v>1.0529210000000001E-2</v>
      </c>
      <c r="H127" s="87" t="s">
        <v>143</v>
      </c>
    </row>
    <row r="128" spans="1:8" ht="14.25" customHeight="1" x14ac:dyDescent="0.2">
      <c r="A128" s="93"/>
      <c r="B128" s="93"/>
      <c r="C128" s="94" t="s">
        <v>142</v>
      </c>
      <c r="D128" s="93"/>
      <c r="E128" s="93" t="s">
        <v>143</v>
      </c>
      <c r="F128" s="95">
        <v>7002.6743203579999</v>
      </c>
      <c r="G128" s="96">
        <v>1.0529210000000001E-2</v>
      </c>
      <c r="H128" s="87" t="s">
        <v>143</v>
      </c>
    </row>
    <row r="129" spans="1:17" ht="14.25" customHeight="1" x14ac:dyDescent="0.2">
      <c r="A129" s="93"/>
      <c r="B129" s="93"/>
      <c r="C129" s="97"/>
      <c r="D129" s="93"/>
      <c r="E129" s="93"/>
      <c r="F129" s="98"/>
      <c r="G129" s="98"/>
      <c r="H129" s="87" t="s">
        <v>143</v>
      </c>
    </row>
    <row r="130" spans="1:17" ht="14.25" customHeight="1" x14ac:dyDescent="0.2">
      <c r="A130" s="93"/>
      <c r="B130" s="93"/>
      <c r="C130" s="94" t="s">
        <v>165</v>
      </c>
      <c r="D130" s="93"/>
      <c r="E130" s="93"/>
      <c r="F130" s="93"/>
      <c r="G130" s="93"/>
      <c r="H130" s="87" t="s">
        <v>143</v>
      </c>
    </row>
    <row r="131" spans="1:17" ht="14.25" customHeight="1" x14ac:dyDescent="0.2">
      <c r="A131" s="93"/>
      <c r="B131" s="93"/>
      <c r="C131" s="94" t="s">
        <v>166</v>
      </c>
      <c r="D131" s="93"/>
      <c r="E131" s="93"/>
      <c r="F131" s="93"/>
      <c r="G131" s="93"/>
      <c r="H131" s="87" t="s">
        <v>143</v>
      </c>
    </row>
    <row r="132" spans="1:17" ht="14.25" customHeight="1" x14ac:dyDescent="0.2">
      <c r="A132" s="93"/>
      <c r="B132" s="93"/>
      <c r="C132" s="94" t="s">
        <v>142</v>
      </c>
      <c r="D132" s="93"/>
      <c r="E132" s="93" t="s">
        <v>143</v>
      </c>
      <c r="F132" s="99" t="s">
        <v>145</v>
      </c>
      <c r="G132" s="96">
        <v>0</v>
      </c>
      <c r="H132" s="87" t="s">
        <v>143</v>
      </c>
    </row>
    <row r="133" spans="1:17" ht="14.25" customHeight="1" x14ac:dyDescent="0.2">
      <c r="A133" s="93"/>
      <c r="B133" s="93"/>
      <c r="C133" s="97"/>
      <c r="D133" s="93"/>
      <c r="E133" s="93"/>
      <c r="F133" s="98"/>
      <c r="G133" s="98"/>
      <c r="H133" s="87" t="s">
        <v>143</v>
      </c>
    </row>
    <row r="134" spans="1:17" ht="14.25" customHeight="1" x14ac:dyDescent="0.2">
      <c r="A134" s="93"/>
      <c r="B134" s="93"/>
      <c r="C134" s="94" t="s">
        <v>167</v>
      </c>
      <c r="D134" s="93"/>
      <c r="E134" s="93"/>
      <c r="F134" s="98"/>
      <c r="G134" s="98"/>
      <c r="H134" s="87" t="s">
        <v>143</v>
      </c>
    </row>
    <row r="135" spans="1:17" ht="14.25" customHeight="1" x14ac:dyDescent="0.2">
      <c r="A135" s="93"/>
      <c r="B135" s="93"/>
      <c r="C135" s="94" t="s">
        <v>142</v>
      </c>
      <c r="D135" s="93"/>
      <c r="E135" s="93" t="s">
        <v>143</v>
      </c>
      <c r="F135" s="99" t="s">
        <v>145</v>
      </c>
      <c r="G135" s="96">
        <v>0</v>
      </c>
      <c r="H135" s="87" t="s">
        <v>143</v>
      </c>
    </row>
    <row r="136" spans="1:17" ht="14.25" customHeight="1" x14ac:dyDescent="0.2">
      <c r="A136" s="93"/>
      <c r="B136" s="93"/>
      <c r="C136" s="97"/>
      <c r="D136" s="93"/>
      <c r="E136" s="93"/>
      <c r="F136" s="98"/>
      <c r="G136" s="98"/>
      <c r="H136" s="87" t="s">
        <v>143</v>
      </c>
    </row>
    <row r="137" spans="1:17" ht="14.25" customHeight="1" x14ac:dyDescent="0.2">
      <c r="A137" s="100"/>
      <c r="B137" s="89"/>
      <c r="C137" s="89" t="s">
        <v>168</v>
      </c>
      <c r="D137" s="89"/>
      <c r="E137" s="100"/>
      <c r="F137" s="91">
        <v>5633.2901347400002</v>
      </c>
      <c r="G137" s="92">
        <v>8.4702100000000006E-3</v>
      </c>
      <c r="H137" s="87" t="s">
        <v>143</v>
      </c>
    </row>
    <row r="138" spans="1:17" ht="14.25" customHeight="1" x14ac:dyDescent="0.2">
      <c r="A138" s="97"/>
      <c r="B138" s="97"/>
      <c r="C138" s="94" t="s">
        <v>169</v>
      </c>
      <c r="D138" s="98"/>
      <c r="E138" s="98"/>
      <c r="F138" s="95">
        <v>665071.21959910402</v>
      </c>
      <c r="G138" s="101">
        <v>1.0000000099999999</v>
      </c>
      <c r="H138" s="87" t="s">
        <v>143</v>
      </c>
    </row>
    <row r="139" spans="1:17" ht="12.75" x14ac:dyDescent="0.2">
      <c r="A139" s="102"/>
      <c r="B139" s="102"/>
      <c r="C139" s="102"/>
      <c r="D139" s="103"/>
      <c r="E139" s="103"/>
      <c r="F139" s="103"/>
      <c r="G139" s="103"/>
    </row>
    <row r="140" spans="1:17" ht="12.75" x14ac:dyDescent="0.2">
      <c r="A140" s="104"/>
      <c r="B140" s="206" t="s">
        <v>942</v>
      </c>
      <c r="C140" s="206"/>
      <c r="D140" s="206"/>
      <c r="E140" s="206"/>
      <c r="F140" s="206"/>
      <c r="G140" s="206"/>
      <c r="H140" s="206"/>
      <c r="J140" s="106"/>
    </row>
    <row r="141" spans="1:17" ht="12.75" x14ac:dyDescent="0.2">
      <c r="A141" s="104"/>
      <c r="B141" s="206" t="s">
        <v>943</v>
      </c>
      <c r="C141" s="206"/>
      <c r="D141" s="206"/>
      <c r="E141" s="206"/>
      <c r="F141" s="206"/>
      <c r="G141" s="206"/>
      <c r="H141" s="206"/>
      <c r="J141" s="106"/>
    </row>
    <row r="142" spans="1:17" ht="12.75" x14ac:dyDescent="0.2">
      <c r="A142" s="104"/>
      <c r="B142" s="206" t="s">
        <v>944</v>
      </c>
      <c r="C142" s="206"/>
      <c r="D142" s="206"/>
      <c r="E142" s="206"/>
      <c r="F142" s="206"/>
      <c r="G142" s="206"/>
      <c r="H142" s="206"/>
      <c r="J142" s="106"/>
    </row>
    <row r="143" spans="1:17" s="108" customFormat="1" ht="66.75" customHeight="1" x14ac:dyDescent="0.25">
      <c r="A143" s="107"/>
      <c r="B143" s="207" t="s">
        <v>945</v>
      </c>
      <c r="C143" s="207"/>
      <c r="D143" s="207"/>
      <c r="E143" s="207"/>
      <c r="F143" s="207"/>
      <c r="G143" s="207"/>
      <c r="H143" s="207"/>
      <c r="I143"/>
      <c r="J143" s="106"/>
      <c r="K143"/>
      <c r="L143"/>
      <c r="M143"/>
      <c r="N143"/>
      <c r="O143"/>
      <c r="P143"/>
      <c r="Q143"/>
    </row>
    <row r="144" spans="1:17" ht="12.75" x14ac:dyDescent="0.2">
      <c r="A144" s="104"/>
      <c r="B144" s="206" t="s">
        <v>946</v>
      </c>
      <c r="C144" s="206"/>
      <c r="D144" s="206"/>
      <c r="E144" s="206"/>
      <c r="F144" s="206"/>
      <c r="G144" s="206"/>
      <c r="H144" s="206"/>
      <c r="J144" s="106"/>
    </row>
    <row r="145" spans="1:10" ht="12.75" x14ac:dyDescent="0.2">
      <c r="A145" s="104"/>
      <c r="B145" s="104"/>
      <c r="C145" s="104"/>
      <c r="D145" s="109"/>
      <c r="E145" s="109"/>
      <c r="F145" s="109"/>
      <c r="G145" s="109"/>
    </row>
    <row r="146" spans="1:10" ht="12.75" x14ac:dyDescent="0.2">
      <c r="A146" s="104"/>
      <c r="B146" s="199" t="s">
        <v>170</v>
      </c>
      <c r="C146" s="200"/>
      <c r="D146" s="201"/>
      <c r="E146" s="110"/>
      <c r="F146" s="109"/>
      <c r="G146" s="109"/>
    </row>
    <row r="147" spans="1:10" ht="27.75" customHeight="1" x14ac:dyDescent="0.2">
      <c r="A147" s="104"/>
      <c r="B147" s="202" t="s">
        <v>171</v>
      </c>
      <c r="C147" s="203"/>
      <c r="D147" s="86" t="s">
        <v>172</v>
      </c>
      <c r="E147" s="110"/>
      <c r="F147" s="109"/>
      <c r="G147" s="109"/>
    </row>
    <row r="148" spans="1:10" ht="12.75" customHeight="1" x14ac:dyDescent="0.2">
      <c r="A148" s="104"/>
      <c r="B148" s="202" t="s">
        <v>947</v>
      </c>
      <c r="C148" s="203"/>
      <c r="D148" s="86" t="s">
        <v>172</v>
      </c>
      <c r="E148" s="110"/>
      <c r="F148" s="109"/>
      <c r="G148" s="109"/>
    </row>
    <row r="149" spans="1:10" ht="12.75" x14ac:dyDescent="0.2">
      <c r="A149" s="104"/>
      <c r="B149" s="202" t="s">
        <v>173</v>
      </c>
      <c r="C149" s="203"/>
      <c r="D149" s="111" t="s">
        <v>143</v>
      </c>
      <c r="E149" s="110"/>
      <c r="F149" s="109"/>
      <c r="G149" s="109"/>
    </row>
    <row r="150" spans="1:10" ht="12.75" x14ac:dyDescent="0.2">
      <c r="A150" s="112"/>
      <c r="B150" s="113" t="s">
        <v>143</v>
      </c>
      <c r="C150" s="113" t="s">
        <v>948</v>
      </c>
      <c r="D150" s="113" t="s">
        <v>174</v>
      </c>
      <c r="E150" s="112"/>
      <c r="F150" s="112"/>
      <c r="G150" s="112"/>
      <c r="H150" s="112"/>
      <c r="J150" s="106"/>
    </row>
    <row r="151" spans="1:10" ht="12.75" x14ac:dyDescent="0.2">
      <c r="A151" s="112"/>
      <c r="B151" s="114" t="s">
        <v>175</v>
      </c>
      <c r="C151" s="115">
        <v>45869</v>
      </c>
      <c r="D151" s="115">
        <v>45900</v>
      </c>
      <c r="E151" s="112"/>
      <c r="F151" s="112"/>
      <c r="G151" s="112"/>
      <c r="J151" s="106"/>
    </row>
    <row r="152" spans="1:10" ht="14.25" customHeight="1" x14ac:dyDescent="0.2">
      <c r="A152" s="116"/>
      <c r="B152" s="89" t="s">
        <v>176</v>
      </c>
      <c r="C152" s="117">
        <v>95.044799999999995</v>
      </c>
      <c r="D152" s="117">
        <v>93.732500000000002</v>
      </c>
      <c r="E152" s="116"/>
      <c r="F152" s="118"/>
      <c r="G152" s="119"/>
    </row>
    <row r="153" spans="1:10" ht="14.25" customHeight="1" x14ac:dyDescent="0.2">
      <c r="A153" s="116"/>
      <c r="B153" s="89" t="s">
        <v>954</v>
      </c>
      <c r="C153" s="117">
        <v>35.133099999999999</v>
      </c>
      <c r="D153" s="117">
        <v>34.648000000000003</v>
      </c>
      <c r="E153" s="116"/>
      <c r="F153" s="118"/>
      <c r="G153" s="119"/>
    </row>
    <row r="154" spans="1:10" ht="14.25" customHeight="1" x14ac:dyDescent="0.2">
      <c r="A154" s="116"/>
      <c r="B154" s="89" t="s">
        <v>177</v>
      </c>
      <c r="C154" s="117">
        <v>84.474999999999994</v>
      </c>
      <c r="D154" s="117">
        <v>83.235100000000003</v>
      </c>
      <c r="E154" s="116"/>
      <c r="F154" s="118"/>
      <c r="G154" s="119"/>
    </row>
    <row r="155" spans="1:10" ht="14.25" customHeight="1" x14ac:dyDescent="0.2">
      <c r="A155" s="116"/>
      <c r="B155" s="89" t="s">
        <v>955</v>
      </c>
      <c r="C155" s="117">
        <v>30.565200000000001</v>
      </c>
      <c r="D155" s="117">
        <v>30.116599999999998</v>
      </c>
      <c r="E155" s="116"/>
      <c r="F155" s="118"/>
      <c r="G155" s="119"/>
    </row>
    <row r="156" spans="1:10" ht="14.25" customHeight="1" x14ac:dyDescent="0.2">
      <c r="A156" s="116"/>
      <c r="B156" s="116"/>
      <c r="C156" s="116"/>
      <c r="D156" s="116"/>
      <c r="E156" s="116"/>
      <c r="F156" s="116"/>
      <c r="G156" s="116"/>
    </row>
    <row r="157" spans="1:10" ht="12.75" x14ac:dyDescent="0.2">
      <c r="A157" s="112"/>
      <c r="B157" s="202" t="s">
        <v>949</v>
      </c>
      <c r="C157" s="203"/>
      <c r="D157" s="86" t="s">
        <v>172</v>
      </c>
      <c r="E157" s="112"/>
      <c r="F157" s="112"/>
      <c r="G157" s="112"/>
    </row>
    <row r="158" spans="1:10" ht="12.75" x14ac:dyDescent="0.2">
      <c r="A158" s="112"/>
      <c r="B158" s="105"/>
      <c r="C158" s="105"/>
      <c r="D158" s="112"/>
      <c r="E158" s="112"/>
      <c r="F158" s="112"/>
      <c r="G158" s="112"/>
    </row>
    <row r="159" spans="1:10" ht="12.75" x14ac:dyDescent="0.2">
      <c r="A159" s="112"/>
      <c r="B159" s="202" t="s">
        <v>178</v>
      </c>
      <c r="C159" s="203"/>
      <c r="D159" s="86" t="s">
        <v>172</v>
      </c>
      <c r="E159" s="121"/>
      <c r="F159" s="112"/>
      <c r="G159" s="112"/>
    </row>
    <row r="160" spans="1:10" ht="12.75" x14ac:dyDescent="0.2">
      <c r="A160" s="112"/>
      <c r="B160" s="202" t="s">
        <v>179</v>
      </c>
      <c r="C160" s="203"/>
      <c r="D160" s="86" t="s">
        <v>172</v>
      </c>
      <c r="E160" s="121"/>
      <c r="F160" s="112"/>
      <c r="G160" s="112"/>
    </row>
    <row r="161" spans="1:7" ht="12.75" x14ac:dyDescent="0.2">
      <c r="A161" s="112"/>
      <c r="B161" s="202" t="s">
        <v>180</v>
      </c>
      <c r="C161" s="203"/>
      <c r="D161" s="86" t="s">
        <v>172</v>
      </c>
      <c r="E161" s="121"/>
      <c r="F161" s="112"/>
      <c r="G161" s="112"/>
    </row>
    <row r="162" spans="1:7" ht="12.75" x14ac:dyDescent="0.2">
      <c r="A162" s="112"/>
      <c r="B162" s="202" t="s">
        <v>181</v>
      </c>
      <c r="C162" s="203"/>
      <c r="D162" s="122">
        <v>0.56484696585669514</v>
      </c>
      <c r="E162" s="112"/>
      <c r="F162" s="105"/>
      <c r="G162" s="123"/>
    </row>
    <row r="163" spans="1:7" ht="12.75" x14ac:dyDescent="0.2"/>
    <row r="164" spans="1:7" ht="12.75" x14ac:dyDescent="0.2">
      <c r="B164" s="204" t="s">
        <v>950</v>
      </c>
      <c r="C164" s="204"/>
    </row>
    <row r="165" spans="1:7" ht="12.75" x14ac:dyDescent="0.2"/>
    <row r="166" spans="1:7" ht="12.75" x14ac:dyDescent="0.2"/>
    <row r="167" spans="1:7" ht="12.75" x14ac:dyDescent="0.2"/>
    <row r="168" spans="1:7" ht="12.75" x14ac:dyDescent="0.2"/>
    <row r="169" spans="1:7" ht="12.75" x14ac:dyDescent="0.2"/>
    <row r="170" spans="1:7" ht="12.75" x14ac:dyDescent="0.2"/>
    <row r="171" spans="1:7" ht="12.75" x14ac:dyDescent="0.2"/>
    <row r="172" spans="1:7" ht="12.75" x14ac:dyDescent="0.2"/>
    <row r="173" spans="1:7" ht="12.75" x14ac:dyDescent="0.2"/>
    <row r="174" spans="1:7" ht="12.75" x14ac:dyDescent="0.2"/>
    <row r="175" spans="1:7" ht="12.75" x14ac:dyDescent="0.2"/>
    <row r="176" spans="1:7" ht="12.75" x14ac:dyDescent="0.2"/>
    <row r="177" spans="2:10" ht="12.75" x14ac:dyDescent="0.2"/>
    <row r="178" spans="2:10" ht="12.75" x14ac:dyDescent="0.2"/>
    <row r="179" spans="2:10" ht="12.75" x14ac:dyDescent="0.2">
      <c r="B179" s="124" t="s">
        <v>951</v>
      </c>
      <c r="C179" s="125"/>
      <c r="D179" s="124"/>
    </row>
    <row r="180" spans="2:10" ht="12.75" x14ac:dyDescent="0.2">
      <c r="B180" s="124" t="s">
        <v>959</v>
      </c>
      <c r="D180" s="124"/>
    </row>
    <row r="181" spans="2:10" ht="12.75" x14ac:dyDescent="0.2"/>
    <row r="182" spans="2:10" ht="12.75" x14ac:dyDescent="0.2"/>
    <row r="183" spans="2:10" ht="12.75" x14ac:dyDescent="0.2">
      <c r="J183" s="84"/>
    </row>
    <row r="184" spans="2:10" ht="12.75" x14ac:dyDescent="0.2"/>
    <row r="185" spans="2:10" ht="12.75" x14ac:dyDescent="0.2"/>
    <row r="186" spans="2:10" ht="12.75" x14ac:dyDescent="0.2"/>
    <row r="187" spans="2:10" ht="12.75" x14ac:dyDescent="0.2"/>
    <row r="188" spans="2:10" ht="12.75" x14ac:dyDescent="0.2"/>
    <row r="189" spans="2:10" ht="12.75" x14ac:dyDescent="0.2"/>
    <row r="190" spans="2:10" ht="12.75" x14ac:dyDescent="0.2"/>
    <row r="191" spans="2:10" ht="12.75" x14ac:dyDescent="0.2"/>
    <row r="192" spans="2:10" ht="12.75" x14ac:dyDescent="0.2"/>
    <row r="193" customFormat="1" ht="12.75" x14ac:dyDescent="0.2"/>
    <row r="194" customFormat="1" ht="12.75" x14ac:dyDescent="0.2"/>
    <row r="195" customFormat="1" ht="12.75" x14ac:dyDescent="0.2"/>
  </sheetData>
  <mergeCells count="18">
    <mergeCell ref="B143:H143"/>
    <mergeCell ref="B144:H144"/>
    <mergeCell ref="B146:D146"/>
    <mergeCell ref="B147:C147"/>
    <mergeCell ref="B164:C164"/>
    <mergeCell ref="A1:H1"/>
    <mergeCell ref="A2:H2"/>
    <mergeCell ref="A3:H3"/>
    <mergeCell ref="B157:C157"/>
    <mergeCell ref="B161:C161"/>
    <mergeCell ref="B162:C162"/>
    <mergeCell ref="B140:H140"/>
    <mergeCell ref="B141:H141"/>
    <mergeCell ref="B148:C148"/>
    <mergeCell ref="B149:C149"/>
    <mergeCell ref="B159:C159"/>
    <mergeCell ref="B160:C160"/>
    <mergeCell ref="B142:H142"/>
  </mergeCells>
  <hyperlinks>
    <hyperlink ref="I1" location="Index!B2" display="Index" xr:uid="{A46E8154-A4FD-468E-AF0A-FA4C0225A53D}"/>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434C8-119F-4658-83C1-13833534DF87}">
  <sheetPr>
    <outlinePr summaryBelow="0" summaryRight="0"/>
  </sheetPr>
  <dimension ref="A1:Q155"/>
  <sheetViews>
    <sheetView showGridLines="0" workbookViewId="0">
      <selection sqref="A1:H1"/>
    </sheetView>
  </sheetViews>
  <sheetFormatPr defaultRowHeight="14.25" customHeight="1" x14ac:dyDescent="0.2"/>
  <cols>
    <col min="1" max="1" width="5.85546875" bestFit="1" customWidth="1"/>
    <col min="2" max="2" width="19.7109375" customWidth="1"/>
    <col min="3" max="3" width="39.140625" bestFit="1" customWidth="1"/>
    <col min="4" max="4" width="28.140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357</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358</v>
      </c>
      <c r="C7" s="89" t="s">
        <v>359</v>
      </c>
      <c r="D7" s="89" t="s">
        <v>188</v>
      </c>
      <c r="E7" s="90">
        <v>31964</v>
      </c>
      <c r="F7" s="91">
        <v>192.11962199999999</v>
      </c>
      <c r="G7" s="92">
        <v>5.7410790000000003E-2</v>
      </c>
      <c r="H7" s="87" t="s">
        <v>143</v>
      </c>
    </row>
    <row r="8" spans="1:9" ht="14.25" customHeight="1" x14ac:dyDescent="0.2">
      <c r="A8" s="88">
        <v>2</v>
      </c>
      <c r="B8" s="89" t="s">
        <v>341</v>
      </c>
      <c r="C8" s="89" t="s">
        <v>342</v>
      </c>
      <c r="D8" s="89" t="s">
        <v>256</v>
      </c>
      <c r="E8" s="90">
        <v>9566</v>
      </c>
      <c r="F8" s="91">
        <v>182.48101600000001</v>
      </c>
      <c r="G8" s="92">
        <v>5.4530509999999997E-2</v>
      </c>
      <c r="H8" s="87" t="s">
        <v>143</v>
      </c>
    </row>
    <row r="9" spans="1:9" ht="14.25" customHeight="1" x14ac:dyDescent="0.2">
      <c r="A9" s="88">
        <v>3</v>
      </c>
      <c r="B9" s="89" t="s">
        <v>69</v>
      </c>
      <c r="C9" s="89" t="s">
        <v>70</v>
      </c>
      <c r="D9" s="89" t="s">
        <v>68</v>
      </c>
      <c r="E9" s="90">
        <v>18540</v>
      </c>
      <c r="F9" s="91">
        <v>153.12186</v>
      </c>
      <c r="G9" s="92">
        <v>4.5757159999999998E-2</v>
      </c>
      <c r="H9" s="87" t="s">
        <v>143</v>
      </c>
    </row>
    <row r="10" spans="1:9" ht="14.25" customHeight="1" x14ac:dyDescent="0.2">
      <c r="A10" s="88">
        <v>4</v>
      </c>
      <c r="B10" s="89" t="s">
        <v>360</v>
      </c>
      <c r="C10" s="89" t="s">
        <v>361</v>
      </c>
      <c r="D10" s="89" t="s">
        <v>207</v>
      </c>
      <c r="E10" s="90">
        <v>44850</v>
      </c>
      <c r="F10" s="91">
        <v>146.68192500000001</v>
      </c>
      <c r="G10" s="92">
        <v>4.3832719999999999E-2</v>
      </c>
      <c r="H10" s="87" t="s">
        <v>143</v>
      </c>
    </row>
    <row r="11" spans="1:9" ht="14.25" customHeight="1" x14ac:dyDescent="0.2">
      <c r="A11" s="88">
        <v>5</v>
      </c>
      <c r="B11" s="89" t="s">
        <v>235</v>
      </c>
      <c r="C11" s="89" t="s">
        <v>236</v>
      </c>
      <c r="D11" s="89" t="s">
        <v>191</v>
      </c>
      <c r="E11" s="90">
        <v>1151</v>
      </c>
      <c r="F11" s="91">
        <v>136.64671999999999</v>
      </c>
      <c r="G11" s="92">
        <v>4.0833920000000003E-2</v>
      </c>
      <c r="H11" s="87" t="s">
        <v>143</v>
      </c>
    </row>
    <row r="12" spans="1:9" ht="14.25" customHeight="1" x14ac:dyDescent="0.2">
      <c r="A12" s="88">
        <v>6</v>
      </c>
      <c r="B12" s="89" t="s">
        <v>362</v>
      </c>
      <c r="C12" s="89" t="s">
        <v>363</v>
      </c>
      <c r="D12" s="89" t="s">
        <v>46</v>
      </c>
      <c r="E12" s="90">
        <v>6144</v>
      </c>
      <c r="F12" s="91">
        <v>131.67206400000001</v>
      </c>
      <c r="G12" s="92">
        <v>3.9347350000000003E-2</v>
      </c>
      <c r="H12" s="87" t="s">
        <v>143</v>
      </c>
    </row>
    <row r="13" spans="1:9" ht="14.25" customHeight="1" x14ac:dyDescent="0.2">
      <c r="A13" s="88">
        <v>7</v>
      </c>
      <c r="B13" s="89" t="s">
        <v>364</v>
      </c>
      <c r="C13" s="89" t="s">
        <v>365</v>
      </c>
      <c r="D13" s="89" t="s">
        <v>33</v>
      </c>
      <c r="E13" s="90">
        <v>33313</v>
      </c>
      <c r="F13" s="91">
        <v>120.79293800000001</v>
      </c>
      <c r="G13" s="92">
        <v>3.6096360000000001E-2</v>
      </c>
      <c r="H13" s="87" t="s">
        <v>143</v>
      </c>
    </row>
    <row r="14" spans="1:9" ht="14.25" customHeight="1" x14ac:dyDescent="0.2">
      <c r="A14" s="88">
        <v>8</v>
      </c>
      <c r="B14" s="89" t="s">
        <v>366</v>
      </c>
      <c r="C14" s="89" t="s">
        <v>367</v>
      </c>
      <c r="D14" s="89" t="s">
        <v>46</v>
      </c>
      <c r="E14" s="90">
        <v>43192</v>
      </c>
      <c r="F14" s="91">
        <v>116.812764</v>
      </c>
      <c r="G14" s="92">
        <v>3.4906970000000002E-2</v>
      </c>
      <c r="H14" s="87" t="s">
        <v>143</v>
      </c>
    </row>
    <row r="15" spans="1:9" ht="14.25" customHeight="1" x14ac:dyDescent="0.2">
      <c r="A15" s="88">
        <v>9</v>
      </c>
      <c r="B15" s="89" t="s">
        <v>85</v>
      </c>
      <c r="C15" s="89" t="s">
        <v>86</v>
      </c>
      <c r="D15" s="89" t="s">
        <v>68</v>
      </c>
      <c r="E15" s="90">
        <v>3019</v>
      </c>
      <c r="F15" s="91">
        <v>115.04201399999999</v>
      </c>
      <c r="G15" s="92">
        <v>3.4377820000000003E-2</v>
      </c>
      <c r="H15" s="87" t="s">
        <v>143</v>
      </c>
    </row>
    <row r="16" spans="1:9" ht="14.25" customHeight="1" x14ac:dyDescent="0.2">
      <c r="A16" s="88">
        <v>10</v>
      </c>
      <c r="B16" s="89" t="s">
        <v>368</v>
      </c>
      <c r="C16" s="89" t="s">
        <v>369</v>
      </c>
      <c r="D16" s="89" t="s">
        <v>33</v>
      </c>
      <c r="E16" s="90">
        <v>268914</v>
      </c>
      <c r="F16" s="91">
        <v>114.77249519999999</v>
      </c>
      <c r="G16" s="92">
        <v>3.4297279999999999E-2</v>
      </c>
      <c r="H16" s="87" t="s">
        <v>143</v>
      </c>
    </row>
    <row r="17" spans="1:8" ht="14.25" customHeight="1" x14ac:dyDescent="0.2">
      <c r="A17" s="88">
        <v>11</v>
      </c>
      <c r="B17" s="89" t="s">
        <v>370</v>
      </c>
      <c r="C17" s="89" t="s">
        <v>371</v>
      </c>
      <c r="D17" s="89" t="s">
        <v>194</v>
      </c>
      <c r="E17" s="90">
        <v>1748</v>
      </c>
      <c r="F17" s="91">
        <v>111.3476</v>
      </c>
      <c r="G17" s="92">
        <v>3.3273820000000003E-2</v>
      </c>
      <c r="H17" s="87" t="s">
        <v>143</v>
      </c>
    </row>
    <row r="18" spans="1:8" ht="14.25" customHeight="1" x14ac:dyDescent="0.2">
      <c r="A18" s="88">
        <v>12</v>
      </c>
      <c r="B18" s="89" t="s">
        <v>339</v>
      </c>
      <c r="C18" s="89" t="s">
        <v>340</v>
      </c>
      <c r="D18" s="89" t="s">
        <v>223</v>
      </c>
      <c r="E18" s="90">
        <v>1375</v>
      </c>
      <c r="F18" s="91">
        <v>101.6125</v>
      </c>
      <c r="G18" s="92">
        <v>3.0364700000000001E-2</v>
      </c>
      <c r="H18" s="87" t="s">
        <v>143</v>
      </c>
    </row>
    <row r="19" spans="1:8" ht="14.25" customHeight="1" x14ac:dyDescent="0.2">
      <c r="A19" s="88">
        <v>13</v>
      </c>
      <c r="B19" s="89" t="s">
        <v>54</v>
      </c>
      <c r="C19" s="89" t="s">
        <v>55</v>
      </c>
      <c r="D19" s="89" t="s">
        <v>25</v>
      </c>
      <c r="E19" s="90">
        <v>1334</v>
      </c>
      <c r="F19" s="91">
        <v>92.666309999999996</v>
      </c>
      <c r="G19" s="92">
        <v>2.7691319999999998E-2</v>
      </c>
      <c r="H19" s="87" t="s">
        <v>143</v>
      </c>
    </row>
    <row r="20" spans="1:8" ht="14.25" customHeight="1" x14ac:dyDescent="0.2">
      <c r="A20" s="88">
        <v>14</v>
      </c>
      <c r="B20" s="89" t="s">
        <v>372</v>
      </c>
      <c r="C20" s="89" t="s">
        <v>373</v>
      </c>
      <c r="D20" s="89" t="s">
        <v>194</v>
      </c>
      <c r="E20" s="90">
        <v>5362</v>
      </c>
      <c r="F20" s="91">
        <v>92.456965999999994</v>
      </c>
      <c r="G20" s="92">
        <v>2.762877E-2</v>
      </c>
      <c r="H20" s="87" t="s">
        <v>143</v>
      </c>
    </row>
    <row r="21" spans="1:8" ht="14.25" customHeight="1" x14ac:dyDescent="0.2">
      <c r="A21" s="88">
        <v>15</v>
      </c>
      <c r="B21" s="89" t="s">
        <v>374</v>
      </c>
      <c r="C21" s="89" t="s">
        <v>375</v>
      </c>
      <c r="D21" s="89" t="s">
        <v>268</v>
      </c>
      <c r="E21" s="90">
        <v>1908</v>
      </c>
      <c r="F21" s="91">
        <v>89.4375</v>
      </c>
      <c r="G21" s="92">
        <v>2.672646E-2</v>
      </c>
      <c r="H21" s="87" t="s">
        <v>143</v>
      </c>
    </row>
    <row r="22" spans="1:8" ht="14.25" customHeight="1" x14ac:dyDescent="0.2">
      <c r="A22" s="88">
        <v>16</v>
      </c>
      <c r="B22" s="89" t="s">
        <v>376</v>
      </c>
      <c r="C22" s="89" t="s">
        <v>377</v>
      </c>
      <c r="D22" s="89" t="s">
        <v>223</v>
      </c>
      <c r="E22" s="90">
        <v>3672</v>
      </c>
      <c r="F22" s="91">
        <v>81.143856</v>
      </c>
      <c r="G22" s="92">
        <v>2.424809E-2</v>
      </c>
      <c r="H22" s="87" t="s">
        <v>143</v>
      </c>
    </row>
    <row r="23" spans="1:8" ht="14.25" customHeight="1" x14ac:dyDescent="0.2">
      <c r="A23" s="88">
        <v>17</v>
      </c>
      <c r="B23" s="89" t="s">
        <v>378</v>
      </c>
      <c r="C23" s="89" t="s">
        <v>379</v>
      </c>
      <c r="D23" s="89" t="s">
        <v>194</v>
      </c>
      <c r="E23" s="90">
        <v>9463</v>
      </c>
      <c r="F23" s="91">
        <v>81.088447000000002</v>
      </c>
      <c r="G23" s="92">
        <v>2.4231530000000001E-2</v>
      </c>
      <c r="H23" s="87" t="s">
        <v>143</v>
      </c>
    </row>
    <row r="24" spans="1:8" ht="14.25" customHeight="1" x14ac:dyDescent="0.2">
      <c r="A24" s="88">
        <v>18</v>
      </c>
      <c r="B24" s="89" t="s">
        <v>380</v>
      </c>
      <c r="C24" s="89" t="s">
        <v>381</v>
      </c>
      <c r="D24" s="89" t="s">
        <v>382</v>
      </c>
      <c r="E24" s="90">
        <v>6861</v>
      </c>
      <c r="F24" s="91">
        <v>76.836338999999995</v>
      </c>
      <c r="G24" s="92">
        <v>2.2960879999999999E-2</v>
      </c>
      <c r="H24" s="87" t="s">
        <v>143</v>
      </c>
    </row>
    <row r="25" spans="1:8" ht="14.25" customHeight="1" x14ac:dyDescent="0.2">
      <c r="A25" s="88">
        <v>19</v>
      </c>
      <c r="B25" s="89" t="s">
        <v>383</v>
      </c>
      <c r="C25" s="89" t="s">
        <v>384</v>
      </c>
      <c r="D25" s="89" t="s">
        <v>33</v>
      </c>
      <c r="E25" s="90">
        <v>149355</v>
      </c>
      <c r="F25" s="91">
        <v>75.080758500000002</v>
      </c>
      <c r="G25" s="92">
        <v>2.243626E-2</v>
      </c>
      <c r="H25" s="87" t="s">
        <v>143</v>
      </c>
    </row>
    <row r="26" spans="1:8" ht="14.25" customHeight="1" x14ac:dyDescent="0.2">
      <c r="A26" s="88">
        <v>20</v>
      </c>
      <c r="B26" s="89" t="s">
        <v>385</v>
      </c>
      <c r="C26" s="89" t="s">
        <v>386</v>
      </c>
      <c r="D26" s="89" t="s">
        <v>199</v>
      </c>
      <c r="E26" s="90">
        <v>14636</v>
      </c>
      <c r="F26" s="91">
        <v>74.907048000000003</v>
      </c>
      <c r="G26" s="92">
        <v>2.2384350000000001E-2</v>
      </c>
      <c r="H26" s="87" t="s">
        <v>143</v>
      </c>
    </row>
    <row r="27" spans="1:8" ht="14.25" customHeight="1" x14ac:dyDescent="0.2">
      <c r="A27" s="88">
        <v>21</v>
      </c>
      <c r="B27" s="89" t="s">
        <v>387</v>
      </c>
      <c r="C27" s="89" t="s">
        <v>388</v>
      </c>
      <c r="D27" s="89" t="s">
        <v>389</v>
      </c>
      <c r="E27" s="90">
        <v>19755</v>
      </c>
      <c r="F27" s="91">
        <v>71.117999999999995</v>
      </c>
      <c r="G27" s="92">
        <v>2.125208E-2</v>
      </c>
      <c r="H27" s="87" t="s">
        <v>143</v>
      </c>
    </row>
    <row r="28" spans="1:8" ht="14.25" customHeight="1" x14ac:dyDescent="0.2">
      <c r="A28" s="88">
        <v>22</v>
      </c>
      <c r="B28" s="89" t="s">
        <v>390</v>
      </c>
      <c r="C28" s="89" t="s">
        <v>391</v>
      </c>
      <c r="D28" s="89" t="s">
        <v>191</v>
      </c>
      <c r="E28" s="90">
        <v>9319</v>
      </c>
      <c r="F28" s="91">
        <v>66.877803499999999</v>
      </c>
      <c r="G28" s="92">
        <v>1.9984990000000001E-2</v>
      </c>
      <c r="H28" s="87" t="s">
        <v>143</v>
      </c>
    </row>
    <row r="29" spans="1:8" ht="14.25" customHeight="1" x14ac:dyDescent="0.2">
      <c r="A29" s="88">
        <v>23</v>
      </c>
      <c r="B29" s="89" t="s">
        <v>392</v>
      </c>
      <c r="C29" s="89" t="s">
        <v>393</v>
      </c>
      <c r="D29" s="89" t="s">
        <v>191</v>
      </c>
      <c r="E29" s="90">
        <v>4638</v>
      </c>
      <c r="F29" s="91">
        <v>64.927362000000002</v>
      </c>
      <c r="G29" s="92">
        <v>1.9402139999999998E-2</v>
      </c>
      <c r="H29" s="87" t="s">
        <v>143</v>
      </c>
    </row>
    <row r="30" spans="1:8" ht="14.25" customHeight="1" x14ac:dyDescent="0.2">
      <c r="A30" s="88">
        <v>24</v>
      </c>
      <c r="B30" s="89" t="s">
        <v>394</v>
      </c>
      <c r="C30" s="89" t="s">
        <v>395</v>
      </c>
      <c r="D30" s="89" t="s">
        <v>191</v>
      </c>
      <c r="E30" s="90">
        <v>3675</v>
      </c>
      <c r="F30" s="91">
        <v>63.419474999999998</v>
      </c>
      <c r="G30" s="92">
        <v>1.8951539999999999E-2</v>
      </c>
      <c r="H30" s="87" t="s">
        <v>143</v>
      </c>
    </row>
    <row r="31" spans="1:8" ht="14.25" customHeight="1" x14ac:dyDescent="0.2">
      <c r="A31" s="88">
        <v>25</v>
      </c>
      <c r="B31" s="89" t="s">
        <v>396</v>
      </c>
      <c r="C31" s="89" t="s">
        <v>397</v>
      </c>
      <c r="D31" s="89" t="s">
        <v>68</v>
      </c>
      <c r="E31" s="90">
        <v>12724</v>
      </c>
      <c r="F31" s="91">
        <v>60.31176</v>
      </c>
      <c r="G31" s="92">
        <v>1.802287E-2</v>
      </c>
      <c r="H31" s="87" t="s">
        <v>143</v>
      </c>
    </row>
    <row r="32" spans="1:8" ht="14.25" customHeight="1" x14ac:dyDescent="0.2">
      <c r="A32" s="88">
        <v>26</v>
      </c>
      <c r="B32" s="89" t="s">
        <v>398</v>
      </c>
      <c r="C32" s="89" t="s">
        <v>399</v>
      </c>
      <c r="D32" s="89" t="s">
        <v>207</v>
      </c>
      <c r="E32" s="90">
        <v>8151</v>
      </c>
      <c r="F32" s="91">
        <v>58.5282555</v>
      </c>
      <c r="G32" s="92">
        <v>1.7489899999999999E-2</v>
      </c>
      <c r="H32" s="87" t="s">
        <v>143</v>
      </c>
    </row>
    <row r="33" spans="1:8" ht="14.25" customHeight="1" x14ac:dyDescent="0.2">
      <c r="A33" s="88">
        <v>27</v>
      </c>
      <c r="B33" s="89" t="s">
        <v>400</v>
      </c>
      <c r="C33" s="89" t="s">
        <v>401</v>
      </c>
      <c r="D33" s="89" t="s">
        <v>256</v>
      </c>
      <c r="E33" s="90">
        <v>11897</v>
      </c>
      <c r="F33" s="91">
        <v>54.916552000000003</v>
      </c>
      <c r="G33" s="92">
        <v>1.6410620000000001E-2</v>
      </c>
      <c r="H33" s="87" t="s">
        <v>143</v>
      </c>
    </row>
    <row r="34" spans="1:8" ht="14.25" customHeight="1" x14ac:dyDescent="0.2">
      <c r="A34" s="88">
        <v>28</v>
      </c>
      <c r="B34" s="89" t="s">
        <v>402</v>
      </c>
      <c r="C34" s="89" t="s">
        <v>403</v>
      </c>
      <c r="D34" s="89" t="s">
        <v>194</v>
      </c>
      <c r="E34" s="90">
        <v>5676</v>
      </c>
      <c r="F34" s="91">
        <v>48.927120000000002</v>
      </c>
      <c r="G34" s="92">
        <v>1.462081E-2</v>
      </c>
      <c r="H34" s="87" t="s">
        <v>143</v>
      </c>
    </row>
    <row r="35" spans="1:8" ht="14.25" customHeight="1" x14ac:dyDescent="0.2">
      <c r="A35" s="88">
        <v>29</v>
      </c>
      <c r="B35" s="89" t="s">
        <v>404</v>
      </c>
      <c r="C35" s="89" t="s">
        <v>405</v>
      </c>
      <c r="D35" s="89" t="s">
        <v>406</v>
      </c>
      <c r="E35" s="90">
        <v>3620</v>
      </c>
      <c r="F35" s="91">
        <v>48.178579999999997</v>
      </c>
      <c r="G35" s="92">
        <v>1.4397129999999999E-2</v>
      </c>
      <c r="H35" s="87" t="s">
        <v>143</v>
      </c>
    </row>
    <row r="36" spans="1:8" ht="14.25" customHeight="1" x14ac:dyDescent="0.2">
      <c r="A36" s="88">
        <v>30</v>
      </c>
      <c r="B36" s="89" t="s">
        <v>407</v>
      </c>
      <c r="C36" s="89" t="s">
        <v>408</v>
      </c>
      <c r="D36" s="89" t="s">
        <v>191</v>
      </c>
      <c r="E36" s="90">
        <v>5806</v>
      </c>
      <c r="F36" s="91">
        <v>43.754016</v>
      </c>
      <c r="G36" s="92">
        <v>1.307494E-2</v>
      </c>
      <c r="H36" s="87" t="s">
        <v>143</v>
      </c>
    </row>
    <row r="37" spans="1:8" ht="14.25" customHeight="1" x14ac:dyDescent="0.2">
      <c r="A37" s="88">
        <v>31</v>
      </c>
      <c r="B37" s="89" t="s">
        <v>409</v>
      </c>
      <c r="C37" s="89" t="s">
        <v>410</v>
      </c>
      <c r="D37" s="89" t="s">
        <v>138</v>
      </c>
      <c r="E37" s="90">
        <v>27808</v>
      </c>
      <c r="F37" s="91">
        <v>42.957798400000001</v>
      </c>
      <c r="G37" s="92">
        <v>1.2837009999999999E-2</v>
      </c>
      <c r="H37" s="87" t="s">
        <v>143</v>
      </c>
    </row>
    <row r="38" spans="1:8" ht="14.25" customHeight="1" x14ac:dyDescent="0.2">
      <c r="A38" s="88">
        <v>32</v>
      </c>
      <c r="B38" s="89" t="s">
        <v>411</v>
      </c>
      <c r="C38" s="89" t="s">
        <v>412</v>
      </c>
      <c r="D38" s="89" t="s">
        <v>199</v>
      </c>
      <c r="E38" s="90">
        <v>11397</v>
      </c>
      <c r="F38" s="91">
        <v>41.952356999999999</v>
      </c>
      <c r="G38" s="92">
        <v>1.253656E-2</v>
      </c>
      <c r="H38" s="87" t="s">
        <v>143</v>
      </c>
    </row>
    <row r="39" spans="1:8" ht="14.25" customHeight="1" x14ac:dyDescent="0.2">
      <c r="A39" s="88">
        <v>33</v>
      </c>
      <c r="B39" s="89" t="s">
        <v>75</v>
      </c>
      <c r="C39" s="89" t="s">
        <v>76</v>
      </c>
      <c r="D39" s="89" t="s">
        <v>77</v>
      </c>
      <c r="E39" s="90">
        <v>4383</v>
      </c>
      <c r="F39" s="91">
        <v>40.459473000000003</v>
      </c>
      <c r="G39" s="92">
        <v>1.2090439999999999E-2</v>
      </c>
      <c r="H39" s="87" t="s">
        <v>143</v>
      </c>
    </row>
    <row r="40" spans="1:8" ht="14.25" customHeight="1" x14ac:dyDescent="0.2">
      <c r="A40" s="88">
        <v>34</v>
      </c>
      <c r="B40" s="89" t="s">
        <v>413</v>
      </c>
      <c r="C40" s="89" t="s">
        <v>414</v>
      </c>
      <c r="D40" s="89" t="s">
        <v>46</v>
      </c>
      <c r="E40" s="90">
        <v>5239</v>
      </c>
      <c r="F40" s="91">
        <v>39.103895999999999</v>
      </c>
      <c r="G40" s="92">
        <v>1.1685350000000001E-2</v>
      </c>
      <c r="H40" s="87" t="s">
        <v>143</v>
      </c>
    </row>
    <row r="41" spans="1:8" ht="14.25" customHeight="1" x14ac:dyDescent="0.2">
      <c r="A41" s="88">
        <v>35</v>
      </c>
      <c r="B41" s="89" t="s">
        <v>299</v>
      </c>
      <c r="C41" s="89" t="s">
        <v>300</v>
      </c>
      <c r="D41" s="89" t="s">
        <v>68</v>
      </c>
      <c r="E41" s="90">
        <v>2184</v>
      </c>
      <c r="F41" s="91">
        <v>34.146839999999997</v>
      </c>
      <c r="G41" s="92">
        <v>1.0204049999999999E-2</v>
      </c>
      <c r="H41" s="87" t="s">
        <v>143</v>
      </c>
    </row>
    <row r="42" spans="1:8" ht="14.25" customHeight="1" x14ac:dyDescent="0.2">
      <c r="A42" s="88">
        <v>36</v>
      </c>
      <c r="B42" s="89" t="s">
        <v>216</v>
      </c>
      <c r="C42" s="89" t="s">
        <v>217</v>
      </c>
      <c r="D42" s="89" t="s">
        <v>77</v>
      </c>
      <c r="E42" s="90">
        <v>2178</v>
      </c>
      <c r="F42" s="91">
        <v>32.739696000000002</v>
      </c>
      <c r="G42" s="92">
        <v>9.7835500000000002E-3</v>
      </c>
      <c r="H42" s="87" t="s">
        <v>143</v>
      </c>
    </row>
    <row r="43" spans="1:8" ht="14.25" customHeight="1" x14ac:dyDescent="0.2">
      <c r="A43" s="88">
        <v>37</v>
      </c>
      <c r="B43" s="89" t="s">
        <v>415</v>
      </c>
      <c r="C43" s="89" t="s">
        <v>416</v>
      </c>
      <c r="D43" s="89" t="s">
        <v>46</v>
      </c>
      <c r="E43" s="90">
        <v>4246</v>
      </c>
      <c r="F43" s="91">
        <v>30.876912000000001</v>
      </c>
      <c r="G43" s="92">
        <v>9.2268999999999997E-3</v>
      </c>
      <c r="H43" s="87" t="s">
        <v>143</v>
      </c>
    </row>
    <row r="44" spans="1:8" ht="14.25" customHeight="1" x14ac:dyDescent="0.2">
      <c r="A44" s="88">
        <v>38</v>
      </c>
      <c r="B44" s="89" t="s">
        <v>417</v>
      </c>
      <c r="C44" s="89" t="s">
        <v>418</v>
      </c>
      <c r="D44" s="89" t="s">
        <v>68</v>
      </c>
      <c r="E44" s="90">
        <v>2283</v>
      </c>
      <c r="F44" s="91">
        <v>20.811827999999998</v>
      </c>
      <c r="G44" s="92">
        <v>6.2191700000000004E-3</v>
      </c>
      <c r="H44" s="87" t="s">
        <v>143</v>
      </c>
    </row>
    <row r="45" spans="1:8" ht="14.25" customHeight="1" x14ac:dyDescent="0.2">
      <c r="A45" s="88">
        <v>39</v>
      </c>
      <c r="B45" s="89" t="s">
        <v>419</v>
      </c>
      <c r="C45" s="89" t="s">
        <v>420</v>
      </c>
      <c r="D45" s="89" t="s">
        <v>43</v>
      </c>
      <c r="E45" s="90">
        <v>4214</v>
      </c>
      <c r="F45" s="91">
        <v>13.309919000000001</v>
      </c>
      <c r="G45" s="92">
        <v>3.97738E-3</v>
      </c>
      <c r="H45" s="87" t="s">
        <v>143</v>
      </c>
    </row>
    <row r="46" spans="1:8" ht="14.25" customHeight="1" x14ac:dyDescent="0.2">
      <c r="A46" s="93"/>
      <c r="B46" s="93"/>
      <c r="C46" s="94" t="s">
        <v>142</v>
      </c>
      <c r="D46" s="93"/>
      <c r="E46" s="93" t="s">
        <v>143</v>
      </c>
      <c r="F46" s="95">
        <v>3164.0383861</v>
      </c>
      <c r="G46" s="96">
        <v>0.94550449000000003</v>
      </c>
      <c r="H46" s="87" t="s">
        <v>143</v>
      </c>
    </row>
    <row r="47" spans="1:8" ht="14.25" customHeight="1" x14ac:dyDescent="0.2">
      <c r="A47" s="93"/>
      <c r="B47" s="93"/>
      <c r="C47" s="97"/>
      <c r="D47" s="93"/>
      <c r="E47" s="93"/>
      <c r="F47" s="98"/>
      <c r="G47" s="98"/>
      <c r="H47" s="87" t="s">
        <v>143</v>
      </c>
    </row>
    <row r="48" spans="1:8" ht="14.25" customHeight="1" x14ac:dyDescent="0.2">
      <c r="A48" s="93"/>
      <c r="B48" s="93"/>
      <c r="C48" s="94" t="s">
        <v>144</v>
      </c>
      <c r="D48" s="93"/>
      <c r="E48" s="93"/>
      <c r="F48" s="93"/>
      <c r="G48" s="93"/>
      <c r="H48" s="87" t="s">
        <v>143</v>
      </c>
    </row>
    <row r="49" spans="1:8" ht="14.25" customHeight="1" x14ac:dyDescent="0.2">
      <c r="A49" s="93"/>
      <c r="B49" s="93"/>
      <c r="C49" s="94" t="s">
        <v>142</v>
      </c>
      <c r="D49" s="93"/>
      <c r="E49" s="93" t="s">
        <v>143</v>
      </c>
      <c r="F49" s="99" t="s">
        <v>145</v>
      </c>
      <c r="G49" s="96">
        <v>0</v>
      </c>
      <c r="H49" s="87" t="s">
        <v>143</v>
      </c>
    </row>
    <row r="50" spans="1:8" ht="14.25" customHeight="1" x14ac:dyDescent="0.2">
      <c r="A50" s="93"/>
      <c r="B50" s="93"/>
      <c r="C50" s="97"/>
      <c r="D50" s="93"/>
      <c r="E50" s="93"/>
      <c r="F50" s="98"/>
      <c r="G50" s="98"/>
      <c r="H50" s="87" t="s">
        <v>143</v>
      </c>
    </row>
    <row r="51" spans="1:8" ht="14.25" customHeight="1" x14ac:dyDescent="0.2">
      <c r="A51" s="93"/>
      <c r="B51" s="93"/>
      <c r="C51" s="94" t="s">
        <v>146</v>
      </c>
      <c r="D51" s="93"/>
      <c r="E51" s="93"/>
      <c r="F51" s="93"/>
      <c r="G51" s="93"/>
      <c r="H51" s="87" t="s">
        <v>143</v>
      </c>
    </row>
    <row r="52" spans="1:8" ht="14.25" customHeight="1" x14ac:dyDescent="0.2">
      <c r="A52" s="93"/>
      <c r="B52" s="93"/>
      <c r="C52" s="94" t="s">
        <v>142</v>
      </c>
      <c r="D52" s="93"/>
      <c r="E52" s="93" t="s">
        <v>143</v>
      </c>
      <c r="F52" s="99" t="s">
        <v>145</v>
      </c>
      <c r="G52" s="96">
        <v>0</v>
      </c>
      <c r="H52" s="87" t="s">
        <v>143</v>
      </c>
    </row>
    <row r="53" spans="1:8" ht="14.25" customHeight="1" x14ac:dyDescent="0.2">
      <c r="A53" s="93"/>
      <c r="B53" s="93"/>
      <c r="C53" s="97"/>
      <c r="D53" s="93"/>
      <c r="E53" s="93"/>
      <c r="F53" s="98"/>
      <c r="G53" s="98"/>
      <c r="H53" s="87" t="s">
        <v>143</v>
      </c>
    </row>
    <row r="54" spans="1:8" ht="14.25" customHeight="1" x14ac:dyDescent="0.2">
      <c r="A54" s="93"/>
      <c r="B54" s="93"/>
      <c r="C54" s="94" t="s">
        <v>147</v>
      </c>
      <c r="D54" s="93"/>
      <c r="E54" s="93"/>
      <c r="F54" s="93"/>
      <c r="G54" s="93"/>
      <c r="H54" s="87" t="s">
        <v>143</v>
      </c>
    </row>
    <row r="55" spans="1:8" ht="14.25" customHeight="1" x14ac:dyDescent="0.2">
      <c r="A55" s="93"/>
      <c r="B55" s="93"/>
      <c r="C55" s="94" t="s">
        <v>142</v>
      </c>
      <c r="D55" s="93"/>
      <c r="E55" s="93" t="s">
        <v>143</v>
      </c>
      <c r="F55" s="99" t="s">
        <v>145</v>
      </c>
      <c r="G55" s="96">
        <v>0</v>
      </c>
      <c r="H55" s="87" t="s">
        <v>143</v>
      </c>
    </row>
    <row r="56" spans="1:8" ht="14.25" customHeight="1" x14ac:dyDescent="0.2">
      <c r="A56" s="93"/>
      <c r="B56" s="93"/>
      <c r="C56" s="97"/>
      <c r="D56" s="93"/>
      <c r="E56" s="93"/>
      <c r="F56" s="98"/>
      <c r="G56" s="98"/>
      <c r="H56" s="87" t="s">
        <v>143</v>
      </c>
    </row>
    <row r="57" spans="1:8" ht="14.25" customHeight="1" x14ac:dyDescent="0.2">
      <c r="A57" s="93"/>
      <c r="B57" s="93"/>
      <c r="C57" s="94" t="s">
        <v>148</v>
      </c>
      <c r="D57" s="93"/>
      <c r="E57" s="93"/>
      <c r="F57" s="98"/>
      <c r="G57" s="98"/>
      <c r="H57" s="87" t="s">
        <v>143</v>
      </c>
    </row>
    <row r="58" spans="1:8" ht="14.25" customHeight="1" x14ac:dyDescent="0.2">
      <c r="A58" s="93"/>
      <c r="B58" s="93"/>
      <c r="C58" s="94" t="s">
        <v>142</v>
      </c>
      <c r="D58" s="93"/>
      <c r="E58" s="93" t="s">
        <v>143</v>
      </c>
      <c r="F58" s="99" t="s">
        <v>145</v>
      </c>
      <c r="G58" s="96">
        <v>0</v>
      </c>
      <c r="H58" s="87" t="s">
        <v>143</v>
      </c>
    </row>
    <row r="59" spans="1:8" ht="14.25" customHeight="1" x14ac:dyDescent="0.2">
      <c r="A59" s="93"/>
      <c r="B59" s="93"/>
      <c r="C59" s="97"/>
      <c r="D59" s="93"/>
      <c r="E59" s="93"/>
      <c r="F59" s="98"/>
      <c r="G59" s="98"/>
      <c r="H59" s="87" t="s">
        <v>143</v>
      </c>
    </row>
    <row r="60" spans="1:8" ht="14.25" customHeight="1" x14ac:dyDescent="0.2">
      <c r="A60" s="93"/>
      <c r="B60" s="93"/>
      <c r="C60" s="94" t="s">
        <v>149</v>
      </c>
      <c r="D60" s="93"/>
      <c r="E60" s="93"/>
      <c r="F60" s="98"/>
      <c r="G60" s="98"/>
      <c r="H60" s="87" t="s">
        <v>143</v>
      </c>
    </row>
    <row r="61" spans="1:8" ht="14.25" customHeight="1" x14ac:dyDescent="0.2">
      <c r="A61" s="93"/>
      <c r="B61" s="93"/>
      <c r="C61" s="94" t="s">
        <v>142</v>
      </c>
      <c r="D61" s="93"/>
      <c r="E61" s="93" t="s">
        <v>143</v>
      </c>
      <c r="F61" s="99" t="s">
        <v>145</v>
      </c>
      <c r="G61" s="96">
        <v>0</v>
      </c>
      <c r="H61" s="87" t="s">
        <v>143</v>
      </c>
    </row>
    <row r="62" spans="1:8" ht="14.25" customHeight="1" x14ac:dyDescent="0.2">
      <c r="A62" s="93"/>
      <c r="B62" s="93"/>
      <c r="C62" s="97"/>
      <c r="D62" s="93"/>
      <c r="E62" s="93"/>
      <c r="F62" s="98"/>
      <c r="G62" s="98"/>
      <c r="H62" s="87" t="s">
        <v>143</v>
      </c>
    </row>
    <row r="63" spans="1:8" ht="14.25" customHeight="1" x14ac:dyDescent="0.2">
      <c r="A63" s="93"/>
      <c r="B63" s="93"/>
      <c r="C63" s="94" t="s">
        <v>150</v>
      </c>
      <c r="D63" s="93"/>
      <c r="E63" s="93"/>
      <c r="F63" s="95">
        <v>3164.0383861</v>
      </c>
      <c r="G63" s="96">
        <v>0.94550449000000003</v>
      </c>
      <c r="H63" s="87" t="s">
        <v>143</v>
      </c>
    </row>
    <row r="64" spans="1:8" ht="14.25" customHeight="1" x14ac:dyDescent="0.2">
      <c r="A64" s="93"/>
      <c r="B64" s="93"/>
      <c r="C64" s="97"/>
      <c r="D64" s="93"/>
      <c r="E64" s="93"/>
      <c r="F64" s="98"/>
      <c r="G64" s="98"/>
      <c r="H64" s="87" t="s">
        <v>143</v>
      </c>
    </row>
    <row r="65" spans="1:8" ht="14.25" customHeight="1" x14ac:dyDescent="0.2">
      <c r="A65" s="93"/>
      <c r="B65" s="93"/>
      <c r="C65" s="94" t="s">
        <v>151</v>
      </c>
      <c r="D65" s="93"/>
      <c r="E65" s="93"/>
      <c r="F65" s="98"/>
      <c r="G65" s="98"/>
      <c r="H65" s="87" t="s">
        <v>143</v>
      </c>
    </row>
    <row r="66" spans="1:8" ht="14.25" customHeight="1" x14ac:dyDescent="0.2">
      <c r="A66" s="93"/>
      <c r="B66" s="93"/>
      <c r="C66" s="94" t="s">
        <v>10</v>
      </c>
      <c r="D66" s="93"/>
      <c r="E66" s="93"/>
      <c r="F66" s="98"/>
      <c r="G66" s="98"/>
      <c r="H66" s="87" t="s">
        <v>143</v>
      </c>
    </row>
    <row r="67" spans="1:8" ht="14.25" customHeight="1" x14ac:dyDescent="0.2">
      <c r="A67" s="93"/>
      <c r="B67" s="93"/>
      <c r="C67" s="94" t="s">
        <v>142</v>
      </c>
      <c r="D67" s="93"/>
      <c r="E67" s="93" t="s">
        <v>143</v>
      </c>
      <c r="F67" s="99" t="s">
        <v>145</v>
      </c>
      <c r="G67" s="96">
        <v>0</v>
      </c>
      <c r="H67" s="87" t="s">
        <v>143</v>
      </c>
    </row>
    <row r="68" spans="1:8" ht="14.25" customHeight="1" x14ac:dyDescent="0.2">
      <c r="A68" s="93"/>
      <c r="B68" s="93"/>
      <c r="C68" s="97"/>
      <c r="D68" s="93"/>
      <c r="E68" s="93"/>
      <c r="F68" s="98"/>
      <c r="G68" s="98"/>
      <c r="H68" s="87" t="s">
        <v>143</v>
      </c>
    </row>
    <row r="69" spans="1:8" ht="14.25" customHeight="1" x14ac:dyDescent="0.2">
      <c r="A69" s="93"/>
      <c r="B69" s="93"/>
      <c r="C69" s="94" t="s">
        <v>152</v>
      </c>
      <c r="D69" s="93"/>
      <c r="E69" s="93"/>
      <c r="F69" s="93"/>
      <c r="G69" s="93"/>
      <c r="H69" s="87" t="s">
        <v>143</v>
      </c>
    </row>
    <row r="70" spans="1:8" ht="14.25" customHeight="1" x14ac:dyDescent="0.2">
      <c r="A70" s="93"/>
      <c r="B70" s="93"/>
      <c r="C70" s="94" t="s">
        <v>142</v>
      </c>
      <c r="D70" s="93"/>
      <c r="E70" s="93" t="s">
        <v>143</v>
      </c>
      <c r="F70" s="99" t="s">
        <v>145</v>
      </c>
      <c r="G70" s="96">
        <v>0</v>
      </c>
      <c r="H70" s="87" t="s">
        <v>143</v>
      </c>
    </row>
    <row r="71" spans="1:8" ht="14.25" customHeight="1" x14ac:dyDescent="0.2">
      <c r="A71" s="93"/>
      <c r="B71" s="93"/>
      <c r="C71" s="97"/>
      <c r="D71" s="93"/>
      <c r="E71" s="93"/>
      <c r="F71" s="98"/>
      <c r="G71" s="98"/>
      <c r="H71" s="87" t="s">
        <v>143</v>
      </c>
    </row>
    <row r="72" spans="1:8" ht="14.25" customHeight="1" x14ac:dyDescent="0.2">
      <c r="A72" s="93"/>
      <c r="B72" s="93"/>
      <c r="C72" s="94" t="s">
        <v>153</v>
      </c>
      <c r="D72" s="93"/>
      <c r="E72" s="93"/>
      <c r="F72" s="93"/>
      <c r="G72" s="93"/>
      <c r="H72" s="87" t="s">
        <v>143</v>
      </c>
    </row>
    <row r="73" spans="1:8" ht="14.25" customHeight="1" x14ac:dyDescent="0.2">
      <c r="A73" s="93"/>
      <c r="B73" s="93"/>
      <c r="C73" s="94" t="s">
        <v>142</v>
      </c>
      <c r="D73" s="93"/>
      <c r="E73" s="93" t="s">
        <v>143</v>
      </c>
      <c r="F73" s="99" t="s">
        <v>145</v>
      </c>
      <c r="G73" s="96">
        <v>0</v>
      </c>
      <c r="H73" s="87" t="s">
        <v>143</v>
      </c>
    </row>
    <row r="74" spans="1:8" ht="14.25" customHeight="1" x14ac:dyDescent="0.2">
      <c r="A74" s="93"/>
      <c r="B74" s="93"/>
      <c r="C74" s="97"/>
      <c r="D74" s="93"/>
      <c r="E74" s="93"/>
      <c r="F74" s="98"/>
      <c r="G74" s="98"/>
      <c r="H74" s="87" t="s">
        <v>143</v>
      </c>
    </row>
    <row r="75" spans="1:8" ht="14.25" customHeight="1" x14ac:dyDescent="0.2">
      <c r="A75" s="93"/>
      <c r="B75" s="93"/>
      <c r="C75" s="94" t="s">
        <v>154</v>
      </c>
      <c r="D75" s="93"/>
      <c r="E75" s="93"/>
      <c r="F75" s="98"/>
      <c r="G75" s="98"/>
      <c r="H75" s="87" t="s">
        <v>143</v>
      </c>
    </row>
    <row r="76" spans="1:8" ht="14.25" customHeight="1" x14ac:dyDescent="0.2">
      <c r="A76" s="93"/>
      <c r="B76" s="93"/>
      <c r="C76" s="94" t="s">
        <v>142</v>
      </c>
      <c r="D76" s="93"/>
      <c r="E76" s="93" t="s">
        <v>143</v>
      </c>
      <c r="F76" s="99" t="s">
        <v>145</v>
      </c>
      <c r="G76" s="96">
        <v>0</v>
      </c>
      <c r="H76" s="87" t="s">
        <v>143</v>
      </c>
    </row>
    <row r="77" spans="1:8" ht="14.25" customHeight="1" x14ac:dyDescent="0.2">
      <c r="A77" s="93"/>
      <c r="B77" s="93"/>
      <c r="C77" s="97"/>
      <c r="D77" s="93"/>
      <c r="E77" s="93"/>
      <c r="F77" s="98"/>
      <c r="G77" s="98"/>
      <c r="H77" s="87" t="s">
        <v>143</v>
      </c>
    </row>
    <row r="78" spans="1:8" ht="14.25" customHeight="1" x14ac:dyDescent="0.2">
      <c r="A78" s="93"/>
      <c r="B78" s="93"/>
      <c r="C78" s="94" t="s">
        <v>155</v>
      </c>
      <c r="D78" s="93"/>
      <c r="E78" s="93"/>
      <c r="F78" s="95">
        <v>0</v>
      </c>
      <c r="G78" s="96">
        <v>0</v>
      </c>
      <c r="H78" s="87" t="s">
        <v>143</v>
      </c>
    </row>
    <row r="79" spans="1:8" ht="14.25" customHeight="1" x14ac:dyDescent="0.2">
      <c r="A79" s="93"/>
      <c r="B79" s="93"/>
      <c r="C79" s="97"/>
      <c r="D79" s="93"/>
      <c r="E79" s="93"/>
      <c r="F79" s="98"/>
      <c r="G79" s="98"/>
      <c r="H79" s="87" t="s">
        <v>143</v>
      </c>
    </row>
    <row r="80" spans="1:8" ht="14.25" customHeight="1" x14ac:dyDescent="0.2">
      <c r="A80" s="93"/>
      <c r="B80" s="93"/>
      <c r="C80" s="94" t="s">
        <v>156</v>
      </c>
      <c r="D80" s="93"/>
      <c r="E80" s="93"/>
      <c r="F80" s="98"/>
      <c r="G80" s="98"/>
      <c r="H80" s="87" t="s">
        <v>143</v>
      </c>
    </row>
    <row r="81" spans="1:8" ht="14.25" customHeight="1" x14ac:dyDescent="0.2">
      <c r="A81" s="93"/>
      <c r="B81" s="93"/>
      <c r="C81" s="94" t="s">
        <v>157</v>
      </c>
      <c r="D81" s="93"/>
      <c r="E81" s="93"/>
      <c r="F81" s="98"/>
      <c r="G81" s="98"/>
      <c r="H81" s="87" t="s">
        <v>143</v>
      </c>
    </row>
    <row r="82" spans="1:8" ht="14.25" customHeight="1" x14ac:dyDescent="0.2">
      <c r="A82" s="93"/>
      <c r="B82" s="93"/>
      <c r="C82" s="94" t="s">
        <v>142</v>
      </c>
      <c r="D82" s="93"/>
      <c r="E82" s="93" t="s">
        <v>143</v>
      </c>
      <c r="F82" s="99" t="s">
        <v>145</v>
      </c>
      <c r="G82" s="96">
        <v>0</v>
      </c>
      <c r="H82" s="87" t="s">
        <v>143</v>
      </c>
    </row>
    <row r="83" spans="1:8" ht="14.25" customHeight="1" x14ac:dyDescent="0.2">
      <c r="A83" s="93"/>
      <c r="B83" s="93"/>
      <c r="C83" s="97"/>
      <c r="D83" s="93"/>
      <c r="E83" s="93"/>
      <c r="F83" s="98"/>
      <c r="G83" s="98"/>
      <c r="H83" s="87" t="s">
        <v>143</v>
      </c>
    </row>
    <row r="84" spans="1:8" ht="14.25" customHeight="1" x14ac:dyDescent="0.2">
      <c r="A84" s="93"/>
      <c r="B84" s="93"/>
      <c r="C84" s="94" t="s">
        <v>158</v>
      </c>
      <c r="D84" s="93"/>
      <c r="E84" s="93"/>
      <c r="F84" s="98"/>
      <c r="G84" s="98"/>
      <c r="H84" s="87" t="s">
        <v>143</v>
      </c>
    </row>
    <row r="85" spans="1:8" ht="14.25" customHeight="1" x14ac:dyDescent="0.2">
      <c r="A85" s="93"/>
      <c r="B85" s="93"/>
      <c r="C85" s="94" t="s">
        <v>142</v>
      </c>
      <c r="D85" s="93"/>
      <c r="E85" s="93" t="s">
        <v>143</v>
      </c>
      <c r="F85" s="99" t="s">
        <v>145</v>
      </c>
      <c r="G85" s="96">
        <v>0</v>
      </c>
      <c r="H85" s="87" t="s">
        <v>143</v>
      </c>
    </row>
    <row r="86" spans="1:8" ht="14.25" customHeight="1" x14ac:dyDescent="0.2">
      <c r="A86" s="93"/>
      <c r="B86" s="93"/>
      <c r="C86" s="97"/>
      <c r="D86" s="93"/>
      <c r="E86" s="93"/>
      <c r="F86" s="98"/>
      <c r="G86" s="98"/>
      <c r="H86" s="87" t="s">
        <v>143</v>
      </c>
    </row>
    <row r="87" spans="1:8" ht="14.25" customHeight="1" x14ac:dyDescent="0.2">
      <c r="A87" s="93"/>
      <c r="B87" s="93"/>
      <c r="C87" s="94" t="s">
        <v>159</v>
      </c>
      <c r="D87" s="93"/>
      <c r="E87" s="93"/>
      <c r="F87" s="98"/>
      <c r="G87" s="98"/>
      <c r="H87" s="87" t="s">
        <v>143</v>
      </c>
    </row>
    <row r="88" spans="1:8" ht="14.25" customHeight="1" x14ac:dyDescent="0.2">
      <c r="A88" s="93"/>
      <c r="B88" s="93"/>
      <c r="C88" s="94" t="s">
        <v>142</v>
      </c>
      <c r="D88" s="93"/>
      <c r="E88" s="93" t="s">
        <v>143</v>
      </c>
      <c r="F88" s="99" t="s">
        <v>145</v>
      </c>
      <c r="G88" s="96">
        <v>0</v>
      </c>
      <c r="H88" s="87" t="s">
        <v>143</v>
      </c>
    </row>
    <row r="89" spans="1:8" ht="14.25" customHeight="1" x14ac:dyDescent="0.2">
      <c r="A89" s="93"/>
      <c r="B89" s="93"/>
      <c r="C89" s="97"/>
      <c r="D89" s="93"/>
      <c r="E89" s="93"/>
      <c r="F89" s="98"/>
      <c r="G89" s="98"/>
      <c r="H89" s="87" t="s">
        <v>143</v>
      </c>
    </row>
    <row r="90" spans="1:8" ht="14.25" customHeight="1" x14ac:dyDescent="0.2">
      <c r="A90" s="93"/>
      <c r="B90" s="93"/>
      <c r="C90" s="94" t="s">
        <v>160</v>
      </c>
      <c r="D90" s="93"/>
      <c r="E90" s="93"/>
      <c r="F90" s="98"/>
      <c r="G90" s="98"/>
      <c r="H90" s="87" t="s">
        <v>143</v>
      </c>
    </row>
    <row r="91" spans="1:8" ht="14.25" customHeight="1" x14ac:dyDescent="0.2">
      <c r="A91" s="88">
        <v>1</v>
      </c>
      <c r="B91" s="89"/>
      <c r="C91" s="89" t="s">
        <v>161</v>
      </c>
      <c r="D91" s="89"/>
      <c r="E91" s="100"/>
      <c r="F91" s="91">
        <v>181.20566700099999</v>
      </c>
      <c r="G91" s="92">
        <v>5.4149389999999999E-2</v>
      </c>
      <c r="H91" s="87">
        <v>5.38</v>
      </c>
    </row>
    <row r="92" spans="1:8" ht="14.25" customHeight="1" x14ac:dyDescent="0.2">
      <c r="A92" s="93"/>
      <c r="B92" s="93"/>
      <c r="C92" s="94" t="s">
        <v>142</v>
      </c>
      <c r="D92" s="93"/>
      <c r="E92" s="93" t="s">
        <v>143</v>
      </c>
      <c r="F92" s="95">
        <v>181.20566700099999</v>
      </c>
      <c r="G92" s="96">
        <v>5.4149389999999999E-2</v>
      </c>
      <c r="H92" s="87" t="s">
        <v>143</v>
      </c>
    </row>
    <row r="93" spans="1:8" ht="14.25" customHeight="1" x14ac:dyDescent="0.2">
      <c r="A93" s="93"/>
      <c r="B93" s="93"/>
      <c r="C93" s="97"/>
      <c r="D93" s="93"/>
      <c r="E93" s="93"/>
      <c r="F93" s="98"/>
      <c r="G93" s="98"/>
      <c r="H93" s="87" t="s">
        <v>143</v>
      </c>
    </row>
    <row r="94" spans="1:8" ht="14.25" customHeight="1" x14ac:dyDescent="0.2">
      <c r="A94" s="93"/>
      <c r="B94" s="93"/>
      <c r="C94" s="94" t="s">
        <v>162</v>
      </c>
      <c r="D94" s="93"/>
      <c r="E94" s="93"/>
      <c r="F94" s="95">
        <v>181.20566700099999</v>
      </c>
      <c r="G94" s="96">
        <v>5.4149389999999999E-2</v>
      </c>
      <c r="H94" s="87" t="s">
        <v>143</v>
      </c>
    </row>
    <row r="95" spans="1:8" ht="14.25" customHeight="1" x14ac:dyDescent="0.2">
      <c r="A95" s="93"/>
      <c r="B95" s="93"/>
      <c r="C95" s="98"/>
      <c r="D95" s="93"/>
      <c r="E95" s="93"/>
      <c r="F95" s="93"/>
      <c r="G95" s="93"/>
      <c r="H95" s="87" t="s">
        <v>143</v>
      </c>
    </row>
    <row r="96" spans="1:8" ht="14.25" customHeight="1" x14ac:dyDescent="0.2">
      <c r="A96" s="93"/>
      <c r="B96" s="93"/>
      <c r="C96" s="94" t="s">
        <v>163</v>
      </c>
      <c r="D96" s="93"/>
      <c r="E96" s="93"/>
      <c r="F96" s="93"/>
      <c r="G96" s="93"/>
      <c r="H96" s="87" t="s">
        <v>143</v>
      </c>
    </row>
    <row r="97" spans="1:10" ht="14.25" customHeight="1" x14ac:dyDescent="0.2">
      <c r="A97" s="93"/>
      <c r="B97" s="93"/>
      <c r="C97" s="94" t="s">
        <v>164</v>
      </c>
      <c r="D97" s="93"/>
      <c r="E97" s="93"/>
      <c r="F97" s="93"/>
      <c r="G97" s="93"/>
      <c r="H97" s="87" t="s">
        <v>143</v>
      </c>
    </row>
    <row r="98" spans="1:10" ht="14.25" customHeight="1" x14ac:dyDescent="0.2">
      <c r="A98" s="93"/>
      <c r="B98" s="93"/>
      <c r="C98" s="94" t="s">
        <v>142</v>
      </c>
      <c r="D98" s="93"/>
      <c r="E98" s="93" t="s">
        <v>143</v>
      </c>
      <c r="F98" s="99" t="s">
        <v>145</v>
      </c>
      <c r="G98" s="96">
        <v>0</v>
      </c>
      <c r="H98" s="87" t="s">
        <v>143</v>
      </c>
    </row>
    <row r="99" spans="1:10" ht="14.25" customHeight="1" x14ac:dyDescent="0.2">
      <c r="A99" s="93"/>
      <c r="B99" s="93"/>
      <c r="C99" s="97"/>
      <c r="D99" s="93"/>
      <c r="E99" s="93"/>
      <c r="F99" s="98"/>
      <c r="G99" s="98"/>
      <c r="H99" s="87" t="s">
        <v>143</v>
      </c>
    </row>
    <row r="100" spans="1:10" ht="14.25" customHeight="1" x14ac:dyDescent="0.2">
      <c r="A100" s="93"/>
      <c r="B100" s="93"/>
      <c r="C100" s="94" t="s">
        <v>165</v>
      </c>
      <c r="D100" s="93"/>
      <c r="E100" s="93"/>
      <c r="F100" s="93"/>
      <c r="G100" s="93"/>
      <c r="H100" s="87" t="s">
        <v>143</v>
      </c>
    </row>
    <row r="101" spans="1:10" ht="14.25" customHeight="1" x14ac:dyDescent="0.2">
      <c r="A101" s="93"/>
      <c r="B101" s="93"/>
      <c r="C101" s="94" t="s">
        <v>166</v>
      </c>
      <c r="D101" s="93"/>
      <c r="E101" s="93"/>
      <c r="F101" s="93"/>
      <c r="G101" s="93"/>
      <c r="H101" s="87" t="s">
        <v>143</v>
      </c>
    </row>
    <row r="102" spans="1:10" ht="14.25" customHeight="1" x14ac:dyDescent="0.2">
      <c r="A102" s="93"/>
      <c r="B102" s="93"/>
      <c r="C102" s="94" t="s">
        <v>142</v>
      </c>
      <c r="D102" s="93"/>
      <c r="E102" s="93" t="s">
        <v>143</v>
      </c>
      <c r="F102" s="99" t="s">
        <v>145</v>
      </c>
      <c r="G102" s="96">
        <v>0</v>
      </c>
      <c r="H102" s="87" t="s">
        <v>143</v>
      </c>
    </row>
    <row r="103" spans="1:10" ht="14.25" customHeight="1" x14ac:dyDescent="0.2">
      <c r="A103" s="93"/>
      <c r="B103" s="93"/>
      <c r="C103" s="97"/>
      <c r="D103" s="93"/>
      <c r="E103" s="93"/>
      <c r="F103" s="98"/>
      <c r="G103" s="98"/>
      <c r="H103" s="87" t="s">
        <v>143</v>
      </c>
    </row>
    <row r="104" spans="1:10" ht="14.25" customHeight="1" x14ac:dyDescent="0.2">
      <c r="A104" s="93"/>
      <c r="B104" s="93"/>
      <c r="C104" s="94" t="s">
        <v>167</v>
      </c>
      <c r="D104" s="93"/>
      <c r="E104" s="93"/>
      <c r="F104" s="98"/>
      <c r="G104" s="98"/>
      <c r="H104" s="87" t="s">
        <v>143</v>
      </c>
    </row>
    <row r="105" spans="1:10" ht="14.25" customHeight="1" x14ac:dyDescent="0.2">
      <c r="A105" s="93"/>
      <c r="B105" s="93"/>
      <c r="C105" s="94" t="s">
        <v>142</v>
      </c>
      <c r="D105" s="93"/>
      <c r="E105" s="93" t="s">
        <v>143</v>
      </c>
      <c r="F105" s="99" t="s">
        <v>145</v>
      </c>
      <c r="G105" s="96">
        <v>0</v>
      </c>
      <c r="H105" s="87" t="s">
        <v>143</v>
      </c>
    </row>
    <row r="106" spans="1:10" ht="14.25" customHeight="1" x14ac:dyDescent="0.2">
      <c r="A106" s="93"/>
      <c r="B106" s="89"/>
      <c r="C106" s="89"/>
      <c r="D106" s="94"/>
      <c r="E106" s="93"/>
      <c r="F106" s="89"/>
      <c r="G106" s="100"/>
      <c r="H106" s="87" t="s">
        <v>143</v>
      </c>
    </row>
    <row r="107" spans="1:10" ht="14.25" customHeight="1" x14ac:dyDescent="0.2">
      <c r="A107" s="100"/>
      <c r="B107" s="89"/>
      <c r="C107" s="89" t="s">
        <v>168</v>
      </c>
      <c r="D107" s="89"/>
      <c r="E107" s="100"/>
      <c r="F107" s="91">
        <v>1.1584144700000001</v>
      </c>
      <c r="G107" s="92">
        <v>3.4616999999999997E-4</v>
      </c>
      <c r="H107" s="87" t="s">
        <v>143</v>
      </c>
    </row>
    <row r="108" spans="1:10" ht="14.25" customHeight="1" x14ac:dyDescent="0.2">
      <c r="A108" s="97"/>
      <c r="B108" s="97"/>
      <c r="C108" s="94" t="s">
        <v>169</v>
      </c>
      <c r="D108" s="98"/>
      <c r="E108" s="98"/>
      <c r="F108" s="95">
        <v>3346.4024675710002</v>
      </c>
      <c r="G108" s="101">
        <v>1.0000000499999999</v>
      </c>
      <c r="H108" s="87" t="s">
        <v>143</v>
      </c>
    </row>
    <row r="109" spans="1:10" ht="12.75" x14ac:dyDescent="0.2">
      <c r="A109" s="102"/>
      <c r="B109" s="102"/>
      <c r="C109" s="102"/>
      <c r="D109" s="103"/>
      <c r="E109" s="103"/>
      <c r="F109" s="103"/>
      <c r="G109" s="103"/>
    </row>
    <row r="110" spans="1:10" ht="12.75" x14ac:dyDescent="0.2">
      <c r="A110" s="104"/>
      <c r="B110" s="206" t="s">
        <v>942</v>
      </c>
      <c r="C110" s="206"/>
      <c r="D110" s="206"/>
      <c r="E110" s="206"/>
      <c r="F110" s="206"/>
      <c r="G110" s="206"/>
      <c r="H110" s="206"/>
      <c r="J110" s="106"/>
    </row>
    <row r="111" spans="1:10" ht="12.75" x14ac:dyDescent="0.2">
      <c r="A111" s="104"/>
      <c r="B111" s="206" t="s">
        <v>943</v>
      </c>
      <c r="C111" s="206"/>
      <c r="D111" s="206"/>
      <c r="E111" s="206"/>
      <c r="F111" s="206"/>
      <c r="G111" s="206"/>
      <c r="H111" s="206"/>
      <c r="J111" s="106"/>
    </row>
    <row r="112" spans="1:10" ht="12.75" x14ac:dyDescent="0.2">
      <c r="A112" s="104"/>
      <c r="B112" s="206" t="s">
        <v>944</v>
      </c>
      <c r="C112" s="206"/>
      <c r="D112" s="206"/>
      <c r="E112" s="206"/>
      <c r="F112" s="206"/>
      <c r="G112" s="206"/>
      <c r="H112" s="206"/>
      <c r="J112" s="106"/>
    </row>
    <row r="113" spans="1:17" s="108" customFormat="1" ht="66.75" customHeight="1" x14ac:dyDescent="0.25">
      <c r="A113" s="107"/>
      <c r="B113" s="207" t="s">
        <v>945</v>
      </c>
      <c r="C113" s="207"/>
      <c r="D113" s="207"/>
      <c r="E113" s="207"/>
      <c r="F113" s="207"/>
      <c r="G113" s="207"/>
      <c r="H113" s="207"/>
      <c r="I113"/>
      <c r="J113" s="106"/>
      <c r="K113"/>
      <c r="L113"/>
      <c r="M113"/>
      <c r="N113"/>
      <c r="O113"/>
      <c r="P113"/>
      <c r="Q113"/>
    </row>
    <row r="114" spans="1:17" ht="12.75" x14ac:dyDescent="0.2">
      <c r="A114" s="104"/>
      <c r="B114" s="206" t="s">
        <v>946</v>
      </c>
      <c r="C114" s="206"/>
      <c r="D114" s="206"/>
      <c r="E114" s="206"/>
      <c r="F114" s="206"/>
      <c r="G114" s="206"/>
      <c r="H114" s="206"/>
      <c r="J114" s="106"/>
    </row>
    <row r="115" spans="1:17" ht="12.75" x14ac:dyDescent="0.2">
      <c r="A115" s="104"/>
      <c r="B115" s="104"/>
      <c r="C115" s="104"/>
      <c r="D115" s="109"/>
      <c r="E115" s="109"/>
      <c r="F115" s="109"/>
      <c r="G115" s="109"/>
    </row>
    <row r="116" spans="1:17" ht="12.75" x14ac:dyDescent="0.2">
      <c r="A116" s="104"/>
      <c r="B116" s="199" t="s">
        <v>170</v>
      </c>
      <c r="C116" s="200"/>
      <c r="D116" s="201"/>
      <c r="E116" s="110"/>
      <c r="F116" s="109"/>
      <c r="G116" s="109"/>
    </row>
    <row r="117" spans="1:17" ht="27.75" customHeight="1" x14ac:dyDescent="0.2">
      <c r="A117" s="104"/>
      <c r="B117" s="202" t="s">
        <v>171</v>
      </c>
      <c r="C117" s="203"/>
      <c r="D117" s="86" t="s">
        <v>172</v>
      </c>
      <c r="E117" s="110"/>
      <c r="F117" s="109"/>
      <c r="G117" s="109"/>
    </row>
    <row r="118" spans="1:17" ht="12.75" customHeight="1" x14ac:dyDescent="0.2">
      <c r="A118" s="104"/>
      <c r="B118" s="202" t="s">
        <v>947</v>
      </c>
      <c r="C118" s="203"/>
      <c r="D118" s="86" t="s">
        <v>172</v>
      </c>
      <c r="E118" s="110"/>
      <c r="F118" s="109"/>
      <c r="G118" s="109"/>
    </row>
    <row r="119" spans="1:17" ht="12.75" x14ac:dyDescent="0.2">
      <c r="A119" s="104"/>
      <c r="B119" s="202" t="s">
        <v>173</v>
      </c>
      <c r="C119" s="203"/>
      <c r="D119" s="111" t="s">
        <v>143</v>
      </c>
      <c r="E119" s="110"/>
      <c r="F119" s="109"/>
      <c r="G119" s="109"/>
    </row>
    <row r="120" spans="1:17" ht="12.75" x14ac:dyDescent="0.2">
      <c r="A120" s="112"/>
      <c r="B120" s="113" t="s">
        <v>143</v>
      </c>
      <c r="C120" s="113" t="s">
        <v>948</v>
      </c>
      <c r="D120" s="113" t="s">
        <v>174</v>
      </c>
      <c r="E120" s="112"/>
      <c r="F120" s="112"/>
      <c r="G120" s="112"/>
      <c r="H120" s="112"/>
      <c r="J120" s="106"/>
    </row>
    <row r="121" spans="1:17" ht="12.75" x14ac:dyDescent="0.2">
      <c r="A121" s="112"/>
      <c r="B121" s="114" t="s">
        <v>175</v>
      </c>
      <c r="C121" s="115">
        <v>45869</v>
      </c>
      <c r="D121" s="115">
        <v>45900</v>
      </c>
      <c r="E121" s="112"/>
      <c r="F121" s="112"/>
      <c r="G121" s="112"/>
      <c r="J121" s="106"/>
    </row>
    <row r="122" spans="1:17" ht="14.25" customHeight="1" x14ac:dyDescent="0.2">
      <c r="A122" s="116"/>
      <c r="B122" s="89" t="s">
        <v>176</v>
      </c>
      <c r="C122" s="117">
        <v>29.248999999999999</v>
      </c>
      <c r="D122" s="117">
        <v>28.559799999999999</v>
      </c>
      <c r="E122" s="116"/>
      <c r="F122" s="118"/>
      <c r="G122" s="119"/>
    </row>
    <row r="123" spans="1:17" ht="14.25" customHeight="1" x14ac:dyDescent="0.2">
      <c r="A123" s="116"/>
      <c r="B123" s="89" t="s">
        <v>954</v>
      </c>
      <c r="C123" s="117">
        <v>27.844999999999999</v>
      </c>
      <c r="D123" s="117">
        <v>27.1889</v>
      </c>
      <c r="E123" s="116"/>
      <c r="F123" s="118"/>
      <c r="G123" s="119"/>
    </row>
    <row r="124" spans="1:17" ht="14.25" customHeight="1" x14ac:dyDescent="0.2">
      <c r="A124" s="116"/>
      <c r="B124" s="89" t="s">
        <v>177</v>
      </c>
      <c r="C124" s="117">
        <v>28.334900000000001</v>
      </c>
      <c r="D124" s="117">
        <v>27.661899999999999</v>
      </c>
      <c r="E124" s="116"/>
      <c r="F124" s="118"/>
      <c r="G124" s="119"/>
    </row>
    <row r="125" spans="1:17" ht="14.25" customHeight="1" x14ac:dyDescent="0.2">
      <c r="A125" s="116"/>
      <c r="B125" s="89" t="s">
        <v>955</v>
      </c>
      <c r="C125" s="117">
        <v>26.936299999999999</v>
      </c>
      <c r="D125" s="117">
        <v>26.296500000000002</v>
      </c>
      <c r="E125" s="116"/>
      <c r="F125" s="118"/>
      <c r="G125" s="119"/>
    </row>
    <row r="126" spans="1:17" ht="14.25" customHeight="1" x14ac:dyDescent="0.2">
      <c r="A126" s="116"/>
      <c r="B126" s="116"/>
      <c r="C126" s="116"/>
      <c r="D126" s="116"/>
      <c r="E126" s="116"/>
      <c r="F126" s="116"/>
      <c r="G126" s="116"/>
    </row>
    <row r="127" spans="1:17" ht="12.75" x14ac:dyDescent="0.2">
      <c r="A127" s="112"/>
      <c r="B127" s="202" t="s">
        <v>949</v>
      </c>
      <c r="C127" s="203"/>
      <c r="D127" s="86" t="s">
        <v>172</v>
      </c>
      <c r="E127" s="112"/>
      <c r="F127" s="112"/>
      <c r="G127" s="112"/>
    </row>
    <row r="128" spans="1:17" ht="12.75" x14ac:dyDescent="0.2">
      <c r="A128" s="112"/>
      <c r="B128" s="120"/>
      <c r="C128" s="120"/>
      <c r="D128" s="120"/>
      <c r="E128" s="112"/>
      <c r="F128" s="112"/>
      <c r="G128" s="112"/>
    </row>
    <row r="129" spans="1:10" ht="12.75" x14ac:dyDescent="0.2">
      <c r="A129" s="112"/>
      <c r="B129" s="202" t="s">
        <v>178</v>
      </c>
      <c r="C129" s="203"/>
      <c r="D129" s="86" t="s">
        <v>172</v>
      </c>
      <c r="E129" s="121"/>
      <c r="F129" s="112"/>
      <c r="G129" s="112"/>
    </row>
    <row r="130" spans="1:10" ht="12.75" x14ac:dyDescent="0.2">
      <c r="A130" s="112"/>
      <c r="B130" s="202" t="s">
        <v>179</v>
      </c>
      <c r="C130" s="203"/>
      <c r="D130" s="86" t="s">
        <v>172</v>
      </c>
      <c r="E130" s="121"/>
      <c r="F130" s="112"/>
      <c r="G130" s="112"/>
    </row>
    <row r="131" spans="1:10" ht="12.75" x14ac:dyDescent="0.2">
      <c r="A131" s="112"/>
      <c r="B131" s="202" t="s">
        <v>180</v>
      </c>
      <c r="C131" s="203"/>
      <c r="D131" s="86" t="s">
        <v>172</v>
      </c>
      <c r="E131" s="121"/>
      <c r="F131" s="112"/>
      <c r="G131" s="112"/>
    </row>
    <row r="132" spans="1:10" ht="12.75" x14ac:dyDescent="0.2">
      <c r="A132" s="112"/>
      <c r="B132" s="202" t="s">
        <v>181</v>
      </c>
      <c r="C132" s="203"/>
      <c r="D132" s="122">
        <v>6.419505160836779E-2</v>
      </c>
      <c r="E132" s="112"/>
      <c r="F132" s="105"/>
      <c r="G132" s="123"/>
    </row>
    <row r="133" spans="1:10" ht="12.75" x14ac:dyDescent="0.2"/>
    <row r="134" spans="1:10" ht="12.75" x14ac:dyDescent="0.2">
      <c r="B134" s="204" t="s">
        <v>950</v>
      </c>
      <c r="C134" s="204"/>
    </row>
    <row r="135" spans="1:10" ht="12.75" x14ac:dyDescent="0.2"/>
    <row r="136" spans="1:10" ht="153.75" customHeight="1" x14ac:dyDescent="0.2"/>
    <row r="137" spans="1:10" ht="12.75" x14ac:dyDescent="0.2"/>
    <row r="138" spans="1:10" ht="12.75" x14ac:dyDescent="0.2"/>
    <row r="139" spans="1:10" ht="12.75" x14ac:dyDescent="0.2">
      <c r="B139" s="124" t="s">
        <v>951</v>
      </c>
      <c r="C139" s="125"/>
      <c r="D139" s="124"/>
    </row>
    <row r="140" spans="1:10" ht="12.75" x14ac:dyDescent="0.2">
      <c r="B140" s="124" t="s">
        <v>960</v>
      </c>
      <c r="D140" s="124"/>
    </row>
    <row r="141" spans="1:10" ht="165" customHeight="1" x14ac:dyDescent="0.2"/>
    <row r="142" spans="1:10" ht="12.75" x14ac:dyDescent="0.2"/>
    <row r="143" spans="1:10" ht="12.75" x14ac:dyDescent="0.2">
      <c r="J143" s="84"/>
    </row>
    <row r="144" spans="1:10" ht="12.75" x14ac:dyDescent="0.2"/>
    <row r="145" customFormat="1" ht="12.75" x14ac:dyDescent="0.2"/>
    <row r="146" customFormat="1" ht="12.75" x14ac:dyDescent="0.2"/>
    <row r="147" customFormat="1" ht="12.75" x14ac:dyDescent="0.2"/>
    <row r="148" customFormat="1" ht="12.75" x14ac:dyDescent="0.2"/>
    <row r="149" customFormat="1" ht="12.75" x14ac:dyDescent="0.2"/>
    <row r="150" customFormat="1" ht="12.75" x14ac:dyDescent="0.2"/>
    <row r="151" customFormat="1" ht="12.75" x14ac:dyDescent="0.2"/>
    <row r="152" customFormat="1" ht="12.75" x14ac:dyDescent="0.2"/>
    <row r="153" customFormat="1" ht="12.75" x14ac:dyDescent="0.2"/>
    <row r="154" customFormat="1" ht="12.75" x14ac:dyDescent="0.2"/>
    <row r="155" customFormat="1" ht="12.75" x14ac:dyDescent="0.2"/>
  </sheetData>
  <mergeCells count="18">
    <mergeCell ref="B113:H113"/>
    <mergeCell ref="B114:H114"/>
    <mergeCell ref="B116:D116"/>
    <mergeCell ref="B117:C117"/>
    <mergeCell ref="B134:C134"/>
    <mergeCell ref="A1:H1"/>
    <mergeCell ref="A2:H2"/>
    <mergeCell ref="A3:H3"/>
    <mergeCell ref="B127:C127"/>
    <mergeCell ref="B131:C131"/>
    <mergeCell ref="B132:C132"/>
    <mergeCell ref="B110:H110"/>
    <mergeCell ref="B111:H111"/>
    <mergeCell ref="B118:C118"/>
    <mergeCell ref="B119:C119"/>
    <mergeCell ref="B129:C129"/>
    <mergeCell ref="B130:C130"/>
    <mergeCell ref="B112:H112"/>
  </mergeCells>
  <hyperlinks>
    <hyperlink ref="I1" location="Index!B2" display="Index" xr:uid="{7475CC5D-A488-4247-A3CD-7F381A043ACA}"/>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BEA3-BAE3-400C-8109-488C51E81665}">
  <sheetPr>
    <outlinePr summaryBelow="0" summaryRight="0"/>
  </sheetPr>
  <dimension ref="A1:Q152"/>
  <sheetViews>
    <sheetView showGridLines="0" workbookViewId="0">
      <selection sqref="A1:H1"/>
    </sheetView>
  </sheetViews>
  <sheetFormatPr defaultRowHeight="14.25" customHeight="1" x14ac:dyDescent="0.2"/>
  <cols>
    <col min="1" max="1" width="5.85546875" bestFit="1" customWidth="1"/>
    <col min="2" max="2" width="19.7109375" customWidth="1"/>
    <col min="3" max="3" width="39.140625" bestFit="1" customWidth="1"/>
    <col min="4" max="4" width="28.140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421</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358</v>
      </c>
      <c r="C7" s="89" t="s">
        <v>359</v>
      </c>
      <c r="D7" s="89" t="s">
        <v>188</v>
      </c>
      <c r="E7" s="90">
        <v>21323</v>
      </c>
      <c r="F7" s="91">
        <v>128.1618915</v>
      </c>
      <c r="G7" s="92">
        <v>5.7502310000000001E-2</v>
      </c>
      <c r="H7" s="87" t="s">
        <v>143</v>
      </c>
    </row>
    <row r="8" spans="1:9" ht="14.25" customHeight="1" x14ac:dyDescent="0.2">
      <c r="A8" s="88">
        <v>2</v>
      </c>
      <c r="B8" s="89" t="s">
        <v>341</v>
      </c>
      <c r="C8" s="89" t="s">
        <v>342</v>
      </c>
      <c r="D8" s="89" t="s">
        <v>256</v>
      </c>
      <c r="E8" s="90">
        <v>6568</v>
      </c>
      <c r="F8" s="91">
        <v>125.291168</v>
      </c>
      <c r="G8" s="92">
        <v>5.6214300000000002E-2</v>
      </c>
      <c r="H8" s="87" t="s">
        <v>143</v>
      </c>
    </row>
    <row r="9" spans="1:9" ht="14.25" customHeight="1" x14ac:dyDescent="0.2">
      <c r="A9" s="88">
        <v>3</v>
      </c>
      <c r="B9" s="89" t="s">
        <v>362</v>
      </c>
      <c r="C9" s="89" t="s">
        <v>363</v>
      </c>
      <c r="D9" s="89" t="s">
        <v>46</v>
      </c>
      <c r="E9" s="90">
        <v>5638</v>
      </c>
      <c r="F9" s="91">
        <v>120.827978</v>
      </c>
      <c r="G9" s="92">
        <v>5.4211809999999999E-2</v>
      </c>
      <c r="H9" s="87" t="s">
        <v>143</v>
      </c>
    </row>
    <row r="10" spans="1:9" ht="14.25" customHeight="1" x14ac:dyDescent="0.2">
      <c r="A10" s="88">
        <v>4</v>
      </c>
      <c r="B10" s="89" t="s">
        <v>360</v>
      </c>
      <c r="C10" s="89" t="s">
        <v>361</v>
      </c>
      <c r="D10" s="89" t="s">
        <v>207</v>
      </c>
      <c r="E10" s="90">
        <v>30085</v>
      </c>
      <c r="F10" s="91">
        <v>98.392992500000005</v>
      </c>
      <c r="G10" s="92">
        <v>4.4145919999999998E-2</v>
      </c>
      <c r="H10" s="87" t="s">
        <v>143</v>
      </c>
    </row>
    <row r="11" spans="1:9" ht="14.25" customHeight="1" x14ac:dyDescent="0.2">
      <c r="A11" s="88">
        <v>5</v>
      </c>
      <c r="B11" s="89" t="s">
        <v>69</v>
      </c>
      <c r="C11" s="89" t="s">
        <v>70</v>
      </c>
      <c r="D11" s="89" t="s">
        <v>68</v>
      </c>
      <c r="E11" s="90">
        <v>10955</v>
      </c>
      <c r="F11" s="91">
        <v>90.477345</v>
      </c>
      <c r="G11" s="92">
        <v>4.0594409999999997E-2</v>
      </c>
      <c r="H11" s="87" t="s">
        <v>143</v>
      </c>
    </row>
    <row r="12" spans="1:9" ht="14.25" customHeight="1" x14ac:dyDescent="0.2">
      <c r="A12" s="88">
        <v>6</v>
      </c>
      <c r="B12" s="89" t="s">
        <v>235</v>
      </c>
      <c r="C12" s="89" t="s">
        <v>236</v>
      </c>
      <c r="D12" s="89" t="s">
        <v>191</v>
      </c>
      <c r="E12" s="90">
        <v>700</v>
      </c>
      <c r="F12" s="91">
        <v>83.103999999999999</v>
      </c>
      <c r="G12" s="92">
        <v>3.7286220000000002E-2</v>
      </c>
      <c r="H12" s="87" t="s">
        <v>143</v>
      </c>
    </row>
    <row r="13" spans="1:9" ht="14.25" customHeight="1" x14ac:dyDescent="0.2">
      <c r="A13" s="88">
        <v>7</v>
      </c>
      <c r="B13" s="89" t="s">
        <v>374</v>
      </c>
      <c r="C13" s="89" t="s">
        <v>375</v>
      </c>
      <c r="D13" s="89" t="s">
        <v>268</v>
      </c>
      <c r="E13" s="90">
        <v>1756</v>
      </c>
      <c r="F13" s="91">
        <v>82.3125</v>
      </c>
      <c r="G13" s="92">
        <v>3.693109E-2</v>
      </c>
      <c r="H13" s="87" t="s">
        <v>143</v>
      </c>
    </row>
    <row r="14" spans="1:9" ht="14.25" customHeight="1" x14ac:dyDescent="0.2">
      <c r="A14" s="88">
        <v>8</v>
      </c>
      <c r="B14" s="89" t="s">
        <v>378</v>
      </c>
      <c r="C14" s="89" t="s">
        <v>379</v>
      </c>
      <c r="D14" s="89" t="s">
        <v>194</v>
      </c>
      <c r="E14" s="90">
        <v>9440</v>
      </c>
      <c r="F14" s="91">
        <v>80.891360000000006</v>
      </c>
      <c r="G14" s="92">
        <v>3.6293470000000001E-2</v>
      </c>
      <c r="H14" s="87" t="s">
        <v>143</v>
      </c>
    </row>
    <row r="15" spans="1:9" ht="14.25" customHeight="1" x14ac:dyDescent="0.2">
      <c r="A15" s="88">
        <v>9</v>
      </c>
      <c r="B15" s="89" t="s">
        <v>364</v>
      </c>
      <c r="C15" s="89" t="s">
        <v>365</v>
      </c>
      <c r="D15" s="89" t="s">
        <v>33</v>
      </c>
      <c r="E15" s="90">
        <v>22305</v>
      </c>
      <c r="F15" s="91">
        <v>80.877930000000006</v>
      </c>
      <c r="G15" s="92">
        <v>3.6287449999999999E-2</v>
      </c>
      <c r="H15" s="87" t="s">
        <v>143</v>
      </c>
    </row>
    <row r="16" spans="1:9" ht="14.25" customHeight="1" x14ac:dyDescent="0.2">
      <c r="A16" s="88">
        <v>10</v>
      </c>
      <c r="B16" s="89" t="s">
        <v>370</v>
      </c>
      <c r="C16" s="89" t="s">
        <v>371</v>
      </c>
      <c r="D16" s="89" t="s">
        <v>194</v>
      </c>
      <c r="E16" s="90">
        <v>1238</v>
      </c>
      <c r="F16" s="91">
        <v>78.860600000000005</v>
      </c>
      <c r="G16" s="92">
        <v>3.5382329999999997E-2</v>
      </c>
      <c r="H16" s="87" t="s">
        <v>143</v>
      </c>
    </row>
    <row r="17" spans="1:8" ht="14.25" customHeight="1" x14ac:dyDescent="0.2">
      <c r="A17" s="88">
        <v>11</v>
      </c>
      <c r="B17" s="89" t="s">
        <v>368</v>
      </c>
      <c r="C17" s="89" t="s">
        <v>369</v>
      </c>
      <c r="D17" s="89" t="s">
        <v>33</v>
      </c>
      <c r="E17" s="90">
        <v>178820</v>
      </c>
      <c r="F17" s="91">
        <v>76.320375999999996</v>
      </c>
      <c r="G17" s="92">
        <v>3.424261E-2</v>
      </c>
      <c r="H17" s="87" t="s">
        <v>143</v>
      </c>
    </row>
    <row r="18" spans="1:8" ht="14.25" customHeight="1" x14ac:dyDescent="0.2">
      <c r="A18" s="88">
        <v>12</v>
      </c>
      <c r="B18" s="89" t="s">
        <v>85</v>
      </c>
      <c r="C18" s="89" t="s">
        <v>86</v>
      </c>
      <c r="D18" s="89" t="s">
        <v>68</v>
      </c>
      <c r="E18" s="90">
        <v>1987</v>
      </c>
      <c r="F18" s="91">
        <v>75.716622000000001</v>
      </c>
      <c r="G18" s="92">
        <v>3.3971729999999999E-2</v>
      </c>
      <c r="H18" s="87" t="s">
        <v>143</v>
      </c>
    </row>
    <row r="19" spans="1:8" ht="14.25" customHeight="1" x14ac:dyDescent="0.2">
      <c r="A19" s="88">
        <v>13</v>
      </c>
      <c r="B19" s="89" t="s">
        <v>366</v>
      </c>
      <c r="C19" s="89" t="s">
        <v>367</v>
      </c>
      <c r="D19" s="89" t="s">
        <v>46</v>
      </c>
      <c r="E19" s="90">
        <v>27896</v>
      </c>
      <c r="F19" s="91">
        <v>75.444732000000002</v>
      </c>
      <c r="G19" s="92">
        <v>3.3849740000000003E-2</v>
      </c>
      <c r="H19" s="87" t="s">
        <v>143</v>
      </c>
    </row>
    <row r="20" spans="1:8" ht="14.25" customHeight="1" x14ac:dyDescent="0.2">
      <c r="A20" s="88">
        <v>14</v>
      </c>
      <c r="B20" s="89" t="s">
        <v>339</v>
      </c>
      <c r="C20" s="89" t="s">
        <v>340</v>
      </c>
      <c r="D20" s="89" t="s">
        <v>223</v>
      </c>
      <c r="E20" s="90">
        <v>958</v>
      </c>
      <c r="F20" s="91">
        <v>70.796199999999999</v>
      </c>
      <c r="G20" s="92">
        <v>3.176408E-2</v>
      </c>
      <c r="H20" s="87" t="s">
        <v>143</v>
      </c>
    </row>
    <row r="21" spans="1:8" ht="14.25" customHeight="1" x14ac:dyDescent="0.2">
      <c r="A21" s="88">
        <v>15</v>
      </c>
      <c r="B21" s="89" t="s">
        <v>54</v>
      </c>
      <c r="C21" s="89" t="s">
        <v>55</v>
      </c>
      <c r="D21" s="89" t="s">
        <v>25</v>
      </c>
      <c r="E21" s="90">
        <v>936</v>
      </c>
      <c r="F21" s="91">
        <v>65.019239999999996</v>
      </c>
      <c r="G21" s="92">
        <v>2.9172139999999999E-2</v>
      </c>
      <c r="H21" s="87" t="s">
        <v>143</v>
      </c>
    </row>
    <row r="22" spans="1:8" ht="14.25" customHeight="1" x14ac:dyDescent="0.2">
      <c r="A22" s="88">
        <v>16</v>
      </c>
      <c r="B22" s="89" t="s">
        <v>383</v>
      </c>
      <c r="C22" s="89" t="s">
        <v>384</v>
      </c>
      <c r="D22" s="89" t="s">
        <v>33</v>
      </c>
      <c r="E22" s="90">
        <v>101192</v>
      </c>
      <c r="F22" s="91">
        <v>50.869218400000001</v>
      </c>
      <c r="G22" s="92">
        <v>2.282346E-2</v>
      </c>
      <c r="H22" s="87" t="s">
        <v>143</v>
      </c>
    </row>
    <row r="23" spans="1:8" ht="14.25" customHeight="1" x14ac:dyDescent="0.2">
      <c r="A23" s="88">
        <v>17</v>
      </c>
      <c r="B23" s="89" t="s">
        <v>380</v>
      </c>
      <c r="C23" s="89" t="s">
        <v>381</v>
      </c>
      <c r="D23" s="89" t="s">
        <v>382</v>
      </c>
      <c r="E23" s="90">
        <v>4462</v>
      </c>
      <c r="F23" s="91">
        <v>49.969937999999999</v>
      </c>
      <c r="G23" s="92">
        <v>2.2419979999999999E-2</v>
      </c>
      <c r="H23" s="87" t="s">
        <v>143</v>
      </c>
    </row>
    <row r="24" spans="1:8" ht="14.25" customHeight="1" x14ac:dyDescent="0.2">
      <c r="A24" s="88">
        <v>18</v>
      </c>
      <c r="B24" s="89" t="s">
        <v>385</v>
      </c>
      <c r="C24" s="89" t="s">
        <v>386</v>
      </c>
      <c r="D24" s="89" t="s">
        <v>199</v>
      </c>
      <c r="E24" s="90">
        <v>9732</v>
      </c>
      <c r="F24" s="91">
        <v>49.808376000000003</v>
      </c>
      <c r="G24" s="92">
        <v>2.2347490000000001E-2</v>
      </c>
      <c r="H24" s="87" t="s">
        <v>143</v>
      </c>
    </row>
    <row r="25" spans="1:8" ht="14.25" customHeight="1" x14ac:dyDescent="0.2">
      <c r="A25" s="88">
        <v>19</v>
      </c>
      <c r="B25" s="89" t="s">
        <v>387</v>
      </c>
      <c r="C25" s="89" t="s">
        <v>388</v>
      </c>
      <c r="D25" s="89" t="s">
        <v>389</v>
      </c>
      <c r="E25" s="90">
        <v>13188</v>
      </c>
      <c r="F25" s="91">
        <v>47.476799999999997</v>
      </c>
      <c r="G25" s="92">
        <v>2.1301380000000002E-2</v>
      </c>
      <c r="H25" s="87" t="s">
        <v>143</v>
      </c>
    </row>
    <row r="26" spans="1:8" ht="14.25" customHeight="1" x14ac:dyDescent="0.2">
      <c r="A26" s="88">
        <v>20</v>
      </c>
      <c r="B26" s="89" t="s">
        <v>392</v>
      </c>
      <c r="C26" s="89" t="s">
        <v>393</v>
      </c>
      <c r="D26" s="89" t="s">
        <v>191</v>
      </c>
      <c r="E26" s="90">
        <v>3328</v>
      </c>
      <c r="F26" s="91">
        <v>46.588672000000003</v>
      </c>
      <c r="G26" s="92">
        <v>2.090291E-2</v>
      </c>
      <c r="H26" s="87" t="s">
        <v>143</v>
      </c>
    </row>
    <row r="27" spans="1:8" ht="14.25" customHeight="1" x14ac:dyDescent="0.2">
      <c r="A27" s="88">
        <v>21</v>
      </c>
      <c r="B27" s="89" t="s">
        <v>376</v>
      </c>
      <c r="C27" s="89" t="s">
        <v>377</v>
      </c>
      <c r="D27" s="89" t="s">
        <v>223</v>
      </c>
      <c r="E27" s="90">
        <v>1988</v>
      </c>
      <c r="F27" s="91">
        <v>43.930824000000001</v>
      </c>
      <c r="G27" s="92">
        <v>1.9710410000000001E-2</v>
      </c>
      <c r="H27" s="87" t="s">
        <v>143</v>
      </c>
    </row>
    <row r="28" spans="1:8" ht="14.25" customHeight="1" x14ac:dyDescent="0.2">
      <c r="A28" s="88">
        <v>22</v>
      </c>
      <c r="B28" s="89" t="s">
        <v>394</v>
      </c>
      <c r="C28" s="89" t="s">
        <v>395</v>
      </c>
      <c r="D28" s="89" t="s">
        <v>191</v>
      </c>
      <c r="E28" s="90">
        <v>2453</v>
      </c>
      <c r="F28" s="91">
        <v>42.331420999999999</v>
      </c>
      <c r="G28" s="92">
        <v>1.8992809999999999E-2</v>
      </c>
      <c r="H28" s="87" t="s">
        <v>143</v>
      </c>
    </row>
    <row r="29" spans="1:8" ht="14.25" customHeight="1" x14ac:dyDescent="0.2">
      <c r="A29" s="88">
        <v>23</v>
      </c>
      <c r="B29" s="89" t="s">
        <v>372</v>
      </c>
      <c r="C29" s="89" t="s">
        <v>373</v>
      </c>
      <c r="D29" s="89" t="s">
        <v>194</v>
      </c>
      <c r="E29" s="90">
        <v>2376</v>
      </c>
      <c r="F29" s="91">
        <v>40.969368000000003</v>
      </c>
      <c r="G29" s="92">
        <v>1.8381700000000001E-2</v>
      </c>
      <c r="H29" s="87" t="s">
        <v>143</v>
      </c>
    </row>
    <row r="30" spans="1:8" ht="14.25" customHeight="1" x14ac:dyDescent="0.2">
      <c r="A30" s="88">
        <v>24</v>
      </c>
      <c r="B30" s="89" t="s">
        <v>396</v>
      </c>
      <c r="C30" s="89" t="s">
        <v>397</v>
      </c>
      <c r="D30" s="89" t="s">
        <v>68</v>
      </c>
      <c r="E30" s="90">
        <v>8416</v>
      </c>
      <c r="F30" s="91">
        <v>39.891840000000002</v>
      </c>
      <c r="G30" s="92">
        <v>1.7898250000000001E-2</v>
      </c>
      <c r="H30" s="87" t="s">
        <v>143</v>
      </c>
    </row>
    <row r="31" spans="1:8" ht="14.25" customHeight="1" x14ac:dyDescent="0.2">
      <c r="A31" s="88">
        <v>25</v>
      </c>
      <c r="B31" s="89" t="s">
        <v>398</v>
      </c>
      <c r="C31" s="89" t="s">
        <v>399</v>
      </c>
      <c r="D31" s="89" t="s">
        <v>207</v>
      </c>
      <c r="E31" s="90">
        <v>5099</v>
      </c>
      <c r="F31" s="91">
        <v>36.613369499999997</v>
      </c>
      <c r="G31" s="92">
        <v>1.6427299999999999E-2</v>
      </c>
      <c r="H31" s="87" t="s">
        <v>143</v>
      </c>
    </row>
    <row r="32" spans="1:8" ht="14.25" customHeight="1" x14ac:dyDescent="0.2">
      <c r="A32" s="88">
        <v>26</v>
      </c>
      <c r="B32" s="89" t="s">
        <v>400</v>
      </c>
      <c r="C32" s="89" t="s">
        <v>401</v>
      </c>
      <c r="D32" s="89" t="s">
        <v>256</v>
      </c>
      <c r="E32" s="90">
        <v>7431</v>
      </c>
      <c r="F32" s="91">
        <v>34.301496</v>
      </c>
      <c r="G32" s="92">
        <v>1.5390030000000001E-2</v>
      </c>
      <c r="H32" s="87" t="s">
        <v>143</v>
      </c>
    </row>
    <row r="33" spans="1:8" ht="14.25" customHeight="1" x14ac:dyDescent="0.2">
      <c r="A33" s="88">
        <v>27</v>
      </c>
      <c r="B33" s="89" t="s">
        <v>402</v>
      </c>
      <c r="C33" s="89" t="s">
        <v>403</v>
      </c>
      <c r="D33" s="89" t="s">
        <v>194</v>
      </c>
      <c r="E33" s="90">
        <v>3747</v>
      </c>
      <c r="F33" s="91">
        <v>32.299140000000001</v>
      </c>
      <c r="G33" s="92">
        <v>1.449163E-2</v>
      </c>
      <c r="H33" s="87" t="s">
        <v>143</v>
      </c>
    </row>
    <row r="34" spans="1:8" ht="14.25" customHeight="1" x14ac:dyDescent="0.2">
      <c r="A34" s="88">
        <v>28</v>
      </c>
      <c r="B34" s="89" t="s">
        <v>404</v>
      </c>
      <c r="C34" s="89" t="s">
        <v>405</v>
      </c>
      <c r="D34" s="89" t="s">
        <v>406</v>
      </c>
      <c r="E34" s="90">
        <v>2376</v>
      </c>
      <c r="F34" s="91">
        <v>31.622184000000001</v>
      </c>
      <c r="G34" s="92">
        <v>1.41879E-2</v>
      </c>
      <c r="H34" s="87" t="s">
        <v>143</v>
      </c>
    </row>
    <row r="35" spans="1:8" ht="14.25" customHeight="1" x14ac:dyDescent="0.2">
      <c r="A35" s="88">
        <v>29</v>
      </c>
      <c r="B35" s="89" t="s">
        <v>407</v>
      </c>
      <c r="C35" s="89" t="s">
        <v>408</v>
      </c>
      <c r="D35" s="89" t="s">
        <v>191</v>
      </c>
      <c r="E35" s="90">
        <v>3800</v>
      </c>
      <c r="F35" s="91">
        <v>28.636800000000001</v>
      </c>
      <c r="G35" s="92">
        <v>1.2848450000000001E-2</v>
      </c>
      <c r="H35" s="87" t="s">
        <v>143</v>
      </c>
    </row>
    <row r="36" spans="1:8" ht="14.25" customHeight="1" x14ac:dyDescent="0.2">
      <c r="A36" s="88">
        <v>30</v>
      </c>
      <c r="B36" s="89" t="s">
        <v>409</v>
      </c>
      <c r="C36" s="89" t="s">
        <v>410</v>
      </c>
      <c r="D36" s="89" t="s">
        <v>138</v>
      </c>
      <c r="E36" s="90">
        <v>18454</v>
      </c>
      <c r="F36" s="91">
        <v>28.5077392</v>
      </c>
      <c r="G36" s="92">
        <v>1.2790549999999999E-2</v>
      </c>
      <c r="H36" s="87" t="s">
        <v>143</v>
      </c>
    </row>
    <row r="37" spans="1:8" ht="14.25" customHeight="1" x14ac:dyDescent="0.2">
      <c r="A37" s="88">
        <v>31</v>
      </c>
      <c r="B37" s="89" t="s">
        <v>411</v>
      </c>
      <c r="C37" s="89" t="s">
        <v>412</v>
      </c>
      <c r="D37" s="89" t="s">
        <v>199</v>
      </c>
      <c r="E37" s="90">
        <v>7579</v>
      </c>
      <c r="F37" s="91">
        <v>27.898299000000002</v>
      </c>
      <c r="G37" s="92">
        <v>1.251711E-2</v>
      </c>
      <c r="H37" s="87" t="s">
        <v>143</v>
      </c>
    </row>
    <row r="38" spans="1:8" ht="14.25" customHeight="1" x14ac:dyDescent="0.2">
      <c r="A38" s="88">
        <v>32</v>
      </c>
      <c r="B38" s="89" t="s">
        <v>299</v>
      </c>
      <c r="C38" s="89" t="s">
        <v>300</v>
      </c>
      <c r="D38" s="89" t="s">
        <v>68</v>
      </c>
      <c r="E38" s="90">
        <v>1691</v>
      </c>
      <c r="F38" s="91">
        <v>26.438784999999999</v>
      </c>
      <c r="G38" s="92">
        <v>1.1862269999999999E-2</v>
      </c>
      <c r="H38" s="87" t="s">
        <v>143</v>
      </c>
    </row>
    <row r="39" spans="1:8" ht="14.25" customHeight="1" x14ac:dyDescent="0.2">
      <c r="A39" s="88">
        <v>33</v>
      </c>
      <c r="B39" s="89" t="s">
        <v>216</v>
      </c>
      <c r="C39" s="89" t="s">
        <v>217</v>
      </c>
      <c r="D39" s="89" t="s">
        <v>77</v>
      </c>
      <c r="E39" s="90">
        <v>1390</v>
      </c>
      <c r="F39" s="91">
        <v>20.894480000000001</v>
      </c>
      <c r="G39" s="92">
        <v>9.3747099999999996E-3</v>
      </c>
      <c r="H39" s="87" t="s">
        <v>143</v>
      </c>
    </row>
    <row r="40" spans="1:8" ht="14.25" customHeight="1" x14ac:dyDescent="0.2">
      <c r="A40" s="88">
        <v>34</v>
      </c>
      <c r="B40" s="89" t="s">
        <v>413</v>
      </c>
      <c r="C40" s="89" t="s">
        <v>414</v>
      </c>
      <c r="D40" s="89" t="s">
        <v>46</v>
      </c>
      <c r="E40" s="90">
        <v>2745</v>
      </c>
      <c r="F40" s="91">
        <v>20.488679999999999</v>
      </c>
      <c r="G40" s="92">
        <v>9.1926400000000002E-3</v>
      </c>
      <c r="H40" s="87" t="s">
        <v>143</v>
      </c>
    </row>
    <row r="41" spans="1:8" ht="14.25" customHeight="1" x14ac:dyDescent="0.2">
      <c r="A41" s="88">
        <v>35</v>
      </c>
      <c r="B41" s="89" t="s">
        <v>415</v>
      </c>
      <c r="C41" s="89" t="s">
        <v>416</v>
      </c>
      <c r="D41" s="89" t="s">
        <v>46</v>
      </c>
      <c r="E41" s="90">
        <v>2810</v>
      </c>
      <c r="F41" s="91">
        <v>20.43432</v>
      </c>
      <c r="G41" s="92">
        <v>9.1682499999999993E-3</v>
      </c>
      <c r="H41" s="87" t="s">
        <v>143</v>
      </c>
    </row>
    <row r="42" spans="1:8" ht="14.25" customHeight="1" x14ac:dyDescent="0.2">
      <c r="A42" s="88">
        <v>36</v>
      </c>
      <c r="B42" s="89" t="s">
        <v>390</v>
      </c>
      <c r="C42" s="89" t="s">
        <v>391</v>
      </c>
      <c r="D42" s="89" t="s">
        <v>191</v>
      </c>
      <c r="E42" s="90">
        <v>2512</v>
      </c>
      <c r="F42" s="91">
        <v>18.027367999999999</v>
      </c>
      <c r="G42" s="92">
        <v>8.0883299999999995E-3</v>
      </c>
      <c r="H42" s="87" t="s">
        <v>143</v>
      </c>
    </row>
    <row r="43" spans="1:8" ht="14.25" customHeight="1" x14ac:dyDescent="0.2">
      <c r="A43" s="88">
        <v>37</v>
      </c>
      <c r="B43" s="89" t="s">
        <v>75</v>
      </c>
      <c r="C43" s="89" t="s">
        <v>76</v>
      </c>
      <c r="D43" s="89" t="s">
        <v>77</v>
      </c>
      <c r="E43" s="90">
        <v>1521</v>
      </c>
      <c r="F43" s="91">
        <v>14.040350999999999</v>
      </c>
      <c r="G43" s="92">
        <v>6.2994799999999997E-3</v>
      </c>
      <c r="H43" s="87" t="s">
        <v>143</v>
      </c>
    </row>
    <row r="44" spans="1:8" ht="14.25" customHeight="1" x14ac:dyDescent="0.2">
      <c r="A44" s="88">
        <v>38</v>
      </c>
      <c r="B44" s="89" t="s">
        <v>417</v>
      </c>
      <c r="C44" s="89" t="s">
        <v>418</v>
      </c>
      <c r="D44" s="89" t="s">
        <v>68</v>
      </c>
      <c r="E44" s="90">
        <v>1475</v>
      </c>
      <c r="F44" s="91">
        <v>13.446099999999999</v>
      </c>
      <c r="G44" s="92">
        <v>6.0328500000000002E-3</v>
      </c>
      <c r="H44" s="87" t="s">
        <v>143</v>
      </c>
    </row>
    <row r="45" spans="1:8" ht="14.25" customHeight="1" x14ac:dyDescent="0.2">
      <c r="A45" s="88">
        <v>39</v>
      </c>
      <c r="B45" s="89" t="s">
        <v>419</v>
      </c>
      <c r="C45" s="89" t="s">
        <v>420</v>
      </c>
      <c r="D45" s="89" t="s">
        <v>43</v>
      </c>
      <c r="E45" s="90">
        <v>2606</v>
      </c>
      <c r="F45" s="91">
        <v>8.2310510000000008</v>
      </c>
      <c r="G45" s="92">
        <v>3.69302E-3</v>
      </c>
      <c r="H45" s="87" t="s">
        <v>143</v>
      </c>
    </row>
    <row r="46" spans="1:8" ht="14.25" customHeight="1" x14ac:dyDescent="0.2">
      <c r="A46" s="93"/>
      <c r="B46" s="93"/>
      <c r="C46" s="94" t="s">
        <v>142</v>
      </c>
      <c r="D46" s="93"/>
      <c r="E46" s="93" t="s">
        <v>143</v>
      </c>
      <c r="F46" s="95">
        <v>2106.2115551000002</v>
      </c>
      <c r="G46" s="96">
        <v>0.94499252</v>
      </c>
      <c r="H46" s="87" t="s">
        <v>143</v>
      </c>
    </row>
    <row r="47" spans="1:8" ht="14.25" customHeight="1" x14ac:dyDescent="0.2">
      <c r="A47" s="93"/>
      <c r="B47" s="93"/>
      <c r="C47" s="97"/>
      <c r="D47" s="93"/>
      <c r="E47" s="93"/>
      <c r="F47" s="98"/>
      <c r="G47" s="98"/>
      <c r="H47" s="87" t="s">
        <v>143</v>
      </c>
    </row>
    <row r="48" spans="1:8" ht="14.25" customHeight="1" x14ac:dyDescent="0.2">
      <c r="A48" s="93"/>
      <c r="B48" s="93"/>
      <c r="C48" s="94" t="s">
        <v>144</v>
      </c>
      <c r="D48" s="93"/>
      <c r="E48" s="93"/>
      <c r="F48" s="93"/>
      <c r="G48" s="93"/>
      <c r="H48" s="87" t="s">
        <v>143</v>
      </c>
    </row>
    <row r="49" spans="1:8" ht="14.25" customHeight="1" x14ac:dyDescent="0.2">
      <c r="A49" s="93"/>
      <c r="B49" s="93"/>
      <c r="C49" s="94" t="s">
        <v>142</v>
      </c>
      <c r="D49" s="93"/>
      <c r="E49" s="93" t="s">
        <v>143</v>
      </c>
      <c r="F49" s="99" t="s">
        <v>145</v>
      </c>
      <c r="G49" s="96">
        <v>0</v>
      </c>
      <c r="H49" s="87" t="s">
        <v>143</v>
      </c>
    </row>
    <row r="50" spans="1:8" ht="14.25" customHeight="1" x14ac:dyDescent="0.2">
      <c r="A50" s="93"/>
      <c r="B50" s="93"/>
      <c r="C50" s="97"/>
      <c r="D50" s="93"/>
      <c r="E50" s="93"/>
      <c r="F50" s="98"/>
      <c r="G50" s="98"/>
      <c r="H50" s="87" t="s">
        <v>143</v>
      </c>
    </row>
    <row r="51" spans="1:8" ht="14.25" customHeight="1" x14ac:dyDescent="0.2">
      <c r="A51" s="93"/>
      <c r="B51" s="93"/>
      <c r="C51" s="94" t="s">
        <v>146</v>
      </c>
      <c r="D51" s="93"/>
      <c r="E51" s="93"/>
      <c r="F51" s="93"/>
      <c r="G51" s="93"/>
      <c r="H51" s="87" t="s">
        <v>143</v>
      </c>
    </row>
    <row r="52" spans="1:8" ht="14.25" customHeight="1" x14ac:dyDescent="0.2">
      <c r="A52" s="93"/>
      <c r="B52" s="93"/>
      <c r="C52" s="94" t="s">
        <v>142</v>
      </c>
      <c r="D52" s="93"/>
      <c r="E52" s="93" t="s">
        <v>143</v>
      </c>
      <c r="F52" s="99" t="s">
        <v>145</v>
      </c>
      <c r="G52" s="96">
        <v>0</v>
      </c>
      <c r="H52" s="87" t="s">
        <v>143</v>
      </c>
    </row>
    <row r="53" spans="1:8" ht="14.25" customHeight="1" x14ac:dyDescent="0.2">
      <c r="A53" s="93"/>
      <c r="B53" s="93"/>
      <c r="C53" s="97"/>
      <c r="D53" s="93"/>
      <c r="E53" s="93"/>
      <c r="F53" s="98"/>
      <c r="G53" s="98"/>
      <c r="H53" s="87" t="s">
        <v>143</v>
      </c>
    </row>
    <row r="54" spans="1:8" ht="14.25" customHeight="1" x14ac:dyDescent="0.2">
      <c r="A54" s="93"/>
      <c r="B54" s="93"/>
      <c r="C54" s="94" t="s">
        <v>147</v>
      </c>
      <c r="D54" s="93"/>
      <c r="E54" s="93"/>
      <c r="F54" s="93"/>
      <c r="G54" s="93"/>
      <c r="H54" s="87" t="s">
        <v>143</v>
      </c>
    </row>
    <row r="55" spans="1:8" ht="14.25" customHeight="1" x14ac:dyDescent="0.2">
      <c r="A55" s="93"/>
      <c r="B55" s="93"/>
      <c r="C55" s="94" t="s">
        <v>142</v>
      </c>
      <c r="D55" s="93"/>
      <c r="E55" s="93" t="s">
        <v>143</v>
      </c>
      <c r="F55" s="99" t="s">
        <v>145</v>
      </c>
      <c r="G55" s="96">
        <v>0</v>
      </c>
      <c r="H55" s="87" t="s">
        <v>143</v>
      </c>
    </row>
    <row r="56" spans="1:8" ht="14.25" customHeight="1" x14ac:dyDescent="0.2">
      <c r="A56" s="93"/>
      <c r="B56" s="93"/>
      <c r="C56" s="97"/>
      <c r="D56" s="93"/>
      <c r="E56" s="93"/>
      <c r="F56" s="98"/>
      <c r="G56" s="98"/>
      <c r="H56" s="87" t="s">
        <v>143</v>
      </c>
    </row>
    <row r="57" spans="1:8" ht="14.25" customHeight="1" x14ac:dyDescent="0.2">
      <c r="A57" s="93"/>
      <c r="B57" s="93"/>
      <c r="C57" s="94" t="s">
        <v>148</v>
      </c>
      <c r="D57" s="93"/>
      <c r="E57" s="93"/>
      <c r="F57" s="98"/>
      <c r="G57" s="98"/>
      <c r="H57" s="87" t="s">
        <v>143</v>
      </c>
    </row>
    <row r="58" spans="1:8" ht="14.25" customHeight="1" x14ac:dyDescent="0.2">
      <c r="A58" s="93"/>
      <c r="B58" s="93"/>
      <c r="C58" s="94" t="s">
        <v>142</v>
      </c>
      <c r="D58" s="93"/>
      <c r="E58" s="93" t="s">
        <v>143</v>
      </c>
      <c r="F58" s="99" t="s">
        <v>145</v>
      </c>
      <c r="G58" s="96">
        <v>0</v>
      </c>
      <c r="H58" s="87" t="s">
        <v>143</v>
      </c>
    </row>
    <row r="59" spans="1:8" ht="14.25" customHeight="1" x14ac:dyDescent="0.2">
      <c r="A59" s="93"/>
      <c r="B59" s="93"/>
      <c r="C59" s="97"/>
      <c r="D59" s="93"/>
      <c r="E59" s="93"/>
      <c r="F59" s="98"/>
      <c r="G59" s="98"/>
      <c r="H59" s="87" t="s">
        <v>143</v>
      </c>
    </row>
    <row r="60" spans="1:8" ht="14.25" customHeight="1" x14ac:dyDescent="0.2">
      <c r="A60" s="93"/>
      <c r="B60" s="93"/>
      <c r="C60" s="94" t="s">
        <v>149</v>
      </c>
      <c r="D60" s="93"/>
      <c r="E60" s="93"/>
      <c r="F60" s="98"/>
      <c r="G60" s="98"/>
      <c r="H60" s="87" t="s">
        <v>143</v>
      </c>
    </row>
    <row r="61" spans="1:8" ht="14.25" customHeight="1" x14ac:dyDescent="0.2">
      <c r="A61" s="93"/>
      <c r="B61" s="93"/>
      <c r="C61" s="94" t="s">
        <v>142</v>
      </c>
      <c r="D61" s="93"/>
      <c r="E61" s="93" t="s">
        <v>143</v>
      </c>
      <c r="F61" s="99" t="s">
        <v>145</v>
      </c>
      <c r="G61" s="96">
        <v>0</v>
      </c>
      <c r="H61" s="87" t="s">
        <v>143</v>
      </c>
    </row>
    <row r="62" spans="1:8" ht="14.25" customHeight="1" x14ac:dyDescent="0.2">
      <c r="A62" s="93"/>
      <c r="B62" s="93"/>
      <c r="C62" s="97"/>
      <c r="D62" s="93"/>
      <c r="E62" s="93"/>
      <c r="F62" s="98"/>
      <c r="G62" s="98"/>
      <c r="H62" s="87" t="s">
        <v>143</v>
      </c>
    </row>
    <row r="63" spans="1:8" ht="14.25" customHeight="1" x14ac:dyDescent="0.2">
      <c r="A63" s="93"/>
      <c r="B63" s="93"/>
      <c r="C63" s="94" t="s">
        <v>150</v>
      </c>
      <c r="D63" s="93"/>
      <c r="E63" s="93"/>
      <c r="F63" s="95">
        <v>2106.2115551000002</v>
      </c>
      <c r="G63" s="96">
        <v>0.94499252</v>
      </c>
      <c r="H63" s="87" t="s">
        <v>143</v>
      </c>
    </row>
    <row r="64" spans="1:8" ht="14.25" customHeight="1" x14ac:dyDescent="0.2">
      <c r="A64" s="93"/>
      <c r="B64" s="93"/>
      <c r="C64" s="97"/>
      <c r="D64" s="93"/>
      <c r="E64" s="93"/>
      <c r="F64" s="98"/>
      <c r="G64" s="98"/>
      <c r="H64" s="87" t="s">
        <v>143</v>
      </c>
    </row>
    <row r="65" spans="1:8" ht="14.25" customHeight="1" x14ac:dyDescent="0.2">
      <c r="A65" s="93"/>
      <c r="B65" s="93"/>
      <c r="C65" s="94" t="s">
        <v>151</v>
      </c>
      <c r="D65" s="93"/>
      <c r="E65" s="93"/>
      <c r="F65" s="98"/>
      <c r="G65" s="98"/>
      <c r="H65" s="87" t="s">
        <v>143</v>
      </c>
    </row>
    <row r="66" spans="1:8" ht="14.25" customHeight="1" x14ac:dyDescent="0.2">
      <c r="A66" s="93"/>
      <c r="B66" s="93"/>
      <c r="C66" s="94" t="s">
        <v>10</v>
      </c>
      <c r="D66" s="93"/>
      <c r="E66" s="93"/>
      <c r="F66" s="98"/>
      <c r="G66" s="98"/>
      <c r="H66" s="87" t="s">
        <v>143</v>
      </c>
    </row>
    <row r="67" spans="1:8" ht="14.25" customHeight="1" x14ac:dyDescent="0.2">
      <c r="A67" s="93"/>
      <c r="B67" s="93"/>
      <c r="C67" s="94" t="s">
        <v>142</v>
      </c>
      <c r="D67" s="93"/>
      <c r="E67" s="93" t="s">
        <v>143</v>
      </c>
      <c r="F67" s="99" t="s">
        <v>145</v>
      </c>
      <c r="G67" s="96">
        <v>0</v>
      </c>
      <c r="H67" s="87" t="s">
        <v>143</v>
      </c>
    </row>
    <row r="68" spans="1:8" ht="14.25" customHeight="1" x14ac:dyDescent="0.2">
      <c r="A68" s="93"/>
      <c r="B68" s="93"/>
      <c r="C68" s="97"/>
      <c r="D68" s="93"/>
      <c r="E68" s="93"/>
      <c r="F68" s="98"/>
      <c r="G68" s="98"/>
      <c r="H68" s="87" t="s">
        <v>143</v>
      </c>
    </row>
    <row r="69" spans="1:8" ht="14.25" customHeight="1" x14ac:dyDescent="0.2">
      <c r="A69" s="93"/>
      <c r="B69" s="93"/>
      <c r="C69" s="94" t="s">
        <v>152</v>
      </c>
      <c r="D69" s="93"/>
      <c r="E69" s="93"/>
      <c r="F69" s="93"/>
      <c r="G69" s="93"/>
      <c r="H69" s="87" t="s">
        <v>143</v>
      </c>
    </row>
    <row r="70" spans="1:8" ht="14.25" customHeight="1" x14ac:dyDescent="0.2">
      <c r="A70" s="93"/>
      <c r="B70" s="93"/>
      <c r="C70" s="94" t="s">
        <v>142</v>
      </c>
      <c r="D70" s="93"/>
      <c r="E70" s="93" t="s">
        <v>143</v>
      </c>
      <c r="F70" s="99" t="s">
        <v>145</v>
      </c>
      <c r="G70" s="96">
        <v>0</v>
      </c>
      <c r="H70" s="87" t="s">
        <v>143</v>
      </c>
    </row>
    <row r="71" spans="1:8" ht="14.25" customHeight="1" x14ac:dyDescent="0.2">
      <c r="A71" s="93"/>
      <c r="B71" s="93"/>
      <c r="C71" s="97"/>
      <c r="D71" s="93"/>
      <c r="E71" s="93"/>
      <c r="F71" s="98"/>
      <c r="G71" s="98"/>
      <c r="H71" s="87" t="s">
        <v>143</v>
      </c>
    </row>
    <row r="72" spans="1:8" ht="14.25" customHeight="1" x14ac:dyDescent="0.2">
      <c r="A72" s="93"/>
      <c r="B72" s="93"/>
      <c r="C72" s="94" t="s">
        <v>153</v>
      </c>
      <c r="D72" s="93"/>
      <c r="E72" s="93"/>
      <c r="F72" s="93"/>
      <c r="G72" s="93"/>
      <c r="H72" s="87" t="s">
        <v>143</v>
      </c>
    </row>
    <row r="73" spans="1:8" ht="14.25" customHeight="1" x14ac:dyDescent="0.2">
      <c r="A73" s="93"/>
      <c r="B73" s="93"/>
      <c r="C73" s="94" t="s">
        <v>142</v>
      </c>
      <c r="D73" s="93"/>
      <c r="E73" s="93" t="s">
        <v>143</v>
      </c>
      <c r="F73" s="99" t="s">
        <v>145</v>
      </c>
      <c r="G73" s="96">
        <v>0</v>
      </c>
      <c r="H73" s="87" t="s">
        <v>143</v>
      </c>
    </row>
    <row r="74" spans="1:8" ht="14.25" customHeight="1" x14ac:dyDescent="0.2">
      <c r="A74" s="93"/>
      <c r="B74" s="93"/>
      <c r="C74" s="97"/>
      <c r="D74" s="93"/>
      <c r="E74" s="93"/>
      <c r="F74" s="98"/>
      <c r="G74" s="98"/>
      <c r="H74" s="87" t="s">
        <v>143</v>
      </c>
    </row>
    <row r="75" spans="1:8" ht="14.25" customHeight="1" x14ac:dyDescent="0.2">
      <c r="A75" s="93"/>
      <c r="B75" s="93"/>
      <c r="C75" s="94" t="s">
        <v>154</v>
      </c>
      <c r="D75" s="93"/>
      <c r="E75" s="93"/>
      <c r="F75" s="98"/>
      <c r="G75" s="98"/>
      <c r="H75" s="87" t="s">
        <v>143</v>
      </c>
    </row>
    <row r="76" spans="1:8" ht="14.25" customHeight="1" x14ac:dyDescent="0.2">
      <c r="A76" s="93"/>
      <c r="B76" s="93"/>
      <c r="C76" s="94" t="s">
        <v>142</v>
      </c>
      <c r="D76" s="93"/>
      <c r="E76" s="93" t="s">
        <v>143</v>
      </c>
      <c r="F76" s="99" t="s">
        <v>145</v>
      </c>
      <c r="G76" s="96">
        <v>0</v>
      </c>
      <c r="H76" s="87" t="s">
        <v>143</v>
      </c>
    </row>
    <row r="77" spans="1:8" ht="14.25" customHeight="1" x14ac:dyDescent="0.2">
      <c r="A77" s="93"/>
      <c r="B77" s="93"/>
      <c r="C77" s="97"/>
      <c r="D77" s="93"/>
      <c r="E77" s="93"/>
      <c r="F77" s="98"/>
      <c r="G77" s="98"/>
      <c r="H77" s="87" t="s">
        <v>143</v>
      </c>
    </row>
    <row r="78" spans="1:8" ht="14.25" customHeight="1" x14ac:dyDescent="0.2">
      <c r="A78" s="93"/>
      <c r="B78" s="93"/>
      <c r="C78" s="94" t="s">
        <v>155</v>
      </c>
      <c r="D78" s="93"/>
      <c r="E78" s="93"/>
      <c r="F78" s="95">
        <v>0</v>
      </c>
      <c r="G78" s="96">
        <v>0</v>
      </c>
      <c r="H78" s="87" t="s">
        <v>143</v>
      </c>
    </row>
    <row r="79" spans="1:8" ht="14.25" customHeight="1" x14ac:dyDescent="0.2">
      <c r="A79" s="93"/>
      <c r="B79" s="93"/>
      <c r="C79" s="97"/>
      <c r="D79" s="93"/>
      <c r="E79" s="93"/>
      <c r="F79" s="98"/>
      <c r="G79" s="98"/>
      <c r="H79" s="87" t="s">
        <v>143</v>
      </c>
    </row>
    <row r="80" spans="1:8" ht="14.25" customHeight="1" x14ac:dyDescent="0.2">
      <c r="A80" s="93"/>
      <c r="B80" s="93"/>
      <c r="C80" s="94" t="s">
        <v>156</v>
      </c>
      <c r="D80" s="93"/>
      <c r="E80" s="93"/>
      <c r="F80" s="98"/>
      <c r="G80" s="98"/>
      <c r="H80" s="87" t="s">
        <v>143</v>
      </c>
    </row>
    <row r="81" spans="1:8" ht="14.25" customHeight="1" x14ac:dyDescent="0.2">
      <c r="A81" s="93"/>
      <c r="B81" s="93"/>
      <c r="C81" s="94" t="s">
        <v>157</v>
      </c>
      <c r="D81" s="93"/>
      <c r="E81" s="93"/>
      <c r="F81" s="98"/>
      <c r="G81" s="98"/>
      <c r="H81" s="87" t="s">
        <v>143</v>
      </c>
    </row>
    <row r="82" spans="1:8" ht="14.25" customHeight="1" x14ac:dyDescent="0.2">
      <c r="A82" s="93"/>
      <c r="B82" s="93"/>
      <c r="C82" s="94" t="s">
        <v>142</v>
      </c>
      <c r="D82" s="93"/>
      <c r="E82" s="93" t="s">
        <v>143</v>
      </c>
      <c r="F82" s="99" t="s">
        <v>145</v>
      </c>
      <c r="G82" s="96">
        <v>0</v>
      </c>
      <c r="H82" s="87" t="s">
        <v>143</v>
      </c>
    </row>
    <row r="83" spans="1:8" ht="14.25" customHeight="1" x14ac:dyDescent="0.2">
      <c r="A83" s="93"/>
      <c r="B83" s="93"/>
      <c r="C83" s="97"/>
      <c r="D83" s="93"/>
      <c r="E83" s="93"/>
      <c r="F83" s="98"/>
      <c r="G83" s="98"/>
      <c r="H83" s="87" t="s">
        <v>143</v>
      </c>
    </row>
    <row r="84" spans="1:8" ht="14.25" customHeight="1" x14ac:dyDescent="0.2">
      <c r="A84" s="93"/>
      <c r="B84" s="93"/>
      <c r="C84" s="94" t="s">
        <v>158</v>
      </c>
      <c r="D84" s="93"/>
      <c r="E84" s="93"/>
      <c r="F84" s="98"/>
      <c r="G84" s="98"/>
      <c r="H84" s="87" t="s">
        <v>143</v>
      </c>
    </row>
    <row r="85" spans="1:8" ht="14.25" customHeight="1" x14ac:dyDescent="0.2">
      <c r="A85" s="93"/>
      <c r="B85" s="93"/>
      <c r="C85" s="94" t="s">
        <v>142</v>
      </c>
      <c r="D85" s="93"/>
      <c r="E85" s="93" t="s">
        <v>143</v>
      </c>
      <c r="F85" s="99" t="s">
        <v>145</v>
      </c>
      <c r="G85" s="96">
        <v>0</v>
      </c>
      <c r="H85" s="87" t="s">
        <v>143</v>
      </c>
    </row>
    <row r="86" spans="1:8" ht="14.25" customHeight="1" x14ac:dyDescent="0.2">
      <c r="A86" s="93"/>
      <c r="B86" s="93"/>
      <c r="C86" s="97"/>
      <c r="D86" s="93"/>
      <c r="E86" s="93"/>
      <c r="F86" s="98"/>
      <c r="G86" s="98"/>
      <c r="H86" s="87" t="s">
        <v>143</v>
      </c>
    </row>
    <row r="87" spans="1:8" ht="14.25" customHeight="1" x14ac:dyDescent="0.2">
      <c r="A87" s="93"/>
      <c r="B87" s="93"/>
      <c r="C87" s="94" t="s">
        <v>159</v>
      </c>
      <c r="D87" s="93"/>
      <c r="E87" s="93"/>
      <c r="F87" s="98"/>
      <c r="G87" s="98"/>
      <c r="H87" s="87" t="s">
        <v>143</v>
      </c>
    </row>
    <row r="88" spans="1:8" ht="14.25" customHeight="1" x14ac:dyDescent="0.2">
      <c r="A88" s="93"/>
      <c r="B88" s="93"/>
      <c r="C88" s="94" t="s">
        <v>142</v>
      </c>
      <c r="D88" s="93"/>
      <c r="E88" s="93" t="s">
        <v>143</v>
      </c>
      <c r="F88" s="99" t="s">
        <v>145</v>
      </c>
      <c r="G88" s="96">
        <v>0</v>
      </c>
      <c r="H88" s="87" t="s">
        <v>143</v>
      </c>
    </row>
    <row r="89" spans="1:8" ht="14.25" customHeight="1" x14ac:dyDescent="0.2">
      <c r="A89" s="93"/>
      <c r="B89" s="93"/>
      <c r="C89" s="97"/>
      <c r="D89" s="93"/>
      <c r="E89" s="93"/>
      <c r="F89" s="98"/>
      <c r="G89" s="98"/>
      <c r="H89" s="87" t="s">
        <v>143</v>
      </c>
    </row>
    <row r="90" spans="1:8" ht="14.25" customHeight="1" x14ac:dyDescent="0.2">
      <c r="A90" s="93"/>
      <c r="B90" s="93"/>
      <c r="C90" s="94" t="s">
        <v>160</v>
      </c>
      <c r="D90" s="93"/>
      <c r="E90" s="93"/>
      <c r="F90" s="98"/>
      <c r="G90" s="98"/>
      <c r="H90" s="87" t="s">
        <v>143</v>
      </c>
    </row>
    <row r="91" spans="1:8" ht="14.25" customHeight="1" x14ac:dyDescent="0.2">
      <c r="A91" s="88">
        <v>1</v>
      </c>
      <c r="B91" s="89"/>
      <c r="C91" s="89" t="s">
        <v>161</v>
      </c>
      <c r="D91" s="89"/>
      <c r="E91" s="100"/>
      <c r="F91" s="91">
        <v>121.900280999</v>
      </c>
      <c r="G91" s="92">
        <v>5.4692919999999999E-2</v>
      </c>
      <c r="H91" s="87">
        <v>5.38</v>
      </c>
    </row>
    <row r="92" spans="1:8" ht="14.25" customHeight="1" x14ac:dyDescent="0.2">
      <c r="A92" s="93"/>
      <c r="B92" s="93"/>
      <c r="C92" s="94" t="s">
        <v>142</v>
      </c>
      <c r="D92" s="93"/>
      <c r="E92" s="93" t="s">
        <v>143</v>
      </c>
      <c r="F92" s="95">
        <v>121.900280999</v>
      </c>
      <c r="G92" s="96">
        <v>5.4692919999999999E-2</v>
      </c>
      <c r="H92" s="87" t="s">
        <v>143</v>
      </c>
    </row>
    <row r="93" spans="1:8" ht="14.25" customHeight="1" x14ac:dyDescent="0.2">
      <c r="A93" s="93"/>
      <c r="B93" s="93"/>
      <c r="C93" s="97"/>
      <c r="D93" s="93"/>
      <c r="E93" s="93"/>
      <c r="F93" s="98"/>
      <c r="G93" s="98"/>
      <c r="H93" s="87" t="s">
        <v>143</v>
      </c>
    </row>
    <row r="94" spans="1:8" ht="14.25" customHeight="1" x14ac:dyDescent="0.2">
      <c r="A94" s="93"/>
      <c r="B94" s="93"/>
      <c r="C94" s="94" t="s">
        <v>162</v>
      </c>
      <c r="D94" s="93"/>
      <c r="E94" s="93"/>
      <c r="F94" s="95">
        <v>121.900280999</v>
      </c>
      <c r="G94" s="96">
        <v>5.4692919999999999E-2</v>
      </c>
      <c r="H94" s="87" t="s">
        <v>143</v>
      </c>
    </row>
    <row r="95" spans="1:8" ht="14.25" customHeight="1" x14ac:dyDescent="0.2">
      <c r="A95" s="93"/>
      <c r="B95" s="93"/>
      <c r="C95" s="98"/>
      <c r="D95" s="93"/>
      <c r="E95" s="93"/>
      <c r="F95" s="93"/>
      <c r="G95" s="93"/>
      <c r="H95" s="87" t="s">
        <v>143</v>
      </c>
    </row>
    <row r="96" spans="1:8" ht="14.25" customHeight="1" x14ac:dyDescent="0.2">
      <c r="A96" s="93"/>
      <c r="B96" s="93"/>
      <c r="C96" s="94" t="s">
        <v>163</v>
      </c>
      <c r="D96" s="93"/>
      <c r="E96" s="93"/>
      <c r="F96" s="93"/>
      <c r="G96" s="93"/>
      <c r="H96" s="87" t="s">
        <v>143</v>
      </c>
    </row>
    <row r="97" spans="1:10" ht="14.25" customHeight="1" x14ac:dyDescent="0.2">
      <c r="A97" s="93"/>
      <c r="B97" s="93"/>
      <c r="C97" s="94" t="s">
        <v>164</v>
      </c>
      <c r="D97" s="93"/>
      <c r="E97" s="93"/>
      <c r="F97" s="93"/>
      <c r="G97" s="93"/>
      <c r="H97" s="87" t="s">
        <v>143</v>
      </c>
    </row>
    <row r="98" spans="1:10" ht="14.25" customHeight="1" x14ac:dyDescent="0.2">
      <c r="A98" s="93"/>
      <c r="B98" s="93"/>
      <c r="C98" s="94" t="s">
        <v>142</v>
      </c>
      <c r="D98" s="93"/>
      <c r="E98" s="93" t="s">
        <v>143</v>
      </c>
      <c r="F98" s="99" t="s">
        <v>145</v>
      </c>
      <c r="G98" s="96">
        <v>0</v>
      </c>
      <c r="H98" s="87" t="s">
        <v>143</v>
      </c>
    </row>
    <row r="99" spans="1:10" ht="14.25" customHeight="1" x14ac:dyDescent="0.2">
      <c r="A99" s="93"/>
      <c r="B99" s="93"/>
      <c r="C99" s="97"/>
      <c r="D99" s="93"/>
      <c r="E99" s="93"/>
      <c r="F99" s="98"/>
      <c r="G99" s="98"/>
      <c r="H99" s="87" t="s">
        <v>143</v>
      </c>
    </row>
    <row r="100" spans="1:10" ht="14.25" customHeight="1" x14ac:dyDescent="0.2">
      <c r="A100" s="93"/>
      <c r="B100" s="93"/>
      <c r="C100" s="94" t="s">
        <v>165</v>
      </c>
      <c r="D100" s="93"/>
      <c r="E100" s="93"/>
      <c r="F100" s="93"/>
      <c r="G100" s="93"/>
      <c r="H100" s="87" t="s">
        <v>143</v>
      </c>
    </row>
    <row r="101" spans="1:10" ht="14.25" customHeight="1" x14ac:dyDescent="0.2">
      <c r="A101" s="93"/>
      <c r="B101" s="93"/>
      <c r="C101" s="94" t="s">
        <v>166</v>
      </c>
      <c r="D101" s="93"/>
      <c r="E101" s="93"/>
      <c r="F101" s="93"/>
      <c r="G101" s="93"/>
      <c r="H101" s="87" t="s">
        <v>143</v>
      </c>
    </row>
    <row r="102" spans="1:10" ht="14.25" customHeight="1" x14ac:dyDescent="0.2">
      <c r="A102" s="93"/>
      <c r="B102" s="93"/>
      <c r="C102" s="94" t="s">
        <v>142</v>
      </c>
      <c r="D102" s="93"/>
      <c r="E102" s="93" t="s">
        <v>143</v>
      </c>
      <c r="F102" s="99" t="s">
        <v>145</v>
      </c>
      <c r="G102" s="96">
        <v>0</v>
      </c>
      <c r="H102" s="87" t="s">
        <v>143</v>
      </c>
    </row>
    <row r="103" spans="1:10" ht="14.25" customHeight="1" x14ac:dyDescent="0.2">
      <c r="A103" s="93"/>
      <c r="B103" s="93"/>
      <c r="C103" s="97"/>
      <c r="D103" s="93"/>
      <c r="E103" s="93"/>
      <c r="F103" s="98"/>
      <c r="G103" s="98"/>
      <c r="H103" s="87" t="s">
        <v>143</v>
      </c>
    </row>
    <row r="104" spans="1:10" ht="14.25" customHeight="1" x14ac:dyDescent="0.2">
      <c r="A104" s="93"/>
      <c r="B104" s="93"/>
      <c r="C104" s="94" t="s">
        <v>167</v>
      </c>
      <c r="D104" s="93"/>
      <c r="E104" s="93"/>
      <c r="F104" s="98"/>
      <c r="G104" s="98"/>
      <c r="H104" s="87" t="s">
        <v>143</v>
      </c>
    </row>
    <row r="105" spans="1:10" ht="14.25" customHeight="1" x14ac:dyDescent="0.2">
      <c r="A105" s="93"/>
      <c r="B105" s="93"/>
      <c r="C105" s="94" t="s">
        <v>142</v>
      </c>
      <c r="D105" s="93"/>
      <c r="E105" s="93" t="s">
        <v>143</v>
      </c>
      <c r="F105" s="99" t="s">
        <v>145</v>
      </c>
      <c r="G105" s="96">
        <v>0</v>
      </c>
      <c r="H105" s="87" t="s">
        <v>143</v>
      </c>
    </row>
    <row r="106" spans="1:10" ht="14.25" customHeight="1" x14ac:dyDescent="0.2">
      <c r="A106" s="93"/>
      <c r="B106" s="93"/>
      <c r="C106" s="97"/>
      <c r="D106" s="93"/>
      <c r="E106" s="93"/>
      <c r="F106" s="98"/>
      <c r="G106" s="98"/>
      <c r="H106" s="87" t="s">
        <v>143</v>
      </c>
    </row>
    <row r="107" spans="1:10" ht="14.25" customHeight="1" x14ac:dyDescent="0.2">
      <c r="A107" s="100"/>
      <c r="B107" s="89"/>
      <c r="C107" s="89" t="s">
        <v>168</v>
      </c>
      <c r="D107" s="89"/>
      <c r="E107" s="100"/>
      <c r="F107" s="91">
        <v>0.70108514</v>
      </c>
      <c r="G107" s="92">
        <v>3.1456000000000002E-4</v>
      </c>
      <c r="H107" s="87" t="s">
        <v>143</v>
      </c>
    </row>
    <row r="108" spans="1:10" ht="14.25" customHeight="1" x14ac:dyDescent="0.2">
      <c r="A108" s="97"/>
      <c r="B108" s="97"/>
      <c r="C108" s="94" t="s">
        <v>169</v>
      </c>
      <c r="D108" s="98"/>
      <c r="E108" s="98"/>
      <c r="F108" s="95">
        <v>2228.8129212389999</v>
      </c>
      <c r="G108" s="101">
        <v>1</v>
      </c>
      <c r="H108" s="87" t="s">
        <v>143</v>
      </c>
    </row>
    <row r="109" spans="1:10" ht="12.75" x14ac:dyDescent="0.2">
      <c r="A109" s="102"/>
      <c r="B109" s="102"/>
      <c r="C109" s="102"/>
      <c r="D109" s="103"/>
      <c r="E109" s="103"/>
      <c r="F109" s="103"/>
      <c r="G109" s="103"/>
    </row>
    <row r="110" spans="1:10" ht="12.75" x14ac:dyDescent="0.2">
      <c r="A110" s="104"/>
      <c r="B110" s="206" t="s">
        <v>942</v>
      </c>
      <c r="C110" s="206"/>
      <c r="D110" s="206"/>
      <c r="E110" s="206"/>
      <c r="F110" s="206"/>
      <c r="G110" s="206"/>
      <c r="H110" s="206"/>
      <c r="J110" s="106"/>
    </row>
    <row r="111" spans="1:10" ht="12.75" x14ac:dyDescent="0.2">
      <c r="A111" s="104"/>
      <c r="B111" s="206" t="s">
        <v>943</v>
      </c>
      <c r="C111" s="206"/>
      <c r="D111" s="206"/>
      <c r="E111" s="206"/>
      <c r="F111" s="206"/>
      <c r="G111" s="206"/>
      <c r="H111" s="206"/>
      <c r="J111" s="106"/>
    </row>
    <row r="112" spans="1:10" ht="12.75" x14ac:dyDescent="0.2">
      <c r="A112" s="104"/>
      <c r="B112" s="206" t="s">
        <v>944</v>
      </c>
      <c r="C112" s="206"/>
      <c r="D112" s="206"/>
      <c r="E112" s="206"/>
      <c r="F112" s="206"/>
      <c r="G112" s="206"/>
      <c r="H112" s="206"/>
      <c r="J112" s="106"/>
    </row>
    <row r="113" spans="1:17" s="108" customFormat="1" ht="66.75" customHeight="1" x14ac:dyDescent="0.25">
      <c r="A113" s="107"/>
      <c r="B113" s="207" t="s">
        <v>945</v>
      </c>
      <c r="C113" s="207"/>
      <c r="D113" s="207"/>
      <c r="E113" s="207"/>
      <c r="F113" s="207"/>
      <c r="G113" s="207"/>
      <c r="H113" s="207"/>
      <c r="I113"/>
      <c r="J113" s="106"/>
      <c r="K113"/>
      <c r="L113"/>
      <c r="M113"/>
      <c r="N113"/>
      <c r="O113"/>
      <c r="P113"/>
      <c r="Q113"/>
    </row>
    <row r="114" spans="1:17" ht="12.75" x14ac:dyDescent="0.2">
      <c r="A114" s="104"/>
      <c r="B114" s="206" t="s">
        <v>946</v>
      </c>
      <c r="C114" s="206"/>
      <c r="D114" s="206"/>
      <c r="E114" s="206"/>
      <c r="F114" s="206"/>
      <c r="G114" s="206"/>
      <c r="H114" s="206"/>
      <c r="J114" s="106"/>
    </row>
    <row r="115" spans="1:17" ht="12.75" x14ac:dyDescent="0.2">
      <c r="A115" s="104"/>
      <c r="B115" s="104"/>
      <c r="C115" s="104"/>
      <c r="D115" s="109"/>
      <c r="E115" s="109"/>
      <c r="F115" s="109"/>
      <c r="G115" s="109"/>
    </row>
    <row r="116" spans="1:17" ht="12.75" x14ac:dyDescent="0.2">
      <c r="A116" s="104"/>
      <c r="B116" s="199" t="s">
        <v>170</v>
      </c>
      <c r="C116" s="200"/>
      <c r="D116" s="201"/>
      <c r="E116" s="110"/>
      <c r="F116" s="109"/>
      <c r="G116" s="109"/>
    </row>
    <row r="117" spans="1:17" ht="27.75" customHeight="1" x14ac:dyDescent="0.2">
      <c r="A117" s="104"/>
      <c r="B117" s="202" t="s">
        <v>171</v>
      </c>
      <c r="C117" s="203"/>
      <c r="D117" s="86" t="s">
        <v>172</v>
      </c>
      <c r="E117" s="110"/>
      <c r="F117" s="109"/>
      <c r="G117" s="109"/>
    </row>
    <row r="118" spans="1:17" ht="12.75" customHeight="1" x14ac:dyDescent="0.2">
      <c r="A118" s="104"/>
      <c r="B118" s="202" t="s">
        <v>947</v>
      </c>
      <c r="C118" s="203"/>
      <c r="D118" s="86" t="s">
        <v>172</v>
      </c>
      <c r="E118" s="110"/>
      <c r="F118" s="109"/>
      <c r="G118" s="109"/>
    </row>
    <row r="119" spans="1:17" ht="12.75" x14ac:dyDescent="0.2">
      <c r="A119" s="104"/>
      <c r="B119" s="202" t="s">
        <v>173</v>
      </c>
      <c r="C119" s="203"/>
      <c r="D119" s="111" t="s">
        <v>143</v>
      </c>
      <c r="E119" s="110"/>
      <c r="F119" s="109"/>
      <c r="G119" s="109"/>
    </row>
    <row r="120" spans="1:17" ht="12.75" x14ac:dyDescent="0.2">
      <c r="A120" s="112"/>
      <c r="B120" s="113" t="s">
        <v>143</v>
      </c>
      <c r="C120" s="113" t="s">
        <v>948</v>
      </c>
      <c r="D120" s="113" t="s">
        <v>174</v>
      </c>
      <c r="E120" s="112"/>
      <c r="F120" s="112"/>
      <c r="G120" s="112"/>
      <c r="H120" s="112"/>
      <c r="J120" s="106"/>
    </row>
    <row r="121" spans="1:17" ht="12.75" x14ac:dyDescent="0.2">
      <c r="A121" s="112"/>
      <c r="B121" s="114" t="s">
        <v>175</v>
      </c>
      <c r="C121" s="115">
        <v>45869</v>
      </c>
      <c r="D121" s="115">
        <v>45900</v>
      </c>
      <c r="E121" s="112"/>
      <c r="F121" s="112"/>
      <c r="G121" s="112"/>
      <c r="J121" s="106"/>
    </row>
    <row r="122" spans="1:17" ht="14.25" customHeight="1" x14ac:dyDescent="0.2">
      <c r="A122" s="116"/>
      <c r="B122" s="89" t="s">
        <v>176</v>
      </c>
      <c r="C122" s="117">
        <v>33.698700000000002</v>
      </c>
      <c r="D122" s="117">
        <v>32.955399999999997</v>
      </c>
      <c r="E122" s="116"/>
      <c r="F122" s="118"/>
      <c r="G122" s="119"/>
    </row>
    <row r="123" spans="1:17" ht="14.25" customHeight="1" x14ac:dyDescent="0.2">
      <c r="A123" s="116"/>
      <c r="B123" s="89" t="s">
        <v>954</v>
      </c>
      <c r="C123" s="117">
        <v>30.961600000000001</v>
      </c>
      <c r="D123" s="117">
        <v>30.278700000000001</v>
      </c>
      <c r="E123" s="116"/>
      <c r="F123" s="118"/>
      <c r="G123" s="119"/>
    </row>
    <row r="124" spans="1:17" ht="14.25" customHeight="1" x14ac:dyDescent="0.2">
      <c r="A124" s="116"/>
      <c r="B124" s="89" t="s">
        <v>177</v>
      </c>
      <c r="C124" s="117">
        <v>33.041699999999999</v>
      </c>
      <c r="D124" s="117">
        <v>32.306899999999999</v>
      </c>
      <c r="E124" s="116"/>
      <c r="F124" s="118"/>
      <c r="G124" s="119"/>
    </row>
    <row r="125" spans="1:17" ht="14.25" customHeight="1" x14ac:dyDescent="0.2">
      <c r="A125" s="116"/>
      <c r="B125" s="89" t="s">
        <v>955</v>
      </c>
      <c r="C125" s="117">
        <v>30.321100000000001</v>
      </c>
      <c r="D125" s="117">
        <v>29.646799999999999</v>
      </c>
      <c r="E125" s="116"/>
      <c r="F125" s="118"/>
      <c r="G125" s="119"/>
    </row>
    <row r="126" spans="1:17" ht="14.25" customHeight="1" x14ac:dyDescent="0.2">
      <c r="A126" s="116"/>
      <c r="B126" s="116"/>
      <c r="C126" s="116"/>
      <c r="D126" s="116"/>
      <c r="E126" s="116"/>
      <c r="F126" s="116"/>
      <c r="G126" s="116"/>
    </row>
    <row r="127" spans="1:17" ht="12.75" x14ac:dyDescent="0.2">
      <c r="A127" s="112"/>
      <c r="B127" s="202" t="s">
        <v>949</v>
      </c>
      <c r="C127" s="203"/>
      <c r="D127" s="86" t="s">
        <v>172</v>
      </c>
      <c r="E127" s="112"/>
      <c r="F127" s="112"/>
      <c r="G127" s="112"/>
    </row>
    <row r="128" spans="1:17" ht="12.75" x14ac:dyDescent="0.2">
      <c r="A128" s="112"/>
      <c r="B128" s="120"/>
      <c r="C128" s="120"/>
      <c r="D128" s="120"/>
      <c r="E128" s="112"/>
      <c r="F128" s="112"/>
      <c r="G128" s="112"/>
    </row>
    <row r="129" spans="1:10" ht="12.75" x14ac:dyDescent="0.2">
      <c r="A129" s="112"/>
      <c r="B129" s="202" t="s">
        <v>178</v>
      </c>
      <c r="C129" s="203"/>
      <c r="D129" s="86" t="s">
        <v>172</v>
      </c>
      <c r="E129" s="120"/>
      <c r="F129" s="120"/>
      <c r="G129" s="120"/>
    </row>
    <row r="130" spans="1:10" ht="12.75" x14ac:dyDescent="0.2">
      <c r="A130" s="112"/>
      <c r="B130" s="202" t="s">
        <v>179</v>
      </c>
      <c r="C130" s="203"/>
      <c r="D130" s="86" t="s">
        <v>172</v>
      </c>
      <c r="E130" s="112"/>
      <c r="F130" s="112"/>
      <c r="G130" s="112"/>
    </row>
    <row r="131" spans="1:10" ht="12.75" customHeight="1" x14ac:dyDescent="0.2">
      <c r="A131" s="112"/>
      <c r="B131" s="202" t="s">
        <v>180</v>
      </c>
      <c r="C131" s="203"/>
      <c r="D131" s="86" t="s">
        <v>172</v>
      </c>
      <c r="E131" s="121"/>
      <c r="F131" s="112"/>
      <c r="G131" s="112"/>
    </row>
    <row r="132" spans="1:10" ht="12.75" customHeight="1" x14ac:dyDescent="0.2">
      <c r="A132" s="112"/>
      <c r="B132" s="202" t="s">
        <v>181</v>
      </c>
      <c r="C132" s="203"/>
      <c r="D132" s="122">
        <v>6.4297407545351695E-2</v>
      </c>
      <c r="E132" s="121"/>
      <c r="F132" s="112"/>
      <c r="G132" s="112"/>
    </row>
    <row r="133" spans="1:10" ht="12.75" x14ac:dyDescent="0.2"/>
    <row r="134" spans="1:10" ht="12.75" x14ac:dyDescent="0.2"/>
    <row r="135" spans="1:10" ht="12.75" x14ac:dyDescent="0.2">
      <c r="B135" s="204" t="s">
        <v>950</v>
      </c>
      <c r="C135" s="204"/>
    </row>
    <row r="136" spans="1:10" ht="12.75" x14ac:dyDescent="0.2"/>
    <row r="137" spans="1:10" ht="153.75" customHeight="1" x14ac:dyDescent="0.2"/>
    <row r="138" spans="1:10" ht="12.75" x14ac:dyDescent="0.2"/>
    <row r="139" spans="1:10" ht="12.75" x14ac:dyDescent="0.2"/>
    <row r="140" spans="1:10" ht="12.75" x14ac:dyDescent="0.2">
      <c r="B140" s="124" t="s">
        <v>951</v>
      </c>
      <c r="C140" s="125"/>
      <c r="D140" s="124"/>
    </row>
    <row r="141" spans="1:10" ht="12.75" x14ac:dyDescent="0.2">
      <c r="B141" s="124" t="s">
        <v>961</v>
      </c>
      <c r="D141" s="124"/>
    </row>
    <row r="142" spans="1:10" ht="165" customHeight="1" x14ac:dyDescent="0.2"/>
    <row r="143" spans="1:10" ht="12.75" x14ac:dyDescent="0.2"/>
    <row r="144" spans="1:10" ht="12.75" x14ac:dyDescent="0.2">
      <c r="J144" s="84"/>
    </row>
    <row r="145" customFormat="1" ht="12.75" x14ac:dyDescent="0.2"/>
    <row r="146" customFormat="1" ht="12.75" x14ac:dyDescent="0.2"/>
    <row r="147" customFormat="1" ht="12.75" x14ac:dyDescent="0.2"/>
    <row r="148" customFormat="1" ht="12.75" x14ac:dyDescent="0.2"/>
    <row r="149" customFormat="1" ht="12.75" x14ac:dyDescent="0.2"/>
    <row r="150" customFormat="1" ht="12.75" x14ac:dyDescent="0.2"/>
    <row r="151" customFormat="1" ht="12.75" x14ac:dyDescent="0.2"/>
    <row r="152" customFormat="1" ht="12.75" x14ac:dyDescent="0.2"/>
  </sheetData>
  <mergeCells count="18">
    <mergeCell ref="B113:H113"/>
    <mergeCell ref="B114:H114"/>
    <mergeCell ref="B116:D116"/>
    <mergeCell ref="B117:C117"/>
    <mergeCell ref="B135:C135"/>
    <mergeCell ref="A1:H1"/>
    <mergeCell ref="A2:H2"/>
    <mergeCell ref="A3:H3"/>
    <mergeCell ref="B127:C127"/>
    <mergeCell ref="B131:C131"/>
    <mergeCell ref="B132:C132"/>
    <mergeCell ref="B110:H110"/>
    <mergeCell ref="B111:H111"/>
    <mergeCell ref="B118:C118"/>
    <mergeCell ref="B119:C119"/>
    <mergeCell ref="B129:C129"/>
    <mergeCell ref="B130:C130"/>
    <mergeCell ref="B112:H112"/>
  </mergeCells>
  <hyperlinks>
    <hyperlink ref="I1" location="Index!B2" display="Index" xr:uid="{CD2B65F3-FDB2-47CD-ACFD-848F2FA299DB}"/>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A036-3CEE-43B5-ABDF-69E3CC92CF69}">
  <sheetPr>
    <outlinePr summaryBelow="0" summaryRight="0"/>
  </sheetPr>
  <dimension ref="A1:Q146"/>
  <sheetViews>
    <sheetView showGridLines="0" workbookViewId="0">
      <selection sqref="A1:H1"/>
    </sheetView>
  </sheetViews>
  <sheetFormatPr defaultRowHeight="14.25" customHeight="1" x14ac:dyDescent="0.2"/>
  <cols>
    <col min="1" max="1" width="5.85546875" bestFit="1" customWidth="1"/>
    <col min="2" max="2" width="19.7109375" customWidth="1"/>
    <col min="3" max="3" width="39.140625" bestFit="1" customWidth="1"/>
    <col min="4" max="4" width="29.28515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422</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31</v>
      </c>
      <c r="C7" s="89" t="s">
        <v>32</v>
      </c>
      <c r="D7" s="89" t="s">
        <v>33</v>
      </c>
      <c r="E7" s="90">
        <v>8734</v>
      </c>
      <c r="F7" s="91">
        <v>122.08385199999999</v>
      </c>
      <c r="G7" s="92">
        <v>9.662801E-2</v>
      </c>
      <c r="H7" s="87" t="s">
        <v>143</v>
      </c>
    </row>
    <row r="8" spans="1:9" ht="14.25" customHeight="1" x14ac:dyDescent="0.2">
      <c r="A8" s="88">
        <v>2</v>
      </c>
      <c r="B8" s="89" t="s">
        <v>321</v>
      </c>
      <c r="C8" s="89" t="s">
        <v>322</v>
      </c>
      <c r="D8" s="89" t="s">
        <v>33</v>
      </c>
      <c r="E8" s="90">
        <v>12610</v>
      </c>
      <c r="F8" s="91">
        <v>119.99675999999999</v>
      </c>
      <c r="G8" s="92">
        <v>9.4976099999999994E-2</v>
      </c>
      <c r="H8" s="87" t="s">
        <v>143</v>
      </c>
    </row>
    <row r="9" spans="1:9" ht="14.25" customHeight="1" x14ac:dyDescent="0.2">
      <c r="A9" s="88">
        <v>3</v>
      </c>
      <c r="B9" s="89" t="s">
        <v>17</v>
      </c>
      <c r="C9" s="89" t="s">
        <v>18</v>
      </c>
      <c r="D9" s="89" t="s">
        <v>19</v>
      </c>
      <c r="E9" s="90">
        <v>6978</v>
      </c>
      <c r="F9" s="91">
        <v>94.705416</v>
      </c>
      <c r="G9" s="92">
        <v>7.4958280000000002E-2</v>
      </c>
      <c r="H9" s="87" t="s">
        <v>143</v>
      </c>
    </row>
    <row r="10" spans="1:9" ht="14.25" customHeight="1" x14ac:dyDescent="0.2">
      <c r="A10" s="88">
        <v>4</v>
      </c>
      <c r="B10" s="89" t="s">
        <v>49</v>
      </c>
      <c r="C10" s="89" t="s">
        <v>50</v>
      </c>
      <c r="D10" s="89" t="s">
        <v>33</v>
      </c>
      <c r="E10" s="90">
        <v>11730</v>
      </c>
      <c r="F10" s="91">
        <v>94.133250000000004</v>
      </c>
      <c r="G10" s="92">
        <v>7.4505420000000003E-2</v>
      </c>
      <c r="H10" s="87" t="s">
        <v>143</v>
      </c>
    </row>
    <row r="11" spans="1:9" ht="14.25" customHeight="1" x14ac:dyDescent="0.2">
      <c r="A11" s="88">
        <v>5</v>
      </c>
      <c r="B11" s="89" t="s">
        <v>11</v>
      </c>
      <c r="C11" s="89" t="s">
        <v>12</v>
      </c>
      <c r="D11" s="89" t="s">
        <v>13</v>
      </c>
      <c r="E11" s="90">
        <v>4294</v>
      </c>
      <c r="F11" s="91">
        <v>81.105072000000007</v>
      </c>
      <c r="G11" s="92">
        <v>6.4193760000000002E-2</v>
      </c>
      <c r="H11" s="87" t="s">
        <v>143</v>
      </c>
    </row>
    <row r="12" spans="1:9" ht="14.25" customHeight="1" x14ac:dyDescent="0.2">
      <c r="A12" s="88">
        <v>6</v>
      </c>
      <c r="B12" s="89" t="s">
        <v>325</v>
      </c>
      <c r="C12" s="89" t="s">
        <v>326</v>
      </c>
      <c r="D12" s="89" t="s">
        <v>199</v>
      </c>
      <c r="E12" s="90">
        <v>5430</v>
      </c>
      <c r="F12" s="91">
        <v>79.799279999999996</v>
      </c>
      <c r="G12" s="92">
        <v>6.3160240000000006E-2</v>
      </c>
      <c r="H12" s="87" t="s">
        <v>143</v>
      </c>
    </row>
    <row r="13" spans="1:9" ht="14.25" customHeight="1" x14ac:dyDescent="0.2">
      <c r="A13" s="88">
        <v>7</v>
      </c>
      <c r="B13" s="89" t="s">
        <v>14</v>
      </c>
      <c r="C13" s="89" t="s">
        <v>15</v>
      </c>
      <c r="D13" s="89" t="s">
        <v>16</v>
      </c>
      <c r="E13" s="90">
        <v>1772</v>
      </c>
      <c r="F13" s="91">
        <v>63.809719999999999</v>
      </c>
      <c r="G13" s="92">
        <v>5.0504680000000003E-2</v>
      </c>
      <c r="H13" s="87" t="s">
        <v>143</v>
      </c>
    </row>
    <row r="14" spans="1:9" ht="14.25" customHeight="1" x14ac:dyDescent="0.2">
      <c r="A14" s="88">
        <v>8</v>
      </c>
      <c r="B14" s="89" t="s">
        <v>23</v>
      </c>
      <c r="C14" s="89" t="s">
        <v>24</v>
      </c>
      <c r="D14" s="89" t="s">
        <v>25</v>
      </c>
      <c r="E14" s="90">
        <v>424</v>
      </c>
      <c r="F14" s="91">
        <v>53.593600000000002</v>
      </c>
      <c r="G14" s="92">
        <v>4.2418740000000003E-2</v>
      </c>
      <c r="H14" s="87" t="s">
        <v>143</v>
      </c>
    </row>
    <row r="15" spans="1:9" ht="14.25" customHeight="1" x14ac:dyDescent="0.2">
      <c r="A15" s="88">
        <v>9</v>
      </c>
      <c r="B15" s="89" t="s">
        <v>327</v>
      </c>
      <c r="C15" s="89" t="s">
        <v>328</v>
      </c>
      <c r="D15" s="89" t="s">
        <v>33</v>
      </c>
      <c r="E15" s="90">
        <v>3621</v>
      </c>
      <c r="F15" s="91">
        <v>37.846691999999997</v>
      </c>
      <c r="G15" s="92">
        <v>2.9955240000000001E-2</v>
      </c>
      <c r="H15" s="87" t="s">
        <v>143</v>
      </c>
    </row>
    <row r="16" spans="1:9" ht="14.25" customHeight="1" x14ac:dyDescent="0.2">
      <c r="A16" s="88">
        <v>10</v>
      </c>
      <c r="B16" s="89" t="s">
        <v>183</v>
      </c>
      <c r="C16" s="89" t="s">
        <v>184</v>
      </c>
      <c r="D16" s="89" t="s">
        <v>185</v>
      </c>
      <c r="E16" s="90">
        <v>1637</v>
      </c>
      <c r="F16" s="91">
        <v>37.799967000000002</v>
      </c>
      <c r="G16" s="92">
        <v>2.991825E-2</v>
      </c>
      <c r="H16" s="87" t="s">
        <v>143</v>
      </c>
    </row>
    <row r="17" spans="1:8" ht="14.25" customHeight="1" x14ac:dyDescent="0.2">
      <c r="A17" s="88">
        <v>11</v>
      </c>
      <c r="B17" s="89" t="s">
        <v>214</v>
      </c>
      <c r="C17" s="89" t="s">
        <v>215</v>
      </c>
      <c r="D17" s="89" t="s">
        <v>19</v>
      </c>
      <c r="E17" s="90">
        <v>9124</v>
      </c>
      <c r="F17" s="91">
        <v>34.297116000000003</v>
      </c>
      <c r="G17" s="92">
        <v>2.714579E-2</v>
      </c>
      <c r="H17" s="87" t="s">
        <v>143</v>
      </c>
    </row>
    <row r="18" spans="1:8" ht="14.25" customHeight="1" x14ac:dyDescent="0.2">
      <c r="A18" s="88">
        <v>12</v>
      </c>
      <c r="B18" s="89" t="s">
        <v>136</v>
      </c>
      <c r="C18" s="89" t="s">
        <v>137</v>
      </c>
      <c r="D18" s="89" t="s">
        <v>138</v>
      </c>
      <c r="E18" s="90">
        <v>3580</v>
      </c>
      <c r="F18" s="91">
        <v>33.859639999999999</v>
      </c>
      <c r="G18" s="92">
        <v>2.6799529999999998E-2</v>
      </c>
      <c r="H18" s="87" t="s">
        <v>143</v>
      </c>
    </row>
    <row r="19" spans="1:8" ht="14.25" customHeight="1" x14ac:dyDescent="0.2">
      <c r="A19" s="88">
        <v>13</v>
      </c>
      <c r="B19" s="89" t="s">
        <v>423</v>
      </c>
      <c r="C19" s="89" t="s">
        <v>424</v>
      </c>
      <c r="D19" s="89" t="s">
        <v>46</v>
      </c>
      <c r="E19" s="90">
        <v>901</v>
      </c>
      <c r="F19" s="91">
        <v>32.695487999999997</v>
      </c>
      <c r="G19" s="92">
        <v>2.5878120000000001E-2</v>
      </c>
      <c r="H19" s="87" t="s">
        <v>143</v>
      </c>
    </row>
    <row r="20" spans="1:8" ht="14.25" customHeight="1" x14ac:dyDescent="0.2">
      <c r="A20" s="88">
        <v>14</v>
      </c>
      <c r="B20" s="89" t="s">
        <v>425</v>
      </c>
      <c r="C20" s="89" t="s">
        <v>426</v>
      </c>
      <c r="D20" s="89" t="s">
        <v>243</v>
      </c>
      <c r="E20" s="90">
        <v>4883</v>
      </c>
      <c r="F20" s="91">
        <v>32.667270000000002</v>
      </c>
      <c r="G20" s="92">
        <v>2.5855779999999998E-2</v>
      </c>
      <c r="H20" s="87" t="s">
        <v>143</v>
      </c>
    </row>
    <row r="21" spans="1:8" ht="14.25" customHeight="1" x14ac:dyDescent="0.2">
      <c r="A21" s="88">
        <v>15</v>
      </c>
      <c r="B21" s="89" t="s">
        <v>427</v>
      </c>
      <c r="C21" s="89" t="s">
        <v>428</v>
      </c>
      <c r="D21" s="89" t="s">
        <v>429</v>
      </c>
      <c r="E21" s="90">
        <v>7286</v>
      </c>
      <c r="F21" s="91">
        <v>29.854385000000001</v>
      </c>
      <c r="G21" s="92">
        <v>2.362941E-2</v>
      </c>
      <c r="H21" s="87" t="s">
        <v>143</v>
      </c>
    </row>
    <row r="22" spans="1:8" ht="14.25" customHeight="1" x14ac:dyDescent="0.2">
      <c r="A22" s="88">
        <v>16</v>
      </c>
      <c r="B22" s="89" t="s">
        <v>37</v>
      </c>
      <c r="C22" s="89" t="s">
        <v>38</v>
      </c>
      <c r="D22" s="89" t="s">
        <v>19</v>
      </c>
      <c r="E22" s="90">
        <v>7496</v>
      </c>
      <c r="F22" s="91">
        <v>23.102671999999998</v>
      </c>
      <c r="G22" s="92">
        <v>1.8285510000000001E-2</v>
      </c>
      <c r="H22" s="87" t="s">
        <v>143</v>
      </c>
    </row>
    <row r="23" spans="1:8" ht="14.25" customHeight="1" x14ac:dyDescent="0.2">
      <c r="A23" s="88">
        <v>17</v>
      </c>
      <c r="B23" s="89" t="s">
        <v>101</v>
      </c>
      <c r="C23" s="89" t="s">
        <v>102</v>
      </c>
      <c r="D23" s="89" t="s">
        <v>43</v>
      </c>
      <c r="E23" s="90">
        <v>587</v>
      </c>
      <c r="F23" s="91">
        <v>22.701637999999999</v>
      </c>
      <c r="G23" s="92">
        <v>1.7968089999999999E-2</v>
      </c>
      <c r="H23" s="87" t="s">
        <v>143</v>
      </c>
    </row>
    <row r="24" spans="1:8" ht="14.25" customHeight="1" x14ac:dyDescent="0.2">
      <c r="A24" s="88">
        <v>18</v>
      </c>
      <c r="B24" s="89" t="s">
        <v>430</v>
      </c>
      <c r="C24" s="89" t="s">
        <v>431</v>
      </c>
      <c r="D24" s="89" t="s">
        <v>199</v>
      </c>
      <c r="E24" s="90">
        <v>1555</v>
      </c>
      <c r="F24" s="91">
        <v>22.622140000000002</v>
      </c>
      <c r="G24" s="92">
        <v>1.7905170000000002E-2</v>
      </c>
      <c r="H24" s="87" t="s">
        <v>143</v>
      </c>
    </row>
    <row r="25" spans="1:8" ht="14.25" customHeight="1" x14ac:dyDescent="0.2">
      <c r="A25" s="88">
        <v>19</v>
      </c>
      <c r="B25" s="89" t="s">
        <v>333</v>
      </c>
      <c r="C25" s="89" t="s">
        <v>334</v>
      </c>
      <c r="D25" s="89" t="s">
        <v>33</v>
      </c>
      <c r="E25" s="90">
        <v>9495</v>
      </c>
      <c r="F25" s="91">
        <v>22.107208499999999</v>
      </c>
      <c r="G25" s="92">
        <v>1.749761E-2</v>
      </c>
      <c r="H25" s="87" t="s">
        <v>143</v>
      </c>
    </row>
    <row r="26" spans="1:8" ht="14.25" customHeight="1" x14ac:dyDescent="0.2">
      <c r="A26" s="88">
        <v>20</v>
      </c>
      <c r="B26" s="89" t="s">
        <v>432</v>
      </c>
      <c r="C26" s="89" t="s">
        <v>433</v>
      </c>
      <c r="D26" s="89" t="s">
        <v>263</v>
      </c>
      <c r="E26" s="90">
        <v>1169</v>
      </c>
      <c r="F26" s="91">
        <v>21.106294999999999</v>
      </c>
      <c r="G26" s="92">
        <v>1.6705399999999999E-2</v>
      </c>
      <c r="H26" s="87" t="s">
        <v>143</v>
      </c>
    </row>
    <row r="27" spans="1:8" ht="14.25" customHeight="1" x14ac:dyDescent="0.2">
      <c r="A27" s="88">
        <v>21</v>
      </c>
      <c r="B27" s="89" t="s">
        <v>434</v>
      </c>
      <c r="C27" s="89" t="s">
        <v>435</v>
      </c>
      <c r="D27" s="89" t="s">
        <v>436</v>
      </c>
      <c r="E27" s="90">
        <v>2810</v>
      </c>
      <c r="F27" s="91">
        <v>19.780995000000001</v>
      </c>
      <c r="G27" s="92">
        <v>1.5656440000000001E-2</v>
      </c>
      <c r="H27" s="87" t="s">
        <v>143</v>
      </c>
    </row>
    <row r="28" spans="1:8" ht="14.25" customHeight="1" x14ac:dyDescent="0.2">
      <c r="A28" s="88">
        <v>22</v>
      </c>
      <c r="B28" s="89" t="s">
        <v>437</v>
      </c>
      <c r="C28" s="89" t="s">
        <v>438</v>
      </c>
      <c r="D28" s="89" t="s">
        <v>199</v>
      </c>
      <c r="E28" s="90">
        <v>617</v>
      </c>
      <c r="F28" s="91">
        <v>19.032599000000001</v>
      </c>
      <c r="G28" s="92">
        <v>1.506409E-2</v>
      </c>
      <c r="H28" s="87" t="s">
        <v>143</v>
      </c>
    </row>
    <row r="29" spans="1:8" ht="14.25" customHeight="1" x14ac:dyDescent="0.2">
      <c r="A29" s="88">
        <v>23</v>
      </c>
      <c r="B29" s="89" t="s">
        <v>374</v>
      </c>
      <c r="C29" s="89" t="s">
        <v>375</v>
      </c>
      <c r="D29" s="89" t="s">
        <v>268</v>
      </c>
      <c r="E29" s="90">
        <v>397</v>
      </c>
      <c r="F29" s="91">
        <v>18.609375</v>
      </c>
      <c r="G29" s="92">
        <v>1.472911E-2</v>
      </c>
      <c r="H29" s="87" t="s">
        <v>143</v>
      </c>
    </row>
    <row r="30" spans="1:8" ht="14.25" customHeight="1" x14ac:dyDescent="0.2">
      <c r="A30" s="88">
        <v>24</v>
      </c>
      <c r="B30" s="89" t="s">
        <v>439</v>
      </c>
      <c r="C30" s="89" t="s">
        <v>440</v>
      </c>
      <c r="D30" s="89" t="s">
        <v>194</v>
      </c>
      <c r="E30" s="90">
        <v>1140</v>
      </c>
      <c r="F30" s="91">
        <v>18.119160000000001</v>
      </c>
      <c r="G30" s="92">
        <v>1.4341110000000001E-2</v>
      </c>
      <c r="H30" s="87" t="s">
        <v>143</v>
      </c>
    </row>
    <row r="31" spans="1:8" ht="14.25" customHeight="1" x14ac:dyDescent="0.2">
      <c r="A31" s="88">
        <v>25</v>
      </c>
      <c r="B31" s="89" t="s">
        <v>441</v>
      </c>
      <c r="C31" s="89" t="s">
        <v>442</v>
      </c>
      <c r="D31" s="89" t="s">
        <v>204</v>
      </c>
      <c r="E31" s="90">
        <v>1612</v>
      </c>
      <c r="F31" s="91">
        <v>17.174247999999999</v>
      </c>
      <c r="G31" s="92">
        <v>1.359323E-2</v>
      </c>
      <c r="H31" s="87" t="s">
        <v>143</v>
      </c>
    </row>
    <row r="32" spans="1:8" ht="14.25" customHeight="1" x14ac:dyDescent="0.2">
      <c r="A32" s="88">
        <v>26</v>
      </c>
      <c r="B32" s="89" t="s">
        <v>443</v>
      </c>
      <c r="C32" s="89" t="s">
        <v>444</v>
      </c>
      <c r="D32" s="89" t="s">
        <v>25</v>
      </c>
      <c r="E32" s="90">
        <v>1190</v>
      </c>
      <c r="F32" s="91">
        <v>14.89404</v>
      </c>
      <c r="G32" s="92">
        <v>1.1788470000000001E-2</v>
      </c>
      <c r="H32" s="87" t="s">
        <v>143</v>
      </c>
    </row>
    <row r="33" spans="1:8" ht="14.25" customHeight="1" x14ac:dyDescent="0.2">
      <c r="A33" s="88">
        <v>27</v>
      </c>
      <c r="B33" s="89" t="s">
        <v>323</v>
      </c>
      <c r="C33" s="89" t="s">
        <v>324</v>
      </c>
      <c r="D33" s="89" t="s">
        <v>33</v>
      </c>
      <c r="E33" s="90">
        <v>731</v>
      </c>
      <c r="F33" s="91">
        <v>14.329793</v>
      </c>
      <c r="G33" s="92">
        <v>1.134187E-2</v>
      </c>
      <c r="H33" s="87" t="s">
        <v>143</v>
      </c>
    </row>
    <row r="34" spans="1:8" ht="14.25" customHeight="1" x14ac:dyDescent="0.2">
      <c r="A34" s="88">
        <v>28</v>
      </c>
      <c r="B34" s="89" t="s">
        <v>445</v>
      </c>
      <c r="C34" s="89" t="s">
        <v>446</v>
      </c>
      <c r="D34" s="89" t="s">
        <v>429</v>
      </c>
      <c r="E34" s="90">
        <v>517</v>
      </c>
      <c r="F34" s="91">
        <v>13.751166</v>
      </c>
      <c r="G34" s="92">
        <v>1.08839E-2</v>
      </c>
      <c r="H34" s="87" t="s">
        <v>143</v>
      </c>
    </row>
    <row r="35" spans="1:8" ht="14.25" customHeight="1" x14ac:dyDescent="0.2">
      <c r="A35" s="88">
        <v>29</v>
      </c>
      <c r="B35" s="89" t="s">
        <v>127</v>
      </c>
      <c r="C35" s="89" t="s">
        <v>128</v>
      </c>
      <c r="D35" s="89" t="s">
        <v>53</v>
      </c>
      <c r="E35" s="90">
        <v>1871</v>
      </c>
      <c r="F35" s="91">
        <v>9.8667184999999993</v>
      </c>
      <c r="G35" s="92">
        <v>7.8094000000000002E-3</v>
      </c>
      <c r="H35" s="87" t="s">
        <v>143</v>
      </c>
    </row>
    <row r="36" spans="1:8" ht="14.25" customHeight="1" x14ac:dyDescent="0.2">
      <c r="A36" s="88">
        <v>30</v>
      </c>
      <c r="B36" s="89" t="s">
        <v>447</v>
      </c>
      <c r="C36" s="89" t="s">
        <v>448</v>
      </c>
      <c r="D36" s="89" t="s">
        <v>199</v>
      </c>
      <c r="E36" s="90">
        <v>3116</v>
      </c>
      <c r="F36" s="91">
        <v>7.7716155999999996</v>
      </c>
      <c r="G36" s="92">
        <v>6.1511500000000002E-3</v>
      </c>
      <c r="H36" s="87" t="s">
        <v>143</v>
      </c>
    </row>
    <row r="37" spans="1:8" ht="14.25" customHeight="1" x14ac:dyDescent="0.2">
      <c r="A37" s="88">
        <v>31</v>
      </c>
      <c r="B37" s="89" t="s">
        <v>449</v>
      </c>
      <c r="C37" s="89" t="s">
        <v>450</v>
      </c>
      <c r="D37" s="89" t="s">
        <v>33</v>
      </c>
      <c r="E37" s="90">
        <v>989</v>
      </c>
      <c r="F37" s="91">
        <v>7.3136549999999998</v>
      </c>
      <c r="G37" s="92">
        <v>5.78868E-3</v>
      </c>
      <c r="H37" s="87" t="s">
        <v>143</v>
      </c>
    </row>
    <row r="38" spans="1:8" ht="14.25" customHeight="1" x14ac:dyDescent="0.2">
      <c r="A38" s="93"/>
      <c r="B38" s="93"/>
      <c r="C38" s="94" t="s">
        <v>142</v>
      </c>
      <c r="D38" s="93"/>
      <c r="E38" s="93" t="s">
        <v>143</v>
      </c>
      <c r="F38" s="95">
        <v>1220.5308266</v>
      </c>
      <c r="G38" s="96">
        <v>0.96603658000000003</v>
      </c>
      <c r="H38" s="87" t="s">
        <v>143</v>
      </c>
    </row>
    <row r="39" spans="1:8" ht="14.25" customHeight="1" x14ac:dyDescent="0.2">
      <c r="A39" s="93"/>
      <c r="B39" s="93"/>
      <c r="C39" s="97"/>
      <c r="D39" s="93"/>
      <c r="E39" s="93"/>
      <c r="F39" s="98"/>
      <c r="G39" s="98"/>
      <c r="H39" s="87" t="s">
        <v>143</v>
      </c>
    </row>
    <row r="40" spans="1:8" ht="14.25" customHeight="1" x14ac:dyDescent="0.2">
      <c r="A40" s="93"/>
      <c r="B40" s="93"/>
      <c r="C40" s="94" t="s">
        <v>144</v>
      </c>
      <c r="D40" s="93"/>
      <c r="E40" s="93"/>
      <c r="F40" s="93"/>
      <c r="G40" s="93"/>
      <c r="H40" s="87" t="s">
        <v>143</v>
      </c>
    </row>
    <row r="41" spans="1:8" ht="14.25" customHeight="1" x14ac:dyDescent="0.2">
      <c r="A41" s="93"/>
      <c r="B41" s="93"/>
      <c r="C41" s="94" t="s">
        <v>142</v>
      </c>
      <c r="D41" s="93"/>
      <c r="E41" s="93" t="s">
        <v>143</v>
      </c>
      <c r="F41" s="99" t="s">
        <v>145</v>
      </c>
      <c r="G41" s="96">
        <v>0</v>
      </c>
      <c r="H41" s="87" t="s">
        <v>143</v>
      </c>
    </row>
    <row r="42" spans="1:8" ht="14.25" customHeight="1" x14ac:dyDescent="0.2">
      <c r="A42" s="93"/>
      <c r="B42" s="93"/>
      <c r="C42" s="97"/>
      <c r="D42" s="93"/>
      <c r="E42" s="93"/>
      <c r="F42" s="98"/>
      <c r="G42" s="98"/>
      <c r="H42" s="87" t="s">
        <v>143</v>
      </c>
    </row>
    <row r="43" spans="1:8" ht="14.25" customHeight="1" x14ac:dyDescent="0.2">
      <c r="A43" s="93"/>
      <c r="B43" s="93"/>
      <c r="C43" s="94" t="s">
        <v>146</v>
      </c>
      <c r="D43" s="93"/>
      <c r="E43" s="93"/>
      <c r="F43" s="93"/>
      <c r="G43" s="93"/>
      <c r="H43" s="87" t="s">
        <v>143</v>
      </c>
    </row>
    <row r="44" spans="1:8" ht="14.25" customHeight="1" x14ac:dyDescent="0.2">
      <c r="A44" s="93"/>
      <c r="B44" s="93"/>
      <c r="C44" s="94" t="s">
        <v>142</v>
      </c>
      <c r="D44" s="93"/>
      <c r="E44" s="93" t="s">
        <v>143</v>
      </c>
      <c r="F44" s="99" t="s">
        <v>145</v>
      </c>
      <c r="G44" s="96">
        <v>0</v>
      </c>
      <c r="H44" s="87" t="s">
        <v>143</v>
      </c>
    </row>
    <row r="45" spans="1:8" ht="14.25" customHeight="1" x14ac:dyDescent="0.2">
      <c r="A45" s="93"/>
      <c r="B45" s="93"/>
      <c r="C45" s="97"/>
      <c r="D45" s="93"/>
      <c r="E45" s="93"/>
      <c r="F45" s="98"/>
      <c r="G45" s="98"/>
      <c r="H45" s="87" t="s">
        <v>143</v>
      </c>
    </row>
    <row r="46" spans="1:8" ht="14.25" customHeight="1" x14ac:dyDescent="0.2">
      <c r="A46" s="93"/>
      <c r="B46" s="93"/>
      <c r="C46" s="94" t="s">
        <v>147</v>
      </c>
      <c r="D46" s="93"/>
      <c r="E46" s="93"/>
      <c r="F46" s="93"/>
      <c r="G46" s="93"/>
      <c r="H46" s="87" t="s">
        <v>143</v>
      </c>
    </row>
    <row r="47" spans="1:8" ht="14.25" customHeight="1" x14ac:dyDescent="0.2">
      <c r="A47" s="93"/>
      <c r="B47" s="93"/>
      <c r="C47" s="94" t="s">
        <v>142</v>
      </c>
      <c r="D47" s="93"/>
      <c r="E47" s="93" t="s">
        <v>143</v>
      </c>
      <c r="F47" s="99" t="s">
        <v>145</v>
      </c>
      <c r="G47" s="96">
        <v>0</v>
      </c>
      <c r="H47" s="87" t="s">
        <v>143</v>
      </c>
    </row>
    <row r="48" spans="1:8" ht="14.25" customHeight="1" x14ac:dyDescent="0.2">
      <c r="A48" s="93"/>
      <c r="B48" s="93"/>
      <c r="C48" s="97"/>
      <c r="D48" s="93"/>
      <c r="E48" s="93"/>
      <c r="F48" s="98"/>
      <c r="G48" s="98"/>
      <c r="H48" s="87" t="s">
        <v>143</v>
      </c>
    </row>
    <row r="49" spans="1:8" ht="14.25" customHeight="1" x14ac:dyDescent="0.2">
      <c r="A49" s="93"/>
      <c r="B49" s="93"/>
      <c r="C49" s="94" t="s">
        <v>148</v>
      </c>
      <c r="D49" s="93"/>
      <c r="E49" s="93"/>
      <c r="F49" s="98"/>
      <c r="G49" s="98"/>
      <c r="H49" s="87" t="s">
        <v>143</v>
      </c>
    </row>
    <row r="50" spans="1:8" ht="14.25" customHeight="1" x14ac:dyDescent="0.2">
      <c r="A50" s="93"/>
      <c r="B50" s="93"/>
      <c r="C50" s="94" t="s">
        <v>142</v>
      </c>
      <c r="D50" s="93"/>
      <c r="E50" s="93" t="s">
        <v>143</v>
      </c>
      <c r="F50" s="99" t="s">
        <v>145</v>
      </c>
      <c r="G50" s="96">
        <v>0</v>
      </c>
      <c r="H50" s="87" t="s">
        <v>143</v>
      </c>
    </row>
    <row r="51" spans="1:8" ht="14.25" customHeight="1" x14ac:dyDescent="0.2">
      <c r="A51" s="93"/>
      <c r="B51" s="93"/>
      <c r="C51" s="97"/>
      <c r="D51" s="93"/>
      <c r="E51" s="93"/>
      <c r="F51" s="98"/>
      <c r="G51" s="98"/>
      <c r="H51" s="87" t="s">
        <v>143</v>
      </c>
    </row>
    <row r="52" spans="1:8" ht="14.25" customHeight="1" x14ac:dyDescent="0.2">
      <c r="A52" s="93"/>
      <c r="B52" s="93"/>
      <c r="C52" s="94" t="s">
        <v>149</v>
      </c>
      <c r="D52" s="93"/>
      <c r="E52" s="93"/>
      <c r="F52" s="98"/>
      <c r="G52" s="98"/>
      <c r="H52" s="87" t="s">
        <v>143</v>
      </c>
    </row>
    <row r="53" spans="1:8" ht="14.25" customHeight="1" x14ac:dyDescent="0.2">
      <c r="A53" s="93"/>
      <c r="B53" s="93"/>
      <c r="C53" s="94" t="s">
        <v>142</v>
      </c>
      <c r="D53" s="93"/>
      <c r="E53" s="93" t="s">
        <v>143</v>
      </c>
      <c r="F53" s="99" t="s">
        <v>145</v>
      </c>
      <c r="G53" s="96">
        <v>0</v>
      </c>
      <c r="H53" s="87" t="s">
        <v>143</v>
      </c>
    </row>
    <row r="54" spans="1:8" ht="14.25" customHeight="1" x14ac:dyDescent="0.2">
      <c r="A54" s="93"/>
      <c r="B54" s="93"/>
      <c r="C54" s="97"/>
      <c r="D54" s="93"/>
      <c r="E54" s="93"/>
      <c r="F54" s="98"/>
      <c r="G54" s="98"/>
      <c r="H54" s="87" t="s">
        <v>143</v>
      </c>
    </row>
    <row r="55" spans="1:8" ht="14.25" customHeight="1" x14ac:dyDescent="0.2">
      <c r="A55" s="93"/>
      <c r="B55" s="93"/>
      <c r="C55" s="94" t="s">
        <v>150</v>
      </c>
      <c r="D55" s="93"/>
      <c r="E55" s="93"/>
      <c r="F55" s="95">
        <v>1220.5308266</v>
      </c>
      <c r="G55" s="96">
        <v>0.96603658000000003</v>
      </c>
      <c r="H55" s="87" t="s">
        <v>143</v>
      </c>
    </row>
    <row r="56" spans="1:8" ht="14.25" customHeight="1" x14ac:dyDescent="0.2">
      <c r="A56" s="93"/>
      <c r="B56" s="93"/>
      <c r="C56" s="97"/>
      <c r="D56" s="93"/>
      <c r="E56" s="93"/>
      <c r="F56" s="98"/>
      <c r="G56" s="98"/>
      <c r="H56" s="87" t="s">
        <v>143</v>
      </c>
    </row>
    <row r="57" spans="1:8" ht="14.25" customHeight="1" x14ac:dyDescent="0.2">
      <c r="A57" s="93"/>
      <c r="B57" s="93"/>
      <c r="C57" s="94" t="s">
        <v>151</v>
      </c>
      <c r="D57" s="93"/>
      <c r="E57" s="93"/>
      <c r="F57" s="98"/>
      <c r="G57" s="98"/>
      <c r="H57" s="87" t="s">
        <v>143</v>
      </c>
    </row>
    <row r="58" spans="1:8" ht="14.25" customHeight="1" x14ac:dyDescent="0.2">
      <c r="A58" s="93"/>
      <c r="B58" s="93"/>
      <c r="C58" s="94" t="s">
        <v>10</v>
      </c>
      <c r="D58" s="93"/>
      <c r="E58" s="93"/>
      <c r="F58" s="98"/>
      <c r="G58" s="98"/>
      <c r="H58" s="87" t="s">
        <v>143</v>
      </c>
    </row>
    <row r="59" spans="1:8" ht="14.25" customHeight="1" x14ac:dyDescent="0.2">
      <c r="A59" s="93"/>
      <c r="B59" s="93"/>
      <c r="C59" s="94" t="s">
        <v>142</v>
      </c>
      <c r="D59" s="93"/>
      <c r="E59" s="93" t="s">
        <v>143</v>
      </c>
      <c r="F59" s="99" t="s">
        <v>145</v>
      </c>
      <c r="G59" s="96">
        <v>0</v>
      </c>
      <c r="H59" s="87" t="s">
        <v>143</v>
      </c>
    </row>
    <row r="60" spans="1:8" ht="14.25" customHeight="1" x14ac:dyDescent="0.2">
      <c r="A60" s="93"/>
      <c r="B60" s="93"/>
      <c r="C60" s="97"/>
      <c r="D60" s="93"/>
      <c r="E60" s="93"/>
      <c r="F60" s="98"/>
      <c r="G60" s="98"/>
      <c r="H60" s="87" t="s">
        <v>143</v>
      </c>
    </row>
    <row r="61" spans="1:8" ht="14.25" customHeight="1" x14ac:dyDescent="0.2">
      <c r="A61" s="93"/>
      <c r="B61" s="93"/>
      <c r="C61" s="94" t="s">
        <v>152</v>
      </c>
      <c r="D61" s="93"/>
      <c r="E61" s="93"/>
      <c r="F61" s="93"/>
      <c r="G61" s="93"/>
      <c r="H61" s="87" t="s">
        <v>143</v>
      </c>
    </row>
    <row r="62" spans="1:8" ht="14.25" customHeight="1" x14ac:dyDescent="0.2">
      <c r="A62" s="93"/>
      <c r="B62" s="93"/>
      <c r="C62" s="94" t="s">
        <v>142</v>
      </c>
      <c r="D62" s="93"/>
      <c r="E62" s="93" t="s">
        <v>143</v>
      </c>
      <c r="F62" s="99" t="s">
        <v>145</v>
      </c>
      <c r="G62" s="96">
        <v>0</v>
      </c>
      <c r="H62" s="87" t="s">
        <v>143</v>
      </c>
    </row>
    <row r="63" spans="1:8" ht="14.25" customHeight="1" x14ac:dyDescent="0.2">
      <c r="A63" s="93"/>
      <c r="B63" s="93"/>
      <c r="C63" s="97"/>
      <c r="D63" s="93"/>
      <c r="E63" s="93"/>
      <c r="F63" s="98"/>
      <c r="G63" s="98"/>
      <c r="H63" s="87" t="s">
        <v>143</v>
      </c>
    </row>
    <row r="64" spans="1:8" ht="14.25" customHeight="1" x14ac:dyDescent="0.2">
      <c r="A64" s="93"/>
      <c r="B64" s="93"/>
      <c r="C64" s="94" t="s">
        <v>153</v>
      </c>
      <c r="D64" s="93"/>
      <c r="E64" s="93"/>
      <c r="F64" s="93"/>
      <c r="G64" s="93"/>
      <c r="H64" s="87" t="s">
        <v>143</v>
      </c>
    </row>
    <row r="65" spans="1:8" ht="14.25" customHeight="1" x14ac:dyDescent="0.2">
      <c r="A65" s="93"/>
      <c r="B65" s="93"/>
      <c r="C65" s="94" t="s">
        <v>142</v>
      </c>
      <c r="D65" s="93"/>
      <c r="E65" s="93" t="s">
        <v>143</v>
      </c>
      <c r="F65" s="99" t="s">
        <v>145</v>
      </c>
      <c r="G65" s="96">
        <v>0</v>
      </c>
      <c r="H65" s="87" t="s">
        <v>143</v>
      </c>
    </row>
    <row r="66" spans="1:8" ht="14.25" customHeight="1" x14ac:dyDescent="0.2">
      <c r="A66" s="93"/>
      <c r="B66" s="93"/>
      <c r="C66" s="97"/>
      <c r="D66" s="93"/>
      <c r="E66" s="93"/>
      <c r="F66" s="98"/>
      <c r="G66" s="98"/>
      <c r="H66" s="87" t="s">
        <v>143</v>
      </c>
    </row>
    <row r="67" spans="1:8" ht="14.25" customHeight="1" x14ac:dyDescent="0.2">
      <c r="A67" s="93"/>
      <c r="B67" s="93"/>
      <c r="C67" s="94" t="s">
        <v>154</v>
      </c>
      <c r="D67" s="93"/>
      <c r="E67" s="93"/>
      <c r="F67" s="98"/>
      <c r="G67" s="98"/>
      <c r="H67" s="87" t="s">
        <v>143</v>
      </c>
    </row>
    <row r="68" spans="1:8" ht="14.25" customHeight="1" x14ac:dyDescent="0.2">
      <c r="A68" s="93"/>
      <c r="B68" s="93"/>
      <c r="C68" s="94" t="s">
        <v>142</v>
      </c>
      <c r="D68" s="93"/>
      <c r="E68" s="93" t="s">
        <v>143</v>
      </c>
      <c r="F68" s="99" t="s">
        <v>145</v>
      </c>
      <c r="G68" s="96">
        <v>0</v>
      </c>
      <c r="H68" s="87" t="s">
        <v>143</v>
      </c>
    </row>
    <row r="69" spans="1:8" ht="14.25" customHeight="1" x14ac:dyDescent="0.2">
      <c r="A69" s="93"/>
      <c r="B69" s="93"/>
      <c r="C69" s="97"/>
      <c r="D69" s="93"/>
      <c r="E69" s="93"/>
      <c r="F69" s="98"/>
      <c r="G69" s="98"/>
      <c r="H69" s="87" t="s">
        <v>143</v>
      </c>
    </row>
    <row r="70" spans="1:8" ht="14.25" customHeight="1" x14ac:dyDescent="0.2">
      <c r="A70" s="93"/>
      <c r="B70" s="93"/>
      <c r="C70" s="94" t="s">
        <v>155</v>
      </c>
      <c r="D70" s="93"/>
      <c r="E70" s="93"/>
      <c r="F70" s="95">
        <v>0</v>
      </c>
      <c r="G70" s="96">
        <v>0</v>
      </c>
      <c r="H70" s="87" t="s">
        <v>143</v>
      </c>
    </row>
    <row r="71" spans="1:8" ht="14.25" customHeight="1" x14ac:dyDescent="0.2">
      <c r="A71" s="93"/>
      <c r="B71" s="93"/>
      <c r="C71" s="97"/>
      <c r="D71" s="93"/>
      <c r="E71" s="93"/>
      <c r="F71" s="98"/>
      <c r="G71" s="98"/>
      <c r="H71" s="87" t="s">
        <v>143</v>
      </c>
    </row>
    <row r="72" spans="1:8" ht="14.25" customHeight="1" x14ac:dyDescent="0.2">
      <c r="A72" s="93"/>
      <c r="B72" s="93"/>
      <c r="C72" s="94" t="s">
        <v>156</v>
      </c>
      <c r="D72" s="93"/>
      <c r="E72" s="93"/>
      <c r="F72" s="98"/>
      <c r="G72" s="98"/>
      <c r="H72" s="87" t="s">
        <v>143</v>
      </c>
    </row>
    <row r="73" spans="1:8" ht="14.25" customHeight="1" x14ac:dyDescent="0.2">
      <c r="A73" s="93"/>
      <c r="B73" s="93"/>
      <c r="C73" s="94" t="s">
        <v>157</v>
      </c>
      <c r="D73" s="93"/>
      <c r="E73" s="93"/>
      <c r="F73" s="98"/>
      <c r="G73" s="98"/>
      <c r="H73" s="87" t="s">
        <v>143</v>
      </c>
    </row>
    <row r="74" spans="1:8" ht="14.25" customHeight="1" x14ac:dyDescent="0.2">
      <c r="A74" s="93"/>
      <c r="B74" s="93"/>
      <c r="C74" s="94" t="s">
        <v>142</v>
      </c>
      <c r="D74" s="93"/>
      <c r="E74" s="93" t="s">
        <v>143</v>
      </c>
      <c r="F74" s="99" t="s">
        <v>145</v>
      </c>
      <c r="G74" s="96">
        <v>0</v>
      </c>
      <c r="H74" s="87" t="s">
        <v>143</v>
      </c>
    </row>
    <row r="75" spans="1:8" ht="14.25" customHeight="1" x14ac:dyDescent="0.2">
      <c r="A75" s="93"/>
      <c r="B75" s="93"/>
      <c r="C75" s="97"/>
      <c r="D75" s="93"/>
      <c r="E75" s="93"/>
      <c r="F75" s="98"/>
      <c r="G75" s="98"/>
      <c r="H75" s="87" t="s">
        <v>143</v>
      </c>
    </row>
    <row r="76" spans="1:8" ht="14.25" customHeight="1" x14ac:dyDescent="0.2">
      <c r="A76" s="93"/>
      <c r="B76" s="93"/>
      <c r="C76" s="94" t="s">
        <v>158</v>
      </c>
      <c r="D76" s="93"/>
      <c r="E76" s="93"/>
      <c r="F76" s="98"/>
      <c r="G76" s="98"/>
      <c r="H76" s="87" t="s">
        <v>143</v>
      </c>
    </row>
    <row r="77" spans="1:8" ht="14.25" customHeight="1" x14ac:dyDescent="0.2">
      <c r="A77" s="93"/>
      <c r="B77" s="93"/>
      <c r="C77" s="94" t="s">
        <v>142</v>
      </c>
      <c r="D77" s="93"/>
      <c r="E77" s="93" t="s">
        <v>143</v>
      </c>
      <c r="F77" s="99" t="s">
        <v>145</v>
      </c>
      <c r="G77" s="96">
        <v>0</v>
      </c>
      <c r="H77" s="87" t="s">
        <v>143</v>
      </c>
    </row>
    <row r="78" spans="1:8" ht="14.25" customHeight="1" x14ac:dyDescent="0.2">
      <c r="A78" s="93"/>
      <c r="B78" s="93"/>
      <c r="C78" s="97"/>
      <c r="D78" s="93"/>
      <c r="E78" s="93"/>
      <c r="F78" s="98"/>
      <c r="G78" s="98"/>
      <c r="H78" s="87" t="s">
        <v>143</v>
      </c>
    </row>
    <row r="79" spans="1:8" ht="14.25" customHeight="1" x14ac:dyDescent="0.2">
      <c r="A79" s="93"/>
      <c r="B79" s="93"/>
      <c r="C79" s="94" t="s">
        <v>159</v>
      </c>
      <c r="D79" s="93"/>
      <c r="E79" s="93"/>
      <c r="F79" s="98"/>
      <c r="G79" s="98"/>
      <c r="H79" s="87" t="s">
        <v>143</v>
      </c>
    </row>
    <row r="80" spans="1:8" ht="14.25" customHeight="1" x14ac:dyDescent="0.2">
      <c r="A80" s="93"/>
      <c r="B80" s="93"/>
      <c r="C80" s="94" t="s">
        <v>142</v>
      </c>
      <c r="D80" s="93"/>
      <c r="E80" s="93" t="s">
        <v>143</v>
      </c>
      <c r="F80" s="99" t="s">
        <v>145</v>
      </c>
      <c r="G80" s="96">
        <v>0</v>
      </c>
      <c r="H80" s="87" t="s">
        <v>143</v>
      </c>
    </row>
    <row r="81" spans="1:8" ht="14.25" customHeight="1" x14ac:dyDescent="0.2">
      <c r="A81" s="93"/>
      <c r="B81" s="93"/>
      <c r="C81" s="97"/>
      <c r="D81" s="93"/>
      <c r="E81" s="93"/>
      <c r="F81" s="98"/>
      <c r="G81" s="98"/>
      <c r="H81" s="87" t="s">
        <v>143</v>
      </c>
    </row>
    <row r="82" spans="1:8" ht="14.25" customHeight="1" x14ac:dyDescent="0.2">
      <c r="A82" s="93"/>
      <c r="B82" s="93"/>
      <c r="C82" s="94" t="s">
        <v>160</v>
      </c>
      <c r="D82" s="93"/>
      <c r="E82" s="93"/>
      <c r="F82" s="98"/>
      <c r="G82" s="98"/>
      <c r="H82" s="87" t="s">
        <v>143</v>
      </c>
    </row>
    <row r="83" spans="1:8" ht="14.25" customHeight="1" x14ac:dyDescent="0.2">
      <c r="A83" s="88">
        <v>1</v>
      </c>
      <c r="B83" s="89"/>
      <c r="C83" s="89" t="s">
        <v>161</v>
      </c>
      <c r="D83" s="89"/>
      <c r="E83" s="100"/>
      <c r="F83" s="91">
        <v>40.665368000000001</v>
      </c>
      <c r="G83" s="92">
        <v>3.2186190000000003E-2</v>
      </c>
      <c r="H83" s="87">
        <v>5.38</v>
      </c>
    </row>
    <row r="84" spans="1:8" ht="14.25" customHeight="1" x14ac:dyDescent="0.2">
      <c r="A84" s="93"/>
      <c r="B84" s="93"/>
      <c r="C84" s="94" t="s">
        <v>142</v>
      </c>
      <c r="D84" s="93"/>
      <c r="E84" s="93" t="s">
        <v>143</v>
      </c>
      <c r="F84" s="95">
        <v>40.665368000000001</v>
      </c>
      <c r="G84" s="96">
        <v>3.2186190000000003E-2</v>
      </c>
      <c r="H84" s="87" t="s">
        <v>143</v>
      </c>
    </row>
    <row r="85" spans="1:8" ht="14.25" customHeight="1" x14ac:dyDescent="0.2">
      <c r="A85" s="93"/>
      <c r="B85" s="93"/>
      <c r="C85" s="97"/>
      <c r="D85" s="93"/>
      <c r="E85" s="93"/>
      <c r="F85" s="98"/>
      <c r="G85" s="98"/>
      <c r="H85" s="87" t="s">
        <v>143</v>
      </c>
    </row>
    <row r="86" spans="1:8" ht="14.25" customHeight="1" x14ac:dyDescent="0.2">
      <c r="A86" s="93"/>
      <c r="B86" s="93"/>
      <c r="C86" s="94" t="s">
        <v>162</v>
      </c>
      <c r="D86" s="93"/>
      <c r="E86" s="93"/>
      <c r="F86" s="95">
        <v>40.665368000000001</v>
      </c>
      <c r="G86" s="96">
        <v>3.2186190000000003E-2</v>
      </c>
      <c r="H86" s="87" t="s">
        <v>143</v>
      </c>
    </row>
    <row r="87" spans="1:8" ht="14.25" customHeight="1" x14ac:dyDescent="0.2">
      <c r="A87" s="93"/>
      <c r="B87" s="93"/>
      <c r="C87" s="98"/>
      <c r="D87" s="93"/>
      <c r="E87" s="93"/>
      <c r="F87" s="93"/>
      <c r="G87" s="93"/>
      <c r="H87" s="87" t="s">
        <v>143</v>
      </c>
    </row>
    <row r="88" spans="1:8" ht="14.25" customHeight="1" x14ac:dyDescent="0.2">
      <c r="A88" s="93"/>
      <c r="B88" s="93"/>
      <c r="C88" s="94" t="s">
        <v>163</v>
      </c>
      <c r="D88" s="93"/>
      <c r="E88" s="93"/>
      <c r="F88" s="93"/>
      <c r="G88" s="93"/>
      <c r="H88" s="87" t="s">
        <v>143</v>
      </c>
    </row>
    <row r="89" spans="1:8" ht="14.25" customHeight="1" x14ac:dyDescent="0.2">
      <c r="A89" s="93"/>
      <c r="B89" s="93"/>
      <c r="C89" s="94" t="s">
        <v>164</v>
      </c>
      <c r="D89" s="93"/>
      <c r="E89" s="93"/>
      <c r="F89" s="93"/>
      <c r="G89" s="93"/>
      <c r="H89" s="87" t="s">
        <v>143</v>
      </c>
    </row>
    <row r="90" spans="1:8" ht="14.25" customHeight="1" x14ac:dyDescent="0.2">
      <c r="A90" s="93"/>
      <c r="B90" s="93"/>
      <c r="C90" s="94" t="s">
        <v>142</v>
      </c>
      <c r="D90" s="93"/>
      <c r="E90" s="93" t="s">
        <v>143</v>
      </c>
      <c r="F90" s="99" t="s">
        <v>145</v>
      </c>
      <c r="G90" s="96">
        <v>0</v>
      </c>
      <c r="H90" s="87" t="s">
        <v>143</v>
      </c>
    </row>
    <row r="91" spans="1:8" ht="14.25" customHeight="1" x14ac:dyDescent="0.2">
      <c r="A91" s="93"/>
      <c r="B91" s="93"/>
      <c r="C91" s="97"/>
      <c r="D91" s="93"/>
      <c r="E91" s="93"/>
      <c r="F91" s="98"/>
      <c r="G91" s="98"/>
      <c r="H91" s="87" t="s">
        <v>143</v>
      </c>
    </row>
    <row r="92" spans="1:8" ht="14.25" customHeight="1" x14ac:dyDescent="0.2">
      <c r="A92" s="93"/>
      <c r="B92" s="93"/>
      <c r="C92" s="94" t="s">
        <v>165</v>
      </c>
      <c r="D92" s="93"/>
      <c r="E92" s="93"/>
      <c r="F92" s="93"/>
      <c r="G92" s="93"/>
      <c r="H92" s="87" t="s">
        <v>143</v>
      </c>
    </row>
    <row r="93" spans="1:8" ht="14.25" customHeight="1" x14ac:dyDescent="0.2">
      <c r="A93" s="93"/>
      <c r="B93" s="93"/>
      <c r="C93" s="94" t="s">
        <v>166</v>
      </c>
      <c r="D93" s="93"/>
      <c r="E93" s="93"/>
      <c r="F93" s="93"/>
      <c r="G93" s="93"/>
      <c r="H93" s="87" t="s">
        <v>143</v>
      </c>
    </row>
    <row r="94" spans="1:8" ht="14.25" customHeight="1" x14ac:dyDescent="0.2">
      <c r="A94" s="93"/>
      <c r="B94" s="93"/>
      <c r="C94" s="94" t="s">
        <v>142</v>
      </c>
      <c r="D94" s="93"/>
      <c r="E94" s="93" t="s">
        <v>143</v>
      </c>
      <c r="F94" s="99" t="s">
        <v>145</v>
      </c>
      <c r="G94" s="96">
        <v>0</v>
      </c>
      <c r="H94" s="87" t="s">
        <v>143</v>
      </c>
    </row>
    <row r="95" spans="1:8" ht="14.25" customHeight="1" x14ac:dyDescent="0.2">
      <c r="A95" s="93"/>
      <c r="B95" s="93"/>
      <c r="C95" s="97"/>
      <c r="D95" s="93"/>
      <c r="E95" s="93"/>
      <c r="F95" s="98"/>
      <c r="G95" s="98"/>
      <c r="H95" s="87" t="s">
        <v>143</v>
      </c>
    </row>
    <row r="96" spans="1:8" ht="14.25" customHeight="1" x14ac:dyDescent="0.2">
      <c r="A96" s="93"/>
      <c r="B96" s="93"/>
      <c r="C96" s="94" t="s">
        <v>167</v>
      </c>
      <c r="D96" s="93"/>
      <c r="E96" s="93"/>
      <c r="F96" s="98"/>
      <c r="G96" s="98"/>
      <c r="H96" s="87" t="s">
        <v>143</v>
      </c>
    </row>
    <row r="97" spans="1:17" ht="14.25" customHeight="1" x14ac:dyDescent="0.2">
      <c r="A97" s="93"/>
      <c r="B97" s="93"/>
      <c r="C97" s="94" t="s">
        <v>142</v>
      </c>
      <c r="D97" s="93"/>
      <c r="E97" s="93" t="s">
        <v>143</v>
      </c>
      <c r="F97" s="99" t="s">
        <v>145</v>
      </c>
      <c r="G97" s="96">
        <v>0</v>
      </c>
      <c r="H97" s="87" t="s">
        <v>143</v>
      </c>
    </row>
    <row r="98" spans="1:17" ht="14.25" customHeight="1" x14ac:dyDescent="0.2">
      <c r="A98" s="93"/>
      <c r="B98" s="89"/>
      <c r="C98" s="89"/>
      <c r="D98" s="94"/>
      <c r="E98" s="93"/>
      <c r="F98" s="89"/>
      <c r="G98" s="100"/>
      <c r="H98" s="87" t="s">
        <v>143</v>
      </c>
    </row>
    <row r="99" spans="1:17" ht="14.25" customHeight="1" x14ac:dyDescent="0.2">
      <c r="A99" s="100"/>
      <c r="B99" s="89"/>
      <c r="C99" s="89" t="s">
        <v>168</v>
      </c>
      <c r="D99" s="89"/>
      <c r="E99" s="100"/>
      <c r="F99" s="91">
        <v>2.2454609699999999</v>
      </c>
      <c r="G99" s="92">
        <v>1.7772599999999999E-3</v>
      </c>
      <c r="H99" s="87" t="s">
        <v>143</v>
      </c>
    </row>
    <row r="100" spans="1:17" ht="14.25" customHeight="1" x14ac:dyDescent="0.2">
      <c r="A100" s="97"/>
      <c r="B100" s="97"/>
      <c r="C100" s="94" t="s">
        <v>169</v>
      </c>
      <c r="D100" s="98"/>
      <c r="E100" s="98"/>
      <c r="F100" s="95">
        <v>1263.44165557</v>
      </c>
      <c r="G100" s="101">
        <v>1.00000003</v>
      </c>
      <c r="H100" s="87" t="s">
        <v>143</v>
      </c>
    </row>
    <row r="101" spans="1:17" ht="12.75" x14ac:dyDescent="0.2">
      <c r="A101" s="102"/>
      <c r="B101" s="102"/>
      <c r="C101" s="102"/>
      <c r="D101" s="103"/>
      <c r="E101" s="103"/>
      <c r="F101" s="103"/>
      <c r="G101" s="103"/>
    </row>
    <row r="102" spans="1:17" ht="12.75" x14ac:dyDescent="0.2">
      <c r="A102" s="104"/>
      <c r="B102" s="206" t="s">
        <v>942</v>
      </c>
      <c r="C102" s="206"/>
      <c r="D102" s="206"/>
      <c r="E102" s="206"/>
      <c r="F102" s="206"/>
      <c r="G102" s="206"/>
      <c r="H102" s="206"/>
      <c r="J102" s="106"/>
    </row>
    <row r="103" spans="1:17" ht="12.75" x14ac:dyDescent="0.2">
      <c r="A103" s="104"/>
      <c r="B103" s="206" t="s">
        <v>943</v>
      </c>
      <c r="C103" s="206"/>
      <c r="D103" s="206"/>
      <c r="E103" s="206"/>
      <c r="F103" s="206"/>
      <c r="G103" s="206"/>
      <c r="H103" s="206"/>
      <c r="J103" s="106"/>
    </row>
    <row r="104" spans="1:17" ht="12.75" x14ac:dyDescent="0.2">
      <c r="A104" s="104"/>
      <c r="B104" s="206" t="s">
        <v>944</v>
      </c>
      <c r="C104" s="206"/>
      <c r="D104" s="206"/>
      <c r="E104" s="206"/>
      <c r="F104" s="206"/>
      <c r="G104" s="206"/>
      <c r="H104" s="206"/>
      <c r="J104" s="106"/>
    </row>
    <row r="105" spans="1:17" s="108" customFormat="1" ht="66.75" customHeight="1" x14ac:dyDescent="0.25">
      <c r="A105" s="107"/>
      <c r="B105" s="207" t="s">
        <v>945</v>
      </c>
      <c r="C105" s="207"/>
      <c r="D105" s="207"/>
      <c r="E105" s="207"/>
      <c r="F105" s="207"/>
      <c r="G105" s="207"/>
      <c r="H105" s="207"/>
      <c r="I105"/>
      <c r="J105" s="106"/>
      <c r="K105"/>
      <c r="L105"/>
      <c r="M105"/>
      <c r="N105"/>
      <c r="O105"/>
      <c r="P105"/>
      <c r="Q105"/>
    </row>
    <row r="106" spans="1:17" ht="12.75" x14ac:dyDescent="0.2">
      <c r="A106" s="104"/>
      <c r="B106" s="206" t="s">
        <v>946</v>
      </c>
      <c r="C106" s="206"/>
      <c r="D106" s="206"/>
      <c r="E106" s="206"/>
      <c r="F106" s="206"/>
      <c r="G106" s="206"/>
      <c r="H106" s="206"/>
      <c r="J106" s="106"/>
    </row>
    <row r="107" spans="1:17" ht="12.75" x14ac:dyDescent="0.2">
      <c r="A107" s="104"/>
      <c r="B107" s="104"/>
      <c r="C107" s="104"/>
      <c r="D107" s="109"/>
      <c r="E107" s="109"/>
      <c r="F107" s="109"/>
      <c r="G107" s="109"/>
    </row>
    <row r="108" spans="1:17" ht="12.75" x14ac:dyDescent="0.2">
      <c r="A108" s="104"/>
      <c r="B108" s="199" t="s">
        <v>170</v>
      </c>
      <c r="C108" s="200"/>
      <c r="D108" s="201"/>
      <c r="E108" s="110"/>
      <c r="F108" s="109"/>
      <c r="G108" s="109"/>
    </row>
    <row r="109" spans="1:17" ht="27.75" customHeight="1" x14ac:dyDescent="0.2">
      <c r="A109" s="104"/>
      <c r="B109" s="202" t="s">
        <v>171</v>
      </c>
      <c r="C109" s="203"/>
      <c r="D109" s="86" t="s">
        <v>172</v>
      </c>
      <c r="E109" s="110"/>
      <c r="F109" s="109"/>
      <c r="G109" s="109"/>
    </row>
    <row r="110" spans="1:17" ht="12.75" customHeight="1" x14ac:dyDescent="0.2">
      <c r="A110" s="104"/>
      <c r="B110" s="202" t="s">
        <v>947</v>
      </c>
      <c r="C110" s="203"/>
      <c r="D110" s="86" t="s">
        <v>172</v>
      </c>
      <c r="E110" s="110"/>
      <c r="F110" s="109"/>
      <c r="G110" s="109"/>
    </row>
    <row r="111" spans="1:17" ht="12.75" x14ac:dyDescent="0.2">
      <c r="A111" s="104"/>
      <c r="B111" s="202" t="s">
        <v>173</v>
      </c>
      <c r="C111" s="203"/>
      <c r="D111" s="111" t="s">
        <v>143</v>
      </c>
      <c r="E111" s="110"/>
      <c r="F111" s="109"/>
      <c r="G111" s="109"/>
    </row>
    <row r="112" spans="1:17" ht="12.75" x14ac:dyDescent="0.2">
      <c r="A112" s="112"/>
      <c r="B112" s="113" t="s">
        <v>143</v>
      </c>
      <c r="C112" s="113" t="s">
        <v>948</v>
      </c>
      <c r="D112" s="113" t="s">
        <v>174</v>
      </c>
      <c r="E112" s="112"/>
      <c r="F112" s="112"/>
      <c r="G112" s="112"/>
      <c r="H112" s="112"/>
      <c r="J112" s="106"/>
    </row>
    <row r="113" spans="1:10" ht="12.75" x14ac:dyDescent="0.2">
      <c r="A113" s="112"/>
      <c r="B113" s="114" t="s">
        <v>175</v>
      </c>
      <c r="C113" s="115">
        <v>45869</v>
      </c>
      <c r="D113" s="115">
        <v>45900</v>
      </c>
      <c r="E113" s="112"/>
      <c r="F113" s="112"/>
      <c r="G113" s="112"/>
      <c r="J113" s="106"/>
    </row>
    <row r="114" spans="1:10" ht="14.25" customHeight="1" x14ac:dyDescent="0.2">
      <c r="A114" s="116"/>
      <c r="B114" s="89" t="s">
        <v>176</v>
      </c>
      <c r="C114" s="117">
        <v>37.0655</v>
      </c>
      <c r="D114" s="117">
        <v>36.128100000000003</v>
      </c>
      <c r="E114" s="116"/>
      <c r="F114" s="118"/>
      <c r="G114" s="119"/>
    </row>
    <row r="115" spans="1:10" ht="14.25" customHeight="1" x14ac:dyDescent="0.2">
      <c r="A115" s="116"/>
      <c r="B115" s="89" t="s">
        <v>954</v>
      </c>
      <c r="C115" s="117">
        <v>28.636399999999998</v>
      </c>
      <c r="D115" s="117">
        <v>27.912099999999999</v>
      </c>
      <c r="E115" s="116"/>
      <c r="F115" s="118"/>
      <c r="G115" s="119"/>
    </row>
    <row r="116" spans="1:10" ht="14.25" customHeight="1" x14ac:dyDescent="0.2">
      <c r="A116" s="116"/>
      <c r="B116" s="89" t="s">
        <v>177</v>
      </c>
      <c r="C116" s="117">
        <v>35.9467</v>
      </c>
      <c r="D116" s="117">
        <v>35.031300000000002</v>
      </c>
      <c r="E116" s="116"/>
      <c r="F116" s="118"/>
      <c r="G116" s="119"/>
    </row>
    <row r="117" spans="1:10" ht="14.25" customHeight="1" x14ac:dyDescent="0.2">
      <c r="A117" s="116"/>
      <c r="B117" s="89" t="s">
        <v>955</v>
      </c>
      <c r="C117" s="117">
        <v>27.623000000000001</v>
      </c>
      <c r="D117" s="117">
        <v>26.919599999999999</v>
      </c>
      <c r="E117" s="116"/>
      <c r="F117" s="118"/>
      <c r="G117" s="119"/>
    </row>
    <row r="118" spans="1:10" ht="14.25" customHeight="1" x14ac:dyDescent="0.2">
      <c r="A118" s="116"/>
      <c r="B118" s="116"/>
      <c r="C118" s="116"/>
      <c r="D118" s="116"/>
      <c r="E118" s="116"/>
      <c r="F118" s="116"/>
      <c r="G118" s="116"/>
    </row>
    <row r="119" spans="1:10" ht="12.75" x14ac:dyDescent="0.2">
      <c r="A119" s="112"/>
      <c r="B119" s="202" t="s">
        <v>949</v>
      </c>
      <c r="C119" s="203"/>
      <c r="D119" s="86" t="s">
        <v>172</v>
      </c>
      <c r="E119" s="112"/>
      <c r="F119" s="112"/>
      <c r="G119" s="112"/>
    </row>
    <row r="120" spans="1:10" ht="12.75" x14ac:dyDescent="0.2">
      <c r="A120" s="112"/>
      <c r="B120" s="120"/>
      <c r="C120" s="120"/>
      <c r="D120" s="120"/>
      <c r="E120" s="112"/>
      <c r="F120" s="112"/>
      <c r="G120" s="112"/>
    </row>
    <row r="121" spans="1:10" ht="12.75" x14ac:dyDescent="0.2">
      <c r="A121" s="112"/>
      <c r="B121" s="202" t="s">
        <v>178</v>
      </c>
      <c r="C121" s="203"/>
      <c r="D121" s="86" t="s">
        <v>172</v>
      </c>
      <c r="E121" s="121"/>
      <c r="F121" s="112"/>
      <c r="G121" s="112"/>
    </row>
    <row r="122" spans="1:10" ht="12.75" x14ac:dyDescent="0.2">
      <c r="A122" s="112"/>
      <c r="B122" s="202" t="s">
        <v>179</v>
      </c>
      <c r="C122" s="203"/>
      <c r="D122" s="86" t="s">
        <v>172</v>
      </c>
      <c r="E122" s="121"/>
      <c r="F122" s="112"/>
      <c r="G122" s="112"/>
    </row>
    <row r="123" spans="1:10" ht="12.75" x14ac:dyDescent="0.2">
      <c r="A123" s="112"/>
      <c r="B123" s="202" t="s">
        <v>180</v>
      </c>
      <c r="C123" s="203"/>
      <c r="D123" s="86" t="s">
        <v>172</v>
      </c>
      <c r="E123" s="121"/>
      <c r="F123" s="112"/>
      <c r="G123" s="112"/>
    </row>
    <row r="124" spans="1:10" ht="12.75" x14ac:dyDescent="0.2">
      <c r="A124" s="112"/>
      <c r="B124" s="202" t="s">
        <v>181</v>
      </c>
      <c r="C124" s="203"/>
      <c r="D124" s="122">
        <v>0</v>
      </c>
      <c r="E124" s="112"/>
      <c r="F124" s="105"/>
      <c r="G124" s="123"/>
    </row>
    <row r="125" spans="1:10" ht="12.75" x14ac:dyDescent="0.2"/>
    <row r="126" spans="1:10" ht="12.75" x14ac:dyDescent="0.2">
      <c r="B126" s="204" t="s">
        <v>950</v>
      </c>
      <c r="C126" s="204"/>
    </row>
    <row r="127" spans="1:10" ht="12.75" x14ac:dyDescent="0.2"/>
    <row r="128" spans="1:10" ht="153.75" customHeight="1" x14ac:dyDescent="0.2"/>
    <row r="129" spans="2:10" ht="12.75" x14ac:dyDescent="0.2"/>
    <row r="130" spans="2:10" ht="12.75" x14ac:dyDescent="0.2"/>
    <row r="131" spans="2:10" ht="12.75" x14ac:dyDescent="0.2">
      <c r="B131" s="124" t="s">
        <v>951</v>
      </c>
      <c r="C131" s="125"/>
      <c r="D131" s="124"/>
    </row>
    <row r="132" spans="2:10" ht="12.75" x14ac:dyDescent="0.2">
      <c r="B132" s="124" t="s">
        <v>962</v>
      </c>
      <c r="D132" s="124"/>
    </row>
    <row r="133" spans="2:10" ht="165" customHeight="1" x14ac:dyDescent="0.2"/>
    <row r="134" spans="2:10" ht="12.75" x14ac:dyDescent="0.2">
      <c r="J134" s="84"/>
    </row>
    <row r="135" spans="2:10" ht="12.75" x14ac:dyDescent="0.2"/>
    <row r="136" spans="2:10" ht="12.75" x14ac:dyDescent="0.2"/>
    <row r="137" spans="2:10" ht="12.75" x14ac:dyDescent="0.2"/>
    <row r="138" spans="2:10" ht="12.75" x14ac:dyDescent="0.2"/>
    <row r="139" spans="2:10" ht="12.75" x14ac:dyDescent="0.2"/>
    <row r="140" spans="2:10" ht="12.75" x14ac:dyDescent="0.2"/>
    <row r="141" spans="2:10" ht="12.75" x14ac:dyDescent="0.2"/>
    <row r="142" spans="2:10" ht="12.75" x14ac:dyDescent="0.2"/>
    <row r="143" spans="2:10" ht="12.75" x14ac:dyDescent="0.2"/>
    <row r="144" spans="2:10" ht="12.75" x14ac:dyDescent="0.2"/>
    <row r="145" customFormat="1" ht="14.25" customHeight="1" x14ac:dyDescent="0.2"/>
    <row r="146" customFormat="1" ht="14.25" customHeight="1" x14ac:dyDescent="0.2"/>
  </sheetData>
  <mergeCells count="18">
    <mergeCell ref="B105:H105"/>
    <mergeCell ref="B106:H106"/>
    <mergeCell ref="B108:D108"/>
    <mergeCell ref="B109:C109"/>
    <mergeCell ref="B126:C126"/>
    <mergeCell ref="A1:H1"/>
    <mergeCell ref="A2:H2"/>
    <mergeCell ref="A3:H3"/>
    <mergeCell ref="B119:C119"/>
    <mergeCell ref="B123:C123"/>
    <mergeCell ref="B124:C124"/>
    <mergeCell ref="B102:H102"/>
    <mergeCell ref="B103:H103"/>
    <mergeCell ref="B110:C110"/>
    <mergeCell ref="B111:C111"/>
    <mergeCell ref="B121:C121"/>
    <mergeCell ref="B122:C122"/>
    <mergeCell ref="B104:H104"/>
  </mergeCells>
  <hyperlinks>
    <hyperlink ref="I1" location="Index!B2" display="Index" xr:uid="{19D48996-9EDC-4127-8075-6D18E6651675}"/>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87576-6390-45BA-9B70-8BB89A66DAAC}">
  <sheetPr>
    <outlinePr summaryBelow="0" summaryRight="0"/>
  </sheetPr>
  <dimension ref="A1:Q149"/>
  <sheetViews>
    <sheetView showGridLines="0" workbookViewId="0">
      <selection sqref="A1:H1"/>
    </sheetView>
  </sheetViews>
  <sheetFormatPr defaultRowHeight="14.25" customHeight="1" x14ac:dyDescent="0.2"/>
  <cols>
    <col min="1" max="1" width="5.85546875" bestFit="1" customWidth="1"/>
    <col min="2" max="2" width="19.7109375" customWidth="1"/>
    <col min="3" max="3" width="39.140625" bestFit="1" customWidth="1"/>
    <col min="4" max="4" width="28.140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451</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358</v>
      </c>
      <c r="C7" s="89" t="s">
        <v>359</v>
      </c>
      <c r="D7" s="89" t="s">
        <v>188</v>
      </c>
      <c r="E7" s="90">
        <v>71973</v>
      </c>
      <c r="F7" s="91">
        <v>432.59371650000003</v>
      </c>
      <c r="G7" s="92">
        <v>5.779339E-2</v>
      </c>
      <c r="H7" s="87" t="s">
        <v>143</v>
      </c>
    </row>
    <row r="8" spans="1:9" ht="14.25" customHeight="1" x14ac:dyDescent="0.2">
      <c r="A8" s="88">
        <v>2</v>
      </c>
      <c r="B8" s="89" t="s">
        <v>362</v>
      </c>
      <c r="C8" s="89" t="s">
        <v>363</v>
      </c>
      <c r="D8" s="89" t="s">
        <v>46</v>
      </c>
      <c r="E8" s="90">
        <v>19836</v>
      </c>
      <c r="F8" s="91">
        <v>425.10531600000002</v>
      </c>
      <c r="G8" s="92">
        <v>5.6792960000000003E-2</v>
      </c>
      <c r="H8" s="87" t="s">
        <v>143</v>
      </c>
    </row>
    <row r="9" spans="1:9" ht="14.25" customHeight="1" x14ac:dyDescent="0.2">
      <c r="A9" s="88">
        <v>3</v>
      </c>
      <c r="B9" s="89" t="s">
        <v>341</v>
      </c>
      <c r="C9" s="89" t="s">
        <v>342</v>
      </c>
      <c r="D9" s="89" t="s">
        <v>256</v>
      </c>
      <c r="E9" s="90">
        <v>21388</v>
      </c>
      <c r="F9" s="91">
        <v>407.99748799999998</v>
      </c>
      <c r="G9" s="92">
        <v>5.4507399999999998E-2</v>
      </c>
      <c r="H9" s="87" t="s">
        <v>143</v>
      </c>
    </row>
    <row r="10" spans="1:9" ht="14.25" customHeight="1" x14ac:dyDescent="0.2">
      <c r="A10" s="88">
        <v>4</v>
      </c>
      <c r="B10" s="89" t="s">
        <v>360</v>
      </c>
      <c r="C10" s="89" t="s">
        <v>361</v>
      </c>
      <c r="D10" s="89" t="s">
        <v>207</v>
      </c>
      <c r="E10" s="90">
        <v>106345</v>
      </c>
      <c r="F10" s="91">
        <v>347.80132250000003</v>
      </c>
      <c r="G10" s="92">
        <v>4.6465350000000002E-2</v>
      </c>
      <c r="H10" s="87" t="s">
        <v>143</v>
      </c>
    </row>
    <row r="11" spans="1:9" ht="14.25" customHeight="1" x14ac:dyDescent="0.2">
      <c r="A11" s="88">
        <v>5</v>
      </c>
      <c r="B11" s="89" t="s">
        <v>69</v>
      </c>
      <c r="C11" s="89" t="s">
        <v>70</v>
      </c>
      <c r="D11" s="89" t="s">
        <v>68</v>
      </c>
      <c r="E11" s="90">
        <v>38992</v>
      </c>
      <c r="F11" s="91">
        <v>322.03492799999998</v>
      </c>
      <c r="G11" s="92">
        <v>4.3023020000000002E-2</v>
      </c>
      <c r="H11" s="87" t="s">
        <v>143</v>
      </c>
    </row>
    <row r="12" spans="1:9" ht="14.25" customHeight="1" x14ac:dyDescent="0.2">
      <c r="A12" s="88">
        <v>6</v>
      </c>
      <c r="B12" s="89" t="s">
        <v>85</v>
      </c>
      <c r="C12" s="89" t="s">
        <v>86</v>
      </c>
      <c r="D12" s="89" t="s">
        <v>68</v>
      </c>
      <c r="E12" s="90">
        <v>8402</v>
      </c>
      <c r="F12" s="91">
        <v>320.16661199999999</v>
      </c>
      <c r="G12" s="92">
        <v>4.2773419999999999E-2</v>
      </c>
      <c r="H12" s="87" t="s">
        <v>143</v>
      </c>
    </row>
    <row r="13" spans="1:9" ht="14.25" customHeight="1" x14ac:dyDescent="0.2">
      <c r="A13" s="88">
        <v>7</v>
      </c>
      <c r="B13" s="89" t="s">
        <v>376</v>
      </c>
      <c r="C13" s="89" t="s">
        <v>377</v>
      </c>
      <c r="D13" s="89" t="s">
        <v>223</v>
      </c>
      <c r="E13" s="90">
        <v>13073</v>
      </c>
      <c r="F13" s="91">
        <v>288.88715400000001</v>
      </c>
      <c r="G13" s="92">
        <v>3.8594570000000002E-2</v>
      </c>
      <c r="H13" s="87" t="s">
        <v>143</v>
      </c>
    </row>
    <row r="14" spans="1:9" ht="14.25" customHeight="1" x14ac:dyDescent="0.2">
      <c r="A14" s="88">
        <v>8</v>
      </c>
      <c r="B14" s="89" t="s">
        <v>364</v>
      </c>
      <c r="C14" s="89" t="s">
        <v>365</v>
      </c>
      <c r="D14" s="89" t="s">
        <v>33</v>
      </c>
      <c r="E14" s="90">
        <v>76163</v>
      </c>
      <c r="F14" s="91">
        <v>276.16703799999999</v>
      </c>
      <c r="G14" s="92">
        <v>3.6895190000000001E-2</v>
      </c>
      <c r="H14" s="87" t="s">
        <v>143</v>
      </c>
    </row>
    <row r="15" spans="1:9" ht="14.25" customHeight="1" x14ac:dyDescent="0.2">
      <c r="A15" s="88">
        <v>9</v>
      </c>
      <c r="B15" s="89" t="s">
        <v>339</v>
      </c>
      <c r="C15" s="89" t="s">
        <v>340</v>
      </c>
      <c r="D15" s="89" t="s">
        <v>223</v>
      </c>
      <c r="E15" s="90">
        <v>3621</v>
      </c>
      <c r="F15" s="91">
        <v>267.59190000000001</v>
      </c>
      <c r="G15" s="92">
        <v>3.5749580000000003E-2</v>
      </c>
      <c r="H15" s="87" t="s">
        <v>143</v>
      </c>
    </row>
    <row r="16" spans="1:9" ht="14.25" customHeight="1" x14ac:dyDescent="0.2">
      <c r="A16" s="88">
        <v>10</v>
      </c>
      <c r="B16" s="89" t="s">
        <v>366</v>
      </c>
      <c r="C16" s="89" t="s">
        <v>367</v>
      </c>
      <c r="D16" s="89" t="s">
        <v>46</v>
      </c>
      <c r="E16" s="90">
        <v>96717</v>
      </c>
      <c r="F16" s="91">
        <v>261.57112649999999</v>
      </c>
      <c r="G16" s="92">
        <v>3.4945219999999999E-2</v>
      </c>
      <c r="H16" s="87" t="s">
        <v>143</v>
      </c>
    </row>
    <row r="17" spans="1:8" ht="14.25" customHeight="1" x14ac:dyDescent="0.2">
      <c r="A17" s="88">
        <v>11</v>
      </c>
      <c r="B17" s="89" t="s">
        <v>368</v>
      </c>
      <c r="C17" s="89" t="s">
        <v>369</v>
      </c>
      <c r="D17" s="89" t="s">
        <v>33</v>
      </c>
      <c r="E17" s="90">
        <v>604881</v>
      </c>
      <c r="F17" s="91">
        <v>258.1632108</v>
      </c>
      <c r="G17" s="92">
        <v>3.4489930000000002E-2</v>
      </c>
      <c r="H17" s="87" t="s">
        <v>143</v>
      </c>
    </row>
    <row r="18" spans="1:8" ht="14.25" customHeight="1" x14ac:dyDescent="0.2">
      <c r="A18" s="88">
        <v>12</v>
      </c>
      <c r="B18" s="89" t="s">
        <v>370</v>
      </c>
      <c r="C18" s="89" t="s">
        <v>371</v>
      </c>
      <c r="D18" s="89" t="s">
        <v>194</v>
      </c>
      <c r="E18" s="90">
        <v>3653</v>
      </c>
      <c r="F18" s="91">
        <v>232.6961</v>
      </c>
      <c r="G18" s="92">
        <v>3.1087589999999998E-2</v>
      </c>
      <c r="H18" s="87" t="s">
        <v>143</v>
      </c>
    </row>
    <row r="19" spans="1:8" ht="14.25" customHeight="1" x14ac:dyDescent="0.2">
      <c r="A19" s="88">
        <v>13</v>
      </c>
      <c r="B19" s="89" t="s">
        <v>374</v>
      </c>
      <c r="C19" s="89" t="s">
        <v>375</v>
      </c>
      <c r="D19" s="89" t="s">
        <v>268</v>
      </c>
      <c r="E19" s="90">
        <v>4183</v>
      </c>
      <c r="F19" s="91">
        <v>196.078125</v>
      </c>
      <c r="G19" s="92">
        <v>2.619552E-2</v>
      </c>
      <c r="H19" s="87" t="s">
        <v>143</v>
      </c>
    </row>
    <row r="20" spans="1:8" ht="14.25" customHeight="1" x14ac:dyDescent="0.2">
      <c r="A20" s="88">
        <v>14</v>
      </c>
      <c r="B20" s="89" t="s">
        <v>383</v>
      </c>
      <c r="C20" s="89" t="s">
        <v>384</v>
      </c>
      <c r="D20" s="89" t="s">
        <v>33</v>
      </c>
      <c r="E20" s="90">
        <v>382570</v>
      </c>
      <c r="F20" s="91">
        <v>192.317939</v>
      </c>
      <c r="G20" s="92">
        <v>2.5693170000000001E-2</v>
      </c>
      <c r="H20" s="87" t="s">
        <v>143</v>
      </c>
    </row>
    <row r="21" spans="1:8" ht="14.25" customHeight="1" x14ac:dyDescent="0.2">
      <c r="A21" s="88">
        <v>15</v>
      </c>
      <c r="B21" s="89" t="s">
        <v>39</v>
      </c>
      <c r="C21" s="89" t="s">
        <v>40</v>
      </c>
      <c r="D21" s="89" t="s">
        <v>16</v>
      </c>
      <c r="E21" s="90">
        <v>15091</v>
      </c>
      <c r="F21" s="91">
        <v>188.48659000000001</v>
      </c>
      <c r="G21" s="92">
        <v>2.5181309999999998E-2</v>
      </c>
      <c r="H21" s="87" t="s">
        <v>143</v>
      </c>
    </row>
    <row r="22" spans="1:8" ht="14.25" customHeight="1" x14ac:dyDescent="0.2">
      <c r="A22" s="88">
        <v>16</v>
      </c>
      <c r="B22" s="89" t="s">
        <v>54</v>
      </c>
      <c r="C22" s="89" t="s">
        <v>55</v>
      </c>
      <c r="D22" s="89" t="s">
        <v>25</v>
      </c>
      <c r="E22" s="90">
        <v>2622</v>
      </c>
      <c r="F22" s="91">
        <v>182.13722999999999</v>
      </c>
      <c r="G22" s="92">
        <v>2.433306E-2</v>
      </c>
      <c r="H22" s="87" t="s">
        <v>143</v>
      </c>
    </row>
    <row r="23" spans="1:8" ht="14.25" customHeight="1" x14ac:dyDescent="0.2">
      <c r="A23" s="88">
        <v>17</v>
      </c>
      <c r="B23" s="89" t="s">
        <v>387</v>
      </c>
      <c r="C23" s="89" t="s">
        <v>388</v>
      </c>
      <c r="D23" s="89" t="s">
        <v>389</v>
      </c>
      <c r="E23" s="90">
        <v>48701</v>
      </c>
      <c r="F23" s="91">
        <v>175.3236</v>
      </c>
      <c r="G23" s="92">
        <v>2.3422769999999999E-2</v>
      </c>
      <c r="H23" s="87" t="s">
        <v>143</v>
      </c>
    </row>
    <row r="24" spans="1:8" ht="14.25" customHeight="1" x14ac:dyDescent="0.2">
      <c r="A24" s="88">
        <v>18</v>
      </c>
      <c r="B24" s="89" t="s">
        <v>385</v>
      </c>
      <c r="C24" s="89" t="s">
        <v>386</v>
      </c>
      <c r="D24" s="89" t="s">
        <v>199</v>
      </c>
      <c r="E24" s="90">
        <v>33039</v>
      </c>
      <c r="F24" s="91">
        <v>169.093602</v>
      </c>
      <c r="G24" s="92">
        <v>2.259046E-2</v>
      </c>
      <c r="H24" s="87" t="s">
        <v>143</v>
      </c>
    </row>
    <row r="25" spans="1:8" ht="14.25" customHeight="1" x14ac:dyDescent="0.2">
      <c r="A25" s="88">
        <v>19</v>
      </c>
      <c r="B25" s="89" t="s">
        <v>235</v>
      </c>
      <c r="C25" s="89" t="s">
        <v>236</v>
      </c>
      <c r="D25" s="89" t="s">
        <v>191</v>
      </c>
      <c r="E25" s="90">
        <v>1412</v>
      </c>
      <c r="F25" s="91">
        <v>167.63264000000001</v>
      </c>
      <c r="G25" s="92">
        <v>2.239528E-2</v>
      </c>
      <c r="H25" s="87" t="s">
        <v>143</v>
      </c>
    </row>
    <row r="26" spans="1:8" ht="14.25" customHeight="1" x14ac:dyDescent="0.2">
      <c r="A26" s="88">
        <v>20</v>
      </c>
      <c r="B26" s="89" t="s">
        <v>390</v>
      </c>
      <c r="C26" s="89" t="s">
        <v>391</v>
      </c>
      <c r="D26" s="89" t="s">
        <v>191</v>
      </c>
      <c r="E26" s="90">
        <v>22434</v>
      </c>
      <c r="F26" s="91">
        <v>160.997601</v>
      </c>
      <c r="G26" s="92">
        <v>2.1508860000000001E-2</v>
      </c>
      <c r="H26" s="87" t="s">
        <v>143</v>
      </c>
    </row>
    <row r="27" spans="1:8" ht="14.25" customHeight="1" x14ac:dyDescent="0.2">
      <c r="A27" s="88">
        <v>21</v>
      </c>
      <c r="B27" s="89" t="s">
        <v>299</v>
      </c>
      <c r="C27" s="89" t="s">
        <v>300</v>
      </c>
      <c r="D27" s="89" t="s">
        <v>68</v>
      </c>
      <c r="E27" s="90">
        <v>10116</v>
      </c>
      <c r="F27" s="91">
        <v>158.16365999999999</v>
      </c>
      <c r="G27" s="92">
        <v>2.113025E-2</v>
      </c>
      <c r="H27" s="87" t="s">
        <v>143</v>
      </c>
    </row>
    <row r="28" spans="1:8" ht="14.25" customHeight="1" x14ac:dyDescent="0.2">
      <c r="A28" s="88">
        <v>22</v>
      </c>
      <c r="B28" s="89" t="s">
        <v>66</v>
      </c>
      <c r="C28" s="89" t="s">
        <v>67</v>
      </c>
      <c r="D28" s="89" t="s">
        <v>68</v>
      </c>
      <c r="E28" s="90">
        <v>3065</v>
      </c>
      <c r="F28" s="91">
        <v>157.55632499999999</v>
      </c>
      <c r="G28" s="92">
        <v>2.1049109999999999E-2</v>
      </c>
      <c r="H28" s="87" t="s">
        <v>143</v>
      </c>
    </row>
    <row r="29" spans="1:8" ht="14.25" customHeight="1" x14ac:dyDescent="0.2">
      <c r="A29" s="88">
        <v>23</v>
      </c>
      <c r="B29" s="89" t="s">
        <v>75</v>
      </c>
      <c r="C29" s="89" t="s">
        <v>76</v>
      </c>
      <c r="D29" s="89" t="s">
        <v>77</v>
      </c>
      <c r="E29" s="90">
        <v>16288</v>
      </c>
      <c r="F29" s="91">
        <v>150.35452799999999</v>
      </c>
      <c r="G29" s="92">
        <v>2.0086969999999999E-2</v>
      </c>
      <c r="H29" s="87" t="s">
        <v>143</v>
      </c>
    </row>
    <row r="30" spans="1:8" ht="14.25" customHeight="1" x14ac:dyDescent="0.2">
      <c r="A30" s="88">
        <v>24</v>
      </c>
      <c r="B30" s="89" t="s">
        <v>380</v>
      </c>
      <c r="C30" s="89" t="s">
        <v>381</v>
      </c>
      <c r="D30" s="89" t="s">
        <v>382</v>
      </c>
      <c r="E30" s="90">
        <v>12930</v>
      </c>
      <c r="F30" s="91">
        <v>144.80306999999999</v>
      </c>
      <c r="G30" s="92">
        <v>1.9345310000000001E-2</v>
      </c>
      <c r="H30" s="87" t="s">
        <v>143</v>
      </c>
    </row>
    <row r="31" spans="1:8" ht="14.25" customHeight="1" x14ac:dyDescent="0.2">
      <c r="A31" s="88">
        <v>25</v>
      </c>
      <c r="B31" s="89" t="s">
        <v>394</v>
      </c>
      <c r="C31" s="89" t="s">
        <v>395</v>
      </c>
      <c r="D31" s="89" t="s">
        <v>191</v>
      </c>
      <c r="E31" s="90">
        <v>8289</v>
      </c>
      <c r="F31" s="91">
        <v>143.043273</v>
      </c>
      <c r="G31" s="92">
        <v>1.9110209999999999E-2</v>
      </c>
      <c r="H31" s="87" t="s">
        <v>143</v>
      </c>
    </row>
    <row r="32" spans="1:8" ht="14.25" customHeight="1" x14ac:dyDescent="0.2">
      <c r="A32" s="88">
        <v>26</v>
      </c>
      <c r="B32" s="89" t="s">
        <v>411</v>
      </c>
      <c r="C32" s="89" t="s">
        <v>412</v>
      </c>
      <c r="D32" s="89" t="s">
        <v>199</v>
      </c>
      <c r="E32" s="90">
        <v>38673</v>
      </c>
      <c r="F32" s="91">
        <v>142.355313</v>
      </c>
      <c r="G32" s="92">
        <v>1.9018299999999998E-2</v>
      </c>
      <c r="H32" s="87" t="s">
        <v>143</v>
      </c>
    </row>
    <row r="33" spans="1:8" ht="14.25" customHeight="1" x14ac:dyDescent="0.2">
      <c r="A33" s="88">
        <v>27</v>
      </c>
      <c r="B33" s="89" t="s">
        <v>396</v>
      </c>
      <c r="C33" s="89" t="s">
        <v>397</v>
      </c>
      <c r="D33" s="89" t="s">
        <v>68</v>
      </c>
      <c r="E33" s="90">
        <v>28519</v>
      </c>
      <c r="F33" s="91">
        <v>135.18006</v>
      </c>
      <c r="G33" s="92">
        <v>1.8059700000000001E-2</v>
      </c>
      <c r="H33" s="87" t="s">
        <v>143</v>
      </c>
    </row>
    <row r="34" spans="1:8" ht="14.25" customHeight="1" x14ac:dyDescent="0.2">
      <c r="A34" s="88">
        <v>28</v>
      </c>
      <c r="B34" s="89" t="s">
        <v>398</v>
      </c>
      <c r="C34" s="89" t="s">
        <v>399</v>
      </c>
      <c r="D34" s="89" t="s">
        <v>207</v>
      </c>
      <c r="E34" s="90">
        <v>18794</v>
      </c>
      <c r="F34" s="91">
        <v>134.95031700000001</v>
      </c>
      <c r="G34" s="92">
        <v>1.8029010000000002E-2</v>
      </c>
      <c r="H34" s="87" t="s">
        <v>143</v>
      </c>
    </row>
    <row r="35" spans="1:8" ht="14.25" customHeight="1" x14ac:dyDescent="0.2">
      <c r="A35" s="88">
        <v>29</v>
      </c>
      <c r="B35" s="89" t="s">
        <v>400</v>
      </c>
      <c r="C35" s="89" t="s">
        <v>401</v>
      </c>
      <c r="D35" s="89" t="s">
        <v>256</v>
      </c>
      <c r="E35" s="90">
        <v>26290</v>
      </c>
      <c r="F35" s="91">
        <v>121.35464</v>
      </c>
      <c r="G35" s="92">
        <v>1.621266E-2</v>
      </c>
      <c r="H35" s="87" t="s">
        <v>143</v>
      </c>
    </row>
    <row r="36" spans="1:8" ht="14.25" customHeight="1" x14ac:dyDescent="0.2">
      <c r="A36" s="88">
        <v>30</v>
      </c>
      <c r="B36" s="89" t="s">
        <v>402</v>
      </c>
      <c r="C36" s="89" t="s">
        <v>403</v>
      </c>
      <c r="D36" s="89" t="s">
        <v>194</v>
      </c>
      <c r="E36" s="90">
        <v>12965</v>
      </c>
      <c r="F36" s="91">
        <v>111.75830000000001</v>
      </c>
      <c r="G36" s="92">
        <v>1.493062E-2</v>
      </c>
      <c r="H36" s="87" t="s">
        <v>143</v>
      </c>
    </row>
    <row r="37" spans="1:8" ht="14.25" customHeight="1" x14ac:dyDescent="0.2">
      <c r="A37" s="88">
        <v>31</v>
      </c>
      <c r="B37" s="89" t="s">
        <v>404</v>
      </c>
      <c r="C37" s="89" t="s">
        <v>405</v>
      </c>
      <c r="D37" s="89" t="s">
        <v>406</v>
      </c>
      <c r="E37" s="90">
        <v>8206</v>
      </c>
      <c r="F37" s="91">
        <v>109.21365400000001</v>
      </c>
      <c r="G37" s="92">
        <v>1.459066E-2</v>
      </c>
      <c r="H37" s="87" t="s">
        <v>143</v>
      </c>
    </row>
    <row r="38" spans="1:8" ht="14.25" customHeight="1" x14ac:dyDescent="0.2">
      <c r="A38" s="88">
        <v>32</v>
      </c>
      <c r="B38" s="89" t="s">
        <v>452</v>
      </c>
      <c r="C38" s="89" t="s">
        <v>453</v>
      </c>
      <c r="D38" s="89" t="s">
        <v>68</v>
      </c>
      <c r="E38" s="90">
        <v>20968</v>
      </c>
      <c r="F38" s="91">
        <v>102.177064</v>
      </c>
      <c r="G38" s="92">
        <v>1.3650590000000001E-2</v>
      </c>
      <c r="H38" s="87" t="s">
        <v>143</v>
      </c>
    </row>
    <row r="39" spans="1:8" ht="14.25" customHeight="1" x14ac:dyDescent="0.2">
      <c r="A39" s="88">
        <v>33</v>
      </c>
      <c r="B39" s="89" t="s">
        <v>409</v>
      </c>
      <c r="C39" s="89" t="s">
        <v>410</v>
      </c>
      <c r="D39" s="89" t="s">
        <v>138</v>
      </c>
      <c r="E39" s="90">
        <v>56603</v>
      </c>
      <c r="F39" s="91">
        <v>87.440314400000005</v>
      </c>
      <c r="G39" s="92">
        <v>1.1681800000000001E-2</v>
      </c>
      <c r="H39" s="87" t="s">
        <v>143</v>
      </c>
    </row>
    <row r="40" spans="1:8" ht="14.25" customHeight="1" x14ac:dyDescent="0.2">
      <c r="A40" s="88">
        <v>34</v>
      </c>
      <c r="B40" s="89" t="s">
        <v>415</v>
      </c>
      <c r="C40" s="89" t="s">
        <v>416</v>
      </c>
      <c r="D40" s="89" t="s">
        <v>46</v>
      </c>
      <c r="E40" s="90">
        <v>7757</v>
      </c>
      <c r="F40" s="91">
        <v>56.408904</v>
      </c>
      <c r="G40" s="92">
        <v>7.5360799999999997E-3</v>
      </c>
      <c r="H40" s="87" t="s">
        <v>143</v>
      </c>
    </row>
    <row r="41" spans="1:8" ht="14.25" customHeight="1" x14ac:dyDescent="0.2">
      <c r="A41" s="88">
        <v>35</v>
      </c>
      <c r="B41" s="89" t="s">
        <v>413</v>
      </c>
      <c r="C41" s="89" t="s">
        <v>414</v>
      </c>
      <c r="D41" s="89" t="s">
        <v>46</v>
      </c>
      <c r="E41" s="90">
        <v>7334</v>
      </c>
      <c r="F41" s="91">
        <v>54.740976000000003</v>
      </c>
      <c r="G41" s="92">
        <v>7.3132500000000003E-3</v>
      </c>
      <c r="H41" s="87" t="s">
        <v>143</v>
      </c>
    </row>
    <row r="42" spans="1:8" ht="14.25" customHeight="1" x14ac:dyDescent="0.2">
      <c r="A42" s="88">
        <v>36</v>
      </c>
      <c r="B42" s="89" t="s">
        <v>419</v>
      </c>
      <c r="C42" s="89" t="s">
        <v>420</v>
      </c>
      <c r="D42" s="89" t="s">
        <v>43</v>
      </c>
      <c r="E42" s="90">
        <v>8886</v>
      </c>
      <c r="F42" s="91">
        <v>28.066431000000001</v>
      </c>
      <c r="G42" s="92">
        <v>3.7496000000000001E-3</v>
      </c>
      <c r="H42" s="87" t="s">
        <v>143</v>
      </c>
    </row>
    <row r="43" spans="1:8" ht="14.25" customHeight="1" x14ac:dyDescent="0.2">
      <c r="A43" s="93"/>
      <c r="B43" s="93"/>
      <c r="C43" s="94" t="s">
        <v>142</v>
      </c>
      <c r="D43" s="93"/>
      <c r="E43" s="93" t="s">
        <v>143</v>
      </c>
      <c r="F43" s="95">
        <v>7110.4100687</v>
      </c>
      <c r="G43" s="96">
        <v>0.94993216999999996</v>
      </c>
      <c r="H43" s="87" t="s">
        <v>143</v>
      </c>
    </row>
    <row r="44" spans="1:8" ht="14.25" customHeight="1" x14ac:dyDescent="0.2">
      <c r="A44" s="93"/>
      <c r="B44" s="93"/>
      <c r="C44" s="97"/>
      <c r="D44" s="93"/>
      <c r="E44" s="93"/>
      <c r="F44" s="98"/>
      <c r="G44" s="98"/>
      <c r="H44" s="87" t="s">
        <v>143</v>
      </c>
    </row>
    <row r="45" spans="1:8" ht="14.25" customHeight="1" x14ac:dyDescent="0.2">
      <c r="A45" s="93"/>
      <c r="B45" s="93"/>
      <c r="C45" s="94" t="s">
        <v>144</v>
      </c>
      <c r="D45" s="93"/>
      <c r="E45" s="93"/>
      <c r="F45" s="93"/>
      <c r="G45" s="93"/>
      <c r="H45" s="87" t="s">
        <v>143</v>
      </c>
    </row>
    <row r="46" spans="1:8" ht="14.25" customHeight="1" x14ac:dyDescent="0.2">
      <c r="A46" s="93"/>
      <c r="B46" s="93"/>
      <c r="C46" s="94" t="s">
        <v>142</v>
      </c>
      <c r="D46" s="93"/>
      <c r="E46" s="93" t="s">
        <v>143</v>
      </c>
      <c r="F46" s="99" t="s">
        <v>145</v>
      </c>
      <c r="G46" s="96">
        <v>0</v>
      </c>
      <c r="H46" s="87" t="s">
        <v>143</v>
      </c>
    </row>
    <row r="47" spans="1:8" ht="14.25" customHeight="1" x14ac:dyDescent="0.2">
      <c r="A47" s="93"/>
      <c r="B47" s="93"/>
      <c r="C47" s="97"/>
      <c r="D47" s="93"/>
      <c r="E47" s="93"/>
      <c r="F47" s="98"/>
      <c r="G47" s="98"/>
      <c r="H47" s="87" t="s">
        <v>143</v>
      </c>
    </row>
    <row r="48" spans="1:8" ht="14.25" customHeight="1" x14ac:dyDescent="0.2">
      <c r="A48" s="93"/>
      <c r="B48" s="93"/>
      <c r="C48" s="94" t="s">
        <v>146</v>
      </c>
      <c r="D48" s="93"/>
      <c r="E48" s="93"/>
      <c r="F48" s="93"/>
      <c r="G48" s="93"/>
      <c r="H48" s="87" t="s">
        <v>143</v>
      </c>
    </row>
    <row r="49" spans="1:8" ht="14.25" customHeight="1" x14ac:dyDescent="0.2">
      <c r="A49" s="93"/>
      <c r="B49" s="93"/>
      <c r="C49" s="94" t="s">
        <v>142</v>
      </c>
      <c r="D49" s="93"/>
      <c r="E49" s="93" t="s">
        <v>143</v>
      </c>
      <c r="F49" s="99" t="s">
        <v>145</v>
      </c>
      <c r="G49" s="96">
        <v>0</v>
      </c>
      <c r="H49" s="87" t="s">
        <v>143</v>
      </c>
    </row>
    <row r="50" spans="1:8" ht="14.25" customHeight="1" x14ac:dyDescent="0.2">
      <c r="A50" s="93"/>
      <c r="B50" s="93"/>
      <c r="C50" s="97"/>
      <c r="D50" s="93"/>
      <c r="E50" s="93"/>
      <c r="F50" s="98"/>
      <c r="G50" s="98"/>
      <c r="H50" s="87" t="s">
        <v>143</v>
      </c>
    </row>
    <row r="51" spans="1:8" ht="14.25" customHeight="1" x14ac:dyDescent="0.2">
      <c r="A51" s="93"/>
      <c r="B51" s="93"/>
      <c r="C51" s="94" t="s">
        <v>147</v>
      </c>
      <c r="D51" s="93"/>
      <c r="E51" s="93"/>
      <c r="F51" s="93"/>
      <c r="G51" s="93"/>
      <c r="H51" s="87" t="s">
        <v>143</v>
      </c>
    </row>
    <row r="52" spans="1:8" ht="14.25" customHeight="1" x14ac:dyDescent="0.2">
      <c r="A52" s="93"/>
      <c r="B52" s="93"/>
      <c r="C52" s="94" t="s">
        <v>142</v>
      </c>
      <c r="D52" s="93"/>
      <c r="E52" s="93" t="s">
        <v>143</v>
      </c>
      <c r="F52" s="99" t="s">
        <v>145</v>
      </c>
      <c r="G52" s="96">
        <v>0</v>
      </c>
      <c r="H52" s="87" t="s">
        <v>143</v>
      </c>
    </row>
    <row r="53" spans="1:8" ht="14.25" customHeight="1" x14ac:dyDescent="0.2">
      <c r="A53" s="93"/>
      <c r="B53" s="93"/>
      <c r="C53" s="97"/>
      <c r="D53" s="93"/>
      <c r="E53" s="93"/>
      <c r="F53" s="98"/>
      <c r="G53" s="98"/>
      <c r="H53" s="87" t="s">
        <v>143</v>
      </c>
    </row>
    <row r="54" spans="1:8" ht="14.25" customHeight="1" x14ac:dyDescent="0.2">
      <c r="A54" s="93"/>
      <c r="B54" s="93"/>
      <c r="C54" s="94" t="s">
        <v>148</v>
      </c>
      <c r="D54" s="93"/>
      <c r="E54" s="93"/>
      <c r="F54" s="98"/>
      <c r="G54" s="98"/>
      <c r="H54" s="87" t="s">
        <v>143</v>
      </c>
    </row>
    <row r="55" spans="1:8" ht="14.25" customHeight="1" x14ac:dyDescent="0.2">
      <c r="A55" s="93"/>
      <c r="B55" s="93"/>
      <c r="C55" s="94" t="s">
        <v>142</v>
      </c>
      <c r="D55" s="93"/>
      <c r="E55" s="93" t="s">
        <v>143</v>
      </c>
      <c r="F55" s="99" t="s">
        <v>145</v>
      </c>
      <c r="G55" s="96">
        <v>0</v>
      </c>
      <c r="H55" s="87" t="s">
        <v>143</v>
      </c>
    </row>
    <row r="56" spans="1:8" ht="14.25" customHeight="1" x14ac:dyDescent="0.2">
      <c r="A56" s="93"/>
      <c r="B56" s="93"/>
      <c r="C56" s="97"/>
      <c r="D56" s="93"/>
      <c r="E56" s="93"/>
      <c r="F56" s="98"/>
      <c r="G56" s="98"/>
      <c r="H56" s="87" t="s">
        <v>143</v>
      </c>
    </row>
    <row r="57" spans="1:8" ht="14.25" customHeight="1" x14ac:dyDescent="0.2">
      <c r="A57" s="93"/>
      <c r="B57" s="93"/>
      <c r="C57" s="94" t="s">
        <v>149</v>
      </c>
      <c r="D57" s="93"/>
      <c r="E57" s="93"/>
      <c r="F57" s="98"/>
      <c r="G57" s="98"/>
      <c r="H57" s="87" t="s">
        <v>143</v>
      </c>
    </row>
    <row r="58" spans="1:8" ht="14.25" customHeight="1" x14ac:dyDescent="0.2">
      <c r="A58" s="93"/>
      <c r="B58" s="93"/>
      <c r="C58" s="94" t="s">
        <v>142</v>
      </c>
      <c r="D58" s="93"/>
      <c r="E58" s="93" t="s">
        <v>143</v>
      </c>
      <c r="F58" s="99" t="s">
        <v>145</v>
      </c>
      <c r="G58" s="96">
        <v>0</v>
      </c>
      <c r="H58" s="87" t="s">
        <v>143</v>
      </c>
    </row>
    <row r="59" spans="1:8" ht="14.25" customHeight="1" x14ac:dyDescent="0.2">
      <c r="A59" s="93"/>
      <c r="B59" s="93"/>
      <c r="C59" s="97"/>
      <c r="D59" s="93"/>
      <c r="E59" s="93"/>
      <c r="F59" s="98"/>
      <c r="G59" s="98"/>
      <c r="H59" s="87" t="s">
        <v>143</v>
      </c>
    </row>
    <row r="60" spans="1:8" ht="14.25" customHeight="1" x14ac:dyDescent="0.2">
      <c r="A60" s="93"/>
      <c r="B60" s="93"/>
      <c r="C60" s="94" t="s">
        <v>150</v>
      </c>
      <c r="D60" s="93"/>
      <c r="E60" s="93"/>
      <c r="F60" s="95">
        <v>7110.4100687</v>
      </c>
      <c r="G60" s="96">
        <v>0.94993216999999996</v>
      </c>
      <c r="H60" s="87" t="s">
        <v>143</v>
      </c>
    </row>
    <row r="61" spans="1:8" ht="14.25" customHeight="1" x14ac:dyDescent="0.2">
      <c r="A61" s="93"/>
      <c r="B61" s="93"/>
      <c r="C61" s="97"/>
      <c r="D61" s="93"/>
      <c r="E61" s="93"/>
      <c r="F61" s="98"/>
      <c r="G61" s="98"/>
      <c r="H61" s="87" t="s">
        <v>143</v>
      </c>
    </row>
    <row r="62" spans="1:8" ht="14.25" customHeight="1" x14ac:dyDescent="0.2">
      <c r="A62" s="93"/>
      <c r="B62" s="93"/>
      <c r="C62" s="94" t="s">
        <v>151</v>
      </c>
      <c r="D62" s="93"/>
      <c r="E62" s="93"/>
      <c r="F62" s="98"/>
      <c r="G62" s="98"/>
      <c r="H62" s="87" t="s">
        <v>143</v>
      </c>
    </row>
    <row r="63" spans="1:8" ht="14.25" customHeight="1" x14ac:dyDescent="0.2">
      <c r="A63" s="93"/>
      <c r="B63" s="93"/>
      <c r="C63" s="94" t="s">
        <v>10</v>
      </c>
      <c r="D63" s="93"/>
      <c r="E63" s="93"/>
      <c r="F63" s="98"/>
      <c r="G63" s="98"/>
      <c r="H63" s="87" t="s">
        <v>143</v>
      </c>
    </row>
    <row r="64" spans="1:8" ht="14.25" customHeight="1" x14ac:dyDescent="0.2">
      <c r="A64" s="93"/>
      <c r="B64" s="93"/>
      <c r="C64" s="94" t="s">
        <v>142</v>
      </c>
      <c r="D64" s="93"/>
      <c r="E64" s="93" t="s">
        <v>143</v>
      </c>
      <c r="F64" s="99" t="s">
        <v>145</v>
      </c>
      <c r="G64" s="96">
        <v>0</v>
      </c>
      <c r="H64" s="87" t="s">
        <v>143</v>
      </c>
    </row>
    <row r="65" spans="1:8" ht="14.25" customHeight="1" x14ac:dyDescent="0.2">
      <c r="A65" s="93"/>
      <c r="B65" s="93"/>
      <c r="C65" s="97"/>
      <c r="D65" s="93"/>
      <c r="E65" s="93"/>
      <c r="F65" s="98"/>
      <c r="G65" s="98"/>
      <c r="H65" s="87" t="s">
        <v>143</v>
      </c>
    </row>
    <row r="66" spans="1:8" ht="14.25" customHeight="1" x14ac:dyDescent="0.2">
      <c r="A66" s="93"/>
      <c r="B66" s="93"/>
      <c r="C66" s="94" t="s">
        <v>152</v>
      </c>
      <c r="D66" s="93"/>
      <c r="E66" s="93"/>
      <c r="F66" s="93"/>
      <c r="G66" s="93"/>
      <c r="H66" s="87" t="s">
        <v>143</v>
      </c>
    </row>
    <row r="67" spans="1:8" ht="14.25" customHeight="1" x14ac:dyDescent="0.2">
      <c r="A67" s="93"/>
      <c r="B67" s="93"/>
      <c r="C67" s="94" t="s">
        <v>142</v>
      </c>
      <c r="D67" s="93"/>
      <c r="E67" s="93" t="s">
        <v>143</v>
      </c>
      <c r="F67" s="99" t="s">
        <v>145</v>
      </c>
      <c r="G67" s="96">
        <v>0</v>
      </c>
      <c r="H67" s="87" t="s">
        <v>143</v>
      </c>
    </row>
    <row r="68" spans="1:8" ht="14.25" customHeight="1" x14ac:dyDescent="0.2">
      <c r="A68" s="93"/>
      <c r="B68" s="93"/>
      <c r="C68" s="97"/>
      <c r="D68" s="93"/>
      <c r="E68" s="93"/>
      <c r="F68" s="98"/>
      <c r="G68" s="98"/>
      <c r="H68" s="87" t="s">
        <v>143</v>
      </c>
    </row>
    <row r="69" spans="1:8" ht="14.25" customHeight="1" x14ac:dyDescent="0.2">
      <c r="A69" s="93"/>
      <c r="B69" s="93"/>
      <c r="C69" s="94" t="s">
        <v>153</v>
      </c>
      <c r="D69" s="93"/>
      <c r="E69" s="93"/>
      <c r="F69" s="93"/>
      <c r="G69" s="93"/>
      <c r="H69" s="87" t="s">
        <v>143</v>
      </c>
    </row>
    <row r="70" spans="1:8" ht="14.25" customHeight="1" x14ac:dyDescent="0.2">
      <c r="A70" s="93"/>
      <c r="B70" s="93"/>
      <c r="C70" s="94" t="s">
        <v>142</v>
      </c>
      <c r="D70" s="93"/>
      <c r="E70" s="93" t="s">
        <v>143</v>
      </c>
      <c r="F70" s="99" t="s">
        <v>145</v>
      </c>
      <c r="G70" s="96">
        <v>0</v>
      </c>
      <c r="H70" s="87" t="s">
        <v>143</v>
      </c>
    </row>
    <row r="71" spans="1:8" ht="14.25" customHeight="1" x14ac:dyDescent="0.2">
      <c r="A71" s="93"/>
      <c r="B71" s="93"/>
      <c r="C71" s="97"/>
      <c r="D71" s="93"/>
      <c r="E71" s="93"/>
      <c r="F71" s="98"/>
      <c r="G71" s="98"/>
      <c r="H71" s="87" t="s">
        <v>143</v>
      </c>
    </row>
    <row r="72" spans="1:8" ht="14.25" customHeight="1" x14ac:dyDescent="0.2">
      <c r="A72" s="93"/>
      <c r="B72" s="93"/>
      <c r="C72" s="94" t="s">
        <v>154</v>
      </c>
      <c r="D72" s="93"/>
      <c r="E72" s="93"/>
      <c r="F72" s="98"/>
      <c r="G72" s="98"/>
      <c r="H72" s="87" t="s">
        <v>143</v>
      </c>
    </row>
    <row r="73" spans="1:8" ht="14.25" customHeight="1" x14ac:dyDescent="0.2">
      <c r="A73" s="93"/>
      <c r="B73" s="93"/>
      <c r="C73" s="94" t="s">
        <v>142</v>
      </c>
      <c r="D73" s="93"/>
      <c r="E73" s="93" t="s">
        <v>143</v>
      </c>
      <c r="F73" s="99" t="s">
        <v>145</v>
      </c>
      <c r="G73" s="96">
        <v>0</v>
      </c>
      <c r="H73" s="87" t="s">
        <v>143</v>
      </c>
    </row>
    <row r="74" spans="1:8" ht="14.25" customHeight="1" x14ac:dyDescent="0.2">
      <c r="A74" s="93"/>
      <c r="B74" s="93"/>
      <c r="C74" s="97"/>
      <c r="D74" s="93"/>
      <c r="E74" s="93"/>
      <c r="F74" s="98"/>
      <c r="G74" s="98"/>
      <c r="H74" s="87" t="s">
        <v>143</v>
      </c>
    </row>
    <row r="75" spans="1:8" ht="14.25" customHeight="1" x14ac:dyDescent="0.2">
      <c r="A75" s="93"/>
      <c r="B75" s="93"/>
      <c r="C75" s="94" t="s">
        <v>155</v>
      </c>
      <c r="D75" s="93"/>
      <c r="E75" s="93"/>
      <c r="F75" s="95">
        <v>0</v>
      </c>
      <c r="G75" s="96">
        <v>0</v>
      </c>
      <c r="H75" s="87" t="s">
        <v>143</v>
      </c>
    </row>
    <row r="76" spans="1:8" ht="14.25" customHeight="1" x14ac:dyDescent="0.2">
      <c r="A76" s="93"/>
      <c r="B76" s="93"/>
      <c r="C76" s="97"/>
      <c r="D76" s="93"/>
      <c r="E76" s="93"/>
      <c r="F76" s="98"/>
      <c r="G76" s="98"/>
      <c r="H76" s="87" t="s">
        <v>143</v>
      </c>
    </row>
    <row r="77" spans="1:8" ht="14.25" customHeight="1" x14ac:dyDescent="0.2">
      <c r="A77" s="93"/>
      <c r="B77" s="93"/>
      <c r="C77" s="94" t="s">
        <v>156</v>
      </c>
      <c r="D77" s="93"/>
      <c r="E77" s="93"/>
      <c r="F77" s="98"/>
      <c r="G77" s="98"/>
      <c r="H77" s="87" t="s">
        <v>143</v>
      </c>
    </row>
    <row r="78" spans="1:8" ht="14.25" customHeight="1" x14ac:dyDescent="0.2">
      <c r="A78" s="93"/>
      <c r="B78" s="93"/>
      <c r="C78" s="94" t="s">
        <v>157</v>
      </c>
      <c r="D78" s="93"/>
      <c r="E78" s="93"/>
      <c r="F78" s="98"/>
      <c r="G78" s="98"/>
      <c r="H78" s="87" t="s">
        <v>143</v>
      </c>
    </row>
    <row r="79" spans="1:8" ht="14.25" customHeight="1" x14ac:dyDescent="0.2">
      <c r="A79" s="93"/>
      <c r="B79" s="93"/>
      <c r="C79" s="94" t="s">
        <v>142</v>
      </c>
      <c r="D79" s="93"/>
      <c r="E79" s="93" t="s">
        <v>143</v>
      </c>
      <c r="F79" s="99" t="s">
        <v>145</v>
      </c>
      <c r="G79" s="96">
        <v>0</v>
      </c>
      <c r="H79" s="87" t="s">
        <v>143</v>
      </c>
    </row>
    <row r="80" spans="1:8" ht="14.25" customHeight="1" x14ac:dyDescent="0.2">
      <c r="A80" s="93"/>
      <c r="B80" s="93"/>
      <c r="C80" s="97"/>
      <c r="D80" s="93"/>
      <c r="E80" s="93"/>
      <c r="F80" s="98"/>
      <c r="G80" s="98"/>
      <c r="H80" s="87" t="s">
        <v>143</v>
      </c>
    </row>
    <row r="81" spans="1:8" ht="14.25" customHeight="1" x14ac:dyDescent="0.2">
      <c r="A81" s="93"/>
      <c r="B81" s="93"/>
      <c r="C81" s="94" t="s">
        <v>158</v>
      </c>
      <c r="D81" s="93"/>
      <c r="E81" s="93"/>
      <c r="F81" s="98"/>
      <c r="G81" s="98"/>
      <c r="H81" s="87" t="s">
        <v>143</v>
      </c>
    </row>
    <row r="82" spans="1:8" ht="14.25" customHeight="1" x14ac:dyDescent="0.2">
      <c r="A82" s="93"/>
      <c r="B82" s="93"/>
      <c r="C82" s="94" t="s">
        <v>142</v>
      </c>
      <c r="D82" s="93"/>
      <c r="E82" s="93" t="s">
        <v>143</v>
      </c>
      <c r="F82" s="99" t="s">
        <v>145</v>
      </c>
      <c r="G82" s="96">
        <v>0</v>
      </c>
      <c r="H82" s="87" t="s">
        <v>143</v>
      </c>
    </row>
    <row r="83" spans="1:8" ht="14.25" customHeight="1" x14ac:dyDescent="0.2">
      <c r="A83" s="93"/>
      <c r="B83" s="93"/>
      <c r="C83" s="97"/>
      <c r="D83" s="93"/>
      <c r="E83" s="93"/>
      <c r="F83" s="98"/>
      <c r="G83" s="98"/>
      <c r="H83" s="87" t="s">
        <v>143</v>
      </c>
    </row>
    <row r="84" spans="1:8" ht="14.25" customHeight="1" x14ac:dyDescent="0.2">
      <c r="A84" s="93"/>
      <c r="B84" s="93"/>
      <c r="C84" s="94" t="s">
        <v>159</v>
      </c>
      <c r="D84" s="93"/>
      <c r="E84" s="93"/>
      <c r="F84" s="98"/>
      <c r="G84" s="98"/>
      <c r="H84" s="87" t="s">
        <v>143</v>
      </c>
    </row>
    <row r="85" spans="1:8" ht="14.25" customHeight="1" x14ac:dyDescent="0.2">
      <c r="A85" s="93"/>
      <c r="B85" s="93"/>
      <c r="C85" s="94" t="s">
        <v>142</v>
      </c>
      <c r="D85" s="93"/>
      <c r="E85" s="93" t="s">
        <v>143</v>
      </c>
      <c r="F85" s="99" t="s">
        <v>145</v>
      </c>
      <c r="G85" s="96">
        <v>0</v>
      </c>
      <c r="H85" s="87" t="s">
        <v>143</v>
      </c>
    </row>
    <row r="86" spans="1:8" ht="14.25" customHeight="1" x14ac:dyDescent="0.2">
      <c r="A86" s="93"/>
      <c r="B86" s="93"/>
      <c r="C86" s="97"/>
      <c r="D86" s="93"/>
      <c r="E86" s="93"/>
      <c r="F86" s="98"/>
      <c r="G86" s="98"/>
      <c r="H86" s="87" t="s">
        <v>143</v>
      </c>
    </row>
    <row r="87" spans="1:8" ht="14.25" customHeight="1" x14ac:dyDescent="0.2">
      <c r="A87" s="93"/>
      <c r="B87" s="93"/>
      <c r="C87" s="94" t="s">
        <v>160</v>
      </c>
      <c r="D87" s="93"/>
      <c r="E87" s="93"/>
      <c r="F87" s="98"/>
      <c r="G87" s="98"/>
      <c r="H87" s="87" t="s">
        <v>143</v>
      </c>
    </row>
    <row r="88" spans="1:8" ht="14.25" customHeight="1" x14ac:dyDescent="0.2">
      <c r="A88" s="88">
        <v>1</v>
      </c>
      <c r="B88" s="89"/>
      <c r="C88" s="89" t="s">
        <v>161</v>
      </c>
      <c r="D88" s="89"/>
      <c r="E88" s="100"/>
      <c r="F88" s="91">
        <v>375.63878699899999</v>
      </c>
      <c r="G88" s="92">
        <v>5.0184359999999997E-2</v>
      </c>
      <c r="H88" s="87">
        <v>5.38</v>
      </c>
    </row>
    <row r="89" spans="1:8" ht="14.25" customHeight="1" x14ac:dyDescent="0.2">
      <c r="A89" s="93"/>
      <c r="B89" s="93"/>
      <c r="C89" s="94" t="s">
        <v>142</v>
      </c>
      <c r="D89" s="93"/>
      <c r="E89" s="93" t="s">
        <v>143</v>
      </c>
      <c r="F89" s="95">
        <v>375.63878699899999</v>
      </c>
      <c r="G89" s="96">
        <v>5.0184359999999997E-2</v>
      </c>
      <c r="H89" s="87" t="s">
        <v>143</v>
      </c>
    </row>
    <row r="90" spans="1:8" ht="14.25" customHeight="1" x14ac:dyDescent="0.2">
      <c r="A90" s="93"/>
      <c r="B90" s="93"/>
      <c r="C90" s="97"/>
      <c r="D90" s="93"/>
      <c r="E90" s="93"/>
      <c r="F90" s="98"/>
      <c r="G90" s="98"/>
      <c r="H90" s="87" t="s">
        <v>143</v>
      </c>
    </row>
    <row r="91" spans="1:8" ht="14.25" customHeight="1" x14ac:dyDescent="0.2">
      <c r="A91" s="93"/>
      <c r="B91" s="93"/>
      <c r="C91" s="94" t="s">
        <v>162</v>
      </c>
      <c r="D91" s="93"/>
      <c r="E91" s="93"/>
      <c r="F91" s="95">
        <v>375.63878699899999</v>
      </c>
      <c r="G91" s="96">
        <v>5.0184359999999997E-2</v>
      </c>
      <c r="H91" s="87" t="s">
        <v>143</v>
      </c>
    </row>
    <row r="92" spans="1:8" ht="14.25" customHeight="1" x14ac:dyDescent="0.2">
      <c r="A92" s="93"/>
      <c r="B92" s="93"/>
      <c r="C92" s="98"/>
      <c r="D92" s="93"/>
      <c r="E92" s="93"/>
      <c r="F92" s="93"/>
      <c r="G92" s="93"/>
      <c r="H92" s="87" t="s">
        <v>143</v>
      </c>
    </row>
    <row r="93" spans="1:8" ht="14.25" customHeight="1" x14ac:dyDescent="0.2">
      <c r="A93" s="93"/>
      <c r="B93" s="93"/>
      <c r="C93" s="94" t="s">
        <v>163</v>
      </c>
      <c r="D93" s="93"/>
      <c r="E93" s="93"/>
      <c r="F93" s="93"/>
      <c r="G93" s="93"/>
      <c r="H93" s="87" t="s">
        <v>143</v>
      </c>
    </row>
    <row r="94" spans="1:8" ht="14.25" customHeight="1" x14ac:dyDescent="0.2">
      <c r="A94" s="93"/>
      <c r="B94" s="93"/>
      <c r="C94" s="94" t="s">
        <v>164</v>
      </c>
      <c r="D94" s="93"/>
      <c r="E94" s="93"/>
      <c r="F94" s="93"/>
      <c r="G94" s="93"/>
      <c r="H94" s="87" t="s">
        <v>143</v>
      </c>
    </row>
    <row r="95" spans="1:8" ht="14.25" customHeight="1" x14ac:dyDescent="0.2">
      <c r="A95" s="93"/>
      <c r="B95" s="93"/>
      <c r="C95" s="94" t="s">
        <v>142</v>
      </c>
      <c r="D95" s="93"/>
      <c r="E95" s="93" t="s">
        <v>143</v>
      </c>
      <c r="F95" s="99" t="s">
        <v>145</v>
      </c>
      <c r="G95" s="96">
        <v>0</v>
      </c>
      <c r="H95" s="87" t="s">
        <v>143</v>
      </c>
    </row>
    <row r="96" spans="1:8" ht="14.25" customHeight="1" x14ac:dyDescent="0.2">
      <c r="A96" s="93"/>
      <c r="B96" s="93"/>
      <c r="C96" s="97"/>
      <c r="D96" s="93"/>
      <c r="E96" s="93"/>
      <c r="F96" s="98"/>
      <c r="G96" s="98"/>
      <c r="H96" s="87" t="s">
        <v>143</v>
      </c>
    </row>
    <row r="97" spans="1:17" ht="14.25" customHeight="1" x14ac:dyDescent="0.2">
      <c r="A97" s="93"/>
      <c r="B97" s="93"/>
      <c r="C97" s="94" t="s">
        <v>165</v>
      </c>
      <c r="D97" s="93"/>
      <c r="E97" s="93"/>
      <c r="F97" s="93"/>
      <c r="G97" s="93"/>
      <c r="H97" s="87" t="s">
        <v>143</v>
      </c>
    </row>
    <row r="98" spans="1:17" ht="14.25" customHeight="1" x14ac:dyDescent="0.2">
      <c r="A98" s="93"/>
      <c r="B98" s="93"/>
      <c r="C98" s="94" t="s">
        <v>166</v>
      </c>
      <c r="D98" s="93"/>
      <c r="E98" s="93"/>
      <c r="F98" s="93"/>
      <c r="G98" s="93"/>
      <c r="H98" s="87" t="s">
        <v>143</v>
      </c>
    </row>
    <row r="99" spans="1:17" ht="14.25" customHeight="1" x14ac:dyDescent="0.2">
      <c r="A99" s="93"/>
      <c r="B99" s="93"/>
      <c r="C99" s="94" t="s">
        <v>142</v>
      </c>
      <c r="D99" s="93"/>
      <c r="E99" s="93" t="s">
        <v>143</v>
      </c>
      <c r="F99" s="99" t="s">
        <v>145</v>
      </c>
      <c r="G99" s="96">
        <v>0</v>
      </c>
      <c r="H99" s="87" t="s">
        <v>143</v>
      </c>
    </row>
    <row r="100" spans="1:17" ht="14.25" customHeight="1" x14ac:dyDescent="0.2">
      <c r="A100" s="93"/>
      <c r="B100" s="93"/>
      <c r="C100" s="97"/>
      <c r="D100" s="93"/>
      <c r="E100" s="93"/>
      <c r="F100" s="98"/>
      <c r="G100" s="98"/>
      <c r="H100" s="87" t="s">
        <v>143</v>
      </c>
    </row>
    <row r="101" spans="1:17" ht="14.25" customHeight="1" x14ac:dyDescent="0.2">
      <c r="A101" s="93"/>
      <c r="B101" s="93"/>
      <c r="C101" s="94" t="s">
        <v>167</v>
      </c>
      <c r="D101" s="93"/>
      <c r="E101" s="93"/>
      <c r="F101" s="98"/>
      <c r="G101" s="98"/>
      <c r="H101" s="87" t="s">
        <v>143</v>
      </c>
    </row>
    <row r="102" spans="1:17" ht="14.25" customHeight="1" x14ac:dyDescent="0.2">
      <c r="A102" s="93"/>
      <c r="B102" s="93"/>
      <c r="C102" s="94" t="s">
        <v>142</v>
      </c>
      <c r="D102" s="93"/>
      <c r="E102" s="93" t="s">
        <v>143</v>
      </c>
      <c r="F102" s="99" t="s">
        <v>145</v>
      </c>
      <c r="G102" s="96">
        <v>0</v>
      </c>
      <c r="H102" s="87" t="s">
        <v>143</v>
      </c>
    </row>
    <row r="103" spans="1:17" ht="14.25" customHeight="1" x14ac:dyDescent="0.2">
      <c r="A103" s="93"/>
      <c r="B103" s="93"/>
      <c r="C103" s="97"/>
      <c r="D103" s="93"/>
      <c r="E103" s="93"/>
      <c r="F103" s="98"/>
      <c r="G103" s="98"/>
      <c r="H103" s="87" t="s">
        <v>143</v>
      </c>
    </row>
    <row r="104" spans="1:17" ht="14.25" customHeight="1" x14ac:dyDescent="0.2">
      <c r="A104" s="100"/>
      <c r="B104" s="89"/>
      <c r="C104" s="89" t="s">
        <v>168</v>
      </c>
      <c r="D104" s="89"/>
      <c r="E104" s="100"/>
      <c r="F104" s="91">
        <v>-0.87206742000000004</v>
      </c>
      <c r="G104" s="92">
        <v>-1.1650999999999999E-4</v>
      </c>
      <c r="H104" s="87" t="s">
        <v>143</v>
      </c>
    </row>
    <row r="105" spans="1:17" ht="14.25" customHeight="1" x14ac:dyDescent="0.2">
      <c r="A105" s="97"/>
      <c r="B105" s="97"/>
      <c r="C105" s="94" t="s">
        <v>169</v>
      </c>
      <c r="D105" s="98"/>
      <c r="E105" s="98"/>
      <c r="F105" s="95">
        <v>7485.176788279</v>
      </c>
      <c r="G105" s="101">
        <v>1.0000000200000001</v>
      </c>
      <c r="H105" s="87" t="s">
        <v>143</v>
      </c>
    </row>
    <row r="106" spans="1:17" ht="12.75" x14ac:dyDescent="0.2">
      <c r="A106" s="102"/>
      <c r="B106" s="102"/>
      <c r="C106" s="102"/>
      <c r="D106" s="103"/>
      <c r="E106" s="103"/>
      <c r="F106" s="103"/>
      <c r="G106" s="103"/>
    </row>
    <row r="107" spans="1:17" ht="12.75" x14ac:dyDescent="0.2">
      <c r="A107" s="104"/>
      <c r="B107" s="206" t="s">
        <v>942</v>
      </c>
      <c r="C107" s="206"/>
      <c r="D107" s="206"/>
      <c r="E107" s="206"/>
      <c r="F107" s="206"/>
      <c r="G107" s="206"/>
      <c r="H107" s="206"/>
      <c r="J107" s="106"/>
    </row>
    <row r="108" spans="1:17" ht="12.75" x14ac:dyDescent="0.2">
      <c r="A108" s="104"/>
      <c r="B108" s="206" t="s">
        <v>943</v>
      </c>
      <c r="C108" s="206"/>
      <c r="D108" s="206"/>
      <c r="E108" s="206"/>
      <c r="F108" s="206"/>
      <c r="G108" s="206"/>
      <c r="H108" s="206"/>
      <c r="J108" s="106"/>
    </row>
    <row r="109" spans="1:17" ht="12.75" x14ac:dyDescent="0.2">
      <c r="A109" s="104"/>
      <c r="B109" s="206" t="s">
        <v>944</v>
      </c>
      <c r="C109" s="206"/>
      <c r="D109" s="206"/>
      <c r="E109" s="206"/>
      <c r="F109" s="206"/>
      <c r="G109" s="206"/>
      <c r="H109" s="206"/>
      <c r="J109" s="106"/>
    </row>
    <row r="110" spans="1:17" s="108" customFormat="1" ht="66.75" customHeight="1" x14ac:dyDescent="0.25">
      <c r="A110" s="107"/>
      <c r="B110" s="207" t="s">
        <v>945</v>
      </c>
      <c r="C110" s="207"/>
      <c r="D110" s="207"/>
      <c r="E110" s="207"/>
      <c r="F110" s="207"/>
      <c r="G110" s="207"/>
      <c r="H110" s="207"/>
      <c r="I110"/>
      <c r="J110" s="106"/>
      <c r="K110"/>
      <c r="L110"/>
      <c r="M110"/>
      <c r="N110"/>
      <c r="O110"/>
      <c r="P110"/>
      <c r="Q110"/>
    </row>
    <row r="111" spans="1:17" ht="12.75" x14ac:dyDescent="0.2">
      <c r="A111" s="104"/>
      <c r="B111" s="206" t="s">
        <v>946</v>
      </c>
      <c r="C111" s="206"/>
      <c r="D111" s="206"/>
      <c r="E111" s="206"/>
      <c r="F111" s="206"/>
      <c r="G111" s="206"/>
      <c r="H111" s="206"/>
      <c r="J111" s="106"/>
    </row>
    <row r="112" spans="1:17" ht="12.75" x14ac:dyDescent="0.2">
      <c r="A112" s="104"/>
      <c r="B112" s="104"/>
      <c r="C112" s="104"/>
      <c r="D112" s="109"/>
      <c r="E112" s="109"/>
      <c r="F112" s="109"/>
      <c r="G112" s="109"/>
    </row>
    <row r="113" spans="1:10" ht="12.75" x14ac:dyDescent="0.2">
      <c r="A113" s="104"/>
      <c r="B113" s="199" t="s">
        <v>170</v>
      </c>
      <c r="C113" s="200"/>
      <c r="D113" s="201"/>
      <c r="E113" s="110"/>
      <c r="F113" s="109"/>
      <c r="G113" s="109"/>
    </row>
    <row r="114" spans="1:10" ht="27.75" customHeight="1" x14ac:dyDescent="0.2">
      <c r="A114" s="104"/>
      <c r="B114" s="202" t="s">
        <v>171</v>
      </c>
      <c r="C114" s="203"/>
      <c r="D114" s="86" t="s">
        <v>172</v>
      </c>
      <c r="E114" s="110"/>
      <c r="F114" s="109"/>
      <c r="G114" s="109"/>
    </row>
    <row r="115" spans="1:10" ht="12.75" customHeight="1" x14ac:dyDescent="0.2">
      <c r="A115" s="104"/>
      <c r="B115" s="202" t="s">
        <v>947</v>
      </c>
      <c r="C115" s="203"/>
      <c r="D115" s="86" t="s">
        <v>172</v>
      </c>
      <c r="E115" s="110"/>
      <c r="F115" s="109"/>
      <c r="G115" s="109"/>
    </row>
    <row r="116" spans="1:10" ht="12.75" x14ac:dyDescent="0.2">
      <c r="A116" s="104"/>
      <c r="B116" s="202" t="s">
        <v>173</v>
      </c>
      <c r="C116" s="203"/>
      <c r="D116" s="111" t="s">
        <v>143</v>
      </c>
      <c r="E116" s="110"/>
      <c r="F116" s="109"/>
      <c r="G116" s="109"/>
    </row>
    <row r="117" spans="1:10" ht="12.75" x14ac:dyDescent="0.2">
      <c r="A117" s="112"/>
      <c r="B117" s="113" t="s">
        <v>143</v>
      </c>
      <c r="C117" s="113" t="s">
        <v>948</v>
      </c>
      <c r="D117" s="113" t="s">
        <v>174</v>
      </c>
      <c r="E117" s="112"/>
      <c r="F117" s="112"/>
      <c r="G117" s="112"/>
      <c r="H117" s="112"/>
      <c r="J117" s="106"/>
    </row>
    <row r="118" spans="1:10" ht="12.75" x14ac:dyDescent="0.2">
      <c r="A118" s="112"/>
      <c r="B118" s="114" t="s">
        <v>175</v>
      </c>
      <c r="C118" s="115">
        <v>45869</v>
      </c>
      <c r="D118" s="115">
        <v>45900</v>
      </c>
      <c r="E118" s="112"/>
      <c r="F118" s="112"/>
      <c r="G118" s="112"/>
      <c r="J118" s="106"/>
    </row>
    <row r="119" spans="1:10" ht="14.25" customHeight="1" x14ac:dyDescent="0.2">
      <c r="A119" s="116"/>
      <c r="B119" s="89" t="s">
        <v>176</v>
      </c>
      <c r="C119" s="117">
        <v>34.066400000000002</v>
      </c>
      <c r="D119" s="117">
        <v>33.185899999999997</v>
      </c>
      <c r="E119" s="116"/>
      <c r="F119" s="118"/>
      <c r="G119" s="119"/>
    </row>
    <row r="120" spans="1:10" ht="14.25" customHeight="1" x14ac:dyDescent="0.2">
      <c r="A120" s="116"/>
      <c r="B120" s="89" t="s">
        <v>954</v>
      </c>
      <c r="C120" s="117">
        <v>29.8749</v>
      </c>
      <c r="D120" s="117">
        <v>29.102699999999999</v>
      </c>
      <c r="E120" s="116"/>
      <c r="F120" s="118"/>
      <c r="G120" s="119"/>
    </row>
    <row r="121" spans="1:10" ht="14.25" customHeight="1" x14ac:dyDescent="0.2">
      <c r="A121" s="116"/>
      <c r="B121" s="89" t="s">
        <v>177</v>
      </c>
      <c r="C121" s="117">
        <v>33.075800000000001</v>
      </c>
      <c r="D121" s="117">
        <v>32.215899999999998</v>
      </c>
      <c r="E121" s="116"/>
      <c r="F121" s="118"/>
      <c r="G121" s="119"/>
    </row>
    <row r="122" spans="1:10" ht="14.25" customHeight="1" x14ac:dyDescent="0.2">
      <c r="A122" s="116"/>
      <c r="B122" s="89" t="s">
        <v>955</v>
      </c>
      <c r="C122" s="117">
        <v>28.938800000000001</v>
      </c>
      <c r="D122" s="117">
        <v>28.186499999999999</v>
      </c>
      <c r="E122" s="116"/>
      <c r="F122" s="118"/>
      <c r="G122" s="119"/>
    </row>
    <row r="123" spans="1:10" ht="14.25" customHeight="1" x14ac:dyDescent="0.2">
      <c r="A123" s="116"/>
      <c r="B123" s="116"/>
      <c r="C123" s="116"/>
      <c r="D123" s="116"/>
      <c r="E123" s="116"/>
      <c r="F123" s="116"/>
      <c r="G123" s="116"/>
    </row>
    <row r="124" spans="1:10" ht="12.75" x14ac:dyDescent="0.2">
      <c r="A124" s="112"/>
      <c r="B124" s="202" t="s">
        <v>949</v>
      </c>
      <c r="C124" s="203"/>
      <c r="D124" s="86" t="s">
        <v>172</v>
      </c>
      <c r="E124" s="112"/>
      <c r="F124" s="112"/>
      <c r="G124" s="112"/>
    </row>
    <row r="125" spans="1:10" ht="12.75" x14ac:dyDescent="0.2">
      <c r="A125" s="112"/>
      <c r="B125" s="120"/>
      <c r="C125" s="120"/>
      <c r="D125" s="120"/>
      <c r="E125" s="112"/>
      <c r="F125" s="112"/>
      <c r="G125" s="112"/>
    </row>
    <row r="126" spans="1:10" ht="12.75" x14ac:dyDescent="0.2">
      <c r="A126" s="112"/>
      <c r="B126" s="202" t="s">
        <v>178</v>
      </c>
      <c r="C126" s="203"/>
      <c r="D126" s="86" t="s">
        <v>172</v>
      </c>
      <c r="E126" s="121"/>
      <c r="F126" s="112"/>
      <c r="G126" s="112"/>
    </row>
    <row r="127" spans="1:10" ht="12.75" x14ac:dyDescent="0.2">
      <c r="A127" s="112"/>
      <c r="B127" s="202" t="s">
        <v>179</v>
      </c>
      <c r="C127" s="203"/>
      <c r="D127" s="86" t="s">
        <v>172</v>
      </c>
      <c r="E127" s="121"/>
      <c r="F127" s="112"/>
      <c r="G127" s="112"/>
    </row>
    <row r="128" spans="1:10" ht="12.75" x14ac:dyDescent="0.2">
      <c r="A128" s="112"/>
      <c r="B128" s="202" t="s">
        <v>180</v>
      </c>
      <c r="C128" s="203"/>
      <c r="D128" s="86" t="s">
        <v>172</v>
      </c>
      <c r="E128" s="121"/>
      <c r="F128" s="112"/>
      <c r="G128" s="112"/>
    </row>
    <row r="129" spans="1:10" ht="12.75" x14ac:dyDescent="0.2">
      <c r="A129" s="112"/>
      <c r="B129" s="202" t="s">
        <v>181</v>
      </c>
      <c r="C129" s="203"/>
      <c r="D129" s="122">
        <v>6.3674903685084605E-2</v>
      </c>
      <c r="E129" s="112"/>
      <c r="F129" s="105"/>
      <c r="G129" s="123"/>
    </row>
    <row r="130" spans="1:10" ht="12.75" x14ac:dyDescent="0.2"/>
    <row r="131" spans="1:10" ht="12.75" x14ac:dyDescent="0.2">
      <c r="B131" s="204" t="s">
        <v>950</v>
      </c>
      <c r="C131" s="204"/>
    </row>
    <row r="132" spans="1:10" ht="12.75" x14ac:dyDescent="0.2"/>
    <row r="133" spans="1:10" ht="153.75" customHeight="1" x14ac:dyDescent="0.2"/>
    <row r="134" spans="1:10" ht="12.75" x14ac:dyDescent="0.2"/>
    <row r="135" spans="1:10" ht="12.75" x14ac:dyDescent="0.2"/>
    <row r="136" spans="1:10" ht="12.75" x14ac:dyDescent="0.2">
      <c r="B136" s="124" t="s">
        <v>951</v>
      </c>
      <c r="C136" s="125"/>
      <c r="D136" s="124"/>
    </row>
    <row r="137" spans="1:10" ht="12.75" x14ac:dyDescent="0.2">
      <c r="B137" s="124" t="s">
        <v>963</v>
      </c>
      <c r="D137" s="124"/>
    </row>
    <row r="138" spans="1:10" ht="165" customHeight="1" x14ac:dyDescent="0.2"/>
    <row r="139" spans="1:10" ht="12.75" x14ac:dyDescent="0.2">
      <c r="B139" s="124"/>
      <c r="D139" s="124"/>
    </row>
    <row r="140" spans="1:10" ht="12.75" x14ac:dyDescent="0.2">
      <c r="J140" s="84"/>
    </row>
    <row r="141" spans="1:10" ht="12.75" x14ac:dyDescent="0.2"/>
    <row r="142" spans="1:10" ht="12.75" x14ac:dyDescent="0.2"/>
    <row r="143" spans="1:10" ht="12.75" x14ac:dyDescent="0.2"/>
    <row r="144" spans="1:10" ht="12.75" x14ac:dyDescent="0.2"/>
    <row r="145" customFormat="1" ht="12.75" x14ac:dyDescent="0.2"/>
    <row r="146" customFormat="1" ht="12.75" x14ac:dyDescent="0.2"/>
    <row r="147" customFormat="1" ht="12.75" x14ac:dyDescent="0.2"/>
    <row r="148" customFormat="1" ht="12.75" x14ac:dyDescent="0.2"/>
    <row r="149" customFormat="1" ht="12.75" x14ac:dyDescent="0.2"/>
  </sheetData>
  <mergeCells count="18">
    <mergeCell ref="B110:H110"/>
    <mergeCell ref="B111:H111"/>
    <mergeCell ref="B113:D113"/>
    <mergeCell ref="B114:C114"/>
    <mergeCell ref="B131:C131"/>
    <mergeCell ref="A1:H1"/>
    <mergeCell ref="A2:H2"/>
    <mergeCell ref="A3:H3"/>
    <mergeCell ref="B124:C124"/>
    <mergeCell ref="B128:C128"/>
    <mergeCell ref="B129:C129"/>
    <mergeCell ref="B107:H107"/>
    <mergeCell ref="B108:H108"/>
    <mergeCell ref="B115:C115"/>
    <mergeCell ref="B116:C116"/>
    <mergeCell ref="B126:C126"/>
    <mergeCell ref="B127:C127"/>
    <mergeCell ref="B109:H109"/>
  </mergeCells>
  <hyperlinks>
    <hyperlink ref="I1" location="Index!B2" display="Index" xr:uid="{4E9BDA8E-AC3A-473C-A926-BF5550346E71}"/>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8426A-FF04-44CA-A560-86D4DC2F7D8B}">
  <sheetPr>
    <outlinePr summaryBelow="0" summaryRight="0"/>
  </sheetPr>
  <dimension ref="A1:Q152"/>
  <sheetViews>
    <sheetView showGridLines="0" workbookViewId="0">
      <selection sqref="A1:H1"/>
    </sheetView>
  </sheetViews>
  <sheetFormatPr defaultRowHeight="14.25" customHeight="1" x14ac:dyDescent="0.2"/>
  <cols>
    <col min="1" max="1" width="5.85546875" bestFit="1" customWidth="1"/>
    <col min="2" max="2" width="19.7109375" customWidth="1"/>
    <col min="3" max="3" width="39.140625" bestFit="1" customWidth="1"/>
    <col min="4" max="4" width="28.140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454</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362</v>
      </c>
      <c r="C7" s="89" t="s">
        <v>363</v>
      </c>
      <c r="D7" s="89" t="s">
        <v>46</v>
      </c>
      <c r="E7" s="90">
        <v>9824</v>
      </c>
      <c r="F7" s="91">
        <v>210.53814399999999</v>
      </c>
      <c r="G7" s="92">
        <v>5.9983910000000001E-2</v>
      </c>
      <c r="H7" s="87" t="s">
        <v>143</v>
      </c>
    </row>
    <row r="8" spans="1:9" ht="14.25" customHeight="1" x14ac:dyDescent="0.2">
      <c r="A8" s="88">
        <v>2</v>
      </c>
      <c r="B8" s="89" t="s">
        <v>358</v>
      </c>
      <c r="C8" s="89" t="s">
        <v>359</v>
      </c>
      <c r="D8" s="89" t="s">
        <v>188</v>
      </c>
      <c r="E8" s="90">
        <v>33900</v>
      </c>
      <c r="F8" s="91">
        <v>203.75595000000001</v>
      </c>
      <c r="G8" s="92">
        <v>5.8051609999999997E-2</v>
      </c>
      <c r="H8" s="87" t="s">
        <v>143</v>
      </c>
    </row>
    <row r="9" spans="1:9" ht="14.25" customHeight="1" x14ac:dyDescent="0.2">
      <c r="A9" s="88">
        <v>3</v>
      </c>
      <c r="B9" s="89" t="s">
        <v>341</v>
      </c>
      <c r="C9" s="89" t="s">
        <v>342</v>
      </c>
      <c r="D9" s="89" t="s">
        <v>256</v>
      </c>
      <c r="E9" s="90">
        <v>9043</v>
      </c>
      <c r="F9" s="91">
        <v>172.504268</v>
      </c>
      <c r="G9" s="92">
        <v>4.914777E-2</v>
      </c>
      <c r="H9" s="87" t="s">
        <v>143</v>
      </c>
    </row>
    <row r="10" spans="1:9" ht="14.25" customHeight="1" x14ac:dyDescent="0.2">
      <c r="A10" s="88">
        <v>4</v>
      </c>
      <c r="B10" s="89" t="s">
        <v>360</v>
      </c>
      <c r="C10" s="89" t="s">
        <v>361</v>
      </c>
      <c r="D10" s="89" t="s">
        <v>207</v>
      </c>
      <c r="E10" s="90">
        <v>48585</v>
      </c>
      <c r="F10" s="91">
        <v>158.8972425</v>
      </c>
      <c r="G10" s="92">
        <v>4.5271029999999997E-2</v>
      </c>
      <c r="H10" s="87" t="s">
        <v>143</v>
      </c>
    </row>
    <row r="11" spans="1:9" ht="14.25" customHeight="1" x14ac:dyDescent="0.2">
      <c r="A11" s="88">
        <v>5</v>
      </c>
      <c r="B11" s="89" t="s">
        <v>376</v>
      </c>
      <c r="C11" s="89" t="s">
        <v>377</v>
      </c>
      <c r="D11" s="89" t="s">
        <v>223</v>
      </c>
      <c r="E11" s="90">
        <v>6306</v>
      </c>
      <c r="F11" s="91">
        <v>139.349988</v>
      </c>
      <c r="G11" s="92">
        <v>3.970187E-2</v>
      </c>
      <c r="H11" s="87" t="s">
        <v>143</v>
      </c>
    </row>
    <row r="12" spans="1:9" ht="14.25" customHeight="1" x14ac:dyDescent="0.2">
      <c r="A12" s="88">
        <v>6</v>
      </c>
      <c r="B12" s="89" t="s">
        <v>69</v>
      </c>
      <c r="C12" s="89" t="s">
        <v>70</v>
      </c>
      <c r="D12" s="89" t="s">
        <v>68</v>
      </c>
      <c r="E12" s="90">
        <v>16174</v>
      </c>
      <c r="F12" s="91">
        <v>133.58106599999999</v>
      </c>
      <c r="G12" s="92">
        <v>3.8058259999999997E-2</v>
      </c>
      <c r="H12" s="87" t="s">
        <v>143</v>
      </c>
    </row>
    <row r="13" spans="1:9" ht="14.25" customHeight="1" x14ac:dyDescent="0.2">
      <c r="A13" s="88">
        <v>7</v>
      </c>
      <c r="B13" s="89" t="s">
        <v>364</v>
      </c>
      <c r="C13" s="89" t="s">
        <v>365</v>
      </c>
      <c r="D13" s="89" t="s">
        <v>33</v>
      </c>
      <c r="E13" s="90">
        <v>36437</v>
      </c>
      <c r="F13" s="91">
        <v>132.12056200000001</v>
      </c>
      <c r="G13" s="92">
        <v>3.7642149999999999E-2</v>
      </c>
      <c r="H13" s="87" t="s">
        <v>143</v>
      </c>
    </row>
    <row r="14" spans="1:9" ht="14.25" customHeight="1" x14ac:dyDescent="0.2">
      <c r="A14" s="88">
        <v>8</v>
      </c>
      <c r="B14" s="89" t="s">
        <v>339</v>
      </c>
      <c r="C14" s="89" t="s">
        <v>340</v>
      </c>
      <c r="D14" s="89" t="s">
        <v>223</v>
      </c>
      <c r="E14" s="90">
        <v>1739</v>
      </c>
      <c r="F14" s="91">
        <v>128.5121</v>
      </c>
      <c r="G14" s="92">
        <v>3.6614069999999999E-2</v>
      </c>
      <c r="H14" s="87" t="s">
        <v>143</v>
      </c>
    </row>
    <row r="15" spans="1:9" ht="14.25" customHeight="1" x14ac:dyDescent="0.2">
      <c r="A15" s="88">
        <v>9</v>
      </c>
      <c r="B15" s="89" t="s">
        <v>366</v>
      </c>
      <c r="C15" s="89" t="s">
        <v>367</v>
      </c>
      <c r="D15" s="89" t="s">
        <v>46</v>
      </c>
      <c r="E15" s="90">
        <v>47004</v>
      </c>
      <c r="F15" s="91">
        <v>127.12231800000001</v>
      </c>
      <c r="G15" s="92">
        <v>3.6218109999999998E-2</v>
      </c>
      <c r="H15" s="87" t="s">
        <v>143</v>
      </c>
    </row>
    <row r="16" spans="1:9" ht="14.25" customHeight="1" x14ac:dyDescent="0.2">
      <c r="A16" s="88">
        <v>10</v>
      </c>
      <c r="B16" s="89" t="s">
        <v>368</v>
      </c>
      <c r="C16" s="89" t="s">
        <v>369</v>
      </c>
      <c r="D16" s="89" t="s">
        <v>33</v>
      </c>
      <c r="E16" s="90">
        <v>290098</v>
      </c>
      <c r="F16" s="91">
        <v>123.8138264</v>
      </c>
      <c r="G16" s="92">
        <v>3.5275500000000001E-2</v>
      </c>
      <c r="H16" s="87" t="s">
        <v>143</v>
      </c>
    </row>
    <row r="17" spans="1:8" ht="14.25" customHeight="1" x14ac:dyDescent="0.2">
      <c r="A17" s="88">
        <v>11</v>
      </c>
      <c r="B17" s="89" t="s">
        <v>374</v>
      </c>
      <c r="C17" s="89" t="s">
        <v>375</v>
      </c>
      <c r="D17" s="89" t="s">
        <v>268</v>
      </c>
      <c r="E17" s="90">
        <v>2426</v>
      </c>
      <c r="F17" s="91">
        <v>113.71875</v>
      </c>
      <c r="G17" s="92">
        <v>3.2399329999999997E-2</v>
      </c>
      <c r="H17" s="87" t="s">
        <v>143</v>
      </c>
    </row>
    <row r="18" spans="1:8" ht="14.25" customHeight="1" x14ac:dyDescent="0.2">
      <c r="A18" s="88">
        <v>12</v>
      </c>
      <c r="B18" s="89" t="s">
        <v>85</v>
      </c>
      <c r="C18" s="89" t="s">
        <v>86</v>
      </c>
      <c r="D18" s="89" t="s">
        <v>68</v>
      </c>
      <c r="E18" s="90">
        <v>2964</v>
      </c>
      <c r="F18" s="91">
        <v>112.946184</v>
      </c>
      <c r="G18" s="92">
        <v>3.2179220000000001E-2</v>
      </c>
      <c r="H18" s="87" t="s">
        <v>143</v>
      </c>
    </row>
    <row r="19" spans="1:8" ht="14.25" customHeight="1" x14ac:dyDescent="0.2">
      <c r="A19" s="88">
        <v>13</v>
      </c>
      <c r="B19" s="89" t="s">
        <v>370</v>
      </c>
      <c r="C19" s="89" t="s">
        <v>371</v>
      </c>
      <c r="D19" s="89" t="s">
        <v>194</v>
      </c>
      <c r="E19" s="90">
        <v>1708</v>
      </c>
      <c r="F19" s="91">
        <v>108.7996</v>
      </c>
      <c r="G19" s="92">
        <v>3.0997830000000001E-2</v>
      </c>
      <c r="H19" s="87" t="s">
        <v>143</v>
      </c>
    </row>
    <row r="20" spans="1:8" ht="14.25" customHeight="1" x14ac:dyDescent="0.2">
      <c r="A20" s="88">
        <v>14</v>
      </c>
      <c r="B20" s="89" t="s">
        <v>54</v>
      </c>
      <c r="C20" s="89" t="s">
        <v>55</v>
      </c>
      <c r="D20" s="89" t="s">
        <v>25</v>
      </c>
      <c r="E20" s="90">
        <v>1562</v>
      </c>
      <c r="F20" s="91">
        <v>108.50433</v>
      </c>
      <c r="G20" s="92">
        <v>3.091371E-2</v>
      </c>
      <c r="H20" s="87" t="s">
        <v>143</v>
      </c>
    </row>
    <row r="21" spans="1:8" ht="14.25" customHeight="1" x14ac:dyDescent="0.2">
      <c r="A21" s="88">
        <v>15</v>
      </c>
      <c r="B21" s="89" t="s">
        <v>383</v>
      </c>
      <c r="C21" s="89" t="s">
        <v>384</v>
      </c>
      <c r="D21" s="89" t="s">
        <v>33</v>
      </c>
      <c r="E21" s="90">
        <v>187038</v>
      </c>
      <c r="F21" s="91">
        <v>94.024002600000003</v>
      </c>
      <c r="G21" s="92">
        <v>2.678815E-2</v>
      </c>
      <c r="H21" s="87" t="s">
        <v>143</v>
      </c>
    </row>
    <row r="22" spans="1:8" ht="14.25" customHeight="1" x14ac:dyDescent="0.2">
      <c r="A22" s="88">
        <v>16</v>
      </c>
      <c r="B22" s="89" t="s">
        <v>39</v>
      </c>
      <c r="C22" s="89" t="s">
        <v>40</v>
      </c>
      <c r="D22" s="89" t="s">
        <v>16</v>
      </c>
      <c r="E22" s="90">
        <v>7151</v>
      </c>
      <c r="F22" s="91">
        <v>89.315989999999999</v>
      </c>
      <c r="G22" s="92">
        <v>2.5446799999999999E-2</v>
      </c>
      <c r="H22" s="87" t="s">
        <v>143</v>
      </c>
    </row>
    <row r="23" spans="1:8" ht="14.25" customHeight="1" x14ac:dyDescent="0.2">
      <c r="A23" s="88">
        <v>17</v>
      </c>
      <c r="B23" s="89" t="s">
        <v>235</v>
      </c>
      <c r="C23" s="89" t="s">
        <v>236</v>
      </c>
      <c r="D23" s="89" t="s">
        <v>191</v>
      </c>
      <c r="E23" s="90">
        <v>692</v>
      </c>
      <c r="F23" s="91">
        <v>82.154240000000001</v>
      </c>
      <c r="G23" s="92">
        <v>2.3406369999999999E-2</v>
      </c>
      <c r="H23" s="87" t="s">
        <v>143</v>
      </c>
    </row>
    <row r="24" spans="1:8" ht="14.25" customHeight="1" x14ac:dyDescent="0.2">
      <c r="A24" s="88">
        <v>18</v>
      </c>
      <c r="B24" s="89" t="s">
        <v>387</v>
      </c>
      <c r="C24" s="89" t="s">
        <v>388</v>
      </c>
      <c r="D24" s="89" t="s">
        <v>389</v>
      </c>
      <c r="E24" s="90">
        <v>22746</v>
      </c>
      <c r="F24" s="91">
        <v>81.885599999999997</v>
      </c>
      <c r="G24" s="92">
        <v>2.3329829999999999E-2</v>
      </c>
      <c r="H24" s="87" t="s">
        <v>143</v>
      </c>
    </row>
    <row r="25" spans="1:8" ht="14.25" customHeight="1" x14ac:dyDescent="0.2">
      <c r="A25" s="88">
        <v>19</v>
      </c>
      <c r="B25" s="89" t="s">
        <v>385</v>
      </c>
      <c r="C25" s="89" t="s">
        <v>386</v>
      </c>
      <c r="D25" s="89" t="s">
        <v>199</v>
      </c>
      <c r="E25" s="90">
        <v>15581</v>
      </c>
      <c r="F25" s="91">
        <v>79.743557999999993</v>
      </c>
      <c r="G25" s="92">
        <v>2.271954E-2</v>
      </c>
      <c r="H25" s="87" t="s">
        <v>143</v>
      </c>
    </row>
    <row r="26" spans="1:8" ht="14.25" customHeight="1" x14ac:dyDescent="0.2">
      <c r="A26" s="88">
        <v>20</v>
      </c>
      <c r="B26" s="89" t="s">
        <v>390</v>
      </c>
      <c r="C26" s="89" t="s">
        <v>391</v>
      </c>
      <c r="D26" s="89" t="s">
        <v>191</v>
      </c>
      <c r="E26" s="90">
        <v>10638</v>
      </c>
      <c r="F26" s="91">
        <v>76.343607000000006</v>
      </c>
      <c r="G26" s="92">
        <v>2.1750869999999999E-2</v>
      </c>
      <c r="H26" s="87" t="s">
        <v>143</v>
      </c>
    </row>
    <row r="27" spans="1:8" ht="14.25" customHeight="1" x14ac:dyDescent="0.2">
      <c r="A27" s="88">
        <v>21</v>
      </c>
      <c r="B27" s="89" t="s">
        <v>66</v>
      </c>
      <c r="C27" s="89" t="s">
        <v>67</v>
      </c>
      <c r="D27" s="89" t="s">
        <v>68</v>
      </c>
      <c r="E27" s="90">
        <v>1446</v>
      </c>
      <c r="F27" s="91">
        <v>74.331630000000004</v>
      </c>
      <c r="G27" s="92">
        <v>2.1177640000000001E-2</v>
      </c>
      <c r="H27" s="87" t="s">
        <v>143</v>
      </c>
    </row>
    <row r="28" spans="1:8" ht="14.25" customHeight="1" x14ac:dyDescent="0.2">
      <c r="A28" s="88">
        <v>22</v>
      </c>
      <c r="B28" s="89" t="s">
        <v>299</v>
      </c>
      <c r="C28" s="89" t="s">
        <v>300</v>
      </c>
      <c r="D28" s="89" t="s">
        <v>68</v>
      </c>
      <c r="E28" s="90">
        <v>4465</v>
      </c>
      <c r="F28" s="91">
        <v>69.810275000000004</v>
      </c>
      <c r="G28" s="92">
        <v>1.9889480000000001E-2</v>
      </c>
      <c r="H28" s="87" t="s">
        <v>143</v>
      </c>
    </row>
    <row r="29" spans="1:8" ht="14.25" customHeight="1" x14ac:dyDescent="0.2">
      <c r="A29" s="88">
        <v>23</v>
      </c>
      <c r="B29" s="89" t="s">
        <v>394</v>
      </c>
      <c r="C29" s="89" t="s">
        <v>395</v>
      </c>
      <c r="D29" s="89" t="s">
        <v>191</v>
      </c>
      <c r="E29" s="90">
        <v>4021</v>
      </c>
      <c r="F29" s="91">
        <v>69.390396999999993</v>
      </c>
      <c r="G29" s="92">
        <v>1.9769849999999999E-2</v>
      </c>
      <c r="H29" s="87" t="s">
        <v>143</v>
      </c>
    </row>
    <row r="30" spans="1:8" ht="14.25" customHeight="1" x14ac:dyDescent="0.2">
      <c r="A30" s="88">
        <v>24</v>
      </c>
      <c r="B30" s="89" t="s">
        <v>380</v>
      </c>
      <c r="C30" s="89" t="s">
        <v>381</v>
      </c>
      <c r="D30" s="89" t="s">
        <v>382</v>
      </c>
      <c r="E30" s="90">
        <v>6011</v>
      </c>
      <c r="F30" s="91">
        <v>67.317188999999999</v>
      </c>
      <c r="G30" s="92">
        <v>1.9179180000000001E-2</v>
      </c>
      <c r="H30" s="87" t="s">
        <v>143</v>
      </c>
    </row>
    <row r="31" spans="1:8" ht="14.25" customHeight="1" x14ac:dyDescent="0.2">
      <c r="A31" s="88">
        <v>25</v>
      </c>
      <c r="B31" s="89" t="s">
        <v>411</v>
      </c>
      <c r="C31" s="89" t="s">
        <v>412</v>
      </c>
      <c r="D31" s="89" t="s">
        <v>199</v>
      </c>
      <c r="E31" s="90">
        <v>18242</v>
      </c>
      <c r="F31" s="91">
        <v>67.148802000000003</v>
      </c>
      <c r="G31" s="92">
        <v>1.9131200000000001E-2</v>
      </c>
      <c r="H31" s="87" t="s">
        <v>143</v>
      </c>
    </row>
    <row r="32" spans="1:8" ht="14.25" customHeight="1" x14ac:dyDescent="0.2">
      <c r="A32" s="88">
        <v>26</v>
      </c>
      <c r="B32" s="89" t="s">
        <v>398</v>
      </c>
      <c r="C32" s="89" t="s">
        <v>399</v>
      </c>
      <c r="D32" s="89" t="s">
        <v>207</v>
      </c>
      <c r="E32" s="90">
        <v>9165</v>
      </c>
      <c r="F32" s="91">
        <v>65.809282499999995</v>
      </c>
      <c r="G32" s="92">
        <v>1.8749559999999998E-2</v>
      </c>
      <c r="H32" s="87" t="s">
        <v>143</v>
      </c>
    </row>
    <row r="33" spans="1:8" ht="14.25" customHeight="1" x14ac:dyDescent="0.2">
      <c r="A33" s="88">
        <v>27</v>
      </c>
      <c r="B33" s="89" t="s">
        <v>396</v>
      </c>
      <c r="C33" s="89" t="s">
        <v>397</v>
      </c>
      <c r="D33" s="89" t="s">
        <v>68</v>
      </c>
      <c r="E33" s="90">
        <v>13623</v>
      </c>
      <c r="F33" s="91">
        <v>64.57302</v>
      </c>
      <c r="G33" s="92">
        <v>1.8397340000000002E-2</v>
      </c>
      <c r="H33" s="87" t="s">
        <v>143</v>
      </c>
    </row>
    <row r="34" spans="1:8" ht="14.25" customHeight="1" x14ac:dyDescent="0.2">
      <c r="A34" s="88">
        <v>28</v>
      </c>
      <c r="B34" s="89" t="s">
        <v>75</v>
      </c>
      <c r="C34" s="89" t="s">
        <v>76</v>
      </c>
      <c r="D34" s="89" t="s">
        <v>77</v>
      </c>
      <c r="E34" s="90">
        <v>6875</v>
      </c>
      <c r="F34" s="91">
        <v>63.463124999999998</v>
      </c>
      <c r="G34" s="92">
        <v>1.8081130000000001E-2</v>
      </c>
      <c r="H34" s="87" t="s">
        <v>143</v>
      </c>
    </row>
    <row r="35" spans="1:8" ht="14.25" customHeight="1" x14ac:dyDescent="0.2">
      <c r="A35" s="88">
        <v>29</v>
      </c>
      <c r="B35" s="89" t="s">
        <v>400</v>
      </c>
      <c r="C35" s="89" t="s">
        <v>401</v>
      </c>
      <c r="D35" s="89" t="s">
        <v>256</v>
      </c>
      <c r="E35" s="90">
        <v>12245</v>
      </c>
      <c r="F35" s="91">
        <v>56.522919999999999</v>
      </c>
      <c r="G35" s="92">
        <v>1.610381E-2</v>
      </c>
      <c r="H35" s="87" t="s">
        <v>143</v>
      </c>
    </row>
    <row r="36" spans="1:8" ht="14.25" customHeight="1" x14ac:dyDescent="0.2">
      <c r="A36" s="88">
        <v>30</v>
      </c>
      <c r="B36" s="89" t="s">
        <v>402</v>
      </c>
      <c r="C36" s="89" t="s">
        <v>403</v>
      </c>
      <c r="D36" s="89" t="s">
        <v>194</v>
      </c>
      <c r="E36" s="90">
        <v>6109</v>
      </c>
      <c r="F36" s="91">
        <v>52.659579999999998</v>
      </c>
      <c r="G36" s="92">
        <v>1.500311E-2</v>
      </c>
      <c r="H36" s="87" t="s">
        <v>143</v>
      </c>
    </row>
    <row r="37" spans="1:8" ht="14.25" customHeight="1" x14ac:dyDescent="0.2">
      <c r="A37" s="88">
        <v>31</v>
      </c>
      <c r="B37" s="89" t="s">
        <v>404</v>
      </c>
      <c r="C37" s="89" t="s">
        <v>405</v>
      </c>
      <c r="D37" s="89" t="s">
        <v>406</v>
      </c>
      <c r="E37" s="90">
        <v>3882</v>
      </c>
      <c r="F37" s="91">
        <v>51.665537999999998</v>
      </c>
      <c r="G37" s="92">
        <v>1.4719899999999999E-2</v>
      </c>
      <c r="H37" s="87" t="s">
        <v>143</v>
      </c>
    </row>
    <row r="38" spans="1:8" ht="14.25" customHeight="1" x14ac:dyDescent="0.2">
      <c r="A38" s="88">
        <v>32</v>
      </c>
      <c r="B38" s="89" t="s">
        <v>452</v>
      </c>
      <c r="C38" s="89" t="s">
        <v>453</v>
      </c>
      <c r="D38" s="89" t="s">
        <v>68</v>
      </c>
      <c r="E38" s="90">
        <v>9769</v>
      </c>
      <c r="F38" s="91">
        <v>47.604337000000001</v>
      </c>
      <c r="G38" s="92">
        <v>1.356284E-2</v>
      </c>
      <c r="H38" s="87" t="s">
        <v>143</v>
      </c>
    </row>
    <row r="39" spans="1:8" ht="14.25" customHeight="1" x14ac:dyDescent="0.2">
      <c r="A39" s="88">
        <v>33</v>
      </c>
      <c r="B39" s="89" t="s">
        <v>409</v>
      </c>
      <c r="C39" s="89" t="s">
        <v>410</v>
      </c>
      <c r="D39" s="89" t="s">
        <v>138</v>
      </c>
      <c r="E39" s="90">
        <v>25659</v>
      </c>
      <c r="F39" s="91">
        <v>39.638023199999999</v>
      </c>
      <c r="G39" s="92">
        <v>1.129317E-2</v>
      </c>
      <c r="H39" s="87" t="s">
        <v>143</v>
      </c>
    </row>
    <row r="40" spans="1:8" ht="14.25" customHeight="1" x14ac:dyDescent="0.2">
      <c r="A40" s="88">
        <v>34</v>
      </c>
      <c r="B40" s="89" t="s">
        <v>415</v>
      </c>
      <c r="C40" s="89" t="s">
        <v>416</v>
      </c>
      <c r="D40" s="89" t="s">
        <v>46</v>
      </c>
      <c r="E40" s="90">
        <v>3832</v>
      </c>
      <c r="F40" s="91">
        <v>27.866304</v>
      </c>
      <c r="G40" s="92">
        <v>7.9393199999999997E-3</v>
      </c>
      <c r="H40" s="87" t="s">
        <v>143</v>
      </c>
    </row>
    <row r="41" spans="1:8" ht="14.25" customHeight="1" x14ac:dyDescent="0.2">
      <c r="A41" s="88">
        <v>35</v>
      </c>
      <c r="B41" s="89" t="s">
        <v>413</v>
      </c>
      <c r="C41" s="89" t="s">
        <v>414</v>
      </c>
      <c r="D41" s="89" t="s">
        <v>46</v>
      </c>
      <c r="E41" s="90">
        <v>3447</v>
      </c>
      <c r="F41" s="91">
        <v>25.728408000000002</v>
      </c>
      <c r="G41" s="92">
        <v>7.3302200000000001E-3</v>
      </c>
      <c r="H41" s="87" t="s">
        <v>143</v>
      </c>
    </row>
    <row r="42" spans="1:8" ht="14.25" customHeight="1" x14ac:dyDescent="0.2">
      <c r="A42" s="88">
        <v>36</v>
      </c>
      <c r="B42" s="89" t="s">
        <v>419</v>
      </c>
      <c r="C42" s="89" t="s">
        <v>420</v>
      </c>
      <c r="D42" s="89" t="s">
        <v>43</v>
      </c>
      <c r="E42" s="90">
        <v>4314</v>
      </c>
      <c r="F42" s="91">
        <v>13.625769</v>
      </c>
      <c r="G42" s="92">
        <v>3.8820899999999999E-3</v>
      </c>
      <c r="H42" s="87" t="s">
        <v>143</v>
      </c>
    </row>
    <row r="43" spans="1:8" ht="14.25" customHeight="1" x14ac:dyDescent="0.2">
      <c r="A43" s="93"/>
      <c r="B43" s="93"/>
      <c r="C43" s="94" t="s">
        <v>142</v>
      </c>
      <c r="D43" s="93"/>
      <c r="E43" s="93" t="s">
        <v>143</v>
      </c>
      <c r="F43" s="95">
        <v>3334.7859262000002</v>
      </c>
      <c r="G43" s="96">
        <v>0.95010576999999996</v>
      </c>
      <c r="H43" s="87" t="s">
        <v>143</v>
      </c>
    </row>
    <row r="44" spans="1:8" ht="14.25" customHeight="1" x14ac:dyDescent="0.2">
      <c r="A44" s="93"/>
      <c r="B44" s="93"/>
      <c r="C44" s="97"/>
      <c r="D44" s="93"/>
      <c r="E44" s="93"/>
      <c r="F44" s="98"/>
      <c r="G44" s="98"/>
      <c r="H44" s="87" t="s">
        <v>143</v>
      </c>
    </row>
    <row r="45" spans="1:8" ht="14.25" customHeight="1" x14ac:dyDescent="0.2">
      <c r="A45" s="93"/>
      <c r="B45" s="93"/>
      <c r="C45" s="94" t="s">
        <v>144</v>
      </c>
      <c r="D45" s="93"/>
      <c r="E45" s="93"/>
      <c r="F45" s="93"/>
      <c r="G45" s="93"/>
      <c r="H45" s="87" t="s">
        <v>143</v>
      </c>
    </row>
    <row r="46" spans="1:8" ht="14.25" customHeight="1" x14ac:dyDescent="0.2">
      <c r="A46" s="93"/>
      <c r="B46" s="93"/>
      <c r="C46" s="94" t="s">
        <v>142</v>
      </c>
      <c r="D46" s="93"/>
      <c r="E46" s="93" t="s">
        <v>143</v>
      </c>
      <c r="F46" s="99" t="s">
        <v>145</v>
      </c>
      <c r="G46" s="96">
        <v>0</v>
      </c>
      <c r="H46" s="87" t="s">
        <v>143</v>
      </c>
    </row>
    <row r="47" spans="1:8" ht="14.25" customHeight="1" x14ac:dyDescent="0.2">
      <c r="A47" s="93"/>
      <c r="B47" s="93"/>
      <c r="C47" s="97"/>
      <c r="D47" s="93"/>
      <c r="E47" s="93"/>
      <c r="F47" s="98"/>
      <c r="G47" s="98"/>
      <c r="H47" s="87" t="s">
        <v>143</v>
      </c>
    </row>
    <row r="48" spans="1:8" ht="14.25" customHeight="1" x14ac:dyDescent="0.2">
      <c r="A48" s="93"/>
      <c r="B48" s="93"/>
      <c r="C48" s="94" t="s">
        <v>146</v>
      </c>
      <c r="D48" s="93"/>
      <c r="E48" s="93"/>
      <c r="F48" s="93"/>
      <c r="G48" s="93"/>
      <c r="H48" s="87" t="s">
        <v>143</v>
      </c>
    </row>
    <row r="49" spans="1:8" ht="14.25" customHeight="1" x14ac:dyDescent="0.2">
      <c r="A49" s="93"/>
      <c r="B49" s="93"/>
      <c r="C49" s="94" t="s">
        <v>142</v>
      </c>
      <c r="D49" s="93"/>
      <c r="E49" s="93" t="s">
        <v>143</v>
      </c>
      <c r="F49" s="99" t="s">
        <v>145</v>
      </c>
      <c r="G49" s="96">
        <v>0</v>
      </c>
      <c r="H49" s="87" t="s">
        <v>143</v>
      </c>
    </row>
    <row r="50" spans="1:8" ht="14.25" customHeight="1" x14ac:dyDescent="0.2">
      <c r="A50" s="93"/>
      <c r="B50" s="93"/>
      <c r="C50" s="97"/>
      <c r="D50" s="93"/>
      <c r="E50" s="93"/>
      <c r="F50" s="98"/>
      <c r="G50" s="98"/>
      <c r="H50" s="87" t="s">
        <v>143</v>
      </c>
    </row>
    <row r="51" spans="1:8" ht="14.25" customHeight="1" x14ac:dyDescent="0.2">
      <c r="A51" s="93"/>
      <c r="B51" s="93"/>
      <c r="C51" s="94" t="s">
        <v>147</v>
      </c>
      <c r="D51" s="93"/>
      <c r="E51" s="93"/>
      <c r="F51" s="93"/>
      <c r="G51" s="93"/>
      <c r="H51" s="87" t="s">
        <v>143</v>
      </c>
    </row>
    <row r="52" spans="1:8" ht="14.25" customHeight="1" x14ac:dyDescent="0.2">
      <c r="A52" s="93"/>
      <c r="B52" s="93"/>
      <c r="C52" s="94" t="s">
        <v>142</v>
      </c>
      <c r="D52" s="93"/>
      <c r="E52" s="93" t="s">
        <v>143</v>
      </c>
      <c r="F52" s="99" t="s">
        <v>145</v>
      </c>
      <c r="G52" s="96">
        <v>0</v>
      </c>
      <c r="H52" s="87" t="s">
        <v>143</v>
      </c>
    </row>
    <row r="53" spans="1:8" ht="14.25" customHeight="1" x14ac:dyDescent="0.2">
      <c r="A53" s="93"/>
      <c r="B53" s="93"/>
      <c r="C53" s="97"/>
      <c r="D53" s="93"/>
      <c r="E53" s="93"/>
      <c r="F53" s="98"/>
      <c r="G53" s="98"/>
      <c r="H53" s="87" t="s">
        <v>143</v>
      </c>
    </row>
    <row r="54" spans="1:8" ht="14.25" customHeight="1" x14ac:dyDescent="0.2">
      <c r="A54" s="93"/>
      <c r="B54" s="93"/>
      <c r="C54" s="94" t="s">
        <v>148</v>
      </c>
      <c r="D54" s="93"/>
      <c r="E54" s="93"/>
      <c r="F54" s="98"/>
      <c r="G54" s="98"/>
      <c r="H54" s="87" t="s">
        <v>143</v>
      </c>
    </row>
    <row r="55" spans="1:8" ht="14.25" customHeight="1" x14ac:dyDescent="0.2">
      <c r="A55" s="93"/>
      <c r="B55" s="93"/>
      <c r="C55" s="94" t="s">
        <v>142</v>
      </c>
      <c r="D55" s="93"/>
      <c r="E55" s="93" t="s">
        <v>143</v>
      </c>
      <c r="F55" s="99" t="s">
        <v>145</v>
      </c>
      <c r="G55" s="96">
        <v>0</v>
      </c>
      <c r="H55" s="87" t="s">
        <v>143</v>
      </c>
    </row>
    <row r="56" spans="1:8" ht="14.25" customHeight="1" x14ac:dyDescent="0.2">
      <c r="A56" s="93"/>
      <c r="B56" s="93"/>
      <c r="C56" s="97"/>
      <c r="D56" s="93"/>
      <c r="E56" s="93"/>
      <c r="F56" s="98"/>
      <c r="G56" s="98"/>
      <c r="H56" s="87" t="s">
        <v>143</v>
      </c>
    </row>
    <row r="57" spans="1:8" ht="14.25" customHeight="1" x14ac:dyDescent="0.2">
      <c r="A57" s="93"/>
      <c r="B57" s="93"/>
      <c r="C57" s="94" t="s">
        <v>149</v>
      </c>
      <c r="D57" s="93"/>
      <c r="E57" s="93"/>
      <c r="F57" s="98"/>
      <c r="G57" s="98"/>
      <c r="H57" s="87" t="s">
        <v>143</v>
      </c>
    </row>
    <row r="58" spans="1:8" ht="14.25" customHeight="1" x14ac:dyDescent="0.2">
      <c r="A58" s="93"/>
      <c r="B58" s="93"/>
      <c r="C58" s="94" t="s">
        <v>142</v>
      </c>
      <c r="D58" s="93"/>
      <c r="E58" s="93" t="s">
        <v>143</v>
      </c>
      <c r="F58" s="99" t="s">
        <v>145</v>
      </c>
      <c r="G58" s="96">
        <v>0</v>
      </c>
      <c r="H58" s="87" t="s">
        <v>143</v>
      </c>
    </row>
    <row r="59" spans="1:8" ht="14.25" customHeight="1" x14ac:dyDescent="0.2">
      <c r="A59" s="93"/>
      <c r="B59" s="93"/>
      <c r="C59" s="97"/>
      <c r="D59" s="93"/>
      <c r="E59" s="93"/>
      <c r="F59" s="98"/>
      <c r="G59" s="98"/>
      <c r="H59" s="87" t="s">
        <v>143</v>
      </c>
    </row>
    <row r="60" spans="1:8" ht="14.25" customHeight="1" x14ac:dyDescent="0.2">
      <c r="A60" s="93"/>
      <c r="B60" s="93"/>
      <c r="C60" s="94" t="s">
        <v>150</v>
      </c>
      <c r="D60" s="93"/>
      <c r="E60" s="93"/>
      <c r="F60" s="95">
        <v>3334.7859262000002</v>
      </c>
      <c r="G60" s="96">
        <v>0.95010576999999996</v>
      </c>
      <c r="H60" s="87" t="s">
        <v>143</v>
      </c>
    </row>
    <row r="61" spans="1:8" ht="14.25" customHeight="1" x14ac:dyDescent="0.2">
      <c r="A61" s="93"/>
      <c r="B61" s="93"/>
      <c r="C61" s="97"/>
      <c r="D61" s="93"/>
      <c r="E61" s="93"/>
      <c r="F61" s="98"/>
      <c r="G61" s="98"/>
      <c r="H61" s="87" t="s">
        <v>143</v>
      </c>
    </row>
    <row r="62" spans="1:8" ht="14.25" customHeight="1" x14ac:dyDescent="0.2">
      <c r="A62" s="93"/>
      <c r="B62" s="93"/>
      <c r="C62" s="94" t="s">
        <v>151</v>
      </c>
      <c r="D62" s="93"/>
      <c r="E62" s="93"/>
      <c r="F62" s="98"/>
      <c r="G62" s="98"/>
      <c r="H62" s="87" t="s">
        <v>143</v>
      </c>
    </row>
    <row r="63" spans="1:8" ht="14.25" customHeight="1" x14ac:dyDescent="0.2">
      <c r="A63" s="93"/>
      <c r="B63" s="93"/>
      <c r="C63" s="94" t="s">
        <v>10</v>
      </c>
      <c r="D63" s="93"/>
      <c r="E63" s="93"/>
      <c r="F63" s="98"/>
      <c r="G63" s="98"/>
      <c r="H63" s="87" t="s">
        <v>143</v>
      </c>
    </row>
    <row r="64" spans="1:8" ht="14.25" customHeight="1" x14ac:dyDescent="0.2">
      <c r="A64" s="93"/>
      <c r="B64" s="93"/>
      <c r="C64" s="94" t="s">
        <v>142</v>
      </c>
      <c r="D64" s="93"/>
      <c r="E64" s="93" t="s">
        <v>143</v>
      </c>
      <c r="F64" s="99" t="s">
        <v>145</v>
      </c>
      <c r="G64" s="96">
        <v>0</v>
      </c>
      <c r="H64" s="87" t="s">
        <v>143</v>
      </c>
    </row>
    <row r="65" spans="1:8" ht="14.25" customHeight="1" x14ac:dyDescent="0.2">
      <c r="A65" s="93"/>
      <c r="B65" s="93"/>
      <c r="C65" s="97"/>
      <c r="D65" s="93"/>
      <c r="E65" s="93"/>
      <c r="F65" s="98"/>
      <c r="G65" s="98"/>
      <c r="H65" s="87" t="s">
        <v>143</v>
      </c>
    </row>
    <row r="66" spans="1:8" ht="14.25" customHeight="1" x14ac:dyDescent="0.2">
      <c r="A66" s="93"/>
      <c r="B66" s="93"/>
      <c r="C66" s="94" t="s">
        <v>152</v>
      </c>
      <c r="D66" s="93"/>
      <c r="E66" s="93"/>
      <c r="F66" s="93"/>
      <c r="G66" s="93"/>
      <c r="H66" s="87" t="s">
        <v>143</v>
      </c>
    </row>
    <row r="67" spans="1:8" ht="14.25" customHeight="1" x14ac:dyDescent="0.2">
      <c r="A67" s="93"/>
      <c r="B67" s="93"/>
      <c r="C67" s="94" t="s">
        <v>142</v>
      </c>
      <c r="D67" s="93"/>
      <c r="E67" s="93" t="s">
        <v>143</v>
      </c>
      <c r="F67" s="99" t="s">
        <v>145</v>
      </c>
      <c r="G67" s="96">
        <v>0</v>
      </c>
      <c r="H67" s="87" t="s">
        <v>143</v>
      </c>
    </row>
    <row r="68" spans="1:8" ht="14.25" customHeight="1" x14ac:dyDescent="0.2">
      <c r="A68" s="93"/>
      <c r="B68" s="93"/>
      <c r="C68" s="97"/>
      <c r="D68" s="93"/>
      <c r="E68" s="93"/>
      <c r="F68" s="98"/>
      <c r="G68" s="98"/>
      <c r="H68" s="87" t="s">
        <v>143</v>
      </c>
    </row>
    <row r="69" spans="1:8" ht="14.25" customHeight="1" x14ac:dyDescent="0.2">
      <c r="A69" s="93"/>
      <c r="B69" s="93"/>
      <c r="C69" s="94" t="s">
        <v>153</v>
      </c>
      <c r="D69" s="93"/>
      <c r="E69" s="93"/>
      <c r="F69" s="93"/>
      <c r="G69" s="93"/>
      <c r="H69" s="87" t="s">
        <v>143</v>
      </c>
    </row>
    <row r="70" spans="1:8" ht="14.25" customHeight="1" x14ac:dyDescent="0.2">
      <c r="A70" s="93"/>
      <c r="B70" s="93"/>
      <c r="C70" s="94" t="s">
        <v>142</v>
      </c>
      <c r="D70" s="93"/>
      <c r="E70" s="93" t="s">
        <v>143</v>
      </c>
      <c r="F70" s="99" t="s">
        <v>145</v>
      </c>
      <c r="G70" s="96">
        <v>0</v>
      </c>
      <c r="H70" s="87" t="s">
        <v>143</v>
      </c>
    </row>
    <row r="71" spans="1:8" ht="14.25" customHeight="1" x14ac:dyDescent="0.2">
      <c r="A71" s="93"/>
      <c r="B71" s="93"/>
      <c r="C71" s="97"/>
      <c r="D71" s="93"/>
      <c r="E71" s="93"/>
      <c r="F71" s="98"/>
      <c r="G71" s="98"/>
      <c r="H71" s="87" t="s">
        <v>143</v>
      </c>
    </row>
    <row r="72" spans="1:8" ht="14.25" customHeight="1" x14ac:dyDescent="0.2">
      <c r="A72" s="93"/>
      <c r="B72" s="93"/>
      <c r="C72" s="94" t="s">
        <v>154</v>
      </c>
      <c r="D72" s="93"/>
      <c r="E72" s="93"/>
      <c r="F72" s="98"/>
      <c r="G72" s="98"/>
      <c r="H72" s="87" t="s">
        <v>143</v>
      </c>
    </row>
    <row r="73" spans="1:8" ht="14.25" customHeight="1" x14ac:dyDescent="0.2">
      <c r="A73" s="93"/>
      <c r="B73" s="93"/>
      <c r="C73" s="94" t="s">
        <v>142</v>
      </c>
      <c r="D73" s="93"/>
      <c r="E73" s="93" t="s">
        <v>143</v>
      </c>
      <c r="F73" s="99" t="s">
        <v>145</v>
      </c>
      <c r="G73" s="96">
        <v>0</v>
      </c>
      <c r="H73" s="87" t="s">
        <v>143</v>
      </c>
    </row>
    <row r="74" spans="1:8" ht="14.25" customHeight="1" x14ac:dyDescent="0.2">
      <c r="A74" s="93"/>
      <c r="B74" s="93"/>
      <c r="C74" s="97"/>
      <c r="D74" s="93"/>
      <c r="E74" s="93"/>
      <c r="F74" s="98"/>
      <c r="G74" s="98"/>
      <c r="H74" s="87" t="s">
        <v>143</v>
      </c>
    </row>
    <row r="75" spans="1:8" ht="14.25" customHeight="1" x14ac:dyDescent="0.2">
      <c r="A75" s="93"/>
      <c r="B75" s="93"/>
      <c r="C75" s="94" t="s">
        <v>155</v>
      </c>
      <c r="D75" s="93"/>
      <c r="E75" s="93"/>
      <c r="F75" s="95">
        <v>0</v>
      </c>
      <c r="G75" s="96">
        <v>0</v>
      </c>
      <c r="H75" s="87" t="s">
        <v>143</v>
      </c>
    </row>
    <row r="76" spans="1:8" ht="14.25" customHeight="1" x14ac:dyDescent="0.2">
      <c r="A76" s="93"/>
      <c r="B76" s="93"/>
      <c r="C76" s="97"/>
      <c r="D76" s="93"/>
      <c r="E76" s="93"/>
      <c r="F76" s="98"/>
      <c r="G76" s="98"/>
      <c r="H76" s="87" t="s">
        <v>143</v>
      </c>
    </row>
    <row r="77" spans="1:8" ht="14.25" customHeight="1" x14ac:dyDescent="0.2">
      <c r="A77" s="93"/>
      <c r="B77" s="93"/>
      <c r="C77" s="94" t="s">
        <v>156</v>
      </c>
      <c r="D77" s="93"/>
      <c r="E77" s="93"/>
      <c r="F77" s="98"/>
      <c r="G77" s="98"/>
      <c r="H77" s="87" t="s">
        <v>143</v>
      </c>
    </row>
    <row r="78" spans="1:8" ht="14.25" customHeight="1" x14ac:dyDescent="0.2">
      <c r="A78" s="93"/>
      <c r="B78" s="93"/>
      <c r="C78" s="94" t="s">
        <v>157</v>
      </c>
      <c r="D78" s="93"/>
      <c r="E78" s="93"/>
      <c r="F78" s="98"/>
      <c r="G78" s="98"/>
      <c r="H78" s="87" t="s">
        <v>143</v>
      </c>
    </row>
    <row r="79" spans="1:8" ht="14.25" customHeight="1" x14ac:dyDescent="0.2">
      <c r="A79" s="93"/>
      <c r="B79" s="93"/>
      <c r="C79" s="94" t="s">
        <v>142</v>
      </c>
      <c r="D79" s="93"/>
      <c r="E79" s="93" t="s">
        <v>143</v>
      </c>
      <c r="F79" s="99" t="s">
        <v>145</v>
      </c>
      <c r="G79" s="96">
        <v>0</v>
      </c>
      <c r="H79" s="87" t="s">
        <v>143</v>
      </c>
    </row>
    <row r="80" spans="1:8" ht="14.25" customHeight="1" x14ac:dyDescent="0.2">
      <c r="A80" s="93"/>
      <c r="B80" s="93"/>
      <c r="C80" s="97"/>
      <c r="D80" s="93"/>
      <c r="E80" s="93"/>
      <c r="F80" s="98"/>
      <c r="G80" s="98"/>
      <c r="H80" s="87" t="s">
        <v>143</v>
      </c>
    </row>
    <row r="81" spans="1:8" ht="14.25" customHeight="1" x14ac:dyDescent="0.2">
      <c r="A81" s="93"/>
      <c r="B81" s="93"/>
      <c r="C81" s="94" t="s">
        <v>158</v>
      </c>
      <c r="D81" s="93"/>
      <c r="E81" s="93"/>
      <c r="F81" s="98"/>
      <c r="G81" s="98"/>
      <c r="H81" s="87" t="s">
        <v>143</v>
      </c>
    </row>
    <row r="82" spans="1:8" ht="14.25" customHeight="1" x14ac:dyDescent="0.2">
      <c r="A82" s="93"/>
      <c r="B82" s="93"/>
      <c r="C82" s="94" t="s">
        <v>142</v>
      </c>
      <c r="D82" s="93"/>
      <c r="E82" s="93" t="s">
        <v>143</v>
      </c>
      <c r="F82" s="99" t="s">
        <v>145</v>
      </c>
      <c r="G82" s="96">
        <v>0</v>
      </c>
      <c r="H82" s="87" t="s">
        <v>143</v>
      </c>
    </row>
    <row r="83" spans="1:8" ht="14.25" customHeight="1" x14ac:dyDescent="0.2">
      <c r="A83" s="93"/>
      <c r="B83" s="93"/>
      <c r="C83" s="97"/>
      <c r="D83" s="93"/>
      <c r="E83" s="93"/>
      <c r="F83" s="98"/>
      <c r="G83" s="98"/>
      <c r="H83" s="87" t="s">
        <v>143</v>
      </c>
    </row>
    <row r="84" spans="1:8" ht="14.25" customHeight="1" x14ac:dyDescent="0.2">
      <c r="A84" s="93"/>
      <c r="B84" s="93"/>
      <c r="C84" s="94" t="s">
        <v>159</v>
      </c>
      <c r="D84" s="93"/>
      <c r="E84" s="93"/>
      <c r="F84" s="98"/>
      <c r="G84" s="98"/>
      <c r="H84" s="87" t="s">
        <v>143</v>
      </c>
    </row>
    <row r="85" spans="1:8" ht="14.25" customHeight="1" x14ac:dyDescent="0.2">
      <c r="A85" s="93"/>
      <c r="B85" s="93"/>
      <c r="C85" s="94" t="s">
        <v>142</v>
      </c>
      <c r="D85" s="93"/>
      <c r="E85" s="93" t="s">
        <v>143</v>
      </c>
      <c r="F85" s="99" t="s">
        <v>145</v>
      </c>
      <c r="G85" s="96">
        <v>0</v>
      </c>
      <c r="H85" s="87" t="s">
        <v>143</v>
      </c>
    </row>
    <row r="86" spans="1:8" ht="14.25" customHeight="1" x14ac:dyDescent="0.2">
      <c r="A86" s="93"/>
      <c r="B86" s="93"/>
      <c r="C86" s="97"/>
      <c r="D86" s="93"/>
      <c r="E86" s="93"/>
      <c r="F86" s="98"/>
      <c r="G86" s="98"/>
      <c r="H86" s="87" t="s">
        <v>143</v>
      </c>
    </row>
    <row r="87" spans="1:8" ht="14.25" customHeight="1" x14ac:dyDescent="0.2">
      <c r="A87" s="93"/>
      <c r="B87" s="93"/>
      <c r="C87" s="94" t="s">
        <v>160</v>
      </c>
      <c r="D87" s="93"/>
      <c r="E87" s="93"/>
      <c r="F87" s="98"/>
      <c r="G87" s="98"/>
      <c r="H87" s="87" t="s">
        <v>143</v>
      </c>
    </row>
    <row r="88" spans="1:8" ht="14.25" customHeight="1" x14ac:dyDescent="0.2">
      <c r="A88" s="88">
        <v>1</v>
      </c>
      <c r="B88" s="89"/>
      <c r="C88" s="89" t="s">
        <v>161</v>
      </c>
      <c r="D88" s="89"/>
      <c r="E88" s="100"/>
      <c r="F88" s="91">
        <v>173.67363100099999</v>
      </c>
      <c r="G88" s="92">
        <v>4.9480929999999999E-2</v>
      </c>
      <c r="H88" s="87">
        <v>5.38</v>
      </c>
    </row>
    <row r="89" spans="1:8" ht="14.25" customHeight="1" x14ac:dyDescent="0.2">
      <c r="A89" s="93"/>
      <c r="B89" s="93"/>
      <c r="C89" s="94" t="s">
        <v>142</v>
      </c>
      <c r="D89" s="93"/>
      <c r="E89" s="93" t="s">
        <v>143</v>
      </c>
      <c r="F89" s="95">
        <v>173.67363100099999</v>
      </c>
      <c r="G89" s="96">
        <v>4.9480929999999999E-2</v>
      </c>
      <c r="H89" s="87" t="s">
        <v>143</v>
      </c>
    </row>
    <row r="90" spans="1:8" ht="14.25" customHeight="1" x14ac:dyDescent="0.2">
      <c r="A90" s="93"/>
      <c r="B90" s="93"/>
      <c r="C90" s="97"/>
      <c r="D90" s="93"/>
      <c r="E90" s="93"/>
      <c r="F90" s="98"/>
      <c r="G90" s="98"/>
      <c r="H90" s="87" t="s">
        <v>143</v>
      </c>
    </row>
    <row r="91" spans="1:8" ht="14.25" customHeight="1" x14ac:dyDescent="0.2">
      <c r="A91" s="93"/>
      <c r="B91" s="93"/>
      <c r="C91" s="94" t="s">
        <v>162</v>
      </c>
      <c r="D91" s="93"/>
      <c r="E91" s="93"/>
      <c r="F91" s="95">
        <v>173.67363100099999</v>
      </c>
      <c r="G91" s="96">
        <v>4.9480929999999999E-2</v>
      </c>
      <c r="H91" s="87" t="s">
        <v>143</v>
      </c>
    </row>
    <row r="92" spans="1:8" ht="14.25" customHeight="1" x14ac:dyDescent="0.2">
      <c r="A92" s="93"/>
      <c r="B92" s="93"/>
      <c r="C92" s="98"/>
      <c r="D92" s="93"/>
      <c r="E92" s="93"/>
      <c r="F92" s="93"/>
      <c r="G92" s="93"/>
      <c r="H92" s="87" t="s">
        <v>143</v>
      </c>
    </row>
    <row r="93" spans="1:8" ht="14.25" customHeight="1" x14ac:dyDescent="0.2">
      <c r="A93" s="93"/>
      <c r="B93" s="93"/>
      <c r="C93" s="94" t="s">
        <v>163</v>
      </c>
      <c r="D93" s="93"/>
      <c r="E93" s="93"/>
      <c r="F93" s="93"/>
      <c r="G93" s="93"/>
      <c r="H93" s="87" t="s">
        <v>143</v>
      </c>
    </row>
    <row r="94" spans="1:8" ht="14.25" customHeight="1" x14ac:dyDescent="0.2">
      <c r="A94" s="93"/>
      <c r="B94" s="93"/>
      <c r="C94" s="94" t="s">
        <v>164</v>
      </c>
      <c r="D94" s="93"/>
      <c r="E94" s="93"/>
      <c r="F94" s="93"/>
      <c r="G94" s="93"/>
      <c r="H94" s="87" t="s">
        <v>143</v>
      </c>
    </row>
    <row r="95" spans="1:8" ht="14.25" customHeight="1" x14ac:dyDescent="0.2">
      <c r="A95" s="93"/>
      <c r="B95" s="93"/>
      <c r="C95" s="94" t="s">
        <v>142</v>
      </c>
      <c r="D95" s="93"/>
      <c r="E95" s="93" t="s">
        <v>143</v>
      </c>
      <c r="F95" s="99" t="s">
        <v>145</v>
      </c>
      <c r="G95" s="96">
        <v>0</v>
      </c>
      <c r="H95" s="87" t="s">
        <v>143</v>
      </c>
    </row>
    <row r="96" spans="1:8" ht="14.25" customHeight="1" x14ac:dyDescent="0.2">
      <c r="A96" s="93"/>
      <c r="B96" s="93"/>
      <c r="C96" s="97"/>
      <c r="D96" s="93"/>
      <c r="E96" s="93"/>
      <c r="F96" s="98"/>
      <c r="G96" s="98"/>
      <c r="H96" s="87" t="s">
        <v>143</v>
      </c>
    </row>
    <row r="97" spans="1:17" ht="14.25" customHeight="1" x14ac:dyDescent="0.2">
      <c r="A97" s="93"/>
      <c r="B97" s="93"/>
      <c r="C97" s="94" t="s">
        <v>165</v>
      </c>
      <c r="D97" s="93"/>
      <c r="E97" s="93"/>
      <c r="F97" s="93"/>
      <c r="G97" s="93"/>
      <c r="H97" s="87" t="s">
        <v>143</v>
      </c>
    </row>
    <row r="98" spans="1:17" ht="14.25" customHeight="1" x14ac:dyDescent="0.2">
      <c r="A98" s="93"/>
      <c r="B98" s="93"/>
      <c r="C98" s="94" t="s">
        <v>166</v>
      </c>
      <c r="D98" s="93"/>
      <c r="E98" s="93"/>
      <c r="F98" s="93"/>
      <c r="G98" s="93"/>
      <c r="H98" s="87" t="s">
        <v>143</v>
      </c>
    </row>
    <row r="99" spans="1:17" ht="14.25" customHeight="1" x14ac:dyDescent="0.2">
      <c r="A99" s="93"/>
      <c r="B99" s="93"/>
      <c r="C99" s="94" t="s">
        <v>142</v>
      </c>
      <c r="D99" s="93"/>
      <c r="E99" s="93" t="s">
        <v>143</v>
      </c>
      <c r="F99" s="99" t="s">
        <v>145</v>
      </c>
      <c r="G99" s="96">
        <v>0</v>
      </c>
      <c r="H99" s="87" t="s">
        <v>143</v>
      </c>
    </row>
    <row r="100" spans="1:17" ht="14.25" customHeight="1" x14ac:dyDescent="0.2">
      <c r="A100" s="93"/>
      <c r="B100" s="93"/>
      <c r="C100" s="97"/>
      <c r="D100" s="93"/>
      <c r="E100" s="93"/>
      <c r="F100" s="98"/>
      <c r="G100" s="98"/>
      <c r="H100" s="87" t="s">
        <v>143</v>
      </c>
    </row>
    <row r="101" spans="1:17" ht="14.25" customHeight="1" x14ac:dyDescent="0.2">
      <c r="A101" s="93"/>
      <c r="B101" s="93"/>
      <c r="C101" s="94" t="s">
        <v>167</v>
      </c>
      <c r="D101" s="93"/>
      <c r="E101" s="93"/>
      <c r="F101" s="98"/>
      <c r="G101" s="98"/>
      <c r="H101" s="87" t="s">
        <v>143</v>
      </c>
    </row>
    <row r="102" spans="1:17" ht="14.25" customHeight="1" x14ac:dyDescent="0.2">
      <c r="A102" s="93"/>
      <c r="B102" s="93"/>
      <c r="C102" s="94" t="s">
        <v>142</v>
      </c>
      <c r="D102" s="93"/>
      <c r="E102" s="93" t="s">
        <v>143</v>
      </c>
      <c r="F102" s="99" t="s">
        <v>145</v>
      </c>
      <c r="G102" s="96">
        <v>0</v>
      </c>
      <c r="H102" s="87" t="s">
        <v>143</v>
      </c>
    </row>
    <row r="103" spans="1:17" ht="14.25" customHeight="1" x14ac:dyDescent="0.2">
      <c r="A103" s="93"/>
      <c r="B103" s="93"/>
      <c r="C103" s="97"/>
      <c r="D103" s="93"/>
      <c r="E103" s="93"/>
      <c r="F103" s="98"/>
      <c r="G103" s="98"/>
      <c r="H103" s="87" t="s">
        <v>143</v>
      </c>
    </row>
    <row r="104" spans="1:17" ht="14.25" customHeight="1" x14ac:dyDescent="0.2">
      <c r="A104" s="100"/>
      <c r="B104" s="89"/>
      <c r="C104" s="89" t="s">
        <v>168</v>
      </c>
      <c r="D104" s="89"/>
      <c r="E104" s="100"/>
      <c r="F104" s="91">
        <v>1.45066932</v>
      </c>
      <c r="G104" s="92">
        <v>4.1331000000000001E-4</v>
      </c>
      <c r="H104" s="87" t="s">
        <v>143</v>
      </c>
    </row>
    <row r="105" spans="1:17" ht="14.25" customHeight="1" x14ac:dyDescent="0.2">
      <c r="A105" s="97"/>
      <c r="B105" s="97"/>
      <c r="C105" s="94" t="s">
        <v>169</v>
      </c>
      <c r="D105" s="98"/>
      <c r="E105" s="98"/>
      <c r="F105" s="95">
        <v>3509.9102265209999</v>
      </c>
      <c r="G105" s="101">
        <v>1.0000000099999999</v>
      </c>
      <c r="H105" s="87" t="s">
        <v>143</v>
      </c>
    </row>
    <row r="106" spans="1:17" ht="12.75" x14ac:dyDescent="0.2">
      <c r="A106" s="102"/>
      <c r="B106" s="102"/>
      <c r="C106" s="102"/>
      <c r="D106" s="103"/>
      <c r="E106" s="103"/>
      <c r="F106" s="103"/>
      <c r="G106" s="103"/>
    </row>
    <row r="107" spans="1:17" ht="12.75" x14ac:dyDescent="0.2">
      <c r="A107" s="104"/>
      <c r="B107" s="206" t="s">
        <v>942</v>
      </c>
      <c r="C107" s="206"/>
      <c r="D107" s="206"/>
      <c r="E107" s="206"/>
      <c r="F107" s="206"/>
      <c r="G107" s="206"/>
      <c r="H107" s="206"/>
      <c r="J107" s="106"/>
    </row>
    <row r="108" spans="1:17" ht="12.75" x14ac:dyDescent="0.2">
      <c r="A108" s="104"/>
      <c r="B108" s="206" t="s">
        <v>943</v>
      </c>
      <c r="C108" s="206"/>
      <c r="D108" s="206"/>
      <c r="E108" s="206"/>
      <c r="F108" s="206"/>
      <c r="G108" s="206"/>
      <c r="H108" s="206"/>
      <c r="J108" s="106"/>
    </row>
    <row r="109" spans="1:17" ht="12.75" x14ac:dyDescent="0.2">
      <c r="A109" s="104"/>
      <c r="B109" s="206" t="s">
        <v>944</v>
      </c>
      <c r="C109" s="206"/>
      <c r="D109" s="206"/>
      <c r="E109" s="206"/>
      <c r="F109" s="206"/>
      <c r="G109" s="206"/>
      <c r="H109" s="206"/>
      <c r="J109" s="106"/>
    </row>
    <row r="110" spans="1:17" s="108" customFormat="1" ht="66.75" customHeight="1" x14ac:dyDescent="0.25">
      <c r="A110" s="107"/>
      <c r="B110" s="207" t="s">
        <v>945</v>
      </c>
      <c r="C110" s="207"/>
      <c r="D110" s="207"/>
      <c r="E110" s="207"/>
      <c r="F110" s="207"/>
      <c r="G110" s="207"/>
      <c r="H110" s="207"/>
      <c r="I110"/>
      <c r="J110" s="106"/>
      <c r="K110"/>
      <c r="L110"/>
      <c r="M110"/>
      <c r="N110"/>
      <c r="O110"/>
      <c r="P110"/>
      <c r="Q110"/>
    </row>
    <row r="111" spans="1:17" ht="12.75" x14ac:dyDescent="0.2">
      <c r="A111" s="104"/>
      <c r="B111" s="206" t="s">
        <v>946</v>
      </c>
      <c r="C111" s="206"/>
      <c r="D111" s="206"/>
      <c r="E111" s="206"/>
      <c r="F111" s="206"/>
      <c r="G111" s="206"/>
      <c r="H111" s="206"/>
      <c r="J111" s="106"/>
    </row>
    <row r="112" spans="1:17" ht="12.75" x14ac:dyDescent="0.2">
      <c r="A112" s="104"/>
      <c r="B112" s="104"/>
      <c r="C112" s="104"/>
      <c r="D112" s="109"/>
      <c r="E112" s="109"/>
      <c r="F112" s="109"/>
      <c r="G112" s="109"/>
    </row>
    <row r="113" spans="1:10" ht="12.75" x14ac:dyDescent="0.2">
      <c r="A113" s="104"/>
      <c r="B113" s="199" t="s">
        <v>170</v>
      </c>
      <c r="C113" s="200"/>
      <c r="D113" s="201"/>
      <c r="E113" s="110"/>
      <c r="F113" s="109"/>
      <c r="G113" s="109"/>
    </row>
    <row r="114" spans="1:10" ht="27.75" customHeight="1" x14ac:dyDescent="0.2">
      <c r="A114" s="104"/>
      <c r="B114" s="202" t="s">
        <v>171</v>
      </c>
      <c r="C114" s="203"/>
      <c r="D114" s="86" t="s">
        <v>172</v>
      </c>
      <c r="E114" s="110"/>
      <c r="F114" s="109"/>
      <c r="G114" s="109"/>
    </row>
    <row r="115" spans="1:10" ht="12.75" customHeight="1" x14ac:dyDescent="0.2">
      <c r="A115" s="104"/>
      <c r="B115" s="202" t="s">
        <v>947</v>
      </c>
      <c r="C115" s="203"/>
      <c r="D115" s="86" t="s">
        <v>172</v>
      </c>
      <c r="E115" s="110"/>
      <c r="F115" s="109"/>
      <c r="G115" s="109"/>
    </row>
    <row r="116" spans="1:10" ht="12.75" x14ac:dyDescent="0.2">
      <c r="A116" s="104"/>
      <c r="B116" s="202" t="s">
        <v>173</v>
      </c>
      <c r="C116" s="203"/>
      <c r="D116" s="111" t="s">
        <v>143</v>
      </c>
      <c r="E116" s="110"/>
      <c r="F116" s="109"/>
      <c r="G116" s="109"/>
    </row>
    <row r="117" spans="1:10" ht="12.75" x14ac:dyDescent="0.2">
      <c r="A117" s="112"/>
      <c r="B117" s="113" t="s">
        <v>143</v>
      </c>
      <c r="C117" s="113" t="s">
        <v>948</v>
      </c>
      <c r="D117" s="113" t="s">
        <v>174</v>
      </c>
      <c r="E117" s="112"/>
      <c r="F117" s="112"/>
      <c r="G117" s="112"/>
      <c r="H117" s="112"/>
      <c r="J117" s="106"/>
    </row>
    <row r="118" spans="1:10" ht="12.75" x14ac:dyDescent="0.2">
      <c r="A118" s="112"/>
      <c r="B118" s="114" t="s">
        <v>175</v>
      </c>
      <c r="C118" s="115">
        <v>45869</v>
      </c>
      <c r="D118" s="115">
        <v>45900</v>
      </c>
      <c r="E118" s="112"/>
      <c r="F118" s="112"/>
      <c r="G118" s="112"/>
      <c r="J118" s="106"/>
    </row>
    <row r="119" spans="1:10" ht="14.25" customHeight="1" x14ac:dyDescent="0.2">
      <c r="A119" s="116"/>
      <c r="B119" s="89" t="s">
        <v>176</v>
      </c>
      <c r="C119" s="117">
        <v>29.4588</v>
      </c>
      <c r="D119" s="117">
        <v>28.6998</v>
      </c>
      <c r="E119" s="116"/>
      <c r="F119" s="118"/>
      <c r="G119" s="119"/>
    </row>
    <row r="120" spans="1:10" ht="14.25" customHeight="1" x14ac:dyDescent="0.2">
      <c r="A120" s="116"/>
      <c r="B120" s="89" t="s">
        <v>954</v>
      </c>
      <c r="C120" s="117">
        <v>28.038799999999998</v>
      </c>
      <c r="D120" s="117">
        <v>27.316400000000002</v>
      </c>
      <c r="E120" s="116"/>
      <c r="F120" s="118"/>
      <c r="G120" s="119"/>
    </row>
    <row r="121" spans="1:10" ht="14.25" customHeight="1" x14ac:dyDescent="0.2">
      <c r="A121" s="116"/>
      <c r="B121" s="89" t="s">
        <v>177</v>
      </c>
      <c r="C121" s="117">
        <v>28.808800000000002</v>
      </c>
      <c r="D121" s="117">
        <v>28.064</v>
      </c>
      <c r="E121" s="116"/>
      <c r="F121" s="118"/>
      <c r="G121" s="119"/>
    </row>
    <row r="122" spans="1:10" ht="14.25" customHeight="1" x14ac:dyDescent="0.2">
      <c r="A122" s="116"/>
      <c r="B122" s="89" t="s">
        <v>955</v>
      </c>
      <c r="C122" s="117">
        <v>27.391100000000002</v>
      </c>
      <c r="D122" s="117">
        <v>26.6829</v>
      </c>
      <c r="E122" s="116"/>
      <c r="F122" s="118"/>
      <c r="G122" s="119"/>
    </row>
    <row r="123" spans="1:10" ht="14.25" customHeight="1" x14ac:dyDescent="0.2">
      <c r="A123" s="116"/>
      <c r="B123" s="116"/>
      <c r="C123" s="116"/>
      <c r="D123" s="116"/>
      <c r="E123" s="116"/>
      <c r="F123" s="116"/>
      <c r="G123" s="116"/>
    </row>
    <row r="124" spans="1:10" ht="12.75" x14ac:dyDescent="0.2">
      <c r="A124" s="112"/>
      <c r="B124" s="202" t="s">
        <v>949</v>
      </c>
      <c r="C124" s="203"/>
      <c r="D124" s="86" t="s">
        <v>172</v>
      </c>
      <c r="E124" s="112"/>
      <c r="F124" s="112"/>
      <c r="G124" s="112"/>
    </row>
    <row r="125" spans="1:10" ht="12.75" x14ac:dyDescent="0.2">
      <c r="A125" s="112"/>
      <c r="B125" s="120"/>
      <c r="C125" s="120"/>
      <c r="D125" s="120"/>
      <c r="E125" s="112"/>
      <c r="F125" s="112"/>
      <c r="G125" s="112"/>
    </row>
    <row r="126" spans="1:10" ht="12.75" x14ac:dyDescent="0.2">
      <c r="A126" s="112"/>
      <c r="B126" s="202" t="s">
        <v>178</v>
      </c>
      <c r="C126" s="203"/>
      <c r="D126" s="86" t="s">
        <v>172</v>
      </c>
      <c r="E126" s="121"/>
      <c r="F126" s="112"/>
      <c r="G126" s="112"/>
    </row>
    <row r="127" spans="1:10" ht="12.75" x14ac:dyDescent="0.2">
      <c r="A127" s="112"/>
      <c r="B127" s="202" t="s">
        <v>179</v>
      </c>
      <c r="C127" s="203"/>
      <c r="D127" s="86" t="s">
        <v>172</v>
      </c>
      <c r="E127" s="121"/>
      <c r="F127" s="112"/>
      <c r="G127" s="112"/>
    </row>
    <row r="128" spans="1:10" ht="12.75" x14ac:dyDescent="0.2">
      <c r="A128" s="112"/>
      <c r="B128" s="202" t="s">
        <v>180</v>
      </c>
      <c r="C128" s="203"/>
      <c r="D128" s="86" t="s">
        <v>172</v>
      </c>
      <c r="E128" s="121"/>
      <c r="F128" s="112"/>
      <c r="G128" s="112"/>
    </row>
    <row r="129" spans="1:10" ht="12.75" x14ac:dyDescent="0.2">
      <c r="A129" s="112"/>
      <c r="B129" s="202" t="s">
        <v>181</v>
      </c>
      <c r="C129" s="203"/>
      <c r="D129" s="122">
        <v>6.3707579306131815E-2</v>
      </c>
      <c r="E129" s="112"/>
      <c r="F129" s="105"/>
      <c r="G129" s="123"/>
    </row>
    <row r="130" spans="1:10" ht="12.75" x14ac:dyDescent="0.2"/>
    <row r="131" spans="1:10" ht="12.75" x14ac:dyDescent="0.2">
      <c r="B131" s="204" t="s">
        <v>950</v>
      </c>
      <c r="C131" s="204"/>
    </row>
    <row r="132" spans="1:10" ht="12.75" x14ac:dyDescent="0.2"/>
    <row r="133" spans="1:10" ht="153.75" customHeight="1" x14ac:dyDescent="0.2"/>
    <row r="134" spans="1:10" ht="12.75" x14ac:dyDescent="0.2"/>
    <row r="135" spans="1:10" ht="12.75" x14ac:dyDescent="0.2"/>
    <row r="136" spans="1:10" ht="12.75" x14ac:dyDescent="0.2">
      <c r="B136" s="124" t="s">
        <v>951</v>
      </c>
      <c r="C136" s="125"/>
      <c r="D136" s="124"/>
    </row>
    <row r="137" spans="1:10" ht="12.75" x14ac:dyDescent="0.2">
      <c r="B137" s="124" t="s">
        <v>964</v>
      </c>
      <c r="D137" s="124"/>
    </row>
    <row r="138" spans="1:10" ht="165" customHeight="1" x14ac:dyDescent="0.2"/>
    <row r="139" spans="1:10" ht="12.75" x14ac:dyDescent="0.2">
      <c r="J139" s="84"/>
    </row>
    <row r="140" spans="1:10" ht="12.75" x14ac:dyDescent="0.2"/>
    <row r="141" spans="1:10" ht="12.75" x14ac:dyDescent="0.2"/>
    <row r="142" spans="1:10" ht="12.75" x14ac:dyDescent="0.2"/>
    <row r="143" spans="1:10" ht="12.75" x14ac:dyDescent="0.2"/>
    <row r="144" spans="1:10" ht="12.75" x14ac:dyDescent="0.2"/>
    <row r="145" customFormat="1" ht="12.75" x14ac:dyDescent="0.2"/>
    <row r="146" customFormat="1" ht="12.75" x14ac:dyDescent="0.2"/>
    <row r="147" customFormat="1" ht="12.75" x14ac:dyDescent="0.2"/>
    <row r="148" customFormat="1" ht="12.75" x14ac:dyDescent="0.2"/>
    <row r="149" customFormat="1" ht="12.75" x14ac:dyDescent="0.2"/>
    <row r="150" customFormat="1" ht="12.75" x14ac:dyDescent="0.2"/>
    <row r="151" customFormat="1" ht="12.75" x14ac:dyDescent="0.2"/>
    <row r="152" customFormat="1" ht="12.75" x14ac:dyDescent="0.2"/>
  </sheetData>
  <mergeCells count="18">
    <mergeCell ref="B110:H110"/>
    <mergeCell ref="B111:H111"/>
    <mergeCell ref="B113:D113"/>
    <mergeCell ref="B114:C114"/>
    <mergeCell ref="B131:C131"/>
    <mergeCell ref="A1:H1"/>
    <mergeCell ref="A2:H2"/>
    <mergeCell ref="A3:H3"/>
    <mergeCell ref="B124:C124"/>
    <mergeCell ref="B128:C128"/>
    <mergeCell ref="B129:C129"/>
    <mergeCell ref="B107:H107"/>
    <mergeCell ref="B108:H108"/>
    <mergeCell ref="B115:C115"/>
    <mergeCell ref="B116:C116"/>
    <mergeCell ref="B126:C126"/>
    <mergeCell ref="B127:C127"/>
    <mergeCell ref="B109:H109"/>
  </mergeCells>
  <hyperlinks>
    <hyperlink ref="I1" location="Index!B2" display="Index" xr:uid="{B1C84BDE-AEBE-4E98-AB49-B0321B59B4E9}"/>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20963-12B8-4A0A-8941-3C8C427D3EE7}">
  <sheetPr>
    <outlinePr summaryBelow="0" summaryRight="0"/>
  </sheetPr>
  <dimension ref="A1:Q152"/>
  <sheetViews>
    <sheetView showGridLines="0" workbookViewId="0">
      <selection sqref="A1:H1"/>
    </sheetView>
  </sheetViews>
  <sheetFormatPr defaultRowHeight="14.25" customHeight="1" x14ac:dyDescent="0.2"/>
  <cols>
    <col min="1" max="1" width="5.85546875" bestFit="1" customWidth="1"/>
    <col min="2" max="2" width="19.7109375" customWidth="1"/>
    <col min="3" max="3" width="39.140625" bestFit="1" customWidth="1"/>
    <col min="4" max="4" width="28.140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455</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358</v>
      </c>
      <c r="C7" s="89" t="s">
        <v>359</v>
      </c>
      <c r="D7" s="89" t="s">
        <v>188</v>
      </c>
      <c r="E7" s="90">
        <v>28701</v>
      </c>
      <c r="F7" s="91">
        <v>172.5073605</v>
      </c>
      <c r="G7" s="92">
        <v>5.7401750000000001E-2</v>
      </c>
      <c r="H7" s="87" t="s">
        <v>143</v>
      </c>
    </row>
    <row r="8" spans="1:9" ht="14.25" customHeight="1" x14ac:dyDescent="0.2">
      <c r="A8" s="88">
        <v>2</v>
      </c>
      <c r="B8" s="89" t="s">
        <v>341</v>
      </c>
      <c r="C8" s="89" t="s">
        <v>342</v>
      </c>
      <c r="D8" s="89" t="s">
        <v>256</v>
      </c>
      <c r="E8" s="90">
        <v>8793</v>
      </c>
      <c r="F8" s="91">
        <v>167.73526799999999</v>
      </c>
      <c r="G8" s="92">
        <v>5.5813830000000002E-2</v>
      </c>
      <c r="H8" s="87" t="s">
        <v>143</v>
      </c>
    </row>
    <row r="9" spans="1:9" ht="14.25" customHeight="1" x14ac:dyDescent="0.2">
      <c r="A9" s="88">
        <v>3</v>
      </c>
      <c r="B9" s="89" t="s">
        <v>362</v>
      </c>
      <c r="C9" s="89" t="s">
        <v>363</v>
      </c>
      <c r="D9" s="89" t="s">
        <v>46</v>
      </c>
      <c r="E9" s="90">
        <v>6658</v>
      </c>
      <c r="F9" s="91">
        <v>142.68759800000001</v>
      </c>
      <c r="G9" s="92">
        <v>4.7479229999999997E-2</v>
      </c>
      <c r="H9" s="87" t="s">
        <v>143</v>
      </c>
    </row>
    <row r="10" spans="1:9" ht="14.25" customHeight="1" x14ac:dyDescent="0.2">
      <c r="A10" s="88">
        <v>4</v>
      </c>
      <c r="B10" s="89" t="s">
        <v>360</v>
      </c>
      <c r="C10" s="89" t="s">
        <v>361</v>
      </c>
      <c r="D10" s="89" t="s">
        <v>207</v>
      </c>
      <c r="E10" s="90">
        <v>43035</v>
      </c>
      <c r="F10" s="91">
        <v>140.74596750000001</v>
      </c>
      <c r="G10" s="92">
        <v>4.6833159999999999E-2</v>
      </c>
      <c r="H10" s="87" t="s">
        <v>143</v>
      </c>
    </row>
    <row r="11" spans="1:9" ht="14.25" customHeight="1" x14ac:dyDescent="0.2">
      <c r="A11" s="88">
        <v>5</v>
      </c>
      <c r="B11" s="89" t="s">
        <v>69</v>
      </c>
      <c r="C11" s="89" t="s">
        <v>70</v>
      </c>
      <c r="D11" s="89" t="s">
        <v>68</v>
      </c>
      <c r="E11" s="90">
        <v>15343</v>
      </c>
      <c r="F11" s="91">
        <v>126.717837</v>
      </c>
      <c r="G11" s="92">
        <v>4.2165300000000003E-2</v>
      </c>
      <c r="H11" s="87" t="s">
        <v>143</v>
      </c>
    </row>
    <row r="12" spans="1:9" ht="14.25" customHeight="1" x14ac:dyDescent="0.2">
      <c r="A12" s="88">
        <v>6</v>
      </c>
      <c r="B12" s="89" t="s">
        <v>364</v>
      </c>
      <c r="C12" s="89" t="s">
        <v>365</v>
      </c>
      <c r="D12" s="89" t="s">
        <v>33</v>
      </c>
      <c r="E12" s="90">
        <v>31040</v>
      </c>
      <c r="F12" s="91">
        <v>112.55104</v>
      </c>
      <c r="G12" s="92">
        <v>3.7451310000000002E-2</v>
      </c>
      <c r="H12" s="87" t="s">
        <v>143</v>
      </c>
    </row>
    <row r="13" spans="1:9" ht="14.25" customHeight="1" x14ac:dyDescent="0.2">
      <c r="A13" s="88">
        <v>7</v>
      </c>
      <c r="B13" s="89" t="s">
        <v>366</v>
      </c>
      <c r="C13" s="89" t="s">
        <v>367</v>
      </c>
      <c r="D13" s="89" t="s">
        <v>46</v>
      </c>
      <c r="E13" s="90">
        <v>39512</v>
      </c>
      <c r="F13" s="91">
        <v>106.860204</v>
      </c>
      <c r="G13" s="92">
        <v>3.5557680000000001E-2</v>
      </c>
      <c r="H13" s="87" t="s">
        <v>143</v>
      </c>
    </row>
    <row r="14" spans="1:9" ht="14.25" customHeight="1" x14ac:dyDescent="0.2">
      <c r="A14" s="88">
        <v>8</v>
      </c>
      <c r="B14" s="89" t="s">
        <v>339</v>
      </c>
      <c r="C14" s="89" t="s">
        <v>340</v>
      </c>
      <c r="D14" s="89" t="s">
        <v>223</v>
      </c>
      <c r="E14" s="90">
        <v>1441</v>
      </c>
      <c r="F14" s="91">
        <v>106.48990000000001</v>
      </c>
      <c r="G14" s="92">
        <v>3.5434470000000003E-2</v>
      </c>
      <c r="H14" s="87" t="s">
        <v>143</v>
      </c>
    </row>
    <row r="15" spans="1:9" ht="14.25" customHeight="1" x14ac:dyDescent="0.2">
      <c r="A15" s="88">
        <v>9</v>
      </c>
      <c r="B15" s="89" t="s">
        <v>368</v>
      </c>
      <c r="C15" s="89" t="s">
        <v>369</v>
      </c>
      <c r="D15" s="89" t="s">
        <v>33</v>
      </c>
      <c r="E15" s="90">
        <v>241296</v>
      </c>
      <c r="F15" s="91">
        <v>102.9851328</v>
      </c>
      <c r="G15" s="92">
        <v>3.4268260000000002E-2</v>
      </c>
      <c r="H15" s="87" t="s">
        <v>143</v>
      </c>
    </row>
    <row r="16" spans="1:9" ht="14.25" customHeight="1" x14ac:dyDescent="0.2">
      <c r="A16" s="88">
        <v>10</v>
      </c>
      <c r="B16" s="89" t="s">
        <v>370</v>
      </c>
      <c r="C16" s="89" t="s">
        <v>371</v>
      </c>
      <c r="D16" s="89" t="s">
        <v>194</v>
      </c>
      <c r="E16" s="90">
        <v>1573</v>
      </c>
      <c r="F16" s="91">
        <v>100.20010000000001</v>
      </c>
      <c r="G16" s="92">
        <v>3.3341540000000003E-2</v>
      </c>
      <c r="H16" s="87" t="s">
        <v>143</v>
      </c>
    </row>
    <row r="17" spans="1:8" ht="14.25" customHeight="1" x14ac:dyDescent="0.2">
      <c r="A17" s="88">
        <v>11</v>
      </c>
      <c r="B17" s="89" t="s">
        <v>376</v>
      </c>
      <c r="C17" s="89" t="s">
        <v>377</v>
      </c>
      <c r="D17" s="89" t="s">
        <v>223</v>
      </c>
      <c r="E17" s="90">
        <v>4435</v>
      </c>
      <c r="F17" s="91">
        <v>98.004630000000006</v>
      </c>
      <c r="G17" s="92">
        <v>3.2611000000000001E-2</v>
      </c>
      <c r="H17" s="87" t="s">
        <v>143</v>
      </c>
    </row>
    <row r="18" spans="1:8" ht="14.25" customHeight="1" x14ac:dyDescent="0.2">
      <c r="A18" s="88">
        <v>12</v>
      </c>
      <c r="B18" s="89" t="s">
        <v>85</v>
      </c>
      <c r="C18" s="89" t="s">
        <v>86</v>
      </c>
      <c r="D18" s="89" t="s">
        <v>68</v>
      </c>
      <c r="E18" s="90">
        <v>2337</v>
      </c>
      <c r="F18" s="91">
        <v>89.053721999999993</v>
      </c>
      <c r="G18" s="92">
        <v>2.963259E-2</v>
      </c>
      <c r="H18" s="87" t="s">
        <v>143</v>
      </c>
    </row>
    <row r="19" spans="1:8" ht="14.25" customHeight="1" x14ac:dyDescent="0.2">
      <c r="A19" s="88">
        <v>13</v>
      </c>
      <c r="B19" s="89" t="s">
        <v>54</v>
      </c>
      <c r="C19" s="89" t="s">
        <v>55</v>
      </c>
      <c r="D19" s="89" t="s">
        <v>25</v>
      </c>
      <c r="E19" s="90">
        <v>1255</v>
      </c>
      <c r="F19" s="91">
        <v>87.178574999999995</v>
      </c>
      <c r="G19" s="92">
        <v>2.9008630000000001E-2</v>
      </c>
      <c r="H19" s="87" t="s">
        <v>143</v>
      </c>
    </row>
    <row r="20" spans="1:8" ht="14.25" customHeight="1" x14ac:dyDescent="0.2">
      <c r="A20" s="88">
        <v>14</v>
      </c>
      <c r="B20" s="89" t="s">
        <v>390</v>
      </c>
      <c r="C20" s="89" t="s">
        <v>391</v>
      </c>
      <c r="D20" s="89" t="s">
        <v>191</v>
      </c>
      <c r="E20" s="90">
        <v>10672</v>
      </c>
      <c r="F20" s="91">
        <v>76.587608000000003</v>
      </c>
      <c r="G20" s="92">
        <v>2.5484489999999999E-2</v>
      </c>
      <c r="H20" s="87" t="s">
        <v>143</v>
      </c>
    </row>
    <row r="21" spans="1:8" ht="14.25" customHeight="1" x14ac:dyDescent="0.2">
      <c r="A21" s="88">
        <v>15</v>
      </c>
      <c r="B21" s="89" t="s">
        <v>39</v>
      </c>
      <c r="C21" s="89" t="s">
        <v>40</v>
      </c>
      <c r="D21" s="89" t="s">
        <v>16</v>
      </c>
      <c r="E21" s="90">
        <v>6049</v>
      </c>
      <c r="F21" s="91">
        <v>75.552009999999996</v>
      </c>
      <c r="G21" s="92">
        <v>2.51399E-2</v>
      </c>
      <c r="H21" s="87" t="s">
        <v>143</v>
      </c>
    </row>
    <row r="22" spans="1:8" ht="14.25" customHeight="1" x14ac:dyDescent="0.2">
      <c r="A22" s="88">
        <v>16</v>
      </c>
      <c r="B22" s="89" t="s">
        <v>235</v>
      </c>
      <c r="C22" s="89" t="s">
        <v>236</v>
      </c>
      <c r="D22" s="89" t="s">
        <v>191</v>
      </c>
      <c r="E22" s="90">
        <v>601</v>
      </c>
      <c r="F22" s="91">
        <v>71.350719999999995</v>
      </c>
      <c r="G22" s="92">
        <v>2.374192E-2</v>
      </c>
      <c r="H22" s="87" t="s">
        <v>143</v>
      </c>
    </row>
    <row r="23" spans="1:8" ht="14.25" customHeight="1" x14ac:dyDescent="0.2">
      <c r="A23" s="88">
        <v>17</v>
      </c>
      <c r="B23" s="89" t="s">
        <v>383</v>
      </c>
      <c r="C23" s="89" t="s">
        <v>384</v>
      </c>
      <c r="D23" s="89" t="s">
        <v>33</v>
      </c>
      <c r="E23" s="90">
        <v>141618</v>
      </c>
      <c r="F23" s="91">
        <v>71.191368600000004</v>
      </c>
      <c r="G23" s="92">
        <v>2.3688899999999999E-2</v>
      </c>
      <c r="H23" s="87" t="s">
        <v>143</v>
      </c>
    </row>
    <row r="24" spans="1:8" ht="14.25" customHeight="1" x14ac:dyDescent="0.2">
      <c r="A24" s="88">
        <v>18</v>
      </c>
      <c r="B24" s="89" t="s">
        <v>387</v>
      </c>
      <c r="C24" s="89" t="s">
        <v>388</v>
      </c>
      <c r="D24" s="89" t="s">
        <v>389</v>
      </c>
      <c r="E24" s="90">
        <v>19517</v>
      </c>
      <c r="F24" s="91">
        <v>70.261200000000002</v>
      </c>
      <c r="G24" s="92">
        <v>2.3379380000000002E-2</v>
      </c>
      <c r="H24" s="87" t="s">
        <v>143</v>
      </c>
    </row>
    <row r="25" spans="1:8" ht="14.25" customHeight="1" x14ac:dyDescent="0.2">
      <c r="A25" s="88">
        <v>19</v>
      </c>
      <c r="B25" s="89" t="s">
        <v>385</v>
      </c>
      <c r="C25" s="89" t="s">
        <v>386</v>
      </c>
      <c r="D25" s="89" t="s">
        <v>199</v>
      </c>
      <c r="E25" s="90">
        <v>13180</v>
      </c>
      <c r="F25" s="91">
        <v>67.455240000000003</v>
      </c>
      <c r="G25" s="92">
        <v>2.2445699999999999E-2</v>
      </c>
      <c r="H25" s="87" t="s">
        <v>143</v>
      </c>
    </row>
    <row r="26" spans="1:8" ht="14.25" customHeight="1" x14ac:dyDescent="0.2">
      <c r="A26" s="88">
        <v>20</v>
      </c>
      <c r="B26" s="89" t="s">
        <v>380</v>
      </c>
      <c r="C26" s="89" t="s">
        <v>381</v>
      </c>
      <c r="D26" s="89" t="s">
        <v>382</v>
      </c>
      <c r="E26" s="90">
        <v>5857</v>
      </c>
      <c r="F26" s="91">
        <v>65.592543000000006</v>
      </c>
      <c r="G26" s="92">
        <v>2.1825890000000001E-2</v>
      </c>
      <c r="H26" s="87" t="s">
        <v>143</v>
      </c>
    </row>
    <row r="27" spans="1:8" ht="14.25" customHeight="1" x14ac:dyDescent="0.2">
      <c r="A27" s="88">
        <v>21</v>
      </c>
      <c r="B27" s="89" t="s">
        <v>66</v>
      </c>
      <c r="C27" s="89" t="s">
        <v>67</v>
      </c>
      <c r="D27" s="89" t="s">
        <v>68</v>
      </c>
      <c r="E27" s="90">
        <v>1222</v>
      </c>
      <c r="F27" s="91">
        <v>62.81691</v>
      </c>
      <c r="G27" s="92">
        <v>2.0902299999999999E-2</v>
      </c>
      <c r="H27" s="87" t="s">
        <v>143</v>
      </c>
    </row>
    <row r="28" spans="1:8" ht="14.25" customHeight="1" x14ac:dyDescent="0.2">
      <c r="A28" s="88">
        <v>22</v>
      </c>
      <c r="B28" s="89" t="s">
        <v>398</v>
      </c>
      <c r="C28" s="89" t="s">
        <v>399</v>
      </c>
      <c r="D28" s="89" t="s">
        <v>207</v>
      </c>
      <c r="E28" s="90">
        <v>8090</v>
      </c>
      <c r="F28" s="91">
        <v>58.090245000000003</v>
      </c>
      <c r="G28" s="92">
        <v>1.9329499999999999E-2</v>
      </c>
      <c r="H28" s="87" t="s">
        <v>143</v>
      </c>
    </row>
    <row r="29" spans="1:8" ht="14.25" customHeight="1" x14ac:dyDescent="0.2">
      <c r="A29" s="88">
        <v>23</v>
      </c>
      <c r="B29" s="89" t="s">
        <v>411</v>
      </c>
      <c r="C29" s="89" t="s">
        <v>412</v>
      </c>
      <c r="D29" s="89" t="s">
        <v>199</v>
      </c>
      <c r="E29" s="90">
        <v>15429</v>
      </c>
      <c r="F29" s="91">
        <v>56.794148999999997</v>
      </c>
      <c r="G29" s="92">
        <v>1.8898229999999999E-2</v>
      </c>
      <c r="H29" s="87" t="s">
        <v>143</v>
      </c>
    </row>
    <row r="30" spans="1:8" ht="14.25" customHeight="1" x14ac:dyDescent="0.2">
      <c r="A30" s="88">
        <v>24</v>
      </c>
      <c r="B30" s="89" t="s">
        <v>394</v>
      </c>
      <c r="C30" s="89" t="s">
        <v>395</v>
      </c>
      <c r="D30" s="89" t="s">
        <v>191</v>
      </c>
      <c r="E30" s="90">
        <v>3287</v>
      </c>
      <c r="F30" s="91">
        <v>56.723759000000001</v>
      </c>
      <c r="G30" s="92">
        <v>1.8874809999999999E-2</v>
      </c>
      <c r="H30" s="87" t="s">
        <v>143</v>
      </c>
    </row>
    <row r="31" spans="1:8" ht="14.25" customHeight="1" x14ac:dyDescent="0.2">
      <c r="A31" s="88">
        <v>25</v>
      </c>
      <c r="B31" s="89" t="s">
        <v>396</v>
      </c>
      <c r="C31" s="89" t="s">
        <v>397</v>
      </c>
      <c r="D31" s="89" t="s">
        <v>68</v>
      </c>
      <c r="E31" s="90">
        <v>11627</v>
      </c>
      <c r="F31" s="91">
        <v>55.111980000000003</v>
      </c>
      <c r="G31" s="92">
        <v>1.8338489999999999E-2</v>
      </c>
      <c r="H31" s="87" t="s">
        <v>143</v>
      </c>
    </row>
    <row r="32" spans="1:8" ht="14.25" customHeight="1" x14ac:dyDescent="0.2">
      <c r="A32" s="88">
        <v>26</v>
      </c>
      <c r="B32" s="89" t="s">
        <v>378</v>
      </c>
      <c r="C32" s="89" t="s">
        <v>379</v>
      </c>
      <c r="D32" s="89" t="s">
        <v>194</v>
      </c>
      <c r="E32" s="90">
        <v>6280</v>
      </c>
      <c r="F32" s="91">
        <v>53.813319999999997</v>
      </c>
      <c r="G32" s="92">
        <v>1.790636E-2</v>
      </c>
      <c r="H32" s="87" t="s">
        <v>143</v>
      </c>
    </row>
    <row r="33" spans="1:8" ht="14.25" customHeight="1" x14ac:dyDescent="0.2">
      <c r="A33" s="88">
        <v>27</v>
      </c>
      <c r="B33" s="89" t="s">
        <v>75</v>
      </c>
      <c r="C33" s="89" t="s">
        <v>76</v>
      </c>
      <c r="D33" s="89" t="s">
        <v>77</v>
      </c>
      <c r="E33" s="90">
        <v>5587</v>
      </c>
      <c r="F33" s="91">
        <v>51.573596999999999</v>
      </c>
      <c r="G33" s="92">
        <v>1.716109E-2</v>
      </c>
      <c r="H33" s="87" t="s">
        <v>143</v>
      </c>
    </row>
    <row r="34" spans="1:8" ht="14.25" customHeight="1" x14ac:dyDescent="0.2">
      <c r="A34" s="88">
        <v>28</v>
      </c>
      <c r="B34" s="89" t="s">
        <v>374</v>
      </c>
      <c r="C34" s="89" t="s">
        <v>375</v>
      </c>
      <c r="D34" s="89" t="s">
        <v>268</v>
      </c>
      <c r="E34" s="90">
        <v>1060</v>
      </c>
      <c r="F34" s="91">
        <v>49.6875</v>
      </c>
      <c r="G34" s="92">
        <v>1.6533490000000001E-2</v>
      </c>
      <c r="H34" s="87" t="s">
        <v>143</v>
      </c>
    </row>
    <row r="35" spans="1:8" ht="14.25" customHeight="1" x14ac:dyDescent="0.2">
      <c r="A35" s="88">
        <v>29</v>
      </c>
      <c r="B35" s="89" t="s">
        <v>400</v>
      </c>
      <c r="C35" s="89" t="s">
        <v>401</v>
      </c>
      <c r="D35" s="89" t="s">
        <v>256</v>
      </c>
      <c r="E35" s="90">
        <v>10471</v>
      </c>
      <c r="F35" s="91">
        <v>48.334136000000001</v>
      </c>
      <c r="G35" s="92">
        <v>1.6083159999999999E-2</v>
      </c>
      <c r="H35" s="87" t="s">
        <v>143</v>
      </c>
    </row>
    <row r="36" spans="1:8" ht="14.25" customHeight="1" x14ac:dyDescent="0.2">
      <c r="A36" s="88">
        <v>30</v>
      </c>
      <c r="B36" s="89" t="s">
        <v>299</v>
      </c>
      <c r="C36" s="89" t="s">
        <v>300</v>
      </c>
      <c r="D36" s="89" t="s">
        <v>68</v>
      </c>
      <c r="E36" s="90">
        <v>3026</v>
      </c>
      <c r="F36" s="91">
        <v>47.311509999999998</v>
      </c>
      <c r="G36" s="92">
        <v>1.5742880000000001E-2</v>
      </c>
      <c r="H36" s="87" t="s">
        <v>143</v>
      </c>
    </row>
    <row r="37" spans="1:8" ht="14.25" customHeight="1" x14ac:dyDescent="0.2">
      <c r="A37" s="88">
        <v>31</v>
      </c>
      <c r="B37" s="89" t="s">
        <v>402</v>
      </c>
      <c r="C37" s="89" t="s">
        <v>403</v>
      </c>
      <c r="D37" s="89" t="s">
        <v>194</v>
      </c>
      <c r="E37" s="90">
        <v>5139</v>
      </c>
      <c r="F37" s="91">
        <v>44.298180000000002</v>
      </c>
      <c r="G37" s="92">
        <v>1.47402E-2</v>
      </c>
      <c r="H37" s="87" t="s">
        <v>143</v>
      </c>
    </row>
    <row r="38" spans="1:8" ht="14.25" customHeight="1" x14ac:dyDescent="0.2">
      <c r="A38" s="88">
        <v>32</v>
      </c>
      <c r="B38" s="89" t="s">
        <v>404</v>
      </c>
      <c r="C38" s="89" t="s">
        <v>405</v>
      </c>
      <c r="D38" s="89" t="s">
        <v>406</v>
      </c>
      <c r="E38" s="90">
        <v>3246</v>
      </c>
      <c r="F38" s="91">
        <v>43.201014000000001</v>
      </c>
      <c r="G38" s="92">
        <v>1.437512E-2</v>
      </c>
      <c r="H38" s="87" t="s">
        <v>143</v>
      </c>
    </row>
    <row r="39" spans="1:8" ht="14.25" customHeight="1" x14ac:dyDescent="0.2">
      <c r="A39" s="88">
        <v>33</v>
      </c>
      <c r="B39" s="89" t="s">
        <v>452</v>
      </c>
      <c r="C39" s="89" t="s">
        <v>453</v>
      </c>
      <c r="D39" s="89" t="s">
        <v>68</v>
      </c>
      <c r="E39" s="90">
        <v>8418</v>
      </c>
      <c r="F39" s="91">
        <v>41.020913999999998</v>
      </c>
      <c r="G39" s="92">
        <v>1.3649690000000001E-2</v>
      </c>
      <c r="H39" s="87" t="s">
        <v>143</v>
      </c>
    </row>
    <row r="40" spans="1:8" ht="14.25" customHeight="1" x14ac:dyDescent="0.2">
      <c r="A40" s="88">
        <v>34</v>
      </c>
      <c r="B40" s="89" t="s">
        <v>407</v>
      </c>
      <c r="C40" s="89" t="s">
        <v>408</v>
      </c>
      <c r="D40" s="89" t="s">
        <v>191</v>
      </c>
      <c r="E40" s="90">
        <v>5234</v>
      </c>
      <c r="F40" s="91">
        <v>39.443424</v>
      </c>
      <c r="G40" s="92">
        <v>1.3124780000000001E-2</v>
      </c>
      <c r="H40" s="87" t="s">
        <v>143</v>
      </c>
    </row>
    <row r="41" spans="1:8" ht="14.25" customHeight="1" x14ac:dyDescent="0.2">
      <c r="A41" s="88">
        <v>35</v>
      </c>
      <c r="B41" s="89" t="s">
        <v>409</v>
      </c>
      <c r="C41" s="89" t="s">
        <v>410</v>
      </c>
      <c r="D41" s="89" t="s">
        <v>138</v>
      </c>
      <c r="E41" s="90">
        <v>19513</v>
      </c>
      <c r="F41" s="91">
        <v>30.143682399999999</v>
      </c>
      <c r="G41" s="92">
        <v>1.0030300000000001E-2</v>
      </c>
      <c r="H41" s="87" t="s">
        <v>143</v>
      </c>
    </row>
    <row r="42" spans="1:8" ht="14.25" customHeight="1" x14ac:dyDescent="0.2">
      <c r="A42" s="88">
        <v>36</v>
      </c>
      <c r="B42" s="89" t="s">
        <v>415</v>
      </c>
      <c r="C42" s="89" t="s">
        <v>416</v>
      </c>
      <c r="D42" s="89" t="s">
        <v>46</v>
      </c>
      <c r="E42" s="90">
        <v>3212</v>
      </c>
      <c r="F42" s="91">
        <v>23.357664</v>
      </c>
      <c r="G42" s="92">
        <v>7.7722499999999996E-3</v>
      </c>
      <c r="H42" s="87" t="s">
        <v>143</v>
      </c>
    </row>
    <row r="43" spans="1:8" ht="14.25" customHeight="1" x14ac:dyDescent="0.2">
      <c r="A43" s="88">
        <v>37</v>
      </c>
      <c r="B43" s="89" t="s">
        <v>413</v>
      </c>
      <c r="C43" s="89" t="s">
        <v>414</v>
      </c>
      <c r="D43" s="89" t="s">
        <v>46</v>
      </c>
      <c r="E43" s="90">
        <v>3000</v>
      </c>
      <c r="F43" s="91">
        <v>22.391999999999999</v>
      </c>
      <c r="G43" s="92">
        <v>7.4509299999999997E-3</v>
      </c>
      <c r="H43" s="87" t="s">
        <v>143</v>
      </c>
    </row>
    <row r="44" spans="1:8" ht="14.25" customHeight="1" x14ac:dyDescent="0.2">
      <c r="A44" s="88">
        <v>38</v>
      </c>
      <c r="B44" s="89" t="s">
        <v>419</v>
      </c>
      <c r="C44" s="89" t="s">
        <v>420</v>
      </c>
      <c r="D44" s="89" t="s">
        <v>43</v>
      </c>
      <c r="E44" s="90">
        <v>4242</v>
      </c>
      <c r="F44" s="91">
        <v>13.398357000000001</v>
      </c>
      <c r="G44" s="92">
        <v>4.4583000000000001E-3</v>
      </c>
      <c r="H44" s="87" t="s">
        <v>143</v>
      </c>
    </row>
    <row r="45" spans="1:8" ht="14.25" customHeight="1" x14ac:dyDescent="0.2">
      <c r="A45" s="93"/>
      <c r="B45" s="93"/>
      <c r="C45" s="94" t="s">
        <v>142</v>
      </c>
      <c r="D45" s="93"/>
      <c r="E45" s="93" t="s">
        <v>143</v>
      </c>
      <c r="F45" s="95">
        <v>2849.2203657999999</v>
      </c>
      <c r="G45" s="96">
        <v>0.94807680999999999</v>
      </c>
      <c r="H45" s="87" t="s">
        <v>143</v>
      </c>
    </row>
    <row r="46" spans="1:8" ht="14.25" customHeight="1" x14ac:dyDescent="0.2">
      <c r="A46" s="93"/>
      <c r="B46" s="93"/>
      <c r="C46" s="97"/>
      <c r="D46" s="93"/>
      <c r="E46" s="93"/>
      <c r="F46" s="98"/>
      <c r="G46" s="98"/>
      <c r="H46" s="87" t="s">
        <v>143</v>
      </c>
    </row>
    <row r="47" spans="1:8" ht="14.25" customHeight="1" x14ac:dyDescent="0.2">
      <c r="A47" s="93"/>
      <c r="B47" s="93"/>
      <c r="C47" s="94" t="s">
        <v>144</v>
      </c>
      <c r="D47" s="93"/>
      <c r="E47" s="93"/>
      <c r="F47" s="93"/>
      <c r="G47" s="93"/>
      <c r="H47" s="87" t="s">
        <v>143</v>
      </c>
    </row>
    <row r="48" spans="1:8" ht="14.25" customHeight="1" x14ac:dyDescent="0.2">
      <c r="A48" s="93"/>
      <c r="B48" s="93"/>
      <c r="C48" s="94" t="s">
        <v>142</v>
      </c>
      <c r="D48" s="93"/>
      <c r="E48" s="93" t="s">
        <v>143</v>
      </c>
      <c r="F48" s="99" t="s">
        <v>145</v>
      </c>
      <c r="G48" s="96">
        <v>0</v>
      </c>
      <c r="H48" s="87" t="s">
        <v>143</v>
      </c>
    </row>
    <row r="49" spans="1:8" ht="14.25" customHeight="1" x14ac:dyDescent="0.2">
      <c r="A49" s="93"/>
      <c r="B49" s="93"/>
      <c r="C49" s="97"/>
      <c r="D49" s="93"/>
      <c r="E49" s="93"/>
      <c r="F49" s="98"/>
      <c r="G49" s="98"/>
      <c r="H49" s="87" t="s">
        <v>143</v>
      </c>
    </row>
    <row r="50" spans="1:8" ht="14.25" customHeight="1" x14ac:dyDescent="0.2">
      <c r="A50" s="93"/>
      <c r="B50" s="93"/>
      <c r="C50" s="94" t="s">
        <v>146</v>
      </c>
      <c r="D50" s="93"/>
      <c r="E50" s="93"/>
      <c r="F50" s="93"/>
      <c r="G50" s="93"/>
      <c r="H50" s="87" t="s">
        <v>143</v>
      </c>
    </row>
    <row r="51" spans="1:8" ht="14.25" customHeight="1" x14ac:dyDescent="0.2">
      <c r="A51" s="93"/>
      <c r="B51" s="93"/>
      <c r="C51" s="94" t="s">
        <v>142</v>
      </c>
      <c r="D51" s="93"/>
      <c r="E51" s="93" t="s">
        <v>143</v>
      </c>
      <c r="F51" s="99" t="s">
        <v>145</v>
      </c>
      <c r="G51" s="96">
        <v>0</v>
      </c>
      <c r="H51" s="87" t="s">
        <v>143</v>
      </c>
    </row>
    <row r="52" spans="1:8" ht="14.25" customHeight="1" x14ac:dyDescent="0.2">
      <c r="A52" s="93"/>
      <c r="B52" s="93"/>
      <c r="C52" s="97"/>
      <c r="D52" s="93"/>
      <c r="E52" s="93"/>
      <c r="F52" s="98"/>
      <c r="G52" s="98"/>
      <c r="H52" s="87" t="s">
        <v>143</v>
      </c>
    </row>
    <row r="53" spans="1:8" ht="14.25" customHeight="1" x14ac:dyDescent="0.2">
      <c r="A53" s="93"/>
      <c r="B53" s="93"/>
      <c r="C53" s="94" t="s">
        <v>147</v>
      </c>
      <c r="D53" s="93"/>
      <c r="E53" s="93"/>
      <c r="F53" s="93"/>
      <c r="G53" s="93"/>
      <c r="H53" s="87" t="s">
        <v>143</v>
      </c>
    </row>
    <row r="54" spans="1:8" ht="14.25" customHeight="1" x14ac:dyDescent="0.2">
      <c r="A54" s="93"/>
      <c r="B54" s="93"/>
      <c r="C54" s="94" t="s">
        <v>142</v>
      </c>
      <c r="D54" s="93"/>
      <c r="E54" s="93" t="s">
        <v>143</v>
      </c>
      <c r="F54" s="99" t="s">
        <v>145</v>
      </c>
      <c r="G54" s="96">
        <v>0</v>
      </c>
      <c r="H54" s="87" t="s">
        <v>143</v>
      </c>
    </row>
    <row r="55" spans="1:8" ht="14.25" customHeight="1" x14ac:dyDescent="0.2">
      <c r="A55" s="93"/>
      <c r="B55" s="93"/>
      <c r="C55" s="97"/>
      <c r="D55" s="93"/>
      <c r="E55" s="93"/>
      <c r="F55" s="98"/>
      <c r="G55" s="98"/>
      <c r="H55" s="87" t="s">
        <v>143</v>
      </c>
    </row>
    <row r="56" spans="1:8" ht="14.25" customHeight="1" x14ac:dyDescent="0.2">
      <c r="A56" s="93"/>
      <c r="B56" s="93"/>
      <c r="C56" s="94" t="s">
        <v>148</v>
      </c>
      <c r="D56" s="93"/>
      <c r="E56" s="93"/>
      <c r="F56" s="98"/>
      <c r="G56" s="98"/>
      <c r="H56" s="87" t="s">
        <v>143</v>
      </c>
    </row>
    <row r="57" spans="1:8" ht="14.25" customHeight="1" x14ac:dyDescent="0.2">
      <c r="A57" s="93"/>
      <c r="B57" s="93"/>
      <c r="C57" s="94" t="s">
        <v>142</v>
      </c>
      <c r="D57" s="93"/>
      <c r="E57" s="93" t="s">
        <v>143</v>
      </c>
      <c r="F57" s="99" t="s">
        <v>145</v>
      </c>
      <c r="G57" s="96">
        <v>0</v>
      </c>
      <c r="H57" s="87" t="s">
        <v>143</v>
      </c>
    </row>
    <row r="58" spans="1:8" ht="14.25" customHeight="1" x14ac:dyDescent="0.2">
      <c r="A58" s="93"/>
      <c r="B58" s="93"/>
      <c r="C58" s="97"/>
      <c r="D58" s="93"/>
      <c r="E58" s="93"/>
      <c r="F58" s="98"/>
      <c r="G58" s="98"/>
      <c r="H58" s="87" t="s">
        <v>143</v>
      </c>
    </row>
    <row r="59" spans="1:8" ht="14.25" customHeight="1" x14ac:dyDescent="0.2">
      <c r="A59" s="93"/>
      <c r="B59" s="93"/>
      <c r="C59" s="94" t="s">
        <v>149</v>
      </c>
      <c r="D59" s="93"/>
      <c r="E59" s="93"/>
      <c r="F59" s="98"/>
      <c r="G59" s="98"/>
      <c r="H59" s="87" t="s">
        <v>143</v>
      </c>
    </row>
    <row r="60" spans="1:8" ht="14.25" customHeight="1" x14ac:dyDescent="0.2">
      <c r="A60" s="93"/>
      <c r="B60" s="93"/>
      <c r="C60" s="94" t="s">
        <v>142</v>
      </c>
      <c r="D60" s="93"/>
      <c r="E60" s="93" t="s">
        <v>143</v>
      </c>
      <c r="F60" s="99" t="s">
        <v>145</v>
      </c>
      <c r="G60" s="96">
        <v>0</v>
      </c>
      <c r="H60" s="87" t="s">
        <v>143</v>
      </c>
    </row>
    <row r="61" spans="1:8" ht="14.25" customHeight="1" x14ac:dyDescent="0.2">
      <c r="A61" s="93"/>
      <c r="B61" s="93"/>
      <c r="C61" s="97"/>
      <c r="D61" s="93"/>
      <c r="E61" s="93"/>
      <c r="F61" s="98"/>
      <c r="G61" s="98"/>
      <c r="H61" s="87" t="s">
        <v>143</v>
      </c>
    </row>
    <row r="62" spans="1:8" ht="14.25" customHeight="1" x14ac:dyDescent="0.2">
      <c r="A62" s="93"/>
      <c r="B62" s="93"/>
      <c r="C62" s="94" t="s">
        <v>150</v>
      </c>
      <c r="D62" s="93"/>
      <c r="E62" s="93"/>
      <c r="F62" s="95">
        <v>2849.2203657999999</v>
      </c>
      <c r="G62" s="96">
        <v>0.94807680999999999</v>
      </c>
      <c r="H62" s="87" t="s">
        <v>143</v>
      </c>
    </row>
    <row r="63" spans="1:8" ht="14.25" customHeight="1" x14ac:dyDescent="0.2">
      <c r="A63" s="93"/>
      <c r="B63" s="93"/>
      <c r="C63" s="97"/>
      <c r="D63" s="93"/>
      <c r="E63" s="93"/>
      <c r="F63" s="98"/>
      <c r="G63" s="98"/>
      <c r="H63" s="87" t="s">
        <v>143</v>
      </c>
    </row>
    <row r="64" spans="1:8" ht="14.25" customHeight="1" x14ac:dyDescent="0.2">
      <c r="A64" s="93"/>
      <c r="B64" s="93"/>
      <c r="C64" s="94" t="s">
        <v>151</v>
      </c>
      <c r="D64" s="93"/>
      <c r="E64" s="93"/>
      <c r="F64" s="98"/>
      <c r="G64" s="98"/>
      <c r="H64" s="87" t="s">
        <v>143</v>
      </c>
    </row>
    <row r="65" spans="1:8" ht="14.25" customHeight="1" x14ac:dyDescent="0.2">
      <c r="A65" s="93"/>
      <c r="B65" s="93"/>
      <c r="C65" s="94" t="s">
        <v>10</v>
      </c>
      <c r="D65" s="93"/>
      <c r="E65" s="93"/>
      <c r="F65" s="98"/>
      <c r="G65" s="98"/>
      <c r="H65" s="87" t="s">
        <v>143</v>
      </c>
    </row>
    <row r="66" spans="1:8" ht="14.25" customHeight="1" x14ac:dyDescent="0.2">
      <c r="A66" s="93"/>
      <c r="B66" s="93"/>
      <c r="C66" s="94" t="s">
        <v>142</v>
      </c>
      <c r="D66" s="93"/>
      <c r="E66" s="93" t="s">
        <v>143</v>
      </c>
      <c r="F66" s="99" t="s">
        <v>145</v>
      </c>
      <c r="G66" s="96">
        <v>0</v>
      </c>
      <c r="H66" s="87" t="s">
        <v>143</v>
      </c>
    </row>
    <row r="67" spans="1:8" ht="14.25" customHeight="1" x14ac:dyDescent="0.2">
      <c r="A67" s="93"/>
      <c r="B67" s="93"/>
      <c r="C67" s="97"/>
      <c r="D67" s="93"/>
      <c r="E67" s="93"/>
      <c r="F67" s="98"/>
      <c r="G67" s="98"/>
      <c r="H67" s="87" t="s">
        <v>143</v>
      </c>
    </row>
    <row r="68" spans="1:8" ht="14.25" customHeight="1" x14ac:dyDescent="0.2">
      <c r="A68" s="93"/>
      <c r="B68" s="93"/>
      <c r="C68" s="94" t="s">
        <v>152</v>
      </c>
      <c r="D68" s="93"/>
      <c r="E68" s="93"/>
      <c r="F68" s="93"/>
      <c r="G68" s="93"/>
      <c r="H68" s="87" t="s">
        <v>143</v>
      </c>
    </row>
    <row r="69" spans="1:8" ht="14.25" customHeight="1" x14ac:dyDescent="0.2">
      <c r="A69" s="93"/>
      <c r="B69" s="93"/>
      <c r="C69" s="94" t="s">
        <v>142</v>
      </c>
      <c r="D69" s="93"/>
      <c r="E69" s="93" t="s">
        <v>143</v>
      </c>
      <c r="F69" s="99" t="s">
        <v>145</v>
      </c>
      <c r="G69" s="96">
        <v>0</v>
      </c>
      <c r="H69" s="87" t="s">
        <v>143</v>
      </c>
    </row>
    <row r="70" spans="1:8" ht="14.25" customHeight="1" x14ac:dyDescent="0.2">
      <c r="A70" s="93"/>
      <c r="B70" s="93"/>
      <c r="C70" s="97"/>
      <c r="D70" s="93"/>
      <c r="E70" s="93"/>
      <c r="F70" s="98"/>
      <c r="G70" s="98"/>
      <c r="H70" s="87" t="s">
        <v>143</v>
      </c>
    </row>
    <row r="71" spans="1:8" ht="14.25" customHeight="1" x14ac:dyDescent="0.2">
      <c r="A71" s="93"/>
      <c r="B71" s="93"/>
      <c r="C71" s="94" t="s">
        <v>153</v>
      </c>
      <c r="D71" s="93"/>
      <c r="E71" s="93"/>
      <c r="F71" s="93"/>
      <c r="G71" s="93"/>
      <c r="H71" s="87" t="s">
        <v>143</v>
      </c>
    </row>
    <row r="72" spans="1:8" ht="14.25" customHeight="1" x14ac:dyDescent="0.2">
      <c r="A72" s="93"/>
      <c r="B72" s="93"/>
      <c r="C72" s="94" t="s">
        <v>142</v>
      </c>
      <c r="D72" s="93"/>
      <c r="E72" s="93" t="s">
        <v>143</v>
      </c>
      <c r="F72" s="99" t="s">
        <v>145</v>
      </c>
      <c r="G72" s="96">
        <v>0</v>
      </c>
      <c r="H72" s="87" t="s">
        <v>143</v>
      </c>
    </row>
    <row r="73" spans="1:8" ht="14.25" customHeight="1" x14ac:dyDescent="0.2">
      <c r="A73" s="93"/>
      <c r="B73" s="93"/>
      <c r="C73" s="97"/>
      <c r="D73" s="93"/>
      <c r="E73" s="93"/>
      <c r="F73" s="98"/>
      <c r="G73" s="98"/>
      <c r="H73" s="87" t="s">
        <v>143</v>
      </c>
    </row>
    <row r="74" spans="1:8" ht="14.25" customHeight="1" x14ac:dyDescent="0.2">
      <c r="A74" s="93"/>
      <c r="B74" s="93"/>
      <c r="C74" s="94" t="s">
        <v>154</v>
      </c>
      <c r="D74" s="93"/>
      <c r="E74" s="93"/>
      <c r="F74" s="98"/>
      <c r="G74" s="98"/>
      <c r="H74" s="87" t="s">
        <v>143</v>
      </c>
    </row>
    <row r="75" spans="1:8" ht="14.25" customHeight="1" x14ac:dyDescent="0.2">
      <c r="A75" s="93"/>
      <c r="B75" s="93"/>
      <c r="C75" s="94" t="s">
        <v>142</v>
      </c>
      <c r="D75" s="93"/>
      <c r="E75" s="93" t="s">
        <v>143</v>
      </c>
      <c r="F75" s="99" t="s">
        <v>145</v>
      </c>
      <c r="G75" s="96">
        <v>0</v>
      </c>
      <c r="H75" s="87" t="s">
        <v>143</v>
      </c>
    </row>
    <row r="76" spans="1:8" ht="14.25" customHeight="1" x14ac:dyDescent="0.2">
      <c r="A76" s="93"/>
      <c r="B76" s="93"/>
      <c r="C76" s="97"/>
      <c r="D76" s="93"/>
      <c r="E76" s="93"/>
      <c r="F76" s="98"/>
      <c r="G76" s="98"/>
      <c r="H76" s="87" t="s">
        <v>143</v>
      </c>
    </row>
    <row r="77" spans="1:8" ht="14.25" customHeight="1" x14ac:dyDescent="0.2">
      <c r="A77" s="93"/>
      <c r="B77" s="93"/>
      <c r="C77" s="94" t="s">
        <v>155</v>
      </c>
      <c r="D77" s="93"/>
      <c r="E77" s="93"/>
      <c r="F77" s="95">
        <v>0</v>
      </c>
      <c r="G77" s="96">
        <v>0</v>
      </c>
      <c r="H77" s="87" t="s">
        <v>143</v>
      </c>
    </row>
    <row r="78" spans="1:8" ht="14.25" customHeight="1" x14ac:dyDescent="0.2">
      <c r="A78" s="93"/>
      <c r="B78" s="93"/>
      <c r="C78" s="97"/>
      <c r="D78" s="93"/>
      <c r="E78" s="93"/>
      <c r="F78" s="98"/>
      <c r="G78" s="98"/>
      <c r="H78" s="87" t="s">
        <v>143</v>
      </c>
    </row>
    <row r="79" spans="1:8" ht="14.25" customHeight="1" x14ac:dyDescent="0.2">
      <c r="A79" s="93"/>
      <c r="B79" s="93"/>
      <c r="C79" s="94" t="s">
        <v>156</v>
      </c>
      <c r="D79" s="93"/>
      <c r="E79" s="93"/>
      <c r="F79" s="98"/>
      <c r="G79" s="98"/>
      <c r="H79" s="87" t="s">
        <v>143</v>
      </c>
    </row>
    <row r="80" spans="1:8" ht="14.25" customHeight="1" x14ac:dyDescent="0.2">
      <c r="A80" s="93"/>
      <c r="B80" s="93"/>
      <c r="C80" s="94" t="s">
        <v>157</v>
      </c>
      <c r="D80" s="93"/>
      <c r="E80" s="93"/>
      <c r="F80" s="98"/>
      <c r="G80" s="98"/>
      <c r="H80" s="87" t="s">
        <v>143</v>
      </c>
    </row>
    <row r="81" spans="1:8" ht="14.25" customHeight="1" x14ac:dyDescent="0.2">
      <c r="A81" s="93"/>
      <c r="B81" s="93"/>
      <c r="C81" s="94" t="s">
        <v>142</v>
      </c>
      <c r="D81" s="93"/>
      <c r="E81" s="93" t="s">
        <v>143</v>
      </c>
      <c r="F81" s="99" t="s">
        <v>145</v>
      </c>
      <c r="G81" s="96">
        <v>0</v>
      </c>
      <c r="H81" s="87" t="s">
        <v>143</v>
      </c>
    </row>
    <row r="82" spans="1:8" ht="14.25" customHeight="1" x14ac:dyDescent="0.2">
      <c r="A82" s="93"/>
      <c r="B82" s="93"/>
      <c r="C82" s="97"/>
      <c r="D82" s="93"/>
      <c r="E82" s="93"/>
      <c r="F82" s="98"/>
      <c r="G82" s="98"/>
      <c r="H82" s="87" t="s">
        <v>143</v>
      </c>
    </row>
    <row r="83" spans="1:8" ht="14.25" customHeight="1" x14ac:dyDescent="0.2">
      <c r="A83" s="93"/>
      <c r="B83" s="93"/>
      <c r="C83" s="94" t="s">
        <v>158</v>
      </c>
      <c r="D83" s="93"/>
      <c r="E83" s="93"/>
      <c r="F83" s="98"/>
      <c r="G83" s="98"/>
      <c r="H83" s="87" t="s">
        <v>143</v>
      </c>
    </row>
    <row r="84" spans="1:8" ht="14.25" customHeight="1" x14ac:dyDescent="0.2">
      <c r="A84" s="93"/>
      <c r="B84" s="93"/>
      <c r="C84" s="94" t="s">
        <v>142</v>
      </c>
      <c r="D84" s="93"/>
      <c r="E84" s="93" t="s">
        <v>143</v>
      </c>
      <c r="F84" s="99" t="s">
        <v>145</v>
      </c>
      <c r="G84" s="96">
        <v>0</v>
      </c>
      <c r="H84" s="87" t="s">
        <v>143</v>
      </c>
    </row>
    <row r="85" spans="1:8" ht="14.25" customHeight="1" x14ac:dyDescent="0.2">
      <c r="A85" s="93"/>
      <c r="B85" s="93"/>
      <c r="C85" s="97"/>
      <c r="D85" s="93"/>
      <c r="E85" s="93"/>
      <c r="F85" s="98"/>
      <c r="G85" s="98"/>
      <c r="H85" s="87" t="s">
        <v>143</v>
      </c>
    </row>
    <row r="86" spans="1:8" ht="14.25" customHeight="1" x14ac:dyDescent="0.2">
      <c r="A86" s="93"/>
      <c r="B86" s="93"/>
      <c r="C86" s="94" t="s">
        <v>159</v>
      </c>
      <c r="D86" s="93"/>
      <c r="E86" s="93"/>
      <c r="F86" s="98"/>
      <c r="G86" s="98"/>
      <c r="H86" s="87" t="s">
        <v>143</v>
      </c>
    </row>
    <row r="87" spans="1:8" ht="14.25" customHeight="1" x14ac:dyDescent="0.2">
      <c r="A87" s="93"/>
      <c r="B87" s="93"/>
      <c r="C87" s="94" t="s">
        <v>142</v>
      </c>
      <c r="D87" s="93"/>
      <c r="E87" s="93" t="s">
        <v>143</v>
      </c>
      <c r="F87" s="99" t="s">
        <v>145</v>
      </c>
      <c r="G87" s="96">
        <v>0</v>
      </c>
      <c r="H87" s="87" t="s">
        <v>143</v>
      </c>
    </row>
    <row r="88" spans="1:8" ht="14.25" customHeight="1" x14ac:dyDescent="0.2">
      <c r="A88" s="93"/>
      <c r="B88" s="93"/>
      <c r="C88" s="97"/>
      <c r="D88" s="93"/>
      <c r="E88" s="93"/>
      <c r="F88" s="98"/>
      <c r="G88" s="98"/>
      <c r="H88" s="87" t="s">
        <v>143</v>
      </c>
    </row>
    <row r="89" spans="1:8" ht="14.25" customHeight="1" x14ac:dyDescent="0.2">
      <c r="A89" s="93"/>
      <c r="B89" s="93"/>
      <c r="C89" s="94" t="s">
        <v>160</v>
      </c>
      <c r="D89" s="93"/>
      <c r="E89" s="93"/>
      <c r="F89" s="98"/>
      <c r="G89" s="98"/>
      <c r="H89" s="87" t="s">
        <v>143</v>
      </c>
    </row>
    <row r="90" spans="1:8" ht="14.25" customHeight="1" x14ac:dyDescent="0.2">
      <c r="A90" s="88">
        <v>1</v>
      </c>
      <c r="B90" s="89"/>
      <c r="C90" s="89" t="s">
        <v>161</v>
      </c>
      <c r="D90" s="89"/>
      <c r="E90" s="100"/>
      <c r="F90" s="91">
        <v>154.152484001</v>
      </c>
      <c r="G90" s="92">
        <v>5.129417E-2</v>
      </c>
      <c r="H90" s="87">
        <v>5.38</v>
      </c>
    </row>
    <row r="91" spans="1:8" ht="14.25" customHeight="1" x14ac:dyDescent="0.2">
      <c r="A91" s="93"/>
      <c r="B91" s="93"/>
      <c r="C91" s="94" t="s">
        <v>142</v>
      </c>
      <c r="D91" s="93"/>
      <c r="E91" s="93" t="s">
        <v>143</v>
      </c>
      <c r="F91" s="95">
        <v>154.152484001</v>
      </c>
      <c r="G91" s="96">
        <v>5.129417E-2</v>
      </c>
      <c r="H91" s="87" t="s">
        <v>143</v>
      </c>
    </row>
    <row r="92" spans="1:8" ht="14.25" customHeight="1" x14ac:dyDescent="0.2">
      <c r="A92" s="93"/>
      <c r="B92" s="93"/>
      <c r="C92" s="97"/>
      <c r="D92" s="93"/>
      <c r="E92" s="93"/>
      <c r="F92" s="98"/>
      <c r="G92" s="98"/>
      <c r="H92" s="87" t="s">
        <v>143</v>
      </c>
    </row>
    <row r="93" spans="1:8" ht="14.25" customHeight="1" x14ac:dyDescent="0.2">
      <c r="A93" s="93"/>
      <c r="B93" s="93"/>
      <c r="C93" s="94" t="s">
        <v>162</v>
      </c>
      <c r="D93" s="93"/>
      <c r="E93" s="93"/>
      <c r="F93" s="95">
        <v>154.152484001</v>
      </c>
      <c r="G93" s="96">
        <v>5.129417E-2</v>
      </c>
      <c r="H93" s="87" t="s">
        <v>143</v>
      </c>
    </row>
    <row r="94" spans="1:8" ht="14.25" customHeight="1" x14ac:dyDescent="0.2">
      <c r="A94" s="93"/>
      <c r="B94" s="93"/>
      <c r="C94" s="98"/>
      <c r="D94" s="93"/>
      <c r="E94" s="93"/>
      <c r="F94" s="93"/>
      <c r="G94" s="93"/>
      <c r="H94" s="87" t="s">
        <v>143</v>
      </c>
    </row>
    <row r="95" spans="1:8" ht="14.25" customHeight="1" x14ac:dyDescent="0.2">
      <c r="A95" s="93"/>
      <c r="B95" s="93"/>
      <c r="C95" s="94" t="s">
        <v>163</v>
      </c>
      <c r="D95" s="93"/>
      <c r="E95" s="93"/>
      <c r="F95" s="93"/>
      <c r="G95" s="93"/>
      <c r="H95" s="87" t="s">
        <v>143</v>
      </c>
    </row>
    <row r="96" spans="1:8" ht="14.25" customHeight="1" x14ac:dyDescent="0.2">
      <c r="A96" s="93"/>
      <c r="B96" s="93"/>
      <c r="C96" s="94" t="s">
        <v>164</v>
      </c>
      <c r="D96" s="93"/>
      <c r="E96" s="93"/>
      <c r="F96" s="93"/>
      <c r="G96" s="93"/>
      <c r="H96" s="87" t="s">
        <v>143</v>
      </c>
    </row>
    <row r="97" spans="1:17" ht="14.25" customHeight="1" x14ac:dyDescent="0.2">
      <c r="A97" s="93"/>
      <c r="B97" s="93"/>
      <c r="C97" s="94" t="s">
        <v>142</v>
      </c>
      <c r="D97" s="93"/>
      <c r="E97" s="93" t="s">
        <v>143</v>
      </c>
      <c r="F97" s="99" t="s">
        <v>145</v>
      </c>
      <c r="G97" s="96">
        <v>0</v>
      </c>
      <c r="H97" s="87" t="s">
        <v>143</v>
      </c>
    </row>
    <row r="98" spans="1:17" ht="14.25" customHeight="1" x14ac:dyDescent="0.2">
      <c r="A98" s="93"/>
      <c r="B98" s="93"/>
      <c r="C98" s="97"/>
      <c r="D98" s="93"/>
      <c r="E98" s="93"/>
      <c r="F98" s="98"/>
      <c r="G98" s="98"/>
      <c r="H98" s="87" t="s">
        <v>143</v>
      </c>
    </row>
    <row r="99" spans="1:17" ht="14.25" customHeight="1" x14ac:dyDescent="0.2">
      <c r="A99" s="93"/>
      <c r="B99" s="93"/>
      <c r="C99" s="94" t="s">
        <v>165</v>
      </c>
      <c r="D99" s="93"/>
      <c r="E99" s="93"/>
      <c r="F99" s="93"/>
      <c r="G99" s="93"/>
      <c r="H99" s="87" t="s">
        <v>143</v>
      </c>
    </row>
    <row r="100" spans="1:17" ht="14.25" customHeight="1" x14ac:dyDescent="0.2">
      <c r="A100" s="93"/>
      <c r="B100" s="93"/>
      <c r="C100" s="94" t="s">
        <v>166</v>
      </c>
      <c r="D100" s="93"/>
      <c r="E100" s="93"/>
      <c r="F100" s="93"/>
      <c r="G100" s="93"/>
      <c r="H100" s="87" t="s">
        <v>143</v>
      </c>
    </row>
    <row r="101" spans="1:17" ht="14.25" customHeight="1" x14ac:dyDescent="0.2">
      <c r="A101" s="93"/>
      <c r="B101" s="93"/>
      <c r="C101" s="94" t="s">
        <v>142</v>
      </c>
      <c r="D101" s="93"/>
      <c r="E101" s="93" t="s">
        <v>143</v>
      </c>
      <c r="F101" s="99" t="s">
        <v>145</v>
      </c>
      <c r="G101" s="96">
        <v>0</v>
      </c>
      <c r="H101" s="87" t="s">
        <v>143</v>
      </c>
    </row>
    <row r="102" spans="1:17" ht="14.25" customHeight="1" x14ac:dyDescent="0.2">
      <c r="A102" s="93"/>
      <c r="B102" s="93"/>
      <c r="C102" s="97"/>
      <c r="D102" s="93"/>
      <c r="E102" s="93"/>
      <c r="F102" s="98"/>
      <c r="G102" s="98"/>
      <c r="H102" s="87" t="s">
        <v>143</v>
      </c>
    </row>
    <row r="103" spans="1:17" ht="14.25" customHeight="1" x14ac:dyDescent="0.2">
      <c r="A103" s="93"/>
      <c r="B103" s="93"/>
      <c r="C103" s="94" t="s">
        <v>167</v>
      </c>
      <c r="D103" s="93"/>
      <c r="E103" s="93"/>
      <c r="F103" s="98"/>
      <c r="G103" s="98"/>
      <c r="H103" s="87" t="s">
        <v>143</v>
      </c>
    </row>
    <row r="104" spans="1:17" ht="14.25" customHeight="1" x14ac:dyDescent="0.2">
      <c r="A104" s="93"/>
      <c r="B104" s="93"/>
      <c r="C104" s="94" t="s">
        <v>142</v>
      </c>
      <c r="D104" s="93"/>
      <c r="E104" s="93" t="s">
        <v>143</v>
      </c>
      <c r="F104" s="99" t="s">
        <v>145</v>
      </c>
      <c r="G104" s="96">
        <v>0</v>
      </c>
      <c r="H104" s="87" t="s">
        <v>143</v>
      </c>
    </row>
    <row r="105" spans="1:17" ht="14.25" customHeight="1" x14ac:dyDescent="0.2">
      <c r="A105" s="93"/>
      <c r="B105" s="93"/>
      <c r="C105" s="97"/>
      <c r="D105" s="93"/>
      <c r="E105" s="93"/>
      <c r="F105" s="98"/>
      <c r="G105" s="98"/>
      <c r="H105" s="87" t="s">
        <v>143</v>
      </c>
    </row>
    <row r="106" spans="1:17" ht="14.25" customHeight="1" x14ac:dyDescent="0.2">
      <c r="A106" s="100"/>
      <c r="B106" s="89"/>
      <c r="C106" s="89" t="s">
        <v>168</v>
      </c>
      <c r="D106" s="89"/>
      <c r="E106" s="100"/>
      <c r="F106" s="91">
        <v>1.8905007</v>
      </c>
      <c r="G106" s="92">
        <v>6.2905999999999997E-4</v>
      </c>
      <c r="H106" s="87" t="s">
        <v>143</v>
      </c>
    </row>
    <row r="107" spans="1:17" ht="14.25" customHeight="1" x14ac:dyDescent="0.2">
      <c r="A107" s="97"/>
      <c r="B107" s="97"/>
      <c r="C107" s="94" t="s">
        <v>169</v>
      </c>
      <c r="D107" s="98"/>
      <c r="E107" s="98"/>
      <c r="F107" s="95">
        <v>3005.2633505009999</v>
      </c>
      <c r="G107" s="101">
        <v>1.00000004</v>
      </c>
      <c r="H107" s="87" t="s">
        <v>143</v>
      </c>
    </row>
    <row r="108" spans="1:17" ht="12.75" x14ac:dyDescent="0.2">
      <c r="A108" s="102"/>
      <c r="B108" s="102"/>
      <c r="C108" s="102"/>
      <c r="D108" s="103"/>
      <c r="E108" s="103"/>
      <c r="F108" s="103"/>
      <c r="G108" s="103"/>
    </row>
    <row r="109" spans="1:17" ht="12.75" x14ac:dyDescent="0.2">
      <c r="A109" s="104"/>
      <c r="B109" s="206" t="s">
        <v>942</v>
      </c>
      <c r="C109" s="206"/>
      <c r="D109" s="206"/>
      <c r="E109" s="206"/>
      <c r="F109" s="206"/>
      <c r="G109" s="206"/>
      <c r="H109" s="206"/>
      <c r="J109" s="106"/>
    </row>
    <row r="110" spans="1:17" ht="12.75" x14ac:dyDescent="0.2">
      <c r="A110" s="104"/>
      <c r="B110" s="206" t="s">
        <v>943</v>
      </c>
      <c r="C110" s="206"/>
      <c r="D110" s="206"/>
      <c r="E110" s="206"/>
      <c r="F110" s="206"/>
      <c r="G110" s="206"/>
      <c r="H110" s="206"/>
      <c r="J110" s="106"/>
    </row>
    <row r="111" spans="1:17" ht="12.75" x14ac:dyDescent="0.2">
      <c r="A111" s="104"/>
      <c r="B111" s="206" t="s">
        <v>944</v>
      </c>
      <c r="C111" s="206"/>
      <c r="D111" s="206"/>
      <c r="E111" s="206"/>
      <c r="F111" s="206"/>
      <c r="G111" s="206"/>
      <c r="H111" s="206"/>
      <c r="J111" s="106"/>
    </row>
    <row r="112" spans="1:17" s="108" customFormat="1" ht="66.75" customHeight="1" x14ac:dyDescent="0.25">
      <c r="A112" s="107"/>
      <c r="B112" s="207" t="s">
        <v>945</v>
      </c>
      <c r="C112" s="207"/>
      <c r="D112" s="207"/>
      <c r="E112" s="207"/>
      <c r="F112" s="207"/>
      <c r="G112" s="207"/>
      <c r="H112" s="207"/>
      <c r="I112"/>
      <c r="J112" s="106"/>
      <c r="K112"/>
      <c r="L112"/>
      <c r="M112"/>
      <c r="N112"/>
      <c r="O112"/>
      <c r="P112"/>
      <c r="Q112"/>
    </row>
    <row r="113" spans="1:10" ht="12.75" x14ac:dyDescent="0.2">
      <c r="A113" s="104"/>
      <c r="B113" s="206" t="s">
        <v>946</v>
      </c>
      <c r="C113" s="206"/>
      <c r="D113" s="206"/>
      <c r="E113" s="206"/>
      <c r="F113" s="206"/>
      <c r="G113" s="206"/>
      <c r="H113" s="206"/>
      <c r="J113" s="106"/>
    </row>
    <row r="114" spans="1:10" ht="12.75" x14ac:dyDescent="0.2">
      <c r="A114" s="104"/>
      <c r="B114" s="104"/>
      <c r="C114" s="104"/>
      <c r="D114" s="109"/>
      <c r="E114" s="109"/>
      <c r="F114" s="109"/>
      <c r="G114" s="109"/>
    </row>
    <row r="115" spans="1:10" ht="12.75" x14ac:dyDescent="0.2">
      <c r="A115" s="104"/>
      <c r="B115" s="199" t="s">
        <v>170</v>
      </c>
      <c r="C115" s="200"/>
      <c r="D115" s="201"/>
      <c r="E115" s="110"/>
      <c r="F115" s="109"/>
      <c r="G115" s="109"/>
    </row>
    <row r="116" spans="1:10" ht="27.75" customHeight="1" x14ac:dyDescent="0.2">
      <c r="A116" s="104"/>
      <c r="B116" s="202" t="s">
        <v>171</v>
      </c>
      <c r="C116" s="203"/>
      <c r="D116" s="86" t="s">
        <v>172</v>
      </c>
      <c r="E116" s="110"/>
      <c r="F116" s="109"/>
      <c r="G116" s="109"/>
    </row>
    <row r="117" spans="1:10" ht="12.75" customHeight="1" x14ac:dyDescent="0.2">
      <c r="A117" s="104"/>
      <c r="B117" s="202" t="s">
        <v>947</v>
      </c>
      <c r="C117" s="203"/>
      <c r="D117" s="86" t="s">
        <v>172</v>
      </c>
      <c r="E117" s="110"/>
      <c r="F117" s="109"/>
      <c r="G117" s="109"/>
    </row>
    <row r="118" spans="1:10" ht="12.75" x14ac:dyDescent="0.2">
      <c r="A118" s="104"/>
      <c r="B118" s="202" t="s">
        <v>173</v>
      </c>
      <c r="C118" s="203"/>
      <c r="D118" s="111" t="s">
        <v>143</v>
      </c>
      <c r="E118" s="110"/>
      <c r="F118" s="109"/>
      <c r="G118" s="109"/>
    </row>
    <row r="119" spans="1:10" ht="12.75" x14ac:dyDescent="0.2">
      <c r="A119" s="112"/>
      <c r="B119" s="113" t="s">
        <v>143</v>
      </c>
      <c r="C119" s="113" t="s">
        <v>948</v>
      </c>
      <c r="D119" s="113" t="s">
        <v>174</v>
      </c>
      <c r="E119" s="112"/>
      <c r="F119" s="112"/>
      <c r="G119" s="112"/>
      <c r="H119" s="112"/>
      <c r="J119" s="106"/>
    </row>
    <row r="120" spans="1:10" ht="12.75" x14ac:dyDescent="0.2">
      <c r="A120" s="112"/>
      <c r="B120" s="114" t="s">
        <v>175</v>
      </c>
      <c r="C120" s="115">
        <v>45869</v>
      </c>
      <c r="D120" s="115">
        <v>45900</v>
      </c>
      <c r="E120" s="112"/>
      <c r="F120" s="112"/>
      <c r="G120" s="112"/>
      <c r="J120" s="106"/>
    </row>
    <row r="121" spans="1:10" ht="14.25" customHeight="1" x14ac:dyDescent="0.2">
      <c r="A121" s="116"/>
      <c r="B121" s="89" t="s">
        <v>176</v>
      </c>
      <c r="C121" s="117">
        <v>28.8325</v>
      </c>
      <c r="D121" s="117">
        <v>28.040700000000001</v>
      </c>
      <c r="E121" s="116"/>
      <c r="F121" s="118"/>
      <c r="G121" s="119"/>
    </row>
    <row r="122" spans="1:10" ht="14.25" customHeight="1" x14ac:dyDescent="0.2">
      <c r="A122" s="116"/>
      <c r="B122" s="89" t="s">
        <v>954</v>
      </c>
      <c r="C122" s="117">
        <v>27.45</v>
      </c>
      <c r="D122" s="117">
        <v>26.696200000000001</v>
      </c>
      <c r="E122" s="116"/>
      <c r="F122" s="118"/>
      <c r="G122" s="119"/>
    </row>
    <row r="123" spans="1:10" ht="14.25" customHeight="1" x14ac:dyDescent="0.2">
      <c r="A123" s="116"/>
      <c r="B123" s="89" t="s">
        <v>177</v>
      </c>
      <c r="C123" s="117">
        <v>28.031700000000001</v>
      </c>
      <c r="D123" s="117">
        <v>27.256799999999998</v>
      </c>
      <c r="E123" s="116"/>
      <c r="F123" s="118"/>
      <c r="G123" s="119"/>
    </row>
    <row r="124" spans="1:10" ht="14.25" customHeight="1" x14ac:dyDescent="0.2">
      <c r="A124" s="116"/>
      <c r="B124" s="89" t="s">
        <v>955</v>
      </c>
      <c r="C124" s="117">
        <v>26.654199999999999</v>
      </c>
      <c r="D124" s="117">
        <v>25.9175</v>
      </c>
      <c r="E124" s="116"/>
      <c r="F124" s="118"/>
      <c r="G124" s="119"/>
    </row>
    <row r="125" spans="1:10" ht="14.25" customHeight="1" x14ac:dyDescent="0.2">
      <c r="A125" s="116"/>
      <c r="B125" s="116"/>
      <c r="C125" s="116"/>
      <c r="D125" s="116"/>
      <c r="E125" s="116"/>
      <c r="F125" s="116"/>
      <c r="G125" s="116"/>
    </row>
    <row r="126" spans="1:10" ht="12.75" x14ac:dyDescent="0.2">
      <c r="A126" s="112"/>
      <c r="B126" s="202" t="s">
        <v>949</v>
      </c>
      <c r="C126" s="203"/>
      <c r="D126" s="86" t="s">
        <v>172</v>
      </c>
      <c r="E126" s="112"/>
      <c r="F126" s="112"/>
      <c r="G126" s="112"/>
    </row>
    <row r="127" spans="1:10" ht="12.75" x14ac:dyDescent="0.2">
      <c r="A127" s="112"/>
      <c r="B127" s="120"/>
      <c r="C127" s="120"/>
      <c r="D127" s="120"/>
      <c r="E127" s="112"/>
      <c r="F127" s="112"/>
      <c r="G127" s="112"/>
    </row>
    <row r="128" spans="1:10" ht="12.75" x14ac:dyDescent="0.2">
      <c r="A128" s="112"/>
      <c r="B128" s="202" t="s">
        <v>178</v>
      </c>
      <c r="C128" s="203"/>
      <c r="D128" s="86" t="s">
        <v>172</v>
      </c>
      <c r="E128" s="121"/>
      <c r="F128" s="112"/>
      <c r="G128" s="112"/>
    </row>
    <row r="129" spans="1:10" ht="12.75" x14ac:dyDescent="0.2">
      <c r="A129" s="112"/>
      <c r="B129" s="202" t="s">
        <v>179</v>
      </c>
      <c r="C129" s="203"/>
      <c r="D129" s="86" t="s">
        <v>172</v>
      </c>
      <c r="E129" s="121"/>
      <c r="F129" s="112"/>
      <c r="G129" s="112"/>
    </row>
    <row r="130" spans="1:10" ht="12.75" x14ac:dyDescent="0.2">
      <c r="A130" s="112"/>
      <c r="B130" s="202" t="s">
        <v>180</v>
      </c>
      <c r="C130" s="203"/>
      <c r="D130" s="86" t="s">
        <v>172</v>
      </c>
      <c r="E130" s="121"/>
      <c r="F130" s="112"/>
      <c r="G130" s="112"/>
    </row>
    <row r="131" spans="1:10" ht="12.75" x14ac:dyDescent="0.2">
      <c r="A131" s="112"/>
      <c r="B131" s="202" t="s">
        <v>181</v>
      </c>
      <c r="C131" s="203"/>
      <c r="D131" s="122">
        <v>8.0302987866732053E-2</v>
      </c>
      <c r="E131" s="112"/>
      <c r="F131" s="105"/>
      <c r="G131" s="123"/>
    </row>
    <row r="132" spans="1:10" ht="12.75" x14ac:dyDescent="0.2"/>
    <row r="133" spans="1:10" ht="12.75" x14ac:dyDescent="0.2">
      <c r="B133" s="204" t="s">
        <v>950</v>
      </c>
      <c r="C133" s="204"/>
    </row>
    <row r="134" spans="1:10" ht="12.75" x14ac:dyDescent="0.2"/>
    <row r="135" spans="1:10" ht="153.75" customHeight="1" x14ac:dyDescent="0.2"/>
    <row r="136" spans="1:10" ht="12.75" x14ac:dyDescent="0.2"/>
    <row r="137" spans="1:10" ht="12.75" x14ac:dyDescent="0.2"/>
    <row r="138" spans="1:10" ht="12.75" x14ac:dyDescent="0.2">
      <c r="B138" s="124" t="s">
        <v>951</v>
      </c>
      <c r="C138" s="125"/>
      <c r="D138" s="124"/>
    </row>
    <row r="139" spans="1:10" ht="12.75" x14ac:dyDescent="0.2">
      <c r="B139" s="124" t="s">
        <v>965</v>
      </c>
      <c r="D139" s="124"/>
    </row>
    <row r="140" spans="1:10" ht="165" customHeight="1" x14ac:dyDescent="0.2"/>
    <row r="141" spans="1:10" ht="12.75" x14ac:dyDescent="0.2">
      <c r="J141" s="84"/>
    </row>
    <row r="142" spans="1:10" ht="12.75" x14ac:dyDescent="0.2"/>
    <row r="143" spans="1:10" ht="12.75" x14ac:dyDescent="0.2"/>
    <row r="144" spans="1:10" ht="12.75" x14ac:dyDescent="0.2"/>
    <row r="145" customFormat="1" ht="12.75" x14ac:dyDescent="0.2"/>
    <row r="146" customFormat="1" ht="12.75" x14ac:dyDescent="0.2"/>
    <row r="147" customFormat="1" ht="12.75" x14ac:dyDescent="0.2"/>
    <row r="148" customFormat="1" ht="12.75" x14ac:dyDescent="0.2"/>
    <row r="149" customFormat="1" ht="12.75" x14ac:dyDescent="0.2"/>
    <row r="150" customFormat="1" ht="12.75" x14ac:dyDescent="0.2"/>
    <row r="151" customFormat="1" ht="12.75" x14ac:dyDescent="0.2"/>
    <row r="152" customFormat="1" ht="12.75" x14ac:dyDescent="0.2"/>
  </sheetData>
  <mergeCells count="18">
    <mergeCell ref="B112:H112"/>
    <mergeCell ref="B113:H113"/>
    <mergeCell ref="B115:D115"/>
    <mergeCell ref="B116:C116"/>
    <mergeCell ref="B133:C133"/>
    <mergeCell ref="A1:H1"/>
    <mergeCell ref="A2:H2"/>
    <mergeCell ref="A3:H3"/>
    <mergeCell ref="B126:C126"/>
    <mergeCell ref="B130:C130"/>
    <mergeCell ref="B131:C131"/>
    <mergeCell ref="B109:H109"/>
    <mergeCell ref="B110:H110"/>
    <mergeCell ref="B117:C117"/>
    <mergeCell ref="B118:C118"/>
    <mergeCell ref="B128:C128"/>
    <mergeCell ref="B129:C129"/>
    <mergeCell ref="B111:H111"/>
  </mergeCells>
  <hyperlinks>
    <hyperlink ref="I1" location="Index!B2" display="Index" xr:uid="{800F165C-9741-481B-9333-CD35B63A35C9}"/>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1DF54-A965-486C-8BE1-D4E09CBEF9DD}">
  <sheetPr>
    <outlinePr summaryBelow="0" summaryRight="0"/>
  </sheetPr>
  <dimension ref="A1:Q147"/>
  <sheetViews>
    <sheetView showGridLines="0" workbookViewId="0">
      <selection sqref="A1:H1"/>
    </sheetView>
  </sheetViews>
  <sheetFormatPr defaultRowHeight="14.25" customHeight="1" x14ac:dyDescent="0.2"/>
  <cols>
    <col min="1" max="1" width="5.85546875" bestFit="1" customWidth="1"/>
    <col min="2" max="2" width="19.7109375" customWidth="1"/>
    <col min="3" max="3" width="39.140625" bestFit="1" customWidth="1"/>
    <col min="4" max="4" width="28.140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456</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358</v>
      </c>
      <c r="C7" s="89" t="s">
        <v>359</v>
      </c>
      <c r="D7" s="89" t="s">
        <v>188</v>
      </c>
      <c r="E7" s="90">
        <v>35553</v>
      </c>
      <c r="F7" s="91">
        <v>213.6913065</v>
      </c>
      <c r="G7" s="92">
        <v>5.9273069999999997E-2</v>
      </c>
      <c r="H7" s="87" t="s">
        <v>143</v>
      </c>
    </row>
    <row r="8" spans="1:9" ht="14.25" customHeight="1" x14ac:dyDescent="0.2">
      <c r="A8" s="88">
        <v>2</v>
      </c>
      <c r="B8" s="89" t="s">
        <v>341</v>
      </c>
      <c r="C8" s="89" t="s">
        <v>342</v>
      </c>
      <c r="D8" s="89" t="s">
        <v>256</v>
      </c>
      <c r="E8" s="90">
        <v>10679</v>
      </c>
      <c r="F8" s="91">
        <v>203.712604</v>
      </c>
      <c r="G8" s="92">
        <v>5.650521E-2</v>
      </c>
      <c r="H8" s="87" t="s">
        <v>143</v>
      </c>
    </row>
    <row r="9" spans="1:9" ht="14.25" customHeight="1" x14ac:dyDescent="0.2">
      <c r="A9" s="88">
        <v>3</v>
      </c>
      <c r="B9" s="89" t="s">
        <v>69</v>
      </c>
      <c r="C9" s="89" t="s">
        <v>70</v>
      </c>
      <c r="D9" s="89" t="s">
        <v>68</v>
      </c>
      <c r="E9" s="90">
        <v>22800</v>
      </c>
      <c r="F9" s="91">
        <v>188.30520000000001</v>
      </c>
      <c r="G9" s="92">
        <v>5.2231550000000002E-2</v>
      </c>
      <c r="H9" s="87" t="s">
        <v>143</v>
      </c>
    </row>
    <row r="10" spans="1:9" ht="14.25" customHeight="1" x14ac:dyDescent="0.2">
      <c r="A10" s="88">
        <v>4</v>
      </c>
      <c r="B10" s="89" t="s">
        <v>360</v>
      </c>
      <c r="C10" s="89" t="s">
        <v>361</v>
      </c>
      <c r="D10" s="89" t="s">
        <v>207</v>
      </c>
      <c r="E10" s="90">
        <v>53380</v>
      </c>
      <c r="F10" s="91">
        <v>174.57928999999999</v>
      </c>
      <c r="G10" s="92">
        <v>4.8424290000000002E-2</v>
      </c>
      <c r="H10" s="87" t="s">
        <v>143</v>
      </c>
    </row>
    <row r="11" spans="1:9" ht="14.25" customHeight="1" x14ac:dyDescent="0.2">
      <c r="A11" s="88">
        <v>5</v>
      </c>
      <c r="B11" s="89" t="s">
        <v>362</v>
      </c>
      <c r="C11" s="89" t="s">
        <v>363</v>
      </c>
      <c r="D11" s="89" t="s">
        <v>46</v>
      </c>
      <c r="E11" s="90">
        <v>8097</v>
      </c>
      <c r="F11" s="91">
        <v>173.52680699999999</v>
      </c>
      <c r="G11" s="92">
        <v>4.8132359999999999E-2</v>
      </c>
      <c r="H11" s="87" t="s">
        <v>143</v>
      </c>
    </row>
    <row r="12" spans="1:9" ht="14.25" customHeight="1" x14ac:dyDescent="0.2">
      <c r="A12" s="88">
        <v>6</v>
      </c>
      <c r="B12" s="89" t="s">
        <v>54</v>
      </c>
      <c r="C12" s="89" t="s">
        <v>55</v>
      </c>
      <c r="D12" s="89" t="s">
        <v>25</v>
      </c>
      <c r="E12" s="90">
        <v>2090</v>
      </c>
      <c r="F12" s="91">
        <v>145.18185</v>
      </c>
      <c r="G12" s="92">
        <v>4.027012E-2</v>
      </c>
      <c r="H12" s="87" t="s">
        <v>143</v>
      </c>
    </row>
    <row r="13" spans="1:9" ht="14.25" customHeight="1" x14ac:dyDescent="0.2">
      <c r="A13" s="88">
        <v>7</v>
      </c>
      <c r="B13" s="89" t="s">
        <v>364</v>
      </c>
      <c r="C13" s="89" t="s">
        <v>365</v>
      </c>
      <c r="D13" s="89" t="s">
        <v>33</v>
      </c>
      <c r="E13" s="90">
        <v>37549</v>
      </c>
      <c r="F13" s="91">
        <v>136.15267399999999</v>
      </c>
      <c r="G13" s="92">
        <v>3.7765630000000001E-2</v>
      </c>
      <c r="H13" s="87" t="s">
        <v>143</v>
      </c>
    </row>
    <row r="14" spans="1:9" ht="14.25" customHeight="1" x14ac:dyDescent="0.2">
      <c r="A14" s="88">
        <v>8</v>
      </c>
      <c r="B14" s="89" t="s">
        <v>376</v>
      </c>
      <c r="C14" s="89" t="s">
        <v>377</v>
      </c>
      <c r="D14" s="89" t="s">
        <v>223</v>
      </c>
      <c r="E14" s="90">
        <v>5956</v>
      </c>
      <c r="F14" s="91">
        <v>131.61568800000001</v>
      </c>
      <c r="G14" s="92">
        <v>3.650718E-2</v>
      </c>
      <c r="H14" s="87" t="s">
        <v>143</v>
      </c>
    </row>
    <row r="15" spans="1:9" ht="14.25" customHeight="1" x14ac:dyDescent="0.2">
      <c r="A15" s="88">
        <v>9</v>
      </c>
      <c r="B15" s="89" t="s">
        <v>368</v>
      </c>
      <c r="C15" s="89" t="s">
        <v>369</v>
      </c>
      <c r="D15" s="89" t="s">
        <v>33</v>
      </c>
      <c r="E15" s="90">
        <v>298383</v>
      </c>
      <c r="F15" s="91">
        <v>127.3498644</v>
      </c>
      <c r="G15" s="92">
        <v>3.5323930000000003E-2</v>
      </c>
      <c r="H15" s="87" t="s">
        <v>143</v>
      </c>
    </row>
    <row r="16" spans="1:9" ht="14.25" customHeight="1" x14ac:dyDescent="0.2">
      <c r="A16" s="88">
        <v>10</v>
      </c>
      <c r="B16" s="89" t="s">
        <v>366</v>
      </c>
      <c r="C16" s="89" t="s">
        <v>367</v>
      </c>
      <c r="D16" s="89" t="s">
        <v>46</v>
      </c>
      <c r="E16" s="90">
        <v>46205</v>
      </c>
      <c r="F16" s="91">
        <v>124.9614225</v>
      </c>
      <c r="G16" s="92">
        <v>3.466143E-2</v>
      </c>
      <c r="H16" s="87" t="s">
        <v>143</v>
      </c>
    </row>
    <row r="17" spans="1:8" ht="14.25" customHeight="1" x14ac:dyDescent="0.2">
      <c r="A17" s="88">
        <v>11</v>
      </c>
      <c r="B17" s="89" t="s">
        <v>374</v>
      </c>
      <c r="C17" s="89" t="s">
        <v>375</v>
      </c>
      <c r="D17" s="89" t="s">
        <v>268</v>
      </c>
      <c r="E17" s="90">
        <v>2631</v>
      </c>
      <c r="F17" s="91">
        <v>123.328125</v>
      </c>
      <c r="G17" s="92">
        <v>3.42084E-2</v>
      </c>
      <c r="H17" s="87" t="s">
        <v>143</v>
      </c>
    </row>
    <row r="18" spans="1:8" ht="14.25" customHeight="1" x14ac:dyDescent="0.2">
      <c r="A18" s="88">
        <v>12</v>
      </c>
      <c r="B18" s="89" t="s">
        <v>85</v>
      </c>
      <c r="C18" s="89" t="s">
        <v>86</v>
      </c>
      <c r="D18" s="89" t="s">
        <v>68</v>
      </c>
      <c r="E18" s="90">
        <v>3144</v>
      </c>
      <c r="F18" s="91">
        <v>119.80526399999999</v>
      </c>
      <c r="G18" s="92">
        <v>3.323123E-2</v>
      </c>
      <c r="H18" s="87" t="s">
        <v>143</v>
      </c>
    </row>
    <row r="19" spans="1:8" ht="14.25" customHeight="1" x14ac:dyDescent="0.2">
      <c r="A19" s="88">
        <v>13</v>
      </c>
      <c r="B19" s="89" t="s">
        <v>370</v>
      </c>
      <c r="C19" s="89" t="s">
        <v>371</v>
      </c>
      <c r="D19" s="89" t="s">
        <v>194</v>
      </c>
      <c r="E19" s="90">
        <v>1831</v>
      </c>
      <c r="F19" s="91">
        <v>116.6347</v>
      </c>
      <c r="G19" s="92">
        <v>3.2351789999999998E-2</v>
      </c>
      <c r="H19" s="87" t="s">
        <v>143</v>
      </c>
    </row>
    <row r="20" spans="1:8" ht="14.25" customHeight="1" x14ac:dyDescent="0.2">
      <c r="A20" s="88">
        <v>14</v>
      </c>
      <c r="B20" s="89" t="s">
        <v>339</v>
      </c>
      <c r="C20" s="89" t="s">
        <v>340</v>
      </c>
      <c r="D20" s="89" t="s">
        <v>223</v>
      </c>
      <c r="E20" s="90">
        <v>1382</v>
      </c>
      <c r="F20" s="91">
        <v>102.1298</v>
      </c>
      <c r="G20" s="92">
        <v>2.8328470000000001E-2</v>
      </c>
      <c r="H20" s="87" t="s">
        <v>143</v>
      </c>
    </row>
    <row r="21" spans="1:8" ht="14.25" customHeight="1" x14ac:dyDescent="0.2">
      <c r="A21" s="88">
        <v>15</v>
      </c>
      <c r="B21" s="89" t="s">
        <v>39</v>
      </c>
      <c r="C21" s="89" t="s">
        <v>40</v>
      </c>
      <c r="D21" s="89" t="s">
        <v>16</v>
      </c>
      <c r="E21" s="90">
        <v>7465</v>
      </c>
      <c r="F21" s="91">
        <v>93.237849999999995</v>
      </c>
      <c r="G21" s="92">
        <v>2.5862039999999999E-2</v>
      </c>
      <c r="H21" s="87" t="s">
        <v>143</v>
      </c>
    </row>
    <row r="22" spans="1:8" ht="14.25" customHeight="1" x14ac:dyDescent="0.2">
      <c r="A22" s="88">
        <v>16</v>
      </c>
      <c r="B22" s="89" t="s">
        <v>383</v>
      </c>
      <c r="C22" s="89" t="s">
        <v>384</v>
      </c>
      <c r="D22" s="89" t="s">
        <v>33</v>
      </c>
      <c r="E22" s="90">
        <v>180840</v>
      </c>
      <c r="F22" s="91">
        <v>90.908268000000007</v>
      </c>
      <c r="G22" s="92">
        <v>2.5215870000000001E-2</v>
      </c>
      <c r="H22" s="87" t="s">
        <v>143</v>
      </c>
    </row>
    <row r="23" spans="1:8" ht="14.25" customHeight="1" x14ac:dyDescent="0.2">
      <c r="A23" s="88">
        <v>17</v>
      </c>
      <c r="B23" s="89" t="s">
        <v>387</v>
      </c>
      <c r="C23" s="89" t="s">
        <v>388</v>
      </c>
      <c r="D23" s="89" t="s">
        <v>389</v>
      </c>
      <c r="E23" s="90">
        <v>23998</v>
      </c>
      <c r="F23" s="91">
        <v>86.392799999999994</v>
      </c>
      <c r="G23" s="92">
        <v>2.3963379999999999E-2</v>
      </c>
      <c r="H23" s="87" t="s">
        <v>143</v>
      </c>
    </row>
    <row r="24" spans="1:8" ht="14.25" customHeight="1" x14ac:dyDescent="0.2">
      <c r="A24" s="88">
        <v>18</v>
      </c>
      <c r="B24" s="89" t="s">
        <v>380</v>
      </c>
      <c r="C24" s="89" t="s">
        <v>381</v>
      </c>
      <c r="D24" s="89" t="s">
        <v>382</v>
      </c>
      <c r="E24" s="90">
        <v>7495</v>
      </c>
      <c r="F24" s="91">
        <v>83.936504999999997</v>
      </c>
      <c r="G24" s="92">
        <v>2.328206E-2</v>
      </c>
      <c r="H24" s="87" t="s">
        <v>143</v>
      </c>
    </row>
    <row r="25" spans="1:8" ht="14.25" customHeight="1" x14ac:dyDescent="0.2">
      <c r="A25" s="88">
        <v>19</v>
      </c>
      <c r="B25" s="89" t="s">
        <v>235</v>
      </c>
      <c r="C25" s="89" t="s">
        <v>236</v>
      </c>
      <c r="D25" s="89" t="s">
        <v>191</v>
      </c>
      <c r="E25" s="90">
        <v>707</v>
      </c>
      <c r="F25" s="91">
        <v>83.935040000000001</v>
      </c>
      <c r="G25" s="92">
        <v>2.3281659999999999E-2</v>
      </c>
      <c r="H25" s="87" t="s">
        <v>143</v>
      </c>
    </row>
    <row r="26" spans="1:8" ht="14.25" customHeight="1" x14ac:dyDescent="0.2">
      <c r="A26" s="88">
        <v>20</v>
      </c>
      <c r="B26" s="89" t="s">
        <v>385</v>
      </c>
      <c r="C26" s="89" t="s">
        <v>386</v>
      </c>
      <c r="D26" s="89" t="s">
        <v>199</v>
      </c>
      <c r="E26" s="90">
        <v>16328</v>
      </c>
      <c r="F26" s="91">
        <v>83.566704000000001</v>
      </c>
      <c r="G26" s="92">
        <v>2.3179490000000001E-2</v>
      </c>
      <c r="H26" s="87" t="s">
        <v>143</v>
      </c>
    </row>
    <row r="27" spans="1:8" ht="14.25" customHeight="1" x14ac:dyDescent="0.2">
      <c r="A27" s="88">
        <v>21</v>
      </c>
      <c r="B27" s="89" t="s">
        <v>66</v>
      </c>
      <c r="C27" s="89" t="s">
        <v>67</v>
      </c>
      <c r="D27" s="89" t="s">
        <v>68</v>
      </c>
      <c r="E27" s="90">
        <v>1517</v>
      </c>
      <c r="F27" s="91">
        <v>77.981385000000003</v>
      </c>
      <c r="G27" s="92">
        <v>2.163025E-2</v>
      </c>
      <c r="H27" s="87" t="s">
        <v>143</v>
      </c>
    </row>
    <row r="28" spans="1:8" ht="14.25" customHeight="1" x14ac:dyDescent="0.2">
      <c r="A28" s="88">
        <v>22</v>
      </c>
      <c r="B28" s="89" t="s">
        <v>394</v>
      </c>
      <c r="C28" s="89" t="s">
        <v>395</v>
      </c>
      <c r="D28" s="89" t="s">
        <v>191</v>
      </c>
      <c r="E28" s="90">
        <v>4105</v>
      </c>
      <c r="F28" s="91">
        <v>70.839984999999999</v>
      </c>
      <c r="G28" s="92">
        <v>1.9649389999999999E-2</v>
      </c>
      <c r="H28" s="87" t="s">
        <v>143</v>
      </c>
    </row>
    <row r="29" spans="1:8" ht="14.25" customHeight="1" x14ac:dyDescent="0.2">
      <c r="A29" s="88">
        <v>23</v>
      </c>
      <c r="B29" s="89" t="s">
        <v>411</v>
      </c>
      <c r="C29" s="89" t="s">
        <v>412</v>
      </c>
      <c r="D29" s="89" t="s">
        <v>199</v>
      </c>
      <c r="E29" s="90">
        <v>19125</v>
      </c>
      <c r="F29" s="91">
        <v>70.399124999999998</v>
      </c>
      <c r="G29" s="92">
        <v>1.9527099999999999E-2</v>
      </c>
      <c r="H29" s="87" t="s">
        <v>143</v>
      </c>
    </row>
    <row r="30" spans="1:8" ht="14.25" customHeight="1" x14ac:dyDescent="0.2">
      <c r="A30" s="88">
        <v>24</v>
      </c>
      <c r="B30" s="89" t="s">
        <v>75</v>
      </c>
      <c r="C30" s="89" t="s">
        <v>76</v>
      </c>
      <c r="D30" s="89" t="s">
        <v>77</v>
      </c>
      <c r="E30" s="90">
        <v>7562</v>
      </c>
      <c r="F30" s="91">
        <v>69.804822000000001</v>
      </c>
      <c r="G30" s="92">
        <v>1.9362259999999999E-2</v>
      </c>
      <c r="H30" s="87" t="s">
        <v>143</v>
      </c>
    </row>
    <row r="31" spans="1:8" ht="14.25" customHeight="1" x14ac:dyDescent="0.2">
      <c r="A31" s="88">
        <v>25</v>
      </c>
      <c r="B31" s="89" t="s">
        <v>398</v>
      </c>
      <c r="C31" s="89" t="s">
        <v>399</v>
      </c>
      <c r="D31" s="89" t="s">
        <v>207</v>
      </c>
      <c r="E31" s="90">
        <v>9506</v>
      </c>
      <c r="F31" s="91">
        <v>68.257833000000005</v>
      </c>
      <c r="G31" s="92">
        <v>1.8933160000000001E-2</v>
      </c>
      <c r="H31" s="87" t="s">
        <v>143</v>
      </c>
    </row>
    <row r="32" spans="1:8" ht="14.25" customHeight="1" x14ac:dyDescent="0.2">
      <c r="A32" s="88">
        <v>26</v>
      </c>
      <c r="B32" s="89" t="s">
        <v>396</v>
      </c>
      <c r="C32" s="89" t="s">
        <v>397</v>
      </c>
      <c r="D32" s="89" t="s">
        <v>68</v>
      </c>
      <c r="E32" s="90">
        <v>14157</v>
      </c>
      <c r="F32" s="91">
        <v>67.104179999999999</v>
      </c>
      <c r="G32" s="92">
        <v>1.861316E-2</v>
      </c>
      <c r="H32" s="87" t="s">
        <v>143</v>
      </c>
    </row>
    <row r="33" spans="1:8" ht="14.25" customHeight="1" x14ac:dyDescent="0.2">
      <c r="A33" s="88">
        <v>27</v>
      </c>
      <c r="B33" s="89" t="s">
        <v>390</v>
      </c>
      <c r="C33" s="89" t="s">
        <v>391</v>
      </c>
      <c r="D33" s="89" t="s">
        <v>191</v>
      </c>
      <c r="E33" s="90">
        <v>9140</v>
      </c>
      <c r="F33" s="91">
        <v>65.593209999999999</v>
      </c>
      <c r="G33" s="92">
        <v>1.819405E-2</v>
      </c>
      <c r="H33" s="87" t="s">
        <v>143</v>
      </c>
    </row>
    <row r="34" spans="1:8" ht="14.25" customHeight="1" x14ac:dyDescent="0.2">
      <c r="A34" s="88">
        <v>28</v>
      </c>
      <c r="B34" s="89" t="s">
        <v>400</v>
      </c>
      <c r="C34" s="89" t="s">
        <v>401</v>
      </c>
      <c r="D34" s="89" t="s">
        <v>256</v>
      </c>
      <c r="E34" s="90">
        <v>12789</v>
      </c>
      <c r="F34" s="91">
        <v>59.034024000000002</v>
      </c>
      <c r="G34" s="92">
        <v>1.6374690000000001E-2</v>
      </c>
      <c r="H34" s="87" t="s">
        <v>143</v>
      </c>
    </row>
    <row r="35" spans="1:8" ht="14.25" customHeight="1" x14ac:dyDescent="0.2">
      <c r="A35" s="88">
        <v>29</v>
      </c>
      <c r="B35" s="89" t="s">
        <v>402</v>
      </c>
      <c r="C35" s="89" t="s">
        <v>403</v>
      </c>
      <c r="D35" s="89" t="s">
        <v>194</v>
      </c>
      <c r="E35" s="90">
        <v>6182</v>
      </c>
      <c r="F35" s="91">
        <v>53.28884</v>
      </c>
      <c r="G35" s="92">
        <v>1.47811E-2</v>
      </c>
      <c r="H35" s="87" t="s">
        <v>143</v>
      </c>
    </row>
    <row r="36" spans="1:8" ht="14.25" customHeight="1" x14ac:dyDescent="0.2">
      <c r="A36" s="88">
        <v>30</v>
      </c>
      <c r="B36" s="89" t="s">
        <v>404</v>
      </c>
      <c r="C36" s="89" t="s">
        <v>405</v>
      </c>
      <c r="D36" s="89" t="s">
        <v>406</v>
      </c>
      <c r="E36" s="90">
        <v>3921</v>
      </c>
      <c r="F36" s="91">
        <v>52.184589000000003</v>
      </c>
      <c r="G36" s="92">
        <v>1.4474809999999999E-2</v>
      </c>
      <c r="H36" s="87" t="s">
        <v>143</v>
      </c>
    </row>
    <row r="37" spans="1:8" ht="14.25" customHeight="1" x14ac:dyDescent="0.2">
      <c r="A37" s="88">
        <v>31</v>
      </c>
      <c r="B37" s="89" t="s">
        <v>452</v>
      </c>
      <c r="C37" s="89" t="s">
        <v>453</v>
      </c>
      <c r="D37" s="89" t="s">
        <v>68</v>
      </c>
      <c r="E37" s="90">
        <v>10251</v>
      </c>
      <c r="F37" s="91">
        <v>49.953122999999998</v>
      </c>
      <c r="G37" s="92">
        <v>1.3855849999999999E-2</v>
      </c>
      <c r="H37" s="87" t="s">
        <v>143</v>
      </c>
    </row>
    <row r="38" spans="1:8" ht="14.25" customHeight="1" x14ac:dyDescent="0.2">
      <c r="A38" s="88">
        <v>32</v>
      </c>
      <c r="B38" s="89" t="s">
        <v>407</v>
      </c>
      <c r="C38" s="89" t="s">
        <v>408</v>
      </c>
      <c r="D38" s="89" t="s">
        <v>191</v>
      </c>
      <c r="E38" s="90">
        <v>6319</v>
      </c>
      <c r="F38" s="91">
        <v>47.619984000000002</v>
      </c>
      <c r="G38" s="92">
        <v>1.320869E-2</v>
      </c>
      <c r="H38" s="87" t="s">
        <v>143</v>
      </c>
    </row>
    <row r="39" spans="1:8" ht="14.25" customHeight="1" x14ac:dyDescent="0.2">
      <c r="A39" s="88">
        <v>33</v>
      </c>
      <c r="B39" s="89" t="s">
        <v>415</v>
      </c>
      <c r="C39" s="89" t="s">
        <v>416</v>
      </c>
      <c r="D39" s="89" t="s">
        <v>46</v>
      </c>
      <c r="E39" s="90">
        <v>3782</v>
      </c>
      <c r="F39" s="91">
        <v>27.502704000000001</v>
      </c>
      <c r="G39" s="92">
        <v>7.62862E-3</v>
      </c>
      <c r="H39" s="87" t="s">
        <v>143</v>
      </c>
    </row>
    <row r="40" spans="1:8" ht="14.25" customHeight="1" x14ac:dyDescent="0.2">
      <c r="A40" s="88">
        <v>34</v>
      </c>
      <c r="B40" s="89" t="s">
        <v>413</v>
      </c>
      <c r="C40" s="89" t="s">
        <v>414</v>
      </c>
      <c r="D40" s="89" t="s">
        <v>46</v>
      </c>
      <c r="E40" s="90">
        <v>3365</v>
      </c>
      <c r="F40" s="91">
        <v>25.11636</v>
      </c>
      <c r="G40" s="92">
        <v>6.9667000000000001E-3</v>
      </c>
      <c r="H40" s="87" t="s">
        <v>143</v>
      </c>
    </row>
    <row r="41" spans="1:8" ht="14.25" customHeight="1" x14ac:dyDescent="0.2">
      <c r="A41" s="88">
        <v>35</v>
      </c>
      <c r="B41" s="89" t="s">
        <v>419</v>
      </c>
      <c r="C41" s="89" t="s">
        <v>420</v>
      </c>
      <c r="D41" s="89" t="s">
        <v>43</v>
      </c>
      <c r="E41" s="90">
        <v>4604</v>
      </c>
      <c r="F41" s="91">
        <v>14.541734</v>
      </c>
      <c r="G41" s="92">
        <v>4.0335400000000004E-3</v>
      </c>
      <c r="H41" s="87" t="s">
        <v>143</v>
      </c>
    </row>
    <row r="42" spans="1:8" ht="14.25" customHeight="1" x14ac:dyDescent="0.2">
      <c r="A42" s="93"/>
      <c r="B42" s="93"/>
      <c r="C42" s="94" t="s">
        <v>142</v>
      </c>
      <c r="D42" s="93"/>
      <c r="E42" s="93" t="s">
        <v>143</v>
      </c>
      <c r="F42" s="95">
        <v>3422.1736603999998</v>
      </c>
      <c r="G42" s="96">
        <v>0.94923252999999996</v>
      </c>
      <c r="H42" s="87" t="s">
        <v>143</v>
      </c>
    </row>
    <row r="43" spans="1:8" ht="14.25" customHeight="1" x14ac:dyDescent="0.2">
      <c r="A43" s="93"/>
      <c r="B43" s="93"/>
      <c r="C43" s="97"/>
      <c r="D43" s="93"/>
      <c r="E43" s="93"/>
      <c r="F43" s="98"/>
      <c r="G43" s="98"/>
      <c r="H43" s="87" t="s">
        <v>143</v>
      </c>
    </row>
    <row r="44" spans="1:8" ht="14.25" customHeight="1" x14ac:dyDescent="0.2">
      <c r="A44" s="93"/>
      <c r="B44" s="93"/>
      <c r="C44" s="94" t="s">
        <v>144</v>
      </c>
      <c r="D44" s="93"/>
      <c r="E44" s="93"/>
      <c r="F44" s="93"/>
      <c r="G44" s="93"/>
      <c r="H44" s="87" t="s">
        <v>143</v>
      </c>
    </row>
    <row r="45" spans="1:8" ht="14.25" customHeight="1" x14ac:dyDescent="0.2">
      <c r="A45" s="93"/>
      <c r="B45" s="93"/>
      <c r="C45" s="94" t="s">
        <v>142</v>
      </c>
      <c r="D45" s="93"/>
      <c r="E45" s="93" t="s">
        <v>143</v>
      </c>
      <c r="F45" s="99" t="s">
        <v>145</v>
      </c>
      <c r="G45" s="96">
        <v>0</v>
      </c>
      <c r="H45" s="87" t="s">
        <v>143</v>
      </c>
    </row>
    <row r="46" spans="1:8" ht="14.25" customHeight="1" x14ac:dyDescent="0.2">
      <c r="A46" s="93"/>
      <c r="B46" s="93"/>
      <c r="C46" s="97"/>
      <c r="D46" s="93"/>
      <c r="E46" s="93"/>
      <c r="F46" s="98"/>
      <c r="G46" s="98"/>
      <c r="H46" s="87" t="s">
        <v>143</v>
      </c>
    </row>
    <row r="47" spans="1:8" ht="14.25" customHeight="1" x14ac:dyDescent="0.2">
      <c r="A47" s="93"/>
      <c r="B47" s="93"/>
      <c r="C47" s="94" t="s">
        <v>146</v>
      </c>
      <c r="D47" s="93"/>
      <c r="E47" s="93"/>
      <c r="F47" s="93"/>
      <c r="G47" s="93"/>
      <c r="H47" s="87" t="s">
        <v>143</v>
      </c>
    </row>
    <row r="48" spans="1:8" ht="14.25" customHeight="1" x14ac:dyDescent="0.2">
      <c r="A48" s="93"/>
      <c r="B48" s="93"/>
      <c r="C48" s="94" t="s">
        <v>142</v>
      </c>
      <c r="D48" s="93"/>
      <c r="E48" s="93" t="s">
        <v>143</v>
      </c>
      <c r="F48" s="99" t="s">
        <v>145</v>
      </c>
      <c r="G48" s="96">
        <v>0</v>
      </c>
      <c r="H48" s="87" t="s">
        <v>143</v>
      </c>
    </row>
    <row r="49" spans="1:8" ht="14.25" customHeight="1" x14ac:dyDescent="0.2">
      <c r="A49" s="93"/>
      <c r="B49" s="93"/>
      <c r="C49" s="97"/>
      <c r="D49" s="93"/>
      <c r="E49" s="93"/>
      <c r="F49" s="98"/>
      <c r="G49" s="98"/>
      <c r="H49" s="87" t="s">
        <v>143</v>
      </c>
    </row>
    <row r="50" spans="1:8" ht="14.25" customHeight="1" x14ac:dyDescent="0.2">
      <c r="A50" s="93"/>
      <c r="B50" s="93"/>
      <c r="C50" s="94" t="s">
        <v>147</v>
      </c>
      <c r="D50" s="93"/>
      <c r="E50" s="93"/>
      <c r="F50" s="93"/>
      <c r="G50" s="93"/>
      <c r="H50" s="87" t="s">
        <v>143</v>
      </c>
    </row>
    <row r="51" spans="1:8" ht="14.25" customHeight="1" x14ac:dyDescent="0.2">
      <c r="A51" s="93"/>
      <c r="B51" s="93"/>
      <c r="C51" s="94" t="s">
        <v>142</v>
      </c>
      <c r="D51" s="93"/>
      <c r="E51" s="93" t="s">
        <v>143</v>
      </c>
      <c r="F51" s="99" t="s">
        <v>145</v>
      </c>
      <c r="G51" s="96">
        <v>0</v>
      </c>
      <c r="H51" s="87" t="s">
        <v>143</v>
      </c>
    </row>
    <row r="52" spans="1:8" ht="14.25" customHeight="1" x14ac:dyDescent="0.2">
      <c r="A52" s="93"/>
      <c r="B52" s="93"/>
      <c r="C52" s="97"/>
      <c r="D52" s="93"/>
      <c r="E52" s="93"/>
      <c r="F52" s="98"/>
      <c r="G52" s="98"/>
      <c r="H52" s="87" t="s">
        <v>143</v>
      </c>
    </row>
    <row r="53" spans="1:8" ht="14.25" customHeight="1" x14ac:dyDescent="0.2">
      <c r="A53" s="93"/>
      <c r="B53" s="93"/>
      <c r="C53" s="94" t="s">
        <v>148</v>
      </c>
      <c r="D53" s="93"/>
      <c r="E53" s="93"/>
      <c r="F53" s="98"/>
      <c r="G53" s="98"/>
      <c r="H53" s="87" t="s">
        <v>143</v>
      </c>
    </row>
    <row r="54" spans="1:8" ht="14.25" customHeight="1" x14ac:dyDescent="0.2">
      <c r="A54" s="93"/>
      <c r="B54" s="93"/>
      <c r="C54" s="94" t="s">
        <v>142</v>
      </c>
      <c r="D54" s="93"/>
      <c r="E54" s="93" t="s">
        <v>143</v>
      </c>
      <c r="F54" s="99" t="s">
        <v>145</v>
      </c>
      <c r="G54" s="96">
        <v>0</v>
      </c>
      <c r="H54" s="87" t="s">
        <v>143</v>
      </c>
    </row>
    <row r="55" spans="1:8" ht="14.25" customHeight="1" x14ac:dyDescent="0.2">
      <c r="A55" s="93"/>
      <c r="B55" s="93"/>
      <c r="C55" s="97"/>
      <c r="D55" s="93"/>
      <c r="E55" s="93"/>
      <c r="F55" s="98"/>
      <c r="G55" s="98"/>
      <c r="H55" s="87" t="s">
        <v>143</v>
      </c>
    </row>
    <row r="56" spans="1:8" ht="14.25" customHeight="1" x14ac:dyDescent="0.2">
      <c r="A56" s="93"/>
      <c r="B56" s="93"/>
      <c r="C56" s="94" t="s">
        <v>149</v>
      </c>
      <c r="D56" s="93"/>
      <c r="E56" s="93"/>
      <c r="F56" s="98"/>
      <c r="G56" s="98"/>
      <c r="H56" s="87" t="s">
        <v>143</v>
      </c>
    </row>
    <row r="57" spans="1:8" ht="14.25" customHeight="1" x14ac:dyDescent="0.2">
      <c r="A57" s="93"/>
      <c r="B57" s="93"/>
      <c r="C57" s="94" t="s">
        <v>142</v>
      </c>
      <c r="D57" s="93"/>
      <c r="E57" s="93" t="s">
        <v>143</v>
      </c>
      <c r="F57" s="99" t="s">
        <v>145</v>
      </c>
      <c r="G57" s="96">
        <v>0</v>
      </c>
      <c r="H57" s="87" t="s">
        <v>143</v>
      </c>
    </row>
    <row r="58" spans="1:8" ht="14.25" customHeight="1" x14ac:dyDescent="0.2">
      <c r="A58" s="93"/>
      <c r="B58" s="93"/>
      <c r="C58" s="97"/>
      <c r="D58" s="93"/>
      <c r="E58" s="93"/>
      <c r="F58" s="98"/>
      <c r="G58" s="98"/>
      <c r="H58" s="87" t="s">
        <v>143</v>
      </c>
    </row>
    <row r="59" spans="1:8" ht="14.25" customHeight="1" x14ac:dyDescent="0.2">
      <c r="A59" s="93"/>
      <c r="B59" s="93"/>
      <c r="C59" s="94" t="s">
        <v>150</v>
      </c>
      <c r="D59" s="93"/>
      <c r="E59" s="93"/>
      <c r="F59" s="95">
        <v>3422.1736603999998</v>
      </c>
      <c r="G59" s="96">
        <v>0.94923252999999996</v>
      </c>
      <c r="H59" s="87" t="s">
        <v>143</v>
      </c>
    </row>
    <row r="60" spans="1:8" ht="14.25" customHeight="1" x14ac:dyDescent="0.2">
      <c r="A60" s="93"/>
      <c r="B60" s="93"/>
      <c r="C60" s="97"/>
      <c r="D60" s="93"/>
      <c r="E60" s="93"/>
      <c r="F60" s="98"/>
      <c r="G60" s="98"/>
      <c r="H60" s="87" t="s">
        <v>143</v>
      </c>
    </row>
    <row r="61" spans="1:8" ht="14.25" customHeight="1" x14ac:dyDescent="0.2">
      <c r="A61" s="93"/>
      <c r="B61" s="93"/>
      <c r="C61" s="94" t="s">
        <v>151</v>
      </c>
      <c r="D61" s="93"/>
      <c r="E61" s="93"/>
      <c r="F61" s="98"/>
      <c r="G61" s="98"/>
      <c r="H61" s="87" t="s">
        <v>143</v>
      </c>
    </row>
    <row r="62" spans="1:8" ht="14.25" customHeight="1" x14ac:dyDescent="0.2">
      <c r="A62" s="93"/>
      <c r="B62" s="93"/>
      <c r="C62" s="94" t="s">
        <v>10</v>
      </c>
      <c r="D62" s="93"/>
      <c r="E62" s="93"/>
      <c r="F62" s="98"/>
      <c r="G62" s="98"/>
      <c r="H62" s="87" t="s">
        <v>143</v>
      </c>
    </row>
    <row r="63" spans="1:8" ht="14.25" customHeight="1" x14ac:dyDescent="0.2">
      <c r="A63" s="93"/>
      <c r="B63" s="93"/>
      <c r="C63" s="94" t="s">
        <v>142</v>
      </c>
      <c r="D63" s="93"/>
      <c r="E63" s="93" t="s">
        <v>143</v>
      </c>
      <c r="F63" s="99" t="s">
        <v>145</v>
      </c>
      <c r="G63" s="96">
        <v>0</v>
      </c>
      <c r="H63" s="87" t="s">
        <v>143</v>
      </c>
    </row>
    <row r="64" spans="1:8" ht="14.25" customHeight="1" x14ac:dyDescent="0.2">
      <c r="A64" s="93"/>
      <c r="B64" s="93"/>
      <c r="C64" s="97"/>
      <c r="D64" s="93"/>
      <c r="E64" s="93"/>
      <c r="F64" s="98"/>
      <c r="G64" s="98"/>
      <c r="H64" s="87" t="s">
        <v>143</v>
      </c>
    </row>
    <row r="65" spans="1:8" ht="14.25" customHeight="1" x14ac:dyDescent="0.2">
      <c r="A65" s="93"/>
      <c r="B65" s="93"/>
      <c r="C65" s="94" t="s">
        <v>152</v>
      </c>
      <c r="D65" s="93"/>
      <c r="E65" s="93"/>
      <c r="F65" s="93"/>
      <c r="G65" s="93"/>
      <c r="H65" s="87" t="s">
        <v>143</v>
      </c>
    </row>
    <row r="66" spans="1:8" ht="14.25" customHeight="1" x14ac:dyDescent="0.2">
      <c r="A66" s="93"/>
      <c r="B66" s="93"/>
      <c r="C66" s="94" t="s">
        <v>142</v>
      </c>
      <c r="D66" s="93"/>
      <c r="E66" s="93" t="s">
        <v>143</v>
      </c>
      <c r="F66" s="99" t="s">
        <v>145</v>
      </c>
      <c r="G66" s="96">
        <v>0</v>
      </c>
      <c r="H66" s="87" t="s">
        <v>143</v>
      </c>
    </row>
    <row r="67" spans="1:8" ht="14.25" customHeight="1" x14ac:dyDescent="0.2">
      <c r="A67" s="93"/>
      <c r="B67" s="93"/>
      <c r="C67" s="97"/>
      <c r="D67" s="93"/>
      <c r="E67" s="93"/>
      <c r="F67" s="98"/>
      <c r="G67" s="98"/>
      <c r="H67" s="87" t="s">
        <v>143</v>
      </c>
    </row>
    <row r="68" spans="1:8" ht="14.25" customHeight="1" x14ac:dyDescent="0.2">
      <c r="A68" s="93"/>
      <c r="B68" s="93"/>
      <c r="C68" s="94" t="s">
        <v>153</v>
      </c>
      <c r="D68" s="93"/>
      <c r="E68" s="93"/>
      <c r="F68" s="93"/>
      <c r="G68" s="93"/>
      <c r="H68" s="87" t="s">
        <v>143</v>
      </c>
    </row>
    <row r="69" spans="1:8" ht="14.25" customHeight="1" x14ac:dyDescent="0.2">
      <c r="A69" s="93"/>
      <c r="B69" s="93"/>
      <c r="C69" s="94" t="s">
        <v>142</v>
      </c>
      <c r="D69" s="93"/>
      <c r="E69" s="93" t="s">
        <v>143</v>
      </c>
      <c r="F69" s="99" t="s">
        <v>145</v>
      </c>
      <c r="G69" s="96">
        <v>0</v>
      </c>
      <c r="H69" s="87" t="s">
        <v>143</v>
      </c>
    </row>
    <row r="70" spans="1:8" ht="14.25" customHeight="1" x14ac:dyDescent="0.2">
      <c r="A70" s="93"/>
      <c r="B70" s="93"/>
      <c r="C70" s="97"/>
      <c r="D70" s="93"/>
      <c r="E70" s="93"/>
      <c r="F70" s="98"/>
      <c r="G70" s="98"/>
      <c r="H70" s="87" t="s">
        <v>143</v>
      </c>
    </row>
    <row r="71" spans="1:8" ht="14.25" customHeight="1" x14ac:dyDescent="0.2">
      <c r="A71" s="93"/>
      <c r="B71" s="93"/>
      <c r="C71" s="94" t="s">
        <v>154</v>
      </c>
      <c r="D71" s="93"/>
      <c r="E71" s="93"/>
      <c r="F71" s="98"/>
      <c r="G71" s="98"/>
      <c r="H71" s="87" t="s">
        <v>143</v>
      </c>
    </row>
    <row r="72" spans="1:8" ht="14.25" customHeight="1" x14ac:dyDescent="0.2">
      <c r="A72" s="93"/>
      <c r="B72" s="93"/>
      <c r="C72" s="94" t="s">
        <v>142</v>
      </c>
      <c r="D72" s="93"/>
      <c r="E72" s="93" t="s">
        <v>143</v>
      </c>
      <c r="F72" s="99" t="s">
        <v>145</v>
      </c>
      <c r="G72" s="96">
        <v>0</v>
      </c>
      <c r="H72" s="87" t="s">
        <v>143</v>
      </c>
    </row>
    <row r="73" spans="1:8" ht="14.25" customHeight="1" x14ac:dyDescent="0.2">
      <c r="A73" s="93"/>
      <c r="B73" s="93"/>
      <c r="C73" s="97"/>
      <c r="D73" s="93"/>
      <c r="E73" s="93"/>
      <c r="F73" s="98"/>
      <c r="G73" s="98"/>
      <c r="H73" s="87" t="s">
        <v>143</v>
      </c>
    </row>
    <row r="74" spans="1:8" ht="14.25" customHeight="1" x14ac:dyDescent="0.2">
      <c r="A74" s="93"/>
      <c r="B74" s="93"/>
      <c r="C74" s="94" t="s">
        <v>155</v>
      </c>
      <c r="D74" s="93"/>
      <c r="E74" s="93"/>
      <c r="F74" s="95">
        <v>0</v>
      </c>
      <c r="G74" s="96">
        <v>0</v>
      </c>
      <c r="H74" s="87" t="s">
        <v>143</v>
      </c>
    </row>
    <row r="75" spans="1:8" ht="14.25" customHeight="1" x14ac:dyDescent="0.2">
      <c r="A75" s="93"/>
      <c r="B75" s="93"/>
      <c r="C75" s="97"/>
      <c r="D75" s="93"/>
      <c r="E75" s="93"/>
      <c r="F75" s="98"/>
      <c r="G75" s="98"/>
      <c r="H75" s="87" t="s">
        <v>143</v>
      </c>
    </row>
    <row r="76" spans="1:8" ht="14.25" customHeight="1" x14ac:dyDescent="0.2">
      <c r="A76" s="93"/>
      <c r="B76" s="93"/>
      <c r="C76" s="94" t="s">
        <v>156</v>
      </c>
      <c r="D76" s="93"/>
      <c r="E76" s="93"/>
      <c r="F76" s="98"/>
      <c r="G76" s="98"/>
      <c r="H76" s="87" t="s">
        <v>143</v>
      </c>
    </row>
    <row r="77" spans="1:8" ht="14.25" customHeight="1" x14ac:dyDescent="0.2">
      <c r="A77" s="93"/>
      <c r="B77" s="93"/>
      <c r="C77" s="94" t="s">
        <v>157</v>
      </c>
      <c r="D77" s="93"/>
      <c r="E77" s="93"/>
      <c r="F77" s="98"/>
      <c r="G77" s="98"/>
      <c r="H77" s="87" t="s">
        <v>143</v>
      </c>
    </row>
    <row r="78" spans="1:8" ht="14.25" customHeight="1" x14ac:dyDescent="0.2">
      <c r="A78" s="93"/>
      <c r="B78" s="93"/>
      <c r="C78" s="94" t="s">
        <v>142</v>
      </c>
      <c r="D78" s="93"/>
      <c r="E78" s="93" t="s">
        <v>143</v>
      </c>
      <c r="F78" s="99" t="s">
        <v>145</v>
      </c>
      <c r="G78" s="96">
        <v>0</v>
      </c>
      <c r="H78" s="87" t="s">
        <v>143</v>
      </c>
    </row>
    <row r="79" spans="1:8" ht="14.25" customHeight="1" x14ac:dyDescent="0.2">
      <c r="A79" s="93"/>
      <c r="B79" s="93"/>
      <c r="C79" s="97"/>
      <c r="D79" s="93"/>
      <c r="E79" s="93"/>
      <c r="F79" s="98"/>
      <c r="G79" s="98"/>
      <c r="H79" s="87" t="s">
        <v>143</v>
      </c>
    </row>
    <row r="80" spans="1:8" ht="14.25" customHeight="1" x14ac:dyDescent="0.2">
      <c r="A80" s="93"/>
      <c r="B80" s="93"/>
      <c r="C80" s="94" t="s">
        <v>158</v>
      </c>
      <c r="D80" s="93"/>
      <c r="E80" s="93"/>
      <c r="F80" s="98"/>
      <c r="G80" s="98"/>
      <c r="H80" s="87" t="s">
        <v>143</v>
      </c>
    </row>
    <row r="81" spans="1:8" ht="14.25" customHeight="1" x14ac:dyDescent="0.2">
      <c r="A81" s="93"/>
      <c r="B81" s="93"/>
      <c r="C81" s="94" t="s">
        <v>142</v>
      </c>
      <c r="D81" s="93"/>
      <c r="E81" s="93" t="s">
        <v>143</v>
      </c>
      <c r="F81" s="99" t="s">
        <v>145</v>
      </c>
      <c r="G81" s="96">
        <v>0</v>
      </c>
      <c r="H81" s="87" t="s">
        <v>143</v>
      </c>
    </row>
    <row r="82" spans="1:8" ht="14.25" customHeight="1" x14ac:dyDescent="0.2">
      <c r="A82" s="93"/>
      <c r="B82" s="93"/>
      <c r="C82" s="97"/>
      <c r="D82" s="93"/>
      <c r="E82" s="93"/>
      <c r="F82" s="98"/>
      <c r="G82" s="98"/>
      <c r="H82" s="87" t="s">
        <v>143</v>
      </c>
    </row>
    <row r="83" spans="1:8" ht="14.25" customHeight="1" x14ac:dyDescent="0.2">
      <c r="A83" s="93"/>
      <c r="B83" s="93"/>
      <c r="C83" s="94" t="s">
        <v>159</v>
      </c>
      <c r="D83" s="93"/>
      <c r="E83" s="93"/>
      <c r="F83" s="98"/>
      <c r="G83" s="98"/>
      <c r="H83" s="87" t="s">
        <v>143</v>
      </c>
    </row>
    <row r="84" spans="1:8" ht="14.25" customHeight="1" x14ac:dyDescent="0.2">
      <c r="A84" s="93"/>
      <c r="B84" s="93"/>
      <c r="C84" s="94" t="s">
        <v>142</v>
      </c>
      <c r="D84" s="93"/>
      <c r="E84" s="93" t="s">
        <v>143</v>
      </c>
      <c r="F84" s="99" t="s">
        <v>145</v>
      </c>
      <c r="G84" s="96">
        <v>0</v>
      </c>
      <c r="H84" s="87" t="s">
        <v>143</v>
      </c>
    </row>
    <row r="85" spans="1:8" ht="14.25" customHeight="1" x14ac:dyDescent="0.2">
      <c r="A85" s="93"/>
      <c r="B85" s="93"/>
      <c r="C85" s="97"/>
      <c r="D85" s="93"/>
      <c r="E85" s="93"/>
      <c r="F85" s="98"/>
      <c r="G85" s="98"/>
      <c r="H85" s="87" t="s">
        <v>143</v>
      </c>
    </row>
    <row r="86" spans="1:8" ht="14.25" customHeight="1" x14ac:dyDescent="0.2">
      <c r="A86" s="93"/>
      <c r="B86" s="93"/>
      <c r="C86" s="94" t="s">
        <v>160</v>
      </c>
      <c r="D86" s="93"/>
      <c r="E86" s="93"/>
      <c r="F86" s="98"/>
      <c r="G86" s="98"/>
      <c r="H86" s="87" t="s">
        <v>143</v>
      </c>
    </row>
    <row r="87" spans="1:8" ht="14.25" customHeight="1" x14ac:dyDescent="0.2">
      <c r="A87" s="88">
        <v>1</v>
      </c>
      <c r="B87" s="89"/>
      <c r="C87" s="89" t="s">
        <v>161</v>
      </c>
      <c r="D87" s="89"/>
      <c r="E87" s="100"/>
      <c r="F87" s="91">
        <v>183.235139</v>
      </c>
      <c r="G87" s="92">
        <v>5.0825229999999999E-2</v>
      </c>
      <c r="H87" s="87">
        <v>5.38</v>
      </c>
    </row>
    <row r="88" spans="1:8" ht="14.25" customHeight="1" x14ac:dyDescent="0.2">
      <c r="A88" s="93"/>
      <c r="B88" s="93"/>
      <c r="C88" s="94" t="s">
        <v>142</v>
      </c>
      <c r="D88" s="93"/>
      <c r="E88" s="93" t="s">
        <v>143</v>
      </c>
      <c r="F88" s="95">
        <v>183.235139</v>
      </c>
      <c r="G88" s="96">
        <v>5.0825229999999999E-2</v>
      </c>
      <c r="H88" s="87" t="s">
        <v>143</v>
      </c>
    </row>
    <row r="89" spans="1:8" ht="14.25" customHeight="1" x14ac:dyDescent="0.2">
      <c r="A89" s="93"/>
      <c r="B89" s="93"/>
      <c r="C89" s="97"/>
      <c r="D89" s="93"/>
      <c r="E89" s="93"/>
      <c r="F89" s="98"/>
      <c r="G89" s="98"/>
      <c r="H89" s="87" t="s">
        <v>143</v>
      </c>
    </row>
    <row r="90" spans="1:8" ht="14.25" customHeight="1" x14ac:dyDescent="0.2">
      <c r="A90" s="93"/>
      <c r="B90" s="93"/>
      <c r="C90" s="94" t="s">
        <v>162</v>
      </c>
      <c r="D90" s="93"/>
      <c r="E90" s="93"/>
      <c r="F90" s="95">
        <v>183.235139</v>
      </c>
      <c r="G90" s="96">
        <v>5.0825229999999999E-2</v>
      </c>
      <c r="H90" s="87" t="s">
        <v>143</v>
      </c>
    </row>
    <row r="91" spans="1:8" ht="14.25" customHeight="1" x14ac:dyDescent="0.2">
      <c r="A91" s="93"/>
      <c r="B91" s="93"/>
      <c r="C91" s="98"/>
      <c r="D91" s="93"/>
      <c r="E91" s="93"/>
      <c r="F91" s="93"/>
      <c r="G91" s="93"/>
      <c r="H91" s="87" t="s">
        <v>143</v>
      </c>
    </row>
    <row r="92" spans="1:8" ht="14.25" customHeight="1" x14ac:dyDescent="0.2">
      <c r="A92" s="93"/>
      <c r="B92" s="93"/>
      <c r="C92" s="94" t="s">
        <v>163</v>
      </c>
      <c r="D92" s="93"/>
      <c r="E92" s="93"/>
      <c r="F92" s="93"/>
      <c r="G92" s="93"/>
      <c r="H92" s="87" t="s">
        <v>143</v>
      </c>
    </row>
    <row r="93" spans="1:8" ht="14.25" customHeight="1" x14ac:dyDescent="0.2">
      <c r="A93" s="93"/>
      <c r="B93" s="93"/>
      <c r="C93" s="94" t="s">
        <v>164</v>
      </c>
      <c r="D93" s="93"/>
      <c r="E93" s="93"/>
      <c r="F93" s="93"/>
      <c r="G93" s="93"/>
      <c r="H93" s="87" t="s">
        <v>143</v>
      </c>
    </row>
    <row r="94" spans="1:8" ht="14.25" customHeight="1" x14ac:dyDescent="0.2">
      <c r="A94" s="93"/>
      <c r="B94" s="93"/>
      <c r="C94" s="94" t="s">
        <v>142</v>
      </c>
      <c r="D94" s="93"/>
      <c r="E94" s="93" t="s">
        <v>143</v>
      </c>
      <c r="F94" s="99" t="s">
        <v>145</v>
      </c>
      <c r="G94" s="96">
        <v>0</v>
      </c>
      <c r="H94" s="87" t="s">
        <v>143</v>
      </c>
    </row>
    <row r="95" spans="1:8" ht="14.25" customHeight="1" x14ac:dyDescent="0.2">
      <c r="A95" s="93"/>
      <c r="B95" s="93"/>
      <c r="C95" s="97"/>
      <c r="D95" s="93"/>
      <c r="E95" s="93"/>
      <c r="F95" s="98"/>
      <c r="G95" s="98"/>
      <c r="H95" s="87" t="s">
        <v>143</v>
      </c>
    </row>
    <row r="96" spans="1:8" ht="14.25" customHeight="1" x14ac:dyDescent="0.2">
      <c r="A96" s="93"/>
      <c r="B96" s="93"/>
      <c r="C96" s="94" t="s">
        <v>165</v>
      </c>
      <c r="D96" s="93"/>
      <c r="E96" s="93"/>
      <c r="F96" s="93"/>
      <c r="G96" s="93"/>
      <c r="H96" s="87" t="s">
        <v>143</v>
      </c>
    </row>
    <row r="97" spans="1:17" ht="14.25" customHeight="1" x14ac:dyDescent="0.2">
      <c r="A97" s="93"/>
      <c r="B97" s="93"/>
      <c r="C97" s="94" t="s">
        <v>166</v>
      </c>
      <c r="D97" s="93"/>
      <c r="E97" s="93"/>
      <c r="F97" s="93"/>
      <c r="G97" s="93"/>
      <c r="H97" s="87" t="s">
        <v>143</v>
      </c>
    </row>
    <row r="98" spans="1:17" ht="14.25" customHeight="1" x14ac:dyDescent="0.2">
      <c r="A98" s="93"/>
      <c r="B98" s="93"/>
      <c r="C98" s="94" t="s">
        <v>142</v>
      </c>
      <c r="D98" s="93"/>
      <c r="E98" s="93" t="s">
        <v>143</v>
      </c>
      <c r="F98" s="99" t="s">
        <v>145</v>
      </c>
      <c r="G98" s="96">
        <v>0</v>
      </c>
      <c r="H98" s="87" t="s">
        <v>143</v>
      </c>
    </row>
    <row r="99" spans="1:17" ht="14.25" customHeight="1" x14ac:dyDescent="0.2">
      <c r="A99" s="93"/>
      <c r="B99" s="93"/>
      <c r="C99" s="97"/>
      <c r="D99" s="93"/>
      <c r="E99" s="93"/>
      <c r="F99" s="98"/>
      <c r="G99" s="98"/>
      <c r="H99" s="87" t="s">
        <v>143</v>
      </c>
    </row>
    <row r="100" spans="1:17" ht="14.25" customHeight="1" x14ac:dyDescent="0.2">
      <c r="A100" s="93"/>
      <c r="B100" s="93"/>
      <c r="C100" s="94" t="s">
        <v>167</v>
      </c>
      <c r="D100" s="93"/>
      <c r="E100" s="93"/>
      <c r="F100" s="98"/>
      <c r="G100" s="98"/>
      <c r="H100" s="87" t="s">
        <v>143</v>
      </c>
    </row>
    <row r="101" spans="1:17" ht="14.25" customHeight="1" x14ac:dyDescent="0.2">
      <c r="A101" s="93"/>
      <c r="B101" s="93"/>
      <c r="C101" s="94" t="s">
        <v>142</v>
      </c>
      <c r="D101" s="93"/>
      <c r="E101" s="93" t="s">
        <v>143</v>
      </c>
      <c r="F101" s="99" t="s">
        <v>145</v>
      </c>
      <c r="G101" s="96">
        <v>0</v>
      </c>
      <c r="H101" s="87" t="s">
        <v>143</v>
      </c>
    </row>
    <row r="102" spans="1:17" ht="14.25" customHeight="1" x14ac:dyDescent="0.2">
      <c r="A102" s="93"/>
      <c r="B102" s="93"/>
      <c r="C102" s="97"/>
      <c r="D102" s="93"/>
      <c r="E102" s="93"/>
      <c r="F102" s="98"/>
      <c r="G102" s="98"/>
      <c r="H102" s="87" t="s">
        <v>143</v>
      </c>
    </row>
    <row r="103" spans="1:17" ht="14.25" customHeight="1" x14ac:dyDescent="0.2">
      <c r="A103" s="100"/>
      <c r="B103" s="89"/>
      <c r="C103" s="89" t="s">
        <v>168</v>
      </c>
      <c r="D103" s="89"/>
      <c r="E103" s="100"/>
      <c r="F103" s="91">
        <v>-0.20824334</v>
      </c>
      <c r="G103" s="92">
        <v>-5.7760000000000003E-5</v>
      </c>
      <c r="H103" s="87" t="s">
        <v>143</v>
      </c>
    </row>
    <row r="104" spans="1:17" ht="14.25" customHeight="1" x14ac:dyDescent="0.2">
      <c r="A104" s="97"/>
      <c r="B104" s="97"/>
      <c r="C104" s="94" t="s">
        <v>169</v>
      </c>
      <c r="D104" s="98"/>
      <c r="E104" s="98"/>
      <c r="F104" s="95">
        <v>3605.2005560600001</v>
      </c>
      <c r="G104" s="101">
        <v>1</v>
      </c>
      <c r="H104" s="87" t="s">
        <v>143</v>
      </c>
    </row>
    <row r="105" spans="1:17" ht="12.75" x14ac:dyDescent="0.2">
      <c r="A105" s="102"/>
      <c r="B105" s="102"/>
      <c r="C105" s="102"/>
      <c r="D105" s="103"/>
      <c r="E105" s="103"/>
      <c r="F105" s="103"/>
      <c r="G105" s="103"/>
    </row>
    <row r="106" spans="1:17" ht="12.75" x14ac:dyDescent="0.2">
      <c r="A106" s="104"/>
      <c r="B106" s="206" t="s">
        <v>942</v>
      </c>
      <c r="C106" s="206"/>
      <c r="D106" s="206"/>
      <c r="E106" s="206"/>
      <c r="F106" s="206"/>
      <c r="G106" s="206"/>
      <c r="H106" s="206"/>
      <c r="J106" s="106"/>
    </row>
    <row r="107" spans="1:17" ht="12.75" x14ac:dyDescent="0.2">
      <c r="A107" s="104"/>
      <c r="B107" s="206" t="s">
        <v>943</v>
      </c>
      <c r="C107" s="206"/>
      <c r="D107" s="206"/>
      <c r="E107" s="206"/>
      <c r="F107" s="206"/>
      <c r="G107" s="206"/>
      <c r="H107" s="206"/>
      <c r="J107" s="106"/>
    </row>
    <row r="108" spans="1:17" ht="12.75" x14ac:dyDescent="0.2">
      <c r="A108" s="104"/>
      <c r="B108" s="206" t="s">
        <v>944</v>
      </c>
      <c r="C108" s="206"/>
      <c r="D108" s="206"/>
      <c r="E108" s="206"/>
      <c r="F108" s="206"/>
      <c r="G108" s="206"/>
      <c r="H108" s="206"/>
      <c r="J108" s="106"/>
    </row>
    <row r="109" spans="1:17" s="108" customFormat="1" ht="66.75" customHeight="1" x14ac:dyDescent="0.25">
      <c r="A109" s="107"/>
      <c r="B109" s="207" t="s">
        <v>945</v>
      </c>
      <c r="C109" s="207"/>
      <c r="D109" s="207"/>
      <c r="E109" s="207"/>
      <c r="F109" s="207"/>
      <c r="G109" s="207"/>
      <c r="H109" s="207"/>
      <c r="I109"/>
      <c r="J109" s="106"/>
      <c r="K109"/>
      <c r="L109"/>
      <c r="M109"/>
      <c r="N109"/>
      <c r="O109"/>
      <c r="P109"/>
      <c r="Q109"/>
    </row>
    <row r="110" spans="1:17" ht="12.75" x14ac:dyDescent="0.2">
      <c r="A110" s="104"/>
      <c r="B110" s="206" t="s">
        <v>946</v>
      </c>
      <c r="C110" s="206"/>
      <c r="D110" s="206"/>
      <c r="E110" s="206"/>
      <c r="F110" s="206"/>
      <c r="G110" s="206"/>
      <c r="H110" s="206"/>
      <c r="J110" s="106"/>
    </row>
    <row r="111" spans="1:17" ht="12.75" x14ac:dyDescent="0.2">
      <c r="A111" s="104"/>
      <c r="B111" s="104"/>
      <c r="C111" s="104"/>
      <c r="D111" s="109"/>
      <c r="E111" s="109"/>
      <c r="F111" s="109"/>
      <c r="G111" s="109"/>
    </row>
    <row r="112" spans="1:17" ht="12.75" x14ac:dyDescent="0.2">
      <c r="A112" s="104"/>
      <c r="B112" s="199" t="s">
        <v>170</v>
      </c>
      <c r="C112" s="200"/>
      <c r="D112" s="201"/>
      <c r="E112" s="110"/>
      <c r="F112" s="109"/>
      <c r="G112" s="109"/>
    </row>
    <row r="113" spans="1:10" ht="27.75" customHeight="1" x14ac:dyDescent="0.2">
      <c r="A113" s="104"/>
      <c r="B113" s="202" t="s">
        <v>171</v>
      </c>
      <c r="C113" s="203"/>
      <c r="D113" s="86" t="s">
        <v>172</v>
      </c>
      <c r="E113" s="110"/>
      <c r="F113" s="109"/>
      <c r="G113" s="109"/>
    </row>
    <row r="114" spans="1:10" ht="12.75" customHeight="1" x14ac:dyDescent="0.2">
      <c r="A114" s="104"/>
      <c r="B114" s="202" t="s">
        <v>947</v>
      </c>
      <c r="C114" s="203"/>
      <c r="D114" s="86" t="s">
        <v>172</v>
      </c>
      <c r="E114" s="110"/>
      <c r="F114" s="109"/>
      <c r="G114" s="109"/>
    </row>
    <row r="115" spans="1:10" ht="12.75" x14ac:dyDescent="0.2">
      <c r="A115" s="104"/>
      <c r="B115" s="202" t="s">
        <v>173</v>
      </c>
      <c r="C115" s="203"/>
      <c r="D115" s="111" t="s">
        <v>143</v>
      </c>
      <c r="E115" s="110"/>
      <c r="F115" s="109"/>
      <c r="G115" s="109"/>
    </row>
    <row r="116" spans="1:10" ht="12.75" x14ac:dyDescent="0.2">
      <c r="A116" s="112"/>
      <c r="B116" s="113" t="s">
        <v>143</v>
      </c>
      <c r="C116" s="113" t="s">
        <v>948</v>
      </c>
      <c r="D116" s="113" t="s">
        <v>174</v>
      </c>
      <c r="E116" s="112"/>
      <c r="F116" s="112"/>
      <c r="G116" s="112"/>
      <c r="H116" s="112"/>
      <c r="J116" s="106"/>
    </row>
    <row r="117" spans="1:10" ht="12.75" x14ac:dyDescent="0.2">
      <c r="A117" s="112"/>
      <c r="B117" s="114" t="s">
        <v>175</v>
      </c>
      <c r="C117" s="115">
        <v>45869</v>
      </c>
      <c r="D117" s="115">
        <v>45900</v>
      </c>
      <c r="E117" s="112"/>
      <c r="F117" s="112"/>
      <c r="G117" s="112"/>
      <c r="J117" s="106"/>
    </row>
    <row r="118" spans="1:10" ht="14.25" customHeight="1" x14ac:dyDescent="0.2">
      <c r="A118" s="116"/>
      <c r="B118" s="89" t="s">
        <v>176</v>
      </c>
      <c r="C118" s="117">
        <v>28.0837</v>
      </c>
      <c r="D118" s="117">
        <v>27.290099999999999</v>
      </c>
      <c r="E118" s="116"/>
      <c r="F118" s="118"/>
      <c r="G118" s="119"/>
    </row>
    <row r="119" spans="1:10" ht="14.25" customHeight="1" x14ac:dyDescent="0.2">
      <c r="A119" s="116"/>
      <c r="B119" s="89" t="s">
        <v>954</v>
      </c>
      <c r="C119" s="117">
        <v>27.181100000000001</v>
      </c>
      <c r="D119" s="117">
        <v>26.413</v>
      </c>
      <c r="E119" s="116"/>
      <c r="F119" s="118"/>
      <c r="G119" s="119"/>
    </row>
    <row r="120" spans="1:10" ht="14.25" customHeight="1" x14ac:dyDescent="0.2">
      <c r="A120" s="116"/>
      <c r="B120" s="89" t="s">
        <v>177</v>
      </c>
      <c r="C120" s="117">
        <v>26.786100000000001</v>
      </c>
      <c r="D120" s="117">
        <v>26.023900000000001</v>
      </c>
      <c r="E120" s="116"/>
      <c r="F120" s="118"/>
      <c r="G120" s="119"/>
    </row>
    <row r="121" spans="1:10" ht="14.25" customHeight="1" x14ac:dyDescent="0.2">
      <c r="A121" s="116"/>
      <c r="B121" s="89" t="s">
        <v>955</v>
      </c>
      <c r="C121" s="117">
        <v>25.8871</v>
      </c>
      <c r="D121" s="117">
        <v>25.150400000000001</v>
      </c>
      <c r="E121" s="116"/>
      <c r="F121" s="118"/>
      <c r="G121" s="119"/>
    </row>
    <row r="122" spans="1:10" ht="14.25" customHeight="1" x14ac:dyDescent="0.2">
      <c r="A122" s="116"/>
      <c r="B122" s="116"/>
      <c r="C122" s="116"/>
      <c r="D122" s="116"/>
      <c r="E122" s="116"/>
      <c r="F122" s="116"/>
      <c r="G122" s="116"/>
    </row>
    <row r="123" spans="1:10" ht="12.75" x14ac:dyDescent="0.2">
      <c r="A123" s="112"/>
      <c r="B123" s="202" t="s">
        <v>949</v>
      </c>
      <c r="C123" s="203"/>
      <c r="D123" s="86" t="s">
        <v>172</v>
      </c>
      <c r="E123" s="112"/>
      <c r="F123" s="112"/>
      <c r="G123" s="112"/>
    </row>
    <row r="124" spans="1:10" ht="12.75" x14ac:dyDescent="0.2">
      <c r="A124" s="112"/>
      <c r="B124" s="120"/>
      <c r="C124" s="120"/>
      <c r="D124" s="120"/>
      <c r="E124" s="112"/>
      <c r="F124" s="112"/>
      <c r="G124" s="112"/>
    </row>
    <row r="125" spans="1:10" ht="12.75" x14ac:dyDescent="0.2">
      <c r="A125" s="112"/>
      <c r="B125" s="202" t="s">
        <v>178</v>
      </c>
      <c r="C125" s="203"/>
      <c r="D125" s="86" t="s">
        <v>172</v>
      </c>
      <c r="E125" s="121"/>
      <c r="F125" s="112"/>
      <c r="G125" s="112"/>
    </row>
    <row r="126" spans="1:10" ht="12.75" x14ac:dyDescent="0.2">
      <c r="A126" s="112"/>
      <c r="B126" s="202" t="s">
        <v>179</v>
      </c>
      <c r="C126" s="203"/>
      <c r="D126" s="86" t="s">
        <v>172</v>
      </c>
      <c r="E126" s="121"/>
      <c r="F126" s="112"/>
      <c r="G126" s="112"/>
    </row>
    <row r="127" spans="1:10" ht="12.75" x14ac:dyDescent="0.2">
      <c r="A127" s="112"/>
      <c r="B127" s="202" t="s">
        <v>180</v>
      </c>
      <c r="C127" s="203"/>
      <c r="D127" s="86" t="s">
        <v>172</v>
      </c>
      <c r="E127" s="121"/>
      <c r="F127" s="112"/>
      <c r="G127" s="112"/>
    </row>
    <row r="128" spans="1:10" ht="12.75" x14ac:dyDescent="0.2">
      <c r="A128" s="112"/>
      <c r="B128" s="202" t="s">
        <v>181</v>
      </c>
      <c r="C128" s="203"/>
      <c r="D128" s="122">
        <v>8.0833180371815361E-2</v>
      </c>
      <c r="E128" s="112"/>
      <c r="F128" s="105"/>
      <c r="G128" s="123"/>
    </row>
    <row r="129" spans="2:10" ht="12.75" x14ac:dyDescent="0.2"/>
    <row r="130" spans="2:10" ht="12.75" x14ac:dyDescent="0.2">
      <c r="B130" s="204" t="s">
        <v>950</v>
      </c>
      <c r="C130" s="204"/>
    </row>
    <row r="131" spans="2:10" ht="12.75" x14ac:dyDescent="0.2"/>
    <row r="132" spans="2:10" ht="153.75" customHeight="1" x14ac:dyDescent="0.2"/>
    <row r="133" spans="2:10" ht="12.75" x14ac:dyDescent="0.2"/>
    <row r="134" spans="2:10" ht="12.75" x14ac:dyDescent="0.2"/>
    <row r="135" spans="2:10" ht="12.75" x14ac:dyDescent="0.2">
      <c r="B135" s="124" t="s">
        <v>951</v>
      </c>
      <c r="C135" s="125"/>
      <c r="D135" s="124"/>
    </row>
    <row r="136" spans="2:10" ht="12.75" x14ac:dyDescent="0.2">
      <c r="B136" s="124" t="s">
        <v>966</v>
      </c>
      <c r="D136" s="124"/>
    </row>
    <row r="137" spans="2:10" ht="165" customHeight="1" x14ac:dyDescent="0.2"/>
    <row r="138" spans="2:10" ht="12.75" x14ac:dyDescent="0.2">
      <c r="J138" s="84"/>
    </row>
    <row r="139" spans="2:10" ht="12.75" x14ac:dyDescent="0.2"/>
    <row r="140" spans="2:10" ht="12.75" x14ac:dyDescent="0.2"/>
    <row r="141" spans="2:10" ht="12.75" x14ac:dyDescent="0.2"/>
    <row r="142" spans="2:10" ht="12.75" x14ac:dyDescent="0.2"/>
    <row r="143" spans="2:10" ht="12.75" x14ac:dyDescent="0.2"/>
    <row r="144" spans="2:10" ht="12.75" x14ac:dyDescent="0.2"/>
    <row r="145" customFormat="1" ht="14.25" customHeight="1" x14ac:dyDescent="0.2"/>
    <row r="146" customFormat="1" ht="14.25" customHeight="1" x14ac:dyDescent="0.2"/>
    <row r="147" customFormat="1" ht="14.25" customHeight="1" x14ac:dyDescent="0.2"/>
  </sheetData>
  <mergeCells count="18">
    <mergeCell ref="B109:H109"/>
    <mergeCell ref="B110:H110"/>
    <mergeCell ref="B112:D112"/>
    <mergeCell ref="B113:C113"/>
    <mergeCell ref="B130:C130"/>
    <mergeCell ref="A1:H1"/>
    <mergeCell ref="A2:H2"/>
    <mergeCell ref="A3:H3"/>
    <mergeCell ref="B123:C123"/>
    <mergeCell ref="B127:C127"/>
    <mergeCell ref="B128:C128"/>
    <mergeCell ref="B106:H106"/>
    <mergeCell ref="B107:H107"/>
    <mergeCell ref="B114:C114"/>
    <mergeCell ref="B115:C115"/>
    <mergeCell ref="B125:C125"/>
    <mergeCell ref="B126:C126"/>
    <mergeCell ref="B108:H108"/>
  </mergeCells>
  <hyperlinks>
    <hyperlink ref="I1" location="Index!B2" display="Index" xr:uid="{72503DE6-8F48-4BA5-A0C0-FBDBCB11EFB0}"/>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EB782-E4B9-4074-A54B-7D317BB00BAF}">
  <sheetPr>
    <outlinePr summaryBelow="0" summaryRight="0"/>
  </sheetPr>
  <dimension ref="A1:Q172"/>
  <sheetViews>
    <sheetView showGridLines="0" workbookViewId="0">
      <selection sqref="A1:H1"/>
    </sheetView>
  </sheetViews>
  <sheetFormatPr defaultRowHeight="14.25" customHeight="1" x14ac:dyDescent="0.2"/>
  <cols>
    <col min="1" max="1" width="5.85546875" bestFit="1" customWidth="1"/>
    <col min="2" max="2" width="19.7109375" customWidth="1"/>
    <col min="3" max="3" width="42.5703125" bestFit="1" customWidth="1"/>
    <col min="4" max="4" width="29.28515625" bestFit="1" customWidth="1"/>
    <col min="5" max="5" width="13.570312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457</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358</v>
      </c>
      <c r="C7" s="89" t="s">
        <v>359</v>
      </c>
      <c r="D7" s="89" t="s">
        <v>188</v>
      </c>
      <c r="E7" s="90">
        <v>1898655</v>
      </c>
      <c r="F7" s="91">
        <v>11411.8658775</v>
      </c>
      <c r="G7" s="92">
        <v>3.476899E-2</v>
      </c>
      <c r="H7" s="87" t="s">
        <v>143</v>
      </c>
    </row>
    <row r="8" spans="1:9" ht="14.25" customHeight="1" x14ac:dyDescent="0.2">
      <c r="A8" s="88">
        <v>2</v>
      </c>
      <c r="B8" s="89" t="s">
        <v>458</v>
      </c>
      <c r="C8" s="89" t="s">
        <v>459</v>
      </c>
      <c r="D8" s="89" t="s">
        <v>460</v>
      </c>
      <c r="E8" s="90">
        <v>899463</v>
      </c>
      <c r="F8" s="91">
        <v>10126.154454</v>
      </c>
      <c r="G8" s="92">
        <v>3.0851759999999999E-2</v>
      </c>
      <c r="H8" s="87" t="s">
        <v>143</v>
      </c>
    </row>
    <row r="9" spans="1:9" ht="14.25" customHeight="1" x14ac:dyDescent="0.2">
      <c r="A9" s="88">
        <v>3</v>
      </c>
      <c r="B9" s="89" t="s">
        <v>341</v>
      </c>
      <c r="C9" s="89" t="s">
        <v>342</v>
      </c>
      <c r="D9" s="89" t="s">
        <v>256</v>
      </c>
      <c r="E9" s="90">
        <v>530036</v>
      </c>
      <c r="F9" s="91">
        <v>10110.966736</v>
      </c>
      <c r="G9" s="92">
        <v>3.0805490000000001E-2</v>
      </c>
      <c r="H9" s="87" t="s">
        <v>143</v>
      </c>
    </row>
    <row r="10" spans="1:9" ht="14.25" customHeight="1" x14ac:dyDescent="0.2">
      <c r="A10" s="88">
        <v>4</v>
      </c>
      <c r="B10" s="89" t="s">
        <v>83</v>
      </c>
      <c r="C10" s="89" t="s">
        <v>84</v>
      </c>
      <c r="D10" s="89" t="s">
        <v>43</v>
      </c>
      <c r="E10" s="90">
        <v>140821</v>
      </c>
      <c r="F10" s="91">
        <v>9734.2516250000008</v>
      </c>
      <c r="G10" s="92">
        <v>2.9657739999999998E-2</v>
      </c>
      <c r="H10" s="87" t="s">
        <v>143</v>
      </c>
    </row>
    <row r="11" spans="1:9" ht="14.25" customHeight="1" x14ac:dyDescent="0.2">
      <c r="A11" s="88">
        <v>5</v>
      </c>
      <c r="B11" s="89" t="s">
        <v>362</v>
      </c>
      <c r="C11" s="89" t="s">
        <v>363</v>
      </c>
      <c r="D11" s="89" t="s">
        <v>46</v>
      </c>
      <c r="E11" s="90">
        <v>431921</v>
      </c>
      <c r="F11" s="91">
        <v>9256.4989509999996</v>
      </c>
      <c r="G11" s="92">
        <v>2.8202149999999999E-2</v>
      </c>
      <c r="H11" s="87" t="s">
        <v>143</v>
      </c>
    </row>
    <row r="12" spans="1:9" ht="14.25" customHeight="1" x14ac:dyDescent="0.2">
      <c r="A12" s="88">
        <v>6</v>
      </c>
      <c r="B12" s="89" t="s">
        <v>41</v>
      </c>
      <c r="C12" s="89" t="s">
        <v>42</v>
      </c>
      <c r="D12" s="89" t="s">
        <v>43</v>
      </c>
      <c r="E12" s="90">
        <v>648946</v>
      </c>
      <c r="F12" s="91">
        <v>8403.8507000000009</v>
      </c>
      <c r="G12" s="92">
        <v>2.5604350000000001E-2</v>
      </c>
      <c r="H12" s="87" t="s">
        <v>143</v>
      </c>
    </row>
    <row r="13" spans="1:9" ht="14.25" customHeight="1" x14ac:dyDescent="0.2">
      <c r="A13" s="88">
        <v>7</v>
      </c>
      <c r="B13" s="89" t="s">
        <v>407</v>
      </c>
      <c r="C13" s="89" t="s">
        <v>408</v>
      </c>
      <c r="D13" s="89" t="s">
        <v>191</v>
      </c>
      <c r="E13" s="90">
        <v>991559</v>
      </c>
      <c r="F13" s="91">
        <v>7472.3886240000002</v>
      </c>
      <c r="G13" s="92">
        <v>2.2766430000000001E-2</v>
      </c>
      <c r="H13" s="87" t="s">
        <v>143</v>
      </c>
    </row>
    <row r="14" spans="1:9" ht="14.25" customHeight="1" x14ac:dyDescent="0.2">
      <c r="A14" s="88">
        <v>8</v>
      </c>
      <c r="B14" s="89" t="s">
        <v>385</v>
      </c>
      <c r="C14" s="89" t="s">
        <v>386</v>
      </c>
      <c r="D14" s="89" t="s">
        <v>199</v>
      </c>
      <c r="E14" s="90">
        <v>1407678</v>
      </c>
      <c r="F14" s="91">
        <v>7204.4960039999996</v>
      </c>
      <c r="G14" s="92">
        <v>2.1950230000000001E-2</v>
      </c>
      <c r="H14" s="87" t="s">
        <v>143</v>
      </c>
    </row>
    <row r="15" spans="1:9" ht="14.25" customHeight="1" x14ac:dyDescent="0.2">
      <c r="A15" s="88">
        <v>9</v>
      </c>
      <c r="B15" s="89" t="s">
        <v>368</v>
      </c>
      <c r="C15" s="89" t="s">
        <v>369</v>
      </c>
      <c r="D15" s="89" t="s">
        <v>33</v>
      </c>
      <c r="E15" s="90">
        <v>16665062</v>
      </c>
      <c r="F15" s="91">
        <v>7112.6484615999998</v>
      </c>
      <c r="G15" s="92">
        <v>2.1670390000000001E-2</v>
      </c>
      <c r="H15" s="87" t="s">
        <v>143</v>
      </c>
    </row>
    <row r="16" spans="1:9" ht="14.25" customHeight="1" x14ac:dyDescent="0.2">
      <c r="A16" s="88">
        <v>10</v>
      </c>
      <c r="B16" s="89" t="s">
        <v>394</v>
      </c>
      <c r="C16" s="89" t="s">
        <v>395</v>
      </c>
      <c r="D16" s="89" t="s">
        <v>191</v>
      </c>
      <c r="E16" s="90">
        <v>395668</v>
      </c>
      <c r="F16" s="91">
        <v>6828.042676</v>
      </c>
      <c r="G16" s="92">
        <v>2.0803269999999999E-2</v>
      </c>
      <c r="H16" s="87" t="s">
        <v>143</v>
      </c>
    </row>
    <row r="17" spans="1:8" ht="14.25" customHeight="1" x14ac:dyDescent="0.2">
      <c r="A17" s="88">
        <v>11</v>
      </c>
      <c r="B17" s="89" t="s">
        <v>226</v>
      </c>
      <c r="C17" s="89" t="s">
        <v>227</v>
      </c>
      <c r="D17" s="89" t="s">
        <v>207</v>
      </c>
      <c r="E17" s="90">
        <v>669376</v>
      </c>
      <c r="F17" s="91">
        <v>6762.7057279999999</v>
      </c>
      <c r="G17" s="92">
        <v>2.0604210000000001E-2</v>
      </c>
      <c r="H17" s="87" t="s">
        <v>143</v>
      </c>
    </row>
    <row r="18" spans="1:8" ht="14.25" customHeight="1" x14ac:dyDescent="0.2">
      <c r="A18" s="88">
        <v>12</v>
      </c>
      <c r="B18" s="89" t="s">
        <v>461</v>
      </c>
      <c r="C18" s="89" t="s">
        <v>462</v>
      </c>
      <c r="D18" s="89" t="s">
        <v>204</v>
      </c>
      <c r="E18" s="90">
        <v>1184520</v>
      </c>
      <c r="F18" s="91">
        <v>6351.39624</v>
      </c>
      <c r="G18" s="92">
        <v>1.935106E-2</v>
      </c>
      <c r="H18" s="87" t="s">
        <v>143</v>
      </c>
    </row>
    <row r="19" spans="1:8" ht="14.25" customHeight="1" x14ac:dyDescent="0.2">
      <c r="A19" s="88">
        <v>13</v>
      </c>
      <c r="B19" s="89" t="s">
        <v>69</v>
      </c>
      <c r="C19" s="89" t="s">
        <v>70</v>
      </c>
      <c r="D19" s="89" t="s">
        <v>68</v>
      </c>
      <c r="E19" s="90">
        <v>735451</v>
      </c>
      <c r="F19" s="91">
        <v>6074.0898090000001</v>
      </c>
      <c r="G19" s="92">
        <v>1.8506180000000001E-2</v>
      </c>
      <c r="H19" s="87" t="s">
        <v>143</v>
      </c>
    </row>
    <row r="20" spans="1:8" ht="14.25" customHeight="1" x14ac:dyDescent="0.2">
      <c r="A20" s="88">
        <v>14</v>
      </c>
      <c r="B20" s="89" t="s">
        <v>463</v>
      </c>
      <c r="C20" s="89" t="s">
        <v>464</v>
      </c>
      <c r="D20" s="89" t="s">
        <v>194</v>
      </c>
      <c r="E20" s="90">
        <v>44855</v>
      </c>
      <c r="F20" s="91">
        <v>6035.2402499999998</v>
      </c>
      <c r="G20" s="92">
        <v>1.8387810000000001E-2</v>
      </c>
      <c r="H20" s="87" t="s">
        <v>143</v>
      </c>
    </row>
    <row r="21" spans="1:8" ht="14.25" customHeight="1" x14ac:dyDescent="0.2">
      <c r="A21" s="88">
        <v>15</v>
      </c>
      <c r="B21" s="89" t="s">
        <v>465</v>
      </c>
      <c r="C21" s="89" t="s">
        <v>466</v>
      </c>
      <c r="D21" s="89" t="s">
        <v>194</v>
      </c>
      <c r="E21" s="90">
        <v>115943</v>
      </c>
      <c r="F21" s="91">
        <v>6012.108322</v>
      </c>
      <c r="G21" s="92">
        <v>1.831733E-2</v>
      </c>
      <c r="H21" s="87" t="s">
        <v>143</v>
      </c>
    </row>
    <row r="22" spans="1:8" ht="14.25" customHeight="1" x14ac:dyDescent="0.2">
      <c r="A22" s="88">
        <v>16</v>
      </c>
      <c r="B22" s="89" t="s">
        <v>366</v>
      </c>
      <c r="C22" s="89" t="s">
        <v>367</v>
      </c>
      <c r="D22" s="89" t="s">
        <v>46</v>
      </c>
      <c r="E22" s="90">
        <v>2131826</v>
      </c>
      <c r="F22" s="91">
        <v>5765.5234170000003</v>
      </c>
      <c r="G22" s="92">
        <v>1.756605E-2</v>
      </c>
      <c r="H22" s="87" t="s">
        <v>143</v>
      </c>
    </row>
    <row r="23" spans="1:8" ht="14.25" customHeight="1" x14ac:dyDescent="0.2">
      <c r="A23" s="88">
        <v>17</v>
      </c>
      <c r="B23" s="89" t="s">
        <v>467</v>
      </c>
      <c r="C23" s="89" t="s">
        <v>468</v>
      </c>
      <c r="D23" s="89" t="s">
        <v>33</v>
      </c>
      <c r="E23" s="90">
        <v>4603530</v>
      </c>
      <c r="F23" s="91">
        <v>5633.339661</v>
      </c>
      <c r="G23" s="92">
        <v>1.7163319999999999E-2</v>
      </c>
      <c r="H23" s="87" t="s">
        <v>143</v>
      </c>
    </row>
    <row r="24" spans="1:8" ht="14.25" customHeight="1" x14ac:dyDescent="0.2">
      <c r="A24" s="88">
        <v>18</v>
      </c>
      <c r="B24" s="89" t="s">
        <v>469</v>
      </c>
      <c r="C24" s="89" t="s">
        <v>470</v>
      </c>
      <c r="D24" s="89" t="s">
        <v>28</v>
      </c>
      <c r="E24" s="90">
        <v>399900</v>
      </c>
      <c r="F24" s="91">
        <v>5582.6040000000003</v>
      </c>
      <c r="G24" s="92">
        <v>1.700875E-2</v>
      </c>
      <c r="H24" s="87" t="s">
        <v>143</v>
      </c>
    </row>
    <row r="25" spans="1:8" ht="14.25" customHeight="1" x14ac:dyDescent="0.2">
      <c r="A25" s="88">
        <v>19</v>
      </c>
      <c r="B25" s="89" t="s">
        <v>364</v>
      </c>
      <c r="C25" s="89" t="s">
        <v>365</v>
      </c>
      <c r="D25" s="89" t="s">
        <v>33</v>
      </c>
      <c r="E25" s="90">
        <v>1535716</v>
      </c>
      <c r="F25" s="91">
        <v>5568.5062159999998</v>
      </c>
      <c r="G25" s="92">
        <v>1.6965790000000001E-2</v>
      </c>
      <c r="H25" s="87" t="s">
        <v>143</v>
      </c>
    </row>
    <row r="26" spans="1:8" ht="14.25" customHeight="1" x14ac:dyDescent="0.2">
      <c r="A26" s="88">
        <v>20</v>
      </c>
      <c r="B26" s="89" t="s">
        <v>398</v>
      </c>
      <c r="C26" s="89" t="s">
        <v>399</v>
      </c>
      <c r="D26" s="89" t="s">
        <v>207</v>
      </c>
      <c r="E26" s="90">
        <v>724141</v>
      </c>
      <c r="F26" s="91">
        <v>5199.6944505000001</v>
      </c>
      <c r="G26" s="92">
        <v>1.5842120000000001E-2</v>
      </c>
      <c r="H26" s="87" t="s">
        <v>143</v>
      </c>
    </row>
    <row r="27" spans="1:8" ht="14.25" customHeight="1" x14ac:dyDescent="0.2">
      <c r="A27" s="88">
        <v>21</v>
      </c>
      <c r="B27" s="89" t="s">
        <v>60</v>
      </c>
      <c r="C27" s="89" t="s">
        <v>61</v>
      </c>
      <c r="D27" s="89" t="s">
        <v>62</v>
      </c>
      <c r="E27" s="90">
        <v>390188</v>
      </c>
      <c r="F27" s="91">
        <v>5122.3880639999998</v>
      </c>
      <c r="G27" s="92">
        <v>1.560659E-2</v>
      </c>
      <c r="H27" s="87" t="s">
        <v>143</v>
      </c>
    </row>
    <row r="28" spans="1:8" ht="14.25" customHeight="1" x14ac:dyDescent="0.2">
      <c r="A28" s="88">
        <v>22</v>
      </c>
      <c r="B28" s="89" t="s">
        <v>471</v>
      </c>
      <c r="C28" s="89" t="s">
        <v>472</v>
      </c>
      <c r="D28" s="89" t="s">
        <v>133</v>
      </c>
      <c r="E28" s="90">
        <v>276000</v>
      </c>
      <c r="F28" s="91">
        <v>5097.4440000000004</v>
      </c>
      <c r="G28" s="92">
        <v>1.553059E-2</v>
      </c>
      <c r="H28" s="87" t="s">
        <v>143</v>
      </c>
    </row>
    <row r="29" spans="1:8" ht="14.25" customHeight="1" x14ac:dyDescent="0.2">
      <c r="A29" s="88">
        <v>23</v>
      </c>
      <c r="B29" s="89" t="s">
        <v>105</v>
      </c>
      <c r="C29" s="89" t="s">
        <v>106</v>
      </c>
      <c r="D29" s="89" t="s">
        <v>36</v>
      </c>
      <c r="E29" s="90">
        <v>1006213</v>
      </c>
      <c r="F29" s="91">
        <v>5049.6799405000002</v>
      </c>
      <c r="G29" s="92">
        <v>1.5385060000000001E-2</v>
      </c>
      <c r="H29" s="87" t="s">
        <v>143</v>
      </c>
    </row>
    <row r="30" spans="1:8" ht="14.25" customHeight="1" x14ac:dyDescent="0.2">
      <c r="A30" s="88">
        <v>24</v>
      </c>
      <c r="B30" s="89" t="s">
        <v>376</v>
      </c>
      <c r="C30" s="89" t="s">
        <v>377</v>
      </c>
      <c r="D30" s="89" t="s">
        <v>223</v>
      </c>
      <c r="E30" s="90">
        <v>224785</v>
      </c>
      <c r="F30" s="91">
        <v>4967.2989299999999</v>
      </c>
      <c r="G30" s="92">
        <v>1.5134069999999999E-2</v>
      </c>
      <c r="H30" s="87" t="s">
        <v>143</v>
      </c>
    </row>
    <row r="31" spans="1:8" ht="14.25" customHeight="1" x14ac:dyDescent="0.2">
      <c r="A31" s="88">
        <v>25</v>
      </c>
      <c r="B31" s="89" t="s">
        <v>402</v>
      </c>
      <c r="C31" s="89" t="s">
        <v>403</v>
      </c>
      <c r="D31" s="89" t="s">
        <v>194</v>
      </c>
      <c r="E31" s="90">
        <v>561369</v>
      </c>
      <c r="F31" s="91">
        <v>4839.0007800000003</v>
      </c>
      <c r="G31" s="92">
        <v>1.474318E-2</v>
      </c>
      <c r="H31" s="87" t="s">
        <v>143</v>
      </c>
    </row>
    <row r="32" spans="1:8" ht="14.25" customHeight="1" x14ac:dyDescent="0.2">
      <c r="A32" s="88">
        <v>26</v>
      </c>
      <c r="B32" s="89" t="s">
        <v>473</v>
      </c>
      <c r="C32" s="89" t="s">
        <v>474</v>
      </c>
      <c r="D32" s="89" t="s">
        <v>188</v>
      </c>
      <c r="E32" s="90">
        <v>75317</v>
      </c>
      <c r="F32" s="91">
        <v>4777.7715534999998</v>
      </c>
      <c r="G32" s="92">
        <v>1.4556629999999999E-2</v>
      </c>
      <c r="H32" s="87" t="s">
        <v>143</v>
      </c>
    </row>
    <row r="33" spans="1:8" ht="14.25" customHeight="1" x14ac:dyDescent="0.2">
      <c r="A33" s="88">
        <v>27</v>
      </c>
      <c r="B33" s="89" t="s">
        <v>396</v>
      </c>
      <c r="C33" s="89" t="s">
        <v>397</v>
      </c>
      <c r="D33" s="89" t="s">
        <v>68</v>
      </c>
      <c r="E33" s="90">
        <v>1005408</v>
      </c>
      <c r="F33" s="91">
        <v>4765.6339200000002</v>
      </c>
      <c r="G33" s="92">
        <v>1.451965E-2</v>
      </c>
      <c r="H33" s="87" t="s">
        <v>143</v>
      </c>
    </row>
    <row r="34" spans="1:8" ht="14.25" customHeight="1" x14ac:dyDescent="0.2">
      <c r="A34" s="88">
        <v>28</v>
      </c>
      <c r="B34" s="89" t="s">
        <v>383</v>
      </c>
      <c r="C34" s="89" t="s">
        <v>384</v>
      </c>
      <c r="D34" s="89" t="s">
        <v>33</v>
      </c>
      <c r="E34" s="90">
        <v>9377207</v>
      </c>
      <c r="F34" s="91">
        <v>4713.9219589000004</v>
      </c>
      <c r="G34" s="92">
        <v>1.4362099999999999E-2</v>
      </c>
      <c r="H34" s="87" t="s">
        <v>143</v>
      </c>
    </row>
    <row r="35" spans="1:8" ht="14.25" customHeight="1" x14ac:dyDescent="0.2">
      <c r="A35" s="88">
        <v>29</v>
      </c>
      <c r="B35" s="89" t="s">
        <v>343</v>
      </c>
      <c r="C35" s="89" t="s">
        <v>344</v>
      </c>
      <c r="D35" s="89" t="s">
        <v>275</v>
      </c>
      <c r="E35" s="90">
        <v>1493974</v>
      </c>
      <c r="F35" s="91">
        <v>4690.331373</v>
      </c>
      <c r="G35" s="92">
        <v>1.4290219999999999E-2</v>
      </c>
      <c r="H35" s="87" t="s">
        <v>143</v>
      </c>
    </row>
    <row r="36" spans="1:8" ht="14.25" customHeight="1" x14ac:dyDescent="0.2">
      <c r="A36" s="88">
        <v>30</v>
      </c>
      <c r="B36" s="89" t="s">
        <v>400</v>
      </c>
      <c r="C36" s="89" t="s">
        <v>401</v>
      </c>
      <c r="D36" s="89" t="s">
        <v>256</v>
      </c>
      <c r="E36" s="90">
        <v>1005471</v>
      </c>
      <c r="F36" s="91">
        <v>4641.2541359999996</v>
      </c>
      <c r="G36" s="92">
        <v>1.4140700000000001E-2</v>
      </c>
      <c r="H36" s="87" t="s">
        <v>143</v>
      </c>
    </row>
    <row r="37" spans="1:8" ht="14.25" customHeight="1" x14ac:dyDescent="0.2">
      <c r="A37" s="88">
        <v>31</v>
      </c>
      <c r="B37" s="89" t="s">
        <v>475</v>
      </c>
      <c r="C37" s="89" t="s">
        <v>476</v>
      </c>
      <c r="D37" s="89" t="s">
        <v>263</v>
      </c>
      <c r="E37" s="90">
        <v>917246</v>
      </c>
      <c r="F37" s="91">
        <v>4639.4302680000001</v>
      </c>
      <c r="G37" s="92">
        <v>1.4135139999999999E-2</v>
      </c>
      <c r="H37" s="87" t="s">
        <v>143</v>
      </c>
    </row>
    <row r="38" spans="1:8" ht="14.25" customHeight="1" x14ac:dyDescent="0.2">
      <c r="A38" s="88">
        <v>32</v>
      </c>
      <c r="B38" s="89" t="s">
        <v>75</v>
      </c>
      <c r="C38" s="89" t="s">
        <v>76</v>
      </c>
      <c r="D38" s="89" t="s">
        <v>77</v>
      </c>
      <c r="E38" s="90">
        <v>476538</v>
      </c>
      <c r="F38" s="91">
        <v>4398.922278</v>
      </c>
      <c r="G38" s="92">
        <v>1.340237E-2</v>
      </c>
      <c r="H38" s="87" t="s">
        <v>143</v>
      </c>
    </row>
    <row r="39" spans="1:8" ht="14.25" customHeight="1" x14ac:dyDescent="0.2">
      <c r="A39" s="88">
        <v>33</v>
      </c>
      <c r="B39" s="89" t="s">
        <v>477</v>
      </c>
      <c r="C39" s="89" t="s">
        <v>478</v>
      </c>
      <c r="D39" s="89" t="s">
        <v>43</v>
      </c>
      <c r="E39" s="90">
        <v>140438</v>
      </c>
      <c r="F39" s="91">
        <v>4398.7990360000003</v>
      </c>
      <c r="G39" s="92">
        <v>1.3402000000000001E-2</v>
      </c>
      <c r="H39" s="87" t="s">
        <v>143</v>
      </c>
    </row>
    <row r="40" spans="1:8" ht="14.25" customHeight="1" x14ac:dyDescent="0.2">
      <c r="A40" s="88">
        <v>34</v>
      </c>
      <c r="B40" s="89" t="s">
        <v>327</v>
      </c>
      <c r="C40" s="89" t="s">
        <v>328</v>
      </c>
      <c r="D40" s="89" t="s">
        <v>33</v>
      </c>
      <c r="E40" s="90">
        <v>417812</v>
      </c>
      <c r="F40" s="91">
        <v>4366.9710240000004</v>
      </c>
      <c r="G40" s="92">
        <v>1.3305030000000001E-2</v>
      </c>
      <c r="H40" s="87" t="s">
        <v>143</v>
      </c>
    </row>
    <row r="41" spans="1:8" ht="14.25" customHeight="1" x14ac:dyDescent="0.2">
      <c r="A41" s="88">
        <v>35</v>
      </c>
      <c r="B41" s="89" t="s">
        <v>14</v>
      </c>
      <c r="C41" s="89" t="s">
        <v>15</v>
      </c>
      <c r="D41" s="89" t="s">
        <v>16</v>
      </c>
      <c r="E41" s="90">
        <v>119155</v>
      </c>
      <c r="F41" s="91">
        <v>4290.7715500000004</v>
      </c>
      <c r="G41" s="92">
        <v>1.307287E-2</v>
      </c>
      <c r="H41" s="87" t="s">
        <v>143</v>
      </c>
    </row>
    <row r="42" spans="1:8" ht="14.25" customHeight="1" x14ac:dyDescent="0.2">
      <c r="A42" s="88">
        <v>36</v>
      </c>
      <c r="B42" s="89" t="s">
        <v>39</v>
      </c>
      <c r="C42" s="89" t="s">
        <v>40</v>
      </c>
      <c r="D42" s="89" t="s">
        <v>16</v>
      </c>
      <c r="E42" s="90">
        <v>337012</v>
      </c>
      <c r="F42" s="91">
        <v>4209.27988</v>
      </c>
      <c r="G42" s="92">
        <v>1.282458E-2</v>
      </c>
      <c r="H42" s="87" t="s">
        <v>143</v>
      </c>
    </row>
    <row r="43" spans="1:8" ht="14.25" customHeight="1" x14ac:dyDescent="0.2">
      <c r="A43" s="88">
        <v>37</v>
      </c>
      <c r="B43" s="89" t="s">
        <v>479</v>
      </c>
      <c r="C43" s="89" t="s">
        <v>480</v>
      </c>
      <c r="D43" s="89" t="s">
        <v>275</v>
      </c>
      <c r="E43" s="90">
        <v>306971</v>
      </c>
      <c r="F43" s="91">
        <v>4168.9731510000001</v>
      </c>
      <c r="G43" s="92">
        <v>1.2701779999999999E-2</v>
      </c>
      <c r="H43" s="87" t="s">
        <v>143</v>
      </c>
    </row>
    <row r="44" spans="1:8" ht="14.25" customHeight="1" x14ac:dyDescent="0.2">
      <c r="A44" s="88">
        <v>38</v>
      </c>
      <c r="B44" s="89" t="s">
        <v>481</v>
      </c>
      <c r="C44" s="89" t="s">
        <v>482</v>
      </c>
      <c r="D44" s="89" t="s">
        <v>483</v>
      </c>
      <c r="E44" s="90">
        <v>979380</v>
      </c>
      <c r="F44" s="91">
        <v>4088.4218099999998</v>
      </c>
      <c r="G44" s="92">
        <v>1.245636E-2</v>
      </c>
      <c r="H44" s="87" t="s">
        <v>143</v>
      </c>
    </row>
    <row r="45" spans="1:8" ht="14.25" customHeight="1" x14ac:dyDescent="0.2">
      <c r="A45" s="88">
        <v>39</v>
      </c>
      <c r="B45" s="89" t="s">
        <v>443</v>
      </c>
      <c r="C45" s="89" t="s">
        <v>444</v>
      </c>
      <c r="D45" s="89" t="s">
        <v>25</v>
      </c>
      <c r="E45" s="90">
        <v>323581</v>
      </c>
      <c r="F45" s="91">
        <v>4049.9397960000001</v>
      </c>
      <c r="G45" s="92">
        <v>1.233912E-2</v>
      </c>
      <c r="H45" s="87" t="s">
        <v>143</v>
      </c>
    </row>
    <row r="46" spans="1:8" ht="14.25" customHeight="1" x14ac:dyDescent="0.2">
      <c r="A46" s="88">
        <v>40</v>
      </c>
      <c r="B46" s="89" t="s">
        <v>484</v>
      </c>
      <c r="C46" s="89" t="s">
        <v>485</v>
      </c>
      <c r="D46" s="89" t="s">
        <v>223</v>
      </c>
      <c r="E46" s="90">
        <v>142505</v>
      </c>
      <c r="F46" s="91">
        <v>3994.4151499999998</v>
      </c>
      <c r="G46" s="92">
        <v>1.2169950000000001E-2</v>
      </c>
      <c r="H46" s="87" t="s">
        <v>143</v>
      </c>
    </row>
    <row r="47" spans="1:8" ht="14.25" customHeight="1" x14ac:dyDescent="0.2">
      <c r="A47" s="88">
        <v>41</v>
      </c>
      <c r="B47" s="89" t="s">
        <v>291</v>
      </c>
      <c r="C47" s="89" t="s">
        <v>292</v>
      </c>
      <c r="D47" s="89" t="s">
        <v>288</v>
      </c>
      <c r="E47" s="90">
        <v>675223</v>
      </c>
      <c r="F47" s="91">
        <v>3873.0791279999999</v>
      </c>
      <c r="G47" s="92">
        <v>1.180027E-2</v>
      </c>
      <c r="H47" s="87" t="s">
        <v>143</v>
      </c>
    </row>
    <row r="48" spans="1:8" ht="14.25" customHeight="1" x14ac:dyDescent="0.2">
      <c r="A48" s="88">
        <v>42</v>
      </c>
      <c r="B48" s="89" t="s">
        <v>404</v>
      </c>
      <c r="C48" s="89" t="s">
        <v>405</v>
      </c>
      <c r="D48" s="89" t="s">
        <v>406</v>
      </c>
      <c r="E48" s="90">
        <v>285986</v>
      </c>
      <c r="F48" s="91">
        <v>3806.1876739999998</v>
      </c>
      <c r="G48" s="92">
        <v>1.1596469999999999E-2</v>
      </c>
      <c r="H48" s="87" t="s">
        <v>143</v>
      </c>
    </row>
    <row r="49" spans="1:8" ht="14.25" customHeight="1" x14ac:dyDescent="0.2">
      <c r="A49" s="88">
        <v>43</v>
      </c>
      <c r="B49" s="89" t="s">
        <v>486</v>
      </c>
      <c r="C49" s="89" t="s">
        <v>487</v>
      </c>
      <c r="D49" s="89" t="s">
        <v>256</v>
      </c>
      <c r="E49" s="90">
        <v>314897</v>
      </c>
      <c r="F49" s="91">
        <v>3677.9969599999999</v>
      </c>
      <c r="G49" s="92">
        <v>1.12059E-2</v>
      </c>
      <c r="H49" s="87" t="s">
        <v>143</v>
      </c>
    </row>
    <row r="50" spans="1:8" ht="14.25" customHeight="1" x14ac:dyDescent="0.2">
      <c r="A50" s="88">
        <v>44</v>
      </c>
      <c r="B50" s="89" t="s">
        <v>295</v>
      </c>
      <c r="C50" s="89" t="s">
        <v>296</v>
      </c>
      <c r="D50" s="89" t="s">
        <v>80</v>
      </c>
      <c r="E50" s="90">
        <v>1234878</v>
      </c>
      <c r="F50" s="91">
        <v>3579.9113219999999</v>
      </c>
      <c r="G50" s="92">
        <v>1.090706E-2</v>
      </c>
      <c r="H50" s="87" t="s">
        <v>143</v>
      </c>
    </row>
    <row r="51" spans="1:8" ht="14.25" customHeight="1" x14ac:dyDescent="0.2">
      <c r="A51" s="88">
        <v>45</v>
      </c>
      <c r="B51" s="89" t="s">
        <v>58</v>
      </c>
      <c r="C51" s="89" t="s">
        <v>59</v>
      </c>
      <c r="D51" s="89" t="s">
        <v>43</v>
      </c>
      <c r="E51" s="90">
        <v>24979</v>
      </c>
      <c r="F51" s="91">
        <v>3515.7942499999999</v>
      </c>
      <c r="G51" s="92">
        <v>1.0711709999999999E-2</v>
      </c>
      <c r="H51" s="87" t="s">
        <v>143</v>
      </c>
    </row>
    <row r="52" spans="1:8" ht="14.25" customHeight="1" x14ac:dyDescent="0.2">
      <c r="A52" s="88">
        <v>46</v>
      </c>
      <c r="B52" s="89" t="s">
        <v>93</v>
      </c>
      <c r="C52" s="89" t="s">
        <v>94</v>
      </c>
      <c r="D52" s="89" t="s">
        <v>77</v>
      </c>
      <c r="E52" s="90">
        <v>245079</v>
      </c>
      <c r="F52" s="91">
        <v>3504.6297</v>
      </c>
      <c r="G52" s="92">
        <v>1.06777E-2</v>
      </c>
      <c r="H52" s="87" t="s">
        <v>143</v>
      </c>
    </row>
    <row r="53" spans="1:8" ht="14.25" customHeight="1" x14ac:dyDescent="0.2">
      <c r="A53" s="88">
        <v>47</v>
      </c>
      <c r="B53" s="89" t="s">
        <v>452</v>
      </c>
      <c r="C53" s="89" t="s">
        <v>453</v>
      </c>
      <c r="D53" s="89" t="s">
        <v>68</v>
      </c>
      <c r="E53" s="90">
        <v>717054</v>
      </c>
      <c r="F53" s="91">
        <v>3494.204142</v>
      </c>
      <c r="G53" s="92">
        <v>1.064593E-2</v>
      </c>
      <c r="H53" s="87" t="s">
        <v>143</v>
      </c>
    </row>
    <row r="54" spans="1:8" ht="14.25" customHeight="1" x14ac:dyDescent="0.2">
      <c r="A54" s="88">
        <v>48</v>
      </c>
      <c r="B54" s="89" t="s">
        <v>380</v>
      </c>
      <c r="C54" s="89" t="s">
        <v>381</v>
      </c>
      <c r="D54" s="89" t="s">
        <v>382</v>
      </c>
      <c r="E54" s="90">
        <v>308127</v>
      </c>
      <c r="F54" s="91">
        <v>3450.714273</v>
      </c>
      <c r="G54" s="92">
        <v>1.0513430000000001E-2</v>
      </c>
      <c r="H54" s="87" t="s">
        <v>143</v>
      </c>
    </row>
    <row r="55" spans="1:8" ht="14.25" customHeight="1" x14ac:dyDescent="0.2">
      <c r="A55" s="88">
        <v>49</v>
      </c>
      <c r="B55" s="89" t="s">
        <v>488</v>
      </c>
      <c r="C55" s="89" t="s">
        <v>489</v>
      </c>
      <c r="D55" s="89" t="s">
        <v>46</v>
      </c>
      <c r="E55" s="90">
        <v>1603225</v>
      </c>
      <c r="F55" s="91">
        <v>3445.6511700000001</v>
      </c>
      <c r="G55" s="92">
        <v>1.049801E-2</v>
      </c>
      <c r="H55" s="87" t="s">
        <v>143</v>
      </c>
    </row>
    <row r="56" spans="1:8" ht="14.25" customHeight="1" x14ac:dyDescent="0.2">
      <c r="A56" s="88">
        <v>50</v>
      </c>
      <c r="B56" s="89" t="s">
        <v>305</v>
      </c>
      <c r="C56" s="89" t="s">
        <v>306</v>
      </c>
      <c r="D56" s="89" t="s">
        <v>68</v>
      </c>
      <c r="E56" s="90">
        <v>74038</v>
      </c>
      <c r="F56" s="91">
        <v>3287.2872000000002</v>
      </c>
      <c r="G56" s="92">
        <v>1.001551E-2</v>
      </c>
      <c r="H56" s="87" t="s">
        <v>143</v>
      </c>
    </row>
    <row r="57" spans="1:8" ht="14.25" customHeight="1" x14ac:dyDescent="0.2">
      <c r="A57" s="88">
        <v>51</v>
      </c>
      <c r="B57" s="89" t="s">
        <v>490</v>
      </c>
      <c r="C57" s="89" t="s">
        <v>491</v>
      </c>
      <c r="D57" s="89" t="s">
        <v>223</v>
      </c>
      <c r="E57" s="90">
        <v>251901</v>
      </c>
      <c r="F57" s="91">
        <v>3245.744385</v>
      </c>
      <c r="G57" s="92">
        <v>9.8889400000000006E-3</v>
      </c>
      <c r="H57" s="87" t="s">
        <v>143</v>
      </c>
    </row>
    <row r="58" spans="1:8" ht="14.25" customHeight="1" x14ac:dyDescent="0.2">
      <c r="A58" s="88">
        <v>52</v>
      </c>
      <c r="B58" s="89" t="s">
        <v>492</v>
      </c>
      <c r="C58" s="89" t="s">
        <v>493</v>
      </c>
      <c r="D58" s="89" t="s">
        <v>268</v>
      </c>
      <c r="E58" s="90">
        <v>222955</v>
      </c>
      <c r="F58" s="91">
        <v>3130.7341099999999</v>
      </c>
      <c r="G58" s="92">
        <v>9.5385299999999999E-3</v>
      </c>
      <c r="H58" s="87" t="s">
        <v>143</v>
      </c>
    </row>
    <row r="59" spans="1:8" ht="14.25" customHeight="1" x14ac:dyDescent="0.2">
      <c r="A59" s="88">
        <v>53</v>
      </c>
      <c r="B59" s="89" t="s">
        <v>494</v>
      </c>
      <c r="C59" s="89" t="s">
        <v>495</v>
      </c>
      <c r="D59" s="89" t="s">
        <v>46</v>
      </c>
      <c r="E59" s="90">
        <v>845515</v>
      </c>
      <c r="F59" s="91">
        <v>3122.9096525</v>
      </c>
      <c r="G59" s="92">
        <v>9.5146999999999992E-3</v>
      </c>
      <c r="H59" s="87" t="s">
        <v>143</v>
      </c>
    </row>
    <row r="60" spans="1:8" ht="14.25" customHeight="1" x14ac:dyDescent="0.2">
      <c r="A60" s="88">
        <v>54</v>
      </c>
      <c r="B60" s="89" t="s">
        <v>66</v>
      </c>
      <c r="C60" s="89" t="s">
        <v>67</v>
      </c>
      <c r="D60" s="89" t="s">
        <v>68</v>
      </c>
      <c r="E60" s="90">
        <v>60184</v>
      </c>
      <c r="F60" s="91">
        <v>3093.7585199999999</v>
      </c>
      <c r="G60" s="92">
        <v>9.4258799999999993E-3</v>
      </c>
      <c r="H60" s="87" t="s">
        <v>143</v>
      </c>
    </row>
    <row r="61" spans="1:8" ht="14.25" customHeight="1" x14ac:dyDescent="0.2">
      <c r="A61" s="88">
        <v>55</v>
      </c>
      <c r="B61" s="89" t="s">
        <v>392</v>
      </c>
      <c r="C61" s="89" t="s">
        <v>393</v>
      </c>
      <c r="D61" s="89" t="s">
        <v>191</v>
      </c>
      <c r="E61" s="90">
        <v>212263</v>
      </c>
      <c r="F61" s="91">
        <v>2971.4697369999999</v>
      </c>
      <c r="G61" s="92">
        <v>9.0533000000000002E-3</v>
      </c>
      <c r="H61" s="87" t="s">
        <v>143</v>
      </c>
    </row>
    <row r="62" spans="1:8" ht="14.25" customHeight="1" x14ac:dyDescent="0.2">
      <c r="A62" s="88">
        <v>56</v>
      </c>
      <c r="B62" s="89" t="s">
        <v>44</v>
      </c>
      <c r="C62" s="89" t="s">
        <v>45</v>
      </c>
      <c r="D62" s="89" t="s">
        <v>46</v>
      </c>
      <c r="E62" s="90">
        <v>38742</v>
      </c>
      <c r="F62" s="91">
        <v>2815.57485</v>
      </c>
      <c r="G62" s="92">
        <v>8.5783300000000003E-3</v>
      </c>
      <c r="H62" s="87" t="s">
        <v>143</v>
      </c>
    </row>
    <row r="63" spans="1:8" ht="14.25" customHeight="1" x14ac:dyDescent="0.2">
      <c r="A63" s="88">
        <v>57</v>
      </c>
      <c r="B63" s="89" t="s">
        <v>496</v>
      </c>
      <c r="C63" s="89" t="s">
        <v>497</v>
      </c>
      <c r="D63" s="89" t="s">
        <v>275</v>
      </c>
      <c r="E63" s="90">
        <v>2248576</v>
      </c>
      <c r="F63" s="91">
        <v>2813.8680064</v>
      </c>
      <c r="G63" s="92">
        <v>8.57313E-3</v>
      </c>
      <c r="H63" s="87" t="s">
        <v>143</v>
      </c>
    </row>
    <row r="64" spans="1:8" ht="14.25" customHeight="1" x14ac:dyDescent="0.2">
      <c r="A64" s="88">
        <v>58</v>
      </c>
      <c r="B64" s="89" t="s">
        <v>372</v>
      </c>
      <c r="C64" s="89" t="s">
        <v>373</v>
      </c>
      <c r="D64" s="89" t="s">
        <v>194</v>
      </c>
      <c r="E64" s="90">
        <v>149333</v>
      </c>
      <c r="F64" s="91">
        <v>2574.9489189999999</v>
      </c>
      <c r="G64" s="92">
        <v>7.8452000000000001E-3</v>
      </c>
      <c r="H64" s="87" t="s">
        <v>143</v>
      </c>
    </row>
    <row r="65" spans="1:8" ht="14.25" customHeight="1" x14ac:dyDescent="0.2">
      <c r="A65" s="88">
        <v>59</v>
      </c>
      <c r="B65" s="89" t="s">
        <v>498</v>
      </c>
      <c r="C65" s="89" t="s">
        <v>499</v>
      </c>
      <c r="D65" s="89" t="s">
        <v>406</v>
      </c>
      <c r="E65" s="90">
        <v>258182</v>
      </c>
      <c r="F65" s="91">
        <v>2546.7072480000002</v>
      </c>
      <c r="G65" s="92">
        <v>7.7591600000000002E-3</v>
      </c>
      <c r="H65" s="87" t="s">
        <v>143</v>
      </c>
    </row>
    <row r="66" spans="1:8" ht="14.25" customHeight="1" x14ac:dyDescent="0.2">
      <c r="A66" s="88">
        <v>60</v>
      </c>
      <c r="B66" s="89" t="s">
        <v>417</v>
      </c>
      <c r="C66" s="89" t="s">
        <v>418</v>
      </c>
      <c r="D66" s="89" t="s">
        <v>68</v>
      </c>
      <c r="E66" s="90">
        <v>275772</v>
      </c>
      <c r="F66" s="91">
        <v>2513.9375519999999</v>
      </c>
      <c r="G66" s="92">
        <v>7.6593199999999998E-3</v>
      </c>
      <c r="H66" s="87" t="s">
        <v>143</v>
      </c>
    </row>
    <row r="67" spans="1:8" ht="14.25" customHeight="1" x14ac:dyDescent="0.2">
      <c r="A67" s="88">
        <v>61</v>
      </c>
      <c r="B67" s="89" t="s">
        <v>374</v>
      </c>
      <c r="C67" s="89" t="s">
        <v>375</v>
      </c>
      <c r="D67" s="89" t="s">
        <v>268</v>
      </c>
      <c r="E67" s="90">
        <v>45069</v>
      </c>
      <c r="F67" s="91">
        <v>2112.609375</v>
      </c>
      <c r="G67" s="92">
        <v>6.43657E-3</v>
      </c>
      <c r="H67" s="87" t="s">
        <v>143</v>
      </c>
    </row>
    <row r="68" spans="1:8" ht="14.25" customHeight="1" x14ac:dyDescent="0.2">
      <c r="A68" s="88">
        <v>62</v>
      </c>
      <c r="B68" s="89" t="s">
        <v>85</v>
      </c>
      <c r="C68" s="89" t="s">
        <v>86</v>
      </c>
      <c r="D68" s="89" t="s">
        <v>68</v>
      </c>
      <c r="E68" s="90">
        <v>54351</v>
      </c>
      <c r="F68" s="91">
        <v>2071.0992059999999</v>
      </c>
      <c r="G68" s="92">
        <v>6.3100999999999999E-3</v>
      </c>
      <c r="H68" s="87" t="s">
        <v>143</v>
      </c>
    </row>
    <row r="69" spans="1:8" ht="14.25" customHeight="1" x14ac:dyDescent="0.2">
      <c r="A69" s="88">
        <v>63</v>
      </c>
      <c r="B69" s="89" t="s">
        <v>411</v>
      </c>
      <c r="C69" s="89" t="s">
        <v>412</v>
      </c>
      <c r="D69" s="89" t="s">
        <v>199</v>
      </c>
      <c r="E69" s="90">
        <v>498569</v>
      </c>
      <c r="F69" s="91">
        <v>1835.232489</v>
      </c>
      <c r="G69" s="92">
        <v>5.5914800000000002E-3</v>
      </c>
      <c r="H69" s="87" t="s">
        <v>143</v>
      </c>
    </row>
    <row r="70" spans="1:8" ht="14.25" customHeight="1" x14ac:dyDescent="0.2">
      <c r="A70" s="88">
        <v>64</v>
      </c>
      <c r="B70" s="89" t="s">
        <v>339</v>
      </c>
      <c r="C70" s="89" t="s">
        <v>340</v>
      </c>
      <c r="D70" s="89" t="s">
        <v>223</v>
      </c>
      <c r="E70" s="90">
        <v>18450</v>
      </c>
      <c r="F70" s="91">
        <v>1363.4549999999999</v>
      </c>
      <c r="G70" s="92">
        <v>4.15409E-3</v>
      </c>
      <c r="H70" s="87" t="s">
        <v>143</v>
      </c>
    </row>
    <row r="71" spans="1:8" ht="14.25" customHeight="1" x14ac:dyDescent="0.2">
      <c r="A71" s="88">
        <v>65</v>
      </c>
      <c r="B71" s="89" t="s">
        <v>266</v>
      </c>
      <c r="C71" s="89" t="s">
        <v>267</v>
      </c>
      <c r="D71" s="89" t="s">
        <v>268</v>
      </c>
      <c r="E71" s="90">
        <v>65271</v>
      </c>
      <c r="F71" s="91">
        <v>1166.9802090000001</v>
      </c>
      <c r="G71" s="92">
        <v>3.5554900000000001E-3</v>
      </c>
      <c r="H71" s="87" t="s">
        <v>143</v>
      </c>
    </row>
    <row r="72" spans="1:8" ht="14.25" customHeight="1" x14ac:dyDescent="0.2">
      <c r="A72" s="93"/>
      <c r="B72" s="93"/>
      <c r="C72" s="94" t="s">
        <v>142</v>
      </c>
      <c r="D72" s="93"/>
      <c r="E72" s="93" t="s">
        <v>143</v>
      </c>
      <c r="F72" s="95">
        <v>310931.50588691898</v>
      </c>
      <c r="G72" s="96">
        <v>0.94732762000000004</v>
      </c>
      <c r="H72" s="87" t="s">
        <v>143</v>
      </c>
    </row>
    <row r="73" spans="1:8" ht="14.25" customHeight="1" x14ac:dyDescent="0.2">
      <c r="A73" s="93"/>
      <c r="B73" s="93"/>
      <c r="C73" s="97"/>
      <c r="D73" s="93"/>
      <c r="E73" s="93"/>
      <c r="F73" s="98"/>
      <c r="G73" s="98"/>
      <c r="H73" s="87" t="s">
        <v>143</v>
      </c>
    </row>
    <row r="74" spans="1:8" ht="14.25" customHeight="1" x14ac:dyDescent="0.2">
      <c r="A74" s="93"/>
      <c r="B74" s="93"/>
      <c r="C74" s="94" t="s">
        <v>144</v>
      </c>
      <c r="D74" s="93"/>
      <c r="E74" s="93"/>
      <c r="F74" s="93"/>
      <c r="G74" s="93"/>
      <c r="H74" s="87" t="s">
        <v>143</v>
      </c>
    </row>
    <row r="75" spans="1:8" ht="14.25" customHeight="1" x14ac:dyDescent="0.2">
      <c r="A75" s="93"/>
      <c r="B75" s="93"/>
      <c r="C75" s="94" t="s">
        <v>142</v>
      </c>
      <c r="D75" s="93"/>
      <c r="E75" s="93" t="s">
        <v>143</v>
      </c>
      <c r="F75" s="99" t="s">
        <v>145</v>
      </c>
      <c r="G75" s="96">
        <v>0</v>
      </c>
      <c r="H75" s="87" t="s">
        <v>143</v>
      </c>
    </row>
    <row r="76" spans="1:8" ht="14.25" customHeight="1" x14ac:dyDescent="0.2">
      <c r="A76" s="93"/>
      <c r="B76" s="93"/>
      <c r="C76" s="97"/>
      <c r="D76" s="93"/>
      <c r="E76" s="93"/>
      <c r="F76" s="98"/>
      <c r="G76" s="98"/>
      <c r="H76" s="87" t="s">
        <v>143</v>
      </c>
    </row>
    <row r="77" spans="1:8" ht="14.25" customHeight="1" x14ac:dyDescent="0.2">
      <c r="A77" s="93"/>
      <c r="B77" s="93"/>
      <c r="C77" s="94" t="s">
        <v>146</v>
      </c>
      <c r="D77" s="93"/>
      <c r="E77" s="93"/>
      <c r="F77" s="93"/>
      <c r="G77" s="93"/>
      <c r="H77" s="87" t="s">
        <v>143</v>
      </c>
    </row>
    <row r="78" spans="1:8" ht="14.25" customHeight="1" x14ac:dyDescent="0.2">
      <c r="A78" s="88">
        <v>1</v>
      </c>
      <c r="B78" s="89" t="s">
        <v>139</v>
      </c>
      <c r="C78" s="127" t="s">
        <v>941</v>
      </c>
      <c r="D78" s="89" t="s">
        <v>140</v>
      </c>
      <c r="E78" s="90">
        <v>375961</v>
      </c>
      <c r="F78" s="91">
        <v>7.5190000000000003E-6</v>
      </c>
      <c r="G78" s="100" t="s">
        <v>141</v>
      </c>
      <c r="H78" s="87" t="s">
        <v>143</v>
      </c>
    </row>
    <row r="79" spans="1:8" ht="14.25" customHeight="1" x14ac:dyDescent="0.2">
      <c r="A79" s="93"/>
      <c r="B79" s="93"/>
      <c r="C79" s="94" t="s">
        <v>142</v>
      </c>
      <c r="D79" s="93"/>
      <c r="E79" s="93" t="s">
        <v>143</v>
      </c>
      <c r="F79" s="99" t="s">
        <v>145</v>
      </c>
      <c r="G79" s="96">
        <v>0</v>
      </c>
      <c r="H79" s="87" t="s">
        <v>143</v>
      </c>
    </row>
    <row r="80" spans="1:8" ht="14.25" customHeight="1" x14ac:dyDescent="0.2">
      <c r="A80" s="93"/>
      <c r="B80" s="93"/>
      <c r="C80" s="97"/>
      <c r="D80" s="93"/>
      <c r="E80" s="93"/>
      <c r="F80" s="98"/>
      <c r="G80" s="98"/>
      <c r="H80" s="87" t="s">
        <v>143</v>
      </c>
    </row>
    <row r="81" spans="1:8" ht="14.25" customHeight="1" x14ac:dyDescent="0.2">
      <c r="A81" s="93"/>
      <c r="B81" s="93"/>
      <c r="C81" s="94" t="s">
        <v>147</v>
      </c>
      <c r="D81" s="93"/>
      <c r="E81" s="93"/>
      <c r="F81" s="93"/>
      <c r="G81" s="93"/>
      <c r="H81" s="87" t="s">
        <v>143</v>
      </c>
    </row>
    <row r="82" spans="1:8" ht="14.25" customHeight="1" x14ac:dyDescent="0.2">
      <c r="A82" s="93"/>
      <c r="B82" s="93"/>
      <c r="C82" s="94" t="s">
        <v>142</v>
      </c>
      <c r="D82" s="93"/>
      <c r="E82" s="93" t="s">
        <v>143</v>
      </c>
      <c r="F82" s="99" t="s">
        <v>145</v>
      </c>
      <c r="G82" s="96">
        <v>0</v>
      </c>
      <c r="H82" s="87" t="s">
        <v>143</v>
      </c>
    </row>
    <row r="83" spans="1:8" ht="14.25" customHeight="1" x14ac:dyDescent="0.2">
      <c r="A83" s="93"/>
      <c r="B83" s="93"/>
      <c r="C83" s="97"/>
      <c r="D83" s="93"/>
      <c r="E83" s="93"/>
      <c r="F83" s="98"/>
      <c r="G83" s="98"/>
      <c r="H83" s="87" t="s">
        <v>143</v>
      </c>
    </row>
    <row r="84" spans="1:8" ht="14.25" customHeight="1" x14ac:dyDescent="0.2">
      <c r="A84" s="93"/>
      <c r="B84" s="93"/>
      <c r="C84" s="94" t="s">
        <v>148</v>
      </c>
      <c r="D84" s="93"/>
      <c r="E84" s="93"/>
      <c r="F84" s="98"/>
      <c r="G84" s="98"/>
      <c r="H84" s="87" t="s">
        <v>143</v>
      </c>
    </row>
    <row r="85" spans="1:8" ht="14.25" customHeight="1" x14ac:dyDescent="0.2">
      <c r="A85" s="93"/>
      <c r="B85" s="93"/>
      <c r="C85" s="94" t="s">
        <v>142</v>
      </c>
      <c r="D85" s="93"/>
      <c r="E85" s="93" t="s">
        <v>143</v>
      </c>
      <c r="F85" s="99" t="s">
        <v>145</v>
      </c>
      <c r="G85" s="96">
        <v>0</v>
      </c>
      <c r="H85" s="87" t="s">
        <v>143</v>
      </c>
    </row>
    <row r="86" spans="1:8" ht="14.25" customHeight="1" x14ac:dyDescent="0.2">
      <c r="A86" s="93"/>
      <c r="B86" s="93"/>
      <c r="C86" s="97"/>
      <c r="D86" s="93"/>
      <c r="E86" s="93"/>
      <c r="F86" s="98"/>
      <c r="G86" s="98"/>
      <c r="H86" s="87" t="s">
        <v>143</v>
      </c>
    </row>
    <row r="87" spans="1:8" ht="14.25" customHeight="1" x14ac:dyDescent="0.2">
      <c r="A87" s="93"/>
      <c r="B87" s="93"/>
      <c r="C87" s="94" t="s">
        <v>149</v>
      </c>
      <c r="D87" s="93"/>
      <c r="E87" s="93"/>
      <c r="F87" s="98"/>
      <c r="G87" s="98"/>
      <c r="H87" s="87" t="s">
        <v>143</v>
      </c>
    </row>
    <row r="88" spans="1:8" ht="14.25" customHeight="1" x14ac:dyDescent="0.2">
      <c r="A88" s="93"/>
      <c r="B88" s="93"/>
      <c r="C88" s="94" t="s">
        <v>142</v>
      </c>
      <c r="D88" s="93"/>
      <c r="E88" s="93" t="s">
        <v>143</v>
      </c>
      <c r="F88" s="99" t="s">
        <v>145</v>
      </c>
      <c r="G88" s="96">
        <v>0</v>
      </c>
      <c r="H88" s="87" t="s">
        <v>143</v>
      </c>
    </row>
    <row r="89" spans="1:8" ht="14.25" customHeight="1" x14ac:dyDescent="0.2">
      <c r="A89" s="93"/>
      <c r="B89" s="93"/>
      <c r="C89" s="97"/>
      <c r="D89" s="93"/>
      <c r="E89" s="93"/>
      <c r="F89" s="98"/>
      <c r="G89" s="98"/>
      <c r="H89" s="87" t="s">
        <v>143</v>
      </c>
    </row>
    <row r="90" spans="1:8" ht="14.25" customHeight="1" x14ac:dyDescent="0.2">
      <c r="A90" s="93"/>
      <c r="B90" s="93"/>
      <c r="C90" s="94" t="s">
        <v>150</v>
      </c>
      <c r="D90" s="93"/>
      <c r="E90" s="93"/>
      <c r="F90" s="95">
        <v>310931.50588691898</v>
      </c>
      <c r="G90" s="96">
        <v>0.94732762000000004</v>
      </c>
      <c r="H90" s="87" t="s">
        <v>143</v>
      </c>
    </row>
    <row r="91" spans="1:8" ht="14.25" customHeight="1" x14ac:dyDescent="0.2">
      <c r="A91" s="93"/>
      <c r="B91" s="93"/>
      <c r="C91" s="97"/>
      <c r="D91" s="93"/>
      <c r="E91" s="93"/>
      <c r="F91" s="98"/>
      <c r="G91" s="98"/>
      <c r="H91" s="87" t="s">
        <v>143</v>
      </c>
    </row>
    <row r="92" spans="1:8" ht="14.25" customHeight="1" x14ac:dyDescent="0.2">
      <c r="A92" s="93"/>
      <c r="B92" s="93"/>
      <c r="C92" s="94" t="s">
        <v>151</v>
      </c>
      <c r="D92" s="93"/>
      <c r="E92" s="93"/>
      <c r="F92" s="98"/>
      <c r="G92" s="98"/>
      <c r="H92" s="87" t="s">
        <v>143</v>
      </c>
    </row>
    <row r="93" spans="1:8" ht="14.25" customHeight="1" x14ac:dyDescent="0.2">
      <c r="A93" s="93"/>
      <c r="B93" s="93"/>
      <c r="C93" s="94" t="s">
        <v>10</v>
      </c>
      <c r="D93" s="93"/>
      <c r="E93" s="93"/>
      <c r="F93" s="98"/>
      <c r="G93" s="98"/>
      <c r="H93" s="87" t="s">
        <v>143</v>
      </c>
    </row>
    <row r="94" spans="1:8" ht="14.25" customHeight="1" x14ac:dyDescent="0.2">
      <c r="A94" s="93"/>
      <c r="B94" s="93"/>
      <c r="C94" s="94" t="s">
        <v>142</v>
      </c>
      <c r="D94" s="93"/>
      <c r="E94" s="93" t="s">
        <v>143</v>
      </c>
      <c r="F94" s="99" t="s">
        <v>145</v>
      </c>
      <c r="G94" s="96">
        <v>0</v>
      </c>
      <c r="H94" s="87" t="s">
        <v>143</v>
      </c>
    </row>
    <row r="95" spans="1:8" ht="14.25" customHeight="1" x14ac:dyDescent="0.2">
      <c r="A95" s="93"/>
      <c r="B95" s="93"/>
      <c r="C95" s="97"/>
      <c r="D95" s="93"/>
      <c r="E95" s="93"/>
      <c r="F95" s="98"/>
      <c r="G95" s="98"/>
      <c r="H95" s="87" t="s">
        <v>143</v>
      </c>
    </row>
    <row r="96" spans="1:8" ht="14.25" customHeight="1" x14ac:dyDescent="0.2">
      <c r="A96" s="93"/>
      <c r="B96" s="93"/>
      <c r="C96" s="94" t="s">
        <v>152</v>
      </c>
      <c r="D96" s="93"/>
      <c r="E96" s="93"/>
      <c r="F96" s="93"/>
      <c r="G96" s="93"/>
      <c r="H96" s="87" t="s">
        <v>143</v>
      </c>
    </row>
    <row r="97" spans="1:8" ht="14.25" customHeight="1" x14ac:dyDescent="0.2">
      <c r="A97" s="93"/>
      <c r="B97" s="93"/>
      <c r="C97" s="94" t="s">
        <v>142</v>
      </c>
      <c r="D97" s="93"/>
      <c r="E97" s="93" t="s">
        <v>143</v>
      </c>
      <c r="F97" s="99" t="s">
        <v>145</v>
      </c>
      <c r="G97" s="96">
        <v>0</v>
      </c>
      <c r="H97" s="87" t="s">
        <v>143</v>
      </c>
    </row>
    <row r="98" spans="1:8" ht="14.25" customHeight="1" x14ac:dyDescent="0.2">
      <c r="A98" s="93"/>
      <c r="B98" s="93"/>
      <c r="C98" s="97"/>
      <c r="D98" s="93"/>
      <c r="E98" s="93"/>
      <c r="F98" s="98"/>
      <c r="G98" s="98"/>
      <c r="H98" s="87" t="s">
        <v>143</v>
      </c>
    </row>
    <row r="99" spans="1:8" ht="14.25" customHeight="1" x14ac:dyDescent="0.2">
      <c r="A99" s="93"/>
      <c r="B99" s="93"/>
      <c r="C99" s="94" t="s">
        <v>153</v>
      </c>
      <c r="D99" s="93"/>
      <c r="E99" s="93"/>
      <c r="F99" s="93"/>
      <c r="G99" s="93"/>
      <c r="H99" s="87" t="s">
        <v>143</v>
      </c>
    </row>
    <row r="100" spans="1:8" ht="14.25" customHeight="1" x14ac:dyDescent="0.2">
      <c r="A100" s="93"/>
      <c r="B100" s="93"/>
      <c r="C100" s="94" t="s">
        <v>142</v>
      </c>
      <c r="D100" s="93"/>
      <c r="E100" s="93" t="s">
        <v>143</v>
      </c>
      <c r="F100" s="99" t="s">
        <v>145</v>
      </c>
      <c r="G100" s="96">
        <v>0</v>
      </c>
      <c r="H100" s="87" t="s">
        <v>143</v>
      </c>
    </row>
    <row r="101" spans="1:8" ht="14.25" customHeight="1" x14ac:dyDescent="0.2">
      <c r="A101" s="93"/>
      <c r="B101" s="93"/>
      <c r="C101" s="97"/>
      <c r="D101" s="93"/>
      <c r="E101" s="93"/>
      <c r="F101" s="98"/>
      <c r="G101" s="98"/>
      <c r="H101" s="87" t="s">
        <v>143</v>
      </c>
    </row>
    <row r="102" spans="1:8" ht="14.25" customHeight="1" x14ac:dyDescent="0.2">
      <c r="A102" s="93"/>
      <c r="B102" s="93"/>
      <c r="C102" s="94" t="s">
        <v>154</v>
      </c>
      <c r="D102" s="93"/>
      <c r="E102" s="93"/>
      <c r="F102" s="98"/>
      <c r="G102" s="98"/>
      <c r="H102" s="87" t="s">
        <v>143</v>
      </c>
    </row>
    <row r="103" spans="1:8" ht="14.25" customHeight="1" x14ac:dyDescent="0.2">
      <c r="A103" s="93"/>
      <c r="B103" s="93"/>
      <c r="C103" s="94" t="s">
        <v>142</v>
      </c>
      <c r="D103" s="93"/>
      <c r="E103" s="93" t="s">
        <v>143</v>
      </c>
      <c r="F103" s="99" t="s">
        <v>145</v>
      </c>
      <c r="G103" s="96">
        <v>0</v>
      </c>
      <c r="H103" s="87" t="s">
        <v>143</v>
      </c>
    </row>
    <row r="104" spans="1:8" ht="14.25" customHeight="1" x14ac:dyDescent="0.2">
      <c r="A104" s="93"/>
      <c r="B104" s="93"/>
      <c r="C104" s="97"/>
      <c r="D104" s="93"/>
      <c r="E104" s="93"/>
      <c r="F104" s="98"/>
      <c r="G104" s="98"/>
      <c r="H104" s="87" t="s">
        <v>143</v>
      </c>
    </row>
    <row r="105" spans="1:8" ht="14.25" customHeight="1" x14ac:dyDescent="0.2">
      <c r="A105" s="93"/>
      <c r="B105" s="93"/>
      <c r="C105" s="94" t="s">
        <v>155</v>
      </c>
      <c r="D105" s="93"/>
      <c r="E105" s="93"/>
      <c r="F105" s="95">
        <v>0</v>
      </c>
      <c r="G105" s="96">
        <v>0</v>
      </c>
      <c r="H105" s="87" t="s">
        <v>143</v>
      </c>
    </row>
    <row r="106" spans="1:8" ht="14.25" customHeight="1" x14ac:dyDescent="0.2">
      <c r="A106" s="93"/>
      <c r="B106" s="93"/>
      <c r="C106" s="97"/>
      <c r="D106" s="93"/>
      <c r="E106" s="93"/>
      <c r="F106" s="98"/>
      <c r="G106" s="98"/>
      <c r="H106" s="87" t="s">
        <v>143</v>
      </c>
    </row>
    <row r="107" spans="1:8" ht="14.25" customHeight="1" x14ac:dyDescent="0.2">
      <c r="A107" s="93"/>
      <c r="B107" s="93"/>
      <c r="C107" s="94" t="s">
        <v>156</v>
      </c>
      <c r="D107" s="93"/>
      <c r="E107" s="93"/>
      <c r="F107" s="98"/>
      <c r="G107" s="98"/>
      <c r="H107" s="87" t="s">
        <v>143</v>
      </c>
    </row>
    <row r="108" spans="1:8" ht="14.25" customHeight="1" x14ac:dyDescent="0.2">
      <c r="A108" s="93"/>
      <c r="B108" s="93"/>
      <c r="C108" s="94" t="s">
        <v>157</v>
      </c>
      <c r="D108" s="93"/>
      <c r="E108" s="93"/>
      <c r="F108" s="98"/>
      <c r="G108" s="98"/>
      <c r="H108" s="87" t="s">
        <v>143</v>
      </c>
    </row>
    <row r="109" spans="1:8" ht="14.25" customHeight="1" x14ac:dyDescent="0.2">
      <c r="A109" s="93"/>
      <c r="B109" s="93"/>
      <c r="C109" s="94" t="s">
        <v>142</v>
      </c>
      <c r="D109" s="93"/>
      <c r="E109" s="93" t="s">
        <v>143</v>
      </c>
      <c r="F109" s="99" t="s">
        <v>145</v>
      </c>
      <c r="G109" s="96">
        <v>0</v>
      </c>
      <c r="H109" s="87" t="s">
        <v>143</v>
      </c>
    </row>
    <row r="110" spans="1:8" ht="14.25" customHeight="1" x14ac:dyDescent="0.2">
      <c r="A110" s="93"/>
      <c r="B110" s="93"/>
      <c r="C110" s="97"/>
      <c r="D110" s="93"/>
      <c r="E110" s="93"/>
      <c r="F110" s="98"/>
      <c r="G110" s="98"/>
      <c r="H110" s="87" t="s">
        <v>143</v>
      </c>
    </row>
    <row r="111" spans="1:8" ht="14.25" customHeight="1" x14ac:dyDescent="0.2">
      <c r="A111" s="93"/>
      <c r="B111" s="93"/>
      <c r="C111" s="94" t="s">
        <v>158</v>
      </c>
      <c r="D111" s="93"/>
      <c r="E111" s="93"/>
      <c r="F111" s="98"/>
      <c r="G111" s="98"/>
      <c r="H111" s="87" t="s">
        <v>143</v>
      </c>
    </row>
    <row r="112" spans="1:8" ht="14.25" customHeight="1" x14ac:dyDescent="0.2">
      <c r="A112" s="93"/>
      <c r="B112" s="93"/>
      <c r="C112" s="94" t="s">
        <v>142</v>
      </c>
      <c r="D112" s="93"/>
      <c r="E112" s="93" t="s">
        <v>143</v>
      </c>
      <c r="F112" s="99" t="s">
        <v>145</v>
      </c>
      <c r="G112" s="96">
        <v>0</v>
      </c>
      <c r="H112" s="87" t="s">
        <v>143</v>
      </c>
    </row>
    <row r="113" spans="1:8" ht="14.25" customHeight="1" x14ac:dyDescent="0.2">
      <c r="A113" s="93"/>
      <c r="B113" s="93"/>
      <c r="C113" s="97"/>
      <c r="D113" s="93"/>
      <c r="E113" s="93"/>
      <c r="F113" s="98"/>
      <c r="G113" s="98"/>
      <c r="H113" s="87" t="s">
        <v>143</v>
      </c>
    </row>
    <row r="114" spans="1:8" ht="14.25" customHeight="1" x14ac:dyDescent="0.2">
      <c r="A114" s="93"/>
      <c r="B114" s="93"/>
      <c r="C114" s="94" t="s">
        <v>159</v>
      </c>
      <c r="D114" s="93"/>
      <c r="E114" s="93"/>
      <c r="F114" s="98"/>
      <c r="G114" s="98"/>
      <c r="H114" s="87" t="s">
        <v>143</v>
      </c>
    </row>
    <row r="115" spans="1:8" ht="14.25" customHeight="1" x14ac:dyDescent="0.2">
      <c r="A115" s="93"/>
      <c r="B115" s="93"/>
      <c r="C115" s="94" t="s">
        <v>142</v>
      </c>
      <c r="D115" s="93"/>
      <c r="E115" s="93" t="s">
        <v>143</v>
      </c>
      <c r="F115" s="99" t="s">
        <v>145</v>
      </c>
      <c r="G115" s="96">
        <v>0</v>
      </c>
      <c r="H115" s="87" t="s">
        <v>143</v>
      </c>
    </row>
    <row r="116" spans="1:8" ht="14.25" customHeight="1" x14ac:dyDescent="0.2">
      <c r="A116" s="93"/>
      <c r="B116" s="93"/>
      <c r="C116" s="97"/>
      <c r="D116" s="93"/>
      <c r="E116" s="93"/>
      <c r="F116" s="98"/>
      <c r="G116" s="98"/>
      <c r="H116" s="87" t="s">
        <v>143</v>
      </c>
    </row>
    <row r="117" spans="1:8" ht="14.25" customHeight="1" x14ac:dyDescent="0.2">
      <c r="A117" s="93"/>
      <c r="B117" s="93"/>
      <c r="C117" s="94" t="s">
        <v>160</v>
      </c>
      <c r="D117" s="93"/>
      <c r="E117" s="93"/>
      <c r="F117" s="98"/>
      <c r="G117" s="98"/>
      <c r="H117" s="87" t="s">
        <v>143</v>
      </c>
    </row>
    <row r="118" spans="1:8" ht="14.25" customHeight="1" x14ac:dyDescent="0.2">
      <c r="A118" s="88">
        <v>1</v>
      </c>
      <c r="B118" s="89"/>
      <c r="C118" s="89" t="s">
        <v>161</v>
      </c>
      <c r="D118" s="89"/>
      <c r="E118" s="100"/>
      <c r="F118" s="91">
        <v>15003.635440960001</v>
      </c>
      <c r="G118" s="92">
        <v>4.5712179999999998E-2</v>
      </c>
      <c r="H118" s="87">
        <v>5.38</v>
      </c>
    </row>
    <row r="119" spans="1:8" ht="14.25" customHeight="1" x14ac:dyDescent="0.2">
      <c r="A119" s="93"/>
      <c r="B119" s="93"/>
      <c r="C119" s="94" t="s">
        <v>142</v>
      </c>
      <c r="D119" s="93"/>
      <c r="E119" s="93" t="s">
        <v>143</v>
      </c>
      <c r="F119" s="95">
        <v>15003.635440960001</v>
      </c>
      <c r="G119" s="96">
        <v>4.5712179999999998E-2</v>
      </c>
      <c r="H119" s="87" t="s">
        <v>143</v>
      </c>
    </row>
    <row r="120" spans="1:8" ht="14.25" customHeight="1" x14ac:dyDescent="0.2">
      <c r="A120" s="93"/>
      <c r="B120" s="93"/>
      <c r="C120" s="97"/>
      <c r="D120" s="93"/>
      <c r="E120" s="93"/>
      <c r="F120" s="98"/>
      <c r="G120" s="98"/>
      <c r="H120" s="87" t="s">
        <v>143</v>
      </c>
    </row>
    <row r="121" spans="1:8" ht="14.25" customHeight="1" x14ac:dyDescent="0.2">
      <c r="A121" s="93"/>
      <c r="B121" s="93"/>
      <c r="C121" s="94" t="s">
        <v>162</v>
      </c>
      <c r="D121" s="93"/>
      <c r="E121" s="93"/>
      <c r="F121" s="95">
        <v>15003.635440960001</v>
      </c>
      <c r="G121" s="96">
        <v>4.5712179999999998E-2</v>
      </c>
      <c r="H121" s="87" t="s">
        <v>143</v>
      </c>
    </row>
    <row r="122" spans="1:8" ht="14.25" customHeight="1" x14ac:dyDescent="0.2">
      <c r="A122" s="93"/>
      <c r="B122" s="93"/>
      <c r="C122" s="98"/>
      <c r="D122" s="93"/>
      <c r="E122" s="93"/>
      <c r="F122" s="93"/>
      <c r="G122" s="93"/>
      <c r="H122" s="87" t="s">
        <v>143</v>
      </c>
    </row>
    <row r="123" spans="1:8" ht="14.25" customHeight="1" x14ac:dyDescent="0.2">
      <c r="A123" s="93"/>
      <c r="B123" s="93"/>
      <c r="C123" s="94" t="s">
        <v>163</v>
      </c>
      <c r="D123" s="93"/>
      <c r="E123" s="93"/>
      <c r="F123" s="93"/>
      <c r="G123" s="93"/>
      <c r="H123" s="87" t="s">
        <v>143</v>
      </c>
    </row>
    <row r="124" spans="1:8" ht="14.25" customHeight="1" x14ac:dyDescent="0.2">
      <c r="A124" s="93"/>
      <c r="B124" s="93"/>
      <c r="C124" s="94" t="s">
        <v>164</v>
      </c>
      <c r="D124" s="93"/>
      <c r="E124" s="93"/>
      <c r="F124" s="93"/>
      <c r="G124" s="93"/>
      <c r="H124" s="87" t="s">
        <v>143</v>
      </c>
    </row>
    <row r="125" spans="1:8" ht="14.25" customHeight="1" x14ac:dyDescent="0.2">
      <c r="A125" s="88">
        <v>1</v>
      </c>
      <c r="B125" s="89" t="s">
        <v>500</v>
      </c>
      <c r="C125" s="89" t="s">
        <v>1140</v>
      </c>
      <c r="D125" s="89"/>
      <c r="E125" s="126">
        <v>13395446.6942</v>
      </c>
      <c r="F125" s="91">
        <v>2047.8289133759999</v>
      </c>
      <c r="G125" s="92">
        <v>6.2392000000000003E-3</v>
      </c>
      <c r="H125" s="87" t="s">
        <v>143</v>
      </c>
    </row>
    <row r="126" spans="1:8" ht="14.25" customHeight="1" x14ac:dyDescent="0.2">
      <c r="A126" s="93"/>
      <c r="B126" s="93"/>
      <c r="C126" s="94" t="s">
        <v>142</v>
      </c>
      <c r="D126" s="93"/>
      <c r="E126" s="93" t="s">
        <v>143</v>
      </c>
      <c r="F126" s="95">
        <v>2047.8289133759999</v>
      </c>
      <c r="G126" s="96">
        <v>6.2392000000000003E-3</v>
      </c>
      <c r="H126" s="87" t="s">
        <v>143</v>
      </c>
    </row>
    <row r="127" spans="1:8" ht="14.25" customHeight="1" x14ac:dyDescent="0.2">
      <c r="A127" s="93"/>
      <c r="B127" s="93"/>
      <c r="C127" s="97"/>
      <c r="D127" s="93"/>
      <c r="E127" s="93"/>
      <c r="F127" s="98"/>
      <c r="G127" s="98"/>
      <c r="H127" s="87" t="s">
        <v>143</v>
      </c>
    </row>
    <row r="128" spans="1:8" ht="14.25" customHeight="1" x14ac:dyDescent="0.2">
      <c r="A128" s="93"/>
      <c r="B128" s="93"/>
      <c r="C128" s="94" t="s">
        <v>165</v>
      </c>
      <c r="D128" s="93"/>
      <c r="E128" s="93"/>
      <c r="F128" s="93"/>
      <c r="G128" s="93"/>
      <c r="H128" s="87" t="s">
        <v>143</v>
      </c>
    </row>
    <row r="129" spans="1:17" ht="14.25" customHeight="1" x14ac:dyDescent="0.2">
      <c r="A129" s="93"/>
      <c r="B129" s="93"/>
      <c r="C129" s="94" t="s">
        <v>166</v>
      </c>
      <c r="D129" s="93"/>
      <c r="E129" s="93"/>
      <c r="F129" s="93"/>
      <c r="G129" s="93"/>
      <c r="H129" s="87" t="s">
        <v>143</v>
      </c>
    </row>
    <row r="130" spans="1:17" ht="14.25" customHeight="1" x14ac:dyDescent="0.2">
      <c r="A130" s="93"/>
      <c r="B130" s="93"/>
      <c r="C130" s="94" t="s">
        <v>142</v>
      </c>
      <c r="D130" s="93"/>
      <c r="E130" s="93" t="s">
        <v>143</v>
      </c>
      <c r="F130" s="99" t="s">
        <v>145</v>
      </c>
      <c r="G130" s="96">
        <v>0</v>
      </c>
      <c r="H130" s="87" t="s">
        <v>143</v>
      </c>
    </row>
    <row r="131" spans="1:17" ht="14.25" customHeight="1" x14ac:dyDescent="0.2">
      <c r="A131" s="93"/>
      <c r="B131" s="93"/>
      <c r="C131" s="97"/>
      <c r="D131" s="93"/>
      <c r="E131" s="93"/>
      <c r="F131" s="98"/>
      <c r="G131" s="98"/>
      <c r="H131" s="87" t="s">
        <v>143</v>
      </c>
    </row>
    <row r="132" spans="1:17" ht="14.25" customHeight="1" x14ac:dyDescent="0.2">
      <c r="A132" s="93"/>
      <c r="B132" s="93"/>
      <c r="C132" s="94" t="s">
        <v>167</v>
      </c>
      <c r="D132" s="93"/>
      <c r="E132" s="93"/>
      <c r="F132" s="98"/>
      <c r="G132" s="98"/>
      <c r="H132" s="87" t="s">
        <v>143</v>
      </c>
    </row>
    <row r="133" spans="1:17" ht="14.25" customHeight="1" x14ac:dyDescent="0.2">
      <c r="A133" s="93"/>
      <c r="B133" s="93"/>
      <c r="C133" s="94" t="s">
        <v>142</v>
      </c>
      <c r="D133" s="93"/>
      <c r="E133" s="93" t="s">
        <v>143</v>
      </c>
      <c r="F133" s="99" t="s">
        <v>145</v>
      </c>
      <c r="G133" s="96">
        <v>0</v>
      </c>
      <c r="H133" s="87" t="s">
        <v>143</v>
      </c>
    </row>
    <row r="134" spans="1:17" ht="14.25" customHeight="1" x14ac:dyDescent="0.2">
      <c r="A134" s="93"/>
      <c r="B134" s="93"/>
      <c r="C134" s="97"/>
      <c r="D134" s="93"/>
      <c r="E134" s="93"/>
      <c r="F134" s="98"/>
      <c r="G134" s="98"/>
      <c r="H134" s="87" t="s">
        <v>143</v>
      </c>
    </row>
    <row r="135" spans="1:17" ht="14.25" customHeight="1" x14ac:dyDescent="0.2">
      <c r="A135" s="100"/>
      <c r="B135" s="89"/>
      <c r="C135" s="89" t="s">
        <v>168</v>
      </c>
      <c r="D135" s="89"/>
      <c r="E135" s="100"/>
      <c r="F135" s="91">
        <f>236.65352313+0.00259327499389648</f>
        <v>236.6561164049939</v>
      </c>
      <c r="G135" s="92">
        <v>7.2101999999999995E-4</v>
      </c>
      <c r="H135" s="87" t="s">
        <v>143</v>
      </c>
    </row>
    <row r="136" spans="1:17" ht="14.25" customHeight="1" x14ac:dyDescent="0.2">
      <c r="A136" s="97"/>
      <c r="B136" s="97"/>
      <c r="C136" s="94" t="s">
        <v>169</v>
      </c>
      <c r="D136" s="98"/>
      <c r="E136" s="98"/>
      <c r="F136" s="95">
        <f>328219.623764385+0.00259327499389648</f>
        <v>328219.62635765999</v>
      </c>
      <c r="G136" s="101">
        <v>1.0000000200000001</v>
      </c>
      <c r="H136" s="87" t="s">
        <v>143</v>
      </c>
    </row>
    <row r="137" spans="1:17" ht="12.75" x14ac:dyDescent="0.2">
      <c r="A137" s="102"/>
      <c r="B137" s="102"/>
      <c r="C137" s="102"/>
      <c r="D137" s="103"/>
      <c r="E137" s="103"/>
      <c r="F137" s="103"/>
      <c r="G137" s="103"/>
    </row>
    <row r="138" spans="1:17" ht="12.75" x14ac:dyDescent="0.2">
      <c r="A138" s="104"/>
      <c r="B138" s="206" t="s">
        <v>942</v>
      </c>
      <c r="C138" s="206"/>
      <c r="D138" s="206"/>
      <c r="E138" s="206"/>
      <c r="F138" s="206"/>
      <c r="G138" s="206"/>
      <c r="H138" s="206"/>
      <c r="J138" s="106"/>
    </row>
    <row r="139" spans="1:17" ht="12.75" x14ac:dyDescent="0.2">
      <c r="A139" s="104"/>
      <c r="B139" s="206" t="s">
        <v>943</v>
      </c>
      <c r="C139" s="206"/>
      <c r="D139" s="206"/>
      <c r="E139" s="206"/>
      <c r="F139" s="206"/>
      <c r="G139" s="206"/>
      <c r="H139" s="206"/>
      <c r="J139" s="106"/>
    </row>
    <row r="140" spans="1:17" ht="12.75" x14ac:dyDescent="0.2">
      <c r="A140" s="104"/>
      <c r="B140" s="206" t="s">
        <v>944</v>
      </c>
      <c r="C140" s="206"/>
      <c r="D140" s="206"/>
      <c r="E140" s="206"/>
      <c r="F140" s="206"/>
      <c r="G140" s="206"/>
      <c r="H140" s="206"/>
      <c r="J140" s="106"/>
    </row>
    <row r="141" spans="1:17" s="108" customFormat="1" ht="66.75" customHeight="1" x14ac:dyDescent="0.25">
      <c r="A141" s="107"/>
      <c r="B141" s="207" t="s">
        <v>945</v>
      </c>
      <c r="C141" s="207"/>
      <c r="D141" s="207"/>
      <c r="E141" s="207"/>
      <c r="F141" s="207"/>
      <c r="G141" s="207"/>
      <c r="H141" s="207"/>
      <c r="I141"/>
      <c r="J141" s="106"/>
      <c r="K141"/>
      <c r="L141"/>
      <c r="M141"/>
      <c r="N141"/>
      <c r="O141"/>
      <c r="P141"/>
      <c r="Q141"/>
    </row>
    <row r="142" spans="1:17" ht="12.75" x14ac:dyDescent="0.2">
      <c r="A142" s="104"/>
      <c r="B142" s="206" t="s">
        <v>946</v>
      </c>
      <c r="C142" s="206"/>
      <c r="D142" s="206"/>
      <c r="E142" s="206"/>
      <c r="F142" s="206"/>
      <c r="G142" s="206"/>
      <c r="H142" s="206"/>
      <c r="J142" s="106"/>
    </row>
    <row r="143" spans="1:17" ht="12.75" x14ac:dyDescent="0.2">
      <c r="A143" s="104"/>
      <c r="B143" s="104"/>
      <c r="C143" s="104"/>
      <c r="D143" s="109"/>
      <c r="E143" s="109"/>
      <c r="F143" s="109"/>
      <c r="G143" s="109"/>
    </row>
    <row r="144" spans="1:17" ht="12.75" x14ac:dyDescent="0.2">
      <c r="A144" s="104"/>
      <c r="B144" s="199" t="s">
        <v>170</v>
      </c>
      <c r="C144" s="200"/>
      <c r="D144" s="201"/>
      <c r="E144" s="110"/>
      <c r="F144" s="109"/>
      <c r="G144" s="109"/>
    </row>
    <row r="145" spans="1:10" ht="27.75" customHeight="1" x14ac:dyDescent="0.2">
      <c r="A145" s="104"/>
      <c r="B145" s="202" t="s">
        <v>171</v>
      </c>
      <c r="C145" s="203"/>
      <c r="D145" s="86" t="s">
        <v>172</v>
      </c>
      <c r="E145" s="110"/>
      <c r="F145" s="109"/>
      <c r="G145" s="109"/>
    </row>
    <row r="146" spans="1:10" ht="12.75" customHeight="1" x14ac:dyDescent="0.2">
      <c r="A146" s="104"/>
      <c r="B146" s="202" t="s">
        <v>947</v>
      </c>
      <c r="C146" s="203"/>
      <c r="D146" s="86" t="str">
        <f>"Rs. "&amp;TEXT(F79,"0.00")&amp;" lacs/ #"</f>
        <v>Rs. 0.00 lacs/ #</v>
      </c>
      <c r="E146" s="110"/>
      <c r="F146" s="109"/>
      <c r="G146" s="109"/>
    </row>
    <row r="147" spans="1:10" ht="12.75" x14ac:dyDescent="0.2">
      <c r="A147" s="104"/>
      <c r="B147" s="202" t="s">
        <v>173</v>
      </c>
      <c r="C147" s="203"/>
      <c r="D147" s="111" t="s">
        <v>143</v>
      </c>
      <c r="E147" s="110"/>
      <c r="F147" s="109"/>
      <c r="G147" s="109"/>
    </row>
    <row r="148" spans="1:10" ht="12.75" x14ac:dyDescent="0.2">
      <c r="A148" s="112"/>
      <c r="B148" s="113" t="s">
        <v>143</v>
      </c>
      <c r="C148" s="113" t="s">
        <v>948</v>
      </c>
      <c r="D148" s="113" t="s">
        <v>174</v>
      </c>
      <c r="E148" s="112"/>
      <c r="F148" s="112"/>
      <c r="G148" s="112"/>
      <c r="H148" s="112"/>
      <c r="J148" s="106"/>
    </row>
    <row r="149" spans="1:10" ht="12.75" x14ac:dyDescent="0.2">
      <c r="A149" s="112"/>
      <c r="B149" s="114" t="s">
        <v>175</v>
      </c>
      <c r="C149" s="115">
        <v>45869</v>
      </c>
      <c r="D149" s="115">
        <v>45900</v>
      </c>
      <c r="E149" s="112"/>
      <c r="F149" s="112"/>
      <c r="G149" s="112"/>
      <c r="J149" s="106"/>
    </row>
    <row r="150" spans="1:10" ht="14.25" customHeight="1" x14ac:dyDescent="0.2">
      <c r="A150" s="116"/>
      <c r="B150" s="89" t="s">
        <v>176</v>
      </c>
      <c r="C150" s="117">
        <v>286.43700000000001</v>
      </c>
      <c r="D150" s="117">
        <v>277.09100000000001</v>
      </c>
      <c r="E150" s="116"/>
      <c r="F150" s="118"/>
      <c r="G150" s="119"/>
    </row>
    <row r="151" spans="1:10" ht="14.25" customHeight="1" x14ac:dyDescent="0.2">
      <c r="A151" s="116"/>
      <c r="B151" s="89" t="s">
        <v>954</v>
      </c>
      <c r="C151" s="117">
        <v>37.640999999999998</v>
      </c>
      <c r="D151" s="117">
        <v>36.412799999999997</v>
      </c>
      <c r="E151" s="116"/>
      <c r="F151" s="118"/>
      <c r="G151" s="119"/>
    </row>
    <row r="152" spans="1:10" ht="14.25" customHeight="1" x14ac:dyDescent="0.2">
      <c r="A152" s="116"/>
      <c r="B152" s="89" t="s">
        <v>177</v>
      </c>
      <c r="C152" s="117">
        <v>258.64920000000001</v>
      </c>
      <c r="D152" s="117">
        <v>249.9804</v>
      </c>
      <c r="E152" s="116"/>
      <c r="F152" s="118"/>
      <c r="G152" s="119"/>
    </row>
    <row r="153" spans="1:10" ht="14.25" customHeight="1" x14ac:dyDescent="0.2">
      <c r="A153" s="116"/>
      <c r="B153" s="89" t="s">
        <v>955</v>
      </c>
      <c r="C153" s="117">
        <v>33.065600000000003</v>
      </c>
      <c r="D153" s="117">
        <v>31.9574</v>
      </c>
      <c r="E153" s="116"/>
      <c r="F153" s="118"/>
      <c r="G153" s="119"/>
    </row>
    <row r="154" spans="1:10" ht="14.25" customHeight="1" x14ac:dyDescent="0.2">
      <c r="A154" s="116"/>
      <c r="B154" s="116"/>
      <c r="C154" s="116"/>
      <c r="D154" s="116"/>
      <c r="E154" s="116"/>
      <c r="F154" s="116"/>
      <c r="G154" s="116"/>
    </row>
    <row r="155" spans="1:10" ht="12.75" x14ac:dyDescent="0.2">
      <c r="A155" s="116"/>
      <c r="B155" s="208" t="s">
        <v>949</v>
      </c>
      <c r="C155" s="209"/>
      <c r="D155" s="86" t="s">
        <v>172</v>
      </c>
      <c r="E155" s="116"/>
      <c r="F155" s="116"/>
      <c r="G155" s="116"/>
    </row>
    <row r="156" spans="1:10" ht="12.75" x14ac:dyDescent="0.2">
      <c r="A156" s="116"/>
      <c r="B156" s="166"/>
      <c r="C156" s="166"/>
      <c r="D156" s="167"/>
      <c r="E156" s="116"/>
      <c r="F156" s="118"/>
      <c r="G156" s="119"/>
    </row>
    <row r="157" spans="1:10" ht="25.5" customHeight="1" x14ac:dyDescent="0.2">
      <c r="A157" s="112"/>
      <c r="B157" s="202" t="s">
        <v>178</v>
      </c>
      <c r="C157" s="203"/>
      <c r="D157" s="86" t="s">
        <v>172</v>
      </c>
      <c r="E157" s="121"/>
      <c r="F157" s="112"/>
      <c r="G157" s="112"/>
    </row>
    <row r="158" spans="1:10" ht="24.75" customHeight="1" x14ac:dyDescent="0.2">
      <c r="A158" s="112"/>
      <c r="B158" s="202" t="s">
        <v>179</v>
      </c>
      <c r="C158" s="203"/>
      <c r="D158" s="86" t="s">
        <v>172</v>
      </c>
      <c r="E158" s="121"/>
      <c r="F158" s="112"/>
      <c r="G158" s="112"/>
    </row>
    <row r="159" spans="1:10" ht="12.75" x14ac:dyDescent="0.2">
      <c r="A159" s="112"/>
      <c r="B159" s="202" t="s">
        <v>180</v>
      </c>
      <c r="C159" s="203"/>
      <c r="D159" s="86" t="s">
        <v>172</v>
      </c>
      <c r="E159" s="121"/>
      <c r="F159" s="112"/>
      <c r="G159" s="112"/>
    </row>
    <row r="160" spans="1:10" ht="12.75" x14ac:dyDescent="0.2">
      <c r="A160" s="112"/>
      <c r="B160" s="202" t="s">
        <v>181</v>
      </c>
      <c r="C160" s="203"/>
      <c r="D160" s="122">
        <v>0.67996201482923158</v>
      </c>
      <c r="E160" s="112"/>
      <c r="F160" s="105"/>
      <c r="G160" s="123"/>
    </row>
    <row r="161" spans="2:10" ht="12.75" x14ac:dyDescent="0.2"/>
    <row r="162" spans="2:10" ht="12.75" x14ac:dyDescent="0.2">
      <c r="B162" s="204" t="s">
        <v>950</v>
      </c>
      <c r="C162" s="204"/>
    </row>
    <row r="163" spans="2:10" ht="12.75" x14ac:dyDescent="0.2"/>
    <row r="164" spans="2:10" ht="153.75" customHeight="1" x14ac:dyDescent="0.2"/>
    <row r="165" spans="2:10" ht="12.75" x14ac:dyDescent="0.2"/>
    <row r="166" spans="2:10" ht="12.75" x14ac:dyDescent="0.2"/>
    <row r="167" spans="2:10" ht="12.75" x14ac:dyDescent="0.2">
      <c r="B167" s="124" t="s">
        <v>951</v>
      </c>
      <c r="C167" s="125"/>
      <c r="D167" s="124" t="s">
        <v>956</v>
      </c>
    </row>
    <row r="168" spans="2:10" ht="12.75" x14ac:dyDescent="0.2">
      <c r="B168" s="124" t="s">
        <v>967</v>
      </c>
      <c r="D168" s="124" t="s">
        <v>968</v>
      </c>
    </row>
    <row r="169" spans="2:10" ht="165" customHeight="1" x14ac:dyDescent="0.2"/>
    <row r="170" spans="2:10" ht="12.75" x14ac:dyDescent="0.2"/>
    <row r="171" spans="2:10" ht="12.75" x14ac:dyDescent="0.2">
      <c r="J171" s="84"/>
    </row>
    <row r="172" spans="2:10" ht="12.75" x14ac:dyDescent="0.2"/>
  </sheetData>
  <mergeCells count="18">
    <mergeCell ref="A1:H1"/>
    <mergeCell ref="A2:H2"/>
    <mergeCell ref="A3:H3"/>
    <mergeCell ref="B155:C155"/>
    <mergeCell ref="B157:C157"/>
    <mergeCell ref="B138:H138"/>
    <mergeCell ref="B139:H139"/>
    <mergeCell ref="B146:C146"/>
    <mergeCell ref="B147:C147"/>
    <mergeCell ref="B160:C160"/>
    <mergeCell ref="B162:C162"/>
    <mergeCell ref="B140:H140"/>
    <mergeCell ref="B141:H141"/>
    <mergeCell ref="B142:H142"/>
    <mergeCell ref="B144:D144"/>
    <mergeCell ref="B145:C145"/>
    <mergeCell ref="B159:C159"/>
    <mergeCell ref="B158:C158"/>
  </mergeCells>
  <hyperlinks>
    <hyperlink ref="I1" location="Index!B2" display="Index" xr:uid="{5D9D2B5C-611A-4048-9813-7B291AF08B4B}"/>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0B4A5-6F23-42DF-BCBE-76000591AA24}">
  <sheetPr>
    <outlinePr summaryBelow="0" summaryRight="0"/>
  </sheetPr>
  <dimension ref="A1:Q287"/>
  <sheetViews>
    <sheetView showGridLines="0" workbookViewId="0">
      <selection sqref="A1:H1"/>
    </sheetView>
  </sheetViews>
  <sheetFormatPr defaultRowHeight="14.25" customHeight="1" x14ac:dyDescent="0.2"/>
  <cols>
    <col min="1" max="1" width="5.85546875" bestFit="1" customWidth="1"/>
    <col min="2" max="2" width="18" customWidth="1"/>
    <col min="3" max="3" width="69.5703125" bestFit="1" customWidth="1"/>
    <col min="4" max="4" width="29.28515625" bestFit="1" customWidth="1"/>
    <col min="5" max="5" width="13.5703125" bestFit="1" customWidth="1"/>
    <col min="6" max="6" width="10.140625" bestFit="1" customWidth="1"/>
    <col min="7" max="7" width="14" bestFit="1" customWidth="1"/>
    <col min="8" max="8" width="9.42578125" customWidth="1"/>
    <col min="9" max="9" width="15.28515625" customWidth="1"/>
  </cols>
  <sheetData>
    <row r="1" spans="1:9" ht="14.25" customHeight="1" x14ac:dyDescent="0.2">
      <c r="A1" s="205" t="s">
        <v>0</v>
      </c>
      <c r="B1" s="205"/>
      <c r="C1" s="205"/>
      <c r="D1" s="205"/>
      <c r="E1" s="205"/>
      <c r="F1" s="205"/>
      <c r="G1" s="205"/>
      <c r="H1" s="205"/>
      <c r="I1" s="1" t="s">
        <v>898</v>
      </c>
    </row>
    <row r="2" spans="1:9" ht="14.25" customHeight="1" x14ac:dyDescent="0.2">
      <c r="A2" s="205" t="s">
        <v>502</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321</v>
      </c>
      <c r="C7" s="89" t="s">
        <v>322</v>
      </c>
      <c r="D7" s="89" t="s">
        <v>33</v>
      </c>
      <c r="E7" s="90">
        <v>5315848</v>
      </c>
      <c r="F7" s="91">
        <v>50585.609568</v>
      </c>
      <c r="G7" s="92">
        <v>7.5730519999999996E-2</v>
      </c>
      <c r="H7" s="87" t="s">
        <v>143</v>
      </c>
    </row>
    <row r="8" spans="1:9" ht="14.25" customHeight="1" x14ac:dyDescent="0.2">
      <c r="A8" s="88">
        <v>2</v>
      </c>
      <c r="B8" s="89" t="s">
        <v>31</v>
      </c>
      <c r="C8" s="89" t="s">
        <v>32</v>
      </c>
      <c r="D8" s="89" t="s">
        <v>33</v>
      </c>
      <c r="E8" s="90">
        <v>2931315</v>
      </c>
      <c r="F8" s="91">
        <v>40973.921069999997</v>
      </c>
      <c r="G8" s="92">
        <v>6.1341090000000001E-2</v>
      </c>
      <c r="H8" s="87" t="s">
        <v>143</v>
      </c>
    </row>
    <row r="9" spans="1:9" ht="14.25" customHeight="1" x14ac:dyDescent="0.2">
      <c r="A9" s="88">
        <v>3</v>
      </c>
      <c r="B9" s="89" t="s">
        <v>17</v>
      </c>
      <c r="C9" s="89" t="s">
        <v>18</v>
      </c>
      <c r="D9" s="89" t="s">
        <v>19</v>
      </c>
      <c r="E9" s="90">
        <v>2339375</v>
      </c>
      <c r="F9" s="91">
        <v>31749.997500000001</v>
      </c>
      <c r="G9" s="92">
        <v>4.7532169999999999E-2</v>
      </c>
      <c r="H9" s="87" t="s">
        <v>143</v>
      </c>
    </row>
    <row r="10" spans="1:9" ht="14.25" customHeight="1" x14ac:dyDescent="0.2">
      <c r="A10" s="88">
        <v>4</v>
      </c>
      <c r="B10" s="89" t="s">
        <v>11</v>
      </c>
      <c r="C10" s="89" t="s">
        <v>12</v>
      </c>
      <c r="D10" s="89" t="s">
        <v>13</v>
      </c>
      <c r="E10" s="90">
        <v>1274195</v>
      </c>
      <c r="F10" s="91">
        <v>24066.995159999999</v>
      </c>
      <c r="G10" s="92">
        <v>3.603013E-2</v>
      </c>
      <c r="H10" s="87" t="s">
        <v>143</v>
      </c>
    </row>
    <row r="11" spans="1:9" ht="14.25" customHeight="1" x14ac:dyDescent="0.2">
      <c r="A11" s="88">
        <v>5</v>
      </c>
      <c r="B11" s="89" t="s">
        <v>49</v>
      </c>
      <c r="C11" s="89" t="s">
        <v>50</v>
      </c>
      <c r="D11" s="89" t="s">
        <v>33</v>
      </c>
      <c r="E11" s="90">
        <v>2333760</v>
      </c>
      <c r="F11" s="91">
        <v>18728.423999999999</v>
      </c>
      <c r="G11" s="92">
        <v>2.8037880000000001E-2</v>
      </c>
      <c r="H11" s="87" t="s">
        <v>143</v>
      </c>
    </row>
    <row r="12" spans="1:9" ht="14.25" customHeight="1" x14ac:dyDescent="0.2">
      <c r="A12" s="88">
        <v>6</v>
      </c>
      <c r="B12" s="89" t="s">
        <v>323</v>
      </c>
      <c r="C12" s="89" t="s">
        <v>324</v>
      </c>
      <c r="D12" s="89" t="s">
        <v>33</v>
      </c>
      <c r="E12" s="90">
        <v>952121</v>
      </c>
      <c r="F12" s="91">
        <v>18664.427962999998</v>
      </c>
      <c r="G12" s="92">
        <v>2.7942069999999999E-2</v>
      </c>
      <c r="H12" s="87" t="s">
        <v>143</v>
      </c>
    </row>
    <row r="13" spans="1:9" ht="14.25" customHeight="1" x14ac:dyDescent="0.2">
      <c r="A13" s="88">
        <v>7</v>
      </c>
      <c r="B13" s="89" t="s">
        <v>14</v>
      </c>
      <c r="C13" s="89" t="s">
        <v>15</v>
      </c>
      <c r="D13" s="89" t="s">
        <v>16</v>
      </c>
      <c r="E13" s="90">
        <v>471329</v>
      </c>
      <c r="F13" s="91">
        <v>16972.557290000001</v>
      </c>
      <c r="G13" s="92">
        <v>2.5409210000000002E-2</v>
      </c>
      <c r="H13" s="87" t="s">
        <v>143</v>
      </c>
    </row>
    <row r="14" spans="1:9" ht="12.75" x14ac:dyDescent="0.2">
      <c r="A14" s="88">
        <v>8</v>
      </c>
      <c r="B14" s="127" t="s">
        <v>969</v>
      </c>
      <c r="C14" s="127" t="s">
        <v>970</v>
      </c>
      <c r="D14" s="127" t="s">
        <v>77</v>
      </c>
      <c r="E14" s="149">
        <v>3025000</v>
      </c>
      <c r="F14" s="150">
        <f>131.464037208*100</f>
        <v>13146.403720800001</v>
      </c>
      <c r="G14" s="151">
        <f>F14/F207</f>
        <v>1.9681170344397834E-2</v>
      </c>
      <c r="H14" s="87" t="s">
        <v>143</v>
      </c>
    </row>
    <row r="15" spans="1:9" ht="14.25" customHeight="1" x14ac:dyDescent="0.2">
      <c r="A15" s="88">
        <v>9</v>
      </c>
      <c r="B15" s="89" t="s">
        <v>329</v>
      </c>
      <c r="C15" s="89" t="s">
        <v>330</v>
      </c>
      <c r="D15" s="89" t="s">
        <v>191</v>
      </c>
      <c r="E15" s="90">
        <v>1459935</v>
      </c>
      <c r="F15" s="91">
        <v>12816.039397500001</v>
      </c>
      <c r="G15" s="92">
        <v>1.918659E-2</v>
      </c>
      <c r="H15" s="87" t="s">
        <v>143</v>
      </c>
    </row>
    <row r="16" spans="1:9" ht="14.25" customHeight="1" x14ac:dyDescent="0.2">
      <c r="A16" s="88">
        <v>10</v>
      </c>
      <c r="B16" s="89" t="s">
        <v>331</v>
      </c>
      <c r="C16" s="89" t="s">
        <v>332</v>
      </c>
      <c r="D16" s="89" t="s">
        <v>243</v>
      </c>
      <c r="E16" s="90">
        <v>400015</v>
      </c>
      <c r="F16" s="91">
        <v>12798.479925</v>
      </c>
      <c r="G16" s="92">
        <v>1.9160300000000002E-2</v>
      </c>
      <c r="H16" s="87" t="s">
        <v>143</v>
      </c>
    </row>
    <row r="17" spans="1:8" ht="14.25" customHeight="1" x14ac:dyDescent="0.2">
      <c r="A17" s="88">
        <v>11</v>
      </c>
      <c r="B17" s="89" t="s">
        <v>445</v>
      </c>
      <c r="C17" s="89" t="s">
        <v>446</v>
      </c>
      <c r="D17" s="89" t="s">
        <v>429</v>
      </c>
      <c r="E17" s="90">
        <v>446998</v>
      </c>
      <c r="F17" s="91">
        <v>11889.252804</v>
      </c>
      <c r="G17" s="92">
        <v>1.7799120000000002E-2</v>
      </c>
      <c r="H17" s="87" t="s">
        <v>143</v>
      </c>
    </row>
    <row r="18" spans="1:8" ht="14.25" customHeight="1" x14ac:dyDescent="0.2">
      <c r="A18" s="88">
        <v>12</v>
      </c>
      <c r="B18" s="89" t="s">
        <v>325</v>
      </c>
      <c r="C18" s="89" t="s">
        <v>326</v>
      </c>
      <c r="D18" s="89" t="s">
        <v>199</v>
      </c>
      <c r="E18" s="90">
        <v>774735</v>
      </c>
      <c r="F18" s="91">
        <v>11385.50556</v>
      </c>
      <c r="G18" s="92">
        <v>1.704497E-2</v>
      </c>
      <c r="H18" s="87" t="s">
        <v>143</v>
      </c>
    </row>
    <row r="19" spans="1:8" ht="14.25" customHeight="1" x14ac:dyDescent="0.2">
      <c r="A19" s="88">
        <v>13</v>
      </c>
      <c r="B19" s="89" t="s">
        <v>351</v>
      </c>
      <c r="C19" s="89" t="s">
        <v>352</v>
      </c>
      <c r="D19" s="89" t="s">
        <v>191</v>
      </c>
      <c r="E19" s="90">
        <v>728160</v>
      </c>
      <c r="F19" s="91">
        <v>10344.96912</v>
      </c>
      <c r="G19" s="92">
        <v>1.548721E-2</v>
      </c>
      <c r="H19" s="87" t="s">
        <v>143</v>
      </c>
    </row>
    <row r="20" spans="1:8" ht="14.25" customHeight="1" x14ac:dyDescent="0.2">
      <c r="A20" s="88">
        <v>14</v>
      </c>
      <c r="B20" s="89" t="s">
        <v>71</v>
      </c>
      <c r="C20" s="89" t="s">
        <v>72</v>
      </c>
      <c r="D20" s="89" t="s">
        <v>68</v>
      </c>
      <c r="E20" s="90">
        <v>240499</v>
      </c>
      <c r="F20" s="91">
        <v>9201.9727380000004</v>
      </c>
      <c r="G20" s="92">
        <v>1.377606E-2</v>
      </c>
      <c r="H20" s="87" t="s">
        <v>143</v>
      </c>
    </row>
    <row r="21" spans="1:8" ht="14.25" customHeight="1" x14ac:dyDescent="0.2">
      <c r="A21" s="88">
        <v>15</v>
      </c>
      <c r="B21" s="89" t="s">
        <v>430</v>
      </c>
      <c r="C21" s="89" t="s">
        <v>431</v>
      </c>
      <c r="D21" s="89" t="s">
        <v>199</v>
      </c>
      <c r="E21" s="90">
        <v>628155</v>
      </c>
      <c r="F21" s="91">
        <v>9138.3989399999991</v>
      </c>
      <c r="G21" s="92">
        <v>1.3680879999999999E-2</v>
      </c>
      <c r="H21" s="87" t="s">
        <v>143</v>
      </c>
    </row>
    <row r="22" spans="1:8" ht="14.25" customHeight="1" x14ac:dyDescent="0.2">
      <c r="A22" s="88">
        <v>16</v>
      </c>
      <c r="B22" s="89" t="s">
        <v>26</v>
      </c>
      <c r="C22" s="89" t="s">
        <v>27</v>
      </c>
      <c r="D22" s="89" t="s">
        <v>28</v>
      </c>
      <c r="E22" s="90">
        <v>2435764</v>
      </c>
      <c r="F22" s="91">
        <v>8997.7122159999999</v>
      </c>
      <c r="G22" s="92">
        <v>1.347026E-2</v>
      </c>
      <c r="H22" s="87" t="s">
        <v>143</v>
      </c>
    </row>
    <row r="23" spans="1:8" ht="14.25" customHeight="1" x14ac:dyDescent="0.2">
      <c r="A23" s="88">
        <v>17</v>
      </c>
      <c r="B23" s="89" t="s">
        <v>183</v>
      </c>
      <c r="C23" s="89" t="s">
        <v>184</v>
      </c>
      <c r="D23" s="89" t="s">
        <v>185</v>
      </c>
      <c r="E23" s="90">
        <v>379675</v>
      </c>
      <c r="F23" s="91">
        <v>8767.0754250000009</v>
      </c>
      <c r="G23" s="92">
        <v>1.312498E-2</v>
      </c>
      <c r="H23" s="87" t="s">
        <v>143</v>
      </c>
    </row>
    <row r="24" spans="1:8" ht="14.25" customHeight="1" x14ac:dyDescent="0.2">
      <c r="A24" s="88">
        <v>18</v>
      </c>
      <c r="B24" s="89" t="s">
        <v>51</v>
      </c>
      <c r="C24" s="89" t="s">
        <v>52</v>
      </c>
      <c r="D24" s="89" t="s">
        <v>53</v>
      </c>
      <c r="E24" s="90">
        <v>153305</v>
      </c>
      <c r="F24" s="91">
        <v>8655.6003000000001</v>
      </c>
      <c r="G24" s="92">
        <v>1.29581E-2</v>
      </c>
      <c r="H24" s="87" t="s">
        <v>143</v>
      </c>
    </row>
    <row r="25" spans="1:8" ht="14.25" customHeight="1" x14ac:dyDescent="0.2">
      <c r="A25" s="88">
        <v>19</v>
      </c>
      <c r="B25" s="89" t="s">
        <v>503</v>
      </c>
      <c r="C25" s="89" t="s">
        <v>504</v>
      </c>
      <c r="D25" s="89" t="s">
        <v>191</v>
      </c>
      <c r="E25" s="90">
        <v>2267155</v>
      </c>
      <c r="F25" s="91">
        <v>8608.3875349999998</v>
      </c>
      <c r="G25" s="92">
        <v>1.288741E-2</v>
      </c>
      <c r="H25" s="87" t="s">
        <v>143</v>
      </c>
    </row>
    <row r="26" spans="1:8" ht="14.25" customHeight="1" x14ac:dyDescent="0.2">
      <c r="A26" s="88">
        <v>20</v>
      </c>
      <c r="B26" s="89" t="s">
        <v>250</v>
      </c>
      <c r="C26" s="89" t="s">
        <v>251</v>
      </c>
      <c r="D26" s="89" t="s">
        <v>191</v>
      </c>
      <c r="E26" s="90">
        <v>1372500</v>
      </c>
      <c r="F26" s="91">
        <v>7963.9312499999996</v>
      </c>
      <c r="G26" s="92">
        <v>1.192261E-2</v>
      </c>
      <c r="H26" s="87" t="s">
        <v>143</v>
      </c>
    </row>
    <row r="27" spans="1:8" ht="14.25" customHeight="1" x14ac:dyDescent="0.2">
      <c r="A27" s="88">
        <v>21</v>
      </c>
      <c r="B27" s="89" t="s">
        <v>505</v>
      </c>
      <c r="C27" s="89" t="s">
        <v>506</v>
      </c>
      <c r="D27" s="89" t="s">
        <v>243</v>
      </c>
      <c r="E27" s="90">
        <v>53768</v>
      </c>
      <c r="F27" s="91">
        <v>7952.8248800000001</v>
      </c>
      <c r="G27" s="92">
        <v>1.190599E-2</v>
      </c>
      <c r="H27" s="87" t="s">
        <v>143</v>
      </c>
    </row>
    <row r="28" spans="1:8" ht="14.25" customHeight="1" x14ac:dyDescent="0.2">
      <c r="A28" s="88">
        <v>22</v>
      </c>
      <c r="B28" s="89" t="s">
        <v>441</v>
      </c>
      <c r="C28" s="89" t="s">
        <v>442</v>
      </c>
      <c r="D28" s="89" t="s">
        <v>204</v>
      </c>
      <c r="E28" s="90">
        <v>685090</v>
      </c>
      <c r="F28" s="91">
        <v>7298.9488600000004</v>
      </c>
      <c r="G28" s="92">
        <v>1.092708E-2</v>
      </c>
      <c r="H28" s="87" t="s">
        <v>143</v>
      </c>
    </row>
    <row r="29" spans="1:8" ht="14.25" customHeight="1" x14ac:dyDescent="0.2">
      <c r="A29" s="88">
        <v>23</v>
      </c>
      <c r="B29" s="89" t="s">
        <v>205</v>
      </c>
      <c r="C29" s="89" t="s">
        <v>206</v>
      </c>
      <c r="D29" s="89" t="s">
        <v>207</v>
      </c>
      <c r="E29" s="90">
        <v>1095913</v>
      </c>
      <c r="F29" s="91">
        <v>6879.5938575</v>
      </c>
      <c r="G29" s="92">
        <v>1.0299279999999999E-2</v>
      </c>
      <c r="H29" s="87" t="s">
        <v>143</v>
      </c>
    </row>
    <row r="30" spans="1:8" ht="14.25" customHeight="1" x14ac:dyDescent="0.2">
      <c r="A30" s="88">
        <v>24</v>
      </c>
      <c r="B30" s="89" t="s">
        <v>37</v>
      </c>
      <c r="C30" s="89" t="s">
        <v>38</v>
      </c>
      <c r="D30" s="89" t="s">
        <v>19</v>
      </c>
      <c r="E30" s="90">
        <v>2077141</v>
      </c>
      <c r="F30" s="91">
        <v>6401.7485619999998</v>
      </c>
      <c r="G30" s="92">
        <v>9.5839099999999993E-3</v>
      </c>
      <c r="H30" s="87" t="s">
        <v>143</v>
      </c>
    </row>
    <row r="31" spans="1:8" ht="14.25" customHeight="1" x14ac:dyDescent="0.2">
      <c r="A31" s="88">
        <v>25</v>
      </c>
      <c r="B31" s="89" t="s">
        <v>335</v>
      </c>
      <c r="C31" s="89" t="s">
        <v>336</v>
      </c>
      <c r="D31" s="89" t="s">
        <v>25</v>
      </c>
      <c r="E31" s="90">
        <v>225200</v>
      </c>
      <c r="F31" s="91">
        <v>6250.6512000000002</v>
      </c>
      <c r="G31" s="92">
        <v>9.3577E-3</v>
      </c>
      <c r="H31" s="87" t="s">
        <v>143</v>
      </c>
    </row>
    <row r="32" spans="1:8" ht="14.25" customHeight="1" x14ac:dyDescent="0.2">
      <c r="A32" s="88">
        <v>26</v>
      </c>
      <c r="B32" s="89" t="s">
        <v>44</v>
      </c>
      <c r="C32" s="89" t="s">
        <v>45</v>
      </c>
      <c r="D32" s="89" t="s">
        <v>46</v>
      </c>
      <c r="E32" s="90">
        <v>85425</v>
      </c>
      <c r="F32" s="91">
        <v>6208.2618750000001</v>
      </c>
      <c r="G32" s="92">
        <v>9.2942400000000005E-3</v>
      </c>
      <c r="H32" s="87" t="s">
        <v>143</v>
      </c>
    </row>
    <row r="33" spans="1:8" ht="14.25" customHeight="1" x14ac:dyDescent="0.2">
      <c r="A33" s="88">
        <v>27</v>
      </c>
      <c r="B33" s="89" t="s">
        <v>339</v>
      </c>
      <c r="C33" s="89" t="s">
        <v>340</v>
      </c>
      <c r="D33" s="89" t="s">
        <v>223</v>
      </c>
      <c r="E33" s="90">
        <v>84000</v>
      </c>
      <c r="F33" s="91">
        <v>6207.6</v>
      </c>
      <c r="G33" s="92">
        <v>9.2932499999999994E-3</v>
      </c>
      <c r="H33" s="87" t="s">
        <v>143</v>
      </c>
    </row>
    <row r="34" spans="1:8" ht="14.25" customHeight="1" x14ac:dyDescent="0.2">
      <c r="A34" s="88">
        <v>28</v>
      </c>
      <c r="B34" s="89" t="s">
        <v>23</v>
      </c>
      <c r="C34" s="89" t="s">
        <v>24</v>
      </c>
      <c r="D34" s="89" t="s">
        <v>25</v>
      </c>
      <c r="E34" s="90">
        <v>45760</v>
      </c>
      <c r="F34" s="91">
        <v>5784.0640000000003</v>
      </c>
      <c r="G34" s="92">
        <v>8.6591900000000006E-3</v>
      </c>
      <c r="H34" s="87" t="s">
        <v>143</v>
      </c>
    </row>
    <row r="35" spans="1:8" ht="14.25" customHeight="1" x14ac:dyDescent="0.2">
      <c r="A35" s="88">
        <v>29</v>
      </c>
      <c r="B35" s="89" t="s">
        <v>507</v>
      </c>
      <c r="C35" s="89" t="s">
        <v>508</v>
      </c>
      <c r="D35" s="89" t="s">
        <v>243</v>
      </c>
      <c r="E35" s="90">
        <v>66363</v>
      </c>
      <c r="F35" s="91">
        <v>5728.1223449999998</v>
      </c>
      <c r="G35" s="92">
        <v>8.5754400000000001E-3</v>
      </c>
      <c r="H35" s="87" t="s">
        <v>143</v>
      </c>
    </row>
    <row r="36" spans="1:8" ht="14.25" customHeight="1" x14ac:dyDescent="0.2">
      <c r="A36" s="88">
        <v>30</v>
      </c>
      <c r="B36" s="89" t="s">
        <v>509</v>
      </c>
      <c r="C36" s="89" t="s">
        <v>510</v>
      </c>
      <c r="D36" s="89" t="s">
        <v>232</v>
      </c>
      <c r="E36" s="90">
        <v>426150</v>
      </c>
      <c r="F36" s="91">
        <v>5586.8265000000001</v>
      </c>
      <c r="G36" s="92">
        <v>8.3639100000000004E-3</v>
      </c>
      <c r="H36" s="87" t="s">
        <v>143</v>
      </c>
    </row>
    <row r="37" spans="1:8" ht="14.25" customHeight="1" x14ac:dyDescent="0.2">
      <c r="A37" s="88">
        <v>31</v>
      </c>
      <c r="B37" s="89" t="s">
        <v>47</v>
      </c>
      <c r="C37" s="89" t="s">
        <v>48</v>
      </c>
      <c r="D37" s="89" t="s">
        <v>22</v>
      </c>
      <c r="E37" s="90">
        <v>1469941</v>
      </c>
      <c r="F37" s="91">
        <v>5499.7842515000002</v>
      </c>
      <c r="G37" s="92">
        <v>8.2336000000000006E-3</v>
      </c>
      <c r="H37" s="87" t="s">
        <v>143</v>
      </c>
    </row>
    <row r="38" spans="1:8" ht="14.25" customHeight="1" x14ac:dyDescent="0.2">
      <c r="A38" s="88">
        <v>32</v>
      </c>
      <c r="B38" s="89" t="s">
        <v>259</v>
      </c>
      <c r="C38" s="89" t="s">
        <v>260</v>
      </c>
      <c r="D38" s="89" t="s">
        <v>194</v>
      </c>
      <c r="E38" s="90">
        <v>221910</v>
      </c>
      <c r="F38" s="91">
        <v>5484.2837399999999</v>
      </c>
      <c r="G38" s="92">
        <v>8.2103899999999997E-3</v>
      </c>
      <c r="H38" s="87" t="s">
        <v>143</v>
      </c>
    </row>
    <row r="39" spans="1:8" ht="14.25" customHeight="1" x14ac:dyDescent="0.2">
      <c r="A39" s="88">
        <v>33</v>
      </c>
      <c r="B39" s="89" t="s">
        <v>252</v>
      </c>
      <c r="C39" s="89" t="s">
        <v>253</v>
      </c>
      <c r="D39" s="89" t="s">
        <v>43</v>
      </c>
      <c r="E39" s="90">
        <v>427474</v>
      </c>
      <c r="F39" s="91">
        <v>5467.39246</v>
      </c>
      <c r="G39" s="92">
        <v>8.1851000000000007E-3</v>
      </c>
      <c r="H39" s="87" t="s">
        <v>143</v>
      </c>
    </row>
    <row r="40" spans="1:8" ht="14.25" customHeight="1" x14ac:dyDescent="0.2">
      <c r="A40" s="88">
        <v>34</v>
      </c>
      <c r="B40" s="89" t="s">
        <v>432</v>
      </c>
      <c r="C40" s="89" t="s">
        <v>433</v>
      </c>
      <c r="D40" s="89" t="s">
        <v>263</v>
      </c>
      <c r="E40" s="90">
        <v>298800</v>
      </c>
      <c r="F40" s="91">
        <v>5394.8339999999998</v>
      </c>
      <c r="G40" s="92">
        <v>8.0764800000000005E-3</v>
      </c>
      <c r="H40" s="87" t="s">
        <v>143</v>
      </c>
    </row>
    <row r="41" spans="1:8" ht="14.25" customHeight="1" x14ac:dyDescent="0.2">
      <c r="A41" s="88">
        <v>35</v>
      </c>
      <c r="B41" s="89" t="s">
        <v>221</v>
      </c>
      <c r="C41" s="89" t="s">
        <v>222</v>
      </c>
      <c r="D41" s="89" t="s">
        <v>223</v>
      </c>
      <c r="E41" s="90">
        <v>255735</v>
      </c>
      <c r="F41" s="91">
        <v>5360.7170699999997</v>
      </c>
      <c r="G41" s="92">
        <v>8.0254000000000002E-3</v>
      </c>
      <c r="H41" s="87" t="s">
        <v>143</v>
      </c>
    </row>
    <row r="42" spans="1:8" ht="14.25" customHeight="1" x14ac:dyDescent="0.2">
      <c r="A42" s="88">
        <v>36</v>
      </c>
      <c r="B42" s="89" t="s">
        <v>347</v>
      </c>
      <c r="C42" s="89" t="s">
        <v>348</v>
      </c>
      <c r="D42" s="89" t="s">
        <v>194</v>
      </c>
      <c r="E42" s="90">
        <v>314495</v>
      </c>
      <c r="F42" s="91">
        <v>5014.6227749999998</v>
      </c>
      <c r="G42" s="92">
        <v>7.5072699999999999E-3</v>
      </c>
      <c r="H42" s="87" t="s">
        <v>143</v>
      </c>
    </row>
    <row r="43" spans="1:8" ht="14.25" customHeight="1" x14ac:dyDescent="0.2">
      <c r="A43" s="88">
        <v>37</v>
      </c>
      <c r="B43" s="89" t="s">
        <v>427</v>
      </c>
      <c r="C43" s="89" t="s">
        <v>428</v>
      </c>
      <c r="D43" s="89" t="s">
        <v>429</v>
      </c>
      <c r="E43" s="90">
        <v>1205595</v>
      </c>
      <c r="F43" s="91">
        <v>4939.9255125</v>
      </c>
      <c r="G43" s="92">
        <v>7.3954499999999996E-3</v>
      </c>
      <c r="H43" s="87" t="s">
        <v>143</v>
      </c>
    </row>
    <row r="44" spans="1:8" ht="14.25" customHeight="1" x14ac:dyDescent="0.2">
      <c r="A44" s="88">
        <v>38</v>
      </c>
      <c r="B44" s="89" t="s">
        <v>511</v>
      </c>
      <c r="C44" s="89" t="s">
        <v>512</v>
      </c>
      <c r="D44" s="89" t="s">
        <v>268</v>
      </c>
      <c r="E44" s="90">
        <v>155085</v>
      </c>
      <c r="F44" s="91">
        <v>4730.5577549999998</v>
      </c>
      <c r="G44" s="92">
        <v>7.0820099999999997E-3</v>
      </c>
      <c r="H44" s="87" t="s">
        <v>143</v>
      </c>
    </row>
    <row r="45" spans="1:8" ht="14.25" customHeight="1" x14ac:dyDescent="0.2">
      <c r="A45" s="88">
        <v>39</v>
      </c>
      <c r="B45" s="89" t="s">
        <v>186</v>
      </c>
      <c r="C45" s="89" t="s">
        <v>187</v>
      </c>
      <c r="D45" s="89" t="s">
        <v>188</v>
      </c>
      <c r="E45" s="90">
        <v>500000</v>
      </c>
      <c r="F45" s="91">
        <v>4557.5</v>
      </c>
      <c r="G45" s="92">
        <v>6.8229299999999996E-3</v>
      </c>
      <c r="H45" s="87" t="s">
        <v>143</v>
      </c>
    </row>
    <row r="46" spans="1:8" ht="14.25" customHeight="1" x14ac:dyDescent="0.2">
      <c r="A46" s="88">
        <v>40</v>
      </c>
      <c r="B46" s="89" t="s">
        <v>192</v>
      </c>
      <c r="C46" s="89" t="s">
        <v>193</v>
      </c>
      <c r="D46" s="89" t="s">
        <v>194</v>
      </c>
      <c r="E46" s="90">
        <v>238745</v>
      </c>
      <c r="F46" s="91">
        <v>4523.9790050000001</v>
      </c>
      <c r="G46" s="92">
        <v>6.7727400000000002E-3</v>
      </c>
      <c r="H46" s="87" t="s">
        <v>143</v>
      </c>
    </row>
    <row r="47" spans="1:8" ht="14.25" customHeight="1" x14ac:dyDescent="0.2">
      <c r="A47" s="88">
        <v>41</v>
      </c>
      <c r="B47" s="89" t="s">
        <v>513</v>
      </c>
      <c r="C47" s="89" t="s">
        <v>514</v>
      </c>
      <c r="D47" s="89" t="s">
        <v>191</v>
      </c>
      <c r="E47" s="90">
        <v>365785</v>
      </c>
      <c r="F47" s="91">
        <v>4457.4560099999999</v>
      </c>
      <c r="G47" s="92">
        <v>6.6731500000000001E-3</v>
      </c>
      <c r="H47" s="87" t="s">
        <v>143</v>
      </c>
    </row>
    <row r="48" spans="1:8" ht="14.25" customHeight="1" x14ac:dyDescent="0.2">
      <c r="A48" s="88">
        <v>42</v>
      </c>
      <c r="B48" s="89" t="s">
        <v>54</v>
      </c>
      <c r="C48" s="89" t="s">
        <v>55</v>
      </c>
      <c r="D48" s="89" t="s">
        <v>25</v>
      </c>
      <c r="E48" s="90">
        <v>63210</v>
      </c>
      <c r="F48" s="91">
        <v>4390.8826499999996</v>
      </c>
      <c r="G48" s="92">
        <v>6.5734900000000004E-3</v>
      </c>
      <c r="H48" s="87" t="s">
        <v>143</v>
      </c>
    </row>
    <row r="49" spans="1:8" ht="14.25" customHeight="1" x14ac:dyDescent="0.2">
      <c r="A49" s="88">
        <v>43</v>
      </c>
      <c r="B49" s="89" t="s">
        <v>282</v>
      </c>
      <c r="C49" s="89" t="s">
        <v>283</v>
      </c>
      <c r="D49" s="89" t="s">
        <v>194</v>
      </c>
      <c r="E49" s="90">
        <v>432010</v>
      </c>
      <c r="F49" s="91">
        <v>4238.2341050000005</v>
      </c>
      <c r="G49" s="92">
        <v>6.3449600000000002E-3</v>
      </c>
      <c r="H49" s="87" t="s">
        <v>143</v>
      </c>
    </row>
    <row r="50" spans="1:8" ht="14.25" customHeight="1" x14ac:dyDescent="0.2">
      <c r="A50" s="88">
        <v>44</v>
      </c>
      <c r="B50" s="89" t="s">
        <v>345</v>
      </c>
      <c r="C50" s="89" t="s">
        <v>346</v>
      </c>
      <c r="D50" s="89" t="s">
        <v>207</v>
      </c>
      <c r="E50" s="90">
        <v>524000</v>
      </c>
      <c r="F50" s="91">
        <v>3974.2779999999998</v>
      </c>
      <c r="G50" s="92">
        <v>5.9497999999999999E-3</v>
      </c>
      <c r="H50" s="87" t="s">
        <v>143</v>
      </c>
    </row>
    <row r="51" spans="1:8" ht="14.25" customHeight="1" x14ac:dyDescent="0.2">
      <c r="A51" s="88">
        <v>45</v>
      </c>
      <c r="B51" s="89" t="s">
        <v>269</v>
      </c>
      <c r="C51" s="89" t="s">
        <v>270</v>
      </c>
      <c r="D51" s="89" t="s">
        <v>77</v>
      </c>
      <c r="E51" s="90">
        <v>253480</v>
      </c>
      <c r="F51" s="91">
        <v>3958.8506400000001</v>
      </c>
      <c r="G51" s="92">
        <v>5.9267E-3</v>
      </c>
      <c r="H51" s="87" t="s">
        <v>143</v>
      </c>
    </row>
    <row r="52" spans="1:8" ht="14.25" customHeight="1" x14ac:dyDescent="0.2">
      <c r="A52" s="88">
        <v>46</v>
      </c>
      <c r="B52" s="89" t="s">
        <v>297</v>
      </c>
      <c r="C52" s="89" t="s">
        <v>298</v>
      </c>
      <c r="D52" s="89" t="s">
        <v>191</v>
      </c>
      <c r="E52" s="90">
        <v>78661</v>
      </c>
      <c r="F52" s="91">
        <v>3922.03746</v>
      </c>
      <c r="G52" s="92">
        <v>5.8715900000000003E-3</v>
      </c>
      <c r="H52" s="87" t="s">
        <v>143</v>
      </c>
    </row>
    <row r="53" spans="1:8" ht="14.25" customHeight="1" x14ac:dyDescent="0.2">
      <c r="A53" s="88">
        <v>47</v>
      </c>
      <c r="B53" s="89" t="s">
        <v>515</v>
      </c>
      <c r="C53" s="89" t="s">
        <v>516</v>
      </c>
      <c r="D53" s="89" t="s">
        <v>199</v>
      </c>
      <c r="E53" s="90">
        <v>242537</v>
      </c>
      <c r="F53" s="91">
        <v>3592.9431180000001</v>
      </c>
      <c r="G53" s="92">
        <v>5.3789099999999998E-3</v>
      </c>
      <c r="H53" s="87" t="s">
        <v>143</v>
      </c>
    </row>
    <row r="54" spans="1:8" ht="14.25" customHeight="1" x14ac:dyDescent="0.2">
      <c r="A54" s="88">
        <v>48</v>
      </c>
      <c r="B54" s="89" t="s">
        <v>349</v>
      </c>
      <c r="C54" s="89" t="s">
        <v>350</v>
      </c>
      <c r="D54" s="89" t="s">
        <v>232</v>
      </c>
      <c r="E54" s="90">
        <v>715450</v>
      </c>
      <c r="F54" s="91">
        <v>3485.3146750000001</v>
      </c>
      <c r="G54" s="92">
        <v>5.21778E-3</v>
      </c>
      <c r="H54" s="87" t="s">
        <v>143</v>
      </c>
    </row>
    <row r="55" spans="1:8" ht="14.25" customHeight="1" x14ac:dyDescent="0.2">
      <c r="A55" s="88">
        <v>49</v>
      </c>
      <c r="B55" s="89" t="s">
        <v>517</v>
      </c>
      <c r="C55" s="89" t="s">
        <v>518</v>
      </c>
      <c r="D55" s="89" t="s">
        <v>43</v>
      </c>
      <c r="E55" s="90">
        <v>305263</v>
      </c>
      <c r="F55" s="91">
        <v>3022.8668575000002</v>
      </c>
      <c r="G55" s="92">
        <v>4.5254600000000002E-3</v>
      </c>
      <c r="H55" s="87" t="s">
        <v>143</v>
      </c>
    </row>
    <row r="56" spans="1:8" ht="14.25" customHeight="1" x14ac:dyDescent="0.2">
      <c r="A56" s="88">
        <v>50</v>
      </c>
      <c r="B56" s="89" t="s">
        <v>519</v>
      </c>
      <c r="C56" s="89" t="s">
        <v>520</v>
      </c>
      <c r="D56" s="89" t="s">
        <v>243</v>
      </c>
      <c r="E56" s="90">
        <v>57413</v>
      </c>
      <c r="F56" s="91">
        <v>2921.001201</v>
      </c>
      <c r="G56" s="92">
        <v>4.3729600000000004E-3</v>
      </c>
      <c r="H56" s="87" t="s">
        <v>143</v>
      </c>
    </row>
    <row r="57" spans="1:8" ht="14.25" customHeight="1" x14ac:dyDescent="0.2">
      <c r="A57" s="88">
        <v>51</v>
      </c>
      <c r="B57" s="89" t="s">
        <v>87</v>
      </c>
      <c r="C57" s="89" t="s">
        <v>88</v>
      </c>
      <c r="D57" s="89" t="s">
        <v>13</v>
      </c>
      <c r="E57" s="90">
        <v>748686</v>
      </c>
      <c r="F57" s="91">
        <v>2535.050796</v>
      </c>
      <c r="G57" s="92">
        <v>3.7951700000000001E-3</v>
      </c>
      <c r="H57" s="87" t="s">
        <v>143</v>
      </c>
    </row>
    <row r="58" spans="1:8" ht="14.25" customHeight="1" x14ac:dyDescent="0.2">
      <c r="A58" s="88">
        <v>52</v>
      </c>
      <c r="B58" s="89" t="s">
        <v>484</v>
      </c>
      <c r="C58" s="89" t="s">
        <v>485</v>
      </c>
      <c r="D58" s="89" t="s">
        <v>223</v>
      </c>
      <c r="E58" s="90">
        <v>78363</v>
      </c>
      <c r="F58" s="91">
        <v>2196.5148899999999</v>
      </c>
      <c r="G58" s="92">
        <v>3.2883500000000002E-3</v>
      </c>
      <c r="H58" s="87" t="s">
        <v>143</v>
      </c>
    </row>
    <row r="59" spans="1:8" ht="14.25" customHeight="1" x14ac:dyDescent="0.2">
      <c r="A59" s="88">
        <v>53</v>
      </c>
      <c r="B59" s="89" t="s">
        <v>303</v>
      </c>
      <c r="C59" s="89" t="s">
        <v>304</v>
      </c>
      <c r="D59" s="89" t="s">
        <v>188</v>
      </c>
      <c r="E59" s="90">
        <v>368465</v>
      </c>
      <c r="F59" s="91">
        <v>1998.1856949999999</v>
      </c>
      <c r="G59" s="92">
        <v>2.9914400000000002E-3</v>
      </c>
      <c r="H59" s="87" t="s">
        <v>143</v>
      </c>
    </row>
    <row r="60" spans="1:8" ht="14.25" customHeight="1" x14ac:dyDescent="0.2">
      <c r="A60" s="88">
        <v>54</v>
      </c>
      <c r="B60" s="89" t="s">
        <v>78</v>
      </c>
      <c r="C60" s="89" t="s">
        <v>79</v>
      </c>
      <c r="D60" s="89" t="s">
        <v>80</v>
      </c>
      <c r="E60" s="90">
        <v>1100000</v>
      </c>
      <c r="F60" s="91">
        <v>1903.77</v>
      </c>
      <c r="G60" s="92">
        <v>2.85009E-3</v>
      </c>
      <c r="H60" s="87" t="s">
        <v>143</v>
      </c>
    </row>
    <row r="61" spans="1:8" ht="14.25" customHeight="1" x14ac:dyDescent="0.2">
      <c r="A61" s="88">
        <v>55</v>
      </c>
      <c r="B61" s="89" t="s">
        <v>521</v>
      </c>
      <c r="C61" s="89" t="s">
        <v>522</v>
      </c>
      <c r="D61" s="89" t="s">
        <v>194</v>
      </c>
      <c r="E61" s="90">
        <v>522500</v>
      </c>
      <c r="F61" s="91">
        <v>1820.1287500000001</v>
      </c>
      <c r="G61" s="92">
        <v>2.7248699999999999E-3</v>
      </c>
      <c r="H61" s="87" t="s">
        <v>143</v>
      </c>
    </row>
    <row r="62" spans="1:8" ht="14.25" customHeight="1" x14ac:dyDescent="0.2">
      <c r="A62" s="88">
        <v>56</v>
      </c>
      <c r="B62" s="89" t="s">
        <v>228</v>
      </c>
      <c r="C62" s="89" t="s">
        <v>229</v>
      </c>
      <c r="D62" s="89" t="s">
        <v>68</v>
      </c>
      <c r="E62" s="90">
        <v>24910</v>
      </c>
      <c r="F62" s="91">
        <v>1766.3680999999999</v>
      </c>
      <c r="G62" s="92">
        <v>2.6443899999999999E-3</v>
      </c>
      <c r="H62" s="87" t="s">
        <v>143</v>
      </c>
    </row>
    <row r="63" spans="1:8" ht="14.25" customHeight="1" x14ac:dyDescent="0.2">
      <c r="A63" s="88">
        <v>57</v>
      </c>
      <c r="B63" s="89" t="s">
        <v>123</v>
      </c>
      <c r="C63" s="89" t="s">
        <v>124</v>
      </c>
      <c r="D63" s="89" t="s">
        <v>46</v>
      </c>
      <c r="E63" s="90">
        <v>9750</v>
      </c>
      <c r="F63" s="91">
        <v>1627.2750000000001</v>
      </c>
      <c r="G63" s="92">
        <v>2.4361600000000001E-3</v>
      </c>
      <c r="H63" s="87" t="s">
        <v>143</v>
      </c>
    </row>
    <row r="64" spans="1:8" ht="14.25" customHeight="1" x14ac:dyDescent="0.2">
      <c r="A64" s="88">
        <v>58</v>
      </c>
      <c r="B64" s="89" t="s">
        <v>333</v>
      </c>
      <c r="C64" s="89" t="s">
        <v>334</v>
      </c>
      <c r="D64" s="89" t="s">
        <v>33</v>
      </c>
      <c r="E64" s="90">
        <v>599625</v>
      </c>
      <c r="F64" s="91">
        <v>1396.1068875000001</v>
      </c>
      <c r="G64" s="92">
        <v>2.0900799999999998E-3</v>
      </c>
      <c r="H64" s="87" t="s">
        <v>143</v>
      </c>
    </row>
    <row r="65" spans="1:9" ht="14.25" customHeight="1" x14ac:dyDescent="0.2">
      <c r="A65" s="88">
        <v>59</v>
      </c>
      <c r="B65" s="89" t="s">
        <v>523</v>
      </c>
      <c r="C65" s="89" t="s">
        <v>524</v>
      </c>
      <c r="D65" s="89" t="s">
        <v>191</v>
      </c>
      <c r="E65" s="90">
        <v>229400</v>
      </c>
      <c r="F65" s="91">
        <v>637.38789999999995</v>
      </c>
      <c r="G65" s="92">
        <v>9.5421999999999998E-4</v>
      </c>
      <c r="H65" s="87" t="s">
        <v>143</v>
      </c>
    </row>
    <row r="66" spans="1:9" ht="14.25" customHeight="1" x14ac:dyDescent="0.2">
      <c r="A66" s="88">
        <v>60</v>
      </c>
      <c r="B66" s="89" t="s">
        <v>202</v>
      </c>
      <c r="C66" s="89" t="s">
        <v>203</v>
      </c>
      <c r="D66" s="89" t="s">
        <v>204</v>
      </c>
      <c r="E66" s="90">
        <v>61200</v>
      </c>
      <c r="F66" s="91">
        <v>444.22019999999998</v>
      </c>
      <c r="G66" s="92">
        <v>6.6503000000000005E-4</v>
      </c>
      <c r="H66" s="87" t="s">
        <v>143</v>
      </c>
    </row>
    <row r="67" spans="1:9" ht="14.25" customHeight="1" x14ac:dyDescent="0.2">
      <c r="A67" s="88">
        <v>61</v>
      </c>
      <c r="B67" s="89" t="s">
        <v>60</v>
      </c>
      <c r="C67" s="89" t="s">
        <v>61</v>
      </c>
      <c r="D67" s="89" t="s">
        <v>62</v>
      </c>
      <c r="E67" s="90">
        <v>25175</v>
      </c>
      <c r="F67" s="91">
        <v>330.49740000000003</v>
      </c>
      <c r="G67" s="92">
        <v>4.9478E-4</v>
      </c>
      <c r="H67" s="87" t="s">
        <v>143</v>
      </c>
    </row>
    <row r="68" spans="1:9" ht="14.25" customHeight="1" x14ac:dyDescent="0.2">
      <c r="A68" s="88">
        <v>62</v>
      </c>
      <c r="B68" s="89" t="s">
        <v>208</v>
      </c>
      <c r="C68" s="89" t="s">
        <v>209</v>
      </c>
      <c r="D68" s="89" t="s">
        <v>33</v>
      </c>
      <c r="E68" s="90">
        <v>259700</v>
      </c>
      <c r="F68" s="91">
        <v>176.57003</v>
      </c>
      <c r="G68" s="92">
        <v>2.6434000000000001E-4</v>
      </c>
      <c r="H68" s="87" t="s">
        <v>143</v>
      </c>
    </row>
    <row r="69" spans="1:9" ht="14.25" customHeight="1" x14ac:dyDescent="0.2">
      <c r="A69" s="88">
        <v>63</v>
      </c>
      <c r="B69" s="89" t="s">
        <v>437</v>
      </c>
      <c r="C69" s="89" t="s">
        <v>438</v>
      </c>
      <c r="D69" s="89" t="s">
        <v>199</v>
      </c>
      <c r="E69" s="90">
        <v>4725</v>
      </c>
      <c r="F69" s="91">
        <v>145.75207499999999</v>
      </c>
      <c r="G69" s="92">
        <v>2.1819999999999999E-4</v>
      </c>
      <c r="H69" s="87" t="s">
        <v>143</v>
      </c>
    </row>
    <row r="70" spans="1:9" ht="14.25" customHeight="1" x14ac:dyDescent="0.2">
      <c r="A70" s="88">
        <v>64</v>
      </c>
      <c r="B70" s="89" t="s">
        <v>525</v>
      </c>
      <c r="C70" s="89" t="s">
        <v>526</v>
      </c>
      <c r="D70" s="89" t="s">
        <v>22</v>
      </c>
      <c r="E70" s="90">
        <v>25000</v>
      </c>
      <c r="F70" s="91">
        <v>122.1125</v>
      </c>
      <c r="G70" s="92">
        <v>1.8280999999999999E-4</v>
      </c>
      <c r="H70" s="87" t="s">
        <v>143</v>
      </c>
    </row>
    <row r="71" spans="1:9" ht="14.25" customHeight="1" x14ac:dyDescent="0.2">
      <c r="A71" s="88">
        <v>65</v>
      </c>
      <c r="B71" s="89" t="s">
        <v>527</v>
      </c>
      <c r="C71" s="89" t="s">
        <v>528</v>
      </c>
      <c r="D71" s="89" t="s">
        <v>191</v>
      </c>
      <c r="E71" s="90">
        <v>4500</v>
      </c>
      <c r="F71" s="91">
        <v>86.107500000000002</v>
      </c>
      <c r="G71" s="92">
        <v>1.2891000000000001E-4</v>
      </c>
      <c r="H71" s="87" t="s">
        <v>143</v>
      </c>
    </row>
    <row r="72" spans="1:9" ht="12.75" x14ac:dyDescent="0.2">
      <c r="A72" s="88">
        <v>77</v>
      </c>
      <c r="B72" s="127" t="s">
        <v>971</v>
      </c>
      <c r="C72" s="127" t="s">
        <v>972</v>
      </c>
      <c r="D72" s="127" t="s">
        <v>973</v>
      </c>
      <c r="E72" s="149">
        <v>26667</v>
      </c>
      <c r="F72" s="150">
        <f>0.098961237*100</f>
        <v>9.8961236999999986</v>
      </c>
      <c r="G72" s="151" t="s">
        <v>141</v>
      </c>
      <c r="H72" s="87" t="s">
        <v>143</v>
      </c>
      <c r="I72" s="168"/>
    </row>
    <row r="73" spans="1:9" ht="14.25" customHeight="1" x14ac:dyDescent="0.2">
      <c r="A73" s="93"/>
      <c r="B73" s="93"/>
      <c r="C73" s="94" t="s">
        <v>142</v>
      </c>
      <c r="D73" s="93"/>
      <c r="E73" s="93" t="s">
        <v>143</v>
      </c>
      <c r="F73" s="95">
        <f>SUM(F7:F72)</f>
        <v>505887.70869449992</v>
      </c>
      <c r="G73" s="96">
        <f>SUM(G7:G72)</f>
        <v>0.75733773034439766</v>
      </c>
      <c r="H73" s="87" t="s">
        <v>143</v>
      </c>
    </row>
    <row r="74" spans="1:9" ht="14.25" customHeight="1" x14ac:dyDescent="0.2">
      <c r="A74" s="93"/>
      <c r="B74" s="93"/>
      <c r="C74" s="97"/>
      <c r="D74" s="93"/>
      <c r="E74" s="93"/>
      <c r="F74" s="98"/>
      <c r="G74" s="98"/>
      <c r="H74" s="87" t="s">
        <v>143</v>
      </c>
    </row>
    <row r="75" spans="1:9" ht="14.25" customHeight="1" x14ac:dyDescent="0.2">
      <c r="A75" s="93"/>
      <c r="B75" s="93"/>
      <c r="C75" s="94" t="s">
        <v>144</v>
      </c>
      <c r="D75" s="93"/>
      <c r="E75" s="93"/>
      <c r="F75" s="93"/>
      <c r="G75" s="93"/>
      <c r="H75" s="87" t="s">
        <v>143</v>
      </c>
    </row>
    <row r="76" spans="1:9" ht="14.25" customHeight="1" x14ac:dyDescent="0.2">
      <c r="A76" s="93"/>
      <c r="B76" s="93"/>
      <c r="C76" s="94" t="s">
        <v>142</v>
      </c>
      <c r="D76" s="93"/>
      <c r="E76" s="93" t="s">
        <v>143</v>
      </c>
      <c r="F76" s="99" t="s">
        <v>145</v>
      </c>
      <c r="G76" s="96">
        <v>0</v>
      </c>
      <c r="H76" s="87" t="s">
        <v>143</v>
      </c>
    </row>
    <row r="77" spans="1:9" ht="14.25" customHeight="1" x14ac:dyDescent="0.2">
      <c r="A77" s="93"/>
      <c r="B77" s="93"/>
      <c r="C77" s="97"/>
      <c r="D77" s="93"/>
      <c r="E77" s="93"/>
      <c r="F77" s="98"/>
      <c r="G77" s="98"/>
      <c r="H77" s="87" t="s">
        <v>143</v>
      </c>
    </row>
    <row r="78" spans="1:9" ht="14.25" customHeight="1" x14ac:dyDescent="0.2">
      <c r="A78" s="93"/>
      <c r="B78" s="93"/>
      <c r="C78" s="94" t="s">
        <v>146</v>
      </c>
      <c r="D78" s="93"/>
      <c r="E78" s="93"/>
      <c r="F78" s="93"/>
      <c r="G78" s="93"/>
      <c r="H78" s="87" t="s">
        <v>143</v>
      </c>
    </row>
    <row r="79" spans="1:9" ht="14.25" customHeight="1" x14ac:dyDescent="0.2">
      <c r="A79" s="88">
        <v>1</v>
      </c>
      <c r="B79" s="89" t="s">
        <v>529</v>
      </c>
      <c r="C79" s="127" t="s">
        <v>974</v>
      </c>
      <c r="D79" s="89" t="s">
        <v>207</v>
      </c>
      <c r="E79" s="90">
        <v>30579</v>
      </c>
      <c r="F79" s="91">
        <v>5.0088401999999999</v>
      </c>
      <c r="G79" s="92" t="s">
        <v>141</v>
      </c>
      <c r="H79" s="87" t="s">
        <v>143</v>
      </c>
    </row>
    <row r="80" spans="1:9" ht="14.25" customHeight="1" x14ac:dyDescent="0.2">
      <c r="A80" s="93"/>
      <c r="B80" s="93"/>
      <c r="C80" s="94" t="s">
        <v>142</v>
      </c>
      <c r="D80" s="93"/>
      <c r="E80" s="93" t="s">
        <v>143</v>
      </c>
      <c r="F80" s="95">
        <f>SUM(F79)</f>
        <v>5.0088401999999999</v>
      </c>
      <c r="G80" s="96">
        <v>0</v>
      </c>
      <c r="H80" s="87" t="s">
        <v>143</v>
      </c>
    </row>
    <row r="81" spans="1:8" ht="14.25" customHeight="1" x14ac:dyDescent="0.2">
      <c r="A81" s="93"/>
      <c r="B81" s="93"/>
      <c r="C81" s="97"/>
      <c r="D81" s="93"/>
      <c r="E81" s="93"/>
      <c r="F81" s="98"/>
      <c r="G81" s="98"/>
      <c r="H81" s="87" t="s">
        <v>143</v>
      </c>
    </row>
    <row r="82" spans="1:8" ht="14.25" customHeight="1" x14ac:dyDescent="0.2">
      <c r="A82" s="93"/>
      <c r="B82" s="93"/>
      <c r="C82" s="94" t="s">
        <v>147</v>
      </c>
      <c r="D82" s="93"/>
      <c r="E82" s="93"/>
      <c r="F82" s="93"/>
      <c r="G82" s="93"/>
      <c r="H82" s="87" t="s">
        <v>143</v>
      </c>
    </row>
    <row r="83" spans="1:8" ht="14.25" customHeight="1" x14ac:dyDescent="0.2">
      <c r="A83" s="93"/>
      <c r="B83" s="93"/>
      <c r="C83" s="94" t="s">
        <v>142</v>
      </c>
      <c r="D83" s="93"/>
      <c r="E83" s="93" t="s">
        <v>143</v>
      </c>
      <c r="F83" s="99" t="s">
        <v>145</v>
      </c>
      <c r="G83" s="96">
        <v>0</v>
      </c>
      <c r="H83" s="87" t="s">
        <v>143</v>
      </c>
    </row>
    <row r="84" spans="1:8" ht="14.25" customHeight="1" x14ac:dyDescent="0.2">
      <c r="A84" s="93"/>
      <c r="B84" s="93"/>
      <c r="C84" s="97"/>
      <c r="D84" s="93"/>
      <c r="E84" s="93"/>
      <c r="F84" s="98"/>
      <c r="G84" s="98"/>
      <c r="H84" s="87" t="s">
        <v>143</v>
      </c>
    </row>
    <row r="85" spans="1:8" ht="14.25" customHeight="1" x14ac:dyDescent="0.2">
      <c r="A85" s="93"/>
      <c r="B85" s="93"/>
      <c r="C85" s="94" t="s">
        <v>148</v>
      </c>
      <c r="D85" s="93"/>
      <c r="E85" s="93"/>
      <c r="F85" s="98"/>
      <c r="G85" s="98"/>
      <c r="H85" s="87" t="s">
        <v>143</v>
      </c>
    </row>
    <row r="86" spans="1:8" ht="14.25" customHeight="1" x14ac:dyDescent="0.2">
      <c r="A86" s="93"/>
      <c r="B86" s="93"/>
      <c r="C86" s="94" t="s">
        <v>142</v>
      </c>
      <c r="D86" s="93"/>
      <c r="E86" s="93" t="s">
        <v>143</v>
      </c>
      <c r="F86" s="99" t="s">
        <v>145</v>
      </c>
      <c r="G86" s="96">
        <v>0</v>
      </c>
      <c r="H86" s="87" t="s">
        <v>143</v>
      </c>
    </row>
    <row r="87" spans="1:8" ht="12.75" x14ac:dyDescent="0.2">
      <c r="A87" s="85"/>
      <c r="B87" s="85"/>
      <c r="C87" s="86"/>
      <c r="D87" s="85"/>
      <c r="E87" s="85"/>
      <c r="F87" s="183"/>
      <c r="G87" s="162"/>
      <c r="H87" s="87" t="s">
        <v>143</v>
      </c>
    </row>
    <row r="88" spans="1:8" ht="12.75" x14ac:dyDescent="0.2">
      <c r="A88" s="85"/>
      <c r="B88" s="85"/>
      <c r="C88" s="86" t="s">
        <v>975</v>
      </c>
      <c r="D88" s="85"/>
      <c r="E88" s="85"/>
      <c r="F88" s="85"/>
      <c r="G88" s="85"/>
      <c r="H88" s="87" t="s">
        <v>143</v>
      </c>
    </row>
    <row r="89" spans="1:8" ht="12.75" x14ac:dyDescent="0.2">
      <c r="A89" s="148">
        <v>1</v>
      </c>
      <c r="B89" s="127" t="s">
        <v>976</v>
      </c>
      <c r="C89" s="127" t="s">
        <v>977</v>
      </c>
      <c r="D89" s="127" t="s">
        <v>978</v>
      </c>
      <c r="E89" s="149">
        <v>1750</v>
      </c>
      <c r="F89" s="150">
        <f>201330187.63/10^5</f>
        <v>2013.3018763</v>
      </c>
      <c r="G89" s="160">
        <f>F89/F207</f>
        <v>3.0140666621597425E-3</v>
      </c>
      <c r="H89" s="87">
        <v>7.3</v>
      </c>
    </row>
    <row r="90" spans="1:8" ht="12.75" x14ac:dyDescent="0.2">
      <c r="A90" s="85"/>
      <c r="B90" s="85"/>
      <c r="C90" s="86" t="s">
        <v>142</v>
      </c>
      <c r="D90" s="85"/>
      <c r="E90" s="85" t="s">
        <v>143</v>
      </c>
      <c r="F90" s="161">
        <f>SUM(F89)</f>
        <v>2013.3018763</v>
      </c>
      <c r="G90" s="162">
        <f>SUM(G89)</f>
        <v>3.0140666621597425E-3</v>
      </c>
      <c r="H90" s="87" t="s">
        <v>143</v>
      </c>
    </row>
    <row r="91" spans="1:8" ht="14.25" customHeight="1" x14ac:dyDescent="0.2">
      <c r="A91" s="93"/>
      <c r="B91" s="93"/>
      <c r="C91" s="97"/>
      <c r="D91" s="93"/>
      <c r="E91" s="93"/>
      <c r="F91" s="98"/>
      <c r="G91" s="98"/>
      <c r="H91" s="87" t="s">
        <v>143</v>
      </c>
    </row>
    <row r="92" spans="1:8" ht="14.25" customHeight="1" x14ac:dyDescent="0.2">
      <c r="A92" s="93"/>
      <c r="B92" s="93"/>
      <c r="C92" s="94" t="s">
        <v>149</v>
      </c>
      <c r="D92" s="93"/>
      <c r="E92" s="93"/>
      <c r="F92" s="98"/>
      <c r="G92" s="98"/>
      <c r="H92" s="87" t="s">
        <v>143</v>
      </c>
    </row>
    <row r="93" spans="1:8" ht="14.25" customHeight="1" x14ac:dyDescent="0.2">
      <c r="A93" s="88">
        <v>1</v>
      </c>
      <c r="B93" s="89"/>
      <c r="C93" s="89" t="s">
        <v>979</v>
      </c>
      <c r="D93" s="89" t="s">
        <v>530</v>
      </c>
      <c r="E93" s="90">
        <v>-4500</v>
      </c>
      <c r="F93" s="91">
        <v>-86.561999999999998</v>
      </c>
      <c r="G93" s="92">
        <f>F93/$F$207</f>
        <v>-1.2958992463134954E-4</v>
      </c>
      <c r="H93" s="87" t="s">
        <v>143</v>
      </c>
    </row>
    <row r="94" spans="1:8" ht="14.25" customHeight="1" x14ac:dyDescent="0.2">
      <c r="A94" s="88">
        <v>2</v>
      </c>
      <c r="B94" s="89"/>
      <c r="C94" s="89" t="s">
        <v>980</v>
      </c>
      <c r="D94" s="89" t="s">
        <v>530</v>
      </c>
      <c r="E94" s="90">
        <v>-25000</v>
      </c>
      <c r="F94" s="91">
        <v>-122.41249999999999</v>
      </c>
      <c r="G94" s="92">
        <f t="shared" ref="G94:G112" si="0">F94/$F$207</f>
        <v>-1.8326086098906073E-4</v>
      </c>
      <c r="H94" s="87" t="s">
        <v>143</v>
      </c>
    </row>
    <row r="95" spans="1:8" ht="14.25" customHeight="1" x14ac:dyDescent="0.2">
      <c r="A95" s="88">
        <v>3</v>
      </c>
      <c r="B95" s="89"/>
      <c r="C95" s="89" t="s">
        <v>981</v>
      </c>
      <c r="D95" s="89" t="s">
        <v>530</v>
      </c>
      <c r="E95" s="90">
        <v>-4725</v>
      </c>
      <c r="F95" s="91">
        <v>-146.48445000000001</v>
      </c>
      <c r="G95" s="92">
        <f t="shared" si="0"/>
        <v>-2.1929840848368442E-4</v>
      </c>
      <c r="H95" s="87" t="s">
        <v>143</v>
      </c>
    </row>
    <row r="96" spans="1:8" ht="14.25" customHeight="1" x14ac:dyDescent="0.2">
      <c r="A96" s="88">
        <v>4</v>
      </c>
      <c r="B96" s="89"/>
      <c r="C96" s="89" t="s">
        <v>982</v>
      </c>
      <c r="D96" s="89" t="s">
        <v>530</v>
      </c>
      <c r="E96" s="90">
        <v>-259700</v>
      </c>
      <c r="F96" s="91">
        <v>-177.71270999999999</v>
      </c>
      <c r="G96" s="92">
        <f t="shared" si="0"/>
        <v>-2.6604949856672531E-4</v>
      </c>
      <c r="H96" s="87" t="s">
        <v>143</v>
      </c>
    </row>
    <row r="97" spans="1:8" ht="14.25" customHeight="1" x14ac:dyDescent="0.2">
      <c r="A97" s="88">
        <v>5</v>
      </c>
      <c r="B97" s="89"/>
      <c r="C97" s="89" t="s">
        <v>983</v>
      </c>
      <c r="D97" s="89" t="s">
        <v>530</v>
      </c>
      <c r="E97" s="90">
        <v>-6750</v>
      </c>
      <c r="F97" s="91">
        <v>-188.14949999999999</v>
      </c>
      <c r="G97" s="92">
        <f t="shared" si="0"/>
        <v>-2.8167417024128487E-4</v>
      </c>
      <c r="H97" s="87" t="s">
        <v>143</v>
      </c>
    </row>
    <row r="98" spans="1:8" ht="14.25" customHeight="1" x14ac:dyDescent="0.2">
      <c r="A98" s="88">
        <v>6</v>
      </c>
      <c r="B98" s="89"/>
      <c r="C98" s="89" t="s">
        <v>984</v>
      </c>
      <c r="D98" s="89" t="s">
        <v>530</v>
      </c>
      <c r="E98" s="90">
        <v>-51300</v>
      </c>
      <c r="F98" s="91">
        <v>-190.16909999999999</v>
      </c>
      <c r="G98" s="92">
        <f t="shared" si="0"/>
        <v>-2.8469766567560328E-4</v>
      </c>
      <c r="H98" s="87" t="s">
        <v>143</v>
      </c>
    </row>
    <row r="99" spans="1:8" ht="14.25" customHeight="1" x14ac:dyDescent="0.2">
      <c r="A99" s="88">
        <v>7</v>
      </c>
      <c r="B99" s="89"/>
      <c r="C99" s="89" t="s">
        <v>985</v>
      </c>
      <c r="D99" s="89" t="s">
        <v>530</v>
      </c>
      <c r="E99" s="90">
        <v>-25175</v>
      </c>
      <c r="F99" s="91">
        <v>-332.10860000000002</v>
      </c>
      <c r="G99" s="92">
        <f t="shared" si="0"/>
        <v>-4.9719193691715781E-4</v>
      </c>
      <c r="H99" s="87" t="s">
        <v>143</v>
      </c>
    </row>
    <row r="100" spans="1:8" ht="14.25" customHeight="1" x14ac:dyDescent="0.2">
      <c r="A100" s="88">
        <v>8</v>
      </c>
      <c r="B100" s="89"/>
      <c r="C100" s="89" t="s">
        <v>986</v>
      </c>
      <c r="D100" s="89" t="s">
        <v>530</v>
      </c>
      <c r="E100" s="90">
        <v>-61200</v>
      </c>
      <c r="F100" s="91">
        <v>-445.87259999999998</v>
      </c>
      <c r="G100" s="92">
        <f t="shared" si="0"/>
        <v>-6.6750533293112287E-4</v>
      </c>
      <c r="H100" s="87" t="s">
        <v>143</v>
      </c>
    </row>
    <row r="101" spans="1:8" ht="14.25" customHeight="1" x14ac:dyDescent="0.2">
      <c r="A101" s="88">
        <v>9</v>
      </c>
      <c r="B101" s="89"/>
      <c r="C101" s="89" t="s">
        <v>987</v>
      </c>
      <c r="D101" s="89" t="s">
        <v>530</v>
      </c>
      <c r="E101" s="90">
        <v>-23600</v>
      </c>
      <c r="F101" s="91">
        <v>-465.392</v>
      </c>
      <c r="G101" s="92">
        <f t="shared" si="0"/>
        <v>-6.9672736540321416E-4</v>
      </c>
      <c r="H101" s="87" t="s">
        <v>143</v>
      </c>
    </row>
    <row r="102" spans="1:8" ht="14.25" customHeight="1" x14ac:dyDescent="0.2">
      <c r="A102" s="88">
        <v>10</v>
      </c>
      <c r="B102" s="89"/>
      <c r="C102" s="89" t="s">
        <v>988</v>
      </c>
      <c r="D102" s="89" t="s">
        <v>530</v>
      </c>
      <c r="E102" s="90">
        <v>-229400</v>
      </c>
      <c r="F102" s="91">
        <v>-642.09059999999999</v>
      </c>
      <c r="G102" s="92">
        <f t="shared" si="0"/>
        <v>-9.6125866385363102E-4</v>
      </c>
      <c r="H102" s="87" t="s">
        <v>143</v>
      </c>
    </row>
    <row r="103" spans="1:8" ht="14.25" customHeight="1" x14ac:dyDescent="0.2">
      <c r="A103" s="88">
        <v>11</v>
      </c>
      <c r="B103" s="89"/>
      <c r="C103" s="89" t="s">
        <v>989</v>
      </c>
      <c r="D103" s="89" t="s">
        <v>530</v>
      </c>
      <c r="E103" s="90">
        <v>-42750</v>
      </c>
      <c r="F103" s="91">
        <v>-812.03625</v>
      </c>
      <c r="G103" s="92">
        <f t="shared" si="0"/>
        <v>-1.2156802804397277E-3</v>
      </c>
      <c r="H103" s="87" t="s">
        <v>143</v>
      </c>
    </row>
    <row r="104" spans="1:8" ht="14.25" customHeight="1" x14ac:dyDescent="0.2">
      <c r="A104" s="88">
        <v>12</v>
      </c>
      <c r="B104" s="89"/>
      <c r="C104" s="89" t="s">
        <v>990</v>
      </c>
      <c r="D104" s="89" t="s">
        <v>530</v>
      </c>
      <c r="E104" s="90">
        <v>-599625</v>
      </c>
      <c r="F104" s="91">
        <v>-1400.9038875000001</v>
      </c>
      <c r="G104" s="92">
        <f t="shared" si="0"/>
        <v>-2.0972601048599802E-3</v>
      </c>
      <c r="H104" s="87" t="s">
        <v>143</v>
      </c>
    </row>
    <row r="105" spans="1:8" ht="14.25" customHeight="1" x14ac:dyDescent="0.2">
      <c r="A105" s="88">
        <v>13</v>
      </c>
      <c r="B105" s="89"/>
      <c r="C105" s="89" t="s">
        <v>991</v>
      </c>
      <c r="D105" s="89" t="s">
        <v>530</v>
      </c>
      <c r="E105" s="90">
        <v>-9750</v>
      </c>
      <c r="F105" s="91">
        <v>-1635.7574999999999</v>
      </c>
      <c r="G105" s="92">
        <f t="shared" si="0"/>
        <v>-2.448853898248247E-3</v>
      </c>
      <c r="H105" s="87" t="s">
        <v>143</v>
      </c>
    </row>
    <row r="106" spans="1:8" ht="14.25" customHeight="1" x14ac:dyDescent="0.2">
      <c r="A106" s="88">
        <v>14</v>
      </c>
      <c r="B106" s="89"/>
      <c r="C106" s="89" t="s">
        <v>992</v>
      </c>
      <c r="D106" s="89" t="s">
        <v>530</v>
      </c>
      <c r="E106" s="90">
        <v>-224000</v>
      </c>
      <c r="F106" s="91">
        <v>-1709.7919999999999</v>
      </c>
      <c r="G106" s="92">
        <f t="shared" si="0"/>
        <v>-2.5596891986701367E-3</v>
      </c>
      <c r="H106" s="87" t="s">
        <v>143</v>
      </c>
    </row>
    <row r="107" spans="1:8" ht="14.25" customHeight="1" x14ac:dyDescent="0.2">
      <c r="A107" s="88">
        <v>15</v>
      </c>
      <c r="B107" s="89"/>
      <c r="C107" s="89" t="s">
        <v>993</v>
      </c>
      <c r="D107" s="89" t="s">
        <v>530</v>
      </c>
      <c r="E107" s="90">
        <v>-522500</v>
      </c>
      <c r="F107" s="91">
        <v>-1827.7049999999999</v>
      </c>
      <c r="G107" s="92">
        <f t="shared" si="0"/>
        <v>-2.7362139645380271E-3</v>
      </c>
      <c r="H107" s="87" t="s">
        <v>143</v>
      </c>
    </row>
    <row r="108" spans="1:8" ht="14.25" customHeight="1" x14ac:dyDescent="0.2">
      <c r="A108" s="88">
        <v>16</v>
      </c>
      <c r="B108" s="89"/>
      <c r="C108" s="89" t="s">
        <v>994</v>
      </c>
      <c r="D108" s="89" t="s">
        <v>530</v>
      </c>
      <c r="E108" s="90">
        <v>-200000</v>
      </c>
      <c r="F108" s="91">
        <v>-2728.8</v>
      </c>
      <c r="G108" s="92">
        <f t="shared" si="0"/>
        <v>-4.0852219950327706E-3</v>
      </c>
      <c r="H108" s="87" t="s">
        <v>143</v>
      </c>
    </row>
    <row r="109" spans="1:8" ht="14.25" customHeight="1" x14ac:dyDescent="0.2">
      <c r="A109" s="88">
        <v>17</v>
      </c>
      <c r="B109" s="89"/>
      <c r="C109" s="89" t="s">
        <v>995</v>
      </c>
      <c r="D109" s="89" t="s">
        <v>530</v>
      </c>
      <c r="E109" s="90">
        <v>-437250</v>
      </c>
      <c r="F109" s="91">
        <v>-3521.392875</v>
      </c>
      <c r="G109" s="92">
        <f t="shared" si="0"/>
        <v>-5.2717940582313405E-3</v>
      </c>
      <c r="H109" s="87" t="s">
        <v>143</v>
      </c>
    </row>
    <row r="110" spans="1:8" ht="14.25" customHeight="1" x14ac:dyDescent="0.2">
      <c r="A110" s="88">
        <v>18</v>
      </c>
      <c r="B110" s="89"/>
      <c r="C110" s="89" t="s">
        <v>996</v>
      </c>
      <c r="D110" s="89" t="s">
        <v>530</v>
      </c>
      <c r="E110" s="90">
        <v>-438900</v>
      </c>
      <c r="F110" s="91">
        <v>-4205.1009000000004</v>
      </c>
      <c r="G110" s="92">
        <f t="shared" si="0"/>
        <v>-6.2953571855805107E-3</v>
      </c>
      <c r="H110" s="87" t="s">
        <v>143</v>
      </c>
    </row>
    <row r="111" spans="1:8" ht="14.25" customHeight="1" x14ac:dyDescent="0.2">
      <c r="A111" s="88">
        <v>19</v>
      </c>
      <c r="B111" s="89"/>
      <c r="C111" s="89" t="s">
        <v>997</v>
      </c>
      <c r="D111" s="89" t="s">
        <v>530</v>
      </c>
      <c r="E111" s="90">
        <v>-314300</v>
      </c>
      <c r="F111" s="91">
        <v>-4420.0009</v>
      </c>
      <c r="G111" s="92">
        <f t="shared" si="0"/>
        <v>-6.6170788972239221E-3</v>
      </c>
      <c r="H111" s="87" t="s">
        <v>143</v>
      </c>
    </row>
    <row r="112" spans="1:8" ht="14.25" customHeight="1" x14ac:dyDescent="0.2">
      <c r="A112" s="88">
        <v>20</v>
      </c>
      <c r="B112" s="89"/>
      <c r="C112" s="89" t="s">
        <v>998</v>
      </c>
      <c r="D112" s="89" t="s">
        <v>530</v>
      </c>
      <c r="E112" s="90">
        <v>-84000</v>
      </c>
      <c r="F112" s="91">
        <v>-6248.34</v>
      </c>
      <c r="G112" s="92">
        <f t="shared" si="0"/>
        <v>-9.3542421578873703E-3</v>
      </c>
      <c r="H112" s="87" t="s">
        <v>143</v>
      </c>
    </row>
    <row r="113" spans="1:8" ht="14.25" customHeight="1" x14ac:dyDescent="0.2">
      <c r="A113" s="93"/>
      <c r="B113" s="93"/>
      <c r="C113" s="94" t="s">
        <v>142</v>
      </c>
      <c r="D113" s="93"/>
      <c r="E113" s="93" t="s">
        <v>143</v>
      </c>
      <c r="F113" s="95">
        <f>SUM(F93:F112)</f>
        <v>-31306.783372500002</v>
      </c>
      <c r="G113" s="96">
        <f>SUM(G93:G112)</f>
        <v>-4.6868645568404865E-2</v>
      </c>
      <c r="H113" s="87" t="s">
        <v>143</v>
      </c>
    </row>
    <row r="114" spans="1:8" ht="14.25" customHeight="1" x14ac:dyDescent="0.2">
      <c r="A114" s="93"/>
      <c r="B114" s="93"/>
      <c r="C114" s="97"/>
      <c r="D114" s="93"/>
      <c r="E114" s="93"/>
      <c r="F114" s="98"/>
      <c r="G114" s="98"/>
      <c r="H114" s="87" t="s">
        <v>143</v>
      </c>
    </row>
    <row r="115" spans="1:8" ht="14.25" customHeight="1" x14ac:dyDescent="0.2">
      <c r="A115" s="93"/>
      <c r="B115" s="93"/>
      <c r="C115" s="94" t="s">
        <v>150</v>
      </c>
      <c r="D115" s="93"/>
      <c r="E115" s="93"/>
      <c r="F115" s="95">
        <f>F90+F80+F73</f>
        <v>507906.0194109999</v>
      </c>
      <c r="G115" s="96">
        <f>G90+G80+G73</f>
        <v>0.76035179700655742</v>
      </c>
      <c r="H115" s="87" t="s">
        <v>143</v>
      </c>
    </row>
    <row r="116" spans="1:8" ht="14.25" customHeight="1" x14ac:dyDescent="0.2">
      <c r="A116" s="93"/>
      <c r="B116" s="93"/>
      <c r="C116" s="97"/>
      <c r="D116" s="93"/>
      <c r="E116" s="93"/>
      <c r="F116" s="98"/>
      <c r="G116" s="98"/>
      <c r="H116" s="87" t="s">
        <v>143</v>
      </c>
    </row>
    <row r="117" spans="1:8" ht="14.25" customHeight="1" x14ac:dyDescent="0.2">
      <c r="A117" s="93"/>
      <c r="B117" s="93"/>
      <c r="C117" s="94" t="s">
        <v>151</v>
      </c>
      <c r="D117" s="93"/>
      <c r="E117" s="93"/>
      <c r="F117" s="98"/>
      <c r="G117" s="98"/>
      <c r="H117" s="87" t="s">
        <v>143</v>
      </c>
    </row>
    <row r="118" spans="1:8" ht="14.25" customHeight="1" x14ac:dyDescent="0.2">
      <c r="A118" s="93"/>
      <c r="B118" s="93"/>
      <c r="C118" s="94" t="s">
        <v>10</v>
      </c>
      <c r="D118" s="93"/>
      <c r="E118" s="93"/>
      <c r="F118" s="98"/>
      <c r="G118" s="98"/>
      <c r="H118" s="87" t="s">
        <v>143</v>
      </c>
    </row>
    <row r="119" spans="1:8" ht="14.25" customHeight="1" x14ac:dyDescent="0.2">
      <c r="A119" s="88">
        <v>1</v>
      </c>
      <c r="B119" s="89" t="s">
        <v>531</v>
      </c>
      <c r="C119" s="89" t="s">
        <v>532</v>
      </c>
      <c r="D119" s="89" t="s">
        <v>533</v>
      </c>
      <c r="E119" s="90">
        <v>6000</v>
      </c>
      <c r="F119" s="91">
        <v>6086.9279999999999</v>
      </c>
      <c r="G119" s="92">
        <v>9.1126000000000002E-3</v>
      </c>
      <c r="H119" s="87">
        <v>6.73</v>
      </c>
    </row>
    <row r="120" spans="1:8" ht="14.25" customHeight="1" x14ac:dyDescent="0.2">
      <c r="A120" s="88">
        <v>2</v>
      </c>
      <c r="B120" s="89" t="s">
        <v>534</v>
      </c>
      <c r="C120" s="89" t="s">
        <v>535</v>
      </c>
      <c r="D120" s="89" t="s">
        <v>536</v>
      </c>
      <c r="E120" s="90">
        <v>5500</v>
      </c>
      <c r="F120" s="91">
        <v>5589.2979999999998</v>
      </c>
      <c r="G120" s="92">
        <v>8.3676099999999993E-3</v>
      </c>
      <c r="H120" s="87">
        <v>6.87</v>
      </c>
    </row>
    <row r="121" spans="1:8" ht="14.25" customHeight="1" x14ac:dyDescent="0.2">
      <c r="A121" s="88">
        <v>3</v>
      </c>
      <c r="B121" s="89" t="s">
        <v>537</v>
      </c>
      <c r="C121" s="89" t="s">
        <v>538</v>
      </c>
      <c r="D121" s="89" t="s">
        <v>533</v>
      </c>
      <c r="E121" s="90">
        <v>3500</v>
      </c>
      <c r="F121" s="91">
        <v>3477.7539999999999</v>
      </c>
      <c r="G121" s="92">
        <v>5.2064600000000004E-3</v>
      </c>
      <c r="H121" s="87">
        <v>6.9</v>
      </c>
    </row>
    <row r="122" spans="1:8" ht="14.25" customHeight="1" x14ac:dyDescent="0.2">
      <c r="A122" s="88">
        <v>4</v>
      </c>
      <c r="B122" s="89" t="s">
        <v>539</v>
      </c>
      <c r="C122" s="89" t="s">
        <v>540</v>
      </c>
      <c r="D122" s="89" t="s">
        <v>541</v>
      </c>
      <c r="E122" s="90">
        <v>3000</v>
      </c>
      <c r="F122" s="91">
        <v>3073.2510000000002</v>
      </c>
      <c r="G122" s="92">
        <v>4.6008899999999998E-3</v>
      </c>
      <c r="H122" s="87">
        <v>7.7149999999999999</v>
      </c>
    </row>
    <row r="123" spans="1:8" ht="14.25" customHeight="1" x14ac:dyDescent="0.2">
      <c r="A123" s="88">
        <v>5</v>
      </c>
      <c r="B123" s="89" t="s">
        <v>542</v>
      </c>
      <c r="C123" s="89" t="s">
        <v>543</v>
      </c>
      <c r="D123" s="89" t="s">
        <v>536</v>
      </c>
      <c r="E123" s="90">
        <v>3000</v>
      </c>
      <c r="F123" s="91">
        <v>3043.4549999999999</v>
      </c>
      <c r="G123" s="92">
        <v>4.5562900000000002E-3</v>
      </c>
      <c r="H123" s="87">
        <v>7.57</v>
      </c>
    </row>
    <row r="124" spans="1:8" ht="14.25" customHeight="1" x14ac:dyDescent="0.2">
      <c r="A124" s="88">
        <v>6</v>
      </c>
      <c r="B124" s="89" t="s">
        <v>544</v>
      </c>
      <c r="C124" s="89" t="s">
        <v>545</v>
      </c>
      <c r="D124" s="89" t="s">
        <v>533</v>
      </c>
      <c r="E124" s="90">
        <v>2500</v>
      </c>
      <c r="F124" s="91">
        <v>2619.2049999999999</v>
      </c>
      <c r="G124" s="92">
        <v>3.92115E-3</v>
      </c>
      <c r="H124" s="87">
        <v>7.22</v>
      </c>
    </row>
    <row r="125" spans="1:8" ht="14.25" customHeight="1" x14ac:dyDescent="0.2">
      <c r="A125" s="88">
        <v>7</v>
      </c>
      <c r="B125" s="89" t="s">
        <v>546</v>
      </c>
      <c r="C125" s="89" t="s">
        <v>547</v>
      </c>
      <c r="D125" s="89" t="s">
        <v>536</v>
      </c>
      <c r="E125" s="90">
        <v>250</v>
      </c>
      <c r="F125" s="91">
        <v>2593.5050000000001</v>
      </c>
      <c r="G125" s="92">
        <v>3.8826799999999999E-3</v>
      </c>
      <c r="H125" s="87">
        <v>7.35</v>
      </c>
    </row>
    <row r="126" spans="1:8" ht="14.25" customHeight="1" x14ac:dyDescent="0.2">
      <c r="A126" s="88">
        <v>8</v>
      </c>
      <c r="B126" s="89" t="s">
        <v>548</v>
      </c>
      <c r="C126" s="89" t="s">
        <v>549</v>
      </c>
      <c r="D126" s="89" t="s">
        <v>533</v>
      </c>
      <c r="E126" s="90">
        <v>2500</v>
      </c>
      <c r="F126" s="91">
        <v>2551.3724999999999</v>
      </c>
      <c r="G126" s="92">
        <v>3.8195999999999998E-3</v>
      </c>
      <c r="H126" s="87">
        <v>6.9249999999999998</v>
      </c>
    </row>
    <row r="127" spans="1:8" ht="14.25" customHeight="1" x14ac:dyDescent="0.2">
      <c r="A127" s="88">
        <v>9</v>
      </c>
      <c r="B127" s="89" t="s">
        <v>550</v>
      </c>
      <c r="C127" s="89" t="s">
        <v>551</v>
      </c>
      <c r="D127" s="89" t="s">
        <v>533</v>
      </c>
      <c r="E127" s="90">
        <v>2500</v>
      </c>
      <c r="F127" s="91">
        <v>2541.9699999999998</v>
      </c>
      <c r="G127" s="92">
        <v>3.8055200000000002E-3</v>
      </c>
      <c r="H127" s="87">
        <v>6.9749999999999996</v>
      </c>
    </row>
    <row r="128" spans="1:8" ht="14.25" customHeight="1" x14ac:dyDescent="0.2">
      <c r="A128" s="88">
        <v>10</v>
      </c>
      <c r="B128" s="89" t="s">
        <v>552</v>
      </c>
      <c r="C128" s="89" t="s">
        <v>553</v>
      </c>
      <c r="D128" s="89" t="s">
        <v>536</v>
      </c>
      <c r="E128" s="90">
        <v>2500</v>
      </c>
      <c r="F128" s="91">
        <v>2540.89</v>
      </c>
      <c r="G128" s="92">
        <v>3.8039100000000002E-3</v>
      </c>
      <c r="H128" s="87">
        <v>6.7388000000000003</v>
      </c>
    </row>
    <row r="129" spans="1:8" ht="14.25" customHeight="1" x14ac:dyDescent="0.2">
      <c r="A129" s="88">
        <v>11</v>
      </c>
      <c r="B129" s="89" t="s">
        <v>554</v>
      </c>
      <c r="C129" s="89" t="s">
        <v>555</v>
      </c>
      <c r="D129" s="89" t="s">
        <v>533</v>
      </c>
      <c r="E129" s="90">
        <v>2500</v>
      </c>
      <c r="F129" s="91">
        <v>2540.5349999999999</v>
      </c>
      <c r="G129" s="92">
        <v>3.8033799999999999E-3</v>
      </c>
      <c r="H129" s="87">
        <v>6.8376999999999999</v>
      </c>
    </row>
    <row r="130" spans="1:8" ht="14.25" customHeight="1" x14ac:dyDescent="0.2">
      <c r="A130" s="88">
        <v>12</v>
      </c>
      <c r="B130" s="89" t="s">
        <v>556</v>
      </c>
      <c r="C130" s="89" t="s">
        <v>557</v>
      </c>
      <c r="D130" s="89" t="s">
        <v>558</v>
      </c>
      <c r="E130" s="90">
        <v>2500</v>
      </c>
      <c r="F130" s="91">
        <v>2523.4025000000001</v>
      </c>
      <c r="G130" s="92">
        <v>3.77773E-3</v>
      </c>
      <c r="H130" s="87">
        <v>7.45</v>
      </c>
    </row>
    <row r="131" spans="1:8" ht="14.25" customHeight="1" x14ac:dyDescent="0.2">
      <c r="A131" s="88">
        <v>13</v>
      </c>
      <c r="B131" s="89" t="s">
        <v>559</v>
      </c>
      <c r="C131" s="89" t="s">
        <v>560</v>
      </c>
      <c r="D131" s="89" t="s">
        <v>558</v>
      </c>
      <c r="E131" s="90">
        <v>2500</v>
      </c>
      <c r="F131" s="91">
        <v>2510.0749999999998</v>
      </c>
      <c r="G131" s="92">
        <v>3.7577700000000001E-3</v>
      </c>
      <c r="H131" s="87">
        <v>7.86</v>
      </c>
    </row>
    <row r="132" spans="1:8" ht="14.25" customHeight="1" x14ac:dyDescent="0.2">
      <c r="A132" s="88">
        <v>14</v>
      </c>
      <c r="B132" s="89" t="s">
        <v>561</v>
      </c>
      <c r="C132" s="89" t="s">
        <v>562</v>
      </c>
      <c r="D132" s="89" t="s">
        <v>536</v>
      </c>
      <c r="E132" s="90">
        <v>2000</v>
      </c>
      <c r="F132" s="91">
        <v>2035.0260000000001</v>
      </c>
      <c r="G132" s="92">
        <v>3.0465900000000001E-3</v>
      </c>
      <c r="H132" s="87">
        <v>7.57</v>
      </c>
    </row>
    <row r="133" spans="1:8" ht="14.25" customHeight="1" x14ac:dyDescent="0.2">
      <c r="A133" s="88">
        <v>15</v>
      </c>
      <c r="B133" s="89" t="s">
        <v>563</v>
      </c>
      <c r="C133" s="89" t="s">
        <v>564</v>
      </c>
      <c r="D133" s="89" t="s">
        <v>533</v>
      </c>
      <c r="E133" s="90">
        <v>2000</v>
      </c>
      <c r="F133" s="91">
        <v>2031.3579999999999</v>
      </c>
      <c r="G133" s="92">
        <v>3.0411000000000001E-3</v>
      </c>
      <c r="H133" s="87">
        <v>6.6950000000000003</v>
      </c>
    </row>
    <row r="134" spans="1:8" ht="14.25" customHeight="1" x14ac:dyDescent="0.2">
      <c r="A134" s="88">
        <v>16</v>
      </c>
      <c r="B134" s="89" t="s">
        <v>565</v>
      </c>
      <c r="C134" s="89" t="s">
        <v>566</v>
      </c>
      <c r="D134" s="89" t="s">
        <v>536</v>
      </c>
      <c r="E134" s="90">
        <v>2000</v>
      </c>
      <c r="F134" s="91">
        <v>2029.07</v>
      </c>
      <c r="G134" s="92">
        <v>3.0376700000000001E-3</v>
      </c>
      <c r="H134" s="87">
        <v>6.95</v>
      </c>
    </row>
    <row r="135" spans="1:8" ht="14.25" customHeight="1" x14ac:dyDescent="0.2">
      <c r="A135" s="88">
        <v>17</v>
      </c>
      <c r="B135" s="89" t="s">
        <v>567</v>
      </c>
      <c r="C135" s="89" t="s">
        <v>568</v>
      </c>
      <c r="D135" s="89" t="s">
        <v>533</v>
      </c>
      <c r="E135" s="90">
        <v>2000</v>
      </c>
      <c r="F135" s="91">
        <v>2026.3140000000001</v>
      </c>
      <c r="G135" s="92">
        <v>3.0335499999999999E-3</v>
      </c>
      <c r="H135" s="87">
        <v>6.5288000000000004</v>
      </c>
    </row>
    <row r="136" spans="1:8" ht="14.25" customHeight="1" x14ac:dyDescent="0.2">
      <c r="A136" s="88">
        <v>18</v>
      </c>
      <c r="B136" s="89" t="s">
        <v>569</v>
      </c>
      <c r="C136" s="89" t="s">
        <v>570</v>
      </c>
      <c r="D136" s="89" t="s">
        <v>533</v>
      </c>
      <c r="E136" s="90">
        <v>1500</v>
      </c>
      <c r="F136" s="91">
        <v>1563.204</v>
      </c>
      <c r="G136" s="92">
        <v>2.3402399999999999E-3</v>
      </c>
      <c r="H136" s="87">
        <v>7.22</v>
      </c>
    </row>
    <row r="137" spans="1:8" ht="14.25" customHeight="1" x14ac:dyDescent="0.2">
      <c r="A137" s="88">
        <v>19</v>
      </c>
      <c r="B137" s="89" t="s">
        <v>571</v>
      </c>
      <c r="C137" s="89" t="s">
        <v>572</v>
      </c>
      <c r="D137" s="89" t="s">
        <v>533</v>
      </c>
      <c r="E137" s="90">
        <v>1500</v>
      </c>
      <c r="F137" s="91">
        <v>1532.5260000000001</v>
      </c>
      <c r="G137" s="92">
        <v>2.2943099999999999E-3</v>
      </c>
      <c r="H137" s="87">
        <v>6.8150000000000004</v>
      </c>
    </row>
    <row r="138" spans="1:8" ht="14.25" customHeight="1" x14ac:dyDescent="0.2">
      <c r="A138" s="88">
        <v>20</v>
      </c>
      <c r="B138" s="89" t="s">
        <v>573</v>
      </c>
      <c r="C138" s="89" t="s">
        <v>574</v>
      </c>
      <c r="D138" s="89" t="s">
        <v>533</v>
      </c>
      <c r="E138" s="90">
        <v>1500</v>
      </c>
      <c r="F138" s="91">
        <v>1531.9290000000001</v>
      </c>
      <c r="G138" s="92">
        <v>2.29342E-3</v>
      </c>
      <c r="H138" s="87">
        <v>7.0037000000000003</v>
      </c>
    </row>
    <row r="139" spans="1:8" ht="14.25" customHeight="1" x14ac:dyDescent="0.2">
      <c r="A139" s="88">
        <v>21</v>
      </c>
      <c r="B139" s="89" t="s">
        <v>575</v>
      </c>
      <c r="C139" s="89" t="s">
        <v>576</v>
      </c>
      <c r="D139" s="89" t="s">
        <v>533</v>
      </c>
      <c r="E139" s="90">
        <v>1500</v>
      </c>
      <c r="F139" s="91">
        <v>1524.0345</v>
      </c>
      <c r="G139" s="92">
        <v>2.2815999999999999E-3</v>
      </c>
      <c r="H139" s="87">
        <v>6.8</v>
      </c>
    </row>
    <row r="140" spans="1:8" ht="14.25" customHeight="1" x14ac:dyDescent="0.2">
      <c r="A140" s="88">
        <v>22</v>
      </c>
      <c r="B140" s="89" t="s">
        <v>577</v>
      </c>
      <c r="C140" s="89" t="s">
        <v>578</v>
      </c>
      <c r="D140" s="89" t="s">
        <v>541</v>
      </c>
      <c r="E140" s="90">
        <v>1500</v>
      </c>
      <c r="F140" s="91">
        <v>1514.7795000000001</v>
      </c>
      <c r="G140" s="92">
        <v>2.2677399999999999E-3</v>
      </c>
      <c r="H140" s="87">
        <v>8.0150000000000006</v>
      </c>
    </row>
    <row r="141" spans="1:8" ht="14.25" customHeight="1" x14ac:dyDescent="0.2">
      <c r="A141" s="88">
        <v>23</v>
      </c>
      <c r="B141" s="89" t="s">
        <v>579</v>
      </c>
      <c r="C141" s="89" t="s">
        <v>580</v>
      </c>
      <c r="D141" s="89" t="s">
        <v>533</v>
      </c>
      <c r="E141" s="90">
        <v>1500</v>
      </c>
      <c r="F141" s="91">
        <v>1514.5905</v>
      </c>
      <c r="G141" s="92">
        <v>2.2674599999999998E-3</v>
      </c>
      <c r="H141" s="87">
        <v>6.57</v>
      </c>
    </row>
    <row r="142" spans="1:8" ht="14.25" customHeight="1" x14ac:dyDescent="0.2">
      <c r="A142" s="88">
        <v>24</v>
      </c>
      <c r="B142" s="89" t="s">
        <v>581</v>
      </c>
      <c r="C142" s="89" t="s">
        <v>582</v>
      </c>
      <c r="D142" s="89" t="s">
        <v>536</v>
      </c>
      <c r="E142" s="90">
        <v>1500</v>
      </c>
      <c r="F142" s="91">
        <v>1496.604</v>
      </c>
      <c r="G142" s="92">
        <v>2.2405300000000001E-3</v>
      </c>
      <c r="H142" s="87">
        <v>7.1875</v>
      </c>
    </row>
    <row r="143" spans="1:8" ht="14.25" customHeight="1" x14ac:dyDescent="0.2">
      <c r="A143" s="88">
        <v>25</v>
      </c>
      <c r="B143" s="89" t="s">
        <v>583</v>
      </c>
      <c r="C143" s="89" t="s">
        <v>584</v>
      </c>
      <c r="D143" s="89" t="s">
        <v>536</v>
      </c>
      <c r="E143" s="90">
        <v>150</v>
      </c>
      <c r="F143" s="91">
        <v>1491.3689999999999</v>
      </c>
      <c r="G143" s="92">
        <v>2.2326899999999998E-3</v>
      </c>
      <c r="H143" s="87">
        <v>6.78</v>
      </c>
    </row>
    <row r="144" spans="1:8" ht="14.25" customHeight="1" x14ac:dyDescent="0.2">
      <c r="A144" s="88">
        <v>26</v>
      </c>
      <c r="B144" s="89" t="s">
        <v>585</v>
      </c>
      <c r="C144" s="89" t="s">
        <v>586</v>
      </c>
      <c r="D144" s="89" t="s">
        <v>536</v>
      </c>
      <c r="E144" s="90">
        <v>1000</v>
      </c>
      <c r="F144" s="91">
        <v>1016.051</v>
      </c>
      <c r="G144" s="92">
        <v>1.52111E-3</v>
      </c>
      <c r="H144" s="87">
        <v>6.7637999999999998</v>
      </c>
    </row>
    <row r="145" spans="1:8" ht="14.25" customHeight="1" x14ac:dyDescent="0.2">
      <c r="A145" s="88">
        <v>27</v>
      </c>
      <c r="B145" s="89" t="s">
        <v>587</v>
      </c>
      <c r="C145" s="89" t="s">
        <v>588</v>
      </c>
      <c r="D145" s="89" t="s">
        <v>589</v>
      </c>
      <c r="E145" s="90">
        <v>1000</v>
      </c>
      <c r="F145" s="91">
        <v>1013.954</v>
      </c>
      <c r="G145" s="92">
        <v>1.51797E-3</v>
      </c>
      <c r="H145" s="87">
        <v>7.3254999999999999</v>
      </c>
    </row>
    <row r="146" spans="1:8" ht="14.25" customHeight="1" x14ac:dyDescent="0.2">
      <c r="A146" s="88">
        <v>28</v>
      </c>
      <c r="B146" s="89" t="s">
        <v>590</v>
      </c>
      <c r="C146" s="89" t="s">
        <v>591</v>
      </c>
      <c r="D146" s="89" t="s">
        <v>533</v>
      </c>
      <c r="E146" s="90">
        <v>1000</v>
      </c>
      <c r="F146" s="91">
        <v>1010.092</v>
      </c>
      <c r="G146" s="92">
        <v>1.5121900000000001E-3</v>
      </c>
      <c r="H146" s="87">
        <v>7.2474999999999996</v>
      </c>
    </row>
    <row r="147" spans="1:8" ht="14.25" customHeight="1" x14ac:dyDescent="0.2">
      <c r="A147" s="88">
        <v>29</v>
      </c>
      <c r="B147" s="89" t="s">
        <v>592</v>
      </c>
      <c r="C147" s="89" t="s">
        <v>593</v>
      </c>
      <c r="D147" s="89" t="s">
        <v>533</v>
      </c>
      <c r="E147" s="90">
        <v>1000</v>
      </c>
      <c r="F147" s="91">
        <v>1007.7190000000001</v>
      </c>
      <c r="G147" s="92">
        <v>1.50863E-3</v>
      </c>
      <c r="H147" s="87">
        <v>6.57</v>
      </c>
    </row>
    <row r="148" spans="1:8" ht="14.25" customHeight="1" x14ac:dyDescent="0.2">
      <c r="A148" s="88">
        <v>30</v>
      </c>
      <c r="B148" s="89" t="s">
        <v>594</v>
      </c>
      <c r="C148" s="89" t="s">
        <v>595</v>
      </c>
      <c r="D148" s="89" t="s">
        <v>536</v>
      </c>
      <c r="E148" s="90">
        <v>100</v>
      </c>
      <c r="F148" s="91">
        <v>1006.74</v>
      </c>
      <c r="G148" s="92">
        <v>1.50717E-3</v>
      </c>
      <c r="H148" s="87">
        <v>6.9417</v>
      </c>
    </row>
    <row r="149" spans="1:8" ht="14.25" customHeight="1" x14ac:dyDescent="0.2">
      <c r="A149" s="88">
        <v>31</v>
      </c>
      <c r="B149" s="89" t="s">
        <v>596</v>
      </c>
      <c r="C149" s="89" t="s">
        <v>597</v>
      </c>
      <c r="D149" s="89" t="s">
        <v>536</v>
      </c>
      <c r="E149" s="90">
        <v>1000</v>
      </c>
      <c r="F149" s="91">
        <v>1006.051</v>
      </c>
      <c r="G149" s="92">
        <v>1.50614E-3</v>
      </c>
      <c r="H149" s="87">
        <v>6.48</v>
      </c>
    </row>
    <row r="150" spans="1:8" ht="14.25" customHeight="1" x14ac:dyDescent="0.2">
      <c r="A150" s="88">
        <v>32</v>
      </c>
      <c r="B150" s="89" t="s">
        <v>598</v>
      </c>
      <c r="C150" s="89" t="s">
        <v>599</v>
      </c>
      <c r="D150" s="89" t="s">
        <v>533</v>
      </c>
      <c r="E150" s="90">
        <v>1000</v>
      </c>
      <c r="F150" s="91">
        <v>1004.972</v>
      </c>
      <c r="G150" s="92">
        <v>1.5045200000000001E-3</v>
      </c>
      <c r="H150" s="87">
        <v>6.57</v>
      </c>
    </row>
    <row r="151" spans="1:8" ht="14.25" customHeight="1" x14ac:dyDescent="0.2">
      <c r="A151" s="88">
        <v>33</v>
      </c>
      <c r="B151" s="89" t="s">
        <v>600</v>
      </c>
      <c r="C151" s="89" t="s">
        <v>601</v>
      </c>
      <c r="D151" s="89" t="s">
        <v>536</v>
      </c>
      <c r="E151" s="90">
        <v>1000</v>
      </c>
      <c r="F151" s="91">
        <v>1003.034</v>
      </c>
      <c r="G151" s="92">
        <v>1.50162E-3</v>
      </c>
      <c r="H151" s="87">
        <v>7.26</v>
      </c>
    </row>
    <row r="152" spans="1:8" ht="14.25" customHeight="1" x14ac:dyDescent="0.2">
      <c r="A152" s="88">
        <v>34</v>
      </c>
      <c r="B152" s="89" t="s">
        <v>602</v>
      </c>
      <c r="C152" s="89" t="s">
        <v>603</v>
      </c>
      <c r="D152" s="89" t="s">
        <v>541</v>
      </c>
      <c r="E152" s="90">
        <v>1000</v>
      </c>
      <c r="F152" s="91">
        <v>1000.788</v>
      </c>
      <c r="G152" s="92">
        <v>1.49826E-3</v>
      </c>
      <c r="H152" s="87">
        <v>7.2984</v>
      </c>
    </row>
    <row r="153" spans="1:8" ht="14.25" customHeight="1" x14ac:dyDescent="0.2">
      <c r="A153" s="93"/>
      <c r="B153" s="93"/>
      <c r="C153" s="94" t="s">
        <v>142</v>
      </c>
      <c r="D153" s="93"/>
      <c r="E153" s="93" t="s">
        <v>143</v>
      </c>
      <c r="F153" s="95">
        <v>71051.8465</v>
      </c>
      <c r="G153" s="96">
        <v>0.1063701</v>
      </c>
      <c r="H153" s="87" t="s">
        <v>143</v>
      </c>
    </row>
    <row r="154" spans="1:8" ht="14.25" customHeight="1" x14ac:dyDescent="0.2">
      <c r="A154" s="93"/>
      <c r="B154" s="93"/>
      <c r="C154" s="97"/>
      <c r="D154" s="93"/>
      <c r="E154" s="93"/>
      <c r="F154" s="98"/>
      <c r="G154" s="98"/>
      <c r="H154" s="87" t="s">
        <v>143</v>
      </c>
    </row>
    <row r="155" spans="1:8" ht="14.25" customHeight="1" x14ac:dyDescent="0.2">
      <c r="A155" s="93"/>
      <c r="B155" s="93"/>
      <c r="C155" s="94" t="s">
        <v>152</v>
      </c>
      <c r="D155" s="93"/>
      <c r="E155" s="93"/>
      <c r="F155" s="93"/>
      <c r="G155" s="93"/>
      <c r="H155" s="87" t="s">
        <v>143</v>
      </c>
    </row>
    <row r="156" spans="1:8" ht="14.25" customHeight="1" x14ac:dyDescent="0.2">
      <c r="A156" s="93"/>
      <c r="B156" s="93"/>
      <c r="C156" s="94" t="s">
        <v>142</v>
      </c>
      <c r="D156" s="93"/>
      <c r="E156" s="93" t="s">
        <v>143</v>
      </c>
      <c r="F156" s="99" t="s">
        <v>145</v>
      </c>
      <c r="G156" s="96">
        <v>0</v>
      </c>
      <c r="H156" s="87" t="s">
        <v>143</v>
      </c>
    </row>
    <row r="157" spans="1:8" ht="14.25" customHeight="1" x14ac:dyDescent="0.2">
      <c r="A157" s="93"/>
      <c r="B157" s="93"/>
      <c r="C157" s="97"/>
      <c r="D157" s="93"/>
      <c r="E157" s="93"/>
      <c r="F157" s="98"/>
      <c r="G157" s="98"/>
      <c r="H157" s="87" t="s">
        <v>143</v>
      </c>
    </row>
    <row r="158" spans="1:8" ht="14.25" customHeight="1" x14ac:dyDescent="0.2">
      <c r="A158" s="93"/>
      <c r="B158" s="93"/>
      <c r="C158" s="94" t="s">
        <v>153</v>
      </c>
      <c r="D158" s="93"/>
      <c r="E158" s="93"/>
      <c r="F158" s="93"/>
      <c r="G158" s="93"/>
      <c r="H158" s="87" t="s">
        <v>143</v>
      </c>
    </row>
    <row r="159" spans="1:8" ht="14.25" customHeight="1" x14ac:dyDescent="0.2">
      <c r="A159" s="88">
        <v>1</v>
      </c>
      <c r="B159" s="89" t="s">
        <v>604</v>
      </c>
      <c r="C159" s="89" t="s">
        <v>1143</v>
      </c>
      <c r="D159" s="89" t="s">
        <v>606</v>
      </c>
      <c r="E159" s="90">
        <v>30000000</v>
      </c>
      <c r="F159" s="91">
        <v>30780.12</v>
      </c>
      <c r="G159" s="92">
        <v>4.608019E-2</v>
      </c>
      <c r="H159" s="87">
        <v>6.8080999999999996</v>
      </c>
    </row>
    <row r="160" spans="1:8" ht="14.25" customHeight="1" x14ac:dyDescent="0.2">
      <c r="A160" s="88">
        <v>2</v>
      </c>
      <c r="B160" s="89" t="s">
        <v>607</v>
      </c>
      <c r="C160" s="89" t="s">
        <v>1142</v>
      </c>
      <c r="D160" s="89" t="s">
        <v>606</v>
      </c>
      <c r="E160" s="90">
        <v>10000000</v>
      </c>
      <c r="F160" s="91">
        <v>10219.969999999999</v>
      </c>
      <c r="G160" s="92">
        <v>1.5300080000000001E-2</v>
      </c>
      <c r="H160" s="87">
        <v>7.0975999999999999</v>
      </c>
    </row>
    <row r="161" spans="1:8" ht="14.25" customHeight="1" x14ac:dyDescent="0.2">
      <c r="A161" s="88">
        <v>3</v>
      </c>
      <c r="B161" s="89" t="s">
        <v>608</v>
      </c>
      <c r="C161" s="89" t="s">
        <v>609</v>
      </c>
      <c r="D161" s="89" t="s">
        <v>606</v>
      </c>
      <c r="E161" s="90">
        <v>3000000</v>
      </c>
      <c r="F161" s="91">
        <v>3064.4879999999998</v>
      </c>
      <c r="G161" s="92">
        <v>4.5877699999999997E-3</v>
      </c>
      <c r="H161" s="87">
        <v>7.0301999999999998</v>
      </c>
    </row>
    <row r="162" spans="1:8" ht="14.25" customHeight="1" x14ac:dyDescent="0.2">
      <c r="A162" s="88">
        <v>4</v>
      </c>
      <c r="B162" s="89" t="s">
        <v>610</v>
      </c>
      <c r="C162" s="89" t="s">
        <v>1141</v>
      </c>
      <c r="D162" s="89" t="s">
        <v>606</v>
      </c>
      <c r="E162" s="90">
        <v>2500000</v>
      </c>
      <c r="F162" s="91">
        <v>2566.6950000000002</v>
      </c>
      <c r="G162" s="92">
        <v>3.8425400000000002E-3</v>
      </c>
      <c r="H162" s="87">
        <v>6.3619000000000003</v>
      </c>
    </row>
    <row r="163" spans="1:8" ht="14.25" customHeight="1" x14ac:dyDescent="0.2">
      <c r="A163" s="88">
        <v>5</v>
      </c>
      <c r="B163" s="89" t="s">
        <v>611</v>
      </c>
      <c r="C163" s="89" t="s">
        <v>612</v>
      </c>
      <c r="D163" s="89" t="s">
        <v>606</v>
      </c>
      <c r="E163" s="90">
        <v>2500000</v>
      </c>
      <c r="F163" s="91">
        <v>2493.2600000000002</v>
      </c>
      <c r="G163" s="92">
        <v>3.7326E-3</v>
      </c>
      <c r="H163" s="87">
        <v>7.4554999999999998</v>
      </c>
    </row>
    <row r="164" spans="1:8" ht="14.25" customHeight="1" x14ac:dyDescent="0.2">
      <c r="A164" s="88">
        <v>6</v>
      </c>
      <c r="B164" s="89" t="s">
        <v>613</v>
      </c>
      <c r="C164" s="89" t="s">
        <v>614</v>
      </c>
      <c r="D164" s="89" t="s">
        <v>606</v>
      </c>
      <c r="E164" s="90">
        <v>2500000</v>
      </c>
      <c r="F164" s="91">
        <v>2481.0250000000001</v>
      </c>
      <c r="G164" s="92">
        <v>3.7142799999999999E-3</v>
      </c>
      <c r="H164" s="87">
        <v>7.5355999999999996</v>
      </c>
    </row>
    <row r="165" spans="1:8" ht="14.25" customHeight="1" x14ac:dyDescent="0.2">
      <c r="A165" s="88">
        <v>7</v>
      </c>
      <c r="B165" s="89" t="s">
        <v>615</v>
      </c>
      <c r="C165" s="89" t="s">
        <v>616</v>
      </c>
      <c r="D165" s="89" t="s">
        <v>606</v>
      </c>
      <c r="E165" s="90">
        <v>1500000</v>
      </c>
      <c r="F165" s="91">
        <v>1536.201</v>
      </c>
      <c r="G165" s="92">
        <v>2.2998099999999998E-3</v>
      </c>
      <c r="H165" s="87">
        <v>6.6166999999999998</v>
      </c>
    </row>
    <row r="166" spans="1:8" ht="14.25" customHeight="1" x14ac:dyDescent="0.2">
      <c r="A166" s="88">
        <v>8</v>
      </c>
      <c r="B166" s="89" t="s">
        <v>617</v>
      </c>
      <c r="C166" s="127" t="s">
        <v>999</v>
      </c>
      <c r="D166" s="89" t="s">
        <v>606</v>
      </c>
      <c r="E166" s="90">
        <v>1500000</v>
      </c>
      <c r="F166" s="91">
        <v>1516.4625000000001</v>
      </c>
      <c r="G166" s="92">
        <v>2.2702600000000001E-3</v>
      </c>
      <c r="H166" s="87">
        <v>6.84</v>
      </c>
    </row>
    <row r="167" spans="1:8" ht="14.25" customHeight="1" x14ac:dyDescent="0.2">
      <c r="A167" s="88">
        <v>9</v>
      </c>
      <c r="B167" s="89" t="s">
        <v>618</v>
      </c>
      <c r="C167" s="89" t="s">
        <v>619</v>
      </c>
      <c r="D167" s="89" t="s">
        <v>606</v>
      </c>
      <c r="E167" s="90">
        <v>1270000</v>
      </c>
      <c r="F167" s="91">
        <v>1285.2501600000001</v>
      </c>
      <c r="G167" s="92">
        <v>1.9241200000000001E-3</v>
      </c>
      <c r="H167" s="87">
        <v>7.3795000000000002</v>
      </c>
    </row>
    <row r="168" spans="1:8" ht="14.25" customHeight="1" x14ac:dyDescent="0.2">
      <c r="A168" s="88">
        <v>10</v>
      </c>
      <c r="B168" s="89" t="s">
        <v>620</v>
      </c>
      <c r="C168" s="89" t="s">
        <v>621</v>
      </c>
      <c r="D168" s="89" t="s">
        <v>606</v>
      </c>
      <c r="E168" s="90">
        <v>500000</v>
      </c>
      <c r="F168" s="91">
        <v>490.70150000000001</v>
      </c>
      <c r="G168" s="92">
        <v>7.3461999999999996E-4</v>
      </c>
      <c r="H168" s="87">
        <v>6.6999000000000004</v>
      </c>
    </row>
    <row r="169" spans="1:8" ht="14.25" customHeight="1" x14ac:dyDescent="0.2">
      <c r="A169" s="93"/>
      <c r="B169" s="93"/>
      <c r="C169" s="94" t="s">
        <v>142</v>
      </c>
      <c r="D169" s="93"/>
      <c r="E169" s="93" t="s">
        <v>143</v>
      </c>
      <c r="F169" s="95">
        <v>56434.173159999998</v>
      </c>
      <c r="G169" s="96">
        <v>8.4486270000000002E-2</v>
      </c>
      <c r="H169" s="87" t="s">
        <v>143</v>
      </c>
    </row>
    <row r="170" spans="1:8" ht="14.25" customHeight="1" x14ac:dyDescent="0.2">
      <c r="A170" s="93"/>
      <c r="B170" s="93"/>
      <c r="C170" s="97"/>
      <c r="D170" s="93"/>
      <c r="E170" s="93"/>
      <c r="F170" s="98"/>
      <c r="G170" s="98"/>
      <c r="H170" s="87" t="s">
        <v>143</v>
      </c>
    </row>
    <row r="171" spans="1:8" ht="14.25" customHeight="1" x14ac:dyDescent="0.2">
      <c r="A171" s="93"/>
      <c r="B171" s="93"/>
      <c r="C171" s="94" t="s">
        <v>154</v>
      </c>
      <c r="D171" s="93"/>
      <c r="E171" s="93"/>
      <c r="F171" s="98"/>
      <c r="G171" s="98"/>
      <c r="H171" s="87" t="s">
        <v>143</v>
      </c>
    </row>
    <row r="172" spans="1:8" ht="14.25" customHeight="1" x14ac:dyDescent="0.2">
      <c r="A172" s="93"/>
      <c r="B172" s="93"/>
      <c r="C172" s="94" t="s">
        <v>142</v>
      </c>
      <c r="D172" s="93"/>
      <c r="E172" s="93" t="s">
        <v>143</v>
      </c>
      <c r="F172" s="99" t="s">
        <v>145</v>
      </c>
      <c r="G172" s="96">
        <v>0</v>
      </c>
      <c r="H172" s="87" t="s">
        <v>143</v>
      </c>
    </row>
    <row r="173" spans="1:8" ht="14.25" customHeight="1" x14ac:dyDescent="0.2">
      <c r="A173" s="93"/>
      <c r="B173" s="93"/>
      <c r="C173" s="97"/>
      <c r="D173" s="93"/>
      <c r="E173" s="93"/>
      <c r="F173" s="98"/>
      <c r="G173" s="98"/>
      <c r="H173" s="87" t="s">
        <v>143</v>
      </c>
    </row>
    <row r="174" spans="1:8" ht="14.25" customHeight="1" x14ac:dyDescent="0.2">
      <c r="A174" s="93"/>
      <c r="B174" s="93"/>
      <c r="C174" s="94" t="s">
        <v>155</v>
      </c>
      <c r="D174" s="93"/>
      <c r="E174" s="93"/>
      <c r="F174" s="95">
        <v>127486.01966000001</v>
      </c>
      <c r="G174" s="96">
        <v>0.19085637</v>
      </c>
      <c r="H174" s="87" t="s">
        <v>143</v>
      </c>
    </row>
    <row r="175" spans="1:8" ht="14.25" customHeight="1" x14ac:dyDescent="0.2">
      <c r="A175" s="93"/>
      <c r="B175" s="93"/>
      <c r="C175" s="97"/>
      <c r="D175" s="93"/>
      <c r="E175" s="93"/>
      <c r="F175" s="98"/>
      <c r="G175" s="98"/>
      <c r="H175" s="87" t="s">
        <v>143</v>
      </c>
    </row>
    <row r="176" spans="1:8" ht="14.25" customHeight="1" x14ac:dyDescent="0.2">
      <c r="A176" s="93"/>
      <c r="B176" s="93"/>
      <c r="C176" s="94" t="s">
        <v>156</v>
      </c>
      <c r="D176" s="93"/>
      <c r="E176" s="93"/>
      <c r="F176" s="98"/>
      <c r="G176" s="98"/>
      <c r="H176" s="87" t="s">
        <v>143</v>
      </c>
    </row>
    <row r="177" spans="1:8" ht="14.25" customHeight="1" x14ac:dyDescent="0.2">
      <c r="A177" s="93"/>
      <c r="B177" s="93"/>
      <c r="C177" s="94" t="s">
        <v>157</v>
      </c>
      <c r="D177" s="93"/>
      <c r="E177" s="93"/>
      <c r="F177" s="98"/>
      <c r="G177" s="98"/>
      <c r="H177" s="87" t="s">
        <v>143</v>
      </c>
    </row>
    <row r="178" spans="1:8" ht="14.25" customHeight="1" x14ac:dyDescent="0.2">
      <c r="A178" s="88">
        <v>1</v>
      </c>
      <c r="B178" s="89" t="s">
        <v>622</v>
      </c>
      <c r="C178" s="89" t="s">
        <v>623</v>
      </c>
      <c r="D178" s="89" t="s">
        <v>624</v>
      </c>
      <c r="E178" s="90">
        <v>100</v>
      </c>
      <c r="F178" s="91">
        <v>487.36649999999997</v>
      </c>
      <c r="G178" s="92">
        <v>7.2962999999999999E-4</v>
      </c>
      <c r="H178" s="87">
        <v>6.0650000000000004</v>
      </c>
    </row>
    <row r="179" spans="1:8" ht="14.25" customHeight="1" x14ac:dyDescent="0.2">
      <c r="A179" s="93"/>
      <c r="B179" s="93"/>
      <c r="C179" s="94" t="s">
        <v>142</v>
      </c>
      <c r="D179" s="93"/>
      <c r="E179" s="93" t="s">
        <v>143</v>
      </c>
      <c r="F179" s="95">
        <v>487.36649999999997</v>
      </c>
      <c r="G179" s="96">
        <v>7.2962999999999999E-4</v>
      </c>
      <c r="H179" s="87" t="s">
        <v>143</v>
      </c>
    </row>
    <row r="180" spans="1:8" ht="14.25" customHeight="1" x14ac:dyDescent="0.2">
      <c r="A180" s="93"/>
      <c r="B180" s="93"/>
      <c r="C180" s="97"/>
      <c r="D180" s="93"/>
      <c r="E180" s="93"/>
      <c r="F180" s="98"/>
      <c r="G180" s="98"/>
      <c r="H180" s="87" t="s">
        <v>143</v>
      </c>
    </row>
    <row r="181" spans="1:8" ht="14.25" customHeight="1" x14ac:dyDescent="0.2">
      <c r="A181" s="93"/>
      <c r="B181" s="93"/>
      <c r="C181" s="94" t="s">
        <v>158</v>
      </c>
      <c r="D181" s="93"/>
      <c r="E181" s="93"/>
      <c r="F181" s="98"/>
      <c r="G181" s="98"/>
      <c r="H181" s="87" t="s">
        <v>143</v>
      </c>
    </row>
    <row r="182" spans="1:8" ht="14.25" customHeight="1" x14ac:dyDescent="0.2">
      <c r="A182" s="93"/>
      <c r="B182" s="93"/>
      <c r="C182" s="94" t="s">
        <v>142</v>
      </c>
      <c r="D182" s="93"/>
      <c r="E182" s="93" t="s">
        <v>143</v>
      </c>
      <c r="F182" s="99" t="s">
        <v>145</v>
      </c>
      <c r="G182" s="96">
        <v>0</v>
      </c>
      <c r="H182" s="87" t="s">
        <v>143</v>
      </c>
    </row>
    <row r="183" spans="1:8" ht="14.25" customHeight="1" x14ac:dyDescent="0.2">
      <c r="A183" s="93"/>
      <c r="B183" s="93"/>
      <c r="C183" s="97"/>
      <c r="D183" s="93"/>
      <c r="E183" s="93"/>
      <c r="F183" s="98"/>
      <c r="G183" s="98"/>
      <c r="H183" s="87" t="s">
        <v>143</v>
      </c>
    </row>
    <row r="184" spans="1:8" ht="14.25" customHeight="1" x14ac:dyDescent="0.2">
      <c r="A184" s="93"/>
      <c r="B184" s="93"/>
      <c r="C184" s="94" t="s">
        <v>159</v>
      </c>
      <c r="D184" s="93"/>
      <c r="E184" s="93"/>
      <c r="F184" s="98"/>
      <c r="G184" s="98"/>
      <c r="H184" s="87" t="s">
        <v>143</v>
      </c>
    </row>
    <row r="185" spans="1:8" ht="14.25" customHeight="1" x14ac:dyDescent="0.2">
      <c r="A185" s="93"/>
      <c r="B185" s="93"/>
      <c r="C185" s="94" t="s">
        <v>142</v>
      </c>
      <c r="D185" s="93"/>
      <c r="E185" s="93" t="s">
        <v>143</v>
      </c>
      <c r="F185" s="99" t="s">
        <v>145</v>
      </c>
      <c r="G185" s="96">
        <v>0</v>
      </c>
      <c r="H185" s="87" t="s">
        <v>143</v>
      </c>
    </row>
    <row r="186" spans="1:8" ht="14.25" customHeight="1" x14ac:dyDescent="0.2">
      <c r="A186" s="93"/>
      <c r="B186" s="93"/>
      <c r="C186" s="97"/>
      <c r="D186" s="93"/>
      <c r="E186" s="93"/>
      <c r="F186" s="98"/>
      <c r="G186" s="98"/>
      <c r="H186" s="87" t="s">
        <v>143</v>
      </c>
    </row>
    <row r="187" spans="1:8" ht="14.25" customHeight="1" x14ac:dyDescent="0.2">
      <c r="A187" s="93"/>
      <c r="B187" s="93"/>
      <c r="C187" s="94" t="s">
        <v>160</v>
      </c>
      <c r="D187" s="93"/>
      <c r="E187" s="93"/>
      <c r="F187" s="98"/>
      <c r="G187" s="98"/>
      <c r="H187" s="87" t="s">
        <v>143</v>
      </c>
    </row>
    <row r="188" spans="1:8" ht="14.25" customHeight="1" x14ac:dyDescent="0.2">
      <c r="A188" s="88">
        <v>1</v>
      </c>
      <c r="B188" s="89"/>
      <c r="C188" s="89" t="s">
        <v>161</v>
      </c>
      <c r="D188" s="89"/>
      <c r="E188" s="100"/>
      <c r="F188" s="91">
        <v>9768.8169269619993</v>
      </c>
      <c r="G188" s="92">
        <v>1.4624669999999999E-2</v>
      </c>
      <c r="H188" s="87">
        <v>5.38</v>
      </c>
    </row>
    <row r="189" spans="1:8" ht="14.25" customHeight="1" x14ac:dyDescent="0.2">
      <c r="A189" s="93"/>
      <c r="B189" s="93"/>
      <c r="C189" s="94" t="s">
        <v>142</v>
      </c>
      <c r="D189" s="93"/>
      <c r="E189" s="93" t="s">
        <v>143</v>
      </c>
      <c r="F189" s="95">
        <v>9768.8169269619993</v>
      </c>
      <c r="G189" s="96">
        <v>1.4624669999999999E-2</v>
      </c>
      <c r="H189" s="87" t="s">
        <v>143</v>
      </c>
    </row>
    <row r="190" spans="1:8" ht="14.25" customHeight="1" x14ac:dyDescent="0.2">
      <c r="A190" s="93"/>
      <c r="B190" s="93"/>
      <c r="C190" s="97"/>
      <c r="D190" s="93"/>
      <c r="E190" s="93"/>
      <c r="F190" s="98"/>
      <c r="G190" s="98"/>
      <c r="H190" s="87" t="s">
        <v>143</v>
      </c>
    </row>
    <row r="191" spans="1:8" ht="14.25" customHeight="1" x14ac:dyDescent="0.2">
      <c r="A191" s="93"/>
      <c r="B191" s="93"/>
      <c r="C191" s="94" t="s">
        <v>162</v>
      </c>
      <c r="D191" s="93"/>
      <c r="E191" s="93"/>
      <c r="F191" s="95">
        <v>10256.183426961999</v>
      </c>
      <c r="G191" s="96">
        <v>1.53543E-2</v>
      </c>
      <c r="H191" s="87" t="s">
        <v>143</v>
      </c>
    </row>
    <row r="192" spans="1:8" ht="14.25" customHeight="1" x14ac:dyDescent="0.2">
      <c r="A192" s="93"/>
      <c r="B192" s="93"/>
      <c r="C192" s="98"/>
      <c r="D192" s="93"/>
      <c r="E192" s="93"/>
      <c r="F192" s="93"/>
      <c r="G192" s="93"/>
      <c r="H192" s="87" t="s">
        <v>143</v>
      </c>
    </row>
    <row r="193" spans="1:8" ht="14.25" customHeight="1" x14ac:dyDescent="0.2">
      <c r="A193" s="93"/>
      <c r="B193" s="93"/>
      <c r="C193" s="94" t="s">
        <v>163</v>
      </c>
      <c r="D193" s="93"/>
      <c r="E193" s="93"/>
      <c r="F193" s="93"/>
      <c r="G193" s="93"/>
      <c r="H193" s="87" t="s">
        <v>143</v>
      </c>
    </row>
    <row r="194" spans="1:8" ht="14.25" customHeight="1" x14ac:dyDescent="0.2">
      <c r="A194" s="93"/>
      <c r="B194" s="93"/>
      <c r="C194" s="94" t="s">
        <v>164</v>
      </c>
      <c r="D194" s="93"/>
      <c r="E194" s="93"/>
      <c r="F194" s="93"/>
      <c r="G194" s="93"/>
      <c r="H194" s="87" t="s">
        <v>143</v>
      </c>
    </row>
    <row r="195" spans="1:8" ht="14.25" customHeight="1" x14ac:dyDescent="0.2">
      <c r="A195" s="88">
        <v>1</v>
      </c>
      <c r="B195" s="89" t="s">
        <v>500</v>
      </c>
      <c r="C195" s="89" t="s">
        <v>501</v>
      </c>
      <c r="D195" s="89"/>
      <c r="E195" s="126">
        <v>69857221.264300004</v>
      </c>
      <c r="F195" s="91">
        <v>10679.42270078</v>
      </c>
      <c r="G195" s="92">
        <v>1.5987910000000001E-2</v>
      </c>
      <c r="H195" s="87" t="s">
        <v>143</v>
      </c>
    </row>
    <row r="196" spans="1:8" ht="14.25" customHeight="1" x14ac:dyDescent="0.2">
      <c r="A196" s="93"/>
      <c r="B196" s="93"/>
      <c r="C196" s="94" t="s">
        <v>142</v>
      </c>
      <c r="D196" s="93"/>
      <c r="E196" s="93" t="s">
        <v>143</v>
      </c>
      <c r="F196" s="95">
        <v>10679.42270078</v>
      </c>
      <c r="G196" s="96">
        <v>1.5987910000000001E-2</v>
      </c>
      <c r="H196" s="87" t="s">
        <v>143</v>
      </c>
    </row>
    <row r="197" spans="1:8" ht="14.25" customHeight="1" x14ac:dyDescent="0.2">
      <c r="A197" s="93"/>
      <c r="B197" s="93"/>
      <c r="C197" s="97"/>
      <c r="D197" s="93"/>
      <c r="E197" s="93"/>
      <c r="F197" s="98"/>
      <c r="G197" s="98"/>
      <c r="H197" s="87" t="s">
        <v>143</v>
      </c>
    </row>
    <row r="198" spans="1:8" ht="14.25" customHeight="1" x14ac:dyDescent="0.2">
      <c r="A198" s="93"/>
      <c r="B198" s="93"/>
      <c r="C198" s="94" t="s">
        <v>165</v>
      </c>
      <c r="D198" s="93"/>
      <c r="E198" s="93"/>
      <c r="F198" s="93"/>
      <c r="G198" s="93"/>
      <c r="H198" s="87" t="s">
        <v>143</v>
      </c>
    </row>
    <row r="199" spans="1:8" ht="14.25" customHeight="1" x14ac:dyDescent="0.2">
      <c r="A199" s="93"/>
      <c r="B199" s="93"/>
      <c r="C199" s="94" t="s">
        <v>166</v>
      </c>
      <c r="D199" s="93"/>
      <c r="E199" s="93"/>
      <c r="F199" s="93"/>
      <c r="G199" s="93"/>
      <c r="H199" s="87" t="s">
        <v>143</v>
      </c>
    </row>
    <row r="200" spans="1:8" ht="14.25" customHeight="1" x14ac:dyDescent="0.2">
      <c r="A200" s="93"/>
      <c r="B200" s="93"/>
      <c r="C200" s="94" t="s">
        <v>142</v>
      </c>
      <c r="D200" s="93"/>
      <c r="E200" s="93" t="s">
        <v>143</v>
      </c>
      <c r="F200" s="99" t="s">
        <v>145</v>
      </c>
      <c r="G200" s="96">
        <v>0</v>
      </c>
      <c r="H200" s="87" t="s">
        <v>143</v>
      </c>
    </row>
    <row r="201" spans="1:8" ht="14.25" customHeight="1" x14ac:dyDescent="0.2">
      <c r="A201" s="93"/>
      <c r="B201" s="93"/>
      <c r="C201" s="97"/>
      <c r="D201" s="93"/>
      <c r="E201" s="93"/>
      <c r="F201" s="98"/>
      <c r="G201" s="98"/>
      <c r="H201" s="87" t="s">
        <v>143</v>
      </c>
    </row>
    <row r="202" spans="1:8" ht="14.25" customHeight="1" x14ac:dyDescent="0.2">
      <c r="A202" s="93"/>
      <c r="B202" s="93"/>
      <c r="C202" s="94" t="s">
        <v>167</v>
      </c>
      <c r="D202" s="93"/>
      <c r="E202" s="93"/>
      <c r="F202" s="98"/>
      <c r="G202" s="98"/>
      <c r="H202" s="87" t="s">
        <v>143</v>
      </c>
    </row>
    <row r="203" spans="1:8" ht="14.25" customHeight="1" x14ac:dyDescent="0.2">
      <c r="A203" s="93"/>
      <c r="B203" s="93"/>
      <c r="C203" s="94" t="s">
        <v>142</v>
      </c>
      <c r="D203" s="93"/>
      <c r="E203" s="93" t="s">
        <v>143</v>
      </c>
      <c r="F203" s="99" t="s">
        <v>145</v>
      </c>
      <c r="G203" s="96">
        <v>0</v>
      </c>
      <c r="H203" s="87" t="s">
        <v>143</v>
      </c>
    </row>
    <row r="204" spans="1:8" ht="14.25" customHeight="1" x14ac:dyDescent="0.2">
      <c r="A204" s="93"/>
      <c r="B204" s="93"/>
      <c r="C204" s="97"/>
      <c r="D204" s="93"/>
      <c r="E204" s="93"/>
      <c r="F204" s="98"/>
      <c r="G204" s="98"/>
      <c r="H204" s="87" t="s">
        <v>143</v>
      </c>
    </row>
    <row r="205" spans="1:8" ht="14.25" customHeight="1" x14ac:dyDescent="0.2">
      <c r="A205" s="100"/>
      <c r="B205" s="89"/>
      <c r="C205" s="89" t="s">
        <v>625</v>
      </c>
      <c r="D205" s="89"/>
      <c r="E205" s="100"/>
      <c r="F205" s="91">
        <v>10025.0007018</v>
      </c>
      <c r="G205" s="92">
        <v>1.5008189999999999E-2</v>
      </c>
      <c r="H205" s="87" t="s">
        <v>143</v>
      </c>
    </row>
    <row r="206" spans="1:8" ht="14.25" customHeight="1" x14ac:dyDescent="0.2">
      <c r="A206" s="100"/>
      <c r="B206" s="89"/>
      <c r="C206" s="127" t="s">
        <v>1000</v>
      </c>
      <c r="D206" s="89"/>
      <c r="E206" s="100"/>
      <c r="F206" s="91">
        <f>32922.7333813+F113</f>
        <v>1615.9500087999986</v>
      </c>
      <c r="G206" s="92">
        <f>F206/F207</f>
        <v>2.4192005712485899E-3</v>
      </c>
      <c r="H206" s="87" t="s">
        <v>143</v>
      </c>
    </row>
    <row r="207" spans="1:8" ht="14.25" customHeight="1" x14ac:dyDescent="0.2">
      <c r="A207" s="97"/>
      <c r="B207" s="97"/>
      <c r="C207" s="94" t="s">
        <v>169</v>
      </c>
      <c r="D207" s="98"/>
      <c r="E207" s="98"/>
      <c r="F207" s="95">
        <f>F206+F205+F196+F191+F174+F115</f>
        <v>667968.59590934194</v>
      </c>
      <c r="G207" s="101">
        <f>G206+G205+G196+G191+G174+G115</f>
        <v>0.99997776757780599</v>
      </c>
      <c r="H207" s="87" t="s">
        <v>143</v>
      </c>
    </row>
    <row r="208" spans="1:8" ht="12.75" x14ac:dyDescent="0.2">
      <c r="A208" s="102"/>
      <c r="B208" s="102"/>
      <c r="C208" s="102"/>
      <c r="D208" s="103"/>
      <c r="E208" s="103"/>
      <c r="F208" s="103"/>
      <c r="G208" s="103"/>
    </row>
    <row r="209" spans="1:17" ht="12.75" x14ac:dyDescent="0.2">
      <c r="A209" s="104"/>
      <c r="B209" s="206" t="s">
        <v>942</v>
      </c>
      <c r="C209" s="206"/>
      <c r="D209" s="206"/>
      <c r="E209" s="206"/>
      <c r="F209" s="206"/>
      <c r="G209" s="206"/>
      <c r="H209" s="206"/>
      <c r="J209" s="106"/>
    </row>
    <row r="210" spans="1:17" ht="12.75" x14ac:dyDescent="0.2">
      <c r="A210" s="104"/>
      <c r="B210" s="206" t="s">
        <v>943</v>
      </c>
      <c r="C210" s="206"/>
      <c r="D210" s="206"/>
      <c r="E210" s="206"/>
      <c r="F210" s="206"/>
      <c r="G210" s="206"/>
      <c r="H210" s="206"/>
      <c r="J210" s="106"/>
    </row>
    <row r="211" spans="1:17" ht="12.75" x14ac:dyDescent="0.2">
      <c r="A211" s="104"/>
      <c r="B211" s="206" t="s">
        <v>944</v>
      </c>
      <c r="C211" s="206"/>
      <c r="D211" s="206"/>
      <c r="E211" s="206"/>
      <c r="F211" s="206"/>
      <c r="G211" s="206"/>
      <c r="H211" s="206"/>
      <c r="J211" s="106"/>
    </row>
    <row r="212" spans="1:17" s="108" customFormat="1" ht="66.75" customHeight="1" x14ac:dyDescent="0.25">
      <c r="A212" s="107"/>
      <c r="B212" s="207" t="s">
        <v>945</v>
      </c>
      <c r="C212" s="207"/>
      <c r="D212" s="207"/>
      <c r="E212" s="207"/>
      <c r="F212" s="207"/>
      <c r="G212" s="207"/>
      <c r="H212" s="207"/>
      <c r="I212"/>
      <c r="J212" s="106"/>
      <c r="K212"/>
      <c r="L212"/>
      <c r="M212"/>
      <c r="N212"/>
      <c r="O212"/>
      <c r="P212"/>
      <c r="Q212"/>
    </row>
    <row r="213" spans="1:17" ht="12.75" x14ac:dyDescent="0.2">
      <c r="A213" s="104"/>
      <c r="B213" s="206" t="s">
        <v>946</v>
      </c>
      <c r="C213" s="206"/>
      <c r="D213" s="206"/>
      <c r="E213" s="206"/>
      <c r="F213" s="206"/>
      <c r="G213" s="206"/>
      <c r="H213" s="206"/>
      <c r="J213" s="106"/>
    </row>
    <row r="214" spans="1:17" ht="12.75" x14ac:dyDescent="0.2">
      <c r="A214" s="104"/>
      <c r="B214" s="104"/>
      <c r="C214" s="104"/>
      <c r="D214" s="109"/>
      <c r="E214" s="109"/>
      <c r="F214" s="109"/>
      <c r="G214" s="109"/>
    </row>
    <row r="215" spans="1:17" ht="12.75" x14ac:dyDescent="0.2">
      <c r="A215" s="104"/>
      <c r="B215" s="199" t="s">
        <v>170</v>
      </c>
      <c r="C215" s="200"/>
      <c r="D215" s="201"/>
      <c r="E215" s="110"/>
      <c r="F215" s="109"/>
      <c r="G215" s="109"/>
    </row>
    <row r="216" spans="1:17" ht="27.75" customHeight="1" x14ac:dyDescent="0.2">
      <c r="A216" s="104"/>
      <c r="B216" s="202" t="s">
        <v>171</v>
      </c>
      <c r="C216" s="203"/>
      <c r="D216" s="86" t="s">
        <v>1001</v>
      </c>
      <c r="E216" s="110"/>
      <c r="F216" s="109"/>
      <c r="G216" s="109"/>
    </row>
    <row r="217" spans="1:17" ht="12.75" customHeight="1" x14ac:dyDescent="0.2">
      <c r="A217" s="104"/>
      <c r="B217" s="202" t="s">
        <v>947</v>
      </c>
      <c r="C217" s="203"/>
      <c r="D217" s="86" t="str">
        <f>"Rs. "&amp;TEXT(F80,"0.00")&amp;" lacs/ #"</f>
        <v>Rs. 5.01 lacs/ #</v>
      </c>
      <c r="E217" s="110"/>
      <c r="F217" s="109"/>
      <c r="G217" s="109"/>
    </row>
    <row r="218" spans="1:17" ht="12.75" x14ac:dyDescent="0.2">
      <c r="A218" s="104"/>
      <c r="B218" s="202" t="s">
        <v>173</v>
      </c>
      <c r="C218" s="203"/>
      <c r="D218" s="111" t="s">
        <v>143</v>
      </c>
      <c r="E218" s="110"/>
      <c r="F218" s="109"/>
      <c r="G218" s="109"/>
    </row>
    <row r="219" spans="1:17" ht="12.75" x14ac:dyDescent="0.2">
      <c r="A219" s="112"/>
      <c r="B219" s="113" t="s">
        <v>143</v>
      </c>
      <c r="C219" s="113" t="s">
        <v>948</v>
      </c>
      <c r="D219" s="113" t="s">
        <v>174</v>
      </c>
      <c r="E219" s="112"/>
      <c r="F219" s="112"/>
      <c r="G219" s="112"/>
      <c r="H219" s="112"/>
      <c r="J219" s="106"/>
    </row>
    <row r="220" spans="1:17" ht="12.75" x14ac:dyDescent="0.2">
      <c r="A220" s="112"/>
      <c r="B220" s="114" t="s">
        <v>175</v>
      </c>
      <c r="C220" s="115">
        <v>45869</v>
      </c>
      <c r="D220" s="115">
        <v>45900</v>
      </c>
      <c r="E220" s="112"/>
      <c r="F220" s="112"/>
      <c r="G220" s="112"/>
      <c r="J220" s="106"/>
    </row>
    <row r="221" spans="1:17" ht="12.75" x14ac:dyDescent="0.2">
      <c r="A221" s="116"/>
      <c r="B221" s="127" t="s">
        <v>176</v>
      </c>
      <c r="C221" s="117">
        <v>184.19630000000001</v>
      </c>
      <c r="D221" s="117">
        <v>181.4734</v>
      </c>
      <c r="E221" s="116"/>
      <c r="F221" s="118"/>
      <c r="G221" s="119"/>
    </row>
    <row r="222" spans="1:17" ht="25.5" x14ac:dyDescent="0.2">
      <c r="A222" s="116"/>
      <c r="B222" s="127" t="s">
        <v>1002</v>
      </c>
      <c r="C222" s="117">
        <v>42.752000000000002</v>
      </c>
      <c r="D222" s="117">
        <v>41.773400000000002</v>
      </c>
      <c r="E222" s="116"/>
      <c r="F222" s="118"/>
      <c r="G222" s="119"/>
    </row>
    <row r="223" spans="1:17" ht="25.5" x14ac:dyDescent="0.2">
      <c r="A223" s="116"/>
      <c r="B223" s="127" t="s">
        <v>177</v>
      </c>
      <c r="C223" s="117">
        <v>160.63919999999999</v>
      </c>
      <c r="D223" s="117">
        <v>158.1164</v>
      </c>
      <c r="E223" s="116"/>
      <c r="F223" s="118"/>
      <c r="G223" s="119"/>
    </row>
    <row r="224" spans="1:17" ht="25.5" x14ac:dyDescent="0.2">
      <c r="A224" s="116"/>
      <c r="B224" s="127" t="s">
        <v>1003</v>
      </c>
      <c r="C224" s="117">
        <v>27.7728</v>
      </c>
      <c r="D224" s="117">
        <v>27.088999999999999</v>
      </c>
      <c r="E224" s="116"/>
      <c r="F224" s="118"/>
      <c r="G224" s="119"/>
    </row>
    <row r="225" spans="1:15" ht="14.25" customHeight="1" x14ac:dyDescent="0.2">
      <c r="A225" s="116"/>
      <c r="B225" s="116"/>
      <c r="C225" s="116"/>
      <c r="D225" s="116"/>
      <c r="E225" s="116"/>
      <c r="F225" s="116"/>
      <c r="G225" s="116"/>
    </row>
    <row r="226" spans="1:15" ht="14.25" customHeight="1" x14ac:dyDescent="0.2">
      <c r="A226" s="116"/>
      <c r="B226" s="208" t="s">
        <v>949</v>
      </c>
      <c r="C226" s="209"/>
      <c r="D226" s="94" t="s">
        <v>143</v>
      </c>
      <c r="E226" s="116"/>
      <c r="F226" s="116"/>
      <c r="G226" s="116"/>
    </row>
    <row r="227" spans="1:15" ht="14.25" customHeight="1" x14ac:dyDescent="0.2">
      <c r="A227" s="116"/>
      <c r="B227" s="163" t="s">
        <v>175</v>
      </c>
      <c r="C227" s="164" t="s">
        <v>626</v>
      </c>
      <c r="D227" s="164" t="s">
        <v>627</v>
      </c>
      <c r="E227" s="116"/>
      <c r="F227" s="116"/>
      <c r="G227" s="116"/>
    </row>
    <row r="228" spans="1:15" ht="25.5" x14ac:dyDescent="0.2">
      <c r="A228" s="116"/>
      <c r="B228" s="127" t="s">
        <v>1002</v>
      </c>
      <c r="C228" s="165">
        <v>0.35</v>
      </c>
      <c r="D228" s="165">
        <v>0.35</v>
      </c>
      <c r="E228" s="116"/>
      <c r="F228" s="118"/>
      <c r="G228" s="119"/>
    </row>
    <row r="229" spans="1:15" ht="25.5" x14ac:dyDescent="0.2">
      <c r="A229" s="116"/>
      <c r="B229" s="127" t="s">
        <v>1003</v>
      </c>
      <c r="C229" s="165">
        <v>0.25</v>
      </c>
      <c r="D229" s="165">
        <v>0.25</v>
      </c>
      <c r="E229" s="116"/>
      <c r="F229" s="118"/>
      <c r="G229" s="119"/>
    </row>
    <row r="230" spans="1:15" ht="14.25" customHeight="1" x14ac:dyDescent="0.2">
      <c r="A230" s="116"/>
      <c r="B230" s="166"/>
      <c r="C230" s="166"/>
      <c r="D230" s="167"/>
      <c r="E230" s="116"/>
      <c r="F230" s="118"/>
      <c r="G230" s="119"/>
    </row>
    <row r="231" spans="1:15" ht="24.75" customHeight="1" x14ac:dyDescent="0.2">
      <c r="A231" s="112"/>
      <c r="B231" s="202" t="s">
        <v>178</v>
      </c>
      <c r="C231" s="203"/>
      <c r="D231" s="86" t="s">
        <v>1004</v>
      </c>
      <c r="E231" s="121"/>
      <c r="F231" s="112"/>
      <c r="G231" s="112"/>
    </row>
    <row r="232" spans="1:15" ht="24" customHeight="1" x14ac:dyDescent="0.2">
      <c r="A232" s="112"/>
      <c r="B232" s="202" t="s">
        <v>179</v>
      </c>
      <c r="C232" s="203"/>
      <c r="D232" s="86" t="s">
        <v>172</v>
      </c>
      <c r="E232" s="121"/>
      <c r="F232" s="112"/>
      <c r="G232" s="112"/>
    </row>
    <row r="233" spans="1:15" ht="12.75" x14ac:dyDescent="0.2">
      <c r="A233" s="112"/>
      <c r="B233" s="202" t="s">
        <v>180</v>
      </c>
      <c r="C233" s="203"/>
      <c r="D233" s="86" t="s">
        <v>172</v>
      </c>
      <c r="E233" s="121"/>
      <c r="F233" s="112"/>
      <c r="G233" s="112"/>
    </row>
    <row r="234" spans="1:15" ht="12.75" x14ac:dyDescent="0.2">
      <c r="A234" s="112"/>
      <c r="B234" s="202" t="s">
        <v>181</v>
      </c>
      <c r="C234" s="203"/>
      <c r="D234" s="122">
        <v>1.7148273903537603</v>
      </c>
      <c r="E234" s="112"/>
      <c r="F234" s="105"/>
      <c r="G234" s="123"/>
    </row>
    <row r="235" spans="1:15" ht="12.75" x14ac:dyDescent="0.2"/>
    <row r="236" spans="1:15" s="152" customFormat="1" ht="12.75" x14ac:dyDescent="0.2">
      <c r="B236" s="184" t="s">
        <v>1221</v>
      </c>
      <c r="C236" s="177"/>
      <c r="D236" s="177"/>
      <c r="E236" s="177"/>
      <c r="F236" s="177"/>
      <c r="G236" s="177"/>
      <c r="I236"/>
      <c r="J236"/>
      <c r="K236"/>
      <c r="L236"/>
      <c r="M236"/>
      <c r="N236"/>
      <c r="O236"/>
    </row>
    <row r="237" spans="1:15" ht="13.5" customHeight="1" x14ac:dyDescent="0.2">
      <c r="B237" s="236" t="s">
        <v>1005</v>
      </c>
      <c r="C237" s="236" t="s">
        <v>1006</v>
      </c>
      <c r="D237" s="239" t="s">
        <v>1007</v>
      </c>
      <c r="E237" s="240"/>
      <c r="F237" s="241"/>
      <c r="G237" s="229" t="s">
        <v>1008</v>
      </c>
      <c r="H237" s="230"/>
      <c r="I237" s="231"/>
      <c r="J237" s="171"/>
      <c r="K237" s="171"/>
      <c r="L237" s="171"/>
      <c r="M237" s="171"/>
      <c r="N237" s="171"/>
      <c r="O237" s="171"/>
    </row>
    <row r="238" spans="1:15" ht="46.5" customHeight="1" x14ac:dyDescent="0.2">
      <c r="B238" s="237"/>
      <c r="C238" s="237"/>
      <c r="D238" s="232" t="s">
        <v>1009</v>
      </c>
      <c r="E238" s="232" t="s">
        <v>1010</v>
      </c>
      <c r="F238" s="232" t="s">
        <v>1011</v>
      </c>
      <c r="G238" s="234" t="s">
        <v>1012</v>
      </c>
      <c r="H238" s="235"/>
      <c r="I238" s="232" t="s">
        <v>1013</v>
      </c>
      <c r="J238" s="171"/>
      <c r="K238" s="171"/>
      <c r="L238" s="171"/>
      <c r="M238" s="171"/>
      <c r="N238" s="171"/>
      <c r="O238" s="171"/>
    </row>
    <row r="239" spans="1:15" ht="21" customHeight="1" x14ac:dyDescent="0.2">
      <c r="B239" s="238"/>
      <c r="C239" s="238"/>
      <c r="D239" s="233"/>
      <c r="E239" s="233"/>
      <c r="F239" s="233"/>
      <c r="G239" s="172" t="s">
        <v>1014</v>
      </c>
      <c r="H239" s="172" t="s">
        <v>1015</v>
      </c>
      <c r="I239" s="233"/>
      <c r="J239" s="171"/>
      <c r="K239" s="171"/>
      <c r="L239" s="171"/>
      <c r="M239" s="171"/>
      <c r="N239" s="171"/>
      <c r="O239" s="171"/>
    </row>
    <row r="240" spans="1:15" ht="13.5" x14ac:dyDescent="0.25">
      <c r="B240" s="173" t="s">
        <v>1016</v>
      </c>
      <c r="C240" s="174" t="s">
        <v>1017</v>
      </c>
      <c r="D240" s="175">
        <v>977.7</v>
      </c>
      <c r="E240" s="9">
        <v>22.3</v>
      </c>
      <c r="F240" s="176">
        <f>D240+E240</f>
        <v>1000</v>
      </c>
      <c r="G240" s="10">
        <v>42.319693431000005</v>
      </c>
      <c r="H240" s="10">
        <v>26.66</v>
      </c>
      <c r="I240" s="10">
        <f>G240+H240</f>
        <v>68.979693431000001</v>
      </c>
      <c r="J240" s="171"/>
      <c r="K240" s="171"/>
      <c r="L240" s="171"/>
      <c r="M240" s="171"/>
      <c r="N240" s="171"/>
      <c r="O240" s="171"/>
    </row>
    <row r="241" spans="2:16" ht="42" customHeight="1" x14ac:dyDescent="0.2">
      <c r="B241" s="224" t="s">
        <v>1018</v>
      </c>
      <c r="C241" s="224"/>
      <c r="D241" s="224"/>
      <c r="E241" s="224"/>
      <c r="F241" s="224"/>
      <c r="G241" s="224"/>
      <c r="H241" s="224"/>
      <c r="I241" s="224"/>
      <c r="J241" s="181"/>
      <c r="K241" s="171"/>
      <c r="L241" s="171"/>
      <c r="M241" s="171"/>
      <c r="N241" s="171"/>
      <c r="O241" s="171"/>
    </row>
    <row r="242" spans="2:16" ht="13.5" x14ac:dyDescent="0.25">
      <c r="B242" s="182" t="s">
        <v>1019</v>
      </c>
      <c r="I242" s="171"/>
      <c r="J242" s="84"/>
      <c r="K242" s="171"/>
      <c r="L242" s="171"/>
      <c r="M242" s="171"/>
      <c r="N242" s="171"/>
      <c r="O242" s="171"/>
      <c r="P242" s="171"/>
    </row>
    <row r="243" spans="2:16" ht="12.75" x14ac:dyDescent="0.2">
      <c r="B243" s="11" t="s">
        <v>1020</v>
      </c>
      <c r="J243" s="84"/>
      <c r="K243" s="171"/>
      <c r="L243" s="171"/>
      <c r="M243" s="171"/>
      <c r="N243" s="171"/>
      <c r="O243" s="171"/>
    </row>
    <row r="244" spans="2:16" s="152" customFormat="1" ht="12.75" x14ac:dyDescent="0.2">
      <c r="B244" s="184"/>
      <c r="C244" s="177"/>
      <c r="D244" s="177"/>
      <c r="E244" s="177"/>
      <c r="F244" s="177"/>
      <c r="G244" s="177"/>
      <c r="I244"/>
      <c r="J244"/>
      <c r="K244"/>
      <c r="L244"/>
      <c r="M244"/>
      <c r="N244"/>
      <c r="O244"/>
    </row>
    <row r="245" spans="2:16" s="152" customFormat="1" ht="12.75" x14ac:dyDescent="0.2">
      <c r="B245" s="185" t="s">
        <v>1005</v>
      </c>
      <c r="C245" s="185" t="s">
        <v>1006</v>
      </c>
      <c r="D245" s="225" t="s">
        <v>1021</v>
      </c>
      <c r="E245" s="226"/>
      <c r="F245" s="220" t="s">
        <v>1022</v>
      </c>
      <c r="G245" s="220"/>
      <c r="I245"/>
      <c r="J245"/>
      <c r="K245"/>
      <c r="L245"/>
      <c r="M245"/>
      <c r="N245"/>
      <c r="O245"/>
    </row>
    <row r="246" spans="2:16" s="152" customFormat="1" ht="12.75" x14ac:dyDescent="0.2">
      <c r="B246" s="186" t="s">
        <v>1023</v>
      </c>
      <c r="C246" s="187" t="s">
        <v>1024</v>
      </c>
      <c r="D246" s="227">
        <v>0</v>
      </c>
      <c r="E246" s="228"/>
      <c r="F246" s="227">
        <v>0</v>
      </c>
      <c r="G246" s="228"/>
      <c r="I246"/>
      <c r="J246"/>
      <c r="K246"/>
      <c r="L246"/>
      <c r="M246"/>
      <c r="N246"/>
      <c r="O246"/>
    </row>
    <row r="247" spans="2:16" s="152" customFormat="1" ht="12.75" x14ac:dyDescent="0.2">
      <c r="B247" s="217" t="s">
        <v>1025</v>
      </c>
      <c r="C247" s="218"/>
      <c r="D247" s="218"/>
      <c r="E247" s="218"/>
      <c r="F247" s="218"/>
      <c r="G247" s="219"/>
      <c r="I247"/>
      <c r="J247"/>
      <c r="K247"/>
      <c r="L247"/>
      <c r="M247"/>
      <c r="N247"/>
      <c r="O247"/>
    </row>
    <row r="248" spans="2:16" s="152" customFormat="1" ht="12.75" x14ac:dyDescent="0.2">
      <c r="B248" s="220" t="s">
        <v>1005</v>
      </c>
      <c r="C248" s="220" t="s">
        <v>1006</v>
      </c>
      <c r="D248" s="217" t="s">
        <v>1026</v>
      </c>
      <c r="E248" s="218"/>
      <c r="F248" s="219"/>
      <c r="G248" s="186"/>
      <c r="I248"/>
      <c r="J248"/>
      <c r="K248"/>
      <c r="L248"/>
      <c r="M248"/>
      <c r="N248"/>
      <c r="O248"/>
    </row>
    <row r="249" spans="2:16" s="152" customFormat="1" ht="51" x14ac:dyDescent="0.2">
      <c r="B249" s="220"/>
      <c r="C249" s="220"/>
      <c r="D249" s="188" t="s">
        <v>1027</v>
      </c>
      <c r="E249" s="188" t="s">
        <v>1028</v>
      </c>
      <c r="F249" s="188" t="s">
        <v>1029</v>
      </c>
      <c r="G249" s="188" t="s">
        <v>1222</v>
      </c>
      <c r="H249" s="189"/>
      <c r="I249"/>
      <c r="J249"/>
      <c r="K249"/>
      <c r="L249"/>
      <c r="M249"/>
      <c r="N249"/>
      <c r="O249"/>
    </row>
    <row r="250" spans="2:16" s="152" customFormat="1" ht="15" x14ac:dyDescent="0.2">
      <c r="B250" s="190" t="s">
        <v>1023</v>
      </c>
      <c r="C250" s="187" t="s">
        <v>1024</v>
      </c>
      <c r="D250" s="191">
        <v>700</v>
      </c>
      <c r="E250" s="191">
        <v>24.098357999999998</v>
      </c>
      <c r="F250" s="192">
        <v>724.09835799999996</v>
      </c>
      <c r="G250" s="193">
        <f>F250/F207</f>
        <v>1.0840305404092321E-3</v>
      </c>
      <c r="H250" s="194"/>
      <c r="I250"/>
      <c r="J250"/>
      <c r="K250"/>
      <c r="L250"/>
      <c r="M250"/>
      <c r="N250"/>
      <c r="O250"/>
    </row>
    <row r="251" spans="2:16" s="152" customFormat="1" ht="29.25" customHeight="1" x14ac:dyDescent="0.2">
      <c r="B251" s="221" t="s">
        <v>1030</v>
      </c>
      <c r="C251" s="222"/>
      <c r="D251" s="222"/>
      <c r="E251" s="222"/>
      <c r="F251" s="222"/>
      <c r="G251" s="223"/>
      <c r="I251"/>
      <c r="J251"/>
      <c r="K251"/>
      <c r="L251"/>
      <c r="M251"/>
      <c r="N251"/>
      <c r="O251"/>
    </row>
    <row r="252" spans="2:16" s="152" customFormat="1" ht="12.75" x14ac:dyDescent="0.2">
      <c r="I252"/>
      <c r="J252"/>
      <c r="K252"/>
      <c r="L252"/>
      <c r="M252"/>
      <c r="N252"/>
      <c r="O252"/>
    </row>
    <row r="253" spans="2:16" s="152" customFormat="1" ht="12.75" x14ac:dyDescent="0.2">
      <c r="B253" s="214" t="s">
        <v>1031</v>
      </c>
      <c r="C253" s="215"/>
      <c r="D253" s="216"/>
      <c r="I253"/>
      <c r="J253"/>
      <c r="K253"/>
      <c r="L253"/>
      <c r="M253"/>
      <c r="N253"/>
      <c r="O253"/>
    </row>
    <row r="254" spans="2:16" s="152" customFormat="1" ht="12.75" x14ac:dyDescent="0.2">
      <c r="B254" s="213" t="s">
        <v>1032</v>
      </c>
      <c r="C254" s="213"/>
      <c r="D254" s="147" t="s">
        <v>502</v>
      </c>
      <c r="I254"/>
      <c r="J254"/>
      <c r="K254"/>
      <c r="L254"/>
      <c r="M254"/>
      <c r="N254"/>
      <c r="O254"/>
    </row>
    <row r="255" spans="2:16" s="152" customFormat="1" ht="12.75" x14ac:dyDescent="0.2">
      <c r="B255" s="213" t="s">
        <v>1033</v>
      </c>
      <c r="C255" s="213"/>
      <c r="D255" s="147"/>
      <c r="I255"/>
      <c r="J255"/>
      <c r="K255"/>
      <c r="L255"/>
      <c r="M255"/>
      <c r="N255"/>
      <c r="O255"/>
    </row>
    <row r="256" spans="2:16" s="152" customFormat="1" ht="12.75" x14ac:dyDescent="0.2">
      <c r="B256" s="210"/>
      <c r="C256" s="212"/>
      <c r="D256" s="130"/>
      <c r="I256"/>
      <c r="J256"/>
      <c r="K256"/>
      <c r="L256"/>
      <c r="M256"/>
      <c r="N256"/>
      <c r="O256"/>
    </row>
    <row r="257" spans="2:15" s="152" customFormat="1" ht="12.75" x14ac:dyDescent="0.2">
      <c r="B257" s="213" t="s">
        <v>1034</v>
      </c>
      <c r="C257" s="213"/>
      <c r="D257" s="131">
        <v>6.81663901679575</v>
      </c>
      <c r="I257"/>
      <c r="J257"/>
      <c r="K257"/>
      <c r="L257"/>
      <c r="M257"/>
      <c r="N257"/>
      <c r="O257"/>
    </row>
    <row r="258" spans="2:15" s="152" customFormat="1" ht="12.75" x14ac:dyDescent="0.2">
      <c r="B258" s="210"/>
      <c r="C258" s="212"/>
      <c r="D258" s="195"/>
      <c r="I258"/>
      <c r="J258"/>
      <c r="K258"/>
      <c r="L258"/>
      <c r="M258"/>
      <c r="N258"/>
      <c r="O258"/>
    </row>
    <row r="259" spans="2:15" s="152" customFormat="1" ht="12.75" x14ac:dyDescent="0.2">
      <c r="B259" s="213" t="s">
        <v>1035</v>
      </c>
      <c r="C259" s="213"/>
      <c r="D259" s="131">
        <v>4.1748995825438087</v>
      </c>
      <c r="I259"/>
      <c r="J259"/>
      <c r="K259"/>
      <c r="L259"/>
      <c r="M259"/>
      <c r="N259"/>
      <c r="O259"/>
    </row>
    <row r="260" spans="2:15" s="152" customFormat="1" ht="12.75" x14ac:dyDescent="0.2">
      <c r="B260" s="213" t="s">
        <v>1036</v>
      </c>
      <c r="C260" s="213"/>
      <c r="D260" s="131">
        <v>6.1521221113536377</v>
      </c>
      <c r="I260"/>
      <c r="J260"/>
      <c r="K260"/>
      <c r="L260"/>
      <c r="M260"/>
      <c r="N260"/>
      <c r="O260"/>
    </row>
    <row r="261" spans="2:15" s="152" customFormat="1" ht="12.75" x14ac:dyDescent="0.2">
      <c r="B261" s="210"/>
      <c r="C261" s="212"/>
      <c r="D261" s="130"/>
      <c r="I261"/>
      <c r="J261"/>
      <c r="K261"/>
      <c r="L261"/>
      <c r="M261"/>
      <c r="N261"/>
      <c r="O261"/>
    </row>
    <row r="262" spans="2:15" s="152" customFormat="1" ht="12.75" x14ac:dyDescent="0.2">
      <c r="B262" s="213" t="s">
        <v>1037</v>
      </c>
      <c r="C262" s="213"/>
      <c r="D262" s="132" t="s">
        <v>1220</v>
      </c>
      <c r="I262"/>
      <c r="J262"/>
      <c r="K262"/>
      <c r="L262"/>
      <c r="M262"/>
      <c r="N262"/>
      <c r="O262"/>
    </row>
    <row r="263" spans="2:15" s="152" customFormat="1" ht="12.75" x14ac:dyDescent="0.2">
      <c r="B263" s="210" t="s">
        <v>1038</v>
      </c>
      <c r="C263" s="211"/>
      <c r="D263" s="212"/>
      <c r="I263"/>
      <c r="J263"/>
      <c r="K263"/>
      <c r="L263"/>
      <c r="M263"/>
      <c r="N263"/>
      <c r="O263"/>
    </row>
    <row r="264" spans="2:15" ht="12.75" x14ac:dyDescent="0.2"/>
    <row r="265" spans="2:15" ht="12.75" x14ac:dyDescent="0.2">
      <c r="B265" s="204" t="s">
        <v>950</v>
      </c>
      <c r="C265" s="204"/>
    </row>
    <row r="266" spans="2:15" ht="12.75" x14ac:dyDescent="0.2"/>
    <row r="267" spans="2:15" ht="153.75" customHeight="1" x14ac:dyDescent="0.2"/>
    <row r="268" spans="2:15" ht="12.75" x14ac:dyDescent="0.2"/>
    <row r="269" spans="2:15" ht="12.75" x14ac:dyDescent="0.2"/>
    <row r="270" spans="2:15" ht="12.75" x14ac:dyDescent="0.2">
      <c r="B270" s="124" t="s">
        <v>951</v>
      </c>
      <c r="C270" s="125"/>
      <c r="D270" s="124"/>
    </row>
    <row r="271" spans="2:15" ht="12.75" x14ac:dyDescent="0.2">
      <c r="B271" s="124" t="s">
        <v>1039</v>
      </c>
      <c r="D271" s="124"/>
    </row>
    <row r="272" spans="2:15" ht="165" customHeight="1" x14ac:dyDescent="0.2"/>
    <row r="273" customFormat="1" ht="12.75" x14ac:dyDescent="0.2"/>
    <row r="274" customFormat="1" ht="12.75" x14ac:dyDescent="0.2"/>
    <row r="275" customFormat="1" ht="12.75" x14ac:dyDescent="0.2"/>
    <row r="276" customFormat="1" ht="12.75" x14ac:dyDescent="0.2"/>
    <row r="277" customFormat="1" ht="12.75" x14ac:dyDescent="0.2"/>
    <row r="278" customFormat="1" ht="12.75" x14ac:dyDescent="0.2"/>
    <row r="279" customFormat="1" ht="12.75" x14ac:dyDescent="0.2"/>
    <row r="280" customFormat="1" ht="12.75" x14ac:dyDescent="0.2"/>
    <row r="281" customFormat="1" ht="12.75" x14ac:dyDescent="0.2"/>
    <row r="282" customFormat="1" ht="12.75" x14ac:dyDescent="0.2"/>
    <row r="283" customFormat="1" ht="12.75" x14ac:dyDescent="0.2"/>
    <row r="284" customFormat="1" ht="12.75" x14ac:dyDescent="0.2"/>
    <row r="285" customFormat="1" ht="12.75" x14ac:dyDescent="0.2"/>
    <row r="286" customFormat="1" ht="12.75" x14ac:dyDescent="0.2"/>
    <row r="287" customFormat="1" ht="12.75" x14ac:dyDescent="0.2"/>
  </sheetData>
  <mergeCells count="48">
    <mergeCell ref="A1:H1"/>
    <mergeCell ref="A2:H2"/>
    <mergeCell ref="A3:H3"/>
    <mergeCell ref="B226:C226"/>
    <mergeCell ref="B232:C232"/>
    <mergeCell ref="B209:H209"/>
    <mergeCell ref="B210:H210"/>
    <mergeCell ref="B211:H211"/>
    <mergeCell ref="B212:H212"/>
    <mergeCell ref="B213:H213"/>
    <mergeCell ref="B215:D215"/>
    <mergeCell ref="B216:C216"/>
    <mergeCell ref="B217:C217"/>
    <mergeCell ref="B218:C218"/>
    <mergeCell ref="B231:C231"/>
    <mergeCell ref="B237:B239"/>
    <mergeCell ref="C237:C239"/>
    <mergeCell ref="B233:C233"/>
    <mergeCell ref="B234:C234"/>
    <mergeCell ref="D237:F237"/>
    <mergeCell ref="G237:I237"/>
    <mergeCell ref="D238:D239"/>
    <mergeCell ref="E238:E239"/>
    <mergeCell ref="F238:F239"/>
    <mergeCell ref="G238:H238"/>
    <mergeCell ref="I238:I239"/>
    <mergeCell ref="B241:I241"/>
    <mergeCell ref="D245:E245"/>
    <mergeCell ref="F245:G245"/>
    <mergeCell ref="D246:E246"/>
    <mergeCell ref="F246:G246"/>
    <mergeCell ref="B247:G247"/>
    <mergeCell ref="B248:B249"/>
    <mergeCell ref="C248:C249"/>
    <mergeCell ref="D248:F248"/>
    <mergeCell ref="B251:G251"/>
    <mergeCell ref="B253:D253"/>
    <mergeCell ref="B254:C254"/>
    <mergeCell ref="B255:C255"/>
    <mergeCell ref="B256:C256"/>
    <mergeCell ref="B257:C257"/>
    <mergeCell ref="B263:D263"/>
    <mergeCell ref="B265:C265"/>
    <mergeCell ref="B258:C258"/>
    <mergeCell ref="B259:C259"/>
    <mergeCell ref="B260:C260"/>
    <mergeCell ref="B261:C261"/>
    <mergeCell ref="B262:C262"/>
  </mergeCells>
  <hyperlinks>
    <hyperlink ref="I1" location="Index!B2" display="Index" xr:uid="{575B4C9A-BCC2-4AA7-A5BA-C7E00A7343D3}"/>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7F13-C5A9-4D9A-87FE-F0FE4A302404}">
  <sheetPr>
    <outlinePr summaryBelow="0" summaryRight="0"/>
  </sheetPr>
  <dimension ref="A1:Q249"/>
  <sheetViews>
    <sheetView showGridLines="0" workbookViewId="0">
      <selection sqref="A1:H1"/>
    </sheetView>
  </sheetViews>
  <sheetFormatPr defaultRowHeight="14.25" customHeight="1" x14ac:dyDescent="0.2"/>
  <cols>
    <col min="1" max="1" width="5.85546875" bestFit="1" customWidth="1"/>
    <col min="2" max="2" width="19.7109375" customWidth="1"/>
    <col min="3" max="3" width="42.5703125" bestFit="1" customWidth="1"/>
    <col min="4" max="4" width="29.28515625" bestFit="1" customWidth="1"/>
    <col min="5" max="5" width="13.5703125" bestFit="1" customWidth="1"/>
    <col min="6" max="6" width="10.140625" bestFit="1" customWidth="1"/>
    <col min="7" max="7" width="14" bestFit="1" customWidth="1"/>
    <col min="8" max="8" width="9.7109375" customWidth="1"/>
  </cols>
  <sheetData>
    <row r="1" spans="1:9" ht="14.25" customHeight="1" x14ac:dyDescent="0.2">
      <c r="A1" s="205" t="s">
        <v>0</v>
      </c>
      <c r="B1" s="205"/>
      <c r="C1" s="205"/>
      <c r="D1" s="205"/>
      <c r="E1" s="205"/>
      <c r="F1" s="205"/>
      <c r="G1" s="205"/>
      <c r="H1" s="205"/>
      <c r="I1" s="1" t="s">
        <v>898</v>
      </c>
    </row>
    <row r="2" spans="1:9" ht="14.25" customHeight="1" x14ac:dyDescent="0.2">
      <c r="A2" s="205" t="s">
        <v>628</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17</v>
      </c>
      <c r="C7" s="89" t="s">
        <v>18</v>
      </c>
      <c r="D7" s="89" t="s">
        <v>19</v>
      </c>
      <c r="E7" s="90">
        <v>186500</v>
      </c>
      <c r="F7" s="91">
        <v>2531.1779999999999</v>
      </c>
      <c r="G7" s="92">
        <v>8.2874059999999999E-2</v>
      </c>
      <c r="H7" s="87" t="s">
        <v>143</v>
      </c>
    </row>
    <row r="8" spans="1:9" ht="14.25" customHeight="1" x14ac:dyDescent="0.2">
      <c r="A8" s="88">
        <v>2</v>
      </c>
      <c r="B8" s="89" t="s">
        <v>31</v>
      </c>
      <c r="C8" s="89" t="s">
        <v>32</v>
      </c>
      <c r="D8" s="89" t="s">
        <v>33</v>
      </c>
      <c r="E8" s="90">
        <v>155400</v>
      </c>
      <c r="F8" s="91">
        <v>2172.1812</v>
      </c>
      <c r="G8" s="92">
        <v>7.1120039999999995E-2</v>
      </c>
      <c r="H8" s="87" t="s">
        <v>143</v>
      </c>
    </row>
    <row r="9" spans="1:9" ht="14.25" customHeight="1" x14ac:dyDescent="0.2">
      <c r="A9" s="88">
        <v>3</v>
      </c>
      <c r="B9" s="89" t="s">
        <v>427</v>
      </c>
      <c r="C9" s="89" t="s">
        <v>428</v>
      </c>
      <c r="D9" s="89" t="s">
        <v>429</v>
      </c>
      <c r="E9" s="90">
        <v>467200</v>
      </c>
      <c r="F9" s="91">
        <v>1914.3520000000001</v>
      </c>
      <c r="G9" s="92">
        <v>6.2678369999999997E-2</v>
      </c>
      <c r="H9" s="87" t="s">
        <v>143</v>
      </c>
    </row>
    <row r="10" spans="1:9" ht="14.25" customHeight="1" x14ac:dyDescent="0.2">
      <c r="A10" s="88">
        <v>4</v>
      </c>
      <c r="B10" s="89" t="s">
        <v>321</v>
      </c>
      <c r="C10" s="89" t="s">
        <v>322</v>
      </c>
      <c r="D10" s="89" t="s">
        <v>33</v>
      </c>
      <c r="E10" s="90">
        <v>123200</v>
      </c>
      <c r="F10" s="91">
        <v>1172.3712</v>
      </c>
      <c r="G10" s="92">
        <v>3.8384960000000003E-2</v>
      </c>
      <c r="H10" s="87" t="s">
        <v>143</v>
      </c>
    </row>
    <row r="11" spans="1:9" ht="14.25" customHeight="1" x14ac:dyDescent="0.2">
      <c r="A11" s="88">
        <v>5</v>
      </c>
      <c r="B11" s="89" t="s">
        <v>327</v>
      </c>
      <c r="C11" s="89" t="s">
        <v>328</v>
      </c>
      <c r="D11" s="89" t="s">
        <v>33</v>
      </c>
      <c r="E11" s="90">
        <v>108125</v>
      </c>
      <c r="F11" s="91">
        <v>1130.1224999999999</v>
      </c>
      <c r="G11" s="92">
        <v>3.7001680000000002E-2</v>
      </c>
      <c r="H11" s="87" t="s">
        <v>143</v>
      </c>
    </row>
    <row r="12" spans="1:9" ht="14.25" customHeight="1" x14ac:dyDescent="0.2">
      <c r="A12" s="88">
        <v>6</v>
      </c>
      <c r="B12" s="89" t="s">
        <v>329</v>
      </c>
      <c r="C12" s="89" t="s">
        <v>330</v>
      </c>
      <c r="D12" s="89" t="s">
        <v>191</v>
      </c>
      <c r="E12" s="90">
        <v>125250</v>
      </c>
      <c r="F12" s="91">
        <v>1099.5071250000001</v>
      </c>
      <c r="G12" s="92">
        <v>3.5999290000000003E-2</v>
      </c>
      <c r="H12" s="87" t="s">
        <v>143</v>
      </c>
    </row>
    <row r="13" spans="1:9" ht="14.25" customHeight="1" x14ac:dyDescent="0.2">
      <c r="A13" s="88">
        <v>7</v>
      </c>
      <c r="B13" s="89" t="s">
        <v>437</v>
      </c>
      <c r="C13" s="89" t="s">
        <v>438</v>
      </c>
      <c r="D13" s="89" t="s">
        <v>199</v>
      </c>
      <c r="E13" s="90">
        <v>35350</v>
      </c>
      <c r="F13" s="91">
        <v>1090.44145</v>
      </c>
      <c r="G13" s="92">
        <v>3.570247E-2</v>
      </c>
      <c r="H13" s="87" t="s">
        <v>143</v>
      </c>
    </row>
    <row r="14" spans="1:9" ht="14.25" customHeight="1" x14ac:dyDescent="0.2">
      <c r="A14" s="88">
        <v>8</v>
      </c>
      <c r="B14" s="89" t="s">
        <v>99</v>
      </c>
      <c r="C14" s="89" t="s">
        <v>100</v>
      </c>
      <c r="D14" s="89" t="s">
        <v>25</v>
      </c>
      <c r="E14" s="90">
        <v>143850</v>
      </c>
      <c r="F14" s="91">
        <v>810.16319999999996</v>
      </c>
      <c r="G14" s="92">
        <v>2.6525799999999999E-2</v>
      </c>
      <c r="H14" s="87" t="s">
        <v>143</v>
      </c>
    </row>
    <row r="15" spans="1:9" ht="14.25" customHeight="1" x14ac:dyDescent="0.2">
      <c r="A15" s="88">
        <v>9</v>
      </c>
      <c r="B15" s="89" t="s">
        <v>49</v>
      </c>
      <c r="C15" s="89" t="s">
        <v>50</v>
      </c>
      <c r="D15" s="89" t="s">
        <v>33</v>
      </c>
      <c r="E15" s="90">
        <v>99000</v>
      </c>
      <c r="F15" s="91">
        <v>794.47500000000002</v>
      </c>
      <c r="G15" s="92">
        <v>2.601214E-2</v>
      </c>
      <c r="H15" s="87" t="s">
        <v>143</v>
      </c>
    </row>
    <row r="16" spans="1:9" ht="14.25" customHeight="1" x14ac:dyDescent="0.2">
      <c r="A16" s="88">
        <v>10</v>
      </c>
      <c r="B16" s="89" t="s">
        <v>14</v>
      </c>
      <c r="C16" s="89" t="s">
        <v>15</v>
      </c>
      <c r="D16" s="89" t="s">
        <v>16</v>
      </c>
      <c r="E16" s="90">
        <v>19775</v>
      </c>
      <c r="F16" s="91">
        <v>712.09775000000002</v>
      </c>
      <c r="G16" s="92">
        <v>2.3315010000000001E-2</v>
      </c>
      <c r="H16" s="87" t="s">
        <v>143</v>
      </c>
    </row>
    <row r="17" spans="1:8" ht="14.25" customHeight="1" x14ac:dyDescent="0.2">
      <c r="A17" s="88">
        <v>11</v>
      </c>
      <c r="B17" s="89" t="s">
        <v>11</v>
      </c>
      <c r="C17" s="89" t="s">
        <v>12</v>
      </c>
      <c r="D17" s="89" t="s">
        <v>13</v>
      </c>
      <c r="E17" s="90">
        <v>35150</v>
      </c>
      <c r="F17" s="91">
        <v>663.91319999999996</v>
      </c>
      <c r="G17" s="92">
        <v>2.1737380000000001E-2</v>
      </c>
      <c r="H17" s="87" t="s">
        <v>143</v>
      </c>
    </row>
    <row r="18" spans="1:8" ht="14.25" customHeight="1" x14ac:dyDescent="0.2">
      <c r="A18" s="88">
        <v>12</v>
      </c>
      <c r="B18" s="89" t="s">
        <v>629</v>
      </c>
      <c r="C18" s="89" t="s">
        <v>630</v>
      </c>
      <c r="D18" s="89" t="s">
        <v>631</v>
      </c>
      <c r="E18" s="90">
        <v>27600</v>
      </c>
      <c r="F18" s="91">
        <v>619.53719999999998</v>
      </c>
      <c r="G18" s="92">
        <v>2.0284449999999999E-2</v>
      </c>
      <c r="H18" s="87" t="s">
        <v>143</v>
      </c>
    </row>
    <row r="19" spans="1:8" ht="14.25" customHeight="1" x14ac:dyDescent="0.2">
      <c r="A19" s="88">
        <v>13</v>
      </c>
      <c r="B19" s="89" t="s">
        <v>434</v>
      </c>
      <c r="C19" s="89" t="s">
        <v>435</v>
      </c>
      <c r="D19" s="89" t="s">
        <v>436</v>
      </c>
      <c r="E19" s="90">
        <v>81200</v>
      </c>
      <c r="F19" s="91">
        <v>571.60739999999998</v>
      </c>
      <c r="G19" s="92">
        <v>1.871517E-2</v>
      </c>
      <c r="H19" s="87" t="s">
        <v>143</v>
      </c>
    </row>
    <row r="20" spans="1:8" ht="14.25" customHeight="1" x14ac:dyDescent="0.2">
      <c r="A20" s="88">
        <v>14</v>
      </c>
      <c r="B20" s="89" t="s">
        <v>347</v>
      </c>
      <c r="C20" s="89" t="s">
        <v>348</v>
      </c>
      <c r="D20" s="89" t="s">
        <v>194</v>
      </c>
      <c r="E20" s="90">
        <v>32900</v>
      </c>
      <c r="F20" s="91">
        <v>524.59050000000002</v>
      </c>
      <c r="G20" s="92">
        <v>1.7175780000000002E-2</v>
      </c>
      <c r="H20" s="87" t="s">
        <v>143</v>
      </c>
    </row>
    <row r="21" spans="1:8" ht="14.25" customHeight="1" x14ac:dyDescent="0.2">
      <c r="A21" s="88">
        <v>15</v>
      </c>
      <c r="B21" s="89" t="s">
        <v>632</v>
      </c>
      <c r="C21" s="89" t="s">
        <v>633</v>
      </c>
      <c r="D21" s="89" t="s">
        <v>33</v>
      </c>
      <c r="E21" s="90">
        <v>190500</v>
      </c>
      <c r="F21" s="91">
        <v>497.30025000000001</v>
      </c>
      <c r="G21" s="92">
        <v>1.628226E-2</v>
      </c>
      <c r="H21" s="87" t="s">
        <v>143</v>
      </c>
    </row>
    <row r="22" spans="1:8" ht="14.25" customHeight="1" x14ac:dyDescent="0.2">
      <c r="A22" s="88">
        <v>16</v>
      </c>
      <c r="B22" s="89" t="s">
        <v>261</v>
      </c>
      <c r="C22" s="89" t="s">
        <v>262</v>
      </c>
      <c r="D22" s="89" t="s">
        <v>263</v>
      </c>
      <c r="E22" s="90">
        <v>30400</v>
      </c>
      <c r="F22" s="91">
        <v>487.06880000000001</v>
      </c>
      <c r="G22" s="92">
        <v>1.594727E-2</v>
      </c>
      <c r="H22" s="87" t="s">
        <v>143</v>
      </c>
    </row>
    <row r="23" spans="1:8" ht="14.25" customHeight="1" x14ac:dyDescent="0.2">
      <c r="A23" s="88">
        <v>17</v>
      </c>
      <c r="B23" s="89" t="s">
        <v>337</v>
      </c>
      <c r="C23" s="89" t="s">
        <v>338</v>
      </c>
      <c r="D23" s="89" t="s">
        <v>28</v>
      </c>
      <c r="E23" s="90">
        <v>10200</v>
      </c>
      <c r="F23" s="91">
        <v>441.92520000000002</v>
      </c>
      <c r="G23" s="92">
        <v>1.446921E-2</v>
      </c>
      <c r="H23" s="87" t="s">
        <v>143</v>
      </c>
    </row>
    <row r="24" spans="1:8" ht="14.25" customHeight="1" x14ac:dyDescent="0.2">
      <c r="A24" s="88">
        <v>18</v>
      </c>
      <c r="B24" s="89" t="s">
        <v>345</v>
      </c>
      <c r="C24" s="89" t="s">
        <v>346</v>
      </c>
      <c r="D24" s="89" t="s">
        <v>207</v>
      </c>
      <c r="E24" s="90">
        <v>58000</v>
      </c>
      <c r="F24" s="91">
        <v>439.90100000000001</v>
      </c>
      <c r="G24" s="92">
        <v>1.440293E-2</v>
      </c>
      <c r="H24" s="87" t="s">
        <v>143</v>
      </c>
    </row>
    <row r="25" spans="1:8" ht="14.25" customHeight="1" x14ac:dyDescent="0.2">
      <c r="A25" s="88">
        <v>19</v>
      </c>
      <c r="B25" s="89" t="s">
        <v>323</v>
      </c>
      <c r="C25" s="89" t="s">
        <v>324</v>
      </c>
      <c r="D25" s="89" t="s">
        <v>33</v>
      </c>
      <c r="E25" s="90">
        <v>21200</v>
      </c>
      <c r="F25" s="91">
        <v>415.58359999999999</v>
      </c>
      <c r="G25" s="92">
        <v>1.3606750000000001E-2</v>
      </c>
      <c r="H25" s="87" t="s">
        <v>143</v>
      </c>
    </row>
    <row r="26" spans="1:8" ht="14.25" customHeight="1" x14ac:dyDescent="0.2">
      <c r="A26" s="88">
        <v>20</v>
      </c>
      <c r="B26" s="89" t="s">
        <v>449</v>
      </c>
      <c r="C26" s="89" t="s">
        <v>450</v>
      </c>
      <c r="D26" s="89" t="s">
        <v>33</v>
      </c>
      <c r="E26" s="90">
        <v>46900</v>
      </c>
      <c r="F26" s="91">
        <v>346.82549999999998</v>
      </c>
      <c r="G26" s="92">
        <v>1.1355519999999999E-2</v>
      </c>
      <c r="H26" s="87" t="s">
        <v>143</v>
      </c>
    </row>
    <row r="27" spans="1:8" ht="14.25" customHeight="1" x14ac:dyDescent="0.2">
      <c r="A27" s="88">
        <v>21</v>
      </c>
      <c r="B27" s="89" t="s">
        <v>445</v>
      </c>
      <c r="C27" s="89" t="s">
        <v>446</v>
      </c>
      <c r="D27" s="89" t="s">
        <v>429</v>
      </c>
      <c r="E27" s="90">
        <v>12600</v>
      </c>
      <c r="F27" s="91">
        <v>335.13479999999998</v>
      </c>
      <c r="G27" s="92">
        <v>1.097275E-2</v>
      </c>
      <c r="H27" s="87" t="s">
        <v>143</v>
      </c>
    </row>
    <row r="28" spans="1:8" ht="14.25" customHeight="1" x14ac:dyDescent="0.2">
      <c r="A28" s="88">
        <v>22</v>
      </c>
      <c r="B28" s="89" t="s">
        <v>439</v>
      </c>
      <c r="C28" s="89" t="s">
        <v>440</v>
      </c>
      <c r="D28" s="89" t="s">
        <v>194</v>
      </c>
      <c r="E28" s="90">
        <v>15750</v>
      </c>
      <c r="F28" s="91">
        <v>250.3305</v>
      </c>
      <c r="G28" s="92">
        <v>8.1961499999999993E-3</v>
      </c>
      <c r="H28" s="87" t="s">
        <v>143</v>
      </c>
    </row>
    <row r="29" spans="1:8" ht="14.25" customHeight="1" x14ac:dyDescent="0.2">
      <c r="A29" s="88">
        <v>23</v>
      </c>
      <c r="B29" s="89" t="s">
        <v>333</v>
      </c>
      <c r="C29" s="89" t="s">
        <v>334</v>
      </c>
      <c r="D29" s="89" t="s">
        <v>33</v>
      </c>
      <c r="E29" s="90">
        <v>102375</v>
      </c>
      <c r="F29" s="91">
        <v>238.3597125</v>
      </c>
      <c r="G29" s="92">
        <v>7.8042099999999998E-3</v>
      </c>
      <c r="H29" s="87" t="s">
        <v>143</v>
      </c>
    </row>
    <row r="30" spans="1:8" ht="14.25" customHeight="1" x14ac:dyDescent="0.2">
      <c r="A30" s="88">
        <v>24</v>
      </c>
      <c r="B30" s="89" t="s">
        <v>432</v>
      </c>
      <c r="C30" s="89" t="s">
        <v>433</v>
      </c>
      <c r="D30" s="89" t="s">
        <v>263</v>
      </c>
      <c r="E30" s="90">
        <v>12375</v>
      </c>
      <c r="F30" s="91">
        <v>223.43062499999999</v>
      </c>
      <c r="G30" s="92">
        <v>7.3154099999999996E-3</v>
      </c>
      <c r="H30" s="87" t="s">
        <v>143</v>
      </c>
    </row>
    <row r="31" spans="1:8" ht="14.25" customHeight="1" x14ac:dyDescent="0.2">
      <c r="A31" s="88">
        <v>25</v>
      </c>
      <c r="B31" s="89" t="s">
        <v>87</v>
      </c>
      <c r="C31" s="89" t="s">
        <v>88</v>
      </c>
      <c r="D31" s="89" t="s">
        <v>13</v>
      </c>
      <c r="E31" s="90">
        <v>62900</v>
      </c>
      <c r="F31" s="91">
        <v>212.9794</v>
      </c>
      <c r="G31" s="92">
        <v>6.9732199999999996E-3</v>
      </c>
      <c r="H31" s="87" t="s">
        <v>143</v>
      </c>
    </row>
    <row r="32" spans="1:8" ht="14.25" customHeight="1" x14ac:dyDescent="0.2">
      <c r="A32" s="88">
        <v>26</v>
      </c>
      <c r="B32" s="89" t="s">
        <v>409</v>
      </c>
      <c r="C32" s="89" t="s">
        <v>410</v>
      </c>
      <c r="D32" s="89" t="s">
        <v>138</v>
      </c>
      <c r="E32" s="90">
        <v>137500</v>
      </c>
      <c r="F32" s="91">
        <v>212.41</v>
      </c>
      <c r="G32" s="92">
        <v>6.9545800000000001E-3</v>
      </c>
      <c r="H32" s="87" t="s">
        <v>143</v>
      </c>
    </row>
    <row r="33" spans="1:9" ht="14.25" customHeight="1" x14ac:dyDescent="0.2">
      <c r="A33" s="88">
        <v>27</v>
      </c>
      <c r="B33" s="89" t="s">
        <v>634</v>
      </c>
      <c r="C33" s="89" t="s">
        <v>635</v>
      </c>
      <c r="D33" s="89" t="s">
        <v>33</v>
      </c>
      <c r="E33" s="90">
        <v>192000</v>
      </c>
      <c r="F33" s="91">
        <v>193.68960000000001</v>
      </c>
      <c r="G33" s="92">
        <v>6.3416499999999999E-3</v>
      </c>
      <c r="H33" s="87" t="s">
        <v>143</v>
      </c>
    </row>
    <row r="34" spans="1:9" ht="14.25" customHeight="1" x14ac:dyDescent="0.2">
      <c r="A34" s="88">
        <v>28</v>
      </c>
      <c r="B34" s="89" t="s">
        <v>441</v>
      </c>
      <c r="C34" s="89" t="s">
        <v>442</v>
      </c>
      <c r="D34" s="89" t="s">
        <v>204</v>
      </c>
      <c r="E34" s="90">
        <v>17050</v>
      </c>
      <c r="F34" s="91">
        <v>181.6507</v>
      </c>
      <c r="G34" s="92">
        <v>5.9474799999999998E-3</v>
      </c>
      <c r="H34" s="87" t="s">
        <v>143</v>
      </c>
    </row>
    <row r="35" spans="1:9" ht="14.25" customHeight="1" x14ac:dyDescent="0.2">
      <c r="A35" s="88">
        <v>29</v>
      </c>
      <c r="B35" s="89" t="s">
        <v>636</v>
      </c>
      <c r="C35" s="89" t="s">
        <v>637</v>
      </c>
      <c r="D35" s="89" t="s">
        <v>33</v>
      </c>
      <c r="E35" s="90">
        <v>168750</v>
      </c>
      <c r="F35" s="91">
        <v>175.21312499999999</v>
      </c>
      <c r="G35" s="92">
        <v>5.7367099999999999E-3</v>
      </c>
      <c r="H35" s="87" t="s">
        <v>143</v>
      </c>
    </row>
    <row r="36" spans="1:9" ht="14.25" customHeight="1" x14ac:dyDescent="0.2">
      <c r="A36" s="88">
        <v>30</v>
      </c>
      <c r="B36" s="89" t="s">
        <v>331</v>
      </c>
      <c r="C36" s="89" t="s">
        <v>332</v>
      </c>
      <c r="D36" s="89" t="s">
        <v>243</v>
      </c>
      <c r="E36" s="90">
        <v>3800</v>
      </c>
      <c r="F36" s="91">
        <v>121.581</v>
      </c>
      <c r="G36" s="92">
        <v>3.9807200000000001E-3</v>
      </c>
      <c r="H36" s="87" t="s">
        <v>143</v>
      </c>
    </row>
    <row r="37" spans="1:9" ht="14.25" customHeight="1" x14ac:dyDescent="0.2">
      <c r="A37" s="88">
        <v>31</v>
      </c>
      <c r="B37" s="89" t="s">
        <v>425</v>
      </c>
      <c r="C37" s="89" t="s">
        <v>426</v>
      </c>
      <c r="D37" s="89" t="s">
        <v>243</v>
      </c>
      <c r="E37" s="90">
        <v>17600</v>
      </c>
      <c r="F37" s="91">
        <v>117.744</v>
      </c>
      <c r="G37" s="92">
        <v>3.8550899999999998E-3</v>
      </c>
      <c r="H37" s="87" t="s">
        <v>143</v>
      </c>
    </row>
    <row r="38" spans="1:9" ht="14.25" customHeight="1" x14ac:dyDescent="0.2">
      <c r="A38" s="88">
        <v>32</v>
      </c>
      <c r="B38" s="89" t="s">
        <v>407</v>
      </c>
      <c r="C38" s="89" t="s">
        <v>408</v>
      </c>
      <c r="D38" s="89" t="s">
        <v>191</v>
      </c>
      <c r="E38" s="90">
        <v>15600</v>
      </c>
      <c r="F38" s="91">
        <v>117.5616</v>
      </c>
      <c r="G38" s="92">
        <v>3.8491200000000001E-3</v>
      </c>
      <c r="H38" s="87" t="s">
        <v>143</v>
      </c>
    </row>
    <row r="39" spans="1:9" ht="14.25" customHeight="1" x14ac:dyDescent="0.2">
      <c r="A39" s="88">
        <v>33</v>
      </c>
      <c r="B39" s="89" t="s">
        <v>525</v>
      </c>
      <c r="C39" s="89" t="s">
        <v>526</v>
      </c>
      <c r="D39" s="89" t="s">
        <v>22</v>
      </c>
      <c r="E39" s="90">
        <v>18000</v>
      </c>
      <c r="F39" s="91">
        <v>87.921000000000006</v>
      </c>
      <c r="G39" s="92">
        <v>2.87865E-3</v>
      </c>
      <c r="H39" s="87" t="s">
        <v>143</v>
      </c>
    </row>
    <row r="40" spans="1:9" ht="14.25" customHeight="1" x14ac:dyDescent="0.2">
      <c r="A40" s="88">
        <v>34</v>
      </c>
      <c r="B40" s="89" t="s">
        <v>638</v>
      </c>
      <c r="C40" s="89" t="s">
        <v>639</v>
      </c>
      <c r="D40" s="89" t="s">
        <v>77</v>
      </c>
      <c r="E40" s="90">
        <v>11550</v>
      </c>
      <c r="F40" s="91">
        <v>85.360275000000001</v>
      </c>
      <c r="G40" s="92">
        <v>2.79481E-3</v>
      </c>
      <c r="H40" s="87" t="s">
        <v>143</v>
      </c>
    </row>
    <row r="41" spans="1:9" ht="14.25" customHeight="1" x14ac:dyDescent="0.2">
      <c r="A41" s="88">
        <v>35</v>
      </c>
      <c r="B41" s="89" t="s">
        <v>640</v>
      </c>
      <c r="C41" s="89" t="s">
        <v>641</v>
      </c>
      <c r="D41" s="89" t="s">
        <v>243</v>
      </c>
      <c r="E41" s="90">
        <v>1225</v>
      </c>
      <c r="F41" s="91">
        <v>74.761750000000006</v>
      </c>
      <c r="G41" s="92">
        <v>2.4478E-3</v>
      </c>
      <c r="H41" s="87" t="s">
        <v>143</v>
      </c>
    </row>
    <row r="42" spans="1:9" ht="14.25" customHeight="1" x14ac:dyDescent="0.2">
      <c r="A42" s="88">
        <v>36</v>
      </c>
      <c r="B42" s="89" t="s">
        <v>527</v>
      </c>
      <c r="C42" s="89" t="s">
        <v>528</v>
      </c>
      <c r="D42" s="89" t="s">
        <v>191</v>
      </c>
      <c r="E42" s="90">
        <v>3500</v>
      </c>
      <c r="F42" s="91">
        <v>66.972499999999997</v>
      </c>
      <c r="G42" s="92">
        <v>2.1927700000000001E-3</v>
      </c>
      <c r="H42" s="87" t="s">
        <v>143</v>
      </c>
    </row>
    <row r="43" spans="1:9" ht="14.25" customHeight="1" x14ac:dyDescent="0.2">
      <c r="A43" s="88">
        <v>37</v>
      </c>
      <c r="B43" s="89" t="s">
        <v>239</v>
      </c>
      <c r="C43" s="89" t="s">
        <v>240</v>
      </c>
      <c r="D43" s="89" t="s">
        <v>68</v>
      </c>
      <c r="E43" s="90">
        <v>1050</v>
      </c>
      <c r="F43" s="91">
        <v>46.947600000000001</v>
      </c>
      <c r="G43" s="92">
        <v>1.5371300000000001E-3</v>
      </c>
      <c r="H43" s="87" t="s">
        <v>143</v>
      </c>
    </row>
    <row r="44" spans="1:9" ht="14.25" customHeight="1" x14ac:dyDescent="0.2">
      <c r="A44" s="88">
        <v>38</v>
      </c>
      <c r="B44" s="89" t="s">
        <v>642</v>
      </c>
      <c r="C44" s="89" t="s">
        <v>643</v>
      </c>
      <c r="D44" s="89" t="s">
        <v>191</v>
      </c>
      <c r="E44" s="90">
        <v>14100</v>
      </c>
      <c r="F44" s="91">
        <v>43.9497</v>
      </c>
      <c r="G44" s="92">
        <v>1.4389699999999999E-3</v>
      </c>
      <c r="H44" s="87" t="s">
        <v>143</v>
      </c>
    </row>
    <row r="45" spans="1:9" ht="14.25" customHeight="1" x14ac:dyDescent="0.2">
      <c r="A45" s="88">
        <v>39</v>
      </c>
      <c r="B45" s="89" t="s">
        <v>20</v>
      </c>
      <c r="C45" s="89" t="s">
        <v>21</v>
      </c>
      <c r="D45" s="89" t="s">
        <v>22</v>
      </c>
      <c r="E45" s="90">
        <v>6000</v>
      </c>
      <c r="F45" s="91">
        <v>19.652999999999999</v>
      </c>
      <c r="G45" s="92">
        <v>6.4347000000000004E-4</v>
      </c>
      <c r="H45" s="87" t="s">
        <v>143</v>
      </c>
    </row>
    <row r="46" spans="1:9" ht="14.25" customHeight="1" x14ac:dyDescent="0.2">
      <c r="A46" s="88">
        <v>40</v>
      </c>
      <c r="B46" s="89" t="s">
        <v>423</v>
      </c>
      <c r="C46" s="89" t="s">
        <v>424</v>
      </c>
      <c r="D46" s="89" t="s">
        <v>46</v>
      </c>
      <c r="E46" s="90">
        <v>525</v>
      </c>
      <c r="F46" s="91">
        <v>19.051200000000001</v>
      </c>
      <c r="G46" s="92">
        <v>6.2376E-4</v>
      </c>
      <c r="H46" s="87" t="s">
        <v>143</v>
      </c>
    </row>
    <row r="47" spans="1:9" ht="14.25" customHeight="1" x14ac:dyDescent="0.2">
      <c r="A47" s="88">
        <v>41</v>
      </c>
      <c r="B47" s="89" t="s">
        <v>644</v>
      </c>
      <c r="C47" s="89" t="s">
        <v>645</v>
      </c>
      <c r="D47" s="89" t="s">
        <v>220</v>
      </c>
      <c r="E47" s="90">
        <v>725</v>
      </c>
      <c r="F47" s="91">
        <v>8.75075</v>
      </c>
      <c r="G47" s="92">
        <v>2.8651000000000002E-4</v>
      </c>
      <c r="H47" s="87" t="s">
        <v>143</v>
      </c>
    </row>
    <row r="48" spans="1:9" ht="12.75" x14ac:dyDescent="0.2">
      <c r="A48" s="148">
        <v>42</v>
      </c>
      <c r="B48" s="127" t="s">
        <v>971</v>
      </c>
      <c r="C48" s="127" t="s">
        <v>972</v>
      </c>
      <c r="D48" s="127" t="s">
        <v>973</v>
      </c>
      <c r="E48" s="149">
        <v>1333</v>
      </c>
      <c r="F48" s="150">
        <v>0.01</v>
      </c>
      <c r="G48" s="151" t="s">
        <v>141</v>
      </c>
      <c r="H48" s="87" t="s">
        <v>143</v>
      </c>
      <c r="I48" s="168"/>
    </row>
    <row r="49" spans="1:8" ht="14.25" customHeight="1" x14ac:dyDescent="0.2">
      <c r="A49" s="93"/>
      <c r="B49" s="93"/>
      <c r="C49" s="94" t="s">
        <v>142</v>
      </c>
      <c r="D49" s="93"/>
      <c r="E49" s="93" t="s">
        <v>143</v>
      </c>
      <c r="F49" s="95">
        <f>SUM(F7:F48)</f>
        <v>21268.604912500003</v>
      </c>
      <c r="G49" s="96">
        <f>SUM(G7:G48)</f>
        <v>0.69636149999999997</v>
      </c>
      <c r="H49" s="87" t="s">
        <v>143</v>
      </c>
    </row>
    <row r="50" spans="1:8" ht="14.25" customHeight="1" x14ac:dyDescent="0.2">
      <c r="A50" s="93"/>
      <c r="B50" s="93"/>
      <c r="C50" s="97"/>
      <c r="D50" s="93"/>
      <c r="E50" s="93"/>
      <c r="F50" s="98"/>
      <c r="G50" s="98"/>
      <c r="H50" s="87" t="s">
        <v>143</v>
      </c>
    </row>
    <row r="51" spans="1:8" ht="14.25" customHeight="1" x14ac:dyDescent="0.2">
      <c r="A51" s="93"/>
      <c r="B51" s="93"/>
      <c r="C51" s="94" t="s">
        <v>144</v>
      </c>
      <c r="D51" s="93"/>
      <c r="E51" s="93"/>
      <c r="F51" s="93"/>
      <c r="G51" s="93"/>
      <c r="H51" s="87" t="s">
        <v>143</v>
      </c>
    </row>
    <row r="52" spans="1:8" ht="14.25" customHeight="1" x14ac:dyDescent="0.2">
      <c r="A52" s="93"/>
      <c r="B52" s="93"/>
      <c r="C52" s="94" t="s">
        <v>142</v>
      </c>
      <c r="D52" s="93"/>
      <c r="E52" s="93" t="s">
        <v>143</v>
      </c>
      <c r="F52" s="99" t="s">
        <v>145</v>
      </c>
      <c r="G52" s="96">
        <v>0</v>
      </c>
      <c r="H52" s="87" t="s">
        <v>143</v>
      </c>
    </row>
    <row r="53" spans="1:8" ht="14.25" customHeight="1" x14ac:dyDescent="0.2">
      <c r="A53" s="93"/>
      <c r="B53" s="93"/>
      <c r="C53" s="97"/>
      <c r="D53" s="93"/>
      <c r="E53" s="93"/>
      <c r="F53" s="98"/>
      <c r="G53" s="98"/>
      <c r="H53" s="87" t="s">
        <v>143</v>
      </c>
    </row>
    <row r="54" spans="1:8" ht="14.25" customHeight="1" x14ac:dyDescent="0.2">
      <c r="A54" s="93"/>
      <c r="B54" s="93"/>
      <c r="C54" s="94" t="s">
        <v>146</v>
      </c>
      <c r="D54" s="93"/>
      <c r="E54" s="93"/>
      <c r="F54" s="93"/>
      <c r="G54" s="93"/>
      <c r="H54" s="87" t="s">
        <v>143</v>
      </c>
    </row>
    <row r="55" spans="1:8" ht="14.25" customHeight="1" x14ac:dyDescent="0.2">
      <c r="A55" s="93"/>
      <c r="B55" s="93"/>
      <c r="C55" s="94" t="s">
        <v>142</v>
      </c>
      <c r="D55" s="93"/>
      <c r="E55" s="93" t="s">
        <v>143</v>
      </c>
      <c r="F55" s="99" t="s">
        <v>145</v>
      </c>
      <c r="G55" s="96">
        <v>0</v>
      </c>
      <c r="H55" s="87" t="s">
        <v>143</v>
      </c>
    </row>
    <row r="56" spans="1:8" ht="14.25" customHeight="1" x14ac:dyDescent="0.2">
      <c r="A56" s="93"/>
      <c r="B56" s="93"/>
      <c r="C56" s="97"/>
      <c r="D56" s="93"/>
      <c r="E56" s="93"/>
      <c r="F56" s="98"/>
      <c r="G56" s="98"/>
      <c r="H56" s="87" t="s">
        <v>143</v>
      </c>
    </row>
    <row r="57" spans="1:8" ht="14.25" customHeight="1" x14ac:dyDescent="0.2">
      <c r="A57" s="93"/>
      <c r="B57" s="93"/>
      <c r="C57" s="94" t="s">
        <v>147</v>
      </c>
      <c r="D57" s="93"/>
      <c r="E57" s="93"/>
      <c r="F57" s="93"/>
      <c r="G57" s="93"/>
      <c r="H57" s="87" t="s">
        <v>143</v>
      </c>
    </row>
    <row r="58" spans="1:8" ht="14.25" customHeight="1" x14ac:dyDescent="0.2">
      <c r="A58" s="93"/>
      <c r="B58" s="93"/>
      <c r="C58" s="94" t="s">
        <v>142</v>
      </c>
      <c r="D58" s="93"/>
      <c r="E58" s="93" t="s">
        <v>143</v>
      </c>
      <c r="F58" s="99" t="s">
        <v>145</v>
      </c>
      <c r="G58" s="96">
        <v>0</v>
      </c>
      <c r="H58" s="87" t="s">
        <v>143</v>
      </c>
    </row>
    <row r="59" spans="1:8" ht="14.25" customHeight="1" x14ac:dyDescent="0.2">
      <c r="A59" s="93"/>
      <c r="B59" s="93"/>
      <c r="C59" s="97"/>
      <c r="D59" s="93"/>
      <c r="E59" s="93"/>
      <c r="F59" s="98"/>
      <c r="G59" s="98"/>
      <c r="H59" s="87" t="s">
        <v>143</v>
      </c>
    </row>
    <row r="60" spans="1:8" ht="14.25" customHeight="1" x14ac:dyDescent="0.2">
      <c r="A60" s="93"/>
      <c r="B60" s="93"/>
      <c r="C60" s="94" t="s">
        <v>148</v>
      </c>
      <c r="D60" s="93"/>
      <c r="E60" s="93"/>
      <c r="F60" s="98"/>
      <c r="G60" s="98"/>
      <c r="H60" s="87" t="s">
        <v>143</v>
      </c>
    </row>
    <row r="61" spans="1:8" ht="14.25" customHeight="1" x14ac:dyDescent="0.2">
      <c r="A61" s="93"/>
      <c r="B61" s="93"/>
      <c r="C61" s="94" t="s">
        <v>142</v>
      </c>
      <c r="D61" s="93"/>
      <c r="E61" s="93" t="s">
        <v>143</v>
      </c>
      <c r="F61" s="99" t="s">
        <v>145</v>
      </c>
      <c r="G61" s="96">
        <v>0</v>
      </c>
      <c r="H61" s="87" t="s">
        <v>143</v>
      </c>
    </row>
    <row r="62" spans="1:8" ht="14.25" customHeight="1" x14ac:dyDescent="0.2">
      <c r="A62" s="93"/>
      <c r="B62" s="93"/>
      <c r="C62" s="97"/>
      <c r="D62" s="93"/>
      <c r="E62" s="93"/>
      <c r="F62" s="98"/>
      <c r="G62" s="98"/>
      <c r="H62" s="87" t="s">
        <v>143</v>
      </c>
    </row>
    <row r="63" spans="1:8" ht="14.25" customHeight="1" x14ac:dyDescent="0.2">
      <c r="A63" s="93"/>
      <c r="B63" s="93"/>
      <c r="C63" s="94" t="s">
        <v>149</v>
      </c>
      <c r="D63" s="93"/>
      <c r="E63" s="93"/>
      <c r="F63" s="98"/>
      <c r="G63" s="98"/>
      <c r="H63" s="87" t="s">
        <v>143</v>
      </c>
    </row>
    <row r="64" spans="1:8" ht="12.75" x14ac:dyDescent="0.2">
      <c r="A64" s="88">
        <v>1</v>
      </c>
      <c r="B64" s="89"/>
      <c r="C64" s="89" t="s">
        <v>1040</v>
      </c>
      <c r="D64" s="89" t="s">
        <v>530</v>
      </c>
      <c r="E64" s="90">
        <v>-725</v>
      </c>
      <c r="F64" s="91">
        <v>-8.8058499999999995</v>
      </c>
      <c r="G64" s="92">
        <f>F64/$F$163</f>
        <v>-2.8831497486191734E-4</v>
      </c>
      <c r="H64" s="87" t="s">
        <v>143</v>
      </c>
    </row>
    <row r="65" spans="1:8" ht="12.75" x14ac:dyDescent="0.2">
      <c r="A65" s="88">
        <v>2</v>
      </c>
      <c r="B65" s="89"/>
      <c r="C65" s="89" t="s">
        <v>1041</v>
      </c>
      <c r="D65" s="89" t="s">
        <v>530</v>
      </c>
      <c r="E65" s="90">
        <v>-475</v>
      </c>
      <c r="F65" s="91">
        <v>-9.0630000000000006</v>
      </c>
      <c r="G65" s="92">
        <f t="shared" ref="G65:G108" si="0">F65/$F$163</f>
        <v>-2.9673440010601553E-4</v>
      </c>
      <c r="H65" s="87" t="s">
        <v>143</v>
      </c>
    </row>
    <row r="66" spans="1:8" ht="12.75" x14ac:dyDescent="0.2">
      <c r="A66" s="88">
        <v>3</v>
      </c>
      <c r="B66" s="89"/>
      <c r="C66" s="89" t="s">
        <v>1042</v>
      </c>
      <c r="D66" s="89" t="s">
        <v>530</v>
      </c>
      <c r="E66" s="90">
        <v>-525</v>
      </c>
      <c r="F66" s="91">
        <v>-19.152525000000001</v>
      </c>
      <c r="G66" s="92">
        <f t="shared" si="0"/>
        <v>-6.2707856299133464E-4</v>
      </c>
      <c r="H66" s="87" t="s">
        <v>143</v>
      </c>
    </row>
    <row r="67" spans="1:8" ht="12.75" x14ac:dyDescent="0.2">
      <c r="A67" s="88">
        <v>4</v>
      </c>
      <c r="B67" s="89"/>
      <c r="C67" s="89" t="s">
        <v>1043</v>
      </c>
      <c r="D67" s="89" t="s">
        <v>530</v>
      </c>
      <c r="E67" s="90">
        <v>-6000</v>
      </c>
      <c r="F67" s="91">
        <v>-19.574999999999999</v>
      </c>
      <c r="G67" s="92">
        <f t="shared" si="0"/>
        <v>-6.4091094362520734E-4</v>
      </c>
      <c r="H67" s="87" t="s">
        <v>143</v>
      </c>
    </row>
    <row r="68" spans="1:8" ht="25.5" x14ac:dyDescent="0.2">
      <c r="A68" s="88">
        <v>5</v>
      </c>
      <c r="B68" s="89"/>
      <c r="C68" s="89" t="s">
        <v>1044</v>
      </c>
      <c r="D68" s="89" t="s">
        <v>530</v>
      </c>
      <c r="E68" s="90">
        <v>-14100</v>
      </c>
      <c r="F68" s="91">
        <v>-44.097749999999998</v>
      </c>
      <c r="G68" s="92">
        <f t="shared" si="0"/>
        <v>-1.4438176533460273E-3</v>
      </c>
      <c r="H68" s="87" t="s">
        <v>143</v>
      </c>
    </row>
    <row r="69" spans="1:8" ht="12.75" x14ac:dyDescent="0.2">
      <c r="A69" s="88">
        <v>6</v>
      </c>
      <c r="B69" s="89"/>
      <c r="C69" s="89" t="s">
        <v>1045</v>
      </c>
      <c r="D69" s="89" t="s">
        <v>530</v>
      </c>
      <c r="E69" s="90">
        <v>-1050</v>
      </c>
      <c r="F69" s="91">
        <v>-47.189100000000003</v>
      </c>
      <c r="G69" s="92">
        <f t="shared" si="0"/>
        <v>-1.5450324704891073E-3</v>
      </c>
      <c r="H69" s="87" t="s">
        <v>143</v>
      </c>
    </row>
    <row r="70" spans="1:8" ht="12.75" x14ac:dyDescent="0.2">
      <c r="A70" s="88">
        <v>7</v>
      </c>
      <c r="B70" s="89"/>
      <c r="C70" s="89" t="s">
        <v>979</v>
      </c>
      <c r="D70" s="89" t="s">
        <v>530</v>
      </c>
      <c r="E70" s="90">
        <v>-3500</v>
      </c>
      <c r="F70" s="91">
        <v>-67.325999999999993</v>
      </c>
      <c r="G70" s="92">
        <f t="shared" si="0"/>
        <v>-2.2043407504730886E-3</v>
      </c>
      <c r="H70" s="87" t="s">
        <v>143</v>
      </c>
    </row>
    <row r="71" spans="1:8" ht="12.75" x14ac:dyDescent="0.2">
      <c r="A71" s="88">
        <v>8</v>
      </c>
      <c r="B71" s="89"/>
      <c r="C71" s="89" t="s">
        <v>1046</v>
      </c>
      <c r="D71" s="89" t="s">
        <v>530</v>
      </c>
      <c r="E71" s="90">
        <v>-9800</v>
      </c>
      <c r="F71" s="91">
        <v>-73.235399999999998</v>
      </c>
      <c r="G71" s="92">
        <f t="shared" si="0"/>
        <v>-2.3978221875233467E-3</v>
      </c>
      <c r="H71" s="87" t="s">
        <v>143</v>
      </c>
    </row>
    <row r="72" spans="1:8" ht="12.75" x14ac:dyDescent="0.2">
      <c r="A72" s="88">
        <v>9</v>
      </c>
      <c r="B72" s="89"/>
      <c r="C72" s="89" t="s">
        <v>1047</v>
      </c>
      <c r="D72" s="89" t="s">
        <v>530</v>
      </c>
      <c r="E72" s="90">
        <v>-1225</v>
      </c>
      <c r="F72" s="91">
        <v>-75.03125</v>
      </c>
      <c r="G72" s="92">
        <f t="shared" si="0"/>
        <v>-2.4566206507728654E-3</v>
      </c>
      <c r="H72" s="87" t="s">
        <v>143</v>
      </c>
    </row>
    <row r="73" spans="1:8" ht="12.75" x14ac:dyDescent="0.2">
      <c r="A73" s="88">
        <v>10</v>
      </c>
      <c r="B73" s="89"/>
      <c r="C73" s="89" t="s">
        <v>1048</v>
      </c>
      <c r="D73" s="89" t="s">
        <v>530</v>
      </c>
      <c r="E73" s="90">
        <v>-11550</v>
      </c>
      <c r="F73" s="91">
        <v>-85.897350000000003</v>
      </c>
      <c r="G73" s="92">
        <f t="shared" si="0"/>
        <v>-2.8123908885519643E-3</v>
      </c>
      <c r="H73" s="87" t="s">
        <v>143</v>
      </c>
    </row>
    <row r="74" spans="1:8" ht="12.75" x14ac:dyDescent="0.2">
      <c r="A74" s="88">
        <v>11</v>
      </c>
      <c r="B74" s="89"/>
      <c r="C74" s="89" t="s">
        <v>980</v>
      </c>
      <c r="D74" s="89" t="s">
        <v>530</v>
      </c>
      <c r="E74" s="90">
        <v>-18000</v>
      </c>
      <c r="F74" s="91">
        <v>-88.137</v>
      </c>
      <c r="G74" s="92">
        <f t="shared" si="0"/>
        <v>-2.8857199406536345E-3</v>
      </c>
      <c r="H74" s="87" t="s">
        <v>143</v>
      </c>
    </row>
    <row r="75" spans="1:8" ht="12.75" x14ac:dyDescent="0.2">
      <c r="A75" s="88">
        <v>12</v>
      </c>
      <c r="B75" s="89"/>
      <c r="C75" s="89" t="s">
        <v>1049</v>
      </c>
      <c r="D75" s="89" t="s">
        <v>530</v>
      </c>
      <c r="E75" s="90">
        <v>-15600</v>
      </c>
      <c r="F75" s="91">
        <v>-118.1544</v>
      </c>
      <c r="G75" s="92">
        <f t="shared" si="0"/>
        <v>-3.8685286333318106E-3</v>
      </c>
      <c r="H75" s="87" t="s">
        <v>143</v>
      </c>
    </row>
    <row r="76" spans="1:8" ht="12.75" x14ac:dyDescent="0.2">
      <c r="A76" s="88">
        <v>13</v>
      </c>
      <c r="B76" s="89"/>
      <c r="C76" s="89" t="s">
        <v>1050</v>
      </c>
      <c r="D76" s="89" t="s">
        <v>530</v>
      </c>
      <c r="E76" s="90">
        <v>-17600</v>
      </c>
      <c r="F76" s="91">
        <v>-118.4392</v>
      </c>
      <c r="G76" s="92">
        <f t="shared" si="0"/>
        <v>-3.8778533555154358E-3</v>
      </c>
      <c r="H76" s="87" t="s">
        <v>143</v>
      </c>
    </row>
    <row r="77" spans="1:8" ht="12.75" x14ac:dyDescent="0.2">
      <c r="A77" s="88">
        <v>14</v>
      </c>
      <c r="B77" s="89"/>
      <c r="C77" s="89" t="s">
        <v>1051</v>
      </c>
      <c r="D77" s="89" t="s">
        <v>530</v>
      </c>
      <c r="E77" s="90">
        <v>-3800</v>
      </c>
      <c r="F77" s="91">
        <v>-122.2688</v>
      </c>
      <c r="G77" s="92">
        <f t="shared" si="0"/>
        <v>-4.0032394372373822E-3</v>
      </c>
      <c r="H77" s="87" t="s">
        <v>143</v>
      </c>
    </row>
    <row r="78" spans="1:8" ht="12.75" x14ac:dyDescent="0.2">
      <c r="A78" s="88">
        <v>15</v>
      </c>
      <c r="B78" s="89"/>
      <c r="C78" s="89" t="s">
        <v>1052</v>
      </c>
      <c r="D78" s="89" t="s">
        <v>530</v>
      </c>
      <c r="E78" s="90">
        <v>-168750</v>
      </c>
      <c r="F78" s="91">
        <v>-175.87125</v>
      </c>
      <c r="G78" s="92">
        <f t="shared" si="0"/>
        <v>-5.7582533228119921E-3</v>
      </c>
      <c r="H78" s="87" t="s">
        <v>143</v>
      </c>
    </row>
    <row r="79" spans="1:8" ht="12.75" x14ac:dyDescent="0.2">
      <c r="A79" s="88">
        <v>16</v>
      </c>
      <c r="B79" s="89"/>
      <c r="C79" s="89" t="s">
        <v>1053</v>
      </c>
      <c r="D79" s="89" t="s">
        <v>530</v>
      </c>
      <c r="E79" s="90">
        <v>-17050</v>
      </c>
      <c r="F79" s="91">
        <v>-182.34975</v>
      </c>
      <c r="G79" s="92">
        <f t="shared" si="0"/>
        <v>-5.9703678335795993E-3</v>
      </c>
      <c r="H79" s="87" t="s">
        <v>143</v>
      </c>
    </row>
    <row r="80" spans="1:8" ht="12.75" x14ac:dyDescent="0.2">
      <c r="A80" s="88">
        <v>17</v>
      </c>
      <c r="B80" s="89"/>
      <c r="C80" s="89" t="s">
        <v>1054</v>
      </c>
      <c r="D80" s="89" t="s">
        <v>530</v>
      </c>
      <c r="E80" s="90">
        <v>-9200</v>
      </c>
      <c r="F80" s="91">
        <v>-182.35319999999999</v>
      </c>
      <c r="G80" s="92">
        <f t="shared" si="0"/>
        <v>-5.970480791063916E-3</v>
      </c>
      <c r="H80" s="87" t="s">
        <v>143</v>
      </c>
    </row>
    <row r="81" spans="1:8" ht="12.75" x14ac:dyDescent="0.2">
      <c r="A81" s="88">
        <v>18</v>
      </c>
      <c r="B81" s="89"/>
      <c r="C81" s="89" t="s">
        <v>1055</v>
      </c>
      <c r="D81" s="89" t="s">
        <v>530</v>
      </c>
      <c r="E81" s="90">
        <v>-192000</v>
      </c>
      <c r="F81" s="91">
        <v>-194.91839999999999</v>
      </c>
      <c r="G81" s="92">
        <f t="shared" si="0"/>
        <v>-6.3818817713366853E-3</v>
      </c>
      <c r="H81" s="87" t="s">
        <v>143</v>
      </c>
    </row>
    <row r="82" spans="1:8" ht="12.75" x14ac:dyDescent="0.2">
      <c r="A82" s="88">
        <v>19</v>
      </c>
      <c r="B82" s="89"/>
      <c r="C82" s="89" t="s">
        <v>1056</v>
      </c>
      <c r="D82" s="89" t="s">
        <v>530</v>
      </c>
      <c r="E82" s="90">
        <v>-137500</v>
      </c>
      <c r="F82" s="91">
        <v>-213.18</v>
      </c>
      <c r="G82" s="92">
        <f t="shared" si="0"/>
        <v>-6.9797902918018748E-3</v>
      </c>
      <c r="H82" s="87" t="s">
        <v>143</v>
      </c>
    </row>
    <row r="83" spans="1:8" ht="25.5" x14ac:dyDescent="0.2">
      <c r="A83" s="88">
        <v>20</v>
      </c>
      <c r="B83" s="89"/>
      <c r="C83" s="89" t="s">
        <v>1057</v>
      </c>
      <c r="D83" s="89" t="s">
        <v>530</v>
      </c>
      <c r="E83" s="90">
        <v>-62900</v>
      </c>
      <c r="F83" s="91">
        <v>-214.55189999999999</v>
      </c>
      <c r="G83" s="92">
        <f t="shared" si="0"/>
        <v>-7.0247080810003125E-3</v>
      </c>
      <c r="H83" s="87" t="s">
        <v>143</v>
      </c>
    </row>
    <row r="84" spans="1:8" ht="12.75" x14ac:dyDescent="0.2">
      <c r="A84" s="88">
        <v>21</v>
      </c>
      <c r="B84" s="89"/>
      <c r="C84" s="89" t="s">
        <v>1058</v>
      </c>
      <c r="D84" s="89" t="s">
        <v>530</v>
      </c>
      <c r="E84" s="90">
        <v>-12375</v>
      </c>
      <c r="F84" s="91">
        <v>-224.82900000000001</v>
      </c>
      <c r="G84" s="92">
        <f t="shared" si="0"/>
        <v>-7.3611936931960026E-3</v>
      </c>
      <c r="H84" s="87" t="s">
        <v>143</v>
      </c>
    </row>
    <row r="85" spans="1:8" ht="12.75" x14ac:dyDescent="0.2">
      <c r="A85" s="88">
        <v>22</v>
      </c>
      <c r="B85" s="89"/>
      <c r="C85" s="89" t="s">
        <v>987</v>
      </c>
      <c r="D85" s="89" t="s">
        <v>530</v>
      </c>
      <c r="E85" s="90">
        <v>-12000</v>
      </c>
      <c r="F85" s="91">
        <v>-236.64</v>
      </c>
      <c r="G85" s="92">
        <f t="shared" si="0"/>
        <v>-7.7479011851580614E-3</v>
      </c>
      <c r="H85" s="87" t="s">
        <v>143</v>
      </c>
    </row>
    <row r="86" spans="1:8" ht="12.75" x14ac:dyDescent="0.2">
      <c r="A86" s="88">
        <v>23</v>
      </c>
      <c r="B86" s="89"/>
      <c r="C86" s="89" t="s">
        <v>990</v>
      </c>
      <c r="D86" s="89" t="s">
        <v>530</v>
      </c>
      <c r="E86" s="90">
        <v>-102375</v>
      </c>
      <c r="F86" s="91">
        <v>-239.17871249999999</v>
      </c>
      <c r="G86" s="92">
        <f t="shared" si="0"/>
        <v>-7.8310219322317836E-3</v>
      </c>
      <c r="H86" s="87" t="s">
        <v>143</v>
      </c>
    </row>
    <row r="87" spans="1:8" ht="12.75" x14ac:dyDescent="0.2">
      <c r="A87" s="88">
        <v>24</v>
      </c>
      <c r="B87" s="89"/>
      <c r="C87" s="89" t="s">
        <v>1059</v>
      </c>
      <c r="D87" s="89" t="s">
        <v>530</v>
      </c>
      <c r="E87" s="90">
        <v>-17500</v>
      </c>
      <c r="F87" s="91">
        <v>-239.8725</v>
      </c>
      <c r="G87" s="92">
        <f t="shared" si="0"/>
        <v>-7.853737436768201E-3</v>
      </c>
      <c r="H87" s="87" t="s">
        <v>143</v>
      </c>
    </row>
    <row r="88" spans="1:8" ht="12.75" x14ac:dyDescent="0.2">
      <c r="A88" s="88">
        <v>25</v>
      </c>
      <c r="B88" s="89"/>
      <c r="C88" s="89" t="s">
        <v>1060</v>
      </c>
      <c r="D88" s="89" t="s">
        <v>530</v>
      </c>
      <c r="E88" s="90">
        <v>-15750</v>
      </c>
      <c r="F88" s="91">
        <v>-251.27549999999999</v>
      </c>
      <c r="G88" s="92">
        <f t="shared" si="0"/>
        <v>-8.2270864784110241E-3</v>
      </c>
      <c r="H88" s="87" t="s">
        <v>143</v>
      </c>
    </row>
    <row r="89" spans="1:8" ht="12.75" x14ac:dyDescent="0.2">
      <c r="A89" s="88">
        <v>26</v>
      </c>
      <c r="B89" s="89"/>
      <c r="C89" s="89" t="s">
        <v>1061</v>
      </c>
      <c r="D89" s="89" t="s">
        <v>530</v>
      </c>
      <c r="E89" s="90">
        <v>-37100</v>
      </c>
      <c r="F89" s="91">
        <v>-275.74574999999999</v>
      </c>
      <c r="G89" s="92">
        <f t="shared" si="0"/>
        <v>-9.0282742698922346E-3</v>
      </c>
      <c r="H89" s="87" t="s">
        <v>143</v>
      </c>
    </row>
    <row r="90" spans="1:8" ht="12.75" x14ac:dyDescent="0.2">
      <c r="A90" s="88">
        <v>27</v>
      </c>
      <c r="B90" s="89"/>
      <c r="C90" s="89" t="s">
        <v>1062</v>
      </c>
      <c r="D90" s="89" t="s">
        <v>530</v>
      </c>
      <c r="E90" s="90">
        <v>-12600</v>
      </c>
      <c r="F90" s="91">
        <v>-337.1508</v>
      </c>
      <c r="G90" s="92">
        <f t="shared" si="0"/>
        <v>-1.1038755421302353E-2</v>
      </c>
      <c r="H90" s="87" t="s">
        <v>143</v>
      </c>
    </row>
    <row r="91" spans="1:8" ht="12.75" x14ac:dyDescent="0.2">
      <c r="A91" s="88">
        <v>28</v>
      </c>
      <c r="B91" s="89"/>
      <c r="C91" s="89" t="s">
        <v>992</v>
      </c>
      <c r="D91" s="89" t="s">
        <v>530</v>
      </c>
      <c r="E91" s="90">
        <v>-58000</v>
      </c>
      <c r="F91" s="91">
        <v>-442.714</v>
      </c>
      <c r="G91" s="92">
        <f t="shared" si="0"/>
        <v>-1.449503180056654E-2</v>
      </c>
      <c r="H91" s="87" t="s">
        <v>143</v>
      </c>
    </row>
    <row r="92" spans="1:8" ht="12.75" x14ac:dyDescent="0.2">
      <c r="A92" s="88">
        <v>29</v>
      </c>
      <c r="B92" s="89"/>
      <c r="C92" s="89" t="s">
        <v>1063</v>
      </c>
      <c r="D92" s="89" t="s">
        <v>530</v>
      </c>
      <c r="E92" s="90">
        <v>-10200</v>
      </c>
      <c r="F92" s="91">
        <v>-444.43439999999998</v>
      </c>
      <c r="G92" s="92">
        <f t="shared" si="0"/>
        <v>-1.4551359932745995E-2</v>
      </c>
      <c r="H92" s="87" t="s">
        <v>143</v>
      </c>
    </row>
    <row r="93" spans="1:8" ht="25.5" x14ac:dyDescent="0.2">
      <c r="A93" s="88">
        <v>30</v>
      </c>
      <c r="B93" s="89"/>
      <c r="C93" s="89" t="s">
        <v>1064</v>
      </c>
      <c r="D93" s="89" t="s">
        <v>530</v>
      </c>
      <c r="E93" s="90">
        <v>-30400</v>
      </c>
      <c r="F93" s="91">
        <v>-489.74400000000003</v>
      </c>
      <c r="G93" s="92">
        <f t="shared" si="0"/>
        <v>-1.6034855130257143E-2</v>
      </c>
      <c r="H93" s="87" t="s">
        <v>143</v>
      </c>
    </row>
    <row r="94" spans="1:8" ht="12.75" x14ac:dyDescent="0.2">
      <c r="A94" s="88">
        <v>31</v>
      </c>
      <c r="B94" s="89"/>
      <c r="C94" s="89" t="s">
        <v>1065</v>
      </c>
      <c r="D94" s="89" t="s">
        <v>530</v>
      </c>
      <c r="E94" s="90">
        <v>-190500</v>
      </c>
      <c r="F94" s="91">
        <v>-499.77674999999999</v>
      </c>
      <c r="G94" s="92">
        <f t="shared" si="0"/>
        <v>-1.6363340405846197E-2</v>
      </c>
      <c r="H94" s="87" t="s">
        <v>143</v>
      </c>
    </row>
    <row r="95" spans="1:8" ht="12.75" x14ac:dyDescent="0.2">
      <c r="A95" s="88">
        <v>32</v>
      </c>
      <c r="B95" s="89"/>
      <c r="C95" s="89" t="s">
        <v>1066</v>
      </c>
      <c r="D95" s="89" t="s">
        <v>530</v>
      </c>
      <c r="E95" s="90">
        <v>-32900</v>
      </c>
      <c r="F95" s="91">
        <v>-526.43290000000002</v>
      </c>
      <c r="G95" s="92">
        <f t="shared" si="0"/>
        <v>-1.7236097404564721E-2</v>
      </c>
      <c r="H95" s="87" t="s">
        <v>143</v>
      </c>
    </row>
    <row r="96" spans="1:8" ht="12.75" x14ac:dyDescent="0.2">
      <c r="A96" s="88">
        <v>33</v>
      </c>
      <c r="B96" s="89"/>
      <c r="C96" s="89" t="s">
        <v>1067</v>
      </c>
      <c r="D96" s="89" t="s">
        <v>530</v>
      </c>
      <c r="E96" s="90">
        <v>-81200</v>
      </c>
      <c r="F96" s="91">
        <v>-573.71860000000004</v>
      </c>
      <c r="G96" s="92">
        <f t="shared" si="0"/>
        <v>-1.8784292684614706E-2</v>
      </c>
      <c r="H96" s="87" t="s">
        <v>143</v>
      </c>
    </row>
    <row r="97" spans="1:8" ht="12.75" x14ac:dyDescent="0.2">
      <c r="A97" s="88">
        <v>34</v>
      </c>
      <c r="B97" s="89"/>
      <c r="C97" s="89" t="s">
        <v>1068</v>
      </c>
      <c r="D97" s="89" t="s">
        <v>530</v>
      </c>
      <c r="E97" s="90">
        <v>-27600</v>
      </c>
      <c r="F97" s="91">
        <v>-623.56679999999994</v>
      </c>
      <c r="G97" s="92">
        <f t="shared" si="0"/>
        <v>-2.0416387545407453E-2</v>
      </c>
      <c r="H97" s="87" t="s">
        <v>143</v>
      </c>
    </row>
    <row r="98" spans="1:8" ht="12.75" x14ac:dyDescent="0.2">
      <c r="A98" s="88">
        <v>35</v>
      </c>
      <c r="B98" s="89"/>
      <c r="C98" s="89" t="s">
        <v>989</v>
      </c>
      <c r="D98" s="89" t="s">
        <v>530</v>
      </c>
      <c r="E98" s="90">
        <v>-34675</v>
      </c>
      <c r="F98" s="91">
        <v>-658.65162499999997</v>
      </c>
      <c r="G98" s="92">
        <f t="shared" si="0"/>
        <v>-2.1565110319235054E-2</v>
      </c>
      <c r="H98" s="87" t="s">
        <v>143</v>
      </c>
    </row>
    <row r="99" spans="1:8" ht="12.75" x14ac:dyDescent="0.2">
      <c r="A99" s="88">
        <v>36</v>
      </c>
      <c r="B99" s="89"/>
      <c r="C99" s="89" t="s">
        <v>1069</v>
      </c>
      <c r="D99" s="89" t="s">
        <v>530</v>
      </c>
      <c r="E99" s="90">
        <v>-19775</v>
      </c>
      <c r="F99" s="91">
        <v>-715.57815000000005</v>
      </c>
      <c r="G99" s="92">
        <f t="shared" si="0"/>
        <v>-2.342895874094918E-2</v>
      </c>
      <c r="H99" s="87" t="s">
        <v>143</v>
      </c>
    </row>
    <row r="100" spans="1:8" ht="12.75" x14ac:dyDescent="0.2">
      <c r="A100" s="88">
        <v>37</v>
      </c>
      <c r="B100" s="89"/>
      <c r="C100" s="89" t="s">
        <v>995</v>
      </c>
      <c r="D100" s="89" t="s">
        <v>530</v>
      </c>
      <c r="E100" s="90">
        <v>-99000</v>
      </c>
      <c r="F100" s="91">
        <v>-797.29650000000004</v>
      </c>
      <c r="G100" s="92">
        <f t="shared" si="0"/>
        <v>-2.6104523737628359E-2</v>
      </c>
      <c r="H100" s="87" t="s">
        <v>143</v>
      </c>
    </row>
    <row r="101" spans="1:8" ht="12.75" x14ac:dyDescent="0.2">
      <c r="A101" s="88">
        <v>38</v>
      </c>
      <c r="B101" s="89"/>
      <c r="C101" s="89" t="s">
        <v>1070</v>
      </c>
      <c r="D101" s="89" t="s">
        <v>530</v>
      </c>
      <c r="E101" s="90">
        <v>-143850</v>
      </c>
      <c r="F101" s="91">
        <v>-813.18404999999996</v>
      </c>
      <c r="G101" s="92">
        <f t="shared" si="0"/>
        <v>-2.6624702775298482E-2</v>
      </c>
      <c r="H101" s="87" t="s">
        <v>143</v>
      </c>
    </row>
    <row r="102" spans="1:8" ht="12.75" x14ac:dyDescent="0.2">
      <c r="A102" s="88">
        <v>39</v>
      </c>
      <c r="B102" s="89"/>
      <c r="C102" s="89" t="s">
        <v>981</v>
      </c>
      <c r="D102" s="89" t="s">
        <v>530</v>
      </c>
      <c r="E102" s="90">
        <v>-35350</v>
      </c>
      <c r="F102" s="91">
        <v>-1095.9206999999999</v>
      </c>
      <c r="G102" s="92">
        <f t="shared" si="0"/>
        <v>-3.5881868197976896E-2</v>
      </c>
      <c r="H102" s="87" t="s">
        <v>143</v>
      </c>
    </row>
    <row r="103" spans="1:8" ht="12.75" x14ac:dyDescent="0.2">
      <c r="A103" s="88">
        <v>40</v>
      </c>
      <c r="B103" s="89"/>
      <c r="C103" s="89" t="s">
        <v>1071</v>
      </c>
      <c r="D103" s="89" t="s">
        <v>530</v>
      </c>
      <c r="E103" s="90">
        <v>-125250</v>
      </c>
      <c r="F103" s="91">
        <v>-1104.204</v>
      </c>
      <c r="G103" s="92">
        <f t="shared" si="0"/>
        <v>-3.615307420662725E-2</v>
      </c>
      <c r="H103" s="87" t="s">
        <v>143</v>
      </c>
    </row>
    <row r="104" spans="1:8" ht="12.75" x14ac:dyDescent="0.2">
      <c r="A104" s="88">
        <v>41</v>
      </c>
      <c r="B104" s="89"/>
      <c r="C104" s="89" t="s">
        <v>1072</v>
      </c>
      <c r="D104" s="89" t="s">
        <v>530</v>
      </c>
      <c r="E104" s="90">
        <v>-108125</v>
      </c>
      <c r="F104" s="91">
        <v>-1137.5831250000001</v>
      </c>
      <c r="G104" s="92">
        <f t="shared" si="0"/>
        <v>-3.7245950145382491E-2</v>
      </c>
      <c r="H104" s="87" t="s">
        <v>143</v>
      </c>
    </row>
    <row r="105" spans="1:8" ht="12.75" x14ac:dyDescent="0.2">
      <c r="A105" s="88">
        <v>42</v>
      </c>
      <c r="B105" s="89"/>
      <c r="C105" s="89" t="s">
        <v>996</v>
      </c>
      <c r="D105" s="89" t="s">
        <v>530</v>
      </c>
      <c r="E105" s="90">
        <v>-123200</v>
      </c>
      <c r="F105" s="91">
        <v>-1180.3792000000001</v>
      </c>
      <c r="G105" s="92">
        <f t="shared" si="0"/>
        <v>-3.8647149267308681E-2</v>
      </c>
      <c r="H105" s="87" t="s">
        <v>143</v>
      </c>
    </row>
    <row r="106" spans="1:8" ht="12.75" x14ac:dyDescent="0.2">
      <c r="A106" s="88">
        <v>43</v>
      </c>
      <c r="B106" s="89"/>
      <c r="C106" s="89" t="s">
        <v>1073</v>
      </c>
      <c r="D106" s="89" t="s">
        <v>530</v>
      </c>
      <c r="E106" s="90">
        <v>-467200</v>
      </c>
      <c r="F106" s="91">
        <v>-1920.8928000000001</v>
      </c>
      <c r="G106" s="92">
        <f t="shared" si="0"/>
        <v>-6.2892527052406985E-2</v>
      </c>
      <c r="H106" s="87" t="s">
        <v>143</v>
      </c>
    </row>
    <row r="107" spans="1:8" ht="12.75" x14ac:dyDescent="0.2">
      <c r="A107" s="88">
        <v>44</v>
      </c>
      <c r="B107" s="89"/>
      <c r="C107" s="89" t="s">
        <v>997</v>
      </c>
      <c r="D107" s="89" t="s">
        <v>530</v>
      </c>
      <c r="E107" s="90">
        <v>-155400</v>
      </c>
      <c r="F107" s="91">
        <v>-2185.3901999999998</v>
      </c>
      <c r="G107" s="92">
        <f t="shared" si="0"/>
        <v>-7.1552515722670781E-2</v>
      </c>
      <c r="H107" s="87" t="s">
        <v>143</v>
      </c>
    </row>
    <row r="108" spans="1:8" ht="12.75" x14ac:dyDescent="0.2">
      <c r="A108" s="88">
        <v>45</v>
      </c>
      <c r="B108" s="89"/>
      <c r="C108" s="89" t="s">
        <v>994</v>
      </c>
      <c r="D108" s="89" t="s">
        <v>530</v>
      </c>
      <c r="E108" s="90">
        <v>-169000</v>
      </c>
      <c r="F108" s="91">
        <v>-2305.8359999999998</v>
      </c>
      <c r="G108" s="92">
        <f t="shared" si="0"/>
        <v>-7.5496067770369019E-2</v>
      </c>
      <c r="H108" s="87" t="s">
        <v>143</v>
      </c>
    </row>
    <row r="109" spans="1:8" ht="12.75" x14ac:dyDescent="0.2">
      <c r="A109" s="93"/>
      <c r="B109" s="93"/>
      <c r="C109" s="94" t="s">
        <v>142</v>
      </c>
      <c r="D109" s="93"/>
      <c r="E109" s="93" t="s">
        <v>143</v>
      </c>
      <c r="F109" s="95">
        <v>-21379.593187499999</v>
      </c>
      <c r="G109" s="96">
        <v>-0.69999566999999996</v>
      </c>
      <c r="H109" s="87" t="s">
        <v>143</v>
      </c>
    </row>
    <row r="110" spans="1:8" ht="14.25" customHeight="1" x14ac:dyDescent="0.2">
      <c r="A110" s="93"/>
      <c r="B110" s="93"/>
      <c r="C110" s="97"/>
      <c r="D110" s="93"/>
      <c r="E110" s="93"/>
      <c r="F110" s="98"/>
      <c r="G110" s="98"/>
      <c r="H110" s="87" t="s">
        <v>143</v>
      </c>
    </row>
    <row r="111" spans="1:8" ht="14.25" customHeight="1" x14ac:dyDescent="0.2">
      <c r="A111" s="93"/>
      <c r="B111" s="93"/>
      <c r="C111" s="94" t="s">
        <v>150</v>
      </c>
      <c r="D111" s="93"/>
      <c r="E111" s="93"/>
      <c r="F111" s="95">
        <f>F49</f>
        <v>21268.604912500003</v>
      </c>
      <c r="G111" s="96">
        <f>G49</f>
        <v>0.69636149999999997</v>
      </c>
      <c r="H111" s="87" t="s">
        <v>143</v>
      </c>
    </row>
    <row r="112" spans="1:8" ht="14.25" customHeight="1" x14ac:dyDescent="0.2">
      <c r="A112" s="93"/>
      <c r="B112" s="93"/>
      <c r="C112" s="97"/>
      <c r="D112" s="93"/>
      <c r="E112" s="93"/>
      <c r="F112" s="98"/>
      <c r="G112" s="98"/>
      <c r="H112" s="87" t="s">
        <v>143</v>
      </c>
    </row>
    <row r="113" spans="1:8" ht="14.25" customHeight="1" x14ac:dyDescent="0.2">
      <c r="A113" s="93"/>
      <c r="B113" s="93"/>
      <c r="C113" s="94" t="s">
        <v>151</v>
      </c>
      <c r="D113" s="93"/>
      <c r="E113" s="93"/>
      <c r="F113" s="98"/>
      <c r="G113" s="98"/>
      <c r="H113" s="87" t="s">
        <v>143</v>
      </c>
    </row>
    <row r="114" spans="1:8" ht="14.25" customHeight="1" x14ac:dyDescent="0.2">
      <c r="A114" s="93"/>
      <c r="B114" s="93"/>
      <c r="C114" s="94" t="s">
        <v>10</v>
      </c>
      <c r="D114" s="93"/>
      <c r="E114" s="93"/>
      <c r="F114" s="98"/>
      <c r="G114" s="98"/>
      <c r="H114" s="87" t="s">
        <v>143</v>
      </c>
    </row>
    <row r="115" spans="1:8" ht="14.25" customHeight="1" x14ac:dyDescent="0.2">
      <c r="A115" s="93"/>
      <c r="B115" s="93"/>
      <c r="C115" s="94" t="s">
        <v>142</v>
      </c>
      <c r="D115" s="93"/>
      <c r="E115" s="93" t="s">
        <v>143</v>
      </c>
      <c r="F115" s="99" t="s">
        <v>145</v>
      </c>
      <c r="G115" s="96">
        <v>0</v>
      </c>
      <c r="H115" s="87" t="s">
        <v>143</v>
      </c>
    </row>
    <row r="116" spans="1:8" ht="14.25" customHeight="1" x14ac:dyDescent="0.2">
      <c r="A116" s="93"/>
      <c r="B116" s="93"/>
      <c r="C116" s="97"/>
      <c r="D116" s="93"/>
      <c r="E116" s="93"/>
      <c r="F116" s="98"/>
      <c r="G116" s="98"/>
      <c r="H116" s="87" t="s">
        <v>143</v>
      </c>
    </row>
    <row r="117" spans="1:8" ht="14.25" customHeight="1" x14ac:dyDescent="0.2">
      <c r="A117" s="93"/>
      <c r="B117" s="93"/>
      <c r="C117" s="94" t="s">
        <v>152</v>
      </c>
      <c r="D117" s="93"/>
      <c r="E117" s="93"/>
      <c r="F117" s="93"/>
      <c r="G117" s="93"/>
      <c r="H117" s="87" t="s">
        <v>143</v>
      </c>
    </row>
    <row r="118" spans="1:8" ht="14.25" customHeight="1" x14ac:dyDescent="0.2">
      <c r="A118" s="93"/>
      <c r="B118" s="93"/>
      <c r="C118" s="94" t="s">
        <v>142</v>
      </c>
      <c r="D118" s="93"/>
      <c r="E118" s="93" t="s">
        <v>143</v>
      </c>
      <c r="F118" s="99" t="s">
        <v>145</v>
      </c>
      <c r="G118" s="96">
        <v>0</v>
      </c>
      <c r="H118" s="87" t="s">
        <v>143</v>
      </c>
    </row>
    <row r="119" spans="1:8" ht="14.25" customHeight="1" x14ac:dyDescent="0.2">
      <c r="A119" s="93"/>
      <c r="B119" s="93"/>
      <c r="C119" s="97"/>
      <c r="D119" s="93"/>
      <c r="E119" s="93"/>
      <c r="F119" s="98"/>
      <c r="G119" s="98"/>
      <c r="H119" s="87" t="s">
        <v>143</v>
      </c>
    </row>
    <row r="120" spans="1:8" ht="14.25" customHeight="1" x14ac:dyDescent="0.2">
      <c r="A120" s="93"/>
      <c r="B120" s="93"/>
      <c r="C120" s="94" t="s">
        <v>153</v>
      </c>
      <c r="D120" s="93"/>
      <c r="E120" s="93"/>
      <c r="F120" s="93"/>
      <c r="G120" s="93"/>
      <c r="H120" s="87" t="s">
        <v>143</v>
      </c>
    </row>
    <row r="121" spans="1:8" ht="14.25" customHeight="1" x14ac:dyDescent="0.2">
      <c r="A121" s="88">
        <v>1</v>
      </c>
      <c r="B121" s="89" t="s">
        <v>646</v>
      </c>
      <c r="C121" s="89" t="s">
        <v>1144</v>
      </c>
      <c r="D121" s="89" t="s">
        <v>606</v>
      </c>
      <c r="E121" s="90">
        <v>1000000</v>
      </c>
      <c r="F121" s="91">
        <v>1025.7439999999999</v>
      </c>
      <c r="G121" s="92">
        <v>3.358419E-2</v>
      </c>
      <c r="H121" s="87">
        <v>5.9325999999999999</v>
      </c>
    </row>
    <row r="122" spans="1:8" ht="14.25" customHeight="1" x14ac:dyDescent="0.2">
      <c r="A122" s="93"/>
      <c r="B122" s="93"/>
      <c r="C122" s="94" t="s">
        <v>142</v>
      </c>
      <c r="D122" s="93"/>
      <c r="E122" s="93" t="s">
        <v>143</v>
      </c>
      <c r="F122" s="95">
        <v>1025.7439999999999</v>
      </c>
      <c r="G122" s="96">
        <v>3.358419E-2</v>
      </c>
      <c r="H122" s="87" t="s">
        <v>143</v>
      </c>
    </row>
    <row r="123" spans="1:8" ht="14.25" customHeight="1" x14ac:dyDescent="0.2">
      <c r="A123" s="93"/>
      <c r="B123" s="93"/>
      <c r="C123" s="97"/>
      <c r="D123" s="93"/>
      <c r="E123" s="93"/>
      <c r="F123" s="98"/>
      <c r="G123" s="98"/>
      <c r="H123" s="87" t="s">
        <v>143</v>
      </c>
    </row>
    <row r="124" spans="1:8" ht="14.25" customHeight="1" x14ac:dyDescent="0.2">
      <c r="A124" s="93"/>
      <c r="B124" s="93"/>
      <c r="C124" s="94" t="s">
        <v>154</v>
      </c>
      <c r="D124" s="93"/>
      <c r="E124" s="93"/>
      <c r="F124" s="98"/>
      <c r="G124" s="98"/>
      <c r="H124" s="87" t="s">
        <v>143</v>
      </c>
    </row>
    <row r="125" spans="1:8" ht="14.25" customHeight="1" x14ac:dyDescent="0.2">
      <c r="A125" s="93"/>
      <c r="B125" s="93"/>
      <c r="C125" s="94" t="s">
        <v>142</v>
      </c>
      <c r="D125" s="93"/>
      <c r="E125" s="93" t="s">
        <v>143</v>
      </c>
      <c r="F125" s="99" t="s">
        <v>145</v>
      </c>
      <c r="G125" s="96">
        <v>0</v>
      </c>
      <c r="H125" s="87" t="s">
        <v>143</v>
      </c>
    </row>
    <row r="126" spans="1:8" ht="14.25" customHeight="1" x14ac:dyDescent="0.2">
      <c r="A126" s="93"/>
      <c r="B126" s="93"/>
      <c r="C126" s="97"/>
      <c r="D126" s="93"/>
      <c r="E126" s="93"/>
      <c r="F126" s="98"/>
      <c r="G126" s="98"/>
      <c r="H126" s="87" t="s">
        <v>143</v>
      </c>
    </row>
    <row r="127" spans="1:8" ht="14.25" customHeight="1" x14ac:dyDescent="0.2">
      <c r="A127" s="93"/>
      <c r="B127" s="93"/>
      <c r="C127" s="94" t="s">
        <v>155</v>
      </c>
      <c r="D127" s="93"/>
      <c r="E127" s="93"/>
      <c r="F127" s="95">
        <v>1025.7439999999999</v>
      </c>
      <c r="G127" s="96">
        <v>3.358419E-2</v>
      </c>
      <c r="H127" s="87" t="s">
        <v>143</v>
      </c>
    </row>
    <row r="128" spans="1:8" ht="14.25" customHeight="1" x14ac:dyDescent="0.2">
      <c r="A128" s="93"/>
      <c r="B128" s="93"/>
      <c r="C128" s="97"/>
      <c r="D128" s="93"/>
      <c r="E128" s="93"/>
      <c r="F128" s="98"/>
      <c r="G128" s="98"/>
      <c r="H128" s="87" t="s">
        <v>143</v>
      </c>
    </row>
    <row r="129" spans="1:8" ht="14.25" customHeight="1" x14ac:dyDescent="0.2">
      <c r="A129" s="93"/>
      <c r="B129" s="93"/>
      <c r="C129" s="94" t="s">
        <v>156</v>
      </c>
      <c r="D129" s="93"/>
      <c r="E129" s="93"/>
      <c r="F129" s="98"/>
      <c r="G129" s="98"/>
      <c r="H129" s="87" t="s">
        <v>143</v>
      </c>
    </row>
    <row r="130" spans="1:8" ht="14.25" customHeight="1" x14ac:dyDescent="0.2">
      <c r="A130" s="93"/>
      <c r="B130" s="93"/>
      <c r="C130" s="94" t="s">
        <v>157</v>
      </c>
      <c r="D130" s="93"/>
      <c r="E130" s="93"/>
      <c r="F130" s="98"/>
      <c r="G130" s="98"/>
      <c r="H130" s="87" t="s">
        <v>143</v>
      </c>
    </row>
    <row r="131" spans="1:8" ht="14.25" customHeight="1" x14ac:dyDescent="0.2">
      <c r="A131" s="93"/>
      <c r="B131" s="93"/>
      <c r="C131" s="94" t="s">
        <v>142</v>
      </c>
      <c r="D131" s="93"/>
      <c r="E131" s="93" t="s">
        <v>143</v>
      </c>
      <c r="F131" s="99" t="s">
        <v>145</v>
      </c>
      <c r="G131" s="96">
        <v>0</v>
      </c>
      <c r="H131" s="87" t="s">
        <v>143</v>
      </c>
    </row>
    <row r="132" spans="1:8" ht="14.25" customHeight="1" x14ac:dyDescent="0.2">
      <c r="A132" s="93"/>
      <c r="B132" s="93"/>
      <c r="C132" s="97"/>
      <c r="D132" s="93"/>
      <c r="E132" s="93"/>
      <c r="F132" s="98"/>
      <c r="G132" s="98"/>
      <c r="H132" s="87" t="s">
        <v>143</v>
      </c>
    </row>
    <row r="133" spans="1:8" ht="14.25" customHeight="1" x14ac:dyDescent="0.2">
      <c r="A133" s="93"/>
      <c r="B133" s="93"/>
      <c r="C133" s="94" t="s">
        <v>158</v>
      </c>
      <c r="D133" s="93"/>
      <c r="E133" s="93"/>
      <c r="F133" s="98"/>
      <c r="G133" s="98"/>
      <c r="H133" s="87" t="s">
        <v>143</v>
      </c>
    </row>
    <row r="134" spans="1:8" ht="14.25" customHeight="1" x14ac:dyDescent="0.2">
      <c r="A134" s="93"/>
      <c r="B134" s="93"/>
      <c r="C134" s="94" t="s">
        <v>142</v>
      </c>
      <c r="D134" s="93"/>
      <c r="E134" s="93" t="s">
        <v>143</v>
      </c>
      <c r="F134" s="99" t="s">
        <v>145</v>
      </c>
      <c r="G134" s="96">
        <v>0</v>
      </c>
      <c r="H134" s="87" t="s">
        <v>143</v>
      </c>
    </row>
    <row r="135" spans="1:8" ht="14.25" customHeight="1" x14ac:dyDescent="0.2">
      <c r="A135" s="93"/>
      <c r="B135" s="93"/>
      <c r="C135" s="97"/>
      <c r="D135" s="93"/>
      <c r="E135" s="93"/>
      <c r="F135" s="98"/>
      <c r="G135" s="98"/>
      <c r="H135" s="87" t="s">
        <v>143</v>
      </c>
    </row>
    <row r="136" spans="1:8" ht="14.25" customHeight="1" x14ac:dyDescent="0.2">
      <c r="A136" s="93"/>
      <c r="B136" s="93"/>
      <c r="C136" s="94" t="s">
        <v>159</v>
      </c>
      <c r="D136" s="93"/>
      <c r="E136" s="93"/>
      <c r="F136" s="98"/>
      <c r="G136" s="98"/>
      <c r="H136" s="87" t="s">
        <v>143</v>
      </c>
    </row>
    <row r="137" spans="1:8" ht="14.25" customHeight="1" x14ac:dyDescent="0.2">
      <c r="A137" s="88">
        <v>1</v>
      </c>
      <c r="B137" s="89" t="s">
        <v>648</v>
      </c>
      <c r="C137" s="89" t="s">
        <v>1145</v>
      </c>
      <c r="D137" s="89" t="s">
        <v>606</v>
      </c>
      <c r="E137" s="90">
        <v>1000000</v>
      </c>
      <c r="F137" s="91">
        <v>986.06</v>
      </c>
      <c r="G137" s="92">
        <v>3.2284889999999997E-2</v>
      </c>
      <c r="H137" s="87">
        <v>5.4893000000000001</v>
      </c>
    </row>
    <row r="138" spans="1:8" ht="14.25" customHeight="1" x14ac:dyDescent="0.2">
      <c r="A138" s="88">
        <v>2</v>
      </c>
      <c r="B138" s="89" t="s">
        <v>649</v>
      </c>
      <c r="C138" s="89" t="s">
        <v>1146</v>
      </c>
      <c r="D138" s="89" t="s">
        <v>606</v>
      </c>
      <c r="E138" s="90">
        <v>500000</v>
      </c>
      <c r="F138" s="91">
        <v>489.35950000000003</v>
      </c>
      <c r="G138" s="92">
        <v>1.6022270000000002E-2</v>
      </c>
      <c r="H138" s="87">
        <v>5.55</v>
      </c>
    </row>
    <row r="139" spans="1:8" ht="14.25" customHeight="1" x14ac:dyDescent="0.2">
      <c r="A139" s="88">
        <v>3</v>
      </c>
      <c r="B139" s="89" t="s">
        <v>650</v>
      </c>
      <c r="C139" s="89" t="s">
        <v>1147</v>
      </c>
      <c r="D139" s="89" t="s">
        <v>606</v>
      </c>
      <c r="E139" s="90">
        <v>500000</v>
      </c>
      <c r="F139" s="91">
        <v>488.29199999999997</v>
      </c>
      <c r="G139" s="92">
        <v>1.5987319999999999E-2</v>
      </c>
      <c r="H139" s="87">
        <v>5.5743999999999998</v>
      </c>
    </row>
    <row r="140" spans="1:8" ht="14.25" customHeight="1" x14ac:dyDescent="0.2">
      <c r="A140" s="93"/>
      <c r="B140" s="93"/>
      <c r="C140" s="94" t="s">
        <v>142</v>
      </c>
      <c r="D140" s="93"/>
      <c r="E140" s="93" t="s">
        <v>143</v>
      </c>
      <c r="F140" s="95">
        <v>1963.7114999999999</v>
      </c>
      <c r="G140" s="96">
        <v>6.4294480000000001E-2</v>
      </c>
      <c r="H140" s="87" t="s">
        <v>143</v>
      </c>
    </row>
    <row r="141" spans="1:8" ht="14.25" customHeight="1" x14ac:dyDescent="0.2">
      <c r="A141" s="93"/>
      <c r="B141" s="93"/>
      <c r="C141" s="97"/>
      <c r="D141" s="93"/>
      <c r="E141" s="93"/>
      <c r="F141" s="98"/>
      <c r="G141" s="98"/>
      <c r="H141" s="87" t="s">
        <v>143</v>
      </c>
    </row>
    <row r="142" spans="1:8" ht="14.25" customHeight="1" x14ac:dyDescent="0.2">
      <c r="A142" s="93"/>
      <c r="B142" s="93"/>
      <c r="C142" s="94" t="s">
        <v>160</v>
      </c>
      <c r="D142" s="93"/>
      <c r="E142" s="93"/>
      <c r="F142" s="98"/>
      <c r="G142" s="98"/>
      <c r="H142" s="87" t="s">
        <v>143</v>
      </c>
    </row>
    <row r="143" spans="1:8" ht="14.25" customHeight="1" x14ac:dyDescent="0.2">
      <c r="A143" s="88">
        <v>1</v>
      </c>
      <c r="B143" s="89"/>
      <c r="C143" s="89" t="s">
        <v>161</v>
      </c>
      <c r="D143" s="89"/>
      <c r="E143" s="100"/>
      <c r="F143" s="91">
        <v>3734.5478079919999</v>
      </c>
      <c r="G143" s="92">
        <v>0.12227395000000001</v>
      </c>
      <c r="H143" s="87">
        <v>5.38</v>
      </c>
    </row>
    <row r="144" spans="1:8" ht="14.25" customHeight="1" x14ac:dyDescent="0.2">
      <c r="A144" s="93"/>
      <c r="B144" s="93"/>
      <c r="C144" s="94" t="s">
        <v>142</v>
      </c>
      <c r="D144" s="93"/>
      <c r="E144" s="93" t="s">
        <v>143</v>
      </c>
      <c r="F144" s="95">
        <v>3734.5478079919999</v>
      </c>
      <c r="G144" s="96">
        <v>0.12227395000000001</v>
      </c>
      <c r="H144" s="87" t="s">
        <v>143</v>
      </c>
    </row>
    <row r="145" spans="1:8" ht="14.25" customHeight="1" x14ac:dyDescent="0.2">
      <c r="A145" s="93"/>
      <c r="B145" s="93"/>
      <c r="C145" s="97"/>
      <c r="D145" s="93"/>
      <c r="E145" s="93"/>
      <c r="F145" s="98"/>
      <c r="G145" s="98"/>
      <c r="H145" s="87" t="s">
        <v>143</v>
      </c>
    </row>
    <row r="146" spans="1:8" ht="14.25" customHeight="1" x14ac:dyDescent="0.2">
      <c r="A146" s="93"/>
      <c r="B146" s="93"/>
      <c r="C146" s="94" t="s">
        <v>162</v>
      </c>
      <c r="D146" s="93"/>
      <c r="E146" s="93"/>
      <c r="F146" s="95">
        <v>5698.2593079919998</v>
      </c>
      <c r="G146" s="96">
        <v>0.18656843000000001</v>
      </c>
      <c r="H146" s="87" t="s">
        <v>143</v>
      </c>
    </row>
    <row r="147" spans="1:8" ht="14.25" customHeight="1" x14ac:dyDescent="0.2">
      <c r="A147" s="93"/>
      <c r="B147" s="93"/>
      <c r="C147" s="98"/>
      <c r="D147" s="93"/>
      <c r="E147" s="93"/>
      <c r="F147" s="93"/>
      <c r="G147" s="93"/>
      <c r="H147" s="87" t="s">
        <v>143</v>
      </c>
    </row>
    <row r="148" spans="1:8" ht="14.25" customHeight="1" x14ac:dyDescent="0.2">
      <c r="A148" s="93"/>
      <c r="B148" s="93"/>
      <c r="C148" s="94" t="s">
        <v>163</v>
      </c>
      <c r="D148" s="93"/>
      <c r="E148" s="93"/>
      <c r="F148" s="93"/>
      <c r="G148" s="93"/>
      <c r="H148" s="87" t="s">
        <v>143</v>
      </c>
    </row>
    <row r="149" spans="1:8" ht="14.25" customHeight="1" x14ac:dyDescent="0.2">
      <c r="A149" s="93"/>
      <c r="B149" s="93"/>
      <c r="C149" s="94" t="s">
        <v>164</v>
      </c>
      <c r="D149" s="93"/>
      <c r="E149" s="93"/>
      <c r="F149" s="93"/>
      <c r="G149" s="93"/>
      <c r="H149" s="87" t="s">
        <v>143</v>
      </c>
    </row>
    <row r="150" spans="1:8" ht="14.25" customHeight="1" x14ac:dyDescent="0.2">
      <c r="A150" s="88">
        <v>1</v>
      </c>
      <c r="B150" s="89" t="s">
        <v>500</v>
      </c>
      <c r="C150" s="89" t="s">
        <v>1140</v>
      </c>
      <c r="D150" s="89"/>
      <c r="E150" s="126">
        <v>16785119.468899999</v>
      </c>
      <c r="F150" s="91">
        <v>2566.0251388080001</v>
      </c>
      <c r="G150" s="92">
        <v>8.4015000000000006E-2</v>
      </c>
      <c r="H150" s="87" t="s">
        <v>143</v>
      </c>
    </row>
    <row r="151" spans="1:8" ht="14.25" customHeight="1" x14ac:dyDescent="0.2">
      <c r="A151" s="88">
        <v>2</v>
      </c>
      <c r="B151" s="89" t="s">
        <v>319</v>
      </c>
      <c r="C151" s="89" t="s">
        <v>953</v>
      </c>
      <c r="D151" s="89"/>
      <c r="E151" s="126">
        <v>39454.165000000001</v>
      </c>
      <c r="F151" s="91">
        <v>928.29349414800004</v>
      </c>
      <c r="G151" s="92">
        <v>3.039354E-2</v>
      </c>
      <c r="H151" s="87" t="s">
        <v>143</v>
      </c>
    </row>
    <row r="152" spans="1:8" ht="14.25" customHeight="1" x14ac:dyDescent="0.2">
      <c r="A152" s="93"/>
      <c r="B152" s="93"/>
      <c r="C152" s="94" t="s">
        <v>142</v>
      </c>
      <c r="D152" s="93"/>
      <c r="E152" s="93" t="s">
        <v>143</v>
      </c>
      <c r="F152" s="95">
        <v>3494.3186329559999</v>
      </c>
      <c r="G152" s="96">
        <v>0.11440854</v>
      </c>
      <c r="H152" s="87" t="s">
        <v>143</v>
      </c>
    </row>
    <row r="153" spans="1:8" ht="14.25" customHeight="1" x14ac:dyDescent="0.2">
      <c r="A153" s="93"/>
      <c r="B153" s="93"/>
      <c r="C153" s="97"/>
      <c r="D153" s="93"/>
      <c r="E153" s="93"/>
      <c r="F153" s="98"/>
      <c r="G153" s="98"/>
      <c r="H153" s="87" t="s">
        <v>143</v>
      </c>
    </row>
    <row r="154" spans="1:8" ht="14.25" customHeight="1" x14ac:dyDescent="0.2">
      <c r="A154" s="93"/>
      <c r="B154" s="93"/>
      <c r="C154" s="94" t="s">
        <v>165</v>
      </c>
      <c r="D154" s="93"/>
      <c r="E154" s="93"/>
      <c r="F154" s="93"/>
      <c r="G154" s="93"/>
      <c r="H154" s="87" t="s">
        <v>143</v>
      </c>
    </row>
    <row r="155" spans="1:8" ht="14.25" customHeight="1" x14ac:dyDescent="0.2">
      <c r="A155" s="93"/>
      <c r="B155" s="93"/>
      <c r="C155" s="94" t="s">
        <v>166</v>
      </c>
      <c r="D155" s="93"/>
      <c r="E155" s="93"/>
      <c r="F155" s="93"/>
      <c r="G155" s="93"/>
      <c r="H155" s="87" t="s">
        <v>143</v>
      </c>
    </row>
    <row r="156" spans="1:8" ht="14.25" customHeight="1" x14ac:dyDescent="0.2">
      <c r="A156" s="93"/>
      <c r="B156" s="93"/>
      <c r="C156" s="94" t="s">
        <v>142</v>
      </c>
      <c r="D156" s="93"/>
      <c r="E156" s="93" t="s">
        <v>143</v>
      </c>
      <c r="F156" s="99" t="s">
        <v>145</v>
      </c>
      <c r="G156" s="96">
        <v>0</v>
      </c>
      <c r="H156" s="87" t="s">
        <v>143</v>
      </c>
    </row>
    <row r="157" spans="1:8" ht="14.25" customHeight="1" x14ac:dyDescent="0.2">
      <c r="A157" s="93"/>
      <c r="B157" s="93"/>
      <c r="C157" s="97"/>
      <c r="D157" s="93"/>
      <c r="E157" s="93"/>
      <c r="F157" s="98"/>
      <c r="G157" s="98"/>
      <c r="H157" s="87" t="s">
        <v>143</v>
      </c>
    </row>
    <row r="158" spans="1:8" ht="14.25" customHeight="1" x14ac:dyDescent="0.2">
      <c r="A158" s="93"/>
      <c r="B158" s="93"/>
      <c r="C158" s="94" t="s">
        <v>167</v>
      </c>
      <c r="D158" s="93"/>
      <c r="E158" s="93"/>
      <c r="F158" s="98"/>
      <c r="G158" s="98"/>
      <c r="H158" s="87" t="s">
        <v>143</v>
      </c>
    </row>
    <row r="159" spans="1:8" ht="14.25" customHeight="1" x14ac:dyDescent="0.2">
      <c r="A159" s="93"/>
      <c r="B159" s="93"/>
      <c r="C159" s="94" t="s">
        <v>142</v>
      </c>
      <c r="D159" s="93"/>
      <c r="E159" s="93" t="s">
        <v>143</v>
      </c>
      <c r="F159" s="99" t="s">
        <v>145</v>
      </c>
      <c r="G159" s="96">
        <v>0</v>
      </c>
      <c r="H159" s="87" t="s">
        <v>143</v>
      </c>
    </row>
    <row r="160" spans="1:8" ht="14.25" customHeight="1" x14ac:dyDescent="0.2">
      <c r="A160" s="93"/>
      <c r="B160" s="93"/>
      <c r="C160" s="97"/>
      <c r="D160" s="93"/>
      <c r="E160" s="93"/>
      <c r="F160" s="98"/>
      <c r="G160" s="98"/>
      <c r="H160" s="87" t="s">
        <v>143</v>
      </c>
    </row>
    <row r="161" spans="1:17" ht="14.25" customHeight="1" x14ac:dyDescent="0.2">
      <c r="A161" s="100"/>
      <c r="B161" s="89"/>
      <c r="C161" s="89" t="s">
        <v>625</v>
      </c>
      <c r="D161" s="89"/>
      <c r="E161" s="100"/>
      <c r="F161" s="91">
        <v>25.000251200000001</v>
      </c>
      <c r="G161" s="92">
        <v>8.1853999999999998E-4</v>
      </c>
      <c r="H161" s="87" t="s">
        <v>143</v>
      </c>
    </row>
    <row r="162" spans="1:17" ht="14.25" customHeight="1" x14ac:dyDescent="0.2">
      <c r="A162" s="100"/>
      <c r="B162" s="89"/>
      <c r="C162" s="127" t="s">
        <v>1000</v>
      </c>
      <c r="D162" s="89"/>
      <c r="E162" s="100"/>
      <c r="F162" s="91">
        <f>20409.64630707+F109+0.494676251997948</f>
        <v>-969.45220417799976</v>
      </c>
      <c r="G162" s="92">
        <f>F162/F163</f>
        <v>-3.1741125260753969E-2</v>
      </c>
      <c r="H162" s="87" t="s">
        <v>143</v>
      </c>
    </row>
    <row r="163" spans="1:17" ht="14.25" customHeight="1" x14ac:dyDescent="0.2">
      <c r="A163" s="97"/>
      <c r="B163" s="97"/>
      <c r="C163" s="94" t="s">
        <v>169</v>
      </c>
      <c r="D163" s="98"/>
      <c r="E163" s="98"/>
      <c r="F163" s="95">
        <f>30541.970224218+0.494676251997948</f>
        <v>30542.464900469997</v>
      </c>
      <c r="G163" s="101">
        <v>0.99998388000000005</v>
      </c>
      <c r="H163" s="87" t="s">
        <v>143</v>
      </c>
    </row>
    <row r="164" spans="1:17" ht="12.75" x14ac:dyDescent="0.2">
      <c r="A164" s="102"/>
      <c r="B164" s="102"/>
      <c r="C164" s="102"/>
      <c r="D164" s="103"/>
      <c r="E164" s="103"/>
      <c r="F164" s="103"/>
      <c r="G164" s="103"/>
    </row>
    <row r="165" spans="1:17" ht="12.75" x14ac:dyDescent="0.2">
      <c r="A165" s="104"/>
      <c r="B165" s="206" t="s">
        <v>942</v>
      </c>
      <c r="C165" s="206"/>
      <c r="D165" s="206"/>
      <c r="E165" s="206"/>
      <c r="F165" s="206"/>
      <c r="G165" s="206"/>
      <c r="H165" s="206"/>
      <c r="J165" s="106"/>
    </row>
    <row r="166" spans="1:17" ht="12.75" x14ac:dyDescent="0.2">
      <c r="A166" s="104"/>
      <c r="B166" s="206" t="s">
        <v>943</v>
      </c>
      <c r="C166" s="206"/>
      <c r="D166" s="206"/>
      <c r="E166" s="206"/>
      <c r="F166" s="206"/>
      <c r="G166" s="206"/>
      <c r="H166" s="206"/>
      <c r="J166" s="106"/>
    </row>
    <row r="167" spans="1:17" ht="12.75" x14ac:dyDescent="0.2">
      <c r="A167" s="104"/>
      <c r="B167" s="206" t="s">
        <v>944</v>
      </c>
      <c r="C167" s="206"/>
      <c r="D167" s="206"/>
      <c r="E167" s="206"/>
      <c r="F167" s="206"/>
      <c r="G167" s="206"/>
      <c r="H167" s="206"/>
      <c r="J167" s="106"/>
    </row>
    <row r="168" spans="1:17" s="108" customFormat="1" ht="66.75" customHeight="1" x14ac:dyDescent="0.25">
      <c r="A168" s="107"/>
      <c r="B168" s="207" t="s">
        <v>945</v>
      </c>
      <c r="C168" s="207"/>
      <c r="D168" s="207"/>
      <c r="E168" s="207"/>
      <c r="F168" s="207"/>
      <c r="G168" s="207"/>
      <c r="H168" s="207"/>
      <c r="I168"/>
      <c r="J168" s="106"/>
      <c r="K168"/>
      <c r="L168"/>
      <c r="M168"/>
      <c r="N168"/>
      <c r="O168"/>
      <c r="P168"/>
      <c r="Q168"/>
    </row>
    <row r="169" spans="1:17" ht="12.75" x14ac:dyDescent="0.2">
      <c r="A169" s="104"/>
      <c r="B169" s="206" t="s">
        <v>946</v>
      </c>
      <c r="C169" s="206"/>
      <c r="D169" s="206"/>
      <c r="E169" s="206"/>
      <c r="F169" s="206"/>
      <c r="G169" s="206"/>
      <c r="H169" s="206"/>
      <c r="J169" s="106"/>
    </row>
    <row r="170" spans="1:17" ht="12.75" x14ac:dyDescent="0.2">
      <c r="A170" s="104"/>
      <c r="B170" s="104"/>
      <c r="C170" s="104"/>
      <c r="D170" s="109"/>
      <c r="E170" s="109"/>
      <c r="F170" s="109"/>
      <c r="G170" s="109"/>
    </row>
    <row r="171" spans="1:17" ht="12.75" x14ac:dyDescent="0.2">
      <c r="A171" s="104"/>
      <c r="B171" s="199" t="s">
        <v>170</v>
      </c>
      <c r="C171" s="200"/>
      <c r="D171" s="201"/>
      <c r="E171" s="110"/>
      <c r="F171" s="109"/>
      <c r="G171" s="109"/>
    </row>
    <row r="172" spans="1:17" ht="27.75" customHeight="1" x14ac:dyDescent="0.2">
      <c r="A172" s="104"/>
      <c r="B172" s="202" t="s">
        <v>171</v>
      </c>
      <c r="C172" s="203"/>
      <c r="D172" s="169" t="s">
        <v>1001</v>
      </c>
      <c r="E172" s="110"/>
      <c r="F172" s="109"/>
      <c r="G172" s="109"/>
    </row>
    <row r="173" spans="1:17" ht="12.75" customHeight="1" x14ac:dyDescent="0.2">
      <c r="A173" s="104"/>
      <c r="B173" s="202" t="s">
        <v>947</v>
      </c>
      <c r="C173" s="203"/>
      <c r="D173" s="86" t="s">
        <v>172</v>
      </c>
      <c r="E173" s="110"/>
      <c r="F173" s="109"/>
      <c r="G173" s="109"/>
    </row>
    <row r="174" spans="1:17" ht="12.75" x14ac:dyDescent="0.2">
      <c r="A174" s="104"/>
      <c r="B174" s="202" t="s">
        <v>173</v>
      </c>
      <c r="C174" s="203"/>
      <c r="D174" s="111" t="s">
        <v>143</v>
      </c>
      <c r="E174" s="110"/>
      <c r="F174" s="109"/>
      <c r="G174" s="109"/>
    </row>
    <row r="175" spans="1:17" ht="12.75" x14ac:dyDescent="0.2">
      <c r="A175" s="112"/>
      <c r="B175" s="113" t="s">
        <v>143</v>
      </c>
      <c r="C175" s="113" t="s">
        <v>948</v>
      </c>
      <c r="D175" s="113" t="s">
        <v>174</v>
      </c>
      <c r="E175" s="112"/>
      <c r="F175" s="112"/>
      <c r="G175" s="112"/>
      <c r="H175" s="112"/>
      <c r="J175" s="106"/>
    </row>
    <row r="176" spans="1:17" ht="12.75" x14ac:dyDescent="0.2">
      <c r="A176" s="112"/>
      <c r="B176" s="114" t="s">
        <v>175</v>
      </c>
      <c r="C176" s="115">
        <v>45869</v>
      </c>
      <c r="D176" s="115">
        <v>45900</v>
      </c>
      <c r="E176" s="112"/>
      <c r="F176" s="112"/>
      <c r="G176" s="112"/>
      <c r="J176" s="106"/>
    </row>
    <row r="177" spans="1:15" ht="12.75" x14ac:dyDescent="0.2">
      <c r="A177" s="116"/>
      <c r="B177" s="89" t="s">
        <v>176</v>
      </c>
      <c r="C177" s="117">
        <v>15.321400000000001</v>
      </c>
      <c r="D177" s="117">
        <v>15.390700000000001</v>
      </c>
      <c r="E177" s="116"/>
      <c r="F177" s="118"/>
      <c r="G177" s="119"/>
    </row>
    <row r="178" spans="1:15" ht="25.5" x14ac:dyDescent="0.2">
      <c r="A178" s="116"/>
      <c r="B178" s="89" t="s">
        <v>1002</v>
      </c>
      <c r="C178" s="117">
        <v>13.2478</v>
      </c>
      <c r="D178" s="117">
        <v>13.307700000000001</v>
      </c>
      <c r="E178" s="116"/>
      <c r="F178" s="118"/>
      <c r="G178" s="119"/>
    </row>
    <row r="179" spans="1:15" ht="12.75" x14ac:dyDescent="0.2">
      <c r="A179" s="116"/>
      <c r="B179" s="89" t="s">
        <v>177</v>
      </c>
      <c r="C179" s="117">
        <v>14.513999999999999</v>
      </c>
      <c r="D179" s="117">
        <v>14.5693</v>
      </c>
      <c r="E179" s="116"/>
      <c r="F179" s="118"/>
      <c r="G179" s="119"/>
    </row>
    <row r="180" spans="1:15" ht="25.5" x14ac:dyDescent="0.2">
      <c r="A180" s="116"/>
      <c r="B180" s="89" t="s">
        <v>1003</v>
      </c>
      <c r="C180" s="117">
        <v>12.7608</v>
      </c>
      <c r="D180" s="117">
        <v>12.8095</v>
      </c>
      <c r="E180" s="116"/>
      <c r="F180" s="118"/>
      <c r="G180" s="119"/>
    </row>
    <row r="181" spans="1:15" ht="14.25" customHeight="1" x14ac:dyDescent="0.2">
      <c r="A181" s="116"/>
      <c r="B181" s="116"/>
      <c r="C181" s="116"/>
      <c r="D181" s="116"/>
      <c r="E181" s="116"/>
      <c r="F181" s="116"/>
      <c r="G181" s="116"/>
    </row>
    <row r="182" spans="1:15" ht="12.75" x14ac:dyDescent="0.2">
      <c r="A182" s="112"/>
      <c r="B182" s="202" t="s">
        <v>949</v>
      </c>
      <c r="C182" s="203"/>
      <c r="D182" s="86" t="s">
        <v>172</v>
      </c>
      <c r="E182" s="112"/>
      <c r="F182" s="112"/>
      <c r="G182" s="112"/>
    </row>
    <row r="183" spans="1:15" ht="12.75" x14ac:dyDescent="0.2">
      <c r="A183" s="112"/>
      <c r="B183" s="120"/>
      <c r="C183" s="120"/>
      <c r="D183" s="120"/>
      <c r="E183" s="112"/>
      <c r="F183" s="112"/>
      <c r="G183" s="112"/>
    </row>
    <row r="184" spans="1:15" ht="29.1" customHeight="1" x14ac:dyDescent="0.2">
      <c r="A184" s="112"/>
      <c r="B184" s="202" t="s">
        <v>178</v>
      </c>
      <c r="C184" s="203"/>
      <c r="D184" s="86" t="s">
        <v>1004</v>
      </c>
      <c r="E184" s="121"/>
      <c r="F184" s="112"/>
      <c r="G184" s="112"/>
    </row>
    <row r="185" spans="1:15" ht="29.1" customHeight="1" x14ac:dyDescent="0.2">
      <c r="A185" s="112"/>
      <c r="B185" s="202" t="s">
        <v>179</v>
      </c>
      <c r="C185" s="203"/>
      <c r="D185" s="86" t="s">
        <v>172</v>
      </c>
      <c r="E185" s="121"/>
      <c r="F185" s="112"/>
      <c r="G185" s="112"/>
      <c r="I185" s="170"/>
    </row>
    <row r="186" spans="1:15" ht="17.100000000000001" customHeight="1" x14ac:dyDescent="0.2">
      <c r="A186" s="112"/>
      <c r="B186" s="202" t="s">
        <v>180</v>
      </c>
      <c r="C186" s="203"/>
      <c r="D186" s="86" t="s">
        <v>172</v>
      </c>
      <c r="E186" s="121"/>
      <c r="F186" s="112"/>
      <c r="G186" s="112"/>
    </row>
    <row r="187" spans="1:15" ht="17.100000000000001" customHeight="1" x14ac:dyDescent="0.2">
      <c r="A187" s="112"/>
      <c r="B187" s="202" t="s">
        <v>181</v>
      </c>
      <c r="C187" s="203"/>
      <c r="D187" s="122">
        <v>9.5278876107992136</v>
      </c>
      <c r="E187" s="112"/>
      <c r="F187" s="105"/>
      <c r="G187" s="123"/>
    </row>
    <row r="188" spans="1:15" ht="12.75" x14ac:dyDescent="0.2"/>
    <row r="189" spans="1:15" s="152" customFormat="1" ht="12.75" x14ac:dyDescent="0.2">
      <c r="B189" s="153" t="s">
        <v>1221</v>
      </c>
      <c r="C189" s="153"/>
      <c r="D189" s="153"/>
      <c r="E189" s="12"/>
      <c r="F189" s="13"/>
      <c r="I189"/>
      <c r="J189"/>
      <c r="K189"/>
      <c r="L189"/>
      <c r="M189"/>
      <c r="N189"/>
    </row>
    <row r="190" spans="1:15" ht="13.5" customHeight="1" x14ac:dyDescent="0.2">
      <c r="B190" s="236" t="s">
        <v>1005</v>
      </c>
      <c r="C190" s="236" t="s">
        <v>1006</v>
      </c>
      <c r="D190" s="239" t="s">
        <v>1007</v>
      </c>
      <c r="E190" s="240"/>
      <c r="F190" s="241"/>
      <c r="G190" s="229" t="s">
        <v>1008</v>
      </c>
      <c r="H190" s="230"/>
      <c r="I190" s="231"/>
      <c r="J190" s="171"/>
      <c r="K190" s="171"/>
      <c r="L190" s="171"/>
      <c r="M190" s="171"/>
      <c r="N190" s="171"/>
      <c r="O190" s="171"/>
    </row>
    <row r="191" spans="1:15" ht="46.5" customHeight="1" x14ac:dyDescent="0.2">
      <c r="B191" s="237"/>
      <c r="C191" s="237"/>
      <c r="D191" s="232" t="s">
        <v>1009</v>
      </c>
      <c r="E191" s="232" t="s">
        <v>1010</v>
      </c>
      <c r="F191" s="232" t="s">
        <v>1011</v>
      </c>
      <c r="G191" s="234" t="s">
        <v>1012</v>
      </c>
      <c r="H191" s="235"/>
      <c r="I191" s="232" t="s">
        <v>1013</v>
      </c>
      <c r="J191" s="171"/>
      <c r="K191" s="171"/>
      <c r="L191" s="171"/>
      <c r="M191" s="171"/>
      <c r="N191" s="171"/>
      <c r="O191" s="171"/>
    </row>
    <row r="192" spans="1:15" ht="21" customHeight="1" x14ac:dyDescent="0.2">
      <c r="B192" s="238"/>
      <c r="C192" s="238"/>
      <c r="D192" s="233"/>
      <c r="E192" s="233"/>
      <c r="F192" s="233"/>
      <c r="G192" s="172" t="s">
        <v>1014</v>
      </c>
      <c r="H192" s="172" t="s">
        <v>1015</v>
      </c>
      <c r="I192" s="233"/>
      <c r="J192" s="171"/>
      <c r="K192" s="171"/>
      <c r="L192" s="171"/>
      <c r="M192" s="171"/>
      <c r="N192" s="171"/>
      <c r="O192" s="171"/>
    </row>
    <row r="193" spans="2:16" ht="13.5" x14ac:dyDescent="0.25">
      <c r="B193" s="173" t="s">
        <v>1016</v>
      </c>
      <c r="C193" s="174" t="s">
        <v>1017</v>
      </c>
      <c r="D193" s="175">
        <v>48.884799999999998</v>
      </c>
      <c r="E193" s="9">
        <v>1.1152</v>
      </c>
      <c r="F193" s="176">
        <f>D193+E193</f>
        <v>50</v>
      </c>
      <c r="G193" s="10">
        <v>2.1270963690000002</v>
      </c>
      <c r="H193" s="10">
        <v>1.34</v>
      </c>
      <c r="I193" s="10">
        <f>G193+H193</f>
        <v>3.4670963690000001</v>
      </c>
      <c r="J193" s="171"/>
      <c r="K193" s="171"/>
      <c r="L193" s="171"/>
      <c r="M193" s="171"/>
      <c r="N193" s="171"/>
      <c r="O193" s="171"/>
    </row>
    <row r="194" spans="2:16" s="152" customFormat="1" ht="12.75" x14ac:dyDescent="0.2">
      <c r="B194" s="177"/>
      <c r="C194" s="178"/>
      <c r="D194" s="179"/>
      <c r="E194" s="14"/>
      <c r="F194" s="180"/>
      <c r="G194" s="177"/>
      <c r="I194"/>
      <c r="J194"/>
      <c r="K194"/>
      <c r="L194"/>
      <c r="M194"/>
      <c r="N194"/>
      <c r="O194"/>
    </row>
    <row r="195" spans="2:16" ht="42" customHeight="1" x14ac:dyDescent="0.2">
      <c r="B195" s="224" t="s">
        <v>1018</v>
      </c>
      <c r="C195" s="224"/>
      <c r="D195" s="224"/>
      <c r="E195" s="224"/>
      <c r="F195" s="224"/>
      <c r="G195" s="224"/>
      <c r="H195" s="224"/>
      <c r="I195" s="224"/>
      <c r="J195" s="181"/>
      <c r="K195" s="171"/>
      <c r="L195" s="171"/>
      <c r="M195" s="171"/>
      <c r="N195" s="171"/>
      <c r="O195" s="171"/>
    </row>
    <row r="196" spans="2:16" ht="13.5" x14ac:dyDescent="0.25">
      <c r="B196" s="182" t="s">
        <v>1019</v>
      </c>
      <c r="I196" s="171"/>
      <c r="J196" s="84"/>
      <c r="K196" s="171"/>
      <c r="L196" s="171"/>
      <c r="M196" s="171"/>
      <c r="N196" s="171"/>
      <c r="O196" s="171"/>
      <c r="P196" s="171"/>
    </row>
    <row r="197" spans="2:16" ht="12.75" x14ac:dyDescent="0.2">
      <c r="B197" s="11" t="s">
        <v>1020</v>
      </c>
      <c r="J197" s="84"/>
      <c r="K197" s="171"/>
      <c r="L197" s="171"/>
      <c r="M197" s="171"/>
      <c r="N197" s="171"/>
      <c r="O197" s="171"/>
    </row>
    <row r="198" spans="2:16" s="152" customFormat="1" ht="12.75" x14ac:dyDescent="0.2">
      <c r="I198"/>
      <c r="J198"/>
      <c r="K198"/>
      <c r="L198"/>
      <c r="M198"/>
      <c r="N198"/>
      <c r="O198"/>
      <c r="P198"/>
    </row>
    <row r="199" spans="2:16" s="152" customFormat="1" ht="12.75" x14ac:dyDescent="0.2">
      <c r="B199" s="214" t="s">
        <v>1031</v>
      </c>
      <c r="C199" s="215"/>
      <c r="D199" s="216"/>
      <c r="I199"/>
      <c r="J199"/>
      <c r="K199"/>
      <c r="L199"/>
      <c r="M199"/>
      <c r="N199"/>
      <c r="O199"/>
      <c r="P199"/>
    </row>
    <row r="200" spans="2:16" s="152" customFormat="1" ht="12.75" x14ac:dyDescent="0.2">
      <c r="B200" s="213" t="s">
        <v>1032</v>
      </c>
      <c r="C200" s="213"/>
      <c r="D200" s="147" t="s">
        <v>628</v>
      </c>
      <c r="I200"/>
      <c r="J200"/>
      <c r="K200"/>
      <c r="L200"/>
      <c r="M200"/>
      <c r="N200"/>
      <c r="O200"/>
      <c r="P200"/>
    </row>
    <row r="201" spans="2:16" s="152" customFormat="1" ht="12.75" x14ac:dyDescent="0.2">
      <c r="B201" s="213" t="s">
        <v>1033</v>
      </c>
      <c r="C201" s="213"/>
      <c r="D201" s="129"/>
      <c r="I201"/>
      <c r="J201"/>
      <c r="K201"/>
      <c r="L201"/>
      <c r="M201"/>
      <c r="N201"/>
      <c r="O201"/>
      <c r="P201"/>
    </row>
    <row r="202" spans="2:16" s="152" customFormat="1" ht="12.75" x14ac:dyDescent="0.2">
      <c r="B202" s="210"/>
      <c r="C202" s="212"/>
      <c r="D202" s="130"/>
      <c r="I202"/>
      <c r="J202"/>
      <c r="K202"/>
      <c r="L202"/>
      <c r="M202"/>
      <c r="N202"/>
      <c r="O202"/>
      <c r="P202"/>
    </row>
    <row r="203" spans="2:16" s="152" customFormat="1" ht="12.75" x14ac:dyDescent="0.2">
      <c r="B203" s="213" t="s">
        <v>1034</v>
      </c>
      <c r="C203" s="213"/>
      <c r="D203" s="131">
        <v>5.533733759879385</v>
      </c>
      <c r="I203"/>
      <c r="J203"/>
      <c r="K203"/>
      <c r="L203"/>
      <c r="M203"/>
      <c r="N203"/>
      <c r="O203"/>
      <c r="P203"/>
    </row>
    <row r="204" spans="2:16" s="152" customFormat="1" ht="12.75" x14ac:dyDescent="0.2">
      <c r="B204" s="210"/>
      <c r="C204" s="212"/>
      <c r="D204" s="130"/>
      <c r="I204"/>
      <c r="J204"/>
      <c r="K204"/>
      <c r="L204"/>
      <c r="M204"/>
      <c r="N204"/>
      <c r="O204"/>
      <c r="P204"/>
    </row>
    <row r="205" spans="2:16" s="152" customFormat="1" ht="12.75" x14ac:dyDescent="0.2">
      <c r="B205" s="213" t="s">
        <v>1035</v>
      </c>
      <c r="C205" s="213"/>
      <c r="D205" s="131">
        <v>0.4197397256715758</v>
      </c>
      <c r="I205"/>
      <c r="J205"/>
      <c r="K205"/>
      <c r="L205"/>
      <c r="M205"/>
      <c r="N205"/>
      <c r="O205"/>
      <c r="P205"/>
    </row>
    <row r="206" spans="2:16" s="152" customFormat="1" ht="12.75" x14ac:dyDescent="0.2">
      <c r="B206" s="213" t="s">
        <v>1036</v>
      </c>
      <c r="C206" s="213"/>
      <c r="D206" s="131">
        <v>0.43774091613949856</v>
      </c>
      <c r="I206"/>
      <c r="J206"/>
      <c r="K206"/>
      <c r="L206"/>
      <c r="M206"/>
      <c r="N206"/>
      <c r="O206"/>
      <c r="P206"/>
    </row>
    <row r="207" spans="2:16" s="152" customFormat="1" ht="12.75" x14ac:dyDescent="0.2">
      <c r="B207" s="210"/>
      <c r="C207" s="212"/>
      <c r="D207" s="130"/>
      <c r="I207"/>
      <c r="J207"/>
      <c r="K207"/>
      <c r="L207"/>
      <c r="M207"/>
      <c r="N207"/>
      <c r="O207"/>
      <c r="P207"/>
    </row>
    <row r="208" spans="2:16" s="152" customFormat="1" ht="12.75" x14ac:dyDescent="0.2">
      <c r="B208" s="213" t="s">
        <v>1037</v>
      </c>
      <c r="C208" s="213"/>
      <c r="D208" s="132" t="s">
        <v>1220</v>
      </c>
      <c r="I208"/>
      <c r="J208"/>
      <c r="K208"/>
      <c r="L208"/>
      <c r="M208"/>
      <c r="N208"/>
      <c r="O208"/>
      <c r="P208"/>
    </row>
    <row r="209" spans="2:16" s="152" customFormat="1" ht="12.75" x14ac:dyDescent="0.2">
      <c r="B209" s="210" t="s">
        <v>1038</v>
      </c>
      <c r="C209" s="211"/>
      <c r="D209" s="212"/>
      <c r="I209"/>
      <c r="J209"/>
      <c r="K209"/>
      <c r="L209"/>
      <c r="M209"/>
      <c r="N209"/>
      <c r="O209"/>
      <c r="P209"/>
    </row>
    <row r="210" spans="2:16" ht="12.75" x14ac:dyDescent="0.2"/>
    <row r="211" spans="2:16" ht="12.75" x14ac:dyDescent="0.2">
      <c r="B211" s="204" t="s">
        <v>950</v>
      </c>
      <c r="C211" s="204"/>
    </row>
    <row r="212" spans="2:16" ht="12.75" x14ac:dyDescent="0.2"/>
    <row r="213" spans="2:16" ht="153.75" customHeight="1" x14ac:dyDescent="0.2"/>
    <row r="214" spans="2:16" ht="12.75" x14ac:dyDescent="0.2"/>
    <row r="215" spans="2:16" ht="12.75" x14ac:dyDescent="0.2"/>
    <row r="216" spans="2:16" ht="12.75" x14ac:dyDescent="0.2">
      <c r="B216" s="124" t="s">
        <v>951</v>
      </c>
      <c r="C216" s="125"/>
      <c r="D216" s="124"/>
    </row>
    <row r="217" spans="2:16" ht="12.75" x14ac:dyDescent="0.2">
      <c r="B217" s="124" t="s">
        <v>1074</v>
      </c>
      <c r="D217" s="124"/>
    </row>
    <row r="218" spans="2:16" ht="165" customHeight="1" x14ac:dyDescent="0.2"/>
    <row r="219" spans="2:16" ht="12.75" x14ac:dyDescent="0.2"/>
    <row r="220" spans="2:16" ht="12.75" x14ac:dyDescent="0.2">
      <c r="J220" s="84"/>
    </row>
    <row r="221" spans="2:16" ht="12.75" x14ac:dyDescent="0.2"/>
    <row r="222" spans="2:16" ht="12.75" x14ac:dyDescent="0.2"/>
    <row r="223" spans="2:16" ht="12.75" x14ac:dyDescent="0.2"/>
    <row r="224" spans="2:16" ht="12.75"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sheetData>
  <mergeCells count="39">
    <mergeCell ref="A1:H1"/>
    <mergeCell ref="A2:H2"/>
    <mergeCell ref="A3:H3"/>
    <mergeCell ref="B182:C182"/>
    <mergeCell ref="B186:C186"/>
    <mergeCell ref="B165:H165"/>
    <mergeCell ref="B166:H166"/>
    <mergeCell ref="B167:H167"/>
    <mergeCell ref="B168:H168"/>
    <mergeCell ref="B169:H169"/>
    <mergeCell ref="B171:D171"/>
    <mergeCell ref="B172:C172"/>
    <mergeCell ref="B173:C173"/>
    <mergeCell ref="B174:C174"/>
    <mergeCell ref="B184:C184"/>
    <mergeCell ref="B185:C185"/>
    <mergeCell ref="B190:B192"/>
    <mergeCell ref="C190:C192"/>
    <mergeCell ref="B187:C187"/>
    <mergeCell ref="D190:F190"/>
    <mergeCell ref="G190:I190"/>
    <mergeCell ref="D191:D192"/>
    <mergeCell ref="E191:E192"/>
    <mergeCell ref="F191:F192"/>
    <mergeCell ref="G191:H191"/>
    <mergeCell ref="I191:I192"/>
    <mergeCell ref="B195:I195"/>
    <mergeCell ref="B199:D199"/>
    <mergeCell ref="B200:C200"/>
    <mergeCell ref="B201:C201"/>
    <mergeCell ref="B202:C202"/>
    <mergeCell ref="B208:C208"/>
    <mergeCell ref="B209:D209"/>
    <mergeCell ref="B211:C211"/>
    <mergeCell ref="B203:C203"/>
    <mergeCell ref="B204:C204"/>
    <mergeCell ref="B205:C205"/>
    <mergeCell ref="B206:C206"/>
    <mergeCell ref="B207:C207"/>
  </mergeCells>
  <hyperlinks>
    <hyperlink ref="I1" location="Index!B2" display="Index" xr:uid="{E199ECED-DE6A-4255-9B05-12AD24C4EEA2}"/>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3BCF3-A0DC-42F9-89FB-B142A92A7C88}">
  <sheetPr>
    <outlinePr summaryBelow="0" summaryRight="0"/>
  </sheetPr>
  <dimension ref="A1:Q245"/>
  <sheetViews>
    <sheetView showGridLines="0" workbookViewId="0">
      <selection activeCell="H193" sqref="H193"/>
    </sheetView>
  </sheetViews>
  <sheetFormatPr defaultRowHeight="14.25" customHeight="1" x14ac:dyDescent="0.2"/>
  <cols>
    <col min="1" max="1" width="5.85546875" bestFit="1" customWidth="1"/>
    <col min="2" max="2" width="19.7109375" customWidth="1"/>
    <col min="3" max="3" width="69.5703125" bestFit="1" customWidth="1"/>
    <col min="4" max="4" width="29.28515625" bestFit="1" customWidth="1"/>
    <col min="5" max="5" width="9.14062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651</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31</v>
      </c>
      <c r="C7" s="89" t="s">
        <v>32</v>
      </c>
      <c r="D7" s="89" t="s">
        <v>33</v>
      </c>
      <c r="E7" s="90">
        <v>713498</v>
      </c>
      <c r="F7" s="91">
        <v>9973.275044</v>
      </c>
      <c r="G7" s="92">
        <v>6.0151509999999998E-2</v>
      </c>
      <c r="H7" s="87" t="s">
        <v>143</v>
      </c>
    </row>
    <row r="8" spans="1:9" ht="14.25" customHeight="1" x14ac:dyDescent="0.2">
      <c r="A8" s="88">
        <v>2</v>
      </c>
      <c r="B8" s="89" t="s">
        <v>321</v>
      </c>
      <c r="C8" s="89" t="s">
        <v>322</v>
      </c>
      <c r="D8" s="89" t="s">
        <v>33</v>
      </c>
      <c r="E8" s="90">
        <v>1013762</v>
      </c>
      <c r="F8" s="91">
        <v>9646.9591920000003</v>
      </c>
      <c r="G8" s="92">
        <v>5.8183409999999998E-2</v>
      </c>
      <c r="H8" s="87" t="s">
        <v>143</v>
      </c>
    </row>
    <row r="9" spans="1:9" ht="14.25" customHeight="1" x14ac:dyDescent="0.2">
      <c r="A9" s="88">
        <v>3</v>
      </c>
      <c r="B9" s="89" t="s">
        <v>17</v>
      </c>
      <c r="C9" s="89" t="s">
        <v>18</v>
      </c>
      <c r="D9" s="89" t="s">
        <v>19</v>
      </c>
      <c r="E9" s="90">
        <v>606562</v>
      </c>
      <c r="F9" s="91">
        <v>8232.2594640000007</v>
      </c>
      <c r="G9" s="92">
        <v>4.9650979999999997E-2</v>
      </c>
      <c r="H9" s="87" t="s">
        <v>143</v>
      </c>
    </row>
    <row r="10" spans="1:9" ht="14.25" customHeight="1" x14ac:dyDescent="0.2">
      <c r="A10" s="88">
        <v>4</v>
      </c>
      <c r="B10" s="89" t="s">
        <v>11</v>
      </c>
      <c r="C10" s="89" t="s">
        <v>12</v>
      </c>
      <c r="D10" s="89" t="s">
        <v>13</v>
      </c>
      <c r="E10" s="90">
        <v>390657</v>
      </c>
      <c r="F10" s="91">
        <v>7378.7294160000001</v>
      </c>
      <c r="G10" s="92">
        <v>4.4503109999999999E-2</v>
      </c>
      <c r="H10" s="87" t="s">
        <v>143</v>
      </c>
    </row>
    <row r="11" spans="1:9" ht="14.25" customHeight="1" x14ac:dyDescent="0.2">
      <c r="A11" s="88">
        <v>5</v>
      </c>
      <c r="B11" s="89" t="s">
        <v>323</v>
      </c>
      <c r="C11" s="89" t="s">
        <v>324</v>
      </c>
      <c r="D11" s="89" t="s">
        <v>33</v>
      </c>
      <c r="E11" s="90">
        <v>303856</v>
      </c>
      <c r="F11" s="91">
        <v>5956.4891680000001</v>
      </c>
      <c r="G11" s="92">
        <v>3.5925190000000003E-2</v>
      </c>
      <c r="H11" s="87" t="s">
        <v>143</v>
      </c>
    </row>
    <row r="12" spans="1:9" ht="12.75" x14ac:dyDescent="0.2">
      <c r="A12" s="148">
        <v>6</v>
      </c>
      <c r="B12" s="127" t="s">
        <v>969</v>
      </c>
      <c r="C12" s="127" t="s">
        <v>970</v>
      </c>
      <c r="D12" s="127" t="s">
        <v>77</v>
      </c>
      <c r="E12" s="149">
        <v>1075000</v>
      </c>
      <c r="F12" s="150">
        <f>416960250/10^5</f>
        <v>4169.6025</v>
      </c>
      <c r="G12" s="151">
        <f>F12/F182</f>
        <v>2.5147997671793085E-2</v>
      </c>
      <c r="H12" s="87" t="s">
        <v>143</v>
      </c>
    </row>
    <row r="13" spans="1:9" ht="14.25" customHeight="1" x14ac:dyDescent="0.2">
      <c r="A13" s="88">
        <v>7</v>
      </c>
      <c r="B13" s="89" t="s">
        <v>14</v>
      </c>
      <c r="C13" s="89" t="s">
        <v>15</v>
      </c>
      <c r="D13" s="89" t="s">
        <v>16</v>
      </c>
      <c r="E13" s="90">
        <v>98015</v>
      </c>
      <c r="F13" s="91">
        <v>3529.5201499999998</v>
      </c>
      <c r="G13" s="92">
        <v>2.1287489999999999E-2</v>
      </c>
      <c r="H13" s="87" t="s">
        <v>143</v>
      </c>
    </row>
    <row r="14" spans="1:9" ht="14.25" customHeight="1" x14ac:dyDescent="0.2">
      <c r="A14" s="88">
        <v>8</v>
      </c>
      <c r="B14" s="89" t="s">
        <v>49</v>
      </c>
      <c r="C14" s="89" t="s">
        <v>50</v>
      </c>
      <c r="D14" s="89" t="s">
        <v>33</v>
      </c>
      <c r="E14" s="90">
        <v>394485</v>
      </c>
      <c r="F14" s="91">
        <v>3165.7421250000002</v>
      </c>
      <c r="G14" s="92">
        <v>1.9093450000000001E-2</v>
      </c>
      <c r="H14" s="87" t="s">
        <v>143</v>
      </c>
    </row>
    <row r="15" spans="1:9" ht="14.25" customHeight="1" x14ac:dyDescent="0.2">
      <c r="A15" s="88">
        <v>9</v>
      </c>
      <c r="B15" s="89" t="s">
        <v>351</v>
      </c>
      <c r="C15" s="89" t="s">
        <v>352</v>
      </c>
      <c r="D15" s="89" t="s">
        <v>191</v>
      </c>
      <c r="E15" s="90">
        <v>222555</v>
      </c>
      <c r="F15" s="91">
        <v>3161.8388850000001</v>
      </c>
      <c r="G15" s="92">
        <v>1.9069900000000001E-2</v>
      </c>
      <c r="H15" s="87" t="s">
        <v>143</v>
      </c>
    </row>
    <row r="16" spans="1:9" ht="14.25" customHeight="1" x14ac:dyDescent="0.2">
      <c r="A16" s="88">
        <v>10</v>
      </c>
      <c r="B16" s="89" t="s">
        <v>331</v>
      </c>
      <c r="C16" s="89" t="s">
        <v>332</v>
      </c>
      <c r="D16" s="89" t="s">
        <v>243</v>
      </c>
      <c r="E16" s="90">
        <v>88575</v>
      </c>
      <c r="F16" s="91">
        <v>2833.9571249999999</v>
      </c>
      <c r="G16" s="92">
        <v>1.7092360000000001E-2</v>
      </c>
      <c r="H16" s="87" t="s">
        <v>143</v>
      </c>
    </row>
    <row r="17" spans="1:8" ht="14.25" customHeight="1" x14ac:dyDescent="0.2">
      <c r="A17" s="88">
        <v>11</v>
      </c>
      <c r="B17" s="89" t="s">
        <v>325</v>
      </c>
      <c r="C17" s="89" t="s">
        <v>326</v>
      </c>
      <c r="D17" s="89" t="s">
        <v>199</v>
      </c>
      <c r="E17" s="90">
        <v>189225</v>
      </c>
      <c r="F17" s="91">
        <v>2780.8506000000002</v>
      </c>
      <c r="G17" s="92">
        <v>1.6772059999999998E-2</v>
      </c>
      <c r="H17" s="87" t="s">
        <v>143</v>
      </c>
    </row>
    <row r="18" spans="1:8" ht="14.25" customHeight="1" x14ac:dyDescent="0.2">
      <c r="A18" s="88">
        <v>12</v>
      </c>
      <c r="B18" s="89" t="s">
        <v>445</v>
      </c>
      <c r="C18" s="89" t="s">
        <v>446</v>
      </c>
      <c r="D18" s="89" t="s">
        <v>429</v>
      </c>
      <c r="E18" s="90">
        <v>104506</v>
      </c>
      <c r="F18" s="91">
        <v>2779.650588</v>
      </c>
      <c r="G18" s="92">
        <v>1.676482E-2</v>
      </c>
      <c r="H18" s="87" t="s">
        <v>143</v>
      </c>
    </row>
    <row r="19" spans="1:8" ht="14.25" customHeight="1" x14ac:dyDescent="0.2">
      <c r="A19" s="88">
        <v>13</v>
      </c>
      <c r="B19" s="89" t="s">
        <v>329</v>
      </c>
      <c r="C19" s="89" t="s">
        <v>330</v>
      </c>
      <c r="D19" s="89" t="s">
        <v>191</v>
      </c>
      <c r="E19" s="90">
        <v>304395</v>
      </c>
      <c r="F19" s="91">
        <v>2672.1315075000002</v>
      </c>
      <c r="G19" s="92">
        <v>1.6116350000000002E-2</v>
      </c>
      <c r="H19" s="87" t="s">
        <v>143</v>
      </c>
    </row>
    <row r="20" spans="1:8" ht="14.25" customHeight="1" x14ac:dyDescent="0.2">
      <c r="A20" s="88">
        <v>14</v>
      </c>
      <c r="B20" s="89" t="s">
        <v>343</v>
      </c>
      <c r="C20" s="89" t="s">
        <v>344</v>
      </c>
      <c r="D20" s="89" t="s">
        <v>275</v>
      </c>
      <c r="E20" s="90">
        <v>698400</v>
      </c>
      <c r="F20" s="91">
        <v>2192.6268</v>
      </c>
      <c r="G20" s="92">
        <v>1.3224319999999999E-2</v>
      </c>
      <c r="H20" s="87" t="s">
        <v>143</v>
      </c>
    </row>
    <row r="21" spans="1:8" ht="14.25" customHeight="1" x14ac:dyDescent="0.2">
      <c r="A21" s="88">
        <v>15</v>
      </c>
      <c r="B21" s="89" t="s">
        <v>333</v>
      </c>
      <c r="C21" s="89" t="s">
        <v>334</v>
      </c>
      <c r="D21" s="89" t="s">
        <v>33</v>
      </c>
      <c r="E21" s="90">
        <v>936000</v>
      </c>
      <c r="F21" s="91">
        <v>2179.2887999999998</v>
      </c>
      <c r="G21" s="92">
        <v>1.314388E-2</v>
      </c>
      <c r="H21" s="87" t="s">
        <v>143</v>
      </c>
    </row>
    <row r="22" spans="1:8" ht="14.25" customHeight="1" x14ac:dyDescent="0.2">
      <c r="A22" s="88">
        <v>16</v>
      </c>
      <c r="B22" s="89" t="s">
        <v>439</v>
      </c>
      <c r="C22" s="89" t="s">
        <v>440</v>
      </c>
      <c r="D22" s="89" t="s">
        <v>194</v>
      </c>
      <c r="E22" s="90">
        <v>128800</v>
      </c>
      <c r="F22" s="91">
        <v>2047.1472000000001</v>
      </c>
      <c r="G22" s="92">
        <v>1.2346899999999999E-2</v>
      </c>
      <c r="H22" s="87" t="s">
        <v>143</v>
      </c>
    </row>
    <row r="23" spans="1:8" ht="14.25" customHeight="1" x14ac:dyDescent="0.2">
      <c r="A23" s="88">
        <v>17</v>
      </c>
      <c r="B23" s="89" t="s">
        <v>636</v>
      </c>
      <c r="C23" s="89" t="s">
        <v>637</v>
      </c>
      <c r="D23" s="89" t="s">
        <v>33</v>
      </c>
      <c r="E23" s="90">
        <v>1917000</v>
      </c>
      <c r="F23" s="91">
        <v>1990.4211</v>
      </c>
      <c r="G23" s="92">
        <v>1.200477E-2</v>
      </c>
      <c r="H23" s="87" t="s">
        <v>143</v>
      </c>
    </row>
    <row r="24" spans="1:8" ht="14.25" customHeight="1" x14ac:dyDescent="0.2">
      <c r="A24" s="88">
        <v>18</v>
      </c>
      <c r="B24" s="89" t="s">
        <v>71</v>
      </c>
      <c r="C24" s="89" t="s">
        <v>72</v>
      </c>
      <c r="D24" s="89" t="s">
        <v>68</v>
      </c>
      <c r="E24" s="90">
        <v>49936</v>
      </c>
      <c r="F24" s="91">
        <v>1910.6512319999999</v>
      </c>
      <c r="G24" s="92">
        <v>1.152365E-2</v>
      </c>
      <c r="H24" s="87" t="s">
        <v>143</v>
      </c>
    </row>
    <row r="25" spans="1:8" ht="14.25" customHeight="1" x14ac:dyDescent="0.2">
      <c r="A25" s="88">
        <v>19</v>
      </c>
      <c r="B25" s="89" t="s">
        <v>430</v>
      </c>
      <c r="C25" s="89" t="s">
        <v>431</v>
      </c>
      <c r="D25" s="89" t="s">
        <v>199</v>
      </c>
      <c r="E25" s="90">
        <v>130359</v>
      </c>
      <c r="F25" s="91">
        <v>1896.462732</v>
      </c>
      <c r="G25" s="92">
        <v>1.143808E-2</v>
      </c>
      <c r="H25" s="87" t="s">
        <v>143</v>
      </c>
    </row>
    <row r="26" spans="1:8" ht="14.25" customHeight="1" x14ac:dyDescent="0.2">
      <c r="A26" s="88">
        <v>20</v>
      </c>
      <c r="B26" s="89" t="s">
        <v>26</v>
      </c>
      <c r="C26" s="89" t="s">
        <v>27</v>
      </c>
      <c r="D26" s="89" t="s">
        <v>28</v>
      </c>
      <c r="E26" s="90">
        <v>496560</v>
      </c>
      <c r="F26" s="91">
        <v>1834.2926399999999</v>
      </c>
      <c r="G26" s="92">
        <v>1.1063109999999999E-2</v>
      </c>
      <c r="H26" s="87" t="s">
        <v>143</v>
      </c>
    </row>
    <row r="27" spans="1:8" ht="14.25" customHeight="1" x14ac:dyDescent="0.2">
      <c r="A27" s="88">
        <v>21</v>
      </c>
      <c r="B27" s="89" t="s">
        <v>183</v>
      </c>
      <c r="C27" s="89" t="s">
        <v>184</v>
      </c>
      <c r="D27" s="89" t="s">
        <v>185</v>
      </c>
      <c r="E27" s="90">
        <v>79235</v>
      </c>
      <c r="F27" s="91">
        <v>1829.6153850000001</v>
      </c>
      <c r="G27" s="92">
        <v>1.10349E-2</v>
      </c>
      <c r="H27" s="87" t="s">
        <v>143</v>
      </c>
    </row>
    <row r="28" spans="1:8" ht="14.25" customHeight="1" x14ac:dyDescent="0.2">
      <c r="A28" s="88">
        <v>22</v>
      </c>
      <c r="B28" s="89" t="s">
        <v>51</v>
      </c>
      <c r="C28" s="89" t="s">
        <v>52</v>
      </c>
      <c r="D28" s="89" t="s">
        <v>53</v>
      </c>
      <c r="E28" s="90">
        <v>31945</v>
      </c>
      <c r="F28" s="91">
        <v>1803.6147000000001</v>
      </c>
      <c r="G28" s="92">
        <v>1.087809E-2</v>
      </c>
      <c r="H28" s="87" t="s">
        <v>143</v>
      </c>
    </row>
    <row r="29" spans="1:8" ht="14.25" customHeight="1" x14ac:dyDescent="0.2">
      <c r="A29" s="88">
        <v>23</v>
      </c>
      <c r="B29" s="89" t="s">
        <v>503</v>
      </c>
      <c r="C29" s="89" t="s">
        <v>504</v>
      </c>
      <c r="D29" s="89" t="s">
        <v>191</v>
      </c>
      <c r="E29" s="90">
        <v>468690</v>
      </c>
      <c r="F29" s="91">
        <v>1779.6159299999999</v>
      </c>
      <c r="G29" s="92">
        <v>1.0733339999999999E-2</v>
      </c>
      <c r="H29" s="87" t="s">
        <v>143</v>
      </c>
    </row>
    <row r="30" spans="1:8" ht="14.25" customHeight="1" x14ac:dyDescent="0.2">
      <c r="A30" s="88">
        <v>24</v>
      </c>
      <c r="B30" s="89" t="s">
        <v>250</v>
      </c>
      <c r="C30" s="89" t="s">
        <v>251</v>
      </c>
      <c r="D30" s="89" t="s">
        <v>191</v>
      </c>
      <c r="E30" s="90">
        <v>288000</v>
      </c>
      <c r="F30" s="91">
        <v>1671.12</v>
      </c>
      <c r="G30" s="92">
        <v>1.007898E-2</v>
      </c>
      <c r="H30" s="87" t="s">
        <v>143</v>
      </c>
    </row>
    <row r="31" spans="1:8" ht="14.25" customHeight="1" x14ac:dyDescent="0.2">
      <c r="A31" s="88">
        <v>25</v>
      </c>
      <c r="B31" s="89" t="s">
        <v>505</v>
      </c>
      <c r="C31" s="89" t="s">
        <v>506</v>
      </c>
      <c r="D31" s="89" t="s">
        <v>243</v>
      </c>
      <c r="E31" s="90">
        <v>11177</v>
      </c>
      <c r="F31" s="91">
        <v>1653.1900700000001</v>
      </c>
      <c r="G31" s="92">
        <v>9.9708399999999999E-3</v>
      </c>
      <c r="H31" s="87" t="s">
        <v>143</v>
      </c>
    </row>
    <row r="32" spans="1:8" ht="14.25" customHeight="1" x14ac:dyDescent="0.2">
      <c r="A32" s="88">
        <v>26</v>
      </c>
      <c r="B32" s="89" t="s">
        <v>441</v>
      </c>
      <c r="C32" s="89" t="s">
        <v>442</v>
      </c>
      <c r="D32" s="89" t="s">
        <v>204</v>
      </c>
      <c r="E32" s="90">
        <v>143200</v>
      </c>
      <c r="F32" s="91">
        <v>1525.6528000000001</v>
      </c>
      <c r="G32" s="92">
        <v>9.2016200000000006E-3</v>
      </c>
      <c r="H32" s="87" t="s">
        <v>143</v>
      </c>
    </row>
    <row r="33" spans="1:8" ht="14.25" customHeight="1" x14ac:dyDescent="0.2">
      <c r="A33" s="88">
        <v>27</v>
      </c>
      <c r="B33" s="89" t="s">
        <v>527</v>
      </c>
      <c r="C33" s="89" t="s">
        <v>528</v>
      </c>
      <c r="D33" s="89" t="s">
        <v>191</v>
      </c>
      <c r="E33" s="90">
        <v>76500</v>
      </c>
      <c r="F33" s="91">
        <v>1463.8275000000001</v>
      </c>
      <c r="G33" s="92">
        <v>8.8287399999999999E-3</v>
      </c>
      <c r="H33" s="87" t="s">
        <v>143</v>
      </c>
    </row>
    <row r="34" spans="1:8" ht="14.25" customHeight="1" x14ac:dyDescent="0.2">
      <c r="A34" s="88">
        <v>28</v>
      </c>
      <c r="B34" s="89" t="s">
        <v>205</v>
      </c>
      <c r="C34" s="89" t="s">
        <v>206</v>
      </c>
      <c r="D34" s="89" t="s">
        <v>207</v>
      </c>
      <c r="E34" s="90">
        <v>228481</v>
      </c>
      <c r="F34" s="91">
        <v>1434.2894775</v>
      </c>
      <c r="G34" s="92">
        <v>8.6505899999999997E-3</v>
      </c>
      <c r="H34" s="87" t="s">
        <v>143</v>
      </c>
    </row>
    <row r="35" spans="1:8" ht="14.25" customHeight="1" x14ac:dyDescent="0.2">
      <c r="A35" s="88">
        <v>29</v>
      </c>
      <c r="B35" s="89" t="s">
        <v>337</v>
      </c>
      <c r="C35" s="89" t="s">
        <v>338</v>
      </c>
      <c r="D35" s="89" t="s">
        <v>28</v>
      </c>
      <c r="E35" s="90">
        <v>31950</v>
      </c>
      <c r="F35" s="91">
        <v>1384.2656999999999</v>
      </c>
      <c r="G35" s="92">
        <v>8.3488799999999995E-3</v>
      </c>
      <c r="H35" s="87" t="s">
        <v>143</v>
      </c>
    </row>
    <row r="36" spans="1:8" ht="14.25" customHeight="1" x14ac:dyDescent="0.2">
      <c r="A36" s="88">
        <v>30</v>
      </c>
      <c r="B36" s="89" t="s">
        <v>437</v>
      </c>
      <c r="C36" s="89" t="s">
        <v>438</v>
      </c>
      <c r="D36" s="89" t="s">
        <v>199</v>
      </c>
      <c r="E36" s="90">
        <v>43925</v>
      </c>
      <c r="F36" s="91">
        <v>1354.954475</v>
      </c>
      <c r="G36" s="92">
        <v>8.1720999999999999E-3</v>
      </c>
      <c r="H36" s="87" t="s">
        <v>143</v>
      </c>
    </row>
    <row r="37" spans="1:8" ht="14.25" customHeight="1" x14ac:dyDescent="0.2">
      <c r="A37" s="88">
        <v>31</v>
      </c>
      <c r="B37" s="89" t="s">
        <v>37</v>
      </c>
      <c r="C37" s="89" t="s">
        <v>38</v>
      </c>
      <c r="D37" s="89" t="s">
        <v>19</v>
      </c>
      <c r="E37" s="90">
        <v>429151</v>
      </c>
      <c r="F37" s="91">
        <v>1322.643382</v>
      </c>
      <c r="G37" s="92">
        <v>7.9772200000000001E-3</v>
      </c>
      <c r="H37" s="87" t="s">
        <v>143</v>
      </c>
    </row>
    <row r="38" spans="1:8" ht="14.25" customHeight="1" x14ac:dyDescent="0.2">
      <c r="A38" s="88">
        <v>32</v>
      </c>
      <c r="B38" s="89" t="s">
        <v>44</v>
      </c>
      <c r="C38" s="89" t="s">
        <v>45</v>
      </c>
      <c r="D38" s="89" t="s">
        <v>46</v>
      </c>
      <c r="E38" s="90">
        <v>17831</v>
      </c>
      <c r="F38" s="91">
        <v>1295.867925</v>
      </c>
      <c r="G38" s="92">
        <v>7.8157299999999999E-3</v>
      </c>
      <c r="H38" s="87" t="s">
        <v>143</v>
      </c>
    </row>
    <row r="39" spans="1:8" ht="14.25" customHeight="1" x14ac:dyDescent="0.2">
      <c r="A39" s="88">
        <v>33</v>
      </c>
      <c r="B39" s="89" t="s">
        <v>335</v>
      </c>
      <c r="C39" s="89" t="s">
        <v>336</v>
      </c>
      <c r="D39" s="89" t="s">
        <v>25</v>
      </c>
      <c r="E39" s="90">
        <v>45495</v>
      </c>
      <c r="F39" s="91">
        <v>1262.7592199999999</v>
      </c>
      <c r="G39" s="92">
        <v>7.6160400000000001E-3</v>
      </c>
      <c r="H39" s="87" t="s">
        <v>143</v>
      </c>
    </row>
    <row r="40" spans="1:8" ht="14.25" customHeight="1" x14ac:dyDescent="0.2">
      <c r="A40" s="88">
        <v>34</v>
      </c>
      <c r="B40" s="89" t="s">
        <v>507</v>
      </c>
      <c r="C40" s="89" t="s">
        <v>508</v>
      </c>
      <c r="D40" s="89" t="s">
        <v>243</v>
      </c>
      <c r="E40" s="90">
        <v>13885</v>
      </c>
      <c r="F40" s="91">
        <v>1198.4837749999999</v>
      </c>
      <c r="G40" s="92">
        <v>7.2283800000000004E-3</v>
      </c>
      <c r="H40" s="87" t="s">
        <v>143</v>
      </c>
    </row>
    <row r="41" spans="1:8" ht="14.25" customHeight="1" x14ac:dyDescent="0.2">
      <c r="A41" s="88">
        <v>35</v>
      </c>
      <c r="B41" s="89" t="s">
        <v>23</v>
      </c>
      <c r="C41" s="89" t="s">
        <v>24</v>
      </c>
      <c r="D41" s="89" t="s">
        <v>25</v>
      </c>
      <c r="E41" s="90">
        <v>9450</v>
      </c>
      <c r="F41" s="91">
        <v>1194.48</v>
      </c>
      <c r="G41" s="92">
        <v>7.2042299999999998E-3</v>
      </c>
      <c r="H41" s="87" t="s">
        <v>143</v>
      </c>
    </row>
    <row r="42" spans="1:8" ht="14.25" customHeight="1" x14ac:dyDescent="0.2">
      <c r="A42" s="88">
        <v>36</v>
      </c>
      <c r="B42" s="89" t="s">
        <v>509</v>
      </c>
      <c r="C42" s="89" t="s">
        <v>510</v>
      </c>
      <c r="D42" s="89" t="s">
        <v>232</v>
      </c>
      <c r="E42" s="90">
        <v>88705</v>
      </c>
      <c r="F42" s="91">
        <v>1162.92255</v>
      </c>
      <c r="G42" s="92">
        <v>7.0139E-3</v>
      </c>
      <c r="H42" s="87" t="s">
        <v>143</v>
      </c>
    </row>
    <row r="43" spans="1:8" ht="14.25" customHeight="1" x14ac:dyDescent="0.2">
      <c r="A43" s="88">
        <v>37</v>
      </c>
      <c r="B43" s="89" t="s">
        <v>47</v>
      </c>
      <c r="C43" s="89" t="s">
        <v>48</v>
      </c>
      <c r="D43" s="89" t="s">
        <v>22</v>
      </c>
      <c r="E43" s="90">
        <v>304232</v>
      </c>
      <c r="F43" s="91">
        <v>1138.284028</v>
      </c>
      <c r="G43" s="92">
        <v>6.8653000000000004E-3</v>
      </c>
      <c r="H43" s="87" t="s">
        <v>143</v>
      </c>
    </row>
    <row r="44" spans="1:8" ht="14.25" customHeight="1" x14ac:dyDescent="0.2">
      <c r="A44" s="88">
        <v>38</v>
      </c>
      <c r="B44" s="89" t="s">
        <v>259</v>
      </c>
      <c r="C44" s="89" t="s">
        <v>260</v>
      </c>
      <c r="D44" s="89" t="s">
        <v>194</v>
      </c>
      <c r="E44" s="90">
        <v>45975</v>
      </c>
      <c r="F44" s="91">
        <v>1136.22615</v>
      </c>
      <c r="G44" s="92">
        <v>6.8528900000000004E-3</v>
      </c>
      <c r="H44" s="87" t="s">
        <v>143</v>
      </c>
    </row>
    <row r="45" spans="1:8" ht="14.25" customHeight="1" x14ac:dyDescent="0.2">
      <c r="A45" s="88">
        <v>39</v>
      </c>
      <c r="B45" s="89" t="s">
        <v>252</v>
      </c>
      <c r="C45" s="89" t="s">
        <v>253</v>
      </c>
      <c r="D45" s="89" t="s">
        <v>43</v>
      </c>
      <c r="E45" s="90">
        <v>88045</v>
      </c>
      <c r="F45" s="91">
        <v>1126.09555</v>
      </c>
      <c r="G45" s="92">
        <v>6.7917899999999998E-3</v>
      </c>
      <c r="H45" s="87" t="s">
        <v>143</v>
      </c>
    </row>
    <row r="46" spans="1:8" ht="14.25" customHeight="1" x14ac:dyDescent="0.2">
      <c r="A46" s="88">
        <v>40</v>
      </c>
      <c r="B46" s="89" t="s">
        <v>432</v>
      </c>
      <c r="C46" s="89" t="s">
        <v>433</v>
      </c>
      <c r="D46" s="89" t="s">
        <v>263</v>
      </c>
      <c r="E46" s="90">
        <v>62150</v>
      </c>
      <c r="F46" s="91">
        <v>1122.11825</v>
      </c>
      <c r="G46" s="92">
        <v>6.7678E-3</v>
      </c>
      <c r="H46" s="87" t="s">
        <v>143</v>
      </c>
    </row>
    <row r="47" spans="1:8" ht="14.25" customHeight="1" x14ac:dyDescent="0.2">
      <c r="A47" s="88">
        <v>41</v>
      </c>
      <c r="B47" s="89" t="s">
        <v>221</v>
      </c>
      <c r="C47" s="89" t="s">
        <v>222</v>
      </c>
      <c r="D47" s="89" t="s">
        <v>223</v>
      </c>
      <c r="E47" s="90">
        <v>53255</v>
      </c>
      <c r="F47" s="91">
        <v>1116.33131</v>
      </c>
      <c r="G47" s="92">
        <v>6.7329E-3</v>
      </c>
      <c r="H47" s="87" t="s">
        <v>143</v>
      </c>
    </row>
    <row r="48" spans="1:8" ht="14.25" customHeight="1" x14ac:dyDescent="0.2">
      <c r="A48" s="88">
        <v>42</v>
      </c>
      <c r="B48" s="89" t="s">
        <v>347</v>
      </c>
      <c r="C48" s="89" t="s">
        <v>348</v>
      </c>
      <c r="D48" s="89" t="s">
        <v>194</v>
      </c>
      <c r="E48" s="90">
        <v>65495</v>
      </c>
      <c r="F48" s="91">
        <v>1044.317775</v>
      </c>
      <c r="G48" s="92">
        <v>6.2985599999999999E-3</v>
      </c>
      <c r="H48" s="87" t="s">
        <v>143</v>
      </c>
    </row>
    <row r="49" spans="1:8" ht="14.25" customHeight="1" x14ac:dyDescent="0.2">
      <c r="A49" s="88">
        <v>43</v>
      </c>
      <c r="B49" s="89" t="s">
        <v>427</v>
      </c>
      <c r="C49" s="89" t="s">
        <v>428</v>
      </c>
      <c r="D49" s="89" t="s">
        <v>429</v>
      </c>
      <c r="E49" s="90">
        <v>251470</v>
      </c>
      <c r="F49" s="91">
        <v>1030.3983250000001</v>
      </c>
      <c r="G49" s="92">
        <v>6.2146099999999998E-3</v>
      </c>
      <c r="H49" s="87" t="s">
        <v>143</v>
      </c>
    </row>
    <row r="50" spans="1:8" ht="14.25" customHeight="1" x14ac:dyDescent="0.2">
      <c r="A50" s="88">
        <v>44</v>
      </c>
      <c r="B50" s="89" t="s">
        <v>511</v>
      </c>
      <c r="C50" s="89" t="s">
        <v>512</v>
      </c>
      <c r="D50" s="89" t="s">
        <v>268</v>
      </c>
      <c r="E50" s="90">
        <v>32295</v>
      </c>
      <c r="F50" s="91">
        <v>985.09438499999999</v>
      </c>
      <c r="G50" s="92">
        <v>5.9413699999999996E-3</v>
      </c>
      <c r="H50" s="87" t="s">
        <v>143</v>
      </c>
    </row>
    <row r="51" spans="1:8" ht="14.25" customHeight="1" x14ac:dyDescent="0.2">
      <c r="A51" s="88">
        <v>45</v>
      </c>
      <c r="B51" s="89" t="s">
        <v>192</v>
      </c>
      <c r="C51" s="89" t="s">
        <v>193</v>
      </c>
      <c r="D51" s="89" t="s">
        <v>194</v>
      </c>
      <c r="E51" s="90">
        <v>49565</v>
      </c>
      <c r="F51" s="91">
        <v>939.20718499999998</v>
      </c>
      <c r="G51" s="92">
        <v>5.6646099999999996E-3</v>
      </c>
      <c r="H51" s="87" t="s">
        <v>143</v>
      </c>
    </row>
    <row r="52" spans="1:8" ht="14.25" customHeight="1" x14ac:dyDescent="0.2">
      <c r="A52" s="88">
        <v>46</v>
      </c>
      <c r="B52" s="89" t="s">
        <v>513</v>
      </c>
      <c r="C52" s="89" t="s">
        <v>514</v>
      </c>
      <c r="D52" s="89" t="s">
        <v>191</v>
      </c>
      <c r="E52" s="90">
        <v>75500</v>
      </c>
      <c r="F52" s="91">
        <v>920.04300000000001</v>
      </c>
      <c r="G52" s="92">
        <v>5.5490299999999999E-3</v>
      </c>
      <c r="H52" s="87" t="s">
        <v>143</v>
      </c>
    </row>
    <row r="53" spans="1:8" ht="14.25" customHeight="1" x14ac:dyDescent="0.2">
      <c r="A53" s="88">
        <v>47</v>
      </c>
      <c r="B53" s="89" t="s">
        <v>186</v>
      </c>
      <c r="C53" s="89" t="s">
        <v>187</v>
      </c>
      <c r="D53" s="89" t="s">
        <v>188</v>
      </c>
      <c r="E53" s="90">
        <v>100000</v>
      </c>
      <c r="F53" s="91">
        <v>911.5</v>
      </c>
      <c r="G53" s="92">
        <v>5.4974999999999998E-3</v>
      </c>
      <c r="H53" s="87" t="s">
        <v>143</v>
      </c>
    </row>
    <row r="54" spans="1:8" ht="12.75" x14ac:dyDescent="0.2">
      <c r="A54" s="148">
        <v>48</v>
      </c>
      <c r="B54" s="127" t="s">
        <v>1075</v>
      </c>
      <c r="C54" s="127" t="s">
        <v>1076</v>
      </c>
      <c r="D54" s="127" t="s">
        <v>22</v>
      </c>
      <c r="E54" s="149">
        <v>998132</v>
      </c>
      <c r="F54" s="150">
        <f>90670310.88/10^5</f>
        <v>906.7031088</v>
      </c>
      <c r="G54" s="151">
        <f>F54/F182</f>
        <v>5.4685710853996155E-3</v>
      </c>
      <c r="H54" s="87" t="s">
        <v>143</v>
      </c>
    </row>
    <row r="55" spans="1:8" ht="14.25" customHeight="1" x14ac:dyDescent="0.2">
      <c r="A55" s="88">
        <v>49</v>
      </c>
      <c r="B55" s="89" t="s">
        <v>282</v>
      </c>
      <c r="C55" s="89" t="s">
        <v>283</v>
      </c>
      <c r="D55" s="89" t="s">
        <v>194</v>
      </c>
      <c r="E55" s="90">
        <v>92306</v>
      </c>
      <c r="F55" s="91">
        <v>905.56801299999995</v>
      </c>
      <c r="G55" s="92">
        <v>5.4617299999999997E-3</v>
      </c>
      <c r="H55" s="87" t="s">
        <v>143</v>
      </c>
    </row>
    <row r="56" spans="1:8" ht="14.25" customHeight="1" x14ac:dyDescent="0.2">
      <c r="A56" s="88">
        <v>50</v>
      </c>
      <c r="B56" s="89" t="s">
        <v>54</v>
      </c>
      <c r="C56" s="89" t="s">
        <v>55</v>
      </c>
      <c r="D56" s="89" t="s">
        <v>25</v>
      </c>
      <c r="E56" s="90">
        <v>12790</v>
      </c>
      <c r="F56" s="91">
        <v>888.45735000000002</v>
      </c>
      <c r="G56" s="92">
        <v>5.3585300000000002E-3</v>
      </c>
      <c r="H56" s="87" t="s">
        <v>143</v>
      </c>
    </row>
    <row r="57" spans="1:8" ht="14.25" customHeight="1" x14ac:dyDescent="0.2">
      <c r="A57" s="88">
        <v>51</v>
      </c>
      <c r="B57" s="89" t="s">
        <v>339</v>
      </c>
      <c r="C57" s="89" t="s">
        <v>340</v>
      </c>
      <c r="D57" s="89" t="s">
        <v>223</v>
      </c>
      <c r="E57" s="90">
        <v>11750</v>
      </c>
      <c r="F57" s="91">
        <v>868.32500000000005</v>
      </c>
      <c r="G57" s="92">
        <v>5.2370999999999997E-3</v>
      </c>
      <c r="H57" s="87" t="s">
        <v>143</v>
      </c>
    </row>
    <row r="58" spans="1:8" ht="14.25" customHeight="1" x14ac:dyDescent="0.2">
      <c r="A58" s="88">
        <v>52</v>
      </c>
      <c r="B58" s="89" t="s">
        <v>269</v>
      </c>
      <c r="C58" s="89" t="s">
        <v>270</v>
      </c>
      <c r="D58" s="89" t="s">
        <v>77</v>
      </c>
      <c r="E58" s="90">
        <v>53065</v>
      </c>
      <c r="F58" s="91">
        <v>828.76917000000003</v>
      </c>
      <c r="G58" s="92">
        <v>4.9985300000000002E-3</v>
      </c>
      <c r="H58" s="87" t="s">
        <v>143</v>
      </c>
    </row>
    <row r="59" spans="1:8" ht="14.25" customHeight="1" x14ac:dyDescent="0.2">
      <c r="A59" s="88">
        <v>53</v>
      </c>
      <c r="B59" s="89" t="s">
        <v>297</v>
      </c>
      <c r="C59" s="89" t="s">
        <v>298</v>
      </c>
      <c r="D59" s="89" t="s">
        <v>191</v>
      </c>
      <c r="E59" s="90">
        <v>16371</v>
      </c>
      <c r="F59" s="91">
        <v>816.25806</v>
      </c>
      <c r="G59" s="92">
        <v>4.9230699999999999E-3</v>
      </c>
      <c r="H59" s="87" t="s">
        <v>143</v>
      </c>
    </row>
    <row r="60" spans="1:8" ht="14.25" customHeight="1" x14ac:dyDescent="0.2">
      <c r="A60" s="88">
        <v>54</v>
      </c>
      <c r="B60" s="89" t="s">
        <v>515</v>
      </c>
      <c r="C60" s="89" t="s">
        <v>516</v>
      </c>
      <c r="D60" s="89" t="s">
        <v>199</v>
      </c>
      <c r="E60" s="90">
        <v>50616</v>
      </c>
      <c r="F60" s="91">
        <v>749.825424</v>
      </c>
      <c r="G60" s="92">
        <v>4.5224000000000002E-3</v>
      </c>
      <c r="H60" s="87" t="s">
        <v>143</v>
      </c>
    </row>
    <row r="61" spans="1:8" ht="14.25" customHeight="1" x14ac:dyDescent="0.2">
      <c r="A61" s="88">
        <v>55</v>
      </c>
      <c r="B61" s="89" t="s">
        <v>349</v>
      </c>
      <c r="C61" s="89" t="s">
        <v>350</v>
      </c>
      <c r="D61" s="89" t="s">
        <v>232</v>
      </c>
      <c r="E61" s="90">
        <v>148605</v>
      </c>
      <c r="F61" s="91">
        <v>723.92925749999995</v>
      </c>
      <c r="G61" s="92">
        <v>4.3662099999999997E-3</v>
      </c>
      <c r="H61" s="87" t="s">
        <v>143</v>
      </c>
    </row>
    <row r="62" spans="1:8" ht="14.25" customHeight="1" x14ac:dyDescent="0.2">
      <c r="A62" s="88">
        <v>56</v>
      </c>
      <c r="B62" s="89" t="s">
        <v>652</v>
      </c>
      <c r="C62" s="89" t="s">
        <v>653</v>
      </c>
      <c r="D62" s="89" t="s">
        <v>204</v>
      </c>
      <c r="E62" s="90">
        <v>39900</v>
      </c>
      <c r="F62" s="91">
        <v>709.26239999999996</v>
      </c>
      <c r="G62" s="92">
        <v>4.2777500000000003E-3</v>
      </c>
      <c r="H62" s="87" t="s">
        <v>143</v>
      </c>
    </row>
    <row r="63" spans="1:8" ht="14.25" customHeight="1" x14ac:dyDescent="0.2">
      <c r="A63" s="88">
        <v>57</v>
      </c>
      <c r="B63" s="89" t="s">
        <v>517</v>
      </c>
      <c r="C63" s="89" t="s">
        <v>518</v>
      </c>
      <c r="D63" s="89" t="s">
        <v>43</v>
      </c>
      <c r="E63" s="90">
        <v>63209</v>
      </c>
      <c r="F63" s="91">
        <v>625.9271225</v>
      </c>
      <c r="G63" s="92">
        <v>3.7751400000000002E-3</v>
      </c>
      <c r="H63" s="87" t="s">
        <v>143</v>
      </c>
    </row>
    <row r="64" spans="1:8" ht="14.25" customHeight="1" x14ac:dyDescent="0.2">
      <c r="A64" s="88">
        <v>58</v>
      </c>
      <c r="B64" s="89" t="s">
        <v>519</v>
      </c>
      <c r="C64" s="89" t="s">
        <v>520</v>
      </c>
      <c r="D64" s="89" t="s">
        <v>243</v>
      </c>
      <c r="E64" s="90">
        <v>12258</v>
      </c>
      <c r="F64" s="91">
        <v>623.65026599999999</v>
      </c>
      <c r="G64" s="92">
        <v>3.7613999999999998E-3</v>
      </c>
      <c r="H64" s="87" t="s">
        <v>143</v>
      </c>
    </row>
    <row r="65" spans="1:8" ht="14.25" customHeight="1" x14ac:dyDescent="0.2">
      <c r="A65" s="88">
        <v>59</v>
      </c>
      <c r="B65" s="89" t="s">
        <v>87</v>
      </c>
      <c r="C65" s="89" t="s">
        <v>88</v>
      </c>
      <c r="D65" s="89" t="s">
        <v>13</v>
      </c>
      <c r="E65" s="90">
        <v>159020</v>
      </c>
      <c r="F65" s="91">
        <v>538.44172000000003</v>
      </c>
      <c r="G65" s="92">
        <v>3.24749E-3</v>
      </c>
      <c r="H65" s="87" t="s">
        <v>143</v>
      </c>
    </row>
    <row r="66" spans="1:8" ht="14.25" customHeight="1" x14ac:dyDescent="0.2">
      <c r="A66" s="88">
        <v>60</v>
      </c>
      <c r="B66" s="89" t="s">
        <v>78</v>
      </c>
      <c r="C66" s="89" t="s">
        <v>79</v>
      </c>
      <c r="D66" s="89" t="s">
        <v>80</v>
      </c>
      <c r="E66" s="90">
        <v>295375</v>
      </c>
      <c r="F66" s="91">
        <v>511.2055125</v>
      </c>
      <c r="G66" s="92">
        <v>3.0832199999999998E-3</v>
      </c>
      <c r="H66" s="87" t="s">
        <v>143</v>
      </c>
    </row>
    <row r="67" spans="1:8" ht="14.25" customHeight="1" x14ac:dyDescent="0.2">
      <c r="A67" s="88">
        <v>61</v>
      </c>
      <c r="B67" s="89" t="s">
        <v>345</v>
      </c>
      <c r="C67" s="89" t="s">
        <v>346</v>
      </c>
      <c r="D67" s="89" t="s">
        <v>207</v>
      </c>
      <c r="E67" s="90">
        <v>60937</v>
      </c>
      <c r="F67" s="91">
        <v>462.17667649999999</v>
      </c>
      <c r="G67" s="92">
        <v>2.78751E-3</v>
      </c>
      <c r="H67" s="87" t="s">
        <v>143</v>
      </c>
    </row>
    <row r="68" spans="1:8" ht="14.25" customHeight="1" x14ac:dyDescent="0.2">
      <c r="A68" s="88">
        <v>62</v>
      </c>
      <c r="B68" s="89" t="s">
        <v>484</v>
      </c>
      <c r="C68" s="89" t="s">
        <v>485</v>
      </c>
      <c r="D68" s="89" t="s">
        <v>223</v>
      </c>
      <c r="E68" s="90">
        <v>15673</v>
      </c>
      <c r="F68" s="91">
        <v>439.31419</v>
      </c>
      <c r="G68" s="92">
        <v>2.6496200000000001E-3</v>
      </c>
      <c r="H68" s="87" t="s">
        <v>143</v>
      </c>
    </row>
    <row r="69" spans="1:8" ht="14.25" customHeight="1" x14ac:dyDescent="0.2">
      <c r="A69" s="88">
        <v>63</v>
      </c>
      <c r="B69" s="89" t="s">
        <v>303</v>
      </c>
      <c r="C69" s="89" t="s">
        <v>304</v>
      </c>
      <c r="D69" s="89" t="s">
        <v>188</v>
      </c>
      <c r="E69" s="90">
        <v>76855</v>
      </c>
      <c r="F69" s="91">
        <v>416.78466500000002</v>
      </c>
      <c r="G69" s="92">
        <v>2.51374E-3</v>
      </c>
      <c r="H69" s="87" t="s">
        <v>143</v>
      </c>
    </row>
    <row r="70" spans="1:8" ht="14.25" customHeight="1" x14ac:dyDescent="0.2">
      <c r="A70" s="88">
        <v>64</v>
      </c>
      <c r="B70" s="89" t="s">
        <v>228</v>
      </c>
      <c r="C70" s="89" t="s">
        <v>229</v>
      </c>
      <c r="D70" s="89" t="s">
        <v>68</v>
      </c>
      <c r="E70" s="90">
        <v>4880</v>
      </c>
      <c r="F70" s="91">
        <v>346.04079999999999</v>
      </c>
      <c r="G70" s="92">
        <v>2.0870699999999999E-3</v>
      </c>
      <c r="H70" s="87" t="s">
        <v>143</v>
      </c>
    </row>
    <row r="71" spans="1:8" ht="14.25" customHeight="1" x14ac:dyDescent="0.2">
      <c r="A71" s="88">
        <v>65</v>
      </c>
      <c r="B71" s="89" t="s">
        <v>654</v>
      </c>
      <c r="C71" s="89" t="s">
        <v>655</v>
      </c>
      <c r="D71" s="89" t="s">
        <v>460</v>
      </c>
      <c r="E71" s="90">
        <v>5125</v>
      </c>
      <c r="F71" s="91">
        <v>298.48</v>
      </c>
      <c r="G71" s="92">
        <v>1.80021E-3</v>
      </c>
      <c r="H71" s="87" t="s">
        <v>143</v>
      </c>
    </row>
    <row r="72" spans="1:8" ht="14.25" customHeight="1" x14ac:dyDescent="0.2">
      <c r="A72" s="88">
        <v>66</v>
      </c>
      <c r="B72" s="89" t="s">
        <v>449</v>
      </c>
      <c r="C72" s="89" t="s">
        <v>450</v>
      </c>
      <c r="D72" s="89" t="s">
        <v>33</v>
      </c>
      <c r="E72" s="90">
        <v>39900</v>
      </c>
      <c r="F72" s="91">
        <v>295.06049999999999</v>
      </c>
      <c r="G72" s="92">
        <v>1.7795899999999999E-3</v>
      </c>
      <c r="H72" s="87" t="s">
        <v>143</v>
      </c>
    </row>
    <row r="73" spans="1:8" ht="14.25" customHeight="1" x14ac:dyDescent="0.2">
      <c r="A73" s="88">
        <v>67</v>
      </c>
      <c r="B73" s="89" t="s">
        <v>327</v>
      </c>
      <c r="C73" s="89" t="s">
        <v>328</v>
      </c>
      <c r="D73" s="89" t="s">
        <v>33</v>
      </c>
      <c r="E73" s="90">
        <v>11250</v>
      </c>
      <c r="F73" s="91">
        <v>117.58499999999999</v>
      </c>
      <c r="G73" s="92">
        <v>7.0918999999999995E-4</v>
      </c>
      <c r="H73" s="87" t="s">
        <v>143</v>
      </c>
    </row>
    <row r="74" spans="1:8" ht="14.25" customHeight="1" x14ac:dyDescent="0.2">
      <c r="A74" s="88">
        <v>68</v>
      </c>
      <c r="B74" s="89" t="s">
        <v>521</v>
      </c>
      <c r="C74" s="89" t="s">
        <v>522</v>
      </c>
      <c r="D74" s="89" t="s">
        <v>194</v>
      </c>
      <c r="E74" s="90">
        <v>32500</v>
      </c>
      <c r="F74" s="91">
        <v>113.21375</v>
      </c>
      <c r="G74" s="92">
        <v>6.8282E-4</v>
      </c>
      <c r="H74" s="87" t="s">
        <v>143</v>
      </c>
    </row>
    <row r="75" spans="1:8" ht="14.25" customHeight="1" x14ac:dyDescent="0.2">
      <c r="A75" s="93"/>
      <c r="B75" s="93"/>
      <c r="C75" s="94" t="s">
        <v>142</v>
      </c>
      <c r="D75" s="93"/>
      <c r="E75" s="93" t="s">
        <v>143</v>
      </c>
      <c r="F75" s="95">
        <f>SUM(F7:F74)</f>
        <v>127323.79310180001</v>
      </c>
      <c r="G75" s="96">
        <f>SUM(G7:G74)</f>
        <v>0.76792416875719305</v>
      </c>
      <c r="H75" s="87" t="s">
        <v>143</v>
      </c>
    </row>
    <row r="76" spans="1:8" ht="14.25" customHeight="1" x14ac:dyDescent="0.2">
      <c r="A76" s="93"/>
      <c r="B76" s="93"/>
      <c r="C76" s="97"/>
      <c r="D76" s="93"/>
      <c r="E76" s="93"/>
      <c r="F76" s="98"/>
      <c r="G76" s="98"/>
      <c r="H76" s="87" t="s">
        <v>143</v>
      </c>
    </row>
    <row r="77" spans="1:8" ht="14.25" customHeight="1" x14ac:dyDescent="0.2">
      <c r="A77" s="93"/>
      <c r="B77" s="93"/>
      <c r="C77" s="94" t="s">
        <v>144</v>
      </c>
      <c r="D77" s="93"/>
      <c r="E77" s="93"/>
      <c r="F77" s="93"/>
      <c r="G77" s="93"/>
      <c r="H77" s="87" t="s">
        <v>143</v>
      </c>
    </row>
    <row r="78" spans="1:8" ht="14.25" customHeight="1" x14ac:dyDescent="0.2">
      <c r="A78" s="93"/>
      <c r="B78" s="93"/>
      <c r="C78" s="94" t="s">
        <v>142</v>
      </c>
      <c r="D78" s="93"/>
      <c r="E78" s="93" t="s">
        <v>143</v>
      </c>
      <c r="F78" s="99" t="s">
        <v>145</v>
      </c>
      <c r="G78" s="96">
        <v>0</v>
      </c>
      <c r="H78" s="87" t="s">
        <v>143</v>
      </c>
    </row>
    <row r="79" spans="1:8" ht="14.25" customHeight="1" x14ac:dyDescent="0.2">
      <c r="A79" s="93"/>
      <c r="B79" s="93"/>
      <c r="C79" s="97"/>
      <c r="D79" s="93"/>
      <c r="E79" s="93"/>
      <c r="F79" s="98"/>
      <c r="G79" s="98"/>
      <c r="H79" s="87" t="s">
        <v>143</v>
      </c>
    </row>
    <row r="80" spans="1:8" ht="14.25" customHeight="1" x14ac:dyDescent="0.2">
      <c r="A80" s="93"/>
      <c r="B80" s="93"/>
      <c r="C80" s="94" t="s">
        <v>146</v>
      </c>
      <c r="D80" s="93"/>
      <c r="E80" s="93"/>
      <c r="F80" s="93"/>
      <c r="G80" s="93"/>
      <c r="H80" s="87" t="s">
        <v>143</v>
      </c>
    </row>
    <row r="81" spans="1:8" ht="14.25" customHeight="1" x14ac:dyDescent="0.2">
      <c r="A81" s="93"/>
      <c r="B81" s="93"/>
      <c r="C81" s="94" t="s">
        <v>142</v>
      </c>
      <c r="D81" s="93"/>
      <c r="E81" s="93" t="s">
        <v>143</v>
      </c>
      <c r="F81" s="99" t="s">
        <v>145</v>
      </c>
      <c r="G81" s="96">
        <v>0</v>
      </c>
      <c r="H81" s="87" t="s">
        <v>143</v>
      </c>
    </row>
    <row r="82" spans="1:8" ht="14.25" customHeight="1" x14ac:dyDescent="0.2">
      <c r="A82" s="93"/>
      <c r="B82" s="93"/>
      <c r="C82" s="97"/>
      <c r="D82" s="93"/>
      <c r="E82" s="93"/>
      <c r="F82" s="98"/>
      <c r="G82" s="98"/>
      <c r="H82" s="87" t="s">
        <v>143</v>
      </c>
    </row>
    <row r="83" spans="1:8" ht="14.25" customHeight="1" x14ac:dyDescent="0.2">
      <c r="A83" s="93"/>
      <c r="B83" s="93"/>
      <c r="C83" s="94" t="s">
        <v>147</v>
      </c>
      <c r="D83" s="93"/>
      <c r="E83" s="93"/>
      <c r="F83" s="93"/>
      <c r="G83" s="93"/>
      <c r="H83" s="87" t="s">
        <v>143</v>
      </c>
    </row>
    <row r="84" spans="1:8" ht="14.25" customHeight="1" x14ac:dyDescent="0.2">
      <c r="A84" s="93"/>
      <c r="B84" s="93"/>
      <c r="C84" s="94" t="s">
        <v>142</v>
      </c>
      <c r="D84" s="93"/>
      <c r="E84" s="93" t="s">
        <v>143</v>
      </c>
      <c r="F84" s="99" t="s">
        <v>145</v>
      </c>
      <c r="G84" s="96">
        <v>0</v>
      </c>
      <c r="H84" s="87" t="s">
        <v>143</v>
      </c>
    </row>
    <row r="85" spans="1:8" ht="14.25" customHeight="1" x14ac:dyDescent="0.2">
      <c r="A85" s="93"/>
      <c r="B85" s="93"/>
      <c r="C85" s="97"/>
      <c r="D85" s="93"/>
      <c r="E85" s="93"/>
      <c r="F85" s="98"/>
      <c r="G85" s="98"/>
      <c r="H85" s="87" t="s">
        <v>143</v>
      </c>
    </row>
    <row r="86" spans="1:8" ht="14.25" customHeight="1" x14ac:dyDescent="0.2">
      <c r="A86" s="93"/>
      <c r="B86" s="93"/>
      <c r="C86" s="94" t="s">
        <v>148</v>
      </c>
      <c r="D86" s="93"/>
      <c r="E86" s="93"/>
      <c r="F86" s="98"/>
      <c r="G86" s="98"/>
      <c r="H86" s="87" t="s">
        <v>143</v>
      </c>
    </row>
    <row r="87" spans="1:8" ht="14.25" customHeight="1" x14ac:dyDescent="0.2">
      <c r="A87" s="93"/>
      <c r="B87" s="93"/>
      <c r="C87" s="94" t="s">
        <v>142</v>
      </c>
      <c r="D87" s="93"/>
      <c r="E87" s="93" t="s">
        <v>143</v>
      </c>
      <c r="F87" s="99" t="s">
        <v>145</v>
      </c>
      <c r="G87" s="96">
        <v>0</v>
      </c>
      <c r="H87" s="87" t="s">
        <v>143</v>
      </c>
    </row>
    <row r="88" spans="1:8" ht="12.75" x14ac:dyDescent="0.2">
      <c r="A88" s="85"/>
      <c r="B88" s="85"/>
      <c r="C88" s="159"/>
      <c r="D88" s="85"/>
      <c r="E88" s="85"/>
      <c r="F88" s="111"/>
      <c r="G88" s="111"/>
      <c r="H88" s="87" t="s">
        <v>143</v>
      </c>
    </row>
    <row r="89" spans="1:8" ht="12.75" x14ac:dyDescent="0.2">
      <c r="A89" s="85"/>
      <c r="B89" s="85"/>
      <c r="C89" s="86" t="s">
        <v>975</v>
      </c>
      <c r="D89" s="85"/>
      <c r="E89" s="85"/>
      <c r="F89" s="85"/>
      <c r="G89" s="85"/>
      <c r="H89" s="87" t="s">
        <v>143</v>
      </c>
    </row>
    <row r="90" spans="1:8" ht="12.75" x14ac:dyDescent="0.2">
      <c r="A90" s="148">
        <v>1</v>
      </c>
      <c r="B90" s="127" t="s">
        <v>976</v>
      </c>
      <c r="C90" s="127" t="s">
        <v>977</v>
      </c>
      <c r="D90" s="127" t="s">
        <v>978</v>
      </c>
      <c r="E90" s="149">
        <v>750</v>
      </c>
      <c r="F90" s="150">
        <f>86284366.13/10^5</f>
        <v>862.84366130000001</v>
      </c>
      <c r="G90" s="160">
        <f>F90/F182</f>
        <v>5.2040429238743554E-3</v>
      </c>
      <c r="H90" s="87">
        <v>7.3</v>
      </c>
    </row>
    <row r="91" spans="1:8" ht="12.75" x14ac:dyDescent="0.2">
      <c r="A91" s="85"/>
      <c r="B91" s="85"/>
      <c r="C91" s="86" t="s">
        <v>142</v>
      </c>
      <c r="D91" s="85"/>
      <c r="E91" s="85" t="s">
        <v>143</v>
      </c>
      <c r="F91" s="161">
        <f>SUM(F90)</f>
        <v>862.84366130000001</v>
      </c>
      <c r="G91" s="162">
        <f>SUM(G90)</f>
        <v>5.2040429238743554E-3</v>
      </c>
      <c r="H91" s="87" t="s">
        <v>143</v>
      </c>
    </row>
    <row r="92" spans="1:8" ht="12.75" x14ac:dyDescent="0.2">
      <c r="A92" s="93"/>
      <c r="B92" s="93"/>
      <c r="C92" s="97"/>
      <c r="D92" s="93"/>
      <c r="E92" s="93"/>
      <c r="F92" s="98"/>
      <c r="G92" s="98"/>
      <c r="H92" s="87" t="s">
        <v>143</v>
      </c>
    </row>
    <row r="93" spans="1:8" ht="14.25" customHeight="1" x14ac:dyDescent="0.2">
      <c r="A93" s="93"/>
      <c r="B93" s="93"/>
      <c r="C93" s="97"/>
      <c r="D93" s="93"/>
      <c r="E93" s="93"/>
      <c r="F93" s="98"/>
      <c r="G93" s="98"/>
      <c r="H93" s="87" t="s">
        <v>143</v>
      </c>
    </row>
    <row r="94" spans="1:8" ht="14.25" customHeight="1" x14ac:dyDescent="0.2">
      <c r="A94" s="93"/>
      <c r="B94" s="93"/>
      <c r="C94" s="94" t="s">
        <v>149</v>
      </c>
      <c r="D94" s="93"/>
      <c r="E94" s="93"/>
      <c r="F94" s="98"/>
      <c r="G94" s="98"/>
      <c r="H94" s="87" t="s">
        <v>143</v>
      </c>
    </row>
    <row r="95" spans="1:8" ht="14.25" customHeight="1" x14ac:dyDescent="0.2">
      <c r="A95" s="88">
        <v>1</v>
      </c>
      <c r="B95" s="89"/>
      <c r="C95" s="89" t="s">
        <v>993</v>
      </c>
      <c r="D95" s="89" t="s">
        <v>530</v>
      </c>
      <c r="E95" s="90">
        <v>-32500</v>
      </c>
      <c r="F95" s="91">
        <v>-113.685</v>
      </c>
      <c r="G95" s="92">
        <f>F95/$F$182</f>
        <v>-6.8566490818196626E-4</v>
      </c>
      <c r="H95" s="87" t="s">
        <v>143</v>
      </c>
    </row>
    <row r="96" spans="1:8" ht="14.25" customHeight="1" x14ac:dyDescent="0.2">
      <c r="A96" s="88">
        <v>2</v>
      </c>
      <c r="B96" s="89"/>
      <c r="C96" s="89" t="s">
        <v>1072</v>
      </c>
      <c r="D96" s="89" t="s">
        <v>530</v>
      </c>
      <c r="E96" s="90">
        <v>-11250</v>
      </c>
      <c r="F96" s="91">
        <v>-118.36125</v>
      </c>
      <c r="G96" s="92">
        <f t="shared" ref="G96:G116" si="0">F96/$F$182</f>
        <v>-7.1386863362407312E-4</v>
      </c>
      <c r="H96" s="87" t="s">
        <v>143</v>
      </c>
    </row>
    <row r="97" spans="1:8" ht="14.25" customHeight="1" x14ac:dyDescent="0.2">
      <c r="A97" s="88">
        <v>3</v>
      </c>
      <c r="B97" s="89"/>
      <c r="C97" s="89" t="s">
        <v>1077</v>
      </c>
      <c r="D97" s="89" t="s">
        <v>530</v>
      </c>
      <c r="E97" s="90">
        <v>-72450</v>
      </c>
      <c r="F97" s="91">
        <v>-125.9181</v>
      </c>
      <c r="G97" s="92">
        <f t="shared" si="0"/>
        <v>-7.5944603487661201E-4</v>
      </c>
      <c r="H97" s="87" t="s">
        <v>143</v>
      </c>
    </row>
    <row r="98" spans="1:8" ht="14.25" customHeight="1" x14ac:dyDescent="0.2">
      <c r="A98" s="88">
        <v>4</v>
      </c>
      <c r="B98" s="89"/>
      <c r="C98" s="89" t="s">
        <v>1051</v>
      </c>
      <c r="D98" s="89" t="s">
        <v>530</v>
      </c>
      <c r="E98" s="90">
        <v>-5200</v>
      </c>
      <c r="F98" s="91">
        <v>-167.3152</v>
      </c>
      <c r="G98" s="92">
        <f t="shared" si="0"/>
        <v>-1.0091231142670301E-3</v>
      </c>
      <c r="H98" s="87" t="s">
        <v>143</v>
      </c>
    </row>
    <row r="99" spans="1:8" ht="14.25" customHeight="1" x14ac:dyDescent="0.2">
      <c r="A99" s="88">
        <v>5</v>
      </c>
      <c r="B99" s="89"/>
      <c r="C99" s="89" t="s">
        <v>1061</v>
      </c>
      <c r="D99" s="89" t="s">
        <v>530</v>
      </c>
      <c r="E99" s="90">
        <v>-39900</v>
      </c>
      <c r="F99" s="91">
        <v>-296.55675000000002</v>
      </c>
      <c r="G99" s="92">
        <f t="shared" si="0"/>
        <v>-1.7886137727887788E-3</v>
      </c>
      <c r="H99" s="87" t="s">
        <v>143</v>
      </c>
    </row>
    <row r="100" spans="1:8" ht="14.25" customHeight="1" x14ac:dyDescent="0.2">
      <c r="A100" s="88">
        <v>6</v>
      </c>
      <c r="B100" s="89"/>
      <c r="C100" s="89" t="s">
        <v>1078</v>
      </c>
      <c r="D100" s="89" t="s">
        <v>530</v>
      </c>
      <c r="E100" s="90">
        <v>-5125</v>
      </c>
      <c r="F100" s="91">
        <v>-300.299375</v>
      </c>
      <c r="G100" s="92">
        <f t="shared" si="0"/>
        <v>-1.8111865539559031E-3</v>
      </c>
      <c r="H100" s="87" t="s">
        <v>143</v>
      </c>
    </row>
    <row r="101" spans="1:8" ht="14.25" customHeight="1" x14ac:dyDescent="0.2">
      <c r="A101" s="88">
        <v>7</v>
      </c>
      <c r="B101" s="89"/>
      <c r="C101" s="89" t="s">
        <v>1062</v>
      </c>
      <c r="D101" s="89" t="s">
        <v>530</v>
      </c>
      <c r="E101" s="90">
        <v>-11400</v>
      </c>
      <c r="F101" s="91">
        <v>-305.0412</v>
      </c>
      <c r="G101" s="92">
        <f t="shared" si="0"/>
        <v>-1.8397857799157039E-3</v>
      </c>
      <c r="H101" s="87" t="s">
        <v>143</v>
      </c>
    </row>
    <row r="102" spans="1:8" ht="14.25" customHeight="1" x14ac:dyDescent="0.2">
      <c r="A102" s="88">
        <v>8</v>
      </c>
      <c r="B102" s="89"/>
      <c r="C102" s="89" t="s">
        <v>1079</v>
      </c>
      <c r="D102" s="89" t="s">
        <v>530</v>
      </c>
      <c r="E102" s="90">
        <v>-27200</v>
      </c>
      <c r="F102" s="91">
        <v>-401.3904</v>
      </c>
      <c r="G102" s="92">
        <f t="shared" si="0"/>
        <v>-2.4208938009510727E-3</v>
      </c>
      <c r="H102" s="87" t="s">
        <v>143</v>
      </c>
    </row>
    <row r="103" spans="1:8" ht="14.25" customHeight="1" x14ac:dyDescent="0.2">
      <c r="A103" s="88">
        <v>9</v>
      </c>
      <c r="B103" s="89"/>
      <c r="C103" s="89" t="s">
        <v>1080</v>
      </c>
      <c r="D103" s="89" t="s">
        <v>530</v>
      </c>
      <c r="E103" s="90">
        <v>-39900</v>
      </c>
      <c r="F103" s="91">
        <v>-711.45690000000002</v>
      </c>
      <c r="G103" s="92">
        <f t="shared" si="0"/>
        <v>-4.2909885210355488E-3</v>
      </c>
      <c r="H103" s="87" t="s">
        <v>143</v>
      </c>
    </row>
    <row r="104" spans="1:8" ht="14.25" customHeight="1" x14ac:dyDescent="0.2">
      <c r="A104" s="88">
        <v>10</v>
      </c>
      <c r="B104" s="89"/>
      <c r="C104" s="89" t="s">
        <v>998</v>
      </c>
      <c r="D104" s="89" t="s">
        <v>530</v>
      </c>
      <c r="E104" s="90">
        <v>-11750</v>
      </c>
      <c r="F104" s="91">
        <v>-874.02374999999995</v>
      </c>
      <c r="G104" s="92">
        <f t="shared" si="0"/>
        <v>-5.2714730553072766E-3</v>
      </c>
      <c r="H104" s="87" t="s">
        <v>143</v>
      </c>
    </row>
    <row r="105" spans="1:8" ht="14.25" customHeight="1" x14ac:dyDescent="0.2">
      <c r="A105" s="88">
        <v>11</v>
      </c>
      <c r="B105" s="89"/>
      <c r="C105" s="89" t="s">
        <v>1081</v>
      </c>
      <c r="D105" s="89" t="s">
        <v>530</v>
      </c>
      <c r="E105" s="90">
        <v>-71875</v>
      </c>
      <c r="F105" s="91">
        <v>-1027.3812499999999</v>
      </c>
      <c r="G105" s="92">
        <f t="shared" si="0"/>
        <v>-6.1964135149678813E-3</v>
      </c>
      <c r="H105" s="87" t="s">
        <v>143</v>
      </c>
    </row>
    <row r="106" spans="1:8" ht="14.25" customHeight="1" x14ac:dyDescent="0.2">
      <c r="A106" s="88">
        <v>12</v>
      </c>
      <c r="B106" s="89"/>
      <c r="C106" s="89" t="s">
        <v>981</v>
      </c>
      <c r="D106" s="89" t="s">
        <v>530</v>
      </c>
      <c r="E106" s="90">
        <v>-43925</v>
      </c>
      <c r="F106" s="91">
        <v>-1361.7628500000001</v>
      </c>
      <c r="G106" s="92">
        <f t="shared" si="0"/>
        <v>-8.2131591635735829E-3</v>
      </c>
      <c r="H106" s="87" t="s">
        <v>143</v>
      </c>
    </row>
    <row r="107" spans="1:8" ht="14.25" customHeight="1" x14ac:dyDescent="0.2">
      <c r="A107" s="88">
        <v>13</v>
      </c>
      <c r="B107" s="89"/>
      <c r="C107" s="89" t="s">
        <v>1063</v>
      </c>
      <c r="D107" s="89" t="s">
        <v>530</v>
      </c>
      <c r="E107" s="90">
        <v>-31950</v>
      </c>
      <c r="F107" s="91">
        <v>-1392.1253999999999</v>
      </c>
      <c r="G107" s="92">
        <f t="shared" si="0"/>
        <v>-8.396283894698358E-3</v>
      </c>
      <c r="H107" s="87" t="s">
        <v>143</v>
      </c>
    </row>
    <row r="108" spans="1:8" ht="14.25" customHeight="1" x14ac:dyDescent="0.2">
      <c r="A108" s="88">
        <v>14</v>
      </c>
      <c r="B108" s="89"/>
      <c r="C108" s="89" t="s">
        <v>979</v>
      </c>
      <c r="D108" s="89" t="s">
        <v>530</v>
      </c>
      <c r="E108" s="90">
        <v>-76500</v>
      </c>
      <c r="F108" s="91">
        <v>-1471.5540000000001</v>
      </c>
      <c r="G108" s="92">
        <f t="shared" si="0"/>
        <v>-8.8753392118116302E-3</v>
      </c>
      <c r="H108" s="87" t="s">
        <v>143</v>
      </c>
    </row>
    <row r="109" spans="1:8" ht="14.25" customHeight="1" x14ac:dyDescent="0.2">
      <c r="A109" s="88">
        <v>15</v>
      </c>
      <c r="B109" s="89"/>
      <c r="C109" s="89" t="s">
        <v>1052</v>
      </c>
      <c r="D109" s="89" t="s">
        <v>530</v>
      </c>
      <c r="E109" s="90">
        <v>-1917000</v>
      </c>
      <c r="F109" s="91">
        <v>-1997.8974000000001</v>
      </c>
      <c r="G109" s="92">
        <f t="shared" si="0"/>
        <v>-1.2049858269147109E-2</v>
      </c>
      <c r="H109" s="87" t="s">
        <v>143</v>
      </c>
    </row>
    <row r="110" spans="1:8" ht="14.25" customHeight="1" x14ac:dyDescent="0.2">
      <c r="A110" s="88">
        <v>16</v>
      </c>
      <c r="B110" s="89"/>
      <c r="C110" s="89" t="s">
        <v>1060</v>
      </c>
      <c r="D110" s="89" t="s">
        <v>530</v>
      </c>
      <c r="E110" s="90">
        <v>-128625</v>
      </c>
      <c r="F110" s="91">
        <v>-2052.0832500000001</v>
      </c>
      <c r="G110" s="92">
        <f t="shared" si="0"/>
        <v>-1.2376667750301279E-2</v>
      </c>
      <c r="H110" s="87" t="s">
        <v>143</v>
      </c>
    </row>
    <row r="111" spans="1:8" ht="14.25" customHeight="1" x14ac:dyDescent="0.2">
      <c r="A111" s="88">
        <v>17</v>
      </c>
      <c r="B111" s="89"/>
      <c r="C111" s="89" t="s">
        <v>987</v>
      </c>
      <c r="D111" s="89" t="s">
        <v>530</v>
      </c>
      <c r="E111" s="90">
        <v>-110800</v>
      </c>
      <c r="F111" s="91">
        <v>-2184.9760000000001</v>
      </c>
      <c r="G111" s="92">
        <f t="shared" si="0"/>
        <v>-1.3178179781147908E-2</v>
      </c>
      <c r="H111" s="87" t="s">
        <v>143</v>
      </c>
    </row>
    <row r="112" spans="1:8" ht="14.25" customHeight="1" x14ac:dyDescent="0.2">
      <c r="A112" s="88">
        <v>18</v>
      </c>
      <c r="B112" s="89"/>
      <c r="C112" s="89" t="s">
        <v>990</v>
      </c>
      <c r="D112" s="89" t="s">
        <v>530</v>
      </c>
      <c r="E112" s="90">
        <v>-936000</v>
      </c>
      <c r="F112" s="91">
        <v>-2186.7768000000001</v>
      </c>
      <c r="G112" s="92">
        <f t="shared" si="0"/>
        <v>-1.3189040891819097E-2</v>
      </c>
      <c r="H112" s="87" t="s">
        <v>143</v>
      </c>
    </row>
    <row r="113" spans="1:8" ht="14.25" customHeight="1" x14ac:dyDescent="0.2">
      <c r="A113" s="88">
        <v>19</v>
      </c>
      <c r="B113" s="89"/>
      <c r="C113" s="89" t="s">
        <v>994</v>
      </c>
      <c r="D113" s="89" t="s">
        <v>530</v>
      </c>
      <c r="E113" s="90">
        <v>-161000</v>
      </c>
      <c r="F113" s="91">
        <v>-2196.6840000000002</v>
      </c>
      <c r="G113" s="92">
        <f t="shared" si="0"/>
        <v>-1.3248793888066098E-2</v>
      </c>
      <c r="H113" s="87" t="s">
        <v>143</v>
      </c>
    </row>
    <row r="114" spans="1:8" ht="14.25" customHeight="1" x14ac:dyDescent="0.2">
      <c r="A114" s="88">
        <v>20</v>
      </c>
      <c r="B114" s="89"/>
      <c r="C114" s="89" t="s">
        <v>1082</v>
      </c>
      <c r="D114" s="89" t="s">
        <v>530</v>
      </c>
      <c r="E114" s="90">
        <v>-698400</v>
      </c>
      <c r="F114" s="91">
        <v>-2205.5472</v>
      </c>
      <c r="G114" s="92">
        <f t="shared" si="0"/>
        <v>-1.3302250238633E-2</v>
      </c>
      <c r="H114" s="87" t="s">
        <v>143</v>
      </c>
    </row>
    <row r="115" spans="1:8" ht="14.25" customHeight="1" x14ac:dyDescent="0.2">
      <c r="A115" s="88">
        <v>21</v>
      </c>
      <c r="B115" s="89"/>
      <c r="C115" s="89" t="s">
        <v>997</v>
      </c>
      <c r="D115" s="89" t="s">
        <v>530</v>
      </c>
      <c r="E115" s="90">
        <v>-169400</v>
      </c>
      <c r="F115" s="91">
        <v>-2382.2721999999999</v>
      </c>
      <c r="G115" s="92">
        <f t="shared" si="0"/>
        <v>-1.4368126395544273E-2</v>
      </c>
      <c r="H115" s="87" t="s">
        <v>143</v>
      </c>
    </row>
    <row r="116" spans="1:8" ht="14.25" customHeight="1" x14ac:dyDescent="0.2">
      <c r="A116" s="88">
        <v>22</v>
      </c>
      <c r="B116" s="89"/>
      <c r="C116" s="89" t="s">
        <v>989</v>
      </c>
      <c r="D116" s="89" t="s">
        <v>530</v>
      </c>
      <c r="E116" s="90">
        <v>-133950</v>
      </c>
      <c r="F116" s="91">
        <v>-2544.3802500000002</v>
      </c>
      <c r="G116" s="92">
        <f t="shared" si="0"/>
        <v>-1.5345843783227852E-2</v>
      </c>
      <c r="H116" s="87" t="s">
        <v>143</v>
      </c>
    </row>
    <row r="117" spans="1:8" ht="14.25" customHeight="1" x14ac:dyDescent="0.2">
      <c r="A117" s="93"/>
      <c r="B117" s="93"/>
      <c r="C117" s="94" t="s">
        <v>142</v>
      </c>
      <c r="D117" s="93"/>
      <c r="E117" s="93" t="s">
        <v>143</v>
      </c>
      <c r="F117" s="95">
        <v>-26417.488525000001</v>
      </c>
      <c r="G117" s="96">
        <f>SUM(G95:G116)</f>
        <v>-0.159331000957842</v>
      </c>
      <c r="H117" s="87" t="s">
        <v>143</v>
      </c>
    </row>
    <row r="118" spans="1:8" ht="14.25" customHeight="1" x14ac:dyDescent="0.2">
      <c r="A118" s="93"/>
      <c r="B118" s="93"/>
      <c r="C118" s="97"/>
      <c r="D118" s="93"/>
      <c r="E118" s="93"/>
      <c r="F118" s="98"/>
      <c r="G118" s="98"/>
      <c r="H118" s="87" t="s">
        <v>143</v>
      </c>
    </row>
    <row r="119" spans="1:8" ht="14.25" customHeight="1" x14ac:dyDescent="0.2">
      <c r="A119" s="93"/>
      <c r="B119" s="93"/>
      <c r="C119" s="94" t="s">
        <v>150</v>
      </c>
      <c r="D119" s="93"/>
      <c r="E119" s="93"/>
      <c r="F119" s="95">
        <f>F75+F91</f>
        <v>128186.6367631</v>
      </c>
      <c r="G119" s="96">
        <f>G91+G75</f>
        <v>0.77312821168106738</v>
      </c>
      <c r="H119" s="87" t="s">
        <v>143</v>
      </c>
    </row>
    <row r="120" spans="1:8" ht="14.25" customHeight="1" x14ac:dyDescent="0.2">
      <c r="A120" s="93"/>
      <c r="B120" s="93"/>
      <c r="C120" s="97"/>
      <c r="D120" s="93"/>
      <c r="E120" s="93"/>
      <c r="F120" s="98"/>
      <c r="G120" s="98"/>
      <c r="H120" s="87" t="s">
        <v>143</v>
      </c>
    </row>
    <row r="121" spans="1:8" ht="14.25" customHeight="1" x14ac:dyDescent="0.2">
      <c r="A121" s="93"/>
      <c r="B121" s="93"/>
      <c r="C121" s="94" t="s">
        <v>151</v>
      </c>
      <c r="D121" s="93"/>
      <c r="E121" s="93"/>
      <c r="F121" s="98"/>
      <c r="G121" s="98"/>
      <c r="H121" s="87" t="s">
        <v>143</v>
      </c>
    </row>
    <row r="122" spans="1:8" ht="14.25" customHeight="1" x14ac:dyDescent="0.2">
      <c r="A122" s="93"/>
      <c r="B122" s="93"/>
      <c r="C122" s="94" t="s">
        <v>10</v>
      </c>
      <c r="D122" s="93"/>
      <c r="E122" s="93"/>
      <c r="F122" s="98"/>
      <c r="G122" s="98"/>
      <c r="H122" s="87" t="s">
        <v>143</v>
      </c>
    </row>
    <row r="123" spans="1:8" ht="14.25" customHeight="1" x14ac:dyDescent="0.2">
      <c r="A123" s="88">
        <v>1</v>
      </c>
      <c r="B123" s="89" t="s">
        <v>656</v>
      </c>
      <c r="C123" s="89" t="s">
        <v>657</v>
      </c>
      <c r="D123" s="89" t="s">
        <v>533</v>
      </c>
      <c r="E123" s="90">
        <v>2500</v>
      </c>
      <c r="F123" s="91">
        <v>2552.0675000000001</v>
      </c>
      <c r="G123" s="92">
        <v>1.539221E-2</v>
      </c>
      <c r="H123" s="87">
        <v>6.915</v>
      </c>
    </row>
    <row r="124" spans="1:8" ht="14.25" customHeight="1" x14ac:dyDescent="0.2">
      <c r="A124" s="88">
        <v>2</v>
      </c>
      <c r="B124" s="89" t="s">
        <v>546</v>
      </c>
      <c r="C124" s="89" t="s">
        <v>547</v>
      </c>
      <c r="D124" s="89" t="s">
        <v>536</v>
      </c>
      <c r="E124" s="90">
        <v>150</v>
      </c>
      <c r="F124" s="91">
        <v>1556.1030000000001</v>
      </c>
      <c r="G124" s="92">
        <v>9.3852799999999993E-3</v>
      </c>
      <c r="H124" s="87">
        <v>7.35</v>
      </c>
    </row>
    <row r="125" spans="1:8" ht="14.25" customHeight="1" x14ac:dyDescent="0.2">
      <c r="A125" s="88">
        <v>3</v>
      </c>
      <c r="B125" s="89" t="s">
        <v>554</v>
      </c>
      <c r="C125" s="89" t="s">
        <v>555</v>
      </c>
      <c r="D125" s="89" t="s">
        <v>533</v>
      </c>
      <c r="E125" s="90">
        <v>1500</v>
      </c>
      <c r="F125" s="91">
        <v>1524.3209999999999</v>
      </c>
      <c r="G125" s="92">
        <v>9.1935899999999997E-3</v>
      </c>
      <c r="H125" s="87">
        <v>6.8376999999999999</v>
      </c>
    </row>
    <row r="126" spans="1:8" ht="14.25" customHeight="1" x14ac:dyDescent="0.2">
      <c r="A126" s="88">
        <v>4</v>
      </c>
      <c r="B126" s="89" t="s">
        <v>658</v>
      </c>
      <c r="C126" s="89" t="s">
        <v>659</v>
      </c>
      <c r="D126" s="89" t="s">
        <v>536</v>
      </c>
      <c r="E126" s="90">
        <v>1500</v>
      </c>
      <c r="F126" s="91">
        <v>1511.559</v>
      </c>
      <c r="G126" s="92">
        <v>9.1166200000000006E-3</v>
      </c>
      <c r="H126" s="87">
        <v>6.64</v>
      </c>
    </row>
    <row r="127" spans="1:8" ht="14.25" customHeight="1" x14ac:dyDescent="0.2">
      <c r="A127" s="88">
        <v>5</v>
      </c>
      <c r="B127" s="89" t="s">
        <v>537</v>
      </c>
      <c r="C127" s="89" t="s">
        <v>538</v>
      </c>
      <c r="D127" s="89" t="s">
        <v>533</v>
      </c>
      <c r="E127" s="90">
        <v>1500</v>
      </c>
      <c r="F127" s="91">
        <v>1490.4659999999999</v>
      </c>
      <c r="G127" s="92">
        <v>8.9893999999999998E-3</v>
      </c>
      <c r="H127" s="87">
        <v>6.9</v>
      </c>
    </row>
    <row r="128" spans="1:8" ht="14.25" customHeight="1" x14ac:dyDescent="0.2">
      <c r="A128" s="88">
        <v>6</v>
      </c>
      <c r="B128" s="89" t="s">
        <v>569</v>
      </c>
      <c r="C128" s="89" t="s">
        <v>570</v>
      </c>
      <c r="D128" s="89" t="s">
        <v>533</v>
      </c>
      <c r="E128" s="90">
        <v>1000</v>
      </c>
      <c r="F128" s="91">
        <v>1042.136</v>
      </c>
      <c r="G128" s="92">
        <v>6.2854E-3</v>
      </c>
      <c r="H128" s="87">
        <v>7.22</v>
      </c>
    </row>
    <row r="129" spans="1:8" ht="14.25" customHeight="1" x14ac:dyDescent="0.2">
      <c r="A129" s="88">
        <v>7</v>
      </c>
      <c r="B129" s="89" t="s">
        <v>592</v>
      </c>
      <c r="C129" s="89" t="s">
        <v>593</v>
      </c>
      <c r="D129" s="89" t="s">
        <v>533</v>
      </c>
      <c r="E129" s="90">
        <v>1000</v>
      </c>
      <c r="F129" s="91">
        <v>1007.7190000000001</v>
      </c>
      <c r="G129" s="92">
        <v>6.0778300000000002E-3</v>
      </c>
      <c r="H129" s="87">
        <v>6.57</v>
      </c>
    </row>
    <row r="130" spans="1:8" ht="14.25" customHeight="1" x14ac:dyDescent="0.2">
      <c r="A130" s="88">
        <v>8</v>
      </c>
      <c r="B130" s="89" t="s">
        <v>660</v>
      </c>
      <c r="C130" s="89" t="s">
        <v>661</v>
      </c>
      <c r="D130" s="89" t="s">
        <v>536</v>
      </c>
      <c r="E130" s="90">
        <v>100</v>
      </c>
      <c r="F130" s="91">
        <v>1003.227</v>
      </c>
      <c r="G130" s="92">
        <v>6.0507299999999998E-3</v>
      </c>
      <c r="H130" s="87">
        <v>6.1</v>
      </c>
    </row>
    <row r="131" spans="1:8" ht="14.25" customHeight="1" x14ac:dyDescent="0.2">
      <c r="A131" s="88">
        <v>9</v>
      </c>
      <c r="B131" s="89" t="s">
        <v>583</v>
      </c>
      <c r="C131" s="89" t="s">
        <v>584</v>
      </c>
      <c r="D131" s="89" t="s">
        <v>536</v>
      </c>
      <c r="E131" s="90">
        <v>50</v>
      </c>
      <c r="F131" s="91">
        <v>497.12299999999999</v>
      </c>
      <c r="G131" s="92">
        <v>2.9982799999999999E-3</v>
      </c>
      <c r="H131" s="87">
        <v>6.78</v>
      </c>
    </row>
    <row r="132" spans="1:8" ht="14.25" customHeight="1" x14ac:dyDescent="0.2">
      <c r="A132" s="93"/>
      <c r="B132" s="93"/>
      <c r="C132" s="94" t="s">
        <v>142</v>
      </c>
      <c r="D132" s="93"/>
      <c r="E132" s="93" t="s">
        <v>143</v>
      </c>
      <c r="F132" s="95">
        <v>12184.7215</v>
      </c>
      <c r="G132" s="96">
        <v>7.348934E-2</v>
      </c>
      <c r="H132" s="87" t="s">
        <v>143</v>
      </c>
    </row>
    <row r="133" spans="1:8" ht="14.25" customHeight="1" x14ac:dyDescent="0.2">
      <c r="A133" s="93"/>
      <c r="B133" s="93"/>
      <c r="C133" s="97"/>
      <c r="D133" s="93"/>
      <c r="E133" s="93"/>
      <c r="F133" s="98"/>
      <c r="G133" s="98"/>
      <c r="H133" s="87" t="s">
        <v>143</v>
      </c>
    </row>
    <row r="134" spans="1:8" ht="14.25" customHeight="1" x14ac:dyDescent="0.2">
      <c r="A134" s="93"/>
      <c r="B134" s="93"/>
      <c r="C134" s="94" t="s">
        <v>152</v>
      </c>
      <c r="D134" s="93"/>
      <c r="E134" s="93"/>
      <c r="F134" s="93"/>
      <c r="G134" s="93"/>
      <c r="H134" s="87" t="s">
        <v>143</v>
      </c>
    </row>
    <row r="135" spans="1:8" ht="14.25" customHeight="1" x14ac:dyDescent="0.2">
      <c r="A135" s="93"/>
      <c r="B135" s="93"/>
      <c r="C135" s="94" t="s">
        <v>142</v>
      </c>
      <c r="D135" s="93"/>
      <c r="E135" s="93" t="s">
        <v>143</v>
      </c>
      <c r="F135" s="99" t="s">
        <v>145</v>
      </c>
      <c r="G135" s="96">
        <v>0</v>
      </c>
      <c r="H135" s="87" t="s">
        <v>143</v>
      </c>
    </row>
    <row r="136" spans="1:8" ht="14.25" customHeight="1" x14ac:dyDescent="0.2">
      <c r="A136" s="93"/>
      <c r="B136" s="93"/>
      <c r="C136" s="97"/>
      <c r="D136" s="93"/>
      <c r="E136" s="93"/>
      <c r="F136" s="98"/>
      <c r="G136" s="98"/>
      <c r="H136" s="87" t="s">
        <v>143</v>
      </c>
    </row>
    <row r="137" spans="1:8" ht="14.25" customHeight="1" x14ac:dyDescent="0.2">
      <c r="A137" s="93"/>
      <c r="B137" s="93"/>
      <c r="C137" s="94" t="s">
        <v>153</v>
      </c>
      <c r="D137" s="93"/>
      <c r="E137" s="93"/>
      <c r="F137" s="93"/>
      <c r="G137" s="93"/>
      <c r="H137" s="87" t="s">
        <v>143</v>
      </c>
    </row>
    <row r="138" spans="1:8" ht="14.25" customHeight="1" x14ac:dyDescent="0.2">
      <c r="A138" s="88">
        <v>1</v>
      </c>
      <c r="B138" s="89" t="s">
        <v>604</v>
      </c>
      <c r="C138" s="89" t="s">
        <v>1143</v>
      </c>
      <c r="D138" s="89" t="s">
        <v>606</v>
      </c>
      <c r="E138" s="90">
        <v>8500000</v>
      </c>
      <c r="F138" s="91">
        <v>8721.0339999999997</v>
      </c>
      <c r="G138" s="92">
        <v>5.2598909999999999E-2</v>
      </c>
      <c r="H138" s="87">
        <v>6.8080999999999996</v>
      </c>
    </row>
    <row r="139" spans="1:8" ht="14.25" customHeight="1" x14ac:dyDescent="0.2">
      <c r="A139" s="88">
        <v>2</v>
      </c>
      <c r="B139" s="89" t="s">
        <v>662</v>
      </c>
      <c r="C139" s="89" t="s">
        <v>1148</v>
      </c>
      <c r="D139" s="89" t="s">
        <v>606</v>
      </c>
      <c r="E139" s="90">
        <v>3000000</v>
      </c>
      <c r="F139" s="91">
        <v>3126.6779999999999</v>
      </c>
      <c r="G139" s="92">
        <v>1.8857840000000001E-2</v>
      </c>
      <c r="H139" s="87">
        <v>6.4515000000000002</v>
      </c>
    </row>
    <row r="140" spans="1:8" ht="14.25" customHeight="1" x14ac:dyDescent="0.2">
      <c r="A140" s="88">
        <v>3</v>
      </c>
      <c r="B140" s="89" t="s">
        <v>646</v>
      </c>
      <c r="C140" s="89" t="s">
        <v>647</v>
      </c>
      <c r="D140" s="89" t="s">
        <v>606</v>
      </c>
      <c r="E140" s="90">
        <v>3000000</v>
      </c>
      <c r="F140" s="91">
        <v>3077.232</v>
      </c>
      <c r="G140" s="92">
        <v>1.8559619999999999E-2</v>
      </c>
      <c r="H140" s="87">
        <v>5.9325999999999999</v>
      </c>
    </row>
    <row r="141" spans="1:8" ht="14.25" customHeight="1" x14ac:dyDescent="0.2">
      <c r="A141" s="88">
        <v>4</v>
      </c>
      <c r="B141" s="89" t="s">
        <v>607</v>
      </c>
      <c r="C141" s="89" t="s">
        <v>1142</v>
      </c>
      <c r="D141" s="89" t="s">
        <v>606</v>
      </c>
      <c r="E141" s="90">
        <v>3000000</v>
      </c>
      <c r="F141" s="91">
        <v>3065.991</v>
      </c>
      <c r="G141" s="92">
        <v>1.8491819999999999E-2</v>
      </c>
      <c r="H141" s="87">
        <v>7.0975999999999999</v>
      </c>
    </row>
    <row r="142" spans="1:8" ht="14.25" customHeight="1" x14ac:dyDescent="0.2">
      <c r="A142" s="88">
        <v>5</v>
      </c>
      <c r="B142" s="89" t="s">
        <v>613</v>
      </c>
      <c r="C142" s="89" t="s">
        <v>614</v>
      </c>
      <c r="D142" s="89" t="s">
        <v>606</v>
      </c>
      <c r="E142" s="90">
        <v>1500000</v>
      </c>
      <c r="F142" s="91">
        <v>1488.615</v>
      </c>
      <c r="G142" s="92">
        <v>8.9782400000000002E-3</v>
      </c>
      <c r="H142" s="87">
        <v>7.5355999999999996</v>
      </c>
    </row>
    <row r="143" spans="1:8" ht="14.25" customHeight="1" x14ac:dyDescent="0.2">
      <c r="A143" s="88">
        <v>6</v>
      </c>
      <c r="B143" s="89" t="s">
        <v>663</v>
      </c>
      <c r="C143" s="89" t="s">
        <v>664</v>
      </c>
      <c r="D143" s="89" t="s">
        <v>606</v>
      </c>
      <c r="E143" s="90">
        <v>1000000</v>
      </c>
      <c r="F143" s="91">
        <v>1032.652</v>
      </c>
      <c r="G143" s="92">
        <v>6.2281999999999997E-3</v>
      </c>
      <c r="H143" s="87">
        <v>6.4427000000000003</v>
      </c>
    </row>
    <row r="144" spans="1:8" ht="14.25" customHeight="1" x14ac:dyDescent="0.2">
      <c r="A144" s="88">
        <v>7</v>
      </c>
      <c r="B144" s="89" t="s">
        <v>618</v>
      </c>
      <c r="C144" s="89" t="s">
        <v>619</v>
      </c>
      <c r="D144" s="89" t="s">
        <v>606</v>
      </c>
      <c r="E144" s="90">
        <v>500000</v>
      </c>
      <c r="F144" s="91">
        <v>506.00400000000002</v>
      </c>
      <c r="G144" s="92">
        <v>3.05185E-3</v>
      </c>
      <c r="H144" s="87">
        <v>7.3795000000000002</v>
      </c>
    </row>
    <row r="145" spans="1:8" ht="14.25" customHeight="1" x14ac:dyDescent="0.2">
      <c r="A145" s="88">
        <v>8</v>
      </c>
      <c r="B145" s="89" t="s">
        <v>617</v>
      </c>
      <c r="C145" s="89" t="s">
        <v>999</v>
      </c>
      <c r="D145" s="89" t="s">
        <v>606</v>
      </c>
      <c r="E145" s="90">
        <v>500000</v>
      </c>
      <c r="F145" s="91">
        <v>505.48750000000001</v>
      </c>
      <c r="G145" s="92">
        <v>3.0487299999999999E-3</v>
      </c>
      <c r="H145" s="87">
        <v>6.84</v>
      </c>
    </row>
    <row r="146" spans="1:8" ht="14.25" customHeight="1" x14ac:dyDescent="0.2">
      <c r="A146" s="93"/>
      <c r="B146" s="93"/>
      <c r="C146" s="94" t="s">
        <v>142</v>
      </c>
      <c r="D146" s="93"/>
      <c r="E146" s="93" t="s">
        <v>143</v>
      </c>
      <c r="F146" s="95">
        <v>21523.693500000001</v>
      </c>
      <c r="G146" s="96">
        <v>0.12981520999999999</v>
      </c>
      <c r="H146" s="87" t="s">
        <v>143</v>
      </c>
    </row>
    <row r="147" spans="1:8" ht="14.25" customHeight="1" x14ac:dyDescent="0.2">
      <c r="A147" s="93"/>
      <c r="B147" s="93"/>
      <c r="C147" s="97"/>
      <c r="D147" s="93"/>
      <c r="E147" s="93"/>
      <c r="F147" s="98"/>
      <c r="G147" s="98"/>
      <c r="H147" s="87" t="s">
        <v>143</v>
      </c>
    </row>
    <row r="148" spans="1:8" ht="14.25" customHeight="1" x14ac:dyDescent="0.2">
      <c r="A148" s="93"/>
      <c r="B148" s="93"/>
      <c r="C148" s="94" t="s">
        <v>154</v>
      </c>
      <c r="D148" s="93"/>
      <c r="E148" s="93"/>
      <c r="F148" s="98"/>
      <c r="G148" s="98"/>
      <c r="H148" s="87" t="s">
        <v>143</v>
      </c>
    </row>
    <row r="149" spans="1:8" ht="14.25" customHeight="1" x14ac:dyDescent="0.2">
      <c r="A149" s="93"/>
      <c r="B149" s="93"/>
      <c r="C149" s="94" t="s">
        <v>142</v>
      </c>
      <c r="D149" s="93"/>
      <c r="E149" s="93" t="s">
        <v>143</v>
      </c>
      <c r="F149" s="99" t="s">
        <v>145</v>
      </c>
      <c r="G149" s="96">
        <v>0</v>
      </c>
      <c r="H149" s="87" t="s">
        <v>143</v>
      </c>
    </row>
    <row r="150" spans="1:8" ht="14.25" customHeight="1" x14ac:dyDescent="0.2">
      <c r="A150" s="93"/>
      <c r="B150" s="93"/>
      <c r="C150" s="97"/>
      <c r="D150" s="93"/>
      <c r="E150" s="93"/>
      <c r="F150" s="98"/>
      <c r="G150" s="98"/>
      <c r="H150" s="87" t="s">
        <v>143</v>
      </c>
    </row>
    <row r="151" spans="1:8" ht="14.25" customHeight="1" x14ac:dyDescent="0.2">
      <c r="A151" s="93"/>
      <c r="B151" s="93"/>
      <c r="C151" s="94" t="s">
        <v>155</v>
      </c>
      <c r="D151" s="93"/>
      <c r="E151" s="93"/>
      <c r="F151" s="95">
        <v>33708.415000000001</v>
      </c>
      <c r="G151" s="96">
        <v>0.20330455</v>
      </c>
      <c r="H151" s="87" t="s">
        <v>143</v>
      </c>
    </row>
    <row r="152" spans="1:8" ht="14.25" customHeight="1" x14ac:dyDescent="0.2">
      <c r="A152" s="93"/>
      <c r="B152" s="93"/>
      <c r="C152" s="97"/>
      <c r="D152" s="93"/>
      <c r="E152" s="93"/>
      <c r="F152" s="98"/>
      <c r="G152" s="98"/>
      <c r="H152" s="87" t="s">
        <v>143</v>
      </c>
    </row>
    <row r="153" spans="1:8" ht="14.25" customHeight="1" x14ac:dyDescent="0.2">
      <c r="A153" s="93"/>
      <c r="B153" s="93"/>
      <c r="C153" s="94" t="s">
        <v>156</v>
      </c>
      <c r="D153" s="93"/>
      <c r="E153" s="93"/>
      <c r="F153" s="98"/>
      <c r="G153" s="98"/>
      <c r="H153" s="87" t="s">
        <v>143</v>
      </c>
    </row>
    <row r="154" spans="1:8" ht="14.25" customHeight="1" x14ac:dyDescent="0.2">
      <c r="A154" s="93"/>
      <c r="B154" s="93"/>
      <c r="C154" s="94" t="s">
        <v>157</v>
      </c>
      <c r="D154" s="93"/>
      <c r="E154" s="93"/>
      <c r="F154" s="98"/>
      <c r="G154" s="98"/>
      <c r="H154" s="87" t="s">
        <v>143</v>
      </c>
    </row>
    <row r="155" spans="1:8" ht="14.25" customHeight="1" x14ac:dyDescent="0.2">
      <c r="A155" s="93"/>
      <c r="B155" s="93"/>
      <c r="C155" s="94" t="s">
        <v>142</v>
      </c>
      <c r="D155" s="93"/>
      <c r="E155" s="93" t="s">
        <v>143</v>
      </c>
      <c r="F155" s="99" t="s">
        <v>145</v>
      </c>
      <c r="G155" s="96">
        <v>0</v>
      </c>
      <c r="H155" s="87" t="s">
        <v>143</v>
      </c>
    </row>
    <row r="156" spans="1:8" ht="14.25" customHeight="1" x14ac:dyDescent="0.2">
      <c r="A156" s="93"/>
      <c r="B156" s="93"/>
      <c r="C156" s="97"/>
      <c r="D156" s="93"/>
      <c r="E156" s="93"/>
      <c r="F156" s="98"/>
      <c r="G156" s="98"/>
      <c r="H156" s="87" t="s">
        <v>143</v>
      </c>
    </row>
    <row r="157" spans="1:8" ht="14.25" customHeight="1" x14ac:dyDescent="0.2">
      <c r="A157" s="93"/>
      <c r="B157" s="93"/>
      <c r="C157" s="94" t="s">
        <v>158</v>
      </c>
      <c r="D157" s="93"/>
      <c r="E157" s="93"/>
      <c r="F157" s="98"/>
      <c r="G157" s="98"/>
      <c r="H157" s="87" t="s">
        <v>143</v>
      </c>
    </row>
    <row r="158" spans="1:8" ht="14.25" customHeight="1" x14ac:dyDescent="0.2">
      <c r="A158" s="93"/>
      <c r="B158" s="93"/>
      <c r="C158" s="94" t="s">
        <v>142</v>
      </c>
      <c r="D158" s="93"/>
      <c r="E158" s="93" t="s">
        <v>143</v>
      </c>
      <c r="F158" s="99" t="s">
        <v>145</v>
      </c>
      <c r="G158" s="96">
        <v>0</v>
      </c>
      <c r="H158" s="87" t="s">
        <v>143</v>
      </c>
    </row>
    <row r="159" spans="1:8" ht="14.25" customHeight="1" x14ac:dyDescent="0.2">
      <c r="A159" s="93"/>
      <c r="B159" s="93"/>
      <c r="C159" s="97"/>
      <c r="D159" s="93"/>
      <c r="E159" s="93"/>
      <c r="F159" s="98"/>
      <c r="G159" s="98"/>
      <c r="H159" s="87" t="s">
        <v>143</v>
      </c>
    </row>
    <row r="160" spans="1:8" ht="14.25" customHeight="1" x14ac:dyDescent="0.2">
      <c r="A160" s="93"/>
      <c r="B160" s="93"/>
      <c r="C160" s="94" t="s">
        <v>159</v>
      </c>
      <c r="D160" s="93"/>
      <c r="E160" s="93"/>
      <c r="F160" s="98"/>
      <c r="G160" s="98"/>
      <c r="H160" s="87" t="s">
        <v>143</v>
      </c>
    </row>
    <row r="161" spans="1:8" ht="14.25" customHeight="1" x14ac:dyDescent="0.2">
      <c r="A161" s="93"/>
      <c r="B161" s="93"/>
      <c r="C161" s="94" t="s">
        <v>142</v>
      </c>
      <c r="D161" s="93"/>
      <c r="E161" s="93" t="s">
        <v>143</v>
      </c>
      <c r="F161" s="99" t="s">
        <v>145</v>
      </c>
      <c r="G161" s="96">
        <v>0</v>
      </c>
      <c r="H161" s="87" t="s">
        <v>143</v>
      </c>
    </row>
    <row r="162" spans="1:8" ht="14.25" customHeight="1" x14ac:dyDescent="0.2">
      <c r="A162" s="93"/>
      <c r="B162" s="93"/>
      <c r="C162" s="97"/>
      <c r="D162" s="93"/>
      <c r="E162" s="93"/>
      <c r="F162" s="98"/>
      <c r="G162" s="98"/>
      <c r="H162" s="87" t="s">
        <v>143</v>
      </c>
    </row>
    <row r="163" spans="1:8" ht="14.25" customHeight="1" x14ac:dyDescent="0.2">
      <c r="A163" s="93"/>
      <c r="B163" s="93"/>
      <c r="C163" s="94" t="s">
        <v>160</v>
      </c>
      <c r="D163" s="93"/>
      <c r="E163" s="93"/>
      <c r="F163" s="98"/>
      <c r="G163" s="98"/>
      <c r="H163" s="87" t="s">
        <v>143</v>
      </c>
    </row>
    <row r="164" spans="1:8" ht="14.25" customHeight="1" x14ac:dyDescent="0.2">
      <c r="A164" s="88">
        <v>1</v>
      </c>
      <c r="B164" s="89"/>
      <c r="C164" s="89" t="s">
        <v>161</v>
      </c>
      <c r="D164" s="89"/>
      <c r="E164" s="100"/>
      <c r="F164" s="91">
        <v>1067.7011839950001</v>
      </c>
      <c r="G164" s="92">
        <v>6.4395900000000002E-3</v>
      </c>
      <c r="H164" s="87">
        <v>5.38</v>
      </c>
    </row>
    <row r="165" spans="1:8" ht="14.25" customHeight="1" x14ac:dyDescent="0.2">
      <c r="A165" s="93"/>
      <c r="B165" s="93"/>
      <c r="C165" s="94" t="s">
        <v>142</v>
      </c>
      <c r="D165" s="93"/>
      <c r="E165" s="93" t="s">
        <v>143</v>
      </c>
      <c r="F165" s="95">
        <v>1067.7011839950001</v>
      </c>
      <c r="G165" s="96">
        <v>6.4395900000000002E-3</v>
      </c>
      <c r="H165" s="87" t="s">
        <v>143</v>
      </c>
    </row>
    <row r="166" spans="1:8" ht="14.25" customHeight="1" x14ac:dyDescent="0.2">
      <c r="A166" s="93"/>
      <c r="B166" s="93"/>
      <c r="C166" s="97"/>
      <c r="D166" s="93"/>
      <c r="E166" s="93"/>
      <c r="F166" s="98"/>
      <c r="G166" s="98"/>
      <c r="H166" s="87" t="s">
        <v>143</v>
      </c>
    </row>
    <row r="167" spans="1:8" ht="14.25" customHeight="1" x14ac:dyDescent="0.2">
      <c r="A167" s="93"/>
      <c r="B167" s="93"/>
      <c r="C167" s="94" t="s">
        <v>162</v>
      </c>
      <c r="D167" s="93"/>
      <c r="E167" s="93"/>
      <c r="F167" s="95">
        <v>1067.7011839950001</v>
      </c>
      <c r="G167" s="96">
        <v>6.4395900000000002E-3</v>
      </c>
      <c r="H167" s="87" t="s">
        <v>143</v>
      </c>
    </row>
    <row r="168" spans="1:8" ht="14.25" customHeight="1" x14ac:dyDescent="0.2">
      <c r="A168" s="93"/>
      <c r="B168" s="93"/>
      <c r="C168" s="98"/>
      <c r="D168" s="93"/>
      <c r="E168" s="93"/>
      <c r="F168" s="93"/>
      <c r="G168" s="93"/>
      <c r="H168" s="87" t="s">
        <v>143</v>
      </c>
    </row>
    <row r="169" spans="1:8" ht="14.25" customHeight="1" x14ac:dyDescent="0.2">
      <c r="A169" s="93"/>
      <c r="B169" s="93"/>
      <c r="C169" s="94" t="s">
        <v>163</v>
      </c>
      <c r="D169" s="93"/>
      <c r="E169" s="93"/>
      <c r="F169" s="93"/>
      <c r="G169" s="93"/>
      <c r="H169" s="87" t="s">
        <v>143</v>
      </c>
    </row>
    <row r="170" spans="1:8" ht="14.25" customHeight="1" x14ac:dyDescent="0.2">
      <c r="A170" s="93"/>
      <c r="B170" s="93"/>
      <c r="C170" s="94" t="s">
        <v>164</v>
      </c>
      <c r="D170" s="93"/>
      <c r="E170" s="93"/>
      <c r="F170" s="93"/>
      <c r="G170" s="93"/>
      <c r="H170" s="87" t="s">
        <v>143</v>
      </c>
    </row>
    <row r="171" spans="1:8" ht="14.25" customHeight="1" x14ac:dyDescent="0.2">
      <c r="A171" s="93"/>
      <c r="B171" s="93"/>
      <c r="C171" s="94" t="s">
        <v>142</v>
      </c>
      <c r="D171" s="93"/>
      <c r="E171" s="93" t="s">
        <v>143</v>
      </c>
      <c r="F171" s="99" t="s">
        <v>145</v>
      </c>
      <c r="G171" s="96">
        <v>0</v>
      </c>
      <c r="H171" s="87" t="s">
        <v>143</v>
      </c>
    </row>
    <row r="172" spans="1:8" ht="14.25" customHeight="1" x14ac:dyDescent="0.2">
      <c r="A172" s="93"/>
      <c r="B172" s="93"/>
      <c r="C172" s="97"/>
      <c r="D172" s="93"/>
      <c r="E172" s="93"/>
      <c r="F172" s="98"/>
      <c r="G172" s="98"/>
      <c r="H172" s="87" t="s">
        <v>143</v>
      </c>
    </row>
    <row r="173" spans="1:8" ht="14.25" customHeight="1" x14ac:dyDescent="0.2">
      <c r="A173" s="93"/>
      <c r="B173" s="93"/>
      <c r="C173" s="94" t="s">
        <v>165</v>
      </c>
      <c r="D173" s="93"/>
      <c r="E173" s="93"/>
      <c r="F173" s="93"/>
      <c r="G173" s="93"/>
      <c r="H173" s="87" t="s">
        <v>143</v>
      </c>
    </row>
    <row r="174" spans="1:8" ht="14.25" customHeight="1" x14ac:dyDescent="0.2">
      <c r="A174" s="93"/>
      <c r="B174" s="93"/>
      <c r="C174" s="94" t="s">
        <v>166</v>
      </c>
      <c r="D174" s="93"/>
      <c r="E174" s="93"/>
      <c r="F174" s="93"/>
      <c r="G174" s="93"/>
      <c r="H174" s="87" t="s">
        <v>143</v>
      </c>
    </row>
    <row r="175" spans="1:8" ht="14.25" customHeight="1" x14ac:dyDescent="0.2">
      <c r="A175" s="93"/>
      <c r="B175" s="93"/>
      <c r="C175" s="94" t="s">
        <v>142</v>
      </c>
      <c r="D175" s="93"/>
      <c r="E175" s="93" t="s">
        <v>143</v>
      </c>
      <c r="F175" s="99" t="s">
        <v>145</v>
      </c>
      <c r="G175" s="96">
        <v>0</v>
      </c>
      <c r="H175" s="87" t="s">
        <v>143</v>
      </c>
    </row>
    <row r="176" spans="1:8" ht="14.25" customHeight="1" x14ac:dyDescent="0.2">
      <c r="A176" s="93"/>
      <c r="B176" s="93"/>
      <c r="C176" s="97"/>
      <c r="D176" s="93"/>
      <c r="E176" s="93"/>
      <c r="F176" s="98"/>
      <c r="G176" s="98"/>
      <c r="H176" s="87" t="s">
        <v>143</v>
      </c>
    </row>
    <row r="177" spans="1:17" ht="14.25" customHeight="1" x14ac:dyDescent="0.2">
      <c r="A177" s="93"/>
      <c r="B177" s="93"/>
      <c r="C177" s="94" t="s">
        <v>167</v>
      </c>
      <c r="D177" s="93"/>
      <c r="E177" s="93"/>
      <c r="F177" s="98"/>
      <c r="G177" s="98"/>
      <c r="H177" s="87" t="s">
        <v>143</v>
      </c>
    </row>
    <row r="178" spans="1:17" ht="14.25" customHeight="1" x14ac:dyDescent="0.2">
      <c r="A178" s="93"/>
      <c r="B178" s="93"/>
      <c r="C178" s="94" t="s">
        <v>142</v>
      </c>
      <c r="D178" s="93"/>
      <c r="E178" s="93" t="s">
        <v>143</v>
      </c>
      <c r="F178" s="99" t="s">
        <v>145</v>
      </c>
      <c r="G178" s="96">
        <v>0</v>
      </c>
      <c r="H178" s="87" t="s">
        <v>143</v>
      </c>
    </row>
    <row r="179" spans="1:17" ht="14.25" customHeight="1" x14ac:dyDescent="0.2">
      <c r="A179" s="93"/>
      <c r="B179" s="93"/>
      <c r="C179" s="97"/>
      <c r="D179" s="93"/>
      <c r="E179" s="93"/>
      <c r="F179" s="98"/>
      <c r="G179" s="98"/>
      <c r="H179" s="87" t="s">
        <v>143</v>
      </c>
    </row>
    <row r="180" spans="1:17" ht="14.25" customHeight="1" x14ac:dyDescent="0.2">
      <c r="A180" s="100"/>
      <c r="B180" s="89"/>
      <c r="C180" s="89" t="s">
        <v>625</v>
      </c>
      <c r="D180" s="89"/>
      <c r="E180" s="100"/>
      <c r="F180" s="91">
        <v>2525.0017613</v>
      </c>
      <c r="G180" s="92">
        <v>1.522897E-2</v>
      </c>
      <c r="H180" s="87" t="s">
        <v>143</v>
      </c>
    </row>
    <row r="181" spans="1:17" ht="14.25" customHeight="1" x14ac:dyDescent="0.2">
      <c r="A181" s="100"/>
      <c r="B181" s="89"/>
      <c r="C181" s="89" t="s">
        <v>1000</v>
      </c>
      <c r="D181" s="89"/>
      <c r="E181" s="100"/>
      <c r="F181" s="91">
        <f>26732.29807709+F117</f>
        <v>314.80955208999876</v>
      </c>
      <c r="G181" s="92">
        <f>F181/F182</f>
        <v>1.8987013469551385E-3</v>
      </c>
      <c r="H181" s="87" t="s">
        <v>143</v>
      </c>
    </row>
    <row r="182" spans="1:17" ht="14.25" customHeight="1" x14ac:dyDescent="0.2">
      <c r="A182" s="97"/>
      <c r="B182" s="97"/>
      <c r="C182" s="94" t="s">
        <v>169</v>
      </c>
      <c r="D182" s="98"/>
      <c r="E182" s="98"/>
      <c r="F182" s="95">
        <f>F181+F180+F167+F151+F119</f>
        <v>165802.564260485</v>
      </c>
      <c r="G182" s="101">
        <f>G181+G180+G167+G151+G119</f>
        <v>1.0000000230280226</v>
      </c>
      <c r="H182" s="87" t="s">
        <v>143</v>
      </c>
    </row>
    <row r="183" spans="1:17" ht="12.75" x14ac:dyDescent="0.2">
      <c r="A183" s="102"/>
      <c r="B183" s="102"/>
      <c r="C183" s="102"/>
      <c r="D183" s="103"/>
      <c r="E183" s="103"/>
      <c r="F183" s="103"/>
      <c r="G183" s="103"/>
    </row>
    <row r="184" spans="1:17" ht="12.75" x14ac:dyDescent="0.2">
      <c r="A184" s="104"/>
      <c r="B184" s="206" t="s">
        <v>942</v>
      </c>
      <c r="C184" s="206"/>
      <c r="D184" s="206"/>
      <c r="E184" s="206"/>
      <c r="F184" s="206"/>
      <c r="G184" s="206"/>
      <c r="H184" s="206"/>
      <c r="J184" s="106"/>
    </row>
    <row r="185" spans="1:17" ht="12.75" x14ac:dyDescent="0.2">
      <c r="A185" s="104"/>
      <c r="B185" s="206" t="s">
        <v>943</v>
      </c>
      <c r="C185" s="206"/>
      <c r="D185" s="206"/>
      <c r="E185" s="206"/>
      <c r="F185" s="206"/>
      <c r="G185" s="206"/>
      <c r="H185" s="206"/>
      <c r="J185" s="106"/>
    </row>
    <row r="186" spans="1:17" ht="12.75" x14ac:dyDescent="0.2">
      <c r="A186" s="104"/>
      <c r="B186" s="206" t="s">
        <v>944</v>
      </c>
      <c r="C186" s="206"/>
      <c r="D186" s="206"/>
      <c r="E186" s="206"/>
      <c r="F186" s="206"/>
      <c r="G186" s="206"/>
      <c r="H186" s="206"/>
      <c r="J186" s="106"/>
    </row>
    <row r="187" spans="1:17" s="108" customFormat="1" ht="66.75" customHeight="1" x14ac:dyDescent="0.25">
      <c r="A187" s="107"/>
      <c r="B187" s="207" t="s">
        <v>945</v>
      </c>
      <c r="C187" s="207"/>
      <c r="D187" s="207"/>
      <c r="E187" s="207"/>
      <c r="F187" s="207"/>
      <c r="G187" s="207"/>
      <c r="H187" s="207"/>
      <c r="I187"/>
      <c r="J187" s="106"/>
      <c r="K187"/>
      <c r="L187"/>
      <c r="M187"/>
      <c r="N187"/>
      <c r="O187"/>
      <c r="P187"/>
      <c r="Q187"/>
    </row>
    <row r="188" spans="1:17" ht="12.75" x14ac:dyDescent="0.2">
      <c r="A188" s="104"/>
      <c r="B188" s="206" t="s">
        <v>946</v>
      </c>
      <c r="C188" s="206"/>
      <c r="D188" s="206"/>
      <c r="E188" s="206"/>
      <c r="F188" s="206"/>
      <c r="G188" s="206"/>
      <c r="H188" s="206"/>
      <c r="J188" s="106"/>
    </row>
    <row r="189" spans="1:17" ht="12.75" x14ac:dyDescent="0.2">
      <c r="A189" s="104"/>
      <c r="B189" s="104"/>
      <c r="C189" s="104"/>
      <c r="D189" s="109"/>
      <c r="E189" s="109"/>
      <c r="F189" s="109"/>
      <c r="G189" s="109"/>
    </row>
    <row r="190" spans="1:17" ht="12.75" x14ac:dyDescent="0.2">
      <c r="A190" s="104"/>
      <c r="B190" s="199" t="s">
        <v>170</v>
      </c>
      <c r="C190" s="200"/>
      <c r="D190" s="201"/>
      <c r="E190" s="110"/>
      <c r="F190" s="109"/>
      <c r="G190" s="109"/>
    </row>
    <row r="191" spans="1:17" ht="27.75" customHeight="1" x14ac:dyDescent="0.2">
      <c r="A191" s="104"/>
      <c r="B191" s="202" t="s">
        <v>171</v>
      </c>
      <c r="C191" s="203"/>
      <c r="D191" s="86" t="s">
        <v>172</v>
      </c>
      <c r="E191" s="110"/>
      <c r="F191" s="109"/>
      <c r="G191" s="109"/>
    </row>
    <row r="192" spans="1:17" ht="12.75" customHeight="1" x14ac:dyDescent="0.2">
      <c r="A192" s="104"/>
      <c r="B192" s="202" t="s">
        <v>947</v>
      </c>
      <c r="C192" s="203"/>
      <c r="D192" s="86" t="s">
        <v>172</v>
      </c>
      <c r="E192" s="110"/>
      <c r="F192" s="109"/>
      <c r="G192" s="109"/>
    </row>
    <row r="193" spans="1:10" ht="12.75" x14ac:dyDescent="0.2">
      <c r="A193" s="104"/>
      <c r="B193" s="202" t="s">
        <v>173</v>
      </c>
      <c r="C193" s="203"/>
      <c r="D193" s="111" t="s">
        <v>143</v>
      </c>
      <c r="E193" s="110"/>
      <c r="F193" s="109"/>
      <c r="G193" s="109"/>
    </row>
    <row r="194" spans="1:10" ht="12.75" x14ac:dyDescent="0.2">
      <c r="A194" s="112"/>
      <c r="B194" s="113" t="s">
        <v>143</v>
      </c>
      <c r="C194" s="113" t="s">
        <v>948</v>
      </c>
      <c r="D194" s="113" t="s">
        <v>174</v>
      </c>
      <c r="E194" s="112"/>
      <c r="F194" s="112"/>
      <c r="G194" s="112"/>
      <c r="H194" s="112"/>
      <c r="J194" s="106"/>
    </row>
    <row r="195" spans="1:10" ht="12.75" x14ac:dyDescent="0.2">
      <c r="A195" s="112"/>
      <c r="B195" s="114" t="s">
        <v>175</v>
      </c>
      <c r="C195" s="115">
        <v>45869</v>
      </c>
      <c r="D195" s="115">
        <v>45900</v>
      </c>
      <c r="E195" s="112"/>
      <c r="F195" s="112"/>
      <c r="G195" s="112"/>
      <c r="J195" s="106"/>
    </row>
    <row r="196" spans="1:10" ht="12.75" x14ac:dyDescent="0.2">
      <c r="A196" s="116"/>
      <c r="B196" s="127" t="s">
        <v>176</v>
      </c>
      <c r="C196" s="117">
        <v>41.165900000000001</v>
      </c>
      <c r="D196" s="117">
        <v>40.662399999999998</v>
      </c>
      <c r="E196" s="116"/>
      <c r="F196" s="118"/>
      <c r="G196" s="119"/>
    </row>
    <row r="197" spans="1:10" ht="25.5" x14ac:dyDescent="0.2">
      <c r="A197" s="116"/>
      <c r="B197" s="127" t="s">
        <v>1002</v>
      </c>
      <c r="C197" s="117">
        <v>19.040199999999999</v>
      </c>
      <c r="D197" s="117">
        <v>18.668299999999999</v>
      </c>
      <c r="E197" s="116"/>
      <c r="F197" s="118"/>
      <c r="G197" s="119"/>
    </row>
    <row r="198" spans="1:10" ht="12.75" x14ac:dyDescent="0.2">
      <c r="A198" s="116"/>
      <c r="B198" s="127" t="s">
        <v>177</v>
      </c>
      <c r="C198" s="117">
        <v>35.073799999999999</v>
      </c>
      <c r="D198" s="117">
        <v>34.601900000000001</v>
      </c>
      <c r="E198" s="116"/>
      <c r="F198" s="118"/>
      <c r="G198" s="119"/>
    </row>
    <row r="199" spans="1:10" ht="25.5" x14ac:dyDescent="0.2">
      <c r="A199" s="116"/>
      <c r="B199" s="127" t="s">
        <v>1003</v>
      </c>
      <c r="C199" s="117">
        <v>15.567</v>
      </c>
      <c r="D199" s="117">
        <v>15.243499999999999</v>
      </c>
      <c r="E199" s="116"/>
      <c r="F199" s="118"/>
      <c r="G199" s="119"/>
    </row>
    <row r="200" spans="1:10" ht="14.25" customHeight="1" x14ac:dyDescent="0.2">
      <c r="A200" s="116"/>
      <c r="B200" s="116"/>
      <c r="C200" s="116"/>
      <c r="D200" s="116"/>
      <c r="E200" s="116"/>
      <c r="F200" s="116"/>
      <c r="G200" s="116"/>
    </row>
    <row r="201" spans="1:10" ht="14.25" customHeight="1" x14ac:dyDescent="0.2">
      <c r="A201" s="116"/>
      <c r="B201" s="208" t="s">
        <v>949</v>
      </c>
      <c r="C201" s="209"/>
      <c r="D201" s="94" t="s">
        <v>143</v>
      </c>
      <c r="E201" s="116"/>
      <c r="F201" s="116"/>
      <c r="G201" s="116"/>
    </row>
    <row r="202" spans="1:10" ht="14.25" customHeight="1" x14ac:dyDescent="0.2">
      <c r="A202" s="116"/>
      <c r="B202" s="163" t="s">
        <v>175</v>
      </c>
      <c r="C202" s="164" t="s">
        <v>626</v>
      </c>
      <c r="D202" s="164" t="s">
        <v>627</v>
      </c>
      <c r="E202" s="116"/>
      <c r="F202" s="116"/>
      <c r="G202" s="116"/>
    </row>
    <row r="203" spans="1:10" ht="25.5" x14ac:dyDescent="0.2">
      <c r="A203" s="116"/>
      <c r="B203" s="127" t="s">
        <v>1002</v>
      </c>
      <c r="C203" s="165">
        <v>0.14000000000000001</v>
      </c>
      <c r="D203" s="165" t="s">
        <v>665</v>
      </c>
      <c r="E203" s="116"/>
      <c r="F203" s="118"/>
      <c r="G203" s="119"/>
    </row>
    <row r="204" spans="1:10" ht="25.5" x14ac:dyDescent="0.2">
      <c r="A204" s="116"/>
      <c r="B204" s="127" t="s">
        <v>1003</v>
      </c>
      <c r="C204" s="165">
        <v>0.115</v>
      </c>
      <c r="D204" s="165">
        <v>0.115</v>
      </c>
      <c r="E204" s="116"/>
      <c r="F204" s="118"/>
      <c r="G204" s="119"/>
    </row>
    <row r="205" spans="1:10" ht="14.25" customHeight="1" x14ac:dyDescent="0.2">
      <c r="A205" s="116"/>
      <c r="B205" s="166"/>
      <c r="C205" s="166"/>
      <c r="D205" s="167"/>
      <c r="E205" s="116"/>
      <c r="F205" s="118"/>
      <c r="G205" s="119"/>
    </row>
    <row r="206" spans="1:10" ht="29.1" customHeight="1" x14ac:dyDescent="0.2">
      <c r="A206" s="112"/>
      <c r="B206" s="202" t="s">
        <v>178</v>
      </c>
      <c r="C206" s="203"/>
      <c r="D206" s="86" t="s">
        <v>1004</v>
      </c>
      <c r="E206" s="121"/>
      <c r="F206" s="112"/>
      <c r="G206" s="112"/>
    </row>
    <row r="207" spans="1:10" ht="29.1" customHeight="1" x14ac:dyDescent="0.2">
      <c r="A207" s="112"/>
      <c r="B207" s="202" t="s">
        <v>179</v>
      </c>
      <c r="C207" s="203"/>
      <c r="D207" s="86" t="s">
        <v>172</v>
      </c>
      <c r="E207" s="121"/>
      <c r="F207" s="112"/>
      <c r="G207" s="112"/>
    </row>
    <row r="208" spans="1:10" ht="17.100000000000001" customHeight="1" x14ac:dyDescent="0.2">
      <c r="A208" s="112"/>
      <c r="B208" s="202" t="s">
        <v>180</v>
      </c>
      <c r="C208" s="203"/>
      <c r="D208" s="86" t="s">
        <v>172</v>
      </c>
      <c r="E208" s="121"/>
      <c r="F208" s="112"/>
      <c r="G208" s="112"/>
    </row>
    <row r="209" spans="1:7" ht="17.100000000000001" customHeight="1" x14ac:dyDescent="0.2">
      <c r="A209" s="112"/>
      <c r="B209" s="202" t="s">
        <v>181</v>
      </c>
      <c r="C209" s="203"/>
      <c r="D209" s="122">
        <v>3.0795951882286077</v>
      </c>
      <c r="E209" s="112"/>
      <c r="F209" s="105"/>
      <c r="G209" s="123"/>
    </row>
    <row r="210" spans="1:7" ht="12.75" x14ac:dyDescent="0.2"/>
    <row r="211" spans="1:7" ht="12.75" x14ac:dyDescent="0.2">
      <c r="B211" s="214" t="s">
        <v>1031</v>
      </c>
      <c r="C211" s="215"/>
      <c r="D211" s="216"/>
      <c r="F211" s="112"/>
      <c r="G211" s="112"/>
    </row>
    <row r="212" spans="1:7" ht="25.5" x14ac:dyDescent="0.2">
      <c r="B212" s="213" t="s">
        <v>1032</v>
      </c>
      <c r="C212" s="213"/>
      <c r="D212" s="147" t="s">
        <v>651</v>
      </c>
    </row>
    <row r="213" spans="1:7" ht="12.75" x14ac:dyDescent="0.2">
      <c r="B213" s="213" t="s">
        <v>1033</v>
      </c>
      <c r="C213" s="213"/>
      <c r="D213" s="129"/>
    </row>
    <row r="214" spans="1:7" ht="12.75" x14ac:dyDescent="0.2">
      <c r="B214" s="210"/>
      <c r="C214" s="212"/>
      <c r="D214" s="130"/>
    </row>
    <row r="215" spans="1:7" ht="12.75" x14ac:dyDescent="0.2">
      <c r="B215" s="213" t="s">
        <v>1034</v>
      </c>
      <c r="C215" s="213"/>
      <c r="D215" s="131">
        <v>6.6803729937542196</v>
      </c>
    </row>
    <row r="216" spans="1:7" ht="12.75" x14ac:dyDescent="0.2">
      <c r="B216" s="210"/>
      <c r="C216" s="212"/>
      <c r="D216" s="130"/>
    </row>
    <row r="217" spans="1:7" ht="12.75" x14ac:dyDescent="0.2">
      <c r="B217" s="213" t="s">
        <v>1035</v>
      </c>
      <c r="C217" s="213"/>
      <c r="D217" s="131">
        <v>4.4240862306882374</v>
      </c>
    </row>
    <row r="218" spans="1:7" ht="12.75" x14ac:dyDescent="0.2">
      <c r="B218" s="213" t="s">
        <v>1036</v>
      </c>
      <c r="C218" s="213"/>
      <c r="D218" s="131">
        <v>6.7817748983278419</v>
      </c>
    </row>
    <row r="219" spans="1:7" ht="12.75" x14ac:dyDescent="0.2">
      <c r="B219" s="210"/>
      <c r="C219" s="212"/>
      <c r="D219" s="130"/>
    </row>
    <row r="220" spans="1:7" ht="12.75" x14ac:dyDescent="0.2">
      <c r="B220" s="213" t="s">
        <v>1037</v>
      </c>
      <c r="C220" s="213"/>
      <c r="D220" s="132" t="s">
        <v>1220</v>
      </c>
    </row>
    <row r="221" spans="1:7" ht="12.75" x14ac:dyDescent="0.2">
      <c r="B221" s="210" t="s">
        <v>1038</v>
      </c>
      <c r="C221" s="211"/>
      <c r="D221" s="212"/>
    </row>
    <row r="222" spans="1:7" ht="12.75" x14ac:dyDescent="0.2"/>
    <row r="223" spans="1:7" ht="12.75" x14ac:dyDescent="0.2">
      <c r="B223" s="204" t="s">
        <v>950</v>
      </c>
      <c r="C223" s="204"/>
    </row>
    <row r="224" spans="1:7" ht="12.75" x14ac:dyDescent="0.2"/>
    <row r="225" spans="2:10" ht="153.75" customHeight="1" x14ac:dyDescent="0.2"/>
    <row r="226" spans="2:10" ht="12.75" x14ac:dyDescent="0.2"/>
    <row r="227" spans="2:10" ht="12.75" x14ac:dyDescent="0.2"/>
    <row r="228" spans="2:10" ht="12.75" x14ac:dyDescent="0.2">
      <c r="B228" s="124" t="s">
        <v>951</v>
      </c>
      <c r="C228" s="125"/>
      <c r="D228" s="124"/>
    </row>
    <row r="229" spans="2:10" ht="12.75" x14ac:dyDescent="0.2">
      <c r="B229" s="124" t="s">
        <v>1083</v>
      </c>
      <c r="D229" s="124"/>
    </row>
    <row r="230" spans="2:10" ht="165" customHeight="1" x14ac:dyDescent="0.2"/>
    <row r="231" spans="2:10" ht="12.75" x14ac:dyDescent="0.2"/>
    <row r="232" spans="2:10" ht="12.75" x14ac:dyDescent="0.2">
      <c r="J232" s="84"/>
    </row>
    <row r="233" spans="2:10" ht="12.75" x14ac:dyDescent="0.2"/>
    <row r="234" spans="2:10" ht="12.75" x14ac:dyDescent="0.2"/>
    <row r="235" spans="2:10" ht="12.75" x14ac:dyDescent="0.2"/>
    <row r="236" spans="2:10" ht="12.75" x14ac:dyDescent="0.2"/>
    <row r="237" spans="2:10" ht="12.75" x14ac:dyDescent="0.2"/>
    <row r="238" spans="2:10" ht="12.75" x14ac:dyDescent="0.2"/>
    <row r="239" spans="2:10" ht="12.75" x14ac:dyDescent="0.2"/>
    <row r="240" spans="2:10" ht="12.75"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sheetData>
  <mergeCells count="29">
    <mergeCell ref="A1:H1"/>
    <mergeCell ref="A2:H2"/>
    <mergeCell ref="A3:H3"/>
    <mergeCell ref="B201:C201"/>
    <mergeCell ref="B207:C207"/>
    <mergeCell ref="B184:H184"/>
    <mergeCell ref="B185:H185"/>
    <mergeCell ref="B186:H186"/>
    <mergeCell ref="B187:H187"/>
    <mergeCell ref="B188:H188"/>
    <mergeCell ref="B190:D190"/>
    <mergeCell ref="B191:C191"/>
    <mergeCell ref="B192:C192"/>
    <mergeCell ref="B193:C193"/>
    <mergeCell ref="B206:C206"/>
    <mergeCell ref="B211:D211"/>
    <mergeCell ref="B212:C212"/>
    <mergeCell ref="B208:C208"/>
    <mergeCell ref="B209:C209"/>
    <mergeCell ref="B213:C213"/>
    <mergeCell ref="B219:C219"/>
    <mergeCell ref="B220:C220"/>
    <mergeCell ref="B221:D221"/>
    <mergeCell ref="B223:C223"/>
    <mergeCell ref="B214:C214"/>
    <mergeCell ref="B215:C215"/>
    <mergeCell ref="B216:C216"/>
    <mergeCell ref="B217:C217"/>
    <mergeCell ref="B218:C218"/>
  </mergeCells>
  <hyperlinks>
    <hyperlink ref="I1" location="Index!B2" display="Index" xr:uid="{62C3BC1F-15AA-4717-957F-FCE4B049D4E9}"/>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4E0F4-4FA5-4D56-86F7-CFD1161664E8}">
  <sheetPr>
    <outlinePr summaryBelow="0" summaryRight="0"/>
  </sheetPr>
  <dimension ref="A1:S177"/>
  <sheetViews>
    <sheetView showGridLines="0" workbookViewId="0">
      <selection sqref="A1:H1"/>
    </sheetView>
  </sheetViews>
  <sheetFormatPr defaultRowHeight="14.25" customHeight="1" x14ac:dyDescent="0.2"/>
  <cols>
    <col min="1" max="1" width="5.85546875" bestFit="1" customWidth="1"/>
    <col min="2" max="2" width="19.7109375" customWidth="1"/>
    <col min="3" max="3" width="39.140625" bestFit="1" customWidth="1"/>
    <col min="4" max="4" width="28.140625"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666</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321</v>
      </c>
      <c r="C7" s="89" t="s">
        <v>322</v>
      </c>
      <c r="D7" s="89" t="s">
        <v>33</v>
      </c>
      <c r="E7" s="90">
        <v>650000</v>
      </c>
      <c r="F7" s="91">
        <v>6185.4</v>
      </c>
      <c r="G7" s="92">
        <v>7.0397150000000006E-2</v>
      </c>
      <c r="H7" s="87" t="s">
        <v>143</v>
      </c>
    </row>
    <row r="8" spans="1:9" ht="14.25" customHeight="1" x14ac:dyDescent="0.2">
      <c r="A8" s="88">
        <v>2</v>
      </c>
      <c r="B8" s="89" t="s">
        <v>31</v>
      </c>
      <c r="C8" s="89" t="s">
        <v>32</v>
      </c>
      <c r="D8" s="89" t="s">
        <v>33</v>
      </c>
      <c r="E8" s="90">
        <v>265000</v>
      </c>
      <c r="F8" s="91">
        <v>3704.17</v>
      </c>
      <c r="G8" s="92">
        <v>4.215783E-2</v>
      </c>
      <c r="H8" s="87" t="s">
        <v>143</v>
      </c>
    </row>
    <row r="9" spans="1:9" ht="14.25" customHeight="1" x14ac:dyDescent="0.2">
      <c r="A9" s="88">
        <v>3</v>
      </c>
      <c r="B9" s="89" t="s">
        <v>20</v>
      </c>
      <c r="C9" s="89" t="s">
        <v>21</v>
      </c>
      <c r="D9" s="89" t="s">
        <v>22</v>
      </c>
      <c r="E9" s="90">
        <v>950000</v>
      </c>
      <c r="F9" s="91">
        <v>3111.7249999999999</v>
      </c>
      <c r="G9" s="92">
        <v>3.5415099999999998E-2</v>
      </c>
      <c r="H9" s="87" t="s">
        <v>143</v>
      </c>
    </row>
    <row r="10" spans="1:9" ht="14.25" customHeight="1" x14ac:dyDescent="0.2">
      <c r="A10" s="88">
        <v>4</v>
      </c>
      <c r="B10" s="89" t="s">
        <v>325</v>
      </c>
      <c r="C10" s="89" t="s">
        <v>326</v>
      </c>
      <c r="D10" s="89" t="s">
        <v>199</v>
      </c>
      <c r="E10" s="90">
        <v>206000</v>
      </c>
      <c r="F10" s="91">
        <v>3027.3760000000002</v>
      </c>
      <c r="G10" s="92">
        <v>3.4455109999999997E-2</v>
      </c>
      <c r="H10" s="87" t="s">
        <v>143</v>
      </c>
    </row>
    <row r="11" spans="1:9" ht="12.75" x14ac:dyDescent="0.2">
      <c r="A11" s="148">
        <v>5</v>
      </c>
      <c r="B11" s="127" t="s">
        <v>969</v>
      </c>
      <c r="C11" s="127" t="s">
        <v>970</v>
      </c>
      <c r="D11" s="127" t="s">
        <v>77</v>
      </c>
      <c r="E11" s="149">
        <v>350000</v>
      </c>
      <c r="F11" s="150">
        <f>279106209.69/10^5</f>
        <v>2791.0620969000001</v>
      </c>
      <c r="G11" s="151">
        <f>F11/F127</f>
        <v>3.1765580746169135E-2</v>
      </c>
      <c r="H11" s="87" t="s">
        <v>143</v>
      </c>
    </row>
    <row r="12" spans="1:9" ht="14.25" customHeight="1" x14ac:dyDescent="0.2">
      <c r="A12" s="88">
        <v>6</v>
      </c>
      <c r="B12" s="89" t="s">
        <v>427</v>
      </c>
      <c r="C12" s="89" t="s">
        <v>428</v>
      </c>
      <c r="D12" s="89" t="s">
        <v>429</v>
      </c>
      <c r="E12" s="90">
        <v>660000</v>
      </c>
      <c r="F12" s="91">
        <v>2704.35</v>
      </c>
      <c r="G12" s="92">
        <v>3.0778699999999999E-2</v>
      </c>
      <c r="H12" s="87" t="s">
        <v>143</v>
      </c>
    </row>
    <row r="13" spans="1:9" ht="14.25" customHeight="1" x14ac:dyDescent="0.2">
      <c r="A13" s="88">
        <v>7</v>
      </c>
      <c r="B13" s="89" t="s">
        <v>29</v>
      </c>
      <c r="C13" s="89" t="s">
        <v>30</v>
      </c>
      <c r="D13" s="89" t="s">
        <v>22</v>
      </c>
      <c r="E13" s="90">
        <v>875000</v>
      </c>
      <c r="F13" s="91">
        <v>2408.4375</v>
      </c>
      <c r="G13" s="92">
        <v>2.7410859999999999E-2</v>
      </c>
      <c r="H13" s="87" t="s">
        <v>143</v>
      </c>
    </row>
    <row r="14" spans="1:9" ht="14.25" customHeight="1" x14ac:dyDescent="0.2">
      <c r="A14" s="88">
        <v>8</v>
      </c>
      <c r="B14" s="89" t="s">
        <v>505</v>
      </c>
      <c r="C14" s="89" t="s">
        <v>506</v>
      </c>
      <c r="D14" s="89" t="s">
        <v>243</v>
      </c>
      <c r="E14" s="90">
        <v>16000</v>
      </c>
      <c r="F14" s="91">
        <v>2366.56</v>
      </c>
      <c r="G14" s="92">
        <v>2.693425E-2</v>
      </c>
      <c r="H14" s="87" t="s">
        <v>143</v>
      </c>
    </row>
    <row r="15" spans="1:9" ht="14.25" customHeight="1" x14ac:dyDescent="0.2">
      <c r="A15" s="88">
        <v>9</v>
      </c>
      <c r="B15" s="89" t="s">
        <v>63</v>
      </c>
      <c r="C15" s="89" t="s">
        <v>64</v>
      </c>
      <c r="D15" s="89" t="s">
        <v>65</v>
      </c>
      <c r="E15" s="90">
        <v>1000000</v>
      </c>
      <c r="F15" s="91">
        <v>2337.1</v>
      </c>
      <c r="G15" s="92">
        <v>2.6598960000000001E-2</v>
      </c>
      <c r="H15" s="87" t="s">
        <v>143</v>
      </c>
    </row>
    <row r="16" spans="1:9" ht="14.25" customHeight="1" x14ac:dyDescent="0.2">
      <c r="A16" s="88">
        <v>10</v>
      </c>
      <c r="B16" s="89" t="s">
        <v>667</v>
      </c>
      <c r="C16" s="89" t="s">
        <v>668</v>
      </c>
      <c r="D16" s="89" t="s">
        <v>669</v>
      </c>
      <c r="E16" s="90">
        <v>600000</v>
      </c>
      <c r="F16" s="91">
        <v>2248.8000000000002</v>
      </c>
      <c r="G16" s="92">
        <v>2.5593999999999999E-2</v>
      </c>
      <c r="H16" s="87" t="s">
        <v>143</v>
      </c>
    </row>
    <row r="17" spans="1:8" ht="14.25" customHeight="1" x14ac:dyDescent="0.2">
      <c r="A17" s="88">
        <v>11</v>
      </c>
      <c r="B17" s="89" t="s">
        <v>49</v>
      </c>
      <c r="C17" s="89" t="s">
        <v>50</v>
      </c>
      <c r="D17" s="89" t="s">
        <v>33</v>
      </c>
      <c r="E17" s="90">
        <v>280000</v>
      </c>
      <c r="F17" s="91">
        <v>2247</v>
      </c>
      <c r="G17" s="92">
        <v>2.5573510000000001E-2</v>
      </c>
      <c r="H17" s="87" t="s">
        <v>143</v>
      </c>
    </row>
    <row r="18" spans="1:8" ht="14.25" customHeight="1" x14ac:dyDescent="0.2">
      <c r="A18" s="88">
        <v>12</v>
      </c>
      <c r="B18" s="89" t="s">
        <v>78</v>
      </c>
      <c r="C18" s="89" t="s">
        <v>79</v>
      </c>
      <c r="D18" s="89" t="s">
        <v>80</v>
      </c>
      <c r="E18" s="90">
        <v>1175000</v>
      </c>
      <c r="F18" s="91">
        <v>2033.5725</v>
      </c>
      <c r="G18" s="92">
        <v>2.3144459999999999E-2</v>
      </c>
      <c r="H18" s="87" t="s">
        <v>143</v>
      </c>
    </row>
    <row r="19" spans="1:8" ht="14.25" customHeight="1" x14ac:dyDescent="0.2">
      <c r="A19" s="88">
        <v>13</v>
      </c>
      <c r="B19" s="89" t="s">
        <v>14</v>
      </c>
      <c r="C19" s="89" t="s">
        <v>15</v>
      </c>
      <c r="D19" s="89" t="s">
        <v>16</v>
      </c>
      <c r="E19" s="90">
        <v>55000</v>
      </c>
      <c r="F19" s="91">
        <v>1980.55</v>
      </c>
      <c r="G19" s="92">
        <v>2.2540999999999999E-2</v>
      </c>
      <c r="H19" s="87" t="s">
        <v>143</v>
      </c>
    </row>
    <row r="20" spans="1:8" ht="14.25" customHeight="1" x14ac:dyDescent="0.2">
      <c r="A20" s="88">
        <v>14</v>
      </c>
      <c r="B20" s="89" t="s">
        <v>11</v>
      </c>
      <c r="C20" s="89" t="s">
        <v>12</v>
      </c>
      <c r="D20" s="89" t="s">
        <v>13</v>
      </c>
      <c r="E20" s="90">
        <v>95000</v>
      </c>
      <c r="F20" s="91">
        <v>1794.36</v>
      </c>
      <c r="G20" s="92">
        <v>2.042194E-2</v>
      </c>
      <c r="H20" s="87" t="s">
        <v>143</v>
      </c>
    </row>
    <row r="21" spans="1:8" ht="14.25" customHeight="1" x14ac:dyDescent="0.2">
      <c r="A21" s="88">
        <v>15</v>
      </c>
      <c r="B21" s="89" t="s">
        <v>17</v>
      </c>
      <c r="C21" s="89" t="s">
        <v>18</v>
      </c>
      <c r="D21" s="89" t="s">
        <v>19</v>
      </c>
      <c r="E21" s="90">
        <v>130000</v>
      </c>
      <c r="F21" s="91">
        <v>1764.36</v>
      </c>
      <c r="G21" s="92">
        <v>2.0080500000000001E-2</v>
      </c>
      <c r="H21" s="87" t="s">
        <v>143</v>
      </c>
    </row>
    <row r="22" spans="1:8" ht="14.25" customHeight="1" x14ac:dyDescent="0.2">
      <c r="A22" s="88">
        <v>16</v>
      </c>
      <c r="B22" s="89" t="s">
        <v>445</v>
      </c>
      <c r="C22" s="89" t="s">
        <v>446</v>
      </c>
      <c r="D22" s="89" t="s">
        <v>429</v>
      </c>
      <c r="E22" s="90">
        <v>65000</v>
      </c>
      <c r="F22" s="91">
        <v>1728.87</v>
      </c>
      <c r="G22" s="92">
        <v>1.9676579999999999E-2</v>
      </c>
      <c r="H22" s="87" t="s">
        <v>143</v>
      </c>
    </row>
    <row r="23" spans="1:8" ht="14.25" customHeight="1" x14ac:dyDescent="0.2">
      <c r="A23" s="88">
        <v>17</v>
      </c>
      <c r="B23" s="89" t="s">
        <v>515</v>
      </c>
      <c r="C23" s="89" t="s">
        <v>516</v>
      </c>
      <c r="D23" s="89" t="s">
        <v>199</v>
      </c>
      <c r="E23" s="90">
        <v>110000</v>
      </c>
      <c r="F23" s="91">
        <v>1629.54</v>
      </c>
      <c r="G23" s="92">
        <v>1.8546090000000001E-2</v>
      </c>
      <c r="H23" s="87" t="s">
        <v>143</v>
      </c>
    </row>
    <row r="24" spans="1:8" ht="14.25" customHeight="1" x14ac:dyDescent="0.2">
      <c r="A24" s="88">
        <v>18</v>
      </c>
      <c r="B24" s="89" t="s">
        <v>519</v>
      </c>
      <c r="C24" s="89" t="s">
        <v>520</v>
      </c>
      <c r="D24" s="89" t="s">
        <v>243</v>
      </c>
      <c r="E24" s="90">
        <v>31000</v>
      </c>
      <c r="F24" s="91">
        <v>1577.1869999999999</v>
      </c>
      <c r="G24" s="92">
        <v>1.7950250000000001E-2</v>
      </c>
      <c r="H24" s="87" t="s">
        <v>143</v>
      </c>
    </row>
    <row r="25" spans="1:8" ht="14.25" customHeight="1" x14ac:dyDescent="0.2">
      <c r="A25" s="88">
        <v>19</v>
      </c>
      <c r="B25" s="89" t="s">
        <v>430</v>
      </c>
      <c r="C25" s="89" t="s">
        <v>431</v>
      </c>
      <c r="D25" s="89" t="s">
        <v>199</v>
      </c>
      <c r="E25" s="90">
        <v>108000</v>
      </c>
      <c r="F25" s="91">
        <v>1571.184</v>
      </c>
      <c r="G25" s="92">
        <v>1.7881930000000001E-2</v>
      </c>
      <c r="H25" s="87" t="s">
        <v>143</v>
      </c>
    </row>
    <row r="26" spans="1:8" ht="14.25" customHeight="1" x14ac:dyDescent="0.2">
      <c r="A26" s="88">
        <v>20</v>
      </c>
      <c r="B26" s="89" t="s">
        <v>214</v>
      </c>
      <c r="C26" s="89" t="s">
        <v>215</v>
      </c>
      <c r="D26" s="89" t="s">
        <v>19</v>
      </c>
      <c r="E26" s="90">
        <v>400000</v>
      </c>
      <c r="F26" s="91">
        <v>1503.6</v>
      </c>
      <c r="G26" s="92">
        <v>1.7112740000000001E-2</v>
      </c>
      <c r="H26" s="87" t="s">
        <v>143</v>
      </c>
    </row>
    <row r="27" spans="1:8" ht="14.25" customHeight="1" x14ac:dyDescent="0.2">
      <c r="A27" s="88">
        <v>21</v>
      </c>
      <c r="B27" s="89" t="s">
        <v>437</v>
      </c>
      <c r="C27" s="89" t="s">
        <v>438</v>
      </c>
      <c r="D27" s="89" t="s">
        <v>199</v>
      </c>
      <c r="E27" s="90">
        <v>48000</v>
      </c>
      <c r="F27" s="91">
        <v>1480.6559999999999</v>
      </c>
      <c r="G27" s="92">
        <v>1.685161E-2</v>
      </c>
      <c r="H27" s="87" t="s">
        <v>143</v>
      </c>
    </row>
    <row r="28" spans="1:8" ht="14.25" customHeight="1" x14ac:dyDescent="0.2">
      <c r="A28" s="88">
        <v>22</v>
      </c>
      <c r="B28" s="89" t="s">
        <v>507</v>
      </c>
      <c r="C28" s="89" t="s">
        <v>508</v>
      </c>
      <c r="D28" s="89" t="s">
        <v>243</v>
      </c>
      <c r="E28" s="90">
        <v>16000</v>
      </c>
      <c r="F28" s="91">
        <v>1381.04</v>
      </c>
      <c r="G28" s="92">
        <v>1.5717869999999998E-2</v>
      </c>
      <c r="H28" s="87" t="s">
        <v>143</v>
      </c>
    </row>
    <row r="29" spans="1:8" ht="14.25" customHeight="1" x14ac:dyDescent="0.2">
      <c r="A29" s="88">
        <v>23</v>
      </c>
      <c r="B29" s="89" t="s">
        <v>654</v>
      </c>
      <c r="C29" s="89" t="s">
        <v>655</v>
      </c>
      <c r="D29" s="89" t="s">
        <v>460</v>
      </c>
      <c r="E29" s="90">
        <v>23000</v>
      </c>
      <c r="F29" s="91">
        <v>1339.52</v>
      </c>
      <c r="G29" s="92">
        <v>1.524532E-2</v>
      </c>
      <c r="H29" s="87" t="s">
        <v>143</v>
      </c>
    </row>
    <row r="30" spans="1:8" ht="14.25" customHeight="1" x14ac:dyDescent="0.2">
      <c r="A30" s="88">
        <v>24</v>
      </c>
      <c r="B30" s="89" t="s">
        <v>280</v>
      </c>
      <c r="C30" s="89" t="s">
        <v>281</v>
      </c>
      <c r="D30" s="89" t="s">
        <v>22</v>
      </c>
      <c r="E30" s="90">
        <v>1700000</v>
      </c>
      <c r="F30" s="91">
        <v>1312.91</v>
      </c>
      <c r="G30" s="92">
        <v>1.4942469999999999E-2</v>
      </c>
      <c r="H30" s="87" t="s">
        <v>143</v>
      </c>
    </row>
    <row r="31" spans="1:8" ht="14.25" customHeight="1" x14ac:dyDescent="0.2">
      <c r="A31" s="88">
        <v>25</v>
      </c>
      <c r="B31" s="89" t="s">
        <v>26</v>
      </c>
      <c r="C31" s="89" t="s">
        <v>27</v>
      </c>
      <c r="D31" s="89" t="s">
        <v>28</v>
      </c>
      <c r="E31" s="90">
        <v>350000</v>
      </c>
      <c r="F31" s="91">
        <v>1292.9000000000001</v>
      </c>
      <c r="G31" s="92">
        <v>1.4714730000000001E-2</v>
      </c>
      <c r="H31" s="87" t="s">
        <v>143</v>
      </c>
    </row>
    <row r="32" spans="1:8" ht="14.25" customHeight="1" x14ac:dyDescent="0.2">
      <c r="A32" s="88">
        <v>26</v>
      </c>
      <c r="B32" s="89" t="s">
        <v>291</v>
      </c>
      <c r="C32" s="89" t="s">
        <v>292</v>
      </c>
      <c r="D32" s="89" t="s">
        <v>288</v>
      </c>
      <c r="E32" s="90">
        <v>225000</v>
      </c>
      <c r="F32" s="91">
        <v>1290.5999999999999</v>
      </c>
      <c r="G32" s="92">
        <v>1.468855E-2</v>
      </c>
      <c r="H32" s="87" t="s">
        <v>143</v>
      </c>
    </row>
    <row r="33" spans="1:8" ht="14.25" customHeight="1" x14ac:dyDescent="0.2">
      <c r="A33" s="88">
        <v>27</v>
      </c>
      <c r="B33" s="89" t="s">
        <v>333</v>
      </c>
      <c r="C33" s="89" t="s">
        <v>334</v>
      </c>
      <c r="D33" s="89" t="s">
        <v>33</v>
      </c>
      <c r="E33" s="90">
        <v>550000</v>
      </c>
      <c r="F33" s="91">
        <v>1280.5650000000001</v>
      </c>
      <c r="G33" s="92">
        <v>1.457434E-2</v>
      </c>
      <c r="H33" s="87" t="s">
        <v>143</v>
      </c>
    </row>
    <row r="34" spans="1:8" ht="14.25" customHeight="1" x14ac:dyDescent="0.2">
      <c r="A34" s="88">
        <v>28</v>
      </c>
      <c r="B34" s="89" t="s">
        <v>409</v>
      </c>
      <c r="C34" s="89" t="s">
        <v>410</v>
      </c>
      <c r="D34" s="89" t="s">
        <v>138</v>
      </c>
      <c r="E34" s="90">
        <v>800000</v>
      </c>
      <c r="F34" s="91">
        <v>1235.8399999999999</v>
      </c>
      <c r="G34" s="92">
        <v>1.4065319999999999E-2</v>
      </c>
      <c r="H34" s="87" t="s">
        <v>143</v>
      </c>
    </row>
    <row r="35" spans="1:8" ht="25.5" x14ac:dyDescent="0.2">
      <c r="A35" s="88">
        <v>29</v>
      </c>
      <c r="B35" s="127" t="s">
        <v>1075</v>
      </c>
      <c r="C35" s="127" t="s">
        <v>1084</v>
      </c>
      <c r="D35" s="127" t="s">
        <v>77</v>
      </c>
      <c r="E35" s="149">
        <v>1100000</v>
      </c>
      <c r="F35" s="150">
        <f>122634000/10^5</f>
        <v>1226.3399999999999</v>
      </c>
      <c r="G35" s="151">
        <f>F35/F127</f>
        <v>1.3957196558086027E-2</v>
      </c>
      <c r="H35" s="87" t="s">
        <v>143</v>
      </c>
    </row>
    <row r="36" spans="1:8" ht="14.25" customHeight="1" x14ac:dyDescent="0.2">
      <c r="A36" s="88">
        <v>30</v>
      </c>
      <c r="B36" s="89" t="s">
        <v>71</v>
      </c>
      <c r="C36" s="89" t="s">
        <v>72</v>
      </c>
      <c r="D36" s="89" t="s">
        <v>68</v>
      </c>
      <c r="E36" s="90">
        <v>32000</v>
      </c>
      <c r="F36" s="91">
        <v>1224.384</v>
      </c>
      <c r="G36" s="92">
        <v>1.393494E-2</v>
      </c>
      <c r="H36" s="87" t="s">
        <v>143</v>
      </c>
    </row>
    <row r="37" spans="1:8" ht="14.25" customHeight="1" x14ac:dyDescent="0.2">
      <c r="A37" s="88">
        <v>31</v>
      </c>
      <c r="B37" s="89" t="s">
        <v>347</v>
      </c>
      <c r="C37" s="89" t="s">
        <v>348</v>
      </c>
      <c r="D37" s="89" t="s">
        <v>194</v>
      </c>
      <c r="E37" s="90">
        <v>75000</v>
      </c>
      <c r="F37" s="91">
        <v>1195.875</v>
      </c>
      <c r="G37" s="92">
        <v>1.361047E-2</v>
      </c>
      <c r="H37" s="87" t="s">
        <v>143</v>
      </c>
    </row>
    <row r="38" spans="1:8" ht="14.25" customHeight="1" x14ac:dyDescent="0.2">
      <c r="A38" s="88">
        <v>32</v>
      </c>
      <c r="B38" s="89" t="s">
        <v>331</v>
      </c>
      <c r="C38" s="89" t="s">
        <v>332</v>
      </c>
      <c r="D38" s="89" t="s">
        <v>243</v>
      </c>
      <c r="E38" s="90">
        <v>37000</v>
      </c>
      <c r="F38" s="91">
        <v>1183.8150000000001</v>
      </c>
      <c r="G38" s="92">
        <v>1.3473209999999999E-2</v>
      </c>
      <c r="H38" s="87" t="s">
        <v>143</v>
      </c>
    </row>
    <row r="39" spans="1:8" ht="14.25" customHeight="1" x14ac:dyDescent="0.2">
      <c r="A39" s="88">
        <v>33</v>
      </c>
      <c r="B39" s="89" t="s">
        <v>670</v>
      </c>
      <c r="C39" s="89" t="s">
        <v>671</v>
      </c>
      <c r="D39" s="89" t="s">
        <v>19</v>
      </c>
      <c r="E39" s="90">
        <v>550000</v>
      </c>
      <c r="F39" s="91">
        <v>1084.7650000000001</v>
      </c>
      <c r="G39" s="92">
        <v>1.234591E-2</v>
      </c>
      <c r="H39" s="87" t="s">
        <v>143</v>
      </c>
    </row>
    <row r="40" spans="1:8" ht="14.25" customHeight="1" x14ac:dyDescent="0.2">
      <c r="A40" s="88">
        <v>34</v>
      </c>
      <c r="B40" s="89" t="s">
        <v>672</v>
      </c>
      <c r="C40" s="89" t="s">
        <v>673</v>
      </c>
      <c r="D40" s="89" t="s">
        <v>22</v>
      </c>
      <c r="E40" s="90">
        <v>700000</v>
      </c>
      <c r="F40" s="91">
        <v>1065.33</v>
      </c>
      <c r="G40" s="92">
        <v>1.212471E-2</v>
      </c>
      <c r="H40" s="87" t="s">
        <v>143</v>
      </c>
    </row>
    <row r="41" spans="1:8" ht="14.25" customHeight="1" x14ac:dyDescent="0.2">
      <c r="A41" s="88">
        <v>35</v>
      </c>
      <c r="B41" s="89" t="s">
        <v>358</v>
      </c>
      <c r="C41" s="89" t="s">
        <v>359</v>
      </c>
      <c r="D41" s="89" t="s">
        <v>188</v>
      </c>
      <c r="E41" s="90">
        <v>175000</v>
      </c>
      <c r="F41" s="91">
        <v>1051.8375000000001</v>
      </c>
      <c r="G41" s="92">
        <v>1.197115E-2</v>
      </c>
      <c r="H41" s="87" t="s">
        <v>143</v>
      </c>
    </row>
    <row r="42" spans="1:8" ht="14.25" customHeight="1" x14ac:dyDescent="0.2">
      <c r="A42" s="88">
        <v>36</v>
      </c>
      <c r="B42" s="89" t="s">
        <v>490</v>
      </c>
      <c r="C42" s="89" t="s">
        <v>491</v>
      </c>
      <c r="D42" s="89" t="s">
        <v>223</v>
      </c>
      <c r="E42" s="90">
        <v>81000</v>
      </c>
      <c r="F42" s="91">
        <v>1043.6849999999999</v>
      </c>
      <c r="G42" s="92">
        <v>1.1878369999999999E-2</v>
      </c>
      <c r="H42" s="87" t="s">
        <v>143</v>
      </c>
    </row>
    <row r="43" spans="1:8" ht="14.25" customHeight="1" x14ac:dyDescent="0.2">
      <c r="A43" s="88">
        <v>37</v>
      </c>
      <c r="B43" s="89" t="s">
        <v>674</v>
      </c>
      <c r="C43" s="89" t="s">
        <v>675</v>
      </c>
      <c r="D43" s="89" t="s">
        <v>199</v>
      </c>
      <c r="E43" s="90">
        <v>35000</v>
      </c>
      <c r="F43" s="91">
        <v>975.8</v>
      </c>
      <c r="G43" s="92">
        <v>1.1105759999999999E-2</v>
      </c>
      <c r="H43" s="87" t="s">
        <v>143</v>
      </c>
    </row>
    <row r="44" spans="1:8" ht="14.25" customHeight="1" x14ac:dyDescent="0.2">
      <c r="A44" s="88">
        <v>38</v>
      </c>
      <c r="B44" s="89" t="s">
        <v>210</v>
      </c>
      <c r="C44" s="89" t="s">
        <v>211</v>
      </c>
      <c r="D44" s="89" t="s">
        <v>199</v>
      </c>
      <c r="E44" s="90">
        <v>55000</v>
      </c>
      <c r="F44" s="91">
        <v>948.36500000000001</v>
      </c>
      <c r="G44" s="92">
        <v>1.0793509999999999E-2</v>
      </c>
      <c r="H44" s="87" t="s">
        <v>143</v>
      </c>
    </row>
    <row r="45" spans="1:8" ht="14.25" customHeight="1" x14ac:dyDescent="0.2">
      <c r="A45" s="88">
        <v>39</v>
      </c>
      <c r="B45" s="89" t="s">
        <v>23</v>
      </c>
      <c r="C45" s="89" t="s">
        <v>24</v>
      </c>
      <c r="D45" s="89" t="s">
        <v>25</v>
      </c>
      <c r="E45" s="90">
        <v>7500</v>
      </c>
      <c r="F45" s="91">
        <v>948</v>
      </c>
      <c r="G45" s="92">
        <v>1.078936E-2</v>
      </c>
      <c r="H45" s="87" t="s">
        <v>143</v>
      </c>
    </row>
    <row r="46" spans="1:8" ht="14.25" customHeight="1" x14ac:dyDescent="0.2">
      <c r="A46" s="88">
        <v>40</v>
      </c>
      <c r="B46" s="89" t="s">
        <v>676</v>
      </c>
      <c r="C46" s="89" t="s">
        <v>677</v>
      </c>
      <c r="D46" s="89" t="s">
        <v>288</v>
      </c>
      <c r="E46" s="90">
        <v>75000</v>
      </c>
      <c r="F46" s="91">
        <v>931.95</v>
      </c>
      <c r="G46" s="92">
        <v>1.060669E-2</v>
      </c>
      <c r="H46" s="87" t="s">
        <v>143</v>
      </c>
    </row>
    <row r="47" spans="1:8" ht="14.25" customHeight="1" x14ac:dyDescent="0.2">
      <c r="A47" s="88">
        <v>41</v>
      </c>
      <c r="B47" s="89" t="s">
        <v>678</v>
      </c>
      <c r="C47" s="89" t="s">
        <v>679</v>
      </c>
      <c r="D47" s="89" t="s">
        <v>199</v>
      </c>
      <c r="E47" s="90">
        <v>18000</v>
      </c>
      <c r="F47" s="91">
        <v>924.03</v>
      </c>
      <c r="G47" s="92">
        <v>1.051655E-2</v>
      </c>
      <c r="H47" s="87" t="s">
        <v>143</v>
      </c>
    </row>
    <row r="48" spans="1:8" ht="14.25" customHeight="1" x14ac:dyDescent="0.2">
      <c r="A48" s="88">
        <v>42</v>
      </c>
      <c r="B48" s="89" t="s">
        <v>189</v>
      </c>
      <c r="C48" s="89" t="s">
        <v>190</v>
      </c>
      <c r="D48" s="89" t="s">
        <v>191</v>
      </c>
      <c r="E48" s="90">
        <v>350000</v>
      </c>
      <c r="F48" s="91">
        <v>888.82500000000005</v>
      </c>
      <c r="G48" s="92">
        <v>1.0115880000000001E-2</v>
      </c>
      <c r="H48" s="87" t="s">
        <v>143</v>
      </c>
    </row>
    <row r="49" spans="1:8" ht="14.25" customHeight="1" x14ac:dyDescent="0.2">
      <c r="A49" s="88">
        <v>43</v>
      </c>
      <c r="B49" s="89" t="s">
        <v>327</v>
      </c>
      <c r="C49" s="89" t="s">
        <v>328</v>
      </c>
      <c r="D49" s="89" t="s">
        <v>33</v>
      </c>
      <c r="E49" s="90">
        <v>85000</v>
      </c>
      <c r="F49" s="91">
        <v>888.42</v>
      </c>
      <c r="G49" s="92">
        <v>1.011127E-2</v>
      </c>
      <c r="H49" s="87" t="s">
        <v>143</v>
      </c>
    </row>
    <row r="50" spans="1:8" ht="14.25" customHeight="1" x14ac:dyDescent="0.2">
      <c r="A50" s="88">
        <v>44</v>
      </c>
      <c r="B50" s="89" t="s">
        <v>323</v>
      </c>
      <c r="C50" s="89" t="s">
        <v>324</v>
      </c>
      <c r="D50" s="89" t="s">
        <v>33</v>
      </c>
      <c r="E50" s="90">
        <v>45000</v>
      </c>
      <c r="F50" s="91">
        <v>882.13499999999999</v>
      </c>
      <c r="G50" s="92">
        <v>1.003974E-2</v>
      </c>
      <c r="H50" s="87" t="s">
        <v>143</v>
      </c>
    </row>
    <row r="51" spans="1:8" ht="14.25" customHeight="1" x14ac:dyDescent="0.2">
      <c r="A51" s="88">
        <v>45</v>
      </c>
      <c r="B51" s="89" t="s">
        <v>224</v>
      </c>
      <c r="C51" s="89" t="s">
        <v>225</v>
      </c>
      <c r="D51" s="89" t="s">
        <v>43</v>
      </c>
      <c r="E51" s="90">
        <v>190000</v>
      </c>
      <c r="F51" s="91">
        <v>878.18</v>
      </c>
      <c r="G51" s="92">
        <v>9.9947300000000003E-3</v>
      </c>
      <c r="H51" s="87" t="s">
        <v>143</v>
      </c>
    </row>
    <row r="52" spans="1:8" ht="14.25" customHeight="1" x14ac:dyDescent="0.2">
      <c r="A52" s="88">
        <v>46</v>
      </c>
      <c r="B52" s="89" t="s">
        <v>337</v>
      </c>
      <c r="C52" s="89" t="s">
        <v>338</v>
      </c>
      <c r="D52" s="89" t="s">
        <v>28</v>
      </c>
      <c r="E52" s="90">
        <v>20000</v>
      </c>
      <c r="F52" s="91">
        <v>866.52</v>
      </c>
      <c r="G52" s="92">
        <v>9.8620200000000009E-3</v>
      </c>
      <c r="H52" s="87" t="s">
        <v>143</v>
      </c>
    </row>
    <row r="53" spans="1:8" ht="14.25" customHeight="1" x14ac:dyDescent="0.2">
      <c r="A53" s="88">
        <v>47</v>
      </c>
      <c r="B53" s="89" t="s">
        <v>680</v>
      </c>
      <c r="C53" s="89" t="s">
        <v>681</v>
      </c>
      <c r="D53" s="89" t="s">
        <v>65</v>
      </c>
      <c r="E53" s="90">
        <v>220000</v>
      </c>
      <c r="F53" s="91">
        <v>858.66</v>
      </c>
      <c r="G53" s="92">
        <v>9.7725599999999996E-3</v>
      </c>
      <c r="H53" s="87" t="s">
        <v>143</v>
      </c>
    </row>
    <row r="54" spans="1:8" ht="14.25" customHeight="1" x14ac:dyDescent="0.2">
      <c r="A54" s="88">
        <v>48</v>
      </c>
      <c r="B54" s="89" t="s">
        <v>682</v>
      </c>
      <c r="C54" s="89" t="s">
        <v>683</v>
      </c>
      <c r="D54" s="89" t="s">
        <v>19</v>
      </c>
      <c r="E54" s="90">
        <v>625000</v>
      </c>
      <c r="F54" s="91">
        <v>853.875</v>
      </c>
      <c r="G54" s="92">
        <v>9.7181100000000003E-3</v>
      </c>
      <c r="H54" s="87" t="s">
        <v>143</v>
      </c>
    </row>
    <row r="55" spans="1:8" ht="14.25" customHeight="1" x14ac:dyDescent="0.2">
      <c r="A55" s="88">
        <v>49</v>
      </c>
      <c r="B55" s="89" t="s">
        <v>684</v>
      </c>
      <c r="C55" s="89" t="s">
        <v>685</v>
      </c>
      <c r="D55" s="89" t="s">
        <v>191</v>
      </c>
      <c r="E55" s="90">
        <v>240000</v>
      </c>
      <c r="F55" s="91">
        <v>840</v>
      </c>
      <c r="G55" s="92">
        <v>9.5601899999999997E-3</v>
      </c>
      <c r="H55" s="87" t="s">
        <v>143</v>
      </c>
    </row>
    <row r="56" spans="1:8" ht="14.25" customHeight="1" x14ac:dyDescent="0.2">
      <c r="A56" s="88">
        <v>50</v>
      </c>
      <c r="B56" s="89" t="s">
        <v>686</v>
      </c>
      <c r="C56" s="89" t="s">
        <v>687</v>
      </c>
      <c r="D56" s="89" t="s">
        <v>194</v>
      </c>
      <c r="E56" s="90">
        <v>15333</v>
      </c>
      <c r="F56" s="91">
        <v>788.72951999999998</v>
      </c>
      <c r="G56" s="92">
        <v>8.9766700000000008E-3</v>
      </c>
      <c r="H56" s="87" t="s">
        <v>143</v>
      </c>
    </row>
    <row r="57" spans="1:8" ht="14.25" customHeight="1" x14ac:dyDescent="0.2">
      <c r="A57" s="88">
        <v>51</v>
      </c>
      <c r="B57" s="89" t="s">
        <v>688</v>
      </c>
      <c r="C57" s="89" t="s">
        <v>689</v>
      </c>
      <c r="D57" s="89" t="s">
        <v>46</v>
      </c>
      <c r="E57" s="90">
        <v>25000</v>
      </c>
      <c r="F57" s="91">
        <v>629.65</v>
      </c>
      <c r="G57" s="92">
        <v>7.1661600000000004E-3</v>
      </c>
      <c r="H57" s="87" t="s">
        <v>143</v>
      </c>
    </row>
    <row r="58" spans="1:8" ht="14.25" customHeight="1" x14ac:dyDescent="0.2">
      <c r="A58" s="88">
        <v>52</v>
      </c>
      <c r="B58" s="89" t="s">
        <v>329</v>
      </c>
      <c r="C58" s="89" t="s">
        <v>330</v>
      </c>
      <c r="D58" s="89" t="s">
        <v>191</v>
      </c>
      <c r="E58" s="90">
        <v>60000</v>
      </c>
      <c r="F58" s="91">
        <v>526.71</v>
      </c>
      <c r="G58" s="92">
        <v>5.9945800000000002E-3</v>
      </c>
      <c r="H58" s="87" t="s">
        <v>143</v>
      </c>
    </row>
    <row r="59" spans="1:8" ht="14.25" customHeight="1" x14ac:dyDescent="0.2">
      <c r="A59" s="88">
        <v>53</v>
      </c>
      <c r="B59" s="89" t="s">
        <v>690</v>
      </c>
      <c r="C59" s="89" t="s">
        <v>691</v>
      </c>
      <c r="D59" s="89" t="s">
        <v>185</v>
      </c>
      <c r="E59" s="90">
        <v>10000</v>
      </c>
      <c r="F59" s="91">
        <v>523.15</v>
      </c>
      <c r="G59" s="92">
        <v>5.9540599999999997E-3</v>
      </c>
      <c r="H59" s="87" t="s">
        <v>143</v>
      </c>
    </row>
    <row r="60" spans="1:8" ht="14.25" customHeight="1" x14ac:dyDescent="0.2">
      <c r="A60" s="88">
        <v>54</v>
      </c>
      <c r="B60" s="89" t="s">
        <v>250</v>
      </c>
      <c r="C60" s="89" t="s">
        <v>251</v>
      </c>
      <c r="D60" s="89" t="s">
        <v>191</v>
      </c>
      <c r="E60" s="90">
        <v>75000</v>
      </c>
      <c r="F60" s="91">
        <v>435.1875</v>
      </c>
      <c r="G60" s="92">
        <v>4.9529500000000002E-3</v>
      </c>
      <c r="H60" s="87" t="s">
        <v>143</v>
      </c>
    </row>
    <row r="61" spans="1:8" ht="14.25" customHeight="1" x14ac:dyDescent="0.2">
      <c r="A61" s="93"/>
      <c r="B61" s="93"/>
      <c r="C61" s="94" t="s">
        <v>142</v>
      </c>
      <c r="D61" s="93"/>
      <c r="E61" s="93" t="s">
        <v>143</v>
      </c>
      <c r="F61" s="95">
        <f>SUM(F7:F60)</f>
        <v>82993.453616899977</v>
      </c>
      <c r="G61" s="96">
        <f>SUM(G7:G60)</f>
        <v>0.94456349730425504</v>
      </c>
      <c r="H61" s="87" t="s">
        <v>143</v>
      </c>
    </row>
    <row r="62" spans="1:8" ht="14.25" customHeight="1" x14ac:dyDescent="0.2">
      <c r="A62" s="93"/>
      <c r="B62" s="93"/>
      <c r="C62" s="97"/>
      <c r="D62" s="93"/>
      <c r="E62" s="93"/>
      <c r="F62" s="98"/>
      <c r="G62" s="98"/>
      <c r="H62" s="87" t="s">
        <v>143</v>
      </c>
    </row>
    <row r="63" spans="1:8" ht="14.25" customHeight="1" x14ac:dyDescent="0.2">
      <c r="A63" s="93"/>
      <c r="B63" s="93"/>
      <c r="C63" s="94" t="s">
        <v>144</v>
      </c>
      <c r="D63" s="93"/>
      <c r="E63" s="93"/>
      <c r="F63" s="93"/>
      <c r="G63" s="93"/>
      <c r="H63" s="87" t="s">
        <v>143</v>
      </c>
    </row>
    <row r="64" spans="1:8" ht="14.25" customHeight="1" x14ac:dyDescent="0.2">
      <c r="A64" s="93"/>
      <c r="B64" s="93"/>
      <c r="C64" s="94" t="s">
        <v>142</v>
      </c>
      <c r="D64" s="93"/>
      <c r="E64" s="93" t="s">
        <v>143</v>
      </c>
      <c r="F64" s="99" t="s">
        <v>145</v>
      </c>
      <c r="G64" s="96">
        <v>0</v>
      </c>
      <c r="H64" s="87" t="s">
        <v>143</v>
      </c>
    </row>
    <row r="65" spans="1:8" ht="14.25" customHeight="1" x14ac:dyDescent="0.2">
      <c r="A65" s="93"/>
      <c r="B65" s="93"/>
      <c r="C65" s="97"/>
      <c r="D65" s="93"/>
      <c r="E65" s="93"/>
      <c r="F65" s="98"/>
      <c r="G65" s="98"/>
      <c r="H65" s="87" t="s">
        <v>143</v>
      </c>
    </row>
    <row r="66" spans="1:8" ht="14.25" customHeight="1" x14ac:dyDescent="0.2">
      <c r="A66" s="93"/>
      <c r="B66" s="93"/>
      <c r="C66" s="94" t="s">
        <v>146</v>
      </c>
      <c r="D66" s="93"/>
      <c r="E66" s="93"/>
      <c r="F66" s="93"/>
      <c r="G66" s="93"/>
      <c r="H66" s="87" t="s">
        <v>143</v>
      </c>
    </row>
    <row r="67" spans="1:8" ht="14.25" customHeight="1" x14ac:dyDescent="0.2">
      <c r="A67" s="88">
        <v>1</v>
      </c>
      <c r="B67" s="89" t="s">
        <v>694</v>
      </c>
      <c r="C67" s="89" t="s">
        <v>1085</v>
      </c>
      <c r="D67" s="89"/>
      <c r="E67" s="90">
        <v>200000</v>
      </c>
      <c r="F67" s="91">
        <v>1.9999999999999999E-6</v>
      </c>
      <c r="G67" s="100" t="s">
        <v>141</v>
      </c>
      <c r="H67" s="87" t="s">
        <v>143</v>
      </c>
    </row>
    <row r="68" spans="1:8" ht="14.25" customHeight="1" x14ac:dyDescent="0.2">
      <c r="A68" s="88">
        <v>2</v>
      </c>
      <c r="B68" s="89" t="s">
        <v>695</v>
      </c>
      <c r="C68" s="89" t="s">
        <v>1086</v>
      </c>
      <c r="D68" s="89"/>
      <c r="E68" s="90">
        <v>50000</v>
      </c>
      <c r="F68" s="91">
        <v>4.9999999999999998E-7</v>
      </c>
      <c r="G68" s="100" t="s">
        <v>141</v>
      </c>
      <c r="H68" s="87" t="s">
        <v>143</v>
      </c>
    </row>
    <row r="69" spans="1:8" ht="14.25" customHeight="1" x14ac:dyDescent="0.2">
      <c r="A69" s="88">
        <v>3</v>
      </c>
      <c r="B69" s="89" t="s">
        <v>692</v>
      </c>
      <c r="C69" s="89" t="s">
        <v>1087</v>
      </c>
      <c r="D69" s="89"/>
      <c r="E69" s="90">
        <v>50000</v>
      </c>
      <c r="F69" s="91">
        <v>4.9999999999999998E-7</v>
      </c>
      <c r="G69" s="100" t="s">
        <v>141</v>
      </c>
      <c r="H69" s="87" t="s">
        <v>143</v>
      </c>
    </row>
    <row r="70" spans="1:8" ht="14.25" customHeight="1" x14ac:dyDescent="0.2">
      <c r="A70" s="88">
        <v>4</v>
      </c>
      <c r="B70" s="89" t="s">
        <v>693</v>
      </c>
      <c r="C70" s="89" t="s">
        <v>1088</v>
      </c>
      <c r="D70" s="89"/>
      <c r="E70" s="90">
        <v>20</v>
      </c>
      <c r="F70" s="91">
        <v>0</v>
      </c>
      <c r="G70" s="100" t="s">
        <v>141</v>
      </c>
      <c r="H70" s="87" t="s">
        <v>143</v>
      </c>
    </row>
    <row r="71" spans="1:8" ht="14.25" customHeight="1" x14ac:dyDescent="0.2">
      <c r="A71" s="93"/>
      <c r="B71" s="93"/>
      <c r="C71" s="94" t="s">
        <v>142</v>
      </c>
      <c r="D71" s="93"/>
      <c r="E71" s="93" t="s">
        <v>143</v>
      </c>
      <c r="F71" s="99" t="s">
        <v>145</v>
      </c>
      <c r="G71" s="96">
        <v>0</v>
      </c>
      <c r="H71" s="87" t="s">
        <v>143</v>
      </c>
    </row>
    <row r="72" spans="1:8" ht="14.25" customHeight="1" x14ac:dyDescent="0.2">
      <c r="A72" s="93"/>
      <c r="B72" s="93"/>
      <c r="C72" s="97"/>
      <c r="D72" s="93"/>
      <c r="E72" s="93"/>
      <c r="F72" s="98"/>
      <c r="G72" s="98"/>
      <c r="H72" s="87" t="s">
        <v>143</v>
      </c>
    </row>
    <row r="73" spans="1:8" ht="14.25" customHeight="1" x14ac:dyDescent="0.2">
      <c r="A73" s="93"/>
      <c r="B73" s="93"/>
      <c r="C73" s="94" t="s">
        <v>147</v>
      </c>
      <c r="D73" s="93"/>
      <c r="E73" s="93"/>
      <c r="F73" s="93"/>
      <c r="G73" s="93"/>
      <c r="H73" s="87" t="s">
        <v>143</v>
      </c>
    </row>
    <row r="74" spans="1:8" ht="14.25" customHeight="1" x14ac:dyDescent="0.2">
      <c r="A74" s="93"/>
      <c r="B74" s="93"/>
      <c r="C74" s="94" t="s">
        <v>142</v>
      </c>
      <c r="D74" s="93"/>
      <c r="E74" s="93" t="s">
        <v>143</v>
      </c>
      <c r="F74" s="99" t="s">
        <v>145</v>
      </c>
      <c r="G74" s="96">
        <v>0</v>
      </c>
      <c r="H74" s="87" t="s">
        <v>143</v>
      </c>
    </row>
    <row r="75" spans="1:8" ht="14.25" customHeight="1" x14ac:dyDescent="0.2">
      <c r="A75" s="93"/>
      <c r="B75" s="93"/>
      <c r="C75" s="97"/>
      <c r="D75" s="93"/>
      <c r="E75" s="93"/>
      <c r="F75" s="98"/>
      <c r="G75" s="98"/>
      <c r="H75" s="87" t="s">
        <v>143</v>
      </c>
    </row>
    <row r="76" spans="1:8" ht="14.25" customHeight="1" x14ac:dyDescent="0.2">
      <c r="A76" s="93"/>
      <c r="B76" s="93"/>
      <c r="C76" s="94" t="s">
        <v>148</v>
      </c>
      <c r="D76" s="93"/>
      <c r="E76" s="93"/>
      <c r="F76" s="98"/>
      <c r="G76" s="98"/>
      <c r="H76" s="87" t="s">
        <v>143</v>
      </c>
    </row>
    <row r="77" spans="1:8" ht="14.25" customHeight="1" x14ac:dyDescent="0.2">
      <c r="A77" s="93"/>
      <c r="B77" s="93"/>
      <c r="C77" s="94" t="s">
        <v>142</v>
      </c>
      <c r="D77" s="93"/>
      <c r="E77" s="93" t="s">
        <v>143</v>
      </c>
      <c r="F77" s="99" t="s">
        <v>145</v>
      </c>
      <c r="G77" s="96">
        <v>0</v>
      </c>
      <c r="H77" s="87" t="s">
        <v>143</v>
      </c>
    </row>
    <row r="78" spans="1:8" ht="14.25" customHeight="1" x14ac:dyDescent="0.2">
      <c r="A78" s="93"/>
      <c r="B78" s="93"/>
      <c r="C78" s="97"/>
      <c r="D78" s="93"/>
      <c r="E78" s="93"/>
      <c r="F78" s="98"/>
      <c r="G78" s="98"/>
      <c r="H78" s="87" t="s">
        <v>143</v>
      </c>
    </row>
    <row r="79" spans="1:8" ht="14.25" customHeight="1" x14ac:dyDescent="0.2">
      <c r="A79" s="93"/>
      <c r="B79" s="93"/>
      <c r="C79" s="94" t="s">
        <v>149</v>
      </c>
      <c r="D79" s="93"/>
      <c r="E79" s="93"/>
      <c r="F79" s="98"/>
      <c r="G79" s="98"/>
      <c r="H79" s="87" t="s">
        <v>143</v>
      </c>
    </row>
    <row r="80" spans="1:8" ht="14.25" customHeight="1" x14ac:dyDescent="0.2">
      <c r="A80" s="93"/>
      <c r="B80" s="93"/>
      <c r="C80" s="94" t="s">
        <v>142</v>
      </c>
      <c r="D80" s="93"/>
      <c r="E80" s="93" t="s">
        <v>143</v>
      </c>
      <c r="F80" s="99" t="s">
        <v>145</v>
      </c>
      <c r="G80" s="96">
        <v>0</v>
      </c>
      <c r="H80" s="87" t="s">
        <v>143</v>
      </c>
    </row>
    <row r="81" spans="1:8" ht="14.25" customHeight="1" x14ac:dyDescent="0.2">
      <c r="A81" s="93"/>
      <c r="B81" s="93"/>
      <c r="C81" s="97"/>
      <c r="D81" s="93"/>
      <c r="E81" s="93"/>
      <c r="F81" s="98"/>
      <c r="G81" s="98"/>
      <c r="H81" s="87" t="s">
        <v>143</v>
      </c>
    </row>
    <row r="82" spans="1:8" ht="14.25" customHeight="1" x14ac:dyDescent="0.2">
      <c r="A82" s="93"/>
      <c r="B82" s="93"/>
      <c r="C82" s="94" t="s">
        <v>150</v>
      </c>
      <c r="D82" s="93"/>
      <c r="E82" s="93"/>
      <c r="F82" s="95">
        <f>F61</f>
        <v>82993.453616899977</v>
      </c>
      <c r="G82" s="96">
        <f>G61</f>
        <v>0.94456349730425504</v>
      </c>
      <c r="H82" s="87" t="s">
        <v>143</v>
      </c>
    </row>
    <row r="83" spans="1:8" ht="14.25" customHeight="1" x14ac:dyDescent="0.2">
      <c r="A83" s="93"/>
      <c r="B83" s="93"/>
      <c r="C83" s="97"/>
      <c r="D83" s="93"/>
      <c r="E83" s="93"/>
      <c r="F83" s="98"/>
      <c r="G83" s="98"/>
      <c r="H83" s="87" t="s">
        <v>143</v>
      </c>
    </row>
    <row r="84" spans="1:8" ht="14.25" customHeight="1" x14ac:dyDescent="0.2">
      <c r="A84" s="93"/>
      <c r="B84" s="93"/>
      <c r="C84" s="94" t="s">
        <v>151</v>
      </c>
      <c r="D84" s="93"/>
      <c r="E84" s="93"/>
      <c r="F84" s="98"/>
      <c r="G84" s="98"/>
      <c r="H84" s="87" t="s">
        <v>143</v>
      </c>
    </row>
    <row r="85" spans="1:8" ht="14.25" customHeight="1" x14ac:dyDescent="0.2">
      <c r="A85" s="93"/>
      <c r="B85" s="93"/>
      <c r="C85" s="94" t="s">
        <v>10</v>
      </c>
      <c r="D85" s="93"/>
      <c r="E85" s="93"/>
      <c r="F85" s="98"/>
      <c r="G85" s="98"/>
      <c r="H85" s="87" t="s">
        <v>143</v>
      </c>
    </row>
    <row r="86" spans="1:8" ht="14.25" customHeight="1" x14ac:dyDescent="0.2">
      <c r="A86" s="93"/>
      <c r="B86" s="93"/>
      <c r="C86" s="94" t="s">
        <v>142</v>
      </c>
      <c r="D86" s="93"/>
      <c r="E86" s="93" t="s">
        <v>143</v>
      </c>
      <c r="F86" s="99" t="s">
        <v>145</v>
      </c>
      <c r="G86" s="96">
        <v>0</v>
      </c>
      <c r="H86" s="87" t="s">
        <v>143</v>
      </c>
    </row>
    <row r="87" spans="1:8" ht="14.25" customHeight="1" x14ac:dyDescent="0.2">
      <c r="A87" s="93"/>
      <c r="B87" s="93"/>
      <c r="C87" s="97"/>
      <c r="D87" s="93"/>
      <c r="E87" s="93"/>
      <c r="F87" s="98"/>
      <c r="G87" s="98"/>
      <c r="H87" s="87" t="s">
        <v>143</v>
      </c>
    </row>
    <row r="88" spans="1:8" ht="14.25" customHeight="1" x14ac:dyDescent="0.2">
      <c r="A88" s="93"/>
      <c r="B88" s="93"/>
      <c r="C88" s="94" t="s">
        <v>152</v>
      </c>
      <c r="D88" s="93"/>
      <c r="E88" s="93"/>
      <c r="F88" s="93"/>
      <c r="G88" s="93"/>
      <c r="H88" s="87" t="s">
        <v>143</v>
      </c>
    </row>
    <row r="89" spans="1:8" ht="14.25" customHeight="1" x14ac:dyDescent="0.2">
      <c r="A89" s="93"/>
      <c r="B89" s="93"/>
      <c r="C89" s="94" t="s">
        <v>142</v>
      </c>
      <c r="D89" s="93"/>
      <c r="E89" s="93" t="s">
        <v>143</v>
      </c>
      <c r="F89" s="99" t="s">
        <v>145</v>
      </c>
      <c r="G89" s="96">
        <v>0</v>
      </c>
      <c r="H89" s="87" t="s">
        <v>143</v>
      </c>
    </row>
    <row r="90" spans="1:8" ht="14.25" customHeight="1" x14ac:dyDescent="0.2">
      <c r="A90" s="93"/>
      <c r="B90" s="93"/>
      <c r="C90" s="97"/>
      <c r="D90" s="93"/>
      <c r="E90" s="93"/>
      <c r="F90" s="98"/>
      <c r="G90" s="98"/>
      <c r="H90" s="87" t="s">
        <v>143</v>
      </c>
    </row>
    <row r="91" spans="1:8" ht="14.25" customHeight="1" x14ac:dyDescent="0.2">
      <c r="A91" s="93"/>
      <c r="B91" s="93"/>
      <c r="C91" s="94" t="s">
        <v>153</v>
      </c>
      <c r="D91" s="93"/>
      <c r="E91" s="93"/>
      <c r="F91" s="93"/>
      <c r="G91" s="93"/>
      <c r="H91" s="87" t="s">
        <v>143</v>
      </c>
    </row>
    <row r="92" spans="1:8" ht="14.25" customHeight="1" x14ac:dyDescent="0.2">
      <c r="A92" s="93"/>
      <c r="B92" s="93"/>
      <c r="C92" s="94" t="s">
        <v>142</v>
      </c>
      <c r="D92" s="93"/>
      <c r="E92" s="93" t="s">
        <v>143</v>
      </c>
      <c r="F92" s="99" t="s">
        <v>145</v>
      </c>
      <c r="G92" s="96">
        <v>0</v>
      </c>
      <c r="H92" s="87" t="s">
        <v>143</v>
      </c>
    </row>
    <row r="93" spans="1:8" ht="14.25" customHeight="1" x14ac:dyDescent="0.2">
      <c r="A93" s="93"/>
      <c r="B93" s="93"/>
      <c r="C93" s="97"/>
      <c r="D93" s="93"/>
      <c r="E93" s="93"/>
      <c r="F93" s="98"/>
      <c r="G93" s="98"/>
      <c r="H93" s="87" t="s">
        <v>143</v>
      </c>
    </row>
    <row r="94" spans="1:8" ht="14.25" customHeight="1" x14ac:dyDescent="0.2">
      <c r="A94" s="93"/>
      <c r="B94" s="93"/>
      <c r="C94" s="94" t="s">
        <v>154</v>
      </c>
      <c r="D94" s="93"/>
      <c r="E94" s="93"/>
      <c r="F94" s="98"/>
      <c r="G94" s="98"/>
      <c r="H94" s="87" t="s">
        <v>143</v>
      </c>
    </row>
    <row r="95" spans="1:8" ht="14.25" customHeight="1" x14ac:dyDescent="0.2">
      <c r="A95" s="93"/>
      <c r="B95" s="93"/>
      <c r="C95" s="94" t="s">
        <v>142</v>
      </c>
      <c r="D95" s="93"/>
      <c r="E95" s="93" t="s">
        <v>143</v>
      </c>
      <c r="F95" s="99" t="s">
        <v>145</v>
      </c>
      <c r="G95" s="96">
        <v>0</v>
      </c>
      <c r="H95" s="87" t="s">
        <v>143</v>
      </c>
    </row>
    <row r="96" spans="1:8" ht="14.25" customHeight="1" x14ac:dyDescent="0.2">
      <c r="A96" s="93"/>
      <c r="B96" s="93"/>
      <c r="C96" s="97"/>
      <c r="D96" s="93"/>
      <c r="E96" s="93"/>
      <c r="F96" s="98"/>
      <c r="G96" s="98"/>
      <c r="H96" s="87" t="s">
        <v>143</v>
      </c>
    </row>
    <row r="97" spans="1:8" ht="14.25" customHeight="1" x14ac:dyDescent="0.2">
      <c r="A97" s="93"/>
      <c r="B97" s="93"/>
      <c r="C97" s="94" t="s">
        <v>155</v>
      </c>
      <c r="D97" s="93"/>
      <c r="E97" s="93"/>
      <c r="F97" s="95">
        <v>0</v>
      </c>
      <c r="G97" s="96">
        <v>0</v>
      </c>
      <c r="H97" s="87" t="s">
        <v>143</v>
      </c>
    </row>
    <row r="98" spans="1:8" ht="14.25" customHeight="1" x14ac:dyDescent="0.2">
      <c r="A98" s="93"/>
      <c r="B98" s="93"/>
      <c r="C98" s="97"/>
      <c r="D98" s="93"/>
      <c r="E98" s="93"/>
      <c r="F98" s="98"/>
      <c r="G98" s="98"/>
      <c r="H98" s="87" t="s">
        <v>143</v>
      </c>
    </row>
    <row r="99" spans="1:8" ht="14.25" customHeight="1" x14ac:dyDescent="0.2">
      <c r="A99" s="93"/>
      <c r="B99" s="93"/>
      <c r="C99" s="94" t="s">
        <v>156</v>
      </c>
      <c r="D99" s="93"/>
      <c r="E99" s="93"/>
      <c r="F99" s="98"/>
      <c r="G99" s="98"/>
      <c r="H99" s="87" t="s">
        <v>143</v>
      </c>
    </row>
    <row r="100" spans="1:8" ht="14.25" customHeight="1" x14ac:dyDescent="0.2">
      <c r="A100" s="93"/>
      <c r="B100" s="93"/>
      <c r="C100" s="94" t="s">
        <v>157</v>
      </c>
      <c r="D100" s="93"/>
      <c r="E100" s="93"/>
      <c r="F100" s="98"/>
      <c r="G100" s="98"/>
      <c r="H100" s="87" t="s">
        <v>143</v>
      </c>
    </row>
    <row r="101" spans="1:8" ht="14.25" customHeight="1" x14ac:dyDescent="0.2">
      <c r="A101" s="93"/>
      <c r="B101" s="93"/>
      <c r="C101" s="94" t="s">
        <v>142</v>
      </c>
      <c r="D101" s="93"/>
      <c r="E101" s="93" t="s">
        <v>143</v>
      </c>
      <c r="F101" s="99" t="s">
        <v>145</v>
      </c>
      <c r="G101" s="96">
        <v>0</v>
      </c>
      <c r="H101" s="87" t="s">
        <v>143</v>
      </c>
    </row>
    <row r="102" spans="1:8" ht="14.25" customHeight="1" x14ac:dyDescent="0.2">
      <c r="A102" s="93"/>
      <c r="B102" s="93"/>
      <c r="C102" s="97"/>
      <c r="D102" s="93"/>
      <c r="E102" s="93"/>
      <c r="F102" s="98"/>
      <c r="G102" s="98"/>
      <c r="H102" s="87" t="s">
        <v>143</v>
      </c>
    </row>
    <row r="103" spans="1:8" ht="14.25" customHeight="1" x14ac:dyDescent="0.2">
      <c r="A103" s="93"/>
      <c r="B103" s="93"/>
      <c r="C103" s="94" t="s">
        <v>158</v>
      </c>
      <c r="D103" s="93"/>
      <c r="E103" s="93"/>
      <c r="F103" s="98"/>
      <c r="G103" s="98"/>
      <c r="H103" s="87" t="s">
        <v>143</v>
      </c>
    </row>
    <row r="104" spans="1:8" ht="14.25" customHeight="1" x14ac:dyDescent="0.2">
      <c r="A104" s="93"/>
      <c r="B104" s="93"/>
      <c r="C104" s="94" t="s">
        <v>142</v>
      </c>
      <c r="D104" s="93"/>
      <c r="E104" s="93" t="s">
        <v>143</v>
      </c>
      <c r="F104" s="99" t="s">
        <v>145</v>
      </c>
      <c r="G104" s="96">
        <v>0</v>
      </c>
      <c r="H104" s="87" t="s">
        <v>143</v>
      </c>
    </row>
    <row r="105" spans="1:8" ht="14.25" customHeight="1" x14ac:dyDescent="0.2">
      <c r="A105" s="93"/>
      <c r="B105" s="93"/>
      <c r="C105" s="97"/>
      <c r="D105" s="93"/>
      <c r="E105" s="93"/>
      <c r="F105" s="98"/>
      <c r="G105" s="98"/>
      <c r="H105" s="87" t="s">
        <v>143</v>
      </c>
    </row>
    <row r="106" spans="1:8" ht="14.25" customHeight="1" x14ac:dyDescent="0.2">
      <c r="A106" s="93"/>
      <c r="B106" s="93"/>
      <c r="C106" s="94" t="s">
        <v>159</v>
      </c>
      <c r="D106" s="93"/>
      <c r="E106" s="93"/>
      <c r="F106" s="98"/>
      <c r="G106" s="98"/>
      <c r="H106" s="87" t="s">
        <v>143</v>
      </c>
    </row>
    <row r="107" spans="1:8" ht="14.25" customHeight="1" x14ac:dyDescent="0.2">
      <c r="A107" s="93"/>
      <c r="B107" s="93"/>
      <c r="C107" s="94" t="s">
        <v>142</v>
      </c>
      <c r="D107" s="93"/>
      <c r="E107" s="93" t="s">
        <v>143</v>
      </c>
      <c r="F107" s="99" t="s">
        <v>145</v>
      </c>
      <c r="G107" s="96">
        <v>0</v>
      </c>
      <c r="H107" s="87" t="s">
        <v>143</v>
      </c>
    </row>
    <row r="108" spans="1:8" ht="14.25" customHeight="1" x14ac:dyDescent="0.2">
      <c r="A108" s="93"/>
      <c r="B108" s="93"/>
      <c r="C108" s="97"/>
      <c r="D108" s="93"/>
      <c r="E108" s="93"/>
      <c r="F108" s="98"/>
      <c r="G108" s="98"/>
      <c r="H108" s="87" t="s">
        <v>143</v>
      </c>
    </row>
    <row r="109" spans="1:8" ht="14.25" customHeight="1" x14ac:dyDescent="0.2">
      <c r="A109" s="93"/>
      <c r="B109" s="93"/>
      <c r="C109" s="94" t="s">
        <v>160</v>
      </c>
      <c r="D109" s="93"/>
      <c r="E109" s="93"/>
      <c r="F109" s="98"/>
      <c r="G109" s="98"/>
      <c r="H109" s="87" t="s">
        <v>143</v>
      </c>
    </row>
    <row r="110" spans="1:8" ht="14.25" customHeight="1" x14ac:dyDescent="0.2">
      <c r="A110" s="88">
        <v>1</v>
      </c>
      <c r="B110" s="89"/>
      <c r="C110" s="89" t="s">
        <v>161</v>
      </c>
      <c r="D110" s="89"/>
      <c r="E110" s="100"/>
      <c r="F110" s="91">
        <v>4688.066730988</v>
      </c>
      <c r="G110" s="92">
        <v>5.3355729999999997E-2</v>
      </c>
      <c r="H110" s="87">
        <v>5.38</v>
      </c>
    </row>
    <row r="111" spans="1:8" ht="14.25" customHeight="1" x14ac:dyDescent="0.2">
      <c r="A111" s="93"/>
      <c r="B111" s="93"/>
      <c r="C111" s="94" t="s">
        <v>142</v>
      </c>
      <c r="D111" s="93"/>
      <c r="E111" s="93" t="s">
        <v>143</v>
      </c>
      <c r="F111" s="95">
        <v>4688.066730988</v>
      </c>
      <c r="G111" s="96">
        <v>5.3355729999999997E-2</v>
      </c>
      <c r="H111" s="87" t="s">
        <v>143</v>
      </c>
    </row>
    <row r="112" spans="1:8" ht="14.25" customHeight="1" x14ac:dyDescent="0.2">
      <c r="A112" s="93"/>
      <c r="B112" s="93"/>
      <c r="C112" s="97"/>
      <c r="D112" s="93"/>
      <c r="E112" s="93"/>
      <c r="F112" s="98"/>
      <c r="G112" s="98"/>
      <c r="H112" s="87" t="s">
        <v>143</v>
      </c>
    </row>
    <row r="113" spans="1:8" ht="14.25" customHeight="1" x14ac:dyDescent="0.2">
      <c r="A113" s="93"/>
      <c r="B113" s="93"/>
      <c r="C113" s="94" t="s">
        <v>162</v>
      </c>
      <c r="D113" s="93"/>
      <c r="E113" s="93"/>
      <c r="F113" s="95">
        <v>4688.066730988</v>
      </c>
      <c r="G113" s="96">
        <v>5.3355729999999997E-2</v>
      </c>
      <c r="H113" s="87" t="s">
        <v>143</v>
      </c>
    </row>
    <row r="114" spans="1:8" ht="14.25" customHeight="1" x14ac:dyDescent="0.2">
      <c r="A114" s="93"/>
      <c r="B114" s="93"/>
      <c r="C114" s="98"/>
      <c r="D114" s="93"/>
      <c r="E114" s="93"/>
      <c r="F114" s="93"/>
      <c r="G114" s="93"/>
      <c r="H114" s="87" t="s">
        <v>143</v>
      </c>
    </row>
    <row r="115" spans="1:8" ht="14.25" customHeight="1" x14ac:dyDescent="0.2">
      <c r="A115" s="93"/>
      <c r="B115" s="93"/>
      <c r="C115" s="94" t="s">
        <v>163</v>
      </c>
      <c r="D115" s="93"/>
      <c r="E115" s="93"/>
      <c r="F115" s="93"/>
      <c r="G115" s="93"/>
      <c r="H115" s="87" t="s">
        <v>143</v>
      </c>
    </row>
    <row r="116" spans="1:8" ht="14.25" customHeight="1" x14ac:dyDescent="0.2">
      <c r="A116" s="93"/>
      <c r="B116" s="93"/>
      <c r="C116" s="94" t="s">
        <v>164</v>
      </c>
      <c r="D116" s="93"/>
      <c r="E116" s="93"/>
      <c r="F116" s="93"/>
      <c r="G116" s="93"/>
      <c r="H116" s="87" t="s">
        <v>143</v>
      </c>
    </row>
    <row r="117" spans="1:8" ht="14.25" customHeight="1" x14ac:dyDescent="0.2">
      <c r="A117" s="93"/>
      <c r="B117" s="93"/>
      <c r="C117" s="94" t="s">
        <v>142</v>
      </c>
      <c r="D117" s="93"/>
      <c r="E117" s="93" t="s">
        <v>143</v>
      </c>
      <c r="F117" s="99" t="s">
        <v>145</v>
      </c>
      <c r="G117" s="96">
        <v>0</v>
      </c>
      <c r="H117" s="87" t="s">
        <v>143</v>
      </c>
    </row>
    <row r="118" spans="1:8" ht="14.25" customHeight="1" x14ac:dyDescent="0.2">
      <c r="A118" s="93"/>
      <c r="B118" s="93"/>
      <c r="C118" s="97"/>
      <c r="D118" s="93"/>
      <c r="E118" s="93"/>
      <c r="F118" s="98"/>
      <c r="G118" s="98"/>
      <c r="H118" s="87" t="s">
        <v>143</v>
      </c>
    </row>
    <row r="119" spans="1:8" ht="14.25" customHeight="1" x14ac:dyDescent="0.2">
      <c r="A119" s="93"/>
      <c r="B119" s="93"/>
      <c r="C119" s="94" t="s">
        <v>165</v>
      </c>
      <c r="D119" s="93"/>
      <c r="E119" s="93"/>
      <c r="F119" s="93"/>
      <c r="G119" s="93"/>
      <c r="H119" s="87" t="s">
        <v>143</v>
      </c>
    </row>
    <row r="120" spans="1:8" ht="14.25" customHeight="1" x14ac:dyDescent="0.2">
      <c r="A120" s="93"/>
      <c r="B120" s="93"/>
      <c r="C120" s="94" t="s">
        <v>166</v>
      </c>
      <c r="D120" s="93"/>
      <c r="E120" s="93"/>
      <c r="F120" s="93"/>
      <c r="G120" s="93"/>
      <c r="H120" s="87" t="s">
        <v>143</v>
      </c>
    </row>
    <row r="121" spans="1:8" ht="14.25" customHeight="1" x14ac:dyDescent="0.2">
      <c r="A121" s="93"/>
      <c r="B121" s="93"/>
      <c r="C121" s="94" t="s">
        <v>142</v>
      </c>
      <c r="D121" s="93"/>
      <c r="E121" s="93" t="s">
        <v>143</v>
      </c>
      <c r="F121" s="99" t="s">
        <v>145</v>
      </c>
      <c r="G121" s="96">
        <v>0</v>
      </c>
      <c r="H121" s="87" t="s">
        <v>143</v>
      </c>
    </row>
    <row r="122" spans="1:8" ht="14.25" customHeight="1" x14ac:dyDescent="0.2">
      <c r="A122" s="93"/>
      <c r="B122" s="93"/>
      <c r="C122" s="97"/>
      <c r="D122" s="93"/>
      <c r="E122" s="93"/>
      <c r="F122" s="98"/>
      <c r="G122" s="98"/>
      <c r="H122" s="87" t="s">
        <v>143</v>
      </c>
    </row>
    <row r="123" spans="1:8" ht="14.25" customHeight="1" x14ac:dyDescent="0.2">
      <c r="A123" s="93"/>
      <c r="B123" s="93"/>
      <c r="C123" s="94" t="s">
        <v>167</v>
      </c>
      <c r="D123" s="93"/>
      <c r="E123" s="93"/>
      <c r="F123" s="98"/>
      <c r="G123" s="98"/>
      <c r="H123" s="87" t="s">
        <v>143</v>
      </c>
    </row>
    <row r="124" spans="1:8" ht="14.25" customHeight="1" x14ac:dyDescent="0.2">
      <c r="A124" s="93"/>
      <c r="B124" s="93"/>
      <c r="C124" s="94" t="s">
        <v>142</v>
      </c>
      <c r="D124" s="93"/>
      <c r="E124" s="93" t="s">
        <v>143</v>
      </c>
      <c r="F124" s="99" t="s">
        <v>145</v>
      </c>
      <c r="G124" s="96">
        <v>0</v>
      </c>
      <c r="H124" s="87" t="s">
        <v>143</v>
      </c>
    </row>
    <row r="125" spans="1:8" ht="14.25" customHeight="1" x14ac:dyDescent="0.2">
      <c r="A125" s="93"/>
      <c r="B125" s="93"/>
      <c r="C125" s="97"/>
      <c r="D125" s="93"/>
      <c r="E125" s="93"/>
      <c r="F125" s="98"/>
      <c r="G125" s="98"/>
      <c r="H125" s="87" t="s">
        <v>143</v>
      </c>
    </row>
    <row r="126" spans="1:8" ht="14.25" customHeight="1" x14ac:dyDescent="0.2">
      <c r="A126" s="100"/>
      <c r="B126" s="89"/>
      <c r="C126" s="89" t="s">
        <v>168</v>
      </c>
      <c r="D126" s="89"/>
      <c r="E126" s="100"/>
      <c r="F126" s="91">
        <v>182.82940862000001</v>
      </c>
      <c r="G126" s="92">
        <v>2.0808100000000002E-3</v>
      </c>
      <c r="H126" s="87" t="s">
        <v>143</v>
      </c>
    </row>
    <row r="127" spans="1:8" ht="14.25" customHeight="1" x14ac:dyDescent="0.2">
      <c r="A127" s="97"/>
      <c r="B127" s="97"/>
      <c r="C127" s="94" t="s">
        <v>169</v>
      </c>
      <c r="D127" s="98"/>
      <c r="E127" s="98"/>
      <c r="F127" s="95">
        <f>F126+F113+F97+F82</f>
        <v>87864.349756507974</v>
      </c>
      <c r="G127" s="101">
        <f>G126+G113+G97+G82</f>
        <v>1.000000037304255</v>
      </c>
      <c r="H127" s="87" t="s">
        <v>143</v>
      </c>
    </row>
    <row r="128" spans="1:8" ht="12.75" x14ac:dyDescent="0.2">
      <c r="A128" s="102"/>
      <c r="B128" s="102"/>
      <c r="C128" s="102"/>
      <c r="D128" s="103"/>
      <c r="E128" s="103"/>
      <c r="F128" s="103"/>
      <c r="G128" s="103"/>
    </row>
    <row r="129" spans="1:17" ht="12.75" x14ac:dyDescent="0.2">
      <c r="A129" s="104"/>
      <c r="B129" s="206" t="s">
        <v>942</v>
      </c>
      <c r="C129" s="206"/>
      <c r="D129" s="206"/>
      <c r="E129" s="206"/>
      <c r="F129" s="206"/>
      <c r="G129" s="206"/>
      <c r="H129" s="206"/>
      <c r="J129" s="106"/>
    </row>
    <row r="130" spans="1:17" ht="12.75" x14ac:dyDescent="0.2">
      <c r="A130" s="104"/>
      <c r="B130" s="206" t="s">
        <v>943</v>
      </c>
      <c r="C130" s="206"/>
      <c r="D130" s="206"/>
      <c r="E130" s="206"/>
      <c r="F130" s="206"/>
      <c r="G130" s="206"/>
      <c r="H130" s="206"/>
      <c r="J130" s="106"/>
    </row>
    <row r="131" spans="1:17" ht="12.75" x14ac:dyDescent="0.2">
      <c r="A131" s="104"/>
      <c r="B131" s="206" t="s">
        <v>944</v>
      </c>
      <c r="C131" s="206"/>
      <c r="D131" s="206"/>
      <c r="E131" s="206"/>
      <c r="F131" s="206"/>
      <c r="G131" s="206"/>
      <c r="H131" s="206"/>
      <c r="J131" s="106"/>
    </row>
    <row r="132" spans="1:17" s="108" customFormat="1" ht="66.75" customHeight="1" x14ac:dyDescent="0.25">
      <c r="A132" s="107"/>
      <c r="B132" s="207" t="s">
        <v>945</v>
      </c>
      <c r="C132" s="207"/>
      <c r="D132" s="207"/>
      <c r="E132" s="207"/>
      <c r="F132" s="207"/>
      <c r="G132" s="207"/>
      <c r="H132" s="207"/>
      <c r="I132"/>
      <c r="J132" s="106"/>
      <c r="K132"/>
      <c r="L132"/>
      <c r="M132"/>
      <c r="N132"/>
      <c r="O132"/>
      <c r="P132"/>
      <c r="Q132"/>
    </row>
    <row r="133" spans="1:17" ht="12.75" x14ac:dyDescent="0.2">
      <c r="A133" s="104"/>
      <c r="B133" s="206" t="s">
        <v>946</v>
      </c>
      <c r="C133" s="206"/>
      <c r="D133" s="206"/>
      <c r="E133" s="206"/>
      <c r="F133" s="206"/>
      <c r="G133" s="206"/>
      <c r="H133" s="206"/>
      <c r="J133" s="106"/>
    </row>
    <row r="134" spans="1:17" ht="12.75" x14ac:dyDescent="0.2">
      <c r="A134" s="104"/>
      <c r="B134" s="104"/>
      <c r="C134" s="104"/>
      <c r="D134" s="109"/>
      <c r="E134" s="109"/>
      <c r="F134" s="109"/>
      <c r="G134" s="109"/>
    </row>
    <row r="135" spans="1:17" ht="12.75" x14ac:dyDescent="0.2">
      <c r="A135" s="104"/>
      <c r="B135" s="199" t="s">
        <v>170</v>
      </c>
      <c r="C135" s="200"/>
      <c r="D135" s="201"/>
      <c r="E135" s="110"/>
      <c r="F135" s="109"/>
      <c r="G135" s="109"/>
    </row>
    <row r="136" spans="1:17" ht="27.75" customHeight="1" x14ac:dyDescent="0.2">
      <c r="A136" s="104"/>
      <c r="B136" s="202" t="s">
        <v>171</v>
      </c>
      <c r="C136" s="203"/>
      <c r="D136" s="86" t="s">
        <v>1001</v>
      </c>
      <c r="E136" s="110"/>
      <c r="F136" s="109"/>
      <c r="G136" s="109"/>
    </row>
    <row r="137" spans="1:17" ht="12.75" customHeight="1" x14ac:dyDescent="0.2">
      <c r="A137" s="104"/>
      <c r="B137" s="202" t="s">
        <v>947</v>
      </c>
      <c r="C137" s="203"/>
      <c r="D137" s="86" t="str">
        <f>"Rs. "&amp;TEXT(F73,"0.00")&amp;" lacs/ #"</f>
        <v>Rs. 0.00 lacs/ #</v>
      </c>
      <c r="E137" s="110"/>
      <c r="F137" s="109"/>
      <c r="G137" s="109"/>
    </row>
    <row r="138" spans="1:17" ht="12.75" x14ac:dyDescent="0.2">
      <c r="A138" s="104"/>
      <c r="B138" s="202" t="s">
        <v>173</v>
      </c>
      <c r="C138" s="203"/>
      <c r="D138" s="111" t="s">
        <v>143</v>
      </c>
      <c r="E138" s="110"/>
      <c r="F138" s="109"/>
      <c r="G138" s="109"/>
    </row>
    <row r="139" spans="1:17" ht="12.75" x14ac:dyDescent="0.2">
      <c r="A139" s="112"/>
      <c r="B139" s="113" t="s">
        <v>143</v>
      </c>
      <c r="C139" s="113" t="s">
        <v>948</v>
      </c>
      <c r="D139" s="113" t="s">
        <v>174</v>
      </c>
      <c r="E139" s="112"/>
      <c r="F139" s="112"/>
      <c r="G139" s="112"/>
      <c r="H139" s="112"/>
      <c r="J139" s="106"/>
    </row>
    <row r="140" spans="1:17" ht="12.75" x14ac:dyDescent="0.2">
      <c r="A140" s="112"/>
      <c r="B140" s="114" t="s">
        <v>175</v>
      </c>
      <c r="C140" s="115">
        <v>45869</v>
      </c>
      <c r="D140" s="115">
        <v>45900</v>
      </c>
      <c r="E140" s="112"/>
      <c r="F140" s="112"/>
      <c r="G140" s="112"/>
      <c r="J140" s="106"/>
    </row>
    <row r="141" spans="1:17" ht="14.25" customHeight="1" x14ac:dyDescent="0.2">
      <c r="A141" s="116"/>
      <c r="B141" s="89" t="s">
        <v>176</v>
      </c>
      <c r="C141" s="117">
        <v>145.5686</v>
      </c>
      <c r="D141" s="117">
        <v>143.45189999999999</v>
      </c>
      <c r="E141" s="116"/>
      <c r="F141" s="118"/>
      <c r="G141" s="119"/>
    </row>
    <row r="142" spans="1:17" ht="14.25" customHeight="1" x14ac:dyDescent="0.2">
      <c r="A142" s="116"/>
      <c r="B142" s="89" t="s">
        <v>954</v>
      </c>
      <c r="C142" s="117">
        <v>64.930899999999994</v>
      </c>
      <c r="D142" s="117">
        <v>63.986600000000003</v>
      </c>
      <c r="E142" s="116"/>
      <c r="F142" s="118"/>
      <c r="G142" s="119"/>
    </row>
    <row r="143" spans="1:17" ht="14.25" customHeight="1" x14ac:dyDescent="0.2">
      <c r="A143" s="116"/>
      <c r="B143" s="89" t="s">
        <v>177</v>
      </c>
      <c r="C143" s="117">
        <v>133.3374</v>
      </c>
      <c r="D143" s="117">
        <v>131.26240000000001</v>
      </c>
      <c r="E143" s="116"/>
      <c r="F143" s="118"/>
      <c r="G143" s="119"/>
    </row>
    <row r="144" spans="1:17" ht="14.25" customHeight="1" x14ac:dyDescent="0.2">
      <c r="A144" s="116"/>
      <c r="B144" s="89" t="s">
        <v>955</v>
      </c>
      <c r="C144" s="117">
        <v>38.773800000000001</v>
      </c>
      <c r="D144" s="117">
        <v>38.170400000000001</v>
      </c>
      <c r="E144" s="116"/>
      <c r="F144" s="118"/>
      <c r="G144" s="119"/>
    </row>
    <row r="145" spans="1:19" ht="14.25" customHeight="1" x14ac:dyDescent="0.2">
      <c r="A145" s="116"/>
      <c r="B145" s="116"/>
      <c r="C145" s="116"/>
      <c r="D145" s="116"/>
      <c r="E145" s="116"/>
      <c r="F145" s="116"/>
      <c r="G145" s="116"/>
    </row>
    <row r="146" spans="1:19" ht="12.75" x14ac:dyDescent="0.2">
      <c r="A146" s="116"/>
      <c r="B146" s="208" t="s">
        <v>949</v>
      </c>
      <c r="C146" s="209"/>
      <c r="D146" s="86" t="s">
        <v>172</v>
      </c>
      <c r="E146" s="116"/>
      <c r="F146" s="116"/>
      <c r="G146" s="116"/>
    </row>
    <row r="147" spans="1:19" ht="12.75" x14ac:dyDescent="0.2">
      <c r="A147" s="116"/>
      <c r="B147" s="120"/>
      <c r="C147" s="120"/>
      <c r="D147" s="120"/>
      <c r="E147" s="116"/>
      <c r="F147" s="116"/>
      <c r="G147" s="116"/>
    </row>
    <row r="148" spans="1:19" ht="12.75" x14ac:dyDescent="0.2">
      <c r="A148" s="112"/>
      <c r="B148" s="202" t="s">
        <v>178</v>
      </c>
      <c r="C148" s="203"/>
      <c r="D148" s="86" t="s">
        <v>172</v>
      </c>
      <c r="E148" s="121"/>
      <c r="F148" s="112"/>
      <c r="G148" s="112"/>
    </row>
    <row r="149" spans="1:19" ht="12.75" x14ac:dyDescent="0.2">
      <c r="A149" s="112"/>
      <c r="B149" s="202" t="s">
        <v>179</v>
      </c>
      <c r="C149" s="203"/>
      <c r="D149" s="86" t="s">
        <v>172</v>
      </c>
      <c r="E149" s="121"/>
      <c r="F149" s="112"/>
      <c r="G149" s="112"/>
    </row>
    <row r="150" spans="1:19" ht="17.100000000000001" customHeight="1" x14ac:dyDescent="0.2">
      <c r="A150" s="112"/>
      <c r="B150" s="202" t="s">
        <v>180</v>
      </c>
      <c r="C150" s="203"/>
      <c r="D150" s="86" t="s">
        <v>172</v>
      </c>
      <c r="E150" s="121"/>
      <c r="F150" s="112"/>
      <c r="G150" s="112"/>
    </row>
    <row r="151" spans="1:19" ht="17.100000000000001" customHeight="1" x14ac:dyDescent="0.2">
      <c r="A151" s="112"/>
      <c r="B151" s="202" t="s">
        <v>181</v>
      </c>
      <c r="C151" s="203"/>
      <c r="D151" s="122">
        <v>0.60028054332836644</v>
      </c>
      <c r="E151" s="112"/>
      <c r="F151" s="105"/>
      <c r="G151" s="123"/>
    </row>
    <row r="152" spans="1:19" ht="12.75" x14ac:dyDescent="0.2"/>
    <row r="153" spans="1:19" s="152" customFormat="1" ht="12.75" x14ac:dyDescent="0.2">
      <c r="B153" s="153" t="s">
        <v>1221</v>
      </c>
      <c r="C153" s="153"/>
      <c r="D153" s="153"/>
      <c r="E153" s="12"/>
      <c r="F153" s="13"/>
      <c r="I153"/>
      <c r="J153"/>
      <c r="K153"/>
      <c r="L153"/>
      <c r="M153"/>
      <c r="N153"/>
    </row>
    <row r="154" spans="1:19" s="152" customFormat="1" ht="63.75" x14ac:dyDescent="0.2">
      <c r="B154" s="154" t="s">
        <v>1089</v>
      </c>
      <c r="C154" s="155" t="s">
        <v>1090</v>
      </c>
      <c r="D154" s="155" t="s">
        <v>1091</v>
      </c>
      <c r="E154" s="155" t="s">
        <v>1092</v>
      </c>
      <c r="F154" s="155" t="s">
        <v>1093</v>
      </c>
      <c r="I154"/>
      <c r="J154"/>
      <c r="K154"/>
      <c r="L154"/>
      <c r="M154"/>
      <c r="N154"/>
    </row>
    <row r="155" spans="1:19" s="152" customFormat="1" ht="25.5" x14ac:dyDescent="0.2">
      <c r="B155" s="156" t="s">
        <v>1094</v>
      </c>
      <c r="C155" s="157" t="s">
        <v>1095</v>
      </c>
      <c r="D155" s="15">
        <v>0</v>
      </c>
      <c r="E155" s="16">
        <v>0</v>
      </c>
      <c r="F155" s="158">
        <v>241.97234</v>
      </c>
      <c r="I155"/>
      <c r="J155"/>
      <c r="K155"/>
      <c r="L155"/>
      <c r="M155"/>
      <c r="N155"/>
    </row>
    <row r="156" spans="1:19" s="152" customFormat="1" ht="25.5" x14ac:dyDescent="0.2">
      <c r="B156" s="156" t="s">
        <v>1096</v>
      </c>
      <c r="C156" s="157" t="s">
        <v>1095</v>
      </c>
      <c r="D156" s="15">
        <v>0</v>
      </c>
      <c r="E156" s="16">
        <v>0</v>
      </c>
      <c r="F156" s="158">
        <v>23.186299999999999</v>
      </c>
      <c r="I156"/>
      <c r="J156"/>
      <c r="K156"/>
      <c r="L156"/>
      <c r="M156"/>
      <c r="N156"/>
      <c r="O156"/>
      <c r="P156"/>
      <c r="Q156"/>
      <c r="R156"/>
      <c r="S156"/>
    </row>
    <row r="157" spans="1:19" ht="12.75" x14ac:dyDescent="0.2"/>
    <row r="158" spans="1:19" ht="12.75" x14ac:dyDescent="0.2">
      <c r="B158" s="204" t="s">
        <v>950</v>
      </c>
      <c r="C158" s="204"/>
    </row>
    <row r="159" spans="1:19" ht="12.75" x14ac:dyDescent="0.2"/>
    <row r="160" spans="1:19" ht="153.75" customHeight="1" x14ac:dyDescent="0.2"/>
    <row r="161" spans="2:10" ht="12.75" x14ac:dyDescent="0.2"/>
    <row r="162" spans="2:10" ht="12.75" x14ac:dyDescent="0.2"/>
    <row r="163" spans="2:10" ht="12.75" x14ac:dyDescent="0.2">
      <c r="B163" s="124" t="s">
        <v>951</v>
      </c>
      <c r="C163" s="125"/>
      <c r="D163" s="124" t="s">
        <v>956</v>
      </c>
    </row>
    <row r="164" spans="2:10" ht="12.75" x14ac:dyDescent="0.2">
      <c r="B164" s="124" t="s">
        <v>1097</v>
      </c>
      <c r="D164" s="124" t="s">
        <v>1098</v>
      </c>
    </row>
    <row r="165" spans="2:10" ht="165" customHeight="1" x14ac:dyDescent="0.2"/>
    <row r="166" spans="2:10" ht="12.75" x14ac:dyDescent="0.2"/>
    <row r="167" spans="2:10" ht="12.75" x14ac:dyDescent="0.2">
      <c r="J167" s="84"/>
    </row>
    <row r="168" spans="2:10" ht="12.75" x14ac:dyDescent="0.2"/>
    <row r="169" spans="2:10" ht="12.75" x14ac:dyDescent="0.2"/>
    <row r="170" spans="2:10" ht="12.75" x14ac:dyDescent="0.2"/>
    <row r="171" spans="2:10" ht="12.75" x14ac:dyDescent="0.2"/>
    <row r="172" spans="2:10" ht="12.75" x14ac:dyDescent="0.2"/>
    <row r="173" spans="2:10" ht="12.75" x14ac:dyDescent="0.2"/>
    <row r="174" spans="2:10" ht="12.75" x14ac:dyDescent="0.2"/>
    <row r="175" spans="2:10" ht="12.75" x14ac:dyDescent="0.2"/>
    <row r="176" spans="2:10" ht="12.75" x14ac:dyDescent="0.2"/>
    <row r="177" customFormat="1" ht="14.25" customHeight="1" x14ac:dyDescent="0.2"/>
  </sheetData>
  <mergeCells count="18">
    <mergeCell ref="B148:C148"/>
    <mergeCell ref="B149:C149"/>
    <mergeCell ref="B158:C158"/>
    <mergeCell ref="B151:C151"/>
    <mergeCell ref="A1:H1"/>
    <mergeCell ref="A2:H2"/>
    <mergeCell ref="A3:H3"/>
    <mergeCell ref="B146:C146"/>
    <mergeCell ref="B150:C150"/>
    <mergeCell ref="B129:H129"/>
    <mergeCell ref="B130:H130"/>
    <mergeCell ref="B131:H131"/>
    <mergeCell ref="B132:H132"/>
    <mergeCell ref="B133:H133"/>
    <mergeCell ref="B135:D135"/>
    <mergeCell ref="B136:C136"/>
    <mergeCell ref="B137:C137"/>
    <mergeCell ref="B138:C138"/>
  </mergeCells>
  <hyperlinks>
    <hyperlink ref="I1" location="Index!B2" display="Index" xr:uid="{7EAD9D5B-461E-46D7-BDCE-A9E534267913}"/>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07BD-3936-4DC9-A2ED-A8D8832F919A}">
  <sheetPr>
    <outlinePr summaryBelow="0" summaryRight="0"/>
  </sheetPr>
  <dimension ref="A1:Q232"/>
  <sheetViews>
    <sheetView showGridLines="0" workbookViewId="0">
      <selection sqref="A1:H1"/>
    </sheetView>
  </sheetViews>
  <sheetFormatPr defaultRowHeight="14.25" customHeight="1" x14ac:dyDescent="0.2"/>
  <cols>
    <col min="1" max="1" width="5.85546875" bestFit="1" customWidth="1"/>
    <col min="2" max="2" width="19.7109375" customWidth="1"/>
    <col min="3" max="3" width="58.7109375" bestFit="1" customWidth="1"/>
    <col min="4" max="4" width="29.28515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696</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11</v>
      </c>
      <c r="C7" s="89" t="s">
        <v>12</v>
      </c>
      <c r="D7" s="89" t="s">
        <v>13</v>
      </c>
      <c r="E7" s="90">
        <v>533695</v>
      </c>
      <c r="F7" s="91">
        <v>10080.43116</v>
      </c>
      <c r="G7" s="92">
        <v>8.8424509999999998E-2</v>
      </c>
      <c r="H7" s="87" t="s">
        <v>143</v>
      </c>
    </row>
    <row r="8" spans="1:9" ht="14.25" customHeight="1" x14ac:dyDescent="0.2">
      <c r="A8" s="88">
        <v>2</v>
      </c>
      <c r="B8" s="89" t="s">
        <v>17</v>
      </c>
      <c r="C8" s="89" t="s">
        <v>18</v>
      </c>
      <c r="D8" s="89" t="s">
        <v>19</v>
      </c>
      <c r="E8" s="90">
        <v>662795</v>
      </c>
      <c r="F8" s="91">
        <v>8995.4537400000008</v>
      </c>
      <c r="G8" s="92">
        <v>7.8907199999999997E-2</v>
      </c>
      <c r="H8" s="87" t="s">
        <v>143</v>
      </c>
    </row>
    <row r="9" spans="1:9" ht="14.25" customHeight="1" x14ac:dyDescent="0.2">
      <c r="A9" s="88">
        <v>3</v>
      </c>
      <c r="B9" s="89" t="s">
        <v>31</v>
      </c>
      <c r="C9" s="89" t="s">
        <v>32</v>
      </c>
      <c r="D9" s="89" t="s">
        <v>33</v>
      </c>
      <c r="E9" s="90">
        <v>493745</v>
      </c>
      <c r="F9" s="91">
        <v>6901.5676100000001</v>
      </c>
      <c r="G9" s="92">
        <v>6.0539849999999999E-2</v>
      </c>
      <c r="H9" s="87" t="s">
        <v>143</v>
      </c>
    </row>
    <row r="10" spans="1:9" ht="14.25" customHeight="1" x14ac:dyDescent="0.2">
      <c r="A10" s="88">
        <v>4</v>
      </c>
      <c r="B10" s="89" t="s">
        <v>325</v>
      </c>
      <c r="C10" s="89" t="s">
        <v>326</v>
      </c>
      <c r="D10" s="89" t="s">
        <v>199</v>
      </c>
      <c r="E10" s="90">
        <v>374047</v>
      </c>
      <c r="F10" s="91">
        <v>5496.9947119999997</v>
      </c>
      <c r="G10" s="92">
        <v>4.8219079999999997E-2</v>
      </c>
      <c r="H10" s="87" t="s">
        <v>143</v>
      </c>
    </row>
    <row r="11" spans="1:9" ht="14.25" customHeight="1" x14ac:dyDescent="0.2">
      <c r="A11" s="88">
        <v>5</v>
      </c>
      <c r="B11" s="89" t="s">
        <v>321</v>
      </c>
      <c r="C11" s="89" t="s">
        <v>322</v>
      </c>
      <c r="D11" s="89" t="s">
        <v>33</v>
      </c>
      <c r="E11" s="90">
        <v>520815</v>
      </c>
      <c r="F11" s="91">
        <v>4956.0755399999998</v>
      </c>
      <c r="G11" s="92">
        <v>4.3474190000000003E-2</v>
      </c>
      <c r="H11" s="87" t="s">
        <v>143</v>
      </c>
    </row>
    <row r="12" spans="1:9" ht="14.25" customHeight="1" x14ac:dyDescent="0.2">
      <c r="A12" s="88">
        <v>6</v>
      </c>
      <c r="B12" s="89" t="s">
        <v>49</v>
      </c>
      <c r="C12" s="89" t="s">
        <v>50</v>
      </c>
      <c r="D12" s="89" t="s">
        <v>33</v>
      </c>
      <c r="E12" s="90">
        <v>530965</v>
      </c>
      <c r="F12" s="91">
        <v>4260.9941250000002</v>
      </c>
      <c r="G12" s="92">
        <v>3.7377010000000002E-2</v>
      </c>
      <c r="H12" s="87" t="s">
        <v>143</v>
      </c>
    </row>
    <row r="13" spans="1:9" ht="14.25" customHeight="1" x14ac:dyDescent="0.2">
      <c r="A13" s="88">
        <v>7</v>
      </c>
      <c r="B13" s="89" t="s">
        <v>14</v>
      </c>
      <c r="C13" s="89" t="s">
        <v>15</v>
      </c>
      <c r="D13" s="89" t="s">
        <v>16</v>
      </c>
      <c r="E13" s="90">
        <v>75000</v>
      </c>
      <c r="F13" s="91">
        <v>2700.75</v>
      </c>
      <c r="G13" s="92">
        <v>2.3690699999999999E-2</v>
      </c>
      <c r="H13" s="87" t="s">
        <v>143</v>
      </c>
    </row>
    <row r="14" spans="1:9" ht="14.25" customHeight="1" x14ac:dyDescent="0.2">
      <c r="A14" s="88">
        <v>8</v>
      </c>
      <c r="B14" s="89" t="s">
        <v>323</v>
      </c>
      <c r="C14" s="89" t="s">
        <v>324</v>
      </c>
      <c r="D14" s="89" t="s">
        <v>33</v>
      </c>
      <c r="E14" s="90">
        <v>127595</v>
      </c>
      <c r="F14" s="91">
        <v>2501.2447849999999</v>
      </c>
      <c r="G14" s="92">
        <v>2.1940660000000001E-2</v>
      </c>
      <c r="H14" s="87" t="s">
        <v>143</v>
      </c>
    </row>
    <row r="15" spans="1:9" ht="14.25" customHeight="1" x14ac:dyDescent="0.2">
      <c r="A15" s="88">
        <v>9</v>
      </c>
      <c r="B15" s="89" t="s">
        <v>327</v>
      </c>
      <c r="C15" s="89" t="s">
        <v>328</v>
      </c>
      <c r="D15" s="89" t="s">
        <v>33</v>
      </c>
      <c r="E15" s="90">
        <v>226875</v>
      </c>
      <c r="F15" s="91">
        <v>2371.2975000000001</v>
      </c>
      <c r="G15" s="92">
        <v>2.0800780000000001E-2</v>
      </c>
      <c r="H15" s="87" t="s">
        <v>143</v>
      </c>
    </row>
    <row r="16" spans="1:9" ht="14.25" customHeight="1" x14ac:dyDescent="0.2">
      <c r="A16" s="88">
        <v>10</v>
      </c>
      <c r="B16" s="89" t="s">
        <v>445</v>
      </c>
      <c r="C16" s="89" t="s">
        <v>446</v>
      </c>
      <c r="D16" s="89" t="s">
        <v>429</v>
      </c>
      <c r="E16" s="90">
        <v>72645</v>
      </c>
      <c r="F16" s="91">
        <v>1932.21171</v>
      </c>
      <c r="G16" s="92">
        <v>1.6949160000000001E-2</v>
      </c>
      <c r="H16" s="87" t="s">
        <v>143</v>
      </c>
    </row>
    <row r="17" spans="1:8" ht="14.25" customHeight="1" x14ac:dyDescent="0.2">
      <c r="A17" s="88">
        <v>11</v>
      </c>
      <c r="B17" s="89" t="s">
        <v>427</v>
      </c>
      <c r="C17" s="89" t="s">
        <v>428</v>
      </c>
      <c r="D17" s="89" t="s">
        <v>429</v>
      </c>
      <c r="E17" s="90">
        <v>366735</v>
      </c>
      <c r="F17" s="91">
        <v>1502.6966625</v>
      </c>
      <c r="G17" s="92">
        <v>1.3181500000000001E-2</v>
      </c>
      <c r="H17" s="87" t="s">
        <v>143</v>
      </c>
    </row>
    <row r="18" spans="1:8" ht="14.25" customHeight="1" x14ac:dyDescent="0.2">
      <c r="A18" s="88">
        <v>12</v>
      </c>
      <c r="B18" s="89" t="s">
        <v>331</v>
      </c>
      <c r="C18" s="89" t="s">
        <v>332</v>
      </c>
      <c r="D18" s="89" t="s">
        <v>243</v>
      </c>
      <c r="E18" s="90">
        <v>44195</v>
      </c>
      <c r="F18" s="91">
        <v>1414.0190250000001</v>
      </c>
      <c r="G18" s="92">
        <v>1.2403630000000001E-2</v>
      </c>
      <c r="H18" s="87" t="s">
        <v>143</v>
      </c>
    </row>
    <row r="19" spans="1:8" ht="14.25" customHeight="1" x14ac:dyDescent="0.2">
      <c r="A19" s="88">
        <v>13</v>
      </c>
      <c r="B19" s="89" t="s">
        <v>329</v>
      </c>
      <c r="C19" s="89" t="s">
        <v>330</v>
      </c>
      <c r="D19" s="89" t="s">
        <v>191</v>
      </c>
      <c r="E19" s="90">
        <v>132000</v>
      </c>
      <c r="F19" s="91">
        <v>1158.7619999999999</v>
      </c>
      <c r="G19" s="92">
        <v>1.016454E-2</v>
      </c>
      <c r="H19" s="87" t="s">
        <v>143</v>
      </c>
    </row>
    <row r="20" spans="1:8" ht="14.25" customHeight="1" x14ac:dyDescent="0.2">
      <c r="A20" s="88">
        <v>14</v>
      </c>
      <c r="B20" s="89" t="s">
        <v>434</v>
      </c>
      <c r="C20" s="89" t="s">
        <v>435</v>
      </c>
      <c r="D20" s="89" t="s">
        <v>436</v>
      </c>
      <c r="E20" s="90">
        <v>149800</v>
      </c>
      <c r="F20" s="91">
        <v>1054.5171</v>
      </c>
      <c r="G20" s="92">
        <v>9.2501200000000006E-3</v>
      </c>
      <c r="H20" s="87" t="s">
        <v>143</v>
      </c>
    </row>
    <row r="21" spans="1:8" ht="14.25" customHeight="1" x14ac:dyDescent="0.2">
      <c r="A21" s="88">
        <v>15</v>
      </c>
      <c r="B21" s="89" t="s">
        <v>351</v>
      </c>
      <c r="C21" s="89" t="s">
        <v>352</v>
      </c>
      <c r="D21" s="89" t="s">
        <v>191</v>
      </c>
      <c r="E21" s="90">
        <v>69390</v>
      </c>
      <c r="F21" s="91">
        <v>985.82372999999995</v>
      </c>
      <c r="G21" s="92">
        <v>8.6475500000000004E-3</v>
      </c>
      <c r="H21" s="87" t="s">
        <v>143</v>
      </c>
    </row>
    <row r="22" spans="1:8" ht="14.25" customHeight="1" x14ac:dyDescent="0.2">
      <c r="A22" s="88">
        <v>16</v>
      </c>
      <c r="B22" s="89" t="s">
        <v>333</v>
      </c>
      <c r="C22" s="89" t="s">
        <v>334</v>
      </c>
      <c r="D22" s="89" t="s">
        <v>33</v>
      </c>
      <c r="E22" s="90">
        <v>406575</v>
      </c>
      <c r="F22" s="91">
        <v>946.62857250000002</v>
      </c>
      <c r="G22" s="92">
        <v>8.3037300000000005E-3</v>
      </c>
      <c r="H22" s="87" t="s">
        <v>143</v>
      </c>
    </row>
    <row r="23" spans="1:8" ht="14.25" customHeight="1" x14ac:dyDescent="0.2">
      <c r="A23" s="88">
        <v>17</v>
      </c>
      <c r="B23" s="89" t="s">
        <v>697</v>
      </c>
      <c r="C23" s="89" t="s">
        <v>698</v>
      </c>
      <c r="D23" s="89" t="s">
        <v>138</v>
      </c>
      <c r="E23" s="90">
        <v>89100</v>
      </c>
      <c r="F23" s="91">
        <v>914.70060000000001</v>
      </c>
      <c r="G23" s="92">
        <v>8.0236600000000002E-3</v>
      </c>
      <c r="H23" s="87" t="s">
        <v>143</v>
      </c>
    </row>
    <row r="24" spans="1:8" ht="14.25" customHeight="1" x14ac:dyDescent="0.2">
      <c r="A24" s="88">
        <v>18</v>
      </c>
      <c r="B24" s="89" t="s">
        <v>26</v>
      </c>
      <c r="C24" s="89" t="s">
        <v>27</v>
      </c>
      <c r="D24" s="89" t="s">
        <v>28</v>
      </c>
      <c r="E24" s="90">
        <v>230225</v>
      </c>
      <c r="F24" s="91">
        <v>850.45114999999998</v>
      </c>
      <c r="G24" s="92">
        <v>7.4600700000000001E-3</v>
      </c>
      <c r="H24" s="87" t="s">
        <v>143</v>
      </c>
    </row>
    <row r="25" spans="1:8" ht="14.25" customHeight="1" x14ac:dyDescent="0.2">
      <c r="A25" s="88">
        <v>19</v>
      </c>
      <c r="B25" s="89" t="s">
        <v>183</v>
      </c>
      <c r="C25" s="89" t="s">
        <v>184</v>
      </c>
      <c r="D25" s="89" t="s">
        <v>185</v>
      </c>
      <c r="E25" s="90">
        <v>36765</v>
      </c>
      <c r="F25" s="91">
        <v>848.94061499999998</v>
      </c>
      <c r="G25" s="92">
        <v>7.4468199999999998E-3</v>
      </c>
      <c r="H25" s="87" t="s">
        <v>143</v>
      </c>
    </row>
    <row r="26" spans="1:8" ht="14.25" customHeight="1" x14ac:dyDescent="0.2">
      <c r="A26" s="88">
        <v>20</v>
      </c>
      <c r="B26" s="89" t="s">
        <v>430</v>
      </c>
      <c r="C26" s="89" t="s">
        <v>431</v>
      </c>
      <c r="D26" s="89" t="s">
        <v>199</v>
      </c>
      <c r="E26" s="90">
        <v>57908</v>
      </c>
      <c r="F26" s="91">
        <v>842.44558400000005</v>
      </c>
      <c r="G26" s="92">
        <v>7.3898499999999999E-3</v>
      </c>
      <c r="H26" s="87" t="s">
        <v>143</v>
      </c>
    </row>
    <row r="27" spans="1:8" ht="14.25" customHeight="1" x14ac:dyDescent="0.2">
      <c r="A27" s="88">
        <v>21</v>
      </c>
      <c r="B27" s="89" t="s">
        <v>71</v>
      </c>
      <c r="C27" s="89" t="s">
        <v>72</v>
      </c>
      <c r="D27" s="89" t="s">
        <v>68</v>
      </c>
      <c r="E27" s="90">
        <v>21695</v>
      </c>
      <c r="F27" s="91">
        <v>830.09409000000005</v>
      </c>
      <c r="G27" s="92">
        <v>7.2814999999999998E-3</v>
      </c>
      <c r="H27" s="87" t="s">
        <v>143</v>
      </c>
    </row>
    <row r="28" spans="1:8" ht="14.25" customHeight="1" x14ac:dyDescent="0.2">
      <c r="A28" s="88">
        <v>22</v>
      </c>
      <c r="B28" s="89" t="s">
        <v>51</v>
      </c>
      <c r="C28" s="89" t="s">
        <v>52</v>
      </c>
      <c r="D28" s="89" t="s">
        <v>53</v>
      </c>
      <c r="E28" s="90">
        <v>14497</v>
      </c>
      <c r="F28" s="91">
        <v>818.50062000000003</v>
      </c>
      <c r="G28" s="92">
        <v>7.1798000000000001E-3</v>
      </c>
      <c r="H28" s="87" t="s">
        <v>143</v>
      </c>
    </row>
    <row r="29" spans="1:8" ht="14.25" customHeight="1" x14ac:dyDescent="0.2">
      <c r="A29" s="88">
        <v>23</v>
      </c>
      <c r="B29" s="89" t="s">
        <v>503</v>
      </c>
      <c r="C29" s="89" t="s">
        <v>504</v>
      </c>
      <c r="D29" s="89" t="s">
        <v>191</v>
      </c>
      <c r="E29" s="90">
        <v>206960</v>
      </c>
      <c r="F29" s="91">
        <v>785.82712000000004</v>
      </c>
      <c r="G29" s="92">
        <v>6.8932000000000004E-3</v>
      </c>
      <c r="H29" s="87" t="s">
        <v>143</v>
      </c>
    </row>
    <row r="30" spans="1:8" ht="14.25" customHeight="1" x14ac:dyDescent="0.2">
      <c r="A30" s="88">
        <v>24</v>
      </c>
      <c r="B30" s="89" t="s">
        <v>505</v>
      </c>
      <c r="C30" s="89" t="s">
        <v>506</v>
      </c>
      <c r="D30" s="89" t="s">
        <v>243</v>
      </c>
      <c r="E30" s="90">
        <v>5160</v>
      </c>
      <c r="F30" s="91">
        <v>763.21559999999999</v>
      </c>
      <c r="G30" s="92">
        <v>6.6948499999999996E-3</v>
      </c>
      <c r="H30" s="87" t="s">
        <v>143</v>
      </c>
    </row>
    <row r="31" spans="1:8" ht="14.25" customHeight="1" x14ac:dyDescent="0.2">
      <c r="A31" s="88">
        <v>25</v>
      </c>
      <c r="B31" s="89" t="s">
        <v>250</v>
      </c>
      <c r="C31" s="89" t="s">
        <v>251</v>
      </c>
      <c r="D31" s="89" t="s">
        <v>191</v>
      </c>
      <c r="E31" s="90">
        <v>129350</v>
      </c>
      <c r="F31" s="91">
        <v>750.55337499999996</v>
      </c>
      <c r="G31" s="92">
        <v>6.58378E-3</v>
      </c>
      <c r="H31" s="87" t="s">
        <v>143</v>
      </c>
    </row>
    <row r="32" spans="1:8" ht="14.25" customHeight="1" x14ac:dyDescent="0.2">
      <c r="A32" s="88">
        <v>26</v>
      </c>
      <c r="B32" s="89" t="s">
        <v>509</v>
      </c>
      <c r="C32" s="89" t="s">
        <v>510</v>
      </c>
      <c r="D32" s="89" t="s">
        <v>232</v>
      </c>
      <c r="E32" s="90">
        <v>56635</v>
      </c>
      <c r="F32" s="91">
        <v>742.48485000000005</v>
      </c>
      <c r="G32" s="92">
        <v>6.5129999999999997E-3</v>
      </c>
      <c r="H32" s="87" t="s">
        <v>143</v>
      </c>
    </row>
    <row r="33" spans="1:8" ht="14.25" customHeight="1" x14ac:dyDescent="0.2">
      <c r="A33" s="88">
        <v>27</v>
      </c>
      <c r="B33" s="89" t="s">
        <v>441</v>
      </c>
      <c r="C33" s="89" t="s">
        <v>442</v>
      </c>
      <c r="D33" s="89" t="s">
        <v>204</v>
      </c>
      <c r="E33" s="90">
        <v>65600</v>
      </c>
      <c r="F33" s="91">
        <v>698.90239999999994</v>
      </c>
      <c r="G33" s="92">
        <v>6.1307000000000002E-3</v>
      </c>
      <c r="H33" s="87" t="s">
        <v>143</v>
      </c>
    </row>
    <row r="34" spans="1:8" ht="14.25" customHeight="1" x14ac:dyDescent="0.2">
      <c r="A34" s="88">
        <v>28</v>
      </c>
      <c r="B34" s="89" t="s">
        <v>205</v>
      </c>
      <c r="C34" s="89" t="s">
        <v>206</v>
      </c>
      <c r="D34" s="89" t="s">
        <v>207</v>
      </c>
      <c r="E34" s="90">
        <v>105495</v>
      </c>
      <c r="F34" s="91">
        <v>662.24486249999995</v>
      </c>
      <c r="G34" s="92">
        <v>5.80914E-3</v>
      </c>
      <c r="H34" s="87" t="s">
        <v>143</v>
      </c>
    </row>
    <row r="35" spans="1:8" ht="14.25" customHeight="1" x14ac:dyDescent="0.2">
      <c r="A35" s="88">
        <v>29</v>
      </c>
      <c r="B35" s="89" t="s">
        <v>37</v>
      </c>
      <c r="C35" s="89" t="s">
        <v>38</v>
      </c>
      <c r="D35" s="89" t="s">
        <v>19</v>
      </c>
      <c r="E35" s="90">
        <v>196850</v>
      </c>
      <c r="F35" s="91">
        <v>606.69169999999997</v>
      </c>
      <c r="G35" s="92">
        <v>5.3218400000000004E-3</v>
      </c>
      <c r="H35" s="87" t="s">
        <v>143</v>
      </c>
    </row>
    <row r="36" spans="1:8" ht="14.25" customHeight="1" x14ac:dyDescent="0.2">
      <c r="A36" s="88">
        <v>30</v>
      </c>
      <c r="B36" s="89" t="s">
        <v>699</v>
      </c>
      <c r="C36" s="89" t="s">
        <v>700</v>
      </c>
      <c r="D36" s="89" t="s">
        <v>263</v>
      </c>
      <c r="E36" s="90">
        <v>78100</v>
      </c>
      <c r="F36" s="91">
        <v>602.97104999999999</v>
      </c>
      <c r="G36" s="92">
        <v>5.2892E-3</v>
      </c>
      <c r="H36" s="87" t="s">
        <v>143</v>
      </c>
    </row>
    <row r="37" spans="1:8" ht="14.25" customHeight="1" x14ac:dyDescent="0.2">
      <c r="A37" s="88">
        <v>31</v>
      </c>
      <c r="B37" s="89" t="s">
        <v>20</v>
      </c>
      <c r="C37" s="89" t="s">
        <v>21</v>
      </c>
      <c r="D37" s="89" t="s">
        <v>22</v>
      </c>
      <c r="E37" s="90">
        <v>178500</v>
      </c>
      <c r="F37" s="91">
        <v>584.67674999999997</v>
      </c>
      <c r="G37" s="92">
        <v>5.1287299999999997E-3</v>
      </c>
      <c r="H37" s="87" t="s">
        <v>143</v>
      </c>
    </row>
    <row r="38" spans="1:8" ht="14.25" customHeight="1" x14ac:dyDescent="0.2">
      <c r="A38" s="88">
        <v>32</v>
      </c>
      <c r="B38" s="89" t="s">
        <v>432</v>
      </c>
      <c r="C38" s="89" t="s">
        <v>433</v>
      </c>
      <c r="D38" s="89" t="s">
        <v>263</v>
      </c>
      <c r="E38" s="90">
        <v>32123</v>
      </c>
      <c r="F38" s="91">
        <v>579.98076500000002</v>
      </c>
      <c r="G38" s="92">
        <v>5.0875299999999998E-3</v>
      </c>
      <c r="H38" s="87" t="s">
        <v>143</v>
      </c>
    </row>
    <row r="39" spans="1:8" ht="14.25" customHeight="1" x14ac:dyDescent="0.2">
      <c r="A39" s="88">
        <v>33</v>
      </c>
      <c r="B39" s="89" t="s">
        <v>44</v>
      </c>
      <c r="C39" s="89" t="s">
        <v>45</v>
      </c>
      <c r="D39" s="89" t="s">
        <v>46</v>
      </c>
      <c r="E39" s="90">
        <v>7830</v>
      </c>
      <c r="F39" s="91">
        <v>569.04525000000001</v>
      </c>
      <c r="G39" s="92">
        <v>4.9916099999999996E-3</v>
      </c>
      <c r="H39" s="87" t="s">
        <v>143</v>
      </c>
    </row>
    <row r="40" spans="1:8" ht="14.25" customHeight="1" x14ac:dyDescent="0.2">
      <c r="A40" s="88">
        <v>34</v>
      </c>
      <c r="B40" s="89" t="s">
        <v>192</v>
      </c>
      <c r="C40" s="89" t="s">
        <v>193</v>
      </c>
      <c r="D40" s="89" t="s">
        <v>194</v>
      </c>
      <c r="E40" s="90">
        <v>29345</v>
      </c>
      <c r="F40" s="91">
        <v>556.05840499999999</v>
      </c>
      <c r="G40" s="92">
        <v>4.8776899999999996E-3</v>
      </c>
      <c r="H40" s="87" t="s">
        <v>143</v>
      </c>
    </row>
    <row r="41" spans="1:8" ht="14.25" customHeight="1" x14ac:dyDescent="0.2">
      <c r="A41" s="88">
        <v>35</v>
      </c>
      <c r="B41" s="89" t="s">
        <v>335</v>
      </c>
      <c r="C41" s="89" t="s">
        <v>336</v>
      </c>
      <c r="D41" s="89" t="s">
        <v>25</v>
      </c>
      <c r="E41" s="90">
        <v>19670</v>
      </c>
      <c r="F41" s="91">
        <v>545.96051999999997</v>
      </c>
      <c r="G41" s="92">
        <v>4.7891100000000001E-3</v>
      </c>
      <c r="H41" s="87" t="s">
        <v>143</v>
      </c>
    </row>
    <row r="42" spans="1:8" ht="14.25" customHeight="1" x14ac:dyDescent="0.2">
      <c r="A42" s="88">
        <v>36</v>
      </c>
      <c r="B42" s="89" t="s">
        <v>23</v>
      </c>
      <c r="C42" s="89" t="s">
        <v>24</v>
      </c>
      <c r="D42" s="89" t="s">
        <v>25</v>
      </c>
      <c r="E42" s="90">
        <v>4300</v>
      </c>
      <c r="F42" s="91">
        <v>543.52</v>
      </c>
      <c r="G42" s="92">
        <v>4.7676999999999997E-3</v>
      </c>
      <c r="H42" s="87" t="s">
        <v>143</v>
      </c>
    </row>
    <row r="43" spans="1:8" ht="14.25" customHeight="1" x14ac:dyDescent="0.2">
      <c r="A43" s="88">
        <v>37</v>
      </c>
      <c r="B43" s="89" t="s">
        <v>701</v>
      </c>
      <c r="C43" s="89" t="s">
        <v>702</v>
      </c>
      <c r="D43" s="89" t="s">
        <v>194</v>
      </c>
      <c r="E43" s="90">
        <v>52250</v>
      </c>
      <c r="F43" s="91">
        <v>537.07775000000004</v>
      </c>
      <c r="G43" s="92">
        <v>4.7111899999999996E-3</v>
      </c>
      <c r="H43" s="87" t="s">
        <v>143</v>
      </c>
    </row>
    <row r="44" spans="1:8" ht="14.25" customHeight="1" x14ac:dyDescent="0.2">
      <c r="A44" s="88">
        <v>38</v>
      </c>
      <c r="B44" s="89" t="s">
        <v>507</v>
      </c>
      <c r="C44" s="89" t="s">
        <v>508</v>
      </c>
      <c r="D44" s="89" t="s">
        <v>243</v>
      </c>
      <c r="E44" s="90">
        <v>5950</v>
      </c>
      <c r="F44" s="91">
        <v>513.57425000000001</v>
      </c>
      <c r="G44" s="92">
        <v>4.5050200000000002E-3</v>
      </c>
      <c r="H44" s="87" t="s">
        <v>143</v>
      </c>
    </row>
    <row r="45" spans="1:8" ht="14.25" customHeight="1" x14ac:dyDescent="0.2">
      <c r="A45" s="88">
        <v>39</v>
      </c>
      <c r="B45" s="89" t="s">
        <v>252</v>
      </c>
      <c r="C45" s="89" t="s">
        <v>253</v>
      </c>
      <c r="D45" s="89" t="s">
        <v>43</v>
      </c>
      <c r="E45" s="90">
        <v>39000</v>
      </c>
      <c r="F45" s="91">
        <v>498.81</v>
      </c>
      <c r="G45" s="92">
        <v>4.37551E-3</v>
      </c>
      <c r="H45" s="87" t="s">
        <v>143</v>
      </c>
    </row>
    <row r="46" spans="1:8" ht="14.25" customHeight="1" x14ac:dyDescent="0.2">
      <c r="A46" s="88">
        <v>40</v>
      </c>
      <c r="B46" s="89" t="s">
        <v>259</v>
      </c>
      <c r="C46" s="89" t="s">
        <v>260</v>
      </c>
      <c r="D46" s="89" t="s">
        <v>194</v>
      </c>
      <c r="E46" s="90">
        <v>19915</v>
      </c>
      <c r="F46" s="91">
        <v>492.17930999999999</v>
      </c>
      <c r="G46" s="92">
        <v>4.3173500000000002E-3</v>
      </c>
      <c r="H46" s="87" t="s">
        <v>143</v>
      </c>
    </row>
    <row r="47" spans="1:8" ht="14.25" customHeight="1" x14ac:dyDescent="0.2">
      <c r="A47" s="88">
        <v>41</v>
      </c>
      <c r="B47" s="89" t="s">
        <v>47</v>
      </c>
      <c r="C47" s="89" t="s">
        <v>48</v>
      </c>
      <c r="D47" s="89" t="s">
        <v>22</v>
      </c>
      <c r="E47" s="90">
        <v>131380</v>
      </c>
      <c r="F47" s="91">
        <v>491.55826999999999</v>
      </c>
      <c r="G47" s="92">
        <v>4.3118999999999996E-3</v>
      </c>
      <c r="H47" s="87" t="s">
        <v>143</v>
      </c>
    </row>
    <row r="48" spans="1:8" ht="14.25" customHeight="1" x14ac:dyDescent="0.2">
      <c r="A48" s="88">
        <v>42</v>
      </c>
      <c r="B48" s="89" t="s">
        <v>221</v>
      </c>
      <c r="C48" s="89" t="s">
        <v>222</v>
      </c>
      <c r="D48" s="89" t="s">
        <v>223</v>
      </c>
      <c r="E48" s="90">
        <v>23265</v>
      </c>
      <c r="F48" s="91">
        <v>487.68092999999999</v>
      </c>
      <c r="G48" s="92">
        <v>4.2778900000000003E-3</v>
      </c>
      <c r="H48" s="87" t="s">
        <v>143</v>
      </c>
    </row>
    <row r="49" spans="1:8" ht="14.25" customHeight="1" x14ac:dyDescent="0.2">
      <c r="A49" s="88">
        <v>43</v>
      </c>
      <c r="B49" s="89" t="s">
        <v>347</v>
      </c>
      <c r="C49" s="89" t="s">
        <v>348</v>
      </c>
      <c r="D49" s="89" t="s">
        <v>194</v>
      </c>
      <c r="E49" s="90">
        <v>28077</v>
      </c>
      <c r="F49" s="91">
        <v>447.68776500000001</v>
      </c>
      <c r="G49" s="92">
        <v>3.9270700000000004E-3</v>
      </c>
      <c r="H49" s="87" t="s">
        <v>143</v>
      </c>
    </row>
    <row r="50" spans="1:8" ht="14.25" customHeight="1" x14ac:dyDescent="0.2">
      <c r="A50" s="88">
        <v>44</v>
      </c>
      <c r="B50" s="89" t="s">
        <v>34</v>
      </c>
      <c r="C50" s="89" t="s">
        <v>35</v>
      </c>
      <c r="D50" s="89" t="s">
        <v>36</v>
      </c>
      <c r="E50" s="90">
        <v>15687</v>
      </c>
      <c r="F50" s="91">
        <v>435.97310399999998</v>
      </c>
      <c r="G50" s="92">
        <v>3.82431E-3</v>
      </c>
      <c r="H50" s="87" t="s">
        <v>143</v>
      </c>
    </row>
    <row r="51" spans="1:8" ht="14.25" customHeight="1" x14ac:dyDescent="0.2">
      <c r="A51" s="88">
        <v>45</v>
      </c>
      <c r="B51" s="89" t="s">
        <v>511</v>
      </c>
      <c r="C51" s="89" t="s">
        <v>512</v>
      </c>
      <c r="D51" s="89" t="s">
        <v>268</v>
      </c>
      <c r="E51" s="90">
        <v>13940</v>
      </c>
      <c r="F51" s="91">
        <v>425.21181999999999</v>
      </c>
      <c r="G51" s="92">
        <v>3.7299199999999999E-3</v>
      </c>
      <c r="H51" s="87" t="s">
        <v>143</v>
      </c>
    </row>
    <row r="52" spans="1:8" ht="14.25" customHeight="1" x14ac:dyDescent="0.2">
      <c r="A52" s="88">
        <v>46</v>
      </c>
      <c r="B52" s="89" t="s">
        <v>186</v>
      </c>
      <c r="C52" s="89" t="s">
        <v>187</v>
      </c>
      <c r="D52" s="89" t="s">
        <v>188</v>
      </c>
      <c r="E52" s="90">
        <v>45500</v>
      </c>
      <c r="F52" s="91">
        <v>414.73250000000002</v>
      </c>
      <c r="G52" s="92">
        <v>3.6379899999999998E-3</v>
      </c>
      <c r="H52" s="87" t="s">
        <v>143</v>
      </c>
    </row>
    <row r="53" spans="1:8" ht="14.25" customHeight="1" x14ac:dyDescent="0.2">
      <c r="A53" s="88">
        <v>47</v>
      </c>
      <c r="B53" s="89" t="s">
        <v>513</v>
      </c>
      <c r="C53" s="89" t="s">
        <v>514</v>
      </c>
      <c r="D53" s="89" t="s">
        <v>191</v>
      </c>
      <c r="E53" s="90">
        <v>32660</v>
      </c>
      <c r="F53" s="91">
        <v>397.99475999999999</v>
      </c>
      <c r="G53" s="92">
        <v>3.49117E-3</v>
      </c>
      <c r="H53" s="87" t="s">
        <v>143</v>
      </c>
    </row>
    <row r="54" spans="1:8" ht="14.25" customHeight="1" x14ac:dyDescent="0.2">
      <c r="A54" s="88">
        <v>48</v>
      </c>
      <c r="B54" s="89" t="s">
        <v>282</v>
      </c>
      <c r="C54" s="89" t="s">
        <v>283</v>
      </c>
      <c r="D54" s="89" t="s">
        <v>194</v>
      </c>
      <c r="E54" s="90">
        <v>40450</v>
      </c>
      <c r="F54" s="91">
        <v>396.83472499999999</v>
      </c>
      <c r="G54" s="92">
        <v>3.4809900000000002E-3</v>
      </c>
      <c r="H54" s="87" t="s">
        <v>143</v>
      </c>
    </row>
    <row r="55" spans="1:8" ht="14.25" customHeight="1" x14ac:dyDescent="0.2">
      <c r="A55" s="88">
        <v>49</v>
      </c>
      <c r="B55" s="89" t="s">
        <v>297</v>
      </c>
      <c r="C55" s="89" t="s">
        <v>298</v>
      </c>
      <c r="D55" s="89" t="s">
        <v>191</v>
      </c>
      <c r="E55" s="90">
        <v>7795</v>
      </c>
      <c r="F55" s="91">
        <v>388.65870000000001</v>
      </c>
      <c r="G55" s="92">
        <v>3.4092699999999998E-3</v>
      </c>
      <c r="H55" s="87" t="s">
        <v>143</v>
      </c>
    </row>
    <row r="56" spans="1:8" ht="14.25" customHeight="1" x14ac:dyDescent="0.2">
      <c r="A56" s="88">
        <v>50</v>
      </c>
      <c r="B56" s="89" t="s">
        <v>269</v>
      </c>
      <c r="C56" s="89" t="s">
        <v>270</v>
      </c>
      <c r="D56" s="89" t="s">
        <v>77</v>
      </c>
      <c r="E56" s="90">
        <v>22700</v>
      </c>
      <c r="F56" s="91">
        <v>354.52859999999998</v>
      </c>
      <c r="G56" s="92">
        <v>3.1098900000000001E-3</v>
      </c>
      <c r="H56" s="87" t="s">
        <v>143</v>
      </c>
    </row>
    <row r="57" spans="1:8" ht="14.25" customHeight="1" x14ac:dyDescent="0.2">
      <c r="A57" s="88">
        <v>51</v>
      </c>
      <c r="B57" s="89" t="s">
        <v>99</v>
      </c>
      <c r="C57" s="89" t="s">
        <v>100</v>
      </c>
      <c r="D57" s="89" t="s">
        <v>25</v>
      </c>
      <c r="E57" s="90">
        <v>58440</v>
      </c>
      <c r="F57" s="91">
        <v>329.13407999999998</v>
      </c>
      <c r="G57" s="92">
        <v>2.8871299999999999E-3</v>
      </c>
      <c r="H57" s="87" t="s">
        <v>143</v>
      </c>
    </row>
    <row r="58" spans="1:8" ht="14.25" customHeight="1" x14ac:dyDescent="0.2">
      <c r="A58" s="88">
        <v>52</v>
      </c>
      <c r="B58" s="89" t="s">
        <v>515</v>
      </c>
      <c r="C58" s="89" t="s">
        <v>516</v>
      </c>
      <c r="D58" s="89" t="s">
        <v>199</v>
      </c>
      <c r="E58" s="90">
        <v>22155</v>
      </c>
      <c r="F58" s="91">
        <v>328.20416999999998</v>
      </c>
      <c r="G58" s="92">
        <v>2.8789699999999998E-3</v>
      </c>
      <c r="H58" s="87" t="s">
        <v>143</v>
      </c>
    </row>
    <row r="59" spans="1:8" ht="14.25" customHeight="1" x14ac:dyDescent="0.2">
      <c r="A59" s="88">
        <v>53</v>
      </c>
      <c r="B59" s="89" t="s">
        <v>349</v>
      </c>
      <c r="C59" s="89" t="s">
        <v>350</v>
      </c>
      <c r="D59" s="89" t="s">
        <v>232</v>
      </c>
      <c r="E59" s="90">
        <v>67120</v>
      </c>
      <c r="F59" s="91">
        <v>326.97507999999999</v>
      </c>
      <c r="G59" s="92">
        <v>2.8681900000000001E-3</v>
      </c>
      <c r="H59" s="87" t="s">
        <v>143</v>
      </c>
    </row>
    <row r="60" spans="1:8" ht="14.25" customHeight="1" x14ac:dyDescent="0.2">
      <c r="A60" s="88">
        <v>54</v>
      </c>
      <c r="B60" s="89" t="s">
        <v>241</v>
      </c>
      <c r="C60" s="89" t="s">
        <v>242</v>
      </c>
      <c r="D60" s="89" t="s">
        <v>243</v>
      </c>
      <c r="E60" s="90">
        <v>9100</v>
      </c>
      <c r="F60" s="91">
        <v>298.17059999999998</v>
      </c>
      <c r="G60" s="92">
        <v>2.6155200000000001E-3</v>
      </c>
      <c r="H60" s="87" t="s">
        <v>143</v>
      </c>
    </row>
    <row r="61" spans="1:8" ht="14.25" customHeight="1" x14ac:dyDescent="0.2">
      <c r="A61" s="88">
        <v>55</v>
      </c>
      <c r="B61" s="89" t="s">
        <v>629</v>
      </c>
      <c r="C61" s="89" t="s">
        <v>630</v>
      </c>
      <c r="D61" s="89" t="s">
        <v>631</v>
      </c>
      <c r="E61" s="90">
        <v>12600</v>
      </c>
      <c r="F61" s="91">
        <v>282.8322</v>
      </c>
      <c r="G61" s="92">
        <v>2.4809799999999998E-3</v>
      </c>
      <c r="H61" s="87" t="s">
        <v>143</v>
      </c>
    </row>
    <row r="62" spans="1:8" ht="14.25" customHeight="1" x14ac:dyDescent="0.2">
      <c r="A62" s="88">
        <v>56</v>
      </c>
      <c r="B62" s="89" t="s">
        <v>519</v>
      </c>
      <c r="C62" s="89" t="s">
        <v>520</v>
      </c>
      <c r="D62" s="89" t="s">
        <v>243</v>
      </c>
      <c r="E62" s="90">
        <v>5553</v>
      </c>
      <c r="F62" s="91">
        <v>282.51998099999997</v>
      </c>
      <c r="G62" s="92">
        <v>2.47824E-3</v>
      </c>
      <c r="H62" s="87" t="s">
        <v>143</v>
      </c>
    </row>
    <row r="63" spans="1:8" ht="14.25" customHeight="1" x14ac:dyDescent="0.2">
      <c r="A63" s="88">
        <v>57</v>
      </c>
      <c r="B63" s="89" t="s">
        <v>517</v>
      </c>
      <c r="C63" s="89" t="s">
        <v>518</v>
      </c>
      <c r="D63" s="89" t="s">
        <v>43</v>
      </c>
      <c r="E63" s="90">
        <v>27900</v>
      </c>
      <c r="F63" s="91">
        <v>276.27974999999998</v>
      </c>
      <c r="G63" s="92">
        <v>2.4234999999999999E-3</v>
      </c>
      <c r="H63" s="87" t="s">
        <v>143</v>
      </c>
    </row>
    <row r="64" spans="1:8" ht="14.25" customHeight="1" x14ac:dyDescent="0.2">
      <c r="A64" s="88">
        <v>58</v>
      </c>
      <c r="B64" s="89" t="s">
        <v>87</v>
      </c>
      <c r="C64" s="89" t="s">
        <v>88</v>
      </c>
      <c r="D64" s="89" t="s">
        <v>13</v>
      </c>
      <c r="E64" s="90">
        <v>66300</v>
      </c>
      <c r="F64" s="91">
        <v>224.49180000000001</v>
      </c>
      <c r="G64" s="92">
        <v>1.9692199999999998E-3</v>
      </c>
      <c r="H64" s="87" t="s">
        <v>143</v>
      </c>
    </row>
    <row r="65" spans="1:8" ht="14.25" customHeight="1" x14ac:dyDescent="0.2">
      <c r="A65" s="88">
        <v>59</v>
      </c>
      <c r="B65" s="89" t="s">
        <v>484</v>
      </c>
      <c r="C65" s="89" t="s">
        <v>485</v>
      </c>
      <c r="D65" s="89" t="s">
        <v>223</v>
      </c>
      <c r="E65" s="90">
        <v>7355</v>
      </c>
      <c r="F65" s="91">
        <v>206.16065</v>
      </c>
      <c r="G65" s="92">
        <v>1.80842E-3</v>
      </c>
      <c r="H65" s="87" t="s">
        <v>143</v>
      </c>
    </row>
    <row r="66" spans="1:8" ht="14.25" customHeight="1" x14ac:dyDescent="0.2">
      <c r="A66" s="88">
        <v>60</v>
      </c>
      <c r="B66" s="89" t="s">
        <v>345</v>
      </c>
      <c r="C66" s="89" t="s">
        <v>346</v>
      </c>
      <c r="D66" s="89" t="s">
        <v>207</v>
      </c>
      <c r="E66" s="90">
        <v>26250</v>
      </c>
      <c r="F66" s="91">
        <v>199.09312499999999</v>
      </c>
      <c r="G66" s="92">
        <v>1.74643E-3</v>
      </c>
      <c r="H66" s="87" t="s">
        <v>143</v>
      </c>
    </row>
    <row r="67" spans="1:8" ht="14.25" customHeight="1" x14ac:dyDescent="0.2">
      <c r="A67" s="88">
        <v>61</v>
      </c>
      <c r="B67" s="89" t="s">
        <v>303</v>
      </c>
      <c r="C67" s="89" t="s">
        <v>304</v>
      </c>
      <c r="D67" s="89" t="s">
        <v>188</v>
      </c>
      <c r="E67" s="90">
        <v>34945</v>
      </c>
      <c r="F67" s="91">
        <v>189.50673499999999</v>
      </c>
      <c r="G67" s="92">
        <v>1.6623300000000001E-3</v>
      </c>
      <c r="H67" s="87" t="s">
        <v>143</v>
      </c>
    </row>
    <row r="68" spans="1:8" ht="14.25" customHeight="1" x14ac:dyDescent="0.2">
      <c r="A68" s="88">
        <v>62</v>
      </c>
      <c r="B68" s="89" t="s">
        <v>425</v>
      </c>
      <c r="C68" s="89" t="s">
        <v>426</v>
      </c>
      <c r="D68" s="89" t="s">
        <v>243</v>
      </c>
      <c r="E68" s="90">
        <v>28000</v>
      </c>
      <c r="F68" s="91">
        <v>187.32</v>
      </c>
      <c r="G68" s="92">
        <v>1.6431499999999999E-3</v>
      </c>
      <c r="H68" s="87" t="s">
        <v>143</v>
      </c>
    </row>
    <row r="69" spans="1:8" ht="14.25" customHeight="1" x14ac:dyDescent="0.2">
      <c r="A69" s="88">
        <v>63</v>
      </c>
      <c r="B69" s="89" t="s">
        <v>78</v>
      </c>
      <c r="C69" s="89" t="s">
        <v>79</v>
      </c>
      <c r="D69" s="89" t="s">
        <v>80</v>
      </c>
      <c r="E69" s="90">
        <v>107000</v>
      </c>
      <c r="F69" s="91">
        <v>185.1849</v>
      </c>
      <c r="G69" s="92">
        <v>1.6244199999999999E-3</v>
      </c>
      <c r="H69" s="87" t="s">
        <v>143</v>
      </c>
    </row>
    <row r="70" spans="1:8" ht="14.25" customHeight="1" x14ac:dyDescent="0.2">
      <c r="A70" s="88">
        <v>64</v>
      </c>
      <c r="B70" s="89" t="s">
        <v>228</v>
      </c>
      <c r="C70" s="89" t="s">
        <v>229</v>
      </c>
      <c r="D70" s="89" t="s">
        <v>68</v>
      </c>
      <c r="E70" s="90">
        <v>2250</v>
      </c>
      <c r="F70" s="91">
        <v>159.54750000000001</v>
      </c>
      <c r="G70" s="92">
        <v>1.39953E-3</v>
      </c>
      <c r="H70" s="87" t="s">
        <v>143</v>
      </c>
    </row>
    <row r="71" spans="1:8" ht="14.25" customHeight="1" x14ac:dyDescent="0.2">
      <c r="A71" s="88">
        <v>65</v>
      </c>
      <c r="B71" s="89" t="s">
        <v>437</v>
      </c>
      <c r="C71" s="89" t="s">
        <v>438</v>
      </c>
      <c r="D71" s="89" t="s">
        <v>199</v>
      </c>
      <c r="E71" s="90">
        <v>4550</v>
      </c>
      <c r="F71" s="91">
        <v>140.35384999999999</v>
      </c>
      <c r="G71" s="92">
        <v>1.23117E-3</v>
      </c>
      <c r="H71" s="87" t="s">
        <v>143</v>
      </c>
    </row>
    <row r="72" spans="1:8" ht="14.25" customHeight="1" x14ac:dyDescent="0.2">
      <c r="A72" s="88">
        <v>66</v>
      </c>
      <c r="B72" s="89" t="s">
        <v>527</v>
      </c>
      <c r="C72" s="89" t="s">
        <v>528</v>
      </c>
      <c r="D72" s="89" t="s">
        <v>191</v>
      </c>
      <c r="E72" s="90">
        <v>6000</v>
      </c>
      <c r="F72" s="91">
        <v>114.81</v>
      </c>
      <c r="G72" s="92">
        <v>1.0070999999999999E-3</v>
      </c>
      <c r="H72" s="87" t="s">
        <v>143</v>
      </c>
    </row>
    <row r="73" spans="1:8" ht="14.25" customHeight="1" x14ac:dyDescent="0.2">
      <c r="A73" s="93"/>
      <c r="B73" s="93"/>
      <c r="C73" s="94" t="s">
        <v>142</v>
      </c>
      <c r="D73" s="93"/>
      <c r="E73" s="93" t="s">
        <v>143</v>
      </c>
      <c r="F73" s="95">
        <v>81369.820183500007</v>
      </c>
      <c r="G73" s="96">
        <v>0.71376775999999997</v>
      </c>
      <c r="H73" s="87" t="s">
        <v>143</v>
      </c>
    </row>
    <row r="74" spans="1:8" ht="14.25" customHeight="1" x14ac:dyDescent="0.2">
      <c r="A74" s="93"/>
      <c r="B74" s="93"/>
      <c r="C74" s="97"/>
      <c r="D74" s="93"/>
      <c r="E74" s="93"/>
      <c r="F74" s="98"/>
      <c r="G74" s="98"/>
      <c r="H74" s="87" t="s">
        <v>143</v>
      </c>
    </row>
    <row r="75" spans="1:8" ht="14.25" customHeight="1" x14ac:dyDescent="0.2">
      <c r="A75" s="93"/>
      <c r="B75" s="93"/>
      <c r="C75" s="94" t="s">
        <v>144</v>
      </c>
      <c r="D75" s="93"/>
      <c r="E75" s="93"/>
      <c r="F75" s="93"/>
      <c r="G75" s="93"/>
      <c r="H75" s="87" t="s">
        <v>143</v>
      </c>
    </row>
    <row r="76" spans="1:8" ht="14.25" customHeight="1" x14ac:dyDescent="0.2">
      <c r="A76" s="93"/>
      <c r="B76" s="93"/>
      <c r="C76" s="94" t="s">
        <v>142</v>
      </c>
      <c r="D76" s="93"/>
      <c r="E76" s="93" t="s">
        <v>143</v>
      </c>
      <c r="F76" s="99" t="s">
        <v>145</v>
      </c>
      <c r="G76" s="96">
        <v>0</v>
      </c>
      <c r="H76" s="87" t="s">
        <v>143</v>
      </c>
    </row>
    <row r="77" spans="1:8" ht="14.25" customHeight="1" x14ac:dyDescent="0.2">
      <c r="A77" s="93"/>
      <c r="B77" s="93"/>
      <c r="C77" s="97"/>
      <c r="D77" s="93"/>
      <c r="E77" s="93"/>
      <c r="F77" s="98"/>
      <c r="G77" s="98"/>
      <c r="H77" s="87" t="s">
        <v>143</v>
      </c>
    </row>
    <row r="78" spans="1:8" ht="14.25" customHeight="1" x14ac:dyDescent="0.2">
      <c r="A78" s="93"/>
      <c r="B78" s="93"/>
      <c r="C78" s="94" t="s">
        <v>146</v>
      </c>
      <c r="D78" s="93"/>
      <c r="E78" s="93"/>
      <c r="F78" s="93"/>
      <c r="G78" s="93"/>
      <c r="H78" s="87" t="s">
        <v>143</v>
      </c>
    </row>
    <row r="79" spans="1:8" ht="14.25" customHeight="1" x14ac:dyDescent="0.2">
      <c r="A79" s="93"/>
      <c r="B79" s="93"/>
      <c r="C79" s="94" t="s">
        <v>142</v>
      </c>
      <c r="D79" s="93"/>
      <c r="E79" s="93" t="s">
        <v>143</v>
      </c>
      <c r="F79" s="99" t="s">
        <v>145</v>
      </c>
      <c r="G79" s="96">
        <v>0</v>
      </c>
      <c r="H79" s="87" t="s">
        <v>143</v>
      </c>
    </row>
    <row r="80" spans="1:8" ht="14.25" customHeight="1" x14ac:dyDescent="0.2">
      <c r="A80" s="93"/>
      <c r="B80" s="93"/>
      <c r="C80" s="97"/>
      <c r="D80" s="93"/>
      <c r="E80" s="93"/>
      <c r="F80" s="98"/>
      <c r="G80" s="98"/>
      <c r="H80" s="87" t="s">
        <v>143</v>
      </c>
    </row>
    <row r="81" spans="1:8" ht="14.25" customHeight="1" x14ac:dyDescent="0.2">
      <c r="A81" s="93"/>
      <c r="B81" s="93"/>
      <c r="C81" s="94" t="s">
        <v>147</v>
      </c>
      <c r="D81" s="93"/>
      <c r="E81" s="93"/>
      <c r="F81" s="93"/>
      <c r="G81" s="93"/>
      <c r="H81" s="87" t="s">
        <v>143</v>
      </c>
    </row>
    <row r="82" spans="1:8" ht="14.25" customHeight="1" x14ac:dyDescent="0.2">
      <c r="A82" s="88">
        <v>1</v>
      </c>
      <c r="B82" s="89" t="s">
        <v>317</v>
      </c>
      <c r="C82" s="89" t="s">
        <v>318</v>
      </c>
      <c r="D82" s="89" t="s">
        <v>243</v>
      </c>
      <c r="E82" s="90">
        <v>36400</v>
      </c>
      <c r="F82" s="91">
        <v>3.64</v>
      </c>
      <c r="G82" s="92" t="s">
        <v>141</v>
      </c>
      <c r="H82" s="87" t="s">
        <v>143</v>
      </c>
    </row>
    <row r="83" spans="1:8" ht="14.25" customHeight="1" x14ac:dyDescent="0.2">
      <c r="A83" s="93"/>
      <c r="B83" s="93"/>
      <c r="C83" s="94" t="s">
        <v>142</v>
      </c>
      <c r="D83" s="93"/>
      <c r="E83" s="93" t="s">
        <v>143</v>
      </c>
      <c r="F83" s="95">
        <v>3.64</v>
      </c>
      <c r="G83" s="96">
        <v>3.1930000000000001E-5</v>
      </c>
      <c r="H83" s="87" t="s">
        <v>143</v>
      </c>
    </row>
    <row r="84" spans="1:8" ht="14.25" customHeight="1" x14ac:dyDescent="0.2">
      <c r="A84" s="93"/>
      <c r="B84" s="93"/>
      <c r="C84" s="97"/>
      <c r="D84" s="93"/>
      <c r="E84" s="93"/>
      <c r="F84" s="98"/>
      <c r="G84" s="98"/>
      <c r="H84" s="87" t="s">
        <v>143</v>
      </c>
    </row>
    <row r="85" spans="1:8" ht="14.25" customHeight="1" x14ac:dyDescent="0.2">
      <c r="A85" s="93"/>
      <c r="B85" s="93"/>
      <c r="C85" s="94" t="s">
        <v>148</v>
      </c>
      <c r="D85" s="93"/>
      <c r="E85" s="93"/>
      <c r="F85" s="98"/>
      <c r="G85" s="98"/>
      <c r="H85" s="87" t="s">
        <v>143</v>
      </c>
    </row>
    <row r="86" spans="1:8" ht="14.25" customHeight="1" x14ac:dyDescent="0.2">
      <c r="A86" s="93"/>
      <c r="B86" s="93"/>
      <c r="C86" s="94" t="s">
        <v>142</v>
      </c>
      <c r="D86" s="93"/>
      <c r="E86" s="93" t="s">
        <v>143</v>
      </c>
      <c r="F86" s="99" t="s">
        <v>145</v>
      </c>
      <c r="G86" s="96">
        <v>0</v>
      </c>
      <c r="H86" s="87" t="s">
        <v>143</v>
      </c>
    </row>
    <row r="87" spans="1:8" ht="14.25" customHeight="1" x14ac:dyDescent="0.2">
      <c r="A87" s="93"/>
      <c r="B87" s="93"/>
      <c r="C87" s="97"/>
      <c r="D87" s="93"/>
      <c r="E87" s="93"/>
      <c r="F87" s="98"/>
      <c r="G87" s="98"/>
      <c r="H87" s="87" t="s">
        <v>143</v>
      </c>
    </row>
    <row r="88" spans="1:8" ht="14.25" customHeight="1" x14ac:dyDescent="0.2">
      <c r="A88" s="93"/>
      <c r="B88" s="93"/>
      <c r="C88" s="94" t="s">
        <v>149</v>
      </c>
      <c r="D88" s="93"/>
      <c r="E88" s="93"/>
      <c r="F88" s="98"/>
      <c r="G88" s="98"/>
      <c r="H88" s="87" t="s">
        <v>143</v>
      </c>
    </row>
    <row r="89" spans="1:8" ht="14.25" customHeight="1" x14ac:dyDescent="0.2">
      <c r="A89" s="88">
        <v>1</v>
      </c>
      <c r="B89" s="89"/>
      <c r="C89" s="89" t="s">
        <v>1058</v>
      </c>
      <c r="D89" s="89" t="s">
        <v>530</v>
      </c>
      <c r="E89" s="90">
        <v>-5250</v>
      </c>
      <c r="F89" s="91">
        <v>-95.382000000000005</v>
      </c>
      <c r="G89" s="92">
        <f>F89/$F$176</f>
        <v>-8.3668114855666082E-4</v>
      </c>
      <c r="H89" s="87" t="s">
        <v>143</v>
      </c>
    </row>
    <row r="90" spans="1:8" ht="14.25" customHeight="1" x14ac:dyDescent="0.2">
      <c r="A90" s="88">
        <v>2</v>
      </c>
      <c r="B90" s="89"/>
      <c r="C90" s="89" t="s">
        <v>979</v>
      </c>
      <c r="D90" s="89" t="s">
        <v>530</v>
      </c>
      <c r="E90" s="90">
        <v>-6000</v>
      </c>
      <c r="F90" s="91">
        <v>-115.416</v>
      </c>
      <c r="G90" s="92">
        <f t="shared" ref="G90:G114" si="0">F90/$F$176</f>
        <v>-1.0124173475269502E-3</v>
      </c>
      <c r="H90" s="87" t="s">
        <v>143</v>
      </c>
    </row>
    <row r="91" spans="1:8" ht="14.25" customHeight="1" x14ac:dyDescent="0.2">
      <c r="A91" s="88">
        <v>3</v>
      </c>
      <c r="B91" s="89"/>
      <c r="C91" s="89" t="s">
        <v>981</v>
      </c>
      <c r="D91" s="89" t="s">
        <v>530</v>
      </c>
      <c r="E91" s="90">
        <v>-4550</v>
      </c>
      <c r="F91" s="91">
        <v>-141.0591</v>
      </c>
      <c r="G91" s="92">
        <f t="shared" si="0"/>
        <v>-1.2373559980118772E-3</v>
      </c>
      <c r="H91" s="87" t="s">
        <v>143</v>
      </c>
    </row>
    <row r="92" spans="1:8" ht="14.25" customHeight="1" x14ac:dyDescent="0.2">
      <c r="A92" s="88">
        <v>4</v>
      </c>
      <c r="B92" s="89"/>
      <c r="C92" s="89" t="s">
        <v>1099</v>
      </c>
      <c r="D92" s="89" t="s">
        <v>530</v>
      </c>
      <c r="E92" s="90">
        <v>-7650</v>
      </c>
      <c r="F92" s="91">
        <v>-145.89314999999999</v>
      </c>
      <c r="G92" s="92">
        <f t="shared" si="0"/>
        <v>-1.2797597901967792E-3</v>
      </c>
      <c r="H92" s="87" t="s">
        <v>143</v>
      </c>
    </row>
    <row r="93" spans="1:8" ht="14.25" customHeight="1" x14ac:dyDescent="0.2">
      <c r="A93" s="88">
        <v>5</v>
      </c>
      <c r="B93" s="89"/>
      <c r="C93" s="89" t="s">
        <v>1050</v>
      </c>
      <c r="D93" s="89" t="s">
        <v>530</v>
      </c>
      <c r="E93" s="90">
        <v>-28000</v>
      </c>
      <c r="F93" s="91">
        <v>-188.42599999999999</v>
      </c>
      <c r="G93" s="92">
        <f t="shared" si="0"/>
        <v>-1.6528536002383821E-3</v>
      </c>
      <c r="H93" s="87" t="s">
        <v>143</v>
      </c>
    </row>
    <row r="94" spans="1:8" ht="14.25" customHeight="1" x14ac:dyDescent="0.2">
      <c r="A94" s="88">
        <v>6</v>
      </c>
      <c r="B94" s="89"/>
      <c r="C94" s="89" t="s">
        <v>1100</v>
      </c>
      <c r="D94" s="89" t="s">
        <v>530</v>
      </c>
      <c r="E94" s="90">
        <v>-18400</v>
      </c>
      <c r="F94" s="91">
        <v>-242.16239999999999</v>
      </c>
      <c r="G94" s="92">
        <f t="shared" si="0"/>
        <v>-2.1242238050076271E-3</v>
      </c>
      <c r="H94" s="87" t="s">
        <v>143</v>
      </c>
    </row>
    <row r="95" spans="1:8" ht="14.25" customHeight="1" x14ac:dyDescent="0.2">
      <c r="A95" s="88">
        <v>7</v>
      </c>
      <c r="B95" s="89"/>
      <c r="C95" s="89" t="s">
        <v>1051</v>
      </c>
      <c r="D95" s="89" t="s">
        <v>530</v>
      </c>
      <c r="E95" s="90">
        <v>-8400</v>
      </c>
      <c r="F95" s="91">
        <v>-270.27839999999998</v>
      </c>
      <c r="G95" s="92">
        <f t="shared" si="0"/>
        <v>-2.3708544813702435E-3</v>
      </c>
      <c r="H95" s="87" t="s">
        <v>143</v>
      </c>
    </row>
    <row r="96" spans="1:8" ht="14.25" customHeight="1" x14ac:dyDescent="0.2">
      <c r="A96" s="88">
        <v>8</v>
      </c>
      <c r="B96" s="89"/>
      <c r="C96" s="89" t="s">
        <v>1068</v>
      </c>
      <c r="D96" s="89" t="s">
        <v>530</v>
      </c>
      <c r="E96" s="90">
        <v>-12600</v>
      </c>
      <c r="F96" s="91">
        <v>-284.67180000000002</v>
      </c>
      <c r="G96" s="92">
        <f t="shared" si="0"/>
        <v>-2.4971119140476403E-3</v>
      </c>
      <c r="H96" s="87" t="s">
        <v>143</v>
      </c>
    </row>
    <row r="97" spans="1:8" ht="14.25" customHeight="1" x14ac:dyDescent="0.2">
      <c r="A97" s="88">
        <v>9</v>
      </c>
      <c r="B97" s="89"/>
      <c r="C97" s="89" t="s">
        <v>1101</v>
      </c>
      <c r="D97" s="89" t="s">
        <v>530</v>
      </c>
      <c r="E97" s="90">
        <v>-9100</v>
      </c>
      <c r="F97" s="91">
        <v>-299.78129999999999</v>
      </c>
      <c r="G97" s="92">
        <f t="shared" si="0"/>
        <v>-2.6296509026840376E-3</v>
      </c>
      <c r="H97" s="87" t="s">
        <v>143</v>
      </c>
    </row>
    <row r="98" spans="1:8" ht="14.25" customHeight="1" x14ac:dyDescent="0.2">
      <c r="A98" s="88">
        <v>10</v>
      </c>
      <c r="B98" s="89"/>
      <c r="C98" s="89" t="s">
        <v>1102</v>
      </c>
      <c r="D98" s="89" t="s">
        <v>530</v>
      </c>
      <c r="E98" s="90">
        <v>-52250</v>
      </c>
      <c r="F98" s="91">
        <v>-540.57849999999996</v>
      </c>
      <c r="G98" s="92">
        <f t="shared" si="0"/>
        <v>-4.7418993129210631E-3</v>
      </c>
      <c r="H98" s="87" t="s">
        <v>143</v>
      </c>
    </row>
    <row r="99" spans="1:8" ht="14.25" customHeight="1" x14ac:dyDescent="0.2">
      <c r="A99" s="88">
        <v>11</v>
      </c>
      <c r="B99" s="89"/>
      <c r="C99" s="89" t="s">
        <v>996</v>
      </c>
      <c r="D99" s="89" t="s">
        <v>530</v>
      </c>
      <c r="E99" s="90">
        <v>-60500</v>
      </c>
      <c r="F99" s="91">
        <v>-579.65049999999997</v>
      </c>
      <c r="G99" s="92">
        <f t="shared" si="0"/>
        <v>-5.0846349007301452E-3</v>
      </c>
      <c r="H99" s="87" t="s">
        <v>143</v>
      </c>
    </row>
    <row r="100" spans="1:8" ht="14.25" customHeight="1" x14ac:dyDescent="0.2">
      <c r="A100" s="88">
        <v>12</v>
      </c>
      <c r="B100" s="89"/>
      <c r="C100" s="89" t="s">
        <v>1043</v>
      </c>
      <c r="D100" s="89" t="s">
        <v>530</v>
      </c>
      <c r="E100" s="90">
        <v>-178500</v>
      </c>
      <c r="F100" s="91">
        <v>-582.35625000000005</v>
      </c>
      <c r="G100" s="92">
        <f t="shared" si="0"/>
        <v>-5.1083694629924931E-3</v>
      </c>
      <c r="H100" s="87" t="s">
        <v>143</v>
      </c>
    </row>
    <row r="101" spans="1:8" ht="14.25" customHeight="1" x14ac:dyDescent="0.2">
      <c r="A101" s="88">
        <v>13</v>
      </c>
      <c r="B101" s="89"/>
      <c r="C101" s="89" t="s">
        <v>1103</v>
      </c>
      <c r="D101" s="89" t="s">
        <v>530</v>
      </c>
      <c r="E101" s="90">
        <v>-78100</v>
      </c>
      <c r="F101" s="91">
        <v>-606.17314999999996</v>
      </c>
      <c r="G101" s="92">
        <f t="shared" si="0"/>
        <v>-5.3172888738567967E-3</v>
      </c>
      <c r="H101" s="87" t="s">
        <v>143</v>
      </c>
    </row>
    <row r="102" spans="1:8" ht="14.25" customHeight="1" x14ac:dyDescent="0.2">
      <c r="A102" s="88">
        <v>14</v>
      </c>
      <c r="B102" s="89"/>
      <c r="C102" s="89" t="s">
        <v>987</v>
      </c>
      <c r="D102" s="89" t="s">
        <v>530</v>
      </c>
      <c r="E102" s="90">
        <v>-42000</v>
      </c>
      <c r="F102" s="91">
        <v>-828.24</v>
      </c>
      <c r="G102" s="92">
        <f t="shared" si="0"/>
        <v>-7.2652365695893223E-3</v>
      </c>
      <c r="H102" s="87" t="s">
        <v>143</v>
      </c>
    </row>
    <row r="103" spans="1:8" ht="14.25" customHeight="1" x14ac:dyDescent="0.2">
      <c r="A103" s="88">
        <v>15</v>
      </c>
      <c r="B103" s="89"/>
      <c r="C103" s="89" t="s">
        <v>1062</v>
      </c>
      <c r="D103" s="89" t="s">
        <v>530</v>
      </c>
      <c r="E103" s="90">
        <v>-31500</v>
      </c>
      <c r="F103" s="91">
        <v>-842.87699999999995</v>
      </c>
      <c r="G103" s="92">
        <f t="shared" si="0"/>
        <v>-7.393630836551892E-3</v>
      </c>
      <c r="H103" s="87" t="s">
        <v>143</v>
      </c>
    </row>
    <row r="104" spans="1:8" ht="14.25" customHeight="1" x14ac:dyDescent="0.2">
      <c r="A104" s="88">
        <v>16</v>
      </c>
      <c r="B104" s="89"/>
      <c r="C104" s="89" t="s">
        <v>1104</v>
      </c>
      <c r="D104" s="89" t="s">
        <v>530</v>
      </c>
      <c r="E104" s="90">
        <v>-89100</v>
      </c>
      <c r="F104" s="91">
        <v>-920.75940000000003</v>
      </c>
      <c r="G104" s="92">
        <f t="shared" si="0"/>
        <v>-8.0768072837258797E-3</v>
      </c>
      <c r="H104" s="87" t="s">
        <v>143</v>
      </c>
    </row>
    <row r="105" spans="1:8" ht="14.25" customHeight="1" x14ac:dyDescent="0.2">
      <c r="A105" s="88">
        <v>17</v>
      </c>
      <c r="B105" s="89"/>
      <c r="C105" s="89" t="s">
        <v>990</v>
      </c>
      <c r="D105" s="89" t="s">
        <v>530</v>
      </c>
      <c r="E105" s="90">
        <v>-406575</v>
      </c>
      <c r="F105" s="91">
        <v>-949.88117250000005</v>
      </c>
      <c r="G105" s="92">
        <f t="shared" si="0"/>
        <v>-8.3322604935904855E-3</v>
      </c>
      <c r="H105" s="87" t="s">
        <v>143</v>
      </c>
    </row>
    <row r="106" spans="1:8" ht="14.25" customHeight="1" x14ac:dyDescent="0.2">
      <c r="A106" s="88">
        <v>18</v>
      </c>
      <c r="B106" s="89"/>
      <c r="C106" s="89" t="s">
        <v>1067</v>
      </c>
      <c r="D106" s="89" t="s">
        <v>530</v>
      </c>
      <c r="E106" s="90">
        <v>-149800</v>
      </c>
      <c r="F106" s="91">
        <v>-1058.4119000000001</v>
      </c>
      <c r="G106" s="92">
        <f t="shared" si="0"/>
        <v>-9.2842809349566752E-3</v>
      </c>
      <c r="H106" s="87" t="s">
        <v>143</v>
      </c>
    </row>
    <row r="107" spans="1:8" ht="14.25" customHeight="1" x14ac:dyDescent="0.2">
      <c r="A107" s="88">
        <v>19</v>
      </c>
      <c r="B107" s="89"/>
      <c r="C107" s="89" t="s">
        <v>1069</v>
      </c>
      <c r="D107" s="89" t="s">
        <v>530</v>
      </c>
      <c r="E107" s="90">
        <v>-31500</v>
      </c>
      <c r="F107" s="91">
        <v>-1139.8589999999999</v>
      </c>
      <c r="G107" s="92">
        <f t="shared" si="0"/>
        <v>-9.9987265659416524E-3</v>
      </c>
      <c r="H107" s="87" t="s">
        <v>143</v>
      </c>
    </row>
    <row r="108" spans="1:8" ht="14.25" customHeight="1" x14ac:dyDescent="0.2">
      <c r="A108" s="88">
        <v>20</v>
      </c>
      <c r="B108" s="89"/>
      <c r="C108" s="89" t="s">
        <v>1073</v>
      </c>
      <c r="D108" s="89" t="s">
        <v>530</v>
      </c>
      <c r="E108" s="90">
        <v>-284800</v>
      </c>
      <c r="F108" s="91">
        <v>-1170.9552000000001</v>
      </c>
      <c r="G108" s="92">
        <f t="shared" si="0"/>
        <v>-1.0271499251896528E-2</v>
      </c>
      <c r="H108" s="87" t="s">
        <v>143</v>
      </c>
    </row>
    <row r="109" spans="1:8" ht="14.25" customHeight="1" x14ac:dyDescent="0.2">
      <c r="A109" s="88">
        <v>21</v>
      </c>
      <c r="B109" s="89"/>
      <c r="C109" s="89" t="s">
        <v>1072</v>
      </c>
      <c r="D109" s="89" t="s">
        <v>530</v>
      </c>
      <c r="E109" s="90">
        <v>-226875</v>
      </c>
      <c r="F109" s="91">
        <v>-2386.9518750000002</v>
      </c>
      <c r="G109" s="92">
        <f t="shared" si="0"/>
        <v>-2.093809771575848E-2</v>
      </c>
      <c r="H109" s="87" t="s">
        <v>143</v>
      </c>
    </row>
    <row r="110" spans="1:8" ht="14.25" customHeight="1" x14ac:dyDescent="0.2">
      <c r="A110" s="88">
        <v>22</v>
      </c>
      <c r="B110" s="89"/>
      <c r="C110" s="89" t="s">
        <v>995</v>
      </c>
      <c r="D110" s="89" t="s">
        <v>530</v>
      </c>
      <c r="E110" s="90">
        <v>-357000</v>
      </c>
      <c r="F110" s="91">
        <v>-2875.0994999999998</v>
      </c>
      <c r="G110" s="92">
        <f t="shared" si="0"/>
        <v>-2.522007875568431E-2</v>
      </c>
      <c r="H110" s="87" t="s">
        <v>143</v>
      </c>
    </row>
    <row r="111" spans="1:8" ht="14.25" customHeight="1" x14ac:dyDescent="0.2">
      <c r="A111" s="88">
        <v>23</v>
      </c>
      <c r="B111" s="89"/>
      <c r="C111" s="89" t="s">
        <v>997</v>
      </c>
      <c r="D111" s="89" t="s">
        <v>530</v>
      </c>
      <c r="E111" s="90">
        <v>-252000</v>
      </c>
      <c r="F111" s="91">
        <v>-3543.8760000000002</v>
      </c>
      <c r="G111" s="92">
        <f t="shared" si="0"/>
        <v>-3.1086517812819871E-2</v>
      </c>
      <c r="H111" s="87" t="s">
        <v>143</v>
      </c>
    </row>
    <row r="112" spans="1:8" ht="14.25" customHeight="1" x14ac:dyDescent="0.2">
      <c r="A112" s="88">
        <v>24</v>
      </c>
      <c r="B112" s="89"/>
      <c r="C112" s="89" t="s">
        <v>1079</v>
      </c>
      <c r="D112" s="89" t="s">
        <v>530</v>
      </c>
      <c r="E112" s="90">
        <v>-304800</v>
      </c>
      <c r="F112" s="91">
        <v>-4497.9336000000003</v>
      </c>
      <c r="G112" s="92">
        <f t="shared" si="0"/>
        <v>-3.945541350128532E-2</v>
      </c>
      <c r="H112" s="87" t="s">
        <v>143</v>
      </c>
    </row>
    <row r="113" spans="1:8" ht="14.25" customHeight="1" x14ac:dyDescent="0.2">
      <c r="A113" s="88">
        <v>25</v>
      </c>
      <c r="B113" s="89"/>
      <c r="C113" s="89" t="s">
        <v>994</v>
      </c>
      <c r="D113" s="89" t="s">
        <v>530</v>
      </c>
      <c r="E113" s="90">
        <v>-467500</v>
      </c>
      <c r="F113" s="91">
        <v>-6378.57</v>
      </c>
      <c r="G113" s="92">
        <f t="shared" si="0"/>
        <v>-5.59521636550823E-2</v>
      </c>
      <c r="H113" s="87" t="s">
        <v>143</v>
      </c>
    </row>
    <row r="114" spans="1:8" ht="14.25" customHeight="1" x14ac:dyDescent="0.2">
      <c r="A114" s="88">
        <v>26</v>
      </c>
      <c r="B114" s="89"/>
      <c r="C114" s="89" t="s">
        <v>989</v>
      </c>
      <c r="D114" s="89" t="s">
        <v>530</v>
      </c>
      <c r="E114" s="90">
        <v>-417525</v>
      </c>
      <c r="F114" s="91">
        <v>-7930.8873750000002</v>
      </c>
      <c r="G114" s="92">
        <f t="shared" si="0"/>
        <v>-6.9568932901265659E-2</v>
      </c>
      <c r="H114" s="87" t="s">
        <v>143</v>
      </c>
    </row>
    <row r="115" spans="1:8" ht="14.25" customHeight="1" x14ac:dyDescent="0.2">
      <c r="A115" s="93"/>
      <c r="B115" s="93"/>
      <c r="C115" s="94" t="s">
        <v>142</v>
      </c>
      <c r="D115" s="93"/>
      <c r="E115" s="93" t="s">
        <v>143</v>
      </c>
      <c r="F115" s="95">
        <v>-38616.130572499998</v>
      </c>
      <c r="G115" s="96">
        <v>-0.33873674999999998</v>
      </c>
      <c r="H115" s="87" t="s">
        <v>143</v>
      </c>
    </row>
    <row r="116" spans="1:8" ht="14.25" customHeight="1" x14ac:dyDescent="0.2">
      <c r="A116" s="93"/>
      <c r="B116" s="93"/>
      <c r="C116" s="97"/>
      <c r="D116" s="93"/>
      <c r="E116" s="93"/>
      <c r="F116" s="98"/>
      <c r="G116" s="98"/>
      <c r="H116" s="87" t="s">
        <v>143</v>
      </c>
    </row>
    <row r="117" spans="1:8" ht="14.25" customHeight="1" x14ac:dyDescent="0.2">
      <c r="A117" s="93"/>
      <c r="B117" s="93"/>
      <c r="C117" s="94" t="s">
        <v>150</v>
      </c>
      <c r="D117" s="93"/>
      <c r="E117" s="93"/>
      <c r="F117" s="95">
        <f>F73+F83</f>
        <v>81373.460183500007</v>
      </c>
      <c r="G117" s="96">
        <f>G73+G83</f>
        <v>0.71379968999999999</v>
      </c>
      <c r="H117" s="87" t="s">
        <v>143</v>
      </c>
    </row>
    <row r="118" spans="1:8" ht="14.25" customHeight="1" x14ac:dyDescent="0.2">
      <c r="A118" s="93"/>
      <c r="B118" s="93"/>
      <c r="C118" s="97"/>
      <c r="D118" s="93"/>
      <c r="E118" s="93"/>
      <c r="F118" s="98"/>
      <c r="G118" s="98"/>
      <c r="H118" s="87" t="s">
        <v>143</v>
      </c>
    </row>
    <row r="119" spans="1:8" ht="14.25" customHeight="1" x14ac:dyDescent="0.2">
      <c r="A119" s="93"/>
      <c r="B119" s="93"/>
      <c r="C119" s="94" t="s">
        <v>151</v>
      </c>
      <c r="D119" s="93"/>
      <c r="E119" s="93"/>
      <c r="F119" s="98"/>
      <c r="G119" s="98"/>
      <c r="H119" s="87" t="s">
        <v>143</v>
      </c>
    </row>
    <row r="120" spans="1:8" ht="14.25" customHeight="1" x14ac:dyDescent="0.2">
      <c r="A120" s="93"/>
      <c r="B120" s="93"/>
      <c r="C120" s="94" t="s">
        <v>10</v>
      </c>
      <c r="D120" s="93"/>
      <c r="E120" s="93"/>
      <c r="F120" s="98"/>
      <c r="G120" s="98"/>
      <c r="H120" s="87" t="s">
        <v>143</v>
      </c>
    </row>
    <row r="121" spans="1:8" ht="14.25" customHeight="1" x14ac:dyDescent="0.2">
      <c r="A121" s="88">
        <v>1</v>
      </c>
      <c r="B121" s="89" t="s">
        <v>703</v>
      </c>
      <c r="C121" s="89" t="s">
        <v>704</v>
      </c>
      <c r="D121" s="89" t="s">
        <v>536</v>
      </c>
      <c r="E121" s="90">
        <v>250</v>
      </c>
      <c r="F121" s="91">
        <v>2491.9124999999999</v>
      </c>
      <c r="G121" s="92">
        <v>2.1858800000000001E-2</v>
      </c>
      <c r="H121" s="87">
        <v>6.85</v>
      </c>
    </row>
    <row r="122" spans="1:8" ht="14.25" customHeight="1" x14ac:dyDescent="0.2">
      <c r="A122" s="88">
        <v>2</v>
      </c>
      <c r="B122" s="89" t="s">
        <v>705</v>
      </c>
      <c r="C122" s="89" t="s">
        <v>706</v>
      </c>
      <c r="D122" s="89" t="s">
        <v>536</v>
      </c>
      <c r="E122" s="90">
        <v>1500</v>
      </c>
      <c r="F122" s="91">
        <v>1511.0640000000001</v>
      </c>
      <c r="G122" s="92">
        <v>1.32549E-2</v>
      </c>
      <c r="H122" s="87">
        <v>6.64</v>
      </c>
    </row>
    <row r="123" spans="1:8" ht="14.25" customHeight="1" x14ac:dyDescent="0.2">
      <c r="A123" s="88">
        <v>3</v>
      </c>
      <c r="B123" s="89" t="s">
        <v>531</v>
      </c>
      <c r="C123" s="89" t="s">
        <v>532</v>
      </c>
      <c r="D123" s="89" t="s">
        <v>533</v>
      </c>
      <c r="E123" s="90">
        <v>1000</v>
      </c>
      <c r="F123" s="91">
        <v>1014.4880000000001</v>
      </c>
      <c r="G123" s="92">
        <v>8.8989900000000007E-3</v>
      </c>
      <c r="H123" s="87">
        <v>6.73</v>
      </c>
    </row>
    <row r="124" spans="1:8" ht="14.25" customHeight="1" x14ac:dyDescent="0.2">
      <c r="A124" s="88">
        <v>4</v>
      </c>
      <c r="B124" s="89" t="s">
        <v>707</v>
      </c>
      <c r="C124" s="89" t="s">
        <v>708</v>
      </c>
      <c r="D124" s="89" t="s">
        <v>533</v>
      </c>
      <c r="E124" s="90">
        <v>100</v>
      </c>
      <c r="F124" s="91">
        <v>1008.188</v>
      </c>
      <c r="G124" s="92">
        <v>8.8437199999999994E-3</v>
      </c>
      <c r="H124" s="87">
        <v>6.57</v>
      </c>
    </row>
    <row r="125" spans="1:8" ht="14.25" customHeight="1" x14ac:dyDescent="0.2">
      <c r="A125" s="88">
        <v>5</v>
      </c>
      <c r="B125" s="89" t="s">
        <v>709</v>
      </c>
      <c r="C125" s="89" t="s">
        <v>710</v>
      </c>
      <c r="D125" s="89" t="s">
        <v>533</v>
      </c>
      <c r="E125" s="90">
        <v>1000</v>
      </c>
      <c r="F125" s="91">
        <v>1007.89</v>
      </c>
      <c r="G125" s="92">
        <v>8.8411099999999992E-3</v>
      </c>
      <c r="H125" s="87">
        <v>6.6550000000000002</v>
      </c>
    </row>
    <row r="126" spans="1:8" ht="14.25" customHeight="1" x14ac:dyDescent="0.2">
      <c r="A126" s="88">
        <v>6</v>
      </c>
      <c r="B126" s="89" t="s">
        <v>711</v>
      </c>
      <c r="C126" s="89" t="s">
        <v>712</v>
      </c>
      <c r="D126" s="89" t="s">
        <v>533</v>
      </c>
      <c r="E126" s="90">
        <v>100</v>
      </c>
      <c r="F126" s="91">
        <v>1006.635</v>
      </c>
      <c r="G126" s="92">
        <v>8.8301000000000004E-3</v>
      </c>
      <c r="H126" s="87">
        <v>6.6612999999999998</v>
      </c>
    </row>
    <row r="127" spans="1:8" ht="14.25" customHeight="1" x14ac:dyDescent="0.2">
      <c r="A127" s="93"/>
      <c r="B127" s="93"/>
      <c r="C127" s="94" t="s">
        <v>142</v>
      </c>
      <c r="D127" s="93"/>
      <c r="E127" s="93" t="s">
        <v>143</v>
      </c>
      <c r="F127" s="95">
        <v>8040.1774999999998</v>
      </c>
      <c r="G127" s="96">
        <v>7.0527619999999999E-2</v>
      </c>
      <c r="H127" s="87" t="s">
        <v>143</v>
      </c>
    </row>
    <row r="128" spans="1:8" ht="14.25" customHeight="1" x14ac:dyDescent="0.2">
      <c r="A128" s="93"/>
      <c r="B128" s="93"/>
      <c r="C128" s="97"/>
      <c r="D128" s="93"/>
      <c r="E128" s="93"/>
      <c r="F128" s="98"/>
      <c r="G128" s="98"/>
      <c r="H128" s="87" t="s">
        <v>143</v>
      </c>
    </row>
    <row r="129" spans="1:8" ht="14.25" customHeight="1" x14ac:dyDescent="0.2">
      <c r="A129" s="93"/>
      <c r="B129" s="93"/>
      <c r="C129" s="94" t="s">
        <v>152</v>
      </c>
      <c r="D129" s="93"/>
      <c r="E129" s="93"/>
      <c r="F129" s="93"/>
      <c r="G129" s="93"/>
      <c r="H129" s="87" t="s">
        <v>143</v>
      </c>
    </row>
    <row r="130" spans="1:8" ht="14.25" customHeight="1" x14ac:dyDescent="0.2">
      <c r="A130" s="93"/>
      <c r="B130" s="93"/>
      <c r="C130" s="94" t="s">
        <v>142</v>
      </c>
      <c r="D130" s="93"/>
      <c r="E130" s="93" t="s">
        <v>143</v>
      </c>
      <c r="F130" s="99" t="s">
        <v>145</v>
      </c>
      <c r="G130" s="96">
        <v>0</v>
      </c>
      <c r="H130" s="87" t="s">
        <v>143</v>
      </c>
    </row>
    <row r="131" spans="1:8" ht="14.25" customHeight="1" x14ac:dyDescent="0.2">
      <c r="A131" s="93"/>
      <c r="B131" s="93"/>
      <c r="C131" s="97"/>
      <c r="D131" s="93"/>
      <c r="E131" s="93"/>
      <c r="F131" s="98"/>
      <c r="G131" s="98"/>
      <c r="H131" s="87" t="s">
        <v>143</v>
      </c>
    </row>
    <row r="132" spans="1:8" ht="14.25" customHeight="1" x14ac:dyDescent="0.2">
      <c r="A132" s="93"/>
      <c r="B132" s="93"/>
      <c r="C132" s="94" t="s">
        <v>153</v>
      </c>
      <c r="D132" s="93"/>
      <c r="E132" s="93"/>
      <c r="F132" s="93"/>
      <c r="G132" s="93"/>
      <c r="H132" s="87" t="s">
        <v>143</v>
      </c>
    </row>
    <row r="133" spans="1:8" ht="14.25" customHeight="1" x14ac:dyDescent="0.2">
      <c r="A133" s="88">
        <v>1</v>
      </c>
      <c r="B133" s="89" t="s">
        <v>604</v>
      </c>
      <c r="C133" s="89" t="s">
        <v>1143</v>
      </c>
      <c r="D133" s="89" t="s">
        <v>606</v>
      </c>
      <c r="E133" s="90">
        <v>6500000</v>
      </c>
      <c r="F133" s="91">
        <v>6669.0259999999998</v>
      </c>
      <c r="G133" s="92">
        <v>5.8500009999999998E-2</v>
      </c>
      <c r="H133" s="87">
        <v>6.8080999999999996</v>
      </c>
    </row>
    <row r="134" spans="1:8" ht="14.25" customHeight="1" x14ac:dyDescent="0.2">
      <c r="A134" s="88">
        <v>2</v>
      </c>
      <c r="B134" s="89" t="s">
        <v>713</v>
      </c>
      <c r="C134" s="89" t="s">
        <v>1149</v>
      </c>
      <c r="D134" s="89" t="s">
        <v>606</v>
      </c>
      <c r="E134" s="90">
        <v>1500000</v>
      </c>
      <c r="F134" s="91">
        <v>1553.9984999999999</v>
      </c>
      <c r="G134" s="92">
        <v>1.3631519999999999E-2</v>
      </c>
      <c r="H134" s="87">
        <v>6.1833999999999998</v>
      </c>
    </row>
    <row r="135" spans="1:8" ht="14.25" customHeight="1" x14ac:dyDescent="0.2">
      <c r="A135" s="88">
        <v>3</v>
      </c>
      <c r="B135" s="89" t="s">
        <v>607</v>
      </c>
      <c r="C135" s="89" t="s">
        <v>1142</v>
      </c>
      <c r="D135" s="89" t="s">
        <v>606</v>
      </c>
      <c r="E135" s="90">
        <v>1500000</v>
      </c>
      <c r="F135" s="91">
        <v>1532.9955</v>
      </c>
      <c r="G135" s="92">
        <v>1.3447280000000001E-2</v>
      </c>
      <c r="H135" s="87">
        <v>7.0975999999999999</v>
      </c>
    </row>
    <row r="136" spans="1:8" ht="14.25" customHeight="1" x14ac:dyDescent="0.2">
      <c r="A136" s="88">
        <v>4</v>
      </c>
      <c r="B136" s="89" t="s">
        <v>715</v>
      </c>
      <c r="C136" s="89" t="s">
        <v>716</v>
      </c>
      <c r="D136" s="89" t="s">
        <v>606</v>
      </c>
      <c r="E136" s="90">
        <v>500000</v>
      </c>
      <c r="F136" s="91">
        <v>512.9325</v>
      </c>
      <c r="G136" s="92">
        <v>4.4993899999999998E-3</v>
      </c>
      <c r="H136" s="87">
        <v>6.3502000000000001</v>
      </c>
    </row>
    <row r="137" spans="1:8" ht="14.25" customHeight="1" x14ac:dyDescent="0.2">
      <c r="A137" s="93"/>
      <c r="B137" s="93"/>
      <c r="C137" s="94" t="s">
        <v>142</v>
      </c>
      <c r="D137" s="93"/>
      <c r="E137" s="93" t="s">
        <v>143</v>
      </c>
      <c r="F137" s="95">
        <v>10268.952499999999</v>
      </c>
      <c r="G137" s="96">
        <v>9.0078199999999997E-2</v>
      </c>
      <c r="H137" s="87" t="s">
        <v>143</v>
      </c>
    </row>
    <row r="138" spans="1:8" ht="14.25" customHeight="1" x14ac:dyDescent="0.2">
      <c r="A138" s="93"/>
      <c r="B138" s="93"/>
      <c r="C138" s="97"/>
      <c r="D138" s="93"/>
      <c r="E138" s="93"/>
      <c r="F138" s="98"/>
      <c r="G138" s="98"/>
      <c r="H138" s="87" t="s">
        <v>143</v>
      </c>
    </row>
    <row r="139" spans="1:8" ht="14.25" customHeight="1" x14ac:dyDescent="0.2">
      <c r="A139" s="93"/>
      <c r="B139" s="93"/>
      <c r="C139" s="94" t="s">
        <v>154</v>
      </c>
      <c r="D139" s="93"/>
      <c r="E139" s="93"/>
      <c r="F139" s="98"/>
      <c r="G139" s="98"/>
      <c r="H139" s="87" t="s">
        <v>143</v>
      </c>
    </row>
    <row r="140" spans="1:8" ht="14.25" customHeight="1" x14ac:dyDescent="0.2">
      <c r="A140" s="93"/>
      <c r="B140" s="93"/>
      <c r="C140" s="94" t="s">
        <v>142</v>
      </c>
      <c r="D140" s="93"/>
      <c r="E140" s="93" t="s">
        <v>143</v>
      </c>
      <c r="F140" s="99" t="s">
        <v>145</v>
      </c>
      <c r="G140" s="96">
        <v>0</v>
      </c>
      <c r="H140" s="87" t="s">
        <v>143</v>
      </c>
    </row>
    <row r="141" spans="1:8" ht="14.25" customHeight="1" x14ac:dyDescent="0.2">
      <c r="A141" s="93"/>
      <c r="B141" s="93"/>
      <c r="C141" s="97"/>
      <c r="D141" s="93"/>
      <c r="E141" s="93"/>
      <c r="F141" s="98"/>
      <c r="G141" s="98"/>
      <c r="H141" s="87" t="s">
        <v>143</v>
      </c>
    </row>
    <row r="142" spans="1:8" ht="14.25" customHeight="1" x14ac:dyDescent="0.2">
      <c r="A142" s="93"/>
      <c r="B142" s="93"/>
      <c r="C142" s="94" t="s">
        <v>155</v>
      </c>
      <c r="D142" s="93"/>
      <c r="E142" s="93"/>
      <c r="F142" s="95">
        <v>18309.13</v>
      </c>
      <c r="G142" s="96">
        <v>0.16060582000000001</v>
      </c>
      <c r="H142" s="87" t="s">
        <v>143</v>
      </c>
    </row>
    <row r="143" spans="1:8" ht="14.25" customHeight="1" x14ac:dyDescent="0.2">
      <c r="A143" s="93"/>
      <c r="B143" s="93"/>
      <c r="C143" s="97"/>
      <c r="D143" s="93"/>
      <c r="E143" s="93"/>
      <c r="F143" s="98"/>
      <c r="G143" s="98"/>
      <c r="H143" s="87" t="s">
        <v>143</v>
      </c>
    </row>
    <row r="144" spans="1:8" ht="14.25" customHeight="1" x14ac:dyDescent="0.2">
      <c r="A144" s="93"/>
      <c r="B144" s="93"/>
      <c r="C144" s="94" t="s">
        <v>156</v>
      </c>
      <c r="D144" s="93"/>
      <c r="E144" s="93"/>
      <c r="F144" s="98"/>
      <c r="G144" s="98"/>
      <c r="H144" s="87" t="s">
        <v>143</v>
      </c>
    </row>
    <row r="145" spans="1:8" ht="14.25" customHeight="1" x14ac:dyDescent="0.2">
      <c r="A145" s="93"/>
      <c r="B145" s="93"/>
      <c r="C145" s="94" t="s">
        <v>157</v>
      </c>
      <c r="D145" s="93"/>
      <c r="E145" s="93"/>
      <c r="F145" s="98"/>
      <c r="G145" s="98"/>
      <c r="H145" s="87" t="s">
        <v>143</v>
      </c>
    </row>
    <row r="146" spans="1:8" ht="14.25" customHeight="1" x14ac:dyDescent="0.2">
      <c r="A146" s="88">
        <v>1</v>
      </c>
      <c r="B146" s="89" t="s">
        <v>717</v>
      </c>
      <c r="C146" s="89" t="s">
        <v>718</v>
      </c>
      <c r="D146" s="89" t="s">
        <v>624</v>
      </c>
      <c r="E146" s="90">
        <v>500</v>
      </c>
      <c r="F146" s="91">
        <v>2462.645</v>
      </c>
      <c r="G146" s="92">
        <v>2.1602070000000001E-2</v>
      </c>
      <c r="H146" s="87">
        <v>5.8901000000000003</v>
      </c>
    </row>
    <row r="147" spans="1:8" ht="14.25" customHeight="1" x14ac:dyDescent="0.2">
      <c r="A147" s="88">
        <v>2</v>
      </c>
      <c r="B147" s="89" t="s">
        <v>719</v>
      </c>
      <c r="C147" s="89" t="s">
        <v>720</v>
      </c>
      <c r="D147" s="89" t="s">
        <v>624</v>
      </c>
      <c r="E147" s="90">
        <v>500</v>
      </c>
      <c r="F147" s="91">
        <v>2452.7049999999999</v>
      </c>
      <c r="G147" s="92">
        <v>2.151488E-2</v>
      </c>
      <c r="H147" s="87">
        <v>5.8651</v>
      </c>
    </row>
    <row r="148" spans="1:8" ht="14.25" customHeight="1" x14ac:dyDescent="0.2">
      <c r="A148" s="93"/>
      <c r="B148" s="93"/>
      <c r="C148" s="94" t="s">
        <v>142</v>
      </c>
      <c r="D148" s="93"/>
      <c r="E148" s="93" t="s">
        <v>143</v>
      </c>
      <c r="F148" s="95">
        <v>4915.3500000000004</v>
      </c>
      <c r="G148" s="96">
        <v>4.3116950000000001E-2</v>
      </c>
      <c r="H148" s="87" t="s">
        <v>143</v>
      </c>
    </row>
    <row r="149" spans="1:8" ht="14.25" customHeight="1" x14ac:dyDescent="0.2">
      <c r="A149" s="93"/>
      <c r="B149" s="93"/>
      <c r="C149" s="97"/>
      <c r="D149" s="93"/>
      <c r="E149" s="93"/>
      <c r="F149" s="98"/>
      <c r="G149" s="98"/>
      <c r="H149" s="87" t="s">
        <v>143</v>
      </c>
    </row>
    <row r="150" spans="1:8" ht="14.25" customHeight="1" x14ac:dyDescent="0.2">
      <c r="A150" s="93"/>
      <c r="B150" s="93"/>
      <c r="C150" s="94" t="s">
        <v>158</v>
      </c>
      <c r="D150" s="93"/>
      <c r="E150" s="93"/>
      <c r="F150" s="98"/>
      <c r="G150" s="98"/>
      <c r="H150" s="87" t="s">
        <v>143</v>
      </c>
    </row>
    <row r="151" spans="1:8" ht="14.25" customHeight="1" x14ac:dyDescent="0.2">
      <c r="A151" s="93"/>
      <c r="B151" s="93"/>
      <c r="C151" s="94" t="s">
        <v>142</v>
      </c>
      <c r="D151" s="93"/>
      <c r="E151" s="93" t="s">
        <v>143</v>
      </c>
      <c r="F151" s="99" t="s">
        <v>145</v>
      </c>
      <c r="G151" s="96">
        <v>0</v>
      </c>
      <c r="H151" s="87" t="s">
        <v>143</v>
      </c>
    </row>
    <row r="152" spans="1:8" ht="14.25" customHeight="1" x14ac:dyDescent="0.2">
      <c r="A152" s="93"/>
      <c r="B152" s="93"/>
      <c r="C152" s="97"/>
      <c r="D152" s="93"/>
      <c r="E152" s="93"/>
      <c r="F152" s="98"/>
      <c r="G152" s="98"/>
      <c r="H152" s="87" t="s">
        <v>143</v>
      </c>
    </row>
    <row r="153" spans="1:8" ht="14.25" customHeight="1" x14ac:dyDescent="0.2">
      <c r="A153" s="93"/>
      <c r="B153" s="93"/>
      <c r="C153" s="94" t="s">
        <v>159</v>
      </c>
      <c r="D153" s="93"/>
      <c r="E153" s="93"/>
      <c r="F153" s="98"/>
      <c r="G153" s="98"/>
      <c r="H153" s="87" t="s">
        <v>143</v>
      </c>
    </row>
    <row r="154" spans="1:8" ht="14.25" customHeight="1" x14ac:dyDescent="0.2">
      <c r="A154" s="88">
        <v>1</v>
      </c>
      <c r="B154" s="89" t="s">
        <v>721</v>
      </c>
      <c r="C154" s="89" t="s">
        <v>722</v>
      </c>
      <c r="D154" s="89" t="s">
        <v>606</v>
      </c>
      <c r="E154" s="90">
        <v>2500000</v>
      </c>
      <c r="F154" s="91">
        <v>2460.0075000000002</v>
      </c>
      <c r="G154" s="92">
        <v>2.157893E-2</v>
      </c>
      <c r="H154" s="87">
        <v>5.4943</v>
      </c>
    </row>
    <row r="155" spans="1:8" ht="14.25" customHeight="1" x14ac:dyDescent="0.2">
      <c r="A155" s="93"/>
      <c r="B155" s="93"/>
      <c r="C155" s="94" t="s">
        <v>142</v>
      </c>
      <c r="D155" s="93"/>
      <c r="E155" s="93" t="s">
        <v>143</v>
      </c>
      <c r="F155" s="95">
        <v>2460.0075000000002</v>
      </c>
      <c r="G155" s="96">
        <v>2.157893E-2</v>
      </c>
      <c r="H155" s="87" t="s">
        <v>143</v>
      </c>
    </row>
    <row r="156" spans="1:8" ht="14.25" customHeight="1" x14ac:dyDescent="0.2">
      <c r="A156" s="93"/>
      <c r="B156" s="93"/>
      <c r="C156" s="97"/>
      <c r="D156" s="93"/>
      <c r="E156" s="93"/>
      <c r="F156" s="98"/>
      <c r="G156" s="98"/>
      <c r="H156" s="87" t="s">
        <v>143</v>
      </c>
    </row>
    <row r="157" spans="1:8" ht="14.25" customHeight="1" x14ac:dyDescent="0.2">
      <c r="A157" s="93"/>
      <c r="B157" s="93"/>
      <c r="C157" s="94" t="s">
        <v>160</v>
      </c>
      <c r="D157" s="93"/>
      <c r="E157" s="93"/>
      <c r="F157" s="98"/>
      <c r="G157" s="98"/>
      <c r="H157" s="87" t="s">
        <v>143</v>
      </c>
    </row>
    <row r="158" spans="1:8" ht="14.25" customHeight="1" x14ac:dyDescent="0.2">
      <c r="A158" s="88">
        <v>1</v>
      </c>
      <c r="B158" s="89"/>
      <c r="C158" s="89" t="s">
        <v>161</v>
      </c>
      <c r="D158" s="89"/>
      <c r="E158" s="100"/>
      <c r="F158" s="91">
        <v>5622.165521983</v>
      </c>
      <c r="G158" s="92">
        <v>4.9317060000000003E-2</v>
      </c>
      <c r="H158" s="87">
        <v>5.38</v>
      </c>
    </row>
    <row r="159" spans="1:8" ht="14.25" customHeight="1" x14ac:dyDescent="0.2">
      <c r="A159" s="93"/>
      <c r="B159" s="93"/>
      <c r="C159" s="94" t="s">
        <v>142</v>
      </c>
      <c r="D159" s="93"/>
      <c r="E159" s="93" t="s">
        <v>143</v>
      </c>
      <c r="F159" s="95">
        <v>5622.165521983</v>
      </c>
      <c r="G159" s="96">
        <v>4.9317060000000003E-2</v>
      </c>
      <c r="H159" s="87" t="s">
        <v>143</v>
      </c>
    </row>
    <row r="160" spans="1:8" ht="14.25" customHeight="1" x14ac:dyDescent="0.2">
      <c r="A160" s="93"/>
      <c r="B160" s="93"/>
      <c r="C160" s="97"/>
      <c r="D160" s="93"/>
      <c r="E160" s="93"/>
      <c r="F160" s="98"/>
      <c r="G160" s="98"/>
      <c r="H160" s="87" t="s">
        <v>143</v>
      </c>
    </row>
    <row r="161" spans="1:8" ht="14.25" customHeight="1" x14ac:dyDescent="0.2">
      <c r="A161" s="93"/>
      <c r="B161" s="93"/>
      <c r="C161" s="94" t="s">
        <v>162</v>
      </c>
      <c r="D161" s="93"/>
      <c r="E161" s="93"/>
      <c r="F161" s="95">
        <v>12997.523021982999</v>
      </c>
      <c r="G161" s="96">
        <v>0.11401293999999999</v>
      </c>
      <c r="H161" s="87" t="s">
        <v>143</v>
      </c>
    </row>
    <row r="162" spans="1:8" ht="14.25" customHeight="1" x14ac:dyDescent="0.2">
      <c r="A162" s="93"/>
      <c r="B162" s="93"/>
      <c r="C162" s="98"/>
      <c r="D162" s="93"/>
      <c r="E162" s="93"/>
      <c r="F162" s="93"/>
      <c r="G162" s="93"/>
      <c r="H162" s="87" t="s">
        <v>143</v>
      </c>
    </row>
    <row r="163" spans="1:8" ht="14.25" customHeight="1" x14ac:dyDescent="0.2">
      <c r="A163" s="93"/>
      <c r="B163" s="93"/>
      <c r="C163" s="94" t="s">
        <v>163</v>
      </c>
      <c r="D163" s="93"/>
      <c r="E163" s="93"/>
      <c r="F163" s="93"/>
      <c r="G163" s="93"/>
      <c r="H163" s="87" t="s">
        <v>143</v>
      </c>
    </row>
    <row r="164" spans="1:8" ht="14.25" customHeight="1" x14ac:dyDescent="0.2">
      <c r="A164" s="93"/>
      <c r="B164" s="93"/>
      <c r="C164" s="94" t="s">
        <v>164</v>
      </c>
      <c r="D164" s="93"/>
      <c r="E164" s="93"/>
      <c r="F164" s="93"/>
      <c r="G164" s="93"/>
      <c r="H164" s="87" t="s">
        <v>143</v>
      </c>
    </row>
    <row r="165" spans="1:8" ht="14.25" customHeight="1" x14ac:dyDescent="0.2">
      <c r="A165" s="93"/>
      <c r="B165" s="93"/>
      <c r="C165" s="94" t="s">
        <v>142</v>
      </c>
      <c r="D165" s="93"/>
      <c r="E165" s="93" t="s">
        <v>143</v>
      </c>
      <c r="F165" s="99" t="s">
        <v>145</v>
      </c>
      <c r="G165" s="96">
        <v>0</v>
      </c>
      <c r="H165" s="87" t="s">
        <v>143</v>
      </c>
    </row>
    <row r="166" spans="1:8" ht="14.25" customHeight="1" x14ac:dyDescent="0.2">
      <c r="A166" s="93"/>
      <c r="B166" s="93"/>
      <c r="C166" s="97"/>
      <c r="D166" s="93"/>
      <c r="E166" s="93"/>
      <c r="F166" s="98"/>
      <c r="G166" s="98"/>
      <c r="H166" s="87" t="s">
        <v>143</v>
      </c>
    </row>
    <row r="167" spans="1:8" ht="14.25" customHeight="1" x14ac:dyDescent="0.2">
      <c r="A167" s="93"/>
      <c r="B167" s="93"/>
      <c r="C167" s="94" t="s">
        <v>165</v>
      </c>
      <c r="D167" s="93"/>
      <c r="E167" s="93"/>
      <c r="F167" s="93"/>
      <c r="G167" s="93"/>
      <c r="H167" s="87" t="s">
        <v>143</v>
      </c>
    </row>
    <row r="168" spans="1:8" ht="14.25" customHeight="1" x14ac:dyDescent="0.2">
      <c r="A168" s="93"/>
      <c r="B168" s="93"/>
      <c r="C168" s="94" t="s">
        <v>166</v>
      </c>
      <c r="D168" s="93"/>
      <c r="E168" s="93"/>
      <c r="F168" s="93"/>
      <c r="G168" s="93"/>
      <c r="H168" s="87" t="s">
        <v>143</v>
      </c>
    </row>
    <row r="169" spans="1:8" ht="14.25" customHeight="1" x14ac:dyDescent="0.2">
      <c r="A169" s="93"/>
      <c r="B169" s="93"/>
      <c r="C169" s="94" t="s">
        <v>142</v>
      </c>
      <c r="D169" s="93"/>
      <c r="E169" s="93" t="s">
        <v>143</v>
      </c>
      <c r="F169" s="99" t="s">
        <v>145</v>
      </c>
      <c r="G169" s="96">
        <v>0</v>
      </c>
      <c r="H169" s="87" t="s">
        <v>143</v>
      </c>
    </row>
    <row r="170" spans="1:8" ht="14.25" customHeight="1" x14ac:dyDescent="0.2">
      <c r="A170" s="93"/>
      <c r="B170" s="93"/>
      <c r="C170" s="97"/>
      <c r="D170" s="93"/>
      <c r="E170" s="93"/>
      <c r="F170" s="98"/>
      <c r="G170" s="98"/>
      <c r="H170" s="87" t="s">
        <v>143</v>
      </c>
    </row>
    <row r="171" spans="1:8" ht="14.25" customHeight="1" x14ac:dyDescent="0.2">
      <c r="A171" s="93"/>
      <c r="B171" s="93"/>
      <c r="C171" s="94" t="s">
        <v>167</v>
      </c>
      <c r="D171" s="93"/>
      <c r="E171" s="93"/>
      <c r="F171" s="98"/>
      <c r="G171" s="98"/>
      <c r="H171" s="87" t="s">
        <v>143</v>
      </c>
    </row>
    <row r="172" spans="1:8" ht="14.25" customHeight="1" x14ac:dyDescent="0.2">
      <c r="A172" s="93"/>
      <c r="B172" s="93"/>
      <c r="C172" s="94" t="s">
        <v>142</v>
      </c>
      <c r="D172" s="93"/>
      <c r="E172" s="93" t="s">
        <v>143</v>
      </c>
      <c r="F172" s="99" t="s">
        <v>145</v>
      </c>
      <c r="G172" s="96">
        <v>0</v>
      </c>
      <c r="H172" s="87" t="s">
        <v>143</v>
      </c>
    </row>
    <row r="173" spans="1:8" ht="14.25" customHeight="1" x14ac:dyDescent="0.2">
      <c r="A173" s="93"/>
      <c r="B173" s="93"/>
      <c r="C173" s="97"/>
      <c r="D173" s="93"/>
      <c r="E173" s="93"/>
      <c r="F173" s="98"/>
      <c r="G173" s="98"/>
      <c r="H173" s="87" t="s">
        <v>143</v>
      </c>
    </row>
    <row r="174" spans="1:8" ht="14.25" customHeight="1" x14ac:dyDescent="0.2">
      <c r="A174" s="100"/>
      <c r="B174" s="89"/>
      <c r="C174" s="89" t="s">
        <v>625</v>
      </c>
      <c r="D174" s="89"/>
      <c r="E174" s="100"/>
      <c r="F174" s="91">
        <v>1000.0002452</v>
      </c>
      <c r="G174" s="92">
        <v>8.7718999999999991E-3</v>
      </c>
      <c r="H174" s="87" t="s">
        <v>143</v>
      </c>
    </row>
    <row r="175" spans="1:8" ht="14.25" customHeight="1" x14ac:dyDescent="0.2">
      <c r="A175" s="100"/>
      <c r="B175" s="89"/>
      <c r="C175" s="127" t="s">
        <v>1000</v>
      </c>
      <c r="D175" s="89"/>
      <c r="E175" s="100"/>
      <c r="F175" s="91">
        <f>38936.43432321+F115</f>
        <v>320.30375071000162</v>
      </c>
      <c r="G175" s="92">
        <f>F175/F176</f>
        <v>2.8096717413248883E-3</v>
      </c>
      <c r="H175" s="87" t="s">
        <v>143</v>
      </c>
    </row>
    <row r="176" spans="1:8" ht="14.25" customHeight="1" x14ac:dyDescent="0.2">
      <c r="A176" s="97"/>
      <c r="B176" s="97"/>
      <c r="C176" s="94" t="s">
        <v>169</v>
      </c>
      <c r="D176" s="98"/>
      <c r="E176" s="98"/>
      <c r="F176" s="95">
        <v>114000.41720139299</v>
      </c>
      <c r="G176" s="101">
        <v>1.0000000200000001</v>
      </c>
      <c r="H176" s="87" t="s">
        <v>143</v>
      </c>
    </row>
    <row r="177" spans="1:17" ht="12.75" x14ac:dyDescent="0.2">
      <c r="A177" s="102"/>
      <c r="B177" s="102"/>
      <c r="C177" s="102"/>
      <c r="D177" s="103"/>
      <c r="E177" s="103"/>
      <c r="F177" s="103"/>
      <c r="G177" s="103"/>
    </row>
    <row r="178" spans="1:17" ht="12.75" x14ac:dyDescent="0.2">
      <c r="A178" s="104"/>
      <c r="B178" s="206" t="s">
        <v>942</v>
      </c>
      <c r="C178" s="206"/>
      <c r="D178" s="206"/>
      <c r="E178" s="206"/>
      <c r="F178" s="206"/>
      <c r="G178" s="206"/>
      <c r="H178" s="206"/>
      <c r="J178" s="106"/>
    </row>
    <row r="179" spans="1:17" ht="12.75" x14ac:dyDescent="0.2">
      <c r="A179" s="104"/>
      <c r="B179" s="206" t="s">
        <v>943</v>
      </c>
      <c r="C179" s="206"/>
      <c r="D179" s="206"/>
      <c r="E179" s="206"/>
      <c r="F179" s="206"/>
      <c r="G179" s="206"/>
      <c r="H179" s="206"/>
      <c r="J179" s="106"/>
    </row>
    <row r="180" spans="1:17" ht="12.75" x14ac:dyDescent="0.2">
      <c r="A180" s="104"/>
      <c r="B180" s="206" t="s">
        <v>944</v>
      </c>
      <c r="C180" s="206"/>
      <c r="D180" s="206"/>
      <c r="E180" s="206"/>
      <c r="F180" s="206"/>
      <c r="G180" s="206"/>
      <c r="H180" s="206"/>
      <c r="J180" s="106"/>
    </row>
    <row r="181" spans="1:17" s="108" customFormat="1" ht="66.75" customHeight="1" x14ac:dyDescent="0.25">
      <c r="A181" s="107"/>
      <c r="B181" s="207" t="s">
        <v>945</v>
      </c>
      <c r="C181" s="207"/>
      <c r="D181" s="207"/>
      <c r="E181" s="207"/>
      <c r="F181" s="207"/>
      <c r="G181" s="207"/>
      <c r="H181" s="207"/>
      <c r="I181"/>
      <c r="J181" s="106"/>
      <c r="K181"/>
      <c r="L181"/>
      <c r="M181"/>
      <c r="N181"/>
      <c r="O181"/>
      <c r="P181"/>
      <c r="Q181"/>
    </row>
    <row r="182" spans="1:17" ht="12.75" x14ac:dyDescent="0.2">
      <c r="A182" s="104"/>
      <c r="B182" s="206" t="s">
        <v>946</v>
      </c>
      <c r="C182" s="206"/>
      <c r="D182" s="206"/>
      <c r="E182" s="206"/>
      <c r="F182" s="206"/>
      <c r="G182" s="206"/>
      <c r="H182" s="206"/>
      <c r="J182" s="106"/>
    </row>
    <row r="183" spans="1:17" ht="12.75" x14ac:dyDescent="0.2">
      <c r="A183" s="104"/>
      <c r="B183" s="104"/>
      <c r="C183" s="104"/>
      <c r="D183" s="109"/>
      <c r="E183" s="109"/>
      <c r="F183" s="109"/>
      <c r="G183" s="109"/>
    </row>
    <row r="184" spans="1:17" ht="12.75" x14ac:dyDescent="0.2">
      <c r="A184" s="104"/>
      <c r="B184" s="199" t="s">
        <v>170</v>
      </c>
      <c r="C184" s="200"/>
      <c r="D184" s="201"/>
      <c r="E184" s="110"/>
      <c r="F184" s="109"/>
      <c r="G184" s="109"/>
    </row>
    <row r="185" spans="1:17" ht="27.75" customHeight="1" x14ac:dyDescent="0.2">
      <c r="A185" s="104"/>
      <c r="B185" s="202" t="s">
        <v>171</v>
      </c>
      <c r="C185" s="203"/>
      <c r="D185" s="86" t="s">
        <v>172</v>
      </c>
      <c r="E185" s="110"/>
      <c r="F185" s="109"/>
      <c r="G185" s="109"/>
    </row>
    <row r="186" spans="1:17" ht="12.75" customHeight="1" x14ac:dyDescent="0.2">
      <c r="A186" s="104"/>
      <c r="B186" s="202" t="s">
        <v>947</v>
      </c>
      <c r="C186" s="203"/>
      <c r="D186" s="86" t="str">
        <f>"Rs. "&amp;TEXT(F83,"0.00")&amp;" lacs/ "&amp;IF(ROUND((G83*100),2) = 0,"#",(TEXT((G83*100),"0.00")&amp;"%"))</f>
        <v>Rs. 3.64 lacs/ #</v>
      </c>
      <c r="E186" s="145"/>
      <c r="F186" s="146"/>
      <c r="G186" s="109"/>
    </row>
    <row r="187" spans="1:17" ht="12.75" x14ac:dyDescent="0.2">
      <c r="A187" s="104"/>
      <c r="B187" s="202" t="s">
        <v>173</v>
      </c>
      <c r="C187" s="203"/>
      <c r="D187" s="111" t="s">
        <v>143</v>
      </c>
      <c r="E187" s="110"/>
      <c r="F187" s="109"/>
      <c r="G187" s="109"/>
    </row>
    <row r="188" spans="1:17" ht="12.75" x14ac:dyDescent="0.2">
      <c r="A188" s="112"/>
      <c r="B188" s="113" t="s">
        <v>143</v>
      </c>
      <c r="C188" s="113" t="s">
        <v>948</v>
      </c>
      <c r="D188" s="113" t="s">
        <v>174</v>
      </c>
      <c r="E188" s="112"/>
      <c r="F188" s="112"/>
      <c r="G188" s="112"/>
      <c r="H188" s="112"/>
      <c r="J188" s="106"/>
    </row>
    <row r="189" spans="1:17" ht="12.75" x14ac:dyDescent="0.2">
      <c r="A189" s="112"/>
      <c r="B189" s="114" t="s">
        <v>175</v>
      </c>
      <c r="C189" s="115">
        <v>45869</v>
      </c>
      <c r="D189" s="115">
        <v>45900</v>
      </c>
      <c r="E189" s="112"/>
      <c r="F189" s="112"/>
      <c r="G189" s="112"/>
      <c r="J189" s="106"/>
    </row>
    <row r="190" spans="1:17" ht="12.75" x14ac:dyDescent="0.2">
      <c r="A190" s="116"/>
      <c r="B190" s="89" t="s">
        <v>176</v>
      </c>
      <c r="C190" s="117">
        <v>81.813999999999993</v>
      </c>
      <c r="D190" s="117">
        <v>81.368799999999993</v>
      </c>
      <c r="E190" s="116"/>
      <c r="F190" s="118"/>
      <c r="G190" s="119"/>
    </row>
    <row r="191" spans="1:17" ht="25.5" x14ac:dyDescent="0.2">
      <c r="A191" s="116"/>
      <c r="B191" s="89" t="s">
        <v>1105</v>
      </c>
      <c r="C191" s="117">
        <v>16.895499999999998</v>
      </c>
      <c r="D191" s="117">
        <v>16.8035</v>
      </c>
      <c r="E191" s="116"/>
      <c r="F191" s="118"/>
      <c r="G191" s="119"/>
    </row>
    <row r="192" spans="1:17" ht="12.75" x14ac:dyDescent="0.2">
      <c r="A192" s="116"/>
      <c r="B192" s="89" t="s">
        <v>177</v>
      </c>
      <c r="C192" s="117">
        <v>70.440700000000007</v>
      </c>
      <c r="D192" s="117">
        <v>69.965800000000002</v>
      </c>
      <c r="E192" s="116"/>
      <c r="F192" s="118"/>
      <c r="G192" s="119"/>
    </row>
    <row r="193" spans="1:7" ht="25.5" x14ac:dyDescent="0.2">
      <c r="A193" s="116"/>
      <c r="B193" s="89" t="s">
        <v>1106</v>
      </c>
      <c r="C193" s="117">
        <v>15.7384</v>
      </c>
      <c r="D193" s="117">
        <v>15.632300000000001</v>
      </c>
      <c r="E193" s="116"/>
      <c r="F193" s="118"/>
      <c r="G193" s="119"/>
    </row>
    <row r="194" spans="1:7" ht="14.25" customHeight="1" x14ac:dyDescent="0.2">
      <c r="A194" s="116"/>
      <c r="B194" s="116"/>
      <c r="C194" s="116"/>
      <c r="D194" s="116"/>
      <c r="E194" s="116"/>
      <c r="F194" s="116"/>
      <c r="G194" s="116"/>
    </row>
    <row r="195" spans="1:7" ht="12.75" x14ac:dyDescent="0.2">
      <c r="A195" s="116"/>
      <c r="B195" s="208" t="s">
        <v>949</v>
      </c>
      <c r="C195" s="209"/>
      <c r="D195" s="94" t="s">
        <v>172</v>
      </c>
      <c r="E195" s="116"/>
      <c r="F195" s="116"/>
      <c r="G195" s="116"/>
    </row>
    <row r="196" spans="1:7" ht="12.75" x14ac:dyDescent="0.2">
      <c r="A196" s="116"/>
      <c r="B196" s="120"/>
      <c r="C196" s="120"/>
      <c r="D196" s="120"/>
      <c r="E196" s="116"/>
      <c r="F196" s="116"/>
      <c r="G196" s="116"/>
    </row>
    <row r="197" spans="1:7" ht="27.75" customHeight="1" x14ac:dyDescent="0.2">
      <c r="A197" s="112"/>
      <c r="B197" s="202" t="s">
        <v>178</v>
      </c>
      <c r="C197" s="203"/>
      <c r="D197" s="86" t="s">
        <v>1004</v>
      </c>
      <c r="E197" s="121"/>
      <c r="F197" s="112"/>
      <c r="G197" s="112"/>
    </row>
    <row r="198" spans="1:7" ht="30" customHeight="1" x14ac:dyDescent="0.2">
      <c r="A198" s="112"/>
      <c r="B198" s="202" t="s">
        <v>179</v>
      </c>
      <c r="C198" s="203"/>
      <c r="D198" s="86" t="s">
        <v>172</v>
      </c>
      <c r="E198" s="121"/>
      <c r="F198" s="112"/>
      <c r="G198" s="112"/>
    </row>
    <row r="199" spans="1:7" ht="17.100000000000001" customHeight="1" x14ac:dyDescent="0.2">
      <c r="A199" s="112"/>
      <c r="B199" s="202" t="s">
        <v>180</v>
      </c>
      <c r="C199" s="203"/>
      <c r="D199" s="86" t="s">
        <v>172</v>
      </c>
      <c r="E199" s="121"/>
      <c r="F199" s="112"/>
      <c r="G199" s="112"/>
    </row>
    <row r="200" spans="1:7" ht="17.100000000000001" customHeight="1" x14ac:dyDescent="0.2">
      <c r="A200" s="112"/>
      <c r="B200" s="202" t="s">
        <v>181</v>
      </c>
      <c r="C200" s="203"/>
      <c r="D200" s="122">
        <v>5.2178475320372737</v>
      </c>
      <c r="E200" s="112"/>
      <c r="F200" s="105"/>
      <c r="G200" s="123"/>
    </row>
    <row r="201" spans="1:7" ht="12.75" x14ac:dyDescent="0.2"/>
    <row r="202" spans="1:7" ht="12.75" x14ac:dyDescent="0.2">
      <c r="B202" s="214" t="s">
        <v>1031</v>
      </c>
      <c r="C202" s="215"/>
      <c r="D202" s="216"/>
    </row>
    <row r="203" spans="1:7" ht="12.75" x14ac:dyDescent="0.2">
      <c r="B203" s="213" t="s">
        <v>1032</v>
      </c>
      <c r="C203" s="213"/>
      <c r="D203" s="147" t="s">
        <v>696</v>
      </c>
    </row>
    <row r="204" spans="1:7" ht="12.75" x14ac:dyDescent="0.2">
      <c r="B204" s="213" t="s">
        <v>1033</v>
      </c>
      <c r="C204" s="213"/>
      <c r="D204" s="129"/>
    </row>
    <row r="205" spans="1:7" ht="12.75" x14ac:dyDescent="0.2">
      <c r="B205" s="210"/>
      <c r="C205" s="212"/>
      <c r="D205" s="130"/>
    </row>
    <row r="206" spans="1:7" ht="12.75" x14ac:dyDescent="0.2">
      <c r="B206" s="213" t="s">
        <v>1034</v>
      </c>
      <c r="C206" s="213"/>
      <c r="D206" s="131">
        <v>6.239747283521222</v>
      </c>
    </row>
    <row r="207" spans="1:7" ht="12.75" x14ac:dyDescent="0.2">
      <c r="B207" s="210"/>
      <c r="C207" s="212"/>
      <c r="D207" s="130"/>
    </row>
    <row r="208" spans="1:7" ht="12.75" x14ac:dyDescent="0.2">
      <c r="B208" s="213" t="s">
        <v>1035</v>
      </c>
      <c r="C208" s="213"/>
      <c r="D208" s="131">
        <v>2.3259273042757003</v>
      </c>
    </row>
    <row r="209" spans="2:10" ht="12.75" x14ac:dyDescent="0.2">
      <c r="B209" s="213" t="s">
        <v>1036</v>
      </c>
      <c r="C209" s="213"/>
      <c r="D209" s="131">
        <v>3.0540183976566393</v>
      </c>
    </row>
    <row r="210" spans="2:10" ht="12.75" x14ac:dyDescent="0.2">
      <c r="B210" s="210"/>
      <c r="C210" s="212"/>
      <c r="D210" s="130"/>
    </row>
    <row r="211" spans="2:10" ht="12.75" x14ac:dyDescent="0.2">
      <c r="B211" s="213" t="s">
        <v>1037</v>
      </c>
      <c r="C211" s="213"/>
      <c r="D211" s="132" t="s">
        <v>1220</v>
      </c>
    </row>
    <row r="212" spans="2:10" ht="12.75" customHeight="1" x14ac:dyDescent="0.2">
      <c r="B212" s="210" t="s">
        <v>1038</v>
      </c>
      <c r="C212" s="211"/>
      <c r="D212" s="212"/>
    </row>
    <row r="213" spans="2:10" ht="12.75" x14ac:dyDescent="0.2"/>
    <row r="214" spans="2:10" ht="12.75" x14ac:dyDescent="0.2">
      <c r="B214" s="204" t="s">
        <v>950</v>
      </c>
      <c r="C214" s="204"/>
    </row>
    <row r="215" spans="2:10" ht="12.75" x14ac:dyDescent="0.2"/>
    <row r="216" spans="2:10" ht="153.75" customHeight="1" x14ac:dyDescent="0.2"/>
    <row r="217" spans="2:10" ht="12.75" x14ac:dyDescent="0.2"/>
    <row r="218" spans="2:10" ht="12.75" x14ac:dyDescent="0.2"/>
    <row r="219" spans="2:10" ht="12.75" x14ac:dyDescent="0.2">
      <c r="B219" s="124" t="s">
        <v>951</v>
      </c>
      <c r="C219" s="125"/>
      <c r="D219" s="124"/>
    </row>
    <row r="220" spans="2:10" ht="12.75" x14ac:dyDescent="0.2">
      <c r="B220" s="124" t="s">
        <v>1107</v>
      </c>
      <c r="D220" s="124"/>
    </row>
    <row r="221" spans="2:10" ht="165" customHeight="1" x14ac:dyDescent="0.2"/>
    <row r="222" spans="2:10" ht="12.75" x14ac:dyDescent="0.2"/>
    <row r="223" spans="2:10" ht="12.75" x14ac:dyDescent="0.2">
      <c r="J223" s="84"/>
    </row>
    <row r="224" spans="2:10" ht="12.75"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sheetData>
  <mergeCells count="29">
    <mergeCell ref="A1:H1"/>
    <mergeCell ref="A2:H2"/>
    <mergeCell ref="A3:H3"/>
    <mergeCell ref="B195:C195"/>
    <mergeCell ref="B199:C199"/>
    <mergeCell ref="B178:H178"/>
    <mergeCell ref="B179:H179"/>
    <mergeCell ref="B180:H180"/>
    <mergeCell ref="B181:H181"/>
    <mergeCell ref="B182:H182"/>
    <mergeCell ref="B184:D184"/>
    <mergeCell ref="B185:C185"/>
    <mergeCell ref="B186:C186"/>
    <mergeCell ref="B187:C187"/>
    <mergeCell ref="B197:C197"/>
    <mergeCell ref="B198:C198"/>
    <mergeCell ref="B202:D202"/>
    <mergeCell ref="B204:C204"/>
    <mergeCell ref="B205:C205"/>
    <mergeCell ref="B203:C203"/>
    <mergeCell ref="B200:C200"/>
    <mergeCell ref="B211:C211"/>
    <mergeCell ref="B212:D212"/>
    <mergeCell ref="B214:C214"/>
    <mergeCell ref="B206:C206"/>
    <mergeCell ref="B207:C207"/>
    <mergeCell ref="B208:C208"/>
    <mergeCell ref="B209:C209"/>
    <mergeCell ref="B210:C210"/>
  </mergeCells>
  <hyperlinks>
    <hyperlink ref="I1" location="Index!B2" display="Index" xr:uid="{E6EB258D-CA97-4AE0-9EBE-75C5FAB1C53B}"/>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8C302-B0D2-470E-9523-5449D8074AF8}">
  <sheetPr>
    <outlinePr summaryBelow="0" summaryRight="0"/>
  </sheetPr>
  <dimension ref="A1:Q143"/>
  <sheetViews>
    <sheetView showGridLines="0" workbookViewId="0">
      <selection sqref="A1:H1"/>
    </sheetView>
  </sheetViews>
  <sheetFormatPr defaultRowHeight="14.25" customHeight="1" x14ac:dyDescent="0.2"/>
  <cols>
    <col min="1" max="1" width="5.85546875" bestFit="1" customWidth="1"/>
    <col min="2" max="2" width="19.7109375" customWidth="1"/>
    <col min="3" max="3" width="51.140625" bestFit="1" customWidth="1"/>
    <col min="4" max="4" width="29.28515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723</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321</v>
      </c>
      <c r="C7" s="89" t="s">
        <v>322</v>
      </c>
      <c r="D7" s="89" t="s">
        <v>33</v>
      </c>
      <c r="E7" s="90">
        <v>1050896</v>
      </c>
      <c r="F7" s="91">
        <v>10000.326336</v>
      </c>
      <c r="G7" s="92">
        <v>9.2970659999999997E-2</v>
      </c>
      <c r="H7" s="87" t="s">
        <v>143</v>
      </c>
    </row>
    <row r="8" spans="1:9" ht="14.25" customHeight="1" x14ac:dyDescent="0.2">
      <c r="A8" s="88">
        <v>2</v>
      </c>
      <c r="B8" s="89" t="s">
        <v>31</v>
      </c>
      <c r="C8" s="89" t="s">
        <v>32</v>
      </c>
      <c r="D8" s="89" t="s">
        <v>33</v>
      </c>
      <c r="E8" s="90">
        <v>696060</v>
      </c>
      <c r="F8" s="91">
        <v>9729.5266800000009</v>
      </c>
      <c r="G8" s="92">
        <v>9.0453099999999995E-2</v>
      </c>
      <c r="H8" s="87" t="s">
        <v>143</v>
      </c>
    </row>
    <row r="9" spans="1:9" ht="14.25" customHeight="1" x14ac:dyDescent="0.2">
      <c r="A9" s="88">
        <v>3</v>
      </c>
      <c r="B9" s="89" t="s">
        <v>11</v>
      </c>
      <c r="C9" s="89" t="s">
        <v>12</v>
      </c>
      <c r="D9" s="89" t="s">
        <v>13</v>
      </c>
      <c r="E9" s="90">
        <v>345000</v>
      </c>
      <c r="F9" s="91">
        <v>6516.36</v>
      </c>
      <c r="G9" s="92">
        <v>6.0581049999999997E-2</v>
      </c>
      <c r="H9" s="87" t="s">
        <v>143</v>
      </c>
    </row>
    <row r="10" spans="1:9" ht="14.25" customHeight="1" x14ac:dyDescent="0.2">
      <c r="A10" s="88">
        <v>4</v>
      </c>
      <c r="B10" s="89" t="s">
        <v>241</v>
      </c>
      <c r="C10" s="89" t="s">
        <v>242</v>
      </c>
      <c r="D10" s="89" t="s">
        <v>243</v>
      </c>
      <c r="E10" s="90">
        <v>167610</v>
      </c>
      <c r="F10" s="91">
        <v>5491.9092600000004</v>
      </c>
      <c r="G10" s="92">
        <v>5.1056980000000002E-2</v>
      </c>
      <c r="H10" s="87" t="s">
        <v>143</v>
      </c>
    </row>
    <row r="11" spans="1:9" ht="14.25" customHeight="1" x14ac:dyDescent="0.2">
      <c r="A11" s="88">
        <v>5</v>
      </c>
      <c r="B11" s="89" t="s">
        <v>83</v>
      </c>
      <c r="C11" s="89" t="s">
        <v>84</v>
      </c>
      <c r="D11" s="89" t="s">
        <v>43</v>
      </c>
      <c r="E11" s="90">
        <v>75675</v>
      </c>
      <c r="F11" s="91">
        <v>5231.0343750000002</v>
      </c>
      <c r="G11" s="92">
        <v>4.8631689999999998E-2</v>
      </c>
      <c r="H11" s="87" t="s">
        <v>143</v>
      </c>
    </row>
    <row r="12" spans="1:9" ht="14.25" customHeight="1" x14ac:dyDescent="0.2">
      <c r="A12" s="88">
        <v>6</v>
      </c>
      <c r="B12" s="89" t="s">
        <v>323</v>
      </c>
      <c r="C12" s="89" t="s">
        <v>324</v>
      </c>
      <c r="D12" s="89" t="s">
        <v>33</v>
      </c>
      <c r="E12" s="90">
        <v>263757</v>
      </c>
      <c r="F12" s="91">
        <v>5170.4284710000002</v>
      </c>
      <c r="G12" s="92">
        <v>4.806825E-2</v>
      </c>
      <c r="H12" s="87" t="s">
        <v>143</v>
      </c>
    </row>
    <row r="13" spans="1:9" ht="14.25" customHeight="1" x14ac:dyDescent="0.2">
      <c r="A13" s="88">
        <v>7</v>
      </c>
      <c r="B13" s="89" t="s">
        <v>325</v>
      </c>
      <c r="C13" s="89" t="s">
        <v>326</v>
      </c>
      <c r="D13" s="89" t="s">
        <v>199</v>
      </c>
      <c r="E13" s="90">
        <v>319864</v>
      </c>
      <c r="F13" s="91">
        <v>4700.7213439999996</v>
      </c>
      <c r="G13" s="92">
        <v>4.3701490000000003E-2</v>
      </c>
      <c r="H13" s="87" t="s">
        <v>143</v>
      </c>
    </row>
    <row r="14" spans="1:9" ht="14.25" customHeight="1" x14ac:dyDescent="0.2">
      <c r="A14" s="88">
        <v>8</v>
      </c>
      <c r="B14" s="89" t="s">
        <v>724</v>
      </c>
      <c r="C14" s="89" t="s">
        <v>725</v>
      </c>
      <c r="D14" s="89" t="s">
        <v>194</v>
      </c>
      <c r="E14" s="90">
        <v>367886</v>
      </c>
      <c r="F14" s="91">
        <v>4635.7314859999997</v>
      </c>
      <c r="G14" s="92">
        <v>4.3097299999999998E-2</v>
      </c>
      <c r="H14" s="87" t="s">
        <v>143</v>
      </c>
    </row>
    <row r="15" spans="1:9" ht="14.25" customHeight="1" x14ac:dyDescent="0.2">
      <c r="A15" s="88">
        <v>9</v>
      </c>
      <c r="B15" s="89" t="s">
        <v>726</v>
      </c>
      <c r="C15" s="89" t="s">
        <v>727</v>
      </c>
      <c r="D15" s="89" t="s">
        <v>275</v>
      </c>
      <c r="E15" s="90">
        <v>95945</v>
      </c>
      <c r="F15" s="91">
        <v>4562.7604199999996</v>
      </c>
      <c r="G15" s="92">
        <v>4.2418900000000002E-2</v>
      </c>
      <c r="H15" s="87" t="s">
        <v>143</v>
      </c>
    </row>
    <row r="16" spans="1:9" ht="14.25" customHeight="1" x14ac:dyDescent="0.2">
      <c r="A16" s="88">
        <v>10</v>
      </c>
      <c r="B16" s="89" t="s">
        <v>37</v>
      </c>
      <c r="C16" s="89" t="s">
        <v>38</v>
      </c>
      <c r="D16" s="89" t="s">
        <v>19</v>
      </c>
      <c r="E16" s="90">
        <v>1399986</v>
      </c>
      <c r="F16" s="91">
        <v>4314.7568520000004</v>
      </c>
      <c r="G16" s="92">
        <v>4.0113269999999999E-2</v>
      </c>
      <c r="H16" s="87" t="s">
        <v>143</v>
      </c>
    </row>
    <row r="17" spans="1:8" ht="14.25" customHeight="1" x14ac:dyDescent="0.2">
      <c r="A17" s="88">
        <v>11</v>
      </c>
      <c r="B17" s="89" t="s">
        <v>728</v>
      </c>
      <c r="C17" s="89" t="s">
        <v>729</v>
      </c>
      <c r="D17" s="89" t="s">
        <v>68</v>
      </c>
      <c r="E17" s="90">
        <v>393192</v>
      </c>
      <c r="F17" s="91">
        <v>3544.4292839999998</v>
      </c>
      <c r="G17" s="92">
        <v>3.2951719999999997E-2</v>
      </c>
      <c r="H17" s="87" t="s">
        <v>143</v>
      </c>
    </row>
    <row r="18" spans="1:8" ht="14.25" customHeight="1" x14ac:dyDescent="0.2">
      <c r="A18" s="88">
        <v>12</v>
      </c>
      <c r="B18" s="89" t="s">
        <v>730</v>
      </c>
      <c r="C18" s="89" t="s">
        <v>731</v>
      </c>
      <c r="D18" s="89" t="s">
        <v>188</v>
      </c>
      <c r="E18" s="90">
        <v>44916</v>
      </c>
      <c r="F18" s="91">
        <v>3418.1075999999998</v>
      </c>
      <c r="G18" s="92">
        <v>3.1777340000000001E-2</v>
      </c>
      <c r="H18" s="87" t="s">
        <v>143</v>
      </c>
    </row>
    <row r="19" spans="1:8" ht="14.25" customHeight="1" x14ac:dyDescent="0.2">
      <c r="A19" s="88">
        <v>13</v>
      </c>
      <c r="B19" s="89" t="s">
        <v>51</v>
      </c>
      <c r="C19" s="89" t="s">
        <v>52</v>
      </c>
      <c r="D19" s="89" t="s">
        <v>53</v>
      </c>
      <c r="E19" s="90">
        <v>60260</v>
      </c>
      <c r="F19" s="91">
        <v>3402.2795999999998</v>
      </c>
      <c r="G19" s="92">
        <v>3.1630190000000002E-2</v>
      </c>
      <c r="H19" s="87" t="s">
        <v>143</v>
      </c>
    </row>
    <row r="20" spans="1:8" ht="14.25" customHeight="1" x14ac:dyDescent="0.2">
      <c r="A20" s="88">
        <v>14</v>
      </c>
      <c r="B20" s="89" t="s">
        <v>515</v>
      </c>
      <c r="C20" s="89" t="s">
        <v>516</v>
      </c>
      <c r="D20" s="89" t="s">
        <v>199</v>
      </c>
      <c r="E20" s="90">
        <v>225000</v>
      </c>
      <c r="F20" s="91">
        <v>3333.15</v>
      </c>
      <c r="G20" s="92">
        <v>3.0987500000000001E-2</v>
      </c>
      <c r="H20" s="87" t="s">
        <v>143</v>
      </c>
    </row>
    <row r="21" spans="1:8" ht="14.25" customHeight="1" x14ac:dyDescent="0.2">
      <c r="A21" s="88">
        <v>15</v>
      </c>
      <c r="B21" s="89" t="s">
        <v>432</v>
      </c>
      <c r="C21" s="89" t="s">
        <v>433</v>
      </c>
      <c r="D21" s="89" t="s">
        <v>263</v>
      </c>
      <c r="E21" s="90">
        <v>180000</v>
      </c>
      <c r="F21" s="91">
        <v>3249.9</v>
      </c>
      <c r="G21" s="92">
        <v>3.0213549999999999E-2</v>
      </c>
      <c r="H21" s="87" t="s">
        <v>143</v>
      </c>
    </row>
    <row r="22" spans="1:8" ht="14.25" customHeight="1" x14ac:dyDescent="0.2">
      <c r="A22" s="88">
        <v>16</v>
      </c>
      <c r="B22" s="89" t="s">
        <v>479</v>
      </c>
      <c r="C22" s="89" t="s">
        <v>480</v>
      </c>
      <c r="D22" s="89" t="s">
        <v>275</v>
      </c>
      <c r="E22" s="90">
        <v>230000</v>
      </c>
      <c r="F22" s="91">
        <v>3123.63</v>
      </c>
      <c r="G22" s="92">
        <v>2.903965E-2</v>
      </c>
      <c r="H22" s="87" t="s">
        <v>143</v>
      </c>
    </row>
    <row r="23" spans="1:8" ht="14.25" customHeight="1" x14ac:dyDescent="0.2">
      <c r="A23" s="88">
        <v>17</v>
      </c>
      <c r="B23" s="89" t="s">
        <v>117</v>
      </c>
      <c r="C23" s="89" t="s">
        <v>118</v>
      </c>
      <c r="D23" s="89" t="s">
        <v>36</v>
      </c>
      <c r="E23" s="90">
        <v>592632</v>
      </c>
      <c r="F23" s="91">
        <v>3076.3527119999999</v>
      </c>
      <c r="G23" s="92">
        <v>2.860012E-2</v>
      </c>
      <c r="H23" s="87" t="s">
        <v>143</v>
      </c>
    </row>
    <row r="24" spans="1:8" ht="14.25" customHeight="1" x14ac:dyDescent="0.2">
      <c r="A24" s="88">
        <v>18</v>
      </c>
      <c r="B24" s="89" t="s">
        <v>732</v>
      </c>
      <c r="C24" s="89" t="s">
        <v>733</v>
      </c>
      <c r="D24" s="89" t="s">
        <v>263</v>
      </c>
      <c r="E24" s="90">
        <v>162664</v>
      </c>
      <c r="F24" s="91">
        <v>2992.3669439999999</v>
      </c>
      <c r="G24" s="92">
        <v>2.781933E-2</v>
      </c>
      <c r="H24" s="87" t="s">
        <v>143</v>
      </c>
    </row>
    <row r="25" spans="1:8" ht="14.25" customHeight="1" x14ac:dyDescent="0.2">
      <c r="A25" s="88">
        <v>19</v>
      </c>
      <c r="B25" s="89" t="s">
        <v>289</v>
      </c>
      <c r="C25" s="89" t="s">
        <v>290</v>
      </c>
      <c r="D25" s="89" t="s">
        <v>185</v>
      </c>
      <c r="E25" s="90">
        <v>80799</v>
      </c>
      <c r="F25" s="91">
        <v>2985.3614520000001</v>
      </c>
      <c r="G25" s="92">
        <v>2.77542E-2</v>
      </c>
      <c r="H25" s="87" t="s">
        <v>143</v>
      </c>
    </row>
    <row r="26" spans="1:8" ht="14.25" customHeight="1" x14ac:dyDescent="0.2">
      <c r="A26" s="88">
        <v>20</v>
      </c>
      <c r="B26" s="89" t="s">
        <v>441</v>
      </c>
      <c r="C26" s="89" t="s">
        <v>442</v>
      </c>
      <c r="D26" s="89" t="s">
        <v>204</v>
      </c>
      <c r="E26" s="90">
        <v>244574</v>
      </c>
      <c r="F26" s="91">
        <v>2605.6913960000002</v>
      </c>
      <c r="G26" s="92">
        <v>2.4224490000000001E-2</v>
      </c>
      <c r="H26" s="87" t="s">
        <v>143</v>
      </c>
    </row>
    <row r="27" spans="1:8" ht="14.25" customHeight="1" x14ac:dyDescent="0.2">
      <c r="A27" s="88">
        <v>21</v>
      </c>
      <c r="B27" s="89" t="s">
        <v>44</v>
      </c>
      <c r="C27" s="89" t="s">
        <v>45</v>
      </c>
      <c r="D27" s="89" t="s">
        <v>46</v>
      </c>
      <c r="E27" s="90">
        <v>34296</v>
      </c>
      <c r="F27" s="91">
        <v>2492.4618</v>
      </c>
      <c r="G27" s="92">
        <v>2.3171830000000001E-2</v>
      </c>
      <c r="H27" s="87" t="s">
        <v>143</v>
      </c>
    </row>
    <row r="28" spans="1:8" ht="14.25" customHeight="1" x14ac:dyDescent="0.2">
      <c r="A28" s="88">
        <v>22</v>
      </c>
      <c r="B28" s="89" t="s">
        <v>734</v>
      </c>
      <c r="C28" s="89" t="s">
        <v>735</v>
      </c>
      <c r="D28" s="89" t="s">
        <v>33</v>
      </c>
      <c r="E28" s="90">
        <v>1155130</v>
      </c>
      <c r="F28" s="91">
        <v>2264.6323649999999</v>
      </c>
      <c r="G28" s="92">
        <v>2.105375E-2</v>
      </c>
      <c r="H28" s="87" t="s">
        <v>143</v>
      </c>
    </row>
    <row r="29" spans="1:8" ht="14.25" customHeight="1" x14ac:dyDescent="0.2">
      <c r="A29" s="88">
        <v>23</v>
      </c>
      <c r="B29" s="89" t="s">
        <v>736</v>
      </c>
      <c r="C29" s="89" t="s">
        <v>737</v>
      </c>
      <c r="D29" s="89" t="s">
        <v>16</v>
      </c>
      <c r="E29" s="90">
        <v>246480</v>
      </c>
      <c r="F29" s="91">
        <v>1991.8048799999999</v>
      </c>
      <c r="G29" s="92">
        <v>1.851734E-2</v>
      </c>
      <c r="H29" s="87" t="s">
        <v>143</v>
      </c>
    </row>
    <row r="30" spans="1:8" ht="14.25" customHeight="1" x14ac:dyDescent="0.2">
      <c r="A30" s="88">
        <v>24</v>
      </c>
      <c r="B30" s="89" t="s">
        <v>507</v>
      </c>
      <c r="C30" s="89" t="s">
        <v>508</v>
      </c>
      <c r="D30" s="89" t="s">
        <v>243</v>
      </c>
      <c r="E30" s="90">
        <v>22619</v>
      </c>
      <c r="F30" s="91">
        <v>1952.3589850000001</v>
      </c>
      <c r="G30" s="92">
        <v>1.8150619999999999E-2</v>
      </c>
      <c r="H30" s="87" t="s">
        <v>143</v>
      </c>
    </row>
    <row r="31" spans="1:8" ht="14.25" customHeight="1" x14ac:dyDescent="0.2">
      <c r="A31" s="88">
        <v>25</v>
      </c>
      <c r="B31" s="89" t="s">
        <v>430</v>
      </c>
      <c r="C31" s="89" t="s">
        <v>431</v>
      </c>
      <c r="D31" s="89" t="s">
        <v>199</v>
      </c>
      <c r="E31" s="90">
        <v>101625</v>
      </c>
      <c r="F31" s="91">
        <v>1478.4404999999999</v>
      </c>
      <c r="G31" s="92">
        <v>1.374471E-2</v>
      </c>
      <c r="H31" s="87" t="s">
        <v>143</v>
      </c>
    </row>
    <row r="32" spans="1:8" ht="14.25" customHeight="1" x14ac:dyDescent="0.2">
      <c r="A32" s="93"/>
      <c r="B32" s="93"/>
      <c r="C32" s="94" t="s">
        <v>142</v>
      </c>
      <c r="D32" s="93"/>
      <c r="E32" s="93" t="s">
        <v>143</v>
      </c>
      <c r="F32" s="95">
        <v>102264.522742</v>
      </c>
      <c r="G32" s="96">
        <v>0.95072902999999997</v>
      </c>
      <c r="H32" s="87" t="s">
        <v>143</v>
      </c>
    </row>
    <row r="33" spans="1:8" ht="14.25" customHeight="1" x14ac:dyDescent="0.2">
      <c r="A33" s="93"/>
      <c r="B33" s="93"/>
      <c r="C33" s="97"/>
      <c r="D33" s="93"/>
      <c r="E33" s="93"/>
      <c r="F33" s="98"/>
      <c r="G33" s="98"/>
      <c r="H33" s="87" t="s">
        <v>143</v>
      </c>
    </row>
    <row r="34" spans="1:8" ht="14.25" customHeight="1" x14ac:dyDescent="0.2">
      <c r="A34" s="93"/>
      <c r="B34" s="93"/>
      <c r="C34" s="94" t="s">
        <v>144</v>
      </c>
      <c r="D34" s="93"/>
      <c r="E34" s="93"/>
      <c r="F34" s="93"/>
      <c r="G34" s="93"/>
      <c r="H34" s="87" t="s">
        <v>143</v>
      </c>
    </row>
    <row r="35" spans="1:8" ht="14.25" customHeight="1" x14ac:dyDescent="0.2">
      <c r="A35" s="93"/>
      <c r="B35" s="93"/>
      <c r="C35" s="94" t="s">
        <v>142</v>
      </c>
      <c r="D35" s="93"/>
      <c r="E35" s="93" t="s">
        <v>143</v>
      </c>
      <c r="F35" s="99" t="s">
        <v>145</v>
      </c>
      <c r="G35" s="96">
        <v>0</v>
      </c>
      <c r="H35" s="87" t="s">
        <v>143</v>
      </c>
    </row>
    <row r="36" spans="1:8" ht="14.25" customHeight="1" x14ac:dyDescent="0.2">
      <c r="A36" s="93"/>
      <c r="B36" s="93"/>
      <c r="C36" s="97"/>
      <c r="D36" s="93"/>
      <c r="E36" s="93"/>
      <c r="F36" s="98"/>
      <c r="G36" s="98"/>
      <c r="H36" s="87" t="s">
        <v>143</v>
      </c>
    </row>
    <row r="37" spans="1:8" ht="14.25" customHeight="1" x14ac:dyDescent="0.2">
      <c r="A37" s="93"/>
      <c r="B37" s="93"/>
      <c r="C37" s="94" t="s">
        <v>146</v>
      </c>
      <c r="D37" s="93"/>
      <c r="E37" s="93"/>
      <c r="F37" s="93"/>
      <c r="G37" s="93"/>
      <c r="H37" s="87" t="s">
        <v>143</v>
      </c>
    </row>
    <row r="38" spans="1:8" ht="14.25" customHeight="1" x14ac:dyDescent="0.2">
      <c r="A38" s="93"/>
      <c r="B38" s="93"/>
      <c r="C38" s="94" t="s">
        <v>142</v>
      </c>
      <c r="D38" s="93"/>
      <c r="E38" s="93" t="s">
        <v>143</v>
      </c>
      <c r="F38" s="99" t="s">
        <v>145</v>
      </c>
      <c r="G38" s="96">
        <v>0</v>
      </c>
      <c r="H38" s="87" t="s">
        <v>143</v>
      </c>
    </row>
    <row r="39" spans="1:8" ht="14.25" customHeight="1" x14ac:dyDescent="0.2">
      <c r="A39" s="93"/>
      <c r="B39" s="93"/>
      <c r="C39" s="97"/>
      <c r="D39" s="93"/>
      <c r="E39" s="93"/>
      <c r="F39" s="98"/>
      <c r="G39" s="98"/>
      <c r="H39" s="87" t="s">
        <v>143</v>
      </c>
    </row>
    <row r="40" spans="1:8" ht="14.25" customHeight="1" x14ac:dyDescent="0.2">
      <c r="A40" s="93"/>
      <c r="B40" s="93"/>
      <c r="C40" s="94" t="s">
        <v>147</v>
      </c>
      <c r="D40" s="93"/>
      <c r="E40" s="93"/>
      <c r="F40" s="93"/>
      <c r="G40" s="93"/>
      <c r="H40" s="87" t="s">
        <v>143</v>
      </c>
    </row>
    <row r="41" spans="1:8" ht="14.25" customHeight="1" x14ac:dyDescent="0.2">
      <c r="A41" s="88">
        <v>1</v>
      </c>
      <c r="B41" s="89" t="s">
        <v>317</v>
      </c>
      <c r="C41" s="89" t="s">
        <v>318</v>
      </c>
      <c r="D41" s="89" t="s">
        <v>243</v>
      </c>
      <c r="E41" s="90">
        <v>670440</v>
      </c>
      <c r="F41" s="91">
        <v>67.043999999999997</v>
      </c>
      <c r="G41" s="92">
        <v>6.2328999999999998E-4</v>
      </c>
      <c r="H41" s="87" t="s">
        <v>143</v>
      </c>
    </row>
    <row r="42" spans="1:8" ht="14.25" customHeight="1" x14ac:dyDescent="0.2">
      <c r="A42" s="93"/>
      <c r="B42" s="93"/>
      <c r="C42" s="94" t="s">
        <v>142</v>
      </c>
      <c r="D42" s="93"/>
      <c r="E42" s="93" t="s">
        <v>143</v>
      </c>
      <c r="F42" s="95">
        <v>67.043999999999997</v>
      </c>
      <c r="G42" s="96">
        <v>6.2328999999999998E-4</v>
      </c>
      <c r="H42" s="87" t="s">
        <v>143</v>
      </c>
    </row>
    <row r="43" spans="1:8" ht="14.25" customHeight="1" x14ac:dyDescent="0.2">
      <c r="A43" s="93"/>
      <c r="B43" s="93"/>
      <c r="C43" s="97"/>
      <c r="D43" s="93"/>
      <c r="E43" s="93"/>
      <c r="F43" s="98"/>
      <c r="G43" s="98"/>
      <c r="H43" s="87" t="s">
        <v>143</v>
      </c>
    </row>
    <row r="44" spans="1:8" ht="14.25" customHeight="1" x14ac:dyDescent="0.2">
      <c r="A44" s="93"/>
      <c r="B44" s="93"/>
      <c r="C44" s="94" t="s">
        <v>148</v>
      </c>
      <c r="D44" s="93"/>
      <c r="E44" s="93"/>
      <c r="F44" s="98"/>
      <c r="G44" s="98"/>
      <c r="H44" s="87" t="s">
        <v>143</v>
      </c>
    </row>
    <row r="45" spans="1:8" ht="14.25" customHeight="1" x14ac:dyDescent="0.2">
      <c r="A45" s="93"/>
      <c r="B45" s="93"/>
      <c r="C45" s="94" t="s">
        <v>142</v>
      </c>
      <c r="D45" s="93"/>
      <c r="E45" s="93" t="s">
        <v>143</v>
      </c>
      <c r="F45" s="99" t="s">
        <v>145</v>
      </c>
      <c r="G45" s="96">
        <v>0</v>
      </c>
      <c r="H45" s="87" t="s">
        <v>143</v>
      </c>
    </row>
    <row r="46" spans="1:8" ht="14.25" customHeight="1" x14ac:dyDescent="0.2">
      <c r="A46" s="93"/>
      <c r="B46" s="93"/>
      <c r="C46" s="97"/>
      <c r="D46" s="93"/>
      <c r="E46" s="93"/>
      <c r="F46" s="98"/>
      <c r="G46" s="98"/>
      <c r="H46" s="87" t="s">
        <v>143</v>
      </c>
    </row>
    <row r="47" spans="1:8" ht="14.25" customHeight="1" x14ac:dyDescent="0.2">
      <c r="A47" s="93"/>
      <c r="B47" s="93"/>
      <c r="C47" s="94" t="s">
        <v>149</v>
      </c>
      <c r="D47" s="93"/>
      <c r="E47" s="93"/>
      <c r="F47" s="98"/>
      <c r="G47" s="98"/>
      <c r="H47" s="87" t="s">
        <v>143</v>
      </c>
    </row>
    <row r="48" spans="1:8" ht="14.25" customHeight="1" x14ac:dyDescent="0.2">
      <c r="A48" s="93"/>
      <c r="B48" s="93"/>
      <c r="C48" s="94" t="s">
        <v>142</v>
      </c>
      <c r="D48" s="93"/>
      <c r="E48" s="93" t="s">
        <v>143</v>
      </c>
      <c r="F48" s="99" t="s">
        <v>145</v>
      </c>
      <c r="G48" s="96">
        <v>0</v>
      </c>
      <c r="H48" s="87" t="s">
        <v>143</v>
      </c>
    </row>
    <row r="49" spans="1:8" ht="14.25" customHeight="1" x14ac:dyDescent="0.2">
      <c r="A49" s="93"/>
      <c r="B49" s="93"/>
      <c r="C49" s="97"/>
      <c r="D49" s="93"/>
      <c r="E49" s="93"/>
      <c r="F49" s="98"/>
      <c r="G49" s="98"/>
      <c r="H49" s="87" t="s">
        <v>143</v>
      </c>
    </row>
    <row r="50" spans="1:8" ht="14.25" customHeight="1" x14ac:dyDescent="0.2">
      <c r="A50" s="93"/>
      <c r="B50" s="93"/>
      <c r="C50" s="94" t="s">
        <v>150</v>
      </c>
      <c r="D50" s="93"/>
      <c r="E50" s="93"/>
      <c r="F50" s="95">
        <v>102331.566742</v>
      </c>
      <c r="G50" s="96">
        <v>0.95135232000000003</v>
      </c>
      <c r="H50" s="87" t="s">
        <v>143</v>
      </c>
    </row>
    <row r="51" spans="1:8" ht="14.25" customHeight="1" x14ac:dyDescent="0.2">
      <c r="A51" s="93"/>
      <c r="B51" s="93"/>
      <c r="C51" s="97"/>
      <c r="D51" s="93"/>
      <c r="E51" s="93"/>
      <c r="F51" s="98"/>
      <c r="G51" s="98"/>
      <c r="H51" s="87" t="s">
        <v>143</v>
      </c>
    </row>
    <row r="52" spans="1:8" ht="14.25" customHeight="1" x14ac:dyDescent="0.2">
      <c r="A52" s="93"/>
      <c r="B52" s="93"/>
      <c r="C52" s="94" t="s">
        <v>151</v>
      </c>
      <c r="D52" s="93"/>
      <c r="E52" s="93"/>
      <c r="F52" s="98"/>
      <c r="G52" s="98"/>
      <c r="H52" s="87" t="s">
        <v>143</v>
      </c>
    </row>
    <row r="53" spans="1:8" ht="14.25" customHeight="1" x14ac:dyDescent="0.2">
      <c r="A53" s="93"/>
      <c r="B53" s="93"/>
      <c r="C53" s="94" t="s">
        <v>10</v>
      </c>
      <c r="D53" s="93"/>
      <c r="E53" s="93"/>
      <c r="F53" s="98"/>
      <c r="G53" s="98"/>
      <c r="H53" s="87" t="s">
        <v>143</v>
      </c>
    </row>
    <row r="54" spans="1:8" ht="14.25" customHeight="1" x14ac:dyDescent="0.2">
      <c r="A54" s="93"/>
      <c r="B54" s="93"/>
      <c r="C54" s="94" t="s">
        <v>142</v>
      </c>
      <c r="D54" s="93"/>
      <c r="E54" s="93" t="s">
        <v>143</v>
      </c>
      <c r="F54" s="99" t="s">
        <v>145</v>
      </c>
      <c r="G54" s="96">
        <v>0</v>
      </c>
      <c r="H54" s="87" t="s">
        <v>143</v>
      </c>
    </row>
    <row r="55" spans="1:8" ht="14.25" customHeight="1" x14ac:dyDescent="0.2">
      <c r="A55" s="93"/>
      <c r="B55" s="93"/>
      <c r="C55" s="97"/>
      <c r="D55" s="93"/>
      <c r="E55" s="93"/>
      <c r="F55" s="98"/>
      <c r="G55" s="98"/>
      <c r="H55" s="87" t="s">
        <v>143</v>
      </c>
    </row>
    <row r="56" spans="1:8" ht="14.25" customHeight="1" x14ac:dyDescent="0.2">
      <c r="A56" s="93"/>
      <c r="B56" s="93"/>
      <c r="C56" s="94" t="s">
        <v>152</v>
      </c>
      <c r="D56" s="93"/>
      <c r="E56" s="93"/>
      <c r="F56" s="93"/>
      <c r="G56" s="93"/>
      <c r="H56" s="87" t="s">
        <v>143</v>
      </c>
    </row>
    <row r="57" spans="1:8" ht="14.25" customHeight="1" x14ac:dyDescent="0.2">
      <c r="A57" s="93"/>
      <c r="B57" s="93"/>
      <c r="C57" s="94" t="s">
        <v>142</v>
      </c>
      <c r="D57" s="93"/>
      <c r="E57" s="93" t="s">
        <v>143</v>
      </c>
      <c r="F57" s="99" t="s">
        <v>145</v>
      </c>
      <c r="G57" s="96">
        <v>0</v>
      </c>
      <c r="H57" s="87" t="s">
        <v>143</v>
      </c>
    </row>
    <row r="58" spans="1:8" ht="14.25" customHeight="1" x14ac:dyDescent="0.2">
      <c r="A58" s="93"/>
      <c r="B58" s="93"/>
      <c r="C58" s="97"/>
      <c r="D58" s="93"/>
      <c r="E58" s="93"/>
      <c r="F58" s="98"/>
      <c r="G58" s="98"/>
      <c r="H58" s="87" t="s">
        <v>143</v>
      </c>
    </row>
    <row r="59" spans="1:8" ht="14.25" customHeight="1" x14ac:dyDescent="0.2">
      <c r="A59" s="93"/>
      <c r="B59" s="93"/>
      <c r="C59" s="94" t="s">
        <v>153</v>
      </c>
      <c r="D59" s="93"/>
      <c r="E59" s="93"/>
      <c r="F59" s="93"/>
      <c r="G59" s="93"/>
      <c r="H59" s="87" t="s">
        <v>143</v>
      </c>
    </row>
    <row r="60" spans="1:8" ht="14.25" customHeight="1" x14ac:dyDescent="0.2">
      <c r="A60" s="93"/>
      <c r="B60" s="93"/>
      <c r="C60" s="94" t="s">
        <v>142</v>
      </c>
      <c r="D60" s="93"/>
      <c r="E60" s="93" t="s">
        <v>143</v>
      </c>
      <c r="F60" s="99" t="s">
        <v>145</v>
      </c>
      <c r="G60" s="96">
        <v>0</v>
      </c>
      <c r="H60" s="87" t="s">
        <v>143</v>
      </c>
    </row>
    <row r="61" spans="1:8" ht="14.25" customHeight="1" x14ac:dyDescent="0.2">
      <c r="A61" s="93"/>
      <c r="B61" s="93"/>
      <c r="C61" s="97"/>
      <c r="D61" s="93"/>
      <c r="E61" s="93"/>
      <c r="F61" s="98"/>
      <c r="G61" s="98"/>
      <c r="H61" s="87" t="s">
        <v>143</v>
      </c>
    </row>
    <row r="62" spans="1:8" ht="14.25" customHeight="1" x14ac:dyDescent="0.2">
      <c r="A62" s="93"/>
      <c r="B62" s="93"/>
      <c r="C62" s="94" t="s">
        <v>154</v>
      </c>
      <c r="D62" s="93"/>
      <c r="E62" s="93"/>
      <c r="F62" s="98"/>
      <c r="G62" s="98"/>
      <c r="H62" s="87" t="s">
        <v>143</v>
      </c>
    </row>
    <row r="63" spans="1:8" ht="14.25" customHeight="1" x14ac:dyDescent="0.2">
      <c r="A63" s="93"/>
      <c r="B63" s="93"/>
      <c r="C63" s="94" t="s">
        <v>142</v>
      </c>
      <c r="D63" s="93"/>
      <c r="E63" s="93" t="s">
        <v>143</v>
      </c>
      <c r="F63" s="99" t="s">
        <v>145</v>
      </c>
      <c r="G63" s="96">
        <v>0</v>
      </c>
      <c r="H63" s="87" t="s">
        <v>143</v>
      </c>
    </row>
    <row r="64" spans="1:8" ht="14.25" customHeight="1" x14ac:dyDescent="0.2">
      <c r="A64" s="93"/>
      <c r="B64" s="93"/>
      <c r="C64" s="97"/>
      <c r="D64" s="93"/>
      <c r="E64" s="93"/>
      <c r="F64" s="98"/>
      <c r="G64" s="98"/>
      <c r="H64" s="87" t="s">
        <v>143</v>
      </c>
    </row>
    <row r="65" spans="1:8" ht="14.25" customHeight="1" x14ac:dyDescent="0.2">
      <c r="A65" s="93"/>
      <c r="B65" s="93"/>
      <c r="C65" s="94" t="s">
        <v>155</v>
      </c>
      <c r="D65" s="93"/>
      <c r="E65" s="93"/>
      <c r="F65" s="95">
        <v>0</v>
      </c>
      <c r="G65" s="96">
        <v>0</v>
      </c>
      <c r="H65" s="87" t="s">
        <v>143</v>
      </c>
    </row>
    <row r="66" spans="1:8" ht="14.25" customHeight="1" x14ac:dyDescent="0.2">
      <c r="A66" s="93"/>
      <c r="B66" s="93"/>
      <c r="C66" s="97"/>
      <c r="D66" s="93"/>
      <c r="E66" s="93"/>
      <c r="F66" s="98"/>
      <c r="G66" s="98"/>
      <c r="H66" s="87" t="s">
        <v>143</v>
      </c>
    </row>
    <row r="67" spans="1:8" ht="14.25" customHeight="1" x14ac:dyDescent="0.2">
      <c r="A67" s="93"/>
      <c r="B67" s="93"/>
      <c r="C67" s="94" t="s">
        <v>156</v>
      </c>
      <c r="D67" s="93"/>
      <c r="E67" s="93"/>
      <c r="F67" s="98"/>
      <c r="G67" s="98"/>
      <c r="H67" s="87" t="s">
        <v>143</v>
      </c>
    </row>
    <row r="68" spans="1:8" ht="14.25" customHeight="1" x14ac:dyDescent="0.2">
      <c r="A68" s="93"/>
      <c r="B68" s="93"/>
      <c r="C68" s="94" t="s">
        <v>157</v>
      </c>
      <c r="D68" s="93"/>
      <c r="E68" s="93"/>
      <c r="F68" s="98"/>
      <c r="G68" s="98"/>
      <c r="H68" s="87" t="s">
        <v>143</v>
      </c>
    </row>
    <row r="69" spans="1:8" ht="14.25" customHeight="1" x14ac:dyDescent="0.2">
      <c r="A69" s="93"/>
      <c r="B69" s="93"/>
      <c r="C69" s="94" t="s">
        <v>142</v>
      </c>
      <c r="D69" s="93"/>
      <c r="E69" s="93" t="s">
        <v>143</v>
      </c>
      <c r="F69" s="99" t="s">
        <v>145</v>
      </c>
      <c r="G69" s="96">
        <v>0</v>
      </c>
      <c r="H69" s="87" t="s">
        <v>143</v>
      </c>
    </row>
    <row r="70" spans="1:8" ht="14.25" customHeight="1" x14ac:dyDescent="0.2">
      <c r="A70" s="93"/>
      <c r="B70" s="93"/>
      <c r="C70" s="97"/>
      <c r="D70" s="93"/>
      <c r="E70" s="93"/>
      <c r="F70" s="98"/>
      <c r="G70" s="98"/>
      <c r="H70" s="87" t="s">
        <v>143</v>
      </c>
    </row>
    <row r="71" spans="1:8" ht="14.25" customHeight="1" x14ac:dyDescent="0.2">
      <c r="A71" s="93"/>
      <c r="B71" s="93"/>
      <c r="C71" s="94" t="s">
        <v>158</v>
      </c>
      <c r="D71" s="93"/>
      <c r="E71" s="93"/>
      <c r="F71" s="98"/>
      <c r="G71" s="98"/>
      <c r="H71" s="87" t="s">
        <v>143</v>
      </c>
    </row>
    <row r="72" spans="1:8" ht="14.25" customHeight="1" x14ac:dyDescent="0.2">
      <c r="A72" s="93"/>
      <c r="B72" s="93"/>
      <c r="C72" s="94" t="s">
        <v>142</v>
      </c>
      <c r="D72" s="93"/>
      <c r="E72" s="93" t="s">
        <v>143</v>
      </c>
      <c r="F72" s="99" t="s">
        <v>145</v>
      </c>
      <c r="G72" s="96">
        <v>0</v>
      </c>
      <c r="H72" s="87" t="s">
        <v>143</v>
      </c>
    </row>
    <row r="73" spans="1:8" ht="14.25" customHeight="1" x14ac:dyDescent="0.2">
      <c r="A73" s="93"/>
      <c r="B73" s="93"/>
      <c r="C73" s="97"/>
      <c r="D73" s="93"/>
      <c r="E73" s="93"/>
      <c r="F73" s="98"/>
      <c r="G73" s="98"/>
      <c r="H73" s="87" t="s">
        <v>143</v>
      </c>
    </row>
    <row r="74" spans="1:8" ht="14.25" customHeight="1" x14ac:dyDescent="0.2">
      <c r="A74" s="93"/>
      <c r="B74" s="93"/>
      <c r="C74" s="94" t="s">
        <v>159</v>
      </c>
      <c r="D74" s="93"/>
      <c r="E74" s="93"/>
      <c r="F74" s="98"/>
      <c r="G74" s="98"/>
      <c r="H74" s="87" t="s">
        <v>143</v>
      </c>
    </row>
    <row r="75" spans="1:8" ht="14.25" customHeight="1" x14ac:dyDescent="0.2">
      <c r="A75" s="93"/>
      <c r="B75" s="93"/>
      <c r="C75" s="94" t="s">
        <v>142</v>
      </c>
      <c r="D75" s="93"/>
      <c r="E75" s="93" t="s">
        <v>143</v>
      </c>
      <c r="F75" s="99" t="s">
        <v>145</v>
      </c>
      <c r="G75" s="96">
        <v>0</v>
      </c>
      <c r="H75" s="87" t="s">
        <v>143</v>
      </c>
    </row>
    <row r="76" spans="1:8" ht="14.25" customHeight="1" x14ac:dyDescent="0.2">
      <c r="A76" s="93"/>
      <c r="B76" s="93"/>
      <c r="C76" s="97"/>
      <c r="D76" s="93"/>
      <c r="E76" s="93"/>
      <c r="F76" s="98"/>
      <c r="G76" s="98"/>
      <c r="H76" s="87" t="s">
        <v>143</v>
      </c>
    </row>
    <row r="77" spans="1:8" ht="14.25" customHeight="1" x14ac:dyDescent="0.2">
      <c r="A77" s="93"/>
      <c r="B77" s="93"/>
      <c r="C77" s="94" t="s">
        <v>160</v>
      </c>
      <c r="D77" s="93"/>
      <c r="E77" s="93"/>
      <c r="F77" s="98"/>
      <c r="G77" s="98"/>
      <c r="H77" s="87" t="s">
        <v>143</v>
      </c>
    </row>
    <row r="78" spans="1:8" ht="14.25" customHeight="1" x14ac:dyDescent="0.2">
      <c r="A78" s="88">
        <v>1</v>
      </c>
      <c r="B78" s="89"/>
      <c r="C78" s="89" t="s">
        <v>161</v>
      </c>
      <c r="D78" s="89"/>
      <c r="E78" s="100"/>
      <c r="F78" s="91">
        <v>5359.7423660189997</v>
      </c>
      <c r="G78" s="92">
        <v>4.9828249999999998E-2</v>
      </c>
      <c r="H78" s="87">
        <v>5.38</v>
      </c>
    </row>
    <row r="79" spans="1:8" ht="14.25" customHeight="1" x14ac:dyDescent="0.2">
      <c r="A79" s="93"/>
      <c r="B79" s="93"/>
      <c r="C79" s="94" t="s">
        <v>142</v>
      </c>
      <c r="D79" s="93"/>
      <c r="E79" s="93" t="s">
        <v>143</v>
      </c>
      <c r="F79" s="95">
        <v>5359.7423660189997</v>
      </c>
      <c r="G79" s="96">
        <v>4.9828249999999998E-2</v>
      </c>
      <c r="H79" s="87" t="s">
        <v>143</v>
      </c>
    </row>
    <row r="80" spans="1:8" ht="14.25" customHeight="1" x14ac:dyDescent="0.2">
      <c r="A80" s="93"/>
      <c r="B80" s="93"/>
      <c r="C80" s="97"/>
      <c r="D80" s="93"/>
      <c r="E80" s="93"/>
      <c r="F80" s="98"/>
      <c r="G80" s="98"/>
      <c r="H80" s="87" t="s">
        <v>143</v>
      </c>
    </row>
    <row r="81" spans="1:8" ht="14.25" customHeight="1" x14ac:dyDescent="0.2">
      <c r="A81" s="93"/>
      <c r="B81" s="93"/>
      <c r="C81" s="94" t="s">
        <v>162</v>
      </c>
      <c r="D81" s="93"/>
      <c r="E81" s="93"/>
      <c r="F81" s="95">
        <v>5359.7423660189997</v>
      </c>
      <c r="G81" s="96">
        <v>4.9828249999999998E-2</v>
      </c>
      <c r="H81" s="87" t="s">
        <v>143</v>
      </c>
    </row>
    <row r="82" spans="1:8" ht="14.25" customHeight="1" x14ac:dyDescent="0.2">
      <c r="A82" s="93"/>
      <c r="B82" s="93"/>
      <c r="C82" s="98"/>
      <c r="D82" s="93"/>
      <c r="E82" s="93"/>
      <c r="F82" s="93"/>
      <c r="G82" s="93"/>
      <c r="H82" s="87" t="s">
        <v>143</v>
      </c>
    </row>
    <row r="83" spans="1:8" ht="14.25" customHeight="1" x14ac:dyDescent="0.2">
      <c r="A83" s="93"/>
      <c r="B83" s="93"/>
      <c r="C83" s="94" t="s">
        <v>163</v>
      </c>
      <c r="D83" s="93"/>
      <c r="E83" s="93"/>
      <c r="F83" s="93"/>
      <c r="G83" s="93"/>
      <c r="H83" s="87" t="s">
        <v>143</v>
      </c>
    </row>
    <row r="84" spans="1:8" ht="14.25" customHeight="1" x14ac:dyDescent="0.2">
      <c r="A84" s="93"/>
      <c r="B84" s="93"/>
      <c r="C84" s="94" t="s">
        <v>164</v>
      </c>
      <c r="D84" s="93"/>
      <c r="E84" s="93"/>
      <c r="F84" s="93"/>
      <c r="G84" s="93"/>
      <c r="H84" s="87" t="s">
        <v>143</v>
      </c>
    </row>
    <row r="85" spans="1:8" ht="14.25" customHeight="1" x14ac:dyDescent="0.2">
      <c r="A85" s="93"/>
      <c r="B85" s="93"/>
      <c r="C85" s="94" t="s">
        <v>142</v>
      </c>
      <c r="D85" s="93"/>
      <c r="E85" s="93" t="s">
        <v>143</v>
      </c>
      <c r="F85" s="99" t="s">
        <v>145</v>
      </c>
      <c r="G85" s="96">
        <v>0</v>
      </c>
      <c r="H85" s="87" t="s">
        <v>143</v>
      </c>
    </row>
    <row r="86" spans="1:8" ht="14.25" customHeight="1" x14ac:dyDescent="0.2">
      <c r="A86" s="93"/>
      <c r="B86" s="93"/>
      <c r="C86" s="97"/>
      <c r="D86" s="93"/>
      <c r="E86" s="93"/>
      <c r="F86" s="98"/>
      <c r="G86" s="98"/>
      <c r="H86" s="87" t="s">
        <v>143</v>
      </c>
    </row>
    <row r="87" spans="1:8" ht="14.25" customHeight="1" x14ac:dyDescent="0.2">
      <c r="A87" s="93"/>
      <c r="B87" s="93"/>
      <c r="C87" s="94" t="s">
        <v>165</v>
      </c>
      <c r="D87" s="93"/>
      <c r="E87" s="93"/>
      <c r="F87" s="93"/>
      <c r="G87" s="93"/>
      <c r="H87" s="87" t="s">
        <v>143</v>
      </c>
    </row>
    <row r="88" spans="1:8" ht="14.25" customHeight="1" x14ac:dyDescent="0.2">
      <c r="A88" s="93"/>
      <c r="B88" s="93"/>
      <c r="C88" s="94" t="s">
        <v>166</v>
      </c>
      <c r="D88" s="93"/>
      <c r="E88" s="93"/>
      <c r="F88" s="93"/>
      <c r="G88" s="93"/>
      <c r="H88" s="87" t="s">
        <v>143</v>
      </c>
    </row>
    <row r="89" spans="1:8" ht="14.25" customHeight="1" x14ac:dyDescent="0.2">
      <c r="A89" s="93"/>
      <c r="B89" s="93"/>
      <c r="C89" s="94" t="s">
        <v>142</v>
      </c>
      <c r="D89" s="93"/>
      <c r="E89" s="93" t="s">
        <v>143</v>
      </c>
      <c r="F89" s="99" t="s">
        <v>145</v>
      </c>
      <c r="G89" s="96">
        <v>0</v>
      </c>
      <c r="H89" s="87" t="s">
        <v>143</v>
      </c>
    </row>
    <row r="90" spans="1:8" ht="14.25" customHeight="1" x14ac:dyDescent="0.2">
      <c r="A90" s="93"/>
      <c r="B90" s="93"/>
      <c r="C90" s="97"/>
      <c r="D90" s="93"/>
      <c r="E90" s="93"/>
      <c r="F90" s="98"/>
      <c r="G90" s="98"/>
      <c r="H90" s="87" t="s">
        <v>143</v>
      </c>
    </row>
    <row r="91" spans="1:8" ht="14.25" customHeight="1" x14ac:dyDescent="0.2">
      <c r="A91" s="93"/>
      <c r="B91" s="93"/>
      <c r="C91" s="94" t="s">
        <v>167</v>
      </c>
      <c r="D91" s="93"/>
      <c r="E91" s="93"/>
      <c r="F91" s="98"/>
      <c r="G91" s="98"/>
      <c r="H91" s="87" t="s">
        <v>143</v>
      </c>
    </row>
    <row r="92" spans="1:8" ht="14.25" customHeight="1" x14ac:dyDescent="0.2">
      <c r="A92" s="93"/>
      <c r="B92" s="93"/>
      <c r="C92" s="94" t="s">
        <v>142</v>
      </c>
      <c r="D92" s="93"/>
      <c r="E92" s="93" t="s">
        <v>143</v>
      </c>
      <c r="F92" s="99" t="s">
        <v>145</v>
      </c>
      <c r="G92" s="96">
        <v>0</v>
      </c>
      <c r="H92" s="87" t="s">
        <v>143</v>
      </c>
    </row>
    <row r="93" spans="1:8" ht="14.25" customHeight="1" x14ac:dyDescent="0.2">
      <c r="A93" s="93"/>
      <c r="B93" s="93"/>
      <c r="C93" s="97"/>
      <c r="D93" s="93"/>
      <c r="E93" s="93"/>
      <c r="F93" s="98"/>
      <c r="G93" s="98"/>
      <c r="H93" s="87" t="s">
        <v>143</v>
      </c>
    </row>
    <row r="94" spans="1:8" ht="14.25" customHeight="1" x14ac:dyDescent="0.2">
      <c r="A94" s="100"/>
      <c r="B94" s="89"/>
      <c r="C94" s="89" t="s">
        <v>168</v>
      </c>
      <c r="D94" s="89"/>
      <c r="E94" s="100"/>
      <c r="F94" s="91">
        <v>-126.983276</v>
      </c>
      <c r="G94" s="92">
        <v>-1.1805299999999999E-3</v>
      </c>
      <c r="H94" s="87" t="s">
        <v>143</v>
      </c>
    </row>
    <row r="95" spans="1:8" ht="14.25" customHeight="1" x14ac:dyDescent="0.2">
      <c r="A95" s="97"/>
      <c r="B95" s="97"/>
      <c r="C95" s="94" t="s">
        <v>169</v>
      </c>
      <c r="D95" s="98"/>
      <c r="E95" s="98"/>
      <c r="F95" s="95">
        <v>107564.32583201901</v>
      </c>
      <c r="G95" s="101">
        <v>1.00000004</v>
      </c>
      <c r="H95" s="87" t="s">
        <v>143</v>
      </c>
    </row>
    <row r="96" spans="1:8" ht="12.75" x14ac:dyDescent="0.2">
      <c r="A96" s="102"/>
      <c r="B96" s="102"/>
      <c r="C96" s="102"/>
      <c r="D96" s="103"/>
      <c r="E96" s="103"/>
      <c r="F96" s="103"/>
      <c r="G96" s="103"/>
    </row>
    <row r="97" spans="1:17" ht="12.75" x14ac:dyDescent="0.2">
      <c r="A97" s="104"/>
      <c r="B97" s="206" t="s">
        <v>942</v>
      </c>
      <c r="C97" s="206"/>
      <c r="D97" s="206"/>
      <c r="E97" s="206"/>
      <c r="F97" s="206"/>
      <c r="G97" s="206"/>
      <c r="H97" s="206"/>
      <c r="J97" s="106"/>
    </row>
    <row r="98" spans="1:17" ht="12.75" x14ac:dyDescent="0.2">
      <c r="A98" s="104"/>
      <c r="B98" s="206" t="s">
        <v>943</v>
      </c>
      <c r="C98" s="206"/>
      <c r="D98" s="206"/>
      <c r="E98" s="206"/>
      <c r="F98" s="206"/>
      <c r="G98" s="206"/>
      <c r="H98" s="206"/>
      <c r="J98" s="106"/>
    </row>
    <row r="99" spans="1:17" ht="12.75" x14ac:dyDescent="0.2">
      <c r="A99" s="104"/>
      <c r="B99" s="206" t="s">
        <v>944</v>
      </c>
      <c r="C99" s="206"/>
      <c r="D99" s="206"/>
      <c r="E99" s="206"/>
      <c r="F99" s="206"/>
      <c r="G99" s="206"/>
      <c r="H99" s="206"/>
      <c r="J99" s="106"/>
    </row>
    <row r="100" spans="1:17" s="108" customFormat="1" ht="66.75" customHeight="1" x14ac:dyDescent="0.25">
      <c r="A100" s="107"/>
      <c r="B100" s="207" t="s">
        <v>945</v>
      </c>
      <c r="C100" s="207"/>
      <c r="D100" s="207"/>
      <c r="E100" s="207"/>
      <c r="F100" s="207"/>
      <c r="G100" s="207"/>
      <c r="H100" s="207"/>
      <c r="I100"/>
      <c r="J100" s="106"/>
      <c r="K100"/>
      <c r="L100"/>
      <c r="M100"/>
      <c r="N100"/>
      <c r="O100"/>
      <c r="P100"/>
      <c r="Q100"/>
    </row>
    <row r="101" spans="1:17" ht="12.75" x14ac:dyDescent="0.2">
      <c r="A101" s="104"/>
      <c r="B101" s="206" t="s">
        <v>946</v>
      </c>
      <c r="C101" s="206"/>
      <c r="D101" s="206"/>
      <c r="E101" s="206"/>
      <c r="F101" s="206"/>
      <c r="G101" s="206"/>
      <c r="H101" s="206"/>
      <c r="J101" s="106"/>
    </row>
    <row r="102" spans="1:17" ht="12.75" x14ac:dyDescent="0.2">
      <c r="A102" s="104"/>
      <c r="B102" s="104"/>
      <c r="C102" s="104"/>
      <c r="D102" s="109"/>
      <c r="E102" s="109"/>
      <c r="F102" s="109"/>
      <c r="G102" s="109"/>
    </row>
    <row r="103" spans="1:17" ht="12.75" x14ac:dyDescent="0.2">
      <c r="A103" s="104"/>
      <c r="B103" s="199" t="s">
        <v>170</v>
      </c>
      <c r="C103" s="200"/>
      <c r="D103" s="201"/>
      <c r="E103" s="110"/>
      <c r="F103" s="109"/>
      <c r="G103" s="109"/>
    </row>
    <row r="104" spans="1:17" ht="27.75" customHeight="1" x14ac:dyDescent="0.2">
      <c r="A104" s="104"/>
      <c r="B104" s="202" t="s">
        <v>171</v>
      </c>
      <c r="C104" s="203"/>
      <c r="D104" s="86" t="s">
        <v>172</v>
      </c>
      <c r="E104" s="110"/>
      <c r="F104" s="109"/>
      <c r="G104" s="109"/>
    </row>
    <row r="105" spans="1:17" ht="12.75" customHeight="1" x14ac:dyDescent="0.2">
      <c r="A105" s="104"/>
      <c r="B105" s="202" t="s">
        <v>947</v>
      </c>
      <c r="C105" s="203"/>
      <c r="D105" s="86" t="str">
        <f>"Rs. "&amp;TEXT(F42,"0.00")&amp;" lacs/ "&amp;IF(ROUND((G42*100),2) = 0,"#",(TEXT((G42*100),"0.00")&amp;"%"))</f>
        <v>Rs. 67.04 lacs/ 0.06%</v>
      </c>
      <c r="E105" s="110"/>
      <c r="F105" s="109"/>
      <c r="G105" s="109"/>
    </row>
    <row r="106" spans="1:17" ht="12.75" x14ac:dyDescent="0.2">
      <c r="A106" s="104"/>
      <c r="B106" s="202" t="s">
        <v>173</v>
      </c>
      <c r="C106" s="203"/>
      <c r="D106" s="111" t="s">
        <v>143</v>
      </c>
      <c r="E106" s="110"/>
      <c r="F106" s="109"/>
      <c r="G106" s="109"/>
    </row>
    <row r="107" spans="1:17" ht="12.75" x14ac:dyDescent="0.2">
      <c r="A107" s="112"/>
      <c r="B107" s="113" t="s">
        <v>143</v>
      </c>
      <c r="C107" s="113" t="s">
        <v>948</v>
      </c>
      <c r="D107" s="113" t="s">
        <v>174</v>
      </c>
      <c r="E107" s="112"/>
      <c r="F107" s="112"/>
      <c r="G107" s="112"/>
      <c r="H107" s="112"/>
      <c r="J107" s="106"/>
    </row>
    <row r="108" spans="1:17" ht="12.75" x14ac:dyDescent="0.2">
      <c r="A108" s="112"/>
      <c r="B108" s="114" t="s">
        <v>175</v>
      </c>
      <c r="C108" s="115">
        <v>45869</v>
      </c>
      <c r="D108" s="115">
        <v>45900</v>
      </c>
      <c r="E108" s="112"/>
      <c r="F108" s="112"/>
      <c r="G108" s="112"/>
      <c r="J108" s="106"/>
    </row>
    <row r="109" spans="1:17" ht="12.75" x14ac:dyDescent="0.2">
      <c r="A109" s="116"/>
      <c r="B109" s="89" t="s">
        <v>176</v>
      </c>
      <c r="C109" s="117">
        <v>178.20410000000001</v>
      </c>
      <c r="D109" s="117">
        <v>174.58920000000001</v>
      </c>
      <c r="E109" s="116"/>
      <c r="F109" s="118"/>
      <c r="G109" s="119"/>
    </row>
    <row r="110" spans="1:17" ht="25.5" x14ac:dyDescent="0.2">
      <c r="A110" s="116"/>
      <c r="B110" s="89" t="s">
        <v>1138</v>
      </c>
      <c r="C110" s="117">
        <v>45.314500000000002</v>
      </c>
      <c r="D110" s="117">
        <v>44.395299999999999</v>
      </c>
      <c r="E110" s="116"/>
      <c r="F110" s="118"/>
      <c r="G110" s="119"/>
    </row>
    <row r="111" spans="1:17" ht="12.75" x14ac:dyDescent="0.2">
      <c r="A111" s="116"/>
      <c r="B111" s="89" t="s">
        <v>177</v>
      </c>
      <c r="C111" s="117">
        <v>160.86789999999999</v>
      </c>
      <c r="D111" s="117">
        <v>157.47489999999999</v>
      </c>
      <c r="E111" s="116"/>
      <c r="F111" s="118"/>
      <c r="G111" s="119"/>
    </row>
    <row r="112" spans="1:17" ht="25.5" x14ac:dyDescent="0.2">
      <c r="A112" s="116"/>
      <c r="B112" s="89" t="s">
        <v>1139</v>
      </c>
      <c r="C112" s="117">
        <v>41.659100000000002</v>
      </c>
      <c r="D112" s="117">
        <v>40.7804</v>
      </c>
      <c r="E112" s="116"/>
      <c r="F112" s="118"/>
      <c r="G112" s="119"/>
    </row>
    <row r="113" spans="1:7" ht="14.25" customHeight="1" x14ac:dyDescent="0.2">
      <c r="A113" s="116"/>
      <c r="B113" s="116"/>
      <c r="C113" s="116"/>
      <c r="D113" s="116"/>
      <c r="E113" s="116"/>
      <c r="F113" s="116"/>
      <c r="G113" s="116"/>
    </row>
    <row r="114" spans="1:7" ht="12.75" x14ac:dyDescent="0.2">
      <c r="A114" s="116"/>
      <c r="B114" s="208" t="s">
        <v>949</v>
      </c>
      <c r="C114" s="209"/>
      <c r="D114" s="86" t="s">
        <v>172</v>
      </c>
      <c r="E114" s="116"/>
      <c r="F114" s="116"/>
      <c r="G114" s="116"/>
    </row>
    <row r="115" spans="1:7" ht="12.75" x14ac:dyDescent="0.2">
      <c r="A115" s="116"/>
      <c r="B115" s="120"/>
      <c r="C115" s="120"/>
      <c r="D115" s="120"/>
      <c r="E115" s="116"/>
      <c r="F115" s="116"/>
      <c r="G115" s="116"/>
    </row>
    <row r="116" spans="1:7" ht="12.75" x14ac:dyDescent="0.2">
      <c r="A116" s="112"/>
      <c r="B116" s="202" t="s">
        <v>178</v>
      </c>
      <c r="C116" s="203"/>
      <c r="D116" s="86" t="s">
        <v>172</v>
      </c>
      <c r="E116" s="121"/>
      <c r="F116" s="112"/>
      <c r="G116" s="112"/>
    </row>
    <row r="117" spans="1:7" ht="12.75" x14ac:dyDescent="0.2">
      <c r="A117" s="112"/>
      <c r="B117" s="202" t="s">
        <v>179</v>
      </c>
      <c r="C117" s="203"/>
      <c r="D117" s="86" t="s">
        <v>172</v>
      </c>
      <c r="E117" s="121"/>
      <c r="F117" s="112"/>
      <c r="G117" s="112"/>
    </row>
    <row r="118" spans="1:7" ht="17.100000000000001" customHeight="1" x14ac:dyDescent="0.2">
      <c r="A118" s="112"/>
      <c r="B118" s="202" t="s">
        <v>180</v>
      </c>
      <c r="C118" s="203"/>
      <c r="D118" s="86" t="s">
        <v>172</v>
      </c>
      <c r="E118" s="121"/>
      <c r="F118" s="112"/>
      <c r="G118" s="112"/>
    </row>
    <row r="119" spans="1:7" ht="17.100000000000001" customHeight="1" x14ac:dyDescent="0.2">
      <c r="A119" s="112"/>
      <c r="B119" s="202" t="s">
        <v>181</v>
      </c>
      <c r="C119" s="203"/>
      <c r="D119" s="122">
        <v>0.82413701657142313</v>
      </c>
      <c r="E119" s="112"/>
      <c r="F119" s="105"/>
      <c r="G119" s="123"/>
    </row>
    <row r="120" spans="1:7" ht="12.75" x14ac:dyDescent="0.2"/>
    <row r="121" spans="1:7" ht="12.75" x14ac:dyDescent="0.2">
      <c r="B121" s="204" t="s">
        <v>950</v>
      </c>
      <c r="C121" s="204"/>
    </row>
    <row r="122" spans="1:7" ht="12.75" x14ac:dyDescent="0.2"/>
    <row r="123" spans="1:7" ht="153.75" customHeight="1" x14ac:dyDescent="0.2"/>
    <row r="124" spans="1:7" ht="12.75" x14ac:dyDescent="0.2"/>
    <row r="125" spans="1:7" ht="12.75" x14ac:dyDescent="0.2"/>
    <row r="126" spans="1:7" ht="12.75" x14ac:dyDescent="0.2">
      <c r="B126" s="124" t="s">
        <v>951</v>
      </c>
      <c r="C126" s="125"/>
      <c r="D126" s="124" t="s">
        <v>956</v>
      </c>
    </row>
    <row r="127" spans="1:7" ht="12.75" x14ac:dyDescent="0.2">
      <c r="B127" s="124" t="s">
        <v>1108</v>
      </c>
      <c r="D127" s="124" t="s">
        <v>1109</v>
      </c>
    </row>
    <row r="128" spans="1:7" ht="165" customHeight="1" x14ac:dyDescent="0.2"/>
    <row r="129" customFormat="1" ht="12.75" x14ac:dyDescent="0.2"/>
    <row r="130" customFormat="1" ht="12.75" x14ac:dyDescent="0.2"/>
    <row r="131" customFormat="1" ht="12.75" x14ac:dyDescent="0.2"/>
    <row r="132" customFormat="1" ht="12.75" x14ac:dyDescent="0.2"/>
    <row r="133" customFormat="1" ht="12.75" x14ac:dyDescent="0.2"/>
    <row r="134" customFormat="1" ht="12.75" x14ac:dyDescent="0.2"/>
    <row r="135" customFormat="1" ht="12.75" x14ac:dyDescent="0.2"/>
    <row r="136" customFormat="1" ht="12.75" x14ac:dyDescent="0.2"/>
    <row r="137" customFormat="1" ht="12.75" x14ac:dyDescent="0.2"/>
    <row r="138" customFormat="1" ht="12.75" x14ac:dyDescent="0.2"/>
    <row r="139" customFormat="1" ht="12.75" x14ac:dyDescent="0.2"/>
    <row r="140" customFormat="1" ht="12.75" x14ac:dyDescent="0.2"/>
    <row r="141" customFormat="1" ht="12.75" x14ac:dyDescent="0.2"/>
    <row r="142" customFormat="1" ht="12.75" x14ac:dyDescent="0.2"/>
    <row r="143" customFormat="1" ht="12.75" x14ac:dyDescent="0.2"/>
  </sheetData>
  <mergeCells count="18">
    <mergeCell ref="B100:H100"/>
    <mergeCell ref="B101:H101"/>
    <mergeCell ref="B103:D103"/>
    <mergeCell ref="B104:C104"/>
    <mergeCell ref="B121:C121"/>
    <mergeCell ref="A1:H1"/>
    <mergeCell ref="A2:H2"/>
    <mergeCell ref="A3:H3"/>
    <mergeCell ref="B114:C114"/>
    <mergeCell ref="B118:C118"/>
    <mergeCell ref="B119:C119"/>
    <mergeCell ref="B97:H97"/>
    <mergeCell ref="B98:H98"/>
    <mergeCell ref="B105:C105"/>
    <mergeCell ref="B106:C106"/>
    <mergeCell ref="B116:C116"/>
    <mergeCell ref="B117:C117"/>
    <mergeCell ref="B99:H99"/>
  </mergeCells>
  <hyperlinks>
    <hyperlink ref="I1" location="Index!B2" display="Index" xr:uid="{B6D97462-5EAB-486F-B5DD-EE67F69D5A33}"/>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749CF-E1F1-460C-9BFB-9603AEC38941}">
  <sheetPr>
    <outlinePr summaryBelow="0" summaryRight="0"/>
  </sheetPr>
  <dimension ref="A1:Q188"/>
  <sheetViews>
    <sheetView showGridLines="0" workbookViewId="0">
      <selection sqref="A1:H1"/>
    </sheetView>
  </sheetViews>
  <sheetFormatPr defaultRowHeight="14.25" customHeight="1" x14ac:dyDescent="0.2"/>
  <cols>
    <col min="1" max="1" width="5.85546875" bestFit="1" customWidth="1"/>
    <col min="2" max="2" width="19.7109375" customWidth="1"/>
    <col min="3" max="3" width="43.85546875" bestFit="1" customWidth="1"/>
    <col min="4" max="4" width="29.28515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738</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321</v>
      </c>
      <c r="C7" s="89" t="s">
        <v>322</v>
      </c>
      <c r="D7" s="89" t="s">
        <v>33</v>
      </c>
      <c r="E7" s="90">
        <v>1946054</v>
      </c>
      <c r="F7" s="91">
        <v>18518.649863999999</v>
      </c>
      <c r="G7" s="92">
        <v>6.5896289999999996E-2</v>
      </c>
      <c r="H7" s="87" t="s">
        <v>143</v>
      </c>
    </row>
    <row r="8" spans="1:9" ht="14.25" customHeight="1" x14ac:dyDescent="0.2">
      <c r="A8" s="88">
        <v>2</v>
      </c>
      <c r="B8" s="89" t="s">
        <v>31</v>
      </c>
      <c r="C8" s="89" t="s">
        <v>32</v>
      </c>
      <c r="D8" s="89" t="s">
        <v>33</v>
      </c>
      <c r="E8" s="90">
        <v>962486</v>
      </c>
      <c r="F8" s="91">
        <v>13453.629308</v>
      </c>
      <c r="G8" s="92">
        <v>4.787305E-2</v>
      </c>
      <c r="H8" s="87" t="s">
        <v>143</v>
      </c>
    </row>
    <row r="9" spans="1:9" ht="14.25" customHeight="1" x14ac:dyDescent="0.2">
      <c r="A9" s="88">
        <v>3</v>
      </c>
      <c r="B9" s="89" t="s">
        <v>323</v>
      </c>
      <c r="C9" s="89" t="s">
        <v>324</v>
      </c>
      <c r="D9" s="89" t="s">
        <v>33</v>
      </c>
      <c r="E9" s="90">
        <v>578590</v>
      </c>
      <c r="F9" s="91">
        <v>11342.099770000001</v>
      </c>
      <c r="G9" s="92">
        <v>4.0359440000000003E-2</v>
      </c>
      <c r="H9" s="87" t="s">
        <v>143</v>
      </c>
    </row>
    <row r="10" spans="1:9" ht="14.25" customHeight="1" x14ac:dyDescent="0.2">
      <c r="A10" s="88">
        <v>4</v>
      </c>
      <c r="B10" s="89" t="s">
        <v>14</v>
      </c>
      <c r="C10" s="89" t="s">
        <v>15</v>
      </c>
      <c r="D10" s="89" t="s">
        <v>16</v>
      </c>
      <c r="E10" s="90">
        <v>281544</v>
      </c>
      <c r="F10" s="91">
        <v>10138.399439999999</v>
      </c>
      <c r="G10" s="92">
        <v>3.6076219999999999E-2</v>
      </c>
      <c r="H10" s="87" t="s">
        <v>143</v>
      </c>
    </row>
    <row r="11" spans="1:9" ht="14.25" customHeight="1" x14ac:dyDescent="0.2">
      <c r="A11" s="88">
        <v>5</v>
      </c>
      <c r="B11" s="89" t="s">
        <v>17</v>
      </c>
      <c r="C11" s="89" t="s">
        <v>18</v>
      </c>
      <c r="D11" s="89" t="s">
        <v>19</v>
      </c>
      <c r="E11" s="90">
        <v>692907</v>
      </c>
      <c r="F11" s="91">
        <v>9404.1338039999991</v>
      </c>
      <c r="G11" s="92">
        <v>3.3463430000000002E-2</v>
      </c>
      <c r="H11" s="87" t="s">
        <v>143</v>
      </c>
    </row>
    <row r="12" spans="1:9" ht="14.25" customHeight="1" x14ac:dyDescent="0.2">
      <c r="A12" s="88">
        <v>6</v>
      </c>
      <c r="B12" s="89" t="s">
        <v>11</v>
      </c>
      <c r="C12" s="89" t="s">
        <v>12</v>
      </c>
      <c r="D12" s="89" t="s">
        <v>13</v>
      </c>
      <c r="E12" s="90">
        <v>378978</v>
      </c>
      <c r="F12" s="91">
        <v>7158.1364640000002</v>
      </c>
      <c r="G12" s="92">
        <v>2.547133E-2</v>
      </c>
      <c r="H12" s="87" t="s">
        <v>143</v>
      </c>
    </row>
    <row r="13" spans="1:9" ht="14.25" customHeight="1" x14ac:dyDescent="0.2">
      <c r="A13" s="88">
        <v>7</v>
      </c>
      <c r="B13" s="89" t="s">
        <v>341</v>
      </c>
      <c r="C13" s="89" t="s">
        <v>342</v>
      </c>
      <c r="D13" s="89" t="s">
        <v>256</v>
      </c>
      <c r="E13" s="90">
        <v>312249</v>
      </c>
      <c r="F13" s="91">
        <v>5956.4619240000002</v>
      </c>
      <c r="G13" s="92">
        <v>2.119532E-2</v>
      </c>
      <c r="H13" s="87" t="s">
        <v>143</v>
      </c>
    </row>
    <row r="14" spans="1:9" ht="14.25" customHeight="1" x14ac:dyDescent="0.2">
      <c r="A14" s="88">
        <v>8</v>
      </c>
      <c r="B14" s="89" t="s">
        <v>186</v>
      </c>
      <c r="C14" s="89" t="s">
        <v>187</v>
      </c>
      <c r="D14" s="89" t="s">
        <v>188</v>
      </c>
      <c r="E14" s="90">
        <v>652550</v>
      </c>
      <c r="F14" s="91">
        <v>5947.9932500000004</v>
      </c>
      <c r="G14" s="92">
        <v>2.116519E-2</v>
      </c>
      <c r="H14" s="87" t="s">
        <v>143</v>
      </c>
    </row>
    <row r="15" spans="1:9" ht="14.25" customHeight="1" x14ac:dyDescent="0.2">
      <c r="A15" s="88">
        <v>9</v>
      </c>
      <c r="B15" s="89" t="s">
        <v>205</v>
      </c>
      <c r="C15" s="89" t="s">
        <v>206</v>
      </c>
      <c r="D15" s="89" t="s">
        <v>207</v>
      </c>
      <c r="E15" s="90">
        <v>946607</v>
      </c>
      <c r="F15" s="91">
        <v>5942.3254424999996</v>
      </c>
      <c r="G15" s="92">
        <v>2.114502E-2</v>
      </c>
      <c r="H15" s="87" t="s">
        <v>143</v>
      </c>
    </row>
    <row r="16" spans="1:9" ht="14.25" customHeight="1" x14ac:dyDescent="0.2">
      <c r="A16" s="88">
        <v>10</v>
      </c>
      <c r="B16" s="89" t="s">
        <v>54</v>
      </c>
      <c r="C16" s="89" t="s">
        <v>55</v>
      </c>
      <c r="D16" s="89" t="s">
        <v>25</v>
      </c>
      <c r="E16" s="90">
        <v>84516</v>
      </c>
      <c r="F16" s="91">
        <v>5870.9039400000001</v>
      </c>
      <c r="G16" s="92">
        <v>2.0890869999999999E-2</v>
      </c>
      <c r="H16" s="87" t="s">
        <v>143</v>
      </c>
    </row>
    <row r="17" spans="1:8" ht="14.25" customHeight="1" x14ac:dyDescent="0.2">
      <c r="A17" s="88">
        <v>11</v>
      </c>
      <c r="B17" s="89" t="s">
        <v>200</v>
      </c>
      <c r="C17" s="89" t="s">
        <v>201</v>
      </c>
      <c r="D17" s="89" t="s">
        <v>33</v>
      </c>
      <c r="E17" s="90">
        <v>887236</v>
      </c>
      <c r="F17" s="91">
        <v>5794.5383160000001</v>
      </c>
      <c r="G17" s="92">
        <v>2.0619140000000001E-2</v>
      </c>
      <c r="H17" s="87" t="s">
        <v>143</v>
      </c>
    </row>
    <row r="18" spans="1:8" ht="14.25" customHeight="1" x14ac:dyDescent="0.2">
      <c r="A18" s="88">
        <v>12</v>
      </c>
      <c r="B18" s="89" t="s">
        <v>192</v>
      </c>
      <c r="C18" s="89" t="s">
        <v>193</v>
      </c>
      <c r="D18" s="89" t="s">
        <v>194</v>
      </c>
      <c r="E18" s="90">
        <v>300825</v>
      </c>
      <c r="F18" s="91">
        <v>5700.3329249999997</v>
      </c>
      <c r="G18" s="92">
        <v>2.028392E-2</v>
      </c>
      <c r="H18" s="87" t="s">
        <v>143</v>
      </c>
    </row>
    <row r="19" spans="1:8" ht="14.25" customHeight="1" x14ac:dyDescent="0.2">
      <c r="A19" s="88">
        <v>13</v>
      </c>
      <c r="B19" s="89" t="s">
        <v>85</v>
      </c>
      <c r="C19" s="89" t="s">
        <v>86</v>
      </c>
      <c r="D19" s="89" t="s">
        <v>68</v>
      </c>
      <c r="E19" s="90">
        <v>147730</v>
      </c>
      <c r="F19" s="91">
        <v>5629.3993799999998</v>
      </c>
      <c r="G19" s="92">
        <v>2.0031509999999999E-2</v>
      </c>
      <c r="H19" s="87" t="s">
        <v>143</v>
      </c>
    </row>
    <row r="20" spans="1:8" ht="14.25" customHeight="1" x14ac:dyDescent="0.2">
      <c r="A20" s="88">
        <v>14</v>
      </c>
      <c r="B20" s="89" t="s">
        <v>44</v>
      </c>
      <c r="C20" s="89" t="s">
        <v>45</v>
      </c>
      <c r="D20" s="89" t="s">
        <v>46</v>
      </c>
      <c r="E20" s="90">
        <v>75199</v>
      </c>
      <c r="F20" s="91">
        <v>5465.0873250000004</v>
      </c>
      <c r="G20" s="92">
        <v>1.9446829999999998E-2</v>
      </c>
      <c r="H20" s="87" t="s">
        <v>143</v>
      </c>
    </row>
    <row r="21" spans="1:8" ht="14.25" customHeight="1" x14ac:dyDescent="0.2">
      <c r="A21" s="88">
        <v>15</v>
      </c>
      <c r="B21" s="89" t="s">
        <v>739</v>
      </c>
      <c r="C21" s="89" t="s">
        <v>740</v>
      </c>
      <c r="D21" s="89" t="s">
        <v>741</v>
      </c>
      <c r="E21" s="90">
        <v>1574823</v>
      </c>
      <c r="F21" s="91">
        <v>5360.6974920000002</v>
      </c>
      <c r="G21" s="92">
        <v>1.9075370000000001E-2</v>
      </c>
      <c r="H21" s="87" t="s">
        <v>143</v>
      </c>
    </row>
    <row r="22" spans="1:8" ht="14.25" customHeight="1" x14ac:dyDescent="0.2">
      <c r="A22" s="88">
        <v>16</v>
      </c>
      <c r="B22" s="89" t="s">
        <v>325</v>
      </c>
      <c r="C22" s="89" t="s">
        <v>326</v>
      </c>
      <c r="D22" s="89" t="s">
        <v>199</v>
      </c>
      <c r="E22" s="90">
        <v>364710</v>
      </c>
      <c r="F22" s="91">
        <v>5359.7781599999998</v>
      </c>
      <c r="G22" s="92">
        <v>1.9072100000000002E-2</v>
      </c>
      <c r="H22" s="87" t="s">
        <v>143</v>
      </c>
    </row>
    <row r="23" spans="1:8" ht="14.25" customHeight="1" x14ac:dyDescent="0.2">
      <c r="A23" s="88">
        <v>17</v>
      </c>
      <c r="B23" s="89" t="s">
        <v>189</v>
      </c>
      <c r="C23" s="89" t="s">
        <v>190</v>
      </c>
      <c r="D23" s="89" t="s">
        <v>191</v>
      </c>
      <c r="E23" s="90">
        <v>2058790</v>
      </c>
      <c r="F23" s="91">
        <v>5228.2972049999998</v>
      </c>
      <c r="G23" s="92">
        <v>1.8604240000000001E-2</v>
      </c>
      <c r="H23" s="87" t="s">
        <v>143</v>
      </c>
    </row>
    <row r="24" spans="1:8" ht="14.25" customHeight="1" x14ac:dyDescent="0.2">
      <c r="A24" s="88">
        <v>18</v>
      </c>
      <c r="B24" s="89" t="s">
        <v>517</v>
      </c>
      <c r="C24" s="89" t="s">
        <v>518</v>
      </c>
      <c r="D24" s="89" t="s">
        <v>43</v>
      </c>
      <c r="E24" s="90">
        <v>493344</v>
      </c>
      <c r="F24" s="91">
        <v>4885.33896</v>
      </c>
      <c r="G24" s="92">
        <v>1.7383860000000001E-2</v>
      </c>
      <c r="H24" s="87" t="s">
        <v>143</v>
      </c>
    </row>
    <row r="25" spans="1:8" ht="14.25" customHeight="1" x14ac:dyDescent="0.2">
      <c r="A25" s="88">
        <v>19</v>
      </c>
      <c r="B25" s="89" t="s">
        <v>23</v>
      </c>
      <c r="C25" s="89" t="s">
        <v>24</v>
      </c>
      <c r="D25" s="89" t="s">
        <v>25</v>
      </c>
      <c r="E25" s="90">
        <v>38374</v>
      </c>
      <c r="F25" s="91">
        <v>4850.4736000000003</v>
      </c>
      <c r="G25" s="92">
        <v>1.7259799999999999E-2</v>
      </c>
      <c r="H25" s="87" t="s">
        <v>143</v>
      </c>
    </row>
    <row r="26" spans="1:8" ht="14.25" customHeight="1" x14ac:dyDescent="0.2">
      <c r="A26" s="88">
        <v>20</v>
      </c>
      <c r="B26" s="89" t="s">
        <v>467</v>
      </c>
      <c r="C26" s="89" t="s">
        <v>468</v>
      </c>
      <c r="D26" s="89" t="s">
        <v>33</v>
      </c>
      <c r="E26" s="90">
        <v>3919350</v>
      </c>
      <c r="F26" s="91">
        <v>4796.1085949999997</v>
      </c>
      <c r="G26" s="92">
        <v>1.7066350000000001E-2</v>
      </c>
      <c r="H26" s="87" t="s">
        <v>143</v>
      </c>
    </row>
    <row r="27" spans="1:8" ht="14.25" customHeight="1" x14ac:dyDescent="0.2">
      <c r="A27" s="88">
        <v>21</v>
      </c>
      <c r="B27" s="89" t="s">
        <v>26</v>
      </c>
      <c r="C27" s="89" t="s">
        <v>27</v>
      </c>
      <c r="D27" s="89" t="s">
        <v>28</v>
      </c>
      <c r="E27" s="90">
        <v>1280435</v>
      </c>
      <c r="F27" s="91">
        <v>4729.9268899999997</v>
      </c>
      <c r="G27" s="92">
        <v>1.6830850000000001E-2</v>
      </c>
      <c r="H27" s="87" t="s">
        <v>143</v>
      </c>
    </row>
    <row r="28" spans="1:8" ht="14.25" customHeight="1" x14ac:dyDescent="0.2">
      <c r="A28" s="88">
        <v>22</v>
      </c>
      <c r="B28" s="89" t="s">
        <v>235</v>
      </c>
      <c r="C28" s="89" t="s">
        <v>236</v>
      </c>
      <c r="D28" s="89" t="s">
        <v>191</v>
      </c>
      <c r="E28" s="90">
        <v>39406</v>
      </c>
      <c r="F28" s="91">
        <v>4678.2803199999998</v>
      </c>
      <c r="G28" s="92">
        <v>1.664707E-2</v>
      </c>
      <c r="H28" s="87" t="s">
        <v>143</v>
      </c>
    </row>
    <row r="29" spans="1:8" ht="14.25" customHeight="1" x14ac:dyDescent="0.2">
      <c r="A29" s="88">
        <v>23</v>
      </c>
      <c r="B29" s="89" t="s">
        <v>83</v>
      </c>
      <c r="C29" s="89" t="s">
        <v>84</v>
      </c>
      <c r="D29" s="89" t="s">
        <v>43</v>
      </c>
      <c r="E29" s="90">
        <v>63972</v>
      </c>
      <c r="F29" s="91">
        <v>4422.0645000000004</v>
      </c>
      <c r="G29" s="92">
        <v>1.573536E-2</v>
      </c>
      <c r="H29" s="87" t="s">
        <v>143</v>
      </c>
    </row>
    <row r="30" spans="1:8" ht="14.25" customHeight="1" x14ac:dyDescent="0.2">
      <c r="A30" s="88">
        <v>24</v>
      </c>
      <c r="B30" s="89" t="s">
        <v>214</v>
      </c>
      <c r="C30" s="89" t="s">
        <v>215</v>
      </c>
      <c r="D30" s="89" t="s">
        <v>19</v>
      </c>
      <c r="E30" s="90">
        <v>1161716</v>
      </c>
      <c r="F30" s="91">
        <v>4366.8904439999997</v>
      </c>
      <c r="G30" s="92">
        <v>1.5539030000000001E-2</v>
      </c>
      <c r="H30" s="87" t="s">
        <v>143</v>
      </c>
    </row>
    <row r="31" spans="1:8" ht="14.25" customHeight="1" x14ac:dyDescent="0.2">
      <c r="A31" s="88">
        <v>25</v>
      </c>
      <c r="B31" s="89" t="s">
        <v>257</v>
      </c>
      <c r="C31" s="89" t="s">
        <v>258</v>
      </c>
      <c r="D31" s="89" t="s">
        <v>207</v>
      </c>
      <c r="E31" s="90">
        <v>2485303</v>
      </c>
      <c r="F31" s="91">
        <v>4329.8948866000001</v>
      </c>
      <c r="G31" s="92">
        <v>1.540739E-2</v>
      </c>
      <c r="H31" s="87" t="s">
        <v>143</v>
      </c>
    </row>
    <row r="32" spans="1:8" ht="14.25" customHeight="1" x14ac:dyDescent="0.2">
      <c r="A32" s="88">
        <v>26</v>
      </c>
      <c r="B32" s="89" t="s">
        <v>226</v>
      </c>
      <c r="C32" s="89" t="s">
        <v>227</v>
      </c>
      <c r="D32" s="89" t="s">
        <v>207</v>
      </c>
      <c r="E32" s="90">
        <v>416636</v>
      </c>
      <c r="F32" s="91">
        <v>4209.2735080000002</v>
      </c>
      <c r="G32" s="92">
        <v>1.4978170000000001E-2</v>
      </c>
      <c r="H32" s="87" t="s">
        <v>143</v>
      </c>
    </row>
    <row r="33" spans="1:8" ht="14.25" customHeight="1" x14ac:dyDescent="0.2">
      <c r="A33" s="88">
        <v>27</v>
      </c>
      <c r="B33" s="89" t="s">
        <v>331</v>
      </c>
      <c r="C33" s="89" t="s">
        <v>332</v>
      </c>
      <c r="D33" s="89" t="s">
        <v>243</v>
      </c>
      <c r="E33" s="90">
        <v>130863</v>
      </c>
      <c r="F33" s="91">
        <v>4186.9616850000002</v>
      </c>
      <c r="G33" s="92">
        <v>1.489878E-2</v>
      </c>
      <c r="H33" s="87" t="s">
        <v>143</v>
      </c>
    </row>
    <row r="34" spans="1:8" ht="14.25" customHeight="1" x14ac:dyDescent="0.2">
      <c r="A34" s="88">
        <v>28</v>
      </c>
      <c r="B34" s="89" t="s">
        <v>71</v>
      </c>
      <c r="C34" s="89" t="s">
        <v>72</v>
      </c>
      <c r="D34" s="89" t="s">
        <v>68</v>
      </c>
      <c r="E34" s="90">
        <v>108339</v>
      </c>
      <c r="F34" s="91">
        <v>4145.2668180000001</v>
      </c>
      <c r="G34" s="92">
        <v>1.475041E-2</v>
      </c>
      <c r="H34" s="87" t="s">
        <v>143</v>
      </c>
    </row>
    <row r="35" spans="1:8" ht="14.25" customHeight="1" x14ac:dyDescent="0.2">
      <c r="A35" s="88">
        <v>29</v>
      </c>
      <c r="B35" s="89" t="s">
        <v>667</v>
      </c>
      <c r="C35" s="89" t="s">
        <v>668</v>
      </c>
      <c r="D35" s="89" t="s">
        <v>669</v>
      </c>
      <c r="E35" s="90">
        <v>1097168</v>
      </c>
      <c r="F35" s="91">
        <v>4112.1856639999996</v>
      </c>
      <c r="G35" s="92">
        <v>1.46327E-2</v>
      </c>
      <c r="H35" s="87" t="s">
        <v>143</v>
      </c>
    </row>
    <row r="36" spans="1:8" ht="14.25" customHeight="1" x14ac:dyDescent="0.2">
      <c r="A36" s="88">
        <v>30</v>
      </c>
      <c r="B36" s="89" t="s">
        <v>47</v>
      </c>
      <c r="C36" s="89" t="s">
        <v>48</v>
      </c>
      <c r="D36" s="89" t="s">
        <v>22</v>
      </c>
      <c r="E36" s="90">
        <v>1094203</v>
      </c>
      <c r="F36" s="91">
        <v>4093.9605244999998</v>
      </c>
      <c r="G36" s="92">
        <v>1.456784E-2</v>
      </c>
      <c r="H36" s="87" t="s">
        <v>143</v>
      </c>
    </row>
    <row r="37" spans="1:8" ht="14.25" customHeight="1" x14ac:dyDescent="0.2">
      <c r="A37" s="88">
        <v>31</v>
      </c>
      <c r="B37" s="89" t="s">
        <v>742</v>
      </c>
      <c r="C37" s="89" t="s">
        <v>743</v>
      </c>
      <c r="D37" s="89" t="s">
        <v>46</v>
      </c>
      <c r="E37" s="90">
        <v>216964</v>
      </c>
      <c r="F37" s="91">
        <v>4082.6115880000002</v>
      </c>
      <c r="G37" s="92">
        <v>1.4527460000000001E-2</v>
      </c>
      <c r="H37" s="87" t="s">
        <v>143</v>
      </c>
    </row>
    <row r="38" spans="1:8" ht="14.25" customHeight="1" x14ac:dyDescent="0.2">
      <c r="A38" s="88">
        <v>32</v>
      </c>
      <c r="B38" s="89" t="s">
        <v>430</v>
      </c>
      <c r="C38" s="89" t="s">
        <v>431</v>
      </c>
      <c r="D38" s="89" t="s">
        <v>199</v>
      </c>
      <c r="E38" s="90">
        <v>272597</v>
      </c>
      <c r="F38" s="91">
        <v>3965.741156</v>
      </c>
      <c r="G38" s="92">
        <v>1.411159E-2</v>
      </c>
      <c r="H38" s="87" t="s">
        <v>143</v>
      </c>
    </row>
    <row r="39" spans="1:8" ht="14.25" customHeight="1" x14ac:dyDescent="0.2">
      <c r="A39" s="88">
        <v>33</v>
      </c>
      <c r="B39" s="89" t="s">
        <v>372</v>
      </c>
      <c r="C39" s="89" t="s">
        <v>373</v>
      </c>
      <c r="D39" s="89" t="s">
        <v>194</v>
      </c>
      <c r="E39" s="90">
        <v>226901</v>
      </c>
      <c r="F39" s="91">
        <v>3912.453943</v>
      </c>
      <c r="G39" s="92">
        <v>1.392198E-2</v>
      </c>
      <c r="H39" s="87" t="s">
        <v>143</v>
      </c>
    </row>
    <row r="40" spans="1:8" ht="14.25" customHeight="1" x14ac:dyDescent="0.2">
      <c r="A40" s="88">
        <v>34</v>
      </c>
      <c r="B40" s="89" t="s">
        <v>305</v>
      </c>
      <c r="C40" s="89" t="s">
        <v>306</v>
      </c>
      <c r="D40" s="89" t="s">
        <v>68</v>
      </c>
      <c r="E40" s="90">
        <v>88054</v>
      </c>
      <c r="F40" s="91">
        <v>3909.5976000000001</v>
      </c>
      <c r="G40" s="92">
        <v>1.391181E-2</v>
      </c>
      <c r="H40" s="87" t="s">
        <v>143</v>
      </c>
    </row>
    <row r="41" spans="1:8" ht="14.25" customHeight="1" x14ac:dyDescent="0.2">
      <c r="A41" s="88">
        <v>35</v>
      </c>
      <c r="B41" s="89" t="s">
        <v>744</v>
      </c>
      <c r="C41" s="89" t="s">
        <v>745</v>
      </c>
      <c r="D41" s="89" t="s">
        <v>188</v>
      </c>
      <c r="E41" s="90">
        <v>174800</v>
      </c>
      <c r="F41" s="91">
        <v>3825.498</v>
      </c>
      <c r="G41" s="92">
        <v>1.3612549999999999E-2</v>
      </c>
      <c r="H41" s="87" t="s">
        <v>143</v>
      </c>
    </row>
    <row r="42" spans="1:8" ht="14.25" customHeight="1" x14ac:dyDescent="0.2">
      <c r="A42" s="88">
        <v>36</v>
      </c>
      <c r="B42" s="89" t="s">
        <v>75</v>
      </c>
      <c r="C42" s="89" t="s">
        <v>76</v>
      </c>
      <c r="D42" s="89" t="s">
        <v>77</v>
      </c>
      <c r="E42" s="90">
        <v>406619</v>
      </c>
      <c r="F42" s="91">
        <v>3753.4999889999999</v>
      </c>
      <c r="G42" s="92">
        <v>1.3356359999999999E-2</v>
      </c>
      <c r="H42" s="87" t="s">
        <v>143</v>
      </c>
    </row>
    <row r="43" spans="1:8" ht="14.25" customHeight="1" x14ac:dyDescent="0.2">
      <c r="A43" s="88">
        <v>37</v>
      </c>
      <c r="B43" s="89" t="s">
        <v>97</v>
      </c>
      <c r="C43" s="89" t="s">
        <v>98</v>
      </c>
      <c r="D43" s="89" t="s">
        <v>68</v>
      </c>
      <c r="E43" s="90">
        <v>396735</v>
      </c>
      <c r="F43" s="91">
        <v>3564.4656074999998</v>
      </c>
      <c r="G43" s="92">
        <v>1.2683699999999999E-2</v>
      </c>
      <c r="H43" s="87" t="s">
        <v>143</v>
      </c>
    </row>
    <row r="44" spans="1:8" ht="14.25" customHeight="1" x14ac:dyDescent="0.2">
      <c r="A44" s="88">
        <v>38</v>
      </c>
      <c r="B44" s="89" t="s">
        <v>458</v>
      </c>
      <c r="C44" s="89" t="s">
        <v>459</v>
      </c>
      <c r="D44" s="89" t="s">
        <v>460</v>
      </c>
      <c r="E44" s="90">
        <v>303948</v>
      </c>
      <c r="F44" s="91">
        <v>3421.8465839999999</v>
      </c>
      <c r="G44" s="92">
        <v>1.217621E-2</v>
      </c>
      <c r="H44" s="87" t="s">
        <v>143</v>
      </c>
    </row>
    <row r="45" spans="1:8" ht="14.25" customHeight="1" x14ac:dyDescent="0.2">
      <c r="A45" s="88">
        <v>39</v>
      </c>
      <c r="B45" s="89" t="s">
        <v>471</v>
      </c>
      <c r="C45" s="89" t="s">
        <v>472</v>
      </c>
      <c r="D45" s="89" t="s">
        <v>133</v>
      </c>
      <c r="E45" s="90">
        <v>180501</v>
      </c>
      <c r="F45" s="91">
        <v>3333.6729690000002</v>
      </c>
      <c r="G45" s="92">
        <v>1.186246E-2</v>
      </c>
      <c r="H45" s="87" t="s">
        <v>143</v>
      </c>
    </row>
    <row r="46" spans="1:8" ht="14.25" customHeight="1" x14ac:dyDescent="0.2">
      <c r="A46" s="88">
        <v>40</v>
      </c>
      <c r="B46" s="89" t="s">
        <v>210</v>
      </c>
      <c r="C46" s="89" t="s">
        <v>211</v>
      </c>
      <c r="D46" s="89" t="s">
        <v>199</v>
      </c>
      <c r="E46" s="90">
        <v>185442</v>
      </c>
      <c r="F46" s="91">
        <v>3197.5764060000001</v>
      </c>
      <c r="G46" s="92">
        <v>1.137817E-2</v>
      </c>
      <c r="H46" s="87" t="s">
        <v>143</v>
      </c>
    </row>
    <row r="47" spans="1:8" ht="14.25" customHeight="1" x14ac:dyDescent="0.2">
      <c r="A47" s="88">
        <v>41</v>
      </c>
      <c r="B47" s="89" t="s">
        <v>244</v>
      </c>
      <c r="C47" s="89" t="s">
        <v>245</v>
      </c>
      <c r="D47" s="89" t="s">
        <v>191</v>
      </c>
      <c r="E47" s="90">
        <v>562025</v>
      </c>
      <c r="F47" s="91">
        <v>3120.3627999999999</v>
      </c>
      <c r="G47" s="92">
        <v>1.1103419999999999E-2</v>
      </c>
      <c r="H47" s="87" t="s">
        <v>143</v>
      </c>
    </row>
    <row r="48" spans="1:8" ht="14.25" customHeight="1" x14ac:dyDescent="0.2">
      <c r="A48" s="88">
        <v>42</v>
      </c>
      <c r="B48" s="89" t="s">
        <v>202</v>
      </c>
      <c r="C48" s="89" t="s">
        <v>203</v>
      </c>
      <c r="D48" s="89" t="s">
        <v>204</v>
      </c>
      <c r="E48" s="90">
        <v>419089</v>
      </c>
      <c r="F48" s="91">
        <v>3041.9575064999999</v>
      </c>
      <c r="G48" s="92">
        <v>1.082442E-2</v>
      </c>
      <c r="H48" s="87" t="s">
        <v>143</v>
      </c>
    </row>
    <row r="49" spans="1:8" ht="14.25" customHeight="1" x14ac:dyDescent="0.2">
      <c r="A49" s="88">
        <v>43</v>
      </c>
      <c r="B49" s="89" t="s">
        <v>445</v>
      </c>
      <c r="C49" s="89" t="s">
        <v>446</v>
      </c>
      <c r="D49" s="89" t="s">
        <v>429</v>
      </c>
      <c r="E49" s="90">
        <v>113230</v>
      </c>
      <c r="F49" s="91">
        <v>3011.6915399999998</v>
      </c>
      <c r="G49" s="92">
        <v>1.0716730000000001E-2</v>
      </c>
      <c r="H49" s="87" t="s">
        <v>143</v>
      </c>
    </row>
    <row r="50" spans="1:8" ht="14.25" customHeight="1" x14ac:dyDescent="0.2">
      <c r="A50" s="88">
        <v>44</v>
      </c>
      <c r="B50" s="89" t="s">
        <v>385</v>
      </c>
      <c r="C50" s="89" t="s">
        <v>386</v>
      </c>
      <c r="D50" s="89" t="s">
        <v>199</v>
      </c>
      <c r="E50" s="90">
        <v>585264</v>
      </c>
      <c r="F50" s="91">
        <v>2995.3811519999999</v>
      </c>
      <c r="G50" s="92">
        <v>1.065869E-2</v>
      </c>
      <c r="H50" s="87" t="s">
        <v>143</v>
      </c>
    </row>
    <row r="51" spans="1:8" ht="14.25" customHeight="1" x14ac:dyDescent="0.2">
      <c r="A51" s="88">
        <v>45</v>
      </c>
      <c r="B51" s="89" t="s">
        <v>113</v>
      </c>
      <c r="C51" s="89" t="s">
        <v>114</v>
      </c>
      <c r="D51" s="89" t="s">
        <v>68</v>
      </c>
      <c r="E51" s="90">
        <v>182448</v>
      </c>
      <c r="F51" s="91">
        <v>2927.7430559999998</v>
      </c>
      <c r="G51" s="92">
        <v>1.041801E-2</v>
      </c>
      <c r="H51" s="87" t="s">
        <v>143</v>
      </c>
    </row>
    <row r="52" spans="1:8" ht="14.25" customHeight="1" x14ac:dyDescent="0.2">
      <c r="A52" s="88">
        <v>46</v>
      </c>
      <c r="B52" s="89" t="s">
        <v>230</v>
      </c>
      <c r="C52" s="89" t="s">
        <v>231</v>
      </c>
      <c r="D52" s="89" t="s">
        <v>232</v>
      </c>
      <c r="E52" s="90">
        <v>150666</v>
      </c>
      <c r="F52" s="91">
        <v>2787.4716659999999</v>
      </c>
      <c r="G52" s="92">
        <v>9.9188699999999998E-3</v>
      </c>
      <c r="H52" s="87" t="s">
        <v>143</v>
      </c>
    </row>
    <row r="53" spans="1:8" ht="14.25" customHeight="1" x14ac:dyDescent="0.2">
      <c r="A53" s="88">
        <v>47</v>
      </c>
      <c r="B53" s="89" t="s">
        <v>674</v>
      </c>
      <c r="C53" s="89" t="s">
        <v>675</v>
      </c>
      <c r="D53" s="89" t="s">
        <v>199</v>
      </c>
      <c r="E53" s="90">
        <v>89080</v>
      </c>
      <c r="F53" s="91">
        <v>2483.5504000000001</v>
      </c>
      <c r="G53" s="92">
        <v>8.8374000000000005E-3</v>
      </c>
      <c r="H53" s="87" t="s">
        <v>143</v>
      </c>
    </row>
    <row r="54" spans="1:8" ht="14.25" customHeight="1" x14ac:dyDescent="0.2">
      <c r="A54" s="88">
        <v>48</v>
      </c>
      <c r="B54" s="89" t="s">
        <v>289</v>
      </c>
      <c r="C54" s="89" t="s">
        <v>290</v>
      </c>
      <c r="D54" s="89" t="s">
        <v>185</v>
      </c>
      <c r="E54" s="90">
        <v>62427</v>
      </c>
      <c r="F54" s="91">
        <v>2306.5527959999999</v>
      </c>
      <c r="G54" s="92">
        <v>8.2075800000000008E-3</v>
      </c>
      <c r="H54" s="87" t="s">
        <v>143</v>
      </c>
    </row>
    <row r="55" spans="1:8" ht="14.25" customHeight="1" x14ac:dyDescent="0.2">
      <c r="A55" s="88">
        <v>49</v>
      </c>
      <c r="B55" s="89" t="s">
        <v>271</v>
      </c>
      <c r="C55" s="89" t="s">
        <v>272</v>
      </c>
      <c r="D55" s="89" t="s">
        <v>223</v>
      </c>
      <c r="E55" s="90">
        <v>221042</v>
      </c>
      <c r="F55" s="91">
        <v>2250.428602</v>
      </c>
      <c r="G55" s="92">
        <v>8.0078700000000003E-3</v>
      </c>
      <c r="H55" s="87" t="s">
        <v>143</v>
      </c>
    </row>
    <row r="56" spans="1:8" ht="14.25" customHeight="1" x14ac:dyDescent="0.2">
      <c r="A56" s="88">
        <v>50</v>
      </c>
      <c r="B56" s="89" t="s">
        <v>60</v>
      </c>
      <c r="C56" s="89" t="s">
        <v>61</v>
      </c>
      <c r="D56" s="89" t="s">
        <v>62</v>
      </c>
      <c r="E56" s="90">
        <v>156942</v>
      </c>
      <c r="F56" s="91">
        <v>2060.3345760000002</v>
      </c>
      <c r="G56" s="92">
        <v>7.3314399999999998E-3</v>
      </c>
      <c r="H56" s="87" t="s">
        <v>143</v>
      </c>
    </row>
    <row r="57" spans="1:8" ht="14.25" customHeight="1" x14ac:dyDescent="0.2">
      <c r="A57" s="88">
        <v>51</v>
      </c>
      <c r="B57" s="89" t="s">
        <v>481</v>
      </c>
      <c r="C57" s="89" t="s">
        <v>482</v>
      </c>
      <c r="D57" s="89" t="s">
        <v>483</v>
      </c>
      <c r="E57" s="90">
        <v>427321</v>
      </c>
      <c r="F57" s="91">
        <v>1783.8515144999999</v>
      </c>
      <c r="G57" s="92">
        <v>6.3476100000000001E-3</v>
      </c>
      <c r="H57" s="87" t="s">
        <v>143</v>
      </c>
    </row>
    <row r="58" spans="1:8" ht="14.25" customHeight="1" x14ac:dyDescent="0.2">
      <c r="A58" s="88">
        <v>52</v>
      </c>
      <c r="B58" s="89" t="s">
        <v>195</v>
      </c>
      <c r="C58" s="89" t="s">
        <v>196</v>
      </c>
      <c r="D58" s="89" t="s">
        <v>46</v>
      </c>
      <c r="E58" s="90">
        <v>248625</v>
      </c>
      <c r="F58" s="91">
        <v>1253.4429375</v>
      </c>
      <c r="G58" s="92">
        <v>4.46022E-3</v>
      </c>
      <c r="H58" s="87" t="s">
        <v>143</v>
      </c>
    </row>
    <row r="59" spans="1:8" ht="14.25" customHeight="1" x14ac:dyDescent="0.2">
      <c r="A59" s="88">
        <v>53</v>
      </c>
      <c r="B59" s="89" t="s">
        <v>115</v>
      </c>
      <c r="C59" s="89" t="s">
        <v>116</v>
      </c>
      <c r="D59" s="89" t="s">
        <v>36</v>
      </c>
      <c r="E59" s="90">
        <v>34410</v>
      </c>
      <c r="F59" s="91">
        <v>1161.3030900000001</v>
      </c>
      <c r="G59" s="92">
        <v>4.1323499999999999E-3</v>
      </c>
      <c r="H59" s="87" t="s">
        <v>143</v>
      </c>
    </row>
    <row r="60" spans="1:8" ht="14.25" customHeight="1" x14ac:dyDescent="0.2">
      <c r="A60" s="88">
        <v>54</v>
      </c>
      <c r="B60" s="89" t="s">
        <v>218</v>
      </c>
      <c r="C60" s="89" t="s">
        <v>219</v>
      </c>
      <c r="D60" s="89" t="s">
        <v>220</v>
      </c>
      <c r="E60" s="90">
        <v>62771</v>
      </c>
      <c r="F60" s="91">
        <v>1111.5488680000001</v>
      </c>
      <c r="G60" s="92">
        <v>3.9553100000000001E-3</v>
      </c>
      <c r="H60" s="87" t="s">
        <v>143</v>
      </c>
    </row>
    <row r="61" spans="1:8" ht="14.25" customHeight="1" x14ac:dyDescent="0.2">
      <c r="A61" s="88">
        <v>55</v>
      </c>
      <c r="B61" s="89" t="s">
        <v>101</v>
      </c>
      <c r="C61" s="89" t="s">
        <v>102</v>
      </c>
      <c r="D61" s="89" t="s">
        <v>43</v>
      </c>
      <c r="E61" s="90">
        <v>22462</v>
      </c>
      <c r="F61" s="91">
        <v>868.69538799999998</v>
      </c>
      <c r="G61" s="92">
        <v>3.09114E-3</v>
      </c>
      <c r="H61" s="87" t="s">
        <v>143</v>
      </c>
    </row>
    <row r="62" spans="1:8" ht="14.25" customHeight="1" x14ac:dyDescent="0.2">
      <c r="A62" s="88">
        <v>56</v>
      </c>
      <c r="B62" s="89" t="s">
        <v>34</v>
      </c>
      <c r="C62" s="89" t="s">
        <v>35</v>
      </c>
      <c r="D62" s="89" t="s">
        <v>36</v>
      </c>
      <c r="E62" s="90">
        <v>25094</v>
      </c>
      <c r="F62" s="91">
        <v>697.41244800000004</v>
      </c>
      <c r="G62" s="92">
        <v>2.4816500000000002E-3</v>
      </c>
      <c r="H62" s="87" t="s">
        <v>143</v>
      </c>
    </row>
    <row r="63" spans="1:8" ht="14.25" customHeight="1" x14ac:dyDescent="0.2">
      <c r="A63" s="88">
        <v>57</v>
      </c>
      <c r="B63" s="89" t="s">
        <v>479</v>
      </c>
      <c r="C63" s="89" t="s">
        <v>480</v>
      </c>
      <c r="D63" s="89" t="s">
        <v>275</v>
      </c>
      <c r="E63" s="90">
        <v>48204</v>
      </c>
      <c r="F63" s="91">
        <v>654.65852400000006</v>
      </c>
      <c r="G63" s="92">
        <v>2.3295199999999999E-3</v>
      </c>
      <c r="H63" s="87" t="s">
        <v>143</v>
      </c>
    </row>
    <row r="64" spans="1:8" ht="14.25" customHeight="1" x14ac:dyDescent="0.2">
      <c r="A64" s="88">
        <v>58</v>
      </c>
      <c r="B64" s="89" t="s">
        <v>51</v>
      </c>
      <c r="C64" s="89" t="s">
        <v>52</v>
      </c>
      <c r="D64" s="89" t="s">
        <v>53</v>
      </c>
      <c r="E64" s="90">
        <v>10490</v>
      </c>
      <c r="F64" s="91">
        <v>592.2654</v>
      </c>
      <c r="G64" s="92">
        <v>2.1075E-3</v>
      </c>
      <c r="H64" s="87" t="s">
        <v>143</v>
      </c>
    </row>
    <row r="65" spans="1:8" ht="14.25" customHeight="1" x14ac:dyDescent="0.2">
      <c r="A65" s="88">
        <v>59</v>
      </c>
      <c r="B65" s="89" t="s">
        <v>221</v>
      </c>
      <c r="C65" s="89" t="s">
        <v>222</v>
      </c>
      <c r="D65" s="89" t="s">
        <v>223</v>
      </c>
      <c r="E65" s="90">
        <v>25877</v>
      </c>
      <c r="F65" s="91">
        <v>542.433674</v>
      </c>
      <c r="G65" s="92">
        <v>1.9301800000000001E-3</v>
      </c>
      <c r="H65" s="87" t="s">
        <v>143</v>
      </c>
    </row>
    <row r="66" spans="1:8" ht="14.25" customHeight="1" x14ac:dyDescent="0.2">
      <c r="A66" s="88">
        <v>60</v>
      </c>
      <c r="B66" s="89" t="s">
        <v>309</v>
      </c>
      <c r="C66" s="89" t="s">
        <v>310</v>
      </c>
      <c r="D66" s="89" t="s">
        <v>194</v>
      </c>
      <c r="E66" s="90">
        <v>24171</v>
      </c>
      <c r="F66" s="91">
        <v>452.36026500000003</v>
      </c>
      <c r="G66" s="92">
        <v>1.6096699999999999E-3</v>
      </c>
      <c r="H66" s="87" t="s">
        <v>143</v>
      </c>
    </row>
    <row r="67" spans="1:8" ht="14.25" customHeight="1" x14ac:dyDescent="0.2">
      <c r="A67" s="93"/>
      <c r="B67" s="93"/>
      <c r="C67" s="94" t="s">
        <v>142</v>
      </c>
      <c r="D67" s="93"/>
      <c r="E67" s="93" t="s">
        <v>143</v>
      </c>
      <c r="F67" s="95">
        <f>SUM(F7:F66)</f>
        <v>263147.90045060008</v>
      </c>
      <c r="G67" s="96">
        <f>SUM(G7:G66)</f>
        <v>0.9363787499999997</v>
      </c>
      <c r="H67" s="87" t="s">
        <v>143</v>
      </c>
    </row>
    <row r="68" spans="1:8" ht="14.25" customHeight="1" x14ac:dyDescent="0.2">
      <c r="A68" s="93"/>
      <c r="B68" s="93"/>
      <c r="C68" s="97"/>
      <c r="D68" s="93"/>
      <c r="E68" s="93"/>
      <c r="F68" s="98"/>
      <c r="G68" s="98"/>
      <c r="H68" s="87" t="s">
        <v>143</v>
      </c>
    </row>
    <row r="69" spans="1:8" ht="14.25" customHeight="1" x14ac:dyDescent="0.2">
      <c r="A69" s="93"/>
      <c r="B69" s="93"/>
      <c r="C69" s="94" t="s">
        <v>144</v>
      </c>
      <c r="D69" s="93"/>
      <c r="E69" s="93"/>
      <c r="F69" s="93"/>
      <c r="G69" s="93"/>
      <c r="H69" s="87" t="s">
        <v>143</v>
      </c>
    </row>
    <row r="70" spans="1:8" ht="14.25" customHeight="1" x14ac:dyDescent="0.2">
      <c r="A70" s="93"/>
      <c r="B70" s="93"/>
      <c r="C70" s="94" t="s">
        <v>142</v>
      </c>
      <c r="D70" s="93"/>
      <c r="E70" s="93" t="s">
        <v>143</v>
      </c>
      <c r="F70" s="99" t="s">
        <v>145</v>
      </c>
      <c r="G70" s="96">
        <v>0</v>
      </c>
      <c r="H70" s="87" t="s">
        <v>143</v>
      </c>
    </row>
    <row r="71" spans="1:8" ht="14.25" customHeight="1" x14ac:dyDescent="0.2">
      <c r="A71" s="93"/>
      <c r="B71" s="93"/>
      <c r="C71" s="97"/>
      <c r="D71" s="93"/>
      <c r="E71" s="93"/>
      <c r="F71" s="98"/>
      <c r="G71" s="98"/>
      <c r="H71" s="87" t="s">
        <v>143</v>
      </c>
    </row>
    <row r="72" spans="1:8" ht="14.25" customHeight="1" x14ac:dyDescent="0.2">
      <c r="A72" s="93"/>
      <c r="B72" s="93"/>
      <c r="C72" s="94" t="s">
        <v>146</v>
      </c>
      <c r="D72" s="93"/>
      <c r="E72" s="93"/>
      <c r="F72" s="93"/>
      <c r="G72" s="93"/>
      <c r="H72" s="87" t="s">
        <v>143</v>
      </c>
    </row>
    <row r="73" spans="1:8" ht="14.25" customHeight="1" x14ac:dyDescent="0.2">
      <c r="A73" s="88">
        <v>1</v>
      </c>
      <c r="B73" s="89" t="s">
        <v>529</v>
      </c>
      <c r="C73" s="127" t="s">
        <v>974</v>
      </c>
      <c r="D73" s="89" t="s">
        <v>207</v>
      </c>
      <c r="E73" s="90">
        <v>511578</v>
      </c>
      <c r="F73" s="91">
        <v>83.796476400000003</v>
      </c>
      <c r="G73" s="92">
        <v>2.9817999999999999E-4</v>
      </c>
      <c r="H73" s="87" t="s">
        <v>143</v>
      </c>
    </row>
    <row r="74" spans="1:8" ht="14.25" customHeight="1" x14ac:dyDescent="0.2">
      <c r="A74" s="88">
        <v>2</v>
      </c>
      <c r="B74" s="89" t="s">
        <v>746</v>
      </c>
      <c r="C74" s="127" t="s">
        <v>1110</v>
      </c>
      <c r="D74" s="89" t="s">
        <v>223</v>
      </c>
      <c r="E74" s="90">
        <v>39500</v>
      </c>
      <c r="F74" s="91">
        <v>22.712499999999999</v>
      </c>
      <c r="G74" s="92">
        <v>8.0820000000000002E-5</v>
      </c>
      <c r="H74" s="87" t="s">
        <v>143</v>
      </c>
    </row>
    <row r="75" spans="1:8" ht="14.25" customHeight="1" x14ac:dyDescent="0.2">
      <c r="A75" s="88">
        <v>3</v>
      </c>
      <c r="B75" s="89" t="s">
        <v>753</v>
      </c>
      <c r="C75" s="127" t="s">
        <v>1111</v>
      </c>
      <c r="D75" s="89"/>
      <c r="E75" s="90">
        <v>54000</v>
      </c>
      <c r="F75" s="91">
        <v>5.4000000000000002E-7</v>
      </c>
      <c r="G75" s="100" t="s">
        <v>141</v>
      </c>
      <c r="H75" s="87" t="s">
        <v>143</v>
      </c>
    </row>
    <row r="76" spans="1:8" ht="14.25" customHeight="1" x14ac:dyDescent="0.2">
      <c r="A76" s="88">
        <v>4</v>
      </c>
      <c r="B76" s="89" t="s">
        <v>752</v>
      </c>
      <c r="C76" s="127" t="s">
        <v>1112</v>
      </c>
      <c r="D76" s="89"/>
      <c r="E76" s="90">
        <v>200</v>
      </c>
      <c r="F76" s="91">
        <v>2.0000000000000001E-9</v>
      </c>
      <c r="G76" s="100" t="s">
        <v>141</v>
      </c>
      <c r="H76" s="87" t="s">
        <v>143</v>
      </c>
    </row>
    <row r="77" spans="1:8" ht="14.25" customHeight="1" x14ac:dyDescent="0.2">
      <c r="A77" s="88">
        <v>5</v>
      </c>
      <c r="B77" s="89" t="s">
        <v>751</v>
      </c>
      <c r="C77" s="127" t="s">
        <v>1113</v>
      </c>
      <c r="D77" s="89"/>
      <c r="E77" s="90">
        <v>176305</v>
      </c>
      <c r="F77" s="91">
        <v>1.7630000000000001E-6</v>
      </c>
      <c r="G77" s="100" t="s">
        <v>141</v>
      </c>
      <c r="H77" s="87" t="s">
        <v>143</v>
      </c>
    </row>
    <row r="78" spans="1:8" ht="14.25" customHeight="1" x14ac:dyDescent="0.2">
      <c r="A78" s="88">
        <v>6</v>
      </c>
      <c r="B78" s="89" t="s">
        <v>754</v>
      </c>
      <c r="C78" s="127" t="s">
        <v>1114</v>
      </c>
      <c r="D78" s="89"/>
      <c r="E78" s="90">
        <v>93200</v>
      </c>
      <c r="F78" s="91">
        <v>9.3200000000000003E-7</v>
      </c>
      <c r="G78" s="100" t="s">
        <v>141</v>
      </c>
      <c r="H78" s="87" t="s">
        <v>143</v>
      </c>
    </row>
    <row r="79" spans="1:8" ht="14.25" customHeight="1" x14ac:dyDescent="0.2">
      <c r="A79" s="88">
        <v>7</v>
      </c>
      <c r="B79" s="89" t="s">
        <v>749</v>
      </c>
      <c r="C79" s="127" t="s">
        <v>1115</v>
      </c>
      <c r="D79" s="89" t="s">
        <v>750</v>
      </c>
      <c r="E79" s="90">
        <v>200000</v>
      </c>
      <c r="F79" s="91">
        <v>1.9999999999999999E-6</v>
      </c>
      <c r="G79" s="100" t="s">
        <v>141</v>
      </c>
      <c r="H79" s="87" t="s">
        <v>143</v>
      </c>
    </row>
    <row r="80" spans="1:8" ht="14.25" customHeight="1" x14ac:dyDescent="0.2">
      <c r="A80" s="88">
        <v>8</v>
      </c>
      <c r="B80" s="89" t="s">
        <v>747</v>
      </c>
      <c r="C80" s="127" t="s">
        <v>1116</v>
      </c>
      <c r="D80" s="89" t="s">
        <v>748</v>
      </c>
      <c r="E80" s="90">
        <v>50800</v>
      </c>
      <c r="F80" s="91">
        <v>5.0800000000000005E-7</v>
      </c>
      <c r="G80" s="100" t="s">
        <v>141</v>
      </c>
      <c r="H80" s="87" t="s">
        <v>143</v>
      </c>
    </row>
    <row r="81" spans="1:8" ht="14.25" customHeight="1" x14ac:dyDescent="0.2">
      <c r="A81" s="93"/>
      <c r="B81" s="93"/>
      <c r="C81" s="94" t="s">
        <v>142</v>
      </c>
      <c r="D81" s="93"/>
      <c r="E81" s="93" t="s">
        <v>143</v>
      </c>
      <c r="F81" s="95">
        <f>SUM(F73:F80)</f>
        <v>106.50898214499999</v>
      </c>
      <c r="G81" s="96">
        <f>SUM(G73:G80)</f>
        <v>3.79E-4</v>
      </c>
      <c r="H81" s="87" t="s">
        <v>143</v>
      </c>
    </row>
    <row r="82" spans="1:8" ht="14.25" customHeight="1" x14ac:dyDescent="0.2">
      <c r="A82" s="93"/>
      <c r="B82" s="93"/>
      <c r="C82" s="97"/>
      <c r="D82" s="93"/>
      <c r="E82" s="93"/>
      <c r="F82" s="98"/>
      <c r="G82" s="98"/>
      <c r="H82" s="87" t="s">
        <v>143</v>
      </c>
    </row>
    <row r="83" spans="1:8" ht="14.25" customHeight="1" x14ac:dyDescent="0.2">
      <c r="A83" s="93"/>
      <c r="B83" s="93"/>
      <c r="C83" s="94" t="s">
        <v>147</v>
      </c>
      <c r="D83" s="93"/>
      <c r="E83" s="93"/>
      <c r="F83" s="93"/>
      <c r="G83" s="93"/>
      <c r="H83" s="87" t="s">
        <v>143</v>
      </c>
    </row>
    <row r="84" spans="1:8" ht="14.25" customHeight="1" x14ac:dyDescent="0.2">
      <c r="A84" s="93"/>
      <c r="B84" s="93"/>
      <c r="C84" s="94" t="s">
        <v>142</v>
      </c>
      <c r="D84" s="93"/>
      <c r="E84" s="93" t="s">
        <v>143</v>
      </c>
      <c r="F84" s="99" t="s">
        <v>145</v>
      </c>
      <c r="G84" s="96">
        <v>0</v>
      </c>
      <c r="H84" s="87" t="s">
        <v>143</v>
      </c>
    </row>
    <row r="85" spans="1:8" ht="14.25" customHeight="1" x14ac:dyDescent="0.2">
      <c r="A85" s="93"/>
      <c r="B85" s="93"/>
      <c r="C85" s="97"/>
      <c r="D85" s="93"/>
      <c r="E85" s="93"/>
      <c r="F85" s="98"/>
      <c r="G85" s="98"/>
      <c r="H85" s="87" t="s">
        <v>143</v>
      </c>
    </row>
    <row r="86" spans="1:8" ht="14.25" customHeight="1" x14ac:dyDescent="0.2">
      <c r="A86" s="93"/>
      <c r="B86" s="93"/>
      <c r="C86" s="94" t="s">
        <v>148</v>
      </c>
      <c r="D86" s="93"/>
      <c r="E86" s="93"/>
      <c r="F86" s="98"/>
      <c r="G86" s="98"/>
      <c r="H86" s="87" t="s">
        <v>143</v>
      </c>
    </row>
    <row r="87" spans="1:8" ht="14.25" customHeight="1" x14ac:dyDescent="0.2">
      <c r="A87" s="93"/>
      <c r="B87" s="93"/>
      <c r="C87" s="94" t="s">
        <v>142</v>
      </c>
      <c r="D87" s="93"/>
      <c r="E87" s="93" t="s">
        <v>143</v>
      </c>
      <c r="F87" s="99" t="s">
        <v>145</v>
      </c>
      <c r="G87" s="96">
        <v>0</v>
      </c>
      <c r="H87" s="87" t="s">
        <v>143</v>
      </c>
    </row>
    <row r="88" spans="1:8" ht="14.25" customHeight="1" x14ac:dyDescent="0.2">
      <c r="A88" s="93"/>
      <c r="B88" s="93"/>
      <c r="C88" s="97"/>
      <c r="D88" s="93"/>
      <c r="E88" s="93"/>
      <c r="F88" s="98"/>
      <c r="G88" s="98"/>
      <c r="H88" s="87" t="s">
        <v>143</v>
      </c>
    </row>
    <row r="89" spans="1:8" ht="14.25" customHeight="1" x14ac:dyDescent="0.2">
      <c r="A89" s="93"/>
      <c r="B89" s="93"/>
      <c r="C89" s="94" t="s">
        <v>149</v>
      </c>
      <c r="D89" s="93"/>
      <c r="E89" s="93"/>
      <c r="F89" s="98"/>
      <c r="G89" s="98"/>
      <c r="H89" s="87" t="s">
        <v>143</v>
      </c>
    </row>
    <row r="90" spans="1:8" ht="14.25" customHeight="1" x14ac:dyDescent="0.2">
      <c r="A90" s="93"/>
      <c r="B90" s="93"/>
      <c r="C90" s="94" t="s">
        <v>142</v>
      </c>
      <c r="D90" s="93"/>
      <c r="E90" s="93" t="s">
        <v>143</v>
      </c>
      <c r="F90" s="99" t="s">
        <v>145</v>
      </c>
      <c r="G90" s="96">
        <v>0</v>
      </c>
      <c r="H90" s="87" t="s">
        <v>143</v>
      </c>
    </row>
    <row r="91" spans="1:8" ht="14.25" customHeight="1" x14ac:dyDescent="0.2">
      <c r="A91" s="93"/>
      <c r="B91" s="93"/>
      <c r="C91" s="97"/>
      <c r="D91" s="93"/>
      <c r="E91" s="93"/>
      <c r="F91" s="98"/>
      <c r="G91" s="98"/>
      <c r="H91" s="87" t="s">
        <v>143</v>
      </c>
    </row>
    <row r="92" spans="1:8" ht="14.25" customHeight="1" x14ac:dyDescent="0.2">
      <c r="A92" s="93"/>
      <c r="B92" s="93"/>
      <c r="C92" s="94" t="s">
        <v>150</v>
      </c>
      <c r="D92" s="93"/>
      <c r="E92" s="93"/>
      <c r="F92" s="95">
        <v>263254.40943274501</v>
      </c>
      <c r="G92" s="96">
        <v>0.93675774999999994</v>
      </c>
      <c r="H92" s="87" t="s">
        <v>143</v>
      </c>
    </row>
    <row r="93" spans="1:8" ht="14.25" customHeight="1" x14ac:dyDescent="0.2">
      <c r="A93" s="93"/>
      <c r="B93" s="93"/>
      <c r="C93" s="97"/>
      <c r="D93" s="93"/>
      <c r="E93" s="93"/>
      <c r="F93" s="98"/>
      <c r="G93" s="98"/>
      <c r="H93" s="87" t="s">
        <v>143</v>
      </c>
    </row>
    <row r="94" spans="1:8" ht="14.25" customHeight="1" x14ac:dyDescent="0.2">
      <c r="A94" s="93"/>
      <c r="B94" s="93"/>
      <c r="C94" s="94" t="s">
        <v>151</v>
      </c>
      <c r="D94" s="93"/>
      <c r="E94" s="93"/>
      <c r="F94" s="98"/>
      <c r="G94" s="98"/>
      <c r="H94" s="87" t="s">
        <v>143</v>
      </c>
    </row>
    <row r="95" spans="1:8" ht="14.25" customHeight="1" x14ac:dyDescent="0.2">
      <c r="A95" s="93"/>
      <c r="B95" s="93"/>
      <c r="C95" s="94" t="s">
        <v>10</v>
      </c>
      <c r="D95" s="93"/>
      <c r="E95" s="93"/>
      <c r="F95" s="98"/>
      <c r="G95" s="98"/>
      <c r="H95" s="87" t="s">
        <v>143</v>
      </c>
    </row>
    <row r="96" spans="1:8" ht="14.25" customHeight="1" x14ac:dyDescent="0.2">
      <c r="A96" s="93"/>
      <c r="B96" s="93"/>
      <c r="C96" s="94" t="s">
        <v>142</v>
      </c>
      <c r="D96" s="93"/>
      <c r="E96" s="93" t="s">
        <v>143</v>
      </c>
      <c r="F96" s="99" t="s">
        <v>145</v>
      </c>
      <c r="G96" s="96">
        <v>0</v>
      </c>
      <c r="H96" s="87" t="s">
        <v>143</v>
      </c>
    </row>
    <row r="97" spans="1:8" ht="14.25" customHeight="1" x14ac:dyDescent="0.2">
      <c r="A97" s="93"/>
      <c r="B97" s="93"/>
      <c r="C97" s="97"/>
      <c r="D97" s="93"/>
      <c r="E97" s="93"/>
      <c r="F97" s="98"/>
      <c r="G97" s="98"/>
      <c r="H97" s="87" t="s">
        <v>143</v>
      </c>
    </row>
    <row r="98" spans="1:8" ht="14.25" customHeight="1" x14ac:dyDescent="0.2">
      <c r="A98" s="93"/>
      <c r="B98" s="93"/>
      <c r="C98" s="94" t="s">
        <v>152</v>
      </c>
      <c r="D98" s="93"/>
      <c r="E98" s="93"/>
      <c r="F98" s="93"/>
      <c r="G98" s="93"/>
      <c r="H98" s="87" t="s">
        <v>143</v>
      </c>
    </row>
    <row r="99" spans="1:8" ht="14.25" customHeight="1" x14ac:dyDescent="0.2">
      <c r="A99" s="93"/>
      <c r="B99" s="93"/>
      <c r="C99" s="94" t="s">
        <v>142</v>
      </c>
      <c r="D99" s="93"/>
      <c r="E99" s="93" t="s">
        <v>143</v>
      </c>
      <c r="F99" s="99" t="s">
        <v>145</v>
      </c>
      <c r="G99" s="96">
        <v>0</v>
      </c>
      <c r="H99" s="87" t="s">
        <v>143</v>
      </c>
    </row>
    <row r="100" spans="1:8" ht="14.25" customHeight="1" x14ac:dyDescent="0.2">
      <c r="A100" s="93"/>
      <c r="B100" s="93"/>
      <c r="C100" s="97"/>
      <c r="D100" s="93"/>
      <c r="E100" s="93"/>
      <c r="F100" s="98"/>
      <c r="G100" s="98"/>
      <c r="H100" s="87" t="s">
        <v>143</v>
      </c>
    </row>
    <row r="101" spans="1:8" ht="14.25" customHeight="1" x14ac:dyDescent="0.2">
      <c r="A101" s="93"/>
      <c r="B101" s="93"/>
      <c r="C101" s="94" t="s">
        <v>153</v>
      </c>
      <c r="D101" s="93"/>
      <c r="E101" s="93"/>
      <c r="F101" s="93"/>
      <c r="G101" s="93"/>
      <c r="H101" s="87" t="s">
        <v>143</v>
      </c>
    </row>
    <row r="102" spans="1:8" ht="14.25" customHeight="1" x14ac:dyDescent="0.2">
      <c r="A102" s="93"/>
      <c r="B102" s="93"/>
      <c r="C102" s="94" t="s">
        <v>142</v>
      </c>
      <c r="D102" s="93"/>
      <c r="E102" s="93" t="s">
        <v>143</v>
      </c>
      <c r="F102" s="99" t="s">
        <v>145</v>
      </c>
      <c r="G102" s="96">
        <v>0</v>
      </c>
      <c r="H102" s="87" t="s">
        <v>143</v>
      </c>
    </row>
    <row r="103" spans="1:8" ht="14.25" customHeight="1" x14ac:dyDescent="0.2">
      <c r="A103" s="93"/>
      <c r="B103" s="93"/>
      <c r="C103" s="97"/>
      <c r="D103" s="93"/>
      <c r="E103" s="93"/>
      <c r="F103" s="98"/>
      <c r="G103" s="98"/>
      <c r="H103" s="87" t="s">
        <v>143</v>
      </c>
    </row>
    <row r="104" spans="1:8" ht="14.25" customHeight="1" x14ac:dyDescent="0.2">
      <c r="A104" s="93"/>
      <c r="B104" s="93"/>
      <c r="C104" s="94" t="s">
        <v>154</v>
      </c>
      <c r="D104" s="93"/>
      <c r="E104" s="93"/>
      <c r="F104" s="98"/>
      <c r="G104" s="98"/>
      <c r="H104" s="87" t="s">
        <v>143</v>
      </c>
    </row>
    <row r="105" spans="1:8" ht="14.25" customHeight="1" x14ac:dyDescent="0.2">
      <c r="A105" s="93"/>
      <c r="B105" s="93"/>
      <c r="C105" s="94" t="s">
        <v>142</v>
      </c>
      <c r="D105" s="93"/>
      <c r="E105" s="93" t="s">
        <v>143</v>
      </c>
      <c r="F105" s="99" t="s">
        <v>145</v>
      </c>
      <c r="G105" s="96">
        <v>0</v>
      </c>
      <c r="H105" s="87" t="s">
        <v>143</v>
      </c>
    </row>
    <row r="106" spans="1:8" ht="14.25" customHeight="1" x14ac:dyDescent="0.2">
      <c r="A106" s="93"/>
      <c r="B106" s="93"/>
      <c r="C106" s="97"/>
      <c r="D106" s="93"/>
      <c r="E106" s="93"/>
      <c r="F106" s="98"/>
      <c r="G106" s="98"/>
      <c r="H106" s="87" t="s">
        <v>143</v>
      </c>
    </row>
    <row r="107" spans="1:8" ht="14.25" customHeight="1" x14ac:dyDescent="0.2">
      <c r="A107" s="93"/>
      <c r="B107" s="93"/>
      <c r="C107" s="94" t="s">
        <v>155</v>
      </c>
      <c r="D107" s="93"/>
      <c r="E107" s="93"/>
      <c r="F107" s="95">
        <v>0</v>
      </c>
      <c r="G107" s="96">
        <v>0</v>
      </c>
      <c r="H107" s="87" t="s">
        <v>143</v>
      </c>
    </row>
    <row r="108" spans="1:8" ht="14.25" customHeight="1" x14ac:dyDescent="0.2">
      <c r="A108" s="93"/>
      <c r="B108" s="93"/>
      <c r="C108" s="97"/>
      <c r="D108" s="93"/>
      <c r="E108" s="93"/>
      <c r="F108" s="98"/>
      <c r="G108" s="98"/>
      <c r="H108" s="87" t="s">
        <v>143</v>
      </c>
    </row>
    <row r="109" spans="1:8" ht="14.25" customHeight="1" x14ac:dyDescent="0.2">
      <c r="A109" s="93"/>
      <c r="B109" s="93"/>
      <c r="C109" s="94" t="s">
        <v>156</v>
      </c>
      <c r="D109" s="93"/>
      <c r="E109" s="93"/>
      <c r="F109" s="98"/>
      <c r="G109" s="98"/>
      <c r="H109" s="87" t="s">
        <v>143</v>
      </c>
    </row>
    <row r="110" spans="1:8" ht="14.25" customHeight="1" x14ac:dyDescent="0.2">
      <c r="A110" s="93"/>
      <c r="B110" s="93"/>
      <c r="C110" s="94" t="s">
        <v>157</v>
      </c>
      <c r="D110" s="93"/>
      <c r="E110" s="93"/>
      <c r="F110" s="98"/>
      <c r="G110" s="98"/>
      <c r="H110" s="87" t="s">
        <v>143</v>
      </c>
    </row>
    <row r="111" spans="1:8" ht="14.25" customHeight="1" x14ac:dyDescent="0.2">
      <c r="A111" s="93"/>
      <c r="B111" s="93"/>
      <c r="C111" s="94" t="s">
        <v>142</v>
      </c>
      <c r="D111" s="93"/>
      <c r="E111" s="93" t="s">
        <v>143</v>
      </c>
      <c r="F111" s="99" t="s">
        <v>145</v>
      </c>
      <c r="G111" s="96">
        <v>0</v>
      </c>
      <c r="H111" s="87" t="s">
        <v>143</v>
      </c>
    </row>
    <row r="112" spans="1:8" ht="14.25" customHeight="1" x14ac:dyDescent="0.2">
      <c r="A112" s="93"/>
      <c r="B112" s="93"/>
      <c r="C112" s="97"/>
      <c r="D112" s="93"/>
      <c r="E112" s="93"/>
      <c r="F112" s="98"/>
      <c r="G112" s="98"/>
      <c r="H112" s="87" t="s">
        <v>143</v>
      </c>
    </row>
    <row r="113" spans="1:8" ht="14.25" customHeight="1" x14ac:dyDescent="0.2">
      <c r="A113" s="93"/>
      <c r="B113" s="93"/>
      <c r="C113" s="94" t="s">
        <v>158</v>
      </c>
      <c r="D113" s="93"/>
      <c r="E113" s="93"/>
      <c r="F113" s="98"/>
      <c r="G113" s="98"/>
      <c r="H113" s="87" t="s">
        <v>143</v>
      </c>
    </row>
    <row r="114" spans="1:8" ht="14.25" customHeight="1" x14ac:dyDescent="0.2">
      <c r="A114" s="93"/>
      <c r="B114" s="93"/>
      <c r="C114" s="94" t="s">
        <v>142</v>
      </c>
      <c r="D114" s="93"/>
      <c r="E114" s="93" t="s">
        <v>143</v>
      </c>
      <c r="F114" s="99" t="s">
        <v>145</v>
      </c>
      <c r="G114" s="96">
        <v>0</v>
      </c>
      <c r="H114" s="87" t="s">
        <v>143</v>
      </c>
    </row>
    <row r="115" spans="1:8" ht="14.25" customHeight="1" x14ac:dyDescent="0.2">
      <c r="A115" s="93"/>
      <c r="B115" s="93"/>
      <c r="C115" s="97"/>
      <c r="D115" s="93"/>
      <c r="E115" s="93"/>
      <c r="F115" s="98"/>
      <c r="G115" s="98"/>
      <c r="H115" s="87" t="s">
        <v>143</v>
      </c>
    </row>
    <row r="116" spans="1:8" ht="14.25" customHeight="1" x14ac:dyDescent="0.2">
      <c r="A116" s="93"/>
      <c r="B116" s="93"/>
      <c r="C116" s="94" t="s">
        <v>159</v>
      </c>
      <c r="D116" s="93"/>
      <c r="E116" s="93"/>
      <c r="F116" s="98"/>
      <c r="G116" s="98"/>
      <c r="H116" s="87" t="s">
        <v>143</v>
      </c>
    </row>
    <row r="117" spans="1:8" ht="14.25" customHeight="1" x14ac:dyDescent="0.2">
      <c r="A117" s="93"/>
      <c r="B117" s="93"/>
      <c r="C117" s="94" t="s">
        <v>142</v>
      </c>
      <c r="D117" s="93"/>
      <c r="E117" s="93" t="s">
        <v>143</v>
      </c>
      <c r="F117" s="99" t="s">
        <v>145</v>
      </c>
      <c r="G117" s="96">
        <v>0</v>
      </c>
      <c r="H117" s="87" t="s">
        <v>143</v>
      </c>
    </row>
    <row r="118" spans="1:8" ht="14.25" customHeight="1" x14ac:dyDescent="0.2">
      <c r="A118" s="93"/>
      <c r="B118" s="93"/>
      <c r="C118" s="97"/>
      <c r="D118" s="93"/>
      <c r="E118" s="93"/>
      <c r="F118" s="98"/>
      <c r="G118" s="98"/>
      <c r="H118" s="87" t="s">
        <v>143</v>
      </c>
    </row>
    <row r="119" spans="1:8" ht="14.25" customHeight="1" x14ac:dyDescent="0.2">
      <c r="A119" s="93"/>
      <c r="B119" s="93"/>
      <c r="C119" s="94" t="s">
        <v>160</v>
      </c>
      <c r="D119" s="93"/>
      <c r="E119" s="93"/>
      <c r="F119" s="98"/>
      <c r="G119" s="98"/>
      <c r="H119" s="87" t="s">
        <v>143</v>
      </c>
    </row>
    <row r="120" spans="1:8" ht="14.25" customHeight="1" x14ac:dyDescent="0.2">
      <c r="A120" s="88">
        <v>1</v>
      </c>
      <c r="B120" s="89"/>
      <c r="C120" s="89" t="s">
        <v>161</v>
      </c>
      <c r="D120" s="89"/>
      <c r="E120" s="100"/>
      <c r="F120" s="91">
        <v>16243.495740934</v>
      </c>
      <c r="G120" s="92">
        <v>5.7800440000000002E-2</v>
      </c>
      <c r="H120" s="87">
        <v>5.38</v>
      </c>
    </row>
    <row r="121" spans="1:8" ht="14.25" customHeight="1" x14ac:dyDescent="0.2">
      <c r="A121" s="93"/>
      <c r="B121" s="93"/>
      <c r="C121" s="94" t="s">
        <v>142</v>
      </c>
      <c r="D121" s="93"/>
      <c r="E121" s="93" t="s">
        <v>143</v>
      </c>
      <c r="F121" s="95">
        <v>16243.495740934</v>
      </c>
      <c r="G121" s="96">
        <v>5.7800440000000002E-2</v>
      </c>
      <c r="H121" s="87" t="s">
        <v>143</v>
      </c>
    </row>
    <row r="122" spans="1:8" ht="14.25" customHeight="1" x14ac:dyDescent="0.2">
      <c r="A122" s="93"/>
      <c r="B122" s="93"/>
      <c r="C122" s="97"/>
      <c r="D122" s="93"/>
      <c r="E122" s="93"/>
      <c r="F122" s="98"/>
      <c r="G122" s="98"/>
      <c r="H122" s="87" t="s">
        <v>143</v>
      </c>
    </row>
    <row r="123" spans="1:8" ht="14.25" customHeight="1" x14ac:dyDescent="0.2">
      <c r="A123" s="93"/>
      <c r="B123" s="93"/>
      <c r="C123" s="94" t="s">
        <v>162</v>
      </c>
      <c r="D123" s="93"/>
      <c r="E123" s="93"/>
      <c r="F123" s="95">
        <v>16243.495740934</v>
      </c>
      <c r="G123" s="96">
        <v>5.7800440000000002E-2</v>
      </c>
      <c r="H123" s="87" t="s">
        <v>143</v>
      </c>
    </row>
    <row r="124" spans="1:8" ht="14.25" customHeight="1" x14ac:dyDescent="0.2">
      <c r="A124" s="93"/>
      <c r="B124" s="93"/>
      <c r="C124" s="98"/>
      <c r="D124" s="93"/>
      <c r="E124" s="93"/>
      <c r="F124" s="93"/>
      <c r="G124" s="93"/>
      <c r="H124" s="87" t="s">
        <v>143</v>
      </c>
    </row>
    <row r="125" spans="1:8" ht="14.25" customHeight="1" x14ac:dyDescent="0.2">
      <c r="A125" s="93"/>
      <c r="B125" s="93"/>
      <c r="C125" s="94" t="s">
        <v>163</v>
      </c>
      <c r="D125" s="93"/>
      <c r="E125" s="93"/>
      <c r="F125" s="93"/>
      <c r="G125" s="93"/>
      <c r="H125" s="87" t="s">
        <v>143</v>
      </c>
    </row>
    <row r="126" spans="1:8" ht="14.25" customHeight="1" x14ac:dyDescent="0.2">
      <c r="A126" s="93"/>
      <c r="B126" s="93"/>
      <c r="C126" s="94" t="s">
        <v>164</v>
      </c>
      <c r="D126" s="93"/>
      <c r="E126" s="93"/>
      <c r="F126" s="93"/>
      <c r="G126" s="93"/>
      <c r="H126" s="87" t="s">
        <v>143</v>
      </c>
    </row>
    <row r="127" spans="1:8" ht="14.25" customHeight="1" x14ac:dyDescent="0.2">
      <c r="A127" s="93"/>
      <c r="B127" s="93"/>
      <c r="C127" s="94" t="s">
        <v>142</v>
      </c>
      <c r="D127" s="93"/>
      <c r="E127" s="93" t="s">
        <v>143</v>
      </c>
      <c r="F127" s="99" t="s">
        <v>145</v>
      </c>
      <c r="G127" s="96">
        <v>0</v>
      </c>
      <c r="H127" s="87" t="s">
        <v>143</v>
      </c>
    </row>
    <row r="128" spans="1:8" ht="14.25" customHeight="1" x14ac:dyDescent="0.2">
      <c r="A128" s="93"/>
      <c r="B128" s="93"/>
      <c r="C128" s="97"/>
      <c r="D128" s="93"/>
      <c r="E128" s="93"/>
      <c r="F128" s="98"/>
      <c r="G128" s="98"/>
      <c r="H128" s="87" t="s">
        <v>143</v>
      </c>
    </row>
    <row r="129" spans="1:17" ht="14.25" customHeight="1" x14ac:dyDescent="0.2">
      <c r="A129" s="93"/>
      <c r="B129" s="93"/>
      <c r="C129" s="94" t="s">
        <v>165</v>
      </c>
      <c r="D129" s="93"/>
      <c r="E129" s="93"/>
      <c r="F129" s="93"/>
      <c r="G129" s="93"/>
      <c r="H129" s="87" t="s">
        <v>143</v>
      </c>
    </row>
    <row r="130" spans="1:17" ht="14.25" customHeight="1" x14ac:dyDescent="0.2">
      <c r="A130" s="93"/>
      <c r="B130" s="93"/>
      <c r="C130" s="94" t="s">
        <v>166</v>
      </c>
      <c r="D130" s="93"/>
      <c r="E130" s="93"/>
      <c r="F130" s="93"/>
      <c r="G130" s="93"/>
      <c r="H130" s="87" t="s">
        <v>143</v>
      </c>
    </row>
    <row r="131" spans="1:17" ht="14.25" customHeight="1" x14ac:dyDescent="0.2">
      <c r="A131" s="93"/>
      <c r="B131" s="93"/>
      <c r="C131" s="94" t="s">
        <v>142</v>
      </c>
      <c r="D131" s="93"/>
      <c r="E131" s="93" t="s">
        <v>143</v>
      </c>
      <c r="F131" s="99" t="s">
        <v>145</v>
      </c>
      <c r="G131" s="96">
        <v>0</v>
      </c>
      <c r="H131" s="87" t="s">
        <v>143</v>
      </c>
    </row>
    <row r="132" spans="1:17" ht="14.25" customHeight="1" x14ac:dyDescent="0.2">
      <c r="A132" s="93"/>
      <c r="B132" s="93"/>
      <c r="C132" s="97"/>
      <c r="D132" s="93"/>
      <c r="E132" s="93"/>
      <c r="F132" s="98"/>
      <c r="G132" s="98"/>
      <c r="H132" s="87" t="s">
        <v>143</v>
      </c>
    </row>
    <row r="133" spans="1:17" ht="14.25" customHeight="1" x14ac:dyDescent="0.2">
      <c r="A133" s="93"/>
      <c r="B133" s="93"/>
      <c r="C133" s="94" t="s">
        <v>167</v>
      </c>
      <c r="D133" s="93"/>
      <c r="E133" s="93"/>
      <c r="F133" s="98"/>
      <c r="G133" s="98"/>
      <c r="H133" s="87" t="s">
        <v>143</v>
      </c>
    </row>
    <row r="134" spans="1:17" ht="14.25" customHeight="1" x14ac:dyDescent="0.2">
      <c r="A134" s="93"/>
      <c r="B134" s="93"/>
      <c r="C134" s="94" t="s">
        <v>142</v>
      </c>
      <c r="D134" s="93"/>
      <c r="E134" s="93" t="s">
        <v>143</v>
      </c>
      <c r="F134" s="99" t="s">
        <v>145</v>
      </c>
      <c r="G134" s="96">
        <v>0</v>
      </c>
      <c r="H134" s="87" t="s">
        <v>143</v>
      </c>
    </row>
    <row r="135" spans="1:17" ht="14.25" customHeight="1" x14ac:dyDescent="0.2">
      <c r="A135" s="93"/>
      <c r="B135" s="89"/>
      <c r="C135" s="89"/>
      <c r="D135" s="94"/>
      <c r="E135" s="93"/>
      <c r="F135" s="89"/>
      <c r="G135" s="100"/>
      <c r="H135" s="87" t="s">
        <v>143</v>
      </c>
    </row>
    <row r="136" spans="1:17" ht="14.25" customHeight="1" x14ac:dyDescent="0.2">
      <c r="A136" s="100"/>
      <c r="B136" s="89"/>
      <c r="C136" s="89" t="s">
        <v>168</v>
      </c>
      <c r="D136" s="89"/>
      <c r="E136" s="100"/>
      <c r="F136" s="91">
        <v>1529.3166509600001</v>
      </c>
      <c r="G136" s="92">
        <v>5.4418799999999996E-3</v>
      </c>
      <c r="H136" s="87" t="s">
        <v>143</v>
      </c>
    </row>
    <row r="137" spans="1:17" ht="14.25" customHeight="1" x14ac:dyDescent="0.2">
      <c r="A137" s="97"/>
      <c r="B137" s="97"/>
      <c r="C137" s="94" t="s">
        <v>169</v>
      </c>
      <c r="D137" s="98"/>
      <c r="E137" s="98"/>
      <c r="F137" s="95">
        <v>281027.22182463901</v>
      </c>
      <c r="G137" s="101">
        <v>1.00000007</v>
      </c>
      <c r="H137" s="87" t="s">
        <v>143</v>
      </c>
    </row>
    <row r="138" spans="1:17" ht="12.75" x14ac:dyDescent="0.2">
      <c r="A138" s="102"/>
      <c r="B138" s="102"/>
      <c r="C138" s="102"/>
      <c r="D138" s="103"/>
      <c r="E138" s="103"/>
      <c r="F138" s="103"/>
      <c r="G138" s="103"/>
    </row>
    <row r="139" spans="1:17" ht="12.75" x14ac:dyDescent="0.2">
      <c r="A139" s="104"/>
      <c r="B139" s="206" t="s">
        <v>942</v>
      </c>
      <c r="C139" s="206"/>
      <c r="D139" s="206"/>
      <c r="E139" s="206"/>
      <c r="F139" s="206"/>
      <c r="G139" s="206"/>
      <c r="H139" s="206"/>
      <c r="J139" s="106"/>
    </row>
    <row r="140" spans="1:17" ht="12.75" x14ac:dyDescent="0.2">
      <c r="A140" s="104"/>
      <c r="B140" s="206" t="s">
        <v>943</v>
      </c>
      <c r="C140" s="206"/>
      <c r="D140" s="206"/>
      <c r="E140" s="206"/>
      <c r="F140" s="206"/>
      <c r="G140" s="206"/>
      <c r="H140" s="206"/>
      <c r="J140" s="106"/>
    </row>
    <row r="141" spans="1:17" ht="12.75" x14ac:dyDescent="0.2">
      <c r="A141" s="104"/>
      <c r="B141" s="206" t="s">
        <v>944</v>
      </c>
      <c r="C141" s="206"/>
      <c r="D141" s="206"/>
      <c r="E141" s="206"/>
      <c r="F141" s="206"/>
      <c r="G141" s="206"/>
      <c r="H141" s="206"/>
      <c r="J141" s="106"/>
    </row>
    <row r="142" spans="1:17" s="108" customFormat="1" ht="66.75" customHeight="1" x14ac:dyDescent="0.25">
      <c r="A142" s="107"/>
      <c r="B142" s="207" t="s">
        <v>945</v>
      </c>
      <c r="C142" s="207"/>
      <c r="D142" s="207"/>
      <c r="E142" s="207"/>
      <c r="F142" s="207"/>
      <c r="G142" s="207"/>
      <c r="H142" s="207"/>
      <c r="I142"/>
      <c r="J142" s="106"/>
      <c r="K142"/>
      <c r="L142"/>
      <c r="M142"/>
      <c r="N142"/>
      <c r="O142"/>
      <c r="P142"/>
      <c r="Q142"/>
    </row>
    <row r="143" spans="1:17" ht="12.75" x14ac:dyDescent="0.2">
      <c r="A143" s="104"/>
      <c r="B143" s="206" t="s">
        <v>946</v>
      </c>
      <c r="C143" s="206"/>
      <c r="D143" s="206"/>
      <c r="E143" s="206"/>
      <c r="F143" s="206"/>
      <c r="G143" s="206"/>
      <c r="H143" s="206"/>
      <c r="J143" s="106"/>
    </row>
    <row r="144" spans="1:17" ht="12.75" x14ac:dyDescent="0.2">
      <c r="A144" s="104"/>
      <c r="B144" s="104"/>
      <c r="C144" s="104"/>
      <c r="D144" s="109"/>
      <c r="E144" s="109"/>
      <c r="F144" s="109"/>
      <c r="G144" s="109"/>
    </row>
    <row r="145" spans="1:10" ht="12.75" x14ac:dyDescent="0.2">
      <c r="A145" s="104"/>
      <c r="B145" s="199" t="s">
        <v>170</v>
      </c>
      <c r="C145" s="200"/>
      <c r="D145" s="201"/>
      <c r="E145" s="110"/>
      <c r="F145" s="109"/>
      <c r="G145" s="109"/>
    </row>
    <row r="146" spans="1:10" ht="27.75" customHeight="1" x14ac:dyDescent="0.2">
      <c r="A146" s="104"/>
      <c r="B146" s="202" t="s">
        <v>171</v>
      </c>
      <c r="C146" s="203"/>
      <c r="D146" s="86" t="s">
        <v>1001</v>
      </c>
      <c r="E146" s="110"/>
      <c r="F146" s="109"/>
      <c r="G146" s="109"/>
    </row>
    <row r="147" spans="1:10" ht="12.75" customHeight="1" x14ac:dyDescent="0.2">
      <c r="A147" s="104"/>
      <c r="B147" s="202" t="s">
        <v>947</v>
      </c>
      <c r="C147" s="203"/>
      <c r="D147" s="86" t="str">
        <f>"Rs. "&amp;TEXT(F81,"0.00")&amp;" lacs/ 0.04%"</f>
        <v>Rs. 106.51 lacs/ 0.04%</v>
      </c>
      <c r="E147" s="110"/>
      <c r="F147" s="109"/>
      <c r="G147" s="109"/>
    </row>
    <row r="148" spans="1:10" ht="12.75" x14ac:dyDescent="0.2">
      <c r="A148" s="104"/>
      <c r="B148" s="202" t="s">
        <v>173</v>
      </c>
      <c r="C148" s="203"/>
      <c r="D148" s="111" t="s">
        <v>143</v>
      </c>
      <c r="E148" s="110"/>
      <c r="F148" s="109"/>
      <c r="G148" s="109"/>
    </row>
    <row r="149" spans="1:10" ht="12.75" x14ac:dyDescent="0.2">
      <c r="A149" s="112"/>
      <c r="B149" s="113" t="s">
        <v>143</v>
      </c>
      <c r="C149" s="113" t="s">
        <v>948</v>
      </c>
      <c r="D149" s="113" t="s">
        <v>174</v>
      </c>
      <c r="E149" s="112"/>
      <c r="F149" s="112"/>
      <c r="G149" s="112"/>
      <c r="H149" s="112"/>
      <c r="J149" s="106"/>
    </row>
    <row r="150" spans="1:10" ht="12.75" x14ac:dyDescent="0.2">
      <c r="A150" s="112"/>
      <c r="B150" s="114" t="s">
        <v>175</v>
      </c>
      <c r="C150" s="115">
        <v>45869</v>
      </c>
      <c r="D150" s="115">
        <v>45900</v>
      </c>
      <c r="E150" s="112"/>
      <c r="F150" s="112"/>
      <c r="G150" s="112"/>
      <c r="J150" s="106"/>
    </row>
    <row r="151" spans="1:10" ht="14.25" customHeight="1" x14ac:dyDescent="0.2">
      <c r="A151" s="116"/>
      <c r="B151" s="89" t="s">
        <v>176</v>
      </c>
      <c r="C151" s="117">
        <v>423.49759999999998</v>
      </c>
      <c r="D151" s="117">
        <v>418.21469999999999</v>
      </c>
      <c r="E151" s="116"/>
      <c r="F151" s="118"/>
      <c r="G151" s="119"/>
    </row>
    <row r="152" spans="1:10" ht="14.25" customHeight="1" x14ac:dyDescent="0.2">
      <c r="A152" s="116"/>
      <c r="B152" s="89" t="s">
        <v>954</v>
      </c>
      <c r="C152" s="117">
        <v>90.268600000000006</v>
      </c>
      <c r="D152" s="117">
        <v>89.142499999999998</v>
      </c>
      <c r="E152" s="116"/>
      <c r="F152" s="118"/>
      <c r="G152" s="119"/>
    </row>
    <row r="153" spans="1:10" ht="14.25" customHeight="1" x14ac:dyDescent="0.2">
      <c r="A153" s="116"/>
      <c r="B153" s="89" t="s">
        <v>177</v>
      </c>
      <c r="C153" s="117">
        <v>380.29230000000001</v>
      </c>
      <c r="D153" s="117">
        <v>375.21359999999999</v>
      </c>
      <c r="E153" s="116"/>
      <c r="F153" s="118"/>
      <c r="G153" s="119"/>
    </row>
    <row r="154" spans="1:10" ht="14.25" customHeight="1" x14ac:dyDescent="0.2">
      <c r="A154" s="116"/>
      <c r="B154" s="89" t="s">
        <v>955</v>
      </c>
      <c r="C154" s="117">
        <v>66.914400000000001</v>
      </c>
      <c r="D154" s="117">
        <v>66.020799999999994</v>
      </c>
      <c r="E154" s="116"/>
      <c r="F154" s="118"/>
      <c r="G154" s="119"/>
    </row>
    <row r="155" spans="1:10" ht="14.25" customHeight="1" x14ac:dyDescent="0.2">
      <c r="A155" s="116"/>
      <c r="B155" s="116"/>
      <c r="C155" s="116"/>
      <c r="D155" s="116"/>
      <c r="E155" s="116"/>
      <c r="F155" s="116"/>
      <c r="G155" s="116"/>
    </row>
    <row r="156" spans="1:10" ht="12.75" x14ac:dyDescent="0.2">
      <c r="A156" s="116"/>
      <c r="B156" s="208" t="s">
        <v>949</v>
      </c>
      <c r="C156" s="209"/>
      <c r="D156" s="86" t="s">
        <v>172</v>
      </c>
      <c r="E156" s="116"/>
      <c r="F156" s="116"/>
      <c r="G156" s="116"/>
    </row>
    <row r="157" spans="1:10" ht="12.75" x14ac:dyDescent="0.2">
      <c r="A157" s="116"/>
      <c r="B157" s="120"/>
      <c r="C157" s="120"/>
      <c r="D157" s="120"/>
      <c r="E157" s="116"/>
      <c r="F157" s="116"/>
      <c r="G157" s="116"/>
    </row>
    <row r="158" spans="1:10" ht="12.75" x14ac:dyDescent="0.2">
      <c r="A158" s="112"/>
      <c r="B158" s="202" t="s">
        <v>178</v>
      </c>
      <c r="C158" s="203"/>
      <c r="D158" s="86" t="s">
        <v>172</v>
      </c>
      <c r="E158" s="121"/>
      <c r="F158" s="112"/>
      <c r="G158" s="112"/>
    </row>
    <row r="159" spans="1:10" ht="12.75" x14ac:dyDescent="0.2">
      <c r="A159" s="112"/>
      <c r="B159" s="202" t="s">
        <v>179</v>
      </c>
      <c r="C159" s="203"/>
      <c r="D159" s="86" t="s">
        <v>172</v>
      </c>
      <c r="E159" s="121"/>
      <c r="F159" s="112"/>
      <c r="G159" s="112"/>
    </row>
    <row r="160" spans="1:10" ht="17.100000000000001" customHeight="1" x14ac:dyDescent="0.2">
      <c r="A160" s="112"/>
      <c r="B160" s="202" t="s">
        <v>180</v>
      </c>
      <c r="C160" s="203"/>
      <c r="D160" s="86" t="s">
        <v>172</v>
      </c>
      <c r="E160" s="121"/>
      <c r="F160" s="112"/>
      <c r="G160" s="112"/>
    </row>
    <row r="161" spans="1:10" ht="17.100000000000001" customHeight="1" x14ac:dyDescent="0.2">
      <c r="A161" s="112"/>
      <c r="B161" s="202" t="s">
        <v>181</v>
      </c>
      <c r="C161" s="203"/>
      <c r="D161" s="122">
        <v>0.59604724513564022</v>
      </c>
      <c r="E161" s="112"/>
      <c r="F161" s="105"/>
      <c r="G161" s="123"/>
    </row>
    <row r="162" spans="1:10" ht="12.75" x14ac:dyDescent="0.2"/>
    <row r="163" spans="1:10" ht="12.75" x14ac:dyDescent="0.2">
      <c r="B163" s="135" t="s">
        <v>1221</v>
      </c>
    </row>
    <row r="164" spans="1:10" ht="67.5" x14ac:dyDescent="0.2">
      <c r="B164" s="141" t="s">
        <v>1089</v>
      </c>
      <c r="C164" s="141" t="s">
        <v>1090</v>
      </c>
      <c r="D164" s="141" t="s">
        <v>1091</v>
      </c>
      <c r="E164" s="141" t="s">
        <v>1092</v>
      </c>
      <c r="F164" s="141" t="s">
        <v>1093</v>
      </c>
    </row>
    <row r="165" spans="1:10" ht="13.5" x14ac:dyDescent="0.2">
      <c r="B165" s="142" t="s">
        <v>1117</v>
      </c>
      <c r="C165" s="143" t="s">
        <v>1095</v>
      </c>
      <c r="D165" s="17">
        <v>0</v>
      </c>
      <c r="E165" s="18">
        <v>0</v>
      </c>
      <c r="F165" s="144">
        <v>29.407129999999999</v>
      </c>
    </row>
    <row r="166" spans="1:10" ht="12.75" x14ac:dyDescent="0.2"/>
    <row r="167" spans="1:10" ht="12.75" x14ac:dyDescent="0.2">
      <c r="B167" s="204" t="s">
        <v>950</v>
      </c>
      <c r="C167" s="204"/>
    </row>
    <row r="168" spans="1:10" ht="12.75" x14ac:dyDescent="0.2"/>
    <row r="169" spans="1:10" ht="153.75" customHeight="1" x14ac:dyDescent="0.2"/>
    <row r="170" spans="1:10" ht="12.75" x14ac:dyDescent="0.2"/>
    <row r="171" spans="1:10" ht="12.75" x14ac:dyDescent="0.2"/>
    <row r="172" spans="1:10" ht="12.75" x14ac:dyDescent="0.2">
      <c r="B172" s="124" t="s">
        <v>951</v>
      </c>
      <c r="C172" s="125"/>
      <c r="D172" s="124"/>
    </row>
    <row r="173" spans="1:10" ht="12.75" x14ac:dyDescent="0.2">
      <c r="B173" s="124" t="s">
        <v>1118</v>
      </c>
      <c r="D173" s="124"/>
    </row>
    <row r="174" spans="1:10" ht="165" customHeight="1" x14ac:dyDescent="0.2"/>
    <row r="175" spans="1:10" ht="12.75" x14ac:dyDescent="0.2"/>
    <row r="176" spans="1:10" ht="12.75" x14ac:dyDescent="0.2">
      <c r="J176" s="84"/>
    </row>
    <row r="177" customFormat="1" ht="12.75" x14ac:dyDescent="0.2"/>
    <row r="178" customFormat="1" ht="12.75" x14ac:dyDescent="0.2"/>
    <row r="179" customFormat="1" ht="12.75" x14ac:dyDescent="0.2"/>
    <row r="180" customFormat="1" ht="12.75" x14ac:dyDescent="0.2"/>
    <row r="181" customFormat="1" ht="12.75" x14ac:dyDescent="0.2"/>
    <row r="182" customFormat="1" ht="12.75" x14ac:dyDescent="0.2"/>
    <row r="183" customFormat="1" ht="12.75" x14ac:dyDescent="0.2"/>
    <row r="184" customFormat="1" ht="12.75" x14ac:dyDescent="0.2"/>
    <row r="185" customFormat="1" ht="12.75" x14ac:dyDescent="0.2"/>
    <row r="186" customFormat="1" ht="12.75" x14ac:dyDescent="0.2"/>
    <row r="187" customFormat="1" ht="12.75" x14ac:dyDescent="0.2"/>
    <row r="188" customFormat="1" ht="12.75" x14ac:dyDescent="0.2"/>
  </sheetData>
  <mergeCells count="18">
    <mergeCell ref="B158:C158"/>
    <mergeCell ref="B159:C159"/>
    <mergeCell ref="B167:C167"/>
    <mergeCell ref="B161:C161"/>
    <mergeCell ref="A1:H1"/>
    <mergeCell ref="A2:H2"/>
    <mergeCell ref="A3:H3"/>
    <mergeCell ref="B156:C156"/>
    <mergeCell ref="B160:C160"/>
    <mergeCell ref="B139:H139"/>
    <mergeCell ref="B140:H140"/>
    <mergeCell ref="B141:H141"/>
    <mergeCell ref="B142:H142"/>
    <mergeCell ref="B143:H143"/>
    <mergeCell ref="B145:D145"/>
    <mergeCell ref="B146:C146"/>
    <mergeCell ref="B147:C147"/>
    <mergeCell ref="B148:C148"/>
  </mergeCells>
  <hyperlinks>
    <hyperlink ref="I1" location="Index!B2" display="Index" xr:uid="{3D44B841-CF14-4708-85DF-2ACE6EF64546}"/>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36DAC-F3A4-42D7-AC6A-5D74786E5FDA}">
  <sheetPr>
    <outlinePr summaryBelow="0" summaryRight="0"/>
  </sheetPr>
  <dimension ref="A1:Q214"/>
  <sheetViews>
    <sheetView showGridLines="0" workbookViewId="0">
      <selection sqref="A1:H1"/>
    </sheetView>
  </sheetViews>
  <sheetFormatPr defaultRowHeight="14.25" customHeight="1" x14ac:dyDescent="0.2"/>
  <cols>
    <col min="1" max="1" width="5.85546875" bestFit="1" customWidth="1"/>
    <col min="2" max="2" width="19.7109375" customWidth="1"/>
    <col min="3" max="3" width="51.140625" bestFit="1" customWidth="1"/>
    <col min="4" max="4" width="29.28515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755</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756</v>
      </c>
      <c r="C7" s="89" t="s">
        <v>757</v>
      </c>
      <c r="D7" s="89" t="s">
        <v>43</v>
      </c>
      <c r="E7" s="90">
        <v>341</v>
      </c>
      <c r="F7" s="91">
        <v>136.2636</v>
      </c>
      <c r="G7" s="92">
        <v>1.2578840000000001E-2</v>
      </c>
      <c r="H7" s="87" t="s">
        <v>143</v>
      </c>
    </row>
    <row r="8" spans="1:9" ht="14.25" customHeight="1" x14ac:dyDescent="0.2">
      <c r="A8" s="88">
        <v>2</v>
      </c>
      <c r="B8" s="89" t="s">
        <v>343</v>
      </c>
      <c r="C8" s="89" t="s">
        <v>344</v>
      </c>
      <c r="D8" s="89" t="s">
        <v>275</v>
      </c>
      <c r="E8" s="90">
        <v>41944</v>
      </c>
      <c r="F8" s="91">
        <v>131.683188</v>
      </c>
      <c r="G8" s="92">
        <v>1.215601E-2</v>
      </c>
      <c r="H8" s="87" t="s">
        <v>143</v>
      </c>
    </row>
    <row r="9" spans="1:9" ht="14.25" customHeight="1" x14ac:dyDescent="0.2">
      <c r="A9" s="88">
        <v>3</v>
      </c>
      <c r="B9" s="89" t="s">
        <v>519</v>
      </c>
      <c r="C9" s="89" t="s">
        <v>520</v>
      </c>
      <c r="D9" s="89" t="s">
        <v>243</v>
      </c>
      <c r="E9" s="90">
        <v>2582</v>
      </c>
      <c r="F9" s="91">
        <v>131.36441400000001</v>
      </c>
      <c r="G9" s="92">
        <v>1.212658E-2</v>
      </c>
      <c r="H9" s="87" t="s">
        <v>143</v>
      </c>
    </row>
    <row r="10" spans="1:9" ht="14.25" customHeight="1" x14ac:dyDescent="0.2">
      <c r="A10" s="88">
        <v>4</v>
      </c>
      <c r="B10" s="89" t="s">
        <v>505</v>
      </c>
      <c r="C10" s="89" t="s">
        <v>506</v>
      </c>
      <c r="D10" s="89" t="s">
        <v>243</v>
      </c>
      <c r="E10" s="90">
        <v>869</v>
      </c>
      <c r="F10" s="91">
        <v>128.53379000000001</v>
      </c>
      <c r="G10" s="92">
        <v>1.1865280000000001E-2</v>
      </c>
      <c r="H10" s="87" t="s">
        <v>143</v>
      </c>
    </row>
    <row r="11" spans="1:9" ht="14.25" customHeight="1" x14ac:dyDescent="0.2">
      <c r="A11" s="88">
        <v>5</v>
      </c>
      <c r="B11" s="89" t="s">
        <v>445</v>
      </c>
      <c r="C11" s="89" t="s">
        <v>446</v>
      </c>
      <c r="D11" s="89" t="s">
        <v>429</v>
      </c>
      <c r="E11" s="90">
        <v>4809</v>
      </c>
      <c r="F11" s="91">
        <v>127.90978200000001</v>
      </c>
      <c r="G11" s="92">
        <v>1.1807679999999999E-2</v>
      </c>
      <c r="H11" s="87" t="s">
        <v>143</v>
      </c>
    </row>
    <row r="12" spans="1:9" ht="14.25" customHeight="1" x14ac:dyDescent="0.2">
      <c r="A12" s="88">
        <v>6</v>
      </c>
      <c r="B12" s="89" t="s">
        <v>758</v>
      </c>
      <c r="C12" s="89" t="s">
        <v>759</v>
      </c>
      <c r="D12" s="89" t="s">
        <v>243</v>
      </c>
      <c r="E12" s="90">
        <v>5054</v>
      </c>
      <c r="F12" s="91">
        <v>124.34861600000001</v>
      </c>
      <c r="G12" s="92">
        <v>1.147894E-2</v>
      </c>
      <c r="H12" s="87" t="s">
        <v>143</v>
      </c>
    </row>
    <row r="13" spans="1:9" ht="14.25" customHeight="1" x14ac:dyDescent="0.2">
      <c r="A13" s="88">
        <v>7</v>
      </c>
      <c r="B13" s="89" t="s">
        <v>241</v>
      </c>
      <c r="C13" s="89" t="s">
        <v>242</v>
      </c>
      <c r="D13" s="89" t="s">
        <v>243</v>
      </c>
      <c r="E13" s="90">
        <v>3772</v>
      </c>
      <c r="F13" s="91">
        <v>123.593352</v>
      </c>
      <c r="G13" s="92">
        <v>1.1409219999999999E-2</v>
      </c>
      <c r="H13" s="87" t="s">
        <v>143</v>
      </c>
    </row>
    <row r="14" spans="1:9" ht="14.25" customHeight="1" x14ac:dyDescent="0.2">
      <c r="A14" s="88">
        <v>8</v>
      </c>
      <c r="B14" s="89" t="s">
        <v>688</v>
      </c>
      <c r="C14" s="89" t="s">
        <v>689</v>
      </c>
      <c r="D14" s="89" t="s">
        <v>46</v>
      </c>
      <c r="E14" s="90">
        <v>4861</v>
      </c>
      <c r="F14" s="91">
        <v>122.429146</v>
      </c>
      <c r="G14" s="92">
        <v>1.1301749999999999E-2</v>
      </c>
      <c r="H14" s="87" t="s">
        <v>143</v>
      </c>
    </row>
    <row r="15" spans="1:9" ht="14.25" customHeight="1" x14ac:dyDescent="0.2">
      <c r="A15" s="88">
        <v>9</v>
      </c>
      <c r="B15" s="89" t="s">
        <v>726</v>
      </c>
      <c r="C15" s="89" t="s">
        <v>727</v>
      </c>
      <c r="D15" s="89" t="s">
        <v>275</v>
      </c>
      <c r="E15" s="90">
        <v>2542</v>
      </c>
      <c r="F15" s="91">
        <v>120.88735200000001</v>
      </c>
      <c r="G15" s="92">
        <v>1.115942E-2</v>
      </c>
      <c r="H15" s="87" t="s">
        <v>143</v>
      </c>
    </row>
    <row r="16" spans="1:9" ht="14.25" customHeight="1" x14ac:dyDescent="0.2">
      <c r="A16" s="88">
        <v>10</v>
      </c>
      <c r="B16" s="89" t="s">
        <v>640</v>
      </c>
      <c r="C16" s="89" t="s">
        <v>641</v>
      </c>
      <c r="D16" s="89" t="s">
        <v>243</v>
      </c>
      <c r="E16" s="90">
        <v>1975</v>
      </c>
      <c r="F16" s="91">
        <v>120.53425</v>
      </c>
      <c r="G16" s="92">
        <v>1.1126820000000001E-2</v>
      </c>
      <c r="H16" s="87" t="s">
        <v>143</v>
      </c>
    </row>
    <row r="17" spans="1:8" ht="14.25" customHeight="1" x14ac:dyDescent="0.2">
      <c r="A17" s="88">
        <v>11</v>
      </c>
      <c r="B17" s="89" t="s">
        <v>760</v>
      </c>
      <c r="C17" s="89" t="s">
        <v>761</v>
      </c>
      <c r="D17" s="89" t="s">
        <v>288</v>
      </c>
      <c r="E17" s="90">
        <v>23008</v>
      </c>
      <c r="F17" s="91">
        <v>119.894688</v>
      </c>
      <c r="G17" s="92">
        <v>1.1067779999999999E-2</v>
      </c>
      <c r="H17" s="87" t="s">
        <v>143</v>
      </c>
    </row>
    <row r="18" spans="1:8" ht="14.25" customHeight="1" x14ac:dyDescent="0.2">
      <c r="A18" s="88">
        <v>12</v>
      </c>
      <c r="B18" s="89" t="s">
        <v>730</v>
      </c>
      <c r="C18" s="89" t="s">
        <v>731</v>
      </c>
      <c r="D18" s="89" t="s">
        <v>188</v>
      </c>
      <c r="E18" s="90">
        <v>1575</v>
      </c>
      <c r="F18" s="91">
        <v>119.8575</v>
      </c>
      <c r="G18" s="92">
        <v>1.1064350000000001E-2</v>
      </c>
      <c r="H18" s="87" t="s">
        <v>143</v>
      </c>
    </row>
    <row r="19" spans="1:8" ht="14.25" customHeight="1" x14ac:dyDescent="0.2">
      <c r="A19" s="88">
        <v>13</v>
      </c>
      <c r="B19" s="89" t="s">
        <v>762</v>
      </c>
      <c r="C19" s="89" t="s">
        <v>763</v>
      </c>
      <c r="D19" s="89" t="s">
        <v>194</v>
      </c>
      <c r="E19" s="90">
        <v>3351</v>
      </c>
      <c r="F19" s="91">
        <v>119.288898</v>
      </c>
      <c r="G19" s="92">
        <v>1.101186E-2</v>
      </c>
      <c r="H19" s="87" t="s">
        <v>143</v>
      </c>
    </row>
    <row r="20" spans="1:8" ht="14.25" customHeight="1" x14ac:dyDescent="0.2">
      <c r="A20" s="88">
        <v>14</v>
      </c>
      <c r="B20" s="89" t="s">
        <v>23</v>
      </c>
      <c r="C20" s="89" t="s">
        <v>24</v>
      </c>
      <c r="D20" s="89" t="s">
        <v>25</v>
      </c>
      <c r="E20" s="90">
        <v>943</v>
      </c>
      <c r="F20" s="91">
        <v>119.1952</v>
      </c>
      <c r="G20" s="92">
        <v>1.1003209999999999E-2</v>
      </c>
      <c r="H20" s="87" t="s">
        <v>143</v>
      </c>
    </row>
    <row r="21" spans="1:8" ht="14.25" customHeight="1" x14ac:dyDescent="0.2">
      <c r="A21" s="88">
        <v>15</v>
      </c>
      <c r="B21" s="89" t="s">
        <v>764</v>
      </c>
      <c r="C21" s="89" t="s">
        <v>765</v>
      </c>
      <c r="D21" s="89" t="s">
        <v>22</v>
      </c>
      <c r="E21" s="90">
        <v>19564</v>
      </c>
      <c r="F21" s="91">
        <v>117.511166</v>
      </c>
      <c r="G21" s="92">
        <v>1.084776E-2</v>
      </c>
      <c r="H21" s="87" t="s">
        <v>143</v>
      </c>
    </row>
    <row r="22" spans="1:8" ht="14.25" customHeight="1" x14ac:dyDescent="0.2">
      <c r="A22" s="88">
        <v>16</v>
      </c>
      <c r="B22" s="89" t="s">
        <v>349</v>
      </c>
      <c r="C22" s="89" t="s">
        <v>350</v>
      </c>
      <c r="D22" s="89" t="s">
        <v>232</v>
      </c>
      <c r="E22" s="90">
        <v>23968</v>
      </c>
      <c r="F22" s="91">
        <v>116.76011200000001</v>
      </c>
      <c r="G22" s="92">
        <v>1.077842E-2</v>
      </c>
      <c r="H22" s="87" t="s">
        <v>143</v>
      </c>
    </row>
    <row r="23" spans="1:8" ht="14.25" customHeight="1" x14ac:dyDescent="0.2">
      <c r="A23" s="88">
        <v>17</v>
      </c>
      <c r="B23" s="89" t="s">
        <v>439</v>
      </c>
      <c r="C23" s="89" t="s">
        <v>440</v>
      </c>
      <c r="D23" s="89" t="s">
        <v>194</v>
      </c>
      <c r="E23" s="90">
        <v>7253</v>
      </c>
      <c r="F23" s="91">
        <v>115.27918200000001</v>
      </c>
      <c r="G23" s="92">
        <v>1.064172E-2</v>
      </c>
      <c r="H23" s="87" t="s">
        <v>143</v>
      </c>
    </row>
    <row r="24" spans="1:8" ht="14.25" customHeight="1" x14ac:dyDescent="0.2">
      <c r="A24" s="88">
        <v>18</v>
      </c>
      <c r="B24" s="89" t="s">
        <v>676</v>
      </c>
      <c r="C24" s="89" t="s">
        <v>677</v>
      </c>
      <c r="D24" s="89" t="s">
        <v>288</v>
      </c>
      <c r="E24" s="90">
        <v>9265</v>
      </c>
      <c r="F24" s="91">
        <v>115.12689</v>
      </c>
      <c r="G24" s="92">
        <v>1.0627660000000001E-2</v>
      </c>
      <c r="H24" s="87" t="s">
        <v>143</v>
      </c>
    </row>
    <row r="25" spans="1:8" ht="14.25" customHeight="1" x14ac:dyDescent="0.2">
      <c r="A25" s="88">
        <v>19</v>
      </c>
      <c r="B25" s="89" t="s">
        <v>434</v>
      </c>
      <c r="C25" s="89" t="s">
        <v>435</v>
      </c>
      <c r="D25" s="89" t="s">
        <v>436</v>
      </c>
      <c r="E25" s="90">
        <v>16315</v>
      </c>
      <c r="F25" s="91">
        <v>114.84944249999999</v>
      </c>
      <c r="G25" s="92">
        <v>1.060205E-2</v>
      </c>
      <c r="H25" s="87" t="s">
        <v>143</v>
      </c>
    </row>
    <row r="26" spans="1:8" ht="14.25" customHeight="1" x14ac:dyDescent="0.2">
      <c r="A26" s="88">
        <v>20</v>
      </c>
      <c r="B26" s="89" t="s">
        <v>766</v>
      </c>
      <c r="C26" s="89" t="s">
        <v>767</v>
      </c>
      <c r="D26" s="89" t="s">
        <v>275</v>
      </c>
      <c r="E26" s="90">
        <v>27865</v>
      </c>
      <c r="F26" s="91">
        <v>114.1768375</v>
      </c>
      <c r="G26" s="92">
        <v>1.0539959999999999E-2</v>
      </c>
      <c r="H26" s="87" t="s">
        <v>143</v>
      </c>
    </row>
    <row r="27" spans="1:8" ht="14.25" customHeight="1" x14ac:dyDescent="0.2">
      <c r="A27" s="88">
        <v>21</v>
      </c>
      <c r="B27" s="89" t="s">
        <v>507</v>
      </c>
      <c r="C27" s="89" t="s">
        <v>508</v>
      </c>
      <c r="D27" s="89" t="s">
        <v>243</v>
      </c>
      <c r="E27" s="90">
        <v>1304</v>
      </c>
      <c r="F27" s="91">
        <v>112.55476</v>
      </c>
      <c r="G27" s="92">
        <v>1.039022E-2</v>
      </c>
      <c r="H27" s="87" t="s">
        <v>143</v>
      </c>
    </row>
    <row r="28" spans="1:8" ht="14.25" customHeight="1" x14ac:dyDescent="0.2">
      <c r="A28" s="88">
        <v>22</v>
      </c>
      <c r="B28" s="89" t="s">
        <v>136</v>
      </c>
      <c r="C28" s="89" t="s">
        <v>137</v>
      </c>
      <c r="D28" s="89" t="s">
        <v>138</v>
      </c>
      <c r="E28" s="90">
        <v>11858</v>
      </c>
      <c r="F28" s="91">
        <v>112.152964</v>
      </c>
      <c r="G28" s="92">
        <v>1.035313E-2</v>
      </c>
      <c r="H28" s="87" t="s">
        <v>143</v>
      </c>
    </row>
    <row r="29" spans="1:8" ht="14.25" customHeight="1" x14ac:dyDescent="0.2">
      <c r="A29" s="88">
        <v>23</v>
      </c>
      <c r="B29" s="89" t="s">
        <v>654</v>
      </c>
      <c r="C29" s="89" t="s">
        <v>655</v>
      </c>
      <c r="D29" s="89" t="s">
        <v>460</v>
      </c>
      <c r="E29" s="90">
        <v>1919</v>
      </c>
      <c r="F29" s="91">
        <v>111.76255999999999</v>
      </c>
      <c r="G29" s="92">
        <v>1.0317089999999999E-2</v>
      </c>
      <c r="H29" s="87" t="s">
        <v>143</v>
      </c>
    </row>
    <row r="30" spans="1:8" ht="14.25" customHeight="1" x14ac:dyDescent="0.2">
      <c r="A30" s="88">
        <v>24</v>
      </c>
      <c r="B30" s="89" t="s">
        <v>768</v>
      </c>
      <c r="C30" s="89" t="s">
        <v>769</v>
      </c>
      <c r="D30" s="89" t="s">
        <v>36</v>
      </c>
      <c r="E30" s="90">
        <v>16067</v>
      </c>
      <c r="F30" s="91">
        <v>111.553181</v>
      </c>
      <c r="G30" s="92">
        <v>1.029776E-2</v>
      </c>
      <c r="H30" s="87" t="s">
        <v>143</v>
      </c>
    </row>
    <row r="31" spans="1:8" ht="14.25" customHeight="1" x14ac:dyDescent="0.2">
      <c r="A31" s="88">
        <v>25</v>
      </c>
      <c r="B31" s="89" t="s">
        <v>511</v>
      </c>
      <c r="C31" s="89" t="s">
        <v>512</v>
      </c>
      <c r="D31" s="89" t="s">
        <v>268</v>
      </c>
      <c r="E31" s="90">
        <v>3653</v>
      </c>
      <c r="F31" s="91">
        <v>111.427459</v>
      </c>
      <c r="G31" s="92">
        <v>1.0286150000000001E-2</v>
      </c>
      <c r="H31" s="87" t="s">
        <v>143</v>
      </c>
    </row>
    <row r="32" spans="1:8" ht="14.25" customHeight="1" x14ac:dyDescent="0.2">
      <c r="A32" s="88">
        <v>26</v>
      </c>
      <c r="B32" s="89" t="s">
        <v>642</v>
      </c>
      <c r="C32" s="89" t="s">
        <v>643</v>
      </c>
      <c r="D32" s="89" t="s">
        <v>191</v>
      </c>
      <c r="E32" s="90">
        <v>35711</v>
      </c>
      <c r="F32" s="91">
        <v>111.311187</v>
      </c>
      <c r="G32" s="92">
        <v>1.027542E-2</v>
      </c>
      <c r="H32" s="87" t="s">
        <v>143</v>
      </c>
    </row>
    <row r="33" spans="1:8" ht="14.25" customHeight="1" x14ac:dyDescent="0.2">
      <c r="A33" s="88">
        <v>27</v>
      </c>
      <c r="B33" s="89" t="s">
        <v>770</v>
      </c>
      <c r="C33" s="89" t="s">
        <v>771</v>
      </c>
      <c r="D33" s="89" t="s">
        <v>25</v>
      </c>
      <c r="E33" s="90">
        <v>380</v>
      </c>
      <c r="F33" s="91">
        <v>111.245</v>
      </c>
      <c r="G33" s="92">
        <v>1.026931E-2</v>
      </c>
      <c r="H33" s="87" t="s">
        <v>143</v>
      </c>
    </row>
    <row r="34" spans="1:8" ht="14.25" customHeight="1" x14ac:dyDescent="0.2">
      <c r="A34" s="88">
        <v>28</v>
      </c>
      <c r="B34" s="89" t="s">
        <v>282</v>
      </c>
      <c r="C34" s="89" t="s">
        <v>283</v>
      </c>
      <c r="D34" s="89" t="s">
        <v>194</v>
      </c>
      <c r="E34" s="90">
        <v>11269</v>
      </c>
      <c r="F34" s="91">
        <v>110.5545245</v>
      </c>
      <c r="G34" s="92">
        <v>1.0205570000000001E-2</v>
      </c>
      <c r="H34" s="87" t="s">
        <v>143</v>
      </c>
    </row>
    <row r="35" spans="1:8" ht="14.25" customHeight="1" x14ac:dyDescent="0.2">
      <c r="A35" s="88">
        <v>29</v>
      </c>
      <c r="B35" s="89" t="s">
        <v>697</v>
      </c>
      <c r="C35" s="89" t="s">
        <v>698</v>
      </c>
      <c r="D35" s="89" t="s">
        <v>138</v>
      </c>
      <c r="E35" s="90">
        <v>10756</v>
      </c>
      <c r="F35" s="91">
        <v>110.42109600000001</v>
      </c>
      <c r="G35" s="92">
        <v>1.0193249999999999E-2</v>
      </c>
      <c r="H35" s="87" t="s">
        <v>143</v>
      </c>
    </row>
    <row r="36" spans="1:8" ht="14.25" customHeight="1" x14ac:dyDescent="0.2">
      <c r="A36" s="88">
        <v>30</v>
      </c>
      <c r="B36" s="89" t="s">
        <v>99</v>
      </c>
      <c r="C36" s="89" t="s">
        <v>100</v>
      </c>
      <c r="D36" s="89" t="s">
        <v>25</v>
      </c>
      <c r="E36" s="90">
        <v>19587</v>
      </c>
      <c r="F36" s="91">
        <v>110.313984</v>
      </c>
      <c r="G36" s="92">
        <v>1.0183370000000001E-2</v>
      </c>
      <c r="H36" s="87" t="s">
        <v>143</v>
      </c>
    </row>
    <row r="37" spans="1:8" ht="14.25" customHeight="1" x14ac:dyDescent="0.2">
      <c r="A37" s="88">
        <v>31</v>
      </c>
      <c r="B37" s="89" t="s">
        <v>20</v>
      </c>
      <c r="C37" s="89" t="s">
        <v>21</v>
      </c>
      <c r="D37" s="89" t="s">
        <v>22</v>
      </c>
      <c r="E37" s="90">
        <v>33492</v>
      </c>
      <c r="F37" s="91">
        <v>109.703046</v>
      </c>
      <c r="G37" s="92">
        <v>1.0126970000000001E-2</v>
      </c>
      <c r="H37" s="87" t="s">
        <v>143</v>
      </c>
    </row>
    <row r="38" spans="1:8" ht="14.25" customHeight="1" x14ac:dyDescent="0.2">
      <c r="A38" s="88">
        <v>32</v>
      </c>
      <c r="B38" s="89" t="s">
        <v>331</v>
      </c>
      <c r="C38" s="89" t="s">
        <v>332</v>
      </c>
      <c r="D38" s="89" t="s">
        <v>243</v>
      </c>
      <c r="E38" s="90">
        <v>3426</v>
      </c>
      <c r="F38" s="91">
        <v>109.61487</v>
      </c>
      <c r="G38" s="92">
        <v>1.0118830000000001E-2</v>
      </c>
      <c r="H38" s="87" t="s">
        <v>143</v>
      </c>
    </row>
    <row r="39" spans="1:8" ht="14.25" customHeight="1" x14ac:dyDescent="0.2">
      <c r="A39" s="88">
        <v>33</v>
      </c>
      <c r="B39" s="89" t="s">
        <v>14</v>
      </c>
      <c r="C39" s="89" t="s">
        <v>15</v>
      </c>
      <c r="D39" s="89" t="s">
        <v>16</v>
      </c>
      <c r="E39" s="90">
        <v>3029</v>
      </c>
      <c r="F39" s="91">
        <v>109.07429</v>
      </c>
      <c r="G39" s="92">
        <v>1.006893E-2</v>
      </c>
      <c r="H39" s="87" t="s">
        <v>143</v>
      </c>
    </row>
    <row r="40" spans="1:8" ht="14.25" customHeight="1" x14ac:dyDescent="0.2">
      <c r="A40" s="88">
        <v>34</v>
      </c>
      <c r="B40" s="89" t="s">
        <v>409</v>
      </c>
      <c r="C40" s="89" t="s">
        <v>410</v>
      </c>
      <c r="D40" s="89" t="s">
        <v>138</v>
      </c>
      <c r="E40" s="90">
        <v>70323</v>
      </c>
      <c r="F40" s="91">
        <v>108.6349704</v>
      </c>
      <c r="G40" s="92">
        <v>1.002837E-2</v>
      </c>
      <c r="H40" s="87" t="s">
        <v>143</v>
      </c>
    </row>
    <row r="41" spans="1:8" ht="14.25" customHeight="1" x14ac:dyDescent="0.2">
      <c r="A41" s="88">
        <v>35</v>
      </c>
      <c r="B41" s="89" t="s">
        <v>772</v>
      </c>
      <c r="C41" s="89" t="s">
        <v>773</v>
      </c>
      <c r="D41" s="89" t="s">
        <v>46</v>
      </c>
      <c r="E41" s="90">
        <v>7109</v>
      </c>
      <c r="F41" s="91">
        <v>108.454904</v>
      </c>
      <c r="G41" s="92">
        <v>1.001175E-2</v>
      </c>
      <c r="H41" s="87" t="s">
        <v>143</v>
      </c>
    </row>
    <row r="42" spans="1:8" ht="14.25" customHeight="1" x14ac:dyDescent="0.2">
      <c r="A42" s="88">
        <v>36</v>
      </c>
      <c r="B42" s="89" t="s">
        <v>425</v>
      </c>
      <c r="C42" s="89" t="s">
        <v>426</v>
      </c>
      <c r="D42" s="89" t="s">
        <v>243</v>
      </c>
      <c r="E42" s="90">
        <v>16186</v>
      </c>
      <c r="F42" s="91">
        <v>108.28434</v>
      </c>
      <c r="G42" s="92">
        <v>9.9959999999999997E-3</v>
      </c>
      <c r="H42" s="87" t="s">
        <v>143</v>
      </c>
    </row>
    <row r="43" spans="1:8" ht="14.25" customHeight="1" x14ac:dyDescent="0.2">
      <c r="A43" s="88">
        <v>37</v>
      </c>
      <c r="B43" s="89" t="s">
        <v>49</v>
      </c>
      <c r="C43" s="89" t="s">
        <v>50</v>
      </c>
      <c r="D43" s="89" t="s">
        <v>33</v>
      </c>
      <c r="E43" s="90">
        <v>13484</v>
      </c>
      <c r="F43" s="91">
        <v>108.20910000000001</v>
      </c>
      <c r="G43" s="92">
        <v>9.9890599999999993E-3</v>
      </c>
      <c r="H43" s="87" t="s">
        <v>143</v>
      </c>
    </row>
    <row r="44" spans="1:8" ht="14.25" customHeight="1" x14ac:dyDescent="0.2">
      <c r="A44" s="88">
        <v>38</v>
      </c>
      <c r="B44" s="89" t="s">
        <v>31</v>
      </c>
      <c r="C44" s="89" t="s">
        <v>32</v>
      </c>
      <c r="D44" s="89" t="s">
        <v>33</v>
      </c>
      <c r="E44" s="90">
        <v>7737</v>
      </c>
      <c r="F44" s="91">
        <v>108.147786</v>
      </c>
      <c r="G44" s="92">
        <v>9.9833999999999999E-3</v>
      </c>
      <c r="H44" s="87" t="s">
        <v>143</v>
      </c>
    </row>
    <row r="45" spans="1:8" ht="14.25" customHeight="1" x14ac:dyDescent="0.2">
      <c r="A45" s="88">
        <v>39</v>
      </c>
      <c r="B45" s="89" t="s">
        <v>427</v>
      </c>
      <c r="C45" s="89" t="s">
        <v>428</v>
      </c>
      <c r="D45" s="89" t="s">
        <v>429</v>
      </c>
      <c r="E45" s="90">
        <v>26375</v>
      </c>
      <c r="F45" s="91">
        <v>108.0715625</v>
      </c>
      <c r="G45" s="92">
        <v>9.9763600000000001E-3</v>
      </c>
      <c r="H45" s="87" t="s">
        <v>143</v>
      </c>
    </row>
    <row r="46" spans="1:8" ht="14.25" customHeight="1" x14ac:dyDescent="0.2">
      <c r="A46" s="88">
        <v>40</v>
      </c>
      <c r="B46" s="89" t="s">
        <v>423</v>
      </c>
      <c r="C46" s="89" t="s">
        <v>424</v>
      </c>
      <c r="D46" s="89" t="s">
        <v>46</v>
      </c>
      <c r="E46" s="90">
        <v>2978</v>
      </c>
      <c r="F46" s="91">
        <v>108.065664</v>
      </c>
      <c r="G46" s="92">
        <v>9.9758199999999998E-3</v>
      </c>
      <c r="H46" s="87" t="s">
        <v>143</v>
      </c>
    </row>
    <row r="47" spans="1:8" ht="14.25" customHeight="1" x14ac:dyDescent="0.2">
      <c r="A47" s="88">
        <v>41</v>
      </c>
      <c r="B47" s="89" t="s">
        <v>335</v>
      </c>
      <c r="C47" s="89" t="s">
        <v>336</v>
      </c>
      <c r="D47" s="89" t="s">
        <v>25</v>
      </c>
      <c r="E47" s="90">
        <v>3883</v>
      </c>
      <c r="F47" s="91">
        <v>107.77654800000001</v>
      </c>
      <c r="G47" s="92">
        <v>9.9491300000000005E-3</v>
      </c>
      <c r="H47" s="87" t="s">
        <v>143</v>
      </c>
    </row>
    <row r="48" spans="1:8" ht="14.25" customHeight="1" x14ac:dyDescent="0.2">
      <c r="A48" s="88">
        <v>42</v>
      </c>
      <c r="B48" s="89" t="s">
        <v>345</v>
      </c>
      <c r="C48" s="89" t="s">
        <v>346</v>
      </c>
      <c r="D48" s="89" t="s">
        <v>207</v>
      </c>
      <c r="E48" s="90">
        <v>14187</v>
      </c>
      <c r="F48" s="91">
        <v>107.60130150000001</v>
      </c>
      <c r="G48" s="92">
        <v>9.9329499999999994E-3</v>
      </c>
      <c r="H48" s="87" t="s">
        <v>143</v>
      </c>
    </row>
    <row r="49" spans="1:8" ht="14.25" customHeight="1" x14ac:dyDescent="0.2">
      <c r="A49" s="88">
        <v>43</v>
      </c>
      <c r="B49" s="89" t="s">
        <v>432</v>
      </c>
      <c r="C49" s="89" t="s">
        <v>433</v>
      </c>
      <c r="D49" s="89" t="s">
        <v>263</v>
      </c>
      <c r="E49" s="90">
        <v>5948</v>
      </c>
      <c r="F49" s="91">
        <v>107.39113999999999</v>
      </c>
      <c r="G49" s="92">
        <v>9.9135500000000001E-3</v>
      </c>
      <c r="H49" s="87" t="s">
        <v>143</v>
      </c>
    </row>
    <row r="50" spans="1:8" ht="14.25" customHeight="1" x14ac:dyDescent="0.2">
      <c r="A50" s="88">
        <v>44</v>
      </c>
      <c r="B50" s="89" t="s">
        <v>51</v>
      </c>
      <c r="C50" s="89" t="s">
        <v>52</v>
      </c>
      <c r="D50" s="89" t="s">
        <v>53</v>
      </c>
      <c r="E50" s="90">
        <v>1898</v>
      </c>
      <c r="F50" s="91">
        <v>107.16108</v>
      </c>
      <c r="G50" s="92">
        <v>9.8923099999999996E-3</v>
      </c>
      <c r="H50" s="87" t="s">
        <v>143</v>
      </c>
    </row>
    <row r="51" spans="1:8" ht="14.25" customHeight="1" x14ac:dyDescent="0.2">
      <c r="A51" s="88">
        <v>45</v>
      </c>
      <c r="B51" s="89" t="s">
        <v>11</v>
      </c>
      <c r="C51" s="89" t="s">
        <v>12</v>
      </c>
      <c r="D51" s="89" t="s">
        <v>13</v>
      </c>
      <c r="E51" s="90">
        <v>5638</v>
      </c>
      <c r="F51" s="91">
        <v>106.490544</v>
      </c>
      <c r="G51" s="92">
        <v>9.8304099999999995E-3</v>
      </c>
      <c r="H51" s="87" t="s">
        <v>143</v>
      </c>
    </row>
    <row r="52" spans="1:8" ht="14.25" customHeight="1" x14ac:dyDescent="0.2">
      <c r="A52" s="88">
        <v>46</v>
      </c>
      <c r="B52" s="89" t="s">
        <v>441</v>
      </c>
      <c r="C52" s="89" t="s">
        <v>442</v>
      </c>
      <c r="D52" s="89" t="s">
        <v>204</v>
      </c>
      <c r="E52" s="90">
        <v>9980</v>
      </c>
      <c r="F52" s="91">
        <v>106.32692</v>
      </c>
      <c r="G52" s="92">
        <v>9.8153100000000007E-3</v>
      </c>
      <c r="H52" s="87" t="s">
        <v>143</v>
      </c>
    </row>
    <row r="53" spans="1:8" ht="14.25" customHeight="1" x14ac:dyDescent="0.2">
      <c r="A53" s="88">
        <v>47</v>
      </c>
      <c r="B53" s="89" t="s">
        <v>699</v>
      </c>
      <c r="C53" s="89" t="s">
        <v>700</v>
      </c>
      <c r="D53" s="89" t="s">
        <v>263</v>
      </c>
      <c r="E53" s="90">
        <v>13772</v>
      </c>
      <c r="F53" s="91">
        <v>106.32672599999999</v>
      </c>
      <c r="G53" s="92">
        <v>9.8152900000000008E-3</v>
      </c>
      <c r="H53" s="87" t="s">
        <v>143</v>
      </c>
    </row>
    <row r="54" spans="1:8" ht="14.25" customHeight="1" x14ac:dyDescent="0.2">
      <c r="A54" s="88">
        <v>48</v>
      </c>
      <c r="B54" s="89" t="s">
        <v>525</v>
      </c>
      <c r="C54" s="89" t="s">
        <v>526</v>
      </c>
      <c r="D54" s="89" t="s">
        <v>22</v>
      </c>
      <c r="E54" s="90">
        <v>21728</v>
      </c>
      <c r="F54" s="91">
        <v>106.130416</v>
      </c>
      <c r="G54" s="92">
        <v>9.7971699999999991E-3</v>
      </c>
      <c r="H54" s="87" t="s">
        <v>143</v>
      </c>
    </row>
    <row r="55" spans="1:8" ht="14.25" customHeight="1" x14ac:dyDescent="0.2">
      <c r="A55" s="88">
        <v>49</v>
      </c>
      <c r="B55" s="89" t="s">
        <v>321</v>
      </c>
      <c r="C55" s="89" t="s">
        <v>322</v>
      </c>
      <c r="D55" s="89" t="s">
        <v>33</v>
      </c>
      <c r="E55" s="90">
        <v>11140</v>
      </c>
      <c r="F55" s="91">
        <v>106.00824</v>
      </c>
      <c r="G55" s="92">
        <v>9.7858900000000002E-3</v>
      </c>
      <c r="H55" s="87" t="s">
        <v>143</v>
      </c>
    </row>
    <row r="56" spans="1:8" ht="14.25" customHeight="1" x14ac:dyDescent="0.2">
      <c r="A56" s="88">
        <v>50</v>
      </c>
      <c r="B56" s="89" t="s">
        <v>37</v>
      </c>
      <c r="C56" s="89" t="s">
        <v>38</v>
      </c>
      <c r="D56" s="89" t="s">
        <v>19</v>
      </c>
      <c r="E56" s="90">
        <v>34386</v>
      </c>
      <c r="F56" s="91">
        <v>105.97765200000001</v>
      </c>
      <c r="G56" s="92">
        <v>9.7830699999999996E-3</v>
      </c>
      <c r="H56" s="87" t="s">
        <v>143</v>
      </c>
    </row>
    <row r="57" spans="1:8" ht="14.25" customHeight="1" x14ac:dyDescent="0.2">
      <c r="A57" s="88">
        <v>51</v>
      </c>
      <c r="B57" s="89" t="s">
        <v>774</v>
      </c>
      <c r="C57" s="89" t="s">
        <v>775</v>
      </c>
      <c r="D57" s="89" t="s">
        <v>460</v>
      </c>
      <c r="E57" s="90">
        <v>9162</v>
      </c>
      <c r="F57" s="91">
        <v>105.931044</v>
      </c>
      <c r="G57" s="92">
        <v>9.7787700000000009E-3</v>
      </c>
      <c r="H57" s="87" t="s">
        <v>143</v>
      </c>
    </row>
    <row r="58" spans="1:8" ht="14.25" customHeight="1" x14ac:dyDescent="0.2">
      <c r="A58" s="88">
        <v>52</v>
      </c>
      <c r="B58" s="89" t="s">
        <v>682</v>
      </c>
      <c r="C58" s="89" t="s">
        <v>683</v>
      </c>
      <c r="D58" s="89" t="s">
        <v>19</v>
      </c>
      <c r="E58" s="90">
        <v>77362</v>
      </c>
      <c r="F58" s="91">
        <v>105.6919644</v>
      </c>
      <c r="G58" s="92">
        <v>9.7567000000000001E-3</v>
      </c>
      <c r="H58" s="87" t="s">
        <v>143</v>
      </c>
    </row>
    <row r="59" spans="1:8" ht="14.25" customHeight="1" x14ac:dyDescent="0.2">
      <c r="A59" s="88">
        <v>53</v>
      </c>
      <c r="B59" s="89" t="s">
        <v>63</v>
      </c>
      <c r="C59" s="89" t="s">
        <v>64</v>
      </c>
      <c r="D59" s="89" t="s">
        <v>65</v>
      </c>
      <c r="E59" s="90">
        <v>45221</v>
      </c>
      <c r="F59" s="91">
        <v>105.6859991</v>
      </c>
      <c r="G59" s="92">
        <v>9.75614E-3</v>
      </c>
      <c r="H59" s="87" t="s">
        <v>143</v>
      </c>
    </row>
    <row r="60" spans="1:8" ht="14.25" customHeight="1" x14ac:dyDescent="0.2">
      <c r="A60" s="88">
        <v>54</v>
      </c>
      <c r="B60" s="89" t="s">
        <v>667</v>
      </c>
      <c r="C60" s="89" t="s">
        <v>668</v>
      </c>
      <c r="D60" s="89" t="s">
        <v>669</v>
      </c>
      <c r="E60" s="90">
        <v>28095</v>
      </c>
      <c r="F60" s="91">
        <v>105.30006</v>
      </c>
      <c r="G60" s="92">
        <v>9.7205199999999999E-3</v>
      </c>
      <c r="H60" s="87" t="s">
        <v>143</v>
      </c>
    </row>
    <row r="61" spans="1:8" ht="14.25" customHeight="1" x14ac:dyDescent="0.2">
      <c r="A61" s="88">
        <v>55</v>
      </c>
      <c r="B61" s="89" t="s">
        <v>776</v>
      </c>
      <c r="C61" s="89" t="s">
        <v>777</v>
      </c>
      <c r="D61" s="89" t="s">
        <v>778</v>
      </c>
      <c r="E61" s="90">
        <v>24919</v>
      </c>
      <c r="F61" s="91">
        <v>104.82177350000001</v>
      </c>
      <c r="G61" s="92">
        <v>9.6763700000000001E-3</v>
      </c>
      <c r="H61" s="87" t="s">
        <v>143</v>
      </c>
    </row>
    <row r="62" spans="1:8" ht="14.25" customHeight="1" x14ac:dyDescent="0.2">
      <c r="A62" s="88">
        <v>56</v>
      </c>
      <c r="B62" s="89" t="s">
        <v>724</v>
      </c>
      <c r="C62" s="89" t="s">
        <v>725</v>
      </c>
      <c r="D62" s="89" t="s">
        <v>194</v>
      </c>
      <c r="E62" s="90">
        <v>8316</v>
      </c>
      <c r="F62" s="91">
        <v>104.78991600000001</v>
      </c>
      <c r="G62" s="92">
        <v>9.6734200000000003E-3</v>
      </c>
      <c r="H62" s="87" t="s">
        <v>143</v>
      </c>
    </row>
    <row r="63" spans="1:8" ht="14.25" customHeight="1" x14ac:dyDescent="0.2">
      <c r="A63" s="88">
        <v>57</v>
      </c>
      <c r="B63" s="89" t="s">
        <v>347</v>
      </c>
      <c r="C63" s="89" t="s">
        <v>348</v>
      </c>
      <c r="D63" s="89" t="s">
        <v>194</v>
      </c>
      <c r="E63" s="90">
        <v>6539</v>
      </c>
      <c r="F63" s="91">
        <v>104.26435499999999</v>
      </c>
      <c r="G63" s="92">
        <v>9.6249100000000004E-3</v>
      </c>
      <c r="H63" s="87" t="s">
        <v>143</v>
      </c>
    </row>
    <row r="64" spans="1:8" ht="14.25" customHeight="1" x14ac:dyDescent="0.2">
      <c r="A64" s="88">
        <v>58</v>
      </c>
      <c r="B64" s="89" t="s">
        <v>329</v>
      </c>
      <c r="C64" s="89" t="s">
        <v>330</v>
      </c>
      <c r="D64" s="89" t="s">
        <v>191</v>
      </c>
      <c r="E64" s="90">
        <v>11859</v>
      </c>
      <c r="F64" s="91">
        <v>104.1042315</v>
      </c>
      <c r="G64" s="92">
        <v>9.6101299999999997E-3</v>
      </c>
      <c r="H64" s="87" t="s">
        <v>143</v>
      </c>
    </row>
    <row r="65" spans="1:8" ht="14.25" customHeight="1" x14ac:dyDescent="0.2">
      <c r="A65" s="88">
        <v>59</v>
      </c>
      <c r="B65" s="89" t="s">
        <v>333</v>
      </c>
      <c r="C65" s="89" t="s">
        <v>334</v>
      </c>
      <c r="D65" s="89" t="s">
        <v>33</v>
      </c>
      <c r="E65" s="90">
        <v>44675</v>
      </c>
      <c r="F65" s="91">
        <v>104.0168025</v>
      </c>
      <c r="G65" s="92">
        <v>9.6020600000000008E-3</v>
      </c>
      <c r="H65" s="87" t="s">
        <v>143</v>
      </c>
    </row>
    <row r="66" spans="1:8" ht="14.25" customHeight="1" x14ac:dyDescent="0.2">
      <c r="A66" s="88">
        <v>60</v>
      </c>
      <c r="B66" s="89" t="s">
        <v>29</v>
      </c>
      <c r="C66" s="89" t="s">
        <v>30</v>
      </c>
      <c r="D66" s="89" t="s">
        <v>22</v>
      </c>
      <c r="E66" s="90">
        <v>37760</v>
      </c>
      <c r="F66" s="91">
        <v>103.9344</v>
      </c>
      <c r="G66" s="92">
        <v>9.5944499999999992E-3</v>
      </c>
      <c r="H66" s="87" t="s">
        <v>143</v>
      </c>
    </row>
    <row r="67" spans="1:8" ht="14.25" customHeight="1" x14ac:dyDescent="0.2">
      <c r="A67" s="88">
        <v>61</v>
      </c>
      <c r="B67" s="89" t="s">
        <v>527</v>
      </c>
      <c r="C67" s="89" t="s">
        <v>528</v>
      </c>
      <c r="D67" s="89" t="s">
        <v>191</v>
      </c>
      <c r="E67" s="90">
        <v>5429</v>
      </c>
      <c r="F67" s="91">
        <v>103.883915</v>
      </c>
      <c r="G67" s="92">
        <v>9.5897900000000008E-3</v>
      </c>
      <c r="H67" s="87" t="s">
        <v>143</v>
      </c>
    </row>
    <row r="68" spans="1:8" ht="14.25" customHeight="1" x14ac:dyDescent="0.2">
      <c r="A68" s="88">
        <v>62</v>
      </c>
      <c r="B68" s="89" t="s">
        <v>678</v>
      </c>
      <c r="C68" s="89" t="s">
        <v>679</v>
      </c>
      <c r="D68" s="89" t="s">
        <v>199</v>
      </c>
      <c r="E68" s="90">
        <v>2022</v>
      </c>
      <c r="F68" s="91">
        <v>103.79937</v>
      </c>
      <c r="G68" s="92">
        <v>9.5819800000000004E-3</v>
      </c>
      <c r="H68" s="87" t="s">
        <v>143</v>
      </c>
    </row>
    <row r="69" spans="1:8" ht="14.25" customHeight="1" x14ac:dyDescent="0.2">
      <c r="A69" s="88">
        <v>63</v>
      </c>
      <c r="B69" s="89" t="s">
        <v>78</v>
      </c>
      <c r="C69" s="89" t="s">
        <v>79</v>
      </c>
      <c r="D69" s="89" t="s">
        <v>80</v>
      </c>
      <c r="E69" s="90">
        <v>59780</v>
      </c>
      <c r="F69" s="91">
        <v>103.461246</v>
      </c>
      <c r="G69" s="92">
        <v>9.5507700000000001E-3</v>
      </c>
      <c r="H69" s="87" t="s">
        <v>143</v>
      </c>
    </row>
    <row r="70" spans="1:8" ht="14.25" customHeight="1" x14ac:dyDescent="0.2">
      <c r="A70" s="88">
        <v>64</v>
      </c>
      <c r="B70" s="89" t="s">
        <v>95</v>
      </c>
      <c r="C70" s="89" t="s">
        <v>96</v>
      </c>
      <c r="D70" s="89" t="s">
        <v>36</v>
      </c>
      <c r="E70" s="90">
        <v>3377</v>
      </c>
      <c r="F70" s="91">
        <v>103.46114900000001</v>
      </c>
      <c r="G70" s="92">
        <v>9.5507600000000002E-3</v>
      </c>
      <c r="H70" s="87" t="s">
        <v>143</v>
      </c>
    </row>
    <row r="71" spans="1:8" ht="14.25" customHeight="1" x14ac:dyDescent="0.2">
      <c r="A71" s="88">
        <v>65</v>
      </c>
      <c r="B71" s="89" t="s">
        <v>60</v>
      </c>
      <c r="C71" s="89" t="s">
        <v>61</v>
      </c>
      <c r="D71" s="89" t="s">
        <v>62</v>
      </c>
      <c r="E71" s="90">
        <v>7851</v>
      </c>
      <c r="F71" s="91">
        <v>103.06792799999999</v>
      </c>
      <c r="G71" s="92">
        <v>9.5144600000000006E-3</v>
      </c>
      <c r="H71" s="87" t="s">
        <v>143</v>
      </c>
    </row>
    <row r="72" spans="1:8" ht="14.25" customHeight="1" x14ac:dyDescent="0.2">
      <c r="A72" s="88">
        <v>66</v>
      </c>
      <c r="B72" s="89" t="s">
        <v>47</v>
      </c>
      <c r="C72" s="89" t="s">
        <v>48</v>
      </c>
      <c r="D72" s="89" t="s">
        <v>22</v>
      </c>
      <c r="E72" s="90">
        <v>27469</v>
      </c>
      <c r="F72" s="91">
        <v>102.77526349999999</v>
      </c>
      <c r="G72" s="92">
        <v>9.4874499999999997E-3</v>
      </c>
      <c r="H72" s="87" t="s">
        <v>143</v>
      </c>
    </row>
    <row r="73" spans="1:8" ht="14.25" customHeight="1" x14ac:dyDescent="0.2">
      <c r="A73" s="88">
        <v>67</v>
      </c>
      <c r="B73" s="89" t="s">
        <v>301</v>
      </c>
      <c r="C73" s="89" t="s">
        <v>302</v>
      </c>
      <c r="D73" s="89" t="s">
        <v>263</v>
      </c>
      <c r="E73" s="90">
        <v>17050</v>
      </c>
      <c r="F73" s="91">
        <v>102.27442499999999</v>
      </c>
      <c r="G73" s="92">
        <v>9.4412100000000002E-3</v>
      </c>
      <c r="H73" s="87" t="s">
        <v>143</v>
      </c>
    </row>
    <row r="74" spans="1:8" ht="14.25" customHeight="1" x14ac:dyDescent="0.2">
      <c r="A74" s="88">
        <v>68</v>
      </c>
      <c r="B74" s="89" t="s">
        <v>447</v>
      </c>
      <c r="C74" s="89" t="s">
        <v>448</v>
      </c>
      <c r="D74" s="89" t="s">
        <v>199</v>
      </c>
      <c r="E74" s="90">
        <v>40797</v>
      </c>
      <c r="F74" s="91">
        <v>101.7517977</v>
      </c>
      <c r="G74" s="92">
        <v>9.3929700000000005E-3</v>
      </c>
      <c r="H74" s="87" t="s">
        <v>143</v>
      </c>
    </row>
    <row r="75" spans="1:8" ht="14.25" customHeight="1" x14ac:dyDescent="0.2">
      <c r="A75" s="88">
        <v>69</v>
      </c>
      <c r="B75" s="89" t="s">
        <v>17</v>
      </c>
      <c r="C75" s="89" t="s">
        <v>18</v>
      </c>
      <c r="D75" s="89" t="s">
        <v>19</v>
      </c>
      <c r="E75" s="90">
        <v>7477</v>
      </c>
      <c r="F75" s="91">
        <v>101.477844</v>
      </c>
      <c r="G75" s="92">
        <v>9.3676799999999998E-3</v>
      </c>
      <c r="H75" s="87" t="s">
        <v>143</v>
      </c>
    </row>
    <row r="76" spans="1:8" ht="14.25" customHeight="1" x14ac:dyDescent="0.2">
      <c r="A76" s="88">
        <v>70</v>
      </c>
      <c r="B76" s="89" t="s">
        <v>779</v>
      </c>
      <c r="C76" s="89" t="s">
        <v>780</v>
      </c>
      <c r="D76" s="89" t="s">
        <v>191</v>
      </c>
      <c r="E76" s="90">
        <v>792</v>
      </c>
      <c r="F76" s="91">
        <v>101.1384</v>
      </c>
      <c r="G76" s="92">
        <v>9.3363400000000003E-3</v>
      </c>
      <c r="H76" s="87" t="s">
        <v>143</v>
      </c>
    </row>
    <row r="77" spans="1:8" ht="14.25" customHeight="1" x14ac:dyDescent="0.2">
      <c r="A77" s="88">
        <v>71</v>
      </c>
      <c r="B77" s="89" t="s">
        <v>634</v>
      </c>
      <c r="C77" s="89" t="s">
        <v>635</v>
      </c>
      <c r="D77" s="89" t="s">
        <v>33</v>
      </c>
      <c r="E77" s="90">
        <v>100195</v>
      </c>
      <c r="F77" s="91">
        <v>101.076716</v>
      </c>
      <c r="G77" s="92">
        <v>9.3306499999999994E-3</v>
      </c>
      <c r="H77" s="87" t="s">
        <v>143</v>
      </c>
    </row>
    <row r="78" spans="1:8" ht="14.25" customHeight="1" x14ac:dyDescent="0.2">
      <c r="A78" s="88">
        <v>72</v>
      </c>
      <c r="B78" s="89" t="s">
        <v>781</v>
      </c>
      <c r="C78" s="89" t="s">
        <v>782</v>
      </c>
      <c r="D78" s="89" t="s">
        <v>194</v>
      </c>
      <c r="E78" s="90">
        <v>1643</v>
      </c>
      <c r="F78" s="91">
        <v>100.740545</v>
      </c>
      <c r="G78" s="92">
        <v>9.2996199999999998E-3</v>
      </c>
      <c r="H78" s="87" t="s">
        <v>143</v>
      </c>
    </row>
    <row r="79" spans="1:8" ht="14.25" customHeight="1" x14ac:dyDescent="0.2">
      <c r="A79" s="88">
        <v>73</v>
      </c>
      <c r="B79" s="89" t="s">
        <v>783</v>
      </c>
      <c r="C79" s="89" t="s">
        <v>784</v>
      </c>
      <c r="D79" s="89" t="s">
        <v>22</v>
      </c>
      <c r="E79" s="90">
        <v>11014</v>
      </c>
      <c r="F79" s="91">
        <v>100.61288999999999</v>
      </c>
      <c r="G79" s="92">
        <v>9.2878300000000004E-3</v>
      </c>
      <c r="H79" s="87" t="s">
        <v>143</v>
      </c>
    </row>
    <row r="80" spans="1:8" ht="14.25" customHeight="1" x14ac:dyDescent="0.2">
      <c r="A80" s="88">
        <v>74</v>
      </c>
      <c r="B80" s="89" t="s">
        <v>785</v>
      </c>
      <c r="C80" s="89" t="s">
        <v>786</v>
      </c>
      <c r="D80" s="89" t="s">
        <v>191</v>
      </c>
      <c r="E80" s="90">
        <v>90313</v>
      </c>
      <c r="F80" s="91">
        <v>100.4641812</v>
      </c>
      <c r="G80" s="92">
        <v>9.2741100000000003E-3</v>
      </c>
      <c r="H80" s="87" t="s">
        <v>143</v>
      </c>
    </row>
    <row r="81" spans="1:8" ht="14.25" customHeight="1" x14ac:dyDescent="0.2">
      <c r="A81" s="88">
        <v>75</v>
      </c>
      <c r="B81" s="89" t="s">
        <v>636</v>
      </c>
      <c r="C81" s="89" t="s">
        <v>637</v>
      </c>
      <c r="D81" s="89" t="s">
        <v>33</v>
      </c>
      <c r="E81" s="90">
        <v>96490</v>
      </c>
      <c r="F81" s="91">
        <v>100.18556700000001</v>
      </c>
      <c r="G81" s="92">
        <v>9.2483900000000004E-3</v>
      </c>
      <c r="H81" s="87" t="s">
        <v>143</v>
      </c>
    </row>
    <row r="82" spans="1:8" ht="14.25" customHeight="1" x14ac:dyDescent="0.2">
      <c r="A82" s="88">
        <v>76</v>
      </c>
      <c r="B82" s="89" t="s">
        <v>479</v>
      </c>
      <c r="C82" s="89" t="s">
        <v>480</v>
      </c>
      <c r="D82" s="89" t="s">
        <v>275</v>
      </c>
      <c r="E82" s="90">
        <v>7369</v>
      </c>
      <c r="F82" s="91">
        <v>100.078389</v>
      </c>
      <c r="G82" s="92">
        <v>9.2384900000000002E-3</v>
      </c>
      <c r="H82" s="87" t="s">
        <v>143</v>
      </c>
    </row>
    <row r="83" spans="1:8" ht="14.25" customHeight="1" x14ac:dyDescent="0.2">
      <c r="A83" s="88">
        <v>77</v>
      </c>
      <c r="B83" s="89" t="s">
        <v>325</v>
      </c>
      <c r="C83" s="89" t="s">
        <v>326</v>
      </c>
      <c r="D83" s="89" t="s">
        <v>199</v>
      </c>
      <c r="E83" s="90">
        <v>6803</v>
      </c>
      <c r="F83" s="91">
        <v>99.976888000000002</v>
      </c>
      <c r="G83" s="92">
        <v>9.2291200000000004E-3</v>
      </c>
      <c r="H83" s="87" t="s">
        <v>143</v>
      </c>
    </row>
    <row r="84" spans="1:8" ht="14.25" customHeight="1" x14ac:dyDescent="0.2">
      <c r="A84" s="88">
        <v>78</v>
      </c>
      <c r="B84" s="89" t="s">
        <v>503</v>
      </c>
      <c r="C84" s="89" t="s">
        <v>504</v>
      </c>
      <c r="D84" s="89" t="s">
        <v>191</v>
      </c>
      <c r="E84" s="90">
        <v>26285</v>
      </c>
      <c r="F84" s="91">
        <v>99.804145000000005</v>
      </c>
      <c r="G84" s="92">
        <v>9.2131799999999996E-3</v>
      </c>
      <c r="H84" s="87" t="s">
        <v>143</v>
      </c>
    </row>
    <row r="85" spans="1:8" ht="14.25" customHeight="1" x14ac:dyDescent="0.2">
      <c r="A85" s="88">
        <v>79</v>
      </c>
      <c r="B85" s="89" t="s">
        <v>509</v>
      </c>
      <c r="C85" s="89" t="s">
        <v>510</v>
      </c>
      <c r="D85" s="89" t="s">
        <v>232</v>
      </c>
      <c r="E85" s="90">
        <v>7606</v>
      </c>
      <c r="F85" s="91">
        <v>99.714659999999995</v>
      </c>
      <c r="G85" s="92">
        <v>9.2049100000000002E-3</v>
      </c>
      <c r="H85" s="87" t="s">
        <v>143</v>
      </c>
    </row>
    <row r="86" spans="1:8" ht="14.25" customHeight="1" x14ac:dyDescent="0.2">
      <c r="A86" s="88">
        <v>80</v>
      </c>
      <c r="B86" s="89" t="s">
        <v>787</v>
      </c>
      <c r="C86" s="89" t="s">
        <v>788</v>
      </c>
      <c r="D86" s="89" t="s">
        <v>43</v>
      </c>
      <c r="E86" s="90">
        <v>107298</v>
      </c>
      <c r="F86" s="91">
        <v>99.518895000000001</v>
      </c>
      <c r="G86" s="92">
        <v>9.1868399999999999E-3</v>
      </c>
      <c r="H86" s="87" t="s">
        <v>143</v>
      </c>
    </row>
    <row r="87" spans="1:8" ht="14.25" customHeight="1" x14ac:dyDescent="0.2">
      <c r="A87" s="88">
        <v>81</v>
      </c>
      <c r="B87" s="89" t="s">
        <v>789</v>
      </c>
      <c r="C87" s="89" t="s">
        <v>790</v>
      </c>
      <c r="D87" s="89" t="s">
        <v>22</v>
      </c>
      <c r="E87" s="90">
        <v>12957</v>
      </c>
      <c r="F87" s="91">
        <v>99.010915499999996</v>
      </c>
      <c r="G87" s="92">
        <v>9.1399500000000009E-3</v>
      </c>
      <c r="H87" s="87" t="s">
        <v>143</v>
      </c>
    </row>
    <row r="88" spans="1:8" ht="14.25" customHeight="1" x14ac:dyDescent="0.2">
      <c r="A88" s="88">
        <v>82</v>
      </c>
      <c r="B88" s="89" t="s">
        <v>337</v>
      </c>
      <c r="C88" s="89" t="s">
        <v>338</v>
      </c>
      <c r="D88" s="89" t="s">
        <v>28</v>
      </c>
      <c r="E88" s="90">
        <v>2285</v>
      </c>
      <c r="F88" s="91">
        <v>98.99991</v>
      </c>
      <c r="G88" s="92">
        <v>9.13893E-3</v>
      </c>
      <c r="H88" s="87" t="s">
        <v>143</v>
      </c>
    </row>
    <row r="89" spans="1:8" ht="14.25" customHeight="1" x14ac:dyDescent="0.2">
      <c r="A89" s="88">
        <v>83</v>
      </c>
      <c r="B89" s="89" t="s">
        <v>732</v>
      </c>
      <c r="C89" s="89" t="s">
        <v>733</v>
      </c>
      <c r="D89" s="89" t="s">
        <v>263</v>
      </c>
      <c r="E89" s="90">
        <v>5375</v>
      </c>
      <c r="F89" s="91">
        <v>98.878500000000003</v>
      </c>
      <c r="G89" s="92">
        <v>9.1277300000000006E-3</v>
      </c>
      <c r="H89" s="87" t="s">
        <v>143</v>
      </c>
    </row>
    <row r="90" spans="1:8" ht="14.25" customHeight="1" x14ac:dyDescent="0.2">
      <c r="A90" s="88">
        <v>84</v>
      </c>
      <c r="B90" s="89" t="s">
        <v>323</v>
      </c>
      <c r="C90" s="89" t="s">
        <v>324</v>
      </c>
      <c r="D90" s="89" t="s">
        <v>33</v>
      </c>
      <c r="E90" s="90">
        <v>5044</v>
      </c>
      <c r="F90" s="91">
        <v>98.877532000000002</v>
      </c>
      <c r="G90" s="92">
        <v>9.1276399999999994E-3</v>
      </c>
      <c r="H90" s="87" t="s">
        <v>143</v>
      </c>
    </row>
    <row r="91" spans="1:8" ht="14.25" customHeight="1" x14ac:dyDescent="0.2">
      <c r="A91" s="88">
        <v>85</v>
      </c>
      <c r="B91" s="89" t="s">
        <v>26</v>
      </c>
      <c r="C91" s="89" t="s">
        <v>27</v>
      </c>
      <c r="D91" s="89" t="s">
        <v>28</v>
      </c>
      <c r="E91" s="90">
        <v>26686</v>
      </c>
      <c r="F91" s="91">
        <v>98.578084000000004</v>
      </c>
      <c r="G91" s="92">
        <v>9.0999900000000005E-3</v>
      </c>
      <c r="H91" s="87" t="s">
        <v>143</v>
      </c>
    </row>
    <row r="92" spans="1:8" ht="14.25" customHeight="1" x14ac:dyDescent="0.2">
      <c r="A92" s="88">
        <v>86</v>
      </c>
      <c r="B92" s="89" t="s">
        <v>629</v>
      </c>
      <c r="C92" s="89" t="s">
        <v>630</v>
      </c>
      <c r="D92" s="89" t="s">
        <v>631</v>
      </c>
      <c r="E92" s="90">
        <v>4372</v>
      </c>
      <c r="F92" s="91">
        <v>98.138283999999999</v>
      </c>
      <c r="G92" s="92">
        <v>9.0594000000000004E-3</v>
      </c>
      <c r="H92" s="87" t="s">
        <v>143</v>
      </c>
    </row>
    <row r="93" spans="1:8" ht="14.25" customHeight="1" x14ac:dyDescent="0.2">
      <c r="A93" s="88">
        <v>87</v>
      </c>
      <c r="B93" s="89" t="s">
        <v>351</v>
      </c>
      <c r="C93" s="89" t="s">
        <v>352</v>
      </c>
      <c r="D93" s="89" t="s">
        <v>191</v>
      </c>
      <c r="E93" s="90">
        <v>6899</v>
      </c>
      <c r="F93" s="91">
        <v>98.014093000000003</v>
      </c>
      <c r="G93" s="92">
        <v>9.0479299999999992E-3</v>
      </c>
      <c r="H93" s="87" t="s">
        <v>143</v>
      </c>
    </row>
    <row r="94" spans="1:8" ht="14.25" customHeight="1" x14ac:dyDescent="0.2">
      <c r="A94" s="88">
        <v>88</v>
      </c>
      <c r="B94" s="89" t="s">
        <v>437</v>
      </c>
      <c r="C94" s="89" t="s">
        <v>438</v>
      </c>
      <c r="D94" s="89" t="s">
        <v>199</v>
      </c>
      <c r="E94" s="90">
        <v>3167</v>
      </c>
      <c r="F94" s="91">
        <v>97.692448999999996</v>
      </c>
      <c r="G94" s="92">
        <v>9.0182400000000003E-3</v>
      </c>
      <c r="H94" s="87" t="s">
        <v>143</v>
      </c>
    </row>
    <row r="95" spans="1:8" ht="14.25" customHeight="1" x14ac:dyDescent="0.2">
      <c r="A95" s="88">
        <v>89</v>
      </c>
      <c r="B95" s="89" t="s">
        <v>791</v>
      </c>
      <c r="C95" s="89" t="s">
        <v>792</v>
      </c>
      <c r="D95" s="89" t="s">
        <v>263</v>
      </c>
      <c r="E95" s="90">
        <v>11341</v>
      </c>
      <c r="F95" s="91">
        <v>96.642331499999997</v>
      </c>
      <c r="G95" s="92">
        <v>8.9213000000000001E-3</v>
      </c>
      <c r="H95" s="87" t="s">
        <v>143</v>
      </c>
    </row>
    <row r="96" spans="1:8" ht="14.25" customHeight="1" x14ac:dyDescent="0.2">
      <c r="A96" s="88">
        <v>90</v>
      </c>
      <c r="B96" s="89" t="s">
        <v>449</v>
      </c>
      <c r="C96" s="89" t="s">
        <v>450</v>
      </c>
      <c r="D96" s="89" t="s">
        <v>33</v>
      </c>
      <c r="E96" s="90">
        <v>13034</v>
      </c>
      <c r="F96" s="91">
        <v>96.386430000000004</v>
      </c>
      <c r="G96" s="92">
        <v>8.8976799999999998E-3</v>
      </c>
      <c r="H96" s="87" t="s">
        <v>143</v>
      </c>
    </row>
    <row r="97" spans="1:8" ht="14.25" customHeight="1" x14ac:dyDescent="0.2">
      <c r="A97" s="88">
        <v>91</v>
      </c>
      <c r="B97" s="89" t="s">
        <v>684</v>
      </c>
      <c r="C97" s="89" t="s">
        <v>685</v>
      </c>
      <c r="D97" s="89" t="s">
        <v>191</v>
      </c>
      <c r="E97" s="90">
        <v>27498</v>
      </c>
      <c r="F97" s="91">
        <v>96.242999999999995</v>
      </c>
      <c r="G97" s="92">
        <v>8.8844400000000004E-3</v>
      </c>
      <c r="H97" s="87" t="s">
        <v>143</v>
      </c>
    </row>
    <row r="98" spans="1:8" ht="14.25" customHeight="1" x14ac:dyDescent="0.2">
      <c r="A98" s="88">
        <v>92</v>
      </c>
      <c r="B98" s="89" t="s">
        <v>638</v>
      </c>
      <c r="C98" s="89" t="s">
        <v>639</v>
      </c>
      <c r="D98" s="89" t="s">
        <v>77</v>
      </c>
      <c r="E98" s="90">
        <v>12924</v>
      </c>
      <c r="F98" s="91">
        <v>95.514821999999995</v>
      </c>
      <c r="G98" s="92">
        <v>8.8172200000000006E-3</v>
      </c>
      <c r="H98" s="87" t="s">
        <v>143</v>
      </c>
    </row>
    <row r="99" spans="1:8" ht="14.25" customHeight="1" x14ac:dyDescent="0.2">
      <c r="A99" s="88">
        <v>93</v>
      </c>
      <c r="B99" s="89" t="s">
        <v>327</v>
      </c>
      <c r="C99" s="89" t="s">
        <v>328</v>
      </c>
      <c r="D99" s="89" t="s">
        <v>33</v>
      </c>
      <c r="E99" s="90">
        <v>9120</v>
      </c>
      <c r="F99" s="91">
        <v>95.322239999999994</v>
      </c>
      <c r="G99" s="92">
        <v>8.7994400000000004E-3</v>
      </c>
      <c r="H99" s="87" t="s">
        <v>143</v>
      </c>
    </row>
    <row r="100" spans="1:8" ht="14.25" customHeight="1" x14ac:dyDescent="0.2">
      <c r="A100" s="88">
        <v>94</v>
      </c>
      <c r="B100" s="89" t="s">
        <v>515</v>
      </c>
      <c r="C100" s="89" t="s">
        <v>516</v>
      </c>
      <c r="D100" s="89" t="s">
        <v>199</v>
      </c>
      <c r="E100" s="90">
        <v>6434</v>
      </c>
      <c r="F100" s="91">
        <v>95.313276000000002</v>
      </c>
      <c r="G100" s="92">
        <v>8.7986100000000001E-3</v>
      </c>
      <c r="H100" s="87" t="s">
        <v>143</v>
      </c>
    </row>
    <row r="101" spans="1:8" ht="14.25" customHeight="1" x14ac:dyDescent="0.2">
      <c r="A101" s="88">
        <v>95</v>
      </c>
      <c r="B101" s="89" t="s">
        <v>793</v>
      </c>
      <c r="C101" s="89" t="s">
        <v>794</v>
      </c>
      <c r="D101" s="89" t="s">
        <v>275</v>
      </c>
      <c r="E101" s="90">
        <v>1788</v>
      </c>
      <c r="F101" s="91">
        <v>94.72824</v>
      </c>
      <c r="G101" s="92">
        <v>8.7446099999999999E-3</v>
      </c>
      <c r="H101" s="87" t="s">
        <v>143</v>
      </c>
    </row>
    <row r="102" spans="1:8" ht="14.25" customHeight="1" x14ac:dyDescent="0.2">
      <c r="A102" s="88">
        <v>96</v>
      </c>
      <c r="B102" s="89" t="s">
        <v>250</v>
      </c>
      <c r="C102" s="89" t="s">
        <v>251</v>
      </c>
      <c r="D102" s="89" t="s">
        <v>191</v>
      </c>
      <c r="E102" s="90">
        <v>16026</v>
      </c>
      <c r="F102" s="91">
        <v>92.990864999999999</v>
      </c>
      <c r="G102" s="92">
        <v>8.58422E-3</v>
      </c>
      <c r="H102" s="87" t="s">
        <v>143</v>
      </c>
    </row>
    <row r="103" spans="1:8" ht="14.25" customHeight="1" x14ac:dyDescent="0.2">
      <c r="A103" s="88">
        <v>97</v>
      </c>
      <c r="B103" s="89" t="s">
        <v>430</v>
      </c>
      <c r="C103" s="89" t="s">
        <v>431</v>
      </c>
      <c r="D103" s="89" t="s">
        <v>199</v>
      </c>
      <c r="E103" s="90">
        <v>6385</v>
      </c>
      <c r="F103" s="91">
        <v>92.888980000000004</v>
      </c>
      <c r="G103" s="92">
        <v>8.5748200000000004E-3</v>
      </c>
      <c r="H103" s="87" t="s">
        <v>143</v>
      </c>
    </row>
    <row r="104" spans="1:8" ht="14.25" customHeight="1" x14ac:dyDescent="0.2">
      <c r="A104" s="88">
        <v>98</v>
      </c>
      <c r="B104" s="89" t="s">
        <v>795</v>
      </c>
      <c r="C104" s="89" t="s">
        <v>796</v>
      </c>
      <c r="D104" s="89" t="s">
        <v>77</v>
      </c>
      <c r="E104" s="90">
        <v>7690</v>
      </c>
      <c r="F104" s="91">
        <v>91.687870000000004</v>
      </c>
      <c r="G104" s="92">
        <v>8.4639399999999997E-3</v>
      </c>
      <c r="H104" s="87" t="s">
        <v>143</v>
      </c>
    </row>
    <row r="105" spans="1:8" ht="14.25" customHeight="1" x14ac:dyDescent="0.2">
      <c r="A105" s="88">
        <v>99</v>
      </c>
      <c r="B105" s="89" t="s">
        <v>797</v>
      </c>
      <c r="C105" s="89" t="s">
        <v>798</v>
      </c>
      <c r="D105" s="89" t="s">
        <v>191</v>
      </c>
      <c r="E105" s="90">
        <v>77608</v>
      </c>
      <c r="F105" s="91">
        <v>91.662808799999993</v>
      </c>
      <c r="G105" s="92">
        <v>8.4616299999999995E-3</v>
      </c>
      <c r="H105" s="87" t="s">
        <v>143</v>
      </c>
    </row>
    <row r="106" spans="1:8" ht="14.25" customHeight="1" x14ac:dyDescent="0.2">
      <c r="A106" s="88">
        <v>100</v>
      </c>
      <c r="B106" s="89" t="s">
        <v>109</v>
      </c>
      <c r="C106" s="89" t="s">
        <v>110</v>
      </c>
      <c r="D106" s="89" t="s">
        <v>36</v>
      </c>
      <c r="E106" s="90">
        <v>1833</v>
      </c>
      <c r="F106" s="91">
        <v>91.63167</v>
      </c>
      <c r="G106" s="92">
        <v>8.4587499999999993E-3</v>
      </c>
      <c r="H106" s="87" t="s">
        <v>143</v>
      </c>
    </row>
    <row r="107" spans="1:8" ht="14.25" customHeight="1" x14ac:dyDescent="0.2">
      <c r="A107" s="93"/>
      <c r="B107" s="93"/>
      <c r="C107" s="94" t="s">
        <v>142</v>
      </c>
      <c r="D107" s="93"/>
      <c r="E107" s="93" t="s">
        <v>143</v>
      </c>
      <c r="F107" s="95">
        <v>10703.2422831</v>
      </c>
      <c r="G107" s="96">
        <v>0.98804364</v>
      </c>
      <c r="H107" s="87" t="s">
        <v>143</v>
      </c>
    </row>
    <row r="108" spans="1:8" ht="14.25" customHeight="1" x14ac:dyDescent="0.2">
      <c r="A108" s="93"/>
      <c r="B108" s="93"/>
      <c r="C108" s="97"/>
      <c r="D108" s="93"/>
      <c r="E108" s="93"/>
      <c r="F108" s="98"/>
      <c r="G108" s="98"/>
      <c r="H108" s="87" t="s">
        <v>143</v>
      </c>
    </row>
    <row r="109" spans="1:8" ht="14.25" customHeight="1" x14ac:dyDescent="0.2">
      <c r="A109" s="93"/>
      <c r="B109" s="93"/>
      <c r="C109" s="94" t="s">
        <v>144</v>
      </c>
      <c r="D109" s="93"/>
      <c r="E109" s="93"/>
      <c r="F109" s="93"/>
      <c r="G109" s="93"/>
      <c r="H109" s="87" t="s">
        <v>143</v>
      </c>
    </row>
    <row r="110" spans="1:8" ht="14.25" customHeight="1" x14ac:dyDescent="0.2">
      <c r="A110" s="93"/>
      <c r="B110" s="93"/>
      <c r="C110" s="94" t="s">
        <v>142</v>
      </c>
      <c r="D110" s="93"/>
      <c r="E110" s="93" t="s">
        <v>143</v>
      </c>
      <c r="F110" s="99" t="s">
        <v>145</v>
      </c>
      <c r="G110" s="96">
        <v>0</v>
      </c>
      <c r="H110" s="87" t="s">
        <v>143</v>
      </c>
    </row>
    <row r="111" spans="1:8" ht="14.25" customHeight="1" x14ac:dyDescent="0.2">
      <c r="A111" s="93"/>
      <c r="B111" s="93"/>
      <c r="C111" s="97"/>
      <c r="D111" s="93"/>
      <c r="E111" s="93"/>
      <c r="F111" s="98"/>
      <c r="G111" s="98"/>
      <c r="H111" s="87" t="s">
        <v>143</v>
      </c>
    </row>
    <row r="112" spans="1:8" ht="14.25" customHeight="1" x14ac:dyDescent="0.2">
      <c r="A112" s="93"/>
      <c r="B112" s="93"/>
      <c r="C112" s="94" t="s">
        <v>146</v>
      </c>
      <c r="D112" s="93"/>
      <c r="E112" s="93"/>
      <c r="F112" s="93"/>
      <c r="G112" s="93"/>
      <c r="H112" s="87" t="s">
        <v>143</v>
      </c>
    </row>
    <row r="113" spans="1:8" ht="14.25" customHeight="1" x14ac:dyDescent="0.2">
      <c r="A113" s="93"/>
      <c r="B113" s="93"/>
      <c r="C113" s="94" t="s">
        <v>142</v>
      </c>
      <c r="D113" s="93"/>
      <c r="E113" s="93" t="s">
        <v>143</v>
      </c>
      <c r="F113" s="99" t="s">
        <v>145</v>
      </c>
      <c r="G113" s="96">
        <v>0</v>
      </c>
      <c r="H113" s="87" t="s">
        <v>143</v>
      </c>
    </row>
    <row r="114" spans="1:8" ht="14.25" customHeight="1" x14ac:dyDescent="0.2">
      <c r="A114" s="93"/>
      <c r="B114" s="93"/>
      <c r="C114" s="97"/>
      <c r="D114" s="93"/>
      <c r="E114" s="93"/>
      <c r="F114" s="98"/>
      <c r="G114" s="98"/>
      <c r="H114" s="87" t="s">
        <v>143</v>
      </c>
    </row>
    <row r="115" spans="1:8" ht="14.25" customHeight="1" x14ac:dyDescent="0.2">
      <c r="A115" s="93"/>
      <c r="B115" s="93"/>
      <c r="C115" s="94" t="s">
        <v>147</v>
      </c>
      <c r="D115" s="93"/>
      <c r="E115" s="93"/>
      <c r="F115" s="93"/>
      <c r="G115" s="93"/>
      <c r="H115" s="87" t="s">
        <v>143</v>
      </c>
    </row>
    <row r="116" spans="1:8" ht="14.25" customHeight="1" x14ac:dyDescent="0.2">
      <c r="A116" s="88">
        <v>1</v>
      </c>
      <c r="B116" s="89" t="s">
        <v>317</v>
      </c>
      <c r="C116" s="89" t="s">
        <v>318</v>
      </c>
      <c r="D116" s="89" t="s">
        <v>243</v>
      </c>
      <c r="E116" s="90">
        <v>15088</v>
      </c>
      <c r="F116" s="91">
        <v>1.5087999999999999</v>
      </c>
      <c r="G116" s="92">
        <v>1.3928000000000001E-4</v>
      </c>
      <c r="H116" s="87" t="s">
        <v>143</v>
      </c>
    </row>
    <row r="117" spans="1:8" ht="14.25" customHeight="1" x14ac:dyDescent="0.2">
      <c r="A117" s="93"/>
      <c r="B117" s="93"/>
      <c r="C117" s="94" t="s">
        <v>142</v>
      </c>
      <c r="D117" s="93"/>
      <c r="E117" s="93" t="s">
        <v>143</v>
      </c>
      <c r="F117" s="95">
        <v>1.5087999999999999</v>
      </c>
      <c r="G117" s="96">
        <v>1.3928000000000001E-4</v>
      </c>
      <c r="H117" s="87" t="s">
        <v>143</v>
      </c>
    </row>
    <row r="118" spans="1:8" ht="14.25" customHeight="1" x14ac:dyDescent="0.2">
      <c r="A118" s="93"/>
      <c r="B118" s="93"/>
      <c r="C118" s="97"/>
      <c r="D118" s="93"/>
      <c r="E118" s="93"/>
      <c r="F118" s="98"/>
      <c r="G118" s="98"/>
      <c r="H118" s="87" t="s">
        <v>143</v>
      </c>
    </row>
    <row r="119" spans="1:8" ht="14.25" customHeight="1" x14ac:dyDescent="0.2">
      <c r="A119" s="93"/>
      <c r="B119" s="93"/>
      <c r="C119" s="94" t="s">
        <v>148</v>
      </c>
      <c r="D119" s="93"/>
      <c r="E119" s="93"/>
      <c r="F119" s="98"/>
      <c r="G119" s="98"/>
      <c r="H119" s="87" t="s">
        <v>143</v>
      </c>
    </row>
    <row r="120" spans="1:8" ht="14.25" customHeight="1" x14ac:dyDescent="0.2">
      <c r="A120" s="93"/>
      <c r="B120" s="93"/>
      <c r="C120" s="94" t="s">
        <v>142</v>
      </c>
      <c r="D120" s="93"/>
      <c r="E120" s="93" t="s">
        <v>143</v>
      </c>
      <c r="F120" s="99" t="s">
        <v>145</v>
      </c>
      <c r="G120" s="96">
        <v>0</v>
      </c>
      <c r="H120" s="87" t="s">
        <v>143</v>
      </c>
    </row>
    <row r="121" spans="1:8" ht="14.25" customHeight="1" x14ac:dyDescent="0.2">
      <c r="A121" s="93"/>
      <c r="B121" s="93"/>
      <c r="C121" s="97"/>
      <c r="D121" s="93"/>
      <c r="E121" s="93"/>
      <c r="F121" s="98"/>
      <c r="G121" s="98"/>
      <c r="H121" s="87" t="s">
        <v>143</v>
      </c>
    </row>
    <row r="122" spans="1:8" ht="14.25" customHeight="1" x14ac:dyDescent="0.2">
      <c r="A122" s="93"/>
      <c r="B122" s="93"/>
      <c r="C122" s="94" t="s">
        <v>149</v>
      </c>
      <c r="D122" s="93"/>
      <c r="E122" s="93"/>
      <c r="F122" s="98"/>
      <c r="G122" s="98"/>
      <c r="H122" s="87" t="s">
        <v>143</v>
      </c>
    </row>
    <row r="123" spans="1:8" ht="14.25" customHeight="1" x14ac:dyDescent="0.2">
      <c r="A123" s="93"/>
      <c r="B123" s="93"/>
      <c r="C123" s="94" t="s">
        <v>142</v>
      </c>
      <c r="D123" s="93"/>
      <c r="E123" s="93" t="s">
        <v>143</v>
      </c>
      <c r="F123" s="99" t="s">
        <v>145</v>
      </c>
      <c r="G123" s="96">
        <v>0</v>
      </c>
      <c r="H123" s="87" t="s">
        <v>143</v>
      </c>
    </row>
    <row r="124" spans="1:8" ht="14.25" customHeight="1" x14ac:dyDescent="0.2">
      <c r="A124" s="93"/>
      <c r="B124" s="93"/>
      <c r="C124" s="97"/>
      <c r="D124" s="93"/>
      <c r="E124" s="93"/>
      <c r="F124" s="98"/>
      <c r="G124" s="98"/>
      <c r="H124" s="87" t="s">
        <v>143</v>
      </c>
    </row>
    <row r="125" spans="1:8" ht="14.25" customHeight="1" x14ac:dyDescent="0.2">
      <c r="A125" s="93"/>
      <c r="B125" s="93"/>
      <c r="C125" s="94" t="s">
        <v>150</v>
      </c>
      <c r="D125" s="93"/>
      <c r="E125" s="93"/>
      <c r="F125" s="95">
        <v>10704.7510831</v>
      </c>
      <c r="G125" s="96">
        <v>0.98818291999999996</v>
      </c>
      <c r="H125" s="87" t="s">
        <v>143</v>
      </c>
    </row>
    <row r="126" spans="1:8" ht="14.25" customHeight="1" x14ac:dyDescent="0.2">
      <c r="A126" s="93"/>
      <c r="B126" s="93"/>
      <c r="C126" s="97"/>
      <c r="D126" s="93"/>
      <c r="E126" s="93"/>
      <c r="F126" s="98"/>
      <c r="G126" s="98"/>
      <c r="H126" s="87" t="s">
        <v>143</v>
      </c>
    </row>
    <row r="127" spans="1:8" ht="14.25" customHeight="1" x14ac:dyDescent="0.2">
      <c r="A127" s="93"/>
      <c r="B127" s="93"/>
      <c r="C127" s="94" t="s">
        <v>151</v>
      </c>
      <c r="D127" s="93"/>
      <c r="E127" s="93"/>
      <c r="F127" s="98"/>
      <c r="G127" s="98"/>
      <c r="H127" s="87" t="s">
        <v>143</v>
      </c>
    </row>
    <row r="128" spans="1:8" ht="14.25" customHeight="1" x14ac:dyDescent="0.2">
      <c r="A128" s="93"/>
      <c r="B128" s="93"/>
      <c r="C128" s="94" t="s">
        <v>10</v>
      </c>
      <c r="D128" s="93"/>
      <c r="E128" s="93"/>
      <c r="F128" s="98"/>
      <c r="G128" s="98"/>
      <c r="H128" s="87" t="s">
        <v>143</v>
      </c>
    </row>
    <row r="129" spans="1:8" ht="14.25" customHeight="1" x14ac:dyDescent="0.2">
      <c r="A129" s="93"/>
      <c r="B129" s="93"/>
      <c r="C129" s="94" t="s">
        <v>142</v>
      </c>
      <c r="D129" s="93"/>
      <c r="E129" s="93" t="s">
        <v>143</v>
      </c>
      <c r="F129" s="99" t="s">
        <v>145</v>
      </c>
      <c r="G129" s="96">
        <v>0</v>
      </c>
      <c r="H129" s="87" t="s">
        <v>143</v>
      </c>
    </row>
    <row r="130" spans="1:8" ht="14.25" customHeight="1" x14ac:dyDescent="0.2">
      <c r="A130" s="93"/>
      <c r="B130" s="93"/>
      <c r="C130" s="97"/>
      <c r="D130" s="93"/>
      <c r="E130" s="93"/>
      <c r="F130" s="98"/>
      <c r="G130" s="98"/>
      <c r="H130" s="87" t="s">
        <v>143</v>
      </c>
    </row>
    <row r="131" spans="1:8" ht="14.25" customHeight="1" x14ac:dyDescent="0.2">
      <c r="A131" s="93"/>
      <c r="B131" s="93"/>
      <c r="C131" s="94" t="s">
        <v>152</v>
      </c>
      <c r="D131" s="93"/>
      <c r="E131" s="93"/>
      <c r="F131" s="93"/>
      <c r="G131" s="93"/>
      <c r="H131" s="87" t="s">
        <v>143</v>
      </c>
    </row>
    <row r="132" spans="1:8" ht="14.25" customHeight="1" x14ac:dyDescent="0.2">
      <c r="A132" s="93"/>
      <c r="B132" s="93"/>
      <c r="C132" s="94" t="s">
        <v>142</v>
      </c>
      <c r="D132" s="93"/>
      <c r="E132" s="93" t="s">
        <v>143</v>
      </c>
      <c r="F132" s="99" t="s">
        <v>145</v>
      </c>
      <c r="G132" s="96">
        <v>0</v>
      </c>
      <c r="H132" s="87" t="s">
        <v>143</v>
      </c>
    </row>
    <row r="133" spans="1:8" ht="14.25" customHeight="1" x14ac:dyDescent="0.2">
      <c r="A133" s="93"/>
      <c r="B133" s="93"/>
      <c r="C133" s="97"/>
      <c r="D133" s="93"/>
      <c r="E133" s="93"/>
      <c r="F133" s="98"/>
      <c r="G133" s="98"/>
      <c r="H133" s="87" t="s">
        <v>143</v>
      </c>
    </row>
    <row r="134" spans="1:8" ht="14.25" customHeight="1" x14ac:dyDescent="0.2">
      <c r="A134" s="93"/>
      <c r="B134" s="93"/>
      <c r="C134" s="94" t="s">
        <v>153</v>
      </c>
      <c r="D134" s="93"/>
      <c r="E134" s="93"/>
      <c r="F134" s="93"/>
      <c r="G134" s="93"/>
      <c r="H134" s="87" t="s">
        <v>143</v>
      </c>
    </row>
    <row r="135" spans="1:8" ht="14.25" customHeight="1" x14ac:dyDescent="0.2">
      <c r="A135" s="93"/>
      <c r="B135" s="93"/>
      <c r="C135" s="94" t="s">
        <v>142</v>
      </c>
      <c r="D135" s="93"/>
      <c r="E135" s="93" t="s">
        <v>143</v>
      </c>
      <c r="F135" s="99" t="s">
        <v>145</v>
      </c>
      <c r="G135" s="96">
        <v>0</v>
      </c>
      <c r="H135" s="87" t="s">
        <v>143</v>
      </c>
    </row>
    <row r="136" spans="1:8" ht="14.25" customHeight="1" x14ac:dyDescent="0.2">
      <c r="A136" s="93"/>
      <c r="B136" s="93"/>
      <c r="C136" s="97"/>
      <c r="D136" s="93"/>
      <c r="E136" s="93"/>
      <c r="F136" s="98"/>
      <c r="G136" s="98"/>
      <c r="H136" s="87" t="s">
        <v>143</v>
      </c>
    </row>
    <row r="137" spans="1:8" ht="14.25" customHeight="1" x14ac:dyDescent="0.2">
      <c r="A137" s="93"/>
      <c r="B137" s="93"/>
      <c r="C137" s="94" t="s">
        <v>154</v>
      </c>
      <c r="D137" s="93"/>
      <c r="E137" s="93"/>
      <c r="F137" s="98"/>
      <c r="G137" s="98"/>
      <c r="H137" s="87" t="s">
        <v>143</v>
      </c>
    </row>
    <row r="138" spans="1:8" ht="14.25" customHeight="1" x14ac:dyDescent="0.2">
      <c r="A138" s="93"/>
      <c r="B138" s="93"/>
      <c r="C138" s="94" t="s">
        <v>142</v>
      </c>
      <c r="D138" s="93"/>
      <c r="E138" s="93" t="s">
        <v>143</v>
      </c>
      <c r="F138" s="99" t="s">
        <v>145</v>
      </c>
      <c r="G138" s="96">
        <v>0</v>
      </c>
      <c r="H138" s="87" t="s">
        <v>143</v>
      </c>
    </row>
    <row r="139" spans="1:8" ht="14.25" customHeight="1" x14ac:dyDescent="0.2">
      <c r="A139" s="93"/>
      <c r="B139" s="93"/>
      <c r="C139" s="97"/>
      <c r="D139" s="93"/>
      <c r="E139" s="93"/>
      <c r="F139" s="98"/>
      <c r="G139" s="98"/>
      <c r="H139" s="87" t="s">
        <v>143</v>
      </c>
    </row>
    <row r="140" spans="1:8" ht="14.25" customHeight="1" x14ac:dyDescent="0.2">
      <c r="A140" s="93"/>
      <c r="B140" s="93"/>
      <c r="C140" s="94" t="s">
        <v>155</v>
      </c>
      <c r="D140" s="93"/>
      <c r="E140" s="93"/>
      <c r="F140" s="95">
        <v>0</v>
      </c>
      <c r="G140" s="96">
        <v>0</v>
      </c>
      <c r="H140" s="87" t="s">
        <v>143</v>
      </c>
    </row>
    <row r="141" spans="1:8" ht="14.25" customHeight="1" x14ac:dyDescent="0.2">
      <c r="A141" s="93"/>
      <c r="B141" s="93"/>
      <c r="C141" s="97"/>
      <c r="D141" s="93"/>
      <c r="E141" s="93"/>
      <c r="F141" s="98"/>
      <c r="G141" s="98"/>
      <c r="H141" s="87" t="s">
        <v>143</v>
      </c>
    </row>
    <row r="142" spans="1:8" ht="14.25" customHeight="1" x14ac:dyDescent="0.2">
      <c r="A142" s="93"/>
      <c r="B142" s="93"/>
      <c r="C142" s="94" t="s">
        <v>156</v>
      </c>
      <c r="D142" s="93"/>
      <c r="E142" s="93"/>
      <c r="F142" s="98"/>
      <c r="G142" s="98"/>
      <c r="H142" s="87" t="s">
        <v>143</v>
      </c>
    </row>
    <row r="143" spans="1:8" ht="14.25" customHeight="1" x14ac:dyDescent="0.2">
      <c r="A143" s="93"/>
      <c r="B143" s="93"/>
      <c r="C143" s="94" t="s">
        <v>157</v>
      </c>
      <c r="D143" s="93"/>
      <c r="E143" s="93"/>
      <c r="F143" s="98"/>
      <c r="G143" s="98"/>
      <c r="H143" s="87" t="s">
        <v>143</v>
      </c>
    </row>
    <row r="144" spans="1:8" ht="14.25" customHeight="1" x14ac:dyDescent="0.2">
      <c r="A144" s="93"/>
      <c r="B144" s="93"/>
      <c r="C144" s="94" t="s">
        <v>142</v>
      </c>
      <c r="D144" s="93"/>
      <c r="E144" s="93" t="s">
        <v>143</v>
      </c>
      <c r="F144" s="99" t="s">
        <v>145</v>
      </c>
      <c r="G144" s="96">
        <v>0</v>
      </c>
      <c r="H144" s="87" t="s">
        <v>143</v>
      </c>
    </row>
    <row r="145" spans="1:8" ht="14.25" customHeight="1" x14ac:dyDescent="0.2">
      <c r="A145" s="93"/>
      <c r="B145" s="93"/>
      <c r="C145" s="97"/>
      <c r="D145" s="93"/>
      <c r="E145" s="93"/>
      <c r="F145" s="98"/>
      <c r="G145" s="98"/>
      <c r="H145" s="87" t="s">
        <v>143</v>
      </c>
    </row>
    <row r="146" spans="1:8" ht="14.25" customHeight="1" x14ac:dyDescent="0.2">
      <c r="A146" s="93"/>
      <c r="B146" s="93"/>
      <c r="C146" s="94" t="s">
        <v>158</v>
      </c>
      <c r="D146" s="93"/>
      <c r="E146" s="93"/>
      <c r="F146" s="98"/>
      <c r="G146" s="98"/>
      <c r="H146" s="87" t="s">
        <v>143</v>
      </c>
    </row>
    <row r="147" spans="1:8" ht="14.25" customHeight="1" x14ac:dyDescent="0.2">
      <c r="A147" s="93"/>
      <c r="B147" s="93"/>
      <c r="C147" s="94" t="s">
        <v>142</v>
      </c>
      <c r="D147" s="93"/>
      <c r="E147" s="93" t="s">
        <v>143</v>
      </c>
      <c r="F147" s="99" t="s">
        <v>145</v>
      </c>
      <c r="G147" s="96">
        <v>0</v>
      </c>
      <c r="H147" s="87" t="s">
        <v>143</v>
      </c>
    </row>
    <row r="148" spans="1:8" ht="14.25" customHeight="1" x14ac:dyDescent="0.2">
      <c r="A148" s="93"/>
      <c r="B148" s="93"/>
      <c r="C148" s="97"/>
      <c r="D148" s="93"/>
      <c r="E148" s="93"/>
      <c r="F148" s="98"/>
      <c r="G148" s="98"/>
      <c r="H148" s="87" t="s">
        <v>143</v>
      </c>
    </row>
    <row r="149" spans="1:8" ht="14.25" customHeight="1" x14ac:dyDescent="0.2">
      <c r="A149" s="93"/>
      <c r="B149" s="93"/>
      <c r="C149" s="94" t="s">
        <v>159</v>
      </c>
      <c r="D149" s="93"/>
      <c r="E149" s="93"/>
      <c r="F149" s="98"/>
      <c r="G149" s="98"/>
      <c r="H149" s="87" t="s">
        <v>143</v>
      </c>
    </row>
    <row r="150" spans="1:8" ht="14.25" customHeight="1" x14ac:dyDescent="0.2">
      <c r="A150" s="93"/>
      <c r="B150" s="93"/>
      <c r="C150" s="94" t="s">
        <v>142</v>
      </c>
      <c r="D150" s="93"/>
      <c r="E150" s="93" t="s">
        <v>143</v>
      </c>
      <c r="F150" s="99" t="s">
        <v>145</v>
      </c>
      <c r="G150" s="96">
        <v>0</v>
      </c>
      <c r="H150" s="87" t="s">
        <v>143</v>
      </c>
    </row>
    <row r="151" spans="1:8" ht="14.25" customHeight="1" x14ac:dyDescent="0.2">
      <c r="A151" s="93"/>
      <c r="B151" s="93"/>
      <c r="C151" s="97"/>
      <c r="D151" s="93"/>
      <c r="E151" s="93"/>
      <c r="F151" s="98"/>
      <c r="G151" s="98"/>
      <c r="H151" s="87" t="s">
        <v>143</v>
      </c>
    </row>
    <row r="152" spans="1:8" ht="14.25" customHeight="1" x14ac:dyDescent="0.2">
      <c r="A152" s="93"/>
      <c r="B152" s="93"/>
      <c r="C152" s="94" t="s">
        <v>160</v>
      </c>
      <c r="D152" s="93"/>
      <c r="E152" s="93"/>
      <c r="F152" s="98"/>
      <c r="G152" s="98"/>
      <c r="H152" s="87" t="s">
        <v>143</v>
      </c>
    </row>
    <row r="153" spans="1:8" ht="14.25" customHeight="1" x14ac:dyDescent="0.2">
      <c r="A153" s="88">
        <v>1</v>
      </c>
      <c r="B153" s="89"/>
      <c r="C153" s="89" t="s">
        <v>161</v>
      </c>
      <c r="D153" s="89"/>
      <c r="E153" s="100"/>
      <c r="F153" s="91">
        <v>122.172251</v>
      </c>
      <c r="G153" s="92">
        <v>1.127803E-2</v>
      </c>
      <c r="H153" s="87">
        <v>5.38</v>
      </c>
    </row>
    <row r="154" spans="1:8" ht="14.25" customHeight="1" x14ac:dyDescent="0.2">
      <c r="A154" s="93"/>
      <c r="B154" s="93"/>
      <c r="C154" s="94" t="s">
        <v>142</v>
      </c>
      <c r="D154" s="93"/>
      <c r="E154" s="93" t="s">
        <v>143</v>
      </c>
      <c r="F154" s="95">
        <v>122.172251</v>
      </c>
      <c r="G154" s="96">
        <v>1.127803E-2</v>
      </c>
      <c r="H154" s="87" t="s">
        <v>143</v>
      </c>
    </row>
    <row r="155" spans="1:8" ht="14.25" customHeight="1" x14ac:dyDescent="0.2">
      <c r="A155" s="93"/>
      <c r="B155" s="93"/>
      <c r="C155" s="97"/>
      <c r="D155" s="93"/>
      <c r="E155" s="93"/>
      <c r="F155" s="98"/>
      <c r="G155" s="98"/>
      <c r="H155" s="87" t="s">
        <v>143</v>
      </c>
    </row>
    <row r="156" spans="1:8" ht="14.25" customHeight="1" x14ac:dyDescent="0.2">
      <c r="A156" s="93"/>
      <c r="B156" s="93"/>
      <c r="C156" s="94" t="s">
        <v>162</v>
      </c>
      <c r="D156" s="93"/>
      <c r="E156" s="93"/>
      <c r="F156" s="95">
        <v>122.172251</v>
      </c>
      <c r="G156" s="96">
        <v>1.127803E-2</v>
      </c>
      <c r="H156" s="87" t="s">
        <v>143</v>
      </c>
    </row>
    <row r="157" spans="1:8" ht="14.25" customHeight="1" x14ac:dyDescent="0.2">
      <c r="A157" s="93"/>
      <c r="B157" s="93"/>
      <c r="C157" s="98"/>
      <c r="D157" s="93"/>
      <c r="E157" s="93"/>
      <c r="F157" s="93"/>
      <c r="G157" s="93"/>
      <c r="H157" s="87" t="s">
        <v>143</v>
      </c>
    </row>
    <row r="158" spans="1:8" ht="14.25" customHeight="1" x14ac:dyDescent="0.2">
      <c r="A158" s="93"/>
      <c r="B158" s="93"/>
      <c r="C158" s="94" t="s">
        <v>163</v>
      </c>
      <c r="D158" s="93"/>
      <c r="E158" s="93"/>
      <c r="F158" s="93"/>
      <c r="G158" s="93"/>
      <c r="H158" s="87" t="s">
        <v>143</v>
      </c>
    </row>
    <row r="159" spans="1:8" ht="14.25" customHeight="1" x14ac:dyDescent="0.2">
      <c r="A159" s="93"/>
      <c r="B159" s="93"/>
      <c r="C159" s="94" t="s">
        <v>164</v>
      </c>
      <c r="D159" s="93"/>
      <c r="E159" s="93"/>
      <c r="F159" s="93"/>
      <c r="G159" s="93"/>
      <c r="H159" s="87" t="s">
        <v>143</v>
      </c>
    </row>
    <row r="160" spans="1:8" ht="14.25" customHeight="1" x14ac:dyDescent="0.2">
      <c r="A160" s="93"/>
      <c r="B160" s="93"/>
      <c r="C160" s="94" t="s">
        <v>142</v>
      </c>
      <c r="D160" s="93"/>
      <c r="E160" s="93" t="s">
        <v>143</v>
      </c>
      <c r="F160" s="99" t="s">
        <v>145</v>
      </c>
      <c r="G160" s="96">
        <v>0</v>
      </c>
      <c r="H160" s="87" t="s">
        <v>143</v>
      </c>
    </row>
    <row r="161" spans="1:17" ht="14.25" customHeight="1" x14ac:dyDescent="0.2">
      <c r="A161" s="93"/>
      <c r="B161" s="93"/>
      <c r="C161" s="97"/>
      <c r="D161" s="93"/>
      <c r="E161" s="93"/>
      <c r="F161" s="98"/>
      <c r="G161" s="98"/>
      <c r="H161" s="87" t="s">
        <v>143</v>
      </c>
    </row>
    <row r="162" spans="1:17" ht="14.25" customHeight="1" x14ac:dyDescent="0.2">
      <c r="A162" s="93"/>
      <c r="B162" s="93"/>
      <c r="C162" s="94" t="s">
        <v>165</v>
      </c>
      <c r="D162" s="93"/>
      <c r="E162" s="93"/>
      <c r="F162" s="93"/>
      <c r="G162" s="93"/>
      <c r="H162" s="87" t="s">
        <v>143</v>
      </c>
    </row>
    <row r="163" spans="1:17" ht="14.25" customHeight="1" x14ac:dyDescent="0.2">
      <c r="A163" s="93"/>
      <c r="B163" s="93"/>
      <c r="C163" s="94" t="s">
        <v>166</v>
      </c>
      <c r="D163" s="93"/>
      <c r="E163" s="93"/>
      <c r="F163" s="93"/>
      <c r="G163" s="93"/>
      <c r="H163" s="87" t="s">
        <v>143</v>
      </c>
    </row>
    <row r="164" spans="1:17" ht="14.25" customHeight="1" x14ac:dyDescent="0.2">
      <c r="A164" s="93"/>
      <c r="B164" s="93"/>
      <c r="C164" s="94" t="s">
        <v>142</v>
      </c>
      <c r="D164" s="93"/>
      <c r="E164" s="93" t="s">
        <v>143</v>
      </c>
      <c r="F164" s="99" t="s">
        <v>145</v>
      </c>
      <c r="G164" s="96">
        <v>0</v>
      </c>
      <c r="H164" s="87" t="s">
        <v>143</v>
      </c>
    </row>
    <row r="165" spans="1:17" ht="14.25" customHeight="1" x14ac:dyDescent="0.2">
      <c r="A165" s="93"/>
      <c r="B165" s="93"/>
      <c r="C165" s="97"/>
      <c r="D165" s="93"/>
      <c r="E165" s="93"/>
      <c r="F165" s="98"/>
      <c r="G165" s="98"/>
      <c r="H165" s="87" t="s">
        <v>143</v>
      </c>
    </row>
    <row r="166" spans="1:17" ht="14.25" customHeight="1" x14ac:dyDescent="0.2">
      <c r="A166" s="93"/>
      <c r="B166" s="93"/>
      <c r="C166" s="94" t="s">
        <v>167</v>
      </c>
      <c r="D166" s="93"/>
      <c r="E166" s="93"/>
      <c r="F166" s="98"/>
      <c r="G166" s="98"/>
      <c r="H166" s="87" t="s">
        <v>143</v>
      </c>
    </row>
    <row r="167" spans="1:17" ht="14.25" customHeight="1" x14ac:dyDescent="0.2">
      <c r="A167" s="93"/>
      <c r="B167" s="93"/>
      <c r="C167" s="94" t="s">
        <v>142</v>
      </c>
      <c r="D167" s="93"/>
      <c r="E167" s="93" t="s">
        <v>143</v>
      </c>
      <c r="F167" s="99" t="s">
        <v>145</v>
      </c>
      <c r="G167" s="96">
        <v>0</v>
      </c>
      <c r="H167" s="87" t="s">
        <v>143</v>
      </c>
    </row>
    <row r="168" spans="1:17" ht="14.25" customHeight="1" x14ac:dyDescent="0.2">
      <c r="A168" s="93"/>
      <c r="B168" s="93"/>
      <c r="C168" s="97"/>
      <c r="D168" s="93"/>
      <c r="E168" s="93"/>
      <c r="F168" s="98"/>
      <c r="G168" s="98"/>
      <c r="H168" s="87" t="s">
        <v>143</v>
      </c>
    </row>
    <row r="169" spans="1:17" ht="14.25" customHeight="1" x14ac:dyDescent="0.2">
      <c r="A169" s="100"/>
      <c r="B169" s="89"/>
      <c r="C169" s="89" t="s">
        <v>168</v>
      </c>
      <c r="D169" s="89"/>
      <c r="E169" s="100"/>
      <c r="F169" s="91">
        <v>5.8401721100000001</v>
      </c>
      <c r="G169" s="92">
        <v>5.3912000000000003E-4</v>
      </c>
      <c r="H169" s="87" t="s">
        <v>143</v>
      </c>
    </row>
    <row r="170" spans="1:17" ht="14.25" customHeight="1" x14ac:dyDescent="0.2">
      <c r="A170" s="97"/>
      <c r="B170" s="97"/>
      <c r="C170" s="94" t="s">
        <v>169</v>
      </c>
      <c r="D170" s="98"/>
      <c r="E170" s="98"/>
      <c r="F170" s="95">
        <v>10832.76350621</v>
      </c>
      <c r="G170" s="101">
        <v>1.00000007</v>
      </c>
      <c r="H170" s="87" t="s">
        <v>143</v>
      </c>
    </row>
    <row r="171" spans="1:17" ht="12.75" x14ac:dyDescent="0.2">
      <c r="A171" s="102"/>
      <c r="B171" s="102"/>
      <c r="C171" s="102"/>
      <c r="D171" s="103"/>
      <c r="E171" s="103"/>
      <c r="F171" s="103"/>
      <c r="G171" s="103"/>
    </row>
    <row r="172" spans="1:17" ht="12.75" x14ac:dyDescent="0.2">
      <c r="A172" s="104"/>
      <c r="B172" s="206" t="s">
        <v>942</v>
      </c>
      <c r="C172" s="206"/>
      <c r="D172" s="206"/>
      <c r="E172" s="206"/>
      <c r="F172" s="206"/>
      <c r="G172" s="206"/>
      <c r="H172" s="206"/>
      <c r="J172" s="106"/>
    </row>
    <row r="173" spans="1:17" ht="12.75" x14ac:dyDescent="0.2">
      <c r="A173" s="104"/>
      <c r="B173" s="206" t="s">
        <v>943</v>
      </c>
      <c r="C173" s="206"/>
      <c r="D173" s="206"/>
      <c r="E173" s="206"/>
      <c r="F173" s="206"/>
      <c r="G173" s="206"/>
      <c r="H173" s="206"/>
      <c r="J173" s="106"/>
    </row>
    <row r="174" spans="1:17" ht="12.75" x14ac:dyDescent="0.2">
      <c r="A174" s="104"/>
      <c r="B174" s="206" t="s">
        <v>944</v>
      </c>
      <c r="C174" s="206"/>
      <c r="D174" s="206"/>
      <c r="E174" s="206"/>
      <c r="F174" s="206"/>
      <c r="G174" s="206"/>
      <c r="H174" s="206"/>
      <c r="J174" s="106"/>
    </row>
    <row r="175" spans="1:17" s="108" customFormat="1" ht="53.25" customHeight="1" x14ac:dyDescent="0.25">
      <c r="A175" s="107"/>
      <c r="B175" s="207" t="s">
        <v>945</v>
      </c>
      <c r="C175" s="207"/>
      <c r="D175" s="207"/>
      <c r="E175" s="207"/>
      <c r="F175" s="207"/>
      <c r="G175" s="207"/>
      <c r="H175" s="207"/>
      <c r="I175"/>
      <c r="J175" s="106"/>
      <c r="K175"/>
      <c r="L175"/>
      <c r="M175"/>
      <c r="N175"/>
      <c r="O175"/>
      <c r="P175"/>
      <c r="Q175"/>
    </row>
    <row r="176" spans="1:17" ht="12.75" x14ac:dyDescent="0.2">
      <c r="A176" s="104"/>
      <c r="B176" s="206" t="s">
        <v>946</v>
      </c>
      <c r="C176" s="206"/>
      <c r="D176" s="206"/>
      <c r="E176" s="206"/>
      <c r="F176" s="206"/>
      <c r="G176" s="206"/>
      <c r="H176" s="206"/>
      <c r="J176" s="106"/>
    </row>
    <row r="177" spans="1:10" ht="12.75" x14ac:dyDescent="0.2">
      <c r="A177" s="104"/>
      <c r="B177" s="104"/>
      <c r="C177" s="104"/>
      <c r="D177" s="109"/>
      <c r="E177" s="109"/>
      <c r="F177" s="109"/>
      <c r="G177" s="109"/>
    </row>
    <row r="178" spans="1:10" ht="12.75" x14ac:dyDescent="0.2">
      <c r="A178" s="104"/>
      <c r="B178" s="199" t="s">
        <v>170</v>
      </c>
      <c r="C178" s="200"/>
      <c r="D178" s="201"/>
      <c r="E178" s="110"/>
      <c r="F178" s="109"/>
      <c r="G178" s="109"/>
    </row>
    <row r="179" spans="1:10" ht="27.75" customHeight="1" x14ac:dyDescent="0.2">
      <c r="A179" s="104"/>
      <c r="B179" s="202" t="s">
        <v>171</v>
      </c>
      <c r="C179" s="203"/>
      <c r="D179" s="86" t="s">
        <v>172</v>
      </c>
      <c r="E179" s="110"/>
      <c r="F179" s="109"/>
      <c r="G179" s="109"/>
    </row>
    <row r="180" spans="1:10" ht="12.75" customHeight="1" x14ac:dyDescent="0.2">
      <c r="A180" s="104"/>
      <c r="B180" s="202" t="s">
        <v>947</v>
      </c>
      <c r="C180" s="203"/>
      <c r="D180" s="86" t="str">
        <f>"Rs. "&amp;TEXT(F117,"0.00")&amp;" lacs/ "&amp;IF(ROUND((G117*100),2) = 0,"#",(TEXT((G117*100),"0.00")&amp;"%"))</f>
        <v>Rs. 1.51 lacs/ 0.01%</v>
      </c>
      <c r="E180" s="110"/>
      <c r="F180" s="109"/>
      <c r="G180" s="109"/>
    </row>
    <row r="181" spans="1:10" ht="12.75" x14ac:dyDescent="0.2">
      <c r="A181" s="104"/>
      <c r="B181" s="202" t="s">
        <v>173</v>
      </c>
      <c r="C181" s="203"/>
      <c r="D181" s="111" t="s">
        <v>143</v>
      </c>
      <c r="E181" s="110"/>
      <c r="F181" s="109"/>
      <c r="G181" s="109"/>
    </row>
    <row r="182" spans="1:10" ht="12.75" x14ac:dyDescent="0.2">
      <c r="A182" s="112"/>
      <c r="B182" s="113" t="s">
        <v>143</v>
      </c>
      <c r="C182" s="113" t="s">
        <v>948</v>
      </c>
      <c r="D182" s="113" t="s">
        <v>174</v>
      </c>
      <c r="E182" s="112"/>
      <c r="F182" s="112"/>
      <c r="G182" s="112"/>
      <c r="H182" s="112"/>
      <c r="J182" s="106"/>
    </row>
    <row r="183" spans="1:10" ht="12.75" x14ac:dyDescent="0.2">
      <c r="A183" s="112"/>
      <c r="B183" s="114" t="s">
        <v>175</v>
      </c>
      <c r="C183" s="115">
        <v>45869</v>
      </c>
      <c r="D183" s="115">
        <v>45900</v>
      </c>
      <c r="E183" s="112"/>
      <c r="F183" s="112"/>
      <c r="G183" s="112"/>
      <c r="J183" s="106"/>
    </row>
    <row r="184" spans="1:10" ht="14.25" customHeight="1" x14ac:dyDescent="0.2">
      <c r="A184" s="116"/>
      <c r="B184" s="89" t="s">
        <v>176</v>
      </c>
      <c r="C184" s="117">
        <v>180.72149999999999</v>
      </c>
      <c r="D184" s="117">
        <v>179.43350000000001</v>
      </c>
      <c r="E184" s="116"/>
      <c r="F184" s="118"/>
      <c r="G184" s="119"/>
    </row>
    <row r="185" spans="1:10" ht="14.25" customHeight="1" x14ac:dyDescent="0.2">
      <c r="A185" s="116"/>
      <c r="B185" s="89" t="s">
        <v>954</v>
      </c>
      <c r="C185" s="117">
        <v>85.204599999999999</v>
      </c>
      <c r="D185" s="117">
        <v>84.597399999999993</v>
      </c>
      <c r="E185" s="116"/>
      <c r="F185" s="118"/>
      <c r="G185" s="119"/>
    </row>
    <row r="186" spans="1:10" ht="14.25" customHeight="1" x14ac:dyDescent="0.2">
      <c r="A186" s="116"/>
      <c r="B186" s="89" t="s">
        <v>177</v>
      </c>
      <c r="C186" s="117">
        <v>171.54409999999999</v>
      </c>
      <c r="D186" s="117">
        <v>170.25360000000001</v>
      </c>
      <c r="E186" s="116"/>
      <c r="F186" s="118"/>
      <c r="G186" s="119"/>
    </row>
    <row r="187" spans="1:10" ht="14.25" customHeight="1" x14ac:dyDescent="0.2">
      <c r="A187" s="116"/>
      <c r="B187" s="89" t="s">
        <v>955</v>
      </c>
      <c r="C187" s="117">
        <v>80.881100000000004</v>
      </c>
      <c r="D187" s="117">
        <v>80.272599999999997</v>
      </c>
      <c r="E187" s="116"/>
      <c r="F187" s="118"/>
      <c r="G187" s="119"/>
    </row>
    <row r="188" spans="1:10" ht="14.25" customHeight="1" x14ac:dyDescent="0.2">
      <c r="A188" s="116"/>
      <c r="B188" s="116"/>
      <c r="C188" s="116"/>
      <c r="D188" s="116"/>
      <c r="E188" s="116"/>
      <c r="F188" s="116"/>
      <c r="G188" s="116"/>
    </row>
    <row r="189" spans="1:10" ht="12.75" x14ac:dyDescent="0.2">
      <c r="A189" s="112"/>
      <c r="B189" s="202" t="s">
        <v>949</v>
      </c>
      <c r="C189" s="203"/>
      <c r="D189" s="86" t="s">
        <v>172</v>
      </c>
      <c r="E189" s="112"/>
      <c r="F189" s="112"/>
      <c r="G189" s="112"/>
    </row>
    <row r="190" spans="1:10" ht="12.75" x14ac:dyDescent="0.2">
      <c r="A190" s="112"/>
      <c r="B190" s="120"/>
      <c r="C190" s="120"/>
      <c r="D190" s="120"/>
      <c r="E190" s="112"/>
      <c r="F190" s="112"/>
      <c r="G190" s="112"/>
    </row>
    <row r="191" spans="1:10" ht="12.75" x14ac:dyDescent="0.2">
      <c r="A191" s="112"/>
      <c r="B191" s="202" t="s">
        <v>178</v>
      </c>
      <c r="C191" s="203"/>
      <c r="D191" s="86" t="s">
        <v>172</v>
      </c>
      <c r="E191" s="121"/>
      <c r="F191" s="112"/>
      <c r="G191" s="112"/>
    </row>
    <row r="192" spans="1:10" ht="12.75" x14ac:dyDescent="0.2">
      <c r="A192" s="112"/>
      <c r="B192" s="202" t="s">
        <v>179</v>
      </c>
      <c r="C192" s="203"/>
      <c r="D192" s="86" t="s">
        <v>172</v>
      </c>
      <c r="E192" s="121"/>
      <c r="F192" s="112"/>
      <c r="G192" s="112"/>
    </row>
    <row r="193" spans="1:10" ht="12.75" x14ac:dyDescent="0.2">
      <c r="A193" s="112"/>
      <c r="B193" s="202" t="s">
        <v>180</v>
      </c>
      <c r="C193" s="203"/>
      <c r="D193" s="86" t="s">
        <v>172</v>
      </c>
      <c r="E193" s="121"/>
      <c r="F193" s="112"/>
      <c r="G193" s="112"/>
    </row>
    <row r="194" spans="1:10" ht="12.75" x14ac:dyDescent="0.2">
      <c r="A194" s="112"/>
      <c r="B194" s="202" t="s">
        <v>181</v>
      </c>
      <c r="C194" s="203"/>
      <c r="D194" s="122">
        <v>0.26821174001170267</v>
      </c>
      <c r="E194" s="112"/>
      <c r="F194" s="105"/>
      <c r="G194" s="123"/>
    </row>
    <row r="195" spans="1:10" ht="12.75" x14ac:dyDescent="0.2"/>
    <row r="196" spans="1:10" ht="12.75" x14ac:dyDescent="0.2">
      <c r="B196" s="204" t="s">
        <v>950</v>
      </c>
      <c r="C196" s="204"/>
    </row>
    <row r="197" spans="1:10" ht="12.75" x14ac:dyDescent="0.2"/>
    <row r="198" spans="1:10" ht="153.75" customHeight="1" x14ac:dyDescent="0.2"/>
    <row r="199" spans="1:10" ht="12.75" x14ac:dyDescent="0.2"/>
    <row r="200" spans="1:10" ht="12.75" x14ac:dyDescent="0.2">
      <c r="B200" s="124" t="s">
        <v>951</v>
      </c>
      <c r="C200" s="125"/>
      <c r="D200" s="124"/>
    </row>
    <row r="201" spans="1:10" ht="12.75" x14ac:dyDescent="0.2">
      <c r="B201" s="124" t="s">
        <v>1119</v>
      </c>
      <c r="D201" s="124"/>
    </row>
    <row r="202" spans="1:10" ht="165" customHeight="1" x14ac:dyDescent="0.2"/>
    <row r="203" spans="1:10" ht="12.75" x14ac:dyDescent="0.2"/>
    <row r="204" spans="1:10" ht="12.75" x14ac:dyDescent="0.2">
      <c r="J204" s="84"/>
    </row>
    <row r="205" spans="1:10" ht="12.75" x14ac:dyDescent="0.2"/>
    <row r="206" spans="1:10" ht="12.75" x14ac:dyDescent="0.2"/>
    <row r="207" spans="1:10" ht="12.75" x14ac:dyDescent="0.2"/>
    <row r="208" spans="1:10" ht="12.75" x14ac:dyDescent="0.2"/>
    <row r="209" customFormat="1" ht="12.75" x14ac:dyDescent="0.2"/>
    <row r="210" customFormat="1" ht="12.75" x14ac:dyDescent="0.2"/>
    <row r="211" customFormat="1" ht="12.75" x14ac:dyDescent="0.2"/>
    <row r="212" customFormat="1" ht="12.75" x14ac:dyDescent="0.2"/>
    <row r="213" customFormat="1" ht="12.75" x14ac:dyDescent="0.2"/>
    <row r="214" customFormat="1" ht="12.75" x14ac:dyDescent="0.2"/>
  </sheetData>
  <mergeCells count="18">
    <mergeCell ref="B175:H175"/>
    <mergeCell ref="B176:H176"/>
    <mergeCell ref="B178:D178"/>
    <mergeCell ref="B179:C179"/>
    <mergeCell ref="B196:C196"/>
    <mergeCell ref="A1:H1"/>
    <mergeCell ref="A2:H2"/>
    <mergeCell ref="A3:H3"/>
    <mergeCell ref="B189:C189"/>
    <mergeCell ref="B193:C193"/>
    <mergeCell ref="B194:C194"/>
    <mergeCell ref="B172:H172"/>
    <mergeCell ref="B173:H173"/>
    <mergeCell ref="B180:C180"/>
    <mergeCell ref="B181:C181"/>
    <mergeCell ref="B191:C191"/>
    <mergeCell ref="B192:C192"/>
    <mergeCell ref="B174:H174"/>
  </mergeCells>
  <hyperlinks>
    <hyperlink ref="I1" location="Index!B2" display="Index" xr:uid="{EAC57AF1-A0D3-4CE8-B10E-D601C65D3CEE}"/>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695AB-7DD0-4285-B32C-9B296FB88CB9}">
  <sheetPr>
    <outlinePr summaryBelow="0" summaryRight="0"/>
  </sheetPr>
  <dimension ref="A1:Q167"/>
  <sheetViews>
    <sheetView showGridLines="0" workbookViewId="0">
      <selection sqref="A1:H1"/>
    </sheetView>
  </sheetViews>
  <sheetFormatPr defaultRowHeight="14.25" customHeight="1" x14ac:dyDescent="0.2"/>
  <cols>
    <col min="1" max="1" width="5.85546875" bestFit="1" customWidth="1"/>
    <col min="2" max="2" width="19.7109375" customWidth="1"/>
    <col min="3" max="3" width="44.5703125" bestFit="1" customWidth="1"/>
    <col min="4" max="4" width="29.28515625" bestFit="1" customWidth="1"/>
    <col min="5" max="5" width="10.42578125" bestFit="1" customWidth="1"/>
    <col min="6" max="6" width="11.28515625"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799</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321</v>
      </c>
      <c r="C7" s="89" t="s">
        <v>322</v>
      </c>
      <c r="D7" s="89" t="s">
        <v>33</v>
      </c>
      <c r="E7" s="90">
        <v>1288000</v>
      </c>
      <c r="F7" s="91">
        <v>12256.608</v>
      </c>
      <c r="G7" s="92">
        <v>8.9967839999999993E-2</v>
      </c>
      <c r="H7" s="87" t="s">
        <v>143</v>
      </c>
    </row>
    <row r="8" spans="1:9" ht="14.25" customHeight="1" x14ac:dyDescent="0.2">
      <c r="A8" s="88">
        <v>2</v>
      </c>
      <c r="B8" s="89" t="s">
        <v>31</v>
      </c>
      <c r="C8" s="89" t="s">
        <v>32</v>
      </c>
      <c r="D8" s="89" t="s">
        <v>33</v>
      </c>
      <c r="E8" s="90">
        <v>737000</v>
      </c>
      <c r="F8" s="91">
        <v>10301.786</v>
      </c>
      <c r="G8" s="92">
        <v>7.5618759999999993E-2</v>
      </c>
      <c r="H8" s="87" t="s">
        <v>143</v>
      </c>
    </row>
    <row r="9" spans="1:9" ht="14.25" customHeight="1" x14ac:dyDescent="0.2">
      <c r="A9" s="88">
        <v>3</v>
      </c>
      <c r="B9" s="89" t="s">
        <v>17</v>
      </c>
      <c r="C9" s="89" t="s">
        <v>18</v>
      </c>
      <c r="D9" s="89" t="s">
        <v>19</v>
      </c>
      <c r="E9" s="90">
        <v>434000</v>
      </c>
      <c r="F9" s="91">
        <v>5890.2479999999996</v>
      </c>
      <c r="G9" s="92">
        <v>4.3236509999999999E-2</v>
      </c>
      <c r="H9" s="87" t="s">
        <v>143</v>
      </c>
    </row>
    <row r="10" spans="1:9" ht="14.25" customHeight="1" x14ac:dyDescent="0.2">
      <c r="A10" s="88">
        <v>4</v>
      </c>
      <c r="B10" s="89" t="s">
        <v>327</v>
      </c>
      <c r="C10" s="89" t="s">
        <v>328</v>
      </c>
      <c r="D10" s="89" t="s">
        <v>33</v>
      </c>
      <c r="E10" s="90">
        <v>440000</v>
      </c>
      <c r="F10" s="91">
        <v>4598.88</v>
      </c>
      <c r="G10" s="92">
        <v>3.3757410000000002E-2</v>
      </c>
      <c r="H10" s="87" t="s">
        <v>143</v>
      </c>
    </row>
    <row r="11" spans="1:9" ht="14.25" customHeight="1" x14ac:dyDescent="0.2">
      <c r="A11" s="88">
        <v>5</v>
      </c>
      <c r="B11" s="89" t="s">
        <v>325</v>
      </c>
      <c r="C11" s="89" t="s">
        <v>326</v>
      </c>
      <c r="D11" s="89" t="s">
        <v>199</v>
      </c>
      <c r="E11" s="90">
        <v>309000</v>
      </c>
      <c r="F11" s="91">
        <v>4541.0640000000003</v>
      </c>
      <c r="G11" s="92">
        <v>3.3333019999999998E-2</v>
      </c>
      <c r="H11" s="87" t="s">
        <v>143</v>
      </c>
    </row>
    <row r="12" spans="1:9" ht="14.25" customHeight="1" x14ac:dyDescent="0.2">
      <c r="A12" s="88">
        <v>6</v>
      </c>
      <c r="B12" s="89" t="s">
        <v>14</v>
      </c>
      <c r="C12" s="89" t="s">
        <v>15</v>
      </c>
      <c r="D12" s="89" t="s">
        <v>16</v>
      </c>
      <c r="E12" s="90">
        <v>126000</v>
      </c>
      <c r="F12" s="91">
        <v>4537.26</v>
      </c>
      <c r="G12" s="92">
        <v>3.3305099999999997E-2</v>
      </c>
      <c r="H12" s="87" t="s">
        <v>143</v>
      </c>
    </row>
    <row r="13" spans="1:9" ht="14.25" customHeight="1" x14ac:dyDescent="0.2">
      <c r="A13" s="88">
        <v>7</v>
      </c>
      <c r="B13" s="89" t="s">
        <v>11</v>
      </c>
      <c r="C13" s="89" t="s">
        <v>12</v>
      </c>
      <c r="D13" s="89" t="s">
        <v>13</v>
      </c>
      <c r="E13" s="90">
        <v>230000</v>
      </c>
      <c r="F13" s="91">
        <v>4344.24</v>
      </c>
      <c r="G13" s="92">
        <v>3.1888260000000002E-2</v>
      </c>
      <c r="H13" s="87" t="s">
        <v>143</v>
      </c>
    </row>
    <row r="14" spans="1:9" ht="14.25" customHeight="1" x14ac:dyDescent="0.2">
      <c r="A14" s="88">
        <v>8</v>
      </c>
      <c r="B14" s="89" t="s">
        <v>49</v>
      </c>
      <c r="C14" s="89" t="s">
        <v>50</v>
      </c>
      <c r="D14" s="89" t="s">
        <v>33</v>
      </c>
      <c r="E14" s="90">
        <v>532000</v>
      </c>
      <c r="F14" s="91">
        <v>4269.3</v>
      </c>
      <c r="G14" s="92">
        <v>3.1338169999999999E-2</v>
      </c>
      <c r="H14" s="87" t="s">
        <v>143</v>
      </c>
    </row>
    <row r="15" spans="1:9" ht="14.25" customHeight="1" x14ac:dyDescent="0.2">
      <c r="A15" s="88">
        <v>9</v>
      </c>
      <c r="B15" s="89" t="s">
        <v>427</v>
      </c>
      <c r="C15" s="89" t="s">
        <v>428</v>
      </c>
      <c r="D15" s="89" t="s">
        <v>429</v>
      </c>
      <c r="E15" s="90">
        <v>951000</v>
      </c>
      <c r="F15" s="91">
        <v>3896.7224999999999</v>
      </c>
      <c r="G15" s="92">
        <v>2.8603320000000002E-2</v>
      </c>
      <c r="H15" s="87" t="s">
        <v>143</v>
      </c>
    </row>
    <row r="16" spans="1:9" ht="14.25" customHeight="1" x14ac:dyDescent="0.2">
      <c r="A16" s="88">
        <v>10</v>
      </c>
      <c r="B16" s="89" t="s">
        <v>323</v>
      </c>
      <c r="C16" s="89" t="s">
        <v>324</v>
      </c>
      <c r="D16" s="89" t="s">
        <v>33</v>
      </c>
      <c r="E16" s="90">
        <v>190000</v>
      </c>
      <c r="F16" s="91">
        <v>3724.57</v>
      </c>
      <c r="G16" s="92">
        <v>2.7339659999999998E-2</v>
      </c>
      <c r="H16" s="87" t="s">
        <v>143</v>
      </c>
    </row>
    <row r="17" spans="1:8" ht="14.25" customHeight="1" x14ac:dyDescent="0.2">
      <c r="A17" s="88">
        <v>11</v>
      </c>
      <c r="B17" s="89" t="s">
        <v>23</v>
      </c>
      <c r="C17" s="89" t="s">
        <v>24</v>
      </c>
      <c r="D17" s="89" t="s">
        <v>25</v>
      </c>
      <c r="E17" s="90">
        <v>27000</v>
      </c>
      <c r="F17" s="91">
        <v>3412.8</v>
      </c>
      <c r="G17" s="92">
        <v>2.5051159999999999E-2</v>
      </c>
      <c r="H17" s="87" t="s">
        <v>143</v>
      </c>
    </row>
    <row r="18" spans="1:8" ht="14.25" customHeight="1" x14ac:dyDescent="0.2">
      <c r="A18" s="88">
        <v>12</v>
      </c>
      <c r="B18" s="89" t="s">
        <v>505</v>
      </c>
      <c r="C18" s="89" t="s">
        <v>506</v>
      </c>
      <c r="D18" s="89" t="s">
        <v>243</v>
      </c>
      <c r="E18" s="90">
        <v>20000</v>
      </c>
      <c r="F18" s="91">
        <v>2958.2</v>
      </c>
      <c r="G18" s="92">
        <v>2.1714239999999999E-2</v>
      </c>
      <c r="H18" s="87" t="s">
        <v>143</v>
      </c>
    </row>
    <row r="19" spans="1:8" ht="14.25" customHeight="1" x14ac:dyDescent="0.2">
      <c r="A19" s="88">
        <v>13</v>
      </c>
      <c r="B19" s="89" t="s">
        <v>800</v>
      </c>
      <c r="C19" s="89" t="s">
        <v>801</v>
      </c>
      <c r="D19" s="89" t="s">
        <v>243</v>
      </c>
      <c r="E19" s="90">
        <v>14000</v>
      </c>
      <c r="F19" s="91">
        <v>2726.78</v>
      </c>
      <c r="G19" s="92">
        <v>2.001553E-2</v>
      </c>
      <c r="H19" s="87" t="s">
        <v>143</v>
      </c>
    </row>
    <row r="20" spans="1:8" ht="14.25" customHeight="1" x14ac:dyDescent="0.2">
      <c r="A20" s="88">
        <v>14</v>
      </c>
      <c r="B20" s="89" t="s">
        <v>445</v>
      </c>
      <c r="C20" s="89" t="s">
        <v>446</v>
      </c>
      <c r="D20" s="89" t="s">
        <v>429</v>
      </c>
      <c r="E20" s="90">
        <v>82000</v>
      </c>
      <c r="F20" s="91">
        <v>2181.0360000000001</v>
      </c>
      <c r="G20" s="92">
        <v>1.6009579999999999E-2</v>
      </c>
      <c r="H20" s="87" t="s">
        <v>143</v>
      </c>
    </row>
    <row r="21" spans="1:8" ht="14.25" customHeight="1" x14ac:dyDescent="0.2">
      <c r="A21" s="88">
        <v>15</v>
      </c>
      <c r="B21" s="89" t="s">
        <v>744</v>
      </c>
      <c r="C21" s="89" t="s">
        <v>745</v>
      </c>
      <c r="D21" s="89" t="s">
        <v>188</v>
      </c>
      <c r="E21" s="90">
        <v>98000</v>
      </c>
      <c r="F21" s="91">
        <v>2144.73</v>
      </c>
      <c r="G21" s="92">
        <v>1.574308E-2</v>
      </c>
      <c r="H21" s="87" t="s">
        <v>143</v>
      </c>
    </row>
    <row r="22" spans="1:8" ht="14.25" customHeight="1" x14ac:dyDescent="0.2">
      <c r="A22" s="88">
        <v>16</v>
      </c>
      <c r="B22" s="89" t="s">
        <v>347</v>
      </c>
      <c r="C22" s="89" t="s">
        <v>348</v>
      </c>
      <c r="D22" s="89" t="s">
        <v>194</v>
      </c>
      <c r="E22" s="90">
        <v>134000</v>
      </c>
      <c r="F22" s="91">
        <v>2136.63</v>
      </c>
      <c r="G22" s="92">
        <v>1.5683619999999999E-2</v>
      </c>
      <c r="H22" s="87" t="s">
        <v>143</v>
      </c>
    </row>
    <row r="23" spans="1:8" ht="14.25" customHeight="1" x14ac:dyDescent="0.2">
      <c r="A23" s="88">
        <v>17</v>
      </c>
      <c r="B23" s="89" t="s">
        <v>439</v>
      </c>
      <c r="C23" s="89" t="s">
        <v>440</v>
      </c>
      <c r="D23" s="89" t="s">
        <v>194</v>
      </c>
      <c r="E23" s="90">
        <v>133000</v>
      </c>
      <c r="F23" s="91">
        <v>2113.902</v>
      </c>
      <c r="G23" s="92">
        <v>1.5516790000000001E-2</v>
      </c>
      <c r="H23" s="87" t="s">
        <v>143</v>
      </c>
    </row>
    <row r="24" spans="1:8" ht="14.25" customHeight="1" x14ac:dyDescent="0.2">
      <c r="A24" s="88">
        <v>18</v>
      </c>
      <c r="B24" s="89" t="s">
        <v>766</v>
      </c>
      <c r="C24" s="89" t="s">
        <v>767</v>
      </c>
      <c r="D24" s="89" t="s">
        <v>275</v>
      </c>
      <c r="E24" s="90">
        <v>503000</v>
      </c>
      <c r="F24" s="91">
        <v>2061.0425</v>
      </c>
      <c r="G24" s="92">
        <v>1.512878E-2</v>
      </c>
      <c r="H24" s="87" t="s">
        <v>143</v>
      </c>
    </row>
    <row r="25" spans="1:8" ht="14.25" customHeight="1" x14ac:dyDescent="0.2">
      <c r="A25" s="88">
        <v>19</v>
      </c>
      <c r="B25" s="89" t="s">
        <v>351</v>
      </c>
      <c r="C25" s="89" t="s">
        <v>352</v>
      </c>
      <c r="D25" s="89" t="s">
        <v>191</v>
      </c>
      <c r="E25" s="90">
        <v>133000</v>
      </c>
      <c r="F25" s="91">
        <v>1889.5309999999999</v>
      </c>
      <c r="G25" s="92">
        <v>1.386983E-2</v>
      </c>
      <c r="H25" s="87" t="s">
        <v>143</v>
      </c>
    </row>
    <row r="26" spans="1:8" ht="14.25" customHeight="1" x14ac:dyDescent="0.2">
      <c r="A26" s="88">
        <v>20</v>
      </c>
      <c r="B26" s="89" t="s">
        <v>89</v>
      </c>
      <c r="C26" s="89" t="s">
        <v>90</v>
      </c>
      <c r="D26" s="89" t="s">
        <v>53</v>
      </c>
      <c r="E26" s="90">
        <v>398000</v>
      </c>
      <c r="F26" s="91">
        <v>1862.8389999999999</v>
      </c>
      <c r="G26" s="92">
        <v>1.3673899999999999E-2</v>
      </c>
      <c r="H26" s="87" t="s">
        <v>143</v>
      </c>
    </row>
    <row r="27" spans="1:8" ht="14.25" customHeight="1" x14ac:dyDescent="0.2">
      <c r="A27" s="88">
        <v>21</v>
      </c>
      <c r="B27" s="89" t="s">
        <v>246</v>
      </c>
      <c r="C27" s="89" t="s">
        <v>247</v>
      </c>
      <c r="D27" s="89" t="s">
        <v>194</v>
      </c>
      <c r="E27" s="90">
        <v>34000</v>
      </c>
      <c r="F27" s="91">
        <v>1803.19</v>
      </c>
      <c r="G27" s="92">
        <v>1.3236049999999999E-2</v>
      </c>
      <c r="H27" s="87" t="s">
        <v>143</v>
      </c>
    </row>
    <row r="28" spans="1:8" ht="14.25" customHeight="1" x14ac:dyDescent="0.2">
      <c r="A28" s="88">
        <v>22</v>
      </c>
      <c r="B28" s="89" t="s">
        <v>449</v>
      </c>
      <c r="C28" s="89" t="s">
        <v>450</v>
      </c>
      <c r="D28" s="89" t="s">
        <v>33</v>
      </c>
      <c r="E28" s="90">
        <v>241000</v>
      </c>
      <c r="F28" s="91">
        <v>1782.1949999999999</v>
      </c>
      <c r="G28" s="92">
        <v>1.308194E-2</v>
      </c>
      <c r="H28" s="87" t="s">
        <v>143</v>
      </c>
    </row>
    <row r="29" spans="1:8" ht="14.25" customHeight="1" x14ac:dyDescent="0.2">
      <c r="A29" s="88">
        <v>23</v>
      </c>
      <c r="B29" s="89" t="s">
        <v>802</v>
      </c>
      <c r="C29" s="89" t="s">
        <v>803</v>
      </c>
      <c r="D29" s="89" t="s">
        <v>185</v>
      </c>
      <c r="E29" s="90">
        <v>241000</v>
      </c>
      <c r="F29" s="91">
        <v>1724.9575</v>
      </c>
      <c r="G29" s="92">
        <v>1.2661800000000001E-2</v>
      </c>
      <c r="H29" s="87" t="s">
        <v>143</v>
      </c>
    </row>
    <row r="30" spans="1:8" ht="14.25" customHeight="1" x14ac:dyDescent="0.2">
      <c r="A30" s="88">
        <v>24</v>
      </c>
      <c r="B30" s="89" t="s">
        <v>343</v>
      </c>
      <c r="C30" s="89" t="s">
        <v>344</v>
      </c>
      <c r="D30" s="89" t="s">
        <v>275</v>
      </c>
      <c r="E30" s="90">
        <v>549000</v>
      </c>
      <c r="F30" s="91">
        <v>1723.5854999999999</v>
      </c>
      <c r="G30" s="92">
        <v>1.265173E-2</v>
      </c>
      <c r="H30" s="87" t="s">
        <v>143</v>
      </c>
    </row>
    <row r="31" spans="1:8" ht="14.25" customHeight="1" x14ac:dyDescent="0.2">
      <c r="A31" s="88">
        <v>25</v>
      </c>
      <c r="B31" s="89" t="s">
        <v>99</v>
      </c>
      <c r="C31" s="89" t="s">
        <v>100</v>
      </c>
      <c r="D31" s="89" t="s">
        <v>25</v>
      </c>
      <c r="E31" s="90">
        <v>303000</v>
      </c>
      <c r="F31" s="91">
        <v>1706.4960000000001</v>
      </c>
      <c r="G31" s="92">
        <v>1.2526290000000001E-2</v>
      </c>
      <c r="H31" s="87" t="s">
        <v>143</v>
      </c>
    </row>
    <row r="32" spans="1:8" ht="14.25" customHeight="1" x14ac:dyDescent="0.2">
      <c r="A32" s="88">
        <v>26</v>
      </c>
      <c r="B32" s="89" t="s">
        <v>205</v>
      </c>
      <c r="C32" s="89" t="s">
        <v>206</v>
      </c>
      <c r="D32" s="89" t="s">
        <v>207</v>
      </c>
      <c r="E32" s="90">
        <v>270000</v>
      </c>
      <c r="F32" s="91">
        <v>1694.925</v>
      </c>
      <c r="G32" s="92">
        <v>1.244135E-2</v>
      </c>
      <c r="H32" s="87" t="s">
        <v>143</v>
      </c>
    </row>
    <row r="33" spans="1:8" ht="14.25" customHeight="1" x14ac:dyDescent="0.2">
      <c r="A33" s="88">
        <v>27</v>
      </c>
      <c r="B33" s="89" t="s">
        <v>349</v>
      </c>
      <c r="C33" s="89" t="s">
        <v>350</v>
      </c>
      <c r="D33" s="89" t="s">
        <v>232</v>
      </c>
      <c r="E33" s="90">
        <v>344000</v>
      </c>
      <c r="F33" s="91">
        <v>1675.796</v>
      </c>
      <c r="G33" s="92">
        <v>1.230094E-2</v>
      </c>
      <c r="H33" s="87" t="s">
        <v>143</v>
      </c>
    </row>
    <row r="34" spans="1:8" ht="14.25" customHeight="1" x14ac:dyDescent="0.2">
      <c r="A34" s="88">
        <v>28</v>
      </c>
      <c r="B34" s="89" t="s">
        <v>78</v>
      </c>
      <c r="C34" s="89" t="s">
        <v>79</v>
      </c>
      <c r="D34" s="89" t="s">
        <v>80</v>
      </c>
      <c r="E34" s="90">
        <v>967000</v>
      </c>
      <c r="F34" s="91">
        <v>1673.5869</v>
      </c>
      <c r="G34" s="92">
        <v>1.2284720000000001E-2</v>
      </c>
      <c r="H34" s="87" t="s">
        <v>143</v>
      </c>
    </row>
    <row r="35" spans="1:8" ht="14.25" customHeight="1" x14ac:dyDescent="0.2">
      <c r="A35" s="88">
        <v>29</v>
      </c>
      <c r="B35" s="89" t="s">
        <v>509</v>
      </c>
      <c r="C35" s="89" t="s">
        <v>510</v>
      </c>
      <c r="D35" s="89" t="s">
        <v>232</v>
      </c>
      <c r="E35" s="90">
        <v>127000</v>
      </c>
      <c r="F35" s="91">
        <v>1664.97</v>
      </c>
      <c r="G35" s="92">
        <v>1.222147E-2</v>
      </c>
      <c r="H35" s="87" t="s">
        <v>143</v>
      </c>
    </row>
    <row r="36" spans="1:8" ht="14.25" customHeight="1" x14ac:dyDescent="0.2">
      <c r="A36" s="88">
        <v>30</v>
      </c>
      <c r="B36" s="89" t="s">
        <v>515</v>
      </c>
      <c r="C36" s="89" t="s">
        <v>516</v>
      </c>
      <c r="D36" s="89" t="s">
        <v>199</v>
      </c>
      <c r="E36" s="90">
        <v>111209</v>
      </c>
      <c r="F36" s="91">
        <v>1647.450126</v>
      </c>
      <c r="G36" s="92">
        <v>1.209287E-2</v>
      </c>
      <c r="H36" s="87" t="s">
        <v>143</v>
      </c>
    </row>
    <row r="37" spans="1:8" ht="14.25" customHeight="1" x14ac:dyDescent="0.2">
      <c r="A37" s="88">
        <v>31</v>
      </c>
      <c r="B37" s="89" t="s">
        <v>20</v>
      </c>
      <c r="C37" s="89" t="s">
        <v>21</v>
      </c>
      <c r="D37" s="89" t="s">
        <v>22</v>
      </c>
      <c r="E37" s="90">
        <v>502000</v>
      </c>
      <c r="F37" s="91">
        <v>1644.3009999999999</v>
      </c>
      <c r="G37" s="92">
        <v>1.2069750000000001E-2</v>
      </c>
      <c r="H37" s="87" t="s">
        <v>143</v>
      </c>
    </row>
    <row r="38" spans="1:8" ht="14.25" customHeight="1" x14ac:dyDescent="0.2">
      <c r="A38" s="88">
        <v>32</v>
      </c>
      <c r="B38" s="89" t="s">
        <v>51</v>
      </c>
      <c r="C38" s="89" t="s">
        <v>52</v>
      </c>
      <c r="D38" s="89" t="s">
        <v>53</v>
      </c>
      <c r="E38" s="90">
        <v>28445</v>
      </c>
      <c r="F38" s="91">
        <v>1606.0047</v>
      </c>
      <c r="G38" s="92">
        <v>1.178864E-2</v>
      </c>
      <c r="H38" s="87" t="s">
        <v>143</v>
      </c>
    </row>
    <row r="39" spans="1:8" ht="14.25" customHeight="1" x14ac:dyDescent="0.2">
      <c r="A39" s="88">
        <v>33</v>
      </c>
      <c r="B39" s="89" t="s">
        <v>331</v>
      </c>
      <c r="C39" s="89" t="s">
        <v>332</v>
      </c>
      <c r="D39" s="89" t="s">
        <v>243</v>
      </c>
      <c r="E39" s="90">
        <v>50000</v>
      </c>
      <c r="F39" s="91">
        <v>1599.75</v>
      </c>
      <c r="G39" s="92">
        <v>1.174273E-2</v>
      </c>
      <c r="H39" s="87" t="s">
        <v>143</v>
      </c>
    </row>
    <row r="40" spans="1:8" ht="14.25" customHeight="1" x14ac:dyDescent="0.2">
      <c r="A40" s="88">
        <v>34</v>
      </c>
      <c r="B40" s="89" t="s">
        <v>730</v>
      </c>
      <c r="C40" s="89" t="s">
        <v>731</v>
      </c>
      <c r="D40" s="89" t="s">
        <v>188</v>
      </c>
      <c r="E40" s="90">
        <v>21000</v>
      </c>
      <c r="F40" s="91">
        <v>1598.1</v>
      </c>
      <c r="G40" s="92">
        <v>1.1730620000000001E-2</v>
      </c>
      <c r="H40" s="87" t="s">
        <v>143</v>
      </c>
    </row>
    <row r="41" spans="1:8" ht="14.25" customHeight="1" x14ac:dyDescent="0.2">
      <c r="A41" s="88">
        <v>35</v>
      </c>
      <c r="B41" s="89" t="s">
        <v>257</v>
      </c>
      <c r="C41" s="89" t="s">
        <v>258</v>
      </c>
      <c r="D41" s="89" t="s">
        <v>207</v>
      </c>
      <c r="E41" s="90">
        <v>888000</v>
      </c>
      <c r="F41" s="91">
        <v>1547.0735999999999</v>
      </c>
      <c r="G41" s="92">
        <v>1.1356069999999999E-2</v>
      </c>
      <c r="H41" s="87" t="s">
        <v>143</v>
      </c>
    </row>
    <row r="42" spans="1:8" ht="14.25" customHeight="1" x14ac:dyDescent="0.2">
      <c r="A42" s="88">
        <v>36</v>
      </c>
      <c r="B42" s="89" t="s">
        <v>71</v>
      </c>
      <c r="C42" s="89" t="s">
        <v>72</v>
      </c>
      <c r="D42" s="89" t="s">
        <v>68</v>
      </c>
      <c r="E42" s="90">
        <v>40000</v>
      </c>
      <c r="F42" s="91">
        <v>1530.48</v>
      </c>
      <c r="G42" s="92">
        <v>1.1234269999999999E-2</v>
      </c>
      <c r="H42" s="87" t="s">
        <v>143</v>
      </c>
    </row>
    <row r="43" spans="1:8" ht="14.25" customHeight="1" x14ac:dyDescent="0.2">
      <c r="A43" s="88">
        <v>37</v>
      </c>
      <c r="B43" s="89" t="s">
        <v>291</v>
      </c>
      <c r="C43" s="89" t="s">
        <v>292</v>
      </c>
      <c r="D43" s="89" t="s">
        <v>288</v>
      </c>
      <c r="E43" s="90">
        <v>260907</v>
      </c>
      <c r="F43" s="91">
        <v>1496.5625520000001</v>
      </c>
      <c r="G43" s="92">
        <v>1.09853E-2</v>
      </c>
      <c r="H43" s="87" t="s">
        <v>143</v>
      </c>
    </row>
    <row r="44" spans="1:8" ht="14.25" customHeight="1" x14ac:dyDescent="0.2">
      <c r="A44" s="88">
        <v>38</v>
      </c>
      <c r="B44" s="89" t="s">
        <v>517</v>
      </c>
      <c r="C44" s="89" t="s">
        <v>518</v>
      </c>
      <c r="D44" s="89" t="s">
        <v>43</v>
      </c>
      <c r="E44" s="90">
        <v>147000</v>
      </c>
      <c r="F44" s="91">
        <v>1455.6675</v>
      </c>
      <c r="G44" s="92">
        <v>1.0685119999999999E-2</v>
      </c>
      <c r="H44" s="87" t="s">
        <v>143</v>
      </c>
    </row>
    <row r="45" spans="1:8" ht="14.25" customHeight="1" x14ac:dyDescent="0.2">
      <c r="A45" s="88">
        <v>39</v>
      </c>
      <c r="B45" s="89" t="s">
        <v>97</v>
      </c>
      <c r="C45" s="89" t="s">
        <v>98</v>
      </c>
      <c r="D45" s="89" t="s">
        <v>68</v>
      </c>
      <c r="E45" s="90">
        <v>160500</v>
      </c>
      <c r="F45" s="91">
        <v>1442.01225</v>
      </c>
      <c r="G45" s="92">
        <v>1.058488E-2</v>
      </c>
      <c r="H45" s="87" t="s">
        <v>143</v>
      </c>
    </row>
    <row r="46" spans="1:8" ht="14.25" customHeight="1" x14ac:dyDescent="0.2">
      <c r="A46" s="88">
        <v>40</v>
      </c>
      <c r="B46" s="89" t="s">
        <v>34</v>
      </c>
      <c r="C46" s="89" t="s">
        <v>35</v>
      </c>
      <c r="D46" s="89" t="s">
        <v>36</v>
      </c>
      <c r="E46" s="90">
        <v>50000</v>
      </c>
      <c r="F46" s="91">
        <v>1389.6</v>
      </c>
      <c r="G46" s="92">
        <v>1.020016E-2</v>
      </c>
      <c r="H46" s="87" t="s">
        <v>143</v>
      </c>
    </row>
    <row r="47" spans="1:8" ht="14.25" customHeight="1" x14ac:dyDescent="0.2">
      <c r="A47" s="88">
        <v>41</v>
      </c>
      <c r="B47" s="89" t="s">
        <v>441</v>
      </c>
      <c r="C47" s="89" t="s">
        <v>442</v>
      </c>
      <c r="D47" s="89" t="s">
        <v>204</v>
      </c>
      <c r="E47" s="90">
        <v>120522</v>
      </c>
      <c r="F47" s="91">
        <v>1284.0413880000001</v>
      </c>
      <c r="G47" s="92">
        <v>9.4253199999999992E-3</v>
      </c>
      <c r="H47" s="87" t="s">
        <v>143</v>
      </c>
    </row>
    <row r="48" spans="1:8" ht="14.25" customHeight="1" x14ac:dyDescent="0.2">
      <c r="A48" s="88">
        <v>42</v>
      </c>
      <c r="B48" s="89" t="s">
        <v>425</v>
      </c>
      <c r="C48" s="89" t="s">
        <v>426</v>
      </c>
      <c r="D48" s="89" t="s">
        <v>243</v>
      </c>
      <c r="E48" s="90">
        <v>189000</v>
      </c>
      <c r="F48" s="91">
        <v>1264.4100000000001</v>
      </c>
      <c r="G48" s="92">
        <v>9.2812199999999997E-3</v>
      </c>
      <c r="H48" s="87" t="s">
        <v>143</v>
      </c>
    </row>
    <row r="49" spans="1:8" ht="14.25" customHeight="1" x14ac:dyDescent="0.2">
      <c r="A49" s="88">
        <v>43</v>
      </c>
      <c r="B49" s="89" t="s">
        <v>266</v>
      </c>
      <c r="C49" s="89" t="s">
        <v>267</v>
      </c>
      <c r="D49" s="89" t="s">
        <v>268</v>
      </c>
      <c r="E49" s="90">
        <v>70000</v>
      </c>
      <c r="F49" s="91">
        <v>1251.53</v>
      </c>
      <c r="G49" s="92">
        <v>9.1866699999999992E-3</v>
      </c>
      <c r="H49" s="87" t="s">
        <v>143</v>
      </c>
    </row>
    <row r="50" spans="1:8" ht="14.25" customHeight="1" x14ac:dyDescent="0.2">
      <c r="A50" s="88">
        <v>44</v>
      </c>
      <c r="B50" s="89" t="s">
        <v>91</v>
      </c>
      <c r="C50" s="89" t="s">
        <v>92</v>
      </c>
      <c r="D50" s="89" t="s">
        <v>22</v>
      </c>
      <c r="E50" s="90">
        <v>101000</v>
      </c>
      <c r="F50" s="91">
        <v>1239.5730000000001</v>
      </c>
      <c r="G50" s="92">
        <v>9.09891E-3</v>
      </c>
      <c r="H50" s="87" t="s">
        <v>143</v>
      </c>
    </row>
    <row r="51" spans="1:8" ht="14.25" customHeight="1" x14ac:dyDescent="0.2">
      <c r="A51" s="88">
        <v>45</v>
      </c>
      <c r="B51" s="89" t="s">
        <v>742</v>
      </c>
      <c r="C51" s="89" t="s">
        <v>743</v>
      </c>
      <c r="D51" s="89" t="s">
        <v>46</v>
      </c>
      <c r="E51" s="90">
        <v>65375</v>
      </c>
      <c r="F51" s="91">
        <v>1230.1613749999999</v>
      </c>
      <c r="G51" s="92">
        <v>9.0298199999999992E-3</v>
      </c>
      <c r="H51" s="87" t="s">
        <v>143</v>
      </c>
    </row>
    <row r="52" spans="1:8" ht="14.25" customHeight="1" x14ac:dyDescent="0.2">
      <c r="A52" s="88">
        <v>46</v>
      </c>
      <c r="B52" s="89" t="s">
        <v>341</v>
      </c>
      <c r="C52" s="89" t="s">
        <v>342</v>
      </c>
      <c r="D52" s="89" t="s">
        <v>256</v>
      </c>
      <c r="E52" s="90">
        <v>63757</v>
      </c>
      <c r="F52" s="91">
        <v>1216.2285320000001</v>
      </c>
      <c r="G52" s="92">
        <v>8.9275499999999994E-3</v>
      </c>
      <c r="H52" s="87" t="s">
        <v>143</v>
      </c>
    </row>
    <row r="53" spans="1:8" ht="14.25" customHeight="1" x14ac:dyDescent="0.2">
      <c r="A53" s="88">
        <v>47</v>
      </c>
      <c r="B53" s="89" t="s">
        <v>131</v>
      </c>
      <c r="C53" s="89" t="s">
        <v>132</v>
      </c>
      <c r="D53" s="89" t="s">
        <v>133</v>
      </c>
      <c r="E53" s="90">
        <v>261000</v>
      </c>
      <c r="F53" s="91">
        <v>1021.293</v>
      </c>
      <c r="G53" s="92">
        <v>7.4966499999999997E-3</v>
      </c>
      <c r="H53" s="87" t="s">
        <v>143</v>
      </c>
    </row>
    <row r="54" spans="1:8" ht="14.25" customHeight="1" x14ac:dyDescent="0.2">
      <c r="A54" s="88">
        <v>48</v>
      </c>
      <c r="B54" s="89" t="s">
        <v>212</v>
      </c>
      <c r="C54" s="89" t="s">
        <v>213</v>
      </c>
      <c r="D54" s="89" t="s">
        <v>33</v>
      </c>
      <c r="E54" s="90">
        <v>504500</v>
      </c>
      <c r="F54" s="91">
        <v>967.17695000000003</v>
      </c>
      <c r="G54" s="92">
        <v>7.0994200000000004E-3</v>
      </c>
      <c r="H54" s="87" t="s">
        <v>143</v>
      </c>
    </row>
    <row r="55" spans="1:8" ht="14.25" customHeight="1" x14ac:dyDescent="0.2">
      <c r="A55" s="88">
        <v>49</v>
      </c>
      <c r="B55" s="89" t="s">
        <v>804</v>
      </c>
      <c r="C55" s="89" t="s">
        <v>805</v>
      </c>
      <c r="D55" s="89" t="s">
        <v>46</v>
      </c>
      <c r="E55" s="90">
        <v>75777</v>
      </c>
      <c r="F55" s="91">
        <v>916.59859200000005</v>
      </c>
      <c r="G55" s="92">
        <v>6.7281600000000004E-3</v>
      </c>
      <c r="H55" s="87" t="s">
        <v>143</v>
      </c>
    </row>
    <row r="56" spans="1:8" ht="14.25" customHeight="1" x14ac:dyDescent="0.2">
      <c r="A56" s="88">
        <v>50</v>
      </c>
      <c r="B56" s="89" t="s">
        <v>337</v>
      </c>
      <c r="C56" s="89" t="s">
        <v>338</v>
      </c>
      <c r="D56" s="89" t="s">
        <v>28</v>
      </c>
      <c r="E56" s="90">
        <v>20800</v>
      </c>
      <c r="F56" s="91">
        <v>901.18079999999998</v>
      </c>
      <c r="G56" s="92">
        <v>6.6149900000000003E-3</v>
      </c>
      <c r="H56" s="87" t="s">
        <v>143</v>
      </c>
    </row>
    <row r="57" spans="1:8" ht="14.25" customHeight="1" x14ac:dyDescent="0.2">
      <c r="A57" s="88">
        <v>51</v>
      </c>
      <c r="B57" s="89" t="s">
        <v>463</v>
      </c>
      <c r="C57" s="89" t="s">
        <v>464</v>
      </c>
      <c r="D57" s="89" t="s">
        <v>194</v>
      </c>
      <c r="E57" s="90">
        <v>5576</v>
      </c>
      <c r="F57" s="91">
        <v>750.25080000000003</v>
      </c>
      <c r="G57" s="92">
        <v>5.50711E-3</v>
      </c>
      <c r="H57" s="87" t="s">
        <v>143</v>
      </c>
    </row>
    <row r="58" spans="1:8" ht="14.25" customHeight="1" x14ac:dyDescent="0.2">
      <c r="A58" s="88">
        <v>52</v>
      </c>
      <c r="B58" s="89" t="s">
        <v>214</v>
      </c>
      <c r="C58" s="89" t="s">
        <v>215</v>
      </c>
      <c r="D58" s="89" t="s">
        <v>19</v>
      </c>
      <c r="E58" s="90">
        <v>180000</v>
      </c>
      <c r="F58" s="91">
        <v>676.62</v>
      </c>
      <c r="G58" s="92">
        <v>4.9666299999999997E-3</v>
      </c>
      <c r="H58" s="87" t="s">
        <v>143</v>
      </c>
    </row>
    <row r="59" spans="1:8" ht="14.25" customHeight="1" x14ac:dyDescent="0.2">
      <c r="A59" s="93"/>
      <c r="B59" s="93"/>
      <c r="C59" s="94" t="s">
        <v>142</v>
      </c>
      <c r="D59" s="93"/>
      <c r="E59" s="93" t="s">
        <v>143</v>
      </c>
      <c r="F59" s="95">
        <f>SUM(F7:F58)</f>
        <v>126973.93706500001</v>
      </c>
      <c r="G59" s="96">
        <f>SUM(G7:G58)</f>
        <v>0.9320337099999999</v>
      </c>
      <c r="H59" s="87" t="s">
        <v>143</v>
      </c>
    </row>
    <row r="60" spans="1:8" ht="14.25" customHeight="1" x14ac:dyDescent="0.2">
      <c r="A60" s="93"/>
      <c r="B60" s="93"/>
      <c r="C60" s="97"/>
      <c r="D60" s="93"/>
      <c r="E60" s="93"/>
      <c r="F60" s="98"/>
      <c r="G60" s="98"/>
      <c r="H60" s="87" t="s">
        <v>143</v>
      </c>
    </row>
    <row r="61" spans="1:8" ht="14.25" customHeight="1" x14ac:dyDescent="0.2">
      <c r="A61" s="93"/>
      <c r="B61" s="93"/>
      <c r="C61" s="94" t="s">
        <v>144</v>
      </c>
      <c r="D61" s="93"/>
      <c r="E61" s="93"/>
      <c r="F61" s="93"/>
      <c r="G61" s="93"/>
      <c r="H61" s="87" t="s">
        <v>143</v>
      </c>
    </row>
    <row r="62" spans="1:8" ht="14.25" customHeight="1" x14ac:dyDescent="0.2">
      <c r="A62" s="93"/>
      <c r="B62" s="93"/>
      <c r="C62" s="94" t="s">
        <v>142</v>
      </c>
      <c r="D62" s="93"/>
      <c r="E62" s="93" t="s">
        <v>143</v>
      </c>
      <c r="F62" s="99" t="s">
        <v>145</v>
      </c>
      <c r="G62" s="96">
        <v>0</v>
      </c>
      <c r="H62" s="87" t="s">
        <v>143</v>
      </c>
    </row>
    <row r="63" spans="1:8" ht="14.25" customHeight="1" x14ac:dyDescent="0.2">
      <c r="A63" s="93"/>
      <c r="B63" s="93"/>
      <c r="C63" s="97"/>
      <c r="D63" s="93"/>
      <c r="E63" s="93"/>
      <c r="F63" s="98"/>
      <c r="G63" s="98"/>
      <c r="H63" s="87" t="s">
        <v>143</v>
      </c>
    </row>
    <row r="64" spans="1:8" ht="14.25" customHeight="1" x14ac:dyDescent="0.2">
      <c r="A64" s="93"/>
      <c r="B64" s="93"/>
      <c r="C64" s="94" t="s">
        <v>146</v>
      </c>
      <c r="D64" s="93"/>
      <c r="E64" s="93"/>
      <c r="F64" s="93"/>
      <c r="G64" s="93"/>
      <c r="H64" s="87" t="s">
        <v>143</v>
      </c>
    </row>
    <row r="65" spans="1:8" ht="14.25" customHeight="1" x14ac:dyDescent="0.2">
      <c r="A65" s="88">
        <v>1</v>
      </c>
      <c r="B65" s="89" t="s">
        <v>529</v>
      </c>
      <c r="C65" s="127" t="s">
        <v>974</v>
      </c>
      <c r="D65" s="89" t="s">
        <v>207</v>
      </c>
      <c r="E65" s="90">
        <v>374002</v>
      </c>
      <c r="F65" s="91">
        <v>61.261527600000001</v>
      </c>
      <c r="G65" s="92">
        <v>4.4967999999999999E-4</v>
      </c>
      <c r="H65" s="87" t="s">
        <v>143</v>
      </c>
    </row>
    <row r="66" spans="1:8" ht="14.25" customHeight="1" x14ac:dyDescent="0.2">
      <c r="A66" s="88">
        <v>2</v>
      </c>
      <c r="B66" s="89" t="s">
        <v>751</v>
      </c>
      <c r="C66" s="127" t="s">
        <v>1113</v>
      </c>
      <c r="D66" s="89"/>
      <c r="E66" s="90">
        <v>200000</v>
      </c>
      <c r="F66" s="91">
        <v>1.9999999999999999E-6</v>
      </c>
      <c r="G66" s="100" t="s">
        <v>141</v>
      </c>
      <c r="H66" s="87" t="s">
        <v>143</v>
      </c>
    </row>
    <row r="67" spans="1:8" ht="14.25" customHeight="1" x14ac:dyDescent="0.2">
      <c r="A67" s="93"/>
      <c r="B67" s="93"/>
      <c r="C67" s="94" t="s">
        <v>142</v>
      </c>
      <c r="D67" s="93"/>
      <c r="E67" s="93" t="s">
        <v>143</v>
      </c>
      <c r="F67" s="95">
        <f>SUM(F65:F66)</f>
        <v>61.261529600000003</v>
      </c>
      <c r="G67" s="96">
        <f>SUM(G65:G66)</f>
        <v>4.4967999999999999E-4</v>
      </c>
      <c r="H67" s="87" t="s">
        <v>143</v>
      </c>
    </row>
    <row r="68" spans="1:8" ht="14.25" customHeight="1" x14ac:dyDescent="0.2">
      <c r="A68" s="93"/>
      <c r="B68" s="93"/>
      <c r="C68" s="97"/>
      <c r="D68" s="93"/>
      <c r="E68" s="93"/>
      <c r="F68" s="98"/>
      <c r="G68" s="98"/>
      <c r="H68" s="87" t="s">
        <v>143</v>
      </c>
    </row>
    <row r="69" spans="1:8" ht="14.25" customHeight="1" x14ac:dyDescent="0.2">
      <c r="A69" s="93"/>
      <c r="B69" s="93"/>
      <c r="C69" s="94" t="s">
        <v>147</v>
      </c>
      <c r="D69" s="93"/>
      <c r="E69" s="93"/>
      <c r="F69" s="93"/>
      <c r="G69" s="93"/>
      <c r="H69" s="87" t="s">
        <v>143</v>
      </c>
    </row>
    <row r="70" spans="1:8" ht="14.25" customHeight="1" x14ac:dyDescent="0.2">
      <c r="A70" s="93"/>
      <c r="B70" s="93"/>
      <c r="C70" s="94" t="s">
        <v>142</v>
      </c>
      <c r="D70" s="93"/>
      <c r="E70" s="93" t="s">
        <v>143</v>
      </c>
      <c r="F70" s="99" t="s">
        <v>145</v>
      </c>
      <c r="G70" s="96">
        <v>0</v>
      </c>
      <c r="H70" s="87" t="s">
        <v>143</v>
      </c>
    </row>
    <row r="71" spans="1:8" ht="14.25" customHeight="1" x14ac:dyDescent="0.2">
      <c r="A71" s="93"/>
      <c r="B71" s="93"/>
      <c r="C71" s="97"/>
      <c r="D71" s="93"/>
      <c r="E71" s="93"/>
      <c r="F71" s="98"/>
      <c r="G71" s="98"/>
      <c r="H71" s="87" t="s">
        <v>143</v>
      </c>
    </row>
    <row r="72" spans="1:8" ht="14.25" customHeight="1" x14ac:dyDescent="0.2">
      <c r="A72" s="93"/>
      <c r="B72" s="93"/>
      <c r="C72" s="94" t="s">
        <v>148</v>
      </c>
      <c r="D72" s="93"/>
      <c r="E72" s="93"/>
      <c r="F72" s="98"/>
      <c r="G72" s="98"/>
      <c r="H72" s="87" t="s">
        <v>143</v>
      </c>
    </row>
    <row r="73" spans="1:8" ht="14.25" customHeight="1" x14ac:dyDescent="0.2">
      <c r="A73" s="93"/>
      <c r="B73" s="93"/>
      <c r="C73" s="94" t="s">
        <v>142</v>
      </c>
      <c r="D73" s="93"/>
      <c r="E73" s="93" t="s">
        <v>143</v>
      </c>
      <c r="F73" s="99" t="s">
        <v>145</v>
      </c>
      <c r="G73" s="96">
        <v>0</v>
      </c>
      <c r="H73" s="87" t="s">
        <v>143</v>
      </c>
    </row>
    <row r="74" spans="1:8" ht="14.25" customHeight="1" x14ac:dyDescent="0.2">
      <c r="A74" s="93"/>
      <c r="B74" s="93"/>
      <c r="C74" s="97"/>
      <c r="D74" s="93"/>
      <c r="E74" s="93"/>
      <c r="F74" s="98"/>
      <c r="G74" s="98"/>
      <c r="H74" s="87" t="s">
        <v>143</v>
      </c>
    </row>
    <row r="75" spans="1:8" ht="14.25" customHeight="1" x14ac:dyDescent="0.2">
      <c r="A75" s="93"/>
      <c r="B75" s="93"/>
      <c r="C75" s="94" t="s">
        <v>149</v>
      </c>
      <c r="D75" s="93"/>
      <c r="E75" s="93"/>
      <c r="F75" s="98"/>
      <c r="G75" s="98"/>
      <c r="H75" s="87" t="s">
        <v>143</v>
      </c>
    </row>
    <row r="76" spans="1:8" ht="14.25" customHeight="1" x14ac:dyDescent="0.2">
      <c r="A76" s="93"/>
      <c r="B76" s="93"/>
      <c r="C76" s="94" t="s">
        <v>142</v>
      </c>
      <c r="D76" s="93"/>
      <c r="E76" s="93" t="s">
        <v>143</v>
      </c>
      <c r="F76" s="99" t="s">
        <v>145</v>
      </c>
      <c r="G76" s="96">
        <v>0</v>
      </c>
      <c r="H76" s="87" t="s">
        <v>143</v>
      </c>
    </row>
    <row r="77" spans="1:8" ht="14.25" customHeight="1" x14ac:dyDescent="0.2">
      <c r="A77" s="93"/>
      <c r="B77" s="93"/>
      <c r="C77" s="97"/>
      <c r="D77" s="93"/>
      <c r="E77" s="93"/>
      <c r="F77" s="98"/>
      <c r="G77" s="98"/>
      <c r="H77" s="87" t="s">
        <v>143</v>
      </c>
    </row>
    <row r="78" spans="1:8" ht="14.25" customHeight="1" x14ac:dyDescent="0.2">
      <c r="A78" s="93"/>
      <c r="B78" s="93"/>
      <c r="C78" s="94" t="s">
        <v>150</v>
      </c>
      <c r="D78" s="93"/>
      <c r="E78" s="93"/>
      <c r="F78" s="95">
        <v>127035.19859460001</v>
      </c>
      <c r="G78" s="96">
        <v>0.93248339000000002</v>
      </c>
      <c r="H78" s="87" t="s">
        <v>143</v>
      </c>
    </row>
    <row r="79" spans="1:8" ht="14.25" customHeight="1" x14ac:dyDescent="0.2">
      <c r="A79" s="93"/>
      <c r="B79" s="93"/>
      <c r="C79" s="97"/>
      <c r="D79" s="93"/>
      <c r="E79" s="93"/>
      <c r="F79" s="98"/>
      <c r="G79" s="98"/>
      <c r="H79" s="87" t="s">
        <v>143</v>
      </c>
    </row>
    <row r="80" spans="1:8" ht="14.25" customHeight="1" x14ac:dyDescent="0.2">
      <c r="A80" s="93"/>
      <c r="B80" s="93"/>
      <c r="C80" s="94" t="s">
        <v>151</v>
      </c>
      <c r="D80" s="93"/>
      <c r="E80" s="93"/>
      <c r="F80" s="98"/>
      <c r="G80" s="98"/>
      <c r="H80" s="87" t="s">
        <v>143</v>
      </c>
    </row>
    <row r="81" spans="1:8" ht="14.25" customHeight="1" x14ac:dyDescent="0.2">
      <c r="A81" s="93"/>
      <c r="B81" s="93"/>
      <c r="C81" s="94" t="s">
        <v>10</v>
      </c>
      <c r="D81" s="93"/>
      <c r="E81" s="93"/>
      <c r="F81" s="98"/>
      <c r="G81" s="98"/>
      <c r="H81" s="87" t="s">
        <v>143</v>
      </c>
    </row>
    <row r="82" spans="1:8" ht="14.25" customHeight="1" x14ac:dyDescent="0.2">
      <c r="A82" s="93"/>
      <c r="B82" s="93"/>
      <c r="C82" s="94" t="s">
        <v>142</v>
      </c>
      <c r="D82" s="93"/>
      <c r="E82" s="93" t="s">
        <v>143</v>
      </c>
      <c r="F82" s="99" t="s">
        <v>145</v>
      </c>
      <c r="G82" s="96">
        <v>0</v>
      </c>
      <c r="H82" s="87" t="s">
        <v>143</v>
      </c>
    </row>
    <row r="83" spans="1:8" ht="14.25" customHeight="1" x14ac:dyDescent="0.2">
      <c r="A83" s="93"/>
      <c r="B83" s="93"/>
      <c r="C83" s="97"/>
      <c r="D83" s="93"/>
      <c r="E83" s="93"/>
      <c r="F83" s="98"/>
      <c r="G83" s="98"/>
      <c r="H83" s="87" t="s">
        <v>143</v>
      </c>
    </row>
    <row r="84" spans="1:8" ht="14.25" customHeight="1" x14ac:dyDescent="0.2">
      <c r="A84" s="93"/>
      <c r="B84" s="93"/>
      <c r="C84" s="94" t="s">
        <v>152</v>
      </c>
      <c r="D84" s="93"/>
      <c r="E84" s="93"/>
      <c r="F84" s="93"/>
      <c r="G84" s="93"/>
      <c r="H84" s="87" t="s">
        <v>143</v>
      </c>
    </row>
    <row r="85" spans="1:8" ht="14.25" customHeight="1" x14ac:dyDescent="0.2">
      <c r="A85" s="93"/>
      <c r="B85" s="93"/>
      <c r="C85" s="94" t="s">
        <v>142</v>
      </c>
      <c r="D85" s="93"/>
      <c r="E85" s="93" t="s">
        <v>143</v>
      </c>
      <c r="F85" s="99" t="s">
        <v>145</v>
      </c>
      <c r="G85" s="96">
        <v>0</v>
      </c>
      <c r="H85" s="87" t="s">
        <v>143</v>
      </c>
    </row>
    <row r="86" spans="1:8" ht="14.25" customHeight="1" x14ac:dyDescent="0.2">
      <c r="A86" s="93"/>
      <c r="B86" s="93"/>
      <c r="C86" s="97"/>
      <c r="D86" s="93"/>
      <c r="E86" s="93"/>
      <c r="F86" s="98"/>
      <c r="G86" s="98"/>
      <c r="H86" s="87" t="s">
        <v>143</v>
      </c>
    </row>
    <row r="87" spans="1:8" ht="14.25" customHeight="1" x14ac:dyDescent="0.2">
      <c r="A87" s="93"/>
      <c r="B87" s="93"/>
      <c r="C87" s="94" t="s">
        <v>153</v>
      </c>
      <c r="D87" s="93"/>
      <c r="E87" s="93"/>
      <c r="F87" s="93"/>
      <c r="G87" s="93"/>
      <c r="H87" s="87" t="s">
        <v>143</v>
      </c>
    </row>
    <row r="88" spans="1:8" ht="14.25" customHeight="1" x14ac:dyDescent="0.2">
      <c r="A88" s="93"/>
      <c r="B88" s="93"/>
      <c r="C88" s="94" t="s">
        <v>142</v>
      </c>
      <c r="D88" s="93"/>
      <c r="E88" s="93" t="s">
        <v>143</v>
      </c>
      <c r="F88" s="99" t="s">
        <v>145</v>
      </c>
      <c r="G88" s="96">
        <v>0</v>
      </c>
      <c r="H88" s="87" t="s">
        <v>143</v>
      </c>
    </row>
    <row r="89" spans="1:8" ht="14.25" customHeight="1" x14ac:dyDescent="0.2">
      <c r="A89" s="93"/>
      <c r="B89" s="93"/>
      <c r="C89" s="97"/>
      <c r="D89" s="93"/>
      <c r="E89" s="93"/>
      <c r="F89" s="98"/>
      <c r="G89" s="98"/>
      <c r="H89" s="87" t="s">
        <v>143</v>
      </c>
    </row>
    <row r="90" spans="1:8" ht="14.25" customHeight="1" x14ac:dyDescent="0.2">
      <c r="A90" s="93"/>
      <c r="B90" s="93"/>
      <c r="C90" s="94" t="s">
        <v>154</v>
      </c>
      <c r="D90" s="93"/>
      <c r="E90" s="93"/>
      <c r="F90" s="98"/>
      <c r="G90" s="98"/>
      <c r="H90" s="87" t="s">
        <v>143</v>
      </c>
    </row>
    <row r="91" spans="1:8" ht="14.25" customHeight="1" x14ac:dyDescent="0.2">
      <c r="A91" s="93"/>
      <c r="B91" s="93"/>
      <c r="C91" s="94" t="s">
        <v>142</v>
      </c>
      <c r="D91" s="93"/>
      <c r="E91" s="93" t="s">
        <v>143</v>
      </c>
      <c r="F91" s="99" t="s">
        <v>145</v>
      </c>
      <c r="G91" s="96">
        <v>0</v>
      </c>
      <c r="H91" s="87" t="s">
        <v>143</v>
      </c>
    </row>
    <row r="92" spans="1:8" ht="14.25" customHeight="1" x14ac:dyDescent="0.2">
      <c r="A92" s="93"/>
      <c r="B92" s="93"/>
      <c r="C92" s="97"/>
      <c r="D92" s="93"/>
      <c r="E92" s="93"/>
      <c r="F92" s="98"/>
      <c r="G92" s="98"/>
      <c r="H92" s="87" t="s">
        <v>143</v>
      </c>
    </row>
    <row r="93" spans="1:8" ht="14.25" customHeight="1" x14ac:dyDescent="0.2">
      <c r="A93" s="93"/>
      <c r="B93" s="93"/>
      <c r="C93" s="94" t="s">
        <v>155</v>
      </c>
      <c r="D93" s="93"/>
      <c r="E93" s="93"/>
      <c r="F93" s="95">
        <v>0</v>
      </c>
      <c r="G93" s="96">
        <v>0</v>
      </c>
      <c r="H93" s="87" t="s">
        <v>143</v>
      </c>
    </row>
    <row r="94" spans="1:8" ht="14.25" customHeight="1" x14ac:dyDescent="0.2">
      <c r="A94" s="93"/>
      <c r="B94" s="93"/>
      <c r="C94" s="97"/>
      <c r="D94" s="93"/>
      <c r="E94" s="93"/>
      <c r="F94" s="98"/>
      <c r="G94" s="98"/>
      <c r="H94" s="87" t="s">
        <v>143</v>
      </c>
    </row>
    <row r="95" spans="1:8" ht="14.25" customHeight="1" x14ac:dyDescent="0.2">
      <c r="A95" s="93"/>
      <c r="B95" s="93"/>
      <c r="C95" s="94" t="s">
        <v>156</v>
      </c>
      <c r="D95" s="93"/>
      <c r="E95" s="93"/>
      <c r="F95" s="98"/>
      <c r="G95" s="98"/>
      <c r="H95" s="87" t="s">
        <v>143</v>
      </c>
    </row>
    <row r="96" spans="1:8" ht="14.25" customHeight="1" x14ac:dyDescent="0.2">
      <c r="A96" s="93"/>
      <c r="B96" s="93"/>
      <c r="C96" s="94" t="s">
        <v>157</v>
      </c>
      <c r="D96" s="93"/>
      <c r="E96" s="93"/>
      <c r="F96" s="98"/>
      <c r="G96" s="98"/>
      <c r="H96" s="87" t="s">
        <v>143</v>
      </c>
    </row>
    <row r="97" spans="1:8" ht="14.25" customHeight="1" x14ac:dyDescent="0.2">
      <c r="A97" s="93"/>
      <c r="B97" s="93"/>
      <c r="C97" s="94" t="s">
        <v>142</v>
      </c>
      <c r="D97" s="93"/>
      <c r="E97" s="93" t="s">
        <v>143</v>
      </c>
      <c r="F97" s="99" t="s">
        <v>145</v>
      </c>
      <c r="G97" s="96">
        <v>0</v>
      </c>
      <c r="H97" s="87" t="s">
        <v>143</v>
      </c>
    </row>
    <row r="98" spans="1:8" ht="14.25" customHeight="1" x14ac:dyDescent="0.2">
      <c r="A98" s="93"/>
      <c r="B98" s="93"/>
      <c r="C98" s="97"/>
      <c r="D98" s="93"/>
      <c r="E98" s="93"/>
      <c r="F98" s="98"/>
      <c r="G98" s="98"/>
      <c r="H98" s="87" t="s">
        <v>143</v>
      </c>
    </row>
    <row r="99" spans="1:8" ht="14.25" customHeight="1" x14ac:dyDescent="0.2">
      <c r="A99" s="93"/>
      <c r="B99" s="93"/>
      <c r="C99" s="94" t="s">
        <v>158</v>
      </c>
      <c r="D99" s="93"/>
      <c r="E99" s="93"/>
      <c r="F99" s="98"/>
      <c r="G99" s="98"/>
      <c r="H99" s="87" t="s">
        <v>143</v>
      </c>
    </row>
    <row r="100" spans="1:8" ht="14.25" customHeight="1" x14ac:dyDescent="0.2">
      <c r="A100" s="93"/>
      <c r="B100" s="93"/>
      <c r="C100" s="94" t="s">
        <v>142</v>
      </c>
      <c r="D100" s="93"/>
      <c r="E100" s="93" t="s">
        <v>143</v>
      </c>
      <c r="F100" s="99" t="s">
        <v>145</v>
      </c>
      <c r="G100" s="96">
        <v>0</v>
      </c>
      <c r="H100" s="87" t="s">
        <v>143</v>
      </c>
    </row>
    <row r="101" spans="1:8" ht="14.25" customHeight="1" x14ac:dyDescent="0.2">
      <c r="A101" s="93"/>
      <c r="B101" s="93"/>
      <c r="C101" s="97"/>
      <c r="D101" s="93"/>
      <c r="E101" s="93"/>
      <c r="F101" s="98"/>
      <c r="G101" s="98"/>
      <c r="H101" s="87" t="s">
        <v>143</v>
      </c>
    </row>
    <row r="102" spans="1:8" ht="14.25" customHeight="1" x14ac:dyDescent="0.2">
      <c r="A102" s="93"/>
      <c r="B102" s="93"/>
      <c r="C102" s="94" t="s">
        <v>159</v>
      </c>
      <c r="D102" s="93"/>
      <c r="E102" s="93"/>
      <c r="F102" s="98"/>
      <c r="G102" s="98"/>
      <c r="H102" s="87" t="s">
        <v>143</v>
      </c>
    </row>
    <row r="103" spans="1:8" ht="14.25" customHeight="1" x14ac:dyDescent="0.2">
      <c r="A103" s="93"/>
      <c r="B103" s="93"/>
      <c r="C103" s="94" t="s">
        <v>142</v>
      </c>
      <c r="D103" s="93"/>
      <c r="E103" s="93" t="s">
        <v>143</v>
      </c>
      <c r="F103" s="99" t="s">
        <v>145</v>
      </c>
      <c r="G103" s="96">
        <v>0</v>
      </c>
      <c r="H103" s="87" t="s">
        <v>143</v>
      </c>
    </row>
    <row r="104" spans="1:8" ht="14.25" customHeight="1" x14ac:dyDescent="0.2">
      <c r="A104" s="93"/>
      <c r="B104" s="93"/>
      <c r="C104" s="97"/>
      <c r="D104" s="93"/>
      <c r="E104" s="93"/>
      <c r="F104" s="98"/>
      <c r="G104" s="98"/>
      <c r="H104" s="87" t="s">
        <v>143</v>
      </c>
    </row>
    <row r="105" spans="1:8" ht="14.25" customHeight="1" x14ac:dyDescent="0.2">
      <c r="A105" s="93"/>
      <c r="B105" s="93"/>
      <c r="C105" s="94" t="s">
        <v>160</v>
      </c>
      <c r="D105" s="93"/>
      <c r="E105" s="93"/>
      <c r="F105" s="98"/>
      <c r="G105" s="98"/>
      <c r="H105" s="87" t="s">
        <v>143</v>
      </c>
    </row>
    <row r="106" spans="1:8" ht="14.25" customHeight="1" x14ac:dyDescent="0.2">
      <c r="A106" s="88">
        <v>1</v>
      </c>
      <c r="B106" s="89"/>
      <c r="C106" s="89" t="s">
        <v>161</v>
      </c>
      <c r="D106" s="89"/>
      <c r="E106" s="100"/>
      <c r="F106" s="91">
        <v>6161.0325980280004</v>
      </c>
      <c r="G106" s="92">
        <v>4.5224159999999999E-2</v>
      </c>
      <c r="H106" s="87">
        <v>5.38</v>
      </c>
    </row>
    <row r="107" spans="1:8" ht="14.25" customHeight="1" x14ac:dyDescent="0.2">
      <c r="A107" s="93"/>
      <c r="B107" s="93"/>
      <c r="C107" s="94" t="s">
        <v>142</v>
      </c>
      <c r="D107" s="93"/>
      <c r="E107" s="93" t="s">
        <v>143</v>
      </c>
      <c r="F107" s="95">
        <v>6161.0325980280004</v>
      </c>
      <c r="G107" s="96">
        <v>4.5224159999999999E-2</v>
      </c>
      <c r="H107" s="87" t="s">
        <v>143</v>
      </c>
    </row>
    <row r="108" spans="1:8" ht="14.25" customHeight="1" x14ac:dyDescent="0.2">
      <c r="A108" s="93"/>
      <c r="B108" s="93"/>
      <c r="C108" s="97"/>
      <c r="D108" s="93"/>
      <c r="E108" s="93"/>
      <c r="F108" s="98"/>
      <c r="G108" s="98"/>
      <c r="H108" s="87" t="s">
        <v>143</v>
      </c>
    </row>
    <row r="109" spans="1:8" ht="14.25" customHeight="1" x14ac:dyDescent="0.2">
      <c r="A109" s="93"/>
      <c r="B109" s="93"/>
      <c r="C109" s="94" t="s">
        <v>162</v>
      </c>
      <c r="D109" s="93"/>
      <c r="E109" s="93"/>
      <c r="F109" s="95">
        <v>6161.0325980280004</v>
      </c>
      <c r="G109" s="96">
        <v>4.5224159999999999E-2</v>
      </c>
      <c r="H109" s="87" t="s">
        <v>143</v>
      </c>
    </row>
    <row r="110" spans="1:8" ht="14.25" customHeight="1" x14ac:dyDescent="0.2">
      <c r="A110" s="93"/>
      <c r="B110" s="93"/>
      <c r="C110" s="98"/>
      <c r="D110" s="93"/>
      <c r="E110" s="93"/>
      <c r="F110" s="93"/>
      <c r="G110" s="93"/>
      <c r="H110" s="87" t="s">
        <v>143</v>
      </c>
    </row>
    <row r="111" spans="1:8" ht="14.25" customHeight="1" x14ac:dyDescent="0.2">
      <c r="A111" s="93"/>
      <c r="B111" s="93"/>
      <c r="C111" s="94" t="s">
        <v>163</v>
      </c>
      <c r="D111" s="93"/>
      <c r="E111" s="93"/>
      <c r="F111" s="93"/>
      <c r="G111" s="93"/>
      <c r="H111" s="87" t="s">
        <v>143</v>
      </c>
    </row>
    <row r="112" spans="1:8" ht="14.25" customHeight="1" x14ac:dyDescent="0.2">
      <c r="A112" s="93"/>
      <c r="B112" s="93"/>
      <c r="C112" s="94" t="s">
        <v>164</v>
      </c>
      <c r="D112" s="93"/>
      <c r="E112" s="93"/>
      <c r="F112" s="93"/>
      <c r="G112" s="93"/>
      <c r="H112" s="87" t="s">
        <v>143</v>
      </c>
    </row>
    <row r="113" spans="1:10" ht="14.25" customHeight="1" x14ac:dyDescent="0.2">
      <c r="A113" s="88">
        <v>1</v>
      </c>
      <c r="B113" s="89" t="s">
        <v>355</v>
      </c>
      <c r="C113" s="89" t="s">
        <v>356</v>
      </c>
      <c r="D113" s="89"/>
      <c r="E113" s="126">
        <v>79909.578999999998</v>
      </c>
      <c r="F113" s="91">
        <v>3001.1461587570002</v>
      </c>
      <c r="G113" s="92">
        <v>2.2029480000000001E-2</v>
      </c>
      <c r="H113" s="87" t="s">
        <v>143</v>
      </c>
    </row>
    <row r="114" spans="1:10" ht="14.25" customHeight="1" x14ac:dyDescent="0.2">
      <c r="A114" s="93"/>
      <c r="B114" s="93"/>
      <c r="C114" s="94" t="s">
        <v>142</v>
      </c>
      <c r="D114" s="93"/>
      <c r="E114" s="93" t="s">
        <v>143</v>
      </c>
      <c r="F114" s="95">
        <v>3001.1461587570002</v>
      </c>
      <c r="G114" s="96">
        <v>2.2029480000000001E-2</v>
      </c>
      <c r="H114" s="87" t="s">
        <v>143</v>
      </c>
    </row>
    <row r="115" spans="1:10" ht="14.25" customHeight="1" x14ac:dyDescent="0.2">
      <c r="A115" s="93"/>
      <c r="B115" s="93"/>
      <c r="C115" s="97"/>
      <c r="D115" s="93"/>
      <c r="E115" s="93"/>
      <c r="F115" s="98"/>
      <c r="G115" s="98"/>
      <c r="H115" s="87" t="s">
        <v>143</v>
      </c>
    </row>
    <row r="116" spans="1:10" ht="14.25" customHeight="1" x14ac:dyDescent="0.2">
      <c r="A116" s="93"/>
      <c r="B116" s="93"/>
      <c r="C116" s="94" t="s">
        <v>165</v>
      </c>
      <c r="D116" s="93"/>
      <c r="E116" s="93"/>
      <c r="F116" s="93"/>
      <c r="G116" s="93"/>
      <c r="H116" s="87" t="s">
        <v>143</v>
      </c>
    </row>
    <row r="117" spans="1:10" ht="14.25" customHeight="1" x14ac:dyDescent="0.2">
      <c r="A117" s="93"/>
      <c r="B117" s="93"/>
      <c r="C117" s="94" t="s">
        <v>166</v>
      </c>
      <c r="D117" s="93"/>
      <c r="E117" s="93"/>
      <c r="F117" s="93"/>
      <c r="G117" s="93"/>
      <c r="H117" s="87" t="s">
        <v>143</v>
      </c>
    </row>
    <row r="118" spans="1:10" ht="14.25" customHeight="1" x14ac:dyDescent="0.2">
      <c r="A118" s="93"/>
      <c r="B118" s="93"/>
      <c r="C118" s="94" t="s">
        <v>142</v>
      </c>
      <c r="D118" s="93"/>
      <c r="E118" s="93" t="s">
        <v>143</v>
      </c>
      <c r="F118" s="99" t="s">
        <v>145</v>
      </c>
      <c r="G118" s="96">
        <v>0</v>
      </c>
      <c r="H118" s="87" t="s">
        <v>143</v>
      </c>
    </row>
    <row r="119" spans="1:10" ht="14.25" customHeight="1" x14ac:dyDescent="0.2">
      <c r="A119" s="93"/>
      <c r="B119" s="93"/>
      <c r="C119" s="97"/>
      <c r="D119" s="93"/>
      <c r="E119" s="93"/>
      <c r="F119" s="98"/>
      <c r="G119" s="98"/>
      <c r="H119" s="87" t="s">
        <v>143</v>
      </c>
    </row>
    <row r="120" spans="1:10" ht="14.25" customHeight="1" x14ac:dyDescent="0.2">
      <c r="A120" s="93"/>
      <c r="B120" s="93"/>
      <c r="C120" s="94" t="s">
        <v>167</v>
      </c>
      <c r="D120" s="93"/>
      <c r="E120" s="93"/>
      <c r="F120" s="98"/>
      <c r="G120" s="98"/>
      <c r="H120" s="87" t="s">
        <v>143</v>
      </c>
    </row>
    <row r="121" spans="1:10" ht="14.25" customHeight="1" x14ac:dyDescent="0.2">
      <c r="A121" s="93"/>
      <c r="B121" s="93"/>
      <c r="C121" s="94" t="s">
        <v>142</v>
      </c>
      <c r="D121" s="93"/>
      <c r="E121" s="93" t="s">
        <v>143</v>
      </c>
      <c r="F121" s="99" t="s">
        <v>145</v>
      </c>
      <c r="G121" s="96">
        <v>0</v>
      </c>
      <c r="H121" s="87" t="s">
        <v>143</v>
      </c>
    </row>
    <row r="122" spans="1:10" ht="14.25" customHeight="1" x14ac:dyDescent="0.2">
      <c r="A122" s="93"/>
      <c r="B122" s="93"/>
      <c r="C122" s="97"/>
      <c r="D122" s="93"/>
      <c r="E122" s="93"/>
      <c r="F122" s="98"/>
      <c r="G122" s="98"/>
      <c r="H122" s="87" t="s">
        <v>143</v>
      </c>
    </row>
    <row r="123" spans="1:10" ht="14.25" customHeight="1" x14ac:dyDescent="0.2">
      <c r="A123" s="100"/>
      <c r="B123" s="89"/>
      <c r="C123" s="89" t="s">
        <v>168</v>
      </c>
      <c r="D123" s="89"/>
      <c r="E123" s="100"/>
      <c r="F123" s="91">
        <v>35.832179529999998</v>
      </c>
      <c r="G123" s="92">
        <v>2.6301999999999999E-4</v>
      </c>
      <c r="H123" s="87" t="s">
        <v>143</v>
      </c>
    </row>
    <row r="124" spans="1:10" ht="14.25" customHeight="1" x14ac:dyDescent="0.2">
      <c r="A124" s="97"/>
      <c r="B124" s="97"/>
      <c r="C124" s="94" t="s">
        <v>169</v>
      </c>
      <c r="D124" s="98"/>
      <c r="E124" s="98"/>
      <c r="F124" s="95">
        <v>136233.20953091499</v>
      </c>
      <c r="G124" s="101">
        <v>1.0000000499999999</v>
      </c>
      <c r="H124" s="87" t="s">
        <v>143</v>
      </c>
    </row>
    <row r="125" spans="1:10" ht="12.75" x14ac:dyDescent="0.2">
      <c r="A125" s="102"/>
      <c r="B125" s="102"/>
      <c r="C125" s="102"/>
      <c r="D125" s="103"/>
      <c r="E125" s="103"/>
      <c r="F125" s="103"/>
      <c r="G125" s="103"/>
    </row>
    <row r="126" spans="1:10" ht="12.75" x14ac:dyDescent="0.2">
      <c r="A126" s="104"/>
      <c r="B126" s="206" t="s">
        <v>942</v>
      </c>
      <c r="C126" s="206"/>
      <c r="D126" s="206"/>
      <c r="E126" s="206"/>
      <c r="F126" s="206"/>
      <c r="G126" s="206"/>
      <c r="H126" s="206"/>
      <c r="J126" s="106"/>
    </row>
    <row r="127" spans="1:10" ht="12.75" x14ac:dyDescent="0.2">
      <c r="A127" s="104"/>
      <c r="B127" s="206" t="s">
        <v>943</v>
      </c>
      <c r="C127" s="206"/>
      <c r="D127" s="206"/>
      <c r="E127" s="206"/>
      <c r="F127" s="206"/>
      <c r="G127" s="206"/>
      <c r="H127" s="206"/>
      <c r="J127" s="106"/>
    </row>
    <row r="128" spans="1:10" ht="12.75" x14ac:dyDescent="0.2">
      <c r="A128" s="104"/>
      <c r="B128" s="206" t="s">
        <v>944</v>
      </c>
      <c r="C128" s="206"/>
      <c r="D128" s="206"/>
      <c r="E128" s="206"/>
      <c r="F128" s="206"/>
      <c r="G128" s="206"/>
      <c r="H128" s="206"/>
      <c r="J128" s="106"/>
    </row>
    <row r="129" spans="1:17" s="108" customFormat="1" ht="66.75" customHeight="1" x14ac:dyDescent="0.25">
      <c r="A129" s="107"/>
      <c r="B129" s="207" t="s">
        <v>945</v>
      </c>
      <c r="C129" s="207"/>
      <c r="D129" s="207"/>
      <c r="E129" s="207"/>
      <c r="F129" s="207"/>
      <c r="G129" s="207"/>
      <c r="H129" s="207"/>
      <c r="I129"/>
      <c r="J129" s="106"/>
      <c r="K129"/>
      <c r="L129"/>
      <c r="M129"/>
      <c r="N129"/>
      <c r="O129"/>
      <c r="P129"/>
      <c r="Q129"/>
    </row>
    <row r="130" spans="1:17" ht="12.75" x14ac:dyDescent="0.2">
      <c r="A130" s="104"/>
      <c r="B130" s="206" t="s">
        <v>946</v>
      </c>
      <c r="C130" s="206"/>
      <c r="D130" s="206"/>
      <c r="E130" s="206"/>
      <c r="F130" s="206"/>
      <c r="G130" s="206"/>
      <c r="H130" s="206"/>
      <c r="J130" s="106"/>
    </row>
    <row r="131" spans="1:17" ht="12.75" x14ac:dyDescent="0.2">
      <c r="A131" s="104"/>
      <c r="B131" s="104"/>
      <c r="C131" s="104"/>
      <c r="D131" s="109"/>
      <c r="E131" s="109"/>
      <c r="F131" s="109"/>
      <c r="G131" s="109"/>
    </row>
    <row r="132" spans="1:17" ht="12.75" x14ac:dyDescent="0.2">
      <c r="A132" s="104"/>
      <c r="B132" s="199" t="s">
        <v>170</v>
      </c>
      <c r="C132" s="200"/>
      <c r="D132" s="201"/>
      <c r="E132" s="110"/>
      <c r="F132" s="109"/>
      <c r="G132" s="109"/>
    </row>
    <row r="133" spans="1:17" ht="27.75" customHeight="1" x14ac:dyDescent="0.2">
      <c r="A133" s="104"/>
      <c r="B133" s="202" t="s">
        <v>171</v>
      </c>
      <c r="C133" s="203"/>
      <c r="D133" s="86" t="s">
        <v>1001</v>
      </c>
      <c r="E133" s="110"/>
      <c r="F133" s="109"/>
      <c r="G133" s="109"/>
    </row>
    <row r="134" spans="1:17" ht="12.75" customHeight="1" x14ac:dyDescent="0.2">
      <c r="A134" s="104"/>
      <c r="B134" s="202" t="s">
        <v>947</v>
      </c>
      <c r="C134" s="203"/>
      <c r="D134" s="86" t="str">
        <f>"Rs. "&amp;TEXT(F67,"0.00")&amp;" lacs/ 0.04%"</f>
        <v>Rs. 61.26 lacs/ 0.04%</v>
      </c>
      <c r="E134" s="110"/>
      <c r="F134" s="109"/>
      <c r="G134" s="109"/>
    </row>
    <row r="135" spans="1:17" ht="12.75" x14ac:dyDescent="0.2">
      <c r="A135" s="104"/>
      <c r="B135" s="202" t="s">
        <v>173</v>
      </c>
      <c r="C135" s="203"/>
      <c r="D135" s="111" t="s">
        <v>143</v>
      </c>
      <c r="E135" s="110"/>
      <c r="F135" s="109"/>
      <c r="G135" s="109"/>
    </row>
    <row r="136" spans="1:17" ht="12.75" x14ac:dyDescent="0.2">
      <c r="A136" s="112"/>
      <c r="B136" s="113" t="s">
        <v>143</v>
      </c>
      <c r="C136" s="113" t="s">
        <v>948</v>
      </c>
      <c r="D136" s="113" t="s">
        <v>174</v>
      </c>
      <c r="E136" s="112"/>
      <c r="F136" s="112"/>
      <c r="G136" s="112"/>
      <c r="H136" s="112"/>
      <c r="J136" s="106"/>
    </row>
    <row r="137" spans="1:17" ht="12.75" x14ac:dyDescent="0.2">
      <c r="A137" s="112"/>
      <c r="B137" s="114" t="s">
        <v>175</v>
      </c>
      <c r="C137" s="115">
        <v>45869</v>
      </c>
      <c r="D137" s="115">
        <v>45900</v>
      </c>
      <c r="E137" s="112"/>
      <c r="F137" s="112"/>
      <c r="G137" s="112"/>
      <c r="J137" s="106"/>
    </row>
    <row r="138" spans="1:17" ht="14.25" customHeight="1" x14ac:dyDescent="0.2">
      <c r="A138" s="116"/>
      <c r="B138" s="89" t="s">
        <v>176</v>
      </c>
      <c r="C138" s="117">
        <v>545.33630000000005</v>
      </c>
      <c r="D138" s="117">
        <v>540.93799999999999</v>
      </c>
      <c r="E138" s="116"/>
      <c r="F138" s="118"/>
      <c r="G138" s="119"/>
    </row>
    <row r="139" spans="1:17" ht="14.25" customHeight="1" x14ac:dyDescent="0.2">
      <c r="A139" s="116"/>
      <c r="B139" s="89" t="s">
        <v>954</v>
      </c>
      <c r="C139" s="117">
        <v>544.78420000000006</v>
      </c>
      <c r="D139" s="117">
        <v>540.38930000000005</v>
      </c>
      <c r="E139" s="116"/>
      <c r="F139" s="118"/>
      <c r="G139" s="119"/>
    </row>
    <row r="140" spans="1:17" ht="14.25" customHeight="1" x14ac:dyDescent="0.2">
      <c r="A140" s="116"/>
      <c r="B140" s="89" t="s">
        <v>177</v>
      </c>
      <c r="C140" s="117">
        <v>510.03370000000001</v>
      </c>
      <c r="D140" s="117">
        <v>505.70089999999999</v>
      </c>
      <c r="E140" s="116"/>
      <c r="F140" s="118"/>
      <c r="G140" s="119"/>
    </row>
    <row r="141" spans="1:17" ht="14.25" customHeight="1" x14ac:dyDescent="0.2">
      <c r="A141" s="116"/>
      <c r="B141" s="89" t="s">
        <v>955</v>
      </c>
      <c r="C141" s="117">
        <v>409.01909999999998</v>
      </c>
      <c r="D141" s="117">
        <v>405.5437</v>
      </c>
      <c r="E141" s="116"/>
      <c r="F141" s="118"/>
      <c r="G141" s="119"/>
    </row>
    <row r="142" spans="1:17" ht="14.25" customHeight="1" x14ac:dyDescent="0.2">
      <c r="A142" s="116"/>
      <c r="B142" s="116"/>
      <c r="C142" s="116"/>
      <c r="D142" s="116"/>
      <c r="E142" s="116"/>
      <c r="F142" s="116"/>
      <c r="G142" s="116"/>
    </row>
    <row r="143" spans="1:17" ht="12.75" x14ac:dyDescent="0.2">
      <c r="A143" s="116"/>
      <c r="B143" s="208" t="s">
        <v>949</v>
      </c>
      <c r="C143" s="209"/>
      <c r="D143" s="86" t="s">
        <v>172</v>
      </c>
      <c r="E143" s="116"/>
      <c r="F143" s="116"/>
      <c r="G143" s="116"/>
    </row>
    <row r="144" spans="1:17" ht="12.75" x14ac:dyDescent="0.2">
      <c r="A144" s="116"/>
      <c r="B144" s="120"/>
      <c r="C144" s="120"/>
      <c r="D144" s="120"/>
      <c r="E144" s="116"/>
      <c r="F144" s="116"/>
      <c r="G144" s="116"/>
    </row>
    <row r="145" spans="1:7" ht="12.75" x14ac:dyDescent="0.2">
      <c r="A145" s="112"/>
      <c r="B145" s="202" t="s">
        <v>178</v>
      </c>
      <c r="C145" s="203"/>
      <c r="D145" s="86" t="s">
        <v>172</v>
      </c>
      <c r="E145" s="121"/>
      <c r="F145" s="112"/>
      <c r="G145" s="112"/>
    </row>
    <row r="146" spans="1:7" ht="12.75" x14ac:dyDescent="0.2">
      <c r="A146" s="112"/>
      <c r="B146" s="202" t="s">
        <v>179</v>
      </c>
      <c r="C146" s="203"/>
      <c r="D146" s="86" t="s">
        <v>172</v>
      </c>
      <c r="E146" s="121"/>
      <c r="F146" s="112"/>
      <c r="G146" s="112"/>
    </row>
    <row r="147" spans="1:7" ht="12.75" x14ac:dyDescent="0.2">
      <c r="A147" s="112"/>
      <c r="B147" s="202" t="s">
        <v>180</v>
      </c>
      <c r="C147" s="203"/>
      <c r="D147" s="86" t="s">
        <v>172</v>
      </c>
      <c r="E147" s="121"/>
      <c r="F147" s="112"/>
      <c r="G147" s="112"/>
    </row>
    <row r="148" spans="1:7" ht="12.75" x14ac:dyDescent="0.2">
      <c r="A148" s="112"/>
      <c r="B148" s="202" t="s">
        <v>181</v>
      </c>
      <c r="C148" s="203"/>
      <c r="D148" s="122">
        <v>0.47171411977988154</v>
      </c>
      <c r="E148" s="112"/>
      <c r="F148" s="105"/>
      <c r="G148" s="123"/>
    </row>
    <row r="149" spans="1:7" ht="12.75" x14ac:dyDescent="0.2"/>
    <row r="150" spans="1:7" ht="13.5" x14ac:dyDescent="0.25">
      <c r="B150" s="135" t="s">
        <v>1221</v>
      </c>
      <c r="C150" s="136"/>
      <c r="D150" s="136"/>
      <c r="E150" s="19"/>
      <c r="F150" s="20"/>
    </row>
    <row r="151" spans="1:7" ht="67.5" x14ac:dyDescent="0.25">
      <c r="B151" s="137" t="s">
        <v>1089</v>
      </c>
      <c r="C151" s="137" t="s">
        <v>1090</v>
      </c>
      <c r="D151" s="137" t="s">
        <v>1091</v>
      </c>
      <c r="E151" s="137" t="s">
        <v>1092</v>
      </c>
      <c r="F151" s="137" t="s">
        <v>1093</v>
      </c>
    </row>
    <row r="152" spans="1:7" ht="13.5" x14ac:dyDescent="0.2">
      <c r="B152" s="138" t="s">
        <v>1120</v>
      </c>
      <c r="C152" s="139" t="s">
        <v>1095</v>
      </c>
      <c r="D152" s="21">
        <v>0</v>
      </c>
      <c r="E152" s="22">
        <v>0</v>
      </c>
      <c r="F152" s="140">
        <v>0.54925000000000002</v>
      </c>
    </row>
    <row r="153" spans="1:7" ht="12.75" x14ac:dyDescent="0.2"/>
    <row r="154" spans="1:7" ht="12.75" x14ac:dyDescent="0.2">
      <c r="B154" s="204" t="s">
        <v>950</v>
      </c>
      <c r="C154" s="204"/>
    </row>
    <row r="155" spans="1:7" ht="12.75" x14ac:dyDescent="0.2"/>
    <row r="156" spans="1:7" ht="153.75" customHeight="1" x14ac:dyDescent="0.2"/>
    <row r="157" spans="1:7" ht="12.75" x14ac:dyDescent="0.2"/>
    <row r="158" spans="1:7" ht="12.75" x14ac:dyDescent="0.2"/>
    <row r="159" spans="1:7" ht="12.75" x14ac:dyDescent="0.2">
      <c r="B159" s="124" t="s">
        <v>951</v>
      </c>
      <c r="C159" s="125"/>
      <c r="D159" s="124"/>
    </row>
    <row r="160" spans="1:7" ht="12.75" x14ac:dyDescent="0.2">
      <c r="B160" s="124" t="s">
        <v>1121</v>
      </c>
      <c r="D160" s="124"/>
    </row>
    <row r="161" spans="10:10" ht="165" customHeight="1" x14ac:dyDescent="0.2"/>
    <row r="162" spans="10:10" ht="12.75" x14ac:dyDescent="0.2"/>
    <row r="163" spans="10:10" ht="12.75" x14ac:dyDescent="0.2">
      <c r="J163" s="84"/>
    </row>
    <row r="164" spans="10:10" ht="12.75" x14ac:dyDescent="0.2"/>
    <row r="165" spans="10:10" ht="12.75" x14ac:dyDescent="0.2"/>
    <row r="166" spans="10:10" ht="12.75" x14ac:dyDescent="0.2"/>
    <row r="167" spans="10:10" ht="12.75" x14ac:dyDescent="0.2"/>
  </sheetData>
  <mergeCells count="18">
    <mergeCell ref="B145:C145"/>
    <mergeCell ref="B146:C146"/>
    <mergeCell ref="B154:C154"/>
    <mergeCell ref="B148:C148"/>
    <mergeCell ref="A1:H1"/>
    <mergeCell ref="A2:H2"/>
    <mergeCell ref="A3:H3"/>
    <mergeCell ref="B143:C143"/>
    <mergeCell ref="B147:C147"/>
    <mergeCell ref="B126:H126"/>
    <mergeCell ref="B127:H127"/>
    <mergeCell ref="B128:H128"/>
    <mergeCell ref="B129:H129"/>
    <mergeCell ref="B130:H130"/>
    <mergeCell ref="B132:D132"/>
    <mergeCell ref="B133:C133"/>
    <mergeCell ref="B134:C134"/>
    <mergeCell ref="B135:C135"/>
  </mergeCells>
  <hyperlinks>
    <hyperlink ref="I1" location="Index!B2" display="Index" xr:uid="{9E4E242D-0D91-4286-8007-CF2A30077762}"/>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F0DE2-325F-4055-907F-3C32B1C75C20}">
  <sheetPr>
    <outlinePr summaryBelow="0" summaryRight="0"/>
  </sheetPr>
  <dimension ref="A1:Q138"/>
  <sheetViews>
    <sheetView showGridLines="0" workbookViewId="0">
      <selection sqref="A1:H1"/>
    </sheetView>
  </sheetViews>
  <sheetFormatPr defaultRowHeight="14.25" customHeight="1" x14ac:dyDescent="0.2"/>
  <cols>
    <col min="1" max="1" width="5.85546875" bestFit="1" customWidth="1"/>
    <col min="2" max="2" width="19.7109375" customWidth="1"/>
    <col min="3" max="3" width="51.140625" bestFit="1" customWidth="1"/>
    <col min="4" max="4" width="29.28515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806</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11</v>
      </c>
      <c r="C7" s="89" t="s">
        <v>12</v>
      </c>
      <c r="D7" s="89" t="s">
        <v>13</v>
      </c>
      <c r="E7" s="90">
        <v>789519</v>
      </c>
      <c r="F7" s="91">
        <v>14912.434872</v>
      </c>
      <c r="G7" s="92">
        <v>9.3254030000000002E-2</v>
      </c>
      <c r="H7" s="87" t="s">
        <v>143</v>
      </c>
    </row>
    <row r="8" spans="1:9" ht="14.25" customHeight="1" x14ac:dyDescent="0.2">
      <c r="A8" s="88">
        <v>2</v>
      </c>
      <c r="B8" s="89" t="s">
        <v>331</v>
      </c>
      <c r="C8" s="89" t="s">
        <v>332</v>
      </c>
      <c r="D8" s="89" t="s">
        <v>243</v>
      </c>
      <c r="E8" s="90">
        <v>416173</v>
      </c>
      <c r="F8" s="91">
        <v>13315.455135</v>
      </c>
      <c r="G8" s="92">
        <v>8.326741E-2</v>
      </c>
      <c r="H8" s="87" t="s">
        <v>143</v>
      </c>
    </row>
    <row r="9" spans="1:9" ht="14.25" customHeight="1" x14ac:dyDescent="0.2">
      <c r="A9" s="88">
        <v>3</v>
      </c>
      <c r="B9" s="89" t="s">
        <v>427</v>
      </c>
      <c r="C9" s="89" t="s">
        <v>428</v>
      </c>
      <c r="D9" s="89" t="s">
        <v>429</v>
      </c>
      <c r="E9" s="90">
        <v>3085016</v>
      </c>
      <c r="F9" s="91">
        <v>12640.853059999999</v>
      </c>
      <c r="G9" s="92">
        <v>7.904883E-2</v>
      </c>
      <c r="H9" s="87" t="s">
        <v>143</v>
      </c>
    </row>
    <row r="10" spans="1:9" ht="14.25" customHeight="1" x14ac:dyDescent="0.2">
      <c r="A10" s="88">
        <v>4</v>
      </c>
      <c r="B10" s="89" t="s">
        <v>445</v>
      </c>
      <c r="C10" s="89" t="s">
        <v>446</v>
      </c>
      <c r="D10" s="89" t="s">
        <v>429</v>
      </c>
      <c r="E10" s="90">
        <v>440212</v>
      </c>
      <c r="F10" s="91">
        <v>11708.758776000001</v>
      </c>
      <c r="G10" s="92">
        <v>7.3220030000000005E-2</v>
      </c>
      <c r="H10" s="87" t="s">
        <v>143</v>
      </c>
    </row>
    <row r="11" spans="1:9" ht="14.25" customHeight="1" x14ac:dyDescent="0.2">
      <c r="A11" s="88">
        <v>5</v>
      </c>
      <c r="B11" s="89" t="s">
        <v>343</v>
      </c>
      <c r="C11" s="89" t="s">
        <v>344</v>
      </c>
      <c r="D11" s="89" t="s">
        <v>275</v>
      </c>
      <c r="E11" s="90">
        <v>2892836</v>
      </c>
      <c r="F11" s="91">
        <v>9082.0586220000005</v>
      </c>
      <c r="G11" s="92">
        <v>5.6794119999999997E-2</v>
      </c>
      <c r="H11" s="87" t="s">
        <v>143</v>
      </c>
    </row>
    <row r="12" spans="1:9" ht="14.25" customHeight="1" x14ac:dyDescent="0.2">
      <c r="A12" s="88">
        <v>6</v>
      </c>
      <c r="B12" s="89" t="s">
        <v>423</v>
      </c>
      <c r="C12" s="89" t="s">
        <v>424</v>
      </c>
      <c r="D12" s="89" t="s">
        <v>46</v>
      </c>
      <c r="E12" s="90">
        <v>212692</v>
      </c>
      <c r="F12" s="91">
        <v>7718.1672959999996</v>
      </c>
      <c r="G12" s="92">
        <v>4.8265099999999998E-2</v>
      </c>
      <c r="H12" s="87" t="s">
        <v>143</v>
      </c>
    </row>
    <row r="13" spans="1:9" ht="14.25" customHeight="1" x14ac:dyDescent="0.2">
      <c r="A13" s="88">
        <v>7</v>
      </c>
      <c r="B13" s="89" t="s">
        <v>505</v>
      </c>
      <c r="C13" s="89" t="s">
        <v>506</v>
      </c>
      <c r="D13" s="89" t="s">
        <v>243</v>
      </c>
      <c r="E13" s="90">
        <v>44812</v>
      </c>
      <c r="F13" s="91">
        <v>6628.1429200000002</v>
      </c>
      <c r="G13" s="92">
        <v>4.1448699999999998E-2</v>
      </c>
      <c r="H13" s="87" t="s">
        <v>143</v>
      </c>
    </row>
    <row r="14" spans="1:9" ht="14.25" customHeight="1" x14ac:dyDescent="0.2">
      <c r="A14" s="88">
        <v>8</v>
      </c>
      <c r="B14" s="89" t="s">
        <v>730</v>
      </c>
      <c r="C14" s="89" t="s">
        <v>731</v>
      </c>
      <c r="D14" s="89" t="s">
        <v>188</v>
      </c>
      <c r="E14" s="90">
        <v>79027</v>
      </c>
      <c r="F14" s="91">
        <v>6013.9547000000002</v>
      </c>
      <c r="G14" s="92">
        <v>3.7607910000000001E-2</v>
      </c>
      <c r="H14" s="87" t="s">
        <v>143</v>
      </c>
    </row>
    <row r="15" spans="1:9" ht="14.25" customHeight="1" x14ac:dyDescent="0.2">
      <c r="A15" s="88">
        <v>9</v>
      </c>
      <c r="B15" s="89" t="s">
        <v>362</v>
      </c>
      <c r="C15" s="89" t="s">
        <v>363</v>
      </c>
      <c r="D15" s="89" t="s">
        <v>46</v>
      </c>
      <c r="E15" s="90">
        <v>225560</v>
      </c>
      <c r="F15" s="91">
        <v>4833.9763599999997</v>
      </c>
      <c r="G15" s="92">
        <v>3.0228990000000001E-2</v>
      </c>
      <c r="H15" s="87" t="s">
        <v>143</v>
      </c>
    </row>
    <row r="16" spans="1:9" ht="14.25" customHeight="1" x14ac:dyDescent="0.2">
      <c r="A16" s="88">
        <v>10</v>
      </c>
      <c r="B16" s="89" t="s">
        <v>793</v>
      </c>
      <c r="C16" s="89" t="s">
        <v>794</v>
      </c>
      <c r="D16" s="89" t="s">
        <v>275</v>
      </c>
      <c r="E16" s="90">
        <v>89438</v>
      </c>
      <c r="F16" s="91">
        <v>4738.4252399999996</v>
      </c>
      <c r="G16" s="92">
        <v>2.9631459999999998E-2</v>
      </c>
      <c r="H16" s="87" t="s">
        <v>143</v>
      </c>
    </row>
    <row r="17" spans="1:8" ht="14.25" customHeight="1" x14ac:dyDescent="0.2">
      <c r="A17" s="88">
        <v>11</v>
      </c>
      <c r="B17" s="89" t="s">
        <v>779</v>
      </c>
      <c r="C17" s="89" t="s">
        <v>780</v>
      </c>
      <c r="D17" s="89" t="s">
        <v>191</v>
      </c>
      <c r="E17" s="90">
        <v>35968</v>
      </c>
      <c r="F17" s="91">
        <v>4593.1135999999997</v>
      </c>
      <c r="G17" s="92">
        <v>2.8722770000000002E-2</v>
      </c>
      <c r="H17" s="87" t="s">
        <v>143</v>
      </c>
    </row>
    <row r="18" spans="1:8" ht="14.25" customHeight="1" x14ac:dyDescent="0.2">
      <c r="A18" s="88">
        <v>12</v>
      </c>
      <c r="B18" s="89" t="s">
        <v>509</v>
      </c>
      <c r="C18" s="89" t="s">
        <v>510</v>
      </c>
      <c r="D18" s="89" t="s">
        <v>232</v>
      </c>
      <c r="E18" s="90">
        <v>320033</v>
      </c>
      <c r="F18" s="91">
        <v>4195.6326300000001</v>
      </c>
      <c r="G18" s="92">
        <v>2.6237139999999999E-2</v>
      </c>
      <c r="H18" s="87" t="s">
        <v>143</v>
      </c>
    </row>
    <row r="19" spans="1:8" ht="14.25" customHeight="1" x14ac:dyDescent="0.2">
      <c r="A19" s="88">
        <v>13</v>
      </c>
      <c r="B19" s="89" t="s">
        <v>774</v>
      </c>
      <c r="C19" s="89" t="s">
        <v>775</v>
      </c>
      <c r="D19" s="89" t="s">
        <v>460</v>
      </c>
      <c r="E19" s="90">
        <v>338340</v>
      </c>
      <c r="F19" s="91">
        <v>3911.88708</v>
      </c>
      <c r="G19" s="92">
        <v>2.446276E-2</v>
      </c>
      <c r="H19" s="87" t="s">
        <v>143</v>
      </c>
    </row>
    <row r="20" spans="1:8" ht="14.25" customHeight="1" x14ac:dyDescent="0.2">
      <c r="A20" s="88">
        <v>14</v>
      </c>
      <c r="B20" s="89" t="s">
        <v>654</v>
      </c>
      <c r="C20" s="89" t="s">
        <v>655</v>
      </c>
      <c r="D20" s="89" t="s">
        <v>460</v>
      </c>
      <c r="E20" s="90">
        <v>66325</v>
      </c>
      <c r="F20" s="91">
        <v>3862.768</v>
      </c>
      <c r="G20" s="92">
        <v>2.4155590000000001E-2</v>
      </c>
      <c r="H20" s="87" t="s">
        <v>143</v>
      </c>
    </row>
    <row r="21" spans="1:8" ht="14.25" customHeight="1" x14ac:dyDescent="0.2">
      <c r="A21" s="88">
        <v>15</v>
      </c>
      <c r="B21" s="89" t="s">
        <v>726</v>
      </c>
      <c r="C21" s="89" t="s">
        <v>727</v>
      </c>
      <c r="D21" s="89" t="s">
        <v>275</v>
      </c>
      <c r="E21" s="90">
        <v>80568</v>
      </c>
      <c r="F21" s="91">
        <v>3831.4918080000002</v>
      </c>
      <c r="G21" s="92">
        <v>2.396001E-2</v>
      </c>
      <c r="H21" s="87" t="s">
        <v>143</v>
      </c>
    </row>
    <row r="22" spans="1:8" ht="14.25" customHeight="1" x14ac:dyDescent="0.2">
      <c r="A22" s="88">
        <v>16</v>
      </c>
      <c r="B22" s="89" t="s">
        <v>739</v>
      </c>
      <c r="C22" s="89" t="s">
        <v>740</v>
      </c>
      <c r="D22" s="89" t="s">
        <v>741</v>
      </c>
      <c r="E22" s="90">
        <v>936397</v>
      </c>
      <c r="F22" s="91">
        <v>3187.4953879999998</v>
      </c>
      <c r="G22" s="92">
        <v>1.9932809999999999E-2</v>
      </c>
      <c r="H22" s="87" t="s">
        <v>143</v>
      </c>
    </row>
    <row r="23" spans="1:8" ht="14.25" customHeight="1" x14ac:dyDescent="0.2">
      <c r="A23" s="88">
        <v>17</v>
      </c>
      <c r="B23" s="89" t="s">
        <v>41</v>
      </c>
      <c r="C23" s="89" t="s">
        <v>42</v>
      </c>
      <c r="D23" s="89" t="s">
        <v>43</v>
      </c>
      <c r="E23" s="90">
        <v>236298</v>
      </c>
      <c r="F23" s="91">
        <v>3060.0590999999999</v>
      </c>
      <c r="G23" s="92">
        <v>1.9135900000000001E-2</v>
      </c>
      <c r="H23" s="87" t="s">
        <v>143</v>
      </c>
    </row>
    <row r="24" spans="1:8" ht="14.25" customHeight="1" x14ac:dyDescent="0.2">
      <c r="A24" s="88">
        <v>18</v>
      </c>
      <c r="B24" s="89" t="s">
        <v>519</v>
      </c>
      <c r="C24" s="89" t="s">
        <v>520</v>
      </c>
      <c r="D24" s="89" t="s">
        <v>243</v>
      </c>
      <c r="E24" s="90">
        <v>58394</v>
      </c>
      <c r="F24" s="91">
        <v>2970.9115379999998</v>
      </c>
      <c r="G24" s="92">
        <v>1.8578419999999998E-2</v>
      </c>
      <c r="H24" s="87" t="s">
        <v>143</v>
      </c>
    </row>
    <row r="25" spans="1:8" ht="14.25" customHeight="1" x14ac:dyDescent="0.2">
      <c r="A25" s="88">
        <v>19</v>
      </c>
      <c r="B25" s="89" t="s">
        <v>75</v>
      </c>
      <c r="C25" s="89" t="s">
        <v>76</v>
      </c>
      <c r="D25" s="89" t="s">
        <v>77</v>
      </c>
      <c r="E25" s="90">
        <v>320251</v>
      </c>
      <c r="F25" s="91">
        <v>2956.236981</v>
      </c>
      <c r="G25" s="92">
        <v>1.848665E-2</v>
      </c>
      <c r="H25" s="87" t="s">
        <v>143</v>
      </c>
    </row>
    <row r="26" spans="1:8" ht="14.25" customHeight="1" x14ac:dyDescent="0.2">
      <c r="A26" s="88">
        <v>20</v>
      </c>
      <c r="B26" s="89" t="s">
        <v>479</v>
      </c>
      <c r="C26" s="89" t="s">
        <v>480</v>
      </c>
      <c r="D26" s="89" t="s">
        <v>275</v>
      </c>
      <c r="E26" s="90">
        <v>217005</v>
      </c>
      <c r="F26" s="91">
        <v>2947.1449050000001</v>
      </c>
      <c r="G26" s="92">
        <v>1.84298E-2</v>
      </c>
      <c r="H26" s="87" t="s">
        <v>143</v>
      </c>
    </row>
    <row r="27" spans="1:8" ht="14.25" customHeight="1" x14ac:dyDescent="0.2">
      <c r="A27" s="88">
        <v>21</v>
      </c>
      <c r="B27" s="89" t="s">
        <v>257</v>
      </c>
      <c r="C27" s="89" t="s">
        <v>258</v>
      </c>
      <c r="D27" s="89" t="s">
        <v>207</v>
      </c>
      <c r="E27" s="90">
        <v>1456156</v>
      </c>
      <c r="F27" s="91">
        <v>2536.9149831999998</v>
      </c>
      <c r="G27" s="92">
        <v>1.5864449999999999E-2</v>
      </c>
      <c r="H27" s="87" t="s">
        <v>143</v>
      </c>
    </row>
    <row r="28" spans="1:8" ht="14.25" customHeight="1" x14ac:dyDescent="0.2">
      <c r="A28" s="88">
        <v>22</v>
      </c>
      <c r="B28" s="89" t="s">
        <v>688</v>
      </c>
      <c r="C28" s="89" t="s">
        <v>689</v>
      </c>
      <c r="D28" s="89" t="s">
        <v>46</v>
      </c>
      <c r="E28" s="90">
        <v>96237</v>
      </c>
      <c r="F28" s="91">
        <v>2423.8250819999998</v>
      </c>
      <c r="G28" s="92">
        <v>1.5157250000000001E-2</v>
      </c>
      <c r="H28" s="87" t="s">
        <v>143</v>
      </c>
    </row>
    <row r="29" spans="1:8" ht="14.25" customHeight="1" x14ac:dyDescent="0.2">
      <c r="A29" s="88">
        <v>23</v>
      </c>
      <c r="B29" s="89" t="s">
        <v>205</v>
      </c>
      <c r="C29" s="89" t="s">
        <v>206</v>
      </c>
      <c r="D29" s="89" t="s">
        <v>207</v>
      </c>
      <c r="E29" s="90">
        <v>367030</v>
      </c>
      <c r="F29" s="91">
        <v>2304.0308249999998</v>
      </c>
      <c r="G29" s="92">
        <v>1.440812E-2</v>
      </c>
      <c r="H29" s="87" t="s">
        <v>143</v>
      </c>
    </row>
    <row r="30" spans="1:8" ht="14.25" customHeight="1" x14ac:dyDescent="0.2">
      <c r="A30" s="88">
        <v>24</v>
      </c>
      <c r="B30" s="89" t="s">
        <v>441</v>
      </c>
      <c r="C30" s="89" t="s">
        <v>442</v>
      </c>
      <c r="D30" s="89" t="s">
        <v>204</v>
      </c>
      <c r="E30" s="90">
        <v>215942</v>
      </c>
      <c r="F30" s="91">
        <v>2300.646068</v>
      </c>
      <c r="G30" s="92">
        <v>1.4386950000000001E-2</v>
      </c>
      <c r="H30" s="87" t="s">
        <v>143</v>
      </c>
    </row>
    <row r="31" spans="1:8" ht="14.25" customHeight="1" x14ac:dyDescent="0.2">
      <c r="A31" s="88">
        <v>25</v>
      </c>
      <c r="B31" s="89" t="s">
        <v>507</v>
      </c>
      <c r="C31" s="89" t="s">
        <v>508</v>
      </c>
      <c r="D31" s="89" t="s">
        <v>243</v>
      </c>
      <c r="E31" s="90">
        <v>25666</v>
      </c>
      <c r="F31" s="91">
        <v>2215.3607900000002</v>
      </c>
      <c r="G31" s="92">
        <v>1.385363E-2</v>
      </c>
      <c r="H31" s="87" t="s">
        <v>143</v>
      </c>
    </row>
    <row r="32" spans="1:8" ht="14.25" customHeight="1" x14ac:dyDescent="0.2">
      <c r="A32" s="88">
        <v>26</v>
      </c>
      <c r="B32" s="89" t="s">
        <v>195</v>
      </c>
      <c r="C32" s="89" t="s">
        <v>196</v>
      </c>
      <c r="D32" s="89" t="s">
        <v>46</v>
      </c>
      <c r="E32" s="90">
        <v>431783</v>
      </c>
      <c r="F32" s="91">
        <v>2176.8339944999998</v>
      </c>
      <c r="G32" s="92">
        <v>1.36127E-2</v>
      </c>
      <c r="H32" s="87" t="s">
        <v>143</v>
      </c>
    </row>
    <row r="33" spans="1:8" ht="14.25" customHeight="1" x14ac:dyDescent="0.2">
      <c r="A33" s="88">
        <v>27</v>
      </c>
      <c r="B33" s="89" t="s">
        <v>349</v>
      </c>
      <c r="C33" s="89" t="s">
        <v>350</v>
      </c>
      <c r="D33" s="89" t="s">
        <v>232</v>
      </c>
      <c r="E33" s="90">
        <v>416579</v>
      </c>
      <c r="F33" s="91">
        <v>2029.3645985000001</v>
      </c>
      <c r="G33" s="92">
        <v>1.269051E-2</v>
      </c>
      <c r="H33" s="87" t="s">
        <v>143</v>
      </c>
    </row>
    <row r="34" spans="1:8" ht="14.25" customHeight="1" x14ac:dyDescent="0.2">
      <c r="A34" s="88">
        <v>28</v>
      </c>
      <c r="B34" s="89" t="s">
        <v>807</v>
      </c>
      <c r="C34" s="89" t="s">
        <v>808</v>
      </c>
      <c r="D34" s="89" t="s">
        <v>46</v>
      </c>
      <c r="E34" s="90">
        <v>154286</v>
      </c>
      <c r="F34" s="91">
        <v>2006.643716</v>
      </c>
      <c r="G34" s="92">
        <v>1.2548429999999999E-2</v>
      </c>
      <c r="H34" s="87" t="s">
        <v>143</v>
      </c>
    </row>
    <row r="35" spans="1:8" ht="14.25" customHeight="1" x14ac:dyDescent="0.2">
      <c r="A35" s="88">
        <v>29</v>
      </c>
      <c r="B35" s="89" t="s">
        <v>809</v>
      </c>
      <c r="C35" s="89" t="s">
        <v>810</v>
      </c>
      <c r="D35" s="89" t="s">
        <v>275</v>
      </c>
      <c r="E35" s="90">
        <v>266537</v>
      </c>
      <c r="F35" s="91">
        <v>1879.7521925000001</v>
      </c>
      <c r="G35" s="92">
        <v>1.175492E-2</v>
      </c>
      <c r="H35" s="87" t="s">
        <v>143</v>
      </c>
    </row>
    <row r="36" spans="1:8" ht="14.25" customHeight="1" x14ac:dyDescent="0.2">
      <c r="A36" s="88">
        <v>30</v>
      </c>
      <c r="B36" s="89" t="s">
        <v>496</v>
      </c>
      <c r="C36" s="89" t="s">
        <v>497</v>
      </c>
      <c r="D36" s="89" t="s">
        <v>275</v>
      </c>
      <c r="E36" s="90">
        <v>1428237</v>
      </c>
      <c r="F36" s="91">
        <v>1787.2957818</v>
      </c>
      <c r="G36" s="92">
        <v>1.1176749999999999E-2</v>
      </c>
      <c r="H36" s="87" t="s">
        <v>143</v>
      </c>
    </row>
    <row r="37" spans="1:8" ht="14.25" customHeight="1" x14ac:dyDescent="0.2">
      <c r="A37" s="88">
        <v>31</v>
      </c>
      <c r="B37" s="89" t="s">
        <v>230</v>
      </c>
      <c r="C37" s="89" t="s">
        <v>231</v>
      </c>
      <c r="D37" s="89" t="s">
        <v>232</v>
      </c>
      <c r="E37" s="90">
        <v>94931</v>
      </c>
      <c r="F37" s="91">
        <v>1756.3184309999999</v>
      </c>
      <c r="G37" s="92">
        <v>1.098303E-2</v>
      </c>
      <c r="H37" s="87" t="s">
        <v>143</v>
      </c>
    </row>
    <row r="38" spans="1:8" ht="14.25" customHeight="1" x14ac:dyDescent="0.2">
      <c r="A38" s="88">
        <v>32</v>
      </c>
      <c r="B38" s="89" t="s">
        <v>241</v>
      </c>
      <c r="C38" s="89" t="s">
        <v>242</v>
      </c>
      <c r="D38" s="89" t="s">
        <v>243</v>
      </c>
      <c r="E38" s="90">
        <v>16314</v>
      </c>
      <c r="F38" s="91">
        <v>534.54452400000002</v>
      </c>
      <c r="G38" s="92">
        <v>3.3427399999999999E-3</v>
      </c>
      <c r="H38" s="87" t="s">
        <v>143</v>
      </c>
    </row>
    <row r="39" spans="1:8" ht="14.25" customHeight="1" x14ac:dyDescent="0.2">
      <c r="A39" s="88">
        <v>33</v>
      </c>
      <c r="B39" s="89" t="s">
        <v>313</v>
      </c>
      <c r="C39" s="89" t="s">
        <v>314</v>
      </c>
      <c r="D39" s="89" t="s">
        <v>288</v>
      </c>
      <c r="E39" s="90">
        <v>10272</v>
      </c>
      <c r="F39" s="91">
        <v>239.52249599999999</v>
      </c>
      <c r="G39" s="92">
        <v>1.4978400000000001E-3</v>
      </c>
      <c r="H39" s="87" t="s">
        <v>143</v>
      </c>
    </row>
    <row r="40" spans="1:8" ht="14.25" customHeight="1" x14ac:dyDescent="0.2">
      <c r="A40" s="93"/>
      <c r="B40" s="93"/>
      <c r="C40" s="94" t="s">
        <v>142</v>
      </c>
      <c r="D40" s="93"/>
      <c r="E40" s="93" t="s">
        <v>143</v>
      </c>
      <c r="F40" s="95">
        <v>151300.02149350001</v>
      </c>
      <c r="G40" s="96">
        <v>0.94614575000000001</v>
      </c>
      <c r="H40" s="87" t="s">
        <v>143</v>
      </c>
    </row>
    <row r="41" spans="1:8" ht="14.25" customHeight="1" x14ac:dyDescent="0.2">
      <c r="A41" s="93"/>
      <c r="B41" s="93"/>
      <c r="C41" s="97"/>
      <c r="D41" s="93"/>
      <c r="E41" s="93"/>
      <c r="F41" s="98"/>
      <c r="G41" s="98"/>
      <c r="H41" s="87" t="s">
        <v>143</v>
      </c>
    </row>
    <row r="42" spans="1:8" ht="14.25" customHeight="1" x14ac:dyDescent="0.2">
      <c r="A42" s="93"/>
      <c r="B42" s="93"/>
      <c r="C42" s="94" t="s">
        <v>144</v>
      </c>
      <c r="D42" s="93"/>
      <c r="E42" s="93"/>
      <c r="F42" s="93"/>
      <c r="G42" s="93"/>
      <c r="H42" s="87" t="s">
        <v>143</v>
      </c>
    </row>
    <row r="43" spans="1:8" ht="14.25" customHeight="1" x14ac:dyDescent="0.2">
      <c r="A43" s="93"/>
      <c r="B43" s="93"/>
      <c r="C43" s="94" t="s">
        <v>142</v>
      </c>
      <c r="D43" s="93"/>
      <c r="E43" s="93" t="s">
        <v>143</v>
      </c>
      <c r="F43" s="99" t="s">
        <v>145</v>
      </c>
      <c r="G43" s="96">
        <v>0</v>
      </c>
      <c r="H43" s="87" t="s">
        <v>143</v>
      </c>
    </row>
    <row r="44" spans="1:8" ht="14.25" customHeight="1" x14ac:dyDescent="0.2">
      <c r="A44" s="93"/>
      <c r="B44" s="93"/>
      <c r="C44" s="97"/>
      <c r="D44" s="93"/>
      <c r="E44" s="93"/>
      <c r="F44" s="98"/>
      <c r="G44" s="98"/>
      <c r="H44" s="87" t="s">
        <v>143</v>
      </c>
    </row>
    <row r="45" spans="1:8" ht="14.25" customHeight="1" x14ac:dyDescent="0.2">
      <c r="A45" s="93"/>
      <c r="B45" s="93"/>
      <c r="C45" s="94" t="s">
        <v>146</v>
      </c>
      <c r="D45" s="93"/>
      <c r="E45" s="93"/>
      <c r="F45" s="93"/>
      <c r="G45" s="93"/>
      <c r="H45" s="87" t="s">
        <v>143</v>
      </c>
    </row>
    <row r="46" spans="1:8" ht="14.25" customHeight="1" x14ac:dyDescent="0.2">
      <c r="A46" s="93"/>
      <c r="B46" s="93"/>
      <c r="C46" s="94" t="s">
        <v>142</v>
      </c>
      <c r="D46" s="93"/>
      <c r="E46" s="93" t="s">
        <v>143</v>
      </c>
      <c r="F46" s="99" t="s">
        <v>145</v>
      </c>
      <c r="G46" s="96">
        <v>0</v>
      </c>
      <c r="H46" s="87" t="s">
        <v>143</v>
      </c>
    </row>
    <row r="47" spans="1:8" ht="14.25" customHeight="1" x14ac:dyDescent="0.2">
      <c r="A47" s="93"/>
      <c r="B47" s="93"/>
      <c r="C47" s="97"/>
      <c r="D47" s="93"/>
      <c r="E47" s="93"/>
      <c r="F47" s="98"/>
      <c r="G47" s="98"/>
      <c r="H47" s="87" t="s">
        <v>143</v>
      </c>
    </row>
    <row r="48" spans="1:8" ht="14.25" customHeight="1" x14ac:dyDescent="0.2">
      <c r="A48" s="93"/>
      <c r="B48" s="93"/>
      <c r="C48" s="94" t="s">
        <v>147</v>
      </c>
      <c r="D48" s="93"/>
      <c r="E48" s="93"/>
      <c r="F48" s="93"/>
      <c r="G48" s="93"/>
      <c r="H48" s="87" t="s">
        <v>143</v>
      </c>
    </row>
    <row r="49" spans="1:8" ht="14.25" customHeight="1" x14ac:dyDescent="0.2">
      <c r="A49" s="88">
        <v>1</v>
      </c>
      <c r="B49" s="89" t="s">
        <v>317</v>
      </c>
      <c r="C49" s="89" t="s">
        <v>318</v>
      </c>
      <c r="D49" s="89" t="s">
        <v>243</v>
      </c>
      <c r="E49" s="90">
        <v>65256</v>
      </c>
      <c r="F49" s="91">
        <v>6.5255999999999998</v>
      </c>
      <c r="G49" s="92" t="s">
        <v>141</v>
      </c>
      <c r="H49" s="87" t="s">
        <v>143</v>
      </c>
    </row>
    <row r="50" spans="1:8" ht="14.25" customHeight="1" x14ac:dyDescent="0.2">
      <c r="A50" s="93"/>
      <c r="B50" s="93"/>
      <c r="C50" s="94" t="s">
        <v>142</v>
      </c>
      <c r="D50" s="93"/>
      <c r="E50" s="93" t="s">
        <v>143</v>
      </c>
      <c r="F50" s="95">
        <v>6.5255999999999998</v>
      </c>
      <c r="G50" s="96">
        <v>4.0809999999999997E-5</v>
      </c>
      <c r="H50" s="87" t="s">
        <v>143</v>
      </c>
    </row>
    <row r="51" spans="1:8" ht="14.25" customHeight="1" x14ac:dyDescent="0.2">
      <c r="A51" s="93"/>
      <c r="B51" s="93"/>
      <c r="C51" s="97"/>
      <c r="D51" s="93"/>
      <c r="E51" s="93"/>
      <c r="F51" s="98"/>
      <c r="G51" s="98"/>
      <c r="H51" s="87" t="s">
        <v>143</v>
      </c>
    </row>
    <row r="52" spans="1:8" ht="14.25" customHeight="1" x14ac:dyDescent="0.2">
      <c r="A52" s="93"/>
      <c r="B52" s="93"/>
      <c r="C52" s="94" t="s">
        <v>148</v>
      </c>
      <c r="D52" s="93"/>
      <c r="E52" s="93"/>
      <c r="F52" s="98"/>
      <c r="G52" s="98"/>
      <c r="H52" s="87" t="s">
        <v>143</v>
      </c>
    </row>
    <row r="53" spans="1:8" ht="14.25" customHeight="1" x14ac:dyDescent="0.2">
      <c r="A53" s="93"/>
      <c r="B53" s="93"/>
      <c r="C53" s="94" t="s">
        <v>142</v>
      </c>
      <c r="D53" s="93"/>
      <c r="E53" s="93" t="s">
        <v>143</v>
      </c>
      <c r="F53" s="99" t="s">
        <v>145</v>
      </c>
      <c r="G53" s="96">
        <v>0</v>
      </c>
      <c r="H53" s="87" t="s">
        <v>143</v>
      </c>
    </row>
    <row r="54" spans="1:8" ht="14.25" customHeight="1" x14ac:dyDescent="0.2">
      <c r="A54" s="93"/>
      <c r="B54" s="93"/>
      <c r="C54" s="97"/>
      <c r="D54" s="93"/>
      <c r="E54" s="93"/>
      <c r="F54" s="98"/>
      <c r="G54" s="98"/>
      <c r="H54" s="87" t="s">
        <v>143</v>
      </c>
    </row>
    <row r="55" spans="1:8" ht="14.25" customHeight="1" x14ac:dyDescent="0.2">
      <c r="A55" s="93"/>
      <c r="B55" s="93"/>
      <c r="C55" s="94" t="s">
        <v>149</v>
      </c>
      <c r="D55" s="93"/>
      <c r="E55" s="93"/>
      <c r="F55" s="98"/>
      <c r="G55" s="98"/>
      <c r="H55" s="87" t="s">
        <v>143</v>
      </c>
    </row>
    <row r="56" spans="1:8" ht="14.25" customHeight="1" x14ac:dyDescent="0.2">
      <c r="A56" s="93"/>
      <c r="B56" s="93"/>
      <c r="C56" s="94" t="s">
        <v>142</v>
      </c>
      <c r="D56" s="93"/>
      <c r="E56" s="93" t="s">
        <v>143</v>
      </c>
      <c r="F56" s="99" t="s">
        <v>145</v>
      </c>
      <c r="G56" s="96">
        <v>0</v>
      </c>
      <c r="H56" s="87" t="s">
        <v>143</v>
      </c>
    </row>
    <row r="57" spans="1:8" ht="14.25" customHeight="1" x14ac:dyDescent="0.2">
      <c r="A57" s="93"/>
      <c r="B57" s="93"/>
      <c r="C57" s="97"/>
      <c r="D57" s="93"/>
      <c r="E57" s="93"/>
      <c r="F57" s="98"/>
      <c r="G57" s="98"/>
      <c r="H57" s="87" t="s">
        <v>143</v>
      </c>
    </row>
    <row r="58" spans="1:8" ht="14.25" customHeight="1" x14ac:dyDescent="0.2">
      <c r="A58" s="93"/>
      <c r="B58" s="93"/>
      <c r="C58" s="94" t="s">
        <v>150</v>
      </c>
      <c r="D58" s="93"/>
      <c r="E58" s="93"/>
      <c r="F58" s="95">
        <v>151306.5470935</v>
      </c>
      <c r="G58" s="96">
        <v>0.94618656000000001</v>
      </c>
      <c r="H58" s="87" t="s">
        <v>143</v>
      </c>
    </row>
    <row r="59" spans="1:8" ht="14.25" customHeight="1" x14ac:dyDescent="0.2">
      <c r="A59" s="93"/>
      <c r="B59" s="93"/>
      <c r="C59" s="97"/>
      <c r="D59" s="93"/>
      <c r="E59" s="93"/>
      <c r="F59" s="98"/>
      <c r="G59" s="98"/>
      <c r="H59" s="87" t="s">
        <v>143</v>
      </c>
    </row>
    <row r="60" spans="1:8" ht="14.25" customHeight="1" x14ac:dyDescent="0.2">
      <c r="A60" s="93"/>
      <c r="B60" s="93"/>
      <c r="C60" s="94" t="s">
        <v>151</v>
      </c>
      <c r="D60" s="93"/>
      <c r="E60" s="93"/>
      <c r="F60" s="98"/>
      <c r="G60" s="98"/>
      <c r="H60" s="87" t="s">
        <v>143</v>
      </c>
    </row>
    <row r="61" spans="1:8" ht="14.25" customHeight="1" x14ac:dyDescent="0.2">
      <c r="A61" s="93"/>
      <c r="B61" s="93"/>
      <c r="C61" s="94" t="s">
        <v>10</v>
      </c>
      <c r="D61" s="93"/>
      <c r="E61" s="93"/>
      <c r="F61" s="98"/>
      <c r="G61" s="98"/>
      <c r="H61" s="87" t="s">
        <v>143</v>
      </c>
    </row>
    <row r="62" spans="1:8" ht="14.25" customHeight="1" x14ac:dyDescent="0.2">
      <c r="A62" s="93"/>
      <c r="B62" s="93"/>
      <c r="C62" s="94" t="s">
        <v>142</v>
      </c>
      <c r="D62" s="93"/>
      <c r="E62" s="93" t="s">
        <v>143</v>
      </c>
      <c r="F62" s="99" t="s">
        <v>145</v>
      </c>
      <c r="G62" s="96">
        <v>0</v>
      </c>
      <c r="H62" s="87" t="s">
        <v>143</v>
      </c>
    </row>
    <row r="63" spans="1:8" ht="14.25" customHeight="1" x14ac:dyDescent="0.2">
      <c r="A63" s="93"/>
      <c r="B63" s="93"/>
      <c r="C63" s="97"/>
      <c r="D63" s="93"/>
      <c r="E63" s="93"/>
      <c r="F63" s="98"/>
      <c r="G63" s="98"/>
      <c r="H63" s="87" t="s">
        <v>143</v>
      </c>
    </row>
    <row r="64" spans="1:8" ht="14.25" customHeight="1" x14ac:dyDescent="0.2">
      <c r="A64" s="93"/>
      <c r="B64" s="93"/>
      <c r="C64" s="94" t="s">
        <v>152</v>
      </c>
      <c r="D64" s="93"/>
      <c r="E64" s="93"/>
      <c r="F64" s="93"/>
      <c r="G64" s="93"/>
      <c r="H64" s="87" t="s">
        <v>143</v>
      </c>
    </row>
    <row r="65" spans="1:8" ht="14.25" customHeight="1" x14ac:dyDescent="0.2">
      <c r="A65" s="93"/>
      <c r="B65" s="93"/>
      <c r="C65" s="94" t="s">
        <v>142</v>
      </c>
      <c r="D65" s="93"/>
      <c r="E65" s="93" t="s">
        <v>143</v>
      </c>
      <c r="F65" s="99" t="s">
        <v>145</v>
      </c>
      <c r="G65" s="96">
        <v>0</v>
      </c>
      <c r="H65" s="87" t="s">
        <v>143</v>
      </c>
    </row>
    <row r="66" spans="1:8" ht="14.25" customHeight="1" x14ac:dyDescent="0.2">
      <c r="A66" s="93"/>
      <c r="B66" s="93"/>
      <c r="C66" s="97"/>
      <c r="D66" s="93"/>
      <c r="E66" s="93"/>
      <c r="F66" s="98"/>
      <c r="G66" s="98"/>
      <c r="H66" s="87" t="s">
        <v>143</v>
      </c>
    </row>
    <row r="67" spans="1:8" ht="14.25" customHeight="1" x14ac:dyDescent="0.2">
      <c r="A67" s="93"/>
      <c r="B67" s="93"/>
      <c r="C67" s="94" t="s">
        <v>153</v>
      </c>
      <c r="D67" s="93"/>
      <c r="E67" s="93"/>
      <c r="F67" s="93"/>
      <c r="G67" s="93"/>
      <c r="H67" s="87" t="s">
        <v>143</v>
      </c>
    </row>
    <row r="68" spans="1:8" ht="14.25" customHeight="1" x14ac:dyDescent="0.2">
      <c r="A68" s="93"/>
      <c r="B68" s="93"/>
      <c r="C68" s="94" t="s">
        <v>142</v>
      </c>
      <c r="D68" s="93"/>
      <c r="E68" s="93" t="s">
        <v>143</v>
      </c>
      <c r="F68" s="99" t="s">
        <v>145</v>
      </c>
      <c r="G68" s="96">
        <v>0</v>
      </c>
      <c r="H68" s="87" t="s">
        <v>143</v>
      </c>
    </row>
    <row r="69" spans="1:8" ht="14.25" customHeight="1" x14ac:dyDescent="0.2">
      <c r="A69" s="93"/>
      <c r="B69" s="93"/>
      <c r="C69" s="97"/>
      <c r="D69" s="93"/>
      <c r="E69" s="93"/>
      <c r="F69" s="98"/>
      <c r="G69" s="98"/>
      <c r="H69" s="87" t="s">
        <v>143</v>
      </c>
    </row>
    <row r="70" spans="1:8" ht="14.25" customHeight="1" x14ac:dyDescent="0.2">
      <c r="A70" s="93"/>
      <c r="B70" s="93"/>
      <c r="C70" s="94" t="s">
        <v>154</v>
      </c>
      <c r="D70" s="93"/>
      <c r="E70" s="93"/>
      <c r="F70" s="98"/>
      <c r="G70" s="98"/>
      <c r="H70" s="87" t="s">
        <v>143</v>
      </c>
    </row>
    <row r="71" spans="1:8" ht="14.25" customHeight="1" x14ac:dyDescent="0.2">
      <c r="A71" s="93"/>
      <c r="B71" s="93"/>
      <c r="C71" s="94" t="s">
        <v>142</v>
      </c>
      <c r="D71" s="93"/>
      <c r="E71" s="93" t="s">
        <v>143</v>
      </c>
      <c r="F71" s="99" t="s">
        <v>145</v>
      </c>
      <c r="G71" s="96">
        <v>0</v>
      </c>
      <c r="H71" s="87" t="s">
        <v>143</v>
      </c>
    </row>
    <row r="72" spans="1:8" ht="14.25" customHeight="1" x14ac:dyDescent="0.2">
      <c r="A72" s="93"/>
      <c r="B72" s="93"/>
      <c r="C72" s="97"/>
      <c r="D72" s="93"/>
      <c r="E72" s="93"/>
      <c r="F72" s="98"/>
      <c r="G72" s="98"/>
      <c r="H72" s="87" t="s">
        <v>143</v>
      </c>
    </row>
    <row r="73" spans="1:8" ht="14.25" customHeight="1" x14ac:dyDescent="0.2">
      <c r="A73" s="93"/>
      <c r="B73" s="93"/>
      <c r="C73" s="94" t="s">
        <v>155</v>
      </c>
      <c r="D73" s="93"/>
      <c r="E73" s="93"/>
      <c r="F73" s="95">
        <v>0</v>
      </c>
      <c r="G73" s="96">
        <v>0</v>
      </c>
      <c r="H73" s="87" t="s">
        <v>143</v>
      </c>
    </row>
    <row r="74" spans="1:8" ht="14.25" customHeight="1" x14ac:dyDescent="0.2">
      <c r="A74" s="93"/>
      <c r="B74" s="93"/>
      <c r="C74" s="97"/>
      <c r="D74" s="93"/>
      <c r="E74" s="93"/>
      <c r="F74" s="98"/>
      <c r="G74" s="98"/>
      <c r="H74" s="87" t="s">
        <v>143</v>
      </c>
    </row>
    <row r="75" spans="1:8" ht="14.25" customHeight="1" x14ac:dyDescent="0.2">
      <c r="A75" s="93"/>
      <c r="B75" s="93"/>
      <c r="C75" s="94" t="s">
        <v>156</v>
      </c>
      <c r="D75" s="93"/>
      <c r="E75" s="93"/>
      <c r="F75" s="98"/>
      <c r="G75" s="98"/>
      <c r="H75" s="87" t="s">
        <v>143</v>
      </c>
    </row>
    <row r="76" spans="1:8" ht="14.25" customHeight="1" x14ac:dyDescent="0.2">
      <c r="A76" s="93"/>
      <c r="B76" s="93"/>
      <c r="C76" s="94" t="s">
        <v>157</v>
      </c>
      <c r="D76" s="93"/>
      <c r="E76" s="93"/>
      <c r="F76" s="98"/>
      <c r="G76" s="98"/>
      <c r="H76" s="87" t="s">
        <v>143</v>
      </c>
    </row>
    <row r="77" spans="1:8" ht="14.25" customHeight="1" x14ac:dyDescent="0.2">
      <c r="A77" s="93"/>
      <c r="B77" s="93"/>
      <c r="C77" s="94" t="s">
        <v>142</v>
      </c>
      <c r="D77" s="93"/>
      <c r="E77" s="93" t="s">
        <v>143</v>
      </c>
      <c r="F77" s="99" t="s">
        <v>145</v>
      </c>
      <c r="G77" s="96">
        <v>0</v>
      </c>
      <c r="H77" s="87" t="s">
        <v>143</v>
      </c>
    </row>
    <row r="78" spans="1:8" ht="14.25" customHeight="1" x14ac:dyDescent="0.2">
      <c r="A78" s="93"/>
      <c r="B78" s="93"/>
      <c r="C78" s="97"/>
      <c r="D78" s="93"/>
      <c r="E78" s="93"/>
      <c r="F78" s="98"/>
      <c r="G78" s="98"/>
      <c r="H78" s="87" t="s">
        <v>143</v>
      </c>
    </row>
    <row r="79" spans="1:8" ht="14.25" customHeight="1" x14ac:dyDescent="0.2">
      <c r="A79" s="93"/>
      <c r="B79" s="93"/>
      <c r="C79" s="94" t="s">
        <v>158</v>
      </c>
      <c r="D79" s="93"/>
      <c r="E79" s="93"/>
      <c r="F79" s="98"/>
      <c r="G79" s="98"/>
      <c r="H79" s="87" t="s">
        <v>143</v>
      </c>
    </row>
    <row r="80" spans="1:8" ht="14.25" customHeight="1" x14ac:dyDescent="0.2">
      <c r="A80" s="93"/>
      <c r="B80" s="93"/>
      <c r="C80" s="94" t="s">
        <v>142</v>
      </c>
      <c r="D80" s="93"/>
      <c r="E80" s="93" t="s">
        <v>143</v>
      </c>
      <c r="F80" s="99" t="s">
        <v>145</v>
      </c>
      <c r="G80" s="96">
        <v>0</v>
      </c>
      <c r="H80" s="87" t="s">
        <v>143</v>
      </c>
    </row>
    <row r="81" spans="1:8" ht="14.25" customHeight="1" x14ac:dyDescent="0.2">
      <c r="A81" s="93"/>
      <c r="B81" s="93"/>
      <c r="C81" s="97"/>
      <c r="D81" s="93"/>
      <c r="E81" s="93"/>
      <c r="F81" s="98"/>
      <c r="G81" s="98"/>
      <c r="H81" s="87" t="s">
        <v>143</v>
      </c>
    </row>
    <row r="82" spans="1:8" ht="14.25" customHeight="1" x14ac:dyDescent="0.2">
      <c r="A82" s="93"/>
      <c r="B82" s="93"/>
      <c r="C82" s="94" t="s">
        <v>159</v>
      </c>
      <c r="D82" s="93"/>
      <c r="E82" s="93"/>
      <c r="F82" s="98"/>
      <c r="G82" s="98"/>
      <c r="H82" s="87" t="s">
        <v>143</v>
      </c>
    </row>
    <row r="83" spans="1:8" ht="14.25" customHeight="1" x14ac:dyDescent="0.2">
      <c r="A83" s="93"/>
      <c r="B83" s="93"/>
      <c r="C83" s="94" t="s">
        <v>142</v>
      </c>
      <c r="D83" s="93"/>
      <c r="E83" s="93" t="s">
        <v>143</v>
      </c>
      <c r="F83" s="99" t="s">
        <v>145</v>
      </c>
      <c r="G83" s="96">
        <v>0</v>
      </c>
      <c r="H83" s="87" t="s">
        <v>143</v>
      </c>
    </row>
    <row r="84" spans="1:8" ht="14.25" customHeight="1" x14ac:dyDescent="0.2">
      <c r="A84" s="93"/>
      <c r="B84" s="93"/>
      <c r="C84" s="97"/>
      <c r="D84" s="93"/>
      <c r="E84" s="93"/>
      <c r="F84" s="98"/>
      <c r="G84" s="98"/>
      <c r="H84" s="87" t="s">
        <v>143</v>
      </c>
    </row>
    <row r="85" spans="1:8" ht="14.25" customHeight="1" x14ac:dyDescent="0.2">
      <c r="A85" s="93"/>
      <c r="B85" s="93"/>
      <c r="C85" s="94" t="s">
        <v>160</v>
      </c>
      <c r="D85" s="93"/>
      <c r="E85" s="93"/>
      <c r="F85" s="98"/>
      <c r="G85" s="98"/>
      <c r="H85" s="87" t="s">
        <v>143</v>
      </c>
    </row>
    <row r="86" spans="1:8" ht="14.25" customHeight="1" x14ac:dyDescent="0.2">
      <c r="A86" s="88">
        <v>1</v>
      </c>
      <c r="B86" s="89"/>
      <c r="C86" s="89" t="s">
        <v>161</v>
      </c>
      <c r="D86" s="89"/>
      <c r="E86" s="100"/>
      <c r="F86" s="91">
        <v>8802.2960690159998</v>
      </c>
      <c r="G86" s="92">
        <v>5.5044639999999999E-2</v>
      </c>
      <c r="H86" s="87">
        <v>5.38</v>
      </c>
    </row>
    <row r="87" spans="1:8" ht="14.25" customHeight="1" x14ac:dyDescent="0.2">
      <c r="A87" s="93"/>
      <c r="B87" s="93"/>
      <c r="C87" s="94" t="s">
        <v>142</v>
      </c>
      <c r="D87" s="93"/>
      <c r="E87" s="93" t="s">
        <v>143</v>
      </c>
      <c r="F87" s="95">
        <v>8802.2960690159998</v>
      </c>
      <c r="G87" s="96">
        <v>5.5044639999999999E-2</v>
      </c>
      <c r="H87" s="87" t="s">
        <v>143</v>
      </c>
    </row>
    <row r="88" spans="1:8" ht="14.25" customHeight="1" x14ac:dyDescent="0.2">
      <c r="A88" s="93"/>
      <c r="B88" s="93"/>
      <c r="C88" s="97"/>
      <c r="D88" s="93"/>
      <c r="E88" s="93"/>
      <c r="F88" s="98"/>
      <c r="G88" s="98"/>
      <c r="H88" s="87" t="s">
        <v>143</v>
      </c>
    </row>
    <row r="89" spans="1:8" ht="14.25" customHeight="1" x14ac:dyDescent="0.2">
      <c r="A89" s="93"/>
      <c r="B89" s="93"/>
      <c r="C89" s="94" t="s">
        <v>162</v>
      </c>
      <c r="D89" s="93"/>
      <c r="E89" s="93"/>
      <c r="F89" s="95">
        <v>8802.2960690159998</v>
      </c>
      <c r="G89" s="96">
        <v>5.5044639999999999E-2</v>
      </c>
      <c r="H89" s="87" t="s">
        <v>143</v>
      </c>
    </row>
    <row r="90" spans="1:8" ht="14.25" customHeight="1" x14ac:dyDescent="0.2">
      <c r="A90" s="93"/>
      <c r="B90" s="93"/>
      <c r="C90" s="98"/>
      <c r="D90" s="93"/>
      <c r="E90" s="93"/>
      <c r="F90" s="93"/>
      <c r="G90" s="93"/>
      <c r="H90" s="87" t="s">
        <v>143</v>
      </c>
    </row>
    <row r="91" spans="1:8" ht="14.25" customHeight="1" x14ac:dyDescent="0.2">
      <c r="A91" s="93"/>
      <c r="B91" s="93"/>
      <c r="C91" s="94" t="s">
        <v>163</v>
      </c>
      <c r="D91" s="93"/>
      <c r="E91" s="93"/>
      <c r="F91" s="93"/>
      <c r="G91" s="93"/>
      <c r="H91" s="87" t="s">
        <v>143</v>
      </c>
    </row>
    <row r="92" spans="1:8" ht="14.25" customHeight="1" x14ac:dyDescent="0.2">
      <c r="A92" s="93"/>
      <c r="B92" s="93"/>
      <c r="C92" s="94" t="s">
        <v>164</v>
      </c>
      <c r="D92" s="93"/>
      <c r="E92" s="93"/>
      <c r="F92" s="93"/>
      <c r="G92" s="93"/>
      <c r="H92" s="87" t="s">
        <v>143</v>
      </c>
    </row>
    <row r="93" spans="1:8" ht="14.25" customHeight="1" x14ac:dyDescent="0.2">
      <c r="A93" s="93"/>
      <c r="B93" s="93"/>
      <c r="C93" s="94" t="s">
        <v>142</v>
      </c>
      <c r="D93" s="93"/>
      <c r="E93" s="93" t="s">
        <v>143</v>
      </c>
      <c r="F93" s="99" t="s">
        <v>145</v>
      </c>
      <c r="G93" s="96">
        <v>0</v>
      </c>
      <c r="H93" s="87" t="s">
        <v>143</v>
      </c>
    </row>
    <row r="94" spans="1:8" ht="14.25" customHeight="1" x14ac:dyDescent="0.2">
      <c r="A94" s="93"/>
      <c r="B94" s="93"/>
      <c r="C94" s="97"/>
      <c r="D94" s="93"/>
      <c r="E94" s="93"/>
      <c r="F94" s="98"/>
      <c r="G94" s="98"/>
      <c r="H94" s="87" t="s">
        <v>143</v>
      </c>
    </row>
    <row r="95" spans="1:8" ht="14.25" customHeight="1" x14ac:dyDescent="0.2">
      <c r="A95" s="93"/>
      <c r="B95" s="93"/>
      <c r="C95" s="94" t="s">
        <v>165</v>
      </c>
      <c r="D95" s="93"/>
      <c r="E95" s="93"/>
      <c r="F95" s="93"/>
      <c r="G95" s="93"/>
      <c r="H95" s="87" t="s">
        <v>143</v>
      </c>
    </row>
    <row r="96" spans="1:8" ht="14.25" customHeight="1" x14ac:dyDescent="0.2">
      <c r="A96" s="93"/>
      <c r="B96" s="93"/>
      <c r="C96" s="94" t="s">
        <v>166</v>
      </c>
      <c r="D96" s="93"/>
      <c r="E96" s="93"/>
      <c r="F96" s="93"/>
      <c r="G96" s="93"/>
      <c r="H96" s="87" t="s">
        <v>143</v>
      </c>
    </row>
    <row r="97" spans="1:17" ht="14.25" customHeight="1" x14ac:dyDescent="0.2">
      <c r="A97" s="93"/>
      <c r="B97" s="93"/>
      <c r="C97" s="94" t="s">
        <v>142</v>
      </c>
      <c r="D97" s="93"/>
      <c r="E97" s="93" t="s">
        <v>143</v>
      </c>
      <c r="F97" s="99" t="s">
        <v>145</v>
      </c>
      <c r="G97" s="96">
        <v>0</v>
      </c>
      <c r="H97" s="87" t="s">
        <v>143</v>
      </c>
    </row>
    <row r="98" spans="1:17" ht="14.25" customHeight="1" x14ac:dyDescent="0.2">
      <c r="A98" s="93"/>
      <c r="B98" s="93"/>
      <c r="C98" s="97"/>
      <c r="D98" s="93"/>
      <c r="E98" s="93"/>
      <c r="F98" s="98"/>
      <c r="G98" s="98"/>
      <c r="H98" s="87" t="s">
        <v>143</v>
      </c>
    </row>
    <row r="99" spans="1:17" ht="14.25" customHeight="1" x14ac:dyDescent="0.2">
      <c r="A99" s="93"/>
      <c r="B99" s="93"/>
      <c r="C99" s="94" t="s">
        <v>167</v>
      </c>
      <c r="D99" s="93"/>
      <c r="E99" s="93"/>
      <c r="F99" s="98"/>
      <c r="G99" s="98"/>
      <c r="H99" s="87" t="s">
        <v>143</v>
      </c>
    </row>
    <row r="100" spans="1:17" ht="14.25" customHeight="1" x14ac:dyDescent="0.2">
      <c r="A100" s="93"/>
      <c r="B100" s="93"/>
      <c r="C100" s="94" t="s">
        <v>142</v>
      </c>
      <c r="D100" s="93"/>
      <c r="E100" s="93" t="s">
        <v>143</v>
      </c>
      <c r="F100" s="99" t="s">
        <v>145</v>
      </c>
      <c r="G100" s="96">
        <v>0</v>
      </c>
      <c r="H100" s="87" t="s">
        <v>143</v>
      </c>
    </row>
    <row r="101" spans="1:17" ht="14.25" customHeight="1" x14ac:dyDescent="0.2">
      <c r="A101" s="93"/>
      <c r="B101" s="93"/>
      <c r="C101" s="97"/>
      <c r="D101" s="93"/>
      <c r="E101" s="93"/>
      <c r="F101" s="98"/>
      <c r="G101" s="98"/>
      <c r="H101" s="87" t="s">
        <v>143</v>
      </c>
    </row>
    <row r="102" spans="1:17" ht="14.25" customHeight="1" x14ac:dyDescent="0.2">
      <c r="A102" s="100"/>
      <c r="B102" s="89"/>
      <c r="C102" s="89" t="s">
        <v>168</v>
      </c>
      <c r="D102" s="89"/>
      <c r="E102" s="100"/>
      <c r="F102" s="91">
        <v>-196.88452565</v>
      </c>
      <c r="G102" s="92">
        <v>-1.2312099999999999E-3</v>
      </c>
      <c r="H102" s="87" t="s">
        <v>143</v>
      </c>
    </row>
    <row r="103" spans="1:17" ht="14.25" customHeight="1" x14ac:dyDescent="0.2">
      <c r="A103" s="97"/>
      <c r="B103" s="97"/>
      <c r="C103" s="94" t="s">
        <v>169</v>
      </c>
      <c r="D103" s="98"/>
      <c r="E103" s="98"/>
      <c r="F103" s="95">
        <v>159911.95863686601</v>
      </c>
      <c r="G103" s="101">
        <v>0.99999998999999995</v>
      </c>
      <c r="H103" s="87" t="s">
        <v>143</v>
      </c>
    </row>
    <row r="104" spans="1:17" ht="12.75" x14ac:dyDescent="0.2">
      <c r="A104" s="102"/>
      <c r="B104" s="102"/>
      <c r="C104" s="102"/>
      <c r="D104" s="103"/>
      <c r="E104" s="103"/>
      <c r="F104" s="103"/>
      <c r="G104" s="103"/>
    </row>
    <row r="105" spans="1:17" ht="12.75" x14ac:dyDescent="0.2">
      <c r="A105" s="104"/>
      <c r="B105" s="206" t="s">
        <v>942</v>
      </c>
      <c r="C105" s="206"/>
      <c r="D105" s="206"/>
      <c r="E105" s="206"/>
      <c r="F105" s="206"/>
      <c r="G105" s="206"/>
      <c r="H105" s="206"/>
      <c r="J105" s="106"/>
    </row>
    <row r="106" spans="1:17" ht="12.75" x14ac:dyDescent="0.2">
      <c r="A106" s="104"/>
      <c r="B106" s="206" t="s">
        <v>943</v>
      </c>
      <c r="C106" s="206"/>
      <c r="D106" s="206"/>
      <c r="E106" s="206"/>
      <c r="F106" s="206"/>
      <c r="G106" s="206"/>
      <c r="H106" s="206"/>
      <c r="J106" s="106"/>
    </row>
    <row r="107" spans="1:17" ht="12.75" x14ac:dyDescent="0.2">
      <c r="A107" s="104"/>
      <c r="B107" s="206" t="s">
        <v>944</v>
      </c>
      <c r="C107" s="206"/>
      <c r="D107" s="206"/>
      <c r="E107" s="206"/>
      <c r="F107" s="206"/>
      <c r="G107" s="206"/>
      <c r="H107" s="206"/>
      <c r="J107" s="106"/>
    </row>
    <row r="108" spans="1:17" s="108" customFormat="1" ht="52.5" customHeight="1" x14ac:dyDescent="0.25">
      <c r="A108" s="107"/>
      <c r="B108" s="207" t="s">
        <v>945</v>
      </c>
      <c r="C108" s="207"/>
      <c r="D108" s="207"/>
      <c r="E108" s="207"/>
      <c r="F108" s="207"/>
      <c r="G108" s="207"/>
      <c r="H108" s="207"/>
      <c r="I108"/>
      <c r="J108" s="106"/>
      <c r="K108"/>
      <c r="L108"/>
      <c r="M108"/>
      <c r="N108"/>
      <c r="O108"/>
      <c r="P108"/>
      <c r="Q108"/>
    </row>
    <row r="109" spans="1:17" ht="12.75" x14ac:dyDescent="0.2">
      <c r="A109" s="104"/>
      <c r="B109" s="206" t="s">
        <v>946</v>
      </c>
      <c r="C109" s="206"/>
      <c r="D109" s="206"/>
      <c r="E109" s="206"/>
      <c r="F109" s="206"/>
      <c r="G109" s="206"/>
      <c r="H109" s="206"/>
      <c r="J109" s="106"/>
    </row>
    <row r="110" spans="1:17" ht="12.75" x14ac:dyDescent="0.2">
      <c r="A110" s="104"/>
      <c r="B110" s="104"/>
      <c r="C110" s="104"/>
      <c r="D110" s="109"/>
      <c r="E110" s="109"/>
      <c r="F110" s="109"/>
      <c r="G110" s="109"/>
    </row>
    <row r="111" spans="1:17" ht="12.75" x14ac:dyDescent="0.2">
      <c r="A111" s="104"/>
      <c r="B111" s="199" t="s">
        <v>170</v>
      </c>
      <c r="C111" s="200"/>
      <c r="D111" s="201"/>
      <c r="E111" s="110"/>
      <c r="F111" s="109"/>
      <c r="G111" s="109"/>
    </row>
    <row r="112" spans="1:17" ht="27.75" customHeight="1" x14ac:dyDescent="0.2">
      <c r="A112" s="104"/>
      <c r="B112" s="202" t="s">
        <v>171</v>
      </c>
      <c r="C112" s="203"/>
      <c r="D112" s="86" t="s">
        <v>172</v>
      </c>
      <c r="E112" s="110"/>
      <c r="F112" s="109"/>
      <c r="G112" s="109"/>
    </row>
    <row r="113" spans="1:10" ht="12.75" customHeight="1" x14ac:dyDescent="0.2">
      <c r="A113" s="104"/>
      <c r="B113" s="202" t="s">
        <v>947</v>
      </c>
      <c r="C113" s="203"/>
      <c r="D113" s="86" t="str">
        <f>"Rs. "&amp;TEXT(F50,"0.00")&amp;" lacs/ "&amp;IF(ROUND((G50*100),2) = 0,"#",(TEXT((G50*100),"0.00")&amp;"%"))</f>
        <v>Rs. 6.53 lacs/ #</v>
      </c>
      <c r="E113" s="110"/>
      <c r="F113" s="109"/>
      <c r="G113" s="109"/>
    </row>
    <row r="114" spans="1:10" ht="12.75" x14ac:dyDescent="0.2">
      <c r="A114" s="104"/>
      <c r="B114" s="202" t="s">
        <v>173</v>
      </c>
      <c r="C114" s="203"/>
      <c r="D114" s="111" t="s">
        <v>143</v>
      </c>
      <c r="E114" s="110"/>
      <c r="F114" s="109"/>
      <c r="G114" s="109"/>
    </row>
    <row r="115" spans="1:10" ht="12.75" x14ac:dyDescent="0.2">
      <c r="A115" s="112"/>
      <c r="B115" s="113" t="s">
        <v>143</v>
      </c>
      <c r="C115" s="113" t="s">
        <v>948</v>
      </c>
      <c r="D115" s="113" t="s">
        <v>174</v>
      </c>
      <c r="E115" s="112"/>
      <c r="F115" s="112"/>
      <c r="G115" s="112"/>
      <c r="H115" s="112"/>
      <c r="J115" s="106"/>
    </row>
    <row r="116" spans="1:10" ht="12.75" x14ac:dyDescent="0.2">
      <c r="A116" s="112"/>
      <c r="B116" s="114" t="s">
        <v>175</v>
      </c>
      <c r="C116" s="115">
        <v>45869</v>
      </c>
      <c r="D116" s="115">
        <v>45900</v>
      </c>
      <c r="E116" s="112"/>
      <c r="F116" s="112"/>
      <c r="G116" s="112"/>
      <c r="J116" s="106"/>
    </row>
    <row r="117" spans="1:10" ht="14.25" customHeight="1" x14ac:dyDescent="0.2">
      <c r="A117" s="116"/>
      <c r="B117" s="89" t="s">
        <v>176</v>
      </c>
      <c r="C117" s="117">
        <v>106.63</v>
      </c>
      <c r="D117" s="117">
        <v>108.2265</v>
      </c>
      <c r="E117" s="116"/>
      <c r="F117" s="118"/>
      <c r="G117" s="119"/>
    </row>
    <row r="118" spans="1:10" ht="14.25" customHeight="1" x14ac:dyDescent="0.2">
      <c r="A118" s="116"/>
      <c r="B118" s="89" t="s">
        <v>954</v>
      </c>
      <c r="C118" s="117">
        <v>32.923499999999997</v>
      </c>
      <c r="D118" s="117">
        <v>33.416499999999999</v>
      </c>
      <c r="E118" s="116"/>
      <c r="F118" s="118"/>
      <c r="G118" s="119"/>
    </row>
    <row r="119" spans="1:10" ht="14.25" customHeight="1" x14ac:dyDescent="0.2">
      <c r="A119" s="116"/>
      <c r="B119" s="89" t="s">
        <v>177</v>
      </c>
      <c r="C119" s="117">
        <v>97.240700000000004</v>
      </c>
      <c r="D119" s="117">
        <v>98.624600000000001</v>
      </c>
      <c r="E119" s="116"/>
      <c r="F119" s="118"/>
      <c r="G119" s="119"/>
    </row>
    <row r="120" spans="1:10" ht="14.25" customHeight="1" x14ac:dyDescent="0.2">
      <c r="A120" s="116"/>
      <c r="B120" s="89" t="s">
        <v>955</v>
      </c>
      <c r="C120" s="117">
        <v>29.526800000000001</v>
      </c>
      <c r="D120" s="117">
        <v>29.946999999999999</v>
      </c>
      <c r="E120" s="116"/>
      <c r="F120" s="118"/>
      <c r="G120" s="119"/>
    </row>
    <row r="121" spans="1:10" ht="14.25" customHeight="1" x14ac:dyDescent="0.2">
      <c r="A121" s="116"/>
      <c r="B121" s="116"/>
      <c r="C121" s="116"/>
      <c r="D121" s="116"/>
      <c r="E121" s="116"/>
      <c r="F121" s="116"/>
      <c r="G121" s="116"/>
    </row>
    <row r="122" spans="1:10" ht="12.75" x14ac:dyDescent="0.2">
      <c r="A122" s="112"/>
      <c r="B122" s="202" t="s">
        <v>949</v>
      </c>
      <c r="C122" s="203"/>
      <c r="D122" s="86" t="s">
        <v>172</v>
      </c>
      <c r="E122" s="112"/>
      <c r="F122" s="112"/>
      <c r="G122" s="112"/>
    </row>
    <row r="123" spans="1:10" ht="12.75" x14ac:dyDescent="0.2">
      <c r="A123" s="112"/>
      <c r="B123" s="120"/>
      <c r="C123" s="120"/>
      <c r="D123" s="120"/>
      <c r="E123" s="112"/>
      <c r="F123" s="112"/>
      <c r="G123" s="112"/>
    </row>
    <row r="124" spans="1:10" ht="12.75" x14ac:dyDescent="0.2">
      <c r="A124" s="112"/>
      <c r="B124" s="202" t="s">
        <v>178</v>
      </c>
      <c r="C124" s="203"/>
      <c r="D124" s="86" t="s">
        <v>172</v>
      </c>
      <c r="E124" s="121"/>
      <c r="F124" s="112"/>
      <c r="G124" s="112"/>
    </row>
    <row r="125" spans="1:10" ht="12.75" x14ac:dyDescent="0.2">
      <c r="A125" s="112"/>
      <c r="B125" s="202" t="s">
        <v>179</v>
      </c>
      <c r="C125" s="203"/>
      <c r="D125" s="86" t="s">
        <v>172</v>
      </c>
      <c r="E125" s="121"/>
      <c r="F125" s="112"/>
      <c r="G125" s="112"/>
    </row>
    <row r="126" spans="1:10" ht="17.100000000000001" customHeight="1" x14ac:dyDescent="0.2">
      <c r="A126" s="112"/>
      <c r="B126" s="202" t="s">
        <v>180</v>
      </c>
      <c r="C126" s="203"/>
      <c r="D126" s="86" t="s">
        <v>172</v>
      </c>
      <c r="E126" s="121"/>
      <c r="F126" s="112"/>
      <c r="G126" s="112"/>
    </row>
    <row r="127" spans="1:10" ht="17.100000000000001" customHeight="1" x14ac:dyDescent="0.2">
      <c r="A127" s="112"/>
      <c r="B127" s="202" t="s">
        <v>181</v>
      </c>
      <c r="C127" s="203"/>
      <c r="D127" s="122">
        <v>0.2541829382542532</v>
      </c>
      <c r="E127" s="112"/>
      <c r="F127" s="105"/>
      <c r="G127" s="123"/>
    </row>
    <row r="128" spans="1:10" ht="12.75" x14ac:dyDescent="0.2"/>
    <row r="129" spans="2:10" ht="12.75" x14ac:dyDescent="0.2">
      <c r="B129" s="204" t="s">
        <v>950</v>
      </c>
      <c r="C129" s="204"/>
    </row>
    <row r="130" spans="2:10" ht="12.75" x14ac:dyDescent="0.2"/>
    <row r="131" spans="2:10" ht="153.75" customHeight="1" x14ac:dyDescent="0.2"/>
    <row r="132" spans="2:10" ht="12.75" x14ac:dyDescent="0.2"/>
    <row r="133" spans="2:10" ht="12.75" x14ac:dyDescent="0.2"/>
    <row r="134" spans="2:10" ht="12.75" x14ac:dyDescent="0.2">
      <c r="B134" s="124" t="s">
        <v>951</v>
      </c>
      <c r="C134" s="125"/>
      <c r="D134" s="124"/>
    </row>
    <row r="135" spans="2:10" ht="12.75" x14ac:dyDescent="0.2">
      <c r="B135" s="124" t="s">
        <v>1122</v>
      </c>
      <c r="D135" s="124"/>
    </row>
    <row r="136" spans="2:10" ht="165" customHeight="1" x14ac:dyDescent="0.2"/>
    <row r="137" spans="2:10" ht="12.75" x14ac:dyDescent="0.2"/>
    <row r="138" spans="2:10" ht="12.75" x14ac:dyDescent="0.2">
      <c r="J138" s="84"/>
    </row>
  </sheetData>
  <mergeCells count="18">
    <mergeCell ref="B108:H108"/>
    <mergeCell ref="B109:H109"/>
    <mergeCell ref="B111:D111"/>
    <mergeCell ref="B112:C112"/>
    <mergeCell ref="B129:C129"/>
    <mergeCell ref="A1:H1"/>
    <mergeCell ref="A2:H2"/>
    <mergeCell ref="A3:H3"/>
    <mergeCell ref="B122:C122"/>
    <mergeCell ref="B126:C126"/>
    <mergeCell ref="B127:C127"/>
    <mergeCell ref="B105:H105"/>
    <mergeCell ref="B106:H106"/>
    <mergeCell ref="B113:C113"/>
    <mergeCell ref="B114:C114"/>
    <mergeCell ref="B124:C124"/>
    <mergeCell ref="B125:C125"/>
    <mergeCell ref="B107:H107"/>
  </mergeCells>
  <hyperlinks>
    <hyperlink ref="I1" location="Index!B2" display="Index" xr:uid="{E07CE033-C437-4A96-88FC-C785F030A0AC}"/>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826E4-B959-441E-8C42-0D93938444FC}">
  <sheetPr>
    <outlinePr summaryBelow="0" summaryRight="0"/>
  </sheetPr>
  <dimension ref="A1:Q166"/>
  <sheetViews>
    <sheetView showGridLines="0" workbookViewId="0">
      <selection sqref="A1:H1"/>
    </sheetView>
  </sheetViews>
  <sheetFormatPr defaultRowHeight="14.25" customHeight="1" x14ac:dyDescent="0.2"/>
  <cols>
    <col min="1" max="1" width="5.85546875" bestFit="1" customWidth="1"/>
    <col min="2" max="2" width="19.7109375" customWidth="1"/>
    <col min="3" max="3" width="44.5703125" bestFit="1" customWidth="1"/>
    <col min="4" max="4" width="20.85546875" bestFit="1" customWidth="1"/>
    <col min="5" max="5" width="13.570312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811</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11</v>
      </c>
      <c r="C7" s="89" t="s">
        <v>12</v>
      </c>
      <c r="D7" s="89" t="s">
        <v>13</v>
      </c>
      <c r="E7" s="90">
        <v>1811705</v>
      </c>
      <c r="F7" s="91">
        <v>34219.484040000003</v>
      </c>
      <c r="G7" s="92">
        <v>7.8981369999999995E-2</v>
      </c>
      <c r="H7" s="87" t="s">
        <v>143</v>
      </c>
    </row>
    <row r="8" spans="1:9" ht="14.25" customHeight="1" x14ac:dyDescent="0.2">
      <c r="A8" s="88">
        <v>2</v>
      </c>
      <c r="B8" s="89" t="s">
        <v>321</v>
      </c>
      <c r="C8" s="89" t="s">
        <v>322</v>
      </c>
      <c r="D8" s="89" t="s">
        <v>33</v>
      </c>
      <c r="E8" s="90">
        <v>3239118</v>
      </c>
      <c r="F8" s="91">
        <v>30823.446887999999</v>
      </c>
      <c r="G8" s="92">
        <v>7.1143029999999996E-2</v>
      </c>
      <c r="H8" s="87" t="s">
        <v>143</v>
      </c>
    </row>
    <row r="9" spans="1:9" ht="14.25" customHeight="1" x14ac:dyDescent="0.2">
      <c r="A9" s="88">
        <v>3</v>
      </c>
      <c r="B9" s="89" t="s">
        <v>17</v>
      </c>
      <c r="C9" s="89" t="s">
        <v>18</v>
      </c>
      <c r="D9" s="89" t="s">
        <v>19</v>
      </c>
      <c r="E9" s="90">
        <v>1532287</v>
      </c>
      <c r="F9" s="91">
        <v>20796.199164000001</v>
      </c>
      <c r="G9" s="92">
        <v>4.799933E-2</v>
      </c>
      <c r="H9" s="87" t="s">
        <v>143</v>
      </c>
    </row>
    <row r="10" spans="1:9" ht="14.25" customHeight="1" x14ac:dyDescent="0.2">
      <c r="A10" s="88">
        <v>4</v>
      </c>
      <c r="B10" s="89" t="s">
        <v>343</v>
      </c>
      <c r="C10" s="89" t="s">
        <v>344</v>
      </c>
      <c r="D10" s="89" t="s">
        <v>275</v>
      </c>
      <c r="E10" s="90">
        <v>6560070</v>
      </c>
      <c r="F10" s="91">
        <v>20595.339765000001</v>
      </c>
      <c r="G10" s="92">
        <v>4.7535729999999998E-2</v>
      </c>
      <c r="H10" s="87" t="s">
        <v>143</v>
      </c>
    </row>
    <row r="11" spans="1:9" ht="14.25" customHeight="1" x14ac:dyDescent="0.2">
      <c r="A11" s="88">
        <v>5</v>
      </c>
      <c r="B11" s="89" t="s">
        <v>327</v>
      </c>
      <c r="C11" s="89" t="s">
        <v>328</v>
      </c>
      <c r="D11" s="89" t="s">
        <v>33</v>
      </c>
      <c r="E11" s="90">
        <v>1674071</v>
      </c>
      <c r="F11" s="91">
        <v>17497.390092000001</v>
      </c>
      <c r="G11" s="92">
        <v>4.0385409999999997E-2</v>
      </c>
      <c r="H11" s="87" t="s">
        <v>143</v>
      </c>
    </row>
    <row r="12" spans="1:9" ht="14.25" customHeight="1" x14ac:dyDescent="0.2">
      <c r="A12" s="88">
        <v>6</v>
      </c>
      <c r="B12" s="89" t="s">
        <v>60</v>
      </c>
      <c r="C12" s="89" t="s">
        <v>61</v>
      </c>
      <c r="D12" s="89" t="s">
        <v>62</v>
      </c>
      <c r="E12" s="90">
        <v>1090073</v>
      </c>
      <c r="F12" s="91">
        <v>14310.478343999999</v>
      </c>
      <c r="G12" s="92">
        <v>3.3029749999999997E-2</v>
      </c>
      <c r="H12" s="87" t="s">
        <v>143</v>
      </c>
    </row>
    <row r="13" spans="1:9" ht="14.25" customHeight="1" x14ac:dyDescent="0.2">
      <c r="A13" s="88">
        <v>7</v>
      </c>
      <c r="B13" s="89" t="s">
        <v>730</v>
      </c>
      <c r="C13" s="89" t="s">
        <v>731</v>
      </c>
      <c r="D13" s="89" t="s">
        <v>188</v>
      </c>
      <c r="E13" s="90">
        <v>164533</v>
      </c>
      <c r="F13" s="91">
        <v>12520.961300000001</v>
      </c>
      <c r="G13" s="92">
        <v>2.8899399999999999E-2</v>
      </c>
      <c r="H13" s="87" t="s">
        <v>143</v>
      </c>
    </row>
    <row r="14" spans="1:9" ht="14.25" customHeight="1" x14ac:dyDescent="0.2">
      <c r="A14" s="88">
        <v>8</v>
      </c>
      <c r="B14" s="89" t="s">
        <v>31</v>
      </c>
      <c r="C14" s="89" t="s">
        <v>32</v>
      </c>
      <c r="D14" s="89" t="s">
        <v>33</v>
      </c>
      <c r="E14" s="90">
        <v>829125</v>
      </c>
      <c r="F14" s="91">
        <v>11589.509249999999</v>
      </c>
      <c r="G14" s="92">
        <v>2.6749530000000001E-2</v>
      </c>
      <c r="H14" s="87" t="s">
        <v>143</v>
      </c>
    </row>
    <row r="15" spans="1:9" ht="14.25" customHeight="1" x14ac:dyDescent="0.2">
      <c r="A15" s="88">
        <v>9</v>
      </c>
      <c r="B15" s="89" t="s">
        <v>479</v>
      </c>
      <c r="C15" s="89" t="s">
        <v>480</v>
      </c>
      <c r="D15" s="89" t="s">
        <v>275</v>
      </c>
      <c r="E15" s="90">
        <v>851674</v>
      </c>
      <c r="F15" s="91">
        <v>11566.584594</v>
      </c>
      <c r="G15" s="92">
        <v>2.6696620000000001E-2</v>
      </c>
      <c r="H15" s="87" t="s">
        <v>143</v>
      </c>
    </row>
    <row r="16" spans="1:9" ht="14.25" customHeight="1" x14ac:dyDescent="0.2">
      <c r="A16" s="88">
        <v>10</v>
      </c>
      <c r="B16" s="89" t="s">
        <v>301</v>
      </c>
      <c r="C16" s="89" t="s">
        <v>302</v>
      </c>
      <c r="D16" s="89" t="s">
        <v>263</v>
      </c>
      <c r="E16" s="90">
        <v>1864265</v>
      </c>
      <c r="F16" s="91">
        <v>11182.7936025</v>
      </c>
      <c r="G16" s="92">
        <v>2.5810799999999998E-2</v>
      </c>
      <c r="H16" s="87" t="s">
        <v>143</v>
      </c>
    </row>
    <row r="17" spans="1:8" ht="14.25" customHeight="1" x14ac:dyDescent="0.2">
      <c r="A17" s="88">
        <v>11</v>
      </c>
      <c r="B17" s="89" t="s">
        <v>250</v>
      </c>
      <c r="C17" s="89" t="s">
        <v>251</v>
      </c>
      <c r="D17" s="89" t="s">
        <v>191</v>
      </c>
      <c r="E17" s="90">
        <v>1919216</v>
      </c>
      <c r="F17" s="91">
        <v>11136.250840000001</v>
      </c>
      <c r="G17" s="92">
        <v>2.5703380000000001E-2</v>
      </c>
      <c r="H17" s="87" t="s">
        <v>143</v>
      </c>
    </row>
    <row r="18" spans="1:8" ht="14.25" customHeight="1" x14ac:dyDescent="0.2">
      <c r="A18" s="88">
        <v>12</v>
      </c>
      <c r="B18" s="89" t="s">
        <v>527</v>
      </c>
      <c r="C18" s="89" t="s">
        <v>528</v>
      </c>
      <c r="D18" s="89" t="s">
        <v>191</v>
      </c>
      <c r="E18" s="90">
        <v>545635</v>
      </c>
      <c r="F18" s="91">
        <v>10440.725725</v>
      </c>
      <c r="G18" s="92">
        <v>2.4098049999999999E-2</v>
      </c>
      <c r="H18" s="87" t="s">
        <v>143</v>
      </c>
    </row>
    <row r="19" spans="1:8" ht="14.25" customHeight="1" x14ac:dyDescent="0.2">
      <c r="A19" s="88">
        <v>13</v>
      </c>
      <c r="B19" s="89" t="s">
        <v>423</v>
      </c>
      <c r="C19" s="89" t="s">
        <v>424</v>
      </c>
      <c r="D19" s="89" t="s">
        <v>46</v>
      </c>
      <c r="E19" s="90">
        <v>275874</v>
      </c>
      <c r="F19" s="91">
        <v>10010.915712</v>
      </c>
      <c r="G19" s="92">
        <v>2.310601E-2</v>
      </c>
      <c r="H19" s="87" t="s">
        <v>143</v>
      </c>
    </row>
    <row r="20" spans="1:8" ht="14.25" customHeight="1" x14ac:dyDescent="0.2">
      <c r="A20" s="88">
        <v>14</v>
      </c>
      <c r="B20" s="89" t="s">
        <v>358</v>
      </c>
      <c r="C20" s="89" t="s">
        <v>359</v>
      </c>
      <c r="D20" s="89" t="s">
        <v>188</v>
      </c>
      <c r="E20" s="90">
        <v>1639820</v>
      </c>
      <c r="F20" s="91">
        <v>9856.1381099999999</v>
      </c>
      <c r="G20" s="92">
        <v>2.2748770000000001E-2</v>
      </c>
      <c r="H20" s="87" t="s">
        <v>143</v>
      </c>
    </row>
    <row r="21" spans="1:8" ht="14.25" customHeight="1" x14ac:dyDescent="0.2">
      <c r="A21" s="88">
        <v>15</v>
      </c>
      <c r="B21" s="89" t="s">
        <v>341</v>
      </c>
      <c r="C21" s="89" t="s">
        <v>342</v>
      </c>
      <c r="D21" s="89" t="s">
        <v>256</v>
      </c>
      <c r="E21" s="90">
        <v>504624</v>
      </c>
      <c r="F21" s="91">
        <v>9626.2074240000002</v>
      </c>
      <c r="G21" s="92">
        <v>2.2218069999999999E-2</v>
      </c>
      <c r="H21" s="87" t="s">
        <v>143</v>
      </c>
    </row>
    <row r="22" spans="1:8" ht="14.25" customHeight="1" x14ac:dyDescent="0.2">
      <c r="A22" s="88">
        <v>16</v>
      </c>
      <c r="B22" s="89" t="s">
        <v>407</v>
      </c>
      <c r="C22" s="89" t="s">
        <v>408</v>
      </c>
      <c r="D22" s="89" t="s">
        <v>191</v>
      </c>
      <c r="E22" s="90">
        <v>1244766</v>
      </c>
      <c r="F22" s="91">
        <v>9380.5565760000009</v>
      </c>
      <c r="G22" s="92">
        <v>2.1651090000000001E-2</v>
      </c>
      <c r="H22" s="87" t="s">
        <v>143</v>
      </c>
    </row>
    <row r="23" spans="1:8" ht="14.25" customHeight="1" x14ac:dyDescent="0.2">
      <c r="A23" s="88">
        <v>17</v>
      </c>
      <c r="B23" s="89" t="s">
        <v>87</v>
      </c>
      <c r="C23" s="89" t="s">
        <v>88</v>
      </c>
      <c r="D23" s="89" t="s">
        <v>13</v>
      </c>
      <c r="E23" s="90">
        <v>2418626</v>
      </c>
      <c r="F23" s="91">
        <v>8189.4676360000003</v>
      </c>
      <c r="G23" s="92">
        <v>1.8901959999999999E-2</v>
      </c>
      <c r="H23" s="87" t="s">
        <v>143</v>
      </c>
    </row>
    <row r="24" spans="1:8" ht="14.25" customHeight="1" x14ac:dyDescent="0.2">
      <c r="A24" s="88">
        <v>18</v>
      </c>
      <c r="B24" s="89" t="s">
        <v>360</v>
      </c>
      <c r="C24" s="89" t="s">
        <v>361</v>
      </c>
      <c r="D24" s="89" t="s">
        <v>207</v>
      </c>
      <c r="E24" s="90">
        <v>2321128</v>
      </c>
      <c r="F24" s="91">
        <v>7591.2491239999999</v>
      </c>
      <c r="G24" s="92">
        <v>1.7521220000000001E-2</v>
      </c>
      <c r="H24" s="87" t="s">
        <v>143</v>
      </c>
    </row>
    <row r="25" spans="1:8" ht="14.25" customHeight="1" x14ac:dyDescent="0.2">
      <c r="A25" s="88">
        <v>19</v>
      </c>
      <c r="B25" s="89" t="s">
        <v>368</v>
      </c>
      <c r="C25" s="89" t="s">
        <v>369</v>
      </c>
      <c r="D25" s="89" t="s">
        <v>33</v>
      </c>
      <c r="E25" s="90">
        <v>16826796</v>
      </c>
      <c r="F25" s="91">
        <v>7181.6765328000001</v>
      </c>
      <c r="G25" s="92">
        <v>1.6575900000000001E-2</v>
      </c>
      <c r="H25" s="87" t="s">
        <v>143</v>
      </c>
    </row>
    <row r="26" spans="1:8" ht="14.25" customHeight="1" x14ac:dyDescent="0.2">
      <c r="A26" s="88">
        <v>20</v>
      </c>
      <c r="B26" s="89" t="s">
        <v>216</v>
      </c>
      <c r="C26" s="89" t="s">
        <v>217</v>
      </c>
      <c r="D26" s="89" t="s">
        <v>77</v>
      </c>
      <c r="E26" s="90">
        <v>457842</v>
      </c>
      <c r="F26" s="91">
        <v>6882.2809440000001</v>
      </c>
      <c r="G26" s="92">
        <v>1.5884869999999999E-2</v>
      </c>
      <c r="H26" s="87" t="s">
        <v>143</v>
      </c>
    </row>
    <row r="27" spans="1:8" ht="14.25" customHeight="1" x14ac:dyDescent="0.2">
      <c r="A27" s="88">
        <v>21</v>
      </c>
      <c r="B27" s="89" t="s">
        <v>226</v>
      </c>
      <c r="C27" s="89" t="s">
        <v>227</v>
      </c>
      <c r="D27" s="89" t="s">
        <v>207</v>
      </c>
      <c r="E27" s="90">
        <v>663825</v>
      </c>
      <c r="F27" s="91">
        <v>6706.6239750000004</v>
      </c>
      <c r="G27" s="92">
        <v>1.5479440000000001E-2</v>
      </c>
      <c r="H27" s="87" t="s">
        <v>143</v>
      </c>
    </row>
    <row r="28" spans="1:8" ht="14.25" customHeight="1" x14ac:dyDescent="0.2">
      <c r="A28" s="88">
        <v>22</v>
      </c>
      <c r="B28" s="89" t="s">
        <v>89</v>
      </c>
      <c r="C28" s="89" t="s">
        <v>90</v>
      </c>
      <c r="D28" s="89" t="s">
        <v>53</v>
      </c>
      <c r="E28" s="90">
        <v>1343146</v>
      </c>
      <c r="F28" s="91">
        <v>6286.5948529999996</v>
      </c>
      <c r="G28" s="92">
        <v>1.450998E-2</v>
      </c>
      <c r="H28" s="87" t="s">
        <v>143</v>
      </c>
    </row>
    <row r="29" spans="1:8" ht="14.25" customHeight="1" x14ac:dyDescent="0.2">
      <c r="A29" s="88">
        <v>23</v>
      </c>
      <c r="B29" s="89" t="s">
        <v>385</v>
      </c>
      <c r="C29" s="89" t="s">
        <v>386</v>
      </c>
      <c r="D29" s="89" t="s">
        <v>199</v>
      </c>
      <c r="E29" s="90">
        <v>1217518</v>
      </c>
      <c r="F29" s="91">
        <v>6231.2571239999997</v>
      </c>
      <c r="G29" s="92">
        <v>1.4382249999999999E-2</v>
      </c>
      <c r="H29" s="87" t="s">
        <v>143</v>
      </c>
    </row>
    <row r="30" spans="1:8" ht="14.25" customHeight="1" x14ac:dyDescent="0.2">
      <c r="A30" s="88">
        <v>24</v>
      </c>
      <c r="B30" s="89" t="s">
        <v>186</v>
      </c>
      <c r="C30" s="89" t="s">
        <v>187</v>
      </c>
      <c r="D30" s="89" t="s">
        <v>188</v>
      </c>
      <c r="E30" s="90">
        <v>670186</v>
      </c>
      <c r="F30" s="91">
        <v>6108.74539</v>
      </c>
      <c r="G30" s="92">
        <v>1.4099479999999999E-2</v>
      </c>
      <c r="H30" s="87" t="s">
        <v>143</v>
      </c>
    </row>
    <row r="31" spans="1:8" ht="14.25" customHeight="1" x14ac:dyDescent="0.2">
      <c r="A31" s="88">
        <v>25</v>
      </c>
      <c r="B31" s="89" t="s">
        <v>364</v>
      </c>
      <c r="C31" s="89" t="s">
        <v>365</v>
      </c>
      <c r="D31" s="89" t="s">
        <v>33</v>
      </c>
      <c r="E31" s="90">
        <v>1561198</v>
      </c>
      <c r="F31" s="91">
        <v>5660.9039480000001</v>
      </c>
      <c r="G31" s="92">
        <v>1.306583E-2</v>
      </c>
      <c r="H31" s="87" t="s">
        <v>143</v>
      </c>
    </row>
    <row r="32" spans="1:8" ht="14.25" customHeight="1" x14ac:dyDescent="0.2">
      <c r="A32" s="88">
        <v>26</v>
      </c>
      <c r="B32" s="89" t="s">
        <v>678</v>
      </c>
      <c r="C32" s="89" t="s">
        <v>679</v>
      </c>
      <c r="D32" s="89" t="s">
        <v>199</v>
      </c>
      <c r="E32" s="90">
        <v>109074</v>
      </c>
      <c r="F32" s="91">
        <v>5599.3137900000002</v>
      </c>
      <c r="G32" s="92">
        <v>1.292367E-2</v>
      </c>
      <c r="H32" s="87" t="s">
        <v>143</v>
      </c>
    </row>
    <row r="33" spans="1:8" ht="14.25" customHeight="1" x14ac:dyDescent="0.2">
      <c r="A33" s="88">
        <v>27</v>
      </c>
      <c r="B33" s="89" t="s">
        <v>449</v>
      </c>
      <c r="C33" s="89" t="s">
        <v>450</v>
      </c>
      <c r="D33" s="89" t="s">
        <v>33</v>
      </c>
      <c r="E33" s="90">
        <v>746276</v>
      </c>
      <c r="F33" s="91">
        <v>5518.7110199999997</v>
      </c>
      <c r="G33" s="92">
        <v>1.273764E-2</v>
      </c>
      <c r="H33" s="87" t="s">
        <v>143</v>
      </c>
    </row>
    <row r="34" spans="1:8" ht="14.25" customHeight="1" x14ac:dyDescent="0.2">
      <c r="A34" s="88">
        <v>28</v>
      </c>
      <c r="B34" s="89" t="s">
        <v>475</v>
      </c>
      <c r="C34" s="89" t="s">
        <v>476</v>
      </c>
      <c r="D34" s="89" t="s">
        <v>263</v>
      </c>
      <c r="E34" s="90">
        <v>1041746</v>
      </c>
      <c r="F34" s="91">
        <v>5269.1512679999996</v>
      </c>
      <c r="G34" s="92">
        <v>1.216163E-2</v>
      </c>
      <c r="H34" s="87" t="s">
        <v>143</v>
      </c>
    </row>
    <row r="35" spans="1:8" ht="14.25" customHeight="1" x14ac:dyDescent="0.2">
      <c r="A35" s="88">
        <v>29</v>
      </c>
      <c r="B35" s="89" t="s">
        <v>398</v>
      </c>
      <c r="C35" s="89" t="s">
        <v>399</v>
      </c>
      <c r="D35" s="89" t="s">
        <v>207</v>
      </c>
      <c r="E35" s="90">
        <v>717133</v>
      </c>
      <c r="F35" s="91">
        <v>5149.3735065000001</v>
      </c>
      <c r="G35" s="92">
        <v>1.188518E-2</v>
      </c>
      <c r="H35" s="87" t="s">
        <v>143</v>
      </c>
    </row>
    <row r="36" spans="1:8" ht="14.25" customHeight="1" x14ac:dyDescent="0.2">
      <c r="A36" s="88">
        <v>30</v>
      </c>
      <c r="B36" s="89" t="s">
        <v>400</v>
      </c>
      <c r="C36" s="89" t="s">
        <v>401</v>
      </c>
      <c r="D36" s="89" t="s">
        <v>256</v>
      </c>
      <c r="E36" s="90">
        <v>1096915</v>
      </c>
      <c r="F36" s="91">
        <v>5063.3596399999997</v>
      </c>
      <c r="G36" s="92">
        <v>1.168665E-2</v>
      </c>
      <c r="H36" s="87" t="s">
        <v>143</v>
      </c>
    </row>
    <row r="37" spans="1:8" ht="14.25" customHeight="1" x14ac:dyDescent="0.2">
      <c r="A37" s="88">
        <v>31</v>
      </c>
      <c r="B37" s="89" t="s">
        <v>325</v>
      </c>
      <c r="C37" s="89" t="s">
        <v>326</v>
      </c>
      <c r="D37" s="89" t="s">
        <v>199</v>
      </c>
      <c r="E37" s="90">
        <v>344194</v>
      </c>
      <c r="F37" s="91">
        <v>5058.2750239999996</v>
      </c>
      <c r="G37" s="92">
        <v>1.167491E-2</v>
      </c>
      <c r="H37" s="87" t="s">
        <v>143</v>
      </c>
    </row>
    <row r="38" spans="1:8" ht="14.25" customHeight="1" x14ac:dyDescent="0.2">
      <c r="A38" s="88">
        <v>32</v>
      </c>
      <c r="B38" s="89" t="s">
        <v>376</v>
      </c>
      <c r="C38" s="89" t="s">
        <v>377</v>
      </c>
      <c r="D38" s="89" t="s">
        <v>223</v>
      </c>
      <c r="E38" s="90">
        <v>223340</v>
      </c>
      <c r="F38" s="91">
        <v>4935.3673200000003</v>
      </c>
      <c r="G38" s="92">
        <v>1.139123E-2</v>
      </c>
      <c r="H38" s="87" t="s">
        <v>143</v>
      </c>
    </row>
    <row r="39" spans="1:8" ht="14.25" customHeight="1" x14ac:dyDescent="0.2">
      <c r="A39" s="88">
        <v>33</v>
      </c>
      <c r="B39" s="89" t="s">
        <v>380</v>
      </c>
      <c r="C39" s="89" t="s">
        <v>381</v>
      </c>
      <c r="D39" s="89" t="s">
        <v>382</v>
      </c>
      <c r="E39" s="90">
        <v>425515</v>
      </c>
      <c r="F39" s="91">
        <v>4765.3424850000001</v>
      </c>
      <c r="G39" s="92">
        <v>1.09988E-2</v>
      </c>
      <c r="H39" s="87" t="s">
        <v>143</v>
      </c>
    </row>
    <row r="40" spans="1:8" ht="14.25" customHeight="1" x14ac:dyDescent="0.2">
      <c r="A40" s="88">
        <v>34</v>
      </c>
      <c r="B40" s="89" t="s">
        <v>351</v>
      </c>
      <c r="C40" s="89" t="s">
        <v>352</v>
      </c>
      <c r="D40" s="89" t="s">
        <v>191</v>
      </c>
      <c r="E40" s="90">
        <v>333014</v>
      </c>
      <c r="F40" s="91">
        <v>4731.1298980000001</v>
      </c>
      <c r="G40" s="92">
        <v>1.091983E-2</v>
      </c>
      <c r="H40" s="87" t="s">
        <v>143</v>
      </c>
    </row>
    <row r="41" spans="1:8" ht="14.25" customHeight="1" x14ac:dyDescent="0.2">
      <c r="A41" s="88">
        <v>35</v>
      </c>
      <c r="B41" s="89" t="s">
        <v>383</v>
      </c>
      <c r="C41" s="89" t="s">
        <v>384</v>
      </c>
      <c r="D41" s="89" t="s">
        <v>33</v>
      </c>
      <c r="E41" s="90">
        <v>9120524</v>
      </c>
      <c r="F41" s="91">
        <v>4584.8874148000004</v>
      </c>
      <c r="G41" s="92">
        <v>1.0582299999999999E-2</v>
      </c>
      <c r="H41" s="87" t="s">
        <v>143</v>
      </c>
    </row>
    <row r="42" spans="1:8" ht="14.25" customHeight="1" x14ac:dyDescent="0.2">
      <c r="A42" s="88">
        <v>36</v>
      </c>
      <c r="B42" s="89" t="s">
        <v>744</v>
      </c>
      <c r="C42" s="89" t="s">
        <v>745</v>
      </c>
      <c r="D42" s="89" t="s">
        <v>188</v>
      </c>
      <c r="E42" s="90">
        <v>206251</v>
      </c>
      <c r="F42" s="91">
        <v>4513.8031350000001</v>
      </c>
      <c r="G42" s="92">
        <v>1.0418230000000001E-2</v>
      </c>
      <c r="H42" s="87" t="s">
        <v>143</v>
      </c>
    </row>
    <row r="43" spans="1:8" ht="14.25" customHeight="1" x14ac:dyDescent="0.2">
      <c r="A43" s="88">
        <v>37</v>
      </c>
      <c r="B43" s="89" t="s">
        <v>210</v>
      </c>
      <c r="C43" s="89" t="s">
        <v>211</v>
      </c>
      <c r="D43" s="89" t="s">
        <v>199</v>
      </c>
      <c r="E43" s="90">
        <v>257972</v>
      </c>
      <c r="F43" s="91">
        <v>4448.2111960000002</v>
      </c>
      <c r="G43" s="92">
        <v>1.0266839999999999E-2</v>
      </c>
      <c r="H43" s="87" t="s">
        <v>143</v>
      </c>
    </row>
    <row r="44" spans="1:8" ht="14.25" customHeight="1" x14ac:dyDescent="0.2">
      <c r="A44" s="88">
        <v>38</v>
      </c>
      <c r="B44" s="89" t="s">
        <v>684</v>
      </c>
      <c r="C44" s="89" t="s">
        <v>685</v>
      </c>
      <c r="D44" s="89" t="s">
        <v>191</v>
      </c>
      <c r="E44" s="90">
        <v>1260897</v>
      </c>
      <c r="F44" s="91">
        <v>4413.1395000000002</v>
      </c>
      <c r="G44" s="92">
        <v>1.018589E-2</v>
      </c>
      <c r="H44" s="87" t="s">
        <v>143</v>
      </c>
    </row>
    <row r="45" spans="1:8" ht="14.25" customHeight="1" x14ac:dyDescent="0.2">
      <c r="A45" s="88">
        <v>39</v>
      </c>
      <c r="B45" s="89" t="s">
        <v>323</v>
      </c>
      <c r="C45" s="89" t="s">
        <v>324</v>
      </c>
      <c r="D45" s="89" t="s">
        <v>33</v>
      </c>
      <c r="E45" s="90">
        <v>216759</v>
      </c>
      <c r="F45" s="91">
        <v>4249.1266770000002</v>
      </c>
      <c r="G45" s="92">
        <v>9.8073299999999995E-3</v>
      </c>
      <c r="H45" s="87" t="s">
        <v>143</v>
      </c>
    </row>
    <row r="46" spans="1:8" ht="14.25" customHeight="1" x14ac:dyDescent="0.2">
      <c r="A46" s="88">
        <v>40</v>
      </c>
      <c r="B46" s="89" t="s">
        <v>515</v>
      </c>
      <c r="C46" s="89" t="s">
        <v>516</v>
      </c>
      <c r="D46" s="89" t="s">
        <v>199</v>
      </c>
      <c r="E46" s="90">
        <v>275867</v>
      </c>
      <c r="F46" s="91">
        <v>4086.6937379999999</v>
      </c>
      <c r="G46" s="92">
        <v>9.4324200000000004E-3</v>
      </c>
      <c r="H46" s="87" t="s">
        <v>143</v>
      </c>
    </row>
    <row r="47" spans="1:8" ht="14.25" customHeight="1" x14ac:dyDescent="0.2">
      <c r="A47" s="88">
        <v>41</v>
      </c>
      <c r="B47" s="89" t="s">
        <v>51</v>
      </c>
      <c r="C47" s="89" t="s">
        <v>52</v>
      </c>
      <c r="D47" s="89" t="s">
        <v>53</v>
      </c>
      <c r="E47" s="90">
        <v>67648</v>
      </c>
      <c r="F47" s="91">
        <v>3819.4060800000002</v>
      </c>
      <c r="G47" s="92">
        <v>8.8155000000000004E-3</v>
      </c>
      <c r="H47" s="87" t="s">
        <v>143</v>
      </c>
    </row>
    <row r="48" spans="1:8" ht="14.25" customHeight="1" x14ac:dyDescent="0.2">
      <c r="A48" s="88">
        <v>42</v>
      </c>
      <c r="B48" s="89" t="s">
        <v>766</v>
      </c>
      <c r="C48" s="89" t="s">
        <v>767</v>
      </c>
      <c r="D48" s="89" t="s">
        <v>275</v>
      </c>
      <c r="E48" s="90">
        <v>918536</v>
      </c>
      <c r="F48" s="91">
        <v>3763.7012599999998</v>
      </c>
      <c r="G48" s="92">
        <v>8.6869300000000007E-3</v>
      </c>
      <c r="H48" s="87" t="s">
        <v>143</v>
      </c>
    </row>
    <row r="49" spans="1:8" ht="14.25" customHeight="1" x14ac:dyDescent="0.2">
      <c r="A49" s="88">
        <v>43</v>
      </c>
      <c r="B49" s="89" t="s">
        <v>484</v>
      </c>
      <c r="C49" s="89" t="s">
        <v>485</v>
      </c>
      <c r="D49" s="89" t="s">
        <v>223</v>
      </c>
      <c r="E49" s="90">
        <v>130000</v>
      </c>
      <c r="F49" s="91">
        <v>3643.9</v>
      </c>
      <c r="G49" s="92">
        <v>8.41042E-3</v>
      </c>
      <c r="H49" s="87" t="s">
        <v>143</v>
      </c>
    </row>
    <row r="50" spans="1:8" ht="14.25" customHeight="1" x14ac:dyDescent="0.2">
      <c r="A50" s="88">
        <v>44</v>
      </c>
      <c r="B50" s="89" t="s">
        <v>812</v>
      </c>
      <c r="C50" s="89" t="s">
        <v>813</v>
      </c>
      <c r="D50" s="89" t="s">
        <v>33</v>
      </c>
      <c r="E50" s="90">
        <v>2116706</v>
      </c>
      <c r="F50" s="91">
        <v>3424.8303080000001</v>
      </c>
      <c r="G50" s="92">
        <v>7.9047900000000001E-3</v>
      </c>
      <c r="H50" s="87" t="s">
        <v>143</v>
      </c>
    </row>
    <row r="51" spans="1:8" ht="14.25" customHeight="1" x14ac:dyDescent="0.2">
      <c r="A51" s="88">
        <v>45</v>
      </c>
      <c r="B51" s="89" t="s">
        <v>494</v>
      </c>
      <c r="C51" s="89" t="s">
        <v>495</v>
      </c>
      <c r="D51" s="89" t="s">
        <v>46</v>
      </c>
      <c r="E51" s="90">
        <v>880166</v>
      </c>
      <c r="F51" s="91">
        <v>3250.8931210000001</v>
      </c>
      <c r="G51" s="92">
        <v>7.5033299999999999E-3</v>
      </c>
      <c r="H51" s="87" t="s">
        <v>143</v>
      </c>
    </row>
    <row r="52" spans="1:8" ht="14.25" customHeight="1" x14ac:dyDescent="0.2">
      <c r="A52" s="88">
        <v>46</v>
      </c>
      <c r="B52" s="89" t="s">
        <v>387</v>
      </c>
      <c r="C52" s="89" t="s">
        <v>388</v>
      </c>
      <c r="D52" s="89" t="s">
        <v>389</v>
      </c>
      <c r="E52" s="90">
        <v>840615</v>
      </c>
      <c r="F52" s="91">
        <v>3026.2139999999999</v>
      </c>
      <c r="G52" s="92">
        <v>6.9847499999999996E-3</v>
      </c>
      <c r="H52" s="87" t="s">
        <v>143</v>
      </c>
    </row>
    <row r="53" spans="1:8" ht="14.25" customHeight="1" x14ac:dyDescent="0.2">
      <c r="A53" s="88">
        <v>47</v>
      </c>
      <c r="B53" s="89" t="s">
        <v>490</v>
      </c>
      <c r="C53" s="89" t="s">
        <v>491</v>
      </c>
      <c r="D53" s="89" t="s">
        <v>223</v>
      </c>
      <c r="E53" s="90">
        <v>202966</v>
      </c>
      <c r="F53" s="91">
        <v>2615.2169100000001</v>
      </c>
      <c r="G53" s="92">
        <v>6.0361299999999998E-3</v>
      </c>
      <c r="H53" s="87" t="s">
        <v>143</v>
      </c>
    </row>
    <row r="54" spans="1:8" ht="14.25" customHeight="1" x14ac:dyDescent="0.2">
      <c r="A54" s="88">
        <v>48</v>
      </c>
      <c r="B54" s="89" t="s">
        <v>339</v>
      </c>
      <c r="C54" s="89" t="s">
        <v>340</v>
      </c>
      <c r="D54" s="89" t="s">
        <v>223</v>
      </c>
      <c r="E54" s="90">
        <v>24358</v>
      </c>
      <c r="F54" s="91">
        <v>1800.0562</v>
      </c>
      <c r="G54" s="92">
        <v>4.15468E-3</v>
      </c>
      <c r="H54" s="87" t="s">
        <v>143</v>
      </c>
    </row>
    <row r="55" spans="1:8" ht="14.25" customHeight="1" x14ac:dyDescent="0.2">
      <c r="A55" s="88">
        <v>49</v>
      </c>
      <c r="B55" s="89" t="s">
        <v>394</v>
      </c>
      <c r="C55" s="89" t="s">
        <v>395</v>
      </c>
      <c r="D55" s="89" t="s">
        <v>191</v>
      </c>
      <c r="E55" s="90">
        <v>49461</v>
      </c>
      <c r="F55" s="91">
        <v>853.54847700000005</v>
      </c>
      <c r="G55" s="92">
        <v>1.97006E-3</v>
      </c>
      <c r="H55" s="87" t="s">
        <v>143</v>
      </c>
    </row>
    <row r="56" spans="1:8" ht="14.25" customHeight="1" x14ac:dyDescent="0.2">
      <c r="A56" s="93"/>
      <c r="B56" s="93"/>
      <c r="C56" s="94" t="s">
        <v>142</v>
      </c>
      <c r="D56" s="93"/>
      <c r="E56" s="93" t="s">
        <v>143</v>
      </c>
      <c r="F56" s="95">
        <v>404975.4329216</v>
      </c>
      <c r="G56" s="96">
        <v>0.93471641000000005</v>
      </c>
      <c r="H56" s="87" t="s">
        <v>143</v>
      </c>
    </row>
    <row r="57" spans="1:8" ht="14.25" customHeight="1" x14ac:dyDescent="0.2">
      <c r="A57" s="93"/>
      <c r="B57" s="93"/>
      <c r="C57" s="97"/>
      <c r="D57" s="93"/>
      <c r="E57" s="93"/>
      <c r="F57" s="98"/>
      <c r="G57" s="98"/>
      <c r="H57" s="87" t="s">
        <v>143</v>
      </c>
    </row>
    <row r="58" spans="1:8" ht="14.25" customHeight="1" x14ac:dyDescent="0.2">
      <c r="A58" s="93"/>
      <c r="B58" s="93"/>
      <c r="C58" s="94" t="s">
        <v>144</v>
      </c>
      <c r="D58" s="93"/>
      <c r="E58" s="93"/>
      <c r="F58" s="93"/>
      <c r="G58" s="93"/>
      <c r="H58" s="87" t="s">
        <v>143</v>
      </c>
    </row>
    <row r="59" spans="1:8" ht="14.25" customHeight="1" x14ac:dyDescent="0.2">
      <c r="A59" s="88">
        <v>1</v>
      </c>
      <c r="B59" s="89" t="s">
        <v>814</v>
      </c>
      <c r="C59" s="127" t="s">
        <v>1123</v>
      </c>
      <c r="D59" s="89" t="s">
        <v>207</v>
      </c>
      <c r="E59" s="90">
        <v>64187</v>
      </c>
      <c r="F59" s="91">
        <v>5568.4313391530004</v>
      </c>
      <c r="G59" s="92">
        <v>1.28524E-2</v>
      </c>
      <c r="H59" s="87" t="s">
        <v>143</v>
      </c>
    </row>
    <row r="60" spans="1:8" ht="14.25" customHeight="1" x14ac:dyDescent="0.2">
      <c r="A60" s="93"/>
      <c r="B60" s="93"/>
      <c r="C60" s="94" t="s">
        <v>142</v>
      </c>
      <c r="D60" s="93"/>
      <c r="E60" s="93" t="s">
        <v>143</v>
      </c>
      <c r="F60" s="95">
        <v>5568.4313391530004</v>
      </c>
      <c r="G60" s="96">
        <v>1.28524E-2</v>
      </c>
      <c r="H60" s="87" t="s">
        <v>143</v>
      </c>
    </row>
    <row r="61" spans="1:8" ht="14.25" customHeight="1" x14ac:dyDescent="0.2">
      <c r="A61" s="93"/>
      <c r="B61" s="93"/>
      <c r="C61" s="97"/>
      <c r="D61" s="93"/>
      <c r="E61" s="93"/>
      <c r="F61" s="98"/>
      <c r="G61" s="98"/>
      <c r="H61" s="87" t="s">
        <v>143</v>
      </c>
    </row>
    <row r="62" spans="1:8" ht="14.25" customHeight="1" x14ac:dyDescent="0.2">
      <c r="A62" s="93"/>
      <c r="B62" s="93"/>
      <c r="C62" s="94" t="s">
        <v>146</v>
      </c>
      <c r="D62" s="93"/>
      <c r="E62" s="93"/>
      <c r="F62" s="93"/>
      <c r="G62" s="93"/>
      <c r="H62" s="87" t="s">
        <v>143</v>
      </c>
    </row>
    <row r="63" spans="1:8" ht="14.25" customHeight="1" x14ac:dyDescent="0.2">
      <c r="A63" s="93"/>
      <c r="B63" s="93"/>
      <c r="C63" s="94" t="s">
        <v>142</v>
      </c>
      <c r="D63" s="93"/>
      <c r="E63" s="93" t="s">
        <v>143</v>
      </c>
      <c r="F63" s="99" t="s">
        <v>145</v>
      </c>
      <c r="G63" s="96">
        <v>0</v>
      </c>
      <c r="H63" s="87" t="s">
        <v>143</v>
      </c>
    </row>
    <row r="64" spans="1:8" ht="14.25" customHeight="1" x14ac:dyDescent="0.2">
      <c r="A64" s="93"/>
      <c r="B64" s="93"/>
      <c r="C64" s="97"/>
      <c r="D64" s="93"/>
      <c r="E64" s="93"/>
      <c r="F64" s="98"/>
      <c r="G64" s="98"/>
      <c r="H64" s="87" t="s">
        <v>143</v>
      </c>
    </row>
    <row r="65" spans="1:8" ht="14.25" customHeight="1" x14ac:dyDescent="0.2">
      <c r="A65" s="93"/>
      <c r="B65" s="93"/>
      <c r="C65" s="94" t="s">
        <v>147</v>
      </c>
      <c r="D65" s="93"/>
      <c r="E65" s="93"/>
      <c r="F65" s="93"/>
      <c r="G65" s="93"/>
      <c r="H65" s="87" t="s">
        <v>143</v>
      </c>
    </row>
    <row r="66" spans="1:8" ht="14.25" customHeight="1" x14ac:dyDescent="0.2">
      <c r="A66" s="93"/>
      <c r="B66" s="93"/>
      <c r="C66" s="94" t="s">
        <v>142</v>
      </c>
      <c r="D66" s="93"/>
      <c r="E66" s="93" t="s">
        <v>143</v>
      </c>
      <c r="F66" s="99" t="s">
        <v>145</v>
      </c>
      <c r="G66" s="96">
        <v>0</v>
      </c>
      <c r="H66" s="87" t="s">
        <v>143</v>
      </c>
    </row>
    <row r="67" spans="1:8" ht="14.25" customHeight="1" x14ac:dyDescent="0.2">
      <c r="A67" s="93"/>
      <c r="B67" s="93"/>
      <c r="C67" s="97"/>
      <c r="D67" s="93"/>
      <c r="E67" s="93"/>
      <c r="F67" s="98"/>
      <c r="G67" s="98"/>
      <c r="H67" s="87" t="s">
        <v>143</v>
      </c>
    </row>
    <row r="68" spans="1:8" ht="14.25" customHeight="1" x14ac:dyDescent="0.2">
      <c r="A68" s="93"/>
      <c r="B68" s="93"/>
      <c r="C68" s="94" t="s">
        <v>148</v>
      </c>
      <c r="D68" s="93"/>
      <c r="E68" s="93"/>
      <c r="F68" s="98"/>
      <c r="G68" s="98"/>
      <c r="H68" s="87" t="s">
        <v>143</v>
      </c>
    </row>
    <row r="69" spans="1:8" ht="14.25" customHeight="1" x14ac:dyDescent="0.2">
      <c r="A69" s="93"/>
      <c r="B69" s="93"/>
      <c r="C69" s="94" t="s">
        <v>142</v>
      </c>
      <c r="D69" s="93"/>
      <c r="E69" s="93" t="s">
        <v>143</v>
      </c>
      <c r="F69" s="99" t="s">
        <v>145</v>
      </c>
      <c r="G69" s="96">
        <v>0</v>
      </c>
      <c r="H69" s="87" t="s">
        <v>143</v>
      </c>
    </row>
    <row r="70" spans="1:8" ht="14.25" customHeight="1" x14ac:dyDescent="0.2">
      <c r="A70" s="93"/>
      <c r="B70" s="93"/>
      <c r="C70" s="97"/>
      <c r="D70" s="93"/>
      <c r="E70" s="93"/>
      <c r="F70" s="98"/>
      <c r="G70" s="98"/>
      <c r="H70" s="87" t="s">
        <v>143</v>
      </c>
    </row>
    <row r="71" spans="1:8" ht="14.25" customHeight="1" x14ac:dyDescent="0.2">
      <c r="A71" s="93"/>
      <c r="B71" s="93"/>
      <c r="C71" s="94" t="s">
        <v>149</v>
      </c>
      <c r="D71" s="93"/>
      <c r="E71" s="93"/>
      <c r="F71" s="98"/>
      <c r="G71" s="98"/>
      <c r="H71" s="87" t="s">
        <v>143</v>
      </c>
    </row>
    <row r="72" spans="1:8" ht="14.25" customHeight="1" x14ac:dyDescent="0.2">
      <c r="A72" s="93"/>
      <c r="B72" s="93"/>
      <c r="C72" s="94" t="s">
        <v>142</v>
      </c>
      <c r="D72" s="93"/>
      <c r="E72" s="93" t="s">
        <v>143</v>
      </c>
      <c r="F72" s="99" t="s">
        <v>145</v>
      </c>
      <c r="G72" s="96">
        <v>0</v>
      </c>
      <c r="H72" s="87" t="s">
        <v>143</v>
      </c>
    </row>
    <row r="73" spans="1:8" ht="14.25" customHeight="1" x14ac:dyDescent="0.2">
      <c r="A73" s="93"/>
      <c r="B73" s="93"/>
      <c r="C73" s="97"/>
      <c r="D73" s="93"/>
      <c r="E73" s="93"/>
      <c r="F73" s="98"/>
      <c r="G73" s="98"/>
      <c r="H73" s="87" t="s">
        <v>143</v>
      </c>
    </row>
    <row r="74" spans="1:8" ht="14.25" customHeight="1" x14ac:dyDescent="0.2">
      <c r="A74" s="93"/>
      <c r="B74" s="93"/>
      <c r="C74" s="94" t="s">
        <v>150</v>
      </c>
      <c r="D74" s="93"/>
      <c r="E74" s="93"/>
      <c r="F74" s="95">
        <v>410543.86426075298</v>
      </c>
      <c r="G74" s="96">
        <v>0.94756881000000004</v>
      </c>
      <c r="H74" s="87" t="s">
        <v>143</v>
      </c>
    </row>
    <row r="75" spans="1:8" ht="14.25" customHeight="1" x14ac:dyDescent="0.2">
      <c r="A75" s="93"/>
      <c r="B75" s="93"/>
      <c r="C75" s="97"/>
      <c r="D75" s="93"/>
      <c r="E75" s="93"/>
      <c r="F75" s="98"/>
      <c r="G75" s="98"/>
      <c r="H75" s="87" t="s">
        <v>143</v>
      </c>
    </row>
    <row r="76" spans="1:8" ht="14.25" customHeight="1" x14ac:dyDescent="0.2">
      <c r="A76" s="93"/>
      <c r="B76" s="93"/>
      <c r="C76" s="94" t="s">
        <v>151</v>
      </c>
      <c r="D76" s="93"/>
      <c r="E76" s="93"/>
      <c r="F76" s="98"/>
      <c r="G76" s="98"/>
      <c r="H76" s="87" t="s">
        <v>143</v>
      </c>
    </row>
    <row r="77" spans="1:8" ht="14.25" customHeight="1" x14ac:dyDescent="0.2">
      <c r="A77" s="93"/>
      <c r="B77" s="93"/>
      <c r="C77" s="94" t="s">
        <v>10</v>
      </c>
      <c r="D77" s="93"/>
      <c r="E77" s="93"/>
      <c r="F77" s="98"/>
      <c r="G77" s="98"/>
      <c r="H77" s="87" t="s">
        <v>143</v>
      </c>
    </row>
    <row r="78" spans="1:8" ht="14.25" customHeight="1" x14ac:dyDescent="0.2">
      <c r="A78" s="93"/>
      <c r="B78" s="93"/>
      <c r="C78" s="94" t="s">
        <v>142</v>
      </c>
      <c r="D78" s="93"/>
      <c r="E78" s="93" t="s">
        <v>143</v>
      </c>
      <c r="F78" s="99" t="s">
        <v>145</v>
      </c>
      <c r="G78" s="96">
        <v>0</v>
      </c>
      <c r="H78" s="87" t="s">
        <v>143</v>
      </c>
    </row>
    <row r="79" spans="1:8" ht="14.25" customHeight="1" x14ac:dyDescent="0.2">
      <c r="A79" s="93"/>
      <c r="B79" s="93"/>
      <c r="C79" s="97"/>
      <c r="D79" s="93"/>
      <c r="E79" s="93"/>
      <c r="F79" s="98"/>
      <c r="G79" s="98"/>
      <c r="H79" s="87" t="s">
        <v>143</v>
      </c>
    </row>
    <row r="80" spans="1:8" ht="14.25" customHeight="1" x14ac:dyDescent="0.2">
      <c r="A80" s="93"/>
      <c r="B80" s="93"/>
      <c r="C80" s="94" t="s">
        <v>152</v>
      </c>
      <c r="D80" s="93"/>
      <c r="E80" s="93"/>
      <c r="F80" s="93"/>
      <c r="G80" s="93"/>
      <c r="H80" s="87" t="s">
        <v>143</v>
      </c>
    </row>
    <row r="81" spans="1:8" ht="14.25" customHeight="1" x14ac:dyDescent="0.2">
      <c r="A81" s="93"/>
      <c r="B81" s="93"/>
      <c r="C81" s="94" t="s">
        <v>142</v>
      </c>
      <c r="D81" s="93"/>
      <c r="E81" s="93" t="s">
        <v>143</v>
      </c>
      <c r="F81" s="99" t="s">
        <v>145</v>
      </c>
      <c r="G81" s="96">
        <v>0</v>
      </c>
      <c r="H81" s="87" t="s">
        <v>143</v>
      </c>
    </row>
    <row r="82" spans="1:8" ht="14.25" customHeight="1" x14ac:dyDescent="0.2">
      <c r="A82" s="93"/>
      <c r="B82" s="93"/>
      <c r="C82" s="97"/>
      <c r="D82" s="93"/>
      <c r="E82" s="93"/>
      <c r="F82" s="98"/>
      <c r="G82" s="98"/>
      <c r="H82" s="87" t="s">
        <v>143</v>
      </c>
    </row>
    <row r="83" spans="1:8" ht="14.25" customHeight="1" x14ac:dyDescent="0.2">
      <c r="A83" s="93"/>
      <c r="B83" s="93"/>
      <c r="C83" s="94" t="s">
        <v>153</v>
      </c>
      <c r="D83" s="93"/>
      <c r="E83" s="93"/>
      <c r="F83" s="93"/>
      <c r="G83" s="93"/>
      <c r="H83" s="87" t="s">
        <v>143</v>
      </c>
    </row>
    <row r="84" spans="1:8" ht="14.25" customHeight="1" x14ac:dyDescent="0.2">
      <c r="A84" s="93"/>
      <c r="B84" s="93"/>
      <c r="C84" s="94" t="s">
        <v>142</v>
      </c>
      <c r="D84" s="93"/>
      <c r="E84" s="93" t="s">
        <v>143</v>
      </c>
      <c r="F84" s="99" t="s">
        <v>145</v>
      </c>
      <c r="G84" s="96">
        <v>0</v>
      </c>
      <c r="H84" s="87" t="s">
        <v>143</v>
      </c>
    </row>
    <row r="85" spans="1:8" ht="14.25" customHeight="1" x14ac:dyDescent="0.2">
      <c r="A85" s="93"/>
      <c r="B85" s="93"/>
      <c r="C85" s="97"/>
      <c r="D85" s="93"/>
      <c r="E85" s="93"/>
      <c r="F85" s="98"/>
      <c r="G85" s="98"/>
      <c r="H85" s="87" t="s">
        <v>143</v>
      </c>
    </row>
    <row r="86" spans="1:8" ht="14.25" customHeight="1" x14ac:dyDescent="0.2">
      <c r="A86" s="93"/>
      <c r="B86" s="93"/>
      <c r="C86" s="94" t="s">
        <v>154</v>
      </c>
      <c r="D86" s="93"/>
      <c r="E86" s="93"/>
      <c r="F86" s="98"/>
      <c r="G86" s="98"/>
      <c r="H86" s="87" t="s">
        <v>143</v>
      </c>
    </row>
    <row r="87" spans="1:8" ht="14.25" customHeight="1" x14ac:dyDescent="0.2">
      <c r="A87" s="93"/>
      <c r="B87" s="93"/>
      <c r="C87" s="94" t="s">
        <v>142</v>
      </c>
      <c r="D87" s="93"/>
      <c r="E87" s="93" t="s">
        <v>143</v>
      </c>
      <c r="F87" s="99" t="s">
        <v>145</v>
      </c>
      <c r="G87" s="96">
        <v>0</v>
      </c>
      <c r="H87" s="87" t="s">
        <v>143</v>
      </c>
    </row>
    <row r="88" spans="1:8" ht="14.25" customHeight="1" x14ac:dyDescent="0.2">
      <c r="A88" s="93"/>
      <c r="B88" s="93"/>
      <c r="C88" s="97"/>
      <c r="D88" s="93"/>
      <c r="E88" s="93"/>
      <c r="F88" s="98"/>
      <c r="G88" s="98"/>
      <c r="H88" s="87" t="s">
        <v>143</v>
      </c>
    </row>
    <row r="89" spans="1:8" ht="14.25" customHeight="1" x14ac:dyDescent="0.2">
      <c r="A89" s="93"/>
      <c r="B89" s="93"/>
      <c r="C89" s="94" t="s">
        <v>155</v>
      </c>
      <c r="D89" s="93"/>
      <c r="E89" s="93"/>
      <c r="F89" s="95">
        <v>0</v>
      </c>
      <c r="G89" s="96">
        <v>0</v>
      </c>
      <c r="H89" s="87" t="s">
        <v>143</v>
      </c>
    </row>
    <row r="90" spans="1:8" ht="14.25" customHeight="1" x14ac:dyDescent="0.2">
      <c r="A90" s="93"/>
      <c r="B90" s="93"/>
      <c r="C90" s="97"/>
      <c r="D90" s="93"/>
      <c r="E90" s="93"/>
      <c r="F90" s="98"/>
      <c r="G90" s="98"/>
      <c r="H90" s="87" t="s">
        <v>143</v>
      </c>
    </row>
    <row r="91" spans="1:8" ht="14.25" customHeight="1" x14ac:dyDescent="0.2">
      <c r="A91" s="93"/>
      <c r="B91" s="93"/>
      <c r="C91" s="94" t="s">
        <v>156</v>
      </c>
      <c r="D91" s="93"/>
      <c r="E91" s="93"/>
      <c r="F91" s="98"/>
      <c r="G91" s="98"/>
      <c r="H91" s="87" t="s">
        <v>143</v>
      </c>
    </row>
    <row r="92" spans="1:8" ht="14.25" customHeight="1" x14ac:dyDescent="0.2">
      <c r="A92" s="93"/>
      <c r="B92" s="93"/>
      <c r="C92" s="94" t="s">
        <v>157</v>
      </c>
      <c r="D92" s="93"/>
      <c r="E92" s="93"/>
      <c r="F92" s="98"/>
      <c r="G92" s="98"/>
      <c r="H92" s="87" t="s">
        <v>143</v>
      </c>
    </row>
    <row r="93" spans="1:8" ht="14.25" customHeight="1" x14ac:dyDescent="0.2">
      <c r="A93" s="93"/>
      <c r="B93" s="93"/>
      <c r="C93" s="94" t="s">
        <v>142</v>
      </c>
      <c r="D93" s="93"/>
      <c r="E93" s="93" t="s">
        <v>143</v>
      </c>
      <c r="F93" s="99" t="s">
        <v>145</v>
      </c>
      <c r="G93" s="96">
        <v>0</v>
      </c>
      <c r="H93" s="87" t="s">
        <v>143</v>
      </c>
    </row>
    <row r="94" spans="1:8" ht="14.25" customHeight="1" x14ac:dyDescent="0.2">
      <c r="A94" s="93"/>
      <c r="B94" s="93"/>
      <c r="C94" s="97"/>
      <c r="D94" s="93"/>
      <c r="E94" s="93"/>
      <c r="F94" s="98"/>
      <c r="G94" s="98"/>
      <c r="H94" s="87" t="s">
        <v>143</v>
      </c>
    </row>
    <row r="95" spans="1:8" ht="14.25" customHeight="1" x14ac:dyDescent="0.2">
      <c r="A95" s="93"/>
      <c r="B95" s="93"/>
      <c r="C95" s="94" t="s">
        <v>158</v>
      </c>
      <c r="D95" s="93"/>
      <c r="E95" s="93"/>
      <c r="F95" s="98"/>
      <c r="G95" s="98"/>
      <c r="H95" s="87" t="s">
        <v>143</v>
      </c>
    </row>
    <row r="96" spans="1:8" ht="14.25" customHeight="1" x14ac:dyDescent="0.2">
      <c r="A96" s="93"/>
      <c r="B96" s="93"/>
      <c r="C96" s="94" t="s">
        <v>142</v>
      </c>
      <c r="D96" s="93"/>
      <c r="E96" s="93" t="s">
        <v>143</v>
      </c>
      <c r="F96" s="99" t="s">
        <v>145</v>
      </c>
      <c r="G96" s="96">
        <v>0</v>
      </c>
      <c r="H96" s="87" t="s">
        <v>143</v>
      </c>
    </row>
    <row r="97" spans="1:8" ht="14.25" customHeight="1" x14ac:dyDescent="0.2">
      <c r="A97" s="93"/>
      <c r="B97" s="93"/>
      <c r="C97" s="97"/>
      <c r="D97" s="93"/>
      <c r="E97" s="93"/>
      <c r="F97" s="98"/>
      <c r="G97" s="98"/>
      <c r="H97" s="87" t="s">
        <v>143</v>
      </c>
    </row>
    <row r="98" spans="1:8" ht="14.25" customHeight="1" x14ac:dyDescent="0.2">
      <c r="A98" s="93"/>
      <c r="B98" s="93"/>
      <c r="C98" s="94" t="s">
        <v>159</v>
      </c>
      <c r="D98" s="93"/>
      <c r="E98" s="93"/>
      <c r="F98" s="98"/>
      <c r="G98" s="98"/>
      <c r="H98" s="87" t="s">
        <v>143</v>
      </c>
    </row>
    <row r="99" spans="1:8" ht="14.25" customHeight="1" x14ac:dyDescent="0.2">
      <c r="A99" s="88">
        <v>1</v>
      </c>
      <c r="B99" s="89" t="s">
        <v>815</v>
      </c>
      <c r="C99" s="89" t="s">
        <v>1150</v>
      </c>
      <c r="D99" s="89" t="s">
        <v>606</v>
      </c>
      <c r="E99" s="90">
        <v>3000000</v>
      </c>
      <c r="F99" s="91">
        <v>2995.5360000000001</v>
      </c>
      <c r="G99" s="92">
        <v>6.9139400000000004E-3</v>
      </c>
      <c r="H99" s="87">
        <v>5.44</v>
      </c>
    </row>
    <row r="100" spans="1:8" ht="14.25" customHeight="1" x14ac:dyDescent="0.2">
      <c r="A100" s="93"/>
      <c r="B100" s="93"/>
      <c r="C100" s="94" t="s">
        <v>142</v>
      </c>
      <c r="D100" s="93"/>
      <c r="E100" s="93" t="s">
        <v>143</v>
      </c>
      <c r="F100" s="95">
        <v>2995.5360000000001</v>
      </c>
      <c r="G100" s="96">
        <v>6.9139400000000004E-3</v>
      </c>
      <c r="H100" s="87" t="s">
        <v>143</v>
      </c>
    </row>
    <row r="101" spans="1:8" ht="14.25" customHeight="1" x14ac:dyDescent="0.2">
      <c r="A101" s="93"/>
      <c r="B101" s="93"/>
      <c r="C101" s="97"/>
      <c r="D101" s="93"/>
      <c r="E101" s="93"/>
      <c r="F101" s="98"/>
      <c r="G101" s="98"/>
      <c r="H101" s="87" t="s">
        <v>143</v>
      </c>
    </row>
    <row r="102" spans="1:8" ht="14.25" customHeight="1" x14ac:dyDescent="0.2">
      <c r="A102" s="93"/>
      <c r="B102" s="93"/>
      <c r="C102" s="94" t="s">
        <v>160</v>
      </c>
      <c r="D102" s="93"/>
      <c r="E102" s="93"/>
      <c r="F102" s="98"/>
      <c r="G102" s="98"/>
      <c r="H102" s="87" t="s">
        <v>143</v>
      </c>
    </row>
    <row r="103" spans="1:8" ht="14.25" customHeight="1" x14ac:dyDescent="0.2">
      <c r="A103" s="88">
        <v>1</v>
      </c>
      <c r="B103" s="89"/>
      <c r="C103" s="89" t="s">
        <v>161</v>
      </c>
      <c r="D103" s="89"/>
      <c r="E103" s="100"/>
      <c r="F103" s="91">
        <v>16578.928567007999</v>
      </c>
      <c r="G103" s="92">
        <v>3.8265519999999997E-2</v>
      </c>
      <c r="H103" s="87">
        <v>5.38</v>
      </c>
    </row>
    <row r="104" spans="1:8" ht="14.25" customHeight="1" x14ac:dyDescent="0.2">
      <c r="A104" s="93"/>
      <c r="B104" s="93"/>
      <c r="C104" s="94" t="s">
        <v>142</v>
      </c>
      <c r="D104" s="93"/>
      <c r="E104" s="93" t="s">
        <v>143</v>
      </c>
      <c r="F104" s="95">
        <v>16578.928567007999</v>
      </c>
      <c r="G104" s="96">
        <v>3.8265519999999997E-2</v>
      </c>
      <c r="H104" s="87" t="s">
        <v>143</v>
      </c>
    </row>
    <row r="105" spans="1:8" ht="14.25" customHeight="1" x14ac:dyDescent="0.2">
      <c r="A105" s="93"/>
      <c r="B105" s="93"/>
      <c r="C105" s="97"/>
      <c r="D105" s="93"/>
      <c r="E105" s="93"/>
      <c r="F105" s="98"/>
      <c r="G105" s="98"/>
      <c r="H105" s="87" t="s">
        <v>143</v>
      </c>
    </row>
    <row r="106" spans="1:8" ht="14.25" customHeight="1" x14ac:dyDescent="0.2">
      <c r="A106" s="93"/>
      <c r="B106" s="93"/>
      <c r="C106" s="94" t="s">
        <v>162</v>
      </c>
      <c r="D106" s="93"/>
      <c r="E106" s="93"/>
      <c r="F106" s="95">
        <v>19574.464567007999</v>
      </c>
      <c r="G106" s="96">
        <v>4.5179459999999998E-2</v>
      </c>
      <c r="H106" s="87" t="s">
        <v>143</v>
      </c>
    </row>
    <row r="107" spans="1:8" ht="14.25" customHeight="1" x14ac:dyDescent="0.2">
      <c r="A107" s="93"/>
      <c r="B107" s="93"/>
      <c r="C107" s="98"/>
      <c r="D107" s="93"/>
      <c r="E107" s="93"/>
      <c r="F107" s="93"/>
      <c r="G107" s="93"/>
      <c r="H107" s="87" t="s">
        <v>143</v>
      </c>
    </row>
    <row r="108" spans="1:8" ht="14.25" customHeight="1" x14ac:dyDescent="0.2">
      <c r="A108" s="93"/>
      <c r="B108" s="93"/>
      <c r="C108" s="94" t="s">
        <v>163</v>
      </c>
      <c r="D108" s="93"/>
      <c r="E108" s="93"/>
      <c r="F108" s="93"/>
      <c r="G108" s="93"/>
      <c r="H108" s="87" t="s">
        <v>143</v>
      </c>
    </row>
    <row r="109" spans="1:8" ht="14.25" customHeight="1" x14ac:dyDescent="0.2">
      <c r="A109" s="93"/>
      <c r="B109" s="93"/>
      <c r="C109" s="94" t="s">
        <v>164</v>
      </c>
      <c r="D109" s="93"/>
      <c r="E109" s="93"/>
      <c r="F109" s="93"/>
      <c r="G109" s="93"/>
      <c r="H109" s="87" t="s">
        <v>143</v>
      </c>
    </row>
    <row r="110" spans="1:8" ht="14.25" customHeight="1" x14ac:dyDescent="0.2">
      <c r="A110" s="88">
        <v>1</v>
      </c>
      <c r="B110" s="89" t="s">
        <v>500</v>
      </c>
      <c r="C110" s="89" t="s">
        <v>1140</v>
      </c>
      <c r="D110" s="89"/>
      <c r="E110" s="126">
        <v>33026302.7575</v>
      </c>
      <c r="F110" s="91">
        <v>5048.8960340530002</v>
      </c>
      <c r="G110" s="92">
        <v>1.165327E-2</v>
      </c>
      <c r="H110" s="87" t="s">
        <v>143</v>
      </c>
    </row>
    <row r="111" spans="1:8" ht="14.25" customHeight="1" x14ac:dyDescent="0.2">
      <c r="A111" s="93"/>
      <c r="B111" s="93"/>
      <c r="C111" s="94" t="s">
        <v>142</v>
      </c>
      <c r="D111" s="93"/>
      <c r="E111" s="93" t="s">
        <v>143</v>
      </c>
      <c r="F111" s="95">
        <v>5048.8960340530002</v>
      </c>
      <c r="G111" s="96">
        <v>1.165327E-2</v>
      </c>
      <c r="H111" s="87" t="s">
        <v>143</v>
      </c>
    </row>
    <row r="112" spans="1:8" ht="14.25" customHeight="1" x14ac:dyDescent="0.2">
      <c r="A112" s="93"/>
      <c r="B112" s="93"/>
      <c r="C112" s="97"/>
      <c r="D112" s="93"/>
      <c r="E112" s="93"/>
      <c r="F112" s="98"/>
      <c r="G112" s="98"/>
      <c r="H112" s="87" t="s">
        <v>143</v>
      </c>
    </row>
    <row r="113" spans="1:17" ht="14.25" customHeight="1" x14ac:dyDescent="0.2">
      <c r="A113" s="93"/>
      <c r="B113" s="93"/>
      <c r="C113" s="94" t="s">
        <v>165</v>
      </c>
      <c r="D113" s="93"/>
      <c r="E113" s="93"/>
      <c r="F113" s="93"/>
      <c r="G113" s="93"/>
      <c r="H113" s="87" t="s">
        <v>143</v>
      </c>
    </row>
    <row r="114" spans="1:17" ht="14.25" customHeight="1" x14ac:dyDescent="0.2">
      <c r="A114" s="93"/>
      <c r="B114" s="93"/>
      <c r="C114" s="94" t="s">
        <v>166</v>
      </c>
      <c r="D114" s="93"/>
      <c r="E114" s="93"/>
      <c r="F114" s="93"/>
      <c r="G114" s="93"/>
      <c r="H114" s="87" t="s">
        <v>143</v>
      </c>
    </row>
    <row r="115" spans="1:17" ht="14.25" customHeight="1" x14ac:dyDescent="0.2">
      <c r="A115" s="93"/>
      <c r="B115" s="93"/>
      <c r="C115" s="94" t="s">
        <v>142</v>
      </c>
      <c r="D115" s="93"/>
      <c r="E115" s="93" t="s">
        <v>143</v>
      </c>
      <c r="F115" s="99" t="s">
        <v>145</v>
      </c>
      <c r="G115" s="96">
        <v>0</v>
      </c>
      <c r="H115" s="87" t="s">
        <v>143</v>
      </c>
    </row>
    <row r="116" spans="1:17" ht="14.25" customHeight="1" x14ac:dyDescent="0.2">
      <c r="A116" s="93"/>
      <c r="B116" s="93"/>
      <c r="C116" s="97"/>
      <c r="D116" s="93"/>
      <c r="E116" s="93"/>
      <c r="F116" s="98"/>
      <c r="G116" s="98"/>
      <c r="H116" s="87" t="s">
        <v>143</v>
      </c>
    </row>
    <row r="117" spans="1:17" ht="14.25" customHeight="1" x14ac:dyDescent="0.2">
      <c r="A117" s="93"/>
      <c r="B117" s="93"/>
      <c r="C117" s="94" t="s">
        <v>167</v>
      </c>
      <c r="D117" s="93"/>
      <c r="E117" s="93"/>
      <c r="F117" s="98"/>
      <c r="G117" s="98"/>
      <c r="H117" s="87" t="s">
        <v>143</v>
      </c>
    </row>
    <row r="118" spans="1:17" ht="14.25" customHeight="1" x14ac:dyDescent="0.2">
      <c r="A118" s="93"/>
      <c r="B118" s="93"/>
      <c r="C118" s="94" t="s">
        <v>142</v>
      </c>
      <c r="D118" s="93"/>
      <c r="E118" s="93" t="s">
        <v>143</v>
      </c>
      <c r="F118" s="99" t="s">
        <v>145</v>
      </c>
      <c r="G118" s="96">
        <v>0</v>
      </c>
      <c r="H118" s="87" t="s">
        <v>143</v>
      </c>
    </row>
    <row r="119" spans="1:17" ht="14.25" customHeight="1" x14ac:dyDescent="0.2">
      <c r="A119" s="93"/>
      <c r="B119" s="93"/>
      <c r="C119" s="97"/>
      <c r="D119" s="93"/>
      <c r="E119" s="93"/>
      <c r="F119" s="98"/>
      <c r="G119" s="98"/>
      <c r="H119" s="87" t="s">
        <v>143</v>
      </c>
    </row>
    <row r="120" spans="1:17" ht="14.25" customHeight="1" x14ac:dyDescent="0.2">
      <c r="A120" s="100"/>
      <c r="B120" s="89"/>
      <c r="C120" s="89" t="s">
        <v>1000</v>
      </c>
      <c r="D120" s="89"/>
      <c r="E120" s="100"/>
      <c r="F120" s="91">
        <v>-1907.0001228799999</v>
      </c>
      <c r="G120" s="92">
        <v>-4.40151E-3</v>
      </c>
      <c r="H120" s="87" t="s">
        <v>143</v>
      </c>
    </row>
    <row r="121" spans="1:17" ht="14.25" customHeight="1" x14ac:dyDescent="0.2">
      <c r="A121" s="97"/>
      <c r="B121" s="97"/>
      <c r="C121" s="94" t="s">
        <v>169</v>
      </c>
      <c r="D121" s="98"/>
      <c r="E121" s="98"/>
      <c r="F121" s="95">
        <v>433260.22473893402</v>
      </c>
      <c r="G121" s="101">
        <v>1.00000003</v>
      </c>
      <c r="H121" s="87" t="s">
        <v>143</v>
      </c>
    </row>
    <row r="122" spans="1:17" ht="12.75" x14ac:dyDescent="0.2">
      <c r="A122" s="102"/>
      <c r="B122" s="102"/>
      <c r="C122" s="102"/>
      <c r="D122" s="103"/>
      <c r="E122" s="103"/>
      <c r="F122" s="103"/>
      <c r="G122" s="103"/>
    </row>
    <row r="123" spans="1:17" ht="12.75" x14ac:dyDescent="0.2">
      <c r="A123" s="104"/>
      <c r="B123" s="206" t="s">
        <v>942</v>
      </c>
      <c r="C123" s="206"/>
      <c r="D123" s="206"/>
      <c r="E123" s="206"/>
      <c r="F123" s="206"/>
      <c r="G123" s="206"/>
      <c r="H123" s="206"/>
      <c r="J123" s="106"/>
    </row>
    <row r="124" spans="1:17" ht="12.75" x14ac:dyDescent="0.2">
      <c r="A124" s="104"/>
      <c r="B124" s="206" t="s">
        <v>943</v>
      </c>
      <c r="C124" s="206"/>
      <c r="D124" s="206"/>
      <c r="E124" s="206"/>
      <c r="F124" s="206"/>
      <c r="G124" s="206"/>
      <c r="H124" s="206"/>
      <c r="J124" s="106"/>
    </row>
    <row r="125" spans="1:17" ht="12.75" x14ac:dyDescent="0.2">
      <c r="A125" s="104"/>
      <c r="B125" s="206" t="s">
        <v>944</v>
      </c>
      <c r="C125" s="206"/>
      <c r="D125" s="206"/>
      <c r="E125" s="206"/>
      <c r="F125" s="206"/>
      <c r="G125" s="206"/>
      <c r="H125" s="206"/>
      <c r="J125" s="106"/>
    </row>
    <row r="126" spans="1:17" s="108" customFormat="1" ht="66.75" customHeight="1" x14ac:dyDescent="0.25">
      <c r="A126" s="107"/>
      <c r="B126" s="207" t="s">
        <v>945</v>
      </c>
      <c r="C126" s="207"/>
      <c r="D126" s="207"/>
      <c r="E126" s="207"/>
      <c r="F126" s="207"/>
      <c r="G126" s="207"/>
      <c r="H126" s="207"/>
      <c r="I126"/>
      <c r="J126" s="106"/>
      <c r="K126"/>
      <c r="L126"/>
      <c r="M126"/>
      <c r="N126"/>
      <c r="O126"/>
      <c r="P126"/>
      <c r="Q126"/>
    </row>
    <row r="127" spans="1:17" ht="12.75" x14ac:dyDescent="0.2">
      <c r="A127" s="104"/>
      <c r="B127" s="206" t="s">
        <v>946</v>
      </c>
      <c r="C127" s="206"/>
      <c r="D127" s="206"/>
      <c r="E127" s="206"/>
      <c r="F127" s="206"/>
      <c r="G127" s="206"/>
      <c r="H127" s="206"/>
      <c r="J127" s="106"/>
    </row>
    <row r="128" spans="1:17" ht="12.75" x14ac:dyDescent="0.2">
      <c r="A128" s="104"/>
      <c r="B128" s="104"/>
      <c r="C128" s="104"/>
      <c r="D128" s="109"/>
      <c r="E128" s="109"/>
      <c r="F128" s="109"/>
      <c r="G128" s="109"/>
    </row>
    <row r="129" spans="1:10" ht="12.75" x14ac:dyDescent="0.2">
      <c r="A129" s="104"/>
      <c r="B129" s="199" t="s">
        <v>170</v>
      </c>
      <c r="C129" s="200"/>
      <c r="D129" s="201"/>
      <c r="E129" s="110"/>
      <c r="F129" s="109"/>
      <c r="G129" s="109"/>
    </row>
    <row r="130" spans="1:10" ht="27.75" customHeight="1" x14ac:dyDescent="0.2">
      <c r="A130" s="104"/>
      <c r="B130" s="202" t="s">
        <v>171</v>
      </c>
      <c r="C130" s="203"/>
      <c r="D130" s="86" t="s">
        <v>172</v>
      </c>
      <c r="E130" s="110"/>
      <c r="F130" s="109"/>
      <c r="G130" s="109"/>
    </row>
    <row r="131" spans="1:10" ht="12.75" customHeight="1" x14ac:dyDescent="0.2">
      <c r="A131" s="104"/>
      <c r="B131" s="202" t="s">
        <v>947</v>
      </c>
      <c r="C131" s="203"/>
      <c r="D131" s="86" t="s">
        <v>172</v>
      </c>
      <c r="E131" s="110"/>
      <c r="F131" s="109"/>
      <c r="G131" s="109"/>
    </row>
    <row r="132" spans="1:10" ht="12.75" x14ac:dyDescent="0.2">
      <c r="A132" s="104"/>
      <c r="B132" s="202" t="s">
        <v>173</v>
      </c>
      <c r="C132" s="203"/>
      <c r="D132" s="111" t="s">
        <v>143</v>
      </c>
      <c r="E132" s="110"/>
      <c r="F132" s="109"/>
      <c r="G132" s="109"/>
    </row>
    <row r="133" spans="1:10" ht="12.75" x14ac:dyDescent="0.2">
      <c r="A133" s="112"/>
      <c r="B133" s="113" t="s">
        <v>143</v>
      </c>
      <c r="C133" s="113" t="s">
        <v>948</v>
      </c>
      <c r="D133" s="113" t="s">
        <v>174</v>
      </c>
      <c r="E133" s="112"/>
      <c r="F133" s="112"/>
      <c r="G133" s="112"/>
      <c r="H133" s="112"/>
      <c r="J133" s="106"/>
    </row>
    <row r="134" spans="1:10" ht="12.75" x14ac:dyDescent="0.2">
      <c r="A134" s="112"/>
      <c r="B134" s="114" t="s">
        <v>175</v>
      </c>
      <c r="C134" s="115">
        <v>45869</v>
      </c>
      <c r="D134" s="115">
        <v>45900</v>
      </c>
      <c r="E134" s="112"/>
      <c r="F134" s="112"/>
      <c r="G134" s="112"/>
      <c r="J134" s="106"/>
    </row>
    <row r="135" spans="1:10" ht="14.25" customHeight="1" x14ac:dyDescent="0.2">
      <c r="A135" s="116"/>
      <c r="B135" s="89" t="s">
        <v>176</v>
      </c>
      <c r="C135" s="117">
        <v>37.727499999999999</v>
      </c>
      <c r="D135" s="117">
        <v>36.980699999999999</v>
      </c>
      <c r="E135" s="116"/>
      <c r="F135" s="118"/>
      <c r="G135" s="119"/>
    </row>
    <row r="136" spans="1:10" ht="14.25" customHeight="1" x14ac:dyDescent="0.2">
      <c r="A136" s="116"/>
      <c r="B136" s="89" t="s">
        <v>954</v>
      </c>
      <c r="C136" s="117">
        <v>25.894200000000001</v>
      </c>
      <c r="D136" s="117">
        <v>25.381599999999999</v>
      </c>
      <c r="E136" s="116"/>
      <c r="F136" s="118"/>
      <c r="G136" s="119"/>
    </row>
    <row r="137" spans="1:10" ht="14.25" customHeight="1" x14ac:dyDescent="0.2">
      <c r="A137" s="116"/>
      <c r="B137" s="89" t="s">
        <v>177</v>
      </c>
      <c r="C137" s="117">
        <v>34.840699999999998</v>
      </c>
      <c r="D137" s="117">
        <v>34.118000000000002</v>
      </c>
      <c r="E137" s="116"/>
      <c r="F137" s="118"/>
      <c r="G137" s="119"/>
    </row>
    <row r="138" spans="1:10" ht="14.25" customHeight="1" x14ac:dyDescent="0.2">
      <c r="A138" s="116"/>
      <c r="B138" s="89" t="s">
        <v>955</v>
      </c>
      <c r="C138" s="117">
        <v>23.886800000000001</v>
      </c>
      <c r="D138" s="117">
        <v>23.391300000000001</v>
      </c>
      <c r="E138" s="116"/>
      <c r="F138" s="118"/>
      <c r="G138" s="119"/>
    </row>
    <row r="139" spans="1:10" ht="14.25" customHeight="1" x14ac:dyDescent="0.2">
      <c r="A139" s="116"/>
      <c r="B139" s="116"/>
      <c r="C139" s="116"/>
      <c r="D139" s="116"/>
      <c r="E139" s="116"/>
      <c r="F139" s="116"/>
      <c r="G139" s="116"/>
    </row>
    <row r="140" spans="1:10" ht="12.75" x14ac:dyDescent="0.2">
      <c r="A140" s="112"/>
      <c r="B140" s="202" t="s">
        <v>949</v>
      </c>
      <c r="C140" s="203"/>
      <c r="D140" s="86" t="s">
        <v>172</v>
      </c>
      <c r="E140" s="112"/>
      <c r="F140" s="112"/>
      <c r="G140" s="112"/>
    </row>
    <row r="141" spans="1:10" ht="12.75" x14ac:dyDescent="0.2">
      <c r="A141" s="112"/>
      <c r="B141" s="120"/>
      <c r="C141" s="120"/>
      <c r="D141" s="120"/>
      <c r="E141" s="112"/>
      <c r="F141" s="112"/>
      <c r="G141" s="112"/>
    </row>
    <row r="142" spans="1:10" ht="12.75" x14ac:dyDescent="0.2">
      <c r="A142" s="112"/>
      <c r="B142" s="202" t="s">
        <v>178</v>
      </c>
      <c r="C142" s="203"/>
      <c r="D142" s="86" t="s">
        <v>172</v>
      </c>
      <c r="E142" s="112"/>
      <c r="F142" s="112"/>
      <c r="G142" s="112"/>
      <c r="H142" s="112"/>
    </row>
    <row r="143" spans="1:10" ht="12.75" x14ac:dyDescent="0.2">
      <c r="A143" s="112"/>
      <c r="B143" s="202" t="s">
        <v>179</v>
      </c>
      <c r="C143" s="203"/>
      <c r="D143" s="133" t="str">
        <f>"Rs. "&amp;TEXT(F60,"0.00")&amp;" Lacs"</f>
        <v>Rs. 5568.43 Lacs</v>
      </c>
      <c r="E143" s="121"/>
      <c r="F143" s="112"/>
      <c r="G143" s="112"/>
      <c r="H143" s="112"/>
    </row>
    <row r="144" spans="1:10" ht="17.100000000000001" customHeight="1" x14ac:dyDescent="0.2">
      <c r="A144" s="112"/>
      <c r="B144" s="202" t="s">
        <v>180</v>
      </c>
      <c r="C144" s="203"/>
      <c r="D144" s="86" t="s">
        <v>172</v>
      </c>
      <c r="E144" s="121"/>
      <c r="F144" s="112"/>
      <c r="G144" s="112"/>
      <c r="H144" s="112"/>
    </row>
    <row r="145" spans="1:8" ht="17.100000000000001" customHeight="1" x14ac:dyDescent="0.2">
      <c r="A145" s="112"/>
      <c r="B145" s="202" t="s">
        <v>181</v>
      </c>
      <c r="C145" s="203"/>
      <c r="D145" s="122">
        <v>0.70908396257635697</v>
      </c>
      <c r="E145" s="112"/>
      <c r="F145" s="105"/>
      <c r="G145" s="123"/>
      <c r="H145" s="123"/>
    </row>
    <row r="146" spans="1:8" ht="12.75" x14ac:dyDescent="0.2"/>
    <row r="147" spans="1:8" ht="12.75" x14ac:dyDescent="0.2">
      <c r="B147" s="204" t="s">
        <v>950</v>
      </c>
      <c r="C147" s="204"/>
    </row>
    <row r="148" spans="1:8" ht="12.75" x14ac:dyDescent="0.2"/>
    <row r="149" spans="1:8" ht="153.75" customHeight="1" x14ac:dyDescent="0.2"/>
    <row r="150" spans="1:8" ht="12.75" x14ac:dyDescent="0.2"/>
    <row r="151" spans="1:8" ht="12.75" x14ac:dyDescent="0.2"/>
    <row r="152" spans="1:8" ht="12.75" x14ac:dyDescent="0.2">
      <c r="B152" s="124" t="s">
        <v>951</v>
      </c>
      <c r="C152" s="125"/>
      <c r="D152" s="124" t="s">
        <v>956</v>
      </c>
    </row>
    <row r="153" spans="1:8" ht="12.75" x14ac:dyDescent="0.2">
      <c r="B153" s="124" t="s">
        <v>1124</v>
      </c>
      <c r="D153" s="124" t="s">
        <v>1125</v>
      </c>
    </row>
    <row r="154" spans="1:8" ht="12.75" x14ac:dyDescent="0.2">
      <c r="B154" s="134"/>
    </row>
    <row r="155" spans="1:8" ht="165" customHeight="1" x14ac:dyDescent="0.2"/>
    <row r="156" spans="1:8" ht="12.75" x14ac:dyDescent="0.2"/>
    <row r="157" spans="1:8" ht="12.75" x14ac:dyDescent="0.2"/>
    <row r="158" spans="1:8" ht="12.75" x14ac:dyDescent="0.2"/>
    <row r="159" spans="1:8" ht="12.75" x14ac:dyDescent="0.2"/>
    <row r="160" spans="1:8" ht="12.75" x14ac:dyDescent="0.2"/>
    <row r="161" customFormat="1" ht="12.75" x14ac:dyDescent="0.2"/>
    <row r="162" customFormat="1" ht="12.75" x14ac:dyDescent="0.2"/>
    <row r="163" customFormat="1" ht="12.75" x14ac:dyDescent="0.2"/>
    <row r="164" customFormat="1" ht="12.75" x14ac:dyDescent="0.2"/>
    <row r="165" customFormat="1" ht="12.75" x14ac:dyDescent="0.2"/>
    <row r="166" customFormat="1" ht="12.75" x14ac:dyDescent="0.2"/>
  </sheetData>
  <mergeCells count="18">
    <mergeCell ref="B126:H126"/>
    <mergeCell ref="B127:H127"/>
    <mergeCell ref="B129:D129"/>
    <mergeCell ref="B130:C130"/>
    <mergeCell ref="B147:C147"/>
    <mergeCell ref="A1:H1"/>
    <mergeCell ref="A2:H2"/>
    <mergeCell ref="A3:H3"/>
    <mergeCell ref="B140:C140"/>
    <mergeCell ref="B144:C144"/>
    <mergeCell ref="B145:C145"/>
    <mergeCell ref="B123:H123"/>
    <mergeCell ref="B124:H124"/>
    <mergeCell ref="B131:C131"/>
    <mergeCell ref="B132:C132"/>
    <mergeCell ref="B142:C142"/>
    <mergeCell ref="B143:C143"/>
    <mergeCell ref="B125:H125"/>
  </mergeCells>
  <hyperlinks>
    <hyperlink ref="I1" location="Index!B2" display="Index" xr:uid="{9FE114B7-0FF9-429A-ACE1-9C7191F61189}"/>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E8B7D-A8BE-4230-A152-84482544F982}">
  <sheetPr>
    <outlinePr summaryBelow="0" summaryRight="0"/>
  </sheetPr>
  <dimension ref="A1:Q155"/>
  <sheetViews>
    <sheetView showGridLines="0" workbookViewId="0">
      <selection sqref="A1:H1"/>
    </sheetView>
  </sheetViews>
  <sheetFormatPr defaultRowHeight="14.25" customHeight="1" x14ac:dyDescent="0.2"/>
  <cols>
    <col min="1" max="1" width="5.85546875" bestFit="1" customWidth="1"/>
    <col min="2" max="2" width="19.7109375" customWidth="1"/>
    <col min="3" max="3" width="39.140625" bestFit="1" customWidth="1"/>
    <col min="4" max="4" width="29.28515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816</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321</v>
      </c>
      <c r="C7" s="89" t="s">
        <v>322</v>
      </c>
      <c r="D7" s="89" t="s">
        <v>33</v>
      </c>
      <c r="E7" s="90">
        <v>1448000</v>
      </c>
      <c r="F7" s="91">
        <v>13779.168</v>
      </c>
      <c r="G7" s="92">
        <v>9.4299270000000004E-2</v>
      </c>
      <c r="H7" s="87" t="s">
        <v>143</v>
      </c>
    </row>
    <row r="8" spans="1:9" ht="14.25" customHeight="1" x14ac:dyDescent="0.2">
      <c r="A8" s="88">
        <v>2</v>
      </c>
      <c r="B8" s="89" t="s">
        <v>31</v>
      </c>
      <c r="C8" s="89" t="s">
        <v>32</v>
      </c>
      <c r="D8" s="89" t="s">
        <v>33</v>
      </c>
      <c r="E8" s="90">
        <v>583000</v>
      </c>
      <c r="F8" s="91">
        <v>8149.174</v>
      </c>
      <c r="G8" s="92">
        <v>5.5769779999999998E-2</v>
      </c>
      <c r="H8" s="87" t="s">
        <v>143</v>
      </c>
    </row>
    <row r="9" spans="1:9" ht="14.25" customHeight="1" x14ac:dyDescent="0.2">
      <c r="A9" s="88">
        <v>3</v>
      </c>
      <c r="B9" s="89" t="s">
        <v>17</v>
      </c>
      <c r="C9" s="89" t="s">
        <v>18</v>
      </c>
      <c r="D9" s="89" t="s">
        <v>19</v>
      </c>
      <c r="E9" s="90">
        <v>527000</v>
      </c>
      <c r="F9" s="91">
        <v>7152.4440000000004</v>
      </c>
      <c r="G9" s="92">
        <v>4.894855E-2</v>
      </c>
      <c r="H9" s="87" t="s">
        <v>143</v>
      </c>
    </row>
    <row r="10" spans="1:9" ht="14.25" customHeight="1" x14ac:dyDescent="0.2">
      <c r="A10" s="88">
        <v>4</v>
      </c>
      <c r="B10" s="89" t="s">
        <v>327</v>
      </c>
      <c r="C10" s="89" t="s">
        <v>328</v>
      </c>
      <c r="D10" s="89" t="s">
        <v>33</v>
      </c>
      <c r="E10" s="90">
        <v>505000</v>
      </c>
      <c r="F10" s="91">
        <v>5278.26</v>
      </c>
      <c r="G10" s="92">
        <v>3.6122359999999999E-2</v>
      </c>
      <c r="H10" s="87" t="s">
        <v>143</v>
      </c>
    </row>
    <row r="11" spans="1:9" ht="14.25" customHeight="1" x14ac:dyDescent="0.2">
      <c r="A11" s="88">
        <v>5</v>
      </c>
      <c r="B11" s="89" t="s">
        <v>14</v>
      </c>
      <c r="C11" s="89" t="s">
        <v>15</v>
      </c>
      <c r="D11" s="89" t="s">
        <v>16</v>
      </c>
      <c r="E11" s="90">
        <v>138000</v>
      </c>
      <c r="F11" s="91">
        <v>4969.38</v>
      </c>
      <c r="G11" s="92">
        <v>3.4008509999999999E-2</v>
      </c>
      <c r="H11" s="87" t="s">
        <v>143</v>
      </c>
    </row>
    <row r="12" spans="1:9" ht="14.25" customHeight="1" x14ac:dyDescent="0.2">
      <c r="A12" s="88">
        <v>6</v>
      </c>
      <c r="B12" s="89" t="s">
        <v>325</v>
      </c>
      <c r="C12" s="89" t="s">
        <v>326</v>
      </c>
      <c r="D12" s="89" t="s">
        <v>199</v>
      </c>
      <c r="E12" s="90">
        <v>338000</v>
      </c>
      <c r="F12" s="91">
        <v>4967.2479999999996</v>
      </c>
      <c r="G12" s="92">
        <v>3.3993919999999997E-2</v>
      </c>
      <c r="H12" s="87" t="s">
        <v>143</v>
      </c>
    </row>
    <row r="13" spans="1:9" ht="14.25" customHeight="1" x14ac:dyDescent="0.2">
      <c r="A13" s="88">
        <v>7</v>
      </c>
      <c r="B13" s="89" t="s">
        <v>427</v>
      </c>
      <c r="C13" s="89" t="s">
        <v>428</v>
      </c>
      <c r="D13" s="89" t="s">
        <v>429</v>
      </c>
      <c r="E13" s="90">
        <v>1210000</v>
      </c>
      <c r="F13" s="91">
        <v>4957.9750000000004</v>
      </c>
      <c r="G13" s="92">
        <v>3.3930460000000003E-2</v>
      </c>
      <c r="H13" s="87" t="s">
        <v>143</v>
      </c>
    </row>
    <row r="14" spans="1:9" ht="14.25" customHeight="1" x14ac:dyDescent="0.2">
      <c r="A14" s="88">
        <v>8</v>
      </c>
      <c r="B14" s="89" t="s">
        <v>11</v>
      </c>
      <c r="C14" s="89" t="s">
        <v>12</v>
      </c>
      <c r="D14" s="89" t="s">
        <v>13</v>
      </c>
      <c r="E14" s="90">
        <v>256000</v>
      </c>
      <c r="F14" s="91">
        <v>4835.3280000000004</v>
      </c>
      <c r="G14" s="92">
        <v>3.309111E-2</v>
      </c>
      <c r="H14" s="87" t="s">
        <v>143</v>
      </c>
    </row>
    <row r="15" spans="1:9" ht="14.25" customHeight="1" x14ac:dyDescent="0.2">
      <c r="A15" s="88">
        <v>9</v>
      </c>
      <c r="B15" s="89" t="s">
        <v>49</v>
      </c>
      <c r="C15" s="89" t="s">
        <v>50</v>
      </c>
      <c r="D15" s="89" t="s">
        <v>33</v>
      </c>
      <c r="E15" s="90">
        <v>595000</v>
      </c>
      <c r="F15" s="91">
        <v>4774.875</v>
      </c>
      <c r="G15" s="92">
        <v>3.2677390000000001E-2</v>
      </c>
      <c r="H15" s="87" t="s">
        <v>143</v>
      </c>
    </row>
    <row r="16" spans="1:9" ht="14.25" customHeight="1" x14ac:dyDescent="0.2">
      <c r="A16" s="88">
        <v>10</v>
      </c>
      <c r="B16" s="89" t="s">
        <v>23</v>
      </c>
      <c r="C16" s="89" t="s">
        <v>24</v>
      </c>
      <c r="D16" s="89" t="s">
        <v>25</v>
      </c>
      <c r="E16" s="90">
        <v>32000</v>
      </c>
      <c r="F16" s="91">
        <v>4044.8</v>
      </c>
      <c r="G16" s="92">
        <v>2.7681040000000001E-2</v>
      </c>
      <c r="H16" s="87" t="s">
        <v>143</v>
      </c>
    </row>
    <row r="17" spans="1:8" ht="14.25" customHeight="1" x14ac:dyDescent="0.2">
      <c r="A17" s="88">
        <v>11</v>
      </c>
      <c r="B17" s="89" t="s">
        <v>800</v>
      </c>
      <c r="C17" s="89" t="s">
        <v>801</v>
      </c>
      <c r="D17" s="89" t="s">
        <v>243</v>
      </c>
      <c r="E17" s="90">
        <v>19735</v>
      </c>
      <c r="F17" s="91">
        <v>3843.78595</v>
      </c>
      <c r="G17" s="92">
        <v>2.630538E-2</v>
      </c>
      <c r="H17" s="87" t="s">
        <v>143</v>
      </c>
    </row>
    <row r="18" spans="1:8" ht="14.25" customHeight="1" x14ac:dyDescent="0.2">
      <c r="A18" s="88">
        <v>12</v>
      </c>
      <c r="B18" s="89" t="s">
        <v>505</v>
      </c>
      <c r="C18" s="89" t="s">
        <v>506</v>
      </c>
      <c r="D18" s="89" t="s">
        <v>243</v>
      </c>
      <c r="E18" s="90">
        <v>24000</v>
      </c>
      <c r="F18" s="91">
        <v>3549.84</v>
      </c>
      <c r="G18" s="92">
        <v>2.4293729999999999E-2</v>
      </c>
      <c r="H18" s="87" t="s">
        <v>143</v>
      </c>
    </row>
    <row r="19" spans="1:8" ht="14.25" customHeight="1" x14ac:dyDescent="0.2">
      <c r="A19" s="88">
        <v>13</v>
      </c>
      <c r="B19" s="89" t="s">
        <v>439</v>
      </c>
      <c r="C19" s="89" t="s">
        <v>440</v>
      </c>
      <c r="D19" s="89" t="s">
        <v>194</v>
      </c>
      <c r="E19" s="90">
        <v>189000</v>
      </c>
      <c r="F19" s="91">
        <v>3003.9659999999999</v>
      </c>
      <c r="G19" s="92">
        <v>2.055798E-2</v>
      </c>
      <c r="H19" s="87" t="s">
        <v>143</v>
      </c>
    </row>
    <row r="20" spans="1:8" ht="14.25" customHeight="1" x14ac:dyDescent="0.2">
      <c r="A20" s="88">
        <v>14</v>
      </c>
      <c r="B20" s="89" t="s">
        <v>78</v>
      </c>
      <c r="C20" s="89" t="s">
        <v>79</v>
      </c>
      <c r="D20" s="89" t="s">
        <v>80</v>
      </c>
      <c r="E20" s="90">
        <v>1700000</v>
      </c>
      <c r="F20" s="91">
        <v>2942.19</v>
      </c>
      <c r="G20" s="92">
        <v>2.0135210000000001E-2</v>
      </c>
      <c r="H20" s="87" t="s">
        <v>143</v>
      </c>
    </row>
    <row r="21" spans="1:8" ht="14.25" customHeight="1" x14ac:dyDescent="0.2">
      <c r="A21" s="88">
        <v>15</v>
      </c>
      <c r="B21" s="89" t="s">
        <v>349</v>
      </c>
      <c r="C21" s="89" t="s">
        <v>350</v>
      </c>
      <c r="D21" s="89" t="s">
        <v>232</v>
      </c>
      <c r="E21" s="90">
        <v>602000</v>
      </c>
      <c r="F21" s="91">
        <v>2932.643</v>
      </c>
      <c r="G21" s="92">
        <v>2.006987E-2</v>
      </c>
      <c r="H21" s="87" t="s">
        <v>143</v>
      </c>
    </row>
    <row r="22" spans="1:8" ht="14.25" customHeight="1" x14ac:dyDescent="0.2">
      <c r="A22" s="88">
        <v>16</v>
      </c>
      <c r="B22" s="89" t="s">
        <v>246</v>
      </c>
      <c r="C22" s="89" t="s">
        <v>247</v>
      </c>
      <c r="D22" s="89" t="s">
        <v>194</v>
      </c>
      <c r="E22" s="90">
        <v>54500</v>
      </c>
      <c r="F22" s="91">
        <v>2890.4074999999998</v>
      </c>
      <c r="G22" s="92">
        <v>1.9780829999999999E-2</v>
      </c>
      <c r="H22" s="87" t="s">
        <v>143</v>
      </c>
    </row>
    <row r="23" spans="1:8" ht="14.25" customHeight="1" x14ac:dyDescent="0.2">
      <c r="A23" s="88">
        <v>17</v>
      </c>
      <c r="B23" s="89" t="s">
        <v>20</v>
      </c>
      <c r="C23" s="89" t="s">
        <v>21</v>
      </c>
      <c r="D23" s="89" t="s">
        <v>22</v>
      </c>
      <c r="E23" s="90">
        <v>782000</v>
      </c>
      <c r="F23" s="91">
        <v>2561.4409999999998</v>
      </c>
      <c r="G23" s="92">
        <v>1.7529510000000002E-2</v>
      </c>
      <c r="H23" s="87" t="s">
        <v>143</v>
      </c>
    </row>
    <row r="24" spans="1:8" ht="14.25" customHeight="1" x14ac:dyDescent="0.2">
      <c r="A24" s="88">
        <v>18</v>
      </c>
      <c r="B24" s="89" t="s">
        <v>744</v>
      </c>
      <c r="C24" s="89" t="s">
        <v>745</v>
      </c>
      <c r="D24" s="89" t="s">
        <v>188</v>
      </c>
      <c r="E24" s="90">
        <v>110000</v>
      </c>
      <c r="F24" s="91">
        <v>2407.35</v>
      </c>
      <c r="G24" s="92">
        <v>1.6474969999999999E-2</v>
      </c>
      <c r="H24" s="87" t="s">
        <v>143</v>
      </c>
    </row>
    <row r="25" spans="1:8" ht="14.25" customHeight="1" x14ac:dyDescent="0.2">
      <c r="A25" s="88">
        <v>19</v>
      </c>
      <c r="B25" s="89" t="s">
        <v>347</v>
      </c>
      <c r="C25" s="89" t="s">
        <v>348</v>
      </c>
      <c r="D25" s="89" t="s">
        <v>194</v>
      </c>
      <c r="E25" s="90">
        <v>150000</v>
      </c>
      <c r="F25" s="91">
        <v>2391.75</v>
      </c>
      <c r="G25" s="92">
        <v>1.6368210000000001E-2</v>
      </c>
      <c r="H25" s="87" t="s">
        <v>143</v>
      </c>
    </row>
    <row r="26" spans="1:8" ht="14.25" customHeight="1" x14ac:dyDescent="0.2">
      <c r="A26" s="88">
        <v>20</v>
      </c>
      <c r="B26" s="89" t="s">
        <v>437</v>
      </c>
      <c r="C26" s="89" t="s">
        <v>438</v>
      </c>
      <c r="D26" s="89" t="s">
        <v>199</v>
      </c>
      <c r="E26" s="90">
        <v>74734</v>
      </c>
      <c r="F26" s="91">
        <v>2305.3196979999998</v>
      </c>
      <c r="G26" s="92">
        <v>1.5776709999999999E-2</v>
      </c>
      <c r="H26" s="87" t="s">
        <v>143</v>
      </c>
    </row>
    <row r="27" spans="1:8" ht="14.25" customHeight="1" x14ac:dyDescent="0.2">
      <c r="A27" s="88">
        <v>21</v>
      </c>
      <c r="B27" s="89" t="s">
        <v>509</v>
      </c>
      <c r="C27" s="89" t="s">
        <v>510</v>
      </c>
      <c r="D27" s="89" t="s">
        <v>232</v>
      </c>
      <c r="E27" s="90">
        <v>170000</v>
      </c>
      <c r="F27" s="91">
        <v>2228.6999999999998</v>
      </c>
      <c r="G27" s="92">
        <v>1.525236E-2</v>
      </c>
      <c r="H27" s="87" t="s">
        <v>143</v>
      </c>
    </row>
    <row r="28" spans="1:8" ht="14.25" customHeight="1" x14ac:dyDescent="0.2">
      <c r="A28" s="88">
        <v>22</v>
      </c>
      <c r="B28" s="89" t="s">
        <v>766</v>
      </c>
      <c r="C28" s="89" t="s">
        <v>767</v>
      </c>
      <c r="D28" s="89" t="s">
        <v>275</v>
      </c>
      <c r="E28" s="90">
        <v>540000</v>
      </c>
      <c r="F28" s="91">
        <v>2212.65</v>
      </c>
      <c r="G28" s="92">
        <v>1.514252E-2</v>
      </c>
      <c r="H28" s="87" t="s">
        <v>143</v>
      </c>
    </row>
    <row r="29" spans="1:8" ht="14.25" customHeight="1" x14ac:dyDescent="0.2">
      <c r="A29" s="88">
        <v>23</v>
      </c>
      <c r="B29" s="89" t="s">
        <v>425</v>
      </c>
      <c r="C29" s="89" t="s">
        <v>426</v>
      </c>
      <c r="D29" s="89" t="s">
        <v>243</v>
      </c>
      <c r="E29" s="90">
        <v>328000</v>
      </c>
      <c r="F29" s="91">
        <v>2194.3200000000002</v>
      </c>
      <c r="G29" s="92">
        <v>1.501707E-2</v>
      </c>
      <c r="H29" s="87" t="s">
        <v>143</v>
      </c>
    </row>
    <row r="30" spans="1:8" ht="14.25" customHeight="1" x14ac:dyDescent="0.2">
      <c r="A30" s="88">
        <v>24</v>
      </c>
      <c r="B30" s="89" t="s">
        <v>449</v>
      </c>
      <c r="C30" s="89" t="s">
        <v>450</v>
      </c>
      <c r="D30" s="89" t="s">
        <v>33</v>
      </c>
      <c r="E30" s="90">
        <v>270000</v>
      </c>
      <c r="F30" s="91">
        <v>1996.65</v>
      </c>
      <c r="G30" s="92">
        <v>1.3664300000000001E-2</v>
      </c>
      <c r="H30" s="87" t="s">
        <v>143</v>
      </c>
    </row>
    <row r="31" spans="1:8" ht="14.25" customHeight="1" x14ac:dyDescent="0.2">
      <c r="A31" s="88">
        <v>25</v>
      </c>
      <c r="B31" s="89" t="s">
        <v>802</v>
      </c>
      <c r="C31" s="89" t="s">
        <v>803</v>
      </c>
      <c r="D31" s="89" t="s">
        <v>185</v>
      </c>
      <c r="E31" s="90">
        <v>268000</v>
      </c>
      <c r="F31" s="91">
        <v>1918.21</v>
      </c>
      <c r="G31" s="92">
        <v>1.312748E-2</v>
      </c>
      <c r="H31" s="87" t="s">
        <v>143</v>
      </c>
    </row>
    <row r="32" spans="1:8" ht="14.25" customHeight="1" x14ac:dyDescent="0.2">
      <c r="A32" s="88">
        <v>26</v>
      </c>
      <c r="B32" s="89" t="s">
        <v>99</v>
      </c>
      <c r="C32" s="89" t="s">
        <v>100</v>
      </c>
      <c r="D32" s="89" t="s">
        <v>25</v>
      </c>
      <c r="E32" s="90">
        <v>336000</v>
      </c>
      <c r="F32" s="91">
        <v>1892.3520000000001</v>
      </c>
      <c r="G32" s="92">
        <v>1.295052E-2</v>
      </c>
      <c r="H32" s="87" t="s">
        <v>143</v>
      </c>
    </row>
    <row r="33" spans="1:8" ht="14.25" customHeight="1" x14ac:dyDescent="0.2">
      <c r="A33" s="88">
        <v>27</v>
      </c>
      <c r="B33" s="89" t="s">
        <v>430</v>
      </c>
      <c r="C33" s="89" t="s">
        <v>431</v>
      </c>
      <c r="D33" s="89" t="s">
        <v>199</v>
      </c>
      <c r="E33" s="90">
        <v>125000</v>
      </c>
      <c r="F33" s="91">
        <v>1818.5</v>
      </c>
      <c r="G33" s="92">
        <v>1.2445110000000001E-2</v>
      </c>
      <c r="H33" s="87" t="s">
        <v>143</v>
      </c>
    </row>
    <row r="34" spans="1:8" ht="14.25" customHeight="1" x14ac:dyDescent="0.2">
      <c r="A34" s="88">
        <v>28</v>
      </c>
      <c r="B34" s="89" t="s">
        <v>441</v>
      </c>
      <c r="C34" s="89" t="s">
        <v>442</v>
      </c>
      <c r="D34" s="89" t="s">
        <v>204</v>
      </c>
      <c r="E34" s="90">
        <v>169962</v>
      </c>
      <c r="F34" s="91">
        <v>1810.7751479999999</v>
      </c>
      <c r="G34" s="92">
        <v>1.2392240000000001E-2</v>
      </c>
      <c r="H34" s="87" t="s">
        <v>143</v>
      </c>
    </row>
    <row r="35" spans="1:8" ht="14.25" customHeight="1" x14ac:dyDescent="0.2">
      <c r="A35" s="88">
        <v>29</v>
      </c>
      <c r="B35" s="89" t="s">
        <v>291</v>
      </c>
      <c r="C35" s="89" t="s">
        <v>292</v>
      </c>
      <c r="D35" s="89" t="s">
        <v>288</v>
      </c>
      <c r="E35" s="90">
        <v>306943</v>
      </c>
      <c r="F35" s="91">
        <v>1760.6250480000001</v>
      </c>
      <c r="G35" s="92">
        <v>1.2049030000000001E-2</v>
      </c>
      <c r="H35" s="87" t="s">
        <v>143</v>
      </c>
    </row>
    <row r="36" spans="1:8" ht="14.25" customHeight="1" x14ac:dyDescent="0.2">
      <c r="A36" s="88">
        <v>30</v>
      </c>
      <c r="B36" s="89" t="s">
        <v>758</v>
      </c>
      <c r="C36" s="89" t="s">
        <v>759</v>
      </c>
      <c r="D36" s="89" t="s">
        <v>243</v>
      </c>
      <c r="E36" s="90">
        <v>70000</v>
      </c>
      <c r="F36" s="91">
        <v>1722.28</v>
      </c>
      <c r="G36" s="92">
        <v>1.1786619999999999E-2</v>
      </c>
      <c r="H36" s="87" t="s">
        <v>143</v>
      </c>
    </row>
    <row r="37" spans="1:8" ht="14.25" customHeight="1" x14ac:dyDescent="0.2">
      <c r="A37" s="88">
        <v>31</v>
      </c>
      <c r="B37" s="89" t="s">
        <v>519</v>
      </c>
      <c r="C37" s="89" t="s">
        <v>520</v>
      </c>
      <c r="D37" s="89" t="s">
        <v>243</v>
      </c>
      <c r="E37" s="90">
        <v>32000</v>
      </c>
      <c r="F37" s="91">
        <v>1628.0640000000001</v>
      </c>
      <c r="G37" s="92">
        <v>1.114184E-2</v>
      </c>
      <c r="H37" s="87" t="s">
        <v>143</v>
      </c>
    </row>
    <row r="38" spans="1:8" ht="14.25" customHeight="1" x14ac:dyDescent="0.2">
      <c r="A38" s="88">
        <v>32</v>
      </c>
      <c r="B38" s="89" t="s">
        <v>97</v>
      </c>
      <c r="C38" s="89" t="s">
        <v>98</v>
      </c>
      <c r="D38" s="89" t="s">
        <v>68</v>
      </c>
      <c r="E38" s="90">
        <v>175000</v>
      </c>
      <c r="F38" s="91">
        <v>1572.2874999999999</v>
      </c>
      <c r="G38" s="92">
        <v>1.076013E-2</v>
      </c>
      <c r="H38" s="87" t="s">
        <v>143</v>
      </c>
    </row>
    <row r="39" spans="1:8" ht="14.25" customHeight="1" x14ac:dyDescent="0.2">
      <c r="A39" s="88">
        <v>33</v>
      </c>
      <c r="B39" s="89" t="s">
        <v>305</v>
      </c>
      <c r="C39" s="89" t="s">
        <v>306</v>
      </c>
      <c r="D39" s="89" t="s">
        <v>68</v>
      </c>
      <c r="E39" s="90">
        <v>35000</v>
      </c>
      <c r="F39" s="91">
        <v>1554</v>
      </c>
      <c r="G39" s="92">
        <v>1.0634970000000001E-2</v>
      </c>
      <c r="H39" s="87" t="s">
        <v>143</v>
      </c>
    </row>
    <row r="40" spans="1:8" ht="14.25" customHeight="1" x14ac:dyDescent="0.2">
      <c r="A40" s="88">
        <v>34</v>
      </c>
      <c r="B40" s="89" t="s">
        <v>224</v>
      </c>
      <c r="C40" s="89" t="s">
        <v>225</v>
      </c>
      <c r="D40" s="89" t="s">
        <v>43</v>
      </c>
      <c r="E40" s="90">
        <v>335000</v>
      </c>
      <c r="F40" s="91">
        <v>1548.37</v>
      </c>
      <c r="G40" s="92">
        <v>1.059644E-2</v>
      </c>
      <c r="H40" s="87" t="s">
        <v>143</v>
      </c>
    </row>
    <row r="41" spans="1:8" ht="14.25" customHeight="1" x14ac:dyDescent="0.2">
      <c r="A41" s="88">
        <v>35</v>
      </c>
      <c r="B41" s="89" t="s">
        <v>515</v>
      </c>
      <c r="C41" s="89" t="s">
        <v>516</v>
      </c>
      <c r="D41" s="89" t="s">
        <v>199</v>
      </c>
      <c r="E41" s="90">
        <v>100000</v>
      </c>
      <c r="F41" s="91">
        <v>1481.4</v>
      </c>
      <c r="G41" s="92">
        <v>1.013813E-2</v>
      </c>
      <c r="H41" s="87" t="s">
        <v>143</v>
      </c>
    </row>
    <row r="42" spans="1:8" ht="14.25" customHeight="1" x14ac:dyDescent="0.2">
      <c r="A42" s="88">
        <v>36</v>
      </c>
      <c r="B42" s="89" t="s">
        <v>289</v>
      </c>
      <c r="C42" s="89" t="s">
        <v>290</v>
      </c>
      <c r="D42" s="89" t="s">
        <v>185</v>
      </c>
      <c r="E42" s="90">
        <v>40000</v>
      </c>
      <c r="F42" s="91">
        <v>1477.92</v>
      </c>
      <c r="G42" s="92">
        <v>1.011431E-2</v>
      </c>
      <c r="H42" s="87" t="s">
        <v>143</v>
      </c>
    </row>
    <row r="43" spans="1:8" ht="14.25" customHeight="1" x14ac:dyDescent="0.2">
      <c r="A43" s="88">
        <v>37</v>
      </c>
      <c r="B43" s="89" t="s">
        <v>205</v>
      </c>
      <c r="C43" s="89" t="s">
        <v>206</v>
      </c>
      <c r="D43" s="89" t="s">
        <v>207</v>
      </c>
      <c r="E43" s="90">
        <v>235000</v>
      </c>
      <c r="F43" s="91">
        <v>1475.2125000000001</v>
      </c>
      <c r="G43" s="92">
        <v>1.009578E-2</v>
      </c>
      <c r="H43" s="87" t="s">
        <v>143</v>
      </c>
    </row>
    <row r="44" spans="1:8" ht="14.25" customHeight="1" x14ac:dyDescent="0.2">
      <c r="A44" s="88">
        <v>38</v>
      </c>
      <c r="B44" s="89" t="s">
        <v>335</v>
      </c>
      <c r="C44" s="89" t="s">
        <v>336</v>
      </c>
      <c r="D44" s="89" t="s">
        <v>25</v>
      </c>
      <c r="E44" s="90">
        <v>53000</v>
      </c>
      <c r="F44" s="91">
        <v>1471.068</v>
      </c>
      <c r="G44" s="92">
        <v>1.0067420000000001E-2</v>
      </c>
      <c r="H44" s="87" t="s">
        <v>143</v>
      </c>
    </row>
    <row r="45" spans="1:8" ht="14.25" customHeight="1" x14ac:dyDescent="0.2">
      <c r="A45" s="88">
        <v>39</v>
      </c>
      <c r="B45" s="89" t="s">
        <v>214</v>
      </c>
      <c r="C45" s="89" t="s">
        <v>215</v>
      </c>
      <c r="D45" s="89" t="s">
        <v>19</v>
      </c>
      <c r="E45" s="90">
        <v>380000</v>
      </c>
      <c r="F45" s="91">
        <v>1428.42</v>
      </c>
      <c r="G45" s="92">
        <v>9.7755499999999992E-3</v>
      </c>
      <c r="H45" s="87" t="s">
        <v>143</v>
      </c>
    </row>
    <row r="46" spans="1:8" ht="14.25" customHeight="1" x14ac:dyDescent="0.2">
      <c r="A46" s="88">
        <v>40</v>
      </c>
      <c r="B46" s="89" t="s">
        <v>517</v>
      </c>
      <c r="C46" s="89" t="s">
        <v>518</v>
      </c>
      <c r="D46" s="89" t="s">
        <v>43</v>
      </c>
      <c r="E46" s="90">
        <v>140000</v>
      </c>
      <c r="F46" s="91">
        <v>1386.35</v>
      </c>
      <c r="G46" s="92">
        <v>9.4876400000000003E-3</v>
      </c>
      <c r="H46" s="87" t="s">
        <v>143</v>
      </c>
    </row>
    <row r="47" spans="1:8" ht="14.25" customHeight="1" x14ac:dyDescent="0.2">
      <c r="A47" s="88">
        <v>41</v>
      </c>
      <c r="B47" s="89" t="s">
        <v>486</v>
      </c>
      <c r="C47" s="89" t="s">
        <v>487</v>
      </c>
      <c r="D47" s="89" t="s">
        <v>256</v>
      </c>
      <c r="E47" s="90">
        <v>112500</v>
      </c>
      <c r="F47" s="91">
        <v>1314</v>
      </c>
      <c r="G47" s="92">
        <v>8.9925100000000004E-3</v>
      </c>
      <c r="H47" s="87" t="s">
        <v>143</v>
      </c>
    </row>
    <row r="48" spans="1:8" ht="14.25" customHeight="1" x14ac:dyDescent="0.2">
      <c r="A48" s="88">
        <v>42</v>
      </c>
      <c r="B48" s="89" t="s">
        <v>817</v>
      </c>
      <c r="C48" s="89" t="s">
        <v>818</v>
      </c>
      <c r="D48" s="89" t="s">
        <v>46</v>
      </c>
      <c r="E48" s="90">
        <v>110000</v>
      </c>
      <c r="F48" s="91">
        <v>1207.9100000000001</v>
      </c>
      <c r="G48" s="92">
        <v>8.2664699999999997E-3</v>
      </c>
      <c r="H48" s="87" t="s">
        <v>143</v>
      </c>
    </row>
    <row r="49" spans="1:8" ht="14.25" customHeight="1" x14ac:dyDescent="0.2">
      <c r="A49" s="88">
        <v>43</v>
      </c>
      <c r="B49" s="89" t="s">
        <v>212</v>
      </c>
      <c r="C49" s="89" t="s">
        <v>213</v>
      </c>
      <c r="D49" s="89" t="s">
        <v>33</v>
      </c>
      <c r="E49" s="90">
        <v>623000</v>
      </c>
      <c r="F49" s="91">
        <v>1194.3533</v>
      </c>
      <c r="G49" s="92">
        <v>8.1736900000000008E-3</v>
      </c>
      <c r="H49" s="87" t="s">
        <v>143</v>
      </c>
    </row>
    <row r="50" spans="1:8" ht="14.25" customHeight="1" x14ac:dyDescent="0.2">
      <c r="A50" s="88">
        <v>44</v>
      </c>
      <c r="B50" s="89" t="s">
        <v>131</v>
      </c>
      <c r="C50" s="89" t="s">
        <v>132</v>
      </c>
      <c r="D50" s="89" t="s">
        <v>133</v>
      </c>
      <c r="E50" s="90">
        <v>294000</v>
      </c>
      <c r="F50" s="91">
        <v>1150.422</v>
      </c>
      <c r="G50" s="92">
        <v>7.8730399999999996E-3</v>
      </c>
      <c r="H50" s="87" t="s">
        <v>143</v>
      </c>
    </row>
    <row r="51" spans="1:8" ht="14.25" customHeight="1" x14ac:dyDescent="0.2">
      <c r="A51" s="88">
        <v>45</v>
      </c>
      <c r="B51" s="89" t="s">
        <v>680</v>
      </c>
      <c r="C51" s="89" t="s">
        <v>681</v>
      </c>
      <c r="D51" s="89" t="s">
        <v>65</v>
      </c>
      <c r="E51" s="90">
        <v>274000</v>
      </c>
      <c r="F51" s="91">
        <v>1069.422</v>
      </c>
      <c r="G51" s="92">
        <v>7.31871E-3</v>
      </c>
      <c r="H51" s="87" t="s">
        <v>143</v>
      </c>
    </row>
    <row r="52" spans="1:8" ht="14.25" customHeight="1" x14ac:dyDescent="0.2">
      <c r="A52" s="88">
        <v>46</v>
      </c>
      <c r="B52" s="89" t="s">
        <v>804</v>
      </c>
      <c r="C52" s="89" t="s">
        <v>805</v>
      </c>
      <c r="D52" s="89" t="s">
        <v>46</v>
      </c>
      <c r="E52" s="90">
        <v>88046</v>
      </c>
      <c r="F52" s="91">
        <v>1065.004416</v>
      </c>
      <c r="G52" s="92">
        <v>7.28848E-3</v>
      </c>
      <c r="H52" s="87" t="s">
        <v>143</v>
      </c>
    </row>
    <row r="53" spans="1:8" ht="14.25" customHeight="1" x14ac:dyDescent="0.2">
      <c r="A53" s="88">
        <v>47</v>
      </c>
      <c r="B53" s="89" t="s">
        <v>257</v>
      </c>
      <c r="C53" s="89" t="s">
        <v>258</v>
      </c>
      <c r="D53" s="89" t="s">
        <v>207</v>
      </c>
      <c r="E53" s="90">
        <v>454147</v>
      </c>
      <c r="F53" s="91">
        <v>791.21490340000003</v>
      </c>
      <c r="G53" s="92">
        <v>5.4147700000000002E-3</v>
      </c>
      <c r="H53" s="87" t="s">
        <v>143</v>
      </c>
    </row>
    <row r="54" spans="1:8" ht="14.25" customHeight="1" x14ac:dyDescent="0.2">
      <c r="A54" s="88">
        <v>48</v>
      </c>
      <c r="B54" s="89" t="s">
        <v>819</v>
      </c>
      <c r="C54" s="89" t="s">
        <v>820</v>
      </c>
      <c r="D54" s="89" t="s">
        <v>138</v>
      </c>
      <c r="E54" s="90">
        <v>117830</v>
      </c>
      <c r="F54" s="91">
        <v>647.53476499999999</v>
      </c>
      <c r="G54" s="92">
        <v>4.4314799999999998E-3</v>
      </c>
      <c r="H54" s="87" t="s">
        <v>143</v>
      </c>
    </row>
    <row r="55" spans="1:8" ht="14.25" customHeight="1" x14ac:dyDescent="0.2">
      <c r="A55" s="93"/>
      <c r="B55" s="93"/>
      <c r="C55" s="94" t="s">
        <v>142</v>
      </c>
      <c r="D55" s="93"/>
      <c r="E55" s="93" t="s">
        <v>143</v>
      </c>
      <c r="F55" s="95">
        <v>134755.3607284</v>
      </c>
      <c r="G55" s="96">
        <v>0.92221339999999996</v>
      </c>
      <c r="H55" s="87" t="s">
        <v>143</v>
      </c>
    </row>
    <row r="56" spans="1:8" ht="14.25" customHeight="1" x14ac:dyDescent="0.2">
      <c r="A56" s="93"/>
      <c r="B56" s="93"/>
      <c r="C56" s="97"/>
      <c r="D56" s="93"/>
      <c r="E56" s="93"/>
      <c r="F56" s="98"/>
      <c r="G56" s="98"/>
      <c r="H56" s="87" t="s">
        <v>143</v>
      </c>
    </row>
    <row r="57" spans="1:8" ht="14.25" customHeight="1" x14ac:dyDescent="0.2">
      <c r="A57" s="93"/>
      <c r="B57" s="93"/>
      <c r="C57" s="94" t="s">
        <v>144</v>
      </c>
      <c r="D57" s="93"/>
      <c r="E57" s="93"/>
      <c r="F57" s="93"/>
      <c r="G57" s="93"/>
      <c r="H57" s="87" t="s">
        <v>143</v>
      </c>
    </row>
    <row r="58" spans="1:8" ht="14.25" customHeight="1" x14ac:dyDescent="0.2">
      <c r="A58" s="93"/>
      <c r="B58" s="93"/>
      <c r="C58" s="94" t="s">
        <v>142</v>
      </c>
      <c r="D58" s="93"/>
      <c r="E58" s="93" t="s">
        <v>143</v>
      </c>
      <c r="F58" s="99" t="s">
        <v>145</v>
      </c>
      <c r="G58" s="96">
        <v>0</v>
      </c>
      <c r="H58" s="87" t="s">
        <v>143</v>
      </c>
    </row>
    <row r="59" spans="1:8" ht="14.25" customHeight="1" x14ac:dyDescent="0.2">
      <c r="A59" s="93"/>
      <c r="B59" s="93"/>
      <c r="C59" s="97"/>
      <c r="D59" s="93"/>
      <c r="E59" s="93"/>
      <c r="F59" s="98"/>
      <c r="G59" s="98"/>
      <c r="H59" s="87" t="s">
        <v>143</v>
      </c>
    </row>
    <row r="60" spans="1:8" ht="14.25" customHeight="1" x14ac:dyDescent="0.2">
      <c r="A60" s="93"/>
      <c r="B60" s="93"/>
      <c r="C60" s="94" t="s">
        <v>146</v>
      </c>
      <c r="D60" s="93"/>
      <c r="E60" s="93"/>
      <c r="F60" s="93"/>
      <c r="G60" s="93"/>
      <c r="H60" s="87" t="s">
        <v>143</v>
      </c>
    </row>
    <row r="61" spans="1:8" ht="14.25" customHeight="1" x14ac:dyDescent="0.2">
      <c r="A61" s="93"/>
      <c r="B61" s="93"/>
      <c r="C61" s="94" t="s">
        <v>142</v>
      </c>
      <c r="D61" s="93"/>
      <c r="E61" s="93" t="s">
        <v>143</v>
      </c>
      <c r="F61" s="99" t="s">
        <v>145</v>
      </c>
      <c r="G61" s="96">
        <v>0</v>
      </c>
      <c r="H61" s="87" t="s">
        <v>143</v>
      </c>
    </row>
    <row r="62" spans="1:8" ht="14.25" customHeight="1" x14ac:dyDescent="0.2">
      <c r="A62" s="93"/>
      <c r="B62" s="93"/>
      <c r="C62" s="97"/>
      <c r="D62" s="93"/>
      <c r="E62" s="93"/>
      <c r="F62" s="98"/>
      <c r="G62" s="98"/>
      <c r="H62" s="87" t="s">
        <v>143</v>
      </c>
    </row>
    <row r="63" spans="1:8" ht="14.25" customHeight="1" x14ac:dyDescent="0.2">
      <c r="A63" s="93"/>
      <c r="B63" s="93"/>
      <c r="C63" s="94" t="s">
        <v>147</v>
      </c>
      <c r="D63" s="93"/>
      <c r="E63" s="93"/>
      <c r="F63" s="93"/>
      <c r="G63" s="93"/>
      <c r="H63" s="87" t="s">
        <v>143</v>
      </c>
    </row>
    <row r="64" spans="1:8" ht="14.25" customHeight="1" x14ac:dyDescent="0.2">
      <c r="A64" s="93"/>
      <c r="B64" s="93"/>
      <c r="C64" s="94" t="s">
        <v>142</v>
      </c>
      <c r="D64" s="93"/>
      <c r="E64" s="93" t="s">
        <v>143</v>
      </c>
      <c r="F64" s="99" t="s">
        <v>145</v>
      </c>
      <c r="G64" s="96">
        <v>0</v>
      </c>
      <c r="H64" s="87" t="s">
        <v>143</v>
      </c>
    </row>
    <row r="65" spans="1:8" ht="14.25" customHeight="1" x14ac:dyDescent="0.2">
      <c r="A65" s="93"/>
      <c r="B65" s="93"/>
      <c r="C65" s="97"/>
      <c r="D65" s="93"/>
      <c r="E65" s="93"/>
      <c r="F65" s="98"/>
      <c r="G65" s="98"/>
      <c r="H65" s="87" t="s">
        <v>143</v>
      </c>
    </row>
    <row r="66" spans="1:8" ht="14.25" customHeight="1" x14ac:dyDescent="0.2">
      <c r="A66" s="93"/>
      <c r="B66" s="93"/>
      <c r="C66" s="94" t="s">
        <v>148</v>
      </c>
      <c r="D66" s="93"/>
      <c r="E66" s="93"/>
      <c r="F66" s="98"/>
      <c r="G66" s="98"/>
      <c r="H66" s="87" t="s">
        <v>143</v>
      </c>
    </row>
    <row r="67" spans="1:8" ht="14.25" customHeight="1" x14ac:dyDescent="0.2">
      <c r="A67" s="93"/>
      <c r="B67" s="93"/>
      <c r="C67" s="94" t="s">
        <v>142</v>
      </c>
      <c r="D67" s="93"/>
      <c r="E67" s="93" t="s">
        <v>143</v>
      </c>
      <c r="F67" s="99" t="s">
        <v>145</v>
      </c>
      <c r="G67" s="96">
        <v>0</v>
      </c>
      <c r="H67" s="87" t="s">
        <v>143</v>
      </c>
    </row>
    <row r="68" spans="1:8" ht="14.25" customHeight="1" x14ac:dyDescent="0.2">
      <c r="A68" s="93"/>
      <c r="B68" s="93"/>
      <c r="C68" s="97"/>
      <c r="D68" s="93"/>
      <c r="E68" s="93"/>
      <c r="F68" s="98"/>
      <c r="G68" s="98"/>
      <c r="H68" s="87" t="s">
        <v>143</v>
      </c>
    </row>
    <row r="69" spans="1:8" ht="14.25" customHeight="1" x14ac:dyDescent="0.2">
      <c r="A69" s="93"/>
      <c r="B69" s="93"/>
      <c r="C69" s="94" t="s">
        <v>149</v>
      </c>
      <c r="D69" s="93"/>
      <c r="E69" s="93"/>
      <c r="F69" s="98"/>
      <c r="G69" s="98"/>
      <c r="H69" s="87" t="s">
        <v>143</v>
      </c>
    </row>
    <row r="70" spans="1:8" ht="14.25" customHeight="1" x14ac:dyDescent="0.2">
      <c r="A70" s="93"/>
      <c r="B70" s="93"/>
      <c r="C70" s="94" t="s">
        <v>142</v>
      </c>
      <c r="D70" s="93"/>
      <c r="E70" s="93" t="s">
        <v>143</v>
      </c>
      <c r="F70" s="99" t="s">
        <v>145</v>
      </c>
      <c r="G70" s="96">
        <v>0</v>
      </c>
      <c r="H70" s="87" t="s">
        <v>143</v>
      </c>
    </row>
    <row r="71" spans="1:8" ht="14.25" customHeight="1" x14ac:dyDescent="0.2">
      <c r="A71" s="93"/>
      <c r="B71" s="93"/>
      <c r="C71" s="97"/>
      <c r="D71" s="93"/>
      <c r="E71" s="93"/>
      <c r="F71" s="98"/>
      <c r="G71" s="98"/>
      <c r="H71" s="87" t="s">
        <v>143</v>
      </c>
    </row>
    <row r="72" spans="1:8" ht="14.25" customHeight="1" x14ac:dyDescent="0.2">
      <c r="A72" s="93"/>
      <c r="B72" s="93"/>
      <c r="C72" s="94" t="s">
        <v>150</v>
      </c>
      <c r="D72" s="93"/>
      <c r="E72" s="93"/>
      <c r="F72" s="95">
        <v>134755.3607284</v>
      </c>
      <c r="G72" s="96">
        <v>0.92221339999999996</v>
      </c>
      <c r="H72" s="87" t="s">
        <v>143</v>
      </c>
    </row>
    <row r="73" spans="1:8" ht="14.25" customHeight="1" x14ac:dyDescent="0.2">
      <c r="A73" s="93"/>
      <c r="B73" s="93"/>
      <c r="C73" s="97"/>
      <c r="D73" s="93"/>
      <c r="E73" s="93"/>
      <c r="F73" s="98"/>
      <c r="G73" s="98"/>
      <c r="H73" s="87" t="s">
        <v>143</v>
      </c>
    </row>
    <row r="74" spans="1:8" ht="14.25" customHeight="1" x14ac:dyDescent="0.2">
      <c r="A74" s="93"/>
      <c r="B74" s="93"/>
      <c r="C74" s="94" t="s">
        <v>151</v>
      </c>
      <c r="D74" s="93"/>
      <c r="E74" s="93"/>
      <c r="F74" s="98"/>
      <c r="G74" s="98"/>
      <c r="H74" s="87" t="s">
        <v>143</v>
      </c>
    </row>
    <row r="75" spans="1:8" ht="14.25" customHeight="1" x14ac:dyDescent="0.2">
      <c r="A75" s="93"/>
      <c r="B75" s="93"/>
      <c r="C75" s="94" t="s">
        <v>10</v>
      </c>
      <c r="D75" s="93"/>
      <c r="E75" s="93"/>
      <c r="F75" s="98"/>
      <c r="G75" s="98"/>
      <c r="H75" s="87" t="s">
        <v>143</v>
      </c>
    </row>
    <row r="76" spans="1:8" ht="14.25" customHeight="1" x14ac:dyDescent="0.2">
      <c r="A76" s="93"/>
      <c r="B76" s="93"/>
      <c r="C76" s="94" t="s">
        <v>142</v>
      </c>
      <c r="D76" s="93"/>
      <c r="E76" s="93" t="s">
        <v>143</v>
      </c>
      <c r="F76" s="99" t="s">
        <v>145</v>
      </c>
      <c r="G76" s="96">
        <v>0</v>
      </c>
      <c r="H76" s="87" t="s">
        <v>143</v>
      </c>
    </row>
    <row r="77" spans="1:8" ht="14.25" customHeight="1" x14ac:dyDescent="0.2">
      <c r="A77" s="93"/>
      <c r="B77" s="93"/>
      <c r="C77" s="97"/>
      <c r="D77" s="93"/>
      <c r="E77" s="93"/>
      <c r="F77" s="98"/>
      <c r="G77" s="98"/>
      <c r="H77" s="87" t="s">
        <v>143</v>
      </c>
    </row>
    <row r="78" spans="1:8" ht="14.25" customHeight="1" x14ac:dyDescent="0.2">
      <c r="A78" s="93"/>
      <c r="B78" s="93"/>
      <c r="C78" s="94" t="s">
        <v>152</v>
      </c>
      <c r="D78" s="93"/>
      <c r="E78" s="93"/>
      <c r="F78" s="93"/>
      <c r="G78" s="93"/>
      <c r="H78" s="87" t="s">
        <v>143</v>
      </c>
    </row>
    <row r="79" spans="1:8" ht="14.25" customHeight="1" x14ac:dyDescent="0.2">
      <c r="A79" s="93"/>
      <c r="B79" s="93"/>
      <c r="C79" s="94" t="s">
        <v>142</v>
      </c>
      <c r="D79" s="93"/>
      <c r="E79" s="93" t="s">
        <v>143</v>
      </c>
      <c r="F79" s="99" t="s">
        <v>145</v>
      </c>
      <c r="G79" s="96">
        <v>0</v>
      </c>
      <c r="H79" s="87" t="s">
        <v>143</v>
      </c>
    </row>
    <row r="80" spans="1:8" ht="14.25" customHeight="1" x14ac:dyDescent="0.2">
      <c r="A80" s="93"/>
      <c r="B80" s="93"/>
      <c r="C80" s="97"/>
      <c r="D80" s="93"/>
      <c r="E80" s="93"/>
      <c r="F80" s="98"/>
      <c r="G80" s="98"/>
      <c r="H80" s="87" t="s">
        <v>143</v>
      </c>
    </row>
    <row r="81" spans="1:8" ht="14.25" customHeight="1" x14ac:dyDescent="0.2">
      <c r="A81" s="93"/>
      <c r="B81" s="93"/>
      <c r="C81" s="94" t="s">
        <v>153</v>
      </c>
      <c r="D81" s="93"/>
      <c r="E81" s="93"/>
      <c r="F81" s="93"/>
      <c r="G81" s="93"/>
      <c r="H81" s="87" t="s">
        <v>143</v>
      </c>
    </row>
    <row r="82" spans="1:8" ht="14.25" customHeight="1" x14ac:dyDescent="0.2">
      <c r="A82" s="93"/>
      <c r="B82" s="93"/>
      <c r="C82" s="94" t="s">
        <v>142</v>
      </c>
      <c r="D82" s="93"/>
      <c r="E82" s="93" t="s">
        <v>143</v>
      </c>
      <c r="F82" s="99" t="s">
        <v>145</v>
      </c>
      <c r="G82" s="96">
        <v>0</v>
      </c>
      <c r="H82" s="87" t="s">
        <v>143</v>
      </c>
    </row>
    <row r="83" spans="1:8" ht="14.25" customHeight="1" x14ac:dyDescent="0.2">
      <c r="A83" s="93"/>
      <c r="B83" s="93"/>
      <c r="C83" s="97"/>
      <c r="D83" s="93"/>
      <c r="E83" s="93"/>
      <c r="F83" s="98"/>
      <c r="G83" s="98"/>
      <c r="H83" s="87" t="s">
        <v>143</v>
      </c>
    </row>
    <row r="84" spans="1:8" ht="14.25" customHeight="1" x14ac:dyDescent="0.2">
      <c r="A84" s="93"/>
      <c r="B84" s="93"/>
      <c r="C84" s="94" t="s">
        <v>154</v>
      </c>
      <c r="D84" s="93"/>
      <c r="E84" s="93"/>
      <c r="F84" s="98"/>
      <c r="G84" s="98"/>
      <c r="H84" s="87" t="s">
        <v>143</v>
      </c>
    </row>
    <row r="85" spans="1:8" ht="14.25" customHeight="1" x14ac:dyDescent="0.2">
      <c r="A85" s="93"/>
      <c r="B85" s="93"/>
      <c r="C85" s="94" t="s">
        <v>142</v>
      </c>
      <c r="D85" s="93"/>
      <c r="E85" s="93" t="s">
        <v>143</v>
      </c>
      <c r="F85" s="99" t="s">
        <v>145</v>
      </c>
      <c r="G85" s="96">
        <v>0</v>
      </c>
      <c r="H85" s="87" t="s">
        <v>143</v>
      </c>
    </row>
    <row r="86" spans="1:8" ht="14.25" customHeight="1" x14ac:dyDescent="0.2">
      <c r="A86" s="93"/>
      <c r="B86" s="93"/>
      <c r="C86" s="97"/>
      <c r="D86" s="93"/>
      <c r="E86" s="93"/>
      <c r="F86" s="98"/>
      <c r="G86" s="98"/>
      <c r="H86" s="87" t="s">
        <v>143</v>
      </c>
    </row>
    <row r="87" spans="1:8" ht="14.25" customHeight="1" x14ac:dyDescent="0.2">
      <c r="A87" s="93"/>
      <c r="B87" s="93"/>
      <c r="C87" s="94" t="s">
        <v>155</v>
      </c>
      <c r="D87" s="93"/>
      <c r="E87" s="93"/>
      <c r="F87" s="95">
        <v>0</v>
      </c>
      <c r="G87" s="96">
        <v>0</v>
      </c>
      <c r="H87" s="87" t="s">
        <v>143</v>
      </c>
    </row>
    <row r="88" spans="1:8" ht="14.25" customHeight="1" x14ac:dyDescent="0.2">
      <c r="A88" s="93"/>
      <c r="B88" s="93"/>
      <c r="C88" s="97"/>
      <c r="D88" s="93"/>
      <c r="E88" s="93"/>
      <c r="F88" s="98"/>
      <c r="G88" s="98"/>
      <c r="H88" s="87" t="s">
        <v>143</v>
      </c>
    </row>
    <row r="89" spans="1:8" ht="14.25" customHeight="1" x14ac:dyDescent="0.2">
      <c r="A89" s="93"/>
      <c r="B89" s="93"/>
      <c r="C89" s="94" t="s">
        <v>156</v>
      </c>
      <c r="D89" s="93"/>
      <c r="E89" s="93"/>
      <c r="F89" s="98"/>
      <c r="G89" s="98"/>
      <c r="H89" s="87" t="s">
        <v>143</v>
      </c>
    </row>
    <row r="90" spans="1:8" ht="14.25" customHeight="1" x14ac:dyDescent="0.2">
      <c r="A90" s="93"/>
      <c r="B90" s="93"/>
      <c r="C90" s="94" t="s">
        <v>157</v>
      </c>
      <c r="D90" s="93"/>
      <c r="E90" s="93"/>
      <c r="F90" s="98"/>
      <c r="G90" s="98"/>
      <c r="H90" s="87" t="s">
        <v>143</v>
      </c>
    </row>
    <row r="91" spans="1:8" ht="14.25" customHeight="1" x14ac:dyDescent="0.2">
      <c r="A91" s="93"/>
      <c r="B91" s="93"/>
      <c r="C91" s="94" t="s">
        <v>142</v>
      </c>
      <c r="D91" s="93"/>
      <c r="E91" s="93" t="s">
        <v>143</v>
      </c>
      <c r="F91" s="99" t="s">
        <v>145</v>
      </c>
      <c r="G91" s="96">
        <v>0</v>
      </c>
      <c r="H91" s="87" t="s">
        <v>143</v>
      </c>
    </row>
    <row r="92" spans="1:8" ht="14.25" customHeight="1" x14ac:dyDescent="0.2">
      <c r="A92" s="93"/>
      <c r="B92" s="93"/>
      <c r="C92" s="97"/>
      <c r="D92" s="93"/>
      <c r="E92" s="93"/>
      <c r="F92" s="98"/>
      <c r="G92" s="98"/>
      <c r="H92" s="87" t="s">
        <v>143</v>
      </c>
    </row>
    <row r="93" spans="1:8" ht="14.25" customHeight="1" x14ac:dyDescent="0.2">
      <c r="A93" s="93"/>
      <c r="B93" s="93"/>
      <c r="C93" s="94" t="s">
        <v>158</v>
      </c>
      <c r="D93" s="93"/>
      <c r="E93" s="93"/>
      <c r="F93" s="98"/>
      <c r="G93" s="98"/>
      <c r="H93" s="87" t="s">
        <v>143</v>
      </c>
    </row>
    <row r="94" spans="1:8" ht="14.25" customHeight="1" x14ac:dyDescent="0.2">
      <c r="A94" s="93"/>
      <c r="B94" s="93"/>
      <c r="C94" s="94" t="s">
        <v>142</v>
      </c>
      <c r="D94" s="93"/>
      <c r="E94" s="93" t="s">
        <v>143</v>
      </c>
      <c r="F94" s="99" t="s">
        <v>145</v>
      </c>
      <c r="G94" s="96">
        <v>0</v>
      </c>
      <c r="H94" s="87" t="s">
        <v>143</v>
      </c>
    </row>
    <row r="95" spans="1:8" ht="14.25" customHeight="1" x14ac:dyDescent="0.2">
      <c r="A95" s="93"/>
      <c r="B95" s="93"/>
      <c r="C95" s="97"/>
      <c r="D95" s="93"/>
      <c r="E95" s="93"/>
      <c r="F95" s="98"/>
      <c r="G95" s="98"/>
      <c r="H95" s="87" t="s">
        <v>143</v>
      </c>
    </row>
    <row r="96" spans="1:8" ht="14.25" customHeight="1" x14ac:dyDescent="0.2">
      <c r="A96" s="93"/>
      <c r="B96" s="93"/>
      <c r="C96" s="94" t="s">
        <v>159</v>
      </c>
      <c r="D96" s="93"/>
      <c r="E96" s="93"/>
      <c r="F96" s="98"/>
      <c r="G96" s="98"/>
      <c r="H96" s="87" t="s">
        <v>143</v>
      </c>
    </row>
    <row r="97" spans="1:8" ht="14.25" customHeight="1" x14ac:dyDescent="0.2">
      <c r="A97" s="93"/>
      <c r="B97" s="93"/>
      <c r="C97" s="94" t="s">
        <v>142</v>
      </c>
      <c r="D97" s="93"/>
      <c r="E97" s="93" t="s">
        <v>143</v>
      </c>
      <c r="F97" s="99" t="s">
        <v>145</v>
      </c>
      <c r="G97" s="96">
        <v>0</v>
      </c>
      <c r="H97" s="87" t="s">
        <v>143</v>
      </c>
    </row>
    <row r="98" spans="1:8" ht="14.25" customHeight="1" x14ac:dyDescent="0.2">
      <c r="A98" s="93"/>
      <c r="B98" s="93"/>
      <c r="C98" s="97"/>
      <c r="D98" s="93"/>
      <c r="E98" s="93"/>
      <c r="F98" s="98"/>
      <c r="G98" s="98"/>
      <c r="H98" s="87" t="s">
        <v>143</v>
      </c>
    </row>
    <row r="99" spans="1:8" ht="14.25" customHeight="1" x14ac:dyDescent="0.2">
      <c r="A99" s="93"/>
      <c r="B99" s="93"/>
      <c r="C99" s="94" t="s">
        <v>160</v>
      </c>
      <c r="D99" s="93"/>
      <c r="E99" s="93"/>
      <c r="F99" s="98"/>
      <c r="G99" s="98"/>
      <c r="H99" s="87" t="s">
        <v>143</v>
      </c>
    </row>
    <row r="100" spans="1:8" ht="14.25" customHeight="1" x14ac:dyDescent="0.2">
      <c r="A100" s="88">
        <v>1</v>
      </c>
      <c r="B100" s="89"/>
      <c r="C100" s="89" t="s">
        <v>161</v>
      </c>
      <c r="D100" s="89"/>
      <c r="E100" s="100"/>
      <c r="F100" s="91">
        <v>12829.089692046</v>
      </c>
      <c r="G100" s="92">
        <v>8.7797310000000003E-2</v>
      </c>
      <c r="H100" s="87">
        <v>5.38</v>
      </c>
    </row>
    <row r="101" spans="1:8" ht="14.25" customHeight="1" x14ac:dyDescent="0.2">
      <c r="A101" s="93"/>
      <c r="B101" s="93"/>
      <c r="C101" s="94" t="s">
        <v>142</v>
      </c>
      <c r="D101" s="93"/>
      <c r="E101" s="93" t="s">
        <v>143</v>
      </c>
      <c r="F101" s="95">
        <v>12829.089692046</v>
      </c>
      <c r="G101" s="96">
        <v>8.7797310000000003E-2</v>
      </c>
      <c r="H101" s="87" t="s">
        <v>143</v>
      </c>
    </row>
    <row r="102" spans="1:8" ht="14.25" customHeight="1" x14ac:dyDescent="0.2">
      <c r="A102" s="93"/>
      <c r="B102" s="93"/>
      <c r="C102" s="97"/>
      <c r="D102" s="93"/>
      <c r="E102" s="93"/>
      <c r="F102" s="98"/>
      <c r="G102" s="98"/>
      <c r="H102" s="87" t="s">
        <v>143</v>
      </c>
    </row>
    <row r="103" spans="1:8" ht="14.25" customHeight="1" x14ac:dyDescent="0.2">
      <c r="A103" s="93"/>
      <c r="B103" s="93"/>
      <c r="C103" s="94" t="s">
        <v>162</v>
      </c>
      <c r="D103" s="93"/>
      <c r="E103" s="93"/>
      <c r="F103" s="95">
        <v>12829.089692046</v>
      </c>
      <c r="G103" s="96">
        <v>8.7797310000000003E-2</v>
      </c>
      <c r="H103" s="87" t="s">
        <v>143</v>
      </c>
    </row>
    <row r="104" spans="1:8" ht="14.25" customHeight="1" x14ac:dyDescent="0.2">
      <c r="A104" s="93"/>
      <c r="B104" s="93"/>
      <c r="C104" s="98"/>
      <c r="D104" s="93"/>
      <c r="E104" s="93"/>
      <c r="F104" s="93"/>
      <c r="G104" s="93"/>
      <c r="H104" s="87" t="s">
        <v>143</v>
      </c>
    </row>
    <row r="105" spans="1:8" ht="14.25" customHeight="1" x14ac:dyDescent="0.2">
      <c r="A105" s="93"/>
      <c r="B105" s="93"/>
      <c r="C105" s="94" t="s">
        <v>163</v>
      </c>
      <c r="D105" s="93"/>
      <c r="E105" s="93"/>
      <c r="F105" s="93"/>
      <c r="G105" s="93"/>
      <c r="H105" s="87" t="s">
        <v>143</v>
      </c>
    </row>
    <row r="106" spans="1:8" ht="14.25" customHeight="1" x14ac:dyDescent="0.2">
      <c r="A106" s="93"/>
      <c r="B106" s="93"/>
      <c r="C106" s="94" t="s">
        <v>164</v>
      </c>
      <c r="D106" s="93"/>
      <c r="E106" s="93"/>
      <c r="F106" s="93"/>
      <c r="G106" s="93"/>
      <c r="H106" s="87" t="s">
        <v>143</v>
      </c>
    </row>
    <row r="107" spans="1:8" ht="14.25" customHeight="1" x14ac:dyDescent="0.2">
      <c r="A107" s="93"/>
      <c r="B107" s="93"/>
      <c r="C107" s="94" t="s">
        <v>142</v>
      </c>
      <c r="D107" s="93"/>
      <c r="E107" s="93" t="s">
        <v>143</v>
      </c>
      <c r="F107" s="99" t="s">
        <v>145</v>
      </c>
      <c r="G107" s="96">
        <v>0</v>
      </c>
      <c r="H107" s="87" t="s">
        <v>143</v>
      </c>
    </row>
    <row r="108" spans="1:8" ht="14.25" customHeight="1" x14ac:dyDescent="0.2">
      <c r="A108" s="93"/>
      <c r="B108" s="93"/>
      <c r="C108" s="97"/>
      <c r="D108" s="93"/>
      <c r="E108" s="93"/>
      <c r="F108" s="98"/>
      <c r="G108" s="98"/>
      <c r="H108" s="87" t="s">
        <v>143</v>
      </c>
    </row>
    <row r="109" spans="1:8" ht="14.25" customHeight="1" x14ac:dyDescent="0.2">
      <c r="A109" s="93"/>
      <c r="B109" s="93"/>
      <c r="C109" s="94" t="s">
        <v>165</v>
      </c>
      <c r="D109" s="93"/>
      <c r="E109" s="93"/>
      <c r="F109" s="93"/>
      <c r="G109" s="93"/>
      <c r="H109" s="87" t="s">
        <v>143</v>
      </c>
    </row>
    <row r="110" spans="1:8" ht="14.25" customHeight="1" x14ac:dyDescent="0.2">
      <c r="A110" s="93"/>
      <c r="B110" s="93"/>
      <c r="C110" s="94" t="s">
        <v>166</v>
      </c>
      <c r="D110" s="93"/>
      <c r="E110" s="93"/>
      <c r="F110" s="93"/>
      <c r="G110" s="93"/>
      <c r="H110" s="87" t="s">
        <v>143</v>
      </c>
    </row>
    <row r="111" spans="1:8" ht="14.25" customHeight="1" x14ac:dyDescent="0.2">
      <c r="A111" s="93"/>
      <c r="B111" s="93"/>
      <c r="C111" s="94" t="s">
        <v>142</v>
      </c>
      <c r="D111" s="93"/>
      <c r="E111" s="93" t="s">
        <v>143</v>
      </c>
      <c r="F111" s="99" t="s">
        <v>145</v>
      </c>
      <c r="G111" s="96">
        <v>0</v>
      </c>
      <c r="H111" s="87" t="s">
        <v>143</v>
      </c>
    </row>
    <row r="112" spans="1:8" ht="14.25" customHeight="1" x14ac:dyDescent="0.2">
      <c r="A112" s="93"/>
      <c r="B112" s="93"/>
      <c r="C112" s="97"/>
      <c r="D112" s="93"/>
      <c r="E112" s="93"/>
      <c r="F112" s="98"/>
      <c r="G112" s="98"/>
      <c r="H112" s="87" t="s">
        <v>143</v>
      </c>
    </row>
    <row r="113" spans="1:17" ht="14.25" customHeight="1" x14ac:dyDescent="0.2">
      <c r="A113" s="93"/>
      <c r="B113" s="93"/>
      <c r="C113" s="94" t="s">
        <v>167</v>
      </c>
      <c r="D113" s="93"/>
      <c r="E113" s="93"/>
      <c r="F113" s="98"/>
      <c r="G113" s="98"/>
      <c r="H113" s="87" t="s">
        <v>143</v>
      </c>
    </row>
    <row r="114" spans="1:17" ht="14.25" customHeight="1" x14ac:dyDescent="0.2">
      <c r="A114" s="93"/>
      <c r="B114" s="93"/>
      <c r="C114" s="94" t="s">
        <v>142</v>
      </c>
      <c r="D114" s="93"/>
      <c r="E114" s="93" t="s">
        <v>143</v>
      </c>
      <c r="F114" s="99" t="s">
        <v>145</v>
      </c>
      <c r="G114" s="96">
        <v>0</v>
      </c>
      <c r="H114" s="87" t="s">
        <v>143</v>
      </c>
    </row>
    <row r="115" spans="1:17" ht="14.25" customHeight="1" x14ac:dyDescent="0.2">
      <c r="A115" s="93"/>
      <c r="B115" s="89"/>
      <c r="C115" s="89"/>
      <c r="D115" s="94"/>
      <c r="E115" s="93"/>
      <c r="F115" s="89"/>
      <c r="G115" s="100"/>
      <c r="H115" s="87" t="s">
        <v>143</v>
      </c>
    </row>
    <row r="116" spans="1:17" ht="14.25" customHeight="1" x14ac:dyDescent="0.2">
      <c r="A116" s="100"/>
      <c r="B116" s="89"/>
      <c r="C116" s="89" t="s">
        <v>168</v>
      </c>
      <c r="D116" s="89"/>
      <c r="E116" s="100"/>
      <c r="F116" s="91">
        <v>-1462.77276373</v>
      </c>
      <c r="G116" s="92">
        <v>-1.0010649999999999E-2</v>
      </c>
      <c r="H116" s="87" t="s">
        <v>143</v>
      </c>
    </row>
    <row r="117" spans="1:17" ht="14.25" customHeight="1" x14ac:dyDescent="0.2">
      <c r="A117" s="97"/>
      <c r="B117" s="97"/>
      <c r="C117" s="94" t="s">
        <v>169</v>
      </c>
      <c r="D117" s="98"/>
      <c r="E117" s="98"/>
      <c r="F117" s="95">
        <v>146121.677656716</v>
      </c>
      <c r="G117" s="101">
        <v>1.0000000600000001</v>
      </c>
      <c r="H117" s="87" t="s">
        <v>143</v>
      </c>
    </row>
    <row r="118" spans="1:17" ht="12.75" x14ac:dyDescent="0.2">
      <c r="A118" s="102"/>
      <c r="B118" s="102"/>
      <c r="C118" s="102"/>
      <c r="D118" s="103"/>
      <c r="E118" s="103"/>
      <c r="F118" s="103"/>
      <c r="G118" s="103"/>
    </row>
    <row r="119" spans="1:17" ht="12.75" x14ac:dyDescent="0.2">
      <c r="A119" s="104"/>
      <c r="B119" s="206" t="s">
        <v>942</v>
      </c>
      <c r="C119" s="206"/>
      <c r="D119" s="206"/>
      <c r="E119" s="206"/>
      <c r="F119" s="206"/>
      <c r="G119" s="206"/>
      <c r="H119" s="206"/>
      <c r="J119" s="106"/>
    </row>
    <row r="120" spans="1:17" ht="12.75" x14ac:dyDescent="0.2">
      <c r="A120" s="104"/>
      <c r="B120" s="206" t="s">
        <v>943</v>
      </c>
      <c r="C120" s="206"/>
      <c r="D120" s="206"/>
      <c r="E120" s="206"/>
      <c r="F120" s="206"/>
      <c r="G120" s="206"/>
      <c r="H120" s="206"/>
      <c r="J120" s="106"/>
    </row>
    <row r="121" spans="1:17" ht="12.75" x14ac:dyDescent="0.2">
      <c r="A121" s="104"/>
      <c r="B121" s="206" t="s">
        <v>944</v>
      </c>
      <c r="C121" s="206"/>
      <c r="D121" s="206"/>
      <c r="E121" s="206"/>
      <c r="F121" s="206"/>
      <c r="G121" s="206"/>
      <c r="H121" s="206"/>
      <c r="J121" s="106"/>
    </row>
    <row r="122" spans="1:17" s="108" customFormat="1" ht="66.75" customHeight="1" x14ac:dyDescent="0.25">
      <c r="A122" s="107"/>
      <c r="B122" s="207" t="s">
        <v>945</v>
      </c>
      <c r="C122" s="207"/>
      <c r="D122" s="207"/>
      <c r="E122" s="207"/>
      <c r="F122" s="207"/>
      <c r="G122" s="207"/>
      <c r="H122" s="207"/>
      <c r="I122"/>
      <c r="J122" s="106"/>
      <c r="K122"/>
      <c r="L122"/>
      <c r="M122"/>
      <c r="N122"/>
      <c r="O122"/>
      <c r="P122"/>
      <c r="Q122"/>
    </row>
    <row r="123" spans="1:17" ht="12.75" x14ac:dyDescent="0.2">
      <c r="A123" s="104"/>
      <c r="B123" s="206" t="s">
        <v>946</v>
      </c>
      <c r="C123" s="206"/>
      <c r="D123" s="206"/>
      <c r="E123" s="206"/>
      <c r="F123" s="206"/>
      <c r="G123" s="206"/>
      <c r="H123" s="206"/>
      <c r="J123" s="106"/>
    </row>
    <row r="124" spans="1:17" ht="12.75" x14ac:dyDescent="0.2">
      <c r="A124" s="104"/>
      <c r="B124" s="104"/>
      <c r="C124" s="104"/>
      <c r="D124" s="109"/>
      <c r="E124" s="109"/>
      <c r="F124" s="109"/>
      <c r="G124" s="109"/>
    </row>
    <row r="125" spans="1:17" ht="12.75" x14ac:dyDescent="0.2">
      <c r="A125" s="104"/>
      <c r="B125" s="199" t="s">
        <v>170</v>
      </c>
      <c r="C125" s="200"/>
      <c r="D125" s="201"/>
      <c r="E125" s="110"/>
      <c r="F125" s="109"/>
      <c r="G125" s="109"/>
    </row>
    <row r="126" spans="1:17" ht="27.75" customHeight="1" x14ac:dyDescent="0.2">
      <c r="A126" s="104"/>
      <c r="B126" s="202" t="s">
        <v>171</v>
      </c>
      <c r="C126" s="203"/>
      <c r="D126" s="86" t="s">
        <v>172</v>
      </c>
      <c r="E126" s="110"/>
      <c r="F126" s="109"/>
      <c r="G126" s="109"/>
    </row>
    <row r="127" spans="1:17" ht="12.75" customHeight="1" x14ac:dyDescent="0.2">
      <c r="A127" s="104"/>
      <c r="B127" s="202" t="s">
        <v>947</v>
      </c>
      <c r="C127" s="203"/>
      <c r="D127" s="86" t="s">
        <v>172</v>
      </c>
      <c r="E127" s="110"/>
      <c r="F127" s="109"/>
      <c r="G127" s="109"/>
    </row>
    <row r="128" spans="1:17" ht="12.75" x14ac:dyDescent="0.2">
      <c r="A128" s="104"/>
      <c r="B128" s="202" t="s">
        <v>173</v>
      </c>
      <c r="C128" s="203"/>
      <c r="D128" s="111" t="s">
        <v>143</v>
      </c>
      <c r="E128" s="110"/>
      <c r="F128" s="109"/>
      <c r="G128" s="109"/>
    </row>
    <row r="129" spans="1:10" ht="12.75" x14ac:dyDescent="0.2">
      <c r="A129" s="112"/>
      <c r="B129" s="113" t="s">
        <v>143</v>
      </c>
      <c r="C129" s="113" t="s">
        <v>948</v>
      </c>
      <c r="D129" s="113" t="s">
        <v>174</v>
      </c>
      <c r="E129" s="112"/>
      <c r="F129" s="112"/>
      <c r="G129" s="112"/>
      <c r="H129" s="112"/>
      <c r="J129" s="106"/>
    </row>
    <row r="130" spans="1:10" ht="12.75" x14ac:dyDescent="0.2">
      <c r="A130" s="112"/>
      <c r="B130" s="114" t="s">
        <v>175</v>
      </c>
      <c r="C130" s="115">
        <v>45869</v>
      </c>
      <c r="D130" s="115">
        <v>45900</v>
      </c>
      <c r="E130" s="112"/>
      <c r="F130" s="112"/>
      <c r="G130" s="112"/>
      <c r="J130" s="106"/>
    </row>
    <row r="131" spans="1:10" ht="14.25" customHeight="1" x14ac:dyDescent="0.2">
      <c r="A131" s="116"/>
      <c r="B131" s="89" t="s">
        <v>176</v>
      </c>
      <c r="C131" s="117">
        <v>234.40979999999999</v>
      </c>
      <c r="D131" s="117">
        <v>231.84030000000001</v>
      </c>
      <c r="E131" s="116"/>
      <c r="F131" s="118"/>
      <c r="G131" s="119"/>
    </row>
    <row r="132" spans="1:10" ht="14.25" customHeight="1" x14ac:dyDescent="0.2">
      <c r="A132" s="116"/>
      <c r="B132" s="89" t="s">
        <v>954</v>
      </c>
      <c r="C132" s="117">
        <v>20.6874</v>
      </c>
      <c r="D132" s="117">
        <v>20.460599999999999</v>
      </c>
      <c r="E132" s="116"/>
      <c r="F132" s="118"/>
      <c r="G132" s="119"/>
    </row>
    <row r="133" spans="1:10" ht="14.25" customHeight="1" x14ac:dyDescent="0.2">
      <c r="A133" s="116"/>
      <c r="B133" s="89" t="s">
        <v>177</v>
      </c>
      <c r="C133" s="117">
        <v>221.25309999999999</v>
      </c>
      <c r="D133" s="117">
        <v>218.7311</v>
      </c>
      <c r="E133" s="116"/>
      <c r="F133" s="118"/>
      <c r="G133" s="119"/>
    </row>
    <row r="134" spans="1:10" ht="14.25" customHeight="1" x14ac:dyDescent="0.2">
      <c r="A134" s="116"/>
      <c r="B134" s="89" t="s">
        <v>955</v>
      </c>
      <c r="C134" s="117">
        <v>17.023099999999999</v>
      </c>
      <c r="D134" s="117">
        <v>16.829000000000001</v>
      </c>
      <c r="E134" s="116"/>
      <c r="F134" s="118"/>
      <c r="G134" s="119"/>
    </row>
    <row r="135" spans="1:10" ht="14.25" customHeight="1" x14ac:dyDescent="0.2">
      <c r="A135" s="116"/>
      <c r="B135" s="116"/>
      <c r="C135" s="116"/>
      <c r="D135" s="116"/>
      <c r="E135" s="116"/>
      <c r="F135" s="116"/>
      <c r="G135" s="116"/>
    </row>
    <row r="136" spans="1:10" ht="12.75" x14ac:dyDescent="0.2">
      <c r="A136" s="116"/>
      <c r="B136" s="208" t="s">
        <v>949</v>
      </c>
      <c r="C136" s="209"/>
      <c r="D136" s="94" t="s">
        <v>172</v>
      </c>
      <c r="E136" s="116"/>
      <c r="F136" s="116"/>
      <c r="G136" s="116"/>
    </row>
    <row r="137" spans="1:10" ht="12.75" x14ac:dyDescent="0.2">
      <c r="A137" s="116"/>
      <c r="B137" s="120"/>
      <c r="C137" s="120"/>
      <c r="D137" s="120"/>
      <c r="E137" s="116"/>
      <c r="F137" s="116"/>
      <c r="G137" s="116"/>
    </row>
    <row r="138" spans="1:10" ht="30" customHeight="1" x14ac:dyDescent="0.2">
      <c r="A138" s="112"/>
      <c r="B138" s="202" t="s">
        <v>178</v>
      </c>
      <c r="C138" s="203"/>
      <c r="D138" s="86" t="s">
        <v>172</v>
      </c>
      <c r="E138" s="121"/>
      <c r="F138" s="112"/>
      <c r="G138" s="112"/>
    </row>
    <row r="139" spans="1:10" ht="27.75" customHeight="1" x14ac:dyDescent="0.2">
      <c r="A139" s="112"/>
      <c r="B139" s="202" t="s">
        <v>179</v>
      </c>
      <c r="C139" s="203"/>
      <c r="D139" s="86" t="s">
        <v>172</v>
      </c>
      <c r="E139" s="121"/>
      <c r="F139" s="112"/>
      <c r="G139" s="112"/>
    </row>
    <row r="140" spans="1:10" ht="12.75" x14ac:dyDescent="0.2">
      <c r="A140" s="112"/>
      <c r="B140" s="202" t="s">
        <v>180</v>
      </c>
      <c r="C140" s="203"/>
      <c r="D140" s="86" t="s">
        <v>172</v>
      </c>
      <c r="E140" s="121"/>
      <c r="F140" s="112"/>
      <c r="G140" s="112"/>
    </row>
    <row r="141" spans="1:10" ht="12.75" x14ac:dyDescent="0.2">
      <c r="A141" s="112"/>
      <c r="B141" s="202" t="s">
        <v>181</v>
      </c>
      <c r="C141" s="203"/>
      <c r="D141" s="122">
        <v>0.49382716145424282</v>
      </c>
      <c r="E141" s="112"/>
      <c r="F141" s="105"/>
      <c r="G141" s="123"/>
    </row>
    <row r="142" spans="1:10" ht="12.75" x14ac:dyDescent="0.2"/>
    <row r="143" spans="1:10" ht="12.75" x14ac:dyDescent="0.2">
      <c r="B143" s="204" t="s">
        <v>950</v>
      </c>
      <c r="C143" s="204"/>
    </row>
    <row r="144" spans="1:10" ht="12.75" x14ac:dyDescent="0.2"/>
    <row r="145" spans="2:10" ht="153.75" customHeight="1" x14ac:dyDescent="0.2"/>
    <row r="146" spans="2:10" ht="12.75" x14ac:dyDescent="0.2"/>
    <row r="147" spans="2:10" ht="12.75" x14ac:dyDescent="0.2"/>
    <row r="148" spans="2:10" ht="12.75" x14ac:dyDescent="0.2">
      <c r="B148" s="124" t="s">
        <v>951</v>
      </c>
      <c r="C148" s="125"/>
      <c r="D148" s="124"/>
    </row>
    <row r="149" spans="2:10" ht="12.75" x14ac:dyDescent="0.2">
      <c r="B149" s="124" t="s">
        <v>1126</v>
      </c>
      <c r="D149" s="124"/>
    </row>
    <row r="150" spans="2:10" ht="165" customHeight="1" x14ac:dyDescent="0.2"/>
    <row r="151" spans="2:10" ht="12.75" x14ac:dyDescent="0.2"/>
    <row r="152" spans="2:10" ht="12.75" x14ac:dyDescent="0.2">
      <c r="J152" s="84"/>
    </row>
    <row r="153" spans="2:10" ht="12.75" x14ac:dyDescent="0.2"/>
    <row r="154" spans="2:10" ht="12.75" x14ac:dyDescent="0.2"/>
    <row r="155" spans="2:10" ht="12.75" x14ac:dyDescent="0.2"/>
  </sheetData>
  <mergeCells count="18">
    <mergeCell ref="B122:H122"/>
    <mergeCell ref="B123:H123"/>
    <mergeCell ref="B125:D125"/>
    <mergeCell ref="B126:C126"/>
    <mergeCell ref="B143:C143"/>
    <mergeCell ref="A1:H1"/>
    <mergeCell ref="A2:H2"/>
    <mergeCell ref="A3:H3"/>
    <mergeCell ref="B136:C136"/>
    <mergeCell ref="B140:C140"/>
    <mergeCell ref="B141:C141"/>
    <mergeCell ref="B119:H119"/>
    <mergeCell ref="B120:H120"/>
    <mergeCell ref="B127:C127"/>
    <mergeCell ref="B128:C128"/>
    <mergeCell ref="B138:C138"/>
    <mergeCell ref="B139:C139"/>
    <mergeCell ref="B121:H121"/>
  </mergeCells>
  <hyperlinks>
    <hyperlink ref="I1" location="Index!B2" display="Index" xr:uid="{7FE04FA4-7852-464C-9E0E-6CAC5AA404DB}"/>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50A1-BB20-4AF2-AC20-4AFEB07226BD}">
  <sheetPr>
    <outlinePr summaryBelow="0" summaryRight="0"/>
  </sheetPr>
  <dimension ref="A1:Q143"/>
  <sheetViews>
    <sheetView showGridLines="0" workbookViewId="0">
      <selection sqref="A1:H1"/>
    </sheetView>
  </sheetViews>
  <sheetFormatPr defaultRowHeight="14.25" customHeight="1" x14ac:dyDescent="0.2"/>
  <cols>
    <col min="1" max="1" width="5.85546875" bestFit="1" customWidth="1"/>
    <col min="2" max="2" width="19.7109375" customWidth="1"/>
    <col min="3" max="3" width="51.140625" bestFit="1" customWidth="1"/>
    <col min="4" max="4" width="29.28515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821</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31</v>
      </c>
      <c r="C7" s="89" t="s">
        <v>32</v>
      </c>
      <c r="D7" s="89" t="s">
        <v>33</v>
      </c>
      <c r="E7" s="90">
        <v>2172271</v>
      </c>
      <c r="F7" s="91">
        <v>30364.004037999999</v>
      </c>
      <c r="G7" s="92">
        <v>9.1945009999999994E-2</v>
      </c>
      <c r="H7" s="87" t="s">
        <v>143</v>
      </c>
    </row>
    <row r="8" spans="1:9" ht="14.25" customHeight="1" x14ac:dyDescent="0.2">
      <c r="A8" s="88">
        <v>2</v>
      </c>
      <c r="B8" s="89" t="s">
        <v>321</v>
      </c>
      <c r="C8" s="89" t="s">
        <v>322</v>
      </c>
      <c r="D8" s="89" t="s">
        <v>33</v>
      </c>
      <c r="E8" s="90">
        <v>3180198</v>
      </c>
      <c r="F8" s="91">
        <v>30262.764168000002</v>
      </c>
      <c r="G8" s="92">
        <v>9.1638449999999996E-2</v>
      </c>
      <c r="H8" s="87" t="s">
        <v>143</v>
      </c>
    </row>
    <row r="9" spans="1:9" ht="14.25" customHeight="1" x14ac:dyDescent="0.2">
      <c r="A9" s="88">
        <v>3</v>
      </c>
      <c r="B9" s="89" t="s">
        <v>11</v>
      </c>
      <c r="C9" s="89" t="s">
        <v>12</v>
      </c>
      <c r="D9" s="89" t="s">
        <v>13</v>
      </c>
      <c r="E9" s="90">
        <v>977000</v>
      </c>
      <c r="F9" s="91">
        <v>18453.576000000001</v>
      </c>
      <c r="G9" s="92">
        <v>5.5879129999999999E-2</v>
      </c>
      <c r="H9" s="87" t="s">
        <v>143</v>
      </c>
    </row>
    <row r="10" spans="1:9" ht="14.25" customHeight="1" x14ac:dyDescent="0.2">
      <c r="A10" s="88">
        <v>4</v>
      </c>
      <c r="B10" s="89" t="s">
        <v>325</v>
      </c>
      <c r="C10" s="89" t="s">
        <v>326</v>
      </c>
      <c r="D10" s="89" t="s">
        <v>199</v>
      </c>
      <c r="E10" s="90">
        <v>1067000</v>
      </c>
      <c r="F10" s="91">
        <v>15680.632</v>
      </c>
      <c r="G10" s="92">
        <v>4.7482400000000001E-2</v>
      </c>
      <c r="H10" s="87" t="s">
        <v>143</v>
      </c>
    </row>
    <row r="11" spans="1:9" ht="14.25" customHeight="1" x14ac:dyDescent="0.2">
      <c r="A11" s="88">
        <v>5</v>
      </c>
      <c r="B11" s="89" t="s">
        <v>17</v>
      </c>
      <c r="C11" s="89" t="s">
        <v>18</v>
      </c>
      <c r="D11" s="89" t="s">
        <v>19</v>
      </c>
      <c r="E11" s="90">
        <v>1011076</v>
      </c>
      <c r="F11" s="91">
        <v>13722.323472</v>
      </c>
      <c r="G11" s="92">
        <v>4.1552459999999999E-2</v>
      </c>
      <c r="H11" s="87" t="s">
        <v>143</v>
      </c>
    </row>
    <row r="12" spans="1:9" ht="14.25" customHeight="1" x14ac:dyDescent="0.2">
      <c r="A12" s="88">
        <v>6</v>
      </c>
      <c r="B12" s="89" t="s">
        <v>724</v>
      </c>
      <c r="C12" s="89" t="s">
        <v>725</v>
      </c>
      <c r="D12" s="89" t="s">
        <v>194</v>
      </c>
      <c r="E12" s="90">
        <v>1019304</v>
      </c>
      <c r="F12" s="91">
        <v>12844.249704</v>
      </c>
      <c r="G12" s="92">
        <v>3.8893579999999997E-2</v>
      </c>
      <c r="H12" s="87" t="s">
        <v>143</v>
      </c>
    </row>
    <row r="13" spans="1:9" ht="14.25" customHeight="1" x14ac:dyDescent="0.2">
      <c r="A13" s="88">
        <v>7</v>
      </c>
      <c r="B13" s="89" t="s">
        <v>726</v>
      </c>
      <c r="C13" s="89" t="s">
        <v>727</v>
      </c>
      <c r="D13" s="89" t="s">
        <v>275</v>
      </c>
      <c r="E13" s="90">
        <v>258923</v>
      </c>
      <c r="F13" s="91">
        <v>12313.342188000001</v>
      </c>
      <c r="G13" s="92">
        <v>3.7285939999999997E-2</v>
      </c>
      <c r="H13" s="87" t="s">
        <v>143</v>
      </c>
    </row>
    <row r="14" spans="1:9" ht="14.25" customHeight="1" x14ac:dyDescent="0.2">
      <c r="A14" s="88">
        <v>8</v>
      </c>
      <c r="B14" s="89" t="s">
        <v>347</v>
      </c>
      <c r="C14" s="89" t="s">
        <v>348</v>
      </c>
      <c r="D14" s="89" t="s">
        <v>194</v>
      </c>
      <c r="E14" s="90">
        <v>662000</v>
      </c>
      <c r="F14" s="91">
        <v>10555.59</v>
      </c>
      <c r="G14" s="92">
        <v>3.19633E-2</v>
      </c>
      <c r="H14" s="87" t="s">
        <v>143</v>
      </c>
    </row>
    <row r="15" spans="1:9" ht="14.25" customHeight="1" x14ac:dyDescent="0.2">
      <c r="A15" s="88">
        <v>9</v>
      </c>
      <c r="B15" s="89" t="s">
        <v>49</v>
      </c>
      <c r="C15" s="89" t="s">
        <v>50</v>
      </c>
      <c r="D15" s="89" t="s">
        <v>33</v>
      </c>
      <c r="E15" s="90">
        <v>1307239</v>
      </c>
      <c r="F15" s="91">
        <v>10490.592975</v>
      </c>
      <c r="G15" s="92">
        <v>3.1766490000000001E-2</v>
      </c>
      <c r="H15" s="87" t="s">
        <v>143</v>
      </c>
    </row>
    <row r="16" spans="1:9" ht="14.25" customHeight="1" x14ac:dyDescent="0.2">
      <c r="A16" s="88">
        <v>10</v>
      </c>
      <c r="B16" s="89" t="s">
        <v>37</v>
      </c>
      <c r="C16" s="89" t="s">
        <v>38</v>
      </c>
      <c r="D16" s="89" t="s">
        <v>19</v>
      </c>
      <c r="E16" s="90">
        <v>3353195</v>
      </c>
      <c r="F16" s="91">
        <v>10334.546990000001</v>
      </c>
      <c r="G16" s="92">
        <v>3.1293960000000003E-2</v>
      </c>
      <c r="H16" s="87" t="s">
        <v>143</v>
      </c>
    </row>
    <row r="17" spans="1:8" ht="14.25" customHeight="1" x14ac:dyDescent="0.2">
      <c r="A17" s="88">
        <v>11</v>
      </c>
      <c r="B17" s="89" t="s">
        <v>327</v>
      </c>
      <c r="C17" s="89" t="s">
        <v>328</v>
      </c>
      <c r="D17" s="89" t="s">
        <v>33</v>
      </c>
      <c r="E17" s="90">
        <v>976671</v>
      </c>
      <c r="F17" s="91">
        <v>10208.165292</v>
      </c>
      <c r="G17" s="92">
        <v>3.0911270000000001E-2</v>
      </c>
      <c r="H17" s="87" t="s">
        <v>143</v>
      </c>
    </row>
    <row r="18" spans="1:8" ht="14.25" customHeight="1" x14ac:dyDescent="0.2">
      <c r="A18" s="88">
        <v>12</v>
      </c>
      <c r="B18" s="89" t="s">
        <v>432</v>
      </c>
      <c r="C18" s="89" t="s">
        <v>433</v>
      </c>
      <c r="D18" s="89" t="s">
        <v>263</v>
      </c>
      <c r="E18" s="90">
        <v>557008</v>
      </c>
      <c r="F18" s="91">
        <v>10056.77944</v>
      </c>
      <c r="G18" s="92">
        <v>3.0452860000000002E-2</v>
      </c>
      <c r="H18" s="87" t="s">
        <v>143</v>
      </c>
    </row>
    <row r="19" spans="1:8" ht="14.25" customHeight="1" x14ac:dyDescent="0.2">
      <c r="A19" s="88">
        <v>13</v>
      </c>
      <c r="B19" s="89" t="s">
        <v>14</v>
      </c>
      <c r="C19" s="89" t="s">
        <v>15</v>
      </c>
      <c r="D19" s="89" t="s">
        <v>16</v>
      </c>
      <c r="E19" s="90">
        <v>277730</v>
      </c>
      <c r="F19" s="91">
        <v>10001.0573</v>
      </c>
      <c r="G19" s="92">
        <v>3.0284129999999999E-2</v>
      </c>
      <c r="H19" s="87" t="s">
        <v>143</v>
      </c>
    </row>
    <row r="20" spans="1:8" ht="14.25" customHeight="1" x14ac:dyDescent="0.2">
      <c r="A20" s="88">
        <v>14</v>
      </c>
      <c r="B20" s="89" t="s">
        <v>732</v>
      </c>
      <c r="C20" s="89" t="s">
        <v>733</v>
      </c>
      <c r="D20" s="89" t="s">
        <v>263</v>
      </c>
      <c r="E20" s="90">
        <v>543333</v>
      </c>
      <c r="F20" s="91">
        <v>9995.1538679999994</v>
      </c>
      <c r="G20" s="92">
        <v>3.0266250000000001E-2</v>
      </c>
      <c r="H20" s="87" t="s">
        <v>143</v>
      </c>
    </row>
    <row r="21" spans="1:8" ht="14.25" customHeight="1" x14ac:dyDescent="0.2">
      <c r="A21" s="88">
        <v>15</v>
      </c>
      <c r="B21" s="89" t="s">
        <v>323</v>
      </c>
      <c r="C21" s="89" t="s">
        <v>324</v>
      </c>
      <c r="D21" s="89" t="s">
        <v>33</v>
      </c>
      <c r="E21" s="90">
        <v>496353</v>
      </c>
      <c r="F21" s="91">
        <v>9730.0078589999994</v>
      </c>
      <c r="G21" s="92">
        <v>2.9463360000000001E-2</v>
      </c>
      <c r="H21" s="87" t="s">
        <v>143</v>
      </c>
    </row>
    <row r="22" spans="1:8" ht="14.25" customHeight="1" x14ac:dyDescent="0.2">
      <c r="A22" s="88">
        <v>16</v>
      </c>
      <c r="B22" s="89" t="s">
        <v>241</v>
      </c>
      <c r="C22" s="89" t="s">
        <v>242</v>
      </c>
      <c r="D22" s="89" t="s">
        <v>243</v>
      </c>
      <c r="E22" s="90">
        <v>278803</v>
      </c>
      <c r="F22" s="91">
        <v>9135.2590980000004</v>
      </c>
      <c r="G22" s="92">
        <v>2.7662409999999998E-2</v>
      </c>
      <c r="H22" s="87" t="s">
        <v>143</v>
      </c>
    </row>
    <row r="23" spans="1:8" ht="14.25" customHeight="1" x14ac:dyDescent="0.2">
      <c r="A23" s="88">
        <v>17</v>
      </c>
      <c r="B23" s="89" t="s">
        <v>515</v>
      </c>
      <c r="C23" s="89" t="s">
        <v>516</v>
      </c>
      <c r="D23" s="89" t="s">
        <v>199</v>
      </c>
      <c r="E23" s="90">
        <v>596688</v>
      </c>
      <c r="F23" s="91">
        <v>8839.3360319999992</v>
      </c>
      <c r="G23" s="92">
        <v>2.6766330000000001E-2</v>
      </c>
      <c r="H23" s="87" t="s">
        <v>143</v>
      </c>
    </row>
    <row r="24" spans="1:8" ht="14.25" customHeight="1" x14ac:dyDescent="0.2">
      <c r="A24" s="88">
        <v>18</v>
      </c>
      <c r="B24" s="89" t="s">
        <v>331</v>
      </c>
      <c r="C24" s="89" t="s">
        <v>332</v>
      </c>
      <c r="D24" s="89" t="s">
        <v>243</v>
      </c>
      <c r="E24" s="90">
        <v>271223</v>
      </c>
      <c r="F24" s="91">
        <v>8677.7798849999999</v>
      </c>
      <c r="G24" s="92">
        <v>2.6277120000000001E-2</v>
      </c>
      <c r="H24" s="87" t="s">
        <v>143</v>
      </c>
    </row>
    <row r="25" spans="1:8" ht="14.25" customHeight="1" x14ac:dyDescent="0.2">
      <c r="A25" s="88">
        <v>19</v>
      </c>
      <c r="B25" s="89" t="s">
        <v>51</v>
      </c>
      <c r="C25" s="89" t="s">
        <v>52</v>
      </c>
      <c r="D25" s="89" t="s">
        <v>53</v>
      </c>
      <c r="E25" s="90">
        <v>145000</v>
      </c>
      <c r="F25" s="91">
        <v>8186.7</v>
      </c>
      <c r="G25" s="92">
        <v>2.4790079999999999E-2</v>
      </c>
      <c r="H25" s="87" t="s">
        <v>143</v>
      </c>
    </row>
    <row r="26" spans="1:8" ht="14.25" customHeight="1" x14ac:dyDescent="0.2">
      <c r="A26" s="88">
        <v>20</v>
      </c>
      <c r="B26" s="89" t="s">
        <v>23</v>
      </c>
      <c r="C26" s="89" t="s">
        <v>24</v>
      </c>
      <c r="D26" s="89" t="s">
        <v>25</v>
      </c>
      <c r="E26" s="90">
        <v>62000</v>
      </c>
      <c r="F26" s="91">
        <v>7836.8</v>
      </c>
      <c r="G26" s="92">
        <v>2.373055E-2</v>
      </c>
      <c r="H26" s="87" t="s">
        <v>143</v>
      </c>
    </row>
    <row r="27" spans="1:8" ht="14.25" customHeight="1" x14ac:dyDescent="0.2">
      <c r="A27" s="88">
        <v>21</v>
      </c>
      <c r="B27" s="89" t="s">
        <v>83</v>
      </c>
      <c r="C27" s="89" t="s">
        <v>84</v>
      </c>
      <c r="D27" s="89" t="s">
        <v>43</v>
      </c>
      <c r="E27" s="90">
        <v>109075</v>
      </c>
      <c r="F27" s="91">
        <v>7539.8093749999998</v>
      </c>
      <c r="G27" s="92">
        <v>2.2831239999999999E-2</v>
      </c>
      <c r="H27" s="87" t="s">
        <v>143</v>
      </c>
    </row>
    <row r="28" spans="1:8" ht="14.25" customHeight="1" x14ac:dyDescent="0.2">
      <c r="A28" s="88">
        <v>22</v>
      </c>
      <c r="B28" s="89" t="s">
        <v>20</v>
      </c>
      <c r="C28" s="89" t="s">
        <v>21</v>
      </c>
      <c r="D28" s="89" t="s">
        <v>22</v>
      </c>
      <c r="E28" s="90">
        <v>1967000</v>
      </c>
      <c r="F28" s="91">
        <v>6442.9084999999995</v>
      </c>
      <c r="G28" s="92">
        <v>1.9509720000000001E-2</v>
      </c>
      <c r="H28" s="87" t="s">
        <v>143</v>
      </c>
    </row>
    <row r="29" spans="1:8" ht="14.25" customHeight="1" x14ac:dyDescent="0.2">
      <c r="A29" s="88">
        <v>23</v>
      </c>
      <c r="B29" s="89" t="s">
        <v>289</v>
      </c>
      <c r="C29" s="89" t="s">
        <v>290</v>
      </c>
      <c r="D29" s="89" t="s">
        <v>185</v>
      </c>
      <c r="E29" s="90">
        <v>166773</v>
      </c>
      <c r="F29" s="91">
        <v>6161.9288040000001</v>
      </c>
      <c r="G29" s="92">
        <v>1.8658890000000001E-2</v>
      </c>
      <c r="H29" s="87" t="s">
        <v>143</v>
      </c>
    </row>
    <row r="30" spans="1:8" ht="14.25" customHeight="1" x14ac:dyDescent="0.2">
      <c r="A30" s="88">
        <v>24</v>
      </c>
      <c r="B30" s="89" t="s">
        <v>507</v>
      </c>
      <c r="C30" s="89" t="s">
        <v>508</v>
      </c>
      <c r="D30" s="89" t="s">
        <v>243</v>
      </c>
      <c r="E30" s="90">
        <v>70454</v>
      </c>
      <c r="F30" s="91">
        <v>6081.2370099999998</v>
      </c>
      <c r="G30" s="92">
        <v>1.8414549999999998E-2</v>
      </c>
      <c r="H30" s="87" t="s">
        <v>143</v>
      </c>
    </row>
    <row r="31" spans="1:8" ht="14.25" customHeight="1" x14ac:dyDescent="0.2">
      <c r="A31" s="88">
        <v>25</v>
      </c>
      <c r="B31" s="89" t="s">
        <v>349</v>
      </c>
      <c r="C31" s="89" t="s">
        <v>350</v>
      </c>
      <c r="D31" s="89" t="s">
        <v>232</v>
      </c>
      <c r="E31" s="90">
        <v>1187500</v>
      </c>
      <c r="F31" s="91">
        <v>5784.90625</v>
      </c>
      <c r="G31" s="92">
        <v>1.7517230000000002E-2</v>
      </c>
      <c r="H31" s="87" t="s">
        <v>143</v>
      </c>
    </row>
    <row r="32" spans="1:8" ht="14.25" customHeight="1" x14ac:dyDescent="0.2">
      <c r="A32" s="88">
        <v>26</v>
      </c>
      <c r="B32" s="89" t="s">
        <v>680</v>
      </c>
      <c r="C32" s="89" t="s">
        <v>681</v>
      </c>
      <c r="D32" s="89" t="s">
        <v>65</v>
      </c>
      <c r="E32" s="90">
        <v>1428942</v>
      </c>
      <c r="F32" s="91">
        <v>5577.1606259999999</v>
      </c>
      <c r="G32" s="92">
        <v>1.6888159999999999E-2</v>
      </c>
      <c r="H32" s="87" t="s">
        <v>143</v>
      </c>
    </row>
    <row r="33" spans="1:8" ht="14.25" customHeight="1" x14ac:dyDescent="0.2">
      <c r="A33" s="88">
        <v>27</v>
      </c>
      <c r="B33" s="89" t="s">
        <v>430</v>
      </c>
      <c r="C33" s="89" t="s">
        <v>431</v>
      </c>
      <c r="D33" s="89" t="s">
        <v>199</v>
      </c>
      <c r="E33" s="90">
        <v>285965</v>
      </c>
      <c r="F33" s="91">
        <v>4160.2188200000001</v>
      </c>
      <c r="G33" s="92">
        <v>1.2597529999999999E-2</v>
      </c>
      <c r="H33" s="87" t="s">
        <v>143</v>
      </c>
    </row>
    <row r="34" spans="1:8" ht="14.25" customHeight="1" x14ac:dyDescent="0.2">
      <c r="A34" s="88">
        <v>28</v>
      </c>
      <c r="B34" s="89" t="s">
        <v>205</v>
      </c>
      <c r="C34" s="89" t="s">
        <v>206</v>
      </c>
      <c r="D34" s="89" t="s">
        <v>207</v>
      </c>
      <c r="E34" s="90">
        <v>586911</v>
      </c>
      <c r="F34" s="91">
        <v>3684.3338024999998</v>
      </c>
      <c r="G34" s="92">
        <v>1.11565E-2</v>
      </c>
      <c r="H34" s="87" t="s">
        <v>143</v>
      </c>
    </row>
    <row r="35" spans="1:8" ht="14.25" customHeight="1" x14ac:dyDescent="0.2">
      <c r="A35" s="88">
        <v>29</v>
      </c>
      <c r="B35" s="89" t="s">
        <v>441</v>
      </c>
      <c r="C35" s="89" t="s">
        <v>442</v>
      </c>
      <c r="D35" s="89" t="s">
        <v>204</v>
      </c>
      <c r="E35" s="90">
        <v>319989</v>
      </c>
      <c r="F35" s="91">
        <v>3409.1628059999998</v>
      </c>
      <c r="G35" s="92">
        <v>1.0323260000000001E-2</v>
      </c>
      <c r="H35" s="87" t="s">
        <v>143</v>
      </c>
    </row>
    <row r="36" spans="1:8" ht="14.25" customHeight="1" x14ac:dyDescent="0.2">
      <c r="A36" s="88">
        <v>30</v>
      </c>
      <c r="B36" s="89" t="s">
        <v>85</v>
      </c>
      <c r="C36" s="89" t="s">
        <v>86</v>
      </c>
      <c r="D36" s="89" t="s">
        <v>68</v>
      </c>
      <c r="E36" s="90">
        <v>85031</v>
      </c>
      <c r="F36" s="91">
        <v>3240.1912860000002</v>
      </c>
      <c r="G36" s="92">
        <v>9.8116000000000002E-3</v>
      </c>
      <c r="H36" s="87" t="s">
        <v>143</v>
      </c>
    </row>
    <row r="37" spans="1:8" ht="14.25" customHeight="1" x14ac:dyDescent="0.2">
      <c r="A37" s="88">
        <v>31</v>
      </c>
      <c r="B37" s="89" t="s">
        <v>479</v>
      </c>
      <c r="C37" s="89" t="s">
        <v>480</v>
      </c>
      <c r="D37" s="89" t="s">
        <v>275</v>
      </c>
      <c r="E37" s="90">
        <v>235000</v>
      </c>
      <c r="F37" s="91">
        <v>3191.5349999999999</v>
      </c>
      <c r="G37" s="92">
        <v>9.6642599999999992E-3</v>
      </c>
      <c r="H37" s="87" t="s">
        <v>143</v>
      </c>
    </row>
    <row r="38" spans="1:8" ht="14.25" customHeight="1" x14ac:dyDescent="0.2">
      <c r="A38" s="93"/>
      <c r="B38" s="93"/>
      <c r="C38" s="94" t="s">
        <v>142</v>
      </c>
      <c r="D38" s="93"/>
      <c r="E38" s="93" t="s">
        <v>143</v>
      </c>
      <c r="F38" s="95">
        <v>312962.05258850002</v>
      </c>
      <c r="G38" s="96">
        <v>0.94767802000000001</v>
      </c>
      <c r="H38" s="87" t="s">
        <v>143</v>
      </c>
    </row>
    <row r="39" spans="1:8" ht="14.25" customHeight="1" x14ac:dyDescent="0.2">
      <c r="A39" s="93"/>
      <c r="B39" s="93"/>
      <c r="C39" s="97"/>
      <c r="D39" s="93"/>
      <c r="E39" s="93"/>
      <c r="F39" s="98"/>
      <c r="G39" s="98"/>
      <c r="H39" s="87" t="s">
        <v>143</v>
      </c>
    </row>
    <row r="40" spans="1:8" ht="14.25" customHeight="1" x14ac:dyDescent="0.2">
      <c r="A40" s="93"/>
      <c r="B40" s="93"/>
      <c r="C40" s="94" t="s">
        <v>144</v>
      </c>
      <c r="D40" s="93"/>
      <c r="E40" s="93"/>
      <c r="F40" s="93"/>
      <c r="G40" s="93"/>
      <c r="H40" s="87" t="s">
        <v>143</v>
      </c>
    </row>
    <row r="41" spans="1:8" ht="14.25" customHeight="1" x14ac:dyDescent="0.2">
      <c r="A41" s="93"/>
      <c r="B41" s="93"/>
      <c r="C41" s="94" t="s">
        <v>142</v>
      </c>
      <c r="D41" s="93"/>
      <c r="E41" s="93" t="s">
        <v>143</v>
      </c>
      <c r="F41" s="99" t="s">
        <v>145</v>
      </c>
      <c r="G41" s="96">
        <v>0</v>
      </c>
      <c r="H41" s="87" t="s">
        <v>143</v>
      </c>
    </row>
    <row r="42" spans="1:8" ht="14.25" customHeight="1" x14ac:dyDescent="0.2">
      <c r="A42" s="93"/>
      <c r="B42" s="93"/>
      <c r="C42" s="97"/>
      <c r="D42" s="93"/>
      <c r="E42" s="93"/>
      <c r="F42" s="98"/>
      <c r="G42" s="98"/>
      <c r="H42" s="87" t="s">
        <v>143</v>
      </c>
    </row>
    <row r="43" spans="1:8" ht="14.25" customHeight="1" x14ac:dyDescent="0.2">
      <c r="A43" s="93"/>
      <c r="B43" s="93"/>
      <c r="C43" s="94" t="s">
        <v>146</v>
      </c>
      <c r="D43" s="93"/>
      <c r="E43" s="93"/>
      <c r="F43" s="93"/>
      <c r="G43" s="93"/>
      <c r="H43" s="87" t="s">
        <v>143</v>
      </c>
    </row>
    <row r="44" spans="1:8" ht="14.25" customHeight="1" x14ac:dyDescent="0.2">
      <c r="A44" s="93"/>
      <c r="B44" s="93"/>
      <c r="C44" s="94" t="s">
        <v>142</v>
      </c>
      <c r="D44" s="93"/>
      <c r="E44" s="93" t="s">
        <v>143</v>
      </c>
      <c r="F44" s="99" t="s">
        <v>145</v>
      </c>
      <c r="G44" s="96">
        <v>0</v>
      </c>
      <c r="H44" s="87" t="s">
        <v>143</v>
      </c>
    </row>
    <row r="45" spans="1:8" ht="14.25" customHeight="1" x14ac:dyDescent="0.2">
      <c r="A45" s="93"/>
      <c r="B45" s="93"/>
      <c r="C45" s="97"/>
      <c r="D45" s="93"/>
      <c r="E45" s="93"/>
      <c r="F45" s="98"/>
      <c r="G45" s="98"/>
      <c r="H45" s="87" t="s">
        <v>143</v>
      </c>
    </row>
    <row r="46" spans="1:8" ht="14.25" customHeight="1" x14ac:dyDescent="0.2">
      <c r="A46" s="93"/>
      <c r="B46" s="93"/>
      <c r="C46" s="94" t="s">
        <v>147</v>
      </c>
      <c r="D46" s="93"/>
      <c r="E46" s="93"/>
      <c r="F46" s="93"/>
      <c r="G46" s="93"/>
      <c r="H46" s="87" t="s">
        <v>143</v>
      </c>
    </row>
    <row r="47" spans="1:8" ht="14.25" customHeight="1" x14ac:dyDescent="0.2">
      <c r="A47" s="88">
        <v>1</v>
      </c>
      <c r="B47" s="89" t="s">
        <v>317</v>
      </c>
      <c r="C47" s="89" t="s">
        <v>318</v>
      </c>
      <c r="D47" s="89" t="s">
        <v>243</v>
      </c>
      <c r="E47" s="90">
        <v>1115212</v>
      </c>
      <c r="F47" s="91">
        <v>111.52119999999999</v>
      </c>
      <c r="G47" s="92">
        <v>3.3770000000000002E-4</v>
      </c>
      <c r="H47" s="87" t="s">
        <v>143</v>
      </c>
    </row>
    <row r="48" spans="1:8" ht="14.25" customHeight="1" x14ac:dyDescent="0.2">
      <c r="A48" s="93"/>
      <c r="B48" s="93"/>
      <c r="C48" s="94" t="s">
        <v>142</v>
      </c>
      <c r="D48" s="93"/>
      <c r="E48" s="93" t="s">
        <v>143</v>
      </c>
      <c r="F48" s="95">
        <v>111.52119999999999</v>
      </c>
      <c r="G48" s="96">
        <v>3.3770000000000002E-4</v>
      </c>
      <c r="H48" s="87" t="s">
        <v>143</v>
      </c>
    </row>
    <row r="49" spans="1:8" ht="14.25" customHeight="1" x14ac:dyDescent="0.2">
      <c r="A49" s="93"/>
      <c r="B49" s="93"/>
      <c r="C49" s="97"/>
      <c r="D49" s="93"/>
      <c r="E49" s="93"/>
      <c r="F49" s="98"/>
      <c r="G49" s="98"/>
      <c r="H49" s="87" t="s">
        <v>143</v>
      </c>
    </row>
    <row r="50" spans="1:8" ht="14.25" customHeight="1" x14ac:dyDescent="0.2">
      <c r="A50" s="93"/>
      <c r="B50" s="93"/>
      <c r="C50" s="94" t="s">
        <v>148</v>
      </c>
      <c r="D50" s="93"/>
      <c r="E50" s="93"/>
      <c r="F50" s="98"/>
      <c r="G50" s="98"/>
      <c r="H50" s="87" t="s">
        <v>143</v>
      </c>
    </row>
    <row r="51" spans="1:8" ht="14.25" customHeight="1" x14ac:dyDescent="0.2">
      <c r="A51" s="93"/>
      <c r="B51" s="93"/>
      <c r="C51" s="94" t="s">
        <v>142</v>
      </c>
      <c r="D51" s="93"/>
      <c r="E51" s="93" t="s">
        <v>143</v>
      </c>
      <c r="F51" s="99" t="s">
        <v>145</v>
      </c>
      <c r="G51" s="96">
        <v>0</v>
      </c>
      <c r="H51" s="87" t="s">
        <v>143</v>
      </c>
    </row>
    <row r="52" spans="1:8" ht="14.25" customHeight="1" x14ac:dyDescent="0.2">
      <c r="A52" s="93"/>
      <c r="B52" s="93"/>
      <c r="C52" s="97"/>
      <c r="D52" s="93"/>
      <c r="E52" s="93"/>
      <c r="F52" s="98"/>
      <c r="G52" s="98"/>
      <c r="H52" s="87" t="s">
        <v>143</v>
      </c>
    </row>
    <row r="53" spans="1:8" ht="14.25" customHeight="1" x14ac:dyDescent="0.2">
      <c r="A53" s="93"/>
      <c r="B53" s="93"/>
      <c r="C53" s="94" t="s">
        <v>149</v>
      </c>
      <c r="D53" s="93"/>
      <c r="E53" s="93"/>
      <c r="F53" s="98"/>
      <c r="G53" s="98"/>
      <c r="H53" s="87" t="s">
        <v>143</v>
      </c>
    </row>
    <row r="54" spans="1:8" ht="14.25" customHeight="1" x14ac:dyDescent="0.2">
      <c r="A54" s="93"/>
      <c r="B54" s="93"/>
      <c r="C54" s="94" t="s">
        <v>142</v>
      </c>
      <c r="D54" s="93"/>
      <c r="E54" s="93" t="s">
        <v>143</v>
      </c>
      <c r="F54" s="99" t="s">
        <v>145</v>
      </c>
      <c r="G54" s="96">
        <v>0</v>
      </c>
      <c r="H54" s="87" t="s">
        <v>143</v>
      </c>
    </row>
    <row r="55" spans="1:8" ht="14.25" customHeight="1" x14ac:dyDescent="0.2">
      <c r="A55" s="93"/>
      <c r="B55" s="93"/>
      <c r="C55" s="97"/>
      <c r="D55" s="93"/>
      <c r="E55" s="93"/>
      <c r="F55" s="98"/>
      <c r="G55" s="98"/>
      <c r="H55" s="87" t="s">
        <v>143</v>
      </c>
    </row>
    <row r="56" spans="1:8" ht="14.25" customHeight="1" x14ac:dyDescent="0.2">
      <c r="A56" s="93"/>
      <c r="B56" s="93"/>
      <c r="C56" s="94" t="s">
        <v>150</v>
      </c>
      <c r="D56" s="93"/>
      <c r="E56" s="93"/>
      <c r="F56" s="95">
        <v>313073.57378849998</v>
      </c>
      <c r="G56" s="96">
        <v>0.94801572000000001</v>
      </c>
      <c r="H56" s="87" t="s">
        <v>143</v>
      </c>
    </row>
    <row r="57" spans="1:8" ht="14.25" customHeight="1" x14ac:dyDescent="0.2">
      <c r="A57" s="93"/>
      <c r="B57" s="93"/>
      <c r="C57" s="97"/>
      <c r="D57" s="93"/>
      <c r="E57" s="93"/>
      <c r="F57" s="98"/>
      <c r="G57" s="98"/>
      <c r="H57" s="87" t="s">
        <v>143</v>
      </c>
    </row>
    <row r="58" spans="1:8" ht="14.25" customHeight="1" x14ac:dyDescent="0.2">
      <c r="A58" s="93"/>
      <c r="B58" s="93"/>
      <c r="C58" s="94" t="s">
        <v>151</v>
      </c>
      <c r="D58" s="93"/>
      <c r="E58" s="93"/>
      <c r="F58" s="98"/>
      <c r="G58" s="98"/>
      <c r="H58" s="87" t="s">
        <v>143</v>
      </c>
    </row>
    <row r="59" spans="1:8" ht="14.25" customHeight="1" x14ac:dyDescent="0.2">
      <c r="A59" s="93"/>
      <c r="B59" s="93"/>
      <c r="C59" s="94" t="s">
        <v>10</v>
      </c>
      <c r="D59" s="93"/>
      <c r="E59" s="93"/>
      <c r="F59" s="98"/>
      <c r="G59" s="98"/>
      <c r="H59" s="87" t="s">
        <v>143</v>
      </c>
    </row>
    <row r="60" spans="1:8" ht="14.25" customHeight="1" x14ac:dyDescent="0.2">
      <c r="A60" s="93"/>
      <c r="B60" s="93"/>
      <c r="C60" s="94" t="s">
        <v>142</v>
      </c>
      <c r="D60" s="93"/>
      <c r="E60" s="93" t="s">
        <v>143</v>
      </c>
      <c r="F60" s="99" t="s">
        <v>145</v>
      </c>
      <c r="G60" s="96">
        <v>0</v>
      </c>
      <c r="H60" s="87" t="s">
        <v>143</v>
      </c>
    </row>
    <row r="61" spans="1:8" ht="14.25" customHeight="1" x14ac:dyDescent="0.2">
      <c r="A61" s="93"/>
      <c r="B61" s="93"/>
      <c r="C61" s="97"/>
      <c r="D61" s="93"/>
      <c r="E61" s="93"/>
      <c r="F61" s="98"/>
      <c r="G61" s="98"/>
      <c r="H61" s="87" t="s">
        <v>143</v>
      </c>
    </row>
    <row r="62" spans="1:8" ht="14.25" customHeight="1" x14ac:dyDescent="0.2">
      <c r="A62" s="93"/>
      <c r="B62" s="93"/>
      <c r="C62" s="94" t="s">
        <v>152</v>
      </c>
      <c r="D62" s="93"/>
      <c r="E62" s="93"/>
      <c r="F62" s="93"/>
      <c r="G62" s="93"/>
      <c r="H62" s="87" t="s">
        <v>143</v>
      </c>
    </row>
    <row r="63" spans="1:8" ht="14.25" customHeight="1" x14ac:dyDescent="0.2">
      <c r="A63" s="93"/>
      <c r="B63" s="93"/>
      <c r="C63" s="94" t="s">
        <v>142</v>
      </c>
      <c r="D63" s="93"/>
      <c r="E63" s="93" t="s">
        <v>143</v>
      </c>
      <c r="F63" s="99" t="s">
        <v>145</v>
      </c>
      <c r="G63" s="96">
        <v>0</v>
      </c>
      <c r="H63" s="87" t="s">
        <v>143</v>
      </c>
    </row>
    <row r="64" spans="1:8" ht="14.25" customHeight="1" x14ac:dyDescent="0.2">
      <c r="A64" s="93"/>
      <c r="B64" s="93"/>
      <c r="C64" s="97"/>
      <c r="D64" s="93"/>
      <c r="E64" s="93"/>
      <c r="F64" s="98"/>
      <c r="G64" s="98"/>
      <c r="H64" s="87" t="s">
        <v>143</v>
      </c>
    </row>
    <row r="65" spans="1:8" ht="14.25" customHeight="1" x14ac:dyDescent="0.2">
      <c r="A65" s="93"/>
      <c r="B65" s="93"/>
      <c r="C65" s="94" t="s">
        <v>153</v>
      </c>
      <c r="D65" s="93"/>
      <c r="E65" s="93"/>
      <c r="F65" s="93"/>
      <c r="G65" s="93"/>
      <c r="H65" s="87" t="s">
        <v>143</v>
      </c>
    </row>
    <row r="66" spans="1:8" ht="14.25" customHeight="1" x14ac:dyDescent="0.2">
      <c r="A66" s="93"/>
      <c r="B66" s="93"/>
      <c r="C66" s="94" t="s">
        <v>142</v>
      </c>
      <c r="D66" s="93"/>
      <c r="E66" s="93" t="s">
        <v>143</v>
      </c>
      <c r="F66" s="99" t="s">
        <v>145</v>
      </c>
      <c r="G66" s="96">
        <v>0</v>
      </c>
      <c r="H66" s="87" t="s">
        <v>143</v>
      </c>
    </row>
    <row r="67" spans="1:8" ht="14.25" customHeight="1" x14ac:dyDescent="0.2">
      <c r="A67" s="93"/>
      <c r="B67" s="93"/>
      <c r="C67" s="97"/>
      <c r="D67" s="93"/>
      <c r="E67" s="93"/>
      <c r="F67" s="98"/>
      <c r="G67" s="98"/>
      <c r="H67" s="87" t="s">
        <v>143</v>
      </c>
    </row>
    <row r="68" spans="1:8" ht="14.25" customHeight="1" x14ac:dyDescent="0.2">
      <c r="A68" s="93"/>
      <c r="B68" s="93"/>
      <c r="C68" s="94" t="s">
        <v>154</v>
      </c>
      <c r="D68" s="93"/>
      <c r="E68" s="93"/>
      <c r="F68" s="98"/>
      <c r="G68" s="98"/>
      <c r="H68" s="87" t="s">
        <v>143</v>
      </c>
    </row>
    <row r="69" spans="1:8" ht="14.25" customHeight="1" x14ac:dyDescent="0.2">
      <c r="A69" s="93"/>
      <c r="B69" s="93"/>
      <c r="C69" s="94" t="s">
        <v>142</v>
      </c>
      <c r="D69" s="93"/>
      <c r="E69" s="93" t="s">
        <v>143</v>
      </c>
      <c r="F69" s="99" t="s">
        <v>145</v>
      </c>
      <c r="G69" s="96">
        <v>0</v>
      </c>
      <c r="H69" s="87" t="s">
        <v>143</v>
      </c>
    </row>
    <row r="70" spans="1:8" ht="14.25" customHeight="1" x14ac:dyDescent="0.2">
      <c r="A70" s="93"/>
      <c r="B70" s="93"/>
      <c r="C70" s="97"/>
      <c r="D70" s="93"/>
      <c r="E70" s="93"/>
      <c r="F70" s="98"/>
      <c r="G70" s="98"/>
      <c r="H70" s="87" t="s">
        <v>143</v>
      </c>
    </row>
    <row r="71" spans="1:8" ht="14.25" customHeight="1" x14ac:dyDescent="0.2">
      <c r="A71" s="93"/>
      <c r="B71" s="93"/>
      <c r="C71" s="94" t="s">
        <v>155</v>
      </c>
      <c r="D71" s="93"/>
      <c r="E71" s="93"/>
      <c r="F71" s="95">
        <v>0</v>
      </c>
      <c r="G71" s="96">
        <v>0</v>
      </c>
      <c r="H71" s="87" t="s">
        <v>143</v>
      </c>
    </row>
    <row r="72" spans="1:8" ht="14.25" customHeight="1" x14ac:dyDescent="0.2">
      <c r="A72" s="93"/>
      <c r="B72" s="93"/>
      <c r="C72" s="97"/>
      <c r="D72" s="93"/>
      <c r="E72" s="93"/>
      <c r="F72" s="98"/>
      <c r="G72" s="98"/>
      <c r="H72" s="87" t="s">
        <v>143</v>
      </c>
    </row>
    <row r="73" spans="1:8" ht="14.25" customHeight="1" x14ac:dyDescent="0.2">
      <c r="A73" s="93"/>
      <c r="B73" s="93"/>
      <c r="C73" s="94" t="s">
        <v>156</v>
      </c>
      <c r="D73" s="93"/>
      <c r="E73" s="93"/>
      <c r="F73" s="98"/>
      <c r="G73" s="98"/>
      <c r="H73" s="87" t="s">
        <v>143</v>
      </c>
    </row>
    <row r="74" spans="1:8" ht="14.25" customHeight="1" x14ac:dyDescent="0.2">
      <c r="A74" s="93"/>
      <c r="B74" s="93"/>
      <c r="C74" s="94" t="s">
        <v>157</v>
      </c>
      <c r="D74" s="93"/>
      <c r="E74" s="93"/>
      <c r="F74" s="98"/>
      <c r="G74" s="98"/>
      <c r="H74" s="87" t="s">
        <v>143</v>
      </c>
    </row>
    <row r="75" spans="1:8" ht="14.25" customHeight="1" x14ac:dyDescent="0.2">
      <c r="A75" s="93"/>
      <c r="B75" s="93"/>
      <c r="C75" s="94" t="s">
        <v>142</v>
      </c>
      <c r="D75" s="93"/>
      <c r="E75" s="93" t="s">
        <v>143</v>
      </c>
      <c r="F75" s="99" t="s">
        <v>145</v>
      </c>
      <c r="G75" s="96">
        <v>0</v>
      </c>
      <c r="H75" s="87" t="s">
        <v>143</v>
      </c>
    </row>
    <row r="76" spans="1:8" ht="14.25" customHeight="1" x14ac:dyDescent="0.2">
      <c r="A76" s="93"/>
      <c r="B76" s="93"/>
      <c r="C76" s="97"/>
      <c r="D76" s="93"/>
      <c r="E76" s="93"/>
      <c r="F76" s="98"/>
      <c r="G76" s="98"/>
      <c r="H76" s="87" t="s">
        <v>143</v>
      </c>
    </row>
    <row r="77" spans="1:8" ht="14.25" customHeight="1" x14ac:dyDescent="0.2">
      <c r="A77" s="93"/>
      <c r="B77" s="93"/>
      <c r="C77" s="94" t="s">
        <v>158</v>
      </c>
      <c r="D77" s="93"/>
      <c r="E77" s="93"/>
      <c r="F77" s="98"/>
      <c r="G77" s="98"/>
      <c r="H77" s="87" t="s">
        <v>143</v>
      </c>
    </row>
    <row r="78" spans="1:8" ht="14.25" customHeight="1" x14ac:dyDescent="0.2">
      <c r="A78" s="93"/>
      <c r="B78" s="93"/>
      <c r="C78" s="94" t="s">
        <v>142</v>
      </c>
      <c r="D78" s="93"/>
      <c r="E78" s="93" t="s">
        <v>143</v>
      </c>
      <c r="F78" s="99" t="s">
        <v>145</v>
      </c>
      <c r="G78" s="96">
        <v>0</v>
      </c>
      <c r="H78" s="87" t="s">
        <v>143</v>
      </c>
    </row>
    <row r="79" spans="1:8" ht="14.25" customHeight="1" x14ac:dyDescent="0.2">
      <c r="A79" s="93"/>
      <c r="B79" s="93"/>
      <c r="C79" s="97"/>
      <c r="D79" s="93"/>
      <c r="E79" s="93"/>
      <c r="F79" s="98"/>
      <c r="G79" s="98"/>
      <c r="H79" s="87" t="s">
        <v>143</v>
      </c>
    </row>
    <row r="80" spans="1:8" ht="14.25" customHeight="1" x14ac:dyDescent="0.2">
      <c r="A80" s="93"/>
      <c r="B80" s="93"/>
      <c r="C80" s="94" t="s">
        <v>159</v>
      </c>
      <c r="D80" s="93"/>
      <c r="E80" s="93"/>
      <c r="F80" s="98"/>
      <c r="G80" s="98"/>
      <c r="H80" s="87" t="s">
        <v>143</v>
      </c>
    </row>
    <row r="81" spans="1:8" ht="14.25" customHeight="1" x14ac:dyDescent="0.2">
      <c r="A81" s="93"/>
      <c r="B81" s="93"/>
      <c r="C81" s="94" t="s">
        <v>142</v>
      </c>
      <c r="D81" s="93"/>
      <c r="E81" s="93" t="s">
        <v>143</v>
      </c>
      <c r="F81" s="99" t="s">
        <v>145</v>
      </c>
      <c r="G81" s="96">
        <v>0</v>
      </c>
      <c r="H81" s="87" t="s">
        <v>143</v>
      </c>
    </row>
    <row r="82" spans="1:8" ht="14.25" customHeight="1" x14ac:dyDescent="0.2">
      <c r="A82" s="93"/>
      <c r="B82" s="93"/>
      <c r="C82" s="97"/>
      <c r="D82" s="93"/>
      <c r="E82" s="93"/>
      <c r="F82" s="98"/>
      <c r="G82" s="98"/>
      <c r="H82" s="87" t="s">
        <v>143</v>
      </c>
    </row>
    <row r="83" spans="1:8" ht="14.25" customHeight="1" x14ac:dyDescent="0.2">
      <c r="A83" s="93"/>
      <c r="B83" s="93"/>
      <c r="C83" s="94" t="s">
        <v>160</v>
      </c>
      <c r="D83" s="93"/>
      <c r="E83" s="93"/>
      <c r="F83" s="98"/>
      <c r="G83" s="98"/>
      <c r="H83" s="87" t="s">
        <v>143</v>
      </c>
    </row>
    <row r="84" spans="1:8" ht="14.25" customHeight="1" x14ac:dyDescent="0.2">
      <c r="A84" s="88">
        <v>1</v>
      </c>
      <c r="B84" s="89"/>
      <c r="C84" s="89" t="s">
        <v>161</v>
      </c>
      <c r="D84" s="89"/>
      <c r="E84" s="100"/>
      <c r="F84" s="91">
        <v>17631.00612292</v>
      </c>
      <c r="G84" s="92">
        <v>5.3388320000000003E-2</v>
      </c>
      <c r="H84" s="87">
        <v>5.38</v>
      </c>
    </row>
    <row r="85" spans="1:8" ht="14.25" customHeight="1" x14ac:dyDescent="0.2">
      <c r="A85" s="93"/>
      <c r="B85" s="93"/>
      <c r="C85" s="94" t="s">
        <v>142</v>
      </c>
      <c r="D85" s="93"/>
      <c r="E85" s="93" t="s">
        <v>143</v>
      </c>
      <c r="F85" s="95">
        <v>17631.00612292</v>
      </c>
      <c r="G85" s="96">
        <v>5.3388320000000003E-2</v>
      </c>
      <c r="H85" s="87" t="s">
        <v>143</v>
      </c>
    </row>
    <row r="86" spans="1:8" ht="14.25" customHeight="1" x14ac:dyDescent="0.2">
      <c r="A86" s="93"/>
      <c r="B86" s="93"/>
      <c r="C86" s="97"/>
      <c r="D86" s="93"/>
      <c r="E86" s="93"/>
      <c r="F86" s="98"/>
      <c r="G86" s="98"/>
      <c r="H86" s="87" t="s">
        <v>143</v>
      </c>
    </row>
    <row r="87" spans="1:8" ht="14.25" customHeight="1" x14ac:dyDescent="0.2">
      <c r="A87" s="93"/>
      <c r="B87" s="93"/>
      <c r="C87" s="94" t="s">
        <v>162</v>
      </c>
      <c r="D87" s="93"/>
      <c r="E87" s="93"/>
      <c r="F87" s="95">
        <v>17631.00612292</v>
      </c>
      <c r="G87" s="96">
        <v>5.3388320000000003E-2</v>
      </c>
      <c r="H87" s="87" t="s">
        <v>143</v>
      </c>
    </row>
    <row r="88" spans="1:8" ht="14.25" customHeight="1" x14ac:dyDescent="0.2">
      <c r="A88" s="93"/>
      <c r="B88" s="93"/>
      <c r="C88" s="98"/>
      <c r="D88" s="93"/>
      <c r="E88" s="93"/>
      <c r="F88" s="93"/>
      <c r="G88" s="93"/>
      <c r="H88" s="87" t="s">
        <v>143</v>
      </c>
    </row>
    <row r="89" spans="1:8" ht="14.25" customHeight="1" x14ac:dyDescent="0.2">
      <c r="A89" s="93"/>
      <c r="B89" s="93"/>
      <c r="C89" s="94" t="s">
        <v>163</v>
      </c>
      <c r="D89" s="93"/>
      <c r="E89" s="93"/>
      <c r="F89" s="93"/>
      <c r="G89" s="93"/>
      <c r="H89" s="87" t="s">
        <v>143</v>
      </c>
    </row>
    <row r="90" spans="1:8" ht="14.25" customHeight="1" x14ac:dyDescent="0.2">
      <c r="A90" s="93"/>
      <c r="B90" s="93"/>
      <c r="C90" s="94" t="s">
        <v>164</v>
      </c>
      <c r="D90" s="93"/>
      <c r="E90" s="93"/>
      <c r="F90" s="93"/>
      <c r="G90" s="93"/>
      <c r="H90" s="87" t="s">
        <v>143</v>
      </c>
    </row>
    <row r="91" spans="1:8" ht="14.25" customHeight="1" x14ac:dyDescent="0.2">
      <c r="A91" s="93"/>
      <c r="B91" s="93"/>
      <c r="C91" s="94" t="s">
        <v>142</v>
      </c>
      <c r="D91" s="93"/>
      <c r="E91" s="93" t="s">
        <v>143</v>
      </c>
      <c r="F91" s="99" t="s">
        <v>145</v>
      </c>
      <c r="G91" s="96">
        <v>0</v>
      </c>
      <c r="H91" s="87" t="s">
        <v>143</v>
      </c>
    </row>
    <row r="92" spans="1:8" ht="14.25" customHeight="1" x14ac:dyDescent="0.2">
      <c r="A92" s="93"/>
      <c r="B92" s="93"/>
      <c r="C92" s="97"/>
      <c r="D92" s="93"/>
      <c r="E92" s="93"/>
      <c r="F92" s="98"/>
      <c r="G92" s="98"/>
      <c r="H92" s="87" t="s">
        <v>143</v>
      </c>
    </row>
    <row r="93" spans="1:8" ht="14.25" customHeight="1" x14ac:dyDescent="0.2">
      <c r="A93" s="93"/>
      <c r="B93" s="93"/>
      <c r="C93" s="94" t="s">
        <v>165</v>
      </c>
      <c r="D93" s="93"/>
      <c r="E93" s="93"/>
      <c r="F93" s="93"/>
      <c r="G93" s="93"/>
      <c r="H93" s="87" t="s">
        <v>143</v>
      </c>
    </row>
    <row r="94" spans="1:8" ht="14.25" customHeight="1" x14ac:dyDescent="0.2">
      <c r="A94" s="93"/>
      <c r="B94" s="93"/>
      <c r="C94" s="94" t="s">
        <v>166</v>
      </c>
      <c r="D94" s="93"/>
      <c r="E94" s="93"/>
      <c r="F94" s="93"/>
      <c r="G94" s="93"/>
      <c r="H94" s="87" t="s">
        <v>143</v>
      </c>
    </row>
    <row r="95" spans="1:8" ht="14.25" customHeight="1" x14ac:dyDescent="0.2">
      <c r="A95" s="93"/>
      <c r="B95" s="93"/>
      <c r="C95" s="94" t="s">
        <v>142</v>
      </c>
      <c r="D95" s="93"/>
      <c r="E95" s="93" t="s">
        <v>143</v>
      </c>
      <c r="F95" s="99" t="s">
        <v>145</v>
      </c>
      <c r="G95" s="96">
        <v>0</v>
      </c>
      <c r="H95" s="87" t="s">
        <v>143</v>
      </c>
    </row>
    <row r="96" spans="1:8" ht="14.25" customHeight="1" x14ac:dyDescent="0.2">
      <c r="A96" s="93"/>
      <c r="B96" s="93"/>
      <c r="C96" s="97"/>
      <c r="D96" s="93"/>
      <c r="E96" s="93"/>
      <c r="F96" s="98"/>
      <c r="G96" s="98"/>
      <c r="H96" s="87" t="s">
        <v>143</v>
      </c>
    </row>
    <row r="97" spans="1:17" ht="14.25" customHeight="1" x14ac:dyDescent="0.2">
      <c r="A97" s="93"/>
      <c r="B97" s="93"/>
      <c r="C97" s="94" t="s">
        <v>167</v>
      </c>
      <c r="D97" s="93"/>
      <c r="E97" s="93"/>
      <c r="F97" s="98"/>
      <c r="G97" s="98"/>
      <c r="H97" s="87" t="s">
        <v>143</v>
      </c>
    </row>
    <row r="98" spans="1:17" ht="14.25" customHeight="1" x14ac:dyDescent="0.2">
      <c r="A98" s="93"/>
      <c r="B98" s="93"/>
      <c r="C98" s="94" t="s">
        <v>142</v>
      </c>
      <c r="D98" s="93"/>
      <c r="E98" s="93" t="s">
        <v>143</v>
      </c>
      <c r="F98" s="99" t="s">
        <v>145</v>
      </c>
      <c r="G98" s="96">
        <v>0</v>
      </c>
      <c r="H98" s="87" t="s">
        <v>143</v>
      </c>
    </row>
    <row r="99" spans="1:17" ht="14.25" customHeight="1" x14ac:dyDescent="0.2">
      <c r="A99" s="93"/>
      <c r="B99" s="93"/>
      <c r="C99" s="97"/>
      <c r="D99" s="93"/>
      <c r="E99" s="93"/>
      <c r="F99" s="98"/>
      <c r="G99" s="98"/>
      <c r="H99" s="87" t="s">
        <v>143</v>
      </c>
    </row>
    <row r="100" spans="1:17" ht="14.25" customHeight="1" x14ac:dyDescent="0.2">
      <c r="A100" s="100"/>
      <c r="B100" s="89"/>
      <c r="C100" s="89" t="s">
        <v>168</v>
      </c>
      <c r="D100" s="89"/>
      <c r="E100" s="100"/>
      <c r="F100" s="91">
        <v>-463.66528978999997</v>
      </c>
      <c r="G100" s="92">
        <v>-1.40402E-3</v>
      </c>
      <c r="H100" s="87" t="s">
        <v>143</v>
      </c>
    </row>
    <row r="101" spans="1:17" ht="14.25" customHeight="1" x14ac:dyDescent="0.2">
      <c r="A101" s="97"/>
      <c r="B101" s="97"/>
      <c r="C101" s="94" t="s">
        <v>169</v>
      </c>
      <c r="D101" s="98"/>
      <c r="E101" s="98"/>
      <c r="F101" s="95">
        <v>330240.91462162999</v>
      </c>
      <c r="G101" s="101">
        <v>1.0000000200000001</v>
      </c>
      <c r="H101" s="87" t="s">
        <v>143</v>
      </c>
    </row>
    <row r="102" spans="1:17" ht="12.75" x14ac:dyDescent="0.2">
      <c r="A102" s="102"/>
      <c r="B102" s="102"/>
      <c r="C102" s="102"/>
      <c r="D102" s="103"/>
      <c r="E102" s="103"/>
      <c r="F102" s="103"/>
      <c r="G102" s="103"/>
    </row>
    <row r="103" spans="1:17" ht="12.75" x14ac:dyDescent="0.2">
      <c r="A103" s="104"/>
      <c r="B103" s="206" t="s">
        <v>942</v>
      </c>
      <c r="C103" s="206"/>
      <c r="D103" s="206"/>
      <c r="E103" s="206"/>
      <c r="F103" s="206"/>
      <c r="G103" s="206"/>
      <c r="H103" s="206"/>
      <c r="J103" s="106"/>
    </row>
    <row r="104" spans="1:17" ht="12.75" x14ac:dyDescent="0.2">
      <c r="A104" s="104"/>
      <c r="B104" s="206" t="s">
        <v>943</v>
      </c>
      <c r="C104" s="206"/>
      <c r="D104" s="206"/>
      <c r="E104" s="206"/>
      <c r="F104" s="206"/>
      <c r="G104" s="206"/>
      <c r="H104" s="206"/>
      <c r="J104" s="106"/>
    </row>
    <row r="105" spans="1:17" ht="12.75" x14ac:dyDescent="0.2">
      <c r="A105" s="104"/>
      <c r="B105" s="206" t="s">
        <v>944</v>
      </c>
      <c r="C105" s="206"/>
      <c r="D105" s="206"/>
      <c r="E105" s="206"/>
      <c r="F105" s="206"/>
      <c r="G105" s="206"/>
      <c r="H105" s="206"/>
      <c r="J105" s="106"/>
    </row>
    <row r="106" spans="1:17" s="108" customFormat="1" ht="52.5" customHeight="1" x14ac:dyDescent="0.25">
      <c r="A106" s="107"/>
      <c r="B106" s="207" t="s">
        <v>945</v>
      </c>
      <c r="C106" s="207"/>
      <c r="D106" s="207"/>
      <c r="E106" s="207"/>
      <c r="F106" s="207"/>
      <c r="G106" s="207"/>
      <c r="H106" s="207"/>
      <c r="I106"/>
      <c r="J106" s="106"/>
      <c r="K106"/>
      <c r="L106"/>
      <c r="M106"/>
      <c r="N106"/>
      <c r="O106"/>
      <c r="P106"/>
      <c r="Q106"/>
    </row>
    <row r="107" spans="1:17" ht="12.75" x14ac:dyDescent="0.2">
      <c r="A107" s="104"/>
      <c r="B107" s="206" t="s">
        <v>946</v>
      </c>
      <c r="C107" s="206"/>
      <c r="D107" s="206"/>
      <c r="E107" s="206"/>
      <c r="F107" s="206"/>
      <c r="G107" s="206"/>
      <c r="H107" s="206"/>
      <c r="J107" s="106"/>
    </row>
    <row r="108" spans="1:17" ht="12.75" x14ac:dyDescent="0.2">
      <c r="A108" s="104"/>
      <c r="B108" s="104"/>
      <c r="C108" s="104"/>
      <c r="D108" s="109"/>
      <c r="E108" s="109"/>
      <c r="F108" s="109"/>
      <c r="G108" s="109"/>
    </row>
    <row r="109" spans="1:17" ht="12.75" x14ac:dyDescent="0.2">
      <c r="A109" s="104"/>
      <c r="B109" s="199" t="s">
        <v>170</v>
      </c>
      <c r="C109" s="200"/>
      <c r="D109" s="201"/>
      <c r="E109" s="110"/>
      <c r="F109" s="109"/>
      <c r="G109" s="109"/>
    </row>
    <row r="110" spans="1:17" ht="27.75" customHeight="1" x14ac:dyDescent="0.2">
      <c r="A110" s="104"/>
      <c r="B110" s="202" t="s">
        <v>171</v>
      </c>
      <c r="C110" s="203"/>
      <c r="D110" s="86" t="s">
        <v>172</v>
      </c>
      <c r="E110" s="110"/>
      <c r="F110" s="109"/>
      <c r="G110" s="109"/>
    </row>
    <row r="111" spans="1:17" ht="12.75" customHeight="1" x14ac:dyDescent="0.2">
      <c r="A111" s="104"/>
      <c r="B111" s="202" t="s">
        <v>947</v>
      </c>
      <c r="C111" s="203"/>
      <c r="D111" s="86" t="str">
        <f>"Rs. "&amp;TEXT(F48,"0.00")&amp;" lacs/ "&amp;IF(ROUND((G48*100),2) = 0,"#",(TEXT((G48*100),"0.00")&amp;"%"))</f>
        <v>Rs. 111.52 lacs/ 0.03%</v>
      </c>
      <c r="E111" s="110"/>
      <c r="F111" s="109"/>
      <c r="G111" s="109"/>
    </row>
    <row r="112" spans="1:17" ht="12.75" x14ac:dyDescent="0.2">
      <c r="A112" s="104"/>
      <c r="B112" s="202" t="s">
        <v>173</v>
      </c>
      <c r="C112" s="203"/>
      <c r="D112" s="111" t="s">
        <v>143</v>
      </c>
      <c r="E112" s="110"/>
      <c r="F112" s="109"/>
      <c r="G112" s="109"/>
    </row>
    <row r="113" spans="1:10" ht="12.75" x14ac:dyDescent="0.2">
      <c r="A113" s="112"/>
      <c r="B113" s="113" t="s">
        <v>143</v>
      </c>
      <c r="C113" s="113" t="s">
        <v>948</v>
      </c>
      <c r="D113" s="113" t="s">
        <v>174</v>
      </c>
      <c r="E113" s="112"/>
      <c r="F113" s="112"/>
      <c r="G113" s="112"/>
      <c r="H113" s="112"/>
      <c r="J113" s="106"/>
    </row>
    <row r="114" spans="1:10" ht="12.75" x14ac:dyDescent="0.2">
      <c r="A114" s="112"/>
      <c r="B114" s="114" t="s">
        <v>175</v>
      </c>
      <c r="C114" s="115">
        <v>45869</v>
      </c>
      <c r="D114" s="115">
        <v>45900</v>
      </c>
      <c r="E114" s="112"/>
      <c r="F114" s="112"/>
      <c r="G114" s="112"/>
      <c r="J114" s="106"/>
    </row>
    <row r="115" spans="1:10" ht="14.25" customHeight="1" x14ac:dyDescent="0.2">
      <c r="A115" s="116"/>
      <c r="B115" s="89" t="s">
        <v>176</v>
      </c>
      <c r="C115" s="117">
        <v>22.715199999999999</v>
      </c>
      <c r="D115" s="117">
        <v>22.294899999999998</v>
      </c>
      <c r="E115" s="116"/>
      <c r="F115" s="118"/>
      <c r="G115" s="119"/>
    </row>
    <row r="116" spans="1:10" ht="14.25" customHeight="1" x14ac:dyDescent="0.2">
      <c r="A116" s="116"/>
      <c r="B116" s="89" t="s">
        <v>954</v>
      </c>
      <c r="C116" s="117">
        <v>17.690999999999999</v>
      </c>
      <c r="D116" s="117">
        <v>17.363700000000001</v>
      </c>
      <c r="E116" s="116"/>
      <c r="F116" s="118"/>
      <c r="G116" s="119"/>
    </row>
    <row r="117" spans="1:10" ht="14.25" customHeight="1" x14ac:dyDescent="0.2">
      <c r="A117" s="116"/>
      <c r="B117" s="89" t="s">
        <v>177</v>
      </c>
      <c r="C117" s="117">
        <v>21.148900000000001</v>
      </c>
      <c r="D117" s="117">
        <v>20.735199999999999</v>
      </c>
      <c r="E117" s="116"/>
      <c r="F117" s="118"/>
      <c r="G117" s="119"/>
    </row>
    <row r="118" spans="1:10" ht="14.25" customHeight="1" x14ac:dyDescent="0.2">
      <c r="A118" s="116"/>
      <c r="B118" s="89" t="s">
        <v>955</v>
      </c>
      <c r="C118" s="117">
        <v>16.455200000000001</v>
      </c>
      <c r="D118" s="117">
        <v>16.133299999999998</v>
      </c>
      <c r="E118" s="116"/>
      <c r="F118" s="118"/>
      <c r="G118" s="119"/>
    </row>
    <row r="119" spans="1:10" ht="14.25" customHeight="1" x14ac:dyDescent="0.2">
      <c r="A119" s="116"/>
      <c r="B119" s="116"/>
      <c r="C119" s="116"/>
      <c r="D119" s="116"/>
      <c r="E119" s="116"/>
      <c r="F119" s="116"/>
      <c r="G119" s="116"/>
    </row>
    <row r="120" spans="1:10" ht="12.75" x14ac:dyDescent="0.2">
      <c r="A120" s="116"/>
      <c r="B120" s="208" t="s">
        <v>949</v>
      </c>
      <c r="C120" s="209"/>
      <c r="D120" s="86" t="s">
        <v>172</v>
      </c>
      <c r="E120" s="116"/>
      <c r="F120" s="116"/>
      <c r="G120" s="116"/>
    </row>
    <row r="121" spans="1:10" ht="12.75" x14ac:dyDescent="0.2">
      <c r="A121" s="116"/>
      <c r="B121" s="120"/>
      <c r="C121" s="120"/>
      <c r="D121" s="120"/>
      <c r="E121" s="116"/>
      <c r="F121" s="116"/>
      <c r="G121" s="116"/>
    </row>
    <row r="122" spans="1:10" ht="12.75" x14ac:dyDescent="0.2">
      <c r="A122" s="112"/>
      <c r="B122" s="202" t="s">
        <v>178</v>
      </c>
      <c r="C122" s="203"/>
      <c r="D122" s="86" t="s">
        <v>172</v>
      </c>
      <c r="E122" s="121"/>
      <c r="F122" s="112"/>
      <c r="G122" s="112"/>
    </row>
    <row r="123" spans="1:10" ht="12.75" x14ac:dyDescent="0.2">
      <c r="A123" s="112"/>
      <c r="B123" s="202" t="s">
        <v>179</v>
      </c>
      <c r="C123" s="203"/>
      <c r="D123" s="86" t="s">
        <v>172</v>
      </c>
      <c r="E123" s="121"/>
      <c r="F123" s="112"/>
      <c r="G123" s="112"/>
    </row>
    <row r="124" spans="1:10" ht="12.75" x14ac:dyDescent="0.2">
      <c r="A124" s="112"/>
      <c r="B124" s="202" t="s">
        <v>180</v>
      </c>
      <c r="C124" s="203"/>
      <c r="D124" s="86" t="s">
        <v>172</v>
      </c>
      <c r="E124" s="121"/>
      <c r="F124" s="112"/>
      <c r="G124" s="112"/>
    </row>
    <row r="125" spans="1:10" ht="12.75" x14ac:dyDescent="0.2">
      <c r="A125" s="112"/>
      <c r="B125" s="202" t="s">
        <v>181</v>
      </c>
      <c r="C125" s="203"/>
      <c r="D125" s="122">
        <v>0.39523618464087601</v>
      </c>
      <c r="E125" s="112"/>
      <c r="F125" s="105"/>
      <c r="G125" s="123"/>
    </row>
    <row r="126" spans="1:10" ht="12.75" x14ac:dyDescent="0.2"/>
    <row r="127" spans="1:10" ht="12.75" x14ac:dyDescent="0.2">
      <c r="B127" s="204" t="s">
        <v>950</v>
      </c>
      <c r="C127" s="204"/>
    </row>
    <row r="128" spans="1:10" ht="12.75" x14ac:dyDescent="0.2"/>
    <row r="129" spans="2:10" ht="153.75" customHeight="1" x14ac:dyDescent="0.2"/>
    <row r="130" spans="2:10" ht="12.75" x14ac:dyDescent="0.2"/>
    <row r="131" spans="2:10" ht="12.75" x14ac:dyDescent="0.2"/>
    <row r="132" spans="2:10" ht="12.75" x14ac:dyDescent="0.2">
      <c r="B132" s="124" t="s">
        <v>951</v>
      </c>
      <c r="C132" s="125"/>
      <c r="D132" s="124"/>
    </row>
    <row r="133" spans="2:10" ht="12.75" x14ac:dyDescent="0.2">
      <c r="B133" s="124" t="s">
        <v>1127</v>
      </c>
      <c r="D133" s="124"/>
    </row>
    <row r="134" spans="2:10" ht="165" customHeight="1" x14ac:dyDescent="0.2"/>
    <row r="135" spans="2:10" ht="12.75" x14ac:dyDescent="0.2"/>
    <row r="136" spans="2:10" ht="12.75" x14ac:dyDescent="0.2">
      <c r="J136" s="84"/>
    </row>
    <row r="137" spans="2:10" ht="12.75" x14ac:dyDescent="0.2"/>
    <row r="138" spans="2:10" ht="12.75" x14ac:dyDescent="0.2"/>
    <row r="139" spans="2:10" ht="12.75" x14ac:dyDescent="0.2"/>
    <row r="140" spans="2:10" ht="12.75" x14ac:dyDescent="0.2"/>
    <row r="141" spans="2:10" ht="12.75" x14ac:dyDescent="0.2"/>
    <row r="142" spans="2:10" ht="12.75" x14ac:dyDescent="0.2"/>
    <row r="143" spans="2:10" ht="12.75" x14ac:dyDescent="0.2"/>
  </sheetData>
  <mergeCells count="18">
    <mergeCell ref="B106:H106"/>
    <mergeCell ref="B107:H107"/>
    <mergeCell ref="B109:D109"/>
    <mergeCell ref="B110:C110"/>
    <mergeCell ref="B127:C127"/>
    <mergeCell ref="A1:H1"/>
    <mergeCell ref="A2:H2"/>
    <mergeCell ref="A3:H3"/>
    <mergeCell ref="B120:C120"/>
    <mergeCell ref="B124:C124"/>
    <mergeCell ref="B125:C125"/>
    <mergeCell ref="B103:H103"/>
    <mergeCell ref="B104:H104"/>
    <mergeCell ref="B111:C111"/>
    <mergeCell ref="B112:C112"/>
    <mergeCell ref="B122:C122"/>
    <mergeCell ref="B123:C123"/>
    <mergeCell ref="B105:H105"/>
  </mergeCells>
  <hyperlinks>
    <hyperlink ref="I1" location="Index!B2" display="Index" xr:uid="{60F8AF03-3F7E-4E8F-B29C-C2AB396C4B4E}"/>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EF8E3-99FE-49E4-A4AE-4C16A2315E73}">
  <sheetPr>
    <outlinePr summaryBelow="0" summaryRight="0"/>
  </sheetPr>
  <dimension ref="A1:Q158"/>
  <sheetViews>
    <sheetView showGridLines="0" workbookViewId="0">
      <selection sqref="A1:H1"/>
    </sheetView>
  </sheetViews>
  <sheetFormatPr defaultRowHeight="14.25" customHeight="1" x14ac:dyDescent="0.2"/>
  <cols>
    <col min="1" max="1" width="5.85546875" bestFit="1" customWidth="1"/>
    <col min="2" max="2" width="19.7109375" customWidth="1"/>
    <col min="3" max="3" width="43.85546875" bestFit="1" customWidth="1"/>
    <col min="4" max="4" width="25.57031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822</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11</v>
      </c>
      <c r="C7" s="89" t="s">
        <v>12</v>
      </c>
      <c r="D7" s="89" t="s">
        <v>13</v>
      </c>
      <c r="E7" s="90">
        <v>508213</v>
      </c>
      <c r="F7" s="91">
        <v>9599.127144</v>
      </c>
      <c r="G7" s="92">
        <v>5.381466E-2</v>
      </c>
      <c r="H7" s="87" t="s">
        <v>143</v>
      </c>
    </row>
    <row r="8" spans="1:9" ht="14.25" customHeight="1" x14ac:dyDescent="0.2">
      <c r="A8" s="88">
        <v>2</v>
      </c>
      <c r="B8" s="89" t="s">
        <v>343</v>
      </c>
      <c r="C8" s="89" t="s">
        <v>344</v>
      </c>
      <c r="D8" s="89" t="s">
        <v>275</v>
      </c>
      <c r="E8" s="90">
        <v>3037687</v>
      </c>
      <c r="F8" s="91">
        <v>9536.8183365000004</v>
      </c>
      <c r="G8" s="92">
        <v>5.346534E-2</v>
      </c>
      <c r="H8" s="87" t="s">
        <v>143</v>
      </c>
    </row>
    <row r="9" spans="1:9" ht="14.25" customHeight="1" x14ac:dyDescent="0.2">
      <c r="A9" s="88">
        <v>3</v>
      </c>
      <c r="B9" s="89" t="s">
        <v>323</v>
      </c>
      <c r="C9" s="89" t="s">
        <v>324</v>
      </c>
      <c r="D9" s="89" t="s">
        <v>33</v>
      </c>
      <c r="E9" s="90">
        <v>458868</v>
      </c>
      <c r="F9" s="91">
        <v>8995.1894040000006</v>
      </c>
      <c r="G9" s="92">
        <v>5.0428859999999999E-2</v>
      </c>
      <c r="H9" s="87" t="s">
        <v>143</v>
      </c>
    </row>
    <row r="10" spans="1:9" ht="14.25" customHeight="1" x14ac:dyDescent="0.2">
      <c r="A10" s="88">
        <v>4</v>
      </c>
      <c r="B10" s="89" t="s">
        <v>14</v>
      </c>
      <c r="C10" s="89" t="s">
        <v>15</v>
      </c>
      <c r="D10" s="89" t="s">
        <v>16</v>
      </c>
      <c r="E10" s="90">
        <v>218399</v>
      </c>
      <c r="F10" s="91">
        <v>7864.54799</v>
      </c>
      <c r="G10" s="92">
        <v>4.4090249999999997E-2</v>
      </c>
      <c r="H10" s="87" t="s">
        <v>143</v>
      </c>
    </row>
    <row r="11" spans="1:9" ht="14.25" customHeight="1" x14ac:dyDescent="0.2">
      <c r="A11" s="88">
        <v>5</v>
      </c>
      <c r="B11" s="89" t="s">
        <v>17</v>
      </c>
      <c r="C11" s="89" t="s">
        <v>18</v>
      </c>
      <c r="D11" s="89" t="s">
        <v>19</v>
      </c>
      <c r="E11" s="90">
        <v>450032</v>
      </c>
      <c r="F11" s="91">
        <v>6107.834304</v>
      </c>
      <c r="G11" s="92">
        <v>3.4241760000000003E-2</v>
      </c>
      <c r="H11" s="87" t="s">
        <v>143</v>
      </c>
    </row>
    <row r="12" spans="1:9" ht="14.25" customHeight="1" x14ac:dyDescent="0.2">
      <c r="A12" s="88">
        <v>6</v>
      </c>
      <c r="B12" s="89" t="s">
        <v>44</v>
      </c>
      <c r="C12" s="89" t="s">
        <v>45</v>
      </c>
      <c r="D12" s="89" t="s">
        <v>46</v>
      </c>
      <c r="E12" s="90">
        <v>82922</v>
      </c>
      <c r="F12" s="91">
        <v>6026.35635</v>
      </c>
      <c r="G12" s="92">
        <v>3.3784979999999999E-2</v>
      </c>
      <c r="H12" s="87" t="s">
        <v>143</v>
      </c>
    </row>
    <row r="13" spans="1:9" ht="14.25" customHeight="1" x14ac:dyDescent="0.2">
      <c r="A13" s="88">
        <v>7</v>
      </c>
      <c r="B13" s="89" t="s">
        <v>360</v>
      </c>
      <c r="C13" s="89" t="s">
        <v>361</v>
      </c>
      <c r="D13" s="89" t="s">
        <v>207</v>
      </c>
      <c r="E13" s="90">
        <v>1667730</v>
      </c>
      <c r="F13" s="91">
        <v>5454.3109649999997</v>
      </c>
      <c r="G13" s="92">
        <v>3.0577980000000001E-2</v>
      </c>
      <c r="H13" s="87" t="s">
        <v>143</v>
      </c>
    </row>
    <row r="14" spans="1:9" ht="14.25" customHeight="1" x14ac:dyDescent="0.2">
      <c r="A14" s="88">
        <v>8</v>
      </c>
      <c r="B14" s="89" t="s">
        <v>341</v>
      </c>
      <c r="C14" s="89" t="s">
        <v>342</v>
      </c>
      <c r="D14" s="89" t="s">
        <v>256</v>
      </c>
      <c r="E14" s="90">
        <v>238924</v>
      </c>
      <c r="F14" s="91">
        <v>4557.7142240000003</v>
      </c>
      <c r="G14" s="92">
        <v>2.555147E-2</v>
      </c>
      <c r="H14" s="87" t="s">
        <v>143</v>
      </c>
    </row>
    <row r="15" spans="1:9" ht="14.25" customHeight="1" x14ac:dyDescent="0.2">
      <c r="A15" s="88">
        <v>9</v>
      </c>
      <c r="B15" s="89" t="s">
        <v>331</v>
      </c>
      <c r="C15" s="89" t="s">
        <v>332</v>
      </c>
      <c r="D15" s="89" t="s">
        <v>243</v>
      </c>
      <c r="E15" s="90">
        <v>138287</v>
      </c>
      <c r="F15" s="91">
        <v>4424.4925649999996</v>
      </c>
      <c r="G15" s="92">
        <v>2.48046E-2</v>
      </c>
      <c r="H15" s="87" t="s">
        <v>143</v>
      </c>
    </row>
    <row r="16" spans="1:9" ht="14.25" customHeight="1" x14ac:dyDescent="0.2">
      <c r="A16" s="88">
        <v>10</v>
      </c>
      <c r="B16" s="89" t="s">
        <v>99</v>
      </c>
      <c r="C16" s="89" t="s">
        <v>100</v>
      </c>
      <c r="D16" s="89" t="s">
        <v>25</v>
      </c>
      <c r="E16" s="90">
        <v>778529</v>
      </c>
      <c r="F16" s="91">
        <v>4384.6753280000003</v>
      </c>
      <c r="G16" s="92">
        <v>2.458138E-2</v>
      </c>
      <c r="H16" s="87" t="s">
        <v>143</v>
      </c>
    </row>
    <row r="17" spans="1:8" ht="14.25" customHeight="1" x14ac:dyDescent="0.2">
      <c r="A17" s="88">
        <v>11</v>
      </c>
      <c r="B17" s="89" t="s">
        <v>699</v>
      </c>
      <c r="C17" s="89" t="s">
        <v>700</v>
      </c>
      <c r="D17" s="89" t="s">
        <v>263</v>
      </c>
      <c r="E17" s="90">
        <v>546537</v>
      </c>
      <c r="F17" s="91">
        <v>4219.5389084999997</v>
      </c>
      <c r="G17" s="92">
        <v>2.3655590000000001E-2</v>
      </c>
      <c r="H17" s="87" t="s">
        <v>143</v>
      </c>
    </row>
    <row r="18" spans="1:8" ht="14.25" customHeight="1" x14ac:dyDescent="0.2">
      <c r="A18" s="88">
        <v>12</v>
      </c>
      <c r="B18" s="89" t="s">
        <v>434</v>
      </c>
      <c r="C18" s="89" t="s">
        <v>435</v>
      </c>
      <c r="D18" s="89" t="s">
        <v>436</v>
      </c>
      <c r="E18" s="90">
        <v>584396</v>
      </c>
      <c r="F18" s="91">
        <v>4113.8556420000004</v>
      </c>
      <c r="G18" s="92">
        <v>2.3063110000000001E-2</v>
      </c>
      <c r="H18" s="87" t="s">
        <v>143</v>
      </c>
    </row>
    <row r="19" spans="1:8" ht="14.25" customHeight="1" x14ac:dyDescent="0.2">
      <c r="A19" s="88">
        <v>13</v>
      </c>
      <c r="B19" s="89" t="s">
        <v>517</v>
      </c>
      <c r="C19" s="89" t="s">
        <v>518</v>
      </c>
      <c r="D19" s="89" t="s">
        <v>43</v>
      </c>
      <c r="E19" s="90">
        <v>397564</v>
      </c>
      <c r="F19" s="91">
        <v>3936.8775099999998</v>
      </c>
      <c r="G19" s="92">
        <v>2.2070940000000001E-2</v>
      </c>
      <c r="H19" s="87" t="s">
        <v>143</v>
      </c>
    </row>
    <row r="20" spans="1:8" ht="14.25" customHeight="1" x14ac:dyDescent="0.2">
      <c r="A20" s="88">
        <v>14</v>
      </c>
      <c r="B20" s="89" t="s">
        <v>89</v>
      </c>
      <c r="C20" s="89" t="s">
        <v>90</v>
      </c>
      <c r="D20" s="89" t="s">
        <v>53</v>
      </c>
      <c r="E20" s="90">
        <v>829451</v>
      </c>
      <c r="F20" s="91">
        <v>3882.2454054999998</v>
      </c>
      <c r="G20" s="92">
        <v>2.1764660000000002E-2</v>
      </c>
      <c r="H20" s="87" t="s">
        <v>143</v>
      </c>
    </row>
    <row r="21" spans="1:8" ht="14.25" customHeight="1" x14ac:dyDescent="0.2">
      <c r="A21" s="88">
        <v>15</v>
      </c>
      <c r="B21" s="89" t="s">
        <v>205</v>
      </c>
      <c r="C21" s="89" t="s">
        <v>206</v>
      </c>
      <c r="D21" s="89" t="s">
        <v>207</v>
      </c>
      <c r="E21" s="90">
        <v>604375</v>
      </c>
      <c r="F21" s="91">
        <v>3793.9640625000002</v>
      </c>
      <c r="G21" s="92">
        <v>2.1269730000000001E-2</v>
      </c>
      <c r="H21" s="87" t="s">
        <v>143</v>
      </c>
    </row>
    <row r="22" spans="1:8" ht="14.25" customHeight="1" x14ac:dyDescent="0.2">
      <c r="A22" s="88">
        <v>16</v>
      </c>
      <c r="B22" s="89" t="s">
        <v>218</v>
      </c>
      <c r="C22" s="89" t="s">
        <v>219</v>
      </c>
      <c r="D22" s="89" t="s">
        <v>220</v>
      </c>
      <c r="E22" s="90">
        <v>206052</v>
      </c>
      <c r="F22" s="91">
        <v>3648.7688159999998</v>
      </c>
      <c r="G22" s="92">
        <v>2.045574E-2</v>
      </c>
      <c r="H22" s="87" t="s">
        <v>143</v>
      </c>
    </row>
    <row r="23" spans="1:8" ht="14.25" customHeight="1" x14ac:dyDescent="0.2">
      <c r="A23" s="88">
        <v>17</v>
      </c>
      <c r="B23" s="89" t="s">
        <v>47</v>
      </c>
      <c r="C23" s="89" t="s">
        <v>48</v>
      </c>
      <c r="D23" s="89" t="s">
        <v>22</v>
      </c>
      <c r="E23" s="90">
        <v>956556</v>
      </c>
      <c r="F23" s="91">
        <v>3578.9542740000002</v>
      </c>
      <c r="G23" s="92">
        <v>2.0064350000000002E-2</v>
      </c>
      <c r="H23" s="87" t="s">
        <v>143</v>
      </c>
    </row>
    <row r="24" spans="1:8" ht="14.25" customHeight="1" x14ac:dyDescent="0.2">
      <c r="A24" s="88">
        <v>18</v>
      </c>
      <c r="B24" s="89" t="s">
        <v>305</v>
      </c>
      <c r="C24" s="89" t="s">
        <v>306</v>
      </c>
      <c r="D24" s="89" t="s">
        <v>68</v>
      </c>
      <c r="E24" s="90">
        <v>80193</v>
      </c>
      <c r="F24" s="91">
        <v>3560.5691999999999</v>
      </c>
      <c r="G24" s="92">
        <v>1.9961280000000001E-2</v>
      </c>
      <c r="H24" s="87" t="s">
        <v>143</v>
      </c>
    </row>
    <row r="25" spans="1:8" ht="14.25" customHeight="1" x14ac:dyDescent="0.2">
      <c r="A25" s="88">
        <v>19</v>
      </c>
      <c r="B25" s="89" t="s">
        <v>230</v>
      </c>
      <c r="C25" s="89" t="s">
        <v>231</v>
      </c>
      <c r="D25" s="89" t="s">
        <v>232</v>
      </c>
      <c r="E25" s="90">
        <v>188178</v>
      </c>
      <c r="F25" s="91">
        <v>3481.481178</v>
      </c>
      <c r="G25" s="92">
        <v>1.951789E-2</v>
      </c>
      <c r="H25" s="87" t="s">
        <v>143</v>
      </c>
    </row>
    <row r="26" spans="1:8" ht="14.25" customHeight="1" x14ac:dyDescent="0.2">
      <c r="A26" s="88">
        <v>20</v>
      </c>
      <c r="B26" s="89" t="s">
        <v>486</v>
      </c>
      <c r="C26" s="89" t="s">
        <v>487</v>
      </c>
      <c r="D26" s="89" t="s">
        <v>256</v>
      </c>
      <c r="E26" s="90">
        <v>296292</v>
      </c>
      <c r="F26" s="91">
        <v>3460.69056</v>
      </c>
      <c r="G26" s="92">
        <v>1.940134E-2</v>
      </c>
      <c r="H26" s="87" t="s">
        <v>143</v>
      </c>
    </row>
    <row r="27" spans="1:8" ht="14.25" customHeight="1" x14ac:dyDescent="0.2">
      <c r="A27" s="88">
        <v>21</v>
      </c>
      <c r="B27" s="89" t="s">
        <v>509</v>
      </c>
      <c r="C27" s="89" t="s">
        <v>510</v>
      </c>
      <c r="D27" s="89" t="s">
        <v>232</v>
      </c>
      <c r="E27" s="90">
        <v>261738</v>
      </c>
      <c r="F27" s="91">
        <v>3431.3851800000002</v>
      </c>
      <c r="G27" s="92">
        <v>1.923704E-2</v>
      </c>
      <c r="H27" s="87" t="s">
        <v>143</v>
      </c>
    </row>
    <row r="28" spans="1:8" ht="14.25" customHeight="1" x14ac:dyDescent="0.2">
      <c r="A28" s="88">
        <v>22</v>
      </c>
      <c r="B28" s="89" t="s">
        <v>425</v>
      </c>
      <c r="C28" s="89" t="s">
        <v>426</v>
      </c>
      <c r="D28" s="89" t="s">
        <v>243</v>
      </c>
      <c r="E28" s="90">
        <v>502561</v>
      </c>
      <c r="F28" s="91">
        <v>3362.1330899999998</v>
      </c>
      <c r="G28" s="92">
        <v>1.8848799999999999E-2</v>
      </c>
      <c r="H28" s="87" t="s">
        <v>143</v>
      </c>
    </row>
    <row r="29" spans="1:8" ht="14.25" customHeight="1" x14ac:dyDescent="0.2">
      <c r="A29" s="88">
        <v>23</v>
      </c>
      <c r="B29" s="89" t="s">
        <v>237</v>
      </c>
      <c r="C29" s="89" t="s">
        <v>238</v>
      </c>
      <c r="D29" s="89" t="s">
        <v>188</v>
      </c>
      <c r="E29" s="90">
        <v>99875</v>
      </c>
      <c r="F29" s="91">
        <v>3304.7638750000001</v>
      </c>
      <c r="G29" s="92">
        <v>1.8527180000000001E-2</v>
      </c>
      <c r="H29" s="87" t="s">
        <v>143</v>
      </c>
    </row>
    <row r="30" spans="1:8" ht="14.25" customHeight="1" x14ac:dyDescent="0.2">
      <c r="A30" s="88">
        <v>24</v>
      </c>
      <c r="B30" s="89" t="s">
        <v>26</v>
      </c>
      <c r="C30" s="89" t="s">
        <v>27</v>
      </c>
      <c r="D30" s="89" t="s">
        <v>28</v>
      </c>
      <c r="E30" s="90">
        <v>836771</v>
      </c>
      <c r="F30" s="91">
        <v>3091.0320740000002</v>
      </c>
      <c r="G30" s="92">
        <v>1.7328949999999999E-2</v>
      </c>
      <c r="H30" s="87" t="s">
        <v>143</v>
      </c>
    </row>
    <row r="31" spans="1:8" ht="14.25" customHeight="1" x14ac:dyDescent="0.2">
      <c r="A31" s="88">
        <v>25</v>
      </c>
      <c r="B31" s="89" t="s">
        <v>107</v>
      </c>
      <c r="C31" s="89" t="s">
        <v>108</v>
      </c>
      <c r="D31" s="89" t="s">
        <v>68</v>
      </c>
      <c r="E31" s="90">
        <v>233600</v>
      </c>
      <c r="F31" s="91">
        <v>2846.8832000000002</v>
      </c>
      <c r="G31" s="92">
        <v>1.5960209999999999E-2</v>
      </c>
      <c r="H31" s="87" t="s">
        <v>143</v>
      </c>
    </row>
    <row r="32" spans="1:8" ht="14.25" customHeight="1" x14ac:dyDescent="0.2">
      <c r="A32" s="88">
        <v>26</v>
      </c>
      <c r="B32" s="89" t="s">
        <v>823</v>
      </c>
      <c r="C32" s="89" t="s">
        <v>824</v>
      </c>
      <c r="D32" s="89" t="s">
        <v>188</v>
      </c>
      <c r="E32" s="90">
        <v>160489</v>
      </c>
      <c r="F32" s="91">
        <v>2814.656082</v>
      </c>
      <c r="G32" s="92">
        <v>1.577953E-2</v>
      </c>
      <c r="H32" s="87" t="s">
        <v>143</v>
      </c>
    </row>
    <row r="33" spans="1:8" ht="14.25" customHeight="1" x14ac:dyDescent="0.2">
      <c r="A33" s="88">
        <v>27</v>
      </c>
      <c r="B33" s="89" t="s">
        <v>273</v>
      </c>
      <c r="C33" s="89" t="s">
        <v>274</v>
      </c>
      <c r="D33" s="89" t="s">
        <v>275</v>
      </c>
      <c r="E33" s="90">
        <v>1178268</v>
      </c>
      <c r="F33" s="91">
        <v>2711.7838019999999</v>
      </c>
      <c r="G33" s="92">
        <v>1.5202810000000001E-2</v>
      </c>
      <c r="H33" s="87" t="s">
        <v>143</v>
      </c>
    </row>
    <row r="34" spans="1:8" ht="14.25" customHeight="1" x14ac:dyDescent="0.2">
      <c r="A34" s="88">
        <v>28</v>
      </c>
      <c r="B34" s="89" t="s">
        <v>484</v>
      </c>
      <c r="C34" s="89" t="s">
        <v>485</v>
      </c>
      <c r="D34" s="89" t="s">
        <v>223</v>
      </c>
      <c r="E34" s="90">
        <v>94065</v>
      </c>
      <c r="F34" s="91">
        <v>2636.6419500000002</v>
      </c>
      <c r="G34" s="92">
        <v>1.4781549999999999E-2</v>
      </c>
      <c r="H34" s="87" t="s">
        <v>143</v>
      </c>
    </row>
    <row r="35" spans="1:8" ht="14.25" customHeight="1" x14ac:dyDescent="0.2">
      <c r="A35" s="88">
        <v>29</v>
      </c>
      <c r="B35" s="89" t="s">
        <v>58</v>
      </c>
      <c r="C35" s="89" t="s">
        <v>59</v>
      </c>
      <c r="D35" s="89" t="s">
        <v>43</v>
      </c>
      <c r="E35" s="90">
        <v>18202</v>
      </c>
      <c r="F35" s="91">
        <v>2561.9315000000001</v>
      </c>
      <c r="G35" s="92">
        <v>1.4362710000000001E-2</v>
      </c>
      <c r="H35" s="87" t="s">
        <v>143</v>
      </c>
    </row>
    <row r="36" spans="1:8" ht="14.25" customHeight="1" x14ac:dyDescent="0.2">
      <c r="A36" s="88">
        <v>30</v>
      </c>
      <c r="B36" s="89" t="s">
        <v>83</v>
      </c>
      <c r="C36" s="89" t="s">
        <v>84</v>
      </c>
      <c r="D36" s="89" t="s">
        <v>43</v>
      </c>
      <c r="E36" s="90">
        <v>36737</v>
      </c>
      <c r="F36" s="91">
        <v>2539.4451250000002</v>
      </c>
      <c r="G36" s="92">
        <v>1.423665E-2</v>
      </c>
      <c r="H36" s="87" t="s">
        <v>143</v>
      </c>
    </row>
    <row r="37" spans="1:8" ht="14.25" customHeight="1" x14ac:dyDescent="0.2">
      <c r="A37" s="88">
        <v>31</v>
      </c>
      <c r="B37" s="89" t="s">
        <v>284</v>
      </c>
      <c r="C37" s="89" t="s">
        <v>285</v>
      </c>
      <c r="D37" s="89" t="s">
        <v>46</v>
      </c>
      <c r="E37" s="90">
        <v>765716</v>
      </c>
      <c r="F37" s="91">
        <v>2526.8627999999999</v>
      </c>
      <c r="G37" s="92">
        <v>1.4166110000000001E-2</v>
      </c>
      <c r="H37" s="87" t="s">
        <v>143</v>
      </c>
    </row>
    <row r="38" spans="1:8" ht="14.25" customHeight="1" x14ac:dyDescent="0.2">
      <c r="A38" s="88">
        <v>32</v>
      </c>
      <c r="B38" s="89" t="s">
        <v>271</v>
      </c>
      <c r="C38" s="89" t="s">
        <v>272</v>
      </c>
      <c r="D38" s="89" t="s">
        <v>223</v>
      </c>
      <c r="E38" s="90">
        <v>238678</v>
      </c>
      <c r="F38" s="91">
        <v>2429.9807179999998</v>
      </c>
      <c r="G38" s="92">
        <v>1.362297E-2</v>
      </c>
      <c r="H38" s="87" t="s">
        <v>143</v>
      </c>
    </row>
    <row r="39" spans="1:8" ht="14.25" customHeight="1" x14ac:dyDescent="0.2">
      <c r="A39" s="88">
        <v>33</v>
      </c>
      <c r="B39" s="89" t="s">
        <v>809</v>
      </c>
      <c r="C39" s="89" t="s">
        <v>810</v>
      </c>
      <c r="D39" s="89" t="s">
        <v>275</v>
      </c>
      <c r="E39" s="90">
        <v>343981</v>
      </c>
      <c r="F39" s="91">
        <v>2425.9260024999999</v>
      </c>
      <c r="G39" s="92">
        <v>1.360023E-2</v>
      </c>
      <c r="H39" s="87" t="s">
        <v>143</v>
      </c>
    </row>
    <row r="40" spans="1:8" ht="14.25" customHeight="1" x14ac:dyDescent="0.2">
      <c r="A40" s="88">
        <v>34</v>
      </c>
      <c r="B40" s="89" t="s">
        <v>303</v>
      </c>
      <c r="C40" s="89" t="s">
        <v>304</v>
      </c>
      <c r="D40" s="89" t="s">
        <v>188</v>
      </c>
      <c r="E40" s="90">
        <v>430658</v>
      </c>
      <c r="F40" s="91">
        <v>2335.4583339999999</v>
      </c>
      <c r="G40" s="92">
        <v>1.309305E-2</v>
      </c>
      <c r="H40" s="87" t="s">
        <v>143</v>
      </c>
    </row>
    <row r="41" spans="1:8" ht="14.25" customHeight="1" x14ac:dyDescent="0.2">
      <c r="A41" s="88">
        <v>35</v>
      </c>
      <c r="B41" s="89" t="s">
        <v>385</v>
      </c>
      <c r="C41" s="89" t="s">
        <v>386</v>
      </c>
      <c r="D41" s="89" t="s">
        <v>199</v>
      </c>
      <c r="E41" s="90">
        <v>435856</v>
      </c>
      <c r="F41" s="91">
        <v>2230.7110080000002</v>
      </c>
      <c r="G41" s="92">
        <v>1.2505820000000001E-2</v>
      </c>
      <c r="H41" s="87" t="s">
        <v>143</v>
      </c>
    </row>
    <row r="42" spans="1:8" ht="14.25" customHeight="1" x14ac:dyDescent="0.2">
      <c r="A42" s="88">
        <v>36</v>
      </c>
      <c r="B42" s="89" t="s">
        <v>825</v>
      </c>
      <c r="C42" s="89" t="s">
        <v>826</v>
      </c>
      <c r="D42" s="89" t="s">
        <v>199</v>
      </c>
      <c r="E42" s="90">
        <v>173955</v>
      </c>
      <c r="F42" s="91">
        <v>2070.9342750000001</v>
      </c>
      <c r="G42" s="92">
        <v>1.161008E-2</v>
      </c>
      <c r="H42" s="87" t="s">
        <v>143</v>
      </c>
    </row>
    <row r="43" spans="1:8" ht="14.25" customHeight="1" x14ac:dyDescent="0.2">
      <c r="A43" s="88">
        <v>37</v>
      </c>
      <c r="B43" s="89" t="s">
        <v>827</v>
      </c>
      <c r="C43" s="89" t="s">
        <v>828</v>
      </c>
      <c r="D43" s="89" t="s">
        <v>68</v>
      </c>
      <c r="E43" s="90">
        <v>1027189</v>
      </c>
      <c r="F43" s="91">
        <v>2035.4777223999999</v>
      </c>
      <c r="G43" s="92">
        <v>1.1411299999999999E-2</v>
      </c>
      <c r="H43" s="87" t="s">
        <v>143</v>
      </c>
    </row>
    <row r="44" spans="1:8" ht="14.25" customHeight="1" x14ac:dyDescent="0.2">
      <c r="A44" s="88">
        <v>38</v>
      </c>
      <c r="B44" s="89" t="s">
        <v>266</v>
      </c>
      <c r="C44" s="89" t="s">
        <v>267</v>
      </c>
      <c r="D44" s="89" t="s">
        <v>268</v>
      </c>
      <c r="E44" s="90">
        <v>113612</v>
      </c>
      <c r="F44" s="91">
        <v>2031.2689479999999</v>
      </c>
      <c r="G44" s="92">
        <v>1.1387710000000001E-2</v>
      </c>
      <c r="H44" s="87" t="s">
        <v>143</v>
      </c>
    </row>
    <row r="45" spans="1:8" ht="14.25" customHeight="1" x14ac:dyDescent="0.2">
      <c r="A45" s="88">
        <v>39</v>
      </c>
      <c r="B45" s="89" t="s">
        <v>829</v>
      </c>
      <c r="C45" s="89" t="s">
        <v>830</v>
      </c>
      <c r="D45" s="89" t="s">
        <v>382</v>
      </c>
      <c r="E45" s="90">
        <v>331817</v>
      </c>
      <c r="F45" s="91">
        <v>1930.3453975</v>
      </c>
      <c r="G45" s="92">
        <v>1.0821910000000001E-2</v>
      </c>
      <c r="H45" s="87" t="s">
        <v>143</v>
      </c>
    </row>
    <row r="46" spans="1:8" ht="14.25" customHeight="1" x14ac:dyDescent="0.2">
      <c r="A46" s="88">
        <v>40</v>
      </c>
      <c r="B46" s="89" t="s">
        <v>41</v>
      </c>
      <c r="C46" s="89" t="s">
        <v>42</v>
      </c>
      <c r="D46" s="89" t="s">
        <v>43</v>
      </c>
      <c r="E46" s="90">
        <v>133746</v>
      </c>
      <c r="F46" s="91">
        <v>1732.0107</v>
      </c>
      <c r="G46" s="92">
        <v>9.7099999999999999E-3</v>
      </c>
      <c r="H46" s="87" t="s">
        <v>143</v>
      </c>
    </row>
    <row r="47" spans="1:8" ht="14.25" customHeight="1" x14ac:dyDescent="0.2">
      <c r="A47" s="88">
        <v>41</v>
      </c>
      <c r="B47" s="89" t="s">
        <v>131</v>
      </c>
      <c r="C47" s="89" t="s">
        <v>132</v>
      </c>
      <c r="D47" s="89" t="s">
        <v>133</v>
      </c>
      <c r="E47" s="90">
        <v>351237</v>
      </c>
      <c r="F47" s="91">
        <v>1374.3903809999999</v>
      </c>
      <c r="G47" s="92">
        <v>7.7051100000000003E-3</v>
      </c>
      <c r="H47" s="87" t="s">
        <v>143</v>
      </c>
    </row>
    <row r="48" spans="1:8" ht="14.25" customHeight="1" x14ac:dyDescent="0.2">
      <c r="A48" s="88">
        <v>42</v>
      </c>
      <c r="B48" s="89" t="s">
        <v>307</v>
      </c>
      <c r="C48" s="89" t="s">
        <v>308</v>
      </c>
      <c r="D48" s="89" t="s">
        <v>243</v>
      </c>
      <c r="E48" s="90">
        <v>2386504</v>
      </c>
      <c r="F48" s="91">
        <v>1289.9054120000001</v>
      </c>
      <c r="G48" s="92">
        <v>7.2314700000000003E-3</v>
      </c>
      <c r="H48" s="87" t="s">
        <v>143</v>
      </c>
    </row>
    <row r="49" spans="1:8" ht="14.25" customHeight="1" x14ac:dyDescent="0.2">
      <c r="A49" s="88">
        <v>43</v>
      </c>
      <c r="B49" s="89" t="s">
        <v>831</v>
      </c>
      <c r="C49" s="89" t="s">
        <v>832</v>
      </c>
      <c r="D49" s="89" t="s">
        <v>275</v>
      </c>
      <c r="E49" s="90">
        <v>130768</v>
      </c>
      <c r="F49" s="91">
        <v>1057.8477359999999</v>
      </c>
      <c r="G49" s="92">
        <v>5.9305099999999999E-3</v>
      </c>
      <c r="H49" s="87" t="s">
        <v>143</v>
      </c>
    </row>
    <row r="50" spans="1:8" ht="14.25" customHeight="1" x14ac:dyDescent="0.2">
      <c r="A50" s="88">
        <v>44</v>
      </c>
      <c r="B50" s="89" t="s">
        <v>833</v>
      </c>
      <c r="C50" s="89" t="s">
        <v>834</v>
      </c>
      <c r="D50" s="89" t="s">
        <v>243</v>
      </c>
      <c r="E50" s="90">
        <v>12634</v>
      </c>
      <c r="F50" s="91">
        <v>76.189336999999995</v>
      </c>
      <c r="G50" s="92">
        <v>4.2713000000000001E-4</v>
      </c>
      <c r="H50" s="87" t="s">
        <v>143</v>
      </c>
    </row>
    <row r="51" spans="1:8" ht="14.25" customHeight="1" x14ac:dyDescent="0.2">
      <c r="A51" s="93"/>
      <c r="B51" s="93"/>
      <c r="C51" s="94" t="s">
        <v>142</v>
      </c>
      <c r="D51" s="93"/>
      <c r="E51" s="93" t="s">
        <v>143</v>
      </c>
      <c r="F51" s="95">
        <v>159475.97681640001</v>
      </c>
      <c r="G51" s="96">
        <v>0.89405473999999996</v>
      </c>
      <c r="H51" s="87" t="s">
        <v>143</v>
      </c>
    </row>
    <row r="52" spans="1:8" ht="14.25" customHeight="1" x14ac:dyDescent="0.2">
      <c r="A52" s="93"/>
      <c r="B52" s="93"/>
      <c r="C52" s="97"/>
      <c r="D52" s="93"/>
      <c r="E52" s="93"/>
      <c r="F52" s="98"/>
      <c r="G52" s="98"/>
      <c r="H52" s="87" t="s">
        <v>143</v>
      </c>
    </row>
    <row r="53" spans="1:8" ht="14.25" customHeight="1" x14ac:dyDescent="0.2">
      <c r="A53" s="93"/>
      <c r="B53" s="93"/>
      <c r="C53" s="94" t="s">
        <v>144</v>
      </c>
      <c r="D53" s="93"/>
      <c r="E53" s="93"/>
      <c r="F53" s="93"/>
      <c r="G53" s="93"/>
      <c r="H53" s="87" t="s">
        <v>143</v>
      </c>
    </row>
    <row r="54" spans="1:8" ht="14.25" customHeight="1" x14ac:dyDescent="0.2">
      <c r="A54" s="93"/>
      <c r="B54" s="93"/>
      <c r="C54" s="94" t="s">
        <v>142</v>
      </c>
      <c r="D54" s="93"/>
      <c r="E54" s="93" t="s">
        <v>143</v>
      </c>
      <c r="F54" s="99" t="s">
        <v>145</v>
      </c>
      <c r="G54" s="96">
        <v>0</v>
      </c>
      <c r="H54" s="87" t="s">
        <v>143</v>
      </c>
    </row>
    <row r="55" spans="1:8" ht="14.25" customHeight="1" x14ac:dyDescent="0.2">
      <c r="A55" s="93"/>
      <c r="B55" s="93"/>
      <c r="C55" s="97"/>
      <c r="D55" s="93"/>
      <c r="E55" s="93"/>
      <c r="F55" s="98"/>
      <c r="G55" s="98"/>
      <c r="H55" s="87" t="s">
        <v>143</v>
      </c>
    </row>
    <row r="56" spans="1:8" ht="14.25" customHeight="1" x14ac:dyDescent="0.2">
      <c r="A56" s="93"/>
      <c r="B56" s="93"/>
      <c r="C56" s="94" t="s">
        <v>146</v>
      </c>
      <c r="D56" s="93"/>
      <c r="E56" s="93"/>
      <c r="F56" s="93"/>
      <c r="G56" s="93"/>
      <c r="H56" s="87" t="s">
        <v>143</v>
      </c>
    </row>
    <row r="57" spans="1:8" ht="14.25" customHeight="1" x14ac:dyDescent="0.2">
      <c r="A57" s="93"/>
      <c r="B57" s="93"/>
      <c r="C57" s="94" t="s">
        <v>142</v>
      </c>
      <c r="D57" s="93"/>
      <c r="E57" s="93" t="s">
        <v>143</v>
      </c>
      <c r="F57" s="99" t="s">
        <v>145</v>
      </c>
      <c r="G57" s="96">
        <v>0</v>
      </c>
      <c r="H57" s="87" t="s">
        <v>143</v>
      </c>
    </row>
    <row r="58" spans="1:8" ht="14.25" customHeight="1" x14ac:dyDescent="0.2">
      <c r="A58" s="93"/>
      <c r="B58" s="93"/>
      <c r="C58" s="97"/>
      <c r="D58" s="93"/>
      <c r="E58" s="93"/>
      <c r="F58" s="98"/>
      <c r="G58" s="98"/>
      <c r="H58" s="87" t="s">
        <v>143</v>
      </c>
    </row>
    <row r="59" spans="1:8" ht="14.25" customHeight="1" x14ac:dyDescent="0.2">
      <c r="A59" s="93"/>
      <c r="B59" s="93"/>
      <c r="C59" s="94" t="s">
        <v>147</v>
      </c>
      <c r="D59" s="93"/>
      <c r="E59" s="93"/>
      <c r="F59" s="93"/>
      <c r="G59" s="93"/>
      <c r="H59" s="87" t="s">
        <v>143</v>
      </c>
    </row>
    <row r="60" spans="1:8" ht="14.25" customHeight="1" x14ac:dyDescent="0.2">
      <c r="A60" s="93"/>
      <c r="B60" s="93"/>
      <c r="C60" s="94" t="s">
        <v>142</v>
      </c>
      <c r="D60" s="93"/>
      <c r="E60" s="93" t="s">
        <v>143</v>
      </c>
      <c r="F60" s="99" t="s">
        <v>145</v>
      </c>
      <c r="G60" s="96">
        <v>0</v>
      </c>
      <c r="H60" s="87" t="s">
        <v>143</v>
      </c>
    </row>
    <row r="61" spans="1:8" ht="14.25" customHeight="1" x14ac:dyDescent="0.2">
      <c r="A61" s="93"/>
      <c r="B61" s="93"/>
      <c r="C61" s="97"/>
      <c r="D61" s="93"/>
      <c r="E61" s="93"/>
      <c r="F61" s="98"/>
      <c r="G61" s="98"/>
      <c r="H61" s="87" t="s">
        <v>143</v>
      </c>
    </row>
    <row r="62" spans="1:8" ht="14.25" customHeight="1" x14ac:dyDescent="0.2">
      <c r="A62" s="93"/>
      <c r="B62" s="93"/>
      <c r="C62" s="94" t="s">
        <v>148</v>
      </c>
      <c r="D62" s="93"/>
      <c r="E62" s="93"/>
      <c r="F62" s="98"/>
      <c r="G62" s="98"/>
      <c r="H62" s="87" t="s">
        <v>143</v>
      </c>
    </row>
    <row r="63" spans="1:8" ht="14.25" customHeight="1" x14ac:dyDescent="0.2">
      <c r="A63" s="93"/>
      <c r="B63" s="93"/>
      <c r="C63" s="94" t="s">
        <v>142</v>
      </c>
      <c r="D63" s="93"/>
      <c r="E63" s="93" t="s">
        <v>143</v>
      </c>
      <c r="F63" s="99" t="s">
        <v>145</v>
      </c>
      <c r="G63" s="96">
        <v>0</v>
      </c>
      <c r="H63" s="87" t="s">
        <v>143</v>
      </c>
    </row>
    <row r="64" spans="1:8" ht="14.25" customHeight="1" x14ac:dyDescent="0.2">
      <c r="A64" s="93"/>
      <c r="B64" s="93"/>
      <c r="C64" s="97"/>
      <c r="D64" s="93"/>
      <c r="E64" s="93"/>
      <c r="F64" s="98"/>
      <c r="G64" s="98"/>
      <c r="H64" s="87" t="s">
        <v>143</v>
      </c>
    </row>
    <row r="65" spans="1:8" ht="14.25" customHeight="1" x14ac:dyDescent="0.2">
      <c r="A65" s="93"/>
      <c r="B65" s="93"/>
      <c r="C65" s="94" t="s">
        <v>149</v>
      </c>
      <c r="D65" s="93"/>
      <c r="E65" s="93"/>
      <c r="F65" s="98"/>
      <c r="G65" s="98"/>
      <c r="H65" s="87" t="s">
        <v>143</v>
      </c>
    </row>
    <row r="66" spans="1:8" ht="14.25" customHeight="1" x14ac:dyDescent="0.2">
      <c r="A66" s="93"/>
      <c r="B66" s="93"/>
      <c r="C66" s="94" t="s">
        <v>142</v>
      </c>
      <c r="D66" s="93"/>
      <c r="E66" s="93" t="s">
        <v>143</v>
      </c>
      <c r="F66" s="99" t="s">
        <v>145</v>
      </c>
      <c r="G66" s="96">
        <v>0</v>
      </c>
      <c r="H66" s="87" t="s">
        <v>143</v>
      </c>
    </row>
    <row r="67" spans="1:8" ht="14.25" customHeight="1" x14ac:dyDescent="0.2">
      <c r="A67" s="93"/>
      <c r="B67" s="93"/>
      <c r="C67" s="97"/>
      <c r="D67" s="93"/>
      <c r="E67" s="93"/>
      <c r="F67" s="98"/>
      <c r="G67" s="98"/>
      <c r="H67" s="87" t="s">
        <v>143</v>
      </c>
    </row>
    <row r="68" spans="1:8" ht="14.25" customHeight="1" x14ac:dyDescent="0.2">
      <c r="A68" s="93"/>
      <c r="B68" s="93"/>
      <c r="C68" s="94" t="s">
        <v>150</v>
      </c>
      <c r="D68" s="93"/>
      <c r="E68" s="93"/>
      <c r="F68" s="95">
        <v>159475.97681640001</v>
      </c>
      <c r="G68" s="96">
        <v>0.89405473999999996</v>
      </c>
      <c r="H68" s="87" t="s">
        <v>143</v>
      </c>
    </row>
    <row r="69" spans="1:8" ht="14.25" customHeight="1" x14ac:dyDescent="0.2">
      <c r="A69" s="93"/>
      <c r="B69" s="93"/>
      <c r="C69" s="97"/>
      <c r="D69" s="93"/>
      <c r="E69" s="93"/>
      <c r="F69" s="98"/>
      <c r="G69" s="98"/>
      <c r="H69" s="87" t="s">
        <v>143</v>
      </c>
    </row>
    <row r="70" spans="1:8" ht="14.25" customHeight="1" x14ac:dyDescent="0.2">
      <c r="A70" s="93"/>
      <c r="B70" s="93"/>
      <c r="C70" s="94" t="s">
        <v>151</v>
      </c>
      <c r="D70" s="93"/>
      <c r="E70" s="93"/>
      <c r="F70" s="98"/>
      <c r="G70" s="98"/>
      <c r="H70" s="87" t="s">
        <v>143</v>
      </c>
    </row>
    <row r="71" spans="1:8" ht="14.25" customHeight="1" x14ac:dyDescent="0.2">
      <c r="A71" s="93"/>
      <c r="B71" s="93"/>
      <c r="C71" s="94" t="s">
        <v>10</v>
      </c>
      <c r="D71" s="93"/>
      <c r="E71" s="93"/>
      <c r="F71" s="98"/>
      <c r="G71" s="98"/>
      <c r="H71" s="87" t="s">
        <v>143</v>
      </c>
    </row>
    <row r="72" spans="1:8" ht="14.25" customHeight="1" x14ac:dyDescent="0.2">
      <c r="A72" s="93"/>
      <c r="B72" s="93"/>
      <c r="C72" s="94" t="s">
        <v>142</v>
      </c>
      <c r="D72" s="93"/>
      <c r="E72" s="93" t="s">
        <v>143</v>
      </c>
      <c r="F72" s="99" t="s">
        <v>145</v>
      </c>
      <c r="G72" s="96">
        <v>0</v>
      </c>
      <c r="H72" s="87" t="s">
        <v>143</v>
      </c>
    </row>
    <row r="73" spans="1:8" ht="14.25" customHeight="1" x14ac:dyDescent="0.2">
      <c r="A73" s="93"/>
      <c r="B73" s="93"/>
      <c r="C73" s="97"/>
      <c r="D73" s="93"/>
      <c r="E73" s="93"/>
      <c r="F73" s="98"/>
      <c r="G73" s="98"/>
      <c r="H73" s="87" t="s">
        <v>143</v>
      </c>
    </row>
    <row r="74" spans="1:8" ht="14.25" customHeight="1" x14ac:dyDescent="0.2">
      <c r="A74" s="93"/>
      <c r="B74" s="93"/>
      <c r="C74" s="94" t="s">
        <v>152</v>
      </c>
      <c r="D74" s="93"/>
      <c r="E74" s="93"/>
      <c r="F74" s="93"/>
      <c r="G74" s="93"/>
      <c r="H74" s="87" t="s">
        <v>143</v>
      </c>
    </row>
    <row r="75" spans="1:8" ht="14.25" customHeight="1" x14ac:dyDescent="0.2">
      <c r="A75" s="93"/>
      <c r="B75" s="93"/>
      <c r="C75" s="94" t="s">
        <v>142</v>
      </c>
      <c r="D75" s="93"/>
      <c r="E75" s="93" t="s">
        <v>143</v>
      </c>
      <c r="F75" s="99" t="s">
        <v>145</v>
      </c>
      <c r="G75" s="96">
        <v>0</v>
      </c>
      <c r="H75" s="87" t="s">
        <v>143</v>
      </c>
    </row>
    <row r="76" spans="1:8" ht="14.25" customHeight="1" x14ac:dyDescent="0.2">
      <c r="A76" s="93"/>
      <c r="B76" s="93"/>
      <c r="C76" s="97"/>
      <c r="D76" s="93"/>
      <c r="E76" s="93"/>
      <c r="F76" s="98"/>
      <c r="G76" s="98"/>
      <c r="H76" s="87" t="s">
        <v>143</v>
      </c>
    </row>
    <row r="77" spans="1:8" ht="14.25" customHeight="1" x14ac:dyDescent="0.2">
      <c r="A77" s="93"/>
      <c r="B77" s="93"/>
      <c r="C77" s="94" t="s">
        <v>153</v>
      </c>
      <c r="D77" s="93"/>
      <c r="E77" s="93"/>
      <c r="F77" s="93"/>
      <c r="G77" s="93"/>
      <c r="H77" s="87" t="s">
        <v>143</v>
      </c>
    </row>
    <row r="78" spans="1:8" ht="14.25" customHeight="1" x14ac:dyDescent="0.2">
      <c r="A78" s="93"/>
      <c r="B78" s="93"/>
      <c r="C78" s="94" t="s">
        <v>142</v>
      </c>
      <c r="D78" s="93"/>
      <c r="E78" s="93" t="s">
        <v>143</v>
      </c>
      <c r="F78" s="99" t="s">
        <v>145</v>
      </c>
      <c r="G78" s="96">
        <v>0</v>
      </c>
      <c r="H78" s="87" t="s">
        <v>143</v>
      </c>
    </row>
    <row r="79" spans="1:8" ht="14.25" customHeight="1" x14ac:dyDescent="0.2">
      <c r="A79" s="93"/>
      <c r="B79" s="93"/>
      <c r="C79" s="97"/>
      <c r="D79" s="93"/>
      <c r="E79" s="93"/>
      <c r="F79" s="98"/>
      <c r="G79" s="98"/>
      <c r="H79" s="87" t="s">
        <v>143</v>
      </c>
    </row>
    <row r="80" spans="1:8" ht="14.25" customHeight="1" x14ac:dyDescent="0.2">
      <c r="A80" s="93"/>
      <c r="B80" s="93"/>
      <c r="C80" s="94" t="s">
        <v>154</v>
      </c>
      <c r="D80" s="93"/>
      <c r="E80" s="93"/>
      <c r="F80" s="98"/>
      <c r="G80" s="98"/>
      <c r="H80" s="87" t="s">
        <v>143</v>
      </c>
    </row>
    <row r="81" spans="1:8" ht="14.25" customHeight="1" x14ac:dyDescent="0.2">
      <c r="A81" s="93"/>
      <c r="B81" s="93"/>
      <c r="C81" s="94" t="s">
        <v>142</v>
      </c>
      <c r="D81" s="93"/>
      <c r="E81" s="93" t="s">
        <v>143</v>
      </c>
      <c r="F81" s="99" t="s">
        <v>145</v>
      </c>
      <c r="G81" s="96">
        <v>0</v>
      </c>
      <c r="H81" s="87" t="s">
        <v>143</v>
      </c>
    </row>
    <row r="82" spans="1:8" ht="14.25" customHeight="1" x14ac:dyDescent="0.2">
      <c r="A82" s="93"/>
      <c r="B82" s="93"/>
      <c r="C82" s="97"/>
      <c r="D82" s="93"/>
      <c r="E82" s="93"/>
      <c r="F82" s="98"/>
      <c r="G82" s="98"/>
      <c r="H82" s="87" t="s">
        <v>143</v>
      </c>
    </row>
    <row r="83" spans="1:8" ht="14.25" customHeight="1" x14ac:dyDescent="0.2">
      <c r="A83" s="93"/>
      <c r="B83" s="93"/>
      <c r="C83" s="94" t="s">
        <v>155</v>
      </c>
      <c r="D83" s="93"/>
      <c r="E83" s="93"/>
      <c r="F83" s="95">
        <v>0</v>
      </c>
      <c r="G83" s="96">
        <v>0</v>
      </c>
      <c r="H83" s="87" t="s">
        <v>143</v>
      </c>
    </row>
    <row r="84" spans="1:8" ht="14.25" customHeight="1" x14ac:dyDescent="0.2">
      <c r="A84" s="93"/>
      <c r="B84" s="93"/>
      <c r="C84" s="97"/>
      <c r="D84" s="93"/>
      <c r="E84" s="93"/>
      <c r="F84" s="98"/>
      <c r="G84" s="98"/>
      <c r="H84" s="87" t="s">
        <v>143</v>
      </c>
    </row>
    <row r="85" spans="1:8" ht="14.25" customHeight="1" x14ac:dyDescent="0.2">
      <c r="A85" s="93"/>
      <c r="B85" s="93"/>
      <c r="C85" s="94" t="s">
        <v>156</v>
      </c>
      <c r="D85" s="93"/>
      <c r="E85" s="93"/>
      <c r="F85" s="98"/>
      <c r="G85" s="98"/>
      <c r="H85" s="87" t="s">
        <v>143</v>
      </c>
    </row>
    <row r="86" spans="1:8" ht="14.25" customHeight="1" x14ac:dyDescent="0.2">
      <c r="A86" s="93"/>
      <c r="B86" s="93"/>
      <c r="C86" s="94" t="s">
        <v>157</v>
      </c>
      <c r="D86" s="93"/>
      <c r="E86" s="93"/>
      <c r="F86" s="98"/>
      <c r="G86" s="98"/>
      <c r="H86" s="87" t="s">
        <v>143</v>
      </c>
    </row>
    <row r="87" spans="1:8" ht="14.25" customHeight="1" x14ac:dyDescent="0.2">
      <c r="A87" s="93"/>
      <c r="B87" s="93"/>
      <c r="C87" s="94" t="s">
        <v>142</v>
      </c>
      <c r="D87" s="93"/>
      <c r="E87" s="93" t="s">
        <v>143</v>
      </c>
      <c r="F87" s="99" t="s">
        <v>145</v>
      </c>
      <c r="G87" s="96">
        <v>0</v>
      </c>
      <c r="H87" s="87" t="s">
        <v>143</v>
      </c>
    </row>
    <row r="88" spans="1:8" ht="14.25" customHeight="1" x14ac:dyDescent="0.2">
      <c r="A88" s="93"/>
      <c r="B88" s="93"/>
      <c r="C88" s="97"/>
      <c r="D88" s="93"/>
      <c r="E88" s="93"/>
      <c r="F88" s="98"/>
      <c r="G88" s="98"/>
      <c r="H88" s="87" t="s">
        <v>143</v>
      </c>
    </row>
    <row r="89" spans="1:8" ht="14.25" customHeight="1" x14ac:dyDescent="0.2">
      <c r="A89" s="93"/>
      <c r="B89" s="93"/>
      <c r="C89" s="94" t="s">
        <v>158</v>
      </c>
      <c r="D89" s="93"/>
      <c r="E89" s="93"/>
      <c r="F89" s="98"/>
      <c r="G89" s="98"/>
      <c r="H89" s="87" t="s">
        <v>143</v>
      </c>
    </row>
    <row r="90" spans="1:8" ht="14.25" customHeight="1" x14ac:dyDescent="0.2">
      <c r="A90" s="93"/>
      <c r="B90" s="93"/>
      <c r="C90" s="94" t="s">
        <v>142</v>
      </c>
      <c r="D90" s="93"/>
      <c r="E90" s="93" t="s">
        <v>143</v>
      </c>
      <c r="F90" s="99" t="s">
        <v>145</v>
      </c>
      <c r="G90" s="96">
        <v>0</v>
      </c>
      <c r="H90" s="87" t="s">
        <v>143</v>
      </c>
    </row>
    <row r="91" spans="1:8" ht="14.25" customHeight="1" x14ac:dyDescent="0.2">
      <c r="A91" s="93"/>
      <c r="B91" s="93"/>
      <c r="C91" s="97"/>
      <c r="D91" s="93"/>
      <c r="E91" s="93"/>
      <c r="F91" s="98"/>
      <c r="G91" s="98"/>
      <c r="H91" s="87" t="s">
        <v>143</v>
      </c>
    </row>
    <row r="92" spans="1:8" ht="14.25" customHeight="1" x14ac:dyDescent="0.2">
      <c r="A92" s="93"/>
      <c r="B92" s="93"/>
      <c r="C92" s="94" t="s">
        <v>159</v>
      </c>
      <c r="D92" s="93"/>
      <c r="E92" s="93"/>
      <c r="F92" s="98"/>
      <c r="G92" s="98"/>
      <c r="H92" s="87" t="s">
        <v>143</v>
      </c>
    </row>
    <row r="93" spans="1:8" ht="14.25" customHeight="1" x14ac:dyDescent="0.2">
      <c r="A93" s="93"/>
      <c r="B93" s="93"/>
      <c r="C93" s="94" t="s">
        <v>142</v>
      </c>
      <c r="D93" s="93"/>
      <c r="E93" s="93" t="s">
        <v>143</v>
      </c>
      <c r="F93" s="99" t="s">
        <v>145</v>
      </c>
      <c r="G93" s="96">
        <v>0</v>
      </c>
      <c r="H93" s="87" t="s">
        <v>143</v>
      </c>
    </row>
    <row r="94" spans="1:8" ht="14.25" customHeight="1" x14ac:dyDescent="0.2">
      <c r="A94" s="93"/>
      <c r="B94" s="93"/>
      <c r="C94" s="97"/>
      <c r="D94" s="93"/>
      <c r="E94" s="93"/>
      <c r="F94" s="98"/>
      <c r="G94" s="98"/>
      <c r="H94" s="87" t="s">
        <v>143</v>
      </c>
    </row>
    <row r="95" spans="1:8" ht="14.25" customHeight="1" x14ac:dyDescent="0.2">
      <c r="A95" s="93"/>
      <c r="B95" s="93"/>
      <c r="C95" s="94" t="s">
        <v>160</v>
      </c>
      <c r="D95" s="93"/>
      <c r="E95" s="93"/>
      <c r="F95" s="98"/>
      <c r="G95" s="98"/>
      <c r="H95" s="87" t="s">
        <v>143</v>
      </c>
    </row>
    <row r="96" spans="1:8" ht="14.25" customHeight="1" x14ac:dyDescent="0.2">
      <c r="A96" s="88">
        <v>1</v>
      </c>
      <c r="B96" s="89"/>
      <c r="C96" s="89" t="s">
        <v>161</v>
      </c>
      <c r="D96" s="89"/>
      <c r="E96" s="100"/>
      <c r="F96" s="91">
        <v>17803.402814065001</v>
      </c>
      <c r="G96" s="92">
        <v>9.9809490000000001E-2</v>
      </c>
      <c r="H96" s="87">
        <v>5.38</v>
      </c>
    </row>
    <row r="97" spans="1:8" ht="14.25" customHeight="1" x14ac:dyDescent="0.2">
      <c r="A97" s="93"/>
      <c r="B97" s="93"/>
      <c r="C97" s="94" t="s">
        <v>142</v>
      </c>
      <c r="D97" s="93"/>
      <c r="E97" s="93" t="s">
        <v>143</v>
      </c>
      <c r="F97" s="95">
        <v>17803.402814065001</v>
      </c>
      <c r="G97" s="96">
        <v>9.9809490000000001E-2</v>
      </c>
      <c r="H97" s="87" t="s">
        <v>143</v>
      </c>
    </row>
    <row r="98" spans="1:8" ht="14.25" customHeight="1" x14ac:dyDescent="0.2">
      <c r="A98" s="93"/>
      <c r="B98" s="93"/>
      <c r="C98" s="97"/>
      <c r="D98" s="93"/>
      <c r="E98" s="93"/>
      <c r="F98" s="98"/>
      <c r="G98" s="98"/>
      <c r="H98" s="87" t="s">
        <v>143</v>
      </c>
    </row>
    <row r="99" spans="1:8" ht="14.25" customHeight="1" x14ac:dyDescent="0.2">
      <c r="A99" s="93"/>
      <c r="B99" s="93"/>
      <c r="C99" s="94" t="s">
        <v>162</v>
      </c>
      <c r="D99" s="93"/>
      <c r="E99" s="93"/>
      <c r="F99" s="95">
        <v>17803.402814065001</v>
      </c>
      <c r="G99" s="96">
        <v>9.9809490000000001E-2</v>
      </c>
      <c r="H99" s="87" t="s">
        <v>143</v>
      </c>
    </row>
    <row r="100" spans="1:8" ht="14.25" customHeight="1" x14ac:dyDescent="0.2">
      <c r="A100" s="93"/>
      <c r="B100" s="93"/>
      <c r="C100" s="98"/>
      <c r="D100" s="93"/>
      <c r="E100" s="93"/>
      <c r="F100" s="93"/>
      <c r="G100" s="93"/>
      <c r="H100" s="87" t="s">
        <v>143</v>
      </c>
    </row>
    <row r="101" spans="1:8" ht="14.25" customHeight="1" x14ac:dyDescent="0.2">
      <c r="A101" s="93"/>
      <c r="B101" s="93"/>
      <c r="C101" s="94" t="s">
        <v>163</v>
      </c>
      <c r="D101" s="93"/>
      <c r="E101" s="93"/>
      <c r="F101" s="93"/>
      <c r="G101" s="93"/>
      <c r="H101" s="87" t="s">
        <v>143</v>
      </c>
    </row>
    <row r="102" spans="1:8" ht="14.25" customHeight="1" x14ac:dyDescent="0.2">
      <c r="A102" s="93"/>
      <c r="B102" s="93"/>
      <c r="C102" s="94" t="s">
        <v>164</v>
      </c>
      <c r="D102" s="93"/>
      <c r="E102" s="93"/>
      <c r="F102" s="93"/>
      <c r="G102" s="93"/>
      <c r="H102" s="87" t="s">
        <v>143</v>
      </c>
    </row>
    <row r="103" spans="1:8" ht="14.25" customHeight="1" x14ac:dyDescent="0.2">
      <c r="A103" s="93"/>
      <c r="B103" s="93"/>
      <c r="C103" s="94" t="s">
        <v>142</v>
      </c>
      <c r="D103" s="93"/>
      <c r="E103" s="93" t="s">
        <v>143</v>
      </c>
      <c r="F103" s="99" t="s">
        <v>145</v>
      </c>
      <c r="G103" s="96">
        <v>0</v>
      </c>
      <c r="H103" s="87" t="s">
        <v>143</v>
      </c>
    </row>
    <row r="104" spans="1:8" ht="14.25" customHeight="1" x14ac:dyDescent="0.2">
      <c r="A104" s="93"/>
      <c r="B104" s="93"/>
      <c r="C104" s="97"/>
      <c r="D104" s="93"/>
      <c r="E104" s="93"/>
      <c r="F104" s="98"/>
      <c r="G104" s="98"/>
      <c r="H104" s="87" t="s">
        <v>143</v>
      </c>
    </row>
    <row r="105" spans="1:8" ht="14.25" customHeight="1" x14ac:dyDescent="0.2">
      <c r="A105" s="93"/>
      <c r="B105" s="93"/>
      <c r="C105" s="94" t="s">
        <v>165</v>
      </c>
      <c r="D105" s="93"/>
      <c r="E105" s="93"/>
      <c r="F105" s="93"/>
      <c r="G105" s="93"/>
      <c r="H105" s="87" t="s">
        <v>143</v>
      </c>
    </row>
    <row r="106" spans="1:8" ht="14.25" customHeight="1" x14ac:dyDescent="0.2">
      <c r="A106" s="93"/>
      <c r="B106" s="93"/>
      <c r="C106" s="94" t="s">
        <v>166</v>
      </c>
      <c r="D106" s="93"/>
      <c r="E106" s="93"/>
      <c r="F106" s="93"/>
      <c r="G106" s="93"/>
      <c r="H106" s="87" t="s">
        <v>143</v>
      </c>
    </row>
    <row r="107" spans="1:8" ht="14.25" customHeight="1" x14ac:dyDescent="0.2">
      <c r="A107" s="93"/>
      <c r="B107" s="93"/>
      <c r="C107" s="94" t="s">
        <v>142</v>
      </c>
      <c r="D107" s="93"/>
      <c r="E107" s="93" t="s">
        <v>143</v>
      </c>
      <c r="F107" s="99" t="s">
        <v>145</v>
      </c>
      <c r="G107" s="96">
        <v>0</v>
      </c>
      <c r="H107" s="87" t="s">
        <v>143</v>
      </c>
    </row>
    <row r="108" spans="1:8" ht="14.25" customHeight="1" x14ac:dyDescent="0.2">
      <c r="A108" s="93"/>
      <c r="B108" s="93"/>
      <c r="C108" s="97"/>
      <c r="D108" s="93"/>
      <c r="E108" s="93"/>
      <c r="F108" s="98"/>
      <c r="G108" s="98"/>
      <c r="H108" s="87" t="s">
        <v>143</v>
      </c>
    </row>
    <row r="109" spans="1:8" ht="14.25" customHeight="1" x14ac:dyDescent="0.2">
      <c r="A109" s="93"/>
      <c r="B109" s="93"/>
      <c r="C109" s="94" t="s">
        <v>167</v>
      </c>
      <c r="D109" s="93"/>
      <c r="E109" s="93"/>
      <c r="F109" s="98"/>
      <c r="G109" s="98"/>
      <c r="H109" s="87" t="s">
        <v>143</v>
      </c>
    </row>
    <row r="110" spans="1:8" ht="14.25" customHeight="1" x14ac:dyDescent="0.2">
      <c r="A110" s="93"/>
      <c r="B110" s="93"/>
      <c r="C110" s="94" t="s">
        <v>142</v>
      </c>
      <c r="D110" s="93"/>
      <c r="E110" s="93" t="s">
        <v>143</v>
      </c>
      <c r="F110" s="99" t="s">
        <v>145</v>
      </c>
      <c r="G110" s="96">
        <v>0</v>
      </c>
      <c r="H110" s="87" t="s">
        <v>143</v>
      </c>
    </row>
    <row r="111" spans="1:8" ht="14.25" customHeight="1" x14ac:dyDescent="0.2">
      <c r="A111" s="93"/>
      <c r="B111" s="93"/>
      <c r="C111" s="97"/>
      <c r="D111" s="93"/>
      <c r="E111" s="93"/>
      <c r="F111" s="98"/>
      <c r="G111" s="98"/>
      <c r="H111" s="87" t="s">
        <v>143</v>
      </c>
    </row>
    <row r="112" spans="1:8" ht="14.25" customHeight="1" x14ac:dyDescent="0.2">
      <c r="A112" s="100"/>
      <c r="B112" s="89"/>
      <c r="C112" s="89" t="s">
        <v>168</v>
      </c>
      <c r="D112" s="89"/>
      <c r="E112" s="100"/>
      <c r="F112" s="91">
        <v>1094.4608327999999</v>
      </c>
      <c r="G112" s="92">
        <v>6.1357699999999996E-3</v>
      </c>
      <c r="H112" s="87" t="s">
        <v>143</v>
      </c>
    </row>
    <row r="113" spans="1:17" ht="14.25" customHeight="1" x14ac:dyDescent="0.2">
      <c r="A113" s="97"/>
      <c r="B113" s="97"/>
      <c r="C113" s="94" t="s">
        <v>169</v>
      </c>
      <c r="D113" s="98"/>
      <c r="E113" s="98"/>
      <c r="F113" s="95">
        <v>178373.84046326499</v>
      </c>
      <c r="G113" s="101">
        <v>1</v>
      </c>
      <c r="H113" s="87" t="s">
        <v>143</v>
      </c>
    </row>
    <row r="114" spans="1:17" ht="12.75" x14ac:dyDescent="0.2">
      <c r="A114" s="102"/>
      <c r="B114" s="102"/>
      <c r="C114" s="102"/>
      <c r="D114" s="103"/>
      <c r="E114" s="103"/>
      <c r="F114" s="103"/>
      <c r="G114" s="103"/>
    </row>
    <row r="115" spans="1:17" ht="12.75" x14ac:dyDescent="0.2">
      <c r="A115" s="104"/>
      <c r="B115" s="206" t="s">
        <v>942</v>
      </c>
      <c r="C115" s="206"/>
      <c r="D115" s="206"/>
      <c r="E115" s="206"/>
      <c r="F115" s="206"/>
      <c r="G115" s="206"/>
      <c r="H115" s="206"/>
      <c r="J115" s="106"/>
    </row>
    <row r="116" spans="1:17" ht="12.75" x14ac:dyDescent="0.2">
      <c r="A116" s="104"/>
      <c r="B116" s="206" t="s">
        <v>943</v>
      </c>
      <c r="C116" s="206"/>
      <c r="D116" s="206"/>
      <c r="E116" s="206"/>
      <c r="F116" s="206"/>
      <c r="G116" s="206"/>
      <c r="H116" s="206"/>
      <c r="J116" s="106"/>
    </row>
    <row r="117" spans="1:17" ht="12.75" x14ac:dyDescent="0.2">
      <c r="A117" s="104"/>
      <c r="B117" s="206" t="s">
        <v>944</v>
      </c>
      <c r="C117" s="206"/>
      <c r="D117" s="206"/>
      <c r="E117" s="206"/>
      <c r="F117" s="206"/>
      <c r="G117" s="206"/>
      <c r="H117" s="206"/>
      <c r="J117" s="106"/>
    </row>
    <row r="118" spans="1:17" s="108" customFormat="1" ht="66.75" customHeight="1" x14ac:dyDescent="0.25">
      <c r="A118" s="107"/>
      <c r="B118" s="207" t="s">
        <v>945</v>
      </c>
      <c r="C118" s="207"/>
      <c r="D118" s="207"/>
      <c r="E118" s="207"/>
      <c r="F118" s="207"/>
      <c r="G118" s="207"/>
      <c r="H118" s="207"/>
      <c r="I118"/>
      <c r="J118" s="106"/>
      <c r="K118"/>
      <c r="L118"/>
      <c r="M118"/>
      <c r="N118"/>
      <c r="O118"/>
      <c r="P118"/>
      <c r="Q118"/>
    </row>
    <row r="119" spans="1:17" ht="12.75" x14ac:dyDescent="0.2">
      <c r="A119" s="104"/>
      <c r="B119" s="206" t="s">
        <v>946</v>
      </c>
      <c r="C119" s="206"/>
      <c r="D119" s="206"/>
      <c r="E119" s="206"/>
      <c r="F119" s="206"/>
      <c r="G119" s="206"/>
      <c r="H119" s="206"/>
      <c r="J119" s="106"/>
    </row>
    <row r="120" spans="1:17" ht="12.75" x14ac:dyDescent="0.2">
      <c r="A120" s="104"/>
      <c r="B120" s="104"/>
      <c r="C120" s="104"/>
      <c r="D120" s="109"/>
      <c r="E120" s="109"/>
      <c r="F120" s="109"/>
      <c r="G120" s="109"/>
    </row>
    <row r="121" spans="1:17" ht="12.75" x14ac:dyDescent="0.2">
      <c r="A121" s="104"/>
      <c r="B121" s="199" t="s">
        <v>170</v>
      </c>
      <c r="C121" s="200"/>
      <c r="D121" s="201"/>
      <c r="E121" s="110"/>
      <c r="F121" s="109"/>
      <c r="G121" s="109"/>
    </row>
    <row r="122" spans="1:17" ht="27.75" customHeight="1" x14ac:dyDescent="0.2">
      <c r="A122" s="104"/>
      <c r="B122" s="202" t="s">
        <v>171</v>
      </c>
      <c r="C122" s="203"/>
      <c r="D122" s="86" t="s">
        <v>172</v>
      </c>
      <c r="E122" s="110"/>
      <c r="F122" s="109"/>
      <c r="G122" s="109"/>
    </row>
    <row r="123" spans="1:17" ht="12.75" customHeight="1" x14ac:dyDescent="0.2">
      <c r="A123" s="104"/>
      <c r="B123" s="202" t="s">
        <v>947</v>
      </c>
      <c r="C123" s="203"/>
      <c r="D123" s="86" t="s">
        <v>172</v>
      </c>
      <c r="E123" s="110"/>
      <c r="F123" s="109"/>
      <c r="G123" s="109"/>
    </row>
    <row r="124" spans="1:17" ht="12.75" x14ac:dyDescent="0.2">
      <c r="A124" s="104"/>
      <c r="B124" s="202" t="s">
        <v>173</v>
      </c>
      <c r="C124" s="203"/>
      <c r="D124" s="111" t="s">
        <v>143</v>
      </c>
      <c r="E124" s="110"/>
      <c r="F124" s="109"/>
      <c r="G124" s="109"/>
    </row>
    <row r="125" spans="1:17" ht="12.75" x14ac:dyDescent="0.2">
      <c r="A125" s="112"/>
      <c r="B125" s="113" t="s">
        <v>143</v>
      </c>
      <c r="C125" s="113" t="s">
        <v>948</v>
      </c>
      <c r="D125" s="113" t="s">
        <v>174</v>
      </c>
      <c r="E125" s="112"/>
      <c r="F125" s="112"/>
      <c r="G125" s="112"/>
      <c r="H125" s="112"/>
      <c r="J125" s="106"/>
    </row>
    <row r="126" spans="1:17" ht="12.75" x14ac:dyDescent="0.2">
      <c r="A126" s="112"/>
      <c r="B126" s="114" t="s">
        <v>175</v>
      </c>
      <c r="C126" s="115">
        <v>45869</v>
      </c>
      <c r="D126" s="115">
        <v>45900</v>
      </c>
      <c r="E126" s="112"/>
      <c r="F126" s="112"/>
      <c r="G126" s="112"/>
      <c r="J126" s="106"/>
    </row>
    <row r="127" spans="1:17" ht="14.25" customHeight="1" x14ac:dyDescent="0.2">
      <c r="A127" s="116"/>
      <c r="B127" s="89" t="s">
        <v>176</v>
      </c>
      <c r="C127" s="117">
        <v>11.0939</v>
      </c>
      <c r="D127" s="117">
        <v>10.9864</v>
      </c>
      <c r="E127" s="116"/>
      <c r="F127" s="118"/>
      <c r="G127" s="119"/>
    </row>
    <row r="128" spans="1:17" ht="14.25" customHeight="1" x14ac:dyDescent="0.2">
      <c r="A128" s="116"/>
      <c r="B128" s="89" t="s">
        <v>954</v>
      </c>
      <c r="C128" s="117">
        <v>11.0939</v>
      </c>
      <c r="D128" s="117">
        <v>10.9864</v>
      </c>
      <c r="E128" s="116"/>
      <c r="F128" s="118"/>
      <c r="G128" s="119"/>
    </row>
    <row r="129" spans="1:7" ht="14.25" customHeight="1" x14ac:dyDescent="0.2">
      <c r="A129" s="116"/>
      <c r="B129" s="89" t="s">
        <v>177</v>
      </c>
      <c r="C129" s="117">
        <v>10.9002</v>
      </c>
      <c r="D129" s="117">
        <v>10.78</v>
      </c>
      <c r="E129" s="116"/>
      <c r="F129" s="118"/>
      <c r="G129" s="119"/>
    </row>
    <row r="130" spans="1:7" ht="14.25" customHeight="1" x14ac:dyDescent="0.2">
      <c r="A130" s="116"/>
      <c r="B130" s="89" t="s">
        <v>955</v>
      </c>
      <c r="C130" s="117">
        <v>10.9002</v>
      </c>
      <c r="D130" s="117">
        <v>10.78</v>
      </c>
      <c r="E130" s="116"/>
      <c r="F130" s="118"/>
      <c r="G130" s="119"/>
    </row>
    <row r="131" spans="1:7" ht="14.25" customHeight="1" x14ac:dyDescent="0.2">
      <c r="A131" s="116"/>
      <c r="B131" s="116"/>
      <c r="C131" s="116"/>
      <c r="D131" s="116"/>
      <c r="E131" s="116"/>
      <c r="F131" s="116"/>
      <c r="G131" s="116"/>
    </row>
    <row r="132" spans="1:7" ht="12.75" x14ac:dyDescent="0.2">
      <c r="A132" s="116"/>
      <c r="B132" s="208" t="s">
        <v>949</v>
      </c>
      <c r="C132" s="209"/>
      <c r="D132" s="94" t="s">
        <v>172</v>
      </c>
      <c r="E132" s="116"/>
      <c r="F132" s="116"/>
      <c r="G132" s="116"/>
    </row>
    <row r="133" spans="1:7" ht="12.75" x14ac:dyDescent="0.2">
      <c r="A133" s="116"/>
      <c r="B133" s="120"/>
      <c r="C133" s="120"/>
      <c r="D133" s="120"/>
      <c r="E133" s="116"/>
      <c r="F133" s="116"/>
      <c r="G133" s="116"/>
    </row>
    <row r="134" spans="1:7" ht="12.75" x14ac:dyDescent="0.2">
      <c r="A134" s="112"/>
      <c r="B134" s="202" t="s">
        <v>178</v>
      </c>
      <c r="C134" s="203"/>
      <c r="D134" s="86" t="s">
        <v>172</v>
      </c>
      <c r="E134" s="121"/>
      <c r="F134" s="112"/>
      <c r="G134" s="112"/>
    </row>
    <row r="135" spans="1:7" ht="12.75" x14ac:dyDescent="0.2">
      <c r="A135" s="112"/>
      <c r="B135" s="202" t="s">
        <v>179</v>
      </c>
      <c r="C135" s="203"/>
      <c r="D135" s="86" t="s">
        <v>172</v>
      </c>
      <c r="E135" s="121"/>
      <c r="F135" s="112"/>
      <c r="G135" s="112"/>
    </row>
    <row r="136" spans="1:7" ht="12.75" customHeight="1" x14ac:dyDescent="0.2">
      <c r="A136" s="112"/>
      <c r="B136" s="202" t="s">
        <v>180</v>
      </c>
      <c r="C136" s="203"/>
      <c r="D136" s="86" t="s">
        <v>172</v>
      </c>
      <c r="E136" s="121"/>
      <c r="F136" s="112"/>
      <c r="G136" s="112"/>
    </row>
    <row r="137" spans="1:7" ht="12.75" x14ac:dyDescent="0.2">
      <c r="A137" s="112"/>
      <c r="B137" s="202" t="s">
        <v>181</v>
      </c>
      <c r="C137" s="203"/>
      <c r="D137" s="122">
        <v>0.38059554576743282</v>
      </c>
      <c r="E137" s="112"/>
      <c r="F137" s="105"/>
      <c r="G137" s="123"/>
    </row>
    <row r="138" spans="1:7" ht="12.75" x14ac:dyDescent="0.2"/>
    <row r="139" spans="1:7" ht="12.75" x14ac:dyDescent="0.2">
      <c r="B139" s="204" t="s">
        <v>950</v>
      </c>
      <c r="C139" s="204"/>
    </row>
    <row r="140" spans="1:7" ht="12.75" x14ac:dyDescent="0.2"/>
    <row r="141" spans="1:7" ht="153.75" customHeight="1" x14ac:dyDescent="0.2"/>
    <row r="142" spans="1:7" ht="12.75" x14ac:dyDescent="0.2"/>
    <row r="143" spans="1:7" ht="12.75" x14ac:dyDescent="0.2"/>
    <row r="144" spans="1:7" ht="12.75" x14ac:dyDescent="0.2">
      <c r="B144" s="124" t="s">
        <v>951</v>
      </c>
      <c r="C144" s="125"/>
      <c r="D144" s="124"/>
    </row>
    <row r="145" spans="2:10" ht="12.75" x14ac:dyDescent="0.2">
      <c r="B145" s="124" t="s">
        <v>1128</v>
      </c>
      <c r="D145" s="124"/>
    </row>
    <row r="146" spans="2:10" ht="165" customHeight="1" x14ac:dyDescent="0.2"/>
    <row r="147" spans="2:10" ht="12.75" x14ac:dyDescent="0.2"/>
    <row r="148" spans="2:10" ht="12.75" x14ac:dyDescent="0.2">
      <c r="J148" s="84"/>
    </row>
    <row r="149" spans="2:10" ht="12.75" x14ac:dyDescent="0.2"/>
    <row r="150" spans="2:10" ht="12.75" x14ac:dyDescent="0.2"/>
    <row r="151" spans="2:10" ht="12.75" x14ac:dyDescent="0.2"/>
    <row r="152" spans="2:10" ht="12.75" x14ac:dyDescent="0.2"/>
    <row r="153" spans="2:10" ht="12.75" x14ac:dyDescent="0.2"/>
    <row r="154" spans="2:10" ht="12.75" x14ac:dyDescent="0.2"/>
    <row r="155" spans="2:10" ht="12.75" x14ac:dyDescent="0.2"/>
    <row r="156" spans="2:10" ht="12.75" x14ac:dyDescent="0.2"/>
    <row r="157" spans="2:10" ht="12.75" x14ac:dyDescent="0.2"/>
    <row r="158" spans="2:10" ht="12.75" x14ac:dyDescent="0.2"/>
  </sheetData>
  <mergeCells count="18">
    <mergeCell ref="B118:H118"/>
    <mergeCell ref="B119:H119"/>
    <mergeCell ref="B121:D121"/>
    <mergeCell ref="B122:C122"/>
    <mergeCell ref="B139:C139"/>
    <mergeCell ref="A1:H1"/>
    <mergeCell ref="A2:H2"/>
    <mergeCell ref="A3:H3"/>
    <mergeCell ref="B132:C132"/>
    <mergeCell ref="B136:C136"/>
    <mergeCell ref="B137:C137"/>
    <mergeCell ref="B115:H115"/>
    <mergeCell ref="B116:H116"/>
    <mergeCell ref="B123:C123"/>
    <mergeCell ref="B124:C124"/>
    <mergeCell ref="B134:C134"/>
    <mergeCell ref="B135:C135"/>
    <mergeCell ref="B117:H117"/>
  </mergeCells>
  <hyperlinks>
    <hyperlink ref="I1" location="Index!B2" display="Index" xr:uid="{50988FF2-84F6-40D2-90CA-64CB5E21B349}"/>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E3C72-47F9-412F-A975-1C628F74B7AF}">
  <sheetPr>
    <outlinePr summaryBelow="0" summaryRight="0"/>
  </sheetPr>
  <dimension ref="A1:Q168"/>
  <sheetViews>
    <sheetView showGridLines="0" workbookViewId="0">
      <selection sqref="A1:H1"/>
    </sheetView>
  </sheetViews>
  <sheetFormatPr defaultRowHeight="14.25" customHeight="1" x14ac:dyDescent="0.2"/>
  <cols>
    <col min="1" max="1" width="5.85546875" bestFit="1" customWidth="1"/>
    <col min="2" max="2" width="19.7109375" customWidth="1"/>
    <col min="3" max="3" width="44.5703125" bestFit="1" customWidth="1"/>
    <col min="4" max="4" width="29.28515625" bestFit="1" customWidth="1"/>
    <col min="5" max="5" width="11.4257812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835</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321</v>
      </c>
      <c r="C7" s="89" t="s">
        <v>322</v>
      </c>
      <c r="D7" s="89" t="s">
        <v>33</v>
      </c>
      <c r="E7" s="90">
        <v>1992000</v>
      </c>
      <c r="F7" s="91">
        <v>18955.871999999999</v>
      </c>
      <c r="G7" s="92">
        <v>9.1614699999999993E-2</v>
      </c>
      <c r="H7" s="87" t="s">
        <v>143</v>
      </c>
    </row>
    <row r="8" spans="1:9" ht="14.25" customHeight="1" x14ac:dyDescent="0.2">
      <c r="A8" s="88">
        <v>2</v>
      </c>
      <c r="B8" s="89" t="s">
        <v>31</v>
      </c>
      <c r="C8" s="89" t="s">
        <v>32</v>
      </c>
      <c r="D8" s="89" t="s">
        <v>33</v>
      </c>
      <c r="E8" s="90">
        <v>1151000</v>
      </c>
      <c r="F8" s="91">
        <v>16088.678</v>
      </c>
      <c r="G8" s="92">
        <v>7.7757400000000004E-2</v>
      </c>
      <c r="H8" s="87" t="s">
        <v>143</v>
      </c>
    </row>
    <row r="9" spans="1:9" ht="14.25" customHeight="1" x14ac:dyDescent="0.2">
      <c r="A9" s="88">
        <v>3</v>
      </c>
      <c r="B9" s="89" t="s">
        <v>17</v>
      </c>
      <c r="C9" s="89" t="s">
        <v>18</v>
      </c>
      <c r="D9" s="89" t="s">
        <v>19</v>
      </c>
      <c r="E9" s="90">
        <v>682000</v>
      </c>
      <c r="F9" s="91">
        <v>9256.1039999999994</v>
      </c>
      <c r="G9" s="92">
        <v>4.4735219999999999E-2</v>
      </c>
      <c r="H9" s="87" t="s">
        <v>143</v>
      </c>
    </row>
    <row r="10" spans="1:9" ht="14.25" customHeight="1" x14ac:dyDescent="0.2">
      <c r="A10" s="88">
        <v>4</v>
      </c>
      <c r="B10" s="89" t="s">
        <v>325</v>
      </c>
      <c r="C10" s="89" t="s">
        <v>326</v>
      </c>
      <c r="D10" s="89" t="s">
        <v>199</v>
      </c>
      <c r="E10" s="90">
        <v>468500</v>
      </c>
      <c r="F10" s="91">
        <v>6885.076</v>
      </c>
      <c r="G10" s="92">
        <v>3.327592E-2</v>
      </c>
      <c r="H10" s="87" t="s">
        <v>143</v>
      </c>
    </row>
    <row r="11" spans="1:9" ht="14.25" customHeight="1" x14ac:dyDescent="0.2">
      <c r="A11" s="88">
        <v>5</v>
      </c>
      <c r="B11" s="89" t="s">
        <v>14</v>
      </c>
      <c r="C11" s="89" t="s">
        <v>15</v>
      </c>
      <c r="D11" s="89" t="s">
        <v>16</v>
      </c>
      <c r="E11" s="90">
        <v>190000</v>
      </c>
      <c r="F11" s="91">
        <v>6841.9</v>
      </c>
      <c r="G11" s="92">
        <v>3.3067249999999999E-2</v>
      </c>
      <c r="H11" s="87" t="s">
        <v>143</v>
      </c>
    </row>
    <row r="12" spans="1:9" ht="14.25" customHeight="1" x14ac:dyDescent="0.2">
      <c r="A12" s="88">
        <v>6</v>
      </c>
      <c r="B12" s="89" t="s">
        <v>49</v>
      </c>
      <c r="C12" s="89" t="s">
        <v>50</v>
      </c>
      <c r="D12" s="89" t="s">
        <v>33</v>
      </c>
      <c r="E12" s="90">
        <v>796000</v>
      </c>
      <c r="F12" s="91">
        <v>6387.9</v>
      </c>
      <c r="G12" s="92">
        <v>3.0873049999999999E-2</v>
      </c>
      <c r="H12" s="87" t="s">
        <v>143</v>
      </c>
    </row>
    <row r="13" spans="1:9" ht="14.25" customHeight="1" x14ac:dyDescent="0.2">
      <c r="A13" s="88">
        <v>7</v>
      </c>
      <c r="B13" s="89" t="s">
        <v>327</v>
      </c>
      <c r="C13" s="89" t="s">
        <v>328</v>
      </c>
      <c r="D13" s="89" t="s">
        <v>33</v>
      </c>
      <c r="E13" s="90">
        <v>610000</v>
      </c>
      <c r="F13" s="91">
        <v>6375.72</v>
      </c>
      <c r="G13" s="92">
        <v>3.081418E-2</v>
      </c>
      <c r="H13" s="87" t="s">
        <v>143</v>
      </c>
    </row>
    <row r="14" spans="1:9" ht="14.25" customHeight="1" x14ac:dyDescent="0.2">
      <c r="A14" s="88">
        <v>8</v>
      </c>
      <c r="B14" s="89" t="s">
        <v>11</v>
      </c>
      <c r="C14" s="89" t="s">
        <v>12</v>
      </c>
      <c r="D14" s="89" t="s">
        <v>13</v>
      </c>
      <c r="E14" s="90">
        <v>336000</v>
      </c>
      <c r="F14" s="91">
        <v>6346.3680000000004</v>
      </c>
      <c r="G14" s="92">
        <v>3.0672319999999999E-2</v>
      </c>
      <c r="H14" s="87" t="s">
        <v>143</v>
      </c>
    </row>
    <row r="15" spans="1:9" ht="14.25" customHeight="1" x14ac:dyDescent="0.2">
      <c r="A15" s="88">
        <v>9</v>
      </c>
      <c r="B15" s="89" t="s">
        <v>427</v>
      </c>
      <c r="C15" s="89" t="s">
        <v>428</v>
      </c>
      <c r="D15" s="89" t="s">
        <v>429</v>
      </c>
      <c r="E15" s="90">
        <v>1440000</v>
      </c>
      <c r="F15" s="91">
        <v>5900.4</v>
      </c>
      <c r="G15" s="92">
        <v>2.8516929999999999E-2</v>
      </c>
      <c r="H15" s="87" t="s">
        <v>143</v>
      </c>
    </row>
    <row r="16" spans="1:9" ht="14.25" customHeight="1" x14ac:dyDescent="0.2">
      <c r="A16" s="88">
        <v>10</v>
      </c>
      <c r="B16" s="89" t="s">
        <v>323</v>
      </c>
      <c r="C16" s="89" t="s">
        <v>324</v>
      </c>
      <c r="D16" s="89" t="s">
        <v>33</v>
      </c>
      <c r="E16" s="90">
        <v>300000</v>
      </c>
      <c r="F16" s="91">
        <v>5880.9</v>
      </c>
      <c r="G16" s="92">
        <v>2.842269E-2</v>
      </c>
      <c r="H16" s="87" t="s">
        <v>143</v>
      </c>
    </row>
    <row r="17" spans="1:8" ht="14.25" customHeight="1" x14ac:dyDescent="0.2">
      <c r="A17" s="88">
        <v>11</v>
      </c>
      <c r="B17" s="89" t="s">
        <v>23</v>
      </c>
      <c r="C17" s="89" t="s">
        <v>24</v>
      </c>
      <c r="D17" s="89" t="s">
        <v>25</v>
      </c>
      <c r="E17" s="90">
        <v>42000</v>
      </c>
      <c r="F17" s="91">
        <v>5308.8</v>
      </c>
      <c r="G17" s="92">
        <v>2.5657699999999999E-2</v>
      </c>
      <c r="H17" s="87" t="s">
        <v>143</v>
      </c>
    </row>
    <row r="18" spans="1:8" ht="14.25" customHeight="1" x14ac:dyDescent="0.2">
      <c r="A18" s="88">
        <v>12</v>
      </c>
      <c r="B18" s="89" t="s">
        <v>505</v>
      </c>
      <c r="C18" s="89" t="s">
        <v>506</v>
      </c>
      <c r="D18" s="89" t="s">
        <v>243</v>
      </c>
      <c r="E18" s="90">
        <v>32000</v>
      </c>
      <c r="F18" s="91">
        <v>4733.12</v>
      </c>
      <c r="G18" s="92">
        <v>2.2875409999999999E-2</v>
      </c>
      <c r="H18" s="87" t="s">
        <v>143</v>
      </c>
    </row>
    <row r="19" spans="1:8" ht="14.25" customHeight="1" x14ac:dyDescent="0.2">
      <c r="A19" s="88">
        <v>13</v>
      </c>
      <c r="B19" s="89" t="s">
        <v>800</v>
      </c>
      <c r="C19" s="89" t="s">
        <v>801</v>
      </c>
      <c r="D19" s="89" t="s">
        <v>243</v>
      </c>
      <c r="E19" s="90">
        <v>21000</v>
      </c>
      <c r="F19" s="91">
        <v>4090.17</v>
      </c>
      <c r="G19" s="92">
        <v>1.9768000000000001E-2</v>
      </c>
      <c r="H19" s="87" t="s">
        <v>143</v>
      </c>
    </row>
    <row r="20" spans="1:8" ht="14.25" customHeight="1" x14ac:dyDescent="0.2">
      <c r="A20" s="88">
        <v>14</v>
      </c>
      <c r="B20" s="89" t="s">
        <v>445</v>
      </c>
      <c r="C20" s="89" t="s">
        <v>446</v>
      </c>
      <c r="D20" s="89" t="s">
        <v>429</v>
      </c>
      <c r="E20" s="90">
        <v>125000</v>
      </c>
      <c r="F20" s="91">
        <v>3324.75</v>
      </c>
      <c r="G20" s="92">
        <v>1.606869E-2</v>
      </c>
      <c r="H20" s="87" t="s">
        <v>143</v>
      </c>
    </row>
    <row r="21" spans="1:8" ht="14.25" customHeight="1" x14ac:dyDescent="0.2">
      <c r="A21" s="88">
        <v>15</v>
      </c>
      <c r="B21" s="89" t="s">
        <v>744</v>
      </c>
      <c r="C21" s="89" t="s">
        <v>745</v>
      </c>
      <c r="D21" s="89" t="s">
        <v>188</v>
      </c>
      <c r="E21" s="90">
        <v>150000</v>
      </c>
      <c r="F21" s="91">
        <v>3282.75</v>
      </c>
      <c r="G21" s="92">
        <v>1.58657E-2</v>
      </c>
      <c r="H21" s="87" t="s">
        <v>143</v>
      </c>
    </row>
    <row r="22" spans="1:8" ht="14.25" customHeight="1" x14ac:dyDescent="0.2">
      <c r="A22" s="88">
        <v>16</v>
      </c>
      <c r="B22" s="89" t="s">
        <v>347</v>
      </c>
      <c r="C22" s="89" t="s">
        <v>348</v>
      </c>
      <c r="D22" s="89" t="s">
        <v>194</v>
      </c>
      <c r="E22" s="90">
        <v>202000</v>
      </c>
      <c r="F22" s="91">
        <v>3220.89</v>
      </c>
      <c r="G22" s="92">
        <v>1.5566730000000001E-2</v>
      </c>
      <c r="H22" s="87" t="s">
        <v>143</v>
      </c>
    </row>
    <row r="23" spans="1:8" ht="14.25" customHeight="1" x14ac:dyDescent="0.2">
      <c r="A23" s="88">
        <v>17</v>
      </c>
      <c r="B23" s="89" t="s">
        <v>439</v>
      </c>
      <c r="C23" s="89" t="s">
        <v>440</v>
      </c>
      <c r="D23" s="89" t="s">
        <v>194</v>
      </c>
      <c r="E23" s="90">
        <v>202000</v>
      </c>
      <c r="F23" s="91">
        <v>3210.5880000000002</v>
      </c>
      <c r="G23" s="92">
        <v>1.551694E-2</v>
      </c>
      <c r="H23" s="87" t="s">
        <v>143</v>
      </c>
    </row>
    <row r="24" spans="1:8" ht="14.25" customHeight="1" x14ac:dyDescent="0.2">
      <c r="A24" s="88">
        <v>18</v>
      </c>
      <c r="B24" s="89" t="s">
        <v>766</v>
      </c>
      <c r="C24" s="89" t="s">
        <v>767</v>
      </c>
      <c r="D24" s="89" t="s">
        <v>275</v>
      </c>
      <c r="E24" s="90">
        <v>750000</v>
      </c>
      <c r="F24" s="91">
        <v>3073.125</v>
      </c>
      <c r="G24" s="92">
        <v>1.4852570000000001E-2</v>
      </c>
      <c r="H24" s="87" t="s">
        <v>143</v>
      </c>
    </row>
    <row r="25" spans="1:8" ht="14.25" customHeight="1" x14ac:dyDescent="0.2">
      <c r="A25" s="88">
        <v>19</v>
      </c>
      <c r="B25" s="89" t="s">
        <v>89</v>
      </c>
      <c r="C25" s="89" t="s">
        <v>90</v>
      </c>
      <c r="D25" s="89" t="s">
        <v>53</v>
      </c>
      <c r="E25" s="90">
        <v>629000</v>
      </c>
      <c r="F25" s="91">
        <v>2944.0345000000002</v>
      </c>
      <c r="G25" s="92">
        <v>1.4228670000000001E-2</v>
      </c>
      <c r="H25" s="87" t="s">
        <v>143</v>
      </c>
    </row>
    <row r="26" spans="1:8" ht="14.25" customHeight="1" x14ac:dyDescent="0.2">
      <c r="A26" s="88">
        <v>20</v>
      </c>
      <c r="B26" s="89" t="s">
        <v>246</v>
      </c>
      <c r="C26" s="89" t="s">
        <v>247</v>
      </c>
      <c r="D26" s="89" t="s">
        <v>194</v>
      </c>
      <c r="E26" s="90">
        <v>53000</v>
      </c>
      <c r="F26" s="91">
        <v>2810.855</v>
      </c>
      <c r="G26" s="92">
        <v>1.358501E-2</v>
      </c>
      <c r="H26" s="87" t="s">
        <v>143</v>
      </c>
    </row>
    <row r="27" spans="1:8" ht="14.25" customHeight="1" x14ac:dyDescent="0.2">
      <c r="A27" s="88">
        <v>21</v>
      </c>
      <c r="B27" s="89" t="s">
        <v>351</v>
      </c>
      <c r="C27" s="89" t="s">
        <v>352</v>
      </c>
      <c r="D27" s="89" t="s">
        <v>191</v>
      </c>
      <c r="E27" s="90">
        <v>191000</v>
      </c>
      <c r="F27" s="91">
        <v>2713.5369999999998</v>
      </c>
      <c r="G27" s="92">
        <v>1.311466E-2</v>
      </c>
      <c r="H27" s="87" t="s">
        <v>143</v>
      </c>
    </row>
    <row r="28" spans="1:8" ht="14.25" customHeight="1" x14ac:dyDescent="0.2">
      <c r="A28" s="88">
        <v>22</v>
      </c>
      <c r="B28" s="89" t="s">
        <v>343</v>
      </c>
      <c r="C28" s="89" t="s">
        <v>344</v>
      </c>
      <c r="D28" s="89" t="s">
        <v>275</v>
      </c>
      <c r="E28" s="90">
        <v>863000</v>
      </c>
      <c r="F28" s="91">
        <v>2709.3885</v>
      </c>
      <c r="G28" s="92">
        <v>1.309461E-2</v>
      </c>
      <c r="H28" s="87" t="s">
        <v>143</v>
      </c>
    </row>
    <row r="29" spans="1:8" ht="14.25" customHeight="1" x14ac:dyDescent="0.2">
      <c r="A29" s="88">
        <v>23</v>
      </c>
      <c r="B29" s="89" t="s">
        <v>509</v>
      </c>
      <c r="C29" s="89" t="s">
        <v>510</v>
      </c>
      <c r="D29" s="89" t="s">
        <v>232</v>
      </c>
      <c r="E29" s="90">
        <v>200000</v>
      </c>
      <c r="F29" s="91">
        <v>2622</v>
      </c>
      <c r="G29" s="92">
        <v>1.2672259999999999E-2</v>
      </c>
      <c r="H29" s="87" t="s">
        <v>143</v>
      </c>
    </row>
    <row r="30" spans="1:8" ht="14.25" customHeight="1" x14ac:dyDescent="0.2">
      <c r="A30" s="88">
        <v>24</v>
      </c>
      <c r="B30" s="89" t="s">
        <v>78</v>
      </c>
      <c r="C30" s="89" t="s">
        <v>79</v>
      </c>
      <c r="D30" s="89" t="s">
        <v>80</v>
      </c>
      <c r="E30" s="90">
        <v>1498000</v>
      </c>
      <c r="F30" s="91">
        <v>2592.5886</v>
      </c>
      <c r="G30" s="92">
        <v>1.2530110000000001E-2</v>
      </c>
      <c r="H30" s="87" t="s">
        <v>143</v>
      </c>
    </row>
    <row r="31" spans="1:8" ht="14.25" customHeight="1" x14ac:dyDescent="0.2">
      <c r="A31" s="88">
        <v>25</v>
      </c>
      <c r="B31" s="89" t="s">
        <v>802</v>
      </c>
      <c r="C31" s="89" t="s">
        <v>803</v>
      </c>
      <c r="D31" s="89" t="s">
        <v>185</v>
      </c>
      <c r="E31" s="90">
        <v>362000</v>
      </c>
      <c r="F31" s="91">
        <v>2591.0149999999999</v>
      </c>
      <c r="G31" s="92">
        <v>1.2522510000000001E-2</v>
      </c>
      <c r="H31" s="87" t="s">
        <v>143</v>
      </c>
    </row>
    <row r="32" spans="1:8" ht="14.25" customHeight="1" x14ac:dyDescent="0.2">
      <c r="A32" s="88">
        <v>26</v>
      </c>
      <c r="B32" s="89" t="s">
        <v>99</v>
      </c>
      <c r="C32" s="89" t="s">
        <v>100</v>
      </c>
      <c r="D32" s="89" t="s">
        <v>25</v>
      </c>
      <c r="E32" s="90">
        <v>460000</v>
      </c>
      <c r="F32" s="91">
        <v>2590.7199999999998</v>
      </c>
      <c r="G32" s="92">
        <v>1.252108E-2</v>
      </c>
      <c r="H32" s="87" t="s">
        <v>143</v>
      </c>
    </row>
    <row r="33" spans="1:8" ht="14.25" customHeight="1" x14ac:dyDescent="0.2">
      <c r="A33" s="88">
        <v>27</v>
      </c>
      <c r="B33" s="89" t="s">
        <v>205</v>
      </c>
      <c r="C33" s="89" t="s">
        <v>206</v>
      </c>
      <c r="D33" s="89" t="s">
        <v>207</v>
      </c>
      <c r="E33" s="90">
        <v>410000</v>
      </c>
      <c r="F33" s="91">
        <v>2573.7750000000001</v>
      </c>
      <c r="G33" s="92">
        <v>1.2439189999999999E-2</v>
      </c>
      <c r="H33" s="87" t="s">
        <v>143</v>
      </c>
    </row>
    <row r="34" spans="1:8" ht="14.25" customHeight="1" x14ac:dyDescent="0.2">
      <c r="A34" s="88">
        <v>28</v>
      </c>
      <c r="B34" s="89" t="s">
        <v>20</v>
      </c>
      <c r="C34" s="89" t="s">
        <v>21</v>
      </c>
      <c r="D34" s="89" t="s">
        <v>22</v>
      </c>
      <c r="E34" s="90">
        <v>775000</v>
      </c>
      <c r="F34" s="91">
        <v>2538.5124999999998</v>
      </c>
      <c r="G34" s="92">
        <v>1.226876E-2</v>
      </c>
      <c r="H34" s="87" t="s">
        <v>143</v>
      </c>
    </row>
    <row r="35" spans="1:8" ht="14.25" customHeight="1" x14ac:dyDescent="0.2">
      <c r="A35" s="88">
        <v>29</v>
      </c>
      <c r="B35" s="89" t="s">
        <v>349</v>
      </c>
      <c r="C35" s="89" t="s">
        <v>350</v>
      </c>
      <c r="D35" s="89" t="s">
        <v>232</v>
      </c>
      <c r="E35" s="90">
        <v>516000</v>
      </c>
      <c r="F35" s="91">
        <v>2513.694</v>
      </c>
      <c r="G35" s="92">
        <v>1.2148809999999999E-2</v>
      </c>
      <c r="H35" s="87" t="s">
        <v>143</v>
      </c>
    </row>
    <row r="36" spans="1:8" ht="14.25" customHeight="1" x14ac:dyDescent="0.2">
      <c r="A36" s="88">
        <v>30</v>
      </c>
      <c r="B36" s="89" t="s">
        <v>515</v>
      </c>
      <c r="C36" s="89" t="s">
        <v>516</v>
      </c>
      <c r="D36" s="89" t="s">
        <v>199</v>
      </c>
      <c r="E36" s="90">
        <v>168601</v>
      </c>
      <c r="F36" s="91">
        <v>2497.6552139999999</v>
      </c>
      <c r="G36" s="92">
        <v>1.20713E-2</v>
      </c>
      <c r="H36" s="87" t="s">
        <v>143</v>
      </c>
    </row>
    <row r="37" spans="1:8" ht="14.25" customHeight="1" x14ac:dyDescent="0.2">
      <c r="A37" s="88">
        <v>31</v>
      </c>
      <c r="B37" s="89" t="s">
        <v>51</v>
      </c>
      <c r="C37" s="89" t="s">
        <v>52</v>
      </c>
      <c r="D37" s="89" t="s">
        <v>53</v>
      </c>
      <c r="E37" s="90">
        <v>43308</v>
      </c>
      <c r="F37" s="91">
        <v>2445.16968</v>
      </c>
      <c r="G37" s="92">
        <v>1.1817630000000001E-2</v>
      </c>
      <c r="H37" s="87" t="s">
        <v>143</v>
      </c>
    </row>
    <row r="38" spans="1:8" ht="14.25" customHeight="1" x14ac:dyDescent="0.2">
      <c r="A38" s="88">
        <v>32</v>
      </c>
      <c r="B38" s="89" t="s">
        <v>71</v>
      </c>
      <c r="C38" s="89" t="s">
        <v>72</v>
      </c>
      <c r="D38" s="89" t="s">
        <v>68</v>
      </c>
      <c r="E38" s="90">
        <v>63000</v>
      </c>
      <c r="F38" s="91">
        <v>2410.5059999999999</v>
      </c>
      <c r="G38" s="92">
        <v>1.16501E-2</v>
      </c>
      <c r="H38" s="87" t="s">
        <v>143</v>
      </c>
    </row>
    <row r="39" spans="1:8" ht="14.25" customHeight="1" x14ac:dyDescent="0.2">
      <c r="A39" s="88">
        <v>33</v>
      </c>
      <c r="B39" s="89" t="s">
        <v>34</v>
      </c>
      <c r="C39" s="89" t="s">
        <v>35</v>
      </c>
      <c r="D39" s="89" t="s">
        <v>36</v>
      </c>
      <c r="E39" s="90">
        <v>85000</v>
      </c>
      <c r="F39" s="91">
        <v>2362.3200000000002</v>
      </c>
      <c r="G39" s="92">
        <v>1.1417210000000001E-2</v>
      </c>
      <c r="H39" s="87" t="s">
        <v>143</v>
      </c>
    </row>
    <row r="40" spans="1:8" ht="14.25" customHeight="1" x14ac:dyDescent="0.2">
      <c r="A40" s="88">
        <v>34</v>
      </c>
      <c r="B40" s="89" t="s">
        <v>730</v>
      </c>
      <c r="C40" s="89" t="s">
        <v>731</v>
      </c>
      <c r="D40" s="89" t="s">
        <v>188</v>
      </c>
      <c r="E40" s="90">
        <v>31000</v>
      </c>
      <c r="F40" s="91">
        <v>2359.1</v>
      </c>
      <c r="G40" s="92">
        <v>1.1401649999999999E-2</v>
      </c>
      <c r="H40" s="87" t="s">
        <v>143</v>
      </c>
    </row>
    <row r="41" spans="1:8" ht="14.25" customHeight="1" x14ac:dyDescent="0.2">
      <c r="A41" s="88">
        <v>35</v>
      </c>
      <c r="B41" s="89" t="s">
        <v>257</v>
      </c>
      <c r="C41" s="89" t="s">
        <v>258</v>
      </c>
      <c r="D41" s="89" t="s">
        <v>207</v>
      </c>
      <c r="E41" s="90">
        <v>1334000</v>
      </c>
      <c r="F41" s="91">
        <v>2324.0947999999999</v>
      </c>
      <c r="G41" s="92">
        <v>1.123247E-2</v>
      </c>
      <c r="H41" s="87" t="s">
        <v>143</v>
      </c>
    </row>
    <row r="42" spans="1:8" ht="14.25" customHeight="1" x14ac:dyDescent="0.2">
      <c r="A42" s="88">
        <v>36</v>
      </c>
      <c r="B42" s="89" t="s">
        <v>291</v>
      </c>
      <c r="C42" s="89" t="s">
        <v>292</v>
      </c>
      <c r="D42" s="89" t="s">
        <v>288</v>
      </c>
      <c r="E42" s="90">
        <v>395894</v>
      </c>
      <c r="F42" s="91">
        <v>2270.847984</v>
      </c>
      <c r="G42" s="92">
        <v>1.097512E-2</v>
      </c>
      <c r="H42" s="87" t="s">
        <v>143</v>
      </c>
    </row>
    <row r="43" spans="1:8" ht="14.25" customHeight="1" x14ac:dyDescent="0.2">
      <c r="A43" s="88">
        <v>37</v>
      </c>
      <c r="B43" s="89" t="s">
        <v>331</v>
      </c>
      <c r="C43" s="89" t="s">
        <v>332</v>
      </c>
      <c r="D43" s="89" t="s">
        <v>243</v>
      </c>
      <c r="E43" s="90">
        <v>70000</v>
      </c>
      <c r="F43" s="91">
        <v>2239.65</v>
      </c>
      <c r="G43" s="92">
        <v>1.082434E-2</v>
      </c>
      <c r="H43" s="87" t="s">
        <v>143</v>
      </c>
    </row>
    <row r="44" spans="1:8" ht="14.25" customHeight="1" x14ac:dyDescent="0.2">
      <c r="A44" s="88">
        <v>38</v>
      </c>
      <c r="B44" s="89" t="s">
        <v>517</v>
      </c>
      <c r="C44" s="89" t="s">
        <v>518</v>
      </c>
      <c r="D44" s="89" t="s">
        <v>43</v>
      </c>
      <c r="E44" s="90">
        <v>223000</v>
      </c>
      <c r="F44" s="91">
        <v>2208.2575000000002</v>
      </c>
      <c r="G44" s="92">
        <v>1.0672620000000001E-2</v>
      </c>
      <c r="H44" s="87" t="s">
        <v>143</v>
      </c>
    </row>
    <row r="45" spans="1:8" ht="14.25" customHeight="1" x14ac:dyDescent="0.2">
      <c r="A45" s="88">
        <v>39</v>
      </c>
      <c r="B45" s="89" t="s">
        <v>97</v>
      </c>
      <c r="C45" s="89" t="s">
        <v>98</v>
      </c>
      <c r="D45" s="89" t="s">
        <v>68</v>
      </c>
      <c r="E45" s="90">
        <v>243500</v>
      </c>
      <c r="F45" s="91">
        <v>2187.7257500000001</v>
      </c>
      <c r="G45" s="92">
        <v>1.057339E-2</v>
      </c>
      <c r="H45" s="87" t="s">
        <v>143</v>
      </c>
    </row>
    <row r="46" spans="1:8" ht="14.25" customHeight="1" x14ac:dyDescent="0.2">
      <c r="A46" s="88">
        <v>40</v>
      </c>
      <c r="B46" s="89" t="s">
        <v>441</v>
      </c>
      <c r="C46" s="89" t="s">
        <v>442</v>
      </c>
      <c r="D46" s="89" t="s">
        <v>204</v>
      </c>
      <c r="E46" s="90">
        <v>193000</v>
      </c>
      <c r="F46" s="91">
        <v>2056.2220000000002</v>
      </c>
      <c r="G46" s="92">
        <v>9.9378299999999999E-3</v>
      </c>
      <c r="H46" s="87" t="s">
        <v>143</v>
      </c>
    </row>
    <row r="47" spans="1:8" ht="14.25" customHeight="1" x14ac:dyDescent="0.2">
      <c r="A47" s="88">
        <v>41</v>
      </c>
      <c r="B47" s="89" t="s">
        <v>91</v>
      </c>
      <c r="C47" s="89" t="s">
        <v>92</v>
      </c>
      <c r="D47" s="89" t="s">
        <v>22</v>
      </c>
      <c r="E47" s="90">
        <v>154000</v>
      </c>
      <c r="F47" s="91">
        <v>1890.0419999999999</v>
      </c>
      <c r="G47" s="92">
        <v>9.1346699999999992E-3</v>
      </c>
      <c r="H47" s="87" t="s">
        <v>143</v>
      </c>
    </row>
    <row r="48" spans="1:8" ht="14.25" customHeight="1" x14ac:dyDescent="0.2">
      <c r="A48" s="88">
        <v>42</v>
      </c>
      <c r="B48" s="89" t="s">
        <v>742</v>
      </c>
      <c r="C48" s="89" t="s">
        <v>743</v>
      </c>
      <c r="D48" s="89" t="s">
        <v>46</v>
      </c>
      <c r="E48" s="90">
        <v>99875</v>
      </c>
      <c r="F48" s="91">
        <v>1879.3478749999999</v>
      </c>
      <c r="G48" s="92">
        <v>9.0829799999999992E-3</v>
      </c>
      <c r="H48" s="87" t="s">
        <v>143</v>
      </c>
    </row>
    <row r="49" spans="1:8" ht="14.25" customHeight="1" x14ac:dyDescent="0.2">
      <c r="A49" s="88">
        <v>43</v>
      </c>
      <c r="B49" s="89" t="s">
        <v>449</v>
      </c>
      <c r="C49" s="89" t="s">
        <v>450</v>
      </c>
      <c r="D49" s="89" t="s">
        <v>33</v>
      </c>
      <c r="E49" s="90">
        <v>254000</v>
      </c>
      <c r="F49" s="91">
        <v>1878.33</v>
      </c>
      <c r="G49" s="92">
        <v>9.0780700000000006E-3</v>
      </c>
      <c r="H49" s="87" t="s">
        <v>143</v>
      </c>
    </row>
    <row r="50" spans="1:8" ht="14.25" customHeight="1" x14ac:dyDescent="0.2">
      <c r="A50" s="88">
        <v>44</v>
      </c>
      <c r="B50" s="89" t="s">
        <v>266</v>
      </c>
      <c r="C50" s="89" t="s">
        <v>267</v>
      </c>
      <c r="D50" s="89" t="s">
        <v>268</v>
      </c>
      <c r="E50" s="90">
        <v>105000</v>
      </c>
      <c r="F50" s="91">
        <v>1877.2950000000001</v>
      </c>
      <c r="G50" s="92">
        <v>9.0730600000000008E-3</v>
      </c>
      <c r="H50" s="87" t="s">
        <v>143</v>
      </c>
    </row>
    <row r="51" spans="1:8" ht="14.25" customHeight="1" x14ac:dyDescent="0.2">
      <c r="A51" s="88">
        <v>45</v>
      </c>
      <c r="B51" s="89" t="s">
        <v>341</v>
      </c>
      <c r="C51" s="89" t="s">
        <v>342</v>
      </c>
      <c r="D51" s="89" t="s">
        <v>256</v>
      </c>
      <c r="E51" s="90">
        <v>97186</v>
      </c>
      <c r="F51" s="91">
        <v>1853.920136</v>
      </c>
      <c r="G51" s="92">
        <v>8.9600900000000004E-3</v>
      </c>
      <c r="H51" s="87" t="s">
        <v>143</v>
      </c>
    </row>
    <row r="52" spans="1:8" ht="14.25" customHeight="1" x14ac:dyDescent="0.2">
      <c r="A52" s="88">
        <v>46</v>
      </c>
      <c r="B52" s="89" t="s">
        <v>425</v>
      </c>
      <c r="C52" s="89" t="s">
        <v>426</v>
      </c>
      <c r="D52" s="89" t="s">
        <v>243</v>
      </c>
      <c r="E52" s="90">
        <v>250000</v>
      </c>
      <c r="F52" s="91">
        <v>1672.5</v>
      </c>
      <c r="G52" s="92">
        <v>8.08328E-3</v>
      </c>
      <c r="H52" s="87" t="s">
        <v>143</v>
      </c>
    </row>
    <row r="53" spans="1:8" ht="14.25" customHeight="1" x14ac:dyDescent="0.2">
      <c r="A53" s="88">
        <v>47</v>
      </c>
      <c r="B53" s="89" t="s">
        <v>131</v>
      </c>
      <c r="C53" s="89" t="s">
        <v>132</v>
      </c>
      <c r="D53" s="89" t="s">
        <v>133</v>
      </c>
      <c r="E53" s="90">
        <v>397000</v>
      </c>
      <c r="F53" s="91">
        <v>1553.461</v>
      </c>
      <c r="G53" s="92">
        <v>7.5079600000000002E-3</v>
      </c>
      <c r="H53" s="87" t="s">
        <v>143</v>
      </c>
    </row>
    <row r="54" spans="1:8" ht="14.25" customHeight="1" x14ac:dyDescent="0.2">
      <c r="A54" s="88">
        <v>48</v>
      </c>
      <c r="B54" s="89" t="s">
        <v>212</v>
      </c>
      <c r="C54" s="89" t="s">
        <v>213</v>
      </c>
      <c r="D54" s="89" t="s">
        <v>33</v>
      </c>
      <c r="E54" s="90">
        <v>765456</v>
      </c>
      <c r="F54" s="91">
        <v>1467.4556975999999</v>
      </c>
      <c r="G54" s="92">
        <v>7.0922900000000002E-3</v>
      </c>
      <c r="H54" s="87" t="s">
        <v>143</v>
      </c>
    </row>
    <row r="55" spans="1:8" ht="14.25" customHeight="1" x14ac:dyDescent="0.2">
      <c r="A55" s="88">
        <v>49</v>
      </c>
      <c r="B55" s="89" t="s">
        <v>804</v>
      </c>
      <c r="C55" s="89" t="s">
        <v>805</v>
      </c>
      <c r="D55" s="89" t="s">
        <v>46</v>
      </c>
      <c r="E55" s="90">
        <v>117645</v>
      </c>
      <c r="F55" s="91">
        <v>1423.0339200000001</v>
      </c>
      <c r="G55" s="92">
        <v>6.8776000000000002E-3</v>
      </c>
      <c r="H55" s="87" t="s">
        <v>143</v>
      </c>
    </row>
    <row r="56" spans="1:8" ht="14.25" customHeight="1" x14ac:dyDescent="0.2">
      <c r="A56" s="88">
        <v>50</v>
      </c>
      <c r="B56" s="89" t="s">
        <v>463</v>
      </c>
      <c r="C56" s="89" t="s">
        <v>464</v>
      </c>
      <c r="D56" s="89" t="s">
        <v>194</v>
      </c>
      <c r="E56" s="90">
        <v>8235</v>
      </c>
      <c r="F56" s="91">
        <v>1108.0192500000001</v>
      </c>
      <c r="G56" s="92">
        <v>5.3551099999999997E-3</v>
      </c>
      <c r="H56" s="87" t="s">
        <v>143</v>
      </c>
    </row>
    <row r="57" spans="1:8" ht="14.25" customHeight="1" x14ac:dyDescent="0.2">
      <c r="A57" s="88">
        <v>51</v>
      </c>
      <c r="B57" s="89" t="s">
        <v>214</v>
      </c>
      <c r="C57" s="89" t="s">
        <v>215</v>
      </c>
      <c r="D57" s="89" t="s">
        <v>19</v>
      </c>
      <c r="E57" s="90">
        <v>271000</v>
      </c>
      <c r="F57" s="91">
        <v>1018.689</v>
      </c>
      <c r="G57" s="92">
        <v>4.9233799999999998E-3</v>
      </c>
      <c r="H57" s="87" t="s">
        <v>143</v>
      </c>
    </row>
    <row r="58" spans="1:8" ht="14.25" customHeight="1" x14ac:dyDescent="0.2">
      <c r="A58" s="88">
        <v>52</v>
      </c>
      <c r="B58" s="89" t="s">
        <v>117</v>
      </c>
      <c r="C58" s="89" t="s">
        <v>118</v>
      </c>
      <c r="D58" s="89" t="s">
        <v>36</v>
      </c>
      <c r="E58" s="90">
        <v>36680</v>
      </c>
      <c r="F58" s="91">
        <v>190.40588</v>
      </c>
      <c r="G58" s="92">
        <v>9.2024000000000001E-4</v>
      </c>
      <c r="H58" s="87" t="s">
        <v>143</v>
      </c>
    </row>
    <row r="59" spans="1:8" ht="14.25" customHeight="1" x14ac:dyDescent="0.2">
      <c r="A59" s="93"/>
      <c r="B59" s="93"/>
      <c r="C59" s="94" t="s">
        <v>142</v>
      </c>
      <c r="D59" s="93"/>
      <c r="E59" s="93" t="s">
        <v>143</v>
      </c>
      <c r="F59" s="95">
        <v>191537.2797866</v>
      </c>
      <c r="G59" s="96">
        <v>0.92570945999999998</v>
      </c>
      <c r="H59" s="87" t="s">
        <v>143</v>
      </c>
    </row>
    <row r="60" spans="1:8" ht="14.25" customHeight="1" x14ac:dyDescent="0.2">
      <c r="A60" s="93"/>
      <c r="B60" s="93"/>
      <c r="C60" s="97"/>
      <c r="D60" s="93"/>
      <c r="E60" s="93"/>
      <c r="F60" s="98"/>
      <c r="G60" s="98"/>
      <c r="H60" s="87" t="s">
        <v>143</v>
      </c>
    </row>
    <row r="61" spans="1:8" ht="14.25" customHeight="1" x14ac:dyDescent="0.2">
      <c r="A61" s="93"/>
      <c r="B61" s="93"/>
      <c r="C61" s="94" t="s">
        <v>144</v>
      </c>
      <c r="D61" s="93"/>
      <c r="E61" s="93"/>
      <c r="F61" s="93"/>
      <c r="G61" s="93"/>
      <c r="H61" s="87" t="s">
        <v>143</v>
      </c>
    </row>
    <row r="62" spans="1:8" ht="14.25" customHeight="1" x14ac:dyDescent="0.2">
      <c r="A62" s="93"/>
      <c r="B62" s="93"/>
      <c r="C62" s="94" t="s">
        <v>142</v>
      </c>
      <c r="D62" s="93"/>
      <c r="E62" s="93" t="s">
        <v>143</v>
      </c>
      <c r="F62" s="99" t="s">
        <v>145</v>
      </c>
      <c r="G62" s="96">
        <v>0</v>
      </c>
      <c r="H62" s="87" t="s">
        <v>143</v>
      </c>
    </row>
    <row r="63" spans="1:8" ht="14.25" customHeight="1" x14ac:dyDescent="0.2">
      <c r="A63" s="93"/>
      <c r="B63" s="93"/>
      <c r="C63" s="97"/>
      <c r="D63" s="93"/>
      <c r="E63" s="93"/>
      <c r="F63" s="98"/>
      <c r="G63" s="98"/>
      <c r="H63" s="87" t="s">
        <v>143</v>
      </c>
    </row>
    <row r="64" spans="1:8" ht="14.25" customHeight="1" x14ac:dyDescent="0.2">
      <c r="A64" s="93"/>
      <c r="B64" s="93"/>
      <c r="C64" s="94" t="s">
        <v>146</v>
      </c>
      <c r="D64" s="93"/>
      <c r="E64" s="93"/>
      <c r="F64" s="93"/>
      <c r="G64" s="93"/>
      <c r="H64" s="87" t="s">
        <v>143</v>
      </c>
    </row>
    <row r="65" spans="1:8" ht="14.25" customHeight="1" x14ac:dyDescent="0.2">
      <c r="A65" s="93"/>
      <c r="B65" s="93"/>
      <c r="C65" s="94" t="s">
        <v>142</v>
      </c>
      <c r="D65" s="93"/>
      <c r="E65" s="93" t="s">
        <v>143</v>
      </c>
      <c r="F65" s="99" t="s">
        <v>145</v>
      </c>
      <c r="G65" s="96">
        <v>0</v>
      </c>
      <c r="H65" s="87" t="s">
        <v>143</v>
      </c>
    </row>
    <row r="66" spans="1:8" ht="14.25" customHeight="1" x14ac:dyDescent="0.2">
      <c r="A66" s="93"/>
      <c r="B66" s="93"/>
      <c r="C66" s="97"/>
      <c r="D66" s="93"/>
      <c r="E66" s="93"/>
      <c r="F66" s="98"/>
      <c r="G66" s="98"/>
      <c r="H66" s="87" t="s">
        <v>143</v>
      </c>
    </row>
    <row r="67" spans="1:8" ht="14.25" customHeight="1" x14ac:dyDescent="0.2">
      <c r="A67" s="93"/>
      <c r="B67" s="93"/>
      <c r="C67" s="94" t="s">
        <v>147</v>
      </c>
      <c r="D67" s="93"/>
      <c r="E67" s="93"/>
      <c r="F67" s="93"/>
      <c r="G67" s="93"/>
      <c r="H67" s="87" t="s">
        <v>143</v>
      </c>
    </row>
    <row r="68" spans="1:8" ht="14.25" customHeight="1" x14ac:dyDescent="0.2">
      <c r="A68" s="93"/>
      <c r="B68" s="93"/>
      <c r="C68" s="94" t="s">
        <v>142</v>
      </c>
      <c r="D68" s="93"/>
      <c r="E68" s="93" t="s">
        <v>143</v>
      </c>
      <c r="F68" s="99" t="s">
        <v>145</v>
      </c>
      <c r="G68" s="96">
        <v>0</v>
      </c>
      <c r="H68" s="87" t="s">
        <v>143</v>
      </c>
    </row>
    <row r="69" spans="1:8" ht="14.25" customHeight="1" x14ac:dyDescent="0.2">
      <c r="A69" s="93"/>
      <c r="B69" s="93"/>
      <c r="C69" s="97"/>
      <c r="D69" s="93"/>
      <c r="E69" s="93"/>
      <c r="F69" s="98"/>
      <c r="G69" s="98"/>
      <c r="H69" s="87" t="s">
        <v>143</v>
      </c>
    </row>
    <row r="70" spans="1:8" ht="14.25" customHeight="1" x14ac:dyDescent="0.2">
      <c r="A70" s="93"/>
      <c r="B70" s="93"/>
      <c r="C70" s="94" t="s">
        <v>148</v>
      </c>
      <c r="D70" s="93"/>
      <c r="E70" s="93"/>
      <c r="F70" s="98"/>
      <c r="G70" s="98"/>
      <c r="H70" s="87" t="s">
        <v>143</v>
      </c>
    </row>
    <row r="71" spans="1:8" ht="14.25" customHeight="1" x14ac:dyDescent="0.2">
      <c r="A71" s="93"/>
      <c r="B71" s="93"/>
      <c r="C71" s="94" t="s">
        <v>142</v>
      </c>
      <c r="D71" s="93"/>
      <c r="E71" s="93" t="s">
        <v>143</v>
      </c>
      <c r="F71" s="99" t="s">
        <v>145</v>
      </c>
      <c r="G71" s="96">
        <v>0</v>
      </c>
      <c r="H71" s="87" t="s">
        <v>143</v>
      </c>
    </row>
    <row r="72" spans="1:8" ht="14.25" customHeight="1" x14ac:dyDescent="0.2">
      <c r="A72" s="93"/>
      <c r="B72" s="93"/>
      <c r="C72" s="97"/>
      <c r="D72" s="93"/>
      <c r="E72" s="93"/>
      <c r="F72" s="98"/>
      <c r="G72" s="98"/>
      <c r="H72" s="87" t="s">
        <v>143</v>
      </c>
    </row>
    <row r="73" spans="1:8" ht="14.25" customHeight="1" x14ac:dyDescent="0.2">
      <c r="A73" s="93"/>
      <c r="B73" s="93"/>
      <c r="C73" s="94" t="s">
        <v>149</v>
      </c>
      <c r="D73" s="93"/>
      <c r="E73" s="93"/>
      <c r="F73" s="98"/>
      <c r="G73" s="98"/>
      <c r="H73" s="87" t="s">
        <v>143</v>
      </c>
    </row>
    <row r="74" spans="1:8" ht="14.25" customHeight="1" x14ac:dyDescent="0.2">
      <c r="A74" s="93"/>
      <c r="B74" s="93"/>
      <c r="C74" s="94" t="s">
        <v>142</v>
      </c>
      <c r="D74" s="93"/>
      <c r="E74" s="93" t="s">
        <v>143</v>
      </c>
      <c r="F74" s="99" t="s">
        <v>145</v>
      </c>
      <c r="G74" s="96">
        <v>0</v>
      </c>
      <c r="H74" s="87" t="s">
        <v>143</v>
      </c>
    </row>
    <row r="75" spans="1:8" ht="14.25" customHeight="1" x14ac:dyDescent="0.2">
      <c r="A75" s="93"/>
      <c r="B75" s="93"/>
      <c r="C75" s="97"/>
      <c r="D75" s="93"/>
      <c r="E75" s="93"/>
      <c r="F75" s="98"/>
      <c r="G75" s="98"/>
      <c r="H75" s="87" t="s">
        <v>143</v>
      </c>
    </row>
    <row r="76" spans="1:8" ht="14.25" customHeight="1" x14ac:dyDescent="0.2">
      <c r="A76" s="93"/>
      <c r="B76" s="93"/>
      <c r="C76" s="94" t="s">
        <v>150</v>
      </c>
      <c r="D76" s="93"/>
      <c r="E76" s="93"/>
      <c r="F76" s="95">
        <v>191537.2797866</v>
      </c>
      <c r="G76" s="96">
        <v>0.92570945999999998</v>
      </c>
      <c r="H76" s="87" t="s">
        <v>143</v>
      </c>
    </row>
    <row r="77" spans="1:8" ht="14.25" customHeight="1" x14ac:dyDescent="0.2">
      <c r="A77" s="93"/>
      <c r="B77" s="93"/>
      <c r="C77" s="97"/>
      <c r="D77" s="93"/>
      <c r="E77" s="93"/>
      <c r="F77" s="98"/>
      <c r="G77" s="98"/>
      <c r="H77" s="87" t="s">
        <v>143</v>
      </c>
    </row>
    <row r="78" spans="1:8" ht="14.25" customHeight="1" x14ac:dyDescent="0.2">
      <c r="A78" s="93"/>
      <c r="B78" s="93"/>
      <c r="C78" s="94" t="s">
        <v>151</v>
      </c>
      <c r="D78" s="93"/>
      <c r="E78" s="93"/>
      <c r="F78" s="98"/>
      <c r="G78" s="98"/>
      <c r="H78" s="87" t="s">
        <v>143</v>
      </c>
    </row>
    <row r="79" spans="1:8" ht="14.25" customHeight="1" x14ac:dyDescent="0.2">
      <c r="A79" s="93"/>
      <c r="B79" s="93"/>
      <c r="C79" s="94" t="s">
        <v>10</v>
      </c>
      <c r="D79" s="93"/>
      <c r="E79" s="93"/>
      <c r="F79" s="98"/>
      <c r="G79" s="98"/>
      <c r="H79" s="87" t="s">
        <v>143</v>
      </c>
    </row>
    <row r="80" spans="1:8" ht="14.25" customHeight="1" x14ac:dyDescent="0.2">
      <c r="A80" s="93"/>
      <c r="B80" s="93"/>
      <c r="C80" s="94" t="s">
        <v>142</v>
      </c>
      <c r="D80" s="93"/>
      <c r="E80" s="93" t="s">
        <v>143</v>
      </c>
      <c r="F80" s="99" t="s">
        <v>145</v>
      </c>
      <c r="G80" s="96">
        <v>0</v>
      </c>
      <c r="H80" s="87" t="s">
        <v>143</v>
      </c>
    </row>
    <row r="81" spans="1:8" ht="14.25" customHeight="1" x14ac:dyDescent="0.2">
      <c r="A81" s="93"/>
      <c r="B81" s="93"/>
      <c r="C81" s="97"/>
      <c r="D81" s="93"/>
      <c r="E81" s="93"/>
      <c r="F81" s="98"/>
      <c r="G81" s="98"/>
      <c r="H81" s="87" t="s">
        <v>143</v>
      </c>
    </row>
    <row r="82" spans="1:8" ht="14.25" customHeight="1" x14ac:dyDescent="0.2">
      <c r="A82" s="93"/>
      <c r="B82" s="93"/>
      <c r="C82" s="94" t="s">
        <v>152</v>
      </c>
      <c r="D82" s="93"/>
      <c r="E82" s="93"/>
      <c r="F82" s="93"/>
      <c r="G82" s="93"/>
      <c r="H82" s="87" t="s">
        <v>143</v>
      </c>
    </row>
    <row r="83" spans="1:8" ht="14.25" customHeight="1" x14ac:dyDescent="0.2">
      <c r="A83" s="93"/>
      <c r="B83" s="93"/>
      <c r="C83" s="94" t="s">
        <v>142</v>
      </c>
      <c r="D83" s="93"/>
      <c r="E83" s="93" t="s">
        <v>143</v>
      </c>
      <c r="F83" s="99" t="s">
        <v>145</v>
      </c>
      <c r="G83" s="96">
        <v>0</v>
      </c>
      <c r="H83" s="87" t="s">
        <v>143</v>
      </c>
    </row>
    <row r="84" spans="1:8" ht="14.25" customHeight="1" x14ac:dyDescent="0.2">
      <c r="A84" s="93"/>
      <c r="B84" s="93"/>
      <c r="C84" s="97"/>
      <c r="D84" s="93"/>
      <c r="E84" s="93"/>
      <c r="F84" s="98"/>
      <c r="G84" s="98"/>
      <c r="H84" s="87" t="s">
        <v>143</v>
      </c>
    </row>
    <row r="85" spans="1:8" ht="14.25" customHeight="1" x14ac:dyDescent="0.2">
      <c r="A85" s="93"/>
      <c r="B85" s="93"/>
      <c r="C85" s="94" t="s">
        <v>153</v>
      </c>
      <c r="D85" s="93"/>
      <c r="E85" s="93"/>
      <c r="F85" s="93"/>
      <c r="G85" s="93"/>
      <c r="H85" s="87" t="s">
        <v>143</v>
      </c>
    </row>
    <row r="86" spans="1:8" ht="14.25" customHeight="1" x14ac:dyDescent="0.2">
      <c r="A86" s="93"/>
      <c r="B86" s="93"/>
      <c r="C86" s="94" t="s">
        <v>142</v>
      </c>
      <c r="D86" s="93"/>
      <c r="E86" s="93" t="s">
        <v>143</v>
      </c>
      <c r="F86" s="99" t="s">
        <v>145</v>
      </c>
      <c r="G86" s="96">
        <v>0</v>
      </c>
      <c r="H86" s="87" t="s">
        <v>143</v>
      </c>
    </row>
    <row r="87" spans="1:8" ht="14.25" customHeight="1" x14ac:dyDescent="0.2">
      <c r="A87" s="93"/>
      <c r="B87" s="93"/>
      <c r="C87" s="97"/>
      <c r="D87" s="93"/>
      <c r="E87" s="93"/>
      <c r="F87" s="98"/>
      <c r="G87" s="98"/>
      <c r="H87" s="87" t="s">
        <v>143</v>
      </c>
    </row>
    <row r="88" spans="1:8" ht="14.25" customHeight="1" x14ac:dyDescent="0.2">
      <c r="A88" s="93"/>
      <c r="B88" s="93"/>
      <c r="C88" s="94" t="s">
        <v>154</v>
      </c>
      <c r="D88" s="93"/>
      <c r="E88" s="93"/>
      <c r="F88" s="98"/>
      <c r="G88" s="98"/>
      <c r="H88" s="87" t="s">
        <v>143</v>
      </c>
    </row>
    <row r="89" spans="1:8" ht="14.25" customHeight="1" x14ac:dyDescent="0.2">
      <c r="A89" s="93"/>
      <c r="B89" s="93"/>
      <c r="C89" s="94" t="s">
        <v>142</v>
      </c>
      <c r="D89" s="93"/>
      <c r="E89" s="93" t="s">
        <v>143</v>
      </c>
      <c r="F89" s="99" t="s">
        <v>145</v>
      </c>
      <c r="G89" s="96">
        <v>0</v>
      </c>
      <c r="H89" s="87" t="s">
        <v>143</v>
      </c>
    </row>
    <row r="90" spans="1:8" ht="14.25" customHeight="1" x14ac:dyDescent="0.2">
      <c r="A90" s="93"/>
      <c r="B90" s="93"/>
      <c r="C90" s="97"/>
      <c r="D90" s="93"/>
      <c r="E90" s="93"/>
      <c r="F90" s="98"/>
      <c r="G90" s="98"/>
      <c r="H90" s="87" t="s">
        <v>143</v>
      </c>
    </row>
    <row r="91" spans="1:8" ht="14.25" customHeight="1" x14ac:dyDescent="0.2">
      <c r="A91" s="93"/>
      <c r="B91" s="93"/>
      <c r="C91" s="94" t="s">
        <v>155</v>
      </c>
      <c r="D91" s="93"/>
      <c r="E91" s="93"/>
      <c r="F91" s="95">
        <v>0</v>
      </c>
      <c r="G91" s="96">
        <v>0</v>
      </c>
      <c r="H91" s="87" t="s">
        <v>143</v>
      </c>
    </row>
    <row r="92" spans="1:8" ht="14.25" customHeight="1" x14ac:dyDescent="0.2">
      <c r="A92" s="93"/>
      <c r="B92" s="93"/>
      <c r="C92" s="97"/>
      <c r="D92" s="93"/>
      <c r="E92" s="93"/>
      <c r="F92" s="98"/>
      <c r="G92" s="98"/>
      <c r="H92" s="87" t="s">
        <v>143</v>
      </c>
    </row>
    <row r="93" spans="1:8" ht="14.25" customHeight="1" x14ac:dyDescent="0.2">
      <c r="A93" s="93"/>
      <c r="B93" s="93"/>
      <c r="C93" s="94" t="s">
        <v>156</v>
      </c>
      <c r="D93" s="93"/>
      <c r="E93" s="93"/>
      <c r="F93" s="98"/>
      <c r="G93" s="98"/>
      <c r="H93" s="87" t="s">
        <v>143</v>
      </c>
    </row>
    <row r="94" spans="1:8" ht="14.25" customHeight="1" x14ac:dyDescent="0.2">
      <c r="A94" s="93"/>
      <c r="B94" s="93"/>
      <c r="C94" s="94" t="s">
        <v>157</v>
      </c>
      <c r="D94" s="93"/>
      <c r="E94" s="93"/>
      <c r="F94" s="98"/>
      <c r="G94" s="98"/>
      <c r="H94" s="87" t="s">
        <v>143</v>
      </c>
    </row>
    <row r="95" spans="1:8" ht="14.25" customHeight="1" x14ac:dyDescent="0.2">
      <c r="A95" s="93"/>
      <c r="B95" s="93"/>
      <c r="C95" s="94" t="s">
        <v>142</v>
      </c>
      <c r="D95" s="93"/>
      <c r="E95" s="93" t="s">
        <v>143</v>
      </c>
      <c r="F95" s="99" t="s">
        <v>145</v>
      </c>
      <c r="G95" s="96">
        <v>0</v>
      </c>
      <c r="H95" s="87" t="s">
        <v>143</v>
      </c>
    </row>
    <row r="96" spans="1:8" ht="14.25" customHeight="1" x14ac:dyDescent="0.2">
      <c r="A96" s="93"/>
      <c r="B96" s="93"/>
      <c r="C96" s="97"/>
      <c r="D96" s="93"/>
      <c r="E96" s="93"/>
      <c r="F96" s="98"/>
      <c r="G96" s="98"/>
      <c r="H96" s="87" t="s">
        <v>143</v>
      </c>
    </row>
    <row r="97" spans="1:8" ht="14.25" customHeight="1" x14ac:dyDescent="0.2">
      <c r="A97" s="93"/>
      <c r="B97" s="93"/>
      <c r="C97" s="94" t="s">
        <v>158</v>
      </c>
      <c r="D97" s="93"/>
      <c r="E97" s="93"/>
      <c r="F97" s="98"/>
      <c r="G97" s="98"/>
      <c r="H97" s="87" t="s">
        <v>143</v>
      </c>
    </row>
    <row r="98" spans="1:8" ht="14.25" customHeight="1" x14ac:dyDescent="0.2">
      <c r="A98" s="93"/>
      <c r="B98" s="93"/>
      <c r="C98" s="94" t="s">
        <v>142</v>
      </c>
      <c r="D98" s="93"/>
      <c r="E98" s="93" t="s">
        <v>143</v>
      </c>
      <c r="F98" s="99" t="s">
        <v>145</v>
      </c>
      <c r="G98" s="96">
        <v>0</v>
      </c>
      <c r="H98" s="87" t="s">
        <v>143</v>
      </c>
    </row>
    <row r="99" spans="1:8" ht="14.25" customHeight="1" x14ac:dyDescent="0.2">
      <c r="A99" s="93"/>
      <c r="B99" s="93"/>
      <c r="C99" s="97"/>
      <c r="D99" s="93"/>
      <c r="E99" s="93"/>
      <c r="F99" s="98"/>
      <c r="G99" s="98"/>
      <c r="H99" s="87" t="s">
        <v>143</v>
      </c>
    </row>
    <row r="100" spans="1:8" ht="14.25" customHeight="1" x14ac:dyDescent="0.2">
      <c r="A100" s="93"/>
      <c r="B100" s="93"/>
      <c r="C100" s="94" t="s">
        <v>159</v>
      </c>
      <c r="D100" s="93"/>
      <c r="E100" s="93"/>
      <c r="F100" s="98"/>
      <c r="G100" s="98"/>
      <c r="H100" s="87" t="s">
        <v>143</v>
      </c>
    </row>
    <row r="101" spans="1:8" ht="14.25" customHeight="1" x14ac:dyDescent="0.2">
      <c r="A101" s="93"/>
      <c r="B101" s="93"/>
      <c r="C101" s="94" t="s">
        <v>142</v>
      </c>
      <c r="D101" s="93"/>
      <c r="E101" s="93" t="s">
        <v>143</v>
      </c>
      <c r="F101" s="99" t="s">
        <v>145</v>
      </c>
      <c r="G101" s="96">
        <v>0</v>
      </c>
      <c r="H101" s="87" t="s">
        <v>143</v>
      </c>
    </row>
    <row r="102" spans="1:8" ht="14.25" customHeight="1" x14ac:dyDescent="0.2">
      <c r="A102" s="93"/>
      <c r="B102" s="93"/>
      <c r="C102" s="97"/>
      <c r="D102" s="93"/>
      <c r="E102" s="93"/>
      <c r="F102" s="98"/>
      <c r="G102" s="98"/>
      <c r="H102" s="87" t="s">
        <v>143</v>
      </c>
    </row>
    <row r="103" spans="1:8" ht="14.25" customHeight="1" x14ac:dyDescent="0.2">
      <c r="A103" s="93"/>
      <c r="B103" s="93"/>
      <c r="C103" s="94" t="s">
        <v>160</v>
      </c>
      <c r="D103" s="93"/>
      <c r="E103" s="93"/>
      <c r="F103" s="98"/>
      <c r="G103" s="98"/>
      <c r="H103" s="87" t="s">
        <v>143</v>
      </c>
    </row>
    <row r="104" spans="1:8" ht="14.25" customHeight="1" x14ac:dyDescent="0.2">
      <c r="A104" s="88">
        <v>1</v>
      </c>
      <c r="B104" s="89"/>
      <c r="C104" s="89" t="s">
        <v>161</v>
      </c>
      <c r="D104" s="89"/>
      <c r="E104" s="100"/>
      <c r="F104" s="91">
        <v>8319.0424370199999</v>
      </c>
      <c r="G104" s="92">
        <v>4.0206359999999997E-2</v>
      </c>
      <c r="H104" s="87">
        <v>5.38</v>
      </c>
    </row>
    <row r="105" spans="1:8" ht="14.25" customHeight="1" x14ac:dyDescent="0.2">
      <c r="A105" s="93"/>
      <c r="B105" s="93"/>
      <c r="C105" s="94" t="s">
        <v>142</v>
      </c>
      <c r="D105" s="93"/>
      <c r="E105" s="93" t="s">
        <v>143</v>
      </c>
      <c r="F105" s="95">
        <v>8319.0424370199999</v>
      </c>
      <c r="G105" s="96">
        <v>4.0206359999999997E-2</v>
      </c>
      <c r="H105" s="87" t="s">
        <v>143</v>
      </c>
    </row>
    <row r="106" spans="1:8" ht="14.25" customHeight="1" x14ac:dyDescent="0.2">
      <c r="A106" s="93"/>
      <c r="B106" s="93"/>
      <c r="C106" s="97"/>
      <c r="D106" s="93"/>
      <c r="E106" s="93"/>
      <c r="F106" s="98"/>
      <c r="G106" s="98"/>
      <c r="H106" s="87" t="s">
        <v>143</v>
      </c>
    </row>
    <row r="107" spans="1:8" ht="14.25" customHeight="1" x14ac:dyDescent="0.2">
      <c r="A107" s="93"/>
      <c r="B107" s="93"/>
      <c r="C107" s="94" t="s">
        <v>162</v>
      </c>
      <c r="D107" s="93"/>
      <c r="E107" s="93"/>
      <c r="F107" s="95">
        <v>8319.0424370199999</v>
      </c>
      <c r="G107" s="96">
        <v>4.0206359999999997E-2</v>
      </c>
      <c r="H107" s="87" t="s">
        <v>143</v>
      </c>
    </row>
    <row r="108" spans="1:8" ht="14.25" customHeight="1" x14ac:dyDescent="0.2">
      <c r="A108" s="93"/>
      <c r="B108" s="93"/>
      <c r="C108" s="98"/>
      <c r="D108" s="93"/>
      <c r="E108" s="93"/>
      <c r="F108" s="93"/>
      <c r="G108" s="93"/>
      <c r="H108" s="87" t="s">
        <v>143</v>
      </c>
    </row>
    <row r="109" spans="1:8" ht="14.25" customHeight="1" x14ac:dyDescent="0.2">
      <c r="A109" s="93"/>
      <c r="B109" s="93"/>
      <c r="C109" s="94" t="s">
        <v>163</v>
      </c>
      <c r="D109" s="93"/>
      <c r="E109" s="93"/>
      <c r="F109" s="93"/>
      <c r="G109" s="93"/>
      <c r="H109" s="87" t="s">
        <v>143</v>
      </c>
    </row>
    <row r="110" spans="1:8" ht="14.25" customHeight="1" x14ac:dyDescent="0.2">
      <c r="A110" s="93"/>
      <c r="B110" s="93"/>
      <c r="C110" s="94" t="s">
        <v>164</v>
      </c>
      <c r="D110" s="93"/>
      <c r="E110" s="93"/>
      <c r="F110" s="93"/>
      <c r="G110" s="93"/>
      <c r="H110" s="87" t="s">
        <v>143</v>
      </c>
    </row>
    <row r="111" spans="1:8" ht="14.25" customHeight="1" x14ac:dyDescent="0.2">
      <c r="A111" s="88">
        <v>1</v>
      </c>
      <c r="B111" s="89" t="s">
        <v>355</v>
      </c>
      <c r="C111" s="89" t="s">
        <v>356</v>
      </c>
      <c r="D111" s="89"/>
      <c r="E111" s="126">
        <v>133182.63099999999</v>
      </c>
      <c r="F111" s="91">
        <v>5001.9102395580003</v>
      </c>
      <c r="G111" s="92">
        <v>2.417449E-2</v>
      </c>
      <c r="H111" s="87" t="s">
        <v>143</v>
      </c>
    </row>
    <row r="112" spans="1:8" ht="14.25" customHeight="1" x14ac:dyDescent="0.2">
      <c r="A112" s="93"/>
      <c r="B112" s="93"/>
      <c r="C112" s="94" t="s">
        <v>142</v>
      </c>
      <c r="D112" s="93"/>
      <c r="E112" s="93" t="s">
        <v>143</v>
      </c>
      <c r="F112" s="95">
        <v>5001.9102395580003</v>
      </c>
      <c r="G112" s="96">
        <v>2.417449E-2</v>
      </c>
      <c r="H112" s="87" t="s">
        <v>143</v>
      </c>
    </row>
    <row r="113" spans="1:17" ht="14.25" customHeight="1" x14ac:dyDescent="0.2">
      <c r="A113" s="93"/>
      <c r="B113" s="93"/>
      <c r="C113" s="97"/>
      <c r="D113" s="93"/>
      <c r="E113" s="93"/>
      <c r="F113" s="98"/>
      <c r="G113" s="98"/>
      <c r="H113" s="87" t="s">
        <v>143</v>
      </c>
    </row>
    <row r="114" spans="1:17" ht="14.25" customHeight="1" x14ac:dyDescent="0.2">
      <c r="A114" s="93"/>
      <c r="B114" s="93"/>
      <c r="C114" s="94" t="s">
        <v>165</v>
      </c>
      <c r="D114" s="93"/>
      <c r="E114" s="93"/>
      <c r="F114" s="93"/>
      <c r="G114" s="93"/>
      <c r="H114" s="87" t="s">
        <v>143</v>
      </c>
    </row>
    <row r="115" spans="1:17" ht="14.25" customHeight="1" x14ac:dyDescent="0.2">
      <c r="A115" s="93"/>
      <c r="B115" s="93"/>
      <c r="C115" s="94" t="s">
        <v>166</v>
      </c>
      <c r="D115" s="93"/>
      <c r="E115" s="93"/>
      <c r="F115" s="93"/>
      <c r="G115" s="93"/>
      <c r="H115" s="87" t="s">
        <v>143</v>
      </c>
    </row>
    <row r="116" spans="1:17" ht="14.25" customHeight="1" x14ac:dyDescent="0.2">
      <c r="A116" s="93"/>
      <c r="B116" s="93"/>
      <c r="C116" s="94" t="s">
        <v>142</v>
      </c>
      <c r="D116" s="93"/>
      <c r="E116" s="93" t="s">
        <v>143</v>
      </c>
      <c r="F116" s="99" t="s">
        <v>145</v>
      </c>
      <c r="G116" s="96">
        <v>0</v>
      </c>
      <c r="H116" s="87" t="s">
        <v>143</v>
      </c>
    </row>
    <row r="117" spans="1:17" ht="14.25" customHeight="1" x14ac:dyDescent="0.2">
      <c r="A117" s="93"/>
      <c r="B117" s="93"/>
      <c r="C117" s="97"/>
      <c r="D117" s="93"/>
      <c r="E117" s="93"/>
      <c r="F117" s="98"/>
      <c r="G117" s="98"/>
      <c r="H117" s="87" t="s">
        <v>143</v>
      </c>
    </row>
    <row r="118" spans="1:17" ht="14.25" customHeight="1" x14ac:dyDescent="0.2">
      <c r="A118" s="93"/>
      <c r="B118" s="93"/>
      <c r="C118" s="94" t="s">
        <v>167</v>
      </c>
      <c r="D118" s="93"/>
      <c r="E118" s="93"/>
      <c r="F118" s="98"/>
      <c r="G118" s="98"/>
      <c r="H118" s="87" t="s">
        <v>143</v>
      </c>
    </row>
    <row r="119" spans="1:17" ht="14.25" customHeight="1" x14ac:dyDescent="0.2">
      <c r="A119" s="93"/>
      <c r="B119" s="93"/>
      <c r="C119" s="94" t="s">
        <v>142</v>
      </c>
      <c r="D119" s="93"/>
      <c r="E119" s="93" t="s">
        <v>143</v>
      </c>
      <c r="F119" s="99" t="s">
        <v>145</v>
      </c>
      <c r="G119" s="96">
        <v>0</v>
      </c>
      <c r="H119" s="87" t="s">
        <v>143</v>
      </c>
    </row>
    <row r="120" spans="1:17" ht="14.25" customHeight="1" x14ac:dyDescent="0.2">
      <c r="A120" s="93"/>
      <c r="B120" s="93"/>
      <c r="C120" s="97"/>
      <c r="D120" s="93"/>
      <c r="E120" s="93"/>
      <c r="F120" s="98"/>
      <c r="G120" s="98"/>
      <c r="H120" s="87" t="s">
        <v>143</v>
      </c>
    </row>
    <row r="121" spans="1:17" ht="14.25" customHeight="1" x14ac:dyDescent="0.2">
      <c r="A121" s="100"/>
      <c r="B121" s="89"/>
      <c r="C121" s="89" t="s">
        <v>168</v>
      </c>
      <c r="D121" s="89"/>
      <c r="E121" s="100"/>
      <c r="F121" s="91">
        <v>2050.40598469</v>
      </c>
      <c r="G121" s="92">
        <v>9.9097200000000003E-3</v>
      </c>
      <c r="H121" s="87" t="s">
        <v>143</v>
      </c>
    </row>
    <row r="122" spans="1:17" ht="14.25" customHeight="1" x14ac:dyDescent="0.2">
      <c r="A122" s="97"/>
      <c r="B122" s="97"/>
      <c r="C122" s="94" t="s">
        <v>169</v>
      </c>
      <c r="D122" s="98"/>
      <c r="E122" s="98"/>
      <c r="F122" s="95">
        <v>206908.638447868</v>
      </c>
      <c r="G122" s="101">
        <v>1.00000003</v>
      </c>
      <c r="H122" s="87" t="s">
        <v>143</v>
      </c>
    </row>
    <row r="123" spans="1:17" ht="12.75" x14ac:dyDescent="0.2">
      <c r="A123" s="102"/>
      <c r="B123" s="102"/>
      <c r="C123" s="102"/>
      <c r="D123" s="103"/>
      <c r="E123" s="103"/>
      <c r="F123" s="103"/>
      <c r="G123" s="103"/>
    </row>
    <row r="124" spans="1:17" ht="12.75" x14ac:dyDescent="0.2">
      <c r="A124" s="104"/>
      <c r="B124" s="206" t="s">
        <v>942</v>
      </c>
      <c r="C124" s="206"/>
      <c r="D124" s="206"/>
      <c r="E124" s="206"/>
      <c r="F124" s="206"/>
      <c r="G124" s="206"/>
      <c r="H124" s="206"/>
      <c r="J124" s="106"/>
    </row>
    <row r="125" spans="1:17" ht="12.75" x14ac:dyDescent="0.2">
      <c r="A125" s="104"/>
      <c r="B125" s="206" t="s">
        <v>943</v>
      </c>
      <c r="C125" s="206"/>
      <c r="D125" s="206"/>
      <c r="E125" s="206"/>
      <c r="F125" s="206"/>
      <c r="G125" s="206"/>
      <c r="H125" s="206"/>
      <c r="J125" s="106"/>
    </row>
    <row r="126" spans="1:17" ht="12.75" x14ac:dyDescent="0.2">
      <c r="A126" s="104"/>
      <c r="B126" s="206" t="s">
        <v>944</v>
      </c>
      <c r="C126" s="206"/>
      <c r="D126" s="206"/>
      <c r="E126" s="206"/>
      <c r="F126" s="206"/>
      <c r="G126" s="206"/>
      <c r="H126" s="206"/>
      <c r="J126" s="106"/>
    </row>
    <row r="127" spans="1:17" s="108" customFormat="1" ht="66.75" customHeight="1" x14ac:dyDescent="0.25">
      <c r="A127" s="107"/>
      <c r="B127" s="207" t="s">
        <v>945</v>
      </c>
      <c r="C127" s="207"/>
      <c r="D127" s="207"/>
      <c r="E127" s="207"/>
      <c r="F127" s="207"/>
      <c r="G127" s="207"/>
      <c r="H127" s="207"/>
      <c r="I127"/>
      <c r="J127" s="106"/>
      <c r="K127"/>
      <c r="L127"/>
      <c r="M127"/>
      <c r="N127"/>
      <c r="O127"/>
      <c r="P127"/>
      <c r="Q127"/>
    </row>
    <row r="128" spans="1:17" ht="12.75" x14ac:dyDescent="0.2">
      <c r="A128" s="104"/>
      <c r="B128" s="206" t="s">
        <v>946</v>
      </c>
      <c r="C128" s="206"/>
      <c r="D128" s="206"/>
      <c r="E128" s="206"/>
      <c r="F128" s="206"/>
      <c r="G128" s="206"/>
      <c r="H128" s="206"/>
      <c r="J128" s="106"/>
    </row>
    <row r="129" spans="1:10" ht="12.75" x14ac:dyDescent="0.2">
      <c r="A129" s="104"/>
      <c r="B129" s="104"/>
      <c r="C129" s="104"/>
      <c r="D129" s="109"/>
      <c r="E129" s="109"/>
      <c r="F129" s="109"/>
      <c r="G129" s="109"/>
    </row>
    <row r="130" spans="1:10" ht="12.75" x14ac:dyDescent="0.2">
      <c r="A130" s="104"/>
      <c r="B130" s="199" t="s">
        <v>170</v>
      </c>
      <c r="C130" s="200"/>
      <c r="D130" s="201"/>
      <c r="E130" s="110"/>
      <c r="F130" s="109"/>
      <c r="G130" s="109"/>
    </row>
    <row r="131" spans="1:10" ht="27.75" customHeight="1" x14ac:dyDescent="0.2">
      <c r="A131" s="104"/>
      <c r="B131" s="202" t="s">
        <v>171</v>
      </c>
      <c r="C131" s="203"/>
      <c r="D131" s="86" t="s">
        <v>172</v>
      </c>
      <c r="E131" s="110"/>
      <c r="F131" s="109"/>
      <c r="G131" s="109"/>
    </row>
    <row r="132" spans="1:10" ht="12.75" customHeight="1" x14ac:dyDescent="0.2">
      <c r="A132" s="104"/>
      <c r="B132" s="202" t="s">
        <v>947</v>
      </c>
      <c r="C132" s="203"/>
      <c r="D132" s="86" t="s">
        <v>172</v>
      </c>
      <c r="E132" s="110"/>
      <c r="F132" s="109"/>
      <c r="G132" s="109"/>
    </row>
    <row r="133" spans="1:10" ht="12.75" x14ac:dyDescent="0.2">
      <c r="A133" s="104"/>
      <c r="B133" s="202" t="s">
        <v>173</v>
      </c>
      <c r="C133" s="203"/>
      <c r="D133" s="111" t="s">
        <v>143</v>
      </c>
      <c r="E133" s="110"/>
      <c r="F133" s="109"/>
      <c r="G133" s="109"/>
    </row>
    <row r="134" spans="1:10" ht="12.75" x14ac:dyDescent="0.2">
      <c r="A134" s="112"/>
      <c r="B134" s="113" t="s">
        <v>143</v>
      </c>
      <c r="C134" s="113" t="s">
        <v>948</v>
      </c>
      <c r="D134" s="113" t="s">
        <v>174</v>
      </c>
      <c r="E134" s="112"/>
      <c r="F134" s="112"/>
      <c r="G134" s="112"/>
      <c r="H134" s="112"/>
      <c r="J134" s="106"/>
    </row>
    <row r="135" spans="1:10" ht="12.75" x14ac:dyDescent="0.2">
      <c r="A135" s="112"/>
      <c r="B135" s="114" t="s">
        <v>175</v>
      </c>
      <c r="C135" s="115">
        <v>45869</v>
      </c>
      <c r="D135" s="115">
        <v>45900</v>
      </c>
      <c r="E135" s="112"/>
      <c r="F135" s="112"/>
      <c r="G135" s="112"/>
      <c r="J135" s="106"/>
    </row>
    <row r="136" spans="1:10" ht="14.25" customHeight="1" x14ac:dyDescent="0.2">
      <c r="A136" s="116"/>
      <c r="B136" s="89" t="s">
        <v>176</v>
      </c>
      <c r="C136" s="117">
        <v>15.474399999999999</v>
      </c>
      <c r="D136" s="117">
        <v>15.3489</v>
      </c>
      <c r="E136" s="116"/>
      <c r="F136" s="118"/>
      <c r="G136" s="119"/>
    </row>
    <row r="137" spans="1:10" ht="14.25" customHeight="1" x14ac:dyDescent="0.2">
      <c r="A137" s="116"/>
      <c r="B137" s="89" t="s">
        <v>954</v>
      </c>
      <c r="C137" s="117">
        <v>14.677899999999999</v>
      </c>
      <c r="D137" s="117">
        <v>14.5589</v>
      </c>
      <c r="E137" s="116"/>
      <c r="F137" s="118"/>
      <c r="G137" s="119"/>
    </row>
    <row r="138" spans="1:10" ht="14.25" customHeight="1" x14ac:dyDescent="0.2">
      <c r="A138" s="116"/>
      <c r="B138" s="89" t="s">
        <v>177</v>
      </c>
      <c r="C138" s="117">
        <v>14.7858</v>
      </c>
      <c r="D138" s="117">
        <v>14.6487</v>
      </c>
      <c r="E138" s="116"/>
      <c r="F138" s="118"/>
      <c r="G138" s="119"/>
    </row>
    <row r="139" spans="1:10" ht="14.25" customHeight="1" x14ac:dyDescent="0.2">
      <c r="A139" s="116"/>
      <c r="B139" s="89" t="s">
        <v>955</v>
      </c>
      <c r="C139" s="117">
        <v>14.025</v>
      </c>
      <c r="D139" s="117">
        <v>13.8949</v>
      </c>
      <c r="E139" s="116"/>
      <c r="F139" s="118"/>
      <c r="G139" s="119"/>
    </row>
    <row r="140" spans="1:10" ht="14.25" customHeight="1" x14ac:dyDescent="0.2">
      <c r="A140" s="116"/>
      <c r="B140" s="116"/>
      <c r="C140" s="116"/>
      <c r="D140" s="116"/>
      <c r="E140" s="116"/>
      <c r="F140" s="116"/>
      <c r="G140" s="116"/>
    </row>
    <row r="141" spans="1:10" ht="12.75" x14ac:dyDescent="0.2">
      <c r="A141" s="116"/>
      <c r="B141" s="208" t="s">
        <v>949</v>
      </c>
      <c r="C141" s="209"/>
      <c r="D141" s="94" t="s">
        <v>172</v>
      </c>
      <c r="E141" s="116"/>
      <c r="F141" s="116"/>
      <c r="G141" s="116"/>
    </row>
    <row r="142" spans="1:10" ht="12.75" x14ac:dyDescent="0.2">
      <c r="A142" s="116"/>
      <c r="B142" s="120"/>
      <c r="C142" s="120"/>
      <c r="D142" s="120"/>
      <c r="E142" s="116"/>
      <c r="F142" s="116"/>
      <c r="G142" s="116"/>
    </row>
    <row r="143" spans="1:10" ht="12.75" x14ac:dyDescent="0.2">
      <c r="A143" s="112"/>
      <c r="B143" s="202" t="s">
        <v>178</v>
      </c>
      <c r="C143" s="203"/>
      <c r="D143" s="86" t="s">
        <v>172</v>
      </c>
      <c r="E143" s="121"/>
      <c r="F143" s="112"/>
      <c r="G143" s="112"/>
    </row>
    <row r="144" spans="1:10" ht="12.75" x14ac:dyDescent="0.2">
      <c r="A144" s="112"/>
      <c r="B144" s="202" t="s">
        <v>179</v>
      </c>
      <c r="C144" s="203"/>
      <c r="D144" s="86" t="s">
        <v>172</v>
      </c>
      <c r="E144" s="121"/>
      <c r="F144" s="112"/>
      <c r="G144" s="112"/>
    </row>
    <row r="145" spans="1:10" ht="12.75" x14ac:dyDescent="0.2">
      <c r="A145" s="112"/>
      <c r="B145" s="202" t="s">
        <v>180</v>
      </c>
      <c r="C145" s="203"/>
      <c r="D145" s="86" t="s">
        <v>172</v>
      </c>
      <c r="E145" s="121"/>
      <c r="F145" s="112"/>
      <c r="G145" s="112"/>
    </row>
    <row r="146" spans="1:10" ht="12.75" x14ac:dyDescent="0.2">
      <c r="A146" s="112"/>
      <c r="B146" s="202" t="s">
        <v>181</v>
      </c>
      <c r="C146" s="203"/>
      <c r="D146" s="122">
        <v>0.42009531157129976</v>
      </c>
      <c r="E146" s="112"/>
      <c r="F146" s="105"/>
      <c r="G146" s="123"/>
    </row>
    <row r="147" spans="1:10" ht="12.75" x14ac:dyDescent="0.2"/>
    <row r="148" spans="1:10" ht="12.75" x14ac:dyDescent="0.2">
      <c r="B148" s="204" t="s">
        <v>950</v>
      </c>
      <c r="C148" s="204"/>
    </row>
    <row r="149" spans="1:10" ht="12.75" x14ac:dyDescent="0.2"/>
    <row r="150" spans="1:10" ht="153.75" customHeight="1" x14ac:dyDescent="0.2"/>
    <row r="151" spans="1:10" ht="12.75" x14ac:dyDescent="0.2"/>
    <row r="152" spans="1:10" ht="12.75" x14ac:dyDescent="0.2"/>
    <row r="153" spans="1:10" ht="12.75" x14ac:dyDescent="0.2">
      <c r="B153" s="124" t="s">
        <v>951</v>
      </c>
      <c r="C153" s="125"/>
      <c r="D153" s="124"/>
    </row>
    <row r="154" spans="1:10" ht="12.75" x14ac:dyDescent="0.2">
      <c r="B154" s="124" t="s">
        <v>1129</v>
      </c>
      <c r="D154" s="124"/>
    </row>
    <row r="155" spans="1:10" ht="165" customHeight="1" x14ac:dyDescent="0.2"/>
    <row r="156" spans="1:10" ht="12.75" x14ac:dyDescent="0.2"/>
    <row r="157" spans="1:10" ht="12.75" x14ac:dyDescent="0.2">
      <c r="J157" s="84"/>
    </row>
    <row r="158" spans="1:10" ht="12.75" x14ac:dyDescent="0.2"/>
    <row r="159" spans="1:10" ht="12.75" x14ac:dyDescent="0.2"/>
    <row r="160" spans="1:10" ht="12.75"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sheetData>
  <mergeCells count="18">
    <mergeCell ref="B127:H127"/>
    <mergeCell ref="B128:H128"/>
    <mergeCell ref="B130:D130"/>
    <mergeCell ref="B131:C131"/>
    <mergeCell ref="B148:C148"/>
    <mergeCell ref="A1:H1"/>
    <mergeCell ref="A2:H2"/>
    <mergeCell ref="A3:H3"/>
    <mergeCell ref="B141:C141"/>
    <mergeCell ref="B145:C145"/>
    <mergeCell ref="B146:C146"/>
    <mergeCell ref="B124:H124"/>
    <mergeCell ref="B125:H125"/>
    <mergeCell ref="B132:C132"/>
    <mergeCell ref="B133:C133"/>
    <mergeCell ref="B143:C143"/>
    <mergeCell ref="B144:C144"/>
    <mergeCell ref="B126:H126"/>
  </mergeCells>
  <hyperlinks>
    <hyperlink ref="I1" location="Index!B2" display="Index" xr:uid="{7257C62E-586B-42C2-A876-65D96798DFEB}"/>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F3EDB-8E7B-4010-9899-A06BA24DC4DE}">
  <sheetPr>
    <outlinePr summaryBelow="0" summaryRight="0"/>
  </sheetPr>
  <dimension ref="A1:Q135"/>
  <sheetViews>
    <sheetView showGridLines="0" workbookViewId="0">
      <selection sqref="A1:H1"/>
    </sheetView>
  </sheetViews>
  <sheetFormatPr defaultRowHeight="14.25" customHeight="1" x14ac:dyDescent="0.2"/>
  <cols>
    <col min="1" max="1" width="5.85546875" bestFit="1" customWidth="1"/>
    <col min="2" max="2" width="19.7109375" customWidth="1"/>
    <col min="3" max="3" width="44.5703125" bestFit="1" customWidth="1"/>
    <col min="4" max="4" width="13.7109375" bestFit="1" customWidth="1"/>
    <col min="5" max="5" width="12.4257812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836</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321</v>
      </c>
      <c r="C7" s="89" t="s">
        <v>322</v>
      </c>
      <c r="D7" s="89" t="s">
        <v>33</v>
      </c>
      <c r="E7" s="90">
        <v>3051406</v>
      </c>
      <c r="F7" s="91">
        <v>29037.179496000001</v>
      </c>
      <c r="G7" s="92">
        <v>0.1988722</v>
      </c>
      <c r="H7" s="87" t="s">
        <v>143</v>
      </c>
    </row>
    <row r="8" spans="1:9" ht="14.25" customHeight="1" x14ac:dyDescent="0.2">
      <c r="A8" s="88">
        <v>2</v>
      </c>
      <c r="B8" s="89" t="s">
        <v>31</v>
      </c>
      <c r="C8" s="89" t="s">
        <v>32</v>
      </c>
      <c r="D8" s="89" t="s">
        <v>33</v>
      </c>
      <c r="E8" s="90">
        <v>1339673</v>
      </c>
      <c r="F8" s="91">
        <v>18725.949194000001</v>
      </c>
      <c r="G8" s="92">
        <v>0.12825180999999999</v>
      </c>
      <c r="H8" s="87" t="s">
        <v>143</v>
      </c>
    </row>
    <row r="9" spans="1:9" ht="14.25" customHeight="1" x14ac:dyDescent="0.2">
      <c r="A9" s="88">
        <v>3</v>
      </c>
      <c r="B9" s="89" t="s">
        <v>327</v>
      </c>
      <c r="C9" s="89" t="s">
        <v>328</v>
      </c>
      <c r="D9" s="89" t="s">
        <v>33</v>
      </c>
      <c r="E9" s="90">
        <v>1329343</v>
      </c>
      <c r="F9" s="91">
        <v>13894.293035999999</v>
      </c>
      <c r="G9" s="92">
        <v>9.5160369999999994E-2</v>
      </c>
      <c r="H9" s="87" t="s">
        <v>143</v>
      </c>
    </row>
    <row r="10" spans="1:9" ht="14.25" customHeight="1" x14ac:dyDescent="0.2">
      <c r="A10" s="88">
        <v>4</v>
      </c>
      <c r="B10" s="89" t="s">
        <v>49</v>
      </c>
      <c r="C10" s="89" t="s">
        <v>50</v>
      </c>
      <c r="D10" s="89" t="s">
        <v>33</v>
      </c>
      <c r="E10" s="90">
        <v>1003469</v>
      </c>
      <c r="F10" s="91">
        <v>8052.8387249999996</v>
      </c>
      <c r="G10" s="92">
        <v>5.5152939999999998E-2</v>
      </c>
      <c r="H10" s="87" t="s">
        <v>143</v>
      </c>
    </row>
    <row r="11" spans="1:9" ht="14.25" customHeight="1" x14ac:dyDescent="0.2">
      <c r="A11" s="88">
        <v>5</v>
      </c>
      <c r="B11" s="89" t="s">
        <v>527</v>
      </c>
      <c r="C11" s="89" t="s">
        <v>528</v>
      </c>
      <c r="D11" s="89" t="s">
        <v>191</v>
      </c>
      <c r="E11" s="90">
        <v>341499</v>
      </c>
      <c r="F11" s="91">
        <v>6534.5833650000004</v>
      </c>
      <c r="G11" s="92">
        <v>4.4754589999999997E-2</v>
      </c>
      <c r="H11" s="87" t="s">
        <v>143</v>
      </c>
    </row>
    <row r="12" spans="1:9" ht="14.25" customHeight="1" x14ac:dyDescent="0.2">
      <c r="A12" s="88">
        <v>6</v>
      </c>
      <c r="B12" s="89" t="s">
        <v>250</v>
      </c>
      <c r="C12" s="89" t="s">
        <v>251</v>
      </c>
      <c r="D12" s="89" t="s">
        <v>191</v>
      </c>
      <c r="E12" s="90">
        <v>1085825</v>
      </c>
      <c r="F12" s="91">
        <v>6300.4995625000001</v>
      </c>
      <c r="G12" s="92">
        <v>4.3151370000000001E-2</v>
      </c>
      <c r="H12" s="87" t="s">
        <v>143</v>
      </c>
    </row>
    <row r="13" spans="1:9" ht="14.25" customHeight="1" x14ac:dyDescent="0.2">
      <c r="A13" s="88">
        <v>7</v>
      </c>
      <c r="B13" s="89" t="s">
        <v>364</v>
      </c>
      <c r="C13" s="89" t="s">
        <v>365</v>
      </c>
      <c r="D13" s="89" t="s">
        <v>33</v>
      </c>
      <c r="E13" s="90">
        <v>1644042</v>
      </c>
      <c r="F13" s="91">
        <v>5961.296292</v>
      </c>
      <c r="G13" s="92">
        <v>4.0828209999999997E-2</v>
      </c>
      <c r="H13" s="87" t="s">
        <v>143</v>
      </c>
    </row>
    <row r="14" spans="1:9" ht="14.25" customHeight="1" x14ac:dyDescent="0.2">
      <c r="A14" s="88">
        <v>8</v>
      </c>
      <c r="B14" s="89" t="s">
        <v>467</v>
      </c>
      <c r="C14" s="89" t="s">
        <v>468</v>
      </c>
      <c r="D14" s="89" t="s">
        <v>33</v>
      </c>
      <c r="E14" s="90">
        <v>4243632</v>
      </c>
      <c r="F14" s="91">
        <v>5192.9324784</v>
      </c>
      <c r="G14" s="92">
        <v>3.5565779999999998E-2</v>
      </c>
      <c r="H14" s="87" t="s">
        <v>143</v>
      </c>
    </row>
    <row r="15" spans="1:9" ht="14.25" customHeight="1" x14ac:dyDescent="0.2">
      <c r="A15" s="88">
        <v>9</v>
      </c>
      <c r="B15" s="89" t="s">
        <v>407</v>
      </c>
      <c r="C15" s="89" t="s">
        <v>408</v>
      </c>
      <c r="D15" s="89" t="s">
        <v>191</v>
      </c>
      <c r="E15" s="90">
        <v>682976</v>
      </c>
      <c r="F15" s="91">
        <v>5146.9071359999998</v>
      </c>
      <c r="G15" s="92">
        <v>3.525056E-2</v>
      </c>
      <c r="H15" s="87" t="s">
        <v>143</v>
      </c>
    </row>
    <row r="16" spans="1:9" ht="14.25" customHeight="1" x14ac:dyDescent="0.2">
      <c r="A16" s="88">
        <v>10</v>
      </c>
      <c r="B16" s="89" t="s">
        <v>333</v>
      </c>
      <c r="C16" s="89" t="s">
        <v>334</v>
      </c>
      <c r="D16" s="89" t="s">
        <v>33</v>
      </c>
      <c r="E16" s="90">
        <v>2208626</v>
      </c>
      <c r="F16" s="91">
        <v>5142.3439158000001</v>
      </c>
      <c r="G16" s="92">
        <v>3.5219300000000002E-2</v>
      </c>
      <c r="H16" s="87" t="s">
        <v>143</v>
      </c>
    </row>
    <row r="17" spans="1:8" ht="14.25" customHeight="1" x14ac:dyDescent="0.2">
      <c r="A17" s="88">
        <v>11</v>
      </c>
      <c r="B17" s="89" t="s">
        <v>368</v>
      </c>
      <c r="C17" s="89" t="s">
        <v>369</v>
      </c>
      <c r="D17" s="89" t="s">
        <v>33</v>
      </c>
      <c r="E17" s="90">
        <v>11708687</v>
      </c>
      <c r="F17" s="91">
        <v>4997.2676116000002</v>
      </c>
      <c r="G17" s="92">
        <v>3.4225690000000003E-2</v>
      </c>
      <c r="H17" s="87" t="s">
        <v>143</v>
      </c>
    </row>
    <row r="18" spans="1:8" ht="14.25" customHeight="1" x14ac:dyDescent="0.2">
      <c r="A18" s="88">
        <v>12</v>
      </c>
      <c r="B18" s="89" t="s">
        <v>684</v>
      </c>
      <c r="C18" s="89" t="s">
        <v>685</v>
      </c>
      <c r="D18" s="89" t="s">
        <v>191</v>
      </c>
      <c r="E18" s="90">
        <v>1131406</v>
      </c>
      <c r="F18" s="91">
        <v>3959.9209999999998</v>
      </c>
      <c r="G18" s="92">
        <v>2.7121030000000001E-2</v>
      </c>
      <c r="H18" s="87" t="s">
        <v>143</v>
      </c>
    </row>
    <row r="19" spans="1:8" ht="14.25" customHeight="1" x14ac:dyDescent="0.2">
      <c r="A19" s="88">
        <v>13</v>
      </c>
      <c r="B19" s="89" t="s">
        <v>301</v>
      </c>
      <c r="C19" s="89" t="s">
        <v>302</v>
      </c>
      <c r="D19" s="89" t="s">
        <v>263</v>
      </c>
      <c r="E19" s="90">
        <v>636027</v>
      </c>
      <c r="F19" s="91">
        <v>3815.2079595</v>
      </c>
      <c r="G19" s="92">
        <v>2.6129909999999999E-2</v>
      </c>
      <c r="H19" s="87" t="s">
        <v>143</v>
      </c>
    </row>
    <row r="20" spans="1:8" ht="14.25" customHeight="1" x14ac:dyDescent="0.2">
      <c r="A20" s="88">
        <v>14</v>
      </c>
      <c r="B20" s="89" t="s">
        <v>383</v>
      </c>
      <c r="C20" s="89" t="s">
        <v>384</v>
      </c>
      <c r="D20" s="89" t="s">
        <v>33</v>
      </c>
      <c r="E20" s="90">
        <v>7238410</v>
      </c>
      <c r="F20" s="91">
        <v>3638.7487070000002</v>
      </c>
      <c r="G20" s="92">
        <v>2.492136E-2</v>
      </c>
      <c r="H20" s="87" t="s">
        <v>143</v>
      </c>
    </row>
    <row r="21" spans="1:8" ht="14.25" customHeight="1" x14ac:dyDescent="0.2">
      <c r="A21" s="88">
        <v>15</v>
      </c>
      <c r="B21" s="89" t="s">
        <v>323</v>
      </c>
      <c r="C21" s="89" t="s">
        <v>324</v>
      </c>
      <c r="D21" s="89" t="s">
        <v>33</v>
      </c>
      <c r="E21" s="90">
        <v>145590</v>
      </c>
      <c r="F21" s="91">
        <v>2854.0007700000001</v>
      </c>
      <c r="G21" s="92">
        <v>1.9546709999999998E-2</v>
      </c>
      <c r="H21" s="87" t="s">
        <v>143</v>
      </c>
    </row>
    <row r="22" spans="1:8" ht="14.25" customHeight="1" x14ac:dyDescent="0.2">
      <c r="A22" s="88">
        <v>16</v>
      </c>
      <c r="B22" s="89" t="s">
        <v>449</v>
      </c>
      <c r="C22" s="89" t="s">
        <v>450</v>
      </c>
      <c r="D22" s="89" t="s">
        <v>33</v>
      </c>
      <c r="E22" s="90">
        <v>322334</v>
      </c>
      <c r="F22" s="91">
        <v>2383.6599299999998</v>
      </c>
      <c r="G22" s="92">
        <v>1.63254E-2</v>
      </c>
      <c r="H22" s="87" t="s">
        <v>143</v>
      </c>
    </row>
    <row r="23" spans="1:8" ht="14.25" customHeight="1" x14ac:dyDescent="0.2">
      <c r="A23" s="88">
        <v>17</v>
      </c>
      <c r="B23" s="89" t="s">
        <v>503</v>
      </c>
      <c r="C23" s="89" t="s">
        <v>504</v>
      </c>
      <c r="D23" s="89" t="s">
        <v>191</v>
      </c>
      <c r="E23" s="90">
        <v>575710</v>
      </c>
      <c r="F23" s="91">
        <v>2185.9708700000001</v>
      </c>
      <c r="G23" s="92">
        <v>1.4971460000000001E-2</v>
      </c>
      <c r="H23" s="87" t="s">
        <v>143</v>
      </c>
    </row>
    <row r="24" spans="1:8" ht="14.25" customHeight="1" x14ac:dyDescent="0.2">
      <c r="A24" s="88">
        <v>18</v>
      </c>
      <c r="B24" s="89" t="s">
        <v>392</v>
      </c>
      <c r="C24" s="89" t="s">
        <v>393</v>
      </c>
      <c r="D24" s="89" t="s">
        <v>191</v>
      </c>
      <c r="E24" s="90">
        <v>139742</v>
      </c>
      <c r="F24" s="91">
        <v>1956.2482580000001</v>
      </c>
      <c r="G24" s="92">
        <v>1.339811E-2</v>
      </c>
      <c r="H24" s="87" t="s">
        <v>143</v>
      </c>
    </row>
    <row r="25" spans="1:8" ht="14.25" customHeight="1" x14ac:dyDescent="0.2">
      <c r="A25" s="88">
        <v>19</v>
      </c>
      <c r="B25" s="89" t="s">
        <v>189</v>
      </c>
      <c r="C25" s="89" t="s">
        <v>190</v>
      </c>
      <c r="D25" s="89" t="s">
        <v>191</v>
      </c>
      <c r="E25" s="90">
        <v>763527</v>
      </c>
      <c r="F25" s="91">
        <v>1938.9768165</v>
      </c>
      <c r="G25" s="92">
        <v>1.3279819999999999E-2</v>
      </c>
      <c r="H25" s="87" t="s">
        <v>143</v>
      </c>
    </row>
    <row r="26" spans="1:8" ht="14.25" customHeight="1" x14ac:dyDescent="0.2">
      <c r="A26" s="88">
        <v>20</v>
      </c>
      <c r="B26" s="89" t="s">
        <v>394</v>
      </c>
      <c r="C26" s="89" t="s">
        <v>395</v>
      </c>
      <c r="D26" s="89" t="s">
        <v>191</v>
      </c>
      <c r="E26" s="90">
        <v>105853</v>
      </c>
      <c r="F26" s="91">
        <v>1826.7052209999999</v>
      </c>
      <c r="G26" s="92">
        <v>1.251089E-2</v>
      </c>
      <c r="H26" s="87" t="s">
        <v>143</v>
      </c>
    </row>
    <row r="27" spans="1:8" ht="14.25" customHeight="1" x14ac:dyDescent="0.2">
      <c r="A27" s="88">
        <v>21</v>
      </c>
      <c r="B27" s="89" t="s">
        <v>376</v>
      </c>
      <c r="C27" s="89" t="s">
        <v>377</v>
      </c>
      <c r="D27" s="89" t="s">
        <v>223</v>
      </c>
      <c r="E27" s="90">
        <v>60606</v>
      </c>
      <c r="F27" s="91">
        <v>1339.2713879999999</v>
      </c>
      <c r="G27" s="92">
        <v>9.17251E-3</v>
      </c>
      <c r="H27" s="87" t="s">
        <v>143</v>
      </c>
    </row>
    <row r="28" spans="1:8" ht="14.25" customHeight="1" x14ac:dyDescent="0.2">
      <c r="A28" s="88">
        <v>22</v>
      </c>
      <c r="B28" s="89" t="s">
        <v>837</v>
      </c>
      <c r="C28" s="89" t="s">
        <v>838</v>
      </c>
      <c r="D28" s="89" t="s">
        <v>191</v>
      </c>
      <c r="E28" s="90">
        <v>150011</v>
      </c>
      <c r="F28" s="91">
        <v>1167.3856020000001</v>
      </c>
      <c r="G28" s="92">
        <v>7.9952900000000004E-3</v>
      </c>
      <c r="H28" s="87" t="s">
        <v>143</v>
      </c>
    </row>
    <row r="29" spans="1:8" ht="14.25" customHeight="1" x14ac:dyDescent="0.2">
      <c r="A29" s="88">
        <v>23</v>
      </c>
      <c r="B29" s="89" t="s">
        <v>812</v>
      </c>
      <c r="C29" s="89" t="s">
        <v>813</v>
      </c>
      <c r="D29" s="89" t="s">
        <v>33</v>
      </c>
      <c r="E29" s="90">
        <v>685222</v>
      </c>
      <c r="F29" s="91">
        <v>1108.689196</v>
      </c>
      <c r="G29" s="92">
        <v>7.59328E-3</v>
      </c>
      <c r="H29" s="87" t="s">
        <v>143</v>
      </c>
    </row>
    <row r="30" spans="1:8" ht="14.25" customHeight="1" x14ac:dyDescent="0.2">
      <c r="A30" s="88">
        <v>24</v>
      </c>
      <c r="B30" s="89" t="s">
        <v>351</v>
      </c>
      <c r="C30" s="89" t="s">
        <v>352</v>
      </c>
      <c r="D30" s="89" t="s">
        <v>191</v>
      </c>
      <c r="E30" s="90">
        <v>71814</v>
      </c>
      <c r="F30" s="91">
        <v>1020.261498</v>
      </c>
      <c r="G30" s="92">
        <v>6.9876499999999998E-3</v>
      </c>
      <c r="H30" s="87" t="s">
        <v>143</v>
      </c>
    </row>
    <row r="31" spans="1:8" ht="14.25" customHeight="1" x14ac:dyDescent="0.2">
      <c r="A31" s="88">
        <v>25</v>
      </c>
      <c r="B31" s="89" t="s">
        <v>484</v>
      </c>
      <c r="C31" s="89" t="s">
        <v>485</v>
      </c>
      <c r="D31" s="89" t="s">
        <v>223</v>
      </c>
      <c r="E31" s="90">
        <v>20372</v>
      </c>
      <c r="F31" s="91">
        <v>571.02715999999998</v>
      </c>
      <c r="G31" s="92">
        <v>3.9109000000000001E-3</v>
      </c>
      <c r="H31" s="87" t="s">
        <v>143</v>
      </c>
    </row>
    <row r="32" spans="1:8" ht="14.25" customHeight="1" x14ac:dyDescent="0.2">
      <c r="A32" s="93"/>
      <c r="B32" s="93"/>
      <c r="C32" s="94" t="s">
        <v>142</v>
      </c>
      <c r="D32" s="93"/>
      <c r="E32" s="93" t="s">
        <v>143</v>
      </c>
      <c r="F32" s="95">
        <v>138752.16518829999</v>
      </c>
      <c r="G32" s="96">
        <v>0.95029713999999998</v>
      </c>
      <c r="H32" s="87" t="s">
        <v>143</v>
      </c>
    </row>
    <row r="33" spans="1:8" ht="14.25" customHeight="1" x14ac:dyDescent="0.2">
      <c r="A33" s="93"/>
      <c r="B33" s="93"/>
      <c r="C33" s="97"/>
      <c r="D33" s="93"/>
      <c r="E33" s="93"/>
      <c r="F33" s="98"/>
      <c r="G33" s="98"/>
      <c r="H33" s="87" t="s">
        <v>143</v>
      </c>
    </row>
    <row r="34" spans="1:8" ht="14.25" customHeight="1" x14ac:dyDescent="0.2">
      <c r="A34" s="93"/>
      <c r="B34" s="93"/>
      <c r="C34" s="94" t="s">
        <v>144</v>
      </c>
      <c r="D34" s="93"/>
      <c r="E34" s="93"/>
      <c r="F34" s="93"/>
      <c r="G34" s="93"/>
      <c r="H34" s="87" t="s">
        <v>143</v>
      </c>
    </row>
    <row r="35" spans="1:8" ht="14.25" customHeight="1" x14ac:dyDescent="0.2">
      <c r="A35" s="93"/>
      <c r="B35" s="93"/>
      <c r="C35" s="94" t="s">
        <v>142</v>
      </c>
      <c r="D35" s="93"/>
      <c r="E35" s="93" t="s">
        <v>143</v>
      </c>
      <c r="F35" s="99" t="s">
        <v>145</v>
      </c>
      <c r="G35" s="96">
        <v>0</v>
      </c>
      <c r="H35" s="87" t="s">
        <v>143</v>
      </c>
    </row>
    <row r="36" spans="1:8" ht="14.25" customHeight="1" x14ac:dyDescent="0.2">
      <c r="A36" s="93"/>
      <c r="B36" s="93"/>
      <c r="C36" s="97"/>
      <c r="D36" s="93"/>
      <c r="E36" s="93"/>
      <c r="F36" s="98"/>
      <c r="G36" s="98"/>
      <c r="H36" s="87" t="s">
        <v>143</v>
      </c>
    </row>
    <row r="37" spans="1:8" ht="14.25" customHeight="1" x14ac:dyDescent="0.2">
      <c r="A37" s="93"/>
      <c r="B37" s="93"/>
      <c r="C37" s="94" t="s">
        <v>146</v>
      </c>
      <c r="D37" s="93"/>
      <c r="E37" s="93"/>
      <c r="F37" s="93"/>
      <c r="G37" s="93"/>
      <c r="H37" s="87" t="s">
        <v>143</v>
      </c>
    </row>
    <row r="38" spans="1:8" ht="14.25" customHeight="1" x14ac:dyDescent="0.2">
      <c r="A38" s="93"/>
      <c r="B38" s="93"/>
      <c r="C38" s="94" t="s">
        <v>142</v>
      </c>
      <c r="D38" s="93"/>
      <c r="E38" s="93" t="s">
        <v>143</v>
      </c>
      <c r="F38" s="99" t="s">
        <v>145</v>
      </c>
      <c r="G38" s="96">
        <v>0</v>
      </c>
      <c r="H38" s="87" t="s">
        <v>143</v>
      </c>
    </row>
    <row r="39" spans="1:8" ht="14.25" customHeight="1" x14ac:dyDescent="0.2">
      <c r="A39" s="93"/>
      <c r="B39" s="93"/>
      <c r="C39" s="97"/>
      <c r="D39" s="93"/>
      <c r="E39" s="93"/>
      <c r="F39" s="98"/>
      <c r="G39" s="98"/>
      <c r="H39" s="87" t="s">
        <v>143</v>
      </c>
    </row>
    <row r="40" spans="1:8" ht="14.25" customHeight="1" x14ac:dyDescent="0.2">
      <c r="A40" s="93"/>
      <c r="B40" s="93"/>
      <c r="C40" s="94" t="s">
        <v>147</v>
      </c>
      <c r="D40" s="93"/>
      <c r="E40" s="93"/>
      <c r="F40" s="93"/>
      <c r="G40" s="93"/>
      <c r="H40" s="87" t="s">
        <v>143</v>
      </c>
    </row>
    <row r="41" spans="1:8" ht="14.25" customHeight="1" x14ac:dyDescent="0.2">
      <c r="A41" s="93"/>
      <c r="B41" s="93"/>
      <c r="C41" s="94" t="s">
        <v>142</v>
      </c>
      <c r="D41" s="93"/>
      <c r="E41" s="93" t="s">
        <v>143</v>
      </c>
      <c r="F41" s="99" t="s">
        <v>145</v>
      </c>
      <c r="G41" s="96">
        <v>0</v>
      </c>
      <c r="H41" s="87" t="s">
        <v>143</v>
      </c>
    </row>
    <row r="42" spans="1:8" ht="14.25" customHeight="1" x14ac:dyDescent="0.2">
      <c r="A42" s="93"/>
      <c r="B42" s="93"/>
      <c r="C42" s="97"/>
      <c r="D42" s="93"/>
      <c r="E42" s="93"/>
      <c r="F42" s="98"/>
      <c r="G42" s="98"/>
      <c r="H42" s="87" t="s">
        <v>143</v>
      </c>
    </row>
    <row r="43" spans="1:8" ht="14.25" customHeight="1" x14ac:dyDescent="0.2">
      <c r="A43" s="93"/>
      <c r="B43" s="93"/>
      <c r="C43" s="94" t="s">
        <v>148</v>
      </c>
      <c r="D43" s="93"/>
      <c r="E43" s="93"/>
      <c r="F43" s="98"/>
      <c r="G43" s="98"/>
      <c r="H43" s="87" t="s">
        <v>143</v>
      </c>
    </row>
    <row r="44" spans="1:8" ht="14.25" customHeight="1" x14ac:dyDescent="0.2">
      <c r="A44" s="93"/>
      <c r="B44" s="93"/>
      <c r="C44" s="94" t="s">
        <v>142</v>
      </c>
      <c r="D44" s="93"/>
      <c r="E44" s="93" t="s">
        <v>143</v>
      </c>
      <c r="F44" s="99" t="s">
        <v>145</v>
      </c>
      <c r="G44" s="96">
        <v>0</v>
      </c>
      <c r="H44" s="87" t="s">
        <v>143</v>
      </c>
    </row>
    <row r="45" spans="1:8" ht="14.25" customHeight="1" x14ac:dyDescent="0.2">
      <c r="A45" s="93"/>
      <c r="B45" s="93"/>
      <c r="C45" s="97"/>
      <c r="D45" s="93"/>
      <c r="E45" s="93"/>
      <c r="F45" s="98"/>
      <c r="G45" s="98"/>
      <c r="H45" s="87" t="s">
        <v>143</v>
      </c>
    </row>
    <row r="46" spans="1:8" ht="14.25" customHeight="1" x14ac:dyDescent="0.2">
      <c r="A46" s="93"/>
      <c r="B46" s="93"/>
      <c r="C46" s="94" t="s">
        <v>149</v>
      </c>
      <c r="D46" s="93"/>
      <c r="E46" s="93"/>
      <c r="F46" s="98"/>
      <c r="G46" s="98"/>
      <c r="H46" s="87" t="s">
        <v>143</v>
      </c>
    </row>
    <row r="47" spans="1:8" ht="14.25" customHeight="1" x14ac:dyDescent="0.2">
      <c r="A47" s="93"/>
      <c r="B47" s="93"/>
      <c r="C47" s="94" t="s">
        <v>142</v>
      </c>
      <c r="D47" s="93"/>
      <c r="E47" s="93" t="s">
        <v>143</v>
      </c>
      <c r="F47" s="99" t="s">
        <v>145</v>
      </c>
      <c r="G47" s="96">
        <v>0</v>
      </c>
      <c r="H47" s="87" t="s">
        <v>143</v>
      </c>
    </row>
    <row r="48" spans="1:8" ht="14.25" customHeight="1" x14ac:dyDescent="0.2">
      <c r="A48" s="93"/>
      <c r="B48" s="93"/>
      <c r="C48" s="97"/>
      <c r="D48" s="93"/>
      <c r="E48" s="93"/>
      <c r="F48" s="98"/>
      <c r="G48" s="98"/>
      <c r="H48" s="87" t="s">
        <v>143</v>
      </c>
    </row>
    <row r="49" spans="1:8" ht="14.25" customHeight="1" x14ac:dyDescent="0.2">
      <c r="A49" s="93"/>
      <c r="B49" s="93"/>
      <c r="C49" s="94" t="s">
        <v>150</v>
      </c>
      <c r="D49" s="93"/>
      <c r="E49" s="93"/>
      <c r="F49" s="95">
        <v>138752.16518829999</v>
      </c>
      <c r="G49" s="96">
        <v>0.95029713999999998</v>
      </c>
      <c r="H49" s="87" t="s">
        <v>143</v>
      </c>
    </row>
    <row r="50" spans="1:8" ht="14.25" customHeight="1" x14ac:dyDescent="0.2">
      <c r="A50" s="93"/>
      <c r="B50" s="93"/>
      <c r="C50" s="97"/>
      <c r="D50" s="93"/>
      <c r="E50" s="93"/>
      <c r="F50" s="98"/>
      <c r="G50" s="98"/>
      <c r="H50" s="87" t="s">
        <v>143</v>
      </c>
    </row>
    <row r="51" spans="1:8" ht="14.25" customHeight="1" x14ac:dyDescent="0.2">
      <c r="A51" s="93"/>
      <c r="B51" s="93"/>
      <c r="C51" s="94" t="s">
        <v>151</v>
      </c>
      <c r="D51" s="93"/>
      <c r="E51" s="93"/>
      <c r="F51" s="98"/>
      <c r="G51" s="98"/>
      <c r="H51" s="87" t="s">
        <v>143</v>
      </c>
    </row>
    <row r="52" spans="1:8" ht="14.25" customHeight="1" x14ac:dyDescent="0.2">
      <c r="A52" s="93"/>
      <c r="B52" s="93"/>
      <c r="C52" s="94" t="s">
        <v>10</v>
      </c>
      <c r="D52" s="93"/>
      <c r="E52" s="93"/>
      <c r="F52" s="98"/>
      <c r="G52" s="98"/>
      <c r="H52" s="87" t="s">
        <v>143</v>
      </c>
    </row>
    <row r="53" spans="1:8" ht="14.25" customHeight="1" x14ac:dyDescent="0.2">
      <c r="A53" s="93"/>
      <c r="B53" s="93"/>
      <c r="C53" s="94" t="s">
        <v>142</v>
      </c>
      <c r="D53" s="93"/>
      <c r="E53" s="93" t="s">
        <v>143</v>
      </c>
      <c r="F53" s="99" t="s">
        <v>145</v>
      </c>
      <c r="G53" s="96">
        <v>0</v>
      </c>
      <c r="H53" s="87" t="s">
        <v>143</v>
      </c>
    </row>
    <row r="54" spans="1:8" ht="14.25" customHeight="1" x14ac:dyDescent="0.2">
      <c r="A54" s="93"/>
      <c r="B54" s="93"/>
      <c r="C54" s="97"/>
      <c r="D54" s="93"/>
      <c r="E54" s="93"/>
      <c r="F54" s="98"/>
      <c r="G54" s="98"/>
      <c r="H54" s="87" t="s">
        <v>143</v>
      </c>
    </row>
    <row r="55" spans="1:8" ht="14.25" customHeight="1" x14ac:dyDescent="0.2">
      <c r="A55" s="93"/>
      <c r="B55" s="93"/>
      <c r="C55" s="94" t="s">
        <v>152</v>
      </c>
      <c r="D55" s="93"/>
      <c r="E55" s="93"/>
      <c r="F55" s="93"/>
      <c r="G55" s="93"/>
      <c r="H55" s="87" t="s">
        <v>143</v>
      </c>
    </row>
    <row r="56" spans="1:8" ht="14.25" customHeight="1" x14ac:dyDescent="0.2">
      <c r="A56" s="93"/>
      <c r="B56" s="93"/>
      <c r="C56" s="94" t="s">
        <v>142</v>
      </c>
      <c r="D56" s="93"/>
      <c r="E56" s="93" t="s">
        <v>143</v>
      </c>
      <c r="F56" s="99" t="s">
        <v>145</v>
      </c>
      <c r="G56" s="96">
        <v>0</v>
      </c>
      <c r="H56" s="87" t="s">
        <v>143</v>
      </c>
    </row>
    <row r="57" spans="1:8" ht="14.25" customHeight="1" x14ac:dyDescent="0.2">
      <c r="A57" s="93"/>
      <c r="B57" s="93"/>
      <c r="C57" s="97"/>
      <c r="D57" s="93"/>
      <c r="E57" s="93"/>
      <c r="F57" s="98"/>
      <c r="G57" s="98"/>
      <c r="H57" s="87" t="s">
        <v>143</v>
      </c>
    </row>
    <row r="58" spans="1:8" ht="14.25" customHeight="1" x14ac:dyDescent="0.2">
      <c r="A58" s="93"/>
      <c r="B58" s="93"/>
      <c r="C58" s="94" t="s">
        <v>153</v>
      </c>
      <c r="D58" s="93"/>
      <c r="E58" s="93"/>
      <c r="F58" s="93"/>
      <c r="G58" s="93"/>
      <c r="H58" s="87" t="s">
        <v>143</v>
      </c>
    </row>
    <row r="59" spans="1:8" ht="14.25" customHeight="1" x14ac:dyDescent="0.2">
      <c r="A59" s="93"/>
      <c r="B59" s="93"/>
      <c r="C59" s="94" t="s">
        <v>142</v>
      </c>
      <c r="D59" s="93"/>
      <c r="E59" s="93" t="s">
        <v>143</v>
      </c>
      <c r="F59" s="99" t="s">
        <v>145</v>
      </c>
      <c r="G59" s="96">
        <v>0</v>
      </c>
      <c r="H59" s="87" t="s">
        <v>143</v>
      </c>
    </row>
    <row r="60" spans="1:8" ht="14.25" customHeight="1" x14ac:dyDescent="0.2">
      <c r="A60" s="93"/>
      <c r="B60" s="93"/>
      <c r="C60" s="97"/>
      <c r="D60" s="93"/>
      <c r="E60" s="93"/>
      <c r="F60" s="98"/>
      <c r="G60" s="98"/>
      <c r="H60" s="87" t="s">
        <v>143</v>
      </c>
    </row>
    <row r="61" spans="1:8" ht="14.25" customHeight="1" x14ac:dyDescent="0.2">
      <c r="A61" s="93"/>
      <c r="B61" s="93"/>
      <c r="C61" s="94" t="s">
        <v>154</v>
      </c>
      <c r="D61" s="93"/>
      <c r="E61" s="93"/>
      <c r="F61" s="98"/>
      <c r="G61" s="98"/>
      <c r="H61" s="87" t="s">
        <v>143</v>
      </c>
    </row>
    <row r="62" spans="1:8" ht="14.25" customHeight="1" x14ac:dyDescent="0.2">
      <c r="A62" s="93"/>
      <c r="B62" s="93"/>
      <c r="C62" s="94" t="s">
        <v>142</v>
      </c>
      <c r="D62" s="93"/>
      <c r="E62" s="93" t="s">
        <v>143</v>
      </c>
      <c r="F62" s="99" t="s">
        <v>145</v>
      </c>
      <c r="G62" s="96">
        <v>0</v>
      </c>
      <c r="H62" s="87" t="s">
        <v>143</v>
      </c>
    </row>
    <row r="63" spans="1:8" ht="14.25" customHeight="1" x14ac:dyDescent="0.2">
      <c r="A63" s="93"/>
      <c r="B63" s="93"/>
      <c r="C63" s="97"/>
      <c r="D63" s="93"/>
      <c r="E63" s="93"/>
      <c r="F63" s="98"/>
      <c r="G63" s="98"/>
      <c r="H63" s="87" t="s">
        <v>143</v>
      </c>
    </row>
    <row r="64" spans="1:8" ht="14.25" customHeight="1" x14ac:dyDescent="0.2">
      <c r="A64" s="93"/>
      <c r="B64" s="93"/>
      <c r="C64" s="94" t="s">
        <v>155</v>
      </c>
      <c r="D64" s="93"/>
      <c r="E64" s="93"/>
      <c r="F64" s="95">
        <v>0</v>
      </c>
      <c r="G64" s="96">
        <v>0</v>
      </c>
      <c r="H64" s="87" t="s">
        <v>143</v>
      </c>
    </row>
    <row r="65" spans="1:8" ht="14.25" customHeight="1" x14ac:dyDescent="0.2">
      <c r="A65" s="93"/>
      <c r="B65" s="93"/>
      <c r="C65" s="97"/>
      <c r="D65" s="93"/>
      <c r="E65" s="93"/>
      <c r="F65" s="98"/>
      <c r="G65" s="98"/>
      <c r="H65" s="87" t="s">
        <v>143</v>
      </c>
    </row>
    <row r="66" spans="1:8" ht="14.25" customHeight="1" x14ac:dyDescent="0.2">
      <c r="A66" s="93"/>
      <c r="B66" s="93"/>
      <c r="C66" s="94" t="s">
        <v>156</v>
      </c>
      <c r="D66" s="93"/>
      <c r="E66" s="93"/>
      <c r="F66" s="98"/>
      <c r="G66" s="98"/>
      <c r="H66" s="87" t="s">
        <v>143</v>
      </c>
    </row>
    <row r="67" spans="1:8" ht="14.25" customHeight="1" x14ac:dyDescent="0.2">
      <c r="A67" s="93"/>
      <c r="B67" s="93"/>
      <c r="C67" s="94" t="s">
        <v>157</v>
      </c>
      <c r="D67" s="93"/>
      <c r="E67" s="93"/>
      <c r="F67" s="98"/>
      <c r="G67" s="98"/>
      <c r="H67" s="87" t="s">
        <v>143</v>
      </c>
    </row>
    <row r="68" spans="1:8" ht="14.25" customHeight="1" x14ac:dyDescent="0.2">
      <c r="A68" s="93"/>
      <c r="B68" s="93"/>
      <c r="C68" s="94" t="s">
        <v>142</v>
      </c>
      <c r="D68" s="93"/>
      <c r="E68" s="93" t="s">
        <v>143</v>
      </c>
      <c r="F68" s="99" t="s">
        <v>145</v>
      </c>
      <c r="G68" s="96">
        <v>0</v>
      </c>
      <c r="H68" s="87" t="s">
        <v>143</v>
      </c>
    </row>
    <row r="69" spans="1:8" ht="14.25" customHeight="1" x14ac:dyDescent="0.2">
      <c r="A69" s="93"/>
      <c r="B69" s="93"/>
      <c r="C69" s="97"/>
      <c r="D69" s="93"/>
      <c r="E69" s="93"/>
      <c r="F69" s="98"/>
      <c r="G69" s="98"/>
      <c r="H69" s="87" t="s">
        <v>143</v>
      </c>
    </row>
    <row r="70" spans="1:8" ht="14.25" customHeight="1" x14ac:dyDescent="0.2">
      <c r="A70" s="93"/>
      <c r="B70" s="93"/>
      <c r="C70" s="94" t="s">
        <v>158</v>
      </c>
      <c r="D70" s="93"/>
      <c r="E70" s="93"/>
      <c r="F70" s="98"/>
      <c r="G70" s="98"/>
      <c r="H70" s="87" t="s">
        <v>143</v>
      </c>
    </row>
    <row r="71" spans="1:8" ht="14.25" customHeight="1" x14ac:dyDescent="0.2">
      <c r="A71" s="93"/>
      <c r="B71" s="93"/>
      <c r="C71" s="94" t="s">
        <v>142</v>
      </c>
      <c r="D71" s="93"/>
      <c r="E71" s="93" t="s">
        <v>143</v>
      </c>
      <c r="F71" s="99" t="s">
        <v>145</v>
      </c>
      <c r="G71" s="96">
        <v>0</v>
      </c>
      <c r="H71" s="87" t="s">
        <v>143</v>
      </c>
    </row>
    <row r="72" spans="1:8" ht="14.25" customHeight="1" x14ac:dyDescent="0.2">
      <c r="A72" s="93"/>
      <c r="B72" s="93"/>
      <c r="C72" s="97"/>
      <c r="D72" s="93"/>
      <c r="E72" s="93"/>
      <c r="F72" s="98"/>
      <c r="G72" s="98"/>
      <c r="H72" s="87" t="s">
        <v>143</v>
      </c>
    </row>
    <row r="73" spans="1:8" ht="14.25" customHeight="1" x14ac:dyDescent="0.2">
      <c r="A73" s="93"/>
      <c r="B73" s="93"/>
      <c r="C73" s="94" t="s">
        <v>159</v>
      </c>
      <c r="D73" s="93"/>
      <c r="E73" s="93"/>
      <c r="F73" s="98"/>
      <c r="G73" s="98"/>
      <c r="H73" s="87" t="s">
        <v>143</v>
      </c>
    </row>
    <row r="74" spans="1:8" ht="14.25" customHeight="1" x14ac:dyDescent="0.2">
      <c r="A74" s="88">
        <v>1</v>
      </c>
      <c r="B74" s="89" t="s">
        <v>815</v>
      </c>
      <c r="C74" s="89" t="s">
        <v>1150</v>
      </c>
      <c r="D74" s="89" t="s">
        <v>606</v>
      </c>
      <c r="E74" s="90">
        <v>1500000</v>
      </c>
      <c r="F74" s="91">
        <v>1497.768</v>
      </c>
      <c r="G74" s="92">
        <v>1.025804E-2</v>
      </c>
      <c r="H74" s="87">
        <v>5.44</v>
      </c>
    </row>
    <row r="75" spans="1:8" ht="14.25" customHeight="1" x14ac:dyDescent="0.2">
      <c r="A75" s="93"/>
      <c r="B75" s="93"/>
      <c r="C75" s="94" t="s">
        <v>142</v>
      </c>
      <c r="D75" s="93"/>
      <c r="E75" s="93" t="s">
        <v>143</v>
      </c>
      <c r="F75" s="95">
        <v>1497.768</v>
      </c>
      <c r="G75" s="96">
        <v>1.025804E-2</v>
      </c>
      <c r="H75" s="87" t="s">
        <v>143</v>
      </c>
    </row>
    <row r="76" spans="1:8" ht="14.25" customHeight="1" x14ac:dyDescent="0.2">
      <c r="A76" s="93"/>
      <c r="B76" s="93"/>
      <c r="C76" s="97"/>
      <c r="D76" s="93"/>
      <c r="E76" s="93"/>
      <c r="F76" s="98"/>
      <c r="G76" s="98"/>
      <c r="H76" s="87" t="s">
        <v>143</v>
      </c>
    </row>
    <row r="77" spans="1:8" ht="14.25" customHeight="1" x14ac:dyDescent="0.2">
      <c r="A77" s="93"/>
      <c r="B77" s="93"/>
      <c r="C77" s="94" t="s">
        <v>160</v>
      </c>
      <c r="D77" s="93"/>
      <c r="E77" s="93"/>
      <c r="F77" s="98"/>
      <c r="G77" s="98"/>
      <c r="H77" s="87" t="s">
        <v>143</v>
      </c>
    </row>
    <row r="78" spans="1:8" ht="14.25" customHeight="1" x14ac:dyDescent="0.2">
      <c r="A78" s="88">
        <v>1</v>
      </c>
      <c r="B78" s="89"/>
      <c r="C78" s="89" t="s">
        <v>161</v>
      </c>
      <c r="D78" s="89"/>
      <c r="E78" s="100"/>
      <c r="F78" s="91">
        <v>3742.22179899</v>
      </c>
      <c r="G78" s="92">
        <v>2.5630030000000002E-2</v>
      </c>
      <c r="H78" s="87">
        <v>5.38</v>
      </c>
    </row>
    <row r="79" spans="1:8" ht="14.25" customHeight="1" x14ac:dyDescent="0.2">
      <c r="A79" s="93"/>
      <c r="B79" s="93"/>
      <c r="C79" s="94" t="s">
        <v>142</v>
      </c>
      <c r="D79" s="93"/>
      <c r="E79" s="93" t="s">
        <v>143</v>
      </c>
      <c r="F79" s="95">
        <v>3742.22179899</v>
      </c>
      <c r="G79" s="96">
        <v>2.5630030000000002E-2</v>
      </c>
      <c r="H79" s="87" t="s">
        <v>143</v>
      </c>
    </row>
    <row r="80" spans="1:8" ht="14.25" customHeight="1" x14ac:dyDescent="0.2">
      <c r="A80" s="93"/>
      <c r="B80" s="93"/>
      <c r="C80" s="97"/>
      <c r="D80" s="93"/>
      <c r="E80" s="93"/>
      <c r="F80" s="98"/>
      <c r="G80" s="98"/>
      <c r="H80" s="87" t="s">
        <v>143</v>
      </c>
    </row>
    <row r="81" spans="1:8" ht="14.25" customHeight="1" x14ac:dyDescent="0.2">
      <c r="A81" s="93"/>
      <c r="B81" s="93"/>
      <c r="C81" s="94" t="s">
        <v>162</v>
      </c>
      <c r="D81" s="93"/>
      <c r="E81" s="93"/>
      <c r="F81" s="95">
        <v>5239.9897989900001</v>
      </c>
      <c r="G81" s="96">
        <v>3.5888070000000001E-2</v>
      </c>
      <c r="H81" s="87" t="s">
        <v>143</v>
      </c>
    </row>
    <row r="82" spans="1:8" ht="14.25" customHeight="1" x14ac:dyDescent="0.2">
      <c r="A82" s="93"/>
      <c r="B82" s="93"/>
      <c r="C82" s="98"/>
      <c r="D82" s="93"/>
      <c r="E82" s="93"/>
      <c r="F82" s="93"/>
      <c r="G82" s="93"/>
      <c r="H82" s="87" t="s">
        <v>143</v>
      </c>
    </row>
    <row r="83" spans="1:8" ht="14.25" customHeight="1" x14ac:dyDescent="0.2">
      <c r="A83" s="93"/>
      <c r="B83" s="93"/>
      <c r="C83" s="94" t="s">
        <v>163</v>
      </c>
      <c r="D83" s="93"/>
      <c r="E83" s="93"/>
      <c r="F83" s="93"/>
      <c r="G83" s="93"/>
      <c r="H83" s="87" t="s">
        <v>143</v>
      </c>
    </row>
    <row r="84" spans="1:8" ht="14.25" customHeight="1" x14ac:dyDescent="0.2">
      <c r="A84" s="93"/>
      <c r="B84" s="93"/>
      <c r="C84" s="94" t="s">
        <v>164</v>
      </c>
      <c r="D84" s="93"/>
      <c r="E84" s="93"/>
      <c r="F84" s="93"/>
      <c r="G84" s="93"/>
      <c r="H84" s="87" t="s">
        <v>143</v>
      </c>
    </row>
    <row r="85" spans="1:8" ht="14.25" customHeight="1" x14ac:dyDescent="0.2">
      <c r="A85" s="88">
        <v>1</v>
      </c>
      <c r="B85" s="89" t="s">
        <v>500</v>
      </c>
      <c r="C85" s="89" t="s">
        <v>501</v>
      </c>
      <c r="D85" s="89"/>
      <c r="E85" s="126">
        <v>9815428.0309999995</v>
      </c>
      <c r="F85" s="91">
        <v>1500.5335602390001</v>
      </c>
      <c r="G85" s="92">
        <v>1.027698E-2</v>
      </c>
      <c r="H85" s="87" t="s">
        <v>143</v>
      </c>
    </row>
    <row r="86" spans="1:8" ht="14.25" customHeight="1" x14ac:dyDescent="0.2">
      <c r="A86" s="93"/>
      <c r="B86" s="93"/>
      <c r="C86" s="94" t="s">
        <v>142</v>
      </c>
      <c r="D86" s="93"/>
      <c r="E86" s="93" t="s">
        <v>143</v>
      </c>
      <c r="F86" s="95">
        <v>1500.5335602390001</v>
      </c>
      <c r="G86" s="96">
        <v>1.027698E-2</v>
      </c>
      <c r="H86" s="87" t="s">
        <v>143</v>
      </c>
    </row>
    <row r="87" spans="1:8" ht="14.25" customHeight="1" x14ac:dyDescent="0.2">
      <c r="A87" s="93"/>
      <c r="B87" s="93"/>
      <c r="C87" s="97"/>
      <c r="D87" s="93"/>
      <c r="E87" s="93"/>
      <c r="F87" s="98"/>
      <c r="G87" s="98"/>
      <c r="H87" s="87" t="s">
        <v>143</v>
      </c>
    </row>
    <row r="88" spans="1:8" ht="14.25" customHeight="1" x14ac:dyDescent="0.2">
      <c r="A88" s="93"/>
      <c r="B88" s="93"/>
      <c r="C88" s="94" t="s">
        <v>165</v>
      </c>
      <c r="D88" s="93"/>
      <c r="E88" s="93"/>
      <c r="F88" s="93"/>
      <c r="G88" s="93"/>
      <c r="H88" s="87" t="s">
        <v>143</v>
      </c>
    </row>
    <row r="89" spans="1:8" ht="14.25" customHeight="1" x14ac:dyDescent="0.2">
      <c r="A89" s="93"/>
      <c r="B89" s="93"/>
      <c r="C89" s="94" t="s">
        <v>166</v>
      </c>
      <c r="D89" s="93"/>
      <c r="E89" s="93"/>
      <c r="F89" s="93"/>
      <c r="G89" s="93"/>
      <c r="H89" s="87" t="s">
        <v>143</v>
      </c>
    </row>
    <row r="90" spans="1:8" ht="14.25" customHeight="1" x14ac:dyDescent="0.2">
      <c r="A90" s="93"/>
      <c r="B90" s="93"/>
      <c r="C90" s="94" t="s">
        <v>142</v>
      </c>
      <c r="D90" s="93"/>
      <c r="E90" s="93" t="s">
        <v>143</v>
      </c>
      <c r="F90" s="99" t="s">
        <v>145</v>
      </c>
      <c r="G90" s="96">
        <v>0</v>
      </c>
      <c r="H90" s="87" t="s">
        <v>143</v>
      </c>
    </row>
    <row r="91" spans="1:8" ht="14.25" customHeight="1" x14ac:dyDescent="0.2">
      <c r="A91" s="93"/>
      <c r="B91" s="93"/>
      <c r="C91" s="97"/>
      <c r="D91" s="93"/>
      <c r="E91" s="93"/>
      <c r="F91" s="98"/>
      <c r="G91" s="98"/>
      <c r="H91" s="87" t="s">
        <v>143</v>
      </c>
    </row>
    <row r="92" spans="1:8" ht="14.25" customHeight="1" x14ac:dyDescent="0.2">
      <c r="A92" s="93"/>
      <c r="B92" s="93"/>
      <c r="C92" s="94" t="s">
        <v>167</v>
      </c>
      <c r="D92" s="93"/>
      <c r="E92" s="93"/>
      <c r="F92" s="98"/>
      <c r="G92" s="98"/>
      <c r="H92" s="87" t="s">
        <v>143</v>
      </c>
    </row>
    <row r="93" spans="1:8" ht="14.25" customHeight="1" x14ac:dyDescent="0.2">
      <c r="A93" s="93"/>
      <c r="B93" s="93"/>
      <c r="C93" s="94" t="s">
        <v>142</v>
      </c>
      <c r="D93" s="93"/>
      <c r="E93" s="93" t="s">
        <v>143</v>
      </c>
      <c r="F93" s="99" t="s">
        <v>145</v>
      </c>
      <c r="G93" s="96">
        <v>0</v>
      </c>
      <c r="H93" s="87" t="s">
        <v>143</v>
      </c>
    </row>
    <row r="94" spans="1:8" ht="14.25" customHeight="1" x14ac:dyDescent="0.2">
      <c r="A94" s="93"/>
      <c r="B94" s="93"/>
      <c r="C94" s="97"/>
      <c r="D94" s="93"/>
      <c r="E94" s="93"/>
      <c r="F94" s="98"/>
      <c r="G94" s="98"/>
      <c r="H94" s="87" t="s">
        <v>143</v>
      </c>
    </row>
    <row r="95" spans="1:8" ht="14.25" customHeight="1" x14ac:dyDescent="0.2">
      <c r="A95" s="100"/>
      <c r="B95" s="89"/>
      <c r="C95" s="89" t="s">
        <v>1000</v>
      </c>
      <c r="D95" s="89"/>
      <c r="E95" s="100"/>
      <c r="F95" s="91">
        <v>516.55571511999995</v>
      </c>
      <c r="G95" s="92">
        <v>3.5378300000000001E-3</v>
      </c>
      <c r="H95" s="87" t="s">
        <v>143</v>
      </c>
    </row>
    <row r="96" spans="1:8" ht="14.25" customHeight="1" x14ac:dyDescent="0.2">
      <c r="A96" s="97"/>
      <c r="B96" s="97"/>
      <c r="C96" s="94" t="s">
        <v>169</v>
      </c>
      <c r="D96" s="98"/>
      <c r="E96" s="98"/>
      <c r="F96" s="95">
        <v>146009.24426264901</v>
      </c>
      <c r="G96" s="101">
        <v>1.0000000200000001</v>
      </c>
      <c r="H96" s="87" t="s">
        <v>143</v>
      </c>
    </row>
    <row r="97" spans="1:17" ht="12.75" x14ac:dyDescent="0.2">
      <c r="A97" s="102"/>
      <c r="B97" s="102"/>
      <c r="C97" s="102"/>
      <c r="D97" s="103"/>
      <c r="E97" s="103"/>
      <c r="F97" s="103"/>
      <c r="G97" s="103"/>
    </row>
    <row r="98" spans="1:17" ht="12.75" x14ac:dyDescent="0.2">
      <c r="A98" s="104"/>
      <c r="B98" s="206" t="s">
        <v>942</v>
      </c>
      <c r="C98" s="206"/>
      <c r="D98" s="206"/>
      <c r="E98" s="206"/>
      <c r="F98" s="206"/>
      <c r="G98" s="206"/>
      <c r="H98" s="206"/>
      <c r="J98" s="106"/>
    </row>
    <row r="99" spans="1:17" ht="12.75" x14ac:dyDescent="0.2">
      <c r="A99" s="104"/>
      <c r="B99" s="206" t="s">
        <v>943</v>
      </c>
      <c r="C99" s="206"/>
      <c r="D99" s="206"/>
      <c r="E99" s="206"/>
      <c r="F99" s="206"/>
      <c r="G99" s="206"/>
      <c r="H99" s="206"/>
      <c r="J99" s="106"/>
    </row>
    <row r="100" spans="1:17" ht="12.75" x14ac:dyDescent="0.2">
      <c r="A100" s="104"/>
      <c r="B100" s="206" t="s">
        <v>944</v>
      </c>
      <c r="C100" s="206"/>
      <c r="D100" s="206"/>
      <c r="E100" s="206"/>
      <c r="F100" s="206"/>
      <c r="G100" s="206"/>
      <c r="H100" s="206"/>
      <c r="J100" s="106"/>
    </row>
    <row r="101" spans="1:17" s="108" customFormat="1" ht="66.75" customHeight="1" x14ac:dyDescent="0.25">
      <c r="A101" s="107"/>
      <c r="B101" s="207" t="s">
        <v>945</v>
      </c>
      <c r="C101" s="207"/>
      <c r="D101" s="207"/>
      <c r="E101" s="207"/>
      <c r="F101" s="207"/>
      <c r="G101" s="207"/>
      <c r="H101" s="207"/>
      <c r="I101"/>
      <c r="J101" s="106"/>
      <c r="K101"/>
      <c r="L101"/>
      <c r="M101"/>
      <c r="N101"/>
      <c r="O101"/>
      <c r="P101"/>
      <c r="Q101"/>
    </row>
    <row r="102" spans="1:17" ht="12.75" x14ac:dyDescent="0.2">
      <c r="A102" s="104"/>
      <c r="B102" s="206" t="s">
        <v>946</v>
      </c>
      <c r="C102" s="206"/>
      <c r="D102" s="206"/>
      <c r="E102" s="206"/>
      <c r="F102" s="206"/>
      <c r="G102" s="206"/>
      <c r="H102" s="206"/>
      <c r="J102" s="106"/>
    </row>
    <row r="103" spans="1:17" ht="12.75" x14ac:dyDescent="0.2">
      <c r="A103" s="104"/>
      <c r="B103" s="104"/>
      <c r="C103" s="104"/>
      <c r="D103" s="109"/>
      <c r="E103" s="109"/>
      <c r="F103" s="109"/>
      <c r="G103" s="109"/>
    </row>
    <row r="104" spans="1:17" ht="12.75" x14ac:dyDescent="0.2">
      <c r="A104" s="104"/>
      <c r="B104" s="199" t="s">
        <v>170</v>
      </c>
      <c r="C104" s="200"/>
      <c r="D104" s="201"/>
      <c r="E104" s="110"/>
      <c r="F104" s="109"/>
      <c r="G104" s="109"/>
    </row>
    <row r="105" spans="1:17" ht="27.75" customHeight="1" x14ac:dyDescent="0.2">
      <c r="A105" s="104"/>
      <c r="B105" s="202" t="s">
        <v>171</v>
      </c>
      <c r="C105" s="203"/>
      <c r="D105" s="86" t="s">
        <v>172</v>
      </c>
      <c r="E105" s="110"/>
      <c r="F105" s="109"/>
      <c r="G105" s="109"/>
    </row>
    <row r="106" spans="1:17" ht="12.75" customHeight="1" x14ac:dyDescent="0.2">
      <c r="A106" s="104"/>
      <c r="B106" s="202" t="s">
        <v>947</v>
      </c>
      <c r="C106" s="203"/>
      <c r="D106" s="86" t="s">
        <v>172</v>
      </c>
      <c r="E106" s="110"/>
      <c r="F106" s="109"/>
      <c r="G106" s="109"/>
    </row>
    <row r="107" spans="1:17" ht="12.75" x14ac:dyDescent="0.2">
      <c r="A107" s="104"/>
      <c r="B107" s="202" t="s">
        <v>173</v>
      </c>
      <c r="C107" s="203"/>
      <c r="D107" s="111" t="s">
        <v>143</v>
      </c>
      <c r="E107" s="110"/>
      <c r="F107" s="109"/>
      <c r="G107" s="109"/>
    </row>
    <row r="108" spans="1:17" ht="12.75" x14ac:dyDescent="0.2">
      <c r="A108" s="112"/>
      <c r="B108" s="113" t="s">
        <v>143</v>
      </c>
      <c r="C108" s="113" t="s">
        <v>948</v>
      </c>
      <c r="D108" s="113" t="s">
        <v>174</v>
      </c>
      <c r="E108" s="112"/>
      <c r="F108" s="112"/>
      <c r="G108" s="112"/>
      <c r="H108" s="112"/>
      <c r="J108" s="106"/>
    </row>
    <row r="109" spans="1:17" ht="12.75" x14ac:dyDescent="0.2">
      <c r="A109" s="112"/>
      <c r="B109" s="114" t="s">
        <v>175</v>
      </c>
      <c r="C109" s="115">
        <v>45869</v>
      </c>
      <c r="D109" s="115">
        <v>45900</v>
      </c>
      <c r="E109" s="112"/>
      <c r="F109" s="112"/>
      <c r="G109" s="112"/>
      <c r="J109" s="106"/>
    </row>
    <row r="110" spans="1:17" ht="14.25" customHeight="1" x14ac:dyDescent="0.2">
      <c r="A110" s="116"/>
      <c r="B110" s="89" t="s">
        <v>176</v>
      </c>
      <c r="C110" s="117">
        <v>116.1484</v>
      </c>
      <c r="D110" s="117">
        <v>109.52419999999999</v>
      </c>
      <c r="E110" s="116"/>
      <c r="F110" s="118"/>
      <c r="G110" s="119"/>
    </row>
    <row r="111" spans="1:17" ht="14.25" customHeight="1" x14ac:dyDescent="0.2">
      <c r="A111" s="116"/>
      <c r="B111" s="89" t="s">
        <v>954</v>
      </c>
      <c r="C111" s="117">
        <v>36.604599999999998</v>
      </c>
      <c r="D111" s="117">
        <v>34.5169</v>
      </c>
      <c r="E111" s="116"/>
      <c r="F111" s="118"/>
      <c r="G111" s="119"/>
    </row>
    <row r="112" spans="1:17" ht="14.25" customHeight="1" x14ac:dyDescent="0.2">
      <c r="A112" s="116"/>
      <c r="B112" s="89" t="s">
        <v>177</v>
      </c>
      <c r="C112" s="117">
        <v>102.886</v>
      </c>
      <c r="D112" s="117">
        <v>96.909499999999994</v>
      </c>
      <c r="E112" s="116"/>
      <c r="F112" s="118"/>
      <c r="G112" s="119"/>
    </row>
    <row r="113" spans="1:7" ht="14.25" customHeight="1" x14ac:dyDescent="0.2">
      <c r="A113" s="116"/>
      <c r="B113" s="89" t="s">
        <v>955</v>
      </c>
      <c r="C113" s="117">
        <v>31.895900000000001</v>
      </c>
      <c r="D113" s="117">
        <v>30.043099999999999</v>
      </c>
      <c r="E113" s="116"/>
      <c r="F113" s="118"/>
      <c r="G113" s="119"/>
    </row>
    <row r="114" spans="1:7" ht="14.25" customHeight="1" x14ac:dyDescent="0.2">
      <c r="A114" s="116"/>
      <c r="B114" s="116"/>
      <c r="C114" s="116"/>
      <c r="D114" s="116"/>
      <c r="E114" s="116"/>
      <c r="F114" s="116"/>
      <c r="G114" s="116"/>
    </row>
    <row r="115" spans="1:7" ht="12.75" x14ac:dyDescent="0.2">
      <c r="A115" s="112"/>
      <c r="B115" s="202" t="s">
        <v>949</v>
      </c>
      <c r="C115" s="203"/>
      <c r="D115" s="86" t="s">
        <v>172</v>
      </c>
      <c r="E115" s="112"/>
      <c r="F115" s="112"/>
      <c r="G115" s="112"/>
    </row>
    <row r="116" spans="1:7" ht="12.75" x14ac:dyDescent="0.2">
      <c r="A116" s="112"/>
      <c r="B116" s="120"/>
      <c r="C116" s="120"/>
      <c r="D116" s="120"/>
      <c r="E116" s="112"/>
      <c r="F116" s="112"/>
      <c r="G116" s="112"/>
    </row>
    <row r="117" spans="1:7" ht="12.75" x14ac:dyDescent="0.2">
      <c r="A117" s="112"/>
      <c r="B117" s="202" t="s">
        <v>178</v>
      </c>
      <c r="C117" s="203"/>
      <c r="D117" s="86" t="s">
        <v>172</v>
      </c>
      <c r="E117" s="121"/>
      <c r="F117" s="112"/>
      <c r="G117" s="112"/>
    </row>
    <row r="118" spans="1:7" ht="12.75" x14ac:dyDescent="0.2">
      <c r="A118" s="112"/>
      <c r="B118" s="202" t="s">
        <v>179</v>
      </c>
      <c r="C118" s="203"/>
      <c r="D118" s="86" t="s">
        <v>172</v>
      </c>
      <c r="E118" s="121"/>
      <c r="F118" s="112"/>
      <c r="G118" s="112"/>
    </row>
    <row r="119" spans="1:7" ht="12.75" x14ac:dyDescent="0.2">
      <c r="A119" s="112"/>
      <c r="B119" s="202" t="s">
        <v>180</v>
      </c>
      <c r="C119" s="203"/>
      <c r="D119" s="86" t="s">
        <v>172</v>
      </c>
      <c r="E119" s="121"/>
      <c r="F119" s="112"/>
      <c r="G119" s="112"/>
    </row>
    <row r="120" spans="1:7" ht="12.75" x14ac:dyDescent="0.2">
      <c r="A120" s="112"/>
      <c r="B120" s="202" t="s">
        <v>181</v>
      </c>
      <c r="C120" s="203"/>
      <c r="D120" s="122">
        <v>0.60325491122838726</v>
      </c>
      <c r="E120" s="112"/>
      <c r="F120" s="105"/>
      <c r="G120" s="123"/>
    </row>
    <row r="121" spans="1:7" ht="12.75" x14ac:dyDescent="0.2"/>
    <row r="122" spans="1:7" ht="12.75" x14ac:dyDescent="0.2">
      <c r="B122" s="204" t="s">
        <v>950</v>
      </c>
      <c r="C122" s="204"/>
    </row>
    <row r="123" spans="1:7" ht="12.75" x14ac:dyDescent="0.2"/>
    <row r="124" spans="1:7" ht="153.75" customHeight="1" x14ac:dyDescent="0.2"/>
    <row r="125" spans="1:7" ht="12.75" x14ac:dyDescent="0.2"/>
    <row r="126" spans="1:7" ht="12.75" x14ac:dyDescent="0.2"/>
    <row r="127" spans="1:7" ht="12.75" x14ac:dyDescent="0.2">
      <c r="B127" s="124" t="s">
        <v>951</v>
      </c>
      <c r="C127" s="125"/>
      <c r="D127" s="124"/>
    </row>
    <row r="128" spans="1:7" ht="12.75" x14ac:dyDescent="0.2">
      <c r="B128" s="124" t="s">
        <v>1130</v>
      </c>
      <c r="D128" s="124"/>
    </row>
    <row r="129" customFormat="1" ht="165" customHeight="1" x14ac:dyDescent="0.2"/>
    <row r="130" customFormat="1" ht="12.75" x14ac:dyDescent="0.2"/>
    <row r="131" customFormat="1" ht="12.75" x14ac:dyDescent="0.2"/>
    <row r="132" customFormat="1" ht="12.75" x14ac:dyDescent="0.2"/>
    <row r="133" customFormat="1" ht="12.75" x14ac:dyDescent="0.2"/>
    <row r="134" customFormat="1" ht="12.75" x14ac:dyDescent="0.2"/>
    <row r="135" customFormat="1" ht="12.75" x14ac:dyDescent="0.2"/>
  </sheetData>
  <mergeCells count="18">
    <mergeCell ref="B101:H101"/>
    <mergeCell ref="B102:H102"/>
    <mergeCell ref="B104:D104"/>
    <mergeCell ref="B105:C105"/>
    <mergeCell ref="B122:C122"/>
    <mergeCell ref="A1:H1"/>
    <mergeCell ref="A2:H2"/>
    <mergeCell ref="A3:H3"/>
    <mergeCell ref="B115:C115"/>
    <mergeCell ref="B119:C119"/>
    <mergeCell ref="B120:C120"/>
    <mergeCell ref="B98:H98"/>
    <mergeCell ref="B99:H99"/>
    <mergeCell ref="B106:C106"/>
    <mergeCell ref="B107:C107"/>
    <mergeCell ref="B117:C117"/>
    <mergeCell ref="B118:C118"/>
    <mergeCell ref="B100:H100"/>
  </mergeCells>
  <hyperlinks>
    <hyperlink ref="I1" location="Index!B2" display="Index" xr:uid="{4C5426CB-8D27-4EC2-AE9B-8FB8F50DFBAC}"/>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7B10D-9CA6-407C-B426-50981A6CE318}">
  <sheetPr>
    <outlinePr summaryBelow="0" summaryRight="0"/>
  </sheetPr>
  <dimension ref="A1:Q207"/>
  <sheetViews>
    <sheetView showGridLines="0" workbookViewId="0">
      <selection sqref="A1:H1"/>
    </sheetView>
  </sheetViews>
  <sheetFormatPr defaultRowHeight="14.25" customHeight="1" x14ac:dyDescent="0.2"/>
  <cols>
    <col min="1" max="1" width="5.85546875" bestFit="1" customWidth="1"/>
    <col min="2" max="2" width="19.7109375" customWidth="1"/>
    <col min="3" max="3" width="51.140625" bestFit="1" customWidth="1"/>
    <col min="4" max="4" width="29.28515625" bestFit="1" customWidth="1"/>
    <col min="5" max="5" width="13.570312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839</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321</v>
      </c>
      <c r="C7" s="89" t="s">
        <v>322</v>
      </c>
      <c r="D7" s="89" t="s">
        <v>33</v>
      </c>
      <c r="E7" s="90">
        <v>1728130</v>
      </c>
      <c r="F7" s="91">
        <v>16444.88508</v>
      </c>
      <c r="G7" s="92">
        <v>6.1608540000000003E-2</v>
      </c>
      <c r="H7" s="87" t="s">
        <v>143</v>
      </c>
    </row>
    <row r="8" spans="1:9" ht="14.25" customHeight="1" x14ac:dyDescent="0.2">
      <c r="A8" s="88">
        <v>2</v>
      </c>
      <c r="B8" s="89" t="s">
        <v>31</v>
      </c>
      <c r="C8" s="89" t="s">
        <v>32</v>
      </c>
      <c r="D8" s="89" t="s">
        <v>33</v>
      </c>
      <c r="E8" s="90">
        <v>924715</v>
      </c>
      <c r="F8" s="91">
        <v>12925.66627</v>
      </c>
      <c r="G8" s="92">
        <v>4.8424259999999997E-2</v>
      </c>
      <c r="H8" s="87" t="s">
        <v>143</v>
      </c>
    </row>
    <row r="9" spans="1:9" ht="14.25" customHeight="1" x14ac:dyDescent="0.2">
      <c r="A9" s="88">
        <v>3</v>
      </c>
      <c r="B9" s="89" t="s">
        <v>17</v>
      </c>
      <c r="C9" s="89" t="s">
        <v>18</v>
      </c>
      <c r="D9" s="89" t="s">
        <v>19</v>
      </c>
      <c r="E9" s="90">
        <v>752806</v>
      </c>
      <c r="F9" s="91">
        <v>10217.083032</v>
      </c>
      <c r="G9" s="92">
        <v>3.8276919999999999E-2</v>
      </c>
      <c r="H9" s="87" t="s">
        <v>143</v>
      </c>
    </row>
    <row r="10" spans="1:9" ht="14.25" customHeight="1" x14ac:dyDescent="0.2">
      <c r="A10" s="88">
        <v>4</v>
      </c>
      <c r="B10" s="89" t="s">
        <v>11</v>
      </c>
      <c r="C10" s="89" t="s">
        <v>12</v>
      </c>
      <c r="D10" s="89" t="s">
        <v>13</v>
      </c>
      <c r="E10" s="90">
        <v>526575</v>
      </c>
      <c r="F10" s="91">
        <v>9945.9485999999997</v>
      </c>
      <c r="G10" s="92">
        <v>3.726115E-2</v>
      </c>
      <c r="H10" s="87" t="s">
        <v>143</v>
      </c>
    </row>
    <row r="11" spans="1:9" ht="14.25" customHeight="1" x14ac:dyDescent="0.2">
      <c r="A11" s="88">
        <v>5</v>
      </c>
      <c r="B11" s="89" t="s">
        <v>331</v>
      </c>
      <c r="C11" s="89" t="s">
        <v>332</v>
      </c>
      <c r="D11" s="89" t="s">
        <v>243</v>
      </c>
      <c r="E11" s="90">
        <v>261100</v>
      </c>
      <c r="F11" s="91">
        <v>8353.8945000000003</v>
      </c>
      <c r="G11" s="92">
        <v>3.1296740000000003E-2</v>
      </c>
      <c r="H11" s="87" t="s">
        <v>143</v>
      </c>
    </row>
    <row r="12" spans="1:9" ht="14.25" customHeight="1" x14ac:dyDescent="0.2">
      <c r="A12" s="88">
        <v>6</v>
      </c>
      <c r="B12" s="89" t="s">
        <v>14</v>
      </c>
      <c r="C12" s="89" t="s">
        <v>15</v>
      </c>
      <c r="D12" s="89" t="s">
        <v>16</v>
      </c>
      <c r="E12" s="90">
        <v>217003</v>
      </c>
      <c r="F12" s="91">
        <v>7814.2780300000004</v>
      </c>
      <c r="G12" s="92">
        <v>2.9275140000000002E-2</v>
      </c>
      <c r="H12" s="87" t="s">
        <v>143</v>
      </c>
    </row>
    <row r="13" spans="1:9" ht="14.25" customHeight="1" x14ac:dyDescent="0.2">
      <c r="A13" s="88">
        <v>7</v>
      </c>
      <c r="B13" s="89" t="s">
        <v>325</v>
      </c>
      <c r="C13" s="89" t="s">
        <v>326</v>
      </c>
      <c r="D13" s="89" t="s">
        <v>199</v>
      </c>
      <c r="E13" s="90">
        <v>488778</v>
      </c>
      <c r="F13" s="91">
        <v>7183.0814879999998</v>
      </c>
      <c r="G13" s="92">
        <v>2.6910449999999999E-2</v>
      </c>
      <c r="H13" s="87" t="s">
        <v>143</v>
      </c>
    </row>
    <row r="14" spans="1:9" ht="14.25" customHeight="1" x14ac:dyDescent="0.2">
      <c r="A14" s="88">
        <v>8</v>
      </c>
      <c r="B14" s="89" t="s">
        <v>323</v>
      </c>
      <c r="C14" s="89" t="s">
        <v>324</v>
      </c>
      <c r="D14" s="89" t="s">
        <v>33</v>
      </c>
      <c r="E14" s="90">
        <v>328002</v>
      </c>
      <c r="F14" s="91">
        <v>6429.823206</v>
      </c>
      <c r="G14" s="92">
        <v>2.4088470000000001E-2</v>
      </c>
      <c r="H14" s="87" t="s">
        <v>143</v>
      </c>
    </row>
    <row r="15" spans="1:9" ht="14.25" customHeight="1" x14ac:dyDescent="0.2">
      <c r="A15" s="88">
        <v>9</v>
      </c>
      <c r="B15" s="89" t="s">
        <v>49</v>
      </c>
      <c r="C15" s="89" t="s">
        <v>50</v>
      </c>
      <c r="D15" s="89" t="s">
        <v>33</v>
      </c>
      <c r="E15" s="90">
        <v>667990</v>
      </c>
      <c r="F15" s="91">
        <v>5360.6197499999998</v>
      </c>
      <c r="G15" s="92">
        <v>2.0082840000000001E-2</v>
      </c>
      <c r="H15" s="87" t="s">
        <v>143</v>
      </c>
    </row>
    <row r="16" spans="1:9" ht="14.25" customHeight="1" x14ac:dyDescent="0.2">
      <c r="A16" s="88">
        <v>10</v>
      </c>
      <c r="B16" s="89" t="s">
        <v>327</v>
      </c>
      <c r="C16" s="89" t="s">
        <v>328</v>
      </c>
      <c r="D16" s="89" t="s">
        <v>33</v>
      </c>
      <c r="E16" s="90">
        <v>437500</v>
      </c>
      <c r="F16" s="91">
        <v>4572.75</v>
      </c>
      <c r="G16" s="92">
        <v>1.7131190000000001E-2</v>
      </c>
      <c r="H16" s="87" t="s">
        <v>143</v>
      </c>
    </row>
    <row r="17" spans="1:8" ht="14.25" customHeight="1" x14ac:dyDescent="0.2">
      <c r="A17" s="88">
        <v>11</v>
      </c>
      <c r="B17" s="89" t="s">
        <v>329</v>
      </c>
      <c r="C17" s="89" t="s">
        <v>330</v>
      </c>
      <c r="D17" s="89" t="s">
        <v>191</v>
      </c>
      <c r="E17" s="90">
        <v>510495</v>
      </c>
      <c r="F17" s="91">
        <v>4481.3803575000002</v>
      </c>
      <c r="G17" s="92">
        <v>1.6788890000000001E-2</v>
      </c>
      <c r="H17" s="87" t="s">
        <v>143</v>
      </c>
    </row>
    <row r="18" spans="1:8" ht="14.25" customHeight="1" x14ac:dyDescent="0.2">
      <c r="A18" s="88">
        <v>12</v>
      </c>
      <c r="B18" s="89" t="s">
        <v>445</v>
      </c>
      <c r="C18" s="89" t="s">
        <v>446</v>
      </c>
      <c r="D18" s="89" t="s">
        <v>429</v>
      </c>
      <c r="E18" s="90">
        <v>158286</v>
      </c>
      <c r="F18" s="91">
        <v>4210.0910279999998</v>
      </c>
      <c r="G18" s="92">
        <v>1.5772540000000002E-2</v>
      </c>
      <c r="H18" s="87" t="s">
        <v>143</v>
      </c>
    </row>
    <row r="19" spans="1:8" ht="14.25" customHeight="1" x14ac:dyDescent="0.2">
      <c r="A19" s="88">
        <v>13</v>
      </c>
      <c r="B19" s="89" t="s">
        <v>351</v>
      </c>
      <c r="C19" s="89" t="s">
        <v>352</v>
      </c>
      <c r="D19" s="89" t="s">
        <v>191</v>
      </c>
      <c r="E19" s="90">
        <v>257255</v>
      </c>
      <c r="F19" s="91">
        <v>3654.8217850000001</v>
      </c>
      <c r="G19" s="92">
        <v>1.3692299999999999E-2</v>
      </c>
      <c r="H19" s="87" t="s">
        <v>143</v>
      </c>
    </row>
    <row r="20" spans="1:8" ht="14.25" customHeight="1" x14ac:dyDescent="0.2">
      <c r="A20" s="88">
        <v>14</v>
      </c>
      <c r="B20" s="89" t="s">
        <v>430</v>
      </c>
      <c r="C20" s="89" t="s">
        <v>431</v>
      </c>
      <c r="D20" s="89" t="s">
        <v>199</v>
      </c>
      <c r="E20" s="90">
        <v>220769</v>
      </c>
      <c r="F20" s="91">
        <v>3211.7474120000002</v>
      </c>
      <c r="G20" s="92">
        <v>1.2032380000000001E-2</v>
      </c>
      <c r="H20" s="87" t="s">
        <v>143</v>
      </c>
    </row>
    <row r="21" spans="1:8" ht="14.25" customHeight="1" x14ac:dyDescent="0.2">
      <c r="A21" s="88">
        <v>15</v>
      </c>
      <c r="B21" s="89" t="s">
        <v>71</v>
      </c>
      <c r="C21" s="89" t="s">
        <v>72</v>
      </c>
      <c r="D21" s="89" t="s">
        <v>68</v>
      </c>
      <c r="E21" s="90">
        <v>83749</v>
      </c>
      <c r="F21" s="91">
        <v>3204.4042380000001</v>
      </c>
      <c r="G21" s="92">
        <v>1.2004870000000001E-2</v>
      </c>
      <c r="H21" s="87" t="s">
        <v>143</v>
      </c>
    </row>
    <row r="22" spans="1:8" ht="14.25" customHeight="1" x14ac:dyDescent="0.2">
      <c r="A22" s="88">
        <v>16</v>
      </c>
      <c r="B22" s="89" t="s">
        <v>23</v>
      </c>
      <c r="C22" s="89" t="s">
        <v>24</v>
      </c>
      <c r="D22" s="89" t="s">
        <v>25</v>
      </c>
      <c r="E22" s="90">
        <v>25132</v>
      </c>
      <c r="F22" s="91">
        <v>3176.6848</v>
      </c>
      <c r="G22" s="92">
        <v>1.190102E-2</v>
      </c>
      <c r="H22" s="87" t="s">
        <v>143</v>
      </c>
    </row>
    <row r="23" spans="1:8" ht="14.25" customHeight="1" x14ac:dyDescent="0.2">
      <c r="A23" s="88">
        <v>17</v>
      </c>
      <c r="B23" s="89" t="s">
        <v>26</v>
      </c>
      <c r="C23" s="89" t="s">
        <v>27</v>
      </c>
      <c r="D23" s="89" t="s">
        <v>28</v>
      </c>
      <c r="E23" s="90">
        <v>849550</v>
      </c>
      <c r="F23" s="91">
        <v>3138.2377000000001</v>
      </c>
      <c r="G23" s="92">
        <v>1.175698E-2</v>
      </c>
      <c r="H23" s="87" t="s">
        <v>143</v>
      </c>
    </row>
    <row r="24" spans="1:8" ht="14.25" customHeight="1" x14ac:dyDescent="0.2">
      <c r="A24" s="88">
        <v>18</v>
      </c>
      <c r="B24" s="89" t="s">
        <v>183</v>
      </c>
      <c r="C24" s="89" t="s">
        <v>184</v>
      </c>
      <c r="D24" s="89" t="s">
        <v>185</v>
      </c>
      <c r="E24" s="90">
        <v>134802</v>
      </c>
      <c r="F24" s="91">
        <v>3112.712982</v>
      </c>
      <c r="G24" s="92">
        <v>1.1661360000000001E-2</v>
      </c>
      <c r="H24" s="87" t="s">
        <v>143</v>
      </c>
    </row>
    <row r="25" spans="1:8" ht="14.25" customHeight="1" x14ac:dyDescent="0.2">
      <c r="A25" s="88">
        <v>19</v>
      </c>
      <c r="B25" s="89" t="s">
        <v>51</v>
      </c>
      <c r="C25" s="89" t="s">
        <v>52</v>
      </c>
      <c r="D25" s="89" t="s">
        <v>53</v>
      </c>
      <c r="E25" s="90">
        <v>54580</v>
      </c>
      <c r="F25" s="91">
        <v>3081.5868</v>
      </c>
      <c r="G25" s="92">
        <v>1.1544749999999999E-2</v>
      </c>
      <c r="H25" s="87" t="s">
        <v>143</v>
      </c>
    </row>
    <row r="26" spans="1:8" ht="14.25" customHeight="1" x14ac:dyDescent="0.2">
      <c r="A26" s="88">
        <v>20</v>
      </c>
      <c r="B26" s="89" t="s">
        <v>503</v>
      </c>
      <c r="C26" s="89" t="s">
        <v>504</v>
      </c>
      <c r="D26" s="89" t="s">
        <v>191</v>
      </c>
      <c r="E26" s="90">
        <v>793535</v>
      </c>
      <c r="F26" s="91">
        <v>3013.0523950000002</v>
      </c>
      <c r="G26" s="92">
        <v>1.1287989999999999E-2</v>
      </c>
      <c r="H26" s="87" t="s">
        <v>143</v>
      </c>
    </row>
    <row r="27" spans="1:8" ht="14.25" customHeight="1" x14ac:dyDescent="0.2">
      <c r="A27" s="88">
        <v>21</v>
      </c>
      <c r="B27" s="89" t="s">
        <v>250</v>
      </c>
      <c r="C27" s="89" t="s">
        <v>251</v>
      </c>
      <c r="D27" s="89" t="s">
        <v>191</v>
      </c>
      <c r="E27" s="90">
        <v>503159</v>
      </c>
      <c r="F27" s="91">
        <v>2919.5800975000002</v>
      </c>
      <c r="G27" s="92">
        <v>1.0937809999999999E-2</v>
      </c>
      <c r="H27" s="87" t="s">
        <v>143</v>
      </c>
    </row>
    <row r="28" spans="1:8" ht="14.25" customHeight="1" x14ac:dyDescent="0.2">
      <c r="A28" s="88">
        <v>22</v>
      </c>
      <c r="B28" s="89" t="s">
        <v>505</v>
      </c>
      <c r="C28" s="89" t="s">
        <v>506</v>
      </c>
      <c r="D28" s="89" t="s">
        <v>243</v>
      </c>
      <c r="E28" s="90">
        <v>19600</v>
      </c>
      <c r="F28" s="91">
        <v>2899.0360000000001</v>
      </c>
      <c r="G28" s="92">
        <v>1.086085E-2</v>
      </c>
      <c r="H28" s="87" t="s">
        <v>143</v>
      </c>
    </row>
    <row r="29" spans="1:8" ht="14.25" customHeight="1" x14ac:dyDescent="0.2">
      <c r="A29" s="88">
        <v>23</v>
      </c>
      <c r="B29" s="89" t="s">
        <v>441</v>
      </c>
      <c r="C29" s="89" t="s">
        <v>442</v>
      </c>
      <c r="D29" s="89" t="s">
        <v>204</v>
      </c>
      <c r="E29" s="90">
        <v>242610</v>
      </c>
      <c r="F29" s="91">
        <v>2584.76694</v>
      </c>
      <c r="G29" s="92">
        <v>9.6834799999999995E-3</v>
      </c>
      <c r="H29" s="87" t="s">
        <v>143</v>
      </c>
    </row>
    <row r="30" spans="1:8" ht="14.25" customHeight="1" x14ac:dyDescent="0.2">
      <c r="A30" s="88">
        <v>24</v>
      </c>
      <c r="B30" s="89" t="s">
        <v>205</v>
      </c>
      <c r="C30" s="89" t="s">
        <v>206</v>
      </c>
      <c r="D30" s="89" t="s">
        <v>207</v>
      </c>
      <c r="E30" s="90">
        <v>386520</v>
      </c>
      <c r="F30" s="91">
        <v>2426.3793000000001</v>
      </c>
      <c r="G30" s="92">
        <v>9.0901000000000003E-3</v>
      </c>
      <c r="H30" s="87" t="s">
        <v>143</v>
      </c>
    </row>
    <row r="31" spans="1:8" ht="14.25" customHeight="1" x14ac:dyDescent="0.2">
      <c r="A31" s="88">
        <v>25</v>
      </c>
      <c r="B31" s="89" t="s">
        <v>335</v>
      </c>
      <c r="C31" s="89" t="s">
        <v>336</v>
      </c>
      <c r="D31" s="89" t="s">
        <v>25</v>
      </c>
      <c r="E31" s="90">
        <v>85490</v>
      </c>
      <c r="F31" s="91">
        <v>2372.8604399999999</v>
      </c>
      <c r="G31" s="92">
        <v>8.8895999999999992E-3</v>
      </c>
      <c r="H31" s="87" t="s">
        <v>143</v>
      </c>
    </row>
    <row r="32" spans="1:8" ht="14.25" customHeight="1" x14ac:dyDescent="0.2">
      <c r="A32" s="88">
        <v>26</v>
      </c>
      <c r="B32" s="89" t="s">
        <v>44</v>
      </c>
      <c r="C32" s="89" t="s">
        <v>45</v>
      </c>
      <c r="D32" s="89" t="s">
        <v>46</v>
      </c>
      <c r="E32" s="90">
        <v>31340</v>
      </c>
      <c r="F32" s="91">
        <v>2277.6345000000001</v>
      </c>
      <c r="G32" s="92">
        <v>8.5328499999999998E-3</v>
      </c>
      <c r="H32" s="87" t="s">
        <v>143</v>
      </c>
    </row>
    <row r="33" spans="1:8" ht="14.25" customHeight="1" x14ac:dyDescent="0.2">
      <c r="A33" s="88">
        <v>27</v>
      </c>
      <c r="B33" s="89" t="s">
        <v>37</v>
      </c>
      <c r="C33" s="89" t="s">
        <v>38</v>
      </c>
      <c r="D33" s="89" t="s">
        <v>19</v>
      </c>
      <c r="E33" s="90">
        <v>734794</v>
      </c>
      <c r="F33" s="91">
        <v>2264.6351079999999</v>
      </c>
      <c r="G33" s="92">
        <v>8.4841499999999993E-3</v>
      </c>
      <c r="H33" s="87" t="s">
        <v>143</v>
      </c>
    </row>
    <row r="34" spans="1:8" ht="14.25" customHeight="1" x14ac:dyDescent="0.2">
      <c r="A34" s="88">
        <v>28</v>
      </c>
      <c r="B34" s="89" t="s">
        <v>507</v>
      </c>
      <c r="C34" s="89" t="s">
        <v>508</v>
      </c>
      <c r="D34" s="89" t="s">
        <v>243</v>
      </c>
      <c r="E34" s="90">
        <v>23115</v>
      </c>
      <c r="F34" s="91">
        <v>1995.171225</v>
      </c>
      <c r="G34" s="92">
        <v>7.4746400000000003E-3</v>
      </c>
      <c r="H34" s="87" t="s">
        <v>143</v>
      </c>
    </row>
    <row r="35" spans="1:8" ht="14.25" customHeight="1" x14ac:dyDescent="0.2">
      <c r="A35" s="88">
        <v>29</v>
      </c>
      <c r="B35" s="89" t="s">
        <v>252</v>
      </c>
      <c r="C35" s="89" t="s">
        <v>253</v>
      </c>
      <c r="D35" s="89" t="s">
        <v>43</v>
      </c>
      <c r="E35" s="90">
        <v>153000</v>
      </c>
      <c r="F35" s="91">
        <v>1956.87</v>
      </c>
      <c r="G35" s="92">
        <v>7.3311499999999998E-3</v>
      </c>
      <c r="H35" s="87" t="s">
        <v>143</v>
      </c>
    </row>
    <row r="36" spans="1:8" ht="14.25" customHeight="1" x14ac:dyDescent="0.2">
      <c r="A36" s="88">
        <v>30</v>
      </c>
      <c r="B36" s="89" t="s">
        <v>432</v>
      </c>
      <c r="C36" s="89" t="s">
        <v>433</v>
      </c>
      <c r="D36" s="89" t="s">
        <v>263</v>
      </c>
      <c r="E36" s="90">
        <v>108076</v>
      </c>
      <c r="F36" s="91">
        <v>1951.3121799999999</v>
      </c>
      <c r="G36" s="92">
        <v>7.3103300000000003E-3</v>
      </c>
      <c r="H36" s="87" t="s">
        <v>143</v>
      </c>
    </row>
    <row r="37" spans="1:8" ht="14.25" customHeight="1" x14ac:dyDescent="0.2">
      <c r="A37" s="88">
        <v>31</v>
      </c>
      <c r="B37" s="89" t="s">
        <v>47</v>
      </c>
      <c r="C37" s="89" t="s">
        <v>48</v>
      </c>
      <c r="D37" s="89" t="s">
        <v>22</v>
      </c>
      <c r="E37" s="90">
        <v>519000</v>
      </c>
      <c r="F37" s="91">
        <v>1941.8385000000001</v>
      </c>
      <c r="G37" s="92">
        <v>7.2748400000000003E-3</v>
      </c>
      <c r="H37" s="87" t="s">
        <v>143</v>
      </c>
    </row>
    <row r="38" spans="1:8" ht="14.25" customHeight="1" x14ac:dyDescent="0.2">
      <c r="A38" s="88">
        <v>32</v>
      </c>
      <c r="B38" s="89" t="s">
        <v>509</v>
      </c>
      <c r="C38" s="89" t="s">
        <v>510</v>
      </c>
      <c r="D38" s="89" t="s">
        <v>232</v>
      </c>
      <c r="E38" s="90">
        <v>147085</v>
      </c>
      <c r="F38" s="91">
        <v>1928.2843499999999</v>
      </c>
      <c r="G38" s="92">
        <v>7.22406E-3</v>
      </c>
      <c r="H38" s="87" t="s">
        <v>143</v>
      </c>
    </row>
    <row r="39" spans="1:8" ht="14.25" customHeight="1" x14ac:dyDescent="0.2">
      <c r="A39" s="88">
        <v>33</v>
      </c>
      <c r="B39" s="89" t="s">
        <v>259</v>
      </c>
      <c r="C39" s="89" t="s">
        <v>260</v>
      </c>
      <c r="D39" s="89" t="s">
        <v>194</v>
      </c>
      <c r="E39" s="90">
        <v>77160</v>
      </c>
      <c r="F39" s="91">
        <v>1906.9322400000001</v>
      </c>
      <c r="G39" s="92">
        <v>7.1440599999999998E-3</v>
      </c>
      <c r="H39" s="87" t="s">
        <v>143</v>
      </c>
    </row>
    <row r="40" spans="1:8" ht="14.25" customHeight="1" x14ac:dyDescent="0.2">
      <c r="A40" s="88">
        <v>34</v>
      </c>
      <c r="B40" s="89" t="s">
        <v>221</v>
      </c>
      <c r="C40" s="89" t="s">
        <v>222</v>
      </c>
      <c r="D40" s="89" t="s">
        <v>223</v>
      </c>
      <c r="E40" s="90">
        <v>89220</v>
      </c>
      <c r="F40" s="91">
        <v>1870.22964</v>
      </c>
      <c r="G40" s="92">
        <v>7.0065600000000002E-3</v>
      </c>
      <c r="H40" s="87" t="s">
        <v>143</v>
      </c>
    </row>
    <row r="41" spans="1:8" ht="14.25" customHeight="1" x14ac:dyDescent="0.2">
      <c r="A41" s="88">
        <v>35</v>
      </c>
      <c r="B41" s="89" t="s">
        <v>347</v>
      </c>
      <c r="C41" s="89" t="s">
        <v>348</v>
      </c>
      <c r="D41" s="89" t="s">
        <v>194</v>
      </c>
      <c r="E41" s="90">
        <v>108725</v>
      </c>
      <c r="F41" s="91">
        <v>1733.6201249999999</v>
      </c>
      <c r="G41" s="92">
        <v>6.4947700000000004E-3</v>
      </c>
      <c r="H41" s="87" t="s">
        <v>143</v>
      </c>
    </row>
    <row r="42" spans="1:8" ht="14.25" customHeight="1" x14ac:dyDescent="0.2">
      <c r="A42" s="88">
        <v>36</v>
      </c>
      <c r="B42" s="89" t="s">
        <v>511</v>
      </c>
      <c r="C42" s="89" t="s">
        <v>512</v>
      </c>
      <c r="D42" s="89" t="s">
        <v>268</v>
      </c>
      <c r="E42" s="90">
        <v>54805</v>
      </c>
      <c r="F42" s="91">
        <v>1671.716915</v>
      </c>
      <c r="G42" s="92">
        <v>6.2628600000000003E-3</v>
      </c>
      <c r="H42" s="87" t="s">
        <v>143</v>
      </c>
    </row>
    <row r="43" spans="1:8" ht="14.25" customHeight="1" x14ac:dyDescent="0.2">
      <c r="A43" s="88">
        <v>37</v>
      </c>
      <c r="B43" s="89" t="s">
        <v>427</v>
      </c>
      <c r="C43" s="89" t="s">
        <v>428</v>
      </c>
      <c r="D43" s="89" t="s">
        <v>429</v>
      </c>
      <c r="E43" s="90">
        <v>407722</v>
      </c>
      <c r="F43" s="91">
        <v>1670.640895</v>
      </c>
      <c r="G43" s="92">
        <v>6.2588299999999999E-3</v>
      </c>
      <c r="H43" s="87" t="s">
        <v>143</v>
      </c>
    </row>
    <row r="44" spans="1:8" ht="14.25" customHeight="1" x14ac:dyDescent="0.2">
      <c r="A44" s="88">
        <v>38</v>
      </c>
      <c r="B44" s="89" t="s">
        <v>186</v>
      </c>
      <c r="C44" s="89" t="s">
        <v>187</v>
      </c>
      <c r="D44" s="89" t="s">
        <v>188</v>
      </c>
      <c r="E44" s="90">
        <v>181000</v>
      </c>
      <c r="F44" s="91">
        <v>1649.8150000000001</v>
      </c>
      <c r="G44" s="92">
        <v>6.1808100000000001E-3</v>
      </c>
      <c r="H44" s="87" t="s">
        <v>143</v>
      </c>
    </row>
    <row r="45" spans="1:8" ht="14.25" customHeight="1" x14ac:dyDescent="0.2">
      <c r="A45" s="88">
        <v>39</v>
      </c>
      <c r="B45" s="89" t="s">
        <v>192</v>
      </c>
      <c r="C45" s="89" t="s">
        <v>193</v>
      </c>
      <c r="D45" s="89" t="s">
        <v>194</v>
      </c>
      <c r="E45" s="90">
        <v>86477</v>
      </c>
      <c r="F45" s="91">
        <v>1638.652673</v>
      </c>
      <c r="G45" s="92">
        <v>6.1389900000000004E-3</v>
      </c>
      <c r="H45" s="87" t="s">
        <v>143</v>
      </c>
    </row>
    <row r="46" spans="1:8" ht="14.25" customHeight="1" x14ac:dyDescent="0.2">
      <c r="A46" s="88">
        <v>40</v>
      </c>
      <c r="B46" s="89" t="s">
        <v>513</v>
      </c>
      <c r="C46" s="89" t="s">
        <v>514</v>
      </c>
      <c r="D46" s="89" t="s">
        <v>191</v>
      </c>
      <c r="E46" s="90">
        <v>134200</v>
      </c>
      <c r="F46" s="91">
        <v>1635.3612000000001</v>
      </c>
      <c r="G46" s="92">
        <v>6.1266599999999999E-3</v>
      </c>
      <c r="H46" s="87" t="s">
        <v>143</v>
      </c>
    </row>
    <row r="47" spans="1:8" ht="14.25" customHeight="1" x14ac:dyDescent="0.2">
      <c r="A47" s="88">
        <v>41</v>
      </c>
      <c r="B47" s="89" t="s">
        <v>282</v>
      </c>
      <c r="C47" s="89" t="s">
        <v>283</v>
      </c>
      <c r="D47" s="89" t="s">
        <v>194</v>
      </c>
      <c r="E47" s="90">
        <v>160000</v>
      </c>
      <c r="F47" s="91">
        <v>1569.68</v>
      </c>
      <c r="G47" s="92">
        <v>5.8805899999999998E-3</v>
      </c>
      <c r="H47" s="87" t="s">
        <v>143</v>
      </c>
    </row>
    <row r="48" spans="1:8" ht="14.25" customHeight="1" x14ac:dyDescent="0.2">
      <c r="A48" s="88">
        <v>42</v>
      </c>
      <c r="B48" s="89" t="s">
        <v>269</v>
      </c>
      <c r="C48" s="89" t="s">
        <v>270</v>
      </c>
      <c r="D48" s="89" t="s">
        <v>77</v>
      </c>
      <c r="E48" s="90">
        <v>88975</v>
      </c>
      <c r="F48" s="91">
        <v>1389.6115500000001</v>
      </c>
      <c r="G48" s="92">
        <v>5.2059899999999997E-3</v>
      </c>
      <c r="H48" s="87" t="s">
        <v>143</v>
      </c>
    </row>
    <row r="49" spans="1:8" ht="14.25" customHeight="1" x14ac:dyDescent="0.2">
      <c r="A49" s="88">
        <v>43</v>
      </c>
      <c r="B49" s="89" t="s">
        <v>297</v>
      </c>
      <c r="C49" s="89" t="s">
        <v>298</v>
      </c>
      <c r="D49" s="89" t="s">
        <v>191</v>
      </c>
      <c r="E49" s="90">
        <v>27741</v>
      </c>
      <c r="F49" s="91">
        <v>1383.16626</v>
      </c>
      <c r="G49" s="92">
        <v>5.18185E-3</v>
      </c>
      <c r="H49" s="87" t="s">
        <v>143</v>
      </c>
    </row>
    <row r="50" spans="1:8" ht="14.25" customHeight="1" x14ac:dyDescent="0.2">
      <c r="A50" s="88">
        <v>44</v>
      </c>
      <c r="B50" s="89" t="s">
        <v>349</v>
      </c>
      <c r="C50" s="89" t="s">
        <v>350</v>
      </c>
      <c r="D50" s="89" t="s">
        <v>232</v>
      </c>
      <c r="E50" s="90">
        <v>267680</v>
      </c>
      <c r="F50" s="91">
        <v>1304.0031200000001</v>
      </c>
      <c r="G50" s="92">
        <v>4.8852699999999997E-3</v>
      </c>
      <c r="H50" s="87" t="s">
        <v>143</v>
      </c>
    </row>
    <row r="51" spans="1:8" ht="14.25" customHeight="1" x14ac:dyDescent="0.2">
      <c r="A51" s="88">
        <v>45</v>
      </c>
      <c r="B51" s="89" t="s">
        <v>515</v>
      </c>
      <c r="C51" s="89" t="s">
        <v>516</v>
      </c>
      <c r="D51" s="89" t="s">
        <v>199</v>
      </c>
      <c r="E51" s="90">
        <v>87325</v>
      </c>
      <c r="F51" s="91">
        <v>1293.63255</v>
      </c>
      <c r="G51" s="92">
        <v>4.8464199999999997E-3</v>
      </c>
      <c r="H51" s="87" t="s">
        <v>143</v>
      </c>
    </row>
    <row r="52" spans="1:8" ht="14.25" customHeight="1" x14ac:dyDescent="0.2">
      <c r="A52" s="88">
        <v>46</v>
      </c>
      <c r="B52" s="89" t="s">
        <v>99</v>
      </c>
      <c r="C52" s="89" t="s">
        <v>100</v>
      </c>
      <c r="D52" s="89" t="s">
        <v>25</v>
      </c>
      <c r="E52" s="90">
        <v>225677</v>
      </c>
      <c r="F52" s="91">
        <v>1271.012864</v>
      </c>
      <c r="G52" s="92">
        <v>4.7616799999999999E-3</v>
      </c>
      <c r="H52" s="87" t="s">
        <v>143</v>
      </c>
    </row>
    <row r="53" spans="1:8" ht="14.25" customHeight="1" x14ac:dyDescent="0.2">
      <c r="A53" s="88">
        <v>47</v>
      </c>
      <c r="B53" s="89" t="s">
        <v>519</v>
      </c>
      <c r="C53" s="89" t="s">
        <v>520</v>
      </c>
      <c r="D53" s="89" t="s">
        <v>243</v>
      </c>
      <c r="E53" s="90">
        <v>21527</v>
      </c>
      <c r="F53" s="91">
        <v>1095.2291789999999</v>
      </c>
      <c r="G53" s="92">
        <v>4.10313E-3</v>
      </c>
      <c r="H53" s="87" t="s">
        <v>143</v>
      </c>
    </row>
    <row r="54" spans="1:8" ht="14.25" customHeight="1" x14ac:dyDescent="0.2">
      <c r="A54" s="88">
        <v>48</v>
      </c>
      <c r="B54" s="89" t="s">
        <v>517</v>
      </c>
      <c r="C54" s="89" t="s">
        <v>518</v>
      </c>
      <c r="D54" s="89" t="s">
        <v>43</v>
      </c>
      <c r="E54" s="90">
        <v>104000</v>
      </c>
      <c r="F54" s="91">
        <v>1029.8599999999999</v>
      </c>
      <c r="G54" s="92">
        <v>3.8582299999999998E-3</v>
      </c>
      <c r="H54" s="87" t="s">
        <v>143</v>
      </c>
    </row>
    <row r="55" spans="1:8" ht="14.25" customHeight="1" x14ac:dyDescent="0.2">
      <c r="A55" s="88">
        <v>49</v>
      </c>
      <c r="B55" s="89" t="s">
        <v>87</v>
      </c>
      <c r="C55" s="89" t="s">
        <v>88</v>
      </c>
      <c r="D55" s="89" t="s">
        <v>13</v>
      </c>
      <c r="E55" s="90">
        <v>261079</v>
      </c>
      <c r="F55" s="91">
        <v>884.01349400000004</v>
      </c>
      <c r="G55" s="92">
        <v>3.3118399999999999E-3</v>
      </c>
      <c r="H55" s="87" t="s">
        <v>143</v>
      </c>
    </row>
    <row r="56" spans="1:8" ht="14.25" customHeight="1" x14ac:dyDescent="0.2">
      <c r="A56" s="88">
        <v>50</v>
      </c>
      <c r="B56" s="89" t="s">
        <v>345</v>
      </c>
      <c r="C56" s="89" t="s">
        <v>346</v>
      </c>
      <c r="D56" s="89" t="s">
        <v>207</v>
      </c>
      <c r="E56" s="90">
        <v>109000</v>
      </c>
      <c r="F56" s="91">
        <v>826.71050000000002</v>
      </c>
      <c r="G56" s="92">
        <v>3.0971599999999998E-3</v>
      </c>
      <c r="H56" s="87" t="s">
        <v>143</v>
      </c>
    </row>
    <row r="57" spans="1:8" ht="14.25" customHeight="1" x14ac:dyDescent="0.2">
      <c r="A57" s="88">
        <v>51</v>
      </c>
      <c r="B57" s="89" t="s">
        <v>484</v>
      </c>
      <c r="C57" s="89" t="s">
        <v>485</v>
      </c>
      <c r="D57" s="89" t="s">
        <v>223</v>
      </c>
      <c r="E57" s="90">
        <v>27530</v>
      </c>
      <c r="F57" s="91">
        <v>771.66589999999997</v>
      </c>
      <c r="G57" s="92">
        <v>2.8909399999999998E-3</v>
      </c>
      <c r="H57" s="87" t="s">
        <v>143</v>
      </c>
    </row>
    <row r="58" spans="1:8" ht="14.25" customHeight="1" x14ac:dyDescent="0.2">
      <c r="A58" s="88">
        <v>52</v>
      </c>
      <c r="B58" s="89" t="s">
        <v>241</v>
      </c>
      <c r="C58" s="89" t="s">
        <v>242</v>
      </c>
      <c r="D58" s="89" t="s">
        <v>243</v>
      </c>
      <c r="E58" s="90">
        <v>23100</v>
      </c>
      <c r="F58" s="91">
        <v>756.89459999999997</v>
      </c>
      <c r="G58" s="92">
        <v>2.8356000000000002E-3</v>
      </c>
      <c r="H58" s="87" t="s">
        <v>143</v>
      </c>
    </row>
    <row r="59" spans="1:8" ht="14.25" customHeight="1" x14ac:dyDescent="0.2">
      <c r="A59" s="88">
        <v>53</v>
      </c>
      <c r="B59" s="89" t="s">
        <v>78</v>
      </c>
      <c r="C59" s="89" t="s">
        <v>79</v>
      </c>
      <c r="D59" s="89" t="s">
        <v>80</v>
      </c>
      <c r="E59" s="90">
        <v>416889</v>
      </c>
      <c r="F59" s="91">
        <v>721.50979229999996</v>
      </c>
      <c r="G59" s="92">
        <v>2.7030399999999999E-3</v>
      </c>
      <c r="H59" s="87" t="s">
        <v>143</v>
      </c>
    </row>
    <row r="60" spans="1:8" ht="14.25" customHeight="1" x14ac:dyDescent="0.2">
      <c r="A60" s="88">
        <v>54</v>
      </c>
      <c r="B60" s="89" t="s">
        <v>303</v>
      </c>
      <c r="C60" s="89" t="s">
        <v>304</v>
      </c>
      <c r="D60" s="89" t="s">
        <v>188</v>
      </c>
      <c r="E60" s="90">
        <v>131155</v>
      </c>
      <c r="F60" s="91">
        <v>711.25356499999998</v>
      </c>
      <c r="G60" s="92">
        <v>2.6646199999999999E-3</v>
      </c>
      <c r="H60" s="87" t="s">
        <v>143</v>
      </c>
    </row>
    <row r="61" spans="1:8" ht="14.25" customHeight="1" x14ac:dyDescent="0.2">
      <c r="A61" s="88">
        <v>55</v>
      </c>
      <c r="B61" s="89" t="s">
        <v>228</v>
      </c>
      <c r="C61" s="89" t="s">
        <v>229</v>
      </c>
      <c r="D61" s="89" t="s">
        <v>68</v>
      </c>
      <c r="E61" s="90">
        <v>9110</v>
      </c>
      <c r="F61" s="91">
        <v>645.99009999999998</v>
      </c>
      <c r="G61" s="92">
        <v>2.42012E-3</v>
      </c>
      <c r="H61" s="87" t="s">
        <v>143</v>
      </c>
    </row>
    <row r="62" spans="1:8" ht="14.25" customHeight="1" x14ac:dyDescent="0.2">
      <c r="A62" s="88">
        <v>56</v>
      </c>
      <c r="B62" s="89" t="s">
        <v>214</v>
      </c>
      <c r="C62" s="89" t="s">
        <v>215</v>
      </c>
      <c r="D62" s="89" t="s">
        <v>19</v>
      </c>
      <c r="E62" s="90">
        <v>148556</v>
      </c>
      <c r="F62" s="91">
        <v>558.42200400000002</v>
      </c>
      <c r="G62" s="92">
        <v>2.0920499999999998E-3</v>
      </c>
      <c r="H62" s="87" t="s">
        <v>143</v>
      </c>
    </row>
    <row r="63" spans="1:8" ht="14.25" customHeight="1" x14ac:dyDescent="0.2">
      <c r="A63" s="88">
        <v>57</v>
      </c>
      <c r="B63" s="89" t="s">
        <v>246</v>
      </c>
      <c r="C63" s="89" t="s">
        <v>247</v>
      </c>
      <c r="D63" s="89" t="s">
        <v>194</v>
      </c>
      <c r="E63" s="90">
        <v>8500</v>
      </c>
      <c r="F63" s="91">
        <v>450.79750000000001</v>
      </c>
      <c r="G63" s="92">
        <v>1.68885E-3</v>
      </c>
      <c r="H63" s="87" t="s">
        <v>143</v>
      </c>
    </row>
    <row r="64" spans="1:8" ht="14.25" customHeight="1" x14ac:dyDescent="0.2">
      <c r="A64" s="88">
        <v>58</v>
      </c>
      <c r="B64" s="89" t="s">
        <v>425</v>
      </c>
      <c r="C64" s="89" t="s">
        <v>426</v>
      </c>
      <c r="D64" s="89" t="s">
        <v>243</v>
      </c>
      <c r="E64" s="90">
        <v>56000</v>
      </c>
      <c r="F64" s="91">
        <v>374.64</v>
      </c>
      <c r="G64" s="92">
        <v>1.40354E-3</v>
      </c>
      <c r="H64" s="87" t="s">
        <v>143</v>
      </c>
    </row>
    <row r="65" spans="1:8" ht="14.25" customHeight="1" x14ac:dyDescent="0.2">
      <c r="A65" s="88">
        <v>59</v>
      </c>
      <c r="B65" s="89" t="s">
        <v>337</v>
      </c>
      <c r="C65" s="89" t="s">
        <v>338</v>
      </c>
      <c r="D65" s="89" t="s">
        <v>28</v>
      </c>
      <c r="E65" s="90">
        <v>5550</v>
      </c>
      <c r="F65" s="91">
        <v>240.45930000000001</v>
      </c>
      <c r="G65" s="92">
        <v>9.0085000000000002E-4</v>
      </c>
      <c r="H65" s="87" t="s">
        <v>143</v>
      </c>
    </row>
    <row r="66" spans="1:8" ht="14.25" customHeight="1" x14ac:dyDescent="0.2">
      <c r="A66" s="88">
        <v>60</v>
      </c>
      <c r="B66" s="89" t="s">
        <v>682</v>
      </c>
      <c r="C66" s="89" t="s">
        <v>683</v>
      </c>
      <c r="D66" s="89" t="s">
        <v>19</v>
      </c>
      <c r="E66" s="90">
        <v>78000</v>
      </c>
      <c r="F66" s="91">
        <v>106.56359999999999</v>
      </c>
      <c r="G66" s="92">
        <v>3.9922999999999998E-4</v>
      </c>
      <c r="H66" s="87" t="s">
        <v>143</v>
      </c>
    </row>
    <row r="67" spans="1:8" ht="14.25" customHeight="1" x14ac:dyDescent="0.2">
      <c r="A67" s="88">
        <v>61</v>
      </c>
      <c r="B67" s="89" t="s">
        <v>63</v>
      </c>
      <c r="C67" s="89" t="s">
        <v>64</v>
      </c>
      <c r="D67" s="89" t="s">
        <v>65</v>
      </c>
      <c r="E67" s="90">
        <v>24750</v>
      </c>
      <c r="F67" s="91">
        <v>57.843224999999997</v>
      </c>
      <c r="G67" s="92">
        <v>2.1670000000000001E-4</v>
      </c>
      <c r="H67" s="87" t="s">
        <v>143</v>
      </c>
    </row>
    <row r="68" spans="1:8" ht="14.25" customHeight="1" x14ac:dyDescent="0.2">
      <c r="A68" s="93"/>
      <c r="B68" s="93"/>
      <c r="C68" s="94" t="s">
        <v>142</v>
      </c>
      <c r="D68" s="93"/>
      <c r="E68" s="93" t="s">
        <v>143</v>
      </c>
      <c r="F68" s="95">
        <v>182271.0458853</v>
      </c>
      <c r="G68" s="96">
        <v>0.68285388000000002</v>
      </c>
      <c r="H68" s="87" t="s">
        <v>143</v>
      </c>
    </row>
    <row r="69" spans="1:8" ht="14.25" customHeight="1" x14ac:dyDescent="0.2">
      <c r="A69" s="93"/>
      <c r="B69" s="93"/>
      <c r="C69" s="97"/>
      <c r="D69" s="93"/>
      <c r="E69" s="93"/>
      <c r="F69" s="98"/>
      <c r="G69" s="98"/>
      <c r="H69" s="87" t="s">
        <v>143</v>
      </c>
    </row>
    <row r="70" spans="1:8" ht="14.25" customHeight="1" x14ac:dyDescent="0.2">
      <c r="A70" s="93"/>
      <c r="B70" s="93"/>
      <c r="C70" s="94" t="s">
        <v>144</v>
      </c>
      <c r="D70" s="93"/>
      <c r="E70" s="93"/>
      <c r="F70" s="93"/>
      <c r="G70" s="93"/>
      <c r="H70" s="87" t="s">
        <v>143</v>
      </c>
    </row>
    <row r="71" spans="1:8" ht="14.25" customHeight="1" x14ac:dyDescent="0.2">
      <c r="A71" s="93"/>
      <c r="B71" s="93"/>
      <c r="C71" s="94" t="s">
        <v>142</v>
      </c>
      <c r="D71" s="93"/>
      <c r="E71" s="93" t="s">
        <v>143</v>
      </c>
      <c r="F71" s="99" t="s">
        <v>145</v>
      </c>
      <c r="G71" s="96">
        <v>0</v>
      </c>
      <c r="H71" s="87" t="s">
        <v>143</v>
      </c>
    </row>
    <row r="72" spans="1:8" ht="14.25" customHeight="1" x14ac:dyDescent="0.2">
      <c r="A72" s="93"/>
      <c r="B72" s="93"/>
      <c r="C72" s="97"/>
      <c r="D72" s="93"/>
      <c r="E72" s="93"/>
      <c r="F72" s="98"/>
      <c r="G72" s="98"/>
      <c r="H72" s="87" t="s">
        <v>143</v>
      </c>
    </row>
    <row r="73" spans="1:8" ht="14.25" customHeight="1" x14ac:dyDescent="0.2">
      <c r="A73" s="93"/>
      <c r="B73" s="93"/>
      <c r="C73" s="94" t="s">
        <v>146</v>
      </c>
      <c r="D73" s="93"/>
      <c r="E73" s="93"/>
      <c r="F73" s="93"/>
      <c r="G73" s="93"/>
      <c r="H73" s="87" t="s">
        <v>143</v>
      </c>
    </row>
    <row r="74" spans="1:8" ht="14.25" customHeight="1" x14ac:dyDescent="0.2">
      <c r="A74" s="93"/>
      <c r="B74" s="93"/>
      <c r="C74" s="94" t="s">
        <v>142</v>
      </c>
      <c r="D74" s="93"/>
      <c r="E74" s="93" t="s">
        <v>143</v>
      </c>
      <c r="F74" s="99" t="s">
        <v>145</v>
      </c>
      <c r="G74" s="96">
        <v>0</v>
      </c>
      <c r="H74" s="87" t="s">
        <v>143</v>
      </c>
    </row>
    <row r="75" spans="1:8" ht="14.25" customHeight="1" x14ac:dyDescent="0.2">
      <c r="A75" s="93"/>
      <c r="B75" s="93"/>
      <c r="C75" s="97"/>
      <c r="D75" s="93"/>
      <c r="E75" s="93"/>
      <c r="F75" s="98"/>
      <c r="G75" s="98"/>
      <c r="H75" s="87" t="s">
        <v>143</v>
      </c>
    </row>
    <row r="76" spans="1:8" ht="14.25" customHeight="1" x14ac:dyDescent="0.2">
      <c r="A76" s="93"/>
      <c r="B76" s="93"/>
      <c r="C76" s="94" t="s">
        <v>147</v>
      </c>
      <c r="D76" s="93"/>
      <c r="E76" s="93"/>
      <c r="F76" s="93"/>
      <c r="G76" s="93"/>
      <c r="H76" s="87" t="s">
        <v>143</v>
      </c>
    </row>
    <row r="77" spans="1:8" ht="14.25" customHeight="1" x14ac:dyDescent="0.2">
      <c r="A77" s="88">
        <v>1</v>
      </c>
      <c r="B77" s="89" t="s">
        <v>317</v>
      </c>
      <c r="C77" s="89" t="s">
        <v>318</v>
      </c>
      <c r="D77" s="89" t="s">
        <v>243</v>
      </c>
      <c r="E77" s="90">
        <v>92400</v>
      </c>
      <c r="F77" s="91">
        <v>9.24</v>
      </c>
      <c r="G77" s="92" t="s">
        <v>141</v>
      </c>
      <c r="H77" s="87" t="s">
        <v>143</v>
      </c>
    </row>
    <row r="78" spans="1:8" ht="14.25" customHeight="1" x14ac:dyDescent="0.2">
      <c r="A78" s="93"/>
      <c r="B78" s="93"/>
      <c r="C78" s="94" t="s">
        <v>142</v>
      </c>
      <c r="D78" s="93"/>
      <c r="E78" s="93" t="s">
        <v>143</v>
      </c>
      <c r="F78" s="95">
        <v>9.24</v>
      </c>
      <c r="G78" s="96">
        <v>3.4619999999999997E-5</v>
      </c>
      <c r="H78" s="87" t="s">
        <v>143</v>
      </c>
    </row>
    <row r="79" spans="1:8" ht="14.25" customHeight="1" x14ac:dyDescent="0.2">
      <c r="A79" s="93"/>
      <c r="B79" s="93"/>
      <c r="C79" s="97"/>
      <c r="D79" s="93"/>
      <c r="E79" s="93"/>
      <c r="F79" s="98"/>
      <c r="G79" s="98"/>
      <c r="H79" s="87" t="s">
        <v>143</v>
      </c>
    </row>
    <row r="80" spans="1:8" ht="14.25" customHeight="1" x14ac:dyDescent="0.2">
      <c r="A80" s="93"/>
      <c r="B80" s="93"/>
      <c r="C80" s="94" t="s">
        <v>148</v>
      </c>
      <c r="D80" s="93"/>
      <c r="E80" s="93"/>
      <c r="F80" s="98"/>
      <c r="G80" s="98"/>
      <c r="H80" s="87" t="s">
        <v>143</v>
      </c>
    </row>
    <row r="81" spans="1:8" ht="14.25" customHeight="1" x14ac:dyDescent="0.2">
      <c r="A81" s="93"/>
      <c r="B81" s="93"/>
      <c r="C81" s="94" t="s">
        <v>142</v>
      </c>
      <c r="D81" s="93"/>
      <c r="E81" s="93" t="s">
        <v>143</v>
      </c>
      <c r="F81" s="99" t="s">
        <v>145</v>
      </c>
      <c r="G81" s="96">
        <v>0</v>
      </c>
      <c r="H81" s="87" t="s">
        <v>143</v>
      </c>
    </row>
    <row r="82" spans="1:8" ht="14.25" customHeight="1" x14ac:dyDescent="0.2">
      <c r="A82" s="93"/>
      <c r="B82" s="93"/>
      <c r="C82" s="97"/>
      <c r="D82" s="93"/>
      <c r="E82" s="93"/>
      <c r="F82" s="98"/>
      <c r="G82" s="98"/>
      <c r="H82" s="87" t="s">
        <v>143</v>
      </c>
    </row>
    <row r="83" spans="1:8" ht="14.25" customHeight="1" x14ac:dyDescent="0.2">
      <c r="A83" s="93"/>
      <c r="B83" s="93"/>
      <c r="C83" s="94" t="s">
        <v>149</v>
      </c>
      <c r="D83" s="93"/>
      <c r="E83" s="93"/>
      <c r="F83" s="98"/>
      <c r="G83" s="98"/>
      <c r="H83" s="87" t="s">
        <v>143</v>
      </c>
    </row>
    <row r="84" spans="1:8" ht="14.25" customHeight="1" x14ac:dyDescent="0.2">
      <c r="A84" s="88">
        <v>1</v>
      </c>
      <c r="B84" s="89"/>
      <c r="C84" s="89" t="s">
        <v>1131</v>
      </c>
      <c r="D84" s="89" t="s">
        <v>530</v>
      </c>
      <c r="E84" s="90">
        <v>-24750</v>
      </c>
      <c r="F84" s="91">
        <v>-57.672449999999998</v>
      </c>
      <c r="G84" s="92">
        <f>F84/$F$157</f>
        <v>-2.1606205148188174E-4</v>
      </c>
      <c r="H84" s="87" t="s">
        <v>143</v>
      </c>
    </row>
    <row r="85" spans="1:8" ht="14.25" customHeight="1" x14ac:dyDescent="0.2">
      <c r="A85" s="88">
        <v>2</v>
      </c>
      <c r="B85" s="89"/>
      <c r="C85" s="89" t="s">
        <v>1132</v>
      </c>
      <c r="D85" s="89" t="s">
        <v>530</v>
      </c>
      <c r="E85" s="90">
        <v>-78000</v>
      </c>
      <c r="F85" s="91">
        <v>-107.2578</v>
      </c>
      <c r="G85" s="92">
        <f t="shared" ref="G85:G97" si="0">F85/$F$157</f>
        <v>-4.0182687410424519E-4</v>
      </c>
      <c r="H85" s="87" t="s">
        <v>143</v>
      </c>
    </row>
    <row r="86" spans="1:8" ht="14.25" customHeight="1" x14ac:dyDescent="0.2">
      <c r="A86" s="88">
        <v>3</v>
      </c>
      <c r="B86" s="89"/>
      <c r="C86" s="89" t="s">
        <v>983</v>
      </c>
      <c r="D86" s="89" t="s">
        <v>530</v>
      </c>
      <c r="E86" s="90">
        <v>-6500</v>
      </c>
      <c r="F86" s="91">
        <v>-181.18100000000001</v>
      </c>
      <c r="G86" s="92">
        <f t="shared" si="0"/>
        <v>-6.787701675503437E-4</v>
      </c>
      <c r="H86" s="87" t="s">
        <v>143</v>
      </c>
    </row>
    <row r="87" spans="1:8" ht="14.25" customHeight="1" x14ac:dyDescent="0.2">
      <c r="A87" s="88">
        <v>4</v>
      </c>
      <c r="B87" s="89"/>
      <c r="C87" s="89" t="s">
        <v>1063</v>
      </c>
      <c r="D87" s="89" t="s">
        <v>530</v>
      </c>
      <c r="E87" s="90">
        <v>-5550</v>
      </c>
      <c r="F87" s="91">
        <v>-241.8246</v>
      </c>
      <c r="G87" s="92">
        <f t="shared" si="0"/>
        <v>-9.0596323157392245E-4</v>
      </c>
      <c r="H87" s="87" t="s">
        <v>143</v>
      </c>
    </row>
    <row r="88" spans="1:8" ht="14.25" customHeight="1" x14ac:dyDescent="0.2">
      <c r="A88" s="88">
        <v>5</v>
      </c>
      <c r="B88" s="89"/>
      <c r="C88" s="89" t="s">
        <v>1050</v>
      </c>
      <c r="D88" s="89" t="s">
        <v>530</v>
      </c>
      <c r="E88" s="90">
        <v>-56000</v>
      </c>
      <c r="F88" s="91">
        <v>-376.85199999999998</v>
      </c>
      <c r="G88" s="92">
        <f t="shared" si="0"/>
        <v>-1.4118251647892554E-3</v>
      </c>
      <c r="H88" s="87" t="s">
        <v>143</v>
      </c>
    </row>
    <row r="89" spans="1:8" ht="14.25" customHeight="1" x14ac:dyDescent="0.2">
      <c r="A89" s="88">
        <v>6</v>
      </c>
      <c r="B89" s="89"/>
      <c r="C89" s="89" t="s">
        <v>1133</v>
      </c>
      <c r="D89" s="89" t="s">
        <v>530</v>
      </c>
      <c r="E89" s="90">
        <v>-8500</v>
      </c>
      <c r="F89" s="91">
        <v>-453.6875</v>
      </c>
      <c r="G89" s="92">
        <f t="shared" si="0"/>
        <v>-1.6996789971933952E-3</v>
      </c>
      <c r="H89" s="87" t="s">
        <v>143</v>
      </c>
    </row>
    <row r="90" spans="1:8" ht="14.25" customHeight="1" x14ac:dyDescent="0.2">
      <c r="A90" s="88">
        <v>7</v>
      </c>
      <c r="B90" s="89"/>
      <c r="C90" s="89" t="s">
        <v>1134</v>
      </c>
      <c r="D90" s="89" t="s">
        <v>530</v>
      </c>
      <c r="E90" s="90">
        <v>-143775</v>
      </c>
      <c r="F90" s="91">
        <v>-543.54138750000004</v>
      </c>
      <c r="G90" s="92">
        <f t="shared" si="0"/>
        <v>-2.0363044616373751E-3</v>
      </c>
      <c r="H90" s="87" t="s">
        <v>143</v>
      </c>
    </row>
    <row r="91" spans="1:8" ht="14.25" customHeight="1" x14ac:dyDescent="0.2">
      <c r="A91" s="88">
        <v>8</v>
      </c>
      <c r="B91" s="89"/>
      <c r="C91" s="89" t="s">
        <v>1101</v>
      </c>
      <c r="D91" s="89" t="s">
        <v>530</v>
      </c>
      <c r="E91" s="90">
        <v>-23100</v>
      </c>
      <c r="F91" s="91">
        <v>-760.98329999999999</v>
      </c>
      <c r="G91" s="92">
        <f t="shared" si="0"/>
        <v>-2.8509212447442801E-3</v>
      </c>
      <c r="H91" s="87" t="s">
        <v>143</v>
      </c>
    </row>
    <row r="92" spans="1:8" ht="14.25" customHeight="1" x14ac:dyDescent="0.2">
      <c r="A92" s="88">
        <v>9</v>
      </c>
      <c r="B92" s="89"/>
      <c r="C92" s="89" t="s">
        <v>1135</v>
      </c>
      <c r="D92" s="89" t="s">
        <v>530</v>
      </c>
      <c r="E92" s="90">
        <v>-8650</v>
      </c>
      <c r="F92" s="91">
        <v>-1097.3389999999999</v>
      </c>
      <c r="G92" s="92">
        <f t="shared" si="0"/>
        <v>-4.1110324862404252E-3</v>
      </c>
      <c r="H92" s="87" t="s">
        <v>143</v>
      </c>
    </row>
    <row r="93" spans="1:8" ht="14.25" customHeight="1" x14ac:dyDescent="0.2">
      <c r="A93" s="88">
        <v>10</v>
      </c>
      <c r="B93" s="89"/>
      <c r="C93" s="89" t="s">
        <v>989</v>
      </c>
      <c r="D93" s="89" t="s">
        <v>530</v>
      </c>
      <c r="E93" s="90">
        <v>-92625</v>
      </c>
      <c r="F93" s="91">
        <v>-1759.411875</v>
      </c>
      <c r="G93" s="92">
        <f t="shared" si="0"/>
        <v>-6.5913991709054169E-3</v>
      </c>
      <c r="H93" s="87" t="s">
        <v>143</v>
      </c>
    </row>
    <row r="94" spans="1:8" ht="14.25" customHeight="1" x14ac:dyDescent="0.2">
      <c r="A94" s="88">
        <v>11</v>
      </c>
      <c r="B94" s="89"/>
      <c r="C94" s="89" t="s">
        <v>1069</v>
      </c>
      <c r="D94" s="89" t="s">
        <v>530</v>
      </c>
      <c r="E94" s="90">
        <v>-50575</v>
      </c>
      <c r="F94" s="91">
        <v>-1830.1069500000001</v>
      </c>
      <c r="G94" s="92">
        <f t="shared" si="0"/>
        <v>-6.8562487296490717E-3</v>
      </c>
      <c r="H94" s="87" t="s">
        <v>143</v>
      </c>
    </row>
    <row r="95" spans="1:8" ht="14.25" customHeight="1" x14ac:dyDescent="0.2">
      <c r="A95" s="88">
        <v>12</v>
      </c>
      <c r="B95" s="89"/>
      <c r="C95" s="89" t="s">
        <v>1079</v>
      </c>
      <c r="D95" s="89" t="s">
        <v>530</v>
      </c>
      <c r="E95" s="90">
        <v>-216800</v>
      </c>
      <c r="F95" s="91">
        <v>-3199.3175999999999</v>
      </c>
      <c r="G95" s="92">
        <f t="shared" si="0"/>
        <v>-1.1985811665675557E-2</v>
      </c>
      <c r="H95" s="87" t="s">
        <v>143</v>
      </c>
    </row>
    <row r="96" spans="1:8" ht="14.25" customHeight="1" x14ac:dyDescent="0.2">
      <c r="A96" s="88">
        <v>13</v>
      </c>
      <c r="B96" s="89"/>
      <c r="C96" s="89" t="s">
        <v>1051</v>
      </c>
      <c r="D96" s="89" t="s">
        <v>530</v>
      </c>
      <c r="E96" s="90">
        <v>-122600</v>
      </c>
      <c r="F96" s="91">
        <v>-3944.7775999999999</v>
      </c>
      <c r="G96" s="92">
        <f t="shared" si="0"/>
        <v>-1.477857696171697E-2</v>
      </c>
      <c r="H96" s="87" t="s">
        <v>143</v>
      </c>
    </row>
    <row r="97" spans="1:8" ht="14.25" customHeight="1" x14ac:dyDescent="0.2">
      <c r="A97" s="88">
        <v>14</v>
      </c>
      <c r="B97" s="89"/>
      <c r="C97" s="89" t="s">
        <v>1072</v>
      </c>
      <c r="D97" s="89" t="s">
        <v>530</v>
      </c>
      <c r="E97" s="90">
        <v>-437500</v>
      </c>
      <c r="F97" s="91">
        <v>-4602.9375</v>
      </c>
      <c r="G97" s="92">
        <f t="shared" si="0"/>
        <v>-1.7244284213569633E-2</v>
      </c>
      <c r="H97" s="87" t="s">
        <v>143</v>
      </c>
    </row>
    <row r="98" spans="1:8" ht="14.25" customHeight="1" x14ac:dyDescent="0.2">
      <c r="A98" s="93"/>
      <c r="B98" s="93"/>
      <c r="C98" s="94" t="s">
        <v>142</v>
      </c>
      <c r="D98" s="93"/>
      <c r="E98" s="93" t="s">
        <v>143</v>
      </c>
      <c r="F98" s="95">
        <v>-19156.890562500001</v>
      </c>
      <c r="G98" s="96">
        <v>-7.1768700000000005E-2</v>
      </c>
      <c r="H98" s="87" t="s">
        <v>143</v>
      </c>
    </row>
    <row r="99" spans="1:8" ht="14.25" customHeight="1" x14ac:dyDescent="0.2">
      <c r="A99" s="93"/>
      <c r="B99" s="93"/>
      <c r="C99" s="97"/>
      <c r="D99" s="93"/>
      <c r="E99" s="93"/>
      <c r="F99" s="98"/>
      <c r="G99" s="98"/>
      <c r="H99" s="87" t="s">
        <v>143</v>
      </c>
    </row>
    <row r="100" spans="1:8" ht="14.25" customHeight="1" x14ac:dyDescent="0.2">
      <c r="A100" s="93"/>
      <c r="B100" s="93"/>
      <c r="C100" s="94" t="s">
        <v>150</v>
      </c>
      <c r="D100" s="93"/>
      <c r="E100" s="93"/>
      <c r="F100" s="95">
        <f>F78+F68</f>
        <v>182280.28588529999</v>
      </c>
      <c r="G100" s="96">
        <f>G78+G68</f>
        <v>0.68288850000000001</v>
      </c>
      <c r="H100" s="87" t="s">
        <v>143</v>
      </c>
    </row>
    <row r="101" spans="1:8" ht="14.25" customHeight="1" x14ac:dyDescent="0.2">
      <c r="A101" s="93"/>
      <c r="B101" s="93"/>
      <c r="C101" s="97"/>
      <c r="D101" s="93"/>
      <c r="E101" s="93"/>
      <c r="F101" s="98"/>
      <c r="G101" s="98"/>
      <c r="H101" s="87" t="s">
        <v>143</v>
      </c>
    </row>
    <row r="102" spans="1:8" ht="14.25" customHeight="1" x14ac:dyDescent="0.2">
      <c r="A102" s="93"/>
      <c r="B102" s="93"/>
      <c r="C102" s="94" t="s">
        <v>151</v>
      </c>
      <c r="D102" s="93"/>
      <c r="E102" s="93"/>
      <c r="F102" s="98"/>
      <c r="G102" s="98"/>
      <c r="H102" s="87" t="s">
        <v>143</v>
      </c>
    </row>
    <row r="103" spans="1:8" ht="14.25" customHeight="1" x14ac:dyDescent="0.2">
      <c r="A103" s="93"/>
      <c r="B103" s="93"/>
      <c r="C103" s="94" t="s">
        <v>10</v>
      </c>
      <c r="D103" s="93"/>
      <c r="E103" s="93"/>
      <c r="F103" s="98"/>
      <c r="G103" s="98"/>
      <c r="H103" s="87" t="s">
        <v>143</v>
      </c>
    </row>
    <row r="104" spans="1:8" ht="14.25" customHeight="1" x14ac:dyDescent="0.2">
      <c r="A104" s="93"/>
      <c r="B104" s="93"/>
      <c r="C104" s="94" t="s">
        <v>142</v>
      </c>
      <c r="D104" s="93"/>
      <c r="E104" s="93" t="s">
        <v>143</v>
      </c>
      <c r="F104" s="99" t="s">
        <v>145</v>
      </c>
      <c r="G104" s="96">
        <v>0</v>
      </c>
      <c r="H104" s="87" t="s">
        <v>143</v>
      </c>
    </row>
    <row r="105" spans="1:8" ht="14.25" customHeight="1" x14ac:dyDescent="0.2">
      <c r="A105" s="93"/>
      <c r="B105" s="93"/>
      <c r="C105" s="97"/>
      <c r="D105" s="93"/>
      <c r="E105" s="93"/>
      <c r="F105" s="98"/>
      <c r="G105" s="98"/>
      <c r="H105" s="87" t="s">
        <v>143</v>
      </c>
    </row>
    <row r="106" spans="1:8" ht="14.25" customHeight="1" x14ac:dyDescent="0.2">
      <c r="A106" s="93"/>
      <c r="B106" s="93"/>
      <c r="C106" s="94" t="s">
        <v>152</v>
      </c>
      <c r="D106" s="93"/>
      <c r="E106" s="93"/>
      <c r="F106" s="93"/>
      <c r="G106" s="93"/>
      <c r="H106" s="87" t="s">
        <v>143</v>
      </c>
    </row>
    <row r="107" spans="1:8" ht="14.25" customHeight="1" x14ac:dyDescent="0.2">
      <c r="A107" s="93"/>
      <c r="B107" s="93"/>
      <c r="C107" s="94" t="s">
        <v>142</v>
      </c>
      <c r="D107" s="93"/>
      <c r="E107" s="93" t="s">
        <v>143</v>
      </c>
      <c r="F107" s="99" t="s">
        <v>145</v>
      </c>
      <c r="G107" s="96">
        <v>0</v>
      </c>
      <c r="H107" s="87" t="s">
        <v>143</v>
      </c>
    </row>
    <row r="108" spans="1:8" ht="14.25" customHeight="1" x14ac:dyDescent="0.2">
      <c r="A108" s="93"/>
      <c r="B108" s="93"/>
      <c r="C108" s="97"/>
      <c r="D108" s="93"/>
      <c r="E108" s="93"/>
      <c r="F108" s="98"/>
      <c r="G108" s="98"/>
      <c r="H108" s="87" t="s">
        <v>143</v>
      </c>
    </row>
    <row r="109" spans="1:8" ht="14.25" customHeight="1" x14ac:dyDescent="0.2">
      <c r="A109" s="93"/>
      <c r="B109" s="93"/>
      <c r="C109" s="94" t="s">
        <v>153</v>
      </c>
      <c r="D109" s="93"/>
      <c r="E109" s="93"/>
      <c r="F109" s="93"/>
      <c r="G109" s="93"/>
      <c r="H109" s="87" t="s">
        <v>143</v>
      </c>
    </row>
    <row r="110" spans="1:8" ht="14.25" customHeight="1" x14ac:dyDescent="0.2">
      <c r="A110" s="88">
        <v>1</v>
      </c>
      <c r="B110" s="89" t="s">
        <v>646</v>
      </c>
      <c r="C110" s="89" t="s">
        <v>1144</v>
      </c>
      <c r="D110" s="89" t="s">
        <v>606</v>
      </c>
      <c r="E110" s="90">
        <v>10500000</v>
      </c>
      <c r="F110" s="91">
        <v>10770.312</v>
      </c>
      <c r="G110" s="92">
        <v>4.034952E-2</v>
      </c>
      <c r="H110" s="87">
        <v>5.9325999999999999</v>
      </c>
    </row>
    <row r="111" spans="1:8" ht="14.25" customHeight="1" x14ac:dyDescent="0.2">
      <c r="A111" s="88">
        <v>2</v>
      </c>
      <c r="B111" s="89" t="s">
        <v>715</v>
      </c>
      <c r="C111" s="89" t="s">
        <v>1151</v>
      </c>
      <c r="D111" s="89" t="s">
        <v>606</v>
      </c>
      <c r="E111" s="90">
        <v>5000000</v>
      </c>
      <c r="F111" s="91">
        <v>5129.3249999999998</v>
      </c>
      <c r="G111" s="92">
        <v>1.9216319999999999E-2</v>
      </c>
      <c r="H111" s="87">
        <v>6.3502000000000001</v>
      </c>
    </row>
    <row r="112" spans="1:8" ht="14.25" customHeight="1" x14ac:dyDescent="0.2">
      <c r="A112" s="88">
        <v>3</v>
      </c>
      <c r="B112" s="89" t="s">
        <v>604</v>
      </c>
      <c r="C112" s="89" t="s">
        <v>605</v>
      </c>
      <c r="D112" s="89" t="s">
        <v>606</v>
      </c>
      <c r="E112" s="90">
        <v>4500000</v>
      </c>
      <c r="F112" s="91">
        <v>4617.018</v>
      </c>
      <c r="G112" s="92">
        <v>1.729704E-2</v>
      </c>
      <c r="H112" s="87">
        <v>6.8080999999999996</v>
      </c>
    </row>
    <row r="113" spans="1:8" ht="14.25" customHeight="1" x14ac:dyDescent="0.2">
      <c r="A113" s="88">
        <v>4</v>
      </c>
      <c r="B113" s="89" t="s">
        <v>662</v>
      </c>
      <c r="C113" s="89" t="s">
        <v>1148</v>
      </c>
      <c r="D113" s="89" t="s">
        <v>606</v>
      </c>
      <c r="E113" s="90">
        <v>3000000</v>
      </c>
      <c r="F113" s="91">
        <v>3126.6779999999999</v>
      </c>
      <c r="G113" s="92">
        <v>1.1713680000000001E-2</v>
      </c>
      <c r="H113" s="87">
        <v>6.4515000000000002</v>
      </c>
    </row>
    <row r="114" spans="1:8" ht="14.25" customHeight="1" x14ac:dyDescent="0.2">
      <c r="A114" s="88">
        <v>5</v>
      </c>
      <c r="B114" s="89" t="s">
        <v>840</v>
      </c>
      <c r="C114" s="89" t="s">
        <v>841</v>
      </c>
      <c r="D114" s="89" t="s">
        <v>606</v>
      </c>
      <c r="E114" s="90">
        <v>3000000</v>
      </c>
      <c r="F114" s="91">
        <v>3051.1080000000002</v>
      </c>
      <c r="G114" s="92">
        <v>1.1430559999999999E-2</v>
      </c>
      <c r="H114" s="87">
        <v>6.3883000000000001</v>
      </c>
    </row>
    <row r="115" spans="1:8" ht="14.25" customHeight="1" x14ac:dyDescent="0.2">
      <c r="A115" s="88">
        <v>6</v>
      </c>
      <c r="B115" s="89" t="s">
        <v>713</v>
      </c>
      <c r="C115" s="89" t="s">
        <v>714</v>
      </c>
      <c r="D115" s="89" t="s">
        <v>606</v>
      </c>
      <c r="E115" s="90">
        <v>500000</v>
      </c>
      <c r="F115" s="91">
        <v>517.99950000000001</v>
      </c>
      <c r="G115" s="92">
        <v>1.9406200000000001E-3</v>
      </c>
      <c r="H115" s="87">
        <v>6.1833999999999998</v>
      </c>
    </row>
    <row r="116" spans="1:8" ht="14.25" customHeight="1" x14ac:dyDescent="0.2">
      <c r="A116" s="93"/>
      <c r="B116" s="93"/>
      <c r="C116" s="94" t="s">
        <v>142</v>
      </c>
      <c r="D116" s="93"/>
      <c r="E116" s="93" t="s">
        <v>143</v>
      </c>
      <c r="F116" s="95">
        <v>27212.440500000001</v>
      </c>
      <c r="G116" s="96">
        <v>0.10194774</v>
      </c>
      <c r="H116" s="87" t="s">
        <v>143</v>
      </c>
    </row>
    <row r="117" spans="1:8" ht="14.25" customHeight="1" x14ac:dyDescent="0.2">
      <c r="A117" s="93"/>
      <c r="B117" s="93"/>
      <c r="C117" s="97"/>
      <c r="D117" s="93"/>
      <c r="E117" s="93"/>
      <c r="F117" s="98"/>
      <c r="G117" s="98"/>
      <c r="H117" s="87" t="s">
        <v>143</v>
      </c>
    </row>
    <row r="118" spans="1:8" ht="14.25" customHeight="1" x14ac:dyDescent="0.2">
      <c r="A118" s="93"/>
      <c r="B118" s="93"/>
      <c r="C118" s="94" t="s">
        <v>154</v>
      </c>
      <c r="D118" s="93"/>
      <c r="E118" s="93"/>
      <c r="F118" s="98"/>
      <c r="G118" s="98"/>
      <c r="H118" s="87" t="s">
        <v>143</v>
      </c>
    </row>
    <row r="119" spans="1:8" ht="14.25" customHeight="1" x14ac:dyDescent="0.2">
      <c r="A119" s="93"/>
      <c r="B119" s="93"/>
      <c r="C119" s="94" t="s">
        <v>142</v>
      </c>
      <c r="D119" s="93"/>
      <c r="E119" s="93" t="s">
        <v>143</v>
      </c>
      <c r="F119" s="99" t="s">
        <v>145</v>
      </c>
      <c r="G119" s="96">
        <v>0</v>
      </c>
      <c r="H119" s="87" t="s">
        <v>143</v>
      </c>
    </row>
    <row r="120" spans="1:8" ht="14.25" customHeight="1" x14ac:dyDescent="0.2">
      <c r="A120" s="93"/>
      <c r="B120" s="93"/>
      <c r="C120" s="97"/>
      <c r="D120" s="93"/>
      <c r="E120" s="93"/>
      <c r="F120" s="98"/>
      <c r="G120" s="98"/>
      <c r="H120" s="87" t="s">
        <v>143</v>
      </c>
    </row>
    <row r="121" spans="1:8" ht="14.25" customHeight="1" x14ac:dyDescent="0.2">
      <c r="A121" s="93"/>
      <c r="B121" s="93"/>
      <c r="C121" s="94" t="s">
        <v>155</v>
      </c>
      <c r="D121" s="93"/>
      <c r="E121" s="93"/>
      <c r="F121" s="95">
        <v>27212.440500000001</v>
      </c>
      <c r="G121" s="96">
        <v>0.10194774</v>
      </c>
      <c r="H121" s="87" t="s">
        <v>143</v>
      </c>
    </row>
    <row r="122" spans="1:8" ht="14.25" customHeight="1" x14ac:dyDescent="0.2">
      <c r="A122" s="93"/>
      <c r="B122" s="93"/>
      <c r="C122" s="97"/>
      <c r="D122" s="93"/>
      <c r="E122" s="93"/>
      <c r="F122" s="98"/>
      <c r="G122" s="98"/>
      <c r="H122" s="87" t="s">
        <v>143</v>
      </c>
    </row>
    <row r="123" spans="1:8" ht="14.25" customHeight="1" x14ac:dyDescent="0.2">
      <c r="A123" s="93"/>
      <c r="B123" s="93"/>
      <c r="C123" s="94" t="s">
        <v>156</v>
      </c>
      <c r="D123" s="93"/>
      <c r="E123" s="93"/>
      <c r="F123" s="98"/>
      <c r="G123" s="98"/>
      <c r="H123" s="87" t="s">
        <v>143</v>
      </c>
    </row>
    <row r="124" spans="1:8" ht="14.25" customHeight="1" x14ac:dyDescent="0.2">
      <c r="A124" s="93"/>
      <c r="B124" s="93"/>
      <c r="C124" s="94" t="s">
        <v>157</v>
      </c>
      <c r="D124" s="93"/>
      <c r="E124" s="93"/>
      <c r="F124" s="98"/>
      <c r="G124" s="98"/>
      <c r="H124" s="87" t="s">
        <v>143</v>
      </c>
    </row>
    <row r="125" spans="1:8" ht="14.25" customHeight="1" x14ac:dyDescent="0.2">
      <c r="A125" s="93"/>
      <c r="B125" s="93"/>
      <c r="C125" s="94" t="s">
        <v>142</v>
      </c>
      <c r="D125" s="93"/>
      <c r="E125" s="93" t="s">
        <v>143</v>
      </c>
      <c r="F125" s="99" t="s">
        <v>145</v>
      </c>
      <c r="G125" s="96">
        <v>0</v>
      </c>
      <c r="H125" s="87" t="s">
        <v>143</v>
      </c>
    </row>
    <row r="126" spans="1:8" ht="14.25" customHeight="1" x14ac:dyDescent="0.2">
      <c r="A126" s="93"/>
      <c r="B126" s="93"/>
      <c r="C126" s="97"/>
      <c r="D126" s="93"/>
      <c r="E126" s="93"/>
      <c r="F126" s="98"/>
      <c r="G126" s="98"/>
      <c r="H126" s="87" t="s">
        <v>143</v>
      </c>
    </row>
    <row r="127" spans="1:8" ht="14.25" customHeight="1" x14ac:dyDescent="0.2">
      <c r="A127" s="93"/>
      <c r="B127" s="93"/>
      <c r="C127" s="94" t="s">
        <v>158</v>
      </c>
      <c r="D127" s="93"/>
      <c r="E127" s="93"/>
      <c r="F127" s="98"/>
      <c r="G127" s="98"/>
      <c r="H127" s="87" t="s">
        <v>143</v>
      </c>
    </row>
    <row r="128" spans="1:8" ht="14.25" customHeight="1" x14ac:dyDescent="0.2">
      <c r="A128" s="93"/>
      <c r="B128" s="93"/>
      <c r="C128" s="94" t="s">
        <v>142</v>
      </c>
      <c r="D128" s="93"/>
      <c r="E128" s="93" t="s">
        <v>143</v>
      </c>
      <c r="F128" s="99" t="s">
        <v>145</v>
      </c>
      <c r="G128" s="96">
        <v>0</v>
      </c>
      <c r="H128" s="87" t="s">
        <v>143</v>
      </c>
    </row>
    <row r="129" spans="1:8" ht="14.25" customHeight="1" x14ac:dyDescent="0.2">
      <c r="A129" s="93"/>
      <c r="B129" s="93"/>
      <c r="C129" s="97"/>
      <c r="D129" s="93"/>
      <c r="E129" s="93"/>
      <c r="F129" s="98"/>
      <c r="G129" s="98"/>
      <c r="H129" s="87" t="s">
        <v>143</v>
      </c>
    </row>
    <row r="130" spans="1:8" ht="14.25" customHeight="1" x14ac:dyDescent="0.2">
      <c r="A130" s="93"/>
      <c r="B130" s="93"/>
      <c r="C130" s="94" t="s">
        <v>159</v>
      </c>
      <c r="D130" s="93"/>
      <c r="E130" s="93"/>
      <c r="F130" s="98"/>
      <c r="G130" s="98"/>
      <c r="H130" s="87" t="s">
        <v>143</v>
      </c>
    </row>
    <row r="131" spans="1:8" ht="14.25" customHeight="1" x14ac:dyDescent="0.2">
      <c r="A131" s="93"/>
      <c r="B131" s="93"/>
      <c r="C131" s="94" t="s">
        <v>142</v>
      </c>
      <c r="D131" s="93"/>
      <c r="E131" s="93" t="s">
        <v>143</v>
      </c>
      <c r="F131" s="99" t="s">
        <v>145</v>
      </c>
      <c r="G131" s="96">
        <v>0</v>
      </c>
      <c r="H131" s="87" t="s">
        <v>143</v>
      </c>
    </row>
    <row r="132" spans="1:8" ht="14.25" customHeight="1" x14ac:dyDescent="0.2">
      <c r="A132" s="93"/>
      <c r="B132" s="93"/>
      <c r="C132" s="97"/>
      <c r="D132" s="93"/>
      <c r="E132" s="93"/>
      <c r="F132" s="98"/>
      <c r="G132" s="98"/>
      <c r="H132" s="87" t="s">
        <v>143</v>
      </c>
    </row>
    <row r="133" spans="1:8" ht="14.25" customHeight="1" x14ac:dyDescent="0.2">
      <c r="A133" s="93"/>
      <c r="B133" s="93"/>
      <c r="C133" s="94" t="s">
        <v>160</v>
      </c>
      <c r="D133" s="93"/>
      <c r="E133" s="93"/>
      <c r="F133" s="98"/>
      <c r="G133" s="98"/>
      <c r="H133" s="87" t="s">
        <v>143</v>
      </c>
    </row>
    <row r="134" spans="1:8" ht="14.25" customHeight="1" x14ac:dyDescent="0.2">
      <c r="A134" s="88">
        <v>1</v>
      </c>
      <c r="B134" s="89"/>
      <c r="C134" s="89" t="s">
        <v>161</v>
      </c>
      <c r="D134" s="89"/>
      <c r="E134" s="100"/>
      <c r="F134" s="91">
        <v>1999.5072430089999</v>
      </c>
      <c r="G134" s="92">
        <v>7.4908800000000001E-3</v>
      </c>
      <c r="H134" s="87">
        <v>5.38</v>
      </c>
    </row>
    <row r="135" spans="1:8" ht="14.25" customHeight="1" x14ac:dyDescent="0.2">
      <c r="A135" s="93"/>
      <c r="B135" s="93"/>
      <c r="C135" s="94" t="s">
        <v>142</v>
      </c>
      <c r="D135" s="93"/>
      <c r="E135" s="93" t="s">
        <v>143</v>
      </c>
      <c r="F135" s="95">
        <v>1999.5072430089999</v>
      </c>
      <c r="G135" s="96">
        <v>7.4908800000000001E-3</v>
      </c>
      <c r="H135" s="87" t="s">
        <v>143</v>
      </c>
    </row>
    <row r="136" spans="1:8" ht="14.25" customHeight="1" x14ac:dyDescent="0.2">
      <c r="A136" s="93"/>
      <c r="B136" s="93"/>
      <c r="C136" s="97"/>
      <c r="D136" s="93"/>
      <c r="E136" s="93"/>
      <c r="F136" s="98"/>
      <c r="G136" s="98"/>
      <c r="H136" s="87" t="s">
        <v>143</v>
      </c>
    </row>
    <row r="137" spans="1:8" ht="14.25" customHeight="1" x14ac:dyDescent="0.2">
      <c r="A137" s="93"/>
      <c r="B137" s="93"/>
      <c r="C137" s="94" t="s">
        <v>162</v>
      </c>
      <c r="D137" s="93"/>
      <c r="E137" s="93"/>
      <c r="F137" s="95">
        <v>1999.5072430089999</v>
      </c>
      <c r="G137" s="96">
        <v>7.4908800000000001E-3</v>
      </c>
      <c r="H137" s="87" t="s">
        <v>143</v>
      </c>
    </row>
    <row r="138" spans="1:8" ht="14.25" customHeight="1" x14ac:dyDescent="0.2">
      <c r="A138" s="93"/>
      <c r="B138" s="93"/>
      <c r="C138" s="98"/>
      <c r="D138" s="93"/>
      <c r="E138" s="93"/>
      <c r="F138" s="93"/>
      <c r="G138" s="93"/>
      <c r="H138" s="87" t="s">
        <v>143</v>
      </c>
    </row>
    <row r="139" spans="1:8" ht="14.25" customHeight="1" x14ac:dyDescent="0.2">
      <c r="A139" s="93"/>
      <c r="B139" s="93"/>
      <c r="C139" s="94" t="s">
        <v>163</v>
      </c>
      <c r="D139" s="93"/>
      <c r="E139" s="93"/>
      <c r="F139" s="93"/>
      <c r="G139" s="93"/>
      <c r="H139" s="87" t="s">
        <v>143</v>
      </c>
    </row>
    <row r="140" spans="1:8" ht="14.25" customHeight="1" x14ac:dyDescent="0.2">
      <c r="A140" s="93"/>
      <c r="B140" s="93"/>
      <c r="C140" s="94" t="s">
        <v>164</v>
      </c>
      <c r="D140" s="93"/>
      <c r="E140" s="93"/>
      <c r="F140" s="93"/>
      <c r="G140" s="93"/>
      <c r="H140" s="87" t="s">
        <v>143</v>
      </c>
    </row>
    <row r="141" spans="1:8" ht="14.25" customHeight="1" x14ac:dyDescent="0.2">
      <c r="A141" s="88">
        <v>1</v>
      </c>
      <c r="B141" s="89" t="s">
        <v>842</v>
      </c>
      <c r="C141" s="89" t="s">
        <v>843</v>
      </c>
      <c r="D141" s="89"/>
      <c r="E141" s="126">
        <v>19705094</v>
      </c>
      <c r="F141" s="91">
        <v>17326.689154200001</v>
      </c>
      <c r="G141" s="92">
        <v>6.49121E-2</v>
      </c>
      <c r="H141" s="87" t="s">
        <v>143</v>
      </c>
    </row>
    <row r="142" spans="1:8" ht="14.25" customHeight="1" x14ac:dyDescent="0.2">
      <c r="A142" s="88">
        <v>2</v>
      </c>
      <c r="B142" s="89" t="s">
        <v>844</v>
      </c>
      <c r="C142" s="89" t="s">
        <v>845</v>
      </c>
      <c r="D142" s="89"/>
      <c r="E142" s="126">
        <v>15998588</v>
      </c>
      <c r="F142" s="91">
        <v>13653.194999200001</v>
      </c>
      <c r="G142" s="92">
        <v>5.1149849999999997E-2</v>
      </c>
      <c r="H142" s="87" t="s">
        <v>143</v>
      </c>
    </row>
    <row r="143" spans="1:8" ht="14.25" customHeight="1" x14ac:dyDescent="0.2">
      <c r="A143" s="88">
        <v>3</v>
      </c>
      <c r="B143" s="89" t="s">
        <v>846</v>
      </c>
      <c r="C143" s="89" t="s">
        <v>847</v>
      </c>
      <c r="D143" s="89"/>
      <c r="E143" s="126">
        <v>13123120</v>
      </c>
      <c r="F143" s="91">
        <v>11283.258576</v>
      </c>
      <c r="G143" s="92">
        <v>4.2271209999999997E-2</v>
      </c>
      <c r="H143" s="87" t="s">
        <v>143</v>
      </c>
    </row>
    <row r="144" spans="1:8" ht="14.25" customHeight="1" x14ac:dyDescent="0.2">
      <c r="A144" s="88">
        <v>4</v>
      </c>
      <c r="B144" s="89" t="s">
        <v>848</v>
      </c>
      <c r="C144" s="89" t="s">
        <v>849</v>
      </c>
      <c r="D144" s="89"/>
      <c r="E144" s="126">
        <v>10472712</v>
      </c>
      <c r="F144" s="91">
        <v>9219.1283736000005</v>
      </c>
      <c r="G144" s="92">
        <v>3.4538220000000001E-2</v>
      </c>
      <c r="H144" s="87" t="s">
        <v>143</v>
      </c>
    </row>
    <row r="145" spans="1:10" ht="14.25" customHeight="1" x14ac:dyDescent="0.2">
      <c r="A145" s="88">
        <v>5</v>
      </c>
      <c r="B145" s="89" t="s">
        <v>850</v>
      </c>
      <c r="C145" s="89" t="s">
        <v>851</v>
      </c>
      <c r="D145" s="89"/>
      <c r="E145" s="126">
        <v>4448000</v>
      </c>
      <c r="F145" s="91">
        <v>4439.1040000000003</v>
      </c>
      <c r="G145" s="92">
        <v>1.6630499999999999E-2</v>
      </c>
      <c r="H145" s="87" t="s">
        <v>143</v>
      </c>
    </row>
    <row r="146" spans="1:10" ht="14.25" customHeight="1" x14ac:dyDescent="0.2">
      <c r="A146" s="93"/>
      <c r="B146" s="93"/>
      <c r="C146" s="94" t="s">
        <v>142</v>
      </c>
      <c r="D146" s="93"/>
      <c r="E146" s="93" t="s">
        <v>143</v>
      </c>
      <c r="F146" s="95">
        <v>55921.375102999998</v>
      </c>
      <c r="G146" s="96">
        <v>0.20950188</v>
      </c>
      <c r="H146" s="87" t="s">
        <v>143</v>
      </c>
    </row>
    <row r="147" spans="1:10" ht="14.25" customHeight="1" x14ac:dyDescent="0.2">
      <c r="A147" s="93"/>
      <c r="B147" s="93"/>
      <c r="C147" s="97"/>
      <c r="D147" s="93"/>
      <c r="E147" s="93"/>
      <c r="F147" s="98"/>
      <c r="G147" s="98"/>
      <c r="H147" s="87" t="s">
        <v>143</v>
      </c>
    </row>
    <row r="148" spans="1:10" ht="14.25" customHeight="1" x14ac:dyDescent="0.2">
      <c r="A148" s="93"/>
      <c r="B148" s="93"/>
      <c r="C148" s="94" t="s">
        <v>165</v>
      </c>
      <c r="D148" s="93"/>
      <c r="E148" s="93"/>
      <c r="F148" s="93"/>
      <c r="G148" s="93"/>
      <c r="H148" s="87" t="s">
        <v>143</v>
      </c>
    </row>
    <row r="149" spans="1:10" ht="14.25" customHeight="1" x14ac:dyDescent="0.2">
      <c r="A149" s="93"/>
      <c r="B149" s="93"/>
      <c r="C149" s="94" t="s">
        <v>166</v>
      </c>
      <c r="D149" s="93"/>
      <c r="E149" s="93"/>
      <c r="F149" s="93"/>
      <c r="G149" s="93"/>
      <c r="H149" s="87" t="s">
        <v>143</v>
      </c>
    </row>
    <row r="150" spans="1:10" ht="14.25" customHeight="1" x14ac:dyDescent="0.2">
      <c r="A150" s="93"/>
      <c r="B150" s="93"/>
      <c r="C150" s="94" t="s">
        <v>142</v>
      </c>
      <c r="D150" s="93"/>
      <c r="E150" s="93" t="s">
        <v>143</v>
      </c>
      <c r="F150" s="99" t="s">
        <v>145</v>
      </c>
      <c r="G150" s="96">
        <v>0</v>
      </c>
      <c r="H150" s="87" t="s">
        <v>143</v>
      </c>
    </row>
    <row r="151" spans="1:10" ht="14.25" customHeight="1" x14ac:dyDescent="0.2">
      <c r="A151" s="93"/>
      <c r="B151" s="93"/>
      <c r="C151" s="97"/>
      <c r="D151" s="93"/>
      <c r="E151" s="93"/>
      <c r="F151" s="98"/>
      <c r="G151" s="98"/>
      <c r="H151" s="87" t="s">
        <v>143</v>
      </c>
    </row>
    <row r="152" spans="1:10" ht="14.25" customHeight="1" x14ac:dyDescent="0.2">
      <c r="A152" s="93"/>
      <c r="B152" s="93"/>
      <c r="C152" s="94" t="s">
        <v>167</v>
      </c>
      <c r="D152" s="93"/>
      <c r="E152" s="93"/>
      <c r="F152" s="98"/>
      <c r="G152" s="98"/>
      <c r="H152" s="87" t="s">
        <v>143</v>
      </c>
    </row>
    <row r="153" spans="1:10" ht="14.25" customHeight="1" x14ac:dyDescent="0.2">
      <c r="A153" s="93"/>
      <c r="B153" s="93"/>
      <c r="C153" s="94" t="s">
        <v>142</v>
      </c>
      <c r="D153" s="93"/>
      <c r="E153" s="93" t="s">
        <v>143</v>
      </c>
      <c r="F153" s="99" t="s">
        <v>145</v>
      </c>
      <c r="G153" s="96">
        <v>0</v>
      </c>
      <c r="H153" s="87" t="s">
        <v>143</v>
      </c>
    </row>
    <row r="154" spans="1:10" ht="14.25" customHeight="1" x14ac:dyDescent="0.2">
      <c r="A154" s="93"/>
      <c r="B154" s="93"/>
      <c r="C154" s="97"/>
      <c r="D154" s="93"/>
      <c r="E154" s="93"/>
      <c r="F154" s="98"/>
      <c r="G154" s="98"/>
      <c r="H154" s="87" t="s">
        <v>143</v>
      </c>
    </row>
    <row r="155" spans="1:10" ht="14.25" customHeight="1" x14ac:dyDescent="0.2">
      <c r="A155" s="100"/>
      <c r="B155" s="89"/>
      <c r="C155" s="89" t="s">
        <v>625</v>
      </c>
      <c r="D155" s="89"/>
      <c r="E155" s="100"/>
      <c r="F155" s="91">
        <v>42.436007600000003</v>
      </c>
      <c r="G155" s="92">
        <v>1.5898E-4</v>
      </c>
      <c r="H155" s="87" t="s">
        <v>143</v>
      </c>
    </row>
    <row r="156" spans="1:10" ht="14.25" customHeight="1" x14ac:dyDescent="0.2">
      <c r="A156" s="100"/>
      <c r="B156" s="89"/>
      <c r="C156" s="127" t="s">
        <v>1000</v>
      </c>
      <c r="D156" s="89"/>
      <c r="E156" s="100"/>
      <c r="F156" s="91">
        <f>18626.24806081+F98</f>
        <v>-530.64250168999934</v>
      </c>
      <c r="G156" s="92">
        <f>F156/F157</f>
        <v>-1.9879805265533052E-3</v>
      </c>
      <c r="H156" s="87" t="s">
        <v>143</v>
      </c>
    </row>
    <row r="157" spans="1:10" ht="14.25" customHeight="1" x14ac:dyDescent="0.2">
      <c r="A157" s="97"/>
      <c r="B157" s="97"/>
      <c r="C157" s="94" t="s">
        <v>169</v>
      </c>
      <c r="D157" s="98"/>
      <c r="E157" s="98"/>
      <c r="F157" s="95">
        <v>266925.40223721898</v>
      </c>
      <c r="G157" s="101">
        <v>1.0000000099999999</v>
      </c>
      <c r="H157" s="87" t="s">
        <v>143</v>
      </c>
    </row>
    <row r="158" spans="1:10" ht="12.75" x14ac:dyDescent="0.2">
      <c r="A158" s="102"/>
      <c r="B158" s="102"/>
      <c r="C158" s="102"/>
      <c r="D158" s="103"/>
      <c r="E158" s="103"/>
      <c r="F158" s="103"/>
      <c r="G158" s="103"/>
    </row>
    <row r="159" spans="1:10" ht="12.75" x14ac:dyDescent="0.2">
      <c r="A159" s="104"/>
      <c r="B159" s="206" t="s">
        <v>942</v>
      </c>
      <c r="C159" s="206"/>
      <c r="D159" s="206"/>
      <c r="E159" s="206"/>
      <c r="F159" s="206"/>
      <c r="G159" s="206"/>
      <c r="H159" s="206"/>
      <c r="J159" s="106"/>
    </row>
    <row r="160" spans="1:10" ht="12.75" x14ac:dyDescent="0.2">
      <c r="A160" s="104"/>
      <c r="B160" s="206" t="s">
        <v>943</v>
      </c>
      <c r="C160" s="206"/>
      <c r="D160" s="206"/>
      <c r="E160" s="206"/>
      <c r="F160" s="206"/>
      <c r="G160" s="206"/>
      <c r="H160" s="206"/>
      <c r="J160" s="106"/>
    </row>
    <row r="161" spans="1:17" ht="12.75" x14ac:dyDescent="0.2">
      <c r="A161" s="104"/>
      <c r="B161" s="206" t="s">
        <v>944</v>
      </c>
      <c r="C161" s="206"/>
      <c r="D161" s="206"/>
      <c r="E161" s="206"/>
      <c r="F161" s="206"/>
      <c r="G161" s="206"/>
      <c r="H161" s="206"/>
      <c r="J161" s="106"/>
    </row>
    <row r="162" spans="1:17" s="108" customFormat="1" ht="51.75" customHeight="1" x14ac:dyDescent="0.25">
      <c r="A162" s="107"/>
      <c r="B162" s="207" t="s">
        <v>945</v>
      </c>
      <c r="C162" s="207"/>
      <c r="D162" s="207"/>
      <c r="E162" s="207"/>
      <c r="F162" s="207"/>
      <c r="G162" s="207"/>
      <c r="H162" s="207"/>
      <c r="I162"/>
      <c r="J162" s="106"/>
      <c r="K162"/>
      <c r="L162"/>
      <c r="M162"/>
      <c r="N162"/>
      <c r="O162"/>
      <c r="P162"/>
      <c r="Q162"/>
    </row>
    <row r="163" spans="1:17" ht="12.75" x14ac:dyDescent="0.2">
      <c r="A163" s="104"/>
      <c r="B163" s="206" t="s">
        <v>946</v>
      </c>
      <c r="C163" s="206"/>
      <c r="D163" s="206"/>
      <c r="E163" s="206"/>
      <c r="F163" s="206"/>
      <c r="G163" s="206"/>
      <c r="H163" s="206"/>
      <c r="J163" s="106"/>
    </row>
    <row r="164" spans="1:17" ht="12.75" x14ac:dyDescent="0.2">
      <c r="A164" s="104"/>
      <c r="B164" s="104"/>
      <c r="C164" s="104"/>
      <c r="D164" s="109"/>
      <c r="E164" s="109"/>
      <c r="F164" s="109"/>
      <c r="G164" s="109"/>
    </row>
    <row r="165" spans="1:17" ht="12.75" x14ac:dyDescent="0.2">
      <c r="A165" s="104"/>
      <c r="B165" s="199" t="s">
        <v>170</v>
      </c>
      <c r="C165" s="200"/>
      <c r="D165" s="201"/>
      <c r="E165" s="110"/>
      <c r="F165" s="109"/>
      <c r="G165" s="109"/>
    </row>
    <row r="166" spans="1:17" ht="27.75" customHeight="1" x14ac:dyDescent="0.2">
      <c r="A166" s="104"/>
      <c r="B166" s="202" t="s">
        <v>171</v>
      </c>
      <c r="C166" s="203"/>
      <c r="D166" s="86" t="s">
        <v>172</v>
      </c>
      <c r="E166" s="110"/>
      <c r="F166" s="109"/>
      <c r="G166" s="109"/>
    </row>
    <row r="167" spans="1:17" ht="12.75" customHeight="1" x14ac:dyDescent="0.2">
      <c r="A167" s="104"/>
      <c r="B167" s="202" t="s">
        <v>947</v>
      </c>
      <c r="C167" s="203"/>
      <c r="D167" s="86" t="str">
        <f>"Rs. "&amp;TEXT(F78,"0.00")&amp;" lacs/ "&amp;IF(ROUND((G78*100),2) = 0,"#",(TEXT((G78*100),"0.00")&amp;"%"))</f>
        <v>Rs. 9.24 lacs/ #</v>
      </c>
      <c r="E167" s="110"/>
      <c r="F167" s="109"/>
      <c r="G167" s="109"/>
    </row>
    <row r="168" spans="1:17" ht="12.75" x14ac:dyDescent="0.2">
      <c r="A168" s="104"/>
      <c r="B168" s="202" t="s">
        <v>173</v>
      </c>
      <c r="C168" s="203"/>
      <c r="D168" s="111" t="s">
        <v>143</v>
      </c>
      <c r="E168" s="110"/>
      <c r="F168" s="109"/>
      <c r="G168" s="109"/>
    </row>
    <row r="169" spans="1:17" ht="12.75" x14ac:dyDescent="0.2">
      <c r="A169" s="112"/>
      <c r="B169" s="113" t="s">
        <v>143</v>
      </c>
      <c r="C169" s="113" t="s">
        <v>948</v>
      </c>
      <c r="D169" s="113" t="s">
        <v>174</v>
      </c>
      <c r="E169" s="112"/>
      <c r="F169" s="112"/>
      <c r="G169" s="112"/>
      <c r="H169" s="112"/>
      <c r="J169" s="106"/>
    </row>
    <row r="170" spans="1:17" ht="12.75" x14ac:dyDescent="0.2">
      <c r="A170" s="112"/>
      <c r="B170" s="114" t="s">
        <v>175</v>
      </c>
      <c r="C170" s="115">
        <v>45869</v>
      </c>
      <c r="D170" s="115">
        <v>45900</v>
      </c>
      <c r="E170" s="112"/>
      <c r="F170" s="112"/>
      <c r="G170" s="112"/>
      <c r="J170" s="106"/>
    </row>
    <row r="171" spans="1:17" ht="14.25" customHeight="1" x14ac:dyDescent="0.2">
      <c r="A171" s="116"/>
      <c r="B171" s="89" t="s">
        <v>176</v>
      </c>
      <c r="C171" s="117">
        <v>12.4856</v>
      </c>
      <c r="D171" s="117">
        <v>12.447800000000001</v>
      </c>
      <c r="E171" s="116"/>
      <c r="F171" s="118"/>
      <c r="G171" s="119"/>
    </row>
    <row r="172" spans="1:17" ht="14.25" customHeight="1" x14ac:dyDescent="0.2">
      <c r="A172" s="116"/>
      <c r="B172" s="89" t="s">
        <v>954</v>
      </c>
      <c r="C172" s="117">
        <v>12.4856</v>
      </c>
      <c r="D172" s="117">
        <v>12.447800000000001</v>
      </c>
      <c r="E172" s="116"/>
      <c r="F172" s="118"/>
      <c r="G172" s="119"/>
    </row>
    <row r="173" spans="1:17" ht="14.25" customHeight="1" x14ac:dyDescent="0.2">
      <c r="A173" s="116"/>
      <c r="B173" s="89" t="s">
        <v>177</v>
      </c>
      <c r="C173" s="117">
        <v>12.1913</v>
      </c>
      <c r="D173" s="117">
        <v>12.1393</v>
      </c>
      <c r="E173" s="116"/>
      <c r="F173" s="118"/>
      <c r="G173" s="119"/>
    </row>
    <row r="174" spans="1:17" ht="14.25" customHeight="1" x14ac:dyDescent="0.2">
      <c r="A174" s="116"/>
      <c r="B174" s="89" t="s">
        <v>955</v>
      </c>
      <c r="C174" s="117">
        <v>12.1913</v>
      </c>
      <c r="D174" s="117">
        <v>12.1393</v>
      </c>
      <c r="E174" s="116"/>
      <c r="F174" s="118"/>
      <c r="G174" s="119"/>
    </row>
    <row r="175" spans="1:17" ht="14.25" customHeight="1" x14ac:dyDescent="0.2">
      <c r="A175" s="116"/>
      <c r="B175" s="116"/>
      <c r="C175" s="116"/>
      <c r="D175" s="116"/>
      <c r="E175" s="116"/>
      <c r="F175" s="116"/>
      <c r="G175" s="116"/>
    </row>
    <row r="176" spans="1:17" ht="12.75" x14ac:dyDescent="0.2">
      <c r="A176" s="112"/>
      <c r="B176" s="202" t="s">
        <v>949</v>
      </c>
      <c r="C176" s="203"/>
      <c r="D176" s="86" t="s">
        <v>172</v>
      </c>
      <c r="E176" s="112"/>
      <c r="F176" s="112"/>
      <c r="G176" s="112"/>
    </row>
    <row r="177" spans="1:7" ht="12.75" x14ac:dyDescent="0.2">
      <c r="A177" s="112"/>
      <c r="B177" s="120"/>
      <c r="C177" s="120"/>
      <c r="D177" s="120"/>
      <c r="E177" s="112"/>
      <c r="F177" s="112"/>
      <c r="G177" s="112"/>
    </row>
    <row r="178" spans="1:7" ht="29.1" customHeight="1" x14ac:dyDescent="0.2">
      <c r="A178" s="112"/>
      <c r="B178" s="202" t="s">
        <v>178</v>
      </c>
      <c r="C178" s="203"/>
      <c r="D178" s="86" t="s">
        <v>1004</v>
      </c>
      <c r="E178" s="121"/>
      <c r="F178" s="112"/>
      <c r="G178" s="112"/>
    </row>
    <row r="179" spans="1:7" ht="29.1" customHeight="1" x14ac:dyDescent="0.2">
      <c r="A179" s="112"/>
      <c r="B179" s="202" t="s">
        <v>179</v>
      </c>
      <c r="C179" s="203"/>
      <c r="D179" s="86" t="s">
        <v>172</v>
      </c>
      <c r="E179" s="121"/>
      <c r="F179" s="112"/>
      <c r="G179" s="112"/>
    </row>
    <row r="180" spans="1:7" ht="17.100000000000001" customHeight="1" x14ac:dyDescent="0.2">
      <c r="A180" s="112"/>
      <c r="B180" s="202" t="s">
        <v>180</v>
      </c>
      <c r="C180" s="203"/>
      <c r="D180" s="86" t="s">
        <v>172</v>
      </c>
      <c r="E180" s="121"/>
      <c r="F180" s="112"/>
      <c r="G180" s="112"/>
    </row>
    <row r="181" spans="1:7" ht="17.100000000000001" customHeight="1" x14ac:dyDescent="0.2">
      <c r="A181" s="112"/>
      <c r="B181" s="202" t="s">
        <v>181</v>
      </c>
      <c r="C181" s="203"/>
      <c r="D181" s="122">
        <v>1.6129548643993386</v>
      </c>
      <c r="E181" s="112"/>
      <c r="F181" s="105"/>
      <c r="G181" s="123"/>
    </row>
    <row r="182" spans="1:7" ht="12.75" x14ac:dyDescent="0.2"/>
    <row r="183" spans="1:7" ht="12.75" x14ac:dyDescent="0.2">
      <c r="B183" s="214" t="s">
        <v>1031</v>
      </c>
      <c r="C183" s="215"/>
      <c r="D183" s="216"/>
    </row>
    <row r="184" spans="1:7" ht="25.5" x14ac:dyDescent="0.2">
      <c r="B184" s="213" t="s">
        <v>1032</v>
      </c>
      <c r="C184" s="213"/>
      <c r="D184" s="128" t="s">
        <v>839</v>
      </c>
    </row>
    <row r="185" spans="1:7" ht="12.75" x14ac:dyDescent="0.2">
      <c r="B185" s="213" t="s">
        <v>1033</v>
      </c>
      <c r="C185" s="213"/>
      <c r="D185" s="129"/>
    </row>
    <row r="186" spans="1:7" ht="12.75" x14ac:dyDescent="0.2">
      <c r="B186" s="210"/>
      <c r="C186" s="212"/>
      <c r="D186" s="130"/>
    </row>
    <row r="187" spans="1:7" ht="12.75" x14ac:dyDescent="0.2">
      <c r="B187" s="213" t="s">
        <v>1034</v>
      </c>
      <c r="C187" s="213"/>
      <c r="D187" s="131">
        <v>6.2450332004807754</v>
      </c>
    </row>
    <row r="188" spans="1:7" ht="12.75" x14ac:dyDescent="0.2">
      <c r="B188" s="210"/>
      <c r="C188" s="212"/>
      <c r="D188" s="130"/>
    </row>
    <row r="189" spans="1:7" ht="12.75" x14ac:dyDescent="0.2">
      <c r="B189" s="213" t="s">
        <v>1035</v>
      </c>
      <c r="C189" s="213"/>
      <c r="D189" s="131">
        <v>3.2526869223374359</v>
      </c>
    </row>
    <row r="190" spans="1:7" ht="12.75" x14ac:dyDescent="0.2">
      <c r="B190" s="213" t="s">
        <v>1036</v>
      </c>
      <c r="C190" s="213"/>
      <c r="D190" s="131">
        <v>3.8911681111580223</v>
      </c>
    </row>
    <row r="191" spans="1:7" ht="12.75" x14ac:dyDescent="0.2">
      <c r="B191" s="210"/>
      <c r="C191" s="212"/>
      <c r="D191" s="130"/>
    </row>
    <row r="192" spans="1:7" ht="12.75" x14ac:dyDescent="0.2">
      <c r="B192" s="213" t="s">
        <v>1037</v>
      </c>
      <c r="C192" s="213"/>
      <c r="D192" s="132" t="s">
        <v>1220</v>
      </c>
    </row>
    <row r="193" spans="2:10" ht="12.75" x14ac:dyDescent="0.2">
      <c r="B193" s="210" t="s">
        <v>1038</v>
      </c>
      <c r="C193" s="211"/>
      <c r="D193" s="212"/>
    </row>
    <row r="194" spans="2:10" ht="12.75" x14ac:dyDescent="0.2"/>
    <row r="195" spans="2:10" ht="12.75" x14ac:dyDescent="0.2">
      <c r="B195" s="204" t="s">
        <v>950</v>
      </c>
      <c r="C195" s="204"/>
    </row>
    <row r="196" spans="2:10" ht="12.75" x14ac:dyDescent="0.2"/>
    <row r="197" spans="2:10" ht="153.75" customHeight="1" x14ac:dyDescent="0.2"/>
    <row r="198" spans="2:10" ht="12.75" x14ac:dyDescent="0.2"/>
    <row r="199" spans="2:10" ht="12.75" x14ac:dyDescent="0.2"/>
    <row r="200" spans="2:10" ht="12.75" x14ac:dyDescent="0.2">
      <c r="B200" s="124" t="s">
        <v>951</v>
      </c>
      <c r="C200" s="125"/>
      <c r="D200" s="124"/>
    </row>
    <row r="201" spans="2:10" ht="12.75" x14ac:dyDescent="0.2">
      <c r="B201" s="124" t="s">
        <v>1136</v>
      </c>
      <c r="D201" s="124"/>
    </row>
    <row r="202" spans="2:10" ht="165" customHeight="1" x14ac:dyDescent="0.2"/>
    <row r="203" spans="2:10" ht="12.75" x14ac:dyDescent="0.2"/>
    <row r="204" spans="2:10" ht="12.75" x14ac:dyDescent="0.2">
      <c r="J204" s="84"/>
    </row>
    <row r="205" spans="2:10" ht="12.75" x14ac:dyDescent="0.2"/>
    <row r="206" spans="2:10" ht="12.75" x14ac:dyDescent="0.2"/>
    <row r="207" spans="2:10" ht="12.75" x14ac:dyDescent="0.2"/>
  </sheetData>
  <mergeCells count="29">
    <mergeCell ref="A1:H1"/>
    <mergeCell ref="A2:H2"/>
    <mergeCell ref="A3:H3"/>
    <mergeCell ref="B176:C176"/>
    <mergeCell ref="B180:C180"/>
    <mergeCell ref="B159:H159"/>
    <mergeCell ref="B160:H160"/>
    <mergeCell ref="B161:H161"/>
    <mergeCell ref="B162:H162"/>
    <mergeCell ref="B163:H163"/>
    <mergeCell ref="B165:D165"/>
    <mergeCell ref="B166:C166"/>
    <mergeCell ref="B167:C167"/>
    <mergeCell ref="B168:C168"/>
    <mergeCell ref="B178:C178"/>
    <mergeCell ref="B179:C179"/>
    <mergeCell ref="B183:D183"/>
    <mergeCell ref="B185:C185"/>
    <mergeCell ref="B186:C186"/>
    <mergeCell ref="B184:C184"/>
    <mergeCell ref="B181:C181"/>
    <mergeCell ref="B192:C192"/>
    <mergeCell ref="B193:D193"/>
    <mergeCell ref="B195:C195"/>
    <mergeCell ref="B187:C187"/>
    <mergeCell ref="B188:C188"/>
    <mergeCell ref="B189:C189"/>
    <mergeCell ref="B190:C190"/>
    <mergeCell ref="B191:C191"/>
  </mergeCells>
  <hyperlinks>
    <hyperlink ref="I1" location="Index!B2" display="Index" xr:uid="{0D748F99-9C43-4163-B7A3-B833F2DF66D8}"/>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EBE31-1C85-441F-9F29-F18E15D406D8}">
  <sheetPr>
    <outlinePr summaryBelow="0" summaryRight="0"/>
  </sheetPr>
  <dimension ref="A1:Q172"/>
  <sheetViews>
    <sheetView showGridLines="0" workbookViewId="0">
      <selection sqref="A1:H1"/>
    </sheetView>
  </sheetViews>
  <sheetFormatPr defaultRowHeight="14.25" customHeight="1" x14ac:dyDescent="0.2"/>
  <cols>
    <col min="1" max="1" width="5.85546875" bestFit="1" customWidth="1"/>
    <col min="2" max="2" width="19.7109375" customWidth="1"/>
    <col min="3" max="3" width="39.140625" bestFit="1" customWidth="1"/>
    <col min="4" max="4" width="28.140625" bestFit="1" customWidth="1"/>
    <col min="5" max="5" width="8.7109375" bestFit="1" customWidth="1"/>
    <col min="6" max="6" width="10.140625" bestFit="1" customWidth="1"/>
    <col min="7" max="7" width="14" bestFit="1" customWidth="1"/>
    <col min="8" max="8" width="8.42578125" bestFit="1" customWidth="1"/>
  </cols>
  <sheetData>
    <row r="1" spans="1:9" ht="14.25" customHeight="1" x14ac:dyDescent="0.2">
      <c r="A1" s="205" t="s">
        <v>0</v>
      </c>
      <c r="B1" s="205"/>
      <c r="C1" s="205"/>
      <c r="D1" s="205"/>
      <c r="E1" s="205"/>
      <c r="F1" s="205"/>
      <c r="G1" s="205"/>
      <c r="H1" s="205"/>
      <c r="I1" s="1" t="s">
        <v>898</v>
      </c>
    </row>
    <row r="2" spans="1:9" ht="14.25" customHeight="1" x14ac:dyDescent="0.2">
      <c r="A2" s="205" t="s">
        <v>852</v>
      </c>
      <c r="B2" s="205"/>
      <c r="C2" s="205"/>
      <c r="D2" s="205"/>
      <c r="E2" s="205"/>
      <c r="F2" s="205"/>
      <c r="G2" s="205"/>
      <c r="H2" s="205"/>
    </row>
    <row r="3" spans="1:9" ht="14.25" customHeight="1" x14ac:dyDescent="0.2">
      <c r="A3" s="205" t="s">
        <v>940</v>
      </c>
      <c r="B3" s="205"/>
      <c r="C3" s="205"/>
      <c r="D3" s="205"/>
      <c r="E3" s="205"/>
      <c r="F3" s="205"/>
      <c r="G3" s="205"/>
      <c r="H3" s="205"/>
    </row>
    <row r="4" spans="1:9" s="84" customFormat="1" ht="14.25" customHeight="1" x14ac:dyDescent="0.2">
      <c r="A4" s="82" t="s">
        <v>2</v>
      </c>
      <c r="B4" s="82" t="s">
        <v>3</v>
      </c>
      <c r="C4" s="82" t="s">
        <v>4</v>
      </c>
      <c r="D4" s="82" t="s">
        <v>5</v>
      </c>
      <c r="E4" s="82" t="s">
        <v>6</v>
      </c>
      <c r="F4" s="82" t="s">
        <v>7</v>
      </c>
      <c r="G4" s="82" t="s">
        <v>8</v>
      </c>
      <c r="H4" s="83" t="s">
        <v>897</v>
      </c>
    </row>
    <row r="5" spans="1:9" ht="14.25" customHeight="1" x14ac:dyDescent="0.2">
      <c r="A5" s="85"/>
      <c r="B5" s="85"/>
      <c r="C5" s="86" t="s">
        <v>9</v>
      </c>
      <c r="D5" s="85"/>
      <c r="E5" s="85"/>
      <c r="F5" s="85"/>
      <c r="G5" s="85"/>
      <c r="H5" s="87" t="s">
        <v>143</v>
      </c>
    </row>
    <row r="6" spans="1:9" ht="14.25" customHeight="1" x14ac:dyDescent="0.2">
      <c r="A6" s="88"/>
      <c r="B6" s="89"/>
      <c r="C6" s="89" t="s">
        <v>10</v>
      </c>
      <c r="D6" s="89"/>
      <c r="E6" s="90"/>
      <c r="F6" s="91"/>
      <c r="G6" s="92"/>
      <c r="H6" s="87" t="s">
        <v>143</v>
      </c>
    </row>
    <row r="7" spans="1:9" ht="14.25" customHeight="1" x14ac:dyDescent="0.2">
      <c r="A7" s="88">
        <v>1</v>
      </c>
      <c r="B7" s="89" t="s">
        <v>321</v>
      </c>
      <c r="C7" s="89" t="s">
        <v>322</v>
      </c>
      <c r="D7" s="89" t="s">
        <v>33</v>
      </c>
      <c r="E7" s="90">
        <v>574509</v>
      </c>
      <c r="F7" s="91">
        <v>5467.0276439999998</v>
      </c>
      <c r="G7" s="92">
        <v>6.3468120000000003E-2</v>
      </c>
      <c r="H7" s="87" t="s">
        <v>143</v>
      </c>
    </row>
    <row r="8" spans="1:9" ht="14.25" customHeight="1" x14ac:dyDescent="0.2">
      <c r="A8" s="88">
        <v>2</v>
      </c>
      <c r="B8" s="89" t="s">
        <v>31</v>
      </c>
      <c r="C8" s="89" t="s">
        <v>32</v>
      </c>
      <c r="D8" s="89" t="s">
        <v>33</v>
      </c>
      <c r="E8" s="90">
        <v>278664</v>
      </c>
      <c r="F8" s="91">
        <v>3895.1653919999999</v>
      </c>
      <c r="G8" s="92">
        <v>4.5219969999999998E-2</v>
      </c>
      <c r="H8" s="87" t="s">
        <v>143</v>
      </c>
    </row>
    <row r="9" spans="1:9" ht="14.25" customHeight="1" x14ac:dyDescent="0.2">
      <c r="A9" s="88">
        <v>3</v>
      </c>
      <c r="B9" s="89" t="s">
        <v>17</v>
      </c>
      <c r="C9" s="89" t="s">
        <v>18</v>
      </c>
      <c r="D9" s="89" t="s">
        <v>19</v>
      </c>
      <c r="E9" s="90">
        <v>257669</v>
      </c>
      <c r="F9" s="91">
        <v>3497.0836680000002</v>
      </c>
      <c r="G9" s="92">
        <v>4.0598540000000002E-2</v>
      </c>
      <c r="H9" s="87" t="s">
        <v>143</v>
      </c>
    </row>
    <row r="10" spans="1:9" ht="14.25" customHeight="1" x14ac:dyDescent="0.2">
      <c r="A10" s="88">
        <v>4</v>
      </c>
      <c r="B10" s="89" t="s">
        <v>325</v>
      </c>
      <c r="C10" s="89" t="s">
        <v>326</v>
      </c>
      <c r="D10" s="89" t="s">
        <v>199</v>
      </c>
      <c r="E10" s="90">
        <v>192263</v>
      </c>
      <c r="F10" s="91">
        <v>2825.4970480000002</v>
      </c>
      <c r="G10" s="92">
        <v>3.2801919999999998E-2</v>
      </c>
      <c r="H10" s="87" t="s">
        <v>143</v>
      </c>
    </row>
    <row r="11" spans="1:9" ht="14.25" customHeight="1" x14ac:dyDescent="0.2">
      <c r="A11" s="88">
        <v>5</v>
      </c>
      <c r="B11" s="89" t="s">
        <v>853</v>
      </c>
      <c r="C11" s="89" t="s">
        <v>854</v>
      </c>
      <c r="D11" s="89" t="s">
        <v>855</v>
      </c>
      <c r="E11" s="90">
        <v>20632</v>
      </c>
      <c r="F11" s="91">
        <v>2270.2421199999999</v>
      </c>
      <c r="G11" s="92">
        <v>2.6355819999999999E-2</v>
      </c>
      <c r="H11" s="87" t="s">
        <v>143</v>
      </c>
    </row>
    <row r="12" spans="1:9" ht="14.25" customHeight="1" x14ac:dyDescent="0.2">
      <c r="A12" s="88">
        <v>6</v>
      </c>
      <c r="B12" s="89" t="s">
        <v>856</v>
      </c>
      <c r="C12" s="89" t="s">
        <v>857</v>
      </c>
      <c r="D12" s="89" t="s">
        <v>194</v>
      </c>
      <c r="E12" s="90">
        <v>73353</v>
      </c>
      <c r="F12" s="91">
        <v>2042.88105</v>
      </c>
      <c r="G12" s="92">
        <v>2.3716330000000001E-2</v>
      </c>
      <c r="H12" s="87" t="s">
        <v>143</v>
      </c>
    </row>
    <row r="13" spans="1:9" ht="14.25" customHeight="1" x14ac:dyDescent="0.2">
      <c r="A13" s="88">
        <v>7</v>
      </c>
      <c r="B13" s="89" t="s">
        <v>858</v>
      </c>
      <c r="C13" s="89" t="s">
        <v>859</v>
      </c>
      <c r="D13" s="89" t="s">
        <v>133</v>
      </c>
      <c r="E13" s="90">
        <v>32408</v>
      </c>
      <c r="F13" s="91">
        <v>1984.34184</v>
      </c>
      <c r="G13" s="92">
        <v>2.3036729999999998E-2</v>
      </c>
      <c r="H13" s="87" t="s">
        <v>143</v>
      </c>
    </row>
    <row r="14" spans="1:9" ht="14.25" customHeight="1" x14ac:dyDescent="0.2">
      <c r="A14" s="88">
        <v>8</v>
      </c>
      <c r="B14" s="89" t="s">
        <v>26</v>
      </c>
      <c r="C14" s="89" t="s">
        <v>27</v>
      </c>
      <c r="D14" s="89" t="s">
        <v>28</v>
      </c>
      <c r="E14" s="90">
        <v>535675</v>
      </c>
      <c r="F14" s="91">
        <v>1978.7834499999999</v>
      </c>
      <c r="G14" s="92">
        <v>2.2972200000000002E-2</v>
      </c>
      <c r="H14" s="87" t="s">
        <v>143</v>
      </c>
    </row>
    <row r="15" spans="1:9" ht="14.25" customHeight="1" x14ac:dyDescent="0.2">
      <c r="A15" s="88">
        <v>9</v>
      </c>
      <c r="B15" s="89" t="s">
        <v>248</v>
      </c>
      <c r="C15" s="89" t="s">
        <v>249</v>
      </c>
      <c r="D15" s="89" t="s">
        <v>33</v>
      </c>
      <c r="E15" s="90">
        <v>268067</v>
      </c>
      <c r="F15" s="91">
        <v>1924.8550935000001</v>
      </c>
      <c r="G15" s="92">
        <v>2.234614E-2</v>
      </c>
      <c r="H15" s="87" t="s">
        <v>143</v>
      </c>
    </row>
    <row r="16" spans="1:9" ht="14.25" customHeight="1" x14ac:dyDescent="0.2">
      <c r="A16" s="88">
        <v>10</v>
      </c>
      <c r="B16" s="89" t="s">
        <v>11</v>
      </c>
      <c r="C16" s="89" t="s">
        <v>12</v>
      </c>
      <c r="D16" s="89" t="s">
        <v>13</v>
      </c>
      <c r="E16" s="90">
        <v>100849</v>
      </c>
      <c r="F16" s="91">
        <v>1904.835912</v>
      </c>
      <c r="G16" s="92">
        <v>2.2113730000000002E-2</v>
      </c>
      <c r="H16" s="87" t="s">
        <v>143</v>
      </c>
    </row>
    <row r="17" spans="1:8" ht="14.25" customHeight="1" x14ac:dyDescent="0.2">
      <c r="A17" s="88">
        <v>11</v>
      </c>
      <c r="B17" s="89" t="s">
        <v>860</v>
      </c>
      <c r="C17" s="89" t="s">
        <v>861</v>
      </c>
      <c r="D17" s="89" t="s">
        <v>268</v>
      </c>
      <c r="E17" s="90">
        <v>13653</v>
      </c>
      <c r="F17" s="91">
        <v>1883.4313500000001</v>
      </c>
      <c r="G17" s="92">
        <v>2.1865240000000001E-2</v>
      </c>
      <c r="H17" s="87" t="s">
        <v>143</v>
      </c>
    </row>
    <row r="18" spans="1:8" ht="14.25" customHeight="1" x14ac:dyDescent="0.2">
      <c r="A18" s="88">
        <v>12</v>
      </c>
      <c r="B18" s="89" t="s">
        <v>447</v>
      </c>
      <c r="C18" s="89" t="s">
        <v>448</v>
      </c>
      <c r="D18" s="89" t="s">
        <v>199</v>
      </c>
      <c r="E18" s="90">
        <v>593937</v>
      </c>
      <c r="F18" s="91">
        <v>1481.3382717</v>
      </c>
      <c r="G18" s="92">
        <v>1.7197239999999999E-2</v>
      </c>
      <c r="H18" s="87" t="s">
        <v>143</v>
      </c>
    </row>
    <row r="19" spans="1:8" ht="14.25" customHeight="1" x14ac:dyDescent="0.2">
      <c r="A19" s="88">
        <v>13</v>
      </c>
      <c r="B19" s="89" t="s">
        <v>87</v>
      </c>
      <c r="C19" s="89" t="s">
        <v>88</v>
      </c>
      <c r="D19" s="89" t="s">
        <v>13</v>
      </c>
      <c r="E19" s="90">
        <v>433181</v>
      </c>
      <c r="F19" s="91">
        <v>1466.7508660000001</v>
      </c>
      <c r="G19" s="92">
        <v>1.702789E-2</v>
      </c>
      <c r="H19" s="87" t="s">
        <v>143</v>
      </c>
    </row>
    <row r="20" spans="1:8" ht="14.25" customHeight="1" x14ac:dyDescent="0.2">
      <c r="A20" s="88">
        <v>14</v>
      </c>
      <c r="B20" s="89" t="s">
        <v>78</v>
      </c>
      <c r="C20" s="89" t="s">
        <v>79</v>
      </c>
      <c r="D20" s="89" t="s">
        <v>80</v>
      </c>
      <c r="E20" s="90">
        <v>837783</v>
      </c>
      <c r="F20" s="91">
        <v>1449.9510381</v>
      </c>
      <c r="G20" s="92">
        <v>1.683285E-2</v>
      </c>
      <c r="H20" s="87" t="s">
        <v>143</v>
      </c>
    </row>
    <row r="21" spans="1:8" ht="14.25" customHeight="1" x14ac:dyDescent="0.2">
      <c r="A21" s="88">
        <v>15</v>
      </c>
      <c r="B21" s="89" t="s">
        <v>862</v>
      </c>
      <c r="C21" s="89" t="s">
        <v>863</v>
      </c>
      <c r="D21" s="89" t="s">
        <v>33</v>
      </c>
      <c r="E21" s="90">
        <v>1304205</v>
      </c>
      <c r="F21" s="91">
        <v>1438.4076944999999</v>
      </c>
      <c r="G21" s="92">
        <v>1.669884E-2</v>
      </c>
      <c r="H21" s="87" t="s">
        <v>143</v>
      </c>
    </row>
    <row r="22" spans="1:8" ht="14.25" customHeight="1" x14ac:dyDescent="0.2">
      <c r="A22" s="88">
        <v>16</v>
      </c>
      <c r="B22" s="89" t="s">
        <v>63</v>
      </c>
      <c r="C22" s="89" t="s">
        <v>64</v>
      </c>
      <c r="D22" s="89" t="s">
        <v>65</v>
      </c>
      <c r="E22" s="90">
        <v>614820</v>
      </c>
      <c r="F22" s="91">
        <v>1436.895822</v>
      </c>
      <c r="G22" s="92">
        <v>1.6681290000000001E-2</v>
      </c>
      <c r="H22" s="87" t="s">
        <v>143</v>
      </c>
    </row>
    <row r="23" spans="1:8" ht="14.25" customHeight="1" x14ac:dyDescent="0.2">
      <c r="A23" s="88">
        <v>17</v>
      </c>
      <c r="B23" s="89" t="s">
        <v>864</v>
      </c>
      <c r="C23" s="89" t="s">
        <v>865</v>
      </c>
      <c r="D23" s="89" t="s">
        <v>436</v>
      </c>
      <c r="E23" s="90">
        <v>340479</v>
      </c>
      <c r="F23" s="91">
        <v>1427.4582075000001</v>
      </c>
      <c r="G23" s="92">
        <v>1.657173E-2</v>
      </c>
      <c r="H23" s="87" t="s">
        <v>143</v>
      </c>
    </row>
    <row r="24" spans="1:8" ht="14.25" customHeight="1" x14ac:dyDescent="0.2">
      <c r="A24" s="88">
        <v>18</v>
      </c>
      <c r="B24" s="89" t="s">
        <v>667</v>
      </c>
      <c r="C24" s="89" t="s">
        <v>668</v>
      </c>
      <c r="D24" s="89" t="s">
        <v>669</v>
      </c>
      <c r="E24" s="90">
        <v>376812</v>
      </c>
      <c r="F24" s="91">
        <v>1412.2913759999999</v>
      </c>
      <c r="G24" s="92">
        <v>1.6395650000000001E-2</v>
      </c>
      <c r="H24" s="87" t="s">
        <v>143</v>
      </c>
    </row>
    <row r="25" spans="1:8" ht="14.25" customHeight="1" x14ac:dyDescent="0.2">
      <c r="A25" s="88">
        <v>19</v>
      </c>
      <c r="B25" s="89" t="s">
        <v>866</v>
      </c>
      <c r="C25" s="89" t="s">
        <v>867</v>
      </c>
      <c r="D25" s="89" t="s">
        <v>80</v>
      </c>
      <c r="E25" s="90">
        <v>522536</v>
      </c>
      <c r="F25" s="91">
        <v>1408.23452</v>
      </c>
      <c r="G25" s="92">
        <v>1.6348560000000002E-2</v>
      </c>
      <c r="H25" s="87" t="s">
        <v>143</v>
      </c>
    </row>
    <row r="26" spans="1:8" ht="14.25" customHeight="1" x14ac:dyDescent="0.2">
      <c r="A26" s="88">
        <v>20</v>
      </c>
      <c r="B26" s="89" t="s">
        <v>868</v>
      </c>
      <c r="C26" s="89" t="s">
        <v>869</v>
      </c>
      <c r="D26" s="89" t="s">
        <v>33</v>
      </c>
      <c r="E26" s="90">
        <v>1118696</v>
      </c>
      <c r="F26" s="91">
        <v>1396.3563472000001</v>
      </c>
      <c r="G26" s="92">
        <v>1.6210659999999998E-2</v>
      </c>
      <c r="H26" s="87" t="s">
        <v>143</v>
      </c>
    </row>
    <row r="27" spans="1:8" ht="14.25" customHeight="1" x14ac:dyDescent="0.2">
      <c r="A27" s="88">
        <v>21</v>
      </c>
      <c r="B27" s="89" t="s">
        <v>684</v>
      </c>
      <c r="C27" s="89" t="s">
        <v>685</v>
      </c>
      <c r="D27" s="89" t="s">
        <v>191</v>
      </c>
      <c r="E27" s="90">
        <v>384420</v>
      </c>
      <c r="F27" s="91">
        <v>1345.47</v>
      </c>
      <c r="G27" s="92">
        <v>1.5619910000000001E-2</v>
      </c>
      <c r="H27" s="87" t="s">
        <v>143</v>
      </c>
    </row>
    <row r="28" spans="1:8" ht="14.25" customHeight="1" x14ac:dyDescent="0.2">
      <c r="A28" s="88">
        <v>22</v>
      </c>
      <c r="B28" s="89" t="s">
        <v>870</v>
      </c>
      <c r="C28" s="89" t="s">
        <v>871</v>
      </c>
      <c r="D28" s="89" t="s">
        <v>191</v>
      </c>
      <c r="E28" s="90">
        <v>582227</v>
      </c>
      <c r="F28" s="91">
        <v>1264.3641531999999</v>
      </c>
      <c r="G28" s="92">
        <v>1.467833E-2</v>
      </c>
      <c r="H28" s="87" t="s">
        <v>143</v>
      </c>
    </row>
    <row r="29" spans="1:8" ht="14.25" customHeight="1" x14ac:dyDescent="0.2">
      <c r="A29" s="88">
        <v>23</v>
      </c>
      <c r="B29" s="89" t="s">
        <v>261</v>
      </c>
      <c r="C29" s="89" t="s">
        <v>262</v>
      </c>
      <c r="D29" s="89" t="s">
        <v>263</v>
      </c>
      <c r="E29" s="90">
        <v>75677</v>
      </c>
      <c r="F29" s="91">
        <v>1212.4968940000001</v>
      </c>
      <c r="G29" s="92">
        <v>1.4076190000000001E-2</v>
      </c>
      <c r="H29" s="87" t="s">
        <v>143</v>
      </c>
    </row>
    <row r="30" spans="1:8" ht="14.25" customHeight="1" x14ac:dyDescent="0.2">
      <c r="A30" s="88">
        <v>24</v>
      </c>
      <c r="B30" s="89" t="s">
        <v>523</v>
      </c>
      <c r="C30" s="89" t="s">
        <v>524</v>
      </c>
      <c r="D30" s="89" t="s">
        <v>191</v>
      </c>
      <c r="E30" s="90">
        <v>433811</v>
      </c>
      <c r="F30" s="91">
        <v>1205.3438635</v>
      </c>
      <c r="G30" s="92">
        <v>1.3993149999999999E-2</v>
      </c>
      <c r="H30" s="87" t="s">
        <v>143</v>
      </c>
    </row>
    <row r="31" spans="1:8" ht="14.25" customHeight="1" x14ac:dyDescent="0.2">
      <c r="A31" s="88">
        <v>25</v>
      </c>
      <c r="B31" s="89" t="s">
        <v>872</v>
      </c>
      <c r="C31" s="89" t="s">
        <v>873</v>
      </c>
      <c r="D31" s="89" t="s">
        <v>194</v>
      </c>
      <c r="E31" s="90">
        <v>62561</v>
      </c>
      <c r="F31" s="91">
        <v>1203.611079</v>
      </c>
      <c r="G31" s="92">
        <v>1.3973030000000001E-2</v>
      </c>
      <c r="H31" s="87" t="s">
        <v>143</v>
      </c>
    </row>
    <row r="32" spans="1:8" ht="14.25" customHeight="1" x14ac:dyDescent="0.2">
      <c r="A32" s="88">
        <v>26</v>
      </c>
      <c r="B32" s="89" t="s">
        <v>34</v>
      </c>
      <c r="C32" s="89" t="s">
        <v>35</v>
      </c>
      <c r="D32" s="89" t="s">
        <v>36</v>
      </c>
      <c r="E32" s="90">
        <v>43259</v>
      </c>
      <c r="F32" s="91">
        <v>1202.254128</v>
      </c>
      <c r="G32" s="92">
        <v>1.3957280000000001E-2</v>
      </c>
      <c r="H32" s="87" t="s">
        <v>143</v>
      </c>
    </row>
    <row r="33" spans="1:8" ht="14.25" customHeight="1" x14ac:dyDescent="0.2">
      <c r="A33" s="88">
        <v>27</v>
      </c>
      <c r="B33" s="89" t="s">
        <v>73</v>
      </c>
      <c r="C33" s="89" t="s">
        <v>74</v>
      </c>
      <c r="D33" s="89" t="s">
        <v>36</v>
      </c>
      <c r="E33" s="90">
        <v>6169</v>
      </c>
      <c r="F33" s="91">
        <v>1178.8959</v>
      </c>
      <c r="G33" s="92">
        <v>1.36861E-2</v>
      </c>
      <c r="H33" s="87" t="s">
        <v>143</v>
      </c>
    </row>
    <row r="34" spans="1:8" ht="14.25" customHeight="1" x14ac:dyDescent="0.2">
      <c r="A34" s="88">
        <v>28</v>
      </c>
      <c r="B34" s="89" t="s">
        <v>874</v>
      </c>
      <c r="C34" s="89" t="s">
        <v>875</v>
      </c>
      <c r="D34" s="89" t="s">
        <v>223</v>
      </c>
      <c r="E34" s="90">
        <v>21573</v>
      </c>
      <c r="F34" s="91">
        <v>1178.5329899999999</v>
      </c>
      <c r="G34" s="92">
        <v>1.368189E-2</v>
      </c>
      <c r="H34" s="87" t="s">
        <v>143</v>
      </c>
    </row>
    <row r="35" spans="1:8" ht="14.25" customHeight="1" x14ac:dyDescent="0.2">
      <c r="A35" s="88">
        <v>29</v>
      </c>
      <c r="B35" s="89" t="s">
        <v>823</v>
      </c>
      <c r="C35" s="89" t="s">
        <v>824</v>
      </c>
      <c r="D35" s="89" t="s">
        <v>188</v>
      </c>
      <c r="E35" s="90">
        <v>66430</v>
      </c>
      <c r="F35" s="91">
        <v>1165.04934</v>
      </c>
      <c r="G35" s="92">
        <v>1.352536E-2</v>
      </c>
      <c r="H35" s="87" t="s">
        <v>143</v>
      </c>
    </row>
    <row r="36" spans="1:8" ht="14.25" customHeight="1" x14ac:dyDescent="0.2">
      <c r="A36" s="88">
        <v>30</v>
      </c>
      <c r="B36" s="89" t="s">
        <v>876</v>
      </c>
      <c r="C36" s="89" t="s">
        <v>877</v>
      </c>
      <c r="D36" s="89" t="s">
        <v>223</v>
      </c>
      <c r="E36" s="90">
        <v>148063</v>
      </c>
      <c r="F36" s="91">
        <v>1161.9243925000001</v>
      </c>
      <c r="G36" s="92">
        <v>1.3489080000000001E-2</v>
      </c>
      <c r="H36" s="87" t="s">
        <v>143</v>
      </c>
    </row>
    <row r="37" spans="1:8" ht="14.25" customHeight="1" x14ac:dyDescent="0.2">
      <c r="A37" s="88">
        <v>31</v>
      </c>
      <c r="B37" s="89" t="s">
        <v>642</v>
      </c>
      <c r="C37" s="89" t="s">
        <v>643</v>
      </c>
      <c r="D37" s="89" t="s">
        <v>191</v>
      </c>
      <c r="E37" s="90">
        <v>369565</v>
      </c>
      <c r="F37" s="91">
        <v>1151.934105</v>
      </c>
      <c r="G37" s="92">
        <v>1.3373100000000001E-2</v>
      </c>
      <c r="H37" s="87" t="s">
        <v>143</v>
      </c>
    </row>
    <row r="38" spans="1:8" ht="14.25" customHeight="1" x14ac:dyDescent="0.2">
      <c r="A38" s="88">
        <v>32</v>
      </c>
      <c r="B38" s="89" t="s">
        <v>878</v>
      </c>
      <c r="C38" s="89" t="s">
        <v>879</v>
      </c>
      <c r="D38" s="89" t="s">
        <v>133</v>
      </c>
      <c r="E38" s="90">
        <v>70892</v>
      </c>
      <c r="F38" s="91">
        <v>1140.0851439999999</v>
      </c>
      <c r="G38" s="92">
        <v>1.323554E-2</v>
      </c>
      <c r="H38" s="87" t="s">
        <v>143</v>
      </c>
    </row>
    <row r="39" spans="1:8" ht="14.25" customHeight="1" x14ac:dyDescent="0.2">
      <c r="A39" s="88">
        <v>33</v>
      </c>
      <c r="B39" s="89" t="s">
        <v>880</v>
      </c>
      <c r="C39" s="89" t="s">
        <v>881</v>
      </c>
      <c r="D39" s="89" t="s">
        <v>28</v>
      </c>
      <c r="E39" s="90">
        <v>77797</v>
      </c>
      <c r="F39" s="91">
        <v>1116.931529</v>
      </c>
      <c r="G39" s="92">
        <v>1.2966739999999999E-2</v>
      </c>
      <c r="H39" s="87" t="s">
        <v>143</v>
      </c>
    </row>
    <row r="40" spans="1:8" ht="14.25" customHeight="1" x14ac:dyDescent="0.2">
      <c r="A40" s="88">
        <v>34</v>
      </c>
      <c r="B40" s="89" t="s">
        <v>264</v>
      </c>
      <c r="C40" s="89" t="s">
        <v>265</v>
      </c>
      <c r="D40" s="89" t="s">
        <v>223</v>
      </c>
      <c r="E40" s="90">
        <v>129820</v>
      </c>
      <c r="F40" s="91">
        <v>1112.94686</v>
      </c>
      <c r="G40" s="92">
        <v>1.292049E-2</v>
      </c>
      <c r="H40" s="87" t="s">
        <v>143</v>
      </c>
    </row>
    <row r="41" spans="1:8" ht="14.25" customHeight="1" x14ac:dyDescent="0.2">
      <c r="A41" s="88">
        <v>35</v>
      </c>
      <c r="B41" s="89" t="s">
        <v>339</v>
      </c>
      <c r="C41" s="89" t="s">
        <v>340</v>
      </c>
      <c r="D41" s="89" t="s">
        <v>223</v>
      </c>
      <c r="E41" s="90">
        <v>14910</v>
      </c>
      <c r="F41" s="91">
        <v>1101.8489999999999</v>
      </c>
      <c r="G41" s="92">
        <v>1.279165E-2</v>
      </c>
      <c r="H41" s="87" t="s">
        <v>143</v>
      </c>
    </row>
    <row r="42" spans="1:8" ht="14.25" customHeight="1" x14ac:dyDescent="0.2">
      <c r="A42" s="88">
        <v>36</v>
      </c>
      <c r="B42" s="89" t="s">
        <v>221</v>
      </c>
      <c r="C42" s="89" t="s">
        <v>222</v>
      </c>
      <c r="D42" s="89" t="s">
        <v>223</v>
      </c>
      <c r="E42" s="90">
        <v>49302</v>
      </c>
      <c r="F42" s="91">
        <v>1033.4685239999999</v>
      </c>
      <c r="G42" s="92">
        <v>1.1997799999999999E-2</v>
      </c>
      <c r="H42" s="87" t="s">
        <v>143</v>
      </c>
    </row>
    <row r="43" spans="1:8" ht="14.25" customHeight="1" x14ac:dyDescent="0.2">
      <c r="A43" s="88">
        <v>37</v>
      </c>
      <c r="B43" s="89" t="s">
        <v>210</v>
      </c>
      <c r="C43" s="89" t="s">
        <v>211</v>
      </c>
      <c r="D43" s="89" t="s">
        <v>199</v>
      </c>
      <c r="E43" s="90">
        <v>49062</v>
      </c>
      <c r="F43" s="91">
        <v>845.97606599999995</v>
      </c>
      <c r="G43" s="92">
        <v>9.8211500000000007E-3</v>
      </c>
      <c r="H43" s="87" t="s">
        <v>143</v>
      </c>
    </row>
    <row r="44" spans="1:8" ht="14.25" customHeight="1" x14ac:dyDescent="0.2">
      <c r="A44" s="88">
        <v>38</v>
      </c>
      <c r="B44" s="89" t="s">
        <v>439</v>
      </c>
      <c r="C44" s="89" t="s">
        <v>440</v>
      </c>
      <c r="D44" s="89" t="s">
        <v>194</v>
      </c>
      <c r="E44" s="90">
        <v>51712</v>
      </c>
      <c r="F44" s="91">
        <v>821.910528</v>
      </c>
      <c r="G44" s="92">
        <v>9.5417699999999998E-3</v>
      </c>
      <c r="H44" s="87" t="s">
        <v>143</v>
      </c>
    </row>
    <row r="45" spans="1:8" ht="14.25" customHeight="1" x14ac:dyDescent="0.2">
      <c r="A45" s="88">
        <v>39</v>
      </c>
      <c r="B45" s="89" t="s">
        <v>882</v>
      </c>
      <c r="C45" s="89" t="s">
        <v>883</v>
      </c>
      <c r="D45" s="89" t="s">
        <v>232</v>
      </c>
      <c r="E45" s="90">
        <v>28391</v>
      </c>
      <c r="F45" s="91">
        <v>809.85327500000005</v>
      </c>
      <c r="G45" s="92">
        <v>9.4017900000000001E-3</v>
      </c>
      <c r="H45" s="87" t="s">
        <v>143</v>
      </c>
    </row>
    <row r="46" spans="1:8" ht="14.25" customHeight="1" x14ac:dyDescent="0.2">
      <c r="A46" s="88">
        <v>40</v>
      </c>
      <c r="B46" s="89" t="s">
        <v>884</v>
      </c>
      <c r="C46" s="89" t="s">
        <v>885</v>
      </c>
      <c r="D46" s="89" t="s">
        <v>194</v>
      </c>
      <c r="E46" s="90">
        <v>58407</v>
      </c>
      <c r="F46" s="91">
        <v>808.58650799999998</v>
      </c>
      <c r="G46" s="92">
        <v>9.3870900000000007E-3</v>
      </c>
      <c r="H46" s="87" t="s">
        <v>143</v>
      </c>
    </row>
    <row r="47" spans="1:8" ht="14.25" customHeight="1" x14ac:dyDescent="0.2">
      <c r="A47" s="88">
        <v>41</v>
      </c>
      <c r="B47" s="89" t="s">
        <v>781</v>
      </c>
      <c r="C47" s="89" t="s">
        <v>782</v>
      </c>
      <c r="D47" s="89" t="s">
        <v>194</v>
      </c>
      <c r="E47" s="90">
        <v>13165</v>
      </c>
      <c r="F47" s="91">
        <v>807.21197500000005</v>
      </c>
      <c r="G47" s="92">
        <v>9.3711300000000001E-3</v>
      </c>
      <c r="H47" s="87" t="s">
        <v>143</v>
      </c>
    </row>
    <row r="48" spans="1:8" ht="14.25" customHeight="1" x14ac:dyDescent="0.2">
      <c r="A48" s="88">
        <v>42</v>
      </c>
      <c r="B48" s="89" t="s">
        <v>802</v>
      </c>
      <c r="C48" s="89" t="s">
        <v>803</v>
      </c>
      <c r="D48" s="89" t="s">
        <v>185</v>
      </c>
      <c r="E48" s="90">
        <v>109863</v>
      </c>
      <c r="F48" s="91">
        <v>786.34442249999995</v>
      </c>
      <c r="G48" s="92">
        <v>9.1288700000000007E-3</v>
      </c>
      <c r="H48" s="87" t="s">
        <v>143</v>
      </c>
    </row>
    <row r="49" spans="1:8" ht="14.25" customHeight="1" x14ac:dyDescent="0.2">
      <c r="A49" s="88">
        <v>43</v>
      </c>
      <c r="B49" s="89" t="s">
        <v>730</v>
      </c>
      <c r="C49" s="89" t="s">
        <v>731</v>
      </c>
      <c r="D49" s="89" t="s">
        <v>188</v>
      </c>
      <c r="E49" s="90">
        <v>10326</v>
      </c>
      <c r="F49" s="91">
        <v>785.80859999999996</v>
      </c>
      <c r="G49" s="92">
        <v>9.1226499999999995E-3</v>
      </c>
      <c r="H49" s="87" t="s">
        <v>143</v>
      </c>
    </row>
    <row r="50" spans="1:8" ht="14.25" customHeight="1" x14ac:dyDescent="0.2">
      <c r="A50" s="88">
        <v>44</v>
      </c>
      <c r="B50" s="89" t="s">
        <v>795</v>
      </c>
      <c r="C50" s="89" t="s">
        <v>796</v>
      </c>
      <c r="D50" s="89" t="s">
        <v>77</v>
      </c>
      <c r="E50" s="90">
        <v>65640</v>
      </c>
      <c r="F50" s="91">
        <v>782.62572</v>
      </c>
      <c r="G50" s="92">
        <v>9.0857000000000004E-3</v>
      </c>
      <c r="H50" s="87" t="s">
        <v>143</v>
      </c>
    </row>
    <row r="51" spans="1:8" ht="14.25" customHeight="1" x14ac:dyDescent="0.2">
      <c r="A51" s="88">
        <v>45</v>
      </c>
      <c r="B51" s="89" t="s">
        <v>437</v>
      </c>
      <c r="C51" s="89" t="s">
        <v>438</v>
      </c>
      <c r="D51" s="89" t="s">
        <v>199</v>
      </c>
      <c r="E51" s="90">
        <v>25368</v>
      </c>
      <c r="F51" s="91">
        <v>782.52669600000002</v>
      </c>
      <c r="G51" s="92">
        <v>9.0845500000000003E-3</v>
      </c>
      <c r="H51" s="87" t="s">
        <v>143</v>
      </c>
    </row>
    <row r="52" spans="1:8" ht="14.25" customHeight="1" x14ac:dyDescent="0.2">
      <c r="A52" s="88">
        <v>46</v>
      </c>
      <c r="B52" s="89" t="s">
        <v>183</v>
      </c>
      <c r="C52" s="89" t="s">
        <v>184</v>
      </c>
      <c r="D52" s="89" t="s">
        <v>185</v>
      </c>
      <c r="E52" s="90">
        <v>33789</v>
      </c>
      <c r="F52" s="91">
        <v>780.22179900000003</v>
      </c>
      <c r="G52" s="92">
        <v>9.0577899999999996E-3</v>
      </c>
      <c r="H52" s="87" t="s">
        <v>143</v>
      </c>
    </row>
    <row r="53" spans="1:8" ht="14.25" customHeight="1" x14ac:dyDescent="0.2">
      <c r="A53" s="88">
        <v>47</v>
      </c>
      <c r="B53" s="89" t="s">
        <v>192</v>
      </c>
      <c r="C53" s="89" t="s">
        <v>193</v>
      </c>
      <c r="D53" s="89" t="s">
        <v>194</v>
      </c>
      <c r="E53" s="90">
        <v>41006</v>
      </c>
      <c r="F53" s="91">
        <v>777.022694</v>
      </c>
      <c r="G53" s="92">
        <v>9.0206599999999998E-3</v>
      </c>
      <c r="H53" s="87" t="s">
        <v>143</v>
      </c>
    </row>
    <row r="54" spans="1:8" ht="14.25" customHeight="1" x14ac:dyDescent="0.2">
      <c r="A54" s="88">
        <v>48</v>
      </c>
      <c r="B54" s="89" t="s">
        <v>519</v>
      </c>
      <c r="C54" s="89" t="s">
        <v>520</v>
      </c>
      <c r="D54" s="89" t="s">
        <v>243</v>
      </c>
      <c r="E54" s="90">
        <v>15128</v>
      </c>
      <c r="F54" s="91">
        <v>769.66725599999995</v>
      </c>
      <c r="G54" s="92">
        <v>8.9352600000000004E-3</v>
      </c>
      <c r="H54" s="87" t="s">
        <v>143</v>
      </c>
    </row>
    <row r="55" spans="1:8" ht="14.25" customHeight="1" x14ac:dyDescent="0.2">
      <c r="A55" s="88">
        <v>49</v>
      </c>
      <c r="B55" s="89" t="s">
        <v>353</v>
      </c>
      <c r="C55" s="89" t="s">
        <v>354</v>
      </c>
      <c r="D55" s="89" t="s">
        <v>62</v>
      </c>
      <c r="E55" s="90">
        <v>257968</v>
      </c>
      <c r="F55" s="91">
        <v>763.58528000000001</v>
      </c>
      <c r="G55" s="92">
        <v>8.8646599999999999E-3</v>
      </c>
      <c r="H55" s="87" t="s">
        <v>143</v>
      </c>
    </row>
    <row r="56" spans="1:8" ht="14.25" customHeight="1" x14ac:dyDescent="0.2">
      <c r="A56" s="88">
        <v>50</v>
      </c>
      <c r="B56" s="89" t="s">
        <v>430</v>
      </c>
      <c r="C56" s="89" t="s">
        <v>431</v>
      </c>
      <c r="D56" s="89" t="s">
        <v>199</v>
      </c>
      <c r="E56" s="90">
        <v>51858</v>
      </c>
      <c r="F56" s="91">
        <v>754.43018400000005</v>
      </c>
      <c r="G56" s="92">
        <v>8.7583699999999997E-3</v>
      </c>
      <c r="H56" s="87" t="s">
        <v>143</v>
      </c>
    </row>
    <row r="57" spans="1:8" ht="14.25" customHeight="1" x14ac:dyDescent="0.2">
      <c r="A57" s="88">
        <v>51</v>
      </c>
      <c r="B57" s="89" t="s">
        <v>282</v>
      </c>
      <c r="C57" s="89" t="s">
        <v>283</v>
      </c>
      <c r="D57" s="89" t="s">
        <v>194</v>
      </c>
      <c r="E57" s="90">
        <v>76345</v>
      </c>
      <c r="F57" s="91">
        <v>748.98262250000005</v>
      </c>
      <c r="G57" s="92">
        <v>8.6951300000000006E-3</v>
      </c>
      <c r="H57" s="87" t="s">
        <v>143</v>
      </c>
    </row>
    <row r="58" spans="1:8" ht="14.25" customHeight="1" x14ac:dyDescent="0.2">
      <c r="A58" s="88">
        <v>52</v>
      </c>
      <c r="B58" s="89" t="s">
        <v>337</v>
      </c>
      <c r="C58" s="89" t="s">
        <v>338</v>
      </c>
      <c r="D58" s="89" t="s">
        <v>28</v>
      </c>
      <c r="E58" s="90">
        <v>17221</v>
      </c>
      <c r="F58" s="91">
        <v>746.11704599999996</v>
      </c>
      <c r="G58" s="92">
        <v>8.6618600000000004E-3</v>
      </c>
      <c r="H58" s="87" t="s">
        <v>143</v>
      </c>
    </row>
    <row r="59" spans="1:8" ht="14.25" customHeight="1" x14ac:dyDescent="0.2">
      <c r="A59" s="88">
        <v>53</v>
      </c>
      <c r="B59" s="89" t="s">
        <v>886</v>
      </c>
      <c r="C59" s="89" t="s">
        <v>887</v>
      </c>
      <c r="D59" s="89" t="s">
        <v>191</v>
      </c>
      <c r="E59" s="90">
        <v>363658</v>
      </c>
      <c r="F59" s="91">
        <v>743.6442442</v>
      </c>
      <c r="G59" s="92">
        <v>8.6331600000000008E-3</v>
      </c>
      <c r="H59" s="87" t="s">
        <v>143</v>
      </c>
    </row>
    <row r="60" spans="1:8" ht="14.25" customHeight="1" x14ac:dyDescent="0.2">
      <c r="A60" s="88">
        <v>54</v>
      </c>
      <c r="B60" s="89" t="s">
        <v>527</v>
      </c>
      <c r="C60" s="89" t="s">
        <v>528</v>
      </c>
      <c r="D60" s="89" t="s">
        <v>191</v>
      </c>
      <c r="E60" s="90">
        <v>38673</v>
      </c>
      <c r="F60" s="91">
        <v>740.00785499999995</v>
      </c>
      <c r="G60" s="92">
        <v>8.59094E-3</v>
      </c>
      <c r="H60" s="87" t="s">
        <v>143</v>
      </c>
    </row>
    <row r="61" spans="1:8" ht="14.25" customHeight="1" x14ac:dyDescent="0.2">
      <c r="A61" s="88">
        <v>55</v>
      </c>
      <c r="B61" s="89" t="s">
        <v>732</v>
      </c>
      <c r="C61" s="89" t="s">
        <v>733</v>
      </c>
      <c r="D61" s="89" t="s">
        <v>263</v>
      </c>
      <c r="E61" s="90">
        <v>39683</v>
      </c>
      <c r="F61" s="91">
        <v>730.00846799999999</v>
      </c>
      <c r="G61" s="92">
        <v>8.4748600000000007E-3</v>
      </c>
      <c r="H61" s="87" t="s">
        <v>143</v>
      </c>
    </row>
    <row r="62" spans="1:8" ht="14.25" customHeight="1" x14ac:dyDescent="0.2">
      <c r="A62" s="88">
        <v>56</v>
      </c>
      <c r="B62" s="89" t="s">
        <v>888</v>
      </c>
      <c r="C62" s="89" t="s">
        <v>889</v>
      </c>
      <c r="D62" s="89" t="s">
        <v>191</v>
      </c>
      <c r="E62" s="90">
        <v>27656</v>
      </c>
      <c r="F62" s="91">
        <v>729.50996799999996</v>
      </c>
      <c r="G62" s="92">
        <v>8.4690700000000004E-3</v>
      </c>
      <c r="H62" s="87" t="s">
        <v>143</v>
      </c>
    </row>
    <row r="63" spans="1:8" ht="14.25" customHeight="1" x14ac:dyDescent="0.2">
      <c r="A63" s="88">
        <v>57</v>
      </c>
      <c r="B63" s="89" t="s">
        <v>724</v>
      </c>
      <c r="C63" s="89" t="s">
        <v>725</v>
      </c>
      <c r="D63" s="89" t="s">
        <v>194</v>
      </c>
      <c r="E63" s="90">
        <v>55177</v>
      </c>
      <c r="F63" s="91">
        <v>695.28537700000004</v>
      </c>
      <c r="G63" s="92">
        <v>8.0717500000000008E-3</v>
      </c>
      <c r="H63" s="87" t="s">
        <v>143</v>
      </c>
    </row>
    <row r="64" spans="1:8" ht="14.25" customHeight="1" x14ac:dyDescent="0.2">
      <c r="A64" s="88">
        <v>58</v>
      </c>
      <c r="B64" s="89" t="s">
        <v>890</v>
      </c>
      <c r="C64" s="89" t="s">
        <v>891</v>
      </c>
      <c r="D64" s="89" t="s">
        <v>892</v>
      </c>
      <c r="E64" s="90">
        <v>985430</v>
      </c>
      <c r="F64" s="91">
        <v>677.97583999999995</v>
      </c>
      <c r="G64" s="92">
        <v>7.8708000000000007E-3</v>
      </c>
      <c r="H64" s="87" t="s">
        <v>143</v>
      </c>
    </row>
    <row r="65" spans="1:8" ht="14.25" customHeight="1" x14ac:dyDescent="0.2">
      <c r="A65" s="88">
        <v>59</v>
      </c>
      <c r="B65" s="89" t="s">
        <v>244</v>
      </c>
      <c r="C65" s="89" t="s">
        <v>245</v>
      </c>
      <c r="D65" s="89" t="s">
        <v>191</v>
      </c>
      <c r="E65" s="90">
        <v>121776</v>
      </c>
      <c r="F65" s="91">
        <v>676.10035200000004</v>
      </c>
      <c r="G65" s="92">
        <v>7.84902E-3</v>
      </c>
      <c r="H65" s="87" t="s">
        <v>143</v>
      </c>
    </row>
    <row r="66" spans="1:8" ht="14.25" customHeight="1" x14ac:dyDescent="0.2">
      <c r="A66" s="88">
        <v>60</v>
      </c>
      <c r="B66" s="89" t="s">
        <v>293</v>
      </c>
      <c r="C66" s="89" t="s">
        <v>294</v>
      </c>
      <c r="D66" s="89" t="s">
        <v>25</v>
      </c>
      <c r="E66" s="90">
        <v>37398</v>
      </c>
      <c r="F66" s="91">
        <v>673.83716400000003</v>
      </c>
      <c r="G66" s="92">
        <v>7.8227499999999998E-3</v>
      </c>
      <c r="H66" s="87" t="s">
        <v>143</v>
      </c>
    </row>
    <row r="67" spans="1:8" ht="14.25" customHeight="1" x14ac:dyDescent="0.2">
      <c r="A67" s="88">
        <v>61</v>
      </c>
      <c r="B67" s="89" t="s">
        <v>893</v>
      </c>
      <c r="C67" s="89" t="s">
        <v>894</v>
      </c>
      <c r="D67" s="89" t="s">
        <v>138</v>
      </c>
      <c r="E67" s="90">
        <v>565762</v>
      </c>
      <c r="F67" s="91">
        <v>671.33318919999999</v>
      </c>
      <c r="G67" s="92">
        <v>7.7936799999999999E-3</v>
      </c>
      <c r="H67" s="87" t="s">
        <v>143</v>
      </c>
    </row>
    <row r="68" spans="1:8" ht="14.25" customHeight="1" x14ac:dyDescent="0.2">
      <c r="A68" s="88">
        <v>62</v>
      </c>
      <c r="B68" s="89" t="s">
        <v>680</v>
      </c>
      <c r="C68" s="89" t="s">
        <v>681</v>
      </c>
      <c r="D68" s="89" t="s">
        <v>65</v>
      </c>
      <c r="E68" s="90">
        <v>171957</v>
      </c>
      <c r="F68" s="91">
        <v>671.14817100000005</v>
      </c>
      <c r="G68" s="92">
        <v>7.7915299999999996E-3</v>
      </c>
      <c r="H68" s="87" t="s">
        <v>143</v>
      </c>
    </row>
    <row r="69" spans="1:8" ht="14.25" customHeight="1" x14ac:dyDescent="0.2">
      <c r="A69" s="88">
        <v>63</v>
      </c>
      <c r="B69" s="89" t="s">
        <v>895</v>
      </c>
      <c r="C69" s="89" t="s">
        <v>896</v>
      </c>
      <c r="D69" s="89" t="s">
        <v>22</v>
      </c>
      <c r="E69" s="90">
        <v>293663</v>
      </c>
      <c r="F69" s="91">
        <v>661.18224450000002</v>
      </c>
      <c r="G69" s="92">
        <v>7.6758299999999998E-3</v>
      </c>
      <c r="H69" s="87" t="s">
        <v>143</v>
      </c>
    </row>
    <row r="70" spans="1:8" ht="14.25" customHeight="1" x14ac:dyDescent="0.2">
      <c r="A70" s="88">
        <v>64</v>
      </c>
      <c r="B70" s="89" t="s">
        <v>29</v>
      </c>
      <c r="C70" s="89" t="s">
        <v>30</v>
      </c>
      <c r="D70" s="89" t="s">
        <v>22</v>
      </c>
      <c r="E70" s="90">
        <v>239484</v>
      </c>
      <c r="F70" s="91">
        <v>659.17971</v>
      </c>
      <c r="G70" s="92">
        <v>7.6525899999999999E-3</v>
      </c>
      <c r="H70" s="87" t="s">
        <v>143</v>
      </c>
    </row>
    <row r="71" spans="1:8" ht="14.25" customHeight="1" x14ac:dyDescent="0.2">
      <c r="A71" s="88">
        <v>65</v>
      </c>
      <c r="B71" s="89" t="s">
        <v>636</v>
      </c>
      <c r="C71" s="89" t="s">
        <v>637</v>
      </c>
      <c r="D71" s="89" t="s">
        <v>33</v>
      </c>
      <c r="E71" s="90">
        <v>631730</v>
      </c>
      <c r="F71" s="91">
        <v>655.92525899999998</v>
      </c>
      <c r="G71" s="92">
        <v>7.6147999999999997E-3</v>
      </c>
      <c r="H71" s="87" t="s">
        <v>143</v>
      </c>
    </row>
    <row r="72" spans="1:8" ht="14.25" customHeight="1" x14ac:dyDescent="0.2">
      <c r="A72" s="88">
        <v>66</v>
      </c>
      <c r="B72" s="89" t="s">
        <v>701</v>
      </c>
      <c r="C72" s="89" t="s">
        <v>702</v>
      </c>
      <c r="D72" s="89" t="s">
        <v>194</v>
      </c>
      <c r="E72" s="90">
        <v>63514</v>
      </c>
      <c r="F72" s="91">
        <v>652.86040600000001</v>
      </c>
      <c r="G72" s="92">
        <v>7.5792200000000002E-3</v>
      </c>
      <c r="H72" s="87" t="s">
        <v>143</v>
      </c>
    </row>
    <row r="73" spans="1:8" ht="14.25" customHeight="1" x14ac:dyDescent="0.2">
      <c r="A73" s="88">
        <v>67</v>
      </c>
      <c r="B73" s="89" t="s">
        <v>503</v>
      </c>
      <c r="C73" s="89" t="s">
        <v>504</v>
      </c>
      <c r="D73" s="89" t="s">
        <v>191</v>
      </c>
      <c r="E73" s="90">
        <v>169867</v>
      </c>
      <c r="F73" s="91">
        <v>644.98499900000002</v>
      </c>
      <c r="G73" s="92">
        <v>7.4878000000000002E-3</v>
      </c>
      <c r="H73" s="87" t="s">
        <v>143</v>
      </c>
    </row>
    <row r="74" spans="1:8" ht="14.25" customHeight="1" x14ac:dyDescent="0.2">
      <c r="A74" s="93"/>
      <c r="B74" s="93"/>
      <c r="C74" s="94" t="s">
        <v>142</v>
      </c>
      <c r="D74" s="93"/>
      <c r="E74" s="93" t="s">
        <v>143</v>
      </c>
      <c r="F74" s="95">
        <v>84220.840531599999</v>
      </c>
      <c r="G74" s="96">
        <v>0.97774132000000002</v>
      </c>
      <c r="H74" s="87" t="s">
        <v>143</v>
      </c>
    </row>
    <row r="75" spans="1:8" ht="14.25" customHeight="1" x14ac:dyDescent="0.2">
      <c r="A75" s="93"/>
      <c r="B75" s="93"/>
      <c r="C75" s="97"/>
      <c r="D75" s="93"/>
      <c r="E75" s="93"/>
      <c r="F75" s="98"/>
      <c r="G75" s="98"/>
      <c r="H75" s="87" t="s">
        <v>143</v>
      </c>
    </row>
    <row r="76" spans="1:8" ht="14.25" customHeight="1" x14ac:dyDescent="0.2">
      <c r="A76" s="93"/>
      <c r="B76" s="93"/>
      <c r="C76" s="94" t="s">
        <v>144</v>
      </c>
      <c r="D76" s="93"/>
      <c r="E76" s="93"/>
      <c r="F76" s="93"/>
      <c r="G76" s="93"/>
      <c r="H76" s="87" t="s">
        <v>143</v>
      </c>
    </row>
    <row r="77" spans="1:8" ht="14.25" customHeight="1" x14ac:dyDescent="0.2">
      <c r="A77" s="93"/>
      <c r="B77" s="93"/>
      <c r="C77" s="94" t="s">
        <v>142</v>
      </c>
      <c r="D77" s="93"/>
      <c r="E77" s="93" t="s">
        <v>143</v>
      </c>
      <c r="F77" s="99" t="s">
        <v>145</v>
      </c>
      <c r="G77" s="96">
        <v>0</v>
      </c>
      <c r="H77" s="87" t="s">
        <v>143</v>
      </c>
    </row>
    <row r="78" spans="1:8" ht="14.25" customHeight="1" x14ac:dyDescent="0.2">
      <c r="A78" s="93"/>
      <c r="B78" s="93"/>
      <c r="C78" s="97"/>
      <c r="D78" s="93"/>
      <c r="E78" s="93"/>
      <c r="F78" s="98"/>
      <c r="G78" s="98"/>
      <c r="H78" s="87" t="s">
        <v>143</v>
      </c>
    </row>
    <row r="79" spans="1:8" ht="14.25" customHeight="1" x14ac:dyDescent="0.2">
      <c r="A79" s="93"/>
      <c r="B79" s="93"/>
      <c r="C79" s="94" t="s">
        <v>146</v>
      </c>
      <c r="D79" s="93"/>
      <c r="E79" s="93"/>
      <c r="F79" s="93"/>
      <c r="G79" s="93"/>
      <c r="H79" s="87" t="s">
        <v>143</v>
      </c>
    </row>
    <row r="80" spans="1:8" ht="14.25" customHeight="1" x14ac:dyDescent="0.2">
      <c r="A80" s="93"/>
      <c r="B80" s="93"/>
      <c r="C80" s="94" t="s">
        <v>142</v>
      </c>
      <c r="D80" s="93"/>
      <c r="E80" s="93" t="s">
        <v>143</v>
      </c>
      <c r="F80" s="99" t="s">
        <v>145</v>
      </c>
      <c r="G80" s="96">
        <v>0</v>
      </c>
      <c r="H80" s="87" t="s">
        <v>143</v>
      </c>
    </row>
    <row r="81" spans="1:8" ht="14.25" customHeight="1" x14ac:dyDescent="0.2">
      <c r="A81" s="93"/>
      <c r="B81" s="93"/>
      <c r="C81" s="97"/>
      <c r="D81" s="93"/>
      <c r="E81" s="93"/>
      <c r="F81" s="98"/>
      <c r="G81" s="98"/>
      <c r="H81" s="87" t="s">
        <v>143</v>
      </c>
    </row>
    <row r="82" spans="1:8" ht="14.25" customHeight="1" x14ac:dyDescent="0.2">
      <c r="A82" s="93"/>
      <c r="B82" s="93"/>
      <c r="C82" s="94" t="s">
        <v>147</v>
      </c>
      <c r="D82" s="93"/>
      <c r="E82" s="93"/>
      <c r="F82" s="93"/>
      <c r="G82" s="93"/>
      <c r="H82" s="87" t="s">
        <v>143</v>
      </c>
    </row>
    <row r="83" spans="1:8" ht="14.25" customHeight="1" x14ac:dyDescent="0.2">
      <c r="A83" s="93"/>
      <c r="B83" s="93"/>
      <c r="C83" s="94" t="s">
        <v>142</v>
      </c>
      <c r="D83" s="93"/>
      <c r="E83" s="93" t="s">
        <v>143</v>
      </c>
      <c r="F83" s="99" t="s">
        <v>145</v>
      </c>
      <c r="G83" s="96">
        <v>0</v>
      </c>
      <c r="H83" s="87" t="s">
        <v>143</v>
      </c>
    </row>
    <row r="84" spans="1:8" ht="14.25" customHeight="1" x14ac:dyDescent="0.2">
      <c r="A84" s="93"/>
      <c r="B84" s="93"/>
      <c r="C84" s="97"/>
      <c r="D84" s="93"/>
      <c r="E84" s="93"/>
      <c r="F84" s="98"/>
      <c r="G84" s="98"/>
      <c r="H84" s="87" t="s">
        <v>143</v>
      </c>
    </row>
    <row r="85" spans="1:8" ht="14.25" customHeight="1" x14ac:dyDescent="0.2">
      <c r="A85" s="93"/>
      <c r="B85" s="93"/>
      <c r="C85" s="94" t="s">
        <v>148</v>
      </c>
      <c r="D85" s="93"/>
      <c r="E85" s="93"/>
      <c r="F85" s="98"/>
      <c r="G85" s="98"/>
      <c r="H85" s="87" t="s">
        <v>143</v>
      </c>
    </row>
    <row r="86" spans="1:8" ht="14.25" customHeight="1" x14ac:dyDescent="0.2">
      <c r="A86" s="93"/>
      <c r="B86" s="93"/>
      <c r="C86" s="94" t="s">
        <v>142</v>
      </c>
      <c r="D86" s="93"/>
      <c r="E86" s="93" t="s">
        <v>143</v>
      </c>
      <c r="F86" s="99" t="s">
        <v>145</v>
      </c>
      <c r="G86" s="96">
        <v>0</v>
      </c>
      <c r="H86" s="87" t="s">
        <v>143</v>
      </c>
    </row>
    <row r="87" spans="1:8" ht="14.25" customHeight="1" x14ac:dyDescent="0.2">
      <c r="A87" s="93"/>
      <c r="B87" s="93"/>
      <c r="C87" s="97"/>
      <c r="D87" s="93"/>
      <c r="E87" s="93"/>
      <c r="F87" s="98"/>
      <c r="G87" s="98"/>
      <c r="H87" s="87" t="s">
        <v>143</v>
      </c>
    </row>
    <row r="88" spans="1:8" ht="14.25" customHeight="1" x14ac:dyDescent="0.2">
      <c r="A88" s="93"/>
      <c r="B88" s="93"/>
      <c r="C88" s="94" t="s">
        <v>149</v>
      </c>
      <c r="D88" s="93"/>
      <c r="E88" s="93"/>
      <c r="F88" s="98"/>
      <c r="G88" s="98"/>
      <c r="H88" s="87" t="s">
        <v>143</v>
      </c>
    </row>
    <row r="89" spans="1:8" ht="14.25" customHeight="1" x14ac:dyDescent="0.2">
      <c r="A89" s="93"/>
      <c r="B89" s="93"/>
      <c r="C89" s="94" t="s">
        <v>142</v>
      </c>
      <c r="D89" s="93"/>
      <c r="E89" s="93" t="s">
        <v>143</v>
      </c>
      <c r="F89" s="99" t="s">
        <v>145</v>
      </c>
      <c r="G89" s="96">
        <v>0</v>
      </c>
      <c r="H89" s="87" t="s">
        <v>143</v>
      </c>
    </row>
    <row r="90" spans="1:8" ht="14.25" customHeight="1" x14ac:dyDescent="0.2">
      <c r="A90" s="93"/>
      <c r="B90" s="93"/>
      <c r="C90" s="97"/>
      <c r="D90" s="93"/>
      <c r="E90" s="93"/>
      <c r="F90" s="98"/>
      <c r="G90" s="98"/>
      <c r="H90" s="87" t="s">
        <v>143</v>
      </c>
    </row>
    <row r="91" spans="1:8" ht="14.25" customHeight="1" x14ac:dyDescent="0.2">
      <c r="A91" s="93"/>
      <c r="B91" s="93"/>
      <c r="C91" s="94" t="s">
        <v>150</v>
      </c>
      <c r="D91" s="93"/>
      <c r="E91" s="93"/>
      <c r="F91" s="95">
        <v>84220.840531599999</v>
      </c>
      <c r="G91" s="96">
        <v>0.97774132000000002</v>
      </c>
      <c r="H91" s="87" t="s">
        <v>143</v>
      </c>
    </row>
    <row r="92" spans="1:8" ht="14.25" customHeight="1" x14ac:dyDescent="0.2">
      <c r="A92" s="93"/>
      <c r="B92" s="93"/>
      <c r="C92" s="97"/>
      <c r="D92" s="93"/>
      <c r="E92" s="93"/>
      <c r="F92" s="98"/>
      <c r="G92" s="98"/>
      <c r="H92" s="87" t="s">
        <v>143</v>
      </c>
    </row>
    <row r="93" spans="1:8" ht="14.25" customHeight="1" x14ac:dyDescent="0.2">
      <c r="A93" s="93"/>
      <c r="B93" s="93"/>
      <c r="C93" s="94" t="s">
        <v>151</v>
      </c>
      <c r="D93" s="93"/>
      <c r="E93" s="93"/>
      <c r="F93" s="98"/>
      <c r="G93" s="98"/>
      <c r="H93" s="87" t="s">
        <v>143</v>
      </c>
    </row>
    <row r="94" spans="1:8" ht="14.25" customHeight="1" x14ac:dyDescent="0.2">
      <c r="A94" s="93"/>
      <c r="B94" s="93"/>
      <c r="C94" s="94" t="s">
        <v>10</v>
      </c>
      <c r="D94" s="93"/>
      <c r="E94" s="93"/>
      <c r="F94" s="98"/>
      <c r="G94" s="98"/>
      <c r="H94" s="87" t="s">
        <v>143</v>
      </c>
    </row>
    <row r="95" spans="1:8" ht="14.25" customHeight="1" x14ac:dyDescent="0.2">
      <c r="A95" s="93"/>
      <c r="B95" s="93"/>
      <c r="C95" s="94" t="s">
        <v>142</v>
      </c>
      <c r="D95" s="93"/>
      <c r="E95" s="93" t="s">
        <v>143</v>
      </c>
      <c r="F95" s="99" t="s">
        <v>145</v>
      </c>
      <c r="G95" s="96">
        <v>0</v>
      </c>
      <c r="H95" s="87" t="s">
        <v>143</v>
      </c>
    </row>
    <row r="96" spans="1:8" ht="14.25" customHeight="1" x14ac:dyDescent="0.2">
      <c r="A96" s="93"/>
      <c r="B96" s="93"/>
      <c r="C96" s="97"/>
      <c r="D96" s="93"/>
      <c r="E96" s="93"/>
      <c r="F96" s="98"/>
      <c r="G96" s="98"/>
      <c r="H96" s="87" t="s">
        <v>143</v>
      </c>
    </row>
    <row r="97" spans="1:8" ht="14.25" customHeight="1" x14ac:dyDescent="0.2">
      <c r="A97" s="93"/>
      <c r="B97" s="93"/>
      <c r="C97" s="94" t="s">
        <v>152</v>
      </c>
      <c r="D97" s="93"/>
      <c r="E97" s="93"/>
      <c r="F97" s="93"/>
      <c r="G97" s="93"/>
      <c r="H97" s="87" t="s">
        <v>143</v>
      </c>
    </row>
    <row r="98" spans="1:8" ht="14.25" customHeight="1" x14ac:dyDescent="0.2">
      <c r="A98" s="93"/>
      <c r="B98" s="93"/>
      <c r="C98" s="94" t="s">
        <v>142</v>
      </c>
      <c r="D98" s="93"/>
      <c r="E98" s="93" t="s">
        <v>143</v>
      </c>
      <c r="F98" s="99" t="s">
        <v>145</v>
      </c>
      <c r="G98" s="96">
        <v>0</v>
      </c>
      <c r="H98" s="87" t="s">
        <v>143</v>
      </c>
    </row>
    <row r="99" spans="1:8" ht="14.25" customHeight="1" x14ac:dyDescent="0.2">
      <c r="A99" s="93"/>
      <c r="B99" s="93"/>
      <c r="C99" s="97"/>
      <c r="D99" s="93"/>
      <c r="E99" s="93"/>
      <c r="F99" s="98"/>
      <c r="G99" s="98"/>
      <c r="H99" s="87" t="s">
        <v>143</v>
      </c>
    </row>
    <row r="100" spans="1:8" ht="14.25" customHeight="1" x14ac:dyDescent="0.2">
      <c r="A100" s="93"/>
      <c r="B100" s="93"/>
      <c r="C100" s="94" t="s">
        <v>153</v>
      </c>
      <c r="D100" s="93"/>
      <c r="E100" s="93"/>
      <c r="F100" s="93"/>
      <c r="G100" s="93"/>
      <c r="H100" s="87" t="s">
        <v>143</v>
      </c>
    </row>
    <row r="101" spans="1:8" ht="14.25" customHeight="1" x14ac:dyDescent="0.2">
      <c r="A101" s="93"/>
      <c r="B101" s="93"/>
      <c r="C101" s="94" t="s">
        <v>142</v>
      </c>
      <c r="D101" s="93"/>
      <c r="E101" s="93" t="s">
        <v>143</v>
      </c>
      <c r="F101" s="99" t="s">
        <v>145</v>
      </c>
      <c r="G101" s="96">
        <v>0</v>
      </c>
      <c r="H101" s="87" t="s">
        <v>143</v>
      </c>
    </row>
    <row r="102" spans="1:8" ht="14.25" customHeight="1" x14ac:dyDescent="0.2">
      <c r="A102" s="93"/>
      <c r="B102" s="93"/>
      <c r="C102" s="97"/>
      <c r="D102" s="93"/>
      <c r="E102" s="93"/>
      <c r="F102" s="98"/>
      <c r="G102" s="98"/>
      <c r="H102" s="87" t="s">
        <v>143</v>
      </c>
    </row>
    <row r="103" spans="1:8" ht="14.25" customHeight="1" x14ac:dyDescent="0.2">
      <c r="A103" s="93"/>
      <c r="B103" s="93"/>
      <c r="C103" s="94" t="s">
        <v>154</v>
      </c>
      <c r="D103" s="93"/>
      <c r="E103" s="93"/>
      <c r="F103" s="98"/>
      <c r="G103" s="98"/>
      <c r="H103" s="87" t="s">
        <v>143</v>
      </c>
    </row>
    <row r="104" spans="1:8" ht="14.25" customHeight="1" x14ac:dyDescent="0.2">
      <c r="A104" s="93"/>
      <c r="B104" s="93"/>
      <c r="C104" s="94" t="s">
        <v>142</v>
      </c>
      <c r="D104" s="93"/>
      <c r="E104" s="93" t="s">
        <v>143</v>
      </c>
      <c r="F104" s="99" t="s">
        <v>145</v>
      </c>
      <c r="G104" s="96">
        <v>0</v>
      </c>
      <c r="H104" s="87" t="s">
        <v>143</v>
      </c>
    </row>
    <row r="105" spans="1:8" ht="14.25" customHeight="1" x14ac:dyDescent="0.2">
      <c r="A105" s="93"/>
      <c r="B105" s="93"/>
      <c r="C105" s="97"/>
      <c r="D105" s="93"/>
      <c r="E105" s="93"/>
      <c r="F105" s="98"/>
      <c r="G105" s="98"/>
      <c r="H105" s="87" t="s">
        <v>143</v>
      </c>
    </row>
    <row r="106" spans="1:8" ht="14.25" customHeight="1" x14ac:dyDescent="0.2">
      <c r="A106" s="93"/>
      <c r="B106" s="93"/>
      <c r="C106" s="94" t="s">
        <v>155</v>
      </c>
      <c r="D106" s="93"/>
      <c r="E106" s="93"/>
      <c r="F106" s="95">
        <v>0</v>
      </c>
      <c r="G106" s="96">
        <v>0</v>
      </c>
      <c r="H106" s="87" t="s">
        <v>143</v>
      </c>
    </row>
    <row r="107" spans="1:8" ht="14.25" customHeight="1" x14ac:dyDescent="0.2">
      <c r="A107" s="93"/>
      <c r="B107" s="93"/>
      <c r="C107" s="97"/>
      <c r="D107" s="93"/>
      <c r="E107" s="93"/>
      <c r="F107" s="98"/>
      <c r="G107" s="98"/>
      <c r="H107" s="87" t="s">
        <v>143</v>
      </c>
    </row>
    <row r="108" spans="1:8" ht="14.25" customHeight="1" x14ac:dyDescent="0.2">
      <c r="A108" s="93"/>
      <c r="B108" s="93"/>
      <c r="C108" s="94" t="s">
        <v>156</v>
      </c>
      <c r="D108" s="93"/>
      <c r="E108" s="93"/>
      <c r="F108" s="98"/>
      <c r="G108" s="98"/>
      <c r="H108" s="87" t="s">
        <v>143</v>
      </c>
    </row>
    <row r="109" spans="1:8" ht="14.25" customHeight="1" x14ac:dyDescent="0.2">
      <c r="A109" s="93"/>
      <c r="B109" s="93"/>
      <c r="C109" s="94" t="s">
        <v>157</v>
      </c>
      <c r="D109" s="93"/>
      <c r="E109" s="93"/>
      <c r="F109" s="98"/>
      <c r="G109" s="98"/>
      <c r="H109" s="87" t="s">
        <v>143</v>
      </c>
    </row>
    <row r="110" spans="1:8" ht="14.25" customHeight="1" x14ac:dyDescent="0.2">
      <c r="A110" s="93"/>
      <c r="B110" s="93"/>
      <c r="C110" s="94" t="s">
        <v>142</v>
      </c>
      <c r="D110" s="93"/>
      <c r="E110" s="93" t="s">
        <v>143</v>
      </c>
      <c r="F110" s="99" t="s">
        <v>145</v>
      </c>
      <c r="G110" s="96">
        <v>0</v>
      </c>
      <c r="H110" s="87" t="s">
        <v>143</v>
      </c>
    </row>
    <row r="111" spans="1:8" ht="14.25" customHeight="1" x14ac:dyDescent="0.2">
      <c r="A111" s="93"/>
      <c r="B111" s="93"/>
      <c r="C111" s="97"/>
      <c r="D111" s="93"/>
      <c r="E111" s="93"/>
      <c r="F111" s="98"/>
      <c r="G111" s="98"/>
      <c r="H111" s="87" t="s">
        <v>143</v>
      </c>
    </row>
    <row r="112" spans="1:8" ht="14.25" customHeight="1" x14ac:dyDescent="0.2">
      <c r="A112" s="93"/>
      <c r="B112" s="93"/>
      <c r="C112" s="94" t="s">
        <v>158</v>
      </c>
      <c r="D112" s="93"/>
      <c r="E112" s="93"/>
      <c r="F112" s="98"/>
      <c r="G112" s="98"/>
      <c r="H112" s="87" t="s">
        <v>143</v>
      </c>
    </row>
    <row r="113" spans="1:8" ht="14.25" customHeight="1" x14ac:dyDescent="0.2">
      <c r="A113" s="93"/>
      <c r="B113" s="93"/>
      <c r="C113" s="94" t="s">
        <v>142</v>
      </c>
      <c r="D113" s="93"/>
      <c r="E113" s="93" t="s">
        <v>143</v>
      </c>
      <c r="F113" s="99" t="s">
        <v>145</v>
      </c>
      <c r="G113" s="96">
        <v>0</v>
      </c>
      <c r="H113" s="87" t="s">
        <v>143</v>
      </c>
    </row>
    <row r="114" spans="1:8" ht="14.25" customHeight="1" x14ac:dyDescent="0.2">
      <c r="A114" s="93"/>
      <c r="B114" s="93"/>
      <c r="C114" s="97"/>
      <c r="D114" s="93"/>
      <c r="E114" s="93"/>
      <c r="F114" s="98"/>
      <c r="G114" s="98"/>
      <c r="H114" s="87" t="s">
        <v>143</v>
      </c>
    </row>
    <row r="115" spans="1:8" ht="14.25" customHeight="1" x14ac:dyDescent="0.2">
      <c r="A115" s="93"/>
      <c r="B115" s="93"/>
      <c r="C115" s="94" t="s">
        <v>159</v>
      </c>
      <c r="D115" s="93"/>
      <c r="E115" s="93"/>
      <c r="F115" s="98"/>
      <c r="G115" s="98"/>
      <c r="H115" s="87" t="s">
        <v>143</v>
      </c>
    </row>
    <row r="116" spans="1:8" ht="14.25" customHeight="1" x14ac:dyDescent="0.2">
      <c r="A116" s="93"/>
      <c r="B116" s="93"/>
      <c r="C116" s="94" t="s">
        <v>142</v>
      </c>
      <c r="D116" s="93"/>
      <c r="E116" s="93" t="s">
        <v>143</v>
      </c>
      <c r="F116" s="99" t="s">
        <v>145</v>
      </c>
      <c r="G116" s="96">
        <v>0</v>
      </c>
      <c r="H116" s="87" t="s">
        <v>143</v>
      </c>
    </row>
    <row r="117" spans="1:8" ht="14.25" customHeight="1" x14ac:dyDescent="0.2">
      <c r="A117" s="93"/>
      <c r="B117" s="93"/>
      <c r="C117" s="97"/>
      <c r="D117" s="93"/>
      <c r="E117" s="93"/>
      <c r="F117" s="98"/>
      <c r="G117" s="98"/>
      <c r="H117" s="87" t="s">
        <v>143</v>
      </c>
    </row>
    <row r="118" spans="1:8" ht="14.25" customHeight="1" x14ac:dyDescent="0.2">
      <c r="A118" s="93"/>
      <c r="B118" s="93"/>
      <c r="C118" s="94" t="s">
        <v>160</v>
      </c>
      <c r="D118" s="93"/>
      <c r="E118" s="93"/>
      <c r="F118" s="98"/>
      <c r="G118" s="98"/>
      <c r="H118" s="87" t="s">
        <v>143</v>
      </c>
    </row>
    <row r="119" spans="1:8" ht="14.25" customHeight="1" x14ac:dyDescent="0.2">
      <c r="A119" s="88">
        <v>1</v>
      </c>
      <c r="B119" s="89"/>
      <c r="C119" s="89" t="s">
        <v>161</v>
      </c>
      <c r="D119" s="89"/>
      <c r="E119" s="100"/>
      <c r="F119" s="91">
        <v>3081.399006995</v>
      </c>
      <c r="G119" s="92">
        <v>3.5772749999999999E-2</v>
      </c>
      <c r="H119" s="87">
        <v>5.38</v>
      </c>
    </row>
    <row r="120" spans="1:8" ht="14.25" customHeight="1" x14ac:dyDescent="0.2">
      <c r="A120" s="93"/>
      <c r="B120" s="93"/>
      <c r="C120" s="94" t="s">
        <v>142</v>
      </c>
      <c r="D120" s="93"/>
      <c r="E120" s="93" t="s">
        <v>143</v>
      </c>
      <c r="F120" s="95">
        <v>3081.399006995</v>
      </c>
      <c r="G120" s="96">
        <v>3.5772749999999999E-2</v>
      </c>
      <c r="H120" s="87" t="s">
        <v>143</v>
      </c>
    </row>
    <row r="121" spans="1:8" ht="14.25" customHeight="1" x14ac:dyDescent="0.2">
      <c r="A121" s="93"/>
      <c r="B121" s="93"/>
      <c r="C121" s="97"/>
      <c r="D121" s="93"/>
      <c r="E121" s="93"/>
      <c r="F121" s="98"/>
      <c r="G121" s="98"/>
      <c r="H121" s="87" t="s">
        <v>143</v>
      </c>
    </row>
    <row r="122" spans="1:8" ht="14.25" customHeight="1" x14ac:dyDescent="0.2">
      <c r="A122" s="93"/>
      <c r="B122" s="93"/>
      <c r="C122" s="94" t="s">
        <v>162</v>
      </c>
      <c r="D122" s="93"/>
      <c r="E122" s="93"/>
      <c r="F122" s="95">
        <v>3081.399006995</v>
      </c>
      <c r="G122" s="96">
        <v>3.5772749999999999E-2</v>
      </c>
      <c r="H122" s="87" t="s">
        <v>143</v>
      </c>
    </row>
    <row r="123" spans="1:8" ht="14.25" customHeight="1" x14ac:dyDescent="0.2">
      <c r="A123" s="93"/>
      <c r="B123" s="93"/>
      <c r="C123" s="98"/>
      <c r="D123" s="93"/>
      <c r="E123" s="93"/>
      <c r="F123" s="93"/>
      <c r="G123" s="93"/>
      <c r="H123" s="87" t="s">
        <v>143</v>
      </c>
    </row>
    <row r="124" spans="1:8" ht="14.25" customHeight="1" x14ac:dyDescent="0.2">
      <c r="A124" s="93"/>
      <c r="B124" s="93"/>
      <c r="C124" s="94" t="s">
        <v>163</v>
      </c>
      <c r="D124" s="93"/>
      <c r="E124" s="93"/>
      <c r="F124" s="93"/>
      <c r="G124" s="93"/>
      <c r="H124" s="87" t="s">
        <v>143</v>
      </c>
    </row>
    <row r="125" spans="1:8" ht="14.25" customHeight="1" x14ac:dyDescent="0.2">
      <c r="A125" s="93"/>
      <c r="B125" s="93"/>
      <c r="C125" s="94" t="s">
        <v>164</v>
      </c>
      <c r="D125" s="93"/>
      <c r="E125" s="93"/>
      <c r="F125" s="93"/>
      <c r="G125" s="93"/>
      <c r="H125" s="87" t="s">
        <v>143</v>
      </c>
    </row>
    <row r="126" spans="1:8" ht="14.25" customHeight="1" x14ac:dyDescent="0.2">
      <c r="A126" s="93"/>
      <c r="B126" s="93"/>
      <c r="C126" s="94" t="s">
        <v>142</v>
      </c>
      <c r="D126" s="93"/>
      <c r="E126" s="93" t="s">
        <v>143</v>
      </c>
      <c r="F126" s="99" t="s">
        <v>145</v>
      </c>
      <c r="G126" s="96">
        <v>0</v>
      </c>
      <c r="H126" s="87" t="s">
        <v>143</v>
      </c>
    </row>
    <row r="127" spans="1:8" ht="14.25" customHeight="1" x14ac:dyDescent="0.2">
      <c r="A127" s="93"/>
      <c r="B127" s="93"/>
      <c r="C127" s="97"/>
      <c r="D127" s="93"/>
      <c r="E127" s="93"/>
      <c r="F127" s="98"/>
      <c r="G127" s="98"/>
      <c r="H127" s="87" t="s">
        <v>143</v>
      </c>
    </row>
    <row r="128" spans="1:8" ht="14.25" customHeight="1" x14ac:dyDescent="0.2">
      <c r="A128" s="93"/>
      <c r="B128" s="93"/>
      <c r="C128" s="94" t="s">
        <v>165</v>
      </c>
      <c r="D128" s="93"/>
      <c r="E128" s="93"/>
      <c r="F128" s="93"/>
      <c r="G128" s="93"/>
      <c r="H128" s="87" t="s">
        <v>143</v>
      </c>
    </row>
    <row r="129" spans="1:17" ht="14.25" customHeight="1" x14ac:dyDescent="0.2">
      <c r="A129" s="93"/>
      <c r="B129" s="93"/>
      <c r="C129" s="94" t="s">
        <v>166</v>
      </c>
      <c r="D129" s="93"/>
      <c r="E129" s="93"/>
      <c r="F129" s="93"/>
      <c r="G129" s="93"/>
      <c r="H129" s="87" t="s">
        <v>143</v>
      </c>
    </row>
    <row r="130" spans="1:17" ht="14.25" customHeight="1" x14ac:dyDescent="0.2">
      <c r="A130" s="93"/>
      <c r="B130" s="93"/>
      <c r="C130" s="94" t="s">
        <v>142</v>
      </c>
      <c r="D130" s="93"/>
      <c r="E130" s="93" t="s">
        <v>143</v>
      </c>
      <c r="F130" s="99" t="s">
        <v>145</v>
      </c>
      <c r="G130" s="96">
        <v>0</v>
      </c>
      <c r="H130" s="87" t="s">
        <v>143</v>
      </c>
    </row>
    <row r="131" spans="1:17" ht="14.25" customHeight="1" x14ac:dyDescent="0.2">
      <c r="A131" s="93"/>
      <c r="B131" s="93"/>
      <c r="C131" s="97"/>
      <c r="D131" s="93"/>
      <c r="E131" s="93"/>
      <c r="F131" s="98"/>
      <c r="G131" s="98"/>
      <c r="H131" s="87" t="s">
        <v>143</v>
      </c>
    </row>
    <row r="132" spans="1:17" ht="14.25" customHeight="1" x14ac:dyDescent="0.2">
      <c r="A132" s="93"/>
      <c r="B132" s="93"/>
      <c r="C132" s="94" t="s">
        <v>167</v>
      </c>
      <c r="D132" s="93"/>
      <c r="E132" s="93"/>
      <c r="F132" s="98"/>
      <c r="G132" s="98"/>
      <c r="H132" s="87" t="s">
        <v>143</v>
      </c>
    </row>
    <row r="133" spans="1:17" ht="14.25" customHeight="1" x14ac:dyDescent="0.2">
      <c r="A133" s="93"/>
      <c r="B133" s="93"/>
      <c r="C133" s="94" t="s">
        <v>142</v>
      </c>
      <c r="D133" s="93"/>
      <c r="E133" s="93" t="s">
        <v>143</v>
      </c>
      <c r="F133" s="99" t="s">
        <v>145</v>
      </c>
      <c r="G133" s="96">
        <v>0</v>
      </c>
      <c r="H133" s="87" t="s">
        <v>143</v>
      </c>
    </row>
    <row r="134" spans="1:17" ht="14.25" customHeight="1" x14ac:dyDescent="0.2">
      <c r="A134" s="93"/>
      <c r="B134" s="93"/>
      <c r="C134" s="97"/>
      <c r="D134" s="93"/>
      <c r="E134" s="93"/>
      <c r="F134" s="98"/>
      <c r="G134" s="98"/>
      <c r="H134" s="87" t="s">
        <v>143</v>
      </c>
    </row>
    <row r="135" spans="1:17" ht="14.25" customHeight="1" x14ac:dyDescent="0.2">
      <c r="A135" s="100"/>
      <c r="B135" s="89"/>
      <c r="C135" s="89" t="s">
        <v>168</v>
      </c>
      <c r="D135" s="89"/>
      <c r="E135" s="100"/>
      <c r="F135" s="91">
        <v>-1164.07346611</v>
      </c>
      <c r="G135" s="92">
        <v>-1.351403E-2</v>
      </c>
      <c r="H135" s="87" t="s">
        <v>143</v>
      </c>
    </row>
    <row r="136" spans="1:17" ht="14.25" customHeight="1" x14ac:dyDescent="0.2">
      <c r="A136" s="97"/>
      <c r="B136" s="97"/>
      <c r="C136" s="94" t="s">
        <v>169</v>
      </c>
      <c r="D136" s="98"/>
      <c r="E136" s="98"/>
      <c r="F136" s="95">
        <v>86138.166072484993</v>
      </c>
      <c r="G136" s="101">
        <v>1.00000004</v>
      </c>
      <c r="H136" s="87" t="s">
        <v>143</v>
      </c>
    </row>
    <row r="137" spans="1:17" ht="12.75" x14ac:dyDescent="0.2">
      <c r="A137" s="102"/>
      <c r="B137" s="102"/>
      <c r="C137" s="102"/>
      <c r="D137" s="103"/>
      <c r="E137" s="103"/>
      <c r="F137" s="103"/>
      <c r="G137" s="103"/>
    </row>
    <row r="138" spans="1:17" ht="12.75" x14ac:dyDescent="0.2">
      <c r="A138" s="104"/>
      <c r="B138" s="206" t="s">
        <v>942</v>
      </c>
      <c r="C138" s="206"/>
      <c r="D138" s="206"/>
      <c r="E138" s="206"/>
      <c r="F138" s="206"/>
      <c r="G138" s="206"/>
      <c r="H138" s="206"/>
      <c r="J138" s="106"/>
    </row>
    <row r="139" spans="1:17" ht="12.75" x14ac:dyDescent="0.2">
      <c r="A139" s="104"/>
      <c r="B139" s="206" t="s">
        <v>943</v>
      </c>
      <c r="C139" s="206"/>
      <c r="D139" s="206"/>
      <c r="E139" s="206"/>
      <c r="F139" s="206"/>
      <c r="G139" s="206"/>
      <c r="H139" s="206"/>
      <c r="J139" s="106"/>
    </row>
    <row r="140" spans="1:17" ht="12.75" x14ac:dyDescent="0.2">
      <c r="A140" s="104"/>
      <c r="B140" s="206" t="s">
        <v>944</v>
      </c>
      <c r="C140" s="206"/>
      <c r="D140" s="206"/>
      <c r="E140" s="206"/>
      <c r="F140" s="206"/>
      <c r="G140" s="206"/>
      <c r="H140" s="206"/>
      <c r="J140" s="106"/>
    </row>
    <row r="141" spans="1:17" s="108" customFormat="1" ht="66.75" customHeight="1" x14ac:dyDescent="0.25">
      <c r="A141" s="107"/>
      <c r="B141" s="207" t="s">
        <v>945</v>
      </c>
      <c r="C141" s="207"/>
      <c r="D141" s="207"/>
      <c r="E141" s="207"/>
      <c r="F141" s="207"/>
      <c r="G141" s="207"/>
      <c r="H141" s="207"/>
      <c r="I141"/>
      <c r="J141" s="106"/>
      <c r="K141"/>
      <c r="L141"/>
      <c r="M141"/>
      <c r="N141"/>
      <c r="O141"/>
      <c r="P141"/>
      <c r="Q141"/>
    </row>
    <row r="142" spans="1:17" ht="12.75" x14ac:dyDescent="0.2">
      <c r="A142" s="104"/>
      <c r="B142" s="206" t="s">
        <v>946</v>
      </c>
      <c r="C142" s="206"/>
      <c r="D142" s="206"/>
      <c r="E142" s="206"/>
      <c r="F142" s="206"/>
      <c r="G142" s="206"/>
      <c r="H142" s="206"/>
      <c r="J142" s="106"/>
    </row>
    <row r="143" spans="1:17" ht="12.75" x14ac:dyDescent="0.2">
      <c r="A143" s="104"/>
      <c r="B143" s="104"/>
      <c r="C143" s="104"/>
      <c r="D143" s="109"/>
      <c r="E143" s="109"/>
      <c r="F143" s="109"/>
      <c r="G143" s="109"/>
    </row>
    <row r="144" spans="1:17" ht="12.75" x14ac:dyDescent="0.2">
      <c r="A144" s="104"/>
      <c r="B144" s="199" t="s">
        <v>170</v>
      </c>
      <c r="C144" s="200"/>
      <c r="D144" s="201"/>
      <c r="E144" s="110"/>
      <c r="F144" s="109"/>
      <c r="G144" s="109"/>
    </row>
    <row r="145" spans="1:10" ht="27.75" customHeight="1" x14ac:dyDescent="0.2">
      <c r="A145" s="104"/>
      <c r="B145" s="202" t="s">
        <v>171</v>
      </c>
      <c r="C145" s="203"/>
      <c r="D145" s="86" t="s">
        <v>172</v>
      </c>
      <c r="E145" s="110"/>
      <c r="F145" s="109"/>
      <c r="G145" s="109"/>
    </row>
    <row r="146" spans="1:10" ht="12.75" customHeight="1" x14ac:dyDescent="0.2">
      <c r="A146" s="104"/>
      <c r="B146" s="202" t="s">
        <v>947</v>
      </c>
      <c r="C146" s="203"/>
      <c r="D146" s="86" t="s">
        <v>172</v>
      </c>
      <c r="E146" s="110"/>
      <c r="F146" s="109"/>
      <c r="G146" s="109"/>
    </row>
    <row r="147" spans="1:10" ht="12.75" x14ac:dyDescent="0.2">
      <c r="A147" s="104"/>
      <c r="B147" s="202" t="s">
        <v>173</v>
      </c>
      <c r="C147" s="203"/>
      <c r="D147" s="111" t="s">
        <v>143</v>
      </c>
      <c r="E147" s="110"/>
      <c r="F147" s="109"/>
      <c r="G147" s="109"/>
    </row>
    <row r="148" spans="1:10" ht="12.75" x14ac:dyDescent="0.2">
      <c r="A148" s="112"/>
      <c r="B148" s="113" t="s">
        <v>143</v>
      </c>
      <c r="C148" s="113" t="s">
        <v>948</v>
      </c>
      <c r="D148" s="113" t="s">
        <v>174</v>
      </c>
      <c r="E148" s="112"/>
      <c r="F148" s="112"/>
      <c r="G148" s="112"/>
      <c r="H148" s="112"/>
      <c r="J148" s="106"/>
    </row>
    <row r="149" spans="1:10" ht="12.75" x14ac:dyDescent="0.2">
      <c r="A149" s="112"/>
      <c r="B149" s="114" t="s">
        <v>175</v>
      </c>
      <c r="C149" s="115">
        <v>45869</v>
      </c>
      <c r="D149" s="115">
        <v>45900</v>
      </c>
      <c r="E149" s="112"/>
      <c r="F149" s="112"/>
      <c r="G149" s="112"/>
      <c r="J149" s="106"/>
    </row>
    <row r="150" spans="1:10" ht="14.25" customHeight="1" x14ac:dyDescent="0.2">
      <c r="A150" s="116"/>
      <c r="B150" s="89" t="s">
        <v>176</v>
      </c>
      <c r="C150" s="117">
        <v>10.0198</v>
      </c>
      <c r="D150" s="117">
        <v>9.7691999999999997</v>
      </c>
      <c r="E150" s="116"/>
      <c r="F150" s="118"/>
      <c r="G150" s="119"/>
    </row>
    <row r="151" spans="1:10" ht="14.25" customHeight="1" x14ac:dyDescent="0.2">
      <c r="A151" s="116"/>
      <c r="B151" s="89" t="s">
        <v>954</v>
      </c>
      <c r="C151" s="117">
        <v>10.0198</v>
      </c>
      <c r="D151" s="117">
        <v>9.7691999999999997</v>
      </c>
      <c r="E151" s="116"/>
      <c r="F151" s="118"/>
      <c r="G151" s="119"/>
    </row>
    <row r="152" spans="1:10" ht="14.25" customHeight="1" x14ac:dyDescent="0.2">
      <c r="A152" s="116"/>
      <c r="B152" s="89" t="s">
        <v>177</v>
      </c>
      <c r="C152" s="117">
        <v>10.0151</v>
      </c>
      <c r="D152" s="117">
        <v>9.7506000000000004</v>
      </c>
      <c r="E152" s="116"/>
      <c r="F152" s="118"/>
      <c r="G152" s="119"/>
    </row>
    <row r="153" spans="1:10" ht="14.25" customHeight="1" x14ac:dyDescent="0.2">
      <c r="A153" s="116"/>
      <c r="B153" s="89" t="s">
        <v>955</v>
      </c>
      <c r="C153" s="117">
        <v>10.0151</v>
      </c>
      <c r="D153" s="117">
        <v>9.7506000000000004</v>
      </c>
      <c r="E153" s="116"/>
      <c r="F153" s="118"/>
      <c r="G153" s="119"/>
    </row>
    <row r="154" spans="1:10" ht="14.25" customHeight="1" x14ac:dyDescent="0.2">
      <c r="A154" s="116"/>
      <c r="B154" s="116"/>
      <c r="C154" s="116"/>
      <c r="D154" s="116"/>
      <c r="E154" s="116"/>
      <c r="F154" s="116"/>
      <c r="G154" s="116"/>
    </row>
    <row r="155" spans="1:10" ht="12.75" x14ac:dyDescent="0.2">
      <c r="A155" s="112"/>
      <c r="B155" s="202" t="s">
        <v>949</v>
      </c>
      <c r="C155" s="203"/>
      <c r="D155" s="86" t="s">
        <v>172</v>
      </c>
      <c r="E155" s="112"/>
      <c r="F155" s="112"/>
      <c r="G155" s="112"/>
    </row>
    <row r="156" spans="1:10" ht="12.75" x14ac:dyDescent="0.2">
      <c r="A156" s="112"/>
      <c r="B156" s="120"/>
      <c r="C156" s="120"/>
      <c r="D156" s="120"/>
      <c r="E156" s="112"/>
      <c r="F156" s="112"/>
      <c r="G156" s="112"/>
    </row>
    <row r="157" spans="1:10" ht="29.1" customHeight="1" x14ac:dyDescent="0.2">
      <c r="A157" s="112"/>
      <c r="B157" s="202" t="s">
        <v>178</v>
      </c>
      <c r="C157" s="203"/>
      <c r="D157" s="86" t="s">
        <v>172</v>
      </c>
      <c r="E157" s="121"/>
      <c r="F157" s="112"/>
      <c r="G157" s="112"/>
    </row>
    <row r="158" spans="1:10" ht="29.1" customHeight="1" x14ac:dyDescent="0.2">
      <c r="A158" s="112"/>
      <c r="B158" s="202" t="s">
        <v>179</v>
      </c>
      <c r="C158" s="203"/>
      <c r="D158" s="86" t="s">
        <v>172</v>
      </c>
      <c r="E158" s="121"/>
      <c r="F158" s="112"/>
      <c r="G158" s="112"/>
    </row>
    <row r="159" spans="1:10" ht="17.100000000000001" customHeight="1" x14ac:dyDescent="0.2">
      <c r="A159" s="112"/>
      <c r="B159" s="202" t="s">
        <v>180</v>
      </c>
      <c r="C159" s="203"/>
      <c r="D159" s="86" t="s">
        <v>172</v>
      </c>
      <c r="E159" s="121"/>
      <c r="F159" s="112"/>
      <c r="G159" s="112"/>
    </row>
    <row r="160" spans="1:10" ht="17.100000000000001" customHeight="1" x14ac:dyDescent="0.2">
      <c r="A160" s="112"/>
      <c r="B160" s="202" t="s">
        <v>181</v>
      </c>
      <c r="C160" s="203"/>
      <c r="D160" s="122">
        <v>0.1811421220770984</v>
      </c>
      <c r="E160" s="112"/>
      <c r="F160" s="105"/>
      <c r="G160" s="123"/>
    </row>
    <row r="161" spans="2:10" ht="12.75" x14ac:dyDescent="0.2"/>
    <row r="162" spans="2:10" ht="12.75" x14ac:dyDescent="0.2"/>
    <row r="163" spans="2:10" ht="12.75" x14ac:dyDescent="0.2">
      <c r="B163" s="204" t="s">
        <v>950</v>
      </c>
      <c r="C163" s="204"/>
    </row>
    <row r="164" spans="2:10" ht="12.75" x14ac:dyDescent="0.2"/>
    <row r="165" spans="2:10" ht="153.75" customHeight="1" x14ac:dyDescent="0.2"/>
    <row r="166" spans="2:10" ht="12.75" x14ac:dyDescent="0.2"/>
    <row r="167" spans="2:10" ht="12.75" x14ac:dyDescent="0.2"/>
    <row r="168" spans="2:10" ht="12.75" x14ac:dyDescent="0.2">
      <c r="B168" s="124" t="s">
        <v>951</v>
      </c>
      <c r="C168" s="125"/>
      <c r="D168" s="124"/>
    </row>
    <row r="169" spans="2:10" ht="12.75" x14ac:dyDescent="0.2">
      <c r="B169" s="124" t="s">
        <v>1137</v>
      </c>
      <c r="D169" s="124"/>
    </row>
    <row r="170" spans="2:10" ht="165" customHeight="1" x14ac:dyDescent="0.2"/>
    <row r="171" spans="2:10" ht="12.75" x14ac:dyDescent="0.2"/>
    <row r="172" spans="2:10" ht="12.75" x14ac:dyDescent="0.2">
      <c r="J172" s="84"/>
    </row>
  </sheetData>
  <mergeCells count="18">
    <mergeCell ref="B141:H141"/>
    <mergeCell ref="B142:H142"/>
    <mergeCell ref="B144:D144"/>
    <mergeCell ref="B145:C145"/>
    <mergeCell ref="B163:C163"/>
    <mergeCell ref="A1:H1"/>
    <mergeCell ref="A2:H2"/>
    <mergeCell ref="A3:H3"/>
    <mergeCell ref="B155:C155"/>
    <mergeCell ref="B159:C159"/>
    <mergeCell ref="B160:C160"/>
    <mergeCell ref="B138:H138"/>
    <mergeCell ref="B139:H139"/>
    <mergeCell ref="B146:C146"/>
    <mergeCell ref="B147:C147"/>
    <mergeCell ref="B157:C157"/>
    <mergeCell ref="B158:C158"/>
    <mergeCell ref="B140:H140"/>
  </mergeCells>
  <hyperlinks>
    <hyperlink ref="I1" location="Index!B2" display="Index" xr:uid="{A5ABA9AE-4346-4308-B548-0226FFE93297}"/>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B111-F735-4D6F-94AC-9E531B642F41}">
  <sheetPr>
    <pageSetUpPr fitToPage="1"/>
  </sheetPr>
  <dimension ref="A1:K243"/>
  <sheetViews>
    <sheetView topLeftCell="A138" zoomScaleNormal="100" workbookViewId="0">
      <selection activeCell="B216" sqref="B216"/>
    </sheetView>
  </sheetViews>
  <sheetFormatPr defaultColWidth="9.140625" defaultRowHeight="13.5" x14ac:dyDescent="0.25"/>
  <cols>
    <col min="1" max="1" width="33.7109375" style="23" customWidth="1"/>
    <col min="2" max="2" width="54.7109375" style="23" customWidth="1"/>
    <col min="3" max="3" width="31" style="23" bestFit="1" customWidth="1"/>
    <col min="4" max="4" width="20.140625" style="23" bestFit="1" customWidth="1"/>
    <col min="5" max="5" width="16.5703125" style="23" customWidth="1"/>
    <col min="6" max="6" width="18.7109375" style="23" bestFit="1" customWidth="1"/>
    <col min="7" max="7" width="17.5703125" style="23" customWidth="1"/>
    <col min="8" max="8" width="15.5703125" style="23" bestFit="1" customWidth="1"/>
    <col min="9" max="9" width="13.5703125" style="23" customWidth="1"/>
    <col min="10" max="10" width="20.5703125" style="23" customWidth="1"/>
    <col min="11" max="11" width="12.42578125" style="23" bestFit="1" customWidth="1"/>
    <col min="12" max="16384" width="9.140625" style="23"/>
  </cols>
  <sheetData>
    <row r="1" spans="1:10" x14ac:dyDescent="0.25">
      <c r="F1" s="24" t="s">
        <v>1004</v>
      </c>
    </row>
    <row r="2" spans="1:10" x14ac:dyDescent="0.25">
      <c r="A2" s="242" t="s">
        <v>1156</v>
      </c>
      <c r="B2" s="242"/>
      <c r="C2" s="242"/>
      <c r="D2" s="242"/>
      <c r="E2" s="242"/>
      <c r="F2" s="242"/>
    </row>
    <row r="3" spans="1:10" x14ac:dyDescent="0.25">
      <c r="A3" s="242" t="s">
        <v>1157</v>
      </c>
      <c r="B3" s="242"/>
      <c r="C3" s="242"/>
      <c r="D3" s="242"/>
      <c r="E3" s="242"/>
      <c r="F3" s="242"/>
    </row>
    <row r="4" spans="1:10" x14ac:dyDescent="0.25">
      <c r="A4" s="24"/>
      <c r="B4" s="24"/>
      <c r="C4" s="24"/>
      <c r="D4" s="24"/>
      <c r="E4" s="24"/>
      <c r="F4" s="24"/>
    </row>
    <row r="5" spans="1:10" x14ac:dyDescent="0.25">
      <c r="A5" s="242" t="s">
        <v>1158</v>
      </c>
      <c r="B5" s="242"/>
      <c r="C5" s="242"/>
      <c r="D5" s="242"/>
      <c r="E5" s="242"/>
      <c r="F5" s="242"/>
    </row>
    <row r="6" spans="1:10" x14ac:dyDescent="0.25">
      <c r="A6" s="24" t="s">
        <v>1159</v>
      </c>
    </row>
    <row r="8" spans="1:10" s="24" customFormat="1" ht="27" x14ac:dyDescent="0.25">
      <c r="A8" s="25" t="s">
        <v>1160</v>
      </c>
      <c r="B8" s="25" t="s">
        <v>1161</v>
      </c>
      <c r="C8" s="25" t="s">
        <v>1162</v>
      </c>
      <c r="D8" s="26" t="s">
        <v>1163</v>
      </c>
      <c r="E8" s="26" t="s">
        <v>1164</v>
      </c>
      <c r="F8" s="26" t="s">
        <v>1165</v>
      </c>
    </row>
    <row r="9" spans="1:10" x14ac:dyDescent="0.25">
      <c r="A9" s="27" t="s">
        <v>502</v>
      </c>
      <c r="B9" s="27" t="s">
        <v>985</v>
      </c>
      <c r="C9" s="28" t="s">
        <v>1166</v>
      </c>
      <c r="D9" s="29">
        <v>1348.8</v>
      </c>
      <c r="E9" s="30">
        <v>1319.2</v>
      </c>
      <c r="F9" s="31">
        <v>72.741148500000008</v>
      </c>
      <c r="J9" s="32"/>
    </row>
    <row r="10" spans="1:10" x14ac:dyDescent="0.25">
      <c r="A10" s="33" t="s">
        <v>502</v>
      </c>
      <c r="B10" s="33" t="s">
        <v>988</v>
      </c>
      <c r="C10" s="34" t="s">
        <v>1166</v>
      </c>
      <c r="D10" s="29">
        <v>289.52</v>
      </c>
      <c r="E10" s="30">
        <v>279.89999999999998</v>
      </c>
      <c r="F10" s="31">
        <v>141.23355100000001</v>
      </c>
    </row>
    <row r="11" spans="1:10" x14ac:dyDescent="0.25">
      <c r="A11" s="33" t="s">
        <v>502</v>
      </c>
      <c r="B11" s="33" t="s">
        <v>979</v>
      </c>
      <c r="C11" s="34" t="s">
        <v>1166</v>
      </c>
      <c r="D11" s="29">
        <v>1972.3</v>
      </c>
      <c r="E11" s="30">
        <v>1923.6</v>
      </c>
      <c r="F11" s="31">
        <v>15.28947</v>
      </c>
    </row>
    <row r="12" spans="1:10" x14ac:dyDescent="0.25">
      <c r="A12" s="33" t="s">
        <v>502</v>
      </c>
      <c r="B12" s="33" t="s">
        <v>990</v>
      </c>
      <c r="C12" s="34" t="s">
        <v>1166</v>
      </c>
      <c r="D12" s="29">
        <v>242.75</v>
      </c>
      <c r="E12" s="30">
        <v>233.63</v>
      </c>
      <c r="F12" s="31">
        <v>281.2064335</v>
      </c>
    </row>
    <row r="13" spans="1:10" x14ac:dyDescent="0.25">
      <c r="A13" s="33" t="s">
        <v>502</v>
      </c>
      <c r="B13" s="33" t="s">
        <v>984</v>
      </c>
      <c r="C13" s="34" t="s">
        <v>1166</v>
      </c>
      <c r="D13" s="29">
        <v>374.57</v>
      </c>
      <c r="E13" s="30">
        <v>370.7</v>
      </c>
      <c r="F13" s="31">
        <v>39.693119400000008</v>
      </c>
    </row>
    <row r="14" spans="1:10" x14ac:dyDescent="0.25">
      <c r="A14" s="33" t="s">
        <v>502</v>
      </c>
      <c r="B14" s="33" t="s">
        <v>989</v>
      </c>
      <c r="C14" s="34" t="s">
        <v>1166</v>
      </c>
      <c r="D14" s="29">
        <v>1944.44</v>
      </c>
      <c r="E14" s="30">
        <v>1899.5</v>
      </c>
      <c r="F14" s="31">
        <v>143.38457099999999</v>
      </c>
    </row>
    <row r="15" spans="1:10" x14ac:dyDescent="0.25">
      <c r="A15" s="33" t="s">
        <v>502</v>
      </c>
      <c r="B15" s="33" t="s">
        <v>993</v>
      </c>
      <c r="C15" s="34" t="s">
        <v>1166</v>
      </c>
      <c r="D15" s="29">
        <v>363.54</v>
      </c>
      <c r="E15" s="30">
        <v>349.8</v>
      </c>
      <c r="F15" s="31">
        <v>395.75717500000002</v>
      </c>
    </row>
    <row r="16" spans="1:10" x14ac:dyDescent="0.25">
      <c r="A16" s="33" t="s">
        <v>502</v>
      </c>
      <c r="B16" s="33" t="s">
        <v>991</v>
      </c>
      <c r="C16" s="34" t="s">
        <v>1166</v>
      </c>
      <c r="D16" s="29">
        <v>16860.47</v>
      </c>
      <c r="E16" s="30">
        <v>16777</v>
      </c>
      <c r="F16" s="31">
        <v>395.56188750000001</v>
      </c>
    </row>
    <row r="17" spans="1:6" x14ac:dyDescent="0.25">
      <c r="A17" s="33" t="s">
        <v>502</v>
      </c>
      <c r="B17" s="33" t="s">
        <v>983</v>
      </c>
      <c r="C17" s="34" t="s">
        <v>1166</v>
      </c>
      <c r="D17" s="29">
        <v>2828.44</v>
      </c>
      <c r="E17" s="30">
        <v>2787.4</v>
      </c>
      <c r="F17" s="31">
        <v>33.259882500000003</v>
      </c>
    </row>
    <row r="18" spans="1:6" x14ac:dyDescent="0.25">
      <c r="A18" s="33" t="s">
        <v>502</v>
      </c>
      <c r="B18" s="33" t="s">
        <v>996</v>
      </c>
      <c r="C18" s="34" t="s">
        <v>1166</v>
      </c>
      <c r="D18" s="29">
        <v>992.61</v>
      </c>
      <c r="E18" s="30">
        <v>958.1</v>
      </c>
      <c r="F18" s="31">
        <v>741.84414150000009</v>
      </c>
    </row>
    <row r="19" spans="1:6" x14ac:dyDescent="0.25">
      <c r="A19" s="33" t="s">
        <v>502</v>
      </c>
      <c r="B19" s="33" t="s">
        <v>997</v>
      </c>
      <c r="C19" s="34" t="s">
        <v>1166</v>
      </c>
      <c r="D19" s="29">
        <v>1442.66</v>
      </c>
      <c r="E19" s="30">
        <v>1406.3</v>
      </c>
      <c r="F19" s="31">
        <v>780.18846150000002</v>
      </c>
    </row>
    <row r="20" spans="1:6" x14ac:dyDescent="0.25">
      <c r="A20" s="33" t="s">
        <v>502</v>
      </c>
      <c r="B20" s="33" t="s">
        <v>982</v>
      </c>
      <c r="C20" s="34" t="s">
        <v>1166</v>
      </c>
      <c r="D20" s="29">
        <v>70.56</v>
      </c>
      <c r="E20" s="30">
        <v>68.430000000000007</v>
      </c>
      <c r="F20" s="31">
        <v>34.085755200000001</v>
      </c>
    </row>
    <row r="21" spans="1:6" x14ac:dyDescent="0.25">
      <c r="A21" s="33" t="s">
        <v>502</v>
      </c>
      <c r="B21" s="33" t="s">
        <v>992</v>
      </c>
      <c r="C21" s="34" t="s">
        <v>1166</v>
      </c>
      <c r="D21" s="29">
        <v>795.87</v>
      </c>
      <c r="E21" s="30">
        <v>763.3</v>
      </c>
      <c r="F21" s="31">
        <v>344.05392000000001</v>
      </c>
    </row>
    <row r="22" spans="1:6" x14ac:dyDescent="0.25">
      <c r="A22" s="33" t="s">
        <v>502</v>
      </c>
      <c r="B22" s="33" t="s">
        <v>980</v>
      </c>
      <c r="C22" s="34" t="s">
        <v>1166</v>
      </c>
      <c r="D22" s="29">
        <v>527.57000000000005</v>
      </c>
      <c r="E22" s="30">
        <v>489.65</v>
      </c>
      <c r="F22" s="31">
        <v>30.4244375</v>
      </c>
    </row>
    <row r="23" spans="1:6" x14ac:dyDescent="0.25">
      <c r="A23" s="33" t="s">
        <v>502</v>
      </c>
      <c r="B23" s="33" t="s">
        <v>987</v>
      </c>
      <c r="C23" s="34" t="s">
        <v>1166</v>
      </c>
      <c r="D23" s="29">
        <v>1995.16</v>
      </c>
      <c r="E23" s="30">
        <v>1972</v>
      </c>
      <c r="F23" s="31">
        <v>82.156319999999994</v>
      </c>
    </row>
    <row r="24" spans="1:6" x14ac:dyDescent="0.25">
      <c r="A24" s="33" t="s">
        <v>502</v>
      </c>
      <c r="B24" s="33" t="s">
        <v>986</v>
      </c>
      <c r="C24" s="34" t="s">
        <v>1166</v>
      </c>
      <c r="D24" s="29">
        <v>735.88</v>
      </c>
      <c r="E24" s="30">
        <v>728.55</v>
      </c>
      <c r="F24" s="31">
        <v>78.849620999999999</v>
      </c>
    </row>
    <row r="25" spans="1:6" x14ac:dyDescent="0.25">
      <c r="A25" s="33" t="s">
        <v>502</v>
      </c>
      <c r="B25" s="33" t="s">
        <v>998</v>
      </c>
      <c r="C25" s="34" t="s">
        <v>1166</v>
      </c>
      <c r="D25" s="29">
        <v>7706.85</v>
      </c>
      <c r="E25" s="30">
        <v>7438.5</v>
      </c>
      <c r="F25" s="31">
        <v>1561.3563168000001</v>
      </c>
    </row>
    <row r="26" spans="1:6" x14ac:dyDescent="0.25">
      <c r="A26" s="33" t="s">
        <v>502</v>
      </c>
      <c r="B26" s="33" t="s">
        <v>994</v>
      </c>
      <c r="C26" s="34" t="s">
        <v>1166</v>
      </c>
      <c r="D26" s="29">
        <v>1422.87</v>
      </c>
      <c r="E26" s="30">
        <v>1364.4</v>
      </c>
      <c r="F26" s="31">
        <v>481.96800000000002</v>
      </c>
    </row>
    <row r="27" spans="1:6" x14ac:dyDescent="0.25">
      <c r="A27" s="33" t="s">
        <v>502</v>
      </c>
      <c r="B27" s="33" t="s">
        <v>995</v>
      </c>
      <c r="C27" s="34" t="s">
        <v>1166</v>
      </c>
      <c r="D27" s="29">
        <v>824.23</v>
      </c>
      <c r="E27" s="30">
        <v>805.35</v>
      </c>
      <c r="F27" s="31">
        <v>622.85061519999999</v>
      </c>
    </row>
    <row r="28" spans="1:6" x14ac:dyDescent="0.25">
      <c r="A28" s="33" t="s">
        <v>502</v>
      </c>
      <c r="B28" s="33" t="s">
        <v>981</v>
      </c>
      <c r="C28" s="34" t="s">
        <v>1166</v>
      </c>
      <c r="D28" s="29">
        <v>3157.07</v>
      </c>
      <c r="E28" s="30">
        <v>3100.2</v>
      </c>
      <c r="F28" s="31">
        <v>25.8786846</v>
      </c>
    </row>
    <row r="29" spans="1:6" x14ac:dyDescent="0.25">
      <c r="A29" s="35"/>
      <c r="B29" s="35"/>
      <c r="C29" s="35"/>
      <c r="D29" s="36"/>
      <c r="E29" s="36"/>
      <c r="F29" s="36"/>
    </row>
    <row r="30" spans="1:6" x14ac:dyDescent="0.25">
      <c r="A30" s="33" t="s">
        <v>628</v>
      </c>
      <c r="B30" s="33" t="s">
        <v>1068</v>
      </c>
      <c r="C30" s="34" t="s">
        <v>1166</v>
      </c>
      <c r="D30" s="29">
        <v>2400.48</v>
      </c>
      <c r="E30" s="30">
        <v>2259.3000000000002</v>
      </c>
      <c r="F30" s="31">
        <v>165.35863799999998</v>
      </c>
    </row>
    <row r="31" spans="1:6" x14ac:dyDescent="0.25">
      <c r="A31" s="33" t="s">
        <v>628</v>
      </c>
      <c r="B31" s="33" t="s">
        <v>1072</v>
      </c>
      <c r="C31" s="34" t="s">
        <v>1166</v>
      </c>
      <c r="D31" s="29">
        <v>1080.47</v>
      </c>
      <c r="E31" s="30">
        <v>1052.0999999999999</v>
      </c>
      <c r="F31" s="31">
        <v>200.71622620000002</v>
      </c>
    </row>
    <row r="32" spans="1:6" x14ac:dyDescent="0.25">
      <c r="A32" s="33" t="s">
        <v>628</v>
      </c>
      <c r="B32" s="33" t="s">
        <v>1071</v>
      </c>
      <c r="C32" s="34" t="s">
        <v>1166</v>
      </c>
      <c r="D32" s="29">
        <v>907.98</v>
      </c>
      <c r="E32" s="30">
        <v>881.6</v>
      </c>
      <c r="F32" s="31">
        <v>195.197115</v>
      </c>
    </row>
    <row r="33" spans="1:6" x14ac:dyDescent="0.25">
      <c r="A33" s="33" t="s">
        <v>628</v>
      </c>
      <c r="B33" s="33" t="s">
        <v>979</v>
      </c>
      <c r="C33" s="34" t="s">
        <v>1166</v>
      </c>
      <c r="D33" s="29">
        <v>1993</v>
      </c>
      <c r="E33" s="30">
        <v>1923.6</v>
      </c>
      <c r="F33" s="31">
        <v>11.89181</v>
      </c>
    </row>
    <row r="34" spans="1:6" x14ac:dyDescent="0.25">
      <c r="A34" s="33" t="s">
        <v>628</v>
      </c>
      <c r="B34" s="33" t="s">
        <v>990</v>
      </c>
      <c r="C34" s="34" t="s">
        <v>1166</v>
      </c>
      <c r="D34" s="29">
        <v>245.45</v>
      </c>
      <c r="E34" s="30">
        <v>233.63</v>
      </c>
      <c r="F34" s="31">
        <v>48.010854500000001</v>
      </c>
    </row>
    <row r="35" spans="1:6" x14ac:dyDescent="0.25">
      <c r="A35" s="33" t="s">
        <v>628</v>
      </c>
      <c r="B35" s="33" t="s">
        <v>1041</v>
      </c>
      <c r="C35" s="34" t="s">
        <v>1166</v>
      </c>
      <c r="D35" s="29">
        <v>1907.4</v>
      </c>
      <c r="E35" s="30">
        <v>1908</v>
      </c>
      <c r="F35" s="31">
        <v>1.60056</v>
      </c>
    </row>
    <row r="36" spans="1:6" x14ac:dyDescent="0.25">
      <c r="A36" s="33" t="s">
        <v>628</v>
      </c>
      <c r="B36" s="33" t="s">
        <v>989</v>
      </c>
      <c r="C36" s="34" t="s">
        <v>1166</v>
      </c>
      <c r="D36" s="37">
        <v>1944.02</v>
      </c>
      <c r="E36" s="38">
        <v>1899.5</v>
      </c>
      <c r="F36" s="31">
        <v>116.30081870000001</v>
      </c>
    </row>
    <row r="37" spans="1:6" x14ac:dyDescent="0.25">
      <c r="A37" s="33" t="s">
        <v>628</v>
      </c>
      <c r="B37" s="33" t="s">
        <v>1052</v>
      </c>
      <c r="C37" s="34" t="s">
        <v>1166</v>
      </c>
      <c r="D37" s="29">
        <v>107.83</v>
      </c>
      <c r="E37" s="30">
        <v>104.22</v>
      </c>
      <c r="F37" s="31">
        <v>36.446120000000008</v>
      </c>
    </row>
    <row r="38" spans="1:6" x14ac:dyDescent="0.25">
      <c r="A38" s="33" t="s">
        <v>628</v>
      </c>
      <c r="B38" s="33" t="s">
        <v>1060</v>
      </c>
      <c r="C38" s="34" t="s">
        <v>1166</v>
      </c>
      <c r="D38" s="29">
        <v>1609.99</v>
      </c>
      <c r="E38" s="30">
        <v>1595.4</v>
      </c>
      <c r="F38" s="31">
        <v>44.4353196</v>
      </c>
    </row>
    <row r="39" spans="1:6" x14ac:dyDescent="0.25">
      <c r="A39" s="33" t="s">
        <v>628</v>
      </c>
      <c r="B39" s="33" t="s">
        <v>1048</v>
      </c>
      <c r="C39" s="34" t="s">
        <v>1166</v>
      </c>
      <c r="D39" s="29">
        <v>769.43</v>
      </c>
      <c r="E39" s="30">
        <v>743.7</v>
      </c>
      <c r="F39" s="31">
        <v>17.800802600000001</v>
      </c>
    </row>
    <row r="40" spans="1:6" x14ac:dyDescent="0.25">
      <c r="A40" s="33" t="s">
        <v>628</v>
      </c>
      <c r="B40" s="33" t="s">
        <v>1047</v>
      </c>
      <c r="C40" s="34" t="s">
        <v>1166</v>
      </c>
      <c r="D40" s="29">
        <v>5975.21</v>
      </c>
      <c r="E40" s="30">
        <v>6125</v>
      </c>
      <c r="F40" s="31">
        <v>13.270486600000002</v>
      </c>
    </row>
    <row r="41" spans="1:6" x14ac:dyDescent="0.25">
      <c r="A41" s="33" t="s">
        <v>628</v>
      </c>
      <c r="B41" s="33" t="s">
        <v>1070</v>
      </c>
      <c r="C41" s="34" t="s">
        <v>1166</v>
      </c>
      <c r="D41" s="29">
        <v>576.97</v>
      </c>
      <c r="E41" s="30">
        <v>565.29999999999995</v>
      </c>
      <c r="F41" s="31">
        <v>158.87585859999999</v>
      </c>
    </row>
    <row r="42" spans="1:6" x14ac:dyDescent="0.25">
      <c r="A42" s="33" t="s">
        <v>628</v>
      </c>
      <c r="B42" s="33" t="s">
        <v>996</v>
      </c>
      <c r="C42" s="34" t="s">
        <v>1166</v>
      </c>
      <c r="D42" s="29">
        <v>1004.05</v>
      </c>
      <c r="E42" s="30">
        <v>958.1</v>
      </c>
      <c r="F42" s="31">
        <v>208.236952</v>
      </c>
    </row>
    <row r="43" spans="1:6" x14ac:dyDescent="0.25">
      <c r="A43" s="33" t="s">
        <v>628</v>
      </c>
      <c r="B43" s="33" t="s">
        <v>1067</v>
      </c>
      <c r="C43" s="34" t="s">
        <v>1166</v>
      </c>
      <c r="D43" s="37">
        <v>710.71</v>
      </c>
      <c r="E43" s="38">
        <v>706.55</v>
      </c>
      <c r="F43" s="31">
        <v>109.00227100000002</v>
      </c>
    </row>
    <row r="44" spans="1:6" x14ac:dyDescent="0.25">
      <c r="A44" s="33" t="s">
        <v>628</v>
      </c>
      <c r="B44" s="33" t="s">
        <v>1063</v>
      </c>
      <c r="C44" s="34" t="s">
        <v>1166</v>
      </c>
      <c r="D44" s="29">
        <v>4487.0200000000004</v>
      </c>
      <c r="E44" s="30">
        <v>4357.2</v>
      </c>
      <c r="F44" s="31">
        <v>98.380223999999984</v>
      </c>
    </row>
    <row r="45" spans="1:6" x14ac:dyDescent="0.25">
      <c r="A45" s="33" t="s">
        <v>628</v>
      </c>
      <c r="B45" s="33" t="s">
        <v>1062</v>
      </c>
      <c r="C45" s="34" t="s">
        <v>1166</v>
      </c>
      <c r="D45" s="29">
        <v>2651.19</v>
      </c>
      <c r="E45" s="30">
        <v>2675.8</v>
      </c>
      <c r="F45" s="31">
        <v>59.515217999999997</v>
      </c>
    </row>
    <row r="46" spans="1:6" x14ac:dyDescent="0.25">
      <c r="A46" s="33" t="s">
        <v>628</v>
      </c>
      <c r="B46" s="33" t="s">
        <v>997</v>
      </c>
      <c r="C46" s="34" t="s">
        <v>1166</v>
      </c>
      <c r="D46" s="29">
        <v>1438.88</v>
      </c>
      <c r="E46" s="30">
        <v>1406.3</v>
      </c>
      <c r="F46" s="31">
        <v>385.75019700000001</v>
      </c>
    </row>
    <row r="47" spans="1:6" x14ac:dyDescent="0.25">
      <c r="A47" s="33" t="s">
        <v>628</v>
      </c>
      <c r="B47" s="33" t="s">
        <v>992</v>
      </c>
      <c r="C47" s="34" t="s">
        <v>1166</v>
      </c>
      <c r="D47" s="29">
        <v>801.77</v>
      </c>
      <c r="E47" s="30">
        <v>763.3</v>
      </c>
      <c r="F47" s="31">
        <v>89.085390000000004</v>
      </c>
    </row>
    <row r="48" spans="1:6" x14ac:dyDescent="0.25">
      <c r="A48" s="33" t="s">
        <v>628</v>
      </c>
      <c r="B48" s="33" t="s">
        <v>1057</v>
      </c>
      <c r="C48" s="34" t="s">
        <v>1166</v>
      </c>
      <c r="D48" s="29">
        <v>344.9</v>
      </c>
      <c r="E48" s="30">
        <v>341.1</v>
      </c>
      <c r="F48" s="31">
        <v>46.884716499999996</v>
      </c>
    </row>
    <row r="49" spans="1:6" x14ac:dyDescent="0.25">
      <c r="A49" s="33" t="s">
        <v>628</v>
      </c>
      <c r="B49" s="33" t="s">
        <v>1046</v>
      </c>
      <c r="C49" s="34" t="s">
        <v>1166</v>
      </c>
      <c r="D49" s="29">
        <v>755.09</v>
      </c>
      <c r="E49" s="30">
        <v>747.3</v>
      </c>
      <c r="F49" s="31">
        <v>18.796939000000002</v>
      </c>
    </row>
    <row r="50" spans="1:6" x14ac:dyDescent="0.25">
      <c r="A50" s="33" t="s">
        <v>628</v>
      </c>
      <c r="B50" s="33" t="s">
        <v>1061</v>
      </c>
      <c r="C50" s="34" t="s">
        <v>1166</v>
      </c>
      <c r="D50" s="29">
        <v>759.65</v>
      </c>
      <c r="E50" s="30">
        <v>743.25</v>
      </c>
      <c r="F50" s="31">
        <v>70.821583900000007</v>
      </c>
    </row>
    <row r="51" spans="1:6" x14ac:dyDescent="0.25">
      <c r="A51" s="33" t="s">
        <v>628</v>
      </c>
      <c r="B51" s="33" t="s">
        <v>1073</v>
      </c>
      <c r="C51" s="34" t="s">
        <v>1166</v>
      </c>
      <c r="D51" s="29">
        <v>402.67</v>
      </c>
      <c r="E51" s="30">
        <v>411.15</v>
      </c>
      <c r="F51" s="31">
        <v>339.795728</v>
      </c>
    </row>
    <row r="52" spans="1:6" x14ac:dyDescent="0.25">
      <c r="A52" s="33" t="s">
        <v>628</v>
      </c>
      <c r="B52" s="33" t="s">
        <v>1044</v>
      </c>
      <c r="C52" s="34" t="s">
        <v>1166</v>
      </c>
      <c r="D52" s="29">
        <v>333.18</v>
      </c>
      <c r="E52" s="30">
        <v>312.75</v>
      </c>
      <c r="F52" s="31">
        <v>9.0248813999999999</v>
      </c>
    </row>
    <row r="53" spans="1:6" x14ac:dyDescent="0.25">
      <c r="A53" s="33" t="s">
        <v>628</v>
      </c>
      <c r="B53" s="33" t="s">
        <v>980</v>
      </c>
      <c r="C53" s="34" t="s">
        <v>1166</v>
      </c>
      <c r="D53" s="29">
        <v>526.05999999999995</v>
      </c>
      <c r="E53" s="30">
        <v>489.65</v>
      </c>
      <c r="F53" s="31">
        <v>21.905595000000002</v>
      </c>
    </row>
    <row r="54" spans="1:6" x14ac:dyDescent="0.25">
      <c r="A54" s="33" t="s">
        <v>628</v>
      </c>
      <c r="B54" s="33" t="s">
        <v>1054</v>
      </c>
      <c r="C54" s="34" t="s">
        <v>1166</v>
      </c>
      <c r="D54" s="29">
        <v>1990.35</v>
      </c>
      <c r="E54" s="30">
        <v>1982.1</v>
      </c>
      <c r="F54" s="31">
        <v>32.180081999999999</v>
      </c>
    </row>
    <row r="55" spans="1:6" x14ac:dyDescent="0.25">
      <c r="A55" s="33" t="s">
        <v>628</v>
      </c>
      <c r="B55" s="33" t="s">
        <v>987</v>
      </c>
      <c r="C55" s="34" t="s">
        <v>1166</v>
      </c>
      <c r="D55" s="29">
        <v>2012.39</v>
      </c>
      <c r="E55" s="30">
        <v>1972</v>
      </c>
      <c r="F55" s="31">
        <v>41.7744</v>
      </c>
    </row>
    <row r="56" spans="1:6" x14ac:dyDescent="0.25">
      <c r="A56" s="33" t="s">
        <v>628</v>
      </c>
      <c r="B56" s="33" t="s">
        <v>1069</v>
      </c>
      <c r="C56" s="34" t="s">
        <v>1166</v>
      </c>
      <c r="D56" s="29">
        <v>3614.65</v>
      </c>
      <c r="E56" s="30">
        <v>3618.6</v>
      </c>
      <c r="F56" s="31">
        <v>126.4316659</v>
      </c>
    </row>
    <row r="57" spans="1:6" x14ac:dyDescent="0.25">
      <c r="A57" s="33" t="s">
        <v>628</v>
      </c>
      <c r="B57" s="33" t="s">
        <v>1051</v>
      </c>
      <c r="C57" s="34" t="s">
        <v>1166</v>
      </c>
      <c r="D57" s="29">
        <v>3412.2</v>
      </c>
      <c r="E57" s="30">
        <v>3217.6</v>
      </c>
      <c r="F57" s="31">
        <v>22.669507999999997</v>
      </c>
    </row>
    <row r="58" spans="1:6" x14ac:dyDescent="0.25">
      <c r="A58" s="33" t="s">
        <v>628</v>
      </c>
      <c r="B58" s="33" t="s">
        <v>1064</v>
      </c>
      <c r="C58" s="34" t="s">
        <v>1166</v>
      </c>
      <c r="D58" s="29">
        <v>1659.79</v>
      </c>
      <c r="E58" s="30">
        <v>1611</v>
      </c>
      <c r="F58" s="31">
        <v>86.489519999999999</v>
      </c>
    </row>
    <row r="59" spans="1:6" x14ac:dyDescent="0.25">
      <c r="A59" s="33" t="s">
        <v>628</v>
      </c>
      <c r="B59" s="33" t="s">
        <v>1043</v>
      </c>
      <c r="C59" s="34" t="s">
        <v>1166</v>
      </c>
      <c r="D59" s="29">
        <v>337.1</v>
      </c>
      <c r="E59" s="30">
        <v>326.25</v>
      </c>
      <c r="F59" s="31">
        <v>3.4835252000000003</v>
      </c>
    </row>
    <row r="60" spans="1:6" x14ac:dyDescent="0.25">
      <c r="A60" s="33" t="s">
        <v>628</v>
      </c>
      <c r="B60" s="33" t="s">
        <v>1040</v>
      </c>
      <c r="C60" s="34" t="s">
        <v>1166</v>
      </c>
      <c r="D60" s="29">
        <v>1244.5999999999999</v>
      </c>
      <c r="E60" s="30">
        <v>1214.5999999999999</v>
      </c>
      <c r="F60" s="31">
        <v>2.6048598000000003</v>
      </c>
    </row>
    <row r="61" spans="1:6" x14ac:dyDescent="0.25">
      <c r="A61" s="33" t="s">
        <v>628</v>
      </c>
      <c r="B61" s="33" t="s">
        <v>1049</v>
      </c>
      <c r="C61" s="34" t="s">
        <v>1166</v>
      </c>
      <c r="D61" s="29">
        <v>806.8</v>
      </c>
      <c r="E61" s="30">
        <v>757.4</v>
      </c>
      <c r="F61" s="31">
        <v>31.156164000000004</v>
      </c>
    </row>
    <row r="62" spans="1:6" x14ac:dyDescent="0.25">
      <c r="A62" s="33" t="s">
        <v>628</v>
      </c>
      <c r="B62" s="33" t="s">
        <v>1055</v>
      </c>
      <c r="C62" s="34" t="s">
        <v>1166</v>
      </c>
      <c r="D62" s="29">
        <v>102.05</v>
      </c>
      <c r="E62" s="30">
        <v>101.52</v>
      </c>
      <c r="F62" s="31">
        <v>40.134144000000006</v>
      </c>
    </row>
    <row r="63" spans="1:6" x14ac:dyDescent="0.25">
      <c r="A63" s="33" t="s">
        <v>628</v>
      </c>
      <c r="B63" s="33" t="s">
        <v>1065</v>
      </c>
      <c r="C63" s="34" t="s">
        <v>1166</v>
      </c>
      <c r="D63" s="29">
        <v>263.86</v>
      </c>
      <c r="E63" s="30">
        <v>262.35000000000002</v>
      </c>
      <c r="F63" s="31">
        <v>201.23419799999996</v>
      </c>
    </row>
    <row r="64" spans="1:6" x14ac:dyDescent="0.25">
      <c r="A64" s="33" t="s">
        <v>628</v>
      </c>
      <c r="B64" s="33" t="s">
        <v>1059</v>
      </c>
      <c r="C64" s="34" t="s">
        <v>1166</v>
      </c>
      <c r="D64" s="29">
        <v>1403.14</v>
      </c>
      <c r="E64" s="30">
        <v>1370.7</v>
      </c>
      <c r="F64" s="31">
        <v>42.370037500000002</v>
      </c>
    </row>
    <row r="65" spans="1:6" x14ac:dyDescent="0.25">
      <c r="A65" s="33" t="s">
        <v>628</v>
      </c>
      <c r="B65" s="33" t="s">
        <v>994</v>
      </c>
      <c r="C65" s="34" t="s">
        <v>1166</v>
      </c>
      <c r="D65" s="29">
        <v>1423.69</v>
      </c>
      <c r="E65" s="30">
        <v>1364.4</v>
      </c>
      <c r="F65" s="31">
        <v>407.26296000000002</v>
      </c>
    </row>
    <row r="66" spans="1:6" x14ac:dyDescent="0.25">
      <c r="A66" s="33" t="s">
        <v>628</v>
      </c>
      <c r="B66" s="33" t="s">
        <v>1058</v>
      </c>
      <c r="C66" s="34" t="s">
        <v>1166</v>
      </c>
      <c r="D66" s="29">
        <v>1887.76</v>
      </c>
      <c r="E66" s="30">
        <v>1816.8</v>
      </c>
      <c r="F66" s="31">
        <v>39.680190000000003</v>
      </c>
    </row>
    <row r="67" spans="1:6" x14ac:dyDescent="0.25">
      <c r="A67" s="33" t="s">
        <v>628</v>
      </c>
      <c r="B67" s="33" t="s">
        <v>995</v>
      </c>
      <c r="C67" s="34" t="s">
        <v>1166</v>
      </c>
      <c r="D67" s="29">
        <v>814.81</v>
      </c>
      <c r="E67" s="30">
        <v>805.35</v>
      </c>
      <c r="F67" s="31">
        <v>141.02278079999999</v>
      </c>
    </row>
    <row r="68" spans="1:6" x14ac:dyDescent="0.25">
      <c r="A68" s="33" t="s">
        <v>628</v>
      </c>
      <c r="B68" s="33" t="s">
        <v>1066</v>
      </c>
      <c r="C68" s="34" t="s">
        <v>1166</v>
      </c>
      <c r="D68" s="29">
        <v>1620.98</v>
      </c>
      <c r="E68" s="30">
        <v>1600.1</v>
      </c>
      <c r="F68" s="31">
        <v>93.114736199999996</v>
      </c>
    </row>
    <row r="69" spans="1:6" x14ac:dyDescent="0.25">
      <c r="A69" s="33" t="s">
        <v>628</v>
      </c>
      <c r="B69" s="33" t="s">
        <v>1045</v>
      </c>
      <c r="C69" s="34" t="s">
        <v>1166</v>
      </c>
      <c r="D69" s="29">
        <v>4585.3</v>
      </c>
      <c r="E69" s="30">
        <v>4494.2</v>
      </c>
      <c r="F69" s="31">
        <v>10.739683800000002</v>
      </c>
    </row>
    <row r="70" spans="1:6" x14ac:dyDescent="0.25">
      <c r="A70" s="33" t="s">
        <v>628</v>
      </c>
      <c r="B70" s="33" t="s">
        <v>981</v>
      </c>
      <c r="C70" s="34" t="s">
        <v>1166</v>
      </c>
      <c r="D70" s="29">
        <v>3156.98</v>
      </c>
      <c r="E70" s="30">
        <v>3100.2</v>
      </c>
      <c r="F70" s="31">
        <v>193.61089960000001</v>
      </c>
    </row>
    <row r="71" spans="1:6" x14ac:dyDescent="0.25">
      <c r="A71" s="33" t="s">
        <v>628</v>
      </c>
      <c r="B71" s="33" t="s">
        <v>1053</v>
      </c>
      <c r="C71" s="34" t="s">
        <v>1166</v>
      </c>
      <c r="D71" s="29">
        <v>1090.5999999999999</v>
      </c>
      <c r="E71" s="30">
        <v>1069.5</v>
      </c>
      <c r="F71" s="31">
        <v>32.245387800000003</v>
      </c>
    </row>
    <row r="72" spans="1:6" x14ac:dyDescent="0.25">
      <c r="A72" s="33" t="s">
        <v>628</v>
      </c>
      <c r="B72" s="33" t="s">
        <v>1050</v>
      </c>
      <c r="C72" s="34" t="s">
        <v>1166</v>
      </c>
      <c r="D72" s="29">
        <v>689.7</v>
      </c>
      <c r="E72" s="30">
        <v>672.95</v>
      </c>
      <c r="F72" s="31">
        <v>23.014332000000003</v>
      </c>
    </row>
    <row r="73" spans="1:6" x14ac:dyDescent="0.25">
      <c r="A73" s="33" t="s">
        <v>628</v>
      </c>
      <c r="B73" s="33" t="s">
        <v>1056</v>
      </c>
      <c r="C73" s="34" t="s">
        <v>1166</v>
      </c>
      <c r="D73" s="29">
        <v>161.09</v>
      </c>
      <c r="E73" s="30">
        <v>155.04</v>
      </c>
      <c r="F73" s="31">
        <v>40.695050000000002</v>
      </c>
    </row>
    <row r="74" spans="1:6" x14ac:dyDescent="0.25">
      <c r="A74" s="33" t="s">
        <v>628</v>
      </c>
      <c r="B74" s="33" t="s">
        <v>1042</v>
      </c>
      <c r="C74" s="34" t="s">
        <v>1166</v>
      </c>
      <c r="D74" s="29">
        <v>3599.97</v>
      </c>
      <c r="E74" s="30">
        <v>3648.1</v>
      </c>
      <c r="F74" s="31">
        <v>3.3828033</v>
      </c>
    </row>
    <row r="75" spans="1:6" x14ac:dyDescent="0.25">
      <c r="A75" s="33"/>
      <c r="B75" s="33"/>
      <c r="C75" s="34"/>
      <c r="D75" s="29"/>
      <c r="E75" s="30"/>
      <c r="F75" s="31"/>
    </row>
    <row r="76" spans="1:6" x14ac:dyDescent="0.25">
      <c r="A76" s="33" t="s">
        <v>651</v>
      </c>
      <c r="B76" s="33" t="s">
        <v>1072</v>
      </c>
      <c r="C76" s="34" t="s">
        <v>1166</v>
      </c>
      <c r="D76" s="29">
        <v>1055.8599999999999</v>
      </c>
      <c r="E76" s="30">
        <v>1052.0999999999999</v>
      </c>
      <c r="F76" s="31">
        <v>20.8837692</v>
      </c>
    </row>
    <row r="77" spans="1:6" x14ac:dyDescent="0.25">
      <c r="A77" s="33" t="s">
        <v>651</v>
      </c>
      <c r="B77" s="33" t="s">
        <v>979</v>
      </c>
      <c r="C77" s="34" t="s">
        <v>1166</v>
      </c>
      <c r="D77" s="29">
        <v>1986.1</v>
      </c>
      <c r="E77" s="30">
        <v>1923.6</v>
      </c>
      <c r="F77" s="31">
        <v>259.92099000000002</v>
      </c>
    </row>
    <row r="78" spans="1:6" x14ac:dyDescent="0.25">
      <c r="A78" s="33" t="s">
        <v>651</v>
      </c>
      <c r="B78" s="33" t="s">
        <v>990</v>
      </c>
      <c r="C78" s="34" t="s">
        <v>1166</v>
      </c>
      <c r="D78" s="37">
        <v>241.55</v>
      </c>
      <c r="E78" s="38">
        <v>233.63</v>
      </c>
      <c r="F78" s="31">
        <v>438.95638399999996</v>
      </c>
    </row>
    <row r="79" spans="1:6" x14ac:dyDescent="0.25">
      <c r="A79" s="33" t="s">
        <v>651</v>
      </c>
      <c r="B79" s="33" t="s">
        <v>989</v>
      </c>
      <c r="C79" s="34" t="s">
        <v>1166</v>
      </c>
      <c r="D79" s="29">
        <v>1946.1</v>
      </c>
      <c r="E79" s="30">
        <v>1899.5</v>
      </c>
      <c r="F79" s="31">
        <v>449.27165579999996</v>
      </c>
    </row>
    <row r="80" spans="1:6" x14ac:dyDescent="0.25">
      <c r="A80" s="33" t="s">
        <v>651</v>
      </c>
      <c r="B80" s="33" t="s">
        <v>993</v>
      </c>
      <c r="C80" s="34" t="s">
        <v>1166</v>
      </c>
      <c r="D80" s="29">
        <v>361.47</v>
      </c>
      <c r="E80" s="30">
        <v>349.8</v>
      </c>
      <c r="F80" s="31">
        <v>24.616475000000001</v>
      </c>
    </row>
    <row r="81" spans="1:6" x14ac:dyDescent="0.25">
      <c r="A81" s="33" t="s">
        <v>651</v>
      </c>
      <c r="B81" s="33" t="s">
        <v>1078</v>
      </c>
      <c r="C81" s="34" t="s">
        <v>1166</v>
      </c>
      <c r="D81" s="29">
        <v>5781.1</v>
      </c>
      <c r="E81" s="30">
        <v>5859.5</v>
      </c>
      <c r="F81" s="31">
        <v>53.0069771</v>
      </c>
    </row>
    <row r="82" spans="1:6" x14ac:dyDescent="0.25">
      <c r="A82" s="33" t="s">
        <v>651</v>
      </c>
      <c r="B82" s="33" t="s">
        <v>1052</v>
      </c>
      <c r="C82" s="34" t="s">
        <v>1166</v>
      </c>
      <c r="D82" s="29">
        <v>110.02</v>
      </c>
      <c r="E82" s="30">
        <v>104.22</v>
      </c>
      <c r="F82" s="31">
        <v>414.02792319999998</v>
      </c>
    </row>
    <row r="83" spans="1:6" x14ac:dyDescent="0.25">
      <c r="A83" s="33" t="s">
        <v>651</v>
      </c>
      <c r="B83" s="33" t="s">
        <v>1081</v>
      </c>
      <c r="C83" s="34" t="s">
        <v>1166</v>
      </c>
      <c r="D83" s="29">
        <v>1449.65</v>
      </c>
      <c r="E83" s="30">
        <v>1429.4</v>
      </c>
      <c r="F83" s="31">
        <v>216.85334949999998</v>
      </c>
    </row>
    <row r="84" spans="1:6" x14ac:dyDescent="0.25">
      <c r="A84" s="33" t="s">
        <v>651</v>
      </c>
      <c r="B84" s="33" t="s">
        <v>1060</v>
      </c>
      <c r="C84" s="34" t="s">
        <v>1166</v>
      </c>
      <c r="D84" s="29">
        <v>1609.84</v>
      </c>
      <c r="E84" s="30">
        <v>1595.4</v>
      </c>
      <c r="F84" s="31">
        <v>362.88844340000003</v>
      </c>
    </row>
    <row r="85" spans="1:6" x14ac:dyDescent="0.25">
      <c r="A85" s="33" t="s">
        <v>651</v>
      </c>
      <c r="B85" s="33" t="s">
        <v>1082</v>
      </c>
      <c r="C85" s="34" t="s">
        <v>1166</v>
      </c>
      <c r="D85" s="29">
        <v>321.41000000000003</v>
      </c>
      <c r="E85" s="30">
        <v>315.8</v>
      </c>
      <c r="F85" s="31">
        <v>550.91888640000002</v>
      </c>
    </row>
    <row r="86" spans="1:6" x14ac:dyDescent="0.25">
      <c r="A86" s="33" t="s">
        <v>651</v>
      </c>
      <c r="B86" s="33" t="s">
        <v>1077</v>
      </c>
      <c r="C86" s="34" t="s">
        <v>1166</v>
      </c>
      <c r="D86" s="29">
        <v>173.19</v>
      </c>
      <c r="E86" s="30">
        <v>173.8</v>
      </c>
      <c r="F86" s="31">
        <v>25.772638499999999</v>
      </c>
    </row>
    <row r="87" spans="1:6" x14ac:dyDescent="0.25">
      <c r="A87" s="33" t="s">
        <v>651</v>
      </c>
      <c r="B87" s="33" t="s">
        <v>1063</v>
      </c>
      <c r="C87" s="34" t="s">
        <v>1166</v>
      </c>
      <c r="D87" s="29">
        <v>4500.45</v>
      </c>
      <c r="E87" s="30">
        <v>4357.2</v>
      </c>
      <c r="F87" s="31">
        <v>308.161584</v>
      </c>
    </row>
    <row r="88" spans="1:6" x14ac:dyDescent="0.25">
      <c r="A88" s="33" t="s">
        <v>651</v>
      </c>
      <c r="B88" s="33" t="s">
        <v>1062</v>
      </c>
      <c r="C88" s="34" t="s">
        <v>1166</v>
      </c>
      <c r="D88" s="29">
        <v>2634.6</v>
      </c>
      <c r="E88" s="30">
        <v>2675.8</v>
      </c>
      <c r="F88" s="31">
        <v>53.847102</v>
      </c>
    </row>
    <row r="89" spans="1:6" x14ac:dyDescent="0.25">
      <c r="A89" s="33" t="s">
        <v>651</v>
      </c>
      <c r="B89" s="33" t="s">
        <v>997</v>
      </c>
      <c r="C89" s="34" t="s">
        <v>1166</v>
      </c>
      <c r="D89" s="29">
        <v>1434.13</v>
      </c>
      <c r="E89" s="30">
        <v>1406.3</v>
      </c>
      <c r="F89" s="31">
        <v>420.50246700000002</v>
      </c>
    </row>
    <row r="90" spans="1:6" x14ac:dyDescent="0.25">
      <c r="A90" s="33" t="s">
        <v>651</v>
      </c>
      <c r="B90" s="33" t="s">
        <v>1061</v>
      </c>
      <c r="C90" s="34" t="s">
        <v>1166</v>
      </c>
      <c r="D90" s="29">
        <v>756.56</v>
      </c>
      <c r="E90" s="30">
        <v>743.25</v>
      </c>
      <c r="F90" s="31">
        <v>76.166609100000002</v>
      </c>
    </row>
    <row r="91" spans="1:6" x14ac:dyDescent="0.25">
      <c r="A91" s="33" t="s">
        <v>651</v>
      </c>
      <c r="B91" s="33" t="s">
        <v>1079</v>
      </c>
      <c r="C91" s="34" t="s">
        <v>1166</v>
      </c>
      <c r="D91" s="29">
        <v>1542.3</v>
      </c>
      <c r="E91" s="30">
        <v>1475.7</v>
      </c>
      <c r="F91" s="31">
        <v>70.961944000000003</v>
      </c>
    </row>
    <row r="92" spans="1:6" x14ac:dyDescent="0.25">
      <c r="A92" s="33" t="s">
        <v>651</v>
      </c>
      <c r="B92" s="33" t="s">
        <v>987</v>
      </c>
      <c r="C92" s="34" t="s">
        <v>1166</v>
      </c>
      <c r="D92" s="29">
        <v>2003.89</v>
      </c>
      <c r="E92" s="30">
        <v>1972</v>
      </c>
      <c r="F92" s="31">
        <v>385.71695999999997</v>
      </c>
    </row>
    <row r="93" spans="1:6" x14ac:dyDescent="0.25">
      <c r="A93" s="33" t="s">
        <v>651</v>
      </c>
      <c r="B93" s="33" t="s">
        <v>1051</v>
      </c>
      <c r="C93" s="34" t="s">
        <v>1166</v>
      </c>
      <c r="D93" s="29">
        <v>3322.5</v>
      </c>
      <c r="E93" s="30">
        <v>3217.6</v>
      </c>
      <c r="F93" s="31">
        <v>31.021431999999997</v>
      </c>
    </row>
    <row r="94" spans="1:6" x14ac:dyDescent="0.25">
      <c r="A94" s="33" t="s">
        <v>651</v>
      </c>
      <c r="B94" s="33" t="s">
        <v>998</v>
      </c>
      <c r="C94" s="34" t="s">
        <v>1166</v>
      </c>
      <c r="D94" s="29">
        <v>7848.52</v>
      </c>
      <c r="E94" s="30">
        <v>7438.5</v>
      </c>
      <c r="F94" s="31">
        <v>218.4040086</v>
      </c>
    </row>
    <row r="95" spans="1:6" x14ac:dyDescent="0.25">
      <c r="A95" s="33" t="s">
        <v>651</v>
      </c>
      <c r="B95" s="33" t="s">
        <v>1080</v>
      </c>
      <c r="C95" s="34" t="s">
        <v>1166</v>
      </c>
      <c r="D95" s="29">
        <v>1798.22</v>
      </c>
      <c r="E95" s="30">
        <v>1783.1</v>
      </c>
      <c r="F95" s="31">
        <v>139.0708515</v>
      </c>
    </row>
    <row r="96" spans="1:6" x14ac:dyDescent="0.25">
      <c r="A96" s="33" t="s">
        <v>651</v>
      </c>
      <c r="B96" s="33" t="s">
        <v>994</v>
      </c>
      <c r="C96" s="34" t="s">
        <v>1166</v>
      </c>
      <c r="D96" s="29">
        <v>1422.42</v>
      </c>
      <c r="E96" s="30">
        <v>1364.4</v>
      </c>
      <c r="F96" s="31">
        <v>387.98424</v>
      </c>
    </row>
    <row r="97" spans="1:6" x14ac:dyDescent="0.25">
      <c r="A97" s="33" t="s">
        <v>651</v>
      </c>
      <c r="B97" s="33" t="s">
        <v>981</v>
      </c>
      <c r="C97" s="34" t="s">
        <v>1166</v>
      </c>
      <c r="D97" s="29">
        <v>3153.33</v>
      </c>
      <c r="E97" s="30">
        <v>3100.2</v>
      </c>
      <c r="F97" s="31">
        <v>240.57591980000001</v>
      </c>
    </row>
    <row r="98" spans="1:6" x14ac:dyDescent="0.25">
      <c r="A98" s="33"/>
      <c r="B98" s="33"/>
      <c r="C98" s="34"/>
      <c r="D98" s="29"/>
      <c r="E98" s="30"/>
      <c r="F98" s="31"/>
    </row>
    <row r="99" spans="1:6" x14ac:dyDescent="0.25">
      <c r="A99" s="33" t="s">
        <v>696</v>
      </c>
      <c r="B99" s="33" t="s">
        <v>1068</v>
      </c>
      <c r="C99" s="34" t="s">
        <v>1166</v>
      </c>
      <c r="D99" s="29">
        <v>2277.4</v>
      </c>
      <c r="E99" s="30">
        <v>2259.3000000000002</v>
      </c>
      <c r="F99" s="31">
        <v>75.489812999999998</v>
      </c>
    </row>
    <row r="100" spans="1:6" x14ac:dyDescent="0.25">
      <c r="A100" s="33" t="s">
        <v>696</v>
      </c>
      <c r="B100" s="33" t="s">
        <v>1102</v>
      </c>
      <c r="C100" s="34" t="s">
        <v>1166</v>
      </c>
      <c r="D100" s="29">
        <v>1082.25</v>
      </c>
      <c r="E100" s="30">
        <v>1034.5999999999999</v>
      </c>
      <c r="F100" s="31">
        <v>103.9675725</v>
      </c>
    </row>
    <row r="101" spans="1:6" x14ac:dyDescent="0.25">
      <c r="A101" s="33" t="s">
        <v>696</v>
      </c>
      <c r="B101" s="33" t="s">
        <v>1072</v>
      </c>
      <c r="C101" s="34" t="s">
        <v>1166</v>
      </c>
      <c r="D101" s="29">
        <v>1080.2</v>
      </c>
      <c r="E101" s="30">
        <v>1052.0999999999999</v>
      </c>
      <c r="F101" s="31">
        <v>421.15601219999996</v>
      </c>
    </row>
    <row r="102" spans="1:6" x14ac:dyDescent="0.25">
      <c r="A102" s="33" t="s">
        <v>696</v>
      </c>
      <c r="B102" s="33" t="s">
        <v>979</v>
      </c>
      <c r="C102" s="34" t="s">
        <v>1166</v>
      </c>
      <c r="D102" s="29">
        <v>1955.2</v>
      </c>
      <c r="E102" s="30">
        <v>1923.6</v>
      </c>
      <c r="F102" s="31">
        <v>20.385960000000001</v>
      </c>
    </row>
    <row r="103" spans="1:6" x14ac:dyDescent="0.25">
      <c r="A103" s="33" t="s">
        <v>696</v>
      </c>
      <c r="B103" s="33" t="s">
        <v>990</v>
      </c>
      <c r="C103" s="34" t="s">
        <v>1166</v>
      </c>
      <c r="D103" s="29">
        <v>242.72</v>
      </c>
      <c r="E103" s="30">
        <v>233.63</v>
      </c>
      <c r="F103" s="31">
        <v>190.67167929999999</v>
      </c>
    </row>
    <row r="104" spans="1:6" x14ac:dyDescent="0.25">
      <c r="A104" s="33" t="s">
        <v>696</v>
      </c>
      <c r="B104" s="33" t="s">
        <v>989</v>
      </c>
      <c r="C104" s="34" t="s">
        <v>1166</v>
      </c>
      <c r="D104" s="29">
        <v>1946.48</v>
      </c>
      <c r="E104" s="30">
        <v>1899.5</v>
      </c>
      <c r="F104" s="31">
        <v>1400.3893100999999</v>
      </c>
    </row>
    <row r="105" spans="1:6" x14ac:dyDescent="0.25">
      <c r="A105" s="33" t="s">
        <v>696</v>
      </c>
      <c r="B105" s="33" t="s">
        <v>996</v>
      </c>
      <c r="C105" s="34" t="s">
        <v>1166</v>
      </c>
      <c r="D105" s="29">
        <v>964.09</v>
      </c>
      <c r="E105" s="30">
        <v>958.1</v>
      </c>
      <c r="F105" s="31">
        <v>102.25921750000001</v>
      </c>
    </row>
    <row r="106" spans="1:6" x14ac:dyDescent="0.25">
      <c r="A106" s="33" t="s">
        <v>696</v>
      </c>
      <c r="B106" s="33" t="s">
        <v>1103</v>
      </c>
      <c r="C106" s="34" t="s">
        <v>1166</v>
      </c>
      <c r="D106" s="29">
        <v>801.13</v>
      </c>
      <c r="E106" s="30">
        <v>776.15</v>
      </c>
      <c r="F106" s="31">
        <v>107.0635838</v>
      </c>
    </row>
    <row r="107" spans="1:6" x14ac:dyDescent="0.25">
      <c r="A107" s="33" t="s">
        <v>696</v>
      </c>
      <c r="B107" s="33" t="s">
        <v>1067</v>
      </c>
      <c r="C107" s="34" t="s">
        <v>1166</v>
      </c>
      <c r="D107" s="37">
        <v>718.9</v>
      </c>
      <c r="E107" s="38">
        <v>706.55</v>
      </c>
      <c r="F107" s="31">
        <v>201.09039650000003</v>
      </c>
    </row>
    <row r="108" spans="1:6" x14ac:dyDescent="0.25">
      <c r="A108" s="33" t="s">
        <v>696</v>
      </c>
      <c r="B108" s="33" t="s">
        <v>1062</v>
      </c>
      <c r="C108" s="34" t="s">
        <v>1166</v>
      </c>
      <c r="D108" s="29">
        <v>2647.76</v>
      </c>
      <c r="E108" s="30">
        <v>2675.8</v>
      </c>
      <c r="F108" s="31">
        <v>148.78804500000001</v>
      </c>
    </row>
    <row r="109" spans="1:6" x14ac:dyDescent="0.25">
      <c r="A109" s="33" t="s">
        <v>696</v>
      </c>
      <c r="B109" s="33" t="s">
        <v>997</v>
      </c>
      <c r="C109" s="34" t="s">
        <v>1166</v>
      </c>
      <c r="D109" s="29">
        <v>1440.34</v>
      </c>
      <c r="E109" s="30">
        <v>1406.3</v>
      </c>
      <c r="F109" s="31">
        <v>625.54085999999995</v>
      </c>
    </row>
    <row r="110" spans="1:6" x14ac:dyDescent="0.25">
      <c r="A110" s="33" t="s">
        <v>696</v>
      </c>
      <c r="B110" s="33" t="s">
        <v>1079</v>
      </c>
      <c r="C110" s="34" t="s">
        <v>1166</v>
      </c>
      <c r="D110" s="29">
        <v>1541.31</v>
      </c>
      <c r="E110" s="30">
        <v>1475.7</v>
      </c>
      <c r="F110" s="31">
        <v>795.1911960000001</v>
      </c>
    </row>
    <row r="111" spans="1:6" x14ac:dyDescent="0.25">
      <c r="A111" s="33" t="s">
        <v>696</v>
      </c>
      <c r="B111" s="33" t="s">
        <v>1073</v>
      </c>
      <c r="C111" s="34" t="s">
        <v>1166</v>
      </c>
      <c r="D111" s="29">
        <v>402.85</v>
      </c>
      <c r="E111" s="30">
        <v>411.15</v>
      </c>
      <c r="F111" s="31">
        <v>207.135752</v>
      </c>
    </row>
    <row r="112" spans="1:6" x14ac:dyDescent="0.25">
      <c r="A112" s="33" t="s">
        <v>696</v>
      </c>
      <c r="B112" s="33" t="s">
        <v>1104</v>
      </c>
      <c r="C112" s="34" t="s">
        <v>1166</v>
      </c>
      <c r="D112" s="29">
        <v>1067.6600000000001</v>
      </c>
      <c r="E112" s="30">
        <v>1033.4000000000001</v>
      </c>
      <c r="F112" s="31">
        <v>162.45514560000001</v>
      </c>
    </row>
    <row r="113" spans="1:6" x14ac:dyDescent="0.25">
      <c r="A113" s="33" t="s">
        <v>696</v>
      </c>
      <c r="B113" s="33" t="s">
        <v>987</v>
      </c>
      <c r="C113" s="34" t="s">
        <v>1166</v>
      </c>
      <c r="D113" s="29">
        <v>1967.17</v>
      </c>
      <c r="E113" s="30">
        <v>1972</v>
      </c>
      <c r="F113" s="31">
        <v>146.21039999999999</v>
      </c>
    </row>
    <row r="114" spans="1:6" x14ac:dyDescent="0.25">
      <c r="A114" s="33" t="s">
        <v>696</v>
      </c>
      <c r="B114" s="33" t="s">
        <v>1069</v>
      </c>
      <c r="C114" s="34" t="s">
        <v>1166</v>
      </c>
      <c r="D114" s="29">
        <v>3617.71</v>
      </c>
      <c r="E114" s="30">
        <v>3618.6</v>
      </c>
      <c r="F114" s="31">
        <v>201.39557399999998</v>
      </c>
    </row>
    <row r="115" spans="1:6" x14ac:dyDescent="0.25">
      <c r="A115" s="33" t="s">
        <v>696</v>
      </c>
      <c r="B115" s="33" t="s">
        <v>1099</v>
      </c>
      <c r="C115" s="34" t="s">
        <v>1166</v>
      </c>
      <c r="D115" s="29">
        <v>1935.92</v>
      </c>
      <c r="E115" s="30">
        <v>1907.1</v>
      </c>
      <c r="F115" s="31">
        <v>26.569864799999994</v>
      </c>
    </row>
    <row r="116" spans="1:6" x14ac:dyDescent="0.25">
      <c r="A116" s="33" t="s">
        <v>696</v>
      </c>
      <c r="B116" s="33" t="s">
        <v>1051</v>
      </c>
      <c r="C116" s="34" t="s">
        <v>1166</v>
      </c>
      <c r="D116" s="29">
        <v>3389.49</v>
      </c>
      <c r="E116" s="30">
        <v>3217.6</v>
      </c>
      <c r="F116" s="31">
        <v>50.111543999999995</v>
      </c>
    </row>
    <row r="117" spans="1:6" x14ac:dyDescent="0.25">
      <c r="A117" s="33" t="s">
        <v>696</v>
      </c>
      <c r="B117" s="33" t="s">
        <v>1043</v>
      </c>
      <c r="C117" s="34" t="s">
        <v>1166</v>
      </c>
      <c r="D117" s="29">
        <v>337.36</v>
      </c>
      <c r="E117" s="30">
        <v>326.25</v>
      </c>
      <c r="F117" s="31">
        <v>103.63487470000001</v>
      </c>
    </row>
    <row r="118" spans="1:6" x14ac:dyDescent="0.25">
      <c r="A118" s="33" t="s">
        <v>696</v>
      </c>
      <c r="B118" s="33" t="s">
        <v>994</v>
      </c>
      <c r="C118" s="34" t="s">
        <v>1166</v>
      </c>
      <c r="D118" s="29">
        <v>1424.2</v>
      </c>
      <c r="E118" s="30">
        <v>1364.4</v>
      </c>
      <c r="F118" s="31">
        <v>1126.6002000000001</v>
      </c>
    </row>
    <row r="119" spans="1:6" x14ac:dyDescent="0.25">
      <c r="A119" s="33" t="s">
        <v>696</v>
      </c>
      <c r="B119" s="33" t="s">
        <v>1058</v>
      </c>
      <c r="C119" s="34" t="s">
        <v>1166</v>
      </c>
      <c r="D119" s="29">
        <v>1888.08</v>
      </c>
      <c r="E119" s="30">
        <v>1816.8</v>
      </c>
      <c r="F119" s="31">
        <v>16.834019999999999</v>
      </c>
    </row>
    <row r="120" spans="1:6" x14ac:dyDescent="0.25">
      <c r="A120" s="33" t="s">
        <v>696</v>
      </c>
      <c r="B120" s="33" t="s">
        <v>995</v>
      </c>
      <c r="C120" s="34" t="s">
        <v>1166</v>
      </c>
      <c r="D120" s="29">
        <v>822.55</v>
      </c>
      <c r="E120" s="30">
        <v>805.35</v>
      </c>
      <c r="F120" s="31">
        <v>508.53669439999999</v>
      </c>
    </row>
    <row r="121" spans="1:6" x14ac:dyDescent="0.25">
      <c r="A121" s="33" t="s">
        <v>696</v>
      </c>
      <c r="B121" s="33" t="s">
        <v>981</v>
      </c>
      <c r="C121" s="34" t="s">
        <v>1166</v>
      </c>
      <c r="D121" s="29">
        <v>3165.8</v>
      </c>
      <c r="E121" s="30">
        <v>3100.2</v>
      </c>
      <c r="F121" s="31">
        <v>24.9202148</v>
      </c>
    </row>
    <row r="122" spans="1:6" x14ac:dyDescent="0.25">
      <c r="A122" s="33" t="s">
        <v>696</v>
      </c>
      <c r="B122" s="33" t="s">
        <v>1050</v>
      </c>
      <c r="C122" s="34" t="s">
        <v>1166</v>
      </c>
      <c r="D122" s="29">
        <v>685.55</v>
      </c>
      <c r="E122" s="30">
        <v>672.95</v>
      </c>
      <c r="F122" s="31">
        <v>36.613709999999998</v>
      </c>
    </row>
    <row r="123" spans="1:6" x14ac:dyDescent="0.25">
      <c r="A123" s="33" t="s">
        <v>696</v>
      </c>
      <c r="B123" s="33" t="s">
        <v>1101</v>
      </c>
      <c r="C123" s="34" t="s">
        <v>1166</v>
      </c>
      <c r="D123" s="29">
        <v>3271.5</v>
      </c>
      <c r="E123" s="30">
        <v>3294.3</v>
      </c>
      <c r="F123" s="31">
        <v>53.852936799999995</v>
      </c>
    </row>
    <row r="124" spans="1:6" x14ac:dyDescent="0.25">
      <c r="A124" s="33" t="s">
        <v>696</v>
      </c>
      <c r="B124" s="33" t="s">
        <v>1100</v>
      </c>
      <c r="C124" s="34" t="s">
        <v>1166</v>
      </c>
      <c r="D124" s="29">
        <v>1309.71</v>
      </c>
      <c r="E124" s="30">
        <v>1316.1</v>
      </c>
      <c r="F124" s="31">
        <v>42.821123999999998</v>
      </c>
    </row>
    <row r="125" spans="1:6" x14ac:dyDescent="0.25">
      <c r="A125" s="33"/>
      <c r="B125" s="33"/>
      <c r="C125" s="34"/>
      <c r="D125" s="29"/>
      <c r="E125" s="30"/>
      <c r="F125" s="31"/>
    </row>
    <row r="126" spans="1:6" x14ac:dyDescent="0.25">
      <c r="A126" s="33" t="s">
        <v>839</v>
      </c>
      <c r="B126" s="33" t="s">
        <v>1133</v>
      </c>
      <c r="C126" s="34" t="s">
        <v>1166</v>
      </c>
      <c r="D126" s="29">
        <v>5466</v>
      </c>
      <c r="E126" s="30">
        <v>5337.5</v>
      </c>
      <c r="F126" s="31">
        <v>80.0625608</v>
      </c>
    </row>
    <row r="127" spans="1:6" x14ac:dyDescent="0.25">
      <c r="A127" s="33" t="s">
        <v>839</v>
      </c>
      <c r="B127" s="33" t="s">
        <v>1072</v>
      </c>
      <c r="C127" s="34" t="s">
        <v>1166</v>
      </c>
      <c r="D127" s="29">
        <v>1081.22</v>
      </c>
      <c r="E127" s="30">
        <v>1052.0999999999999</v>
      </c>
      <c r="F127" s="31">
        <v>812.14657999999997</v>
      </c>
    </row>
    <row r="128" spans="1:6" x14ac:dyDescent="0.25">
      <c r="A128" s="33" t="s">
        <v>839</v>
      </c>
      <c r="B128" s="33" t="s">
        <v>989</v>
      </c>
      <c r="C128" s="34" t="s">
        <v>1166</v>
      </c>
      <c r="D128" s="29">
        <v>1944.69</v>
      </c>
      <c r="E128" s="30">
        <v>1899.5</v>
      </c>
      <c r="F128" s="31">
        <v>310.66657050000003</v>
      </c>
    </row>
    <row r="129" spans="1:6" x14ac:dyDescent="0.25">
      <c r="A129" s="33" t="s">
        <v>839</v>
      </c>
      <c r="B129" s="33" t="s">
        <v>983</v>
      </c>
      <c r="C129" s="34" t="s">
        <v>1166</v>
      </c>
      <c r="D129" s="29">
        <v>2819.31</v>
      </c>
      <c r="E129" s="30">
        <v>2787.4</v>
      </c>
      <c r="F129" s="31">
        <v>32.028035000000003</v>
      </c>
    </row>
    <row r="130" spans="1:6" x14ac:dyDescent="0.25">
      <c r="A130" s="33" t="s">
        <v>839</v>
      </c>
      <c r="B130" s="33" t="s">
        <v>1063</v>
      </c>
      <c r="C130" s="34" t="s">
        <v>1166</v>
      </c>
      <c r="D130" s="29">
        <v>4510.29</v>
      </c>
      <c r="E130" s="30">
        <v>4357.2</v>
      </c>
      <c r="F130" s="31">
        <v>53.530415999999995</v>
      </c>
    </row>
    <row r="131" spans="1:6" x14ac:dyDescent="0.25">
      <c r="A131" s="33" t="s">
        <v>839</v>
      </c>
      <c r="B131" s="33" t="s">
        <v>1134</v>
      </c>
      <c r="C131" s="34" t="s">
        <v>1166</v>
      </c>
      <c r="D131" s="29">
        <v>391.27</v>
      </c>
      <c r="E131" s="30">
        <v>378.05</v>
      </c>
      <c r="F131" s="31">
        <v>121.57865339999999</v>
      </c>
    </row>
    <row r="132" spans="1:6" x14ac:dyDescent="0.25">
      <c r="A132" s="33" t="s">
        <v>839</v>
      </c>
      <c r="B132" s="33" t="s">
        <v>1132</v>
      </c>
      <c r="C132" s="34" t="s">
        <v>1166</v>
      </c>
      <c r="D132" s="29">
        <v>141.18</v>
      </c>
      <c r="E132" s="30">
        <v>137.51</v>
      </c>
      <c r="F132" s="31">
        <v>19.7128224</v>
      </c>
    </row>
    <row r="133" spans="1:6" x14ac:dyDescent="0.25">
      <c r="A133" s="33" t="s">
        <v>839</v>
      </c>
      <c r="B133" s="33" t="s">
        <v>1079</v>
      </c>
      <c r="C133" s="34" t="s">
        <v>1166</v>
      </c>
      <c r="D133" s="29">
        <v>1541.4</v>
      </c>
      <c r="E133" s="30">
        <v>1475.7</v>
      </c>
      <c r="F133" s="31">
        <v>565.60843599999998</v>
      </c>
    </row>
    <row r="134" spans="1:6" x14ac:dyDescent="0.25">
      <c r="A134" s="33" t="s">
        <v>839</v>
      </c>
      <c r="B134" s="33" t="s">
        <v>1069</v>
      </c>
      <c r="C134" s="34" t="s">
        <v>1166</v>
      </c>
      <c r="D134" s="29">
        <v>3606.32</v>
      </c>
      <c r="E134" s="30">
        <v>3618.6</v>
      </c>
      <c r="F134" s="31">
        <v>323.3517827</v>
      </c>
    </row>
    <row r="135" spans="1:6" x14ac:dyDescent="0.25">
      <c r="A135" s="33" t="s">
        <v>839</v>
      </c>
      <c r="B135" s="33" t="s">
        <v>1051</v>
      </c>
      <c r="C135" s="34" t="s">
        <v>1166</v>
      </c>
      <c r="D135" s="29">
        <v>3412.45</v>
      </c>
      <c r="E135" s="30">
        <v>3217.6</v>
      </c>
      <c r="F135" s="31">
        <v>731.38991599999997</v>
      </c>
    </row>
    <row r="136" spans="1:6" x14ac:dyDescent="0.25">
      <c r="A136" s="33" t="s">
        <v>839</v>
      </c>
      <c r="B136" s="33" t="s">
        <v>1131</v>
      </c>
      <c r="C136" s="34" t="s">
        <v>1166</v>
      </c>
      <c r="D136" s="29">
        <v>236.28</v>
      </c>
      <c r="E136" s="30">
        <v>233.02</v>
      </c>
      <c r="F136" s="31">
        <v>10.879036300000001</v>
      </c>
    </row>
    <row r="137" spans="1:6" x14ac:dyDescent="0.25">
      <c r="A137" s="33" t="s">
        <v>839</v>
      </c>
      <c r="B137" s="33" t="s">
        <v>1050</v>
      </c>
      <c r="C137" s="34" t="s">
        <v>1166</v>
      </c>
      <c r="D137" s="29">
        <v>691.65</v>
      </c>
      <c r="E137" s="30">
        <v>672.95</v>
      </c>
      <c r="F137" s="31">
        <v>73.227419999999995</v>
      </c>
    </row>
    <row r="138" spans="1:6" x14ac:dyDescent="0.25">
      <c r="A138" s="33" t="s">
        <v>839</v>
      </c>
      <c r="B138" s="33" t="s">
        <v>1101</v>
      </c>
      <c r="C138" s="34" t="s">
        <v>1166</v>
      </c>
      <c r="D138" s="29">
        <v>3284.61</v>
      </c>
      <c r="E138" s="30">
        <v>3294.3</v>
      </c>
      <c r="F138" s="31">
        <v>136.70360879999998</v>
      </c>
    </row>
    <row r="139" spans="1:6" x14ac:dyDescent="0.25">
      <c r="A139" s="33" t="s">
        <v>839</v>
      </c>
      <c r="B139" s="33" t="s">
        <v>1135</v>
      </c>
      <c r="C139" s="34" t="s">
        <v>1166</v>
      </c>
      <c r="D139" s="29">
        <v>12711</v>
      </c>
      <c r="E139" s="30">
        <v>12686</v>
      </c>
      <c r="F139" s="31">
        <v>194.07659000000001</v>
      </c>
    </row>
    <row r="140" spans="1:6" x14ac:dyDescent="0.25">
      <c r="F140" s="32"/>
    </row>
    <row r="141" spans="1:6" x14ac:dyDescent="0.25">
      <c r="A141" s="24" t="s">
        <v>1167</v>
      </c>
      <c r="D141" s="39"/>
      <c r="E141" s="39"/>
      <c r="F141" s="39"/>
    </row>
    <row r="143" spans="1:6" x14ac:dyDescent="0.25">
      <c r="A143" s="40" t="s">
        <v>1160</v>
      </c>
      <c r="B143" s="40" t="s">
        <v>1168</v>
      </c>
    </row>
    <row r="144" spans="1:6" x14ac:dyDescent="0.25">
      <c r="A144" s="33" t="s">
        <v>502</v>
      </c>
      <c r="B144" s="41">
        <v>4.6868639999999999</v>
      </c>
    </row>
    <row r="145" spans="1:11" x14ac:dyDescent="0.25">
      <c r="A145" s="33" t="s">
        <v>628</v>
      </c>
      <c r="B145" s="41">
        <v>69.999567999999996</v>
      </c>
    </row>
    <row r="146" spans="1:11" x14ac:dyDescent="0.25">
      <c r="A146" s="42" t="s">
        <v>651</v>
      </c>
      <c r="B146" s="41">
        <v>15.933099</v>
      </c>
    </row>
    <row r="147" spans="1:11" x14ac:dyDescent="0.25">
      <c r="A147" s="42" t="s">
        <v>696</v>
      </c>
      <c r="B147" s="41">
        <v>33.873673999999994</v>
      </c>
    </row>
    <row r="148" spans="1:11" x14ac:dyDescent="0.25">
      <c r="A148" s="42" t="s">
        <v>839</v>
      </c>
      <c r="B148" s="41">
        <v>7.1768699999999992</v>
      </c>
    </row>
    <row r="150" spans="1:11" x14ac:dyDescent="0.25">
      <c r="A150" s="24" t="s">
        <v>1169</v>
      </c>
    </row>
    <row r="151" spans="1:11" x14ac:dyDescent="0.25">
      <c r="A151" s="24"/>
    </row>
    <row r="152" spans="1:11" ht="67.5" x14ac:dyDescent="0.25">
      <c r="A152" s="35" t="s">
        <v>1160</v>
      </c>
      <c r="B152" s="36" t="s">
        <v>1170</v>
      </c>
      <c r="C152" s="36" t="s">
        <v>1171</v>
      </c>
      <c r="D152" s="36" t="s">
        <v>1172</v>
      </c>
      <c r="E152" s="36" t="s">
        <v>1173</v>
      </c>
      <c r="F152" s="36" t="s">
        <v>1174</v>
      </c>
    </row>
    <row r="153" spans="1:11" x14ac:dyDescent="0.25">
      <c r="A153" s="33" t="s">
        <v>182</v>
      </c>
      <c r="B153" s="43">
        <v>1100</v>
      </c>
      <c r="C153" s="43">
        <v>1100</v>
      </c>
      <c r="D153" s="44">
        <v>5527.46</v>
      </c>
      <c r="E153" s="44">
        <v>5542.56</v>
      </c>
      <c r="F153" s="44">
        <v>15.100000000000364</v>
      </c>
      <c r="G153" s="45"/>
      <c r="H153" s="46"/>
      <c r="I153" s="47"/>
      <c r="J153" s="47"/>
      <c r="K153" s="47"/>
    </row>
    <row r="154" spans="1:11" x14ac:dyDescent="0.25">
      <c r="A154" s="33" t="s">
        <v>907</v>
      </c>
      <c r="B154" s="43">
        <v>1369</v>
      </c>
      <c r="C154" s="43">
        <v>1369</v>
      </c>
      <c r="D154" s="44">
        <v>9729.02</v>
      </c>
      <c r="E154" s="44">
        <v>8887.89</v>
      </c>
      <c r="F154" s="44">
        <v>-841.13000000000102</v>
      </c>
      <c r="G154" s="45"/>
      <c r="H154" s="46"/>
      <c r="I154" s="47"/>
      <c r="J154" s="47"/>
      <c r="K154" s="47"/>
    </row>
    <row r="155" spans="1:11" x14ac:dyDescent="0.25">
      <c r="A155" s="33" t="s">
        <v>502</v>
      </c>
      <c r="B155" s="43">
        <v>14151</v>
      </c>
      <c r="C155" s="43">
        <v>14151</v>
      </c>
      <c r="D155" s="44">
        <v>117021.91</v>
      </c>
      <c r="E155" s="44">
        <v>117994.02</v>
      </c>
      <c r="F155" s="44">
        <v>972.11000000000058</v>
      </c>
      <c r="G155" s="45"/>
      <c r="H155" s="46"/>
      <c r="I155" s="47"/>
      <c r="J155" s="47"/>
      <c r="K155" s="47"/>
    </row>
    <row r="156" spans="1:11" x14ac:dyDescent="0.25">
      <c r="A156" s="33" t="s">
        <v>628</v>
      </c>
      <c r="B156" s="43">
        <v>13879</v>
      </c>
      <c r="C156" s="43">
        <v>13879</v>
      </c>
      <c r="D156" s="44">
        <v>95570.53</v>
      </c>
      <c r="E156" s="44">
        <v>94930.559999999998</v>
      </c>
      <c r="F156" s="44">
        <v>-670.42682500000114</v>
      </c>
      <c r="G156" s="45"/>
      <c r="H156" s="46"/>
      <c r="I156" s="47"/>
      <c r="J156" s="47"/>
      <c r="K156" s="47"/>
    </row>
    <row r="157" spans="1:11" x14ac:dyDescent="0.25">
      <c r="A157" s="33" t="s">
        <v>651</v>
      </c>
      <c r="B157" s="43">
        <v>16107</v>
      </c>
      <c r="C157" s="43">
        <v>16107</v>
      </c>
      <c r="D157" s="44">
        <v>120464.64</v>
      </c>
      <c r="E157" s="44">
        <v>120202.98</v>
      </c>
      <c r="F157" s="44">
        <v>-416.00752500000351</v>
      </c>
      <c r="G157" s="45"/>
      <c r="H157" s="46"/>
      <c r="I157" s="47"/>
      <c r="J157" s="47"/>
      <c r="K157" s="47"/>
    </row>
    <row r="158" spans="1:11" x14ac:dyDescent="0.25">
      <c r="A158" s="33" t="s">
        <v>696</v>
      </c>
      <c r="B158" s="43">
        <v>26900.2</v>
      </c>
      <c r="C158" s="43">
        <v>26900.2</v>
      </c>
      <c r="D158" s="44">
        <v>191881.2</v>
      </c>
      <c r="E158" s="44">
        <v>190559.51</v>
      </c>
      <c r="F158" s="44">
        <v>-1355.6390125000023</v>
      </c>
      <c r="G158" s="45"/>
      <c r="H158" s="46"/>
      <c r="I158" s="47"/>
      <c r="J158" s="47"/>
      <c r="K158" s="47"/>
    </row>
    <row r="159" spans="1:11" x14ac:dyDescent="0.25">
      <c r="A159" s="33" t="s">
        <v>839</v>
      </c>
      <c r="B159" s="43">
        <v>16512</v>
      </c>
      <c r="C159" s="43">
        <v>16512</v>
      </c>
      <c r="D159" s="44">
        <v>108593.76</v>
      </c>
      <c r="E159" s="44">
        <v>107026.8</v>
      </c>
      <c r="F159" s="44">
        <v>-1594.0523749999918</v>
      </c>
      <c r="G159" s="45"/>
      <c r="H159" s="46"/>
      <c r="I159" s="47"/>
      <c r="J159" s="47"/>
      <c r="K159" s="47"/>
    </row>
    <row r="160" spans="1:11" x14ac:dyDescent="0.25">
      <c r="A160" s="33" t="s">
        <v>1175</v>
      </c>
      <c r="B160" s="43">
        <v>1732</v>
      </c>
      <c r="C160" s="43">
        <v>1732</v>
      </c>
      <c r="D160" s="44">
        <v>14918.9</v>
      </c>
      <c r="E160" s="44">
        <v>15250.73</v>
      </c>
      <c r="F160" s="44">
        <v>331.82999999999993</v>
      </c>
      <c r="G160" s="45"/>
      <c r="H160" s="46"/>
      <c r="I160" s="47"/>
      <c r="J160" s="47"/>
      <c r="K160" s="47"/>
    </row>
    <row r="161" spans="1:11" x14ac:dyDescent="0.25">
      <c r="A161" s="33"/>
      <c r="B161" s="43"/>
      <c r="C161" s="43"/>
      <c r="D161" s="44"/>
      <c r="E161" s="44"/>
      <c r="F161" s="44"/>
      <c r="G161" s="45"/>
      <c r="H161" s="46"/>
      <c r="I161" s="47"/>
      <c r="J161" s="47"/>
      <c r="K161" s="47"/>
    </row>
    <row r="162" spans="1:11" x14ac:dyDescent="0.25">
      <c r="A162" s="48"/>
      <c r="B162" s="49"/>
      <c r="F162" s="50"/>
    </row>
    <row r="163" spans="1:11" x14ac:dyDescent="0.25">
      <c r="A163" s="24" t="s">
        <v>1176</v>
      </c>
      <c r="B163" s="49"/>
    </row>
    <row r="164" spans="1:11" x14ac:dyDescent="0.25">
      <c r="A164" s="48"/>
      <c r="B164" s="49"/>
    </row>
    <row r="165" spans="1:11" x14ac:dyDescent="0.25">
      <c r="A165" s="24" t="s">
        <v>1177</v>
      </c>
    </row>
    <row r="166" spans="1:11" x14ac:dyDescent="0.25">
      <c r="A166" s="24"/>
    </row>
    <row r="167" spans="1:11" ht="54" x14ac:dyDescent="0.25">
      <c r="A167" s="35" t="s">
        <v>1160</v>
      </c>
      <c r="B167" s="36" t="s">
        <v>1170</v>
      </c>
      <c r="C167" s="36" t="s">
        <v>1171</v>
      </c>
      <c r="D167" s="36" t="s">
        <v>1172</v>
      </c>
      <c r="E167" s="36" t="s">
        <v>1178</v>
      </c>
      <c r="F167" s="36" t="s">
        <v>1179</v>
      </c>
      <c r="G167" s="45"/>
      <c r="H167" s="46">
        <v>0</v>
      </c>
    </row>
    <row r="168" spans="1:11" x14ac:dyDescent="0.25">
      <c r="A168" s="51" t="s">
        <v>182</v>
      </c>
      <c r="B168" s="52">
        <v>8795</v>
      </c>
      <c r="C168" s="52">
        <v>8795</v>
      </c>
      <c r="D168" s="52">
        <v>51386.19</v>
      </c>
      <c r="E168" s="52">
        <v>53422.5</v>
      </c>
      <c r="F168" s="52">
        <v>2036.3099999999977</v>
      </c>
      <c r="G168" s="45"/>
      <c r="H168" s="46"/>
    </row>
    <row r="169" spans="1:11" x14ac:dyDescent="0.25">
      <c r="A169" s="51" t="s">
        <v>907</v>
      </c>
      <c r="B169" s="52">
        <v>3682</v>
      </c>
      <c r="C169" s="52">
        <v>3682</v>
      </c>
      <c r="D169" s="52">
        <v>24183.9</v>
      </c>
      <c r="E169" s="52">
        <v>24119.23</v>
      </c>
      <c r="F169" s="52">
        <v>-64.670000000001892</v>
      </c>
      <c r="G169" s="45"/>
      <c r="H169" s="46"/>
    </row>
    <row r="170" spans="1:11" x14ac:dyDescent="0.25">
      <c r="A170" s="51" t="s">
        <v>457</v>
      </c>
      <c r="B170" s="52">
        <v>3533</v>
      </c>
      <c r="C170" s="52">
        <v>3533</v>
      </c>
      <c r="D170" s="52">
        <v>16917.650000000001</v>
      </c>
      <c r="E170" s="52">
        <v>18117.5</v>
      </c>
      <c r="F170" s="52">
        <v>1199.8499999999985</v>
      </c>
      <c r="G170" s="45"/>
      <c r="H170" s="46"/>
    </row>
    <row r="171" spans="1:11" x14ac:dyDescent="0.25">
      <c r="A171" s="51" t="s">
        <v>502</v>
      </c>
      <c r="B171" s="52">
        <v>21145</v>
      </c>
      <c r="C171" s="52">
        <v>21145</v>
      </c>
      <c r="D171" s="52">
        <v>158844.88</v>
      </c>
      <c r="E171" s="52">
        <v>159231.5</v>
      </c>
      <c r="F171" s="52">
        <v>386.61999999999534</v>
      </c>
      <c r="G171" s="45"/>
      <c r="H171" s="46"/>
    </row>
    <row r="172" spans="1:11" x14ac:dyDescent="0.25">
      <c r="A172" s="51" t="s">
        <v>651</v>
      </c>
      <c r="B172" s="52">
        <v>3457</v>
      </c>
      <c r="C172" s="52">
        <v>3457</v>
      </c>
      <c r="D172" s="52">
        <v>25909.1</v>
      </c>
      <c r="E172" s="52">
        <v>25776.52</v>
      </c>
      <c r="F172" s="52">
        <v>-132.57999999999811</v>
      </c>
      <c r="G172" s="45"/>
      <c r="H172" s="46"/>
    </row>
    <row r="173" spans="1:11" x14ac:dyDescent="0.25">
      <c r="A173" s="51" t="s">
        <v>696</v>
      </c>
      <c r="B173" s="52">
        <v>866</v>
      </c>
      <c r="C173" s="52">
        <v>866</v>
      </c>
      <c r="D173" s="52">
        <v>4866.6099999999997</v>
      </c>
      <c r="E173" s="52">
        <v>4943.92</v>
      </c>
      <c r="F173" s="52">
        <v>77.3100000000004</v>
      </c>
      <c r="G173" s="45"/>
      <c r="H173" s="46"/>
    </row>
    <row r="174" spans="1:11" x14ac:dyDescent="0.25">
      <c r="A174" s="51" t="s">
        <v>811</v>
      </c>
      <c r="B174" s="52">
        <v>4660</v>
      </c>
      <c r="C174" s="52">
        <v>4660</v>
      </c>
      <c r="D174" s="52">
        <v>20789.82</v>
      </c>
      <c r="E174" s="52">
        <v>22337.81</v>
      </c>
      <c r="F174" s="52">
        <v>1547.9900000000016</v>
      </c>
      <c r="G174" s="45"/>
      <c r="H174" s="46"/>
    </row>
    <row r="175" spans="1:11" x14ac:dyDescent="0.25">
      <c r="A175" s="51" t="s">
        <v>822</v>
      </c>
      <c r="B175" s="52">
        <v>159</v>
      </c>
      <c r="C175" s="52">
        <v>159</v>
      </c>
      <c r="D175" s="52">
        <v>932.47</v>
      </c>
      <c r="E175" s="52">
        <v>954.77</v>
      </c>
      <c r="F175" s="52">
        <v>22.299999999999955</v>
      </c>
      <c r="G175" s="45"/>
      <c r="H175" s="46"/>
    </row>
    <row r="176" spans="1:11" x14ac:dyDescent="0.25">
      <c r="A176" s="51" t="s">
        <v>836</v>
      </c>
      <c r="B176" s="52">
        <v>1999</v>
      </c>
      <c r="C176" s="52">
        <v>1999</v>
      </c>
      <c r="D176" s="52">
        <v>8574.83</v>
      </c>
      <c r="E176" s="52">
        <v>8600.24</v>
      </c>
      <c r="F176" s="52">
        <v>25.409999999999854</v>
      </c>
      <c r="G176" s="45"/>
      <c r="H176" s="46"/>
    </row>
    <row r="177" spans="1:8" x14ac:dyDescent="0.25">
      <c r="A177" s="51" t="s">
        <v>839</v>
      </c>
      <c r="B177" s="52">
        <v>30</v>
      </c>
      <c r="C177" s="52">
        <v>30</v>
      </c>
      <c r="D177" s="52">
        <v>328.2</v>
      </c>
      <c r="E177" s="52">
        <v>316.07</v>
      </c>
      <c r="F177" s="52">
        <v>-12.129999999999995</v>
      </c>
      <c r="G177" s="45"/>
      <c r="H177" s="46"/>
    </row>
    <row r="178" spans="1:8" x14ac:dyDescent="0.25">
      <c r="A178" s="51" t="s">
        <v>738</v>
      </c>
      <c r="B178" s="52">
        <v>744</v>
      </c>
      <c r="C178" s="52">
        <v>744</v>
      </c>
      <c r="D178" s="52">
        <v>4568.3599999999997</v>
      </c>
      <c r="E178" s="52">
        <v>4625.18</v>
      </c>
      <c r="F178" s="52">
        <v>56.820000000000618</v>
      </c>
      <c r="G178" s="45"/>
      <c r="H178" s="46"/>
    </row>
    <row r="179" spans="1:8" x14ac:dyDescent="0.25">
      <c r="A179" s="51" t="s">
        <v>806</v>
      </c>
      <c r="B179" s="52">
        <v>19</v>
      </c>
      <c r="C179" s="52">
        <v>19</v>
      </c>
      <c r="D179" s="52">
        <v>123.91</v>
      </c>
      <c r="E179" s="52">
        <v>133.94999999999999</v>
      </c>
      <c r="F179" s="52">
        <v>10.039999999999992</v>
      </c>
      <c r="G179" s="45"/>
      <c r="H179" s="46"/>
    </row>
    <row r="180" spans="1:8" x14ac:dyDescent="0.25">
      <c r="B180" s="53"/>
      <c r="C180" s="53"/>
      <c r="D180" s="50"/>
      <c r="E180" s="50"/>
      <c r="F180" s="50"/>
      <c r="G180" s="45"/>
      <c r="H180" s="46"/>
    </row>
    <row r="181" spans="1:8" x14ac:dyDescent="0.25">
      <c r="A181" s="54"/>
      <c r="B181" s="55"/>
      <c r="C181" s="55"/>
      <c r="D181" s="56"/>
      <c r="E181" s="56"/>
      <c r="F181" s="56"/>
      <c r="G181" s="46"/>
    </row>
    <row r="182" spans="1:8" x14ac:dyDescent="0.25">
      <c r="A182" s="24" t="s">
        <v>1180</v>
      </c>
      <c r="C182" s="57"/>
    </row>
    <row r="183" spans="1:8" hidden="1" x14ac:dyDescent="0.25"/>
    <row r="184" spans="1:8" ht="27" hidden="1" x14ac:dyDescent="0.25">
      <c r="A184" s="36" t="s">
        <v>1160</v>
      </c>
      <c r="B184" s="36" t="s">
        <v>1161</v>
      </c>
      <c r="C184" s="36" t="s">
        <v>1181</v>
      </c>
      <c r="D184" s="36" t="s">
        <v>1182</v>
      </c>
      <c r="E184" s="36" t="s">
        <v>1183</v>
      </c>
      <c r="F184" s="36" t="s">
        <v>1184</v>
      </c>
    </row>
    <row r="185" spans="1:8" hidden="1" x14ac:dyDescent="0.25">
      <c r="A185" s="52" t="s">
        <v>665</v>
      </c>
      <c r="B185" s="52" t="s">
        <v>665</v>
      </c>
      <c r="C185" s="52" t="s">
        <v>665</v>
      </c>
      <c r="D185" s="52" t="s">
        <v>665</v>
      </c>
      <c r="E185" s="52" t="s">
        <v>665</v>
      </c>
      <c r="F185" s="52" t="s">
        <v>665</v>
      </c>
    </row>
    <row r="186" spans="1:8" hidden="1" x14ac:dyDescent="0.25">
      <c r="C186" s="57"/>
      <c r="D186" s="57"/>
      <c r="E186" s="58"/>
      <c r="F186" s="58"/>
    </row>
    <row r="187" spans="1:8" hidden="1" x14ac:dyDescent="0.25">
      <c r="C187" s="57"/>
      <c r="D187" s="57"/>
      <c r="E187" s="58"/>
      <c r="F187" s="58"/>
    </row>
    <row r="188" spans="1:8" hidden="1" x14ac:dyDescent="0.25">
      <c r="A188" s="24" t="s">
        <v>1185</v>
      </c>
      <c r="F188" s="23" t="s">
        <v>1186</v>
      </c>
    </row>
    <row r="189" spans="1:8" hidden="1" x14ac:dyDescent="0.25">
      <c r="A189" s="24"/>
    </row>
    <row r="190" spans="1:8" hidden="1" x14ac:dyDescent="0.25">
      <c r="A190" s="40" t="s">
        <v>1160</v>
      </c>
      <c r="B190" s="40" t="s">
        <v>1168</v>
      </c>
    </row>
    <row r="191" spans="1:8" hidden="1" x14ac:dyDescent="0.25">
      <c r="A191" s="52" t="s">
        <v>665</v>
      </c>
      <c r="B191" s="52" t="s">
        <v>665</v>
      </c>
    </row>
    <row r="192" spans="1:8" hidden="1" x14ac:dyDescent="0.25">
      <c r="B192" s="59"/>
      <c r="C192" s="60"/>
    </row>
    <row r="193" spans="1:6" hidden="1" x14ac:dyDescent="0.25">
      <c r="A193" s="24" t="s">
        <v>1187</v>
      </c>
    </row>
    <row r="194" spans="1:6" hidden="1" x14ac:dyDescent="0.25"/>
    <row r="195" spans="1:6" ht="40.5" hidden="1" x14ac:dyDescent="0.25">
      <c r="A195" s="35" t="s">
        <v>1160</v>
      </c>
      <c r="B195" s="36" t="s">
        <v>1188</v>
      </c>
      <c r="C195" s="36" t="s">
        <v>1189</v>
      </c>
      <c r="D195" s="36" t="s">
        <v>1190</v>
      </c>
      <c r="E195" s="36" t="s">
        <v>1191</v>
      </c>
    </row>
    <row r="196" spans="1:6" hidden="1" x14ac:dyDescent="0.25">
      <c r="A196" s="61"/>
      <c r="B196" s="52"/>
      <c r="C196" s="31"/>
      <c r="D196" s="62"/>
      <c r="E196" s="62">
        <v>0</v>
      </c>
    </row>
    <row r="197" spans="1:6" hidden="1" x14ac:dyDescent="0.25">
      <c r="A197" s="63"/>
      <c r="B197" s="64"/>
      <c r="C197" s="65"/>
      <c r="D197" s="65"/>
      <c r="E197" s="66"/>
    </row>
    <row r="198" spans="1:6" hidden="1" x14ac:dyDescent="0.25">
      <c r="A198" s="63"/>
      <c r="B198" s="64"/>
      <c r="C198" s="65"/>
      <c r="D198" s="65"/>
      <c r="E198" s="66"/>
    </row>
    <row r="200" spans="1:6" x14ac:dyDescent="0.25">
      <c r="A200" s="24" t="s">
        <v>1192</v>
      </c>
    </row>
    <row r="201" spans="1:6" hidden="1" x14ac:dyDescent="0.25"/>
    <row r="202" spans="1:6" ht="27" hidden="1" x14ac:dyDescent="0.25">
      <c r="A202" s="36" t="s">
        <v>1160</v>
      </c>
      <c r="B202" s="36" t="s">
        <v>1161</v>
      </c>
      <c r="C202" s="36" t="s">
        <v>1181</v>
      </c>
      <c r="D202" s="36" t="s">
        <v>1182</v>
      </c>
      <c r="E202" s="36" t="s">
        <v>1183</v>
      </c>
      <c r="F202" s="36" t="s">
        <v>1184</v>
      </c>
    </row>
    <row r="203" spans="1:6" hidden="1" x14ac:dyDescent="0.25">
      <c r="A203" s="33" t="s">
        <v>665</v>
      </c>
      <c r="B203" s="33" t="s">
        <v>665</v>
      </c>
      <c r="C203" s="33" t="s">
        <v>665</v>
      </c>
      <c r="D203" s="33" t="s">
        <v>665</v>
      </c>
      <c r="E203" s="33" t="s">
        <v>665</v>
      </c>
      <c r="F203" s="33" t="s">
        <v>665</v>
      </c>
    </row>
    <row r="204" spans="1:6" hidden="1" x14ac:dyDescent="0.25">
      <c r="B204" s="67"/>
      <c r="C204" s="68"/>
      <c r="D204" s="69"/>
      <c r="E204" s="58"/>
      <c r="F204" s="58"/>
    </row>
    <row r="205" spans="1:6" hidden="1" x14ac:dyDescent="0.25">
      <c r="A205" s="24" t="s">
        <v>1193</v>
      </c>
    </row>
    <row r="206" spans="1:6" hidden="1" x14ac:dyDescent="0.25">
      <c r="A206" s="24"/>
    </row>
    <row r="207" spans="1:6" hidden="1" x14ac:dyDescent="0.25">
      <c r="A207" s="40" t="s">
        <v>1160</v>
      </c>
      <c r="B207" s="40" t="s">
        <v>1168</v>
      </c>
    </row>
    <row r="208" spans="1:6" hidden="1" x14ac:dyDescent="0.25">
      <c r="A208" s="33" t="s">
        <v>665</v>
      </c>
      <c r="B208" s="33" t="s">
        <v>665</v>
      </c>
    </row>
    <row r="209" spans="1:7" hidden="1" x14ac:dyDescent="0.25">
      <c r="A209" s="48"/>
      <c r="B209" s="60"/>
    </row>
    <row r="210" spans="1:7" hidden="1" x14ac:dyDescent="0.25">
      <c r="A210" s="24" t="s">
        <v>1194</v>
      </c>
    </row>
    <row r="211" spans="1:7" hidden="1" x14ac:dyDescent="0.25"/>
    <row r="212" spans="1:7" ht="40.5" hidden="1" x14ac:dyDescent="0.25">
      <c r="A212" s="35" t="s">
        <v>1160</v>
      </c>
      <c r="B212" s="36" t="s">
        <v>1188</v>
      </c>
      <c r="C212" s="36" t="s">
        <v>1195</v>
      </c>
      <c r="D212" s="36" t="s">
        <v>1196</v>
      </c>
      <c r="E212" s="36" t="s">
        <v>1191</v>
      </c>
    </row>
    <row r="213" spans="1:7" hidden="1" x14ac:dyDescent="0.25">
      <c r="A213" s="33"/>
      <c r="B213" s="52"/>
      <c r="C213" s="31"/>
      <c r="D213" s="52"/>
      <c r="E213" s="52"/>
    </row>
    <row r="214" spans="1:7" hidden="1" x14ac:dyDescent="0.25">
      <c r="F214" s="32"/>
    </row>
    <row r="215" spans="1:7" x14ac:dyDescent="0.25">
      <c r="E215" s="70"/>
      <c r="F215" s="47"/>
    </row>
    <row r="216" spans="1:7" x14ac:dyDescent="0.25">
      <c r="A216" s="24" t="s">
        <v>1197</v>
      </c>
    </row>
    <row r="217" spans="1:7" ht="26.25" x14ac:dyDescent="0.25">
      <c r="A217" s="71" t="s">
        <v>1198</v>
      </c>
      <c r="B217" s="72" t="s">
        <v>1199</v>
      </c>
      <c r="C217" s="72" t="s">
        <v>1200</v>
      </c>
      <c r="D217" s="73" t="s">
        <v>1201</v>
      </c>
      <c r="E217" s="73" t="s">
        <v>1202</v>
      </c>
      <c r="F217" s="72" t="s">
        <v>1203</v>
      </c>
      <c r="G217" s="72" t="s">
        <v>1204</v>
      </c>
    </row>
    <row r="218" spans="1:7" x14ac:dyDescent="0.25">
      <c r="A218" s="74" t="s">
        <v>1205</v>
      </c>
      <c r="B218" s="74" t="s">
        <v>1206</v>
      </c>
      <c r="C218" s="74" t="s">
        <v>1207</v>
      </c>
      <c r="D218" s="74" t="s">
        <v>1208</v>
      </c>
      <c r="E218" s="74" t="s">
        <v>1209</v>
      </c>
      <c r="F218" s="44">
        <v>2500</v>
      </c>
      <c r="G218" s="75">
        <v>46101</v>
      </c>
    </row>
    <row r="219" spans="1:7" x14ac:dyDescent="0.25">
      <c r="A219" s="74" t="s">
        <v>1205</v>
      </c>
      <c r="B219" s="74" t="s">
        <v>1206</v>
      </c>
      <c r="C219" s="74" t="s">
        <v>1207</v>
      </c>
      <c r="D219" s="74" t="s">
        <v>1208</v>
      </c>
      <c r="E219" s="74" t="s">
        <v>1209</v>
      </c>
      <c r="F219" s="44">
        <v>2500</v>
      </c>
      <c r="G219" s="75">
        <v>46168</v>
      </c>
    </row>
    <row r="220" spans="1:7" x14ac:dyDescent="0.25">
      <c r="A220" s="74" t="s">
        <v>1205</v>
      </c>
      <c r="B220" s="74" t="s">
        <v>1206</v>
      </c>
      <c r="C220" s="74" t="s">
        <v>1210</v>
      </c>
      <c r="D220" s="74" t="s">
        <v>1208</v>
      </c>
      <c r="E220" s="74" t="s">
        <v>1209</v>
      </c>
      <c r="F220" s="44">
        <v>2500</v>
      </c>
      <c r="G220" s="75">
        <v>46087</v>
      </c>
    </row>
    <row r="221" spans="1:7" x14ac:dyDescent="0.25">
      <c r="A221" s="74" t="s">
        <v>1205</v>
      </c>
      <c r="B221" s="74" t="s">
        <v>1206</v>
      </c>
      <c r="C221" s="74" t="s">
        <v>1211</v>
      </c>
      <c r="D221" s="74" t="s">
        <v>1208</v>
      </c>
      <c r="E221" s="74" t="s">
        <v>1209</v>
      </c>
      <c r="F221" s="44">
        <v>2500</v>
      </c>
      <c r="G221" s="75">
        <v>46002</v>
      </c>
    </row>
    <row r="222" spans="1:7" x14ac:dyDescent="0.25">
      <c r="D222" s="47"/>
    </row>
    <row r="223" spans="1:7" x14ac:dyDescent="0.25">
      <c r="A223" s="24" t="s">
        <v>1212</v>
      </c>
      <c r="D223" s="47"/>
    </row>
    <row r="224" spans="1:7" hidden="1" x14ac:dyDescent="0.25">
      <c r="D224" s="47"/>
    </row>
    <row r="225" spans="1:9" ht="27" hidden="1" x14ac:dyDescent="0.25">
      <c r="A225" s="35" t="s">
        <v>1160</v>
      </c>
      <c r="B225" s="36" t="s">
        <v>1161</v>
      </c>
      <c r="C225" s="36" t="s">
        <v>1162</v>
      </c>
      <c r="D225" s="36" t="s">
        <v>1213</v>
      </c>
      <c r="E225" s="36" t="s">
        <v>1214</v>
      </c>
      <c r="F225" s="36" t="s">
        <v>1215</v>
      </c>
    </row>
    <row r="226" spans="1:9" hidden="1" x14ac:dyDescent="0.25">
      <c r="A226" s="76" t="s">
        <v>665</v>
      </c>
      <c r="B226" s="76" t="s">
        <v>665</v>
      </c>
      <c r="C226" s="76" t="s">
        <v>665</v>
      </c>
      <c r="D226" s="76" t="s">
        <v>665</v>
      </c>
      <c r="E226" s="76" t="s">
        <v>665</v>
      </c>
      <c r="F226" s="76" t="s">
        <v>665</v>
      </c>
    </row>
    <row r="227" spans="1:9" hidden="1" x14ac:dyDescent="0.25">
      <c r="D227" s="47"/>
    </row>
    <row r="228" spans="1:9" hidden="1" x14ac:dyDescent="0.25">
      <c r="A228" s="24" t="s">
        <v>1216</v>
      </c>
      <c r="D228" s="47"/>
    </row>
    <row r="229" spans="1:9" hidden="1" x14ac:dyDescent="0.25">
      <c r="A229" s="24"/>
      <c r="D229" s="47"/>
    </row>
    <row r="230" spans="1:9" hidden="1" x14ac:dyDescent="0.25">
      <c r="A230" s="40" t="s">
        <v>1160</v>
      </c>
      <c r="B230" s="40" t="s">
        <v>1168</v>
      </c>
      <c r="D230" s="47"/>
    </row>
    <row r="231" spans="1:9" hidden="1" x14ac:dyDescent="0.25">
      <c r="A231" s="76" t="s">
        <v>665</v>
      </c>
      <c r="B231" s="76" t="s">
        <v>665</v>
      </c>
      <c r="D231" s="47"/>
    </row>
    <row r="232" spans="1:9" x14ac:dyDescent="0.25">
      <c r="D232" s="47"/>
    </row>
    <row r="233" spans="1:9" hidden="1" x14ac:dyDescent="0.25">
      <c r="A233" s="24" t="s">
        <v>1217</v>
      </c>
      <c r="D233" s="47"/>
    </row>
    <row r="234" spans="1:9" hidden="1" x14ac:dyDescent="0.25">
      <c r="D234" s="47"/>
    </row>
    <row r="235" spans="1:9" ht="67.5" hidden="1" x14ac:dyDescent="0.25">
      <c r="A235" s="35" t="s">
        <v>1160</v>
      </c>
      <c r="B235" s="36" t="s">
        <v>1170</v>
      </c>
      <c r="C235" s="36" t="s">
        <v>1171</v>
      </c>
      <c r="D235" s="36" t="s">
        <v>1172</v>
      </c>
      <c r="E235" s="36" t="s">
        <v>1173</v>
      </c>
      <c r="F235" s="36" t="s">
        <v>1174</v>
      </c>
    </row>
    <row r="236" spans="1:9" hidden="1" x14ac:dyDescent="0.25">
      <c r="A236" s="77"/>
      <c r="B236" s="77"/>
      <c r="C236" s="43"/>
      <c r="D236" s="78"/>
      <c r="E236" s="79"/>
      <c r="F236" s="80"/>
      <c r="H236" s="46"/>
      <c r="I236" s="47"/>
    </row>
    <row r="237" spans="1:9" hidden="1" x14ac:dyDescent="0.25">
      <c r="D237" s="47"/>
    </row>
    <row r="238" spans="1:9" hidden="1" x14ac:dyDescent="0.25">
      <c r="D238" s="47"/>
    </row>
    <row r="239" spans="1:9" hidden="1" x14ac:dyDescent="0.25">
      <c r="A239" s="24" t="s">
        <v>1218</v>
      </c>
      <c r="D239" s="47"/>
    </row>
    <row r="240" spans="1:9" hidden="1" x14ac:dyDescent="0.25">
      <c r="D240" s="47"/>
    </row>
    <row r="241" spans="1:6" ht="67.5" hidden="1" x14ac:dyDescent="0.25">
      <c r="A241" s="35" t="s">
        <v>1160</v>
      </c>
      <c r="B241" s="36" t="s">
        <v>1170</v>
      </c>
      <c r="C241" s="36" t="s">
        <v>1171</v>
      </c>
      <c r="D241" s="36" t="s">
        <v>1172</v>
      </c>
      <c r="E241" s="36" t="s">
        <v>1173</v>
      </c>
      <c r="F241" s="36" t="s">
        <v>1174</v>
      </c>
    </row>
    <row r="242" spans="1:6" hidden="1" x14ac:dyDescent="0.25">
      <c r="A242" s="34"/>
      <c r="B242" s="52"/>
      <c r="C242" s="52"/>
      <c r="D242" s="81"/>
      <c r="E242" s="81"/>
      <c r="F242" s="81"/>
    </row>
    <row r="243" spans="1:6" x14ac:dyDescent="0.25">
      <c r="A243" s="23" t="s">
        <v>1219</v>
      </c>
    </row>
  </sheetData>
  <mergeCells count="3">
    <mergeCell ref="A2:F2"/>
    <mergeCell ref="A3:F3"/>
    <mergeCell ref="A5:F5"/>
  </mergeCells>
  <printOptions horizontalCentered="1"/>
  <pageMargins left="0.17" right="0.15748031496062992" top="0.43307086614173229" bottom="0.47244094488188981" header="0.31496062992125984" footer="0.31496062992125984"/>
  <pageSetup paperSize="9" scale="42" fitToHeight="3" orientation="portrait" r:id="rId1"/>
  <headerFooter>
    <oddHeader>&amp;L&amp;"Calibri"&amp;10&amp;KFF0000 "Sensitivity: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Index</vt:lpstr>
      <vt:lpstr>CAPEXG</vt:lpstr>
      <vt:lpstr>GLOB</vt:lpstr>
      <vt:lpstr>MIDCAP</vt:lpstr>
      <vt:lpstr>MULTIP</vt:lpstr>
      <vt:lpstr>SLTADV3</vt:lpstr>
      <vt:lpstr>SLTADV4</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SUNMFF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2025-09-02T08:31:17Z</dcterms:created>
  <dcterms:modified xsi:type="dcterms:W3CDTF">2025-09-09T10:34:12Z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8e773d-34bc-405c-8fc1-b30a01fb446e_Enabled">
    <vt:lpwstr>true</vt:lpwstr>
  </property>
  <property fmtid="{D5CDD505-2E9C-101B-9397-08002B2CF9AE}" pid="3" name="MSIP_Label_048e773d-34bc-405c-8fc1-b30a01fb446e_SetDate">
    <vt:lpwstr>2025-09-08T09:50:15Z</vt:lpwstr>
  </property>
  <property fmtid="{D5CDD505-2E9C-101B-9397-08002B2CF9AE}" pid="4" name="MSIP_Label_048e773d-34bc-405c-8fc1-b30a01fb446e_Method">
    <vt:lpwstr>Privileged</vt:lpwstr>
  </property>
  <property fmtid="{D5CDD505-2E9C-101B-9397-08002B2CF9AE}" pid="5" name="MSIP_Label_048e773d-34bc-405c-8fc1-b30a01fb446e_Name">
    <vt:lpwstr>Public</vt:lpwstr>
  </property>
  <property fmtid="{D5CDD505-2E9C-101B-9397-08002B2CF9AE}" pid="6" name="MSIP_Label_048e773d-34bc-405c-8fc1-b30a01fb446e_SiteId">
    <vt:lpwstr>b8d87d45-aff7-4067-8708-1c35bbaab723</vt:lpwstr>
  </property>
  <property fmtid="{D5CDD505-2E9C-101B-9397-08002B2CF9AE}" pid="7" name="MSIP_Label_048e773d-34bc-405c-8fc1-b30a01fb446e_ActionId">
    <vt:lpwstr>40c3628d-622e-441d-a6e5-1d8064acff41</vt:lpwstr>
  </property>
  <property fmtid="{D5CDD505-2E9C-101B-9397-08002B2CF9AE}" pid="8" name="MSIP_Label_048e773d-34bc-405c-8fc1-b30a01fb446e_ContentBits">
    <vt:lpwstr>1</vt:lpwstr>
  </property>
  <property fmtid="{D5CDD505-2E9C-101B-9397-08002B2CF9AE}" pid="9" name="MSIP_Label_048e773d-34bc-405c-8fc1-b30a01fb446e_Tag">
    <vt:lpwstr>10, 0, 1, 1</vt:lpwstr>
  </property>
</Properties>
</file>