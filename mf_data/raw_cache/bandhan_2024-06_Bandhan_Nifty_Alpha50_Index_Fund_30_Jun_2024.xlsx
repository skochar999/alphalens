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June 24\Portfolios\ROM\"/>
    </mc:Choice>
  </mc:AlternateContent>
  <xr:revisionPtr revIDLastSave="0" documentId="8_{B539712B-AEA3-4DA6-9A29-8BD4346FFBF7}" xr6:coauthVersionLast="47" xr6:coauthVersionMax="47" xr10:uidLastSave="{00000000-0000-0000-0000-000000000000}"/>
  <bookViews>
    <workbookView xWindow="-108" yWindow="-108" windowWidth="41496" windowHeight="16896" xr2:uid="{348A92FC-8E8A-4BE2-85F2-A526A7A9C97E}"/>
  </bookViews>
  <sheets>
    <sheet name="IDF295" sheetId="1" r:id="rId1"/>
  </sheets>
  <definedNames>
    <definedName name="JR_PAGE_ANCHOR_0_55">'IDF295'!$A$2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1" i="1" l="1"/>
  <c r="C80" i="1"/>
  <c r="C79" i="1"/>
  <c r="C78" i="1"/>
  <c r="C77" i="1"/>
  <c r="C76" i="1"/>
  <c r="C75" i="1"/>
</calcChain>
</file>

<file path=xl/sharedStrings.xml><?xml version="1.0" encoding="utf-8"?>
<sst xmlns="http://schemas.openxmlformats.org/spreadsheetml/2006/main" count="262" uniqueCount="212">
  <si>
    <t>IDF295</t>
  </si>
  <si>
    <t>INDEX</t>
  </si>
  <si>
    <t>Portfolio Statement as on June 30,2024</t>
  </si>
  <si>
    <t>Bandhan Nifty Alpha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</si>
  <si>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</si>
  <si>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</si>
  <si>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</si>
  <si>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</si>
  <si>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</si>
  <si>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</si>
  <si>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</si>
  <si>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</si>
  <si>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</si>
  <si>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BSEL02</t>
  </si>
  <si>
    <t>BSE Limited</t>
  </si>
  <si>
    <t>INE118H01025</t>
  </si>
  <si>
    <t>Capital Markets</t>
  </si>
  <si>
    <t>TGWL02</t>
  </si>
  <si>
    <t>Titagarh Rail Systems Limited</t>
  </si>
  <si>
    <t>INE615H01020</t>
  </si>
  <si>
    <t>Industrial Manufacturing</t>
  </si>
  <si>
    <t>IRLY01</t>
  </si>
  <si>
    <t>Indian Railway Finance Corporation Limited</t>
  </si>
  <si>
    <t>INE053F01010</t>
  </si>
  <si>
    <t>Finance</t>
  </si>
  <si>
    <t>KALJ01</t>
  </si>
  <si>
    <t>Kalyan Jewellers India Limited</t>
  </si>
  <si>
    <t>INE303R01014</t>
  </si>
  <si>
    <t>Consumer Durables</t>
  </si>
  <si>
    <t>HURD01</t>
  </si>
  <si>
    <t>Housing &amp; Urban Development Corporation Limited</t>
  </si>
  <si>
    <t>INE031A01017</t>
  </si>
  <si>
    <t>SUZE02</t>
  </si>
  <si>
    <t>Suzlon Energy Limited</t>
  </si>
  <si>
    <t>INE040H01021</t>
  </si>
  <si>
    <t>Electrical Equipment</t>
  </si>
  <si>
    <t>RELC01</t>
  </si>
  <si>
    <t>REC Limited</t>
  </si>
  <si>
    <t>INE020B01018</t>
  </si>
  <si>
    <t>BHAH02</t>
  </si>
  <si>
    <t>Bharat Heavy Electricals Limited</t>
  </si>
  <si>
    <t>INE257A01026</t>
  </si>
  <si>
    <t>SJVN01</t>
  </si>
  <si>
    <t>SJVN Limited</t>
  </si>
  <si>
    <t>INE002L01015</t>
  </si>
  <si>
    <t>Power</t>
  </si>
  <si>
    <t>PREP01</t>
  </si>
  <si>
    <t>Prestige Estates Projects Limited</t>
  </si>
  <si>
    <t>INE811K01011</t>
  </si>
  <si>
    <t>Realty</t>
  </si>
  <si>
    <t>LAKM02</t>
  </si>
  <si>
    <t>Trent Limited</t>
  </si>
  <si>
    <t>INE849A01020</t>
  </si>
  <si>
    <t>Retailing</t>
  </si>
  <si>
    <t>PFCL01</t>
  </si>
  <si>
    <t>Power Finance Corporation Limited</t>
  </si>
  <si>
    <t>INE134E01011</t>
  </si>
  <si>
    <t>HALT02</t>
  </si>
  <si>
    <t>Hindustan Aeronautics Limited</t>
  </si>
  <si>
    <t>INE066F01020</t>
  </si>
  <si>
    <t>Aerospace &amp; Defense</t>
  </si>
  <si>
    <t>GAPA02</t>
  </si>
  <si>
    <t>Apar Industries Limited</t>
  </si>
  <si>
    <t>INE372A01015</t>
  </si>
  <si>
    <t>RVNL01</t>
  </si>
  <si>
    <t>Rail Vikas Nigam Limited</t>
  </si>
  <si>
    <t>INE415G01027</t>
  </si>
  <si>
    <t>Construction</t>
  </si>
  <si>
    <t>ADAP01</t>
  </si>
  <si>
    <t>Adani Power Limited</t>
  </si>
  <si>
    <t>INE814H01011</t>
  </si>
  <si>
    <t>NBCC03</t>
  </si>
  <si>
    <t>NBCC (India) Limited</t>
  </si>
  <si>
    <t>INE095N01031</t>
  </si>
  <si>
    <t>BHDY02</t>
  </si>
  <si>
    <t>Bharat Dynamics Limited</t>
  </si>
  <si>
    <t>INE171Z01026</t>
  </si>
  <si>
    <t>JHPL01</t>
  </si>
  <si>
    <t>Jaiprakash Power Ventures Limited</t>
  </si>
  <si>
    <t>INE351F01018</t>
  </si>
  <si>
    <t>TOPL01</t>
  </si>
  <si>
    <t>Torrent Power Limited</t>
  </si>
  <si>
    <t>INE813H01021</t>
  </si>
  <si>
    <t>HICO02</t>
  </si>
  <si>
    <t>Hindustan Copper Limited</t>
  </si>
  <si>
    <t>INE531E01026</t>
  </si>
  <si>
    <t>Non - Ferrous Metals</t>
  </si>
  <si>
    <t>JSTA02</t>
  </si>
  <si>
    <t>Jindal Stainless Limited</t>
  </si>
  <si>
    <t>INE220G01021</t>
  </si>
  <si>
    <t>Ferrous Metals</t>
  </si>
  <si>
    <t>ZMPL01</t>
  </si>
  <si>
    <t>Zomato Limited</t>
  </si>
  <si>
    <t>INE758T01015</t>
  </si>
  <si>
    <t>DIXO02</t>
  </si>
  <si>
    <t>Dixon Technologies (India) Limited</t>
  </si>
  <si>
    <t>INE935N01020</t>
  </si>
  <si>
    <t>BHEL02</t>
  </si>
  <si>
    <t>Bharat Electronics Limited</t>
  </si>
  <si>
    <t>INE263A01024</t>
  </si>
  <si>
    <t>MCEX01</t>
  </si>
  <si>
    <t>Multi Commodity Exchange of India Limited</t>
  </si>
  <si>
    <t>INE745G01035</t>
  </si>
  <si>
    <t>MACR01</t>
  </si>
  <si>
    <t>Macrotech Developers Limited</t>
  </si>
  <si>
    <t>INE670K01029</t>
  </si>
  <si>
    <t>NHPC01</t>
  </si>
  <si>
    <t>NHPC Limited</t>
  </si>
  <si>
    <t>INE848E01016</t>
  </si>
  <si>
    <t>PUBA02</t>
  </si>
  <si>
    <t>Punjab National Bank</t>
  </si>
  <si>
    <t>INE160A01022</t>
  </si>
  <si>
    <t>Banks</t>
  </si>
  <si>
    <t>ESMC02</t>
  </si>
  <si>
    <t>PB Fintech Limited</t>
  </si>
  <si>
    <t>INE417T01026</t>
  </si>
  <si>
    <t>Financial Technology (Fintech)</t>
  </si>
  <si>
    <t>LUPL02</t>
  </si>
  <si>
    <t>Lupin Limited</t>
  </si>
  <si>
    <t>INE326A01037</t>
  </si>
  <si>
    <t>Pharmaceuticals &amp; Biotechnology</t>
  </si>
  <si>
    <t>INBK01</t>
  </si>
  <si>
    <t>Indian Bank</t>
  </si>
  <si>
    <t>INE562A01011</t>
  </si>
  <si>
    <t>NAGF02</t>
  </si>
  <si>
    <t>NCC Limited</t>
  </si>
  <si>
    <t>INE868B01028</t>
  </si>
  <si>
    <t>KEII02</t>
  </si>
  <si>
    <t>KEI Industries Limited</t>
  </si>
  <si>
    <t>INE878B01027</t>
  </si>
  <si>
    <t>Industrial Products</t>
  </si>
  <si>
    <t>BALN01</t>
  </si>
  <si>
    <t>Bajaj Auto Limited</t>
  </si>
  <si>
    <t>INE917I01010</t>
  </si>
  <si>
    <t>Automobiles</t>
  </si>
  <si>
    <t>CHEL02</t>
  </si>
  <si>
    <t>Zydus Lifesciences Limited</t>
  </si>
  <si>
    <t>INE010B01027</t>
  </si>
  <si>
    <t>UNBI01</t>
  </si>
  <si>
    <t>Union Bank of India</t>
  </si>
  <si>
    <t>INE692A01016</t>
  </si>
  <si>
    <t>KCUL02</t>
  </si>
  <si>
    <t>Cummins India Limited</t>
  </si>
  <si>
    <t>INE298A01020</t>
  </si>
  <si>
    <t>IFEL01</t>
  </si>
  <si>
    <t>Oracle Financial Services Software Limited</t>
  </si>
  <si>
    <t>INE881D01027</t>
  </si>
  <si>
    <t>IT - Software</t>
  </si>
  <si>
    <t>SUPI02</t>
  </si>
  <si>
    <t>Supreme Industries Limited</t>
  </si>
  <si>
    <t>INE195A01028</t>
  </si>
  <si>
    <t>ASEA02</t>
  </si>
  <si>
    <t>ABB India Limited</t>
  </si>
  <si>
    <t>INE117A01022</t>
  </si>
  <si>
    <t>GLPH03</t>
  </si>
  <si>
    <t>Glenmark Pharmaceuticals Limited</t>
  </si>
  <si>
    <t>INE935A01035</t>
  </si>
  <si>
    <t>AUPH03</t>
  </si>
  <si>
    <t>Aurobindo Pharma Limited</t>
  </si>
  <si>
    <t>INE406A01037</t>
  </si>
  <si>
    <t>AGBL01</t>
  </si>
  <si>
    <t>Angel One Limited</t>
  </si>
  <si>
    <t>INE732I01013</t>
  </si>
  <si>
    <t>VNBL02</t>
  </si>
  <si>
    <t>Varun Beverages Limited</t>
  </si>
  <si>
    <t>INE200M01021</t>
  </si>
  <si>
    <t>Beverages</t>
  </si>
  <si>
    <t>CANB02</t>
  </si>
  <si>
    <t>Canara Bank</t>
  </si>
  <si>
    <t>INE476A01022</t>
  </si>
  <si>
    <t>GICI01</t>
  </si>
  <si>
    <t>General Insurance Corporation of India</t>
  </si>
  <si>
    <t>INE481Y01014</t>
  </si>
  <si>
    <t>Insurance</t>
  </si>
  <si>
    <t>AGEL01</t>
  </si>
  <si>
    <t>Adani Green Energy Limited</t>
  </si>
  <si>
    <t>INE364U01010</t>
  </si>
  <si>
    <t>KPIT03</t>
  </si>
  <si>
    <t>Birlasoft Limited</t>
  </si>
  <si>
    <t>INE836A01035</t>
  </si>
  <si>
    <t>SAEL02</t>
  </si>
  <si>
    <t>TVS Motor Company Limited</t>
  </si>
  <si>
    <t>INE494B01023</t>
  </si>
  <si>
    <t>Subtotal</t>
  </si>
  <si>
    <t>(b) UNLISTED</t>
  </si>
  <si>
    <t>NIL</t>
  </si>
  <si>
    <t>Total</t>
  </si>
  <si>
    <t>Money Market Instruments</t>
  </si>
  <si>
    <t>TREPS / Reverse Repo Instrument</t>
  </si>
  <si>
    <t>Triparty Repo</t>
  </si>
  <si>
    <t>OTHERS</t>
  </si>
  <si>
    <t>Cash Margin - CCIL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</si>
  <si>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</si>
  <si>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</si>
  <si>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</si>
  <si>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</si>
  <si>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</si>
  <si>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</si>
  <si>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Government of India</t>
  </si>
  <si>
    <t>BSE Group</t>
  </si>
  <si>
    <t>Titagarh Rail Systems Group</t>
  </si>
  <si>
    <t>Kalyan Jewellers India Group</t>
  </si>
  <si>
    <t>Housing and Urban Development Corporation Group</t>
  </si>
  <si>
    <t>Adani Group</t>
  </si>
  <si>
    <t>Suzlon</t>
  </si>
  <si>
    <t>Name and exposure to top 4 Sectors</t>
  </si>
  <si>
    <t>Name of the Sector</t>
  </si>
  <si>
    <t>Financial Services</t>
  </si>
  <si>
    <t>Capital Goods</t>
  </si>
  <si>
    <t>BENCHMARK NAME - NIFTY ALPHA 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</si>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</sst>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91440</xdr:colOff>
      <xdr:row>111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1B4088-AA22-4352-94F4-EFD2538160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2593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7</xdr:col>
      <xdr:colOff>571500</xdr:colOff>
      <xdr:row>111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5774B8-157E-4429-A099-158A74372C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5560" y="172593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F92C7-435D-479E-9992-668795E92949}">
  <sheetPr codeName="Sheet55">
    <outlinePr summaryBelow="0"/>
  </sheetPr>
  <dimension ref="A1:K100"/>
  <sheetViews>
    <sheetView tabSelected="1" topLeftCell="A61" workbookViewId="0">
      <selection activeCell="K20" sqref="K20"/>
    </sheetView>
  </sheetViews>
  <sheetFormatPr defaultRowHeight="14.4"/>
  <cols>
    <col min="1" max="1" width="3.33203125" customWidth="1"/>
    <col min="2" max="2" width="40.33203125" customWidth="1"/>
    <col min="3" max="3" width="16.6640625" customWidth="1"/>
    <col min="4" max="4" width="16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20576</v>
      </c>
      <c r="F8" s="18">
        <v>531.39</v>
      </c>
      <c r="G8" s="19">
        <v>3.85E-2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26886</v>
      </c>
      <c r="F9" s="18">
        <v>500.04</v>
      </c>
      <c r="G9" s="19">
        <v>3.6200000000000003E-2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281523</v>
      </c>
      <c r="F10" s="18">
        <v>489.32</v>
      </c>
      <c r="G10" s="19">
        <v>3.5499999999999997E-2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97465</v>
      </c>
      <c r="F11" s="18">
        <v>488.45</v>
      </c>
      <c r="G11" s="19">
        <v>3.5400000000000001E-2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24</v>
      </c>
      <c r="E12" s="17">
        <v>164657</v>
      </c>
      <c r="F12" s="18">
        <v>463.02</v>
      </c>
      <c r="G12" s="19">
        <v>3.3599999999999998E-2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796051</v>
      </c>
      <c r="F13" s="18">
        <v>420.79</v>
      </c>
      <c r="G13" s="19">
        <v>3.0499999999999999E-2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24</v>
      </c>
      <c r="E14" s="17">
        <v>74291</v>
      </c>
      <c r="F14" s="18">
        <v>390.32</v>
      </c>
      <c r="G14" s="19">
        <v>2.8299999999999999E-2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35</v>
      </c>
      <c r="E15" s="17">
        <v>127880</v>
      </c>
      <c r="F15" s="18">
        <v>384.73</v>
      </c>
      <c r="G15" s="19">
        <v>2.7900000000000001E-2</v>
      </c>
      <c r="H15" s="20"/>
    </row>
    <row r="16" spans="1:8" ht="13.05" customHeight="1">
      <c r="A16" s="15" t="s">
        <v>42</v>
      </c>
      <c r="B16" s="16" t="s">
        <v>43</v>
      </c>
      <c r="C16" s="12" t="s">
        <v>44</v>
      </c>
      <c r="D16" s="13" t="s">
        <v>45</v>
      </c>
      <c r="E16" s="17">
        <v>277682</v>
      </c>
      <c r="F16" s="18">
        <v>365.51</v>
      </c>
      <c r="G16" s="19">
        <v>2.6499999999999999E-2</v>
      </c>
      <c r="H16" s="20"/>
    </row>
    <row r="17" spans="1:11" ht="13.05" customHeight="1">
      <c r="A17" s="15" t="s">
        <v>46</v>
      </c>
      <c r="B17" s="16" t="s">
        <v>47</v>
      </c>
      <c r="C17" s="12" t="s">
        <v>48</v>
      </c>
      <c r="D17" s="13" t="s">
        <v>49</v>
      </c>
      <c r="E17" s="17">
        <v>18763</v>
      </c>
      <c r="F17" s="18">
        <v>355.11</v>
      </c>
      <c r="G17" s="19">
        <v>2.5700000000000001E-2</v>
      </c>
      <c r="H17" s="20"/>
    </row>
    <row r="18" spans="1:11" ht="13.05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6326</v>
      </c>
      <c r="F18" s="18">
        <v>346.66</v>
      </c>
      <c r="G18" s="19">
        <v>2.5100000000000001E-2</v>
      </c>
      <c r="H18" s="20"/>
    </row>
    <row r="19" spans="1:11" ht="13.05" customHeight="1">
      <c r="A19" s="15" t="s">
        <v>54</v>
      </c>
      <c r="B19" s="16" t="s">
        <v>55</v>
      </c>
      <c r="C19" s="12" t="s">
        <v>56</v>
      </c>
      <c r="D19" s="13" t="s">
        <v>24</v>
      </c>
      <c r="E19" s="17">
        <v>70521</v>
      </c>
      <c r="F19" s="18">
        <v>342.1</v>
      </c>
      <c r="G19" s="19">
        <v>2.4799999999999999E-2</v>
      </c>
      <c r="H19" s="20"/>
    </row>
    <row r="20" spans="1:11" ht="13.05" customHeight="1">
      <c r="A20" s="15" t="s">
        <v>57</v>
      </c>
      <c r="B20" s="16" t="s">
        <v>58</v>
      </c>
      <c r="C20" s="12" t="s">
        <v>59</v>
      </c>
      <c r="D20" s="13" t="s">
        <v>60</v>
      </c>
      <c r="E20" s="17">
        <v>6399</v>
      </c>
      <c r="F20" s="18">
        <v>336.86</v>
      </c>
      <c r="G20" s="19">
        <v>2.4400000000000002E-2</v>
      </c>
      <c r="H20" s="20"/>
      <c r="K20" s="1"/>
    </row>
    <row r="21" spans="1:11" ht="13.05" customHeight="1">
      <c r="A21" s="15" t="s">
        <v>61</v>
      </c>
      <c r="B21" s="16" t="s">
        <v>62</v>
      </c>
      <c r="C21" s="12" t="s">
        <v>63</v>
      </c>
      <c r="D21" s="13" t="s">
        <v>35</v>
      </c>
      <c r="E21" s="17">
        <v>3916</v>
      </c>
      <c r="F21" s="18">
        <v>331.82</v>
      </c>
      <c r="G21" s="19">
        <v>2.41E-2</v>
      </c>
      <c r="H21" s="20"/>
    </row>
    <row r="22" spans="1:11" ht="13.05" customHeight="1">
      <c r="A22" s="15" t="s">
        <v>64</v>
      </c>
      <c r="B22" s="16" t="s">
        <v>65</v>
      </c>
      <c r="C22" s="12" t="s">
        <v>66</v>
      </c>
      <c r="D22" s="13" t="s">
        <v>67</v>
      </c>
      <c r="E22" s="17">
        <v>75453</v>
      </c>
      <c r="F22" s="18">
        <v>314.33999999999997</v>
      </c>
      <c r="G22" s="19">
        <v>2.2800000000000001E-2</v>
      </c>
      <c r="H22" s="20"/>
    </row>
    <row r="23" spans="1:11" ht="13.05" customHeight="1">
      <c r="A23" s="15" t="s">
        <v>68</v>
      </c>
      <c r="B23" s="16" t="s">
        <v>69</v>
      </c>
      <c r="C23" s="12" t="s">
        <v>70</v>
      </c>
      <c r="D23" s="13" t="s">
        <v>45</v>
      </c>
      <c r="E23" s="17">
        <v>43562</v>
      </c>
      <c r="F23" s="18">
        <v>313.04000000000002</v>
      </c>
      <c r="G23" s="19">
        <v>2.2700000000000001E-2</v>
      </c>
      <c r="H23" s="20"/>
    </row>
    <row r="24" spans="1:11" ht="13.05" customHeight="1">
      <c r="A24" s="15" t="s">
        <v>71</v>
      </c>
      <c r="B24" s="16" t="s">
        <v>72</v>
      </c>
      <c r="C24" s="12" t="s">
        <v>73</v>
      </c>
      <c r="D24" s="13" t="s">
        <v>67</v>
      </c>
      <c r="E24" s="17">
        <v>197657</v>
      </c>
      <c r="F24" s="18">
        <v>310.24</v>
      </c>
      <c r="G24" s="19">
        <v>2.2499999999999999E-2</v>
      </c>
      <c r="H24" s="20"/>
    </row>
    <row r="25" spans="1:11" ht="13.05" customHeight="1">
      <c r="A25" s="15" t="s">
        <v>74</v>
      </c>
      <c r="B25" s="16" t="s">
        <v>75</v>
      </c>
      <c r="C25" s="12" t="s">
        <v>76</v>
      </c>
      <c r="D25" s="13" t="s">
        <v>60</v>
      </c>
      <c r="E25" s="17">
        <v>19213</v>
      </c>
      <c r="F25" s="18">
        <v>306.75</v>
      </c>
      <c r="G25" s="19">
        <v>2.2200000000000001E-2</v>
      </c>
      <c r="H25" s="20"/>
    </row>
    <row r="26" spans="1:11" ht="13.05" customHeight="1">
      <c r="A26" s="15" t="s">
        <v>77</v>
      </c>
      <c r="B26" s="16" t="s">
        <v>78</v>
      </c>
      <c r="C26" s="12" t="s">
        <v>79</v>
      </c>
      <c r="D26" s="13" t="s">
        <v>45</v>
      </c>
      <c r="E26" s="17">
        <v>1555254</v>
      </c>
      <c r="F26" s="18">
        <v>304.83</v>
      </c>
      <c r="G26" s="19">
        <v>2.2100000000000002E-2</v>
      </c>
      <c r="H26" s="20"/>
    </row>
    <row r="27" spans="1:11" ht="13.05" customHeight="1">
      <c r="A27" s="15" t="s">
        <v>80</v>
      </c>
      <c r="B27" s="16" t="s">
        <v>81</v>
      </c>
      <c r="C27" s="12" t="s">
        <v>82</v>
      </c>
      <c r="D27" s="13" t="s">
        <v>45</v>
      </c>
      <c r="E27" s="17">
        <v>20272</v>
      </c>
      <c r="F27" s="18">
        <v>303.76</v>
      </c>
      <c r="G27" s="19">
        <v>2.1999999999999999E-2</v>
      </c>
      <c r="H27" s="20"/>
    </row>
    <row r="28" spans="1:11" ht="13.05" customHeight="1">
      <c r="A28" s="15" t="s">
        <v>83</v>
      </c>
      <c r="B28" s="16" t="s">
        <v>84</v>
      </c>
      <c r="C28" s="12" t="s">
        <v>85</v>
      </c>
      <c r="D28" s="13" t="s">
        <v>86</v>
      </c>
      <c r="E28" s="17">
        <v>92443</v>
      </c>
      <c r="F28" s="18">
        <v>294.62</v>
      </c>
      <c r="G28" s="19">
        <v>2.1399999999999999E-2</v>
      </c>
      <c r="H28" s="20"/>
    </row>
    <row r="29" spans="1:11" ht="13.05" customHeight="1">
      <c r="A29" s="15" t="s">
        <v>87</v>
      </c>
      <c r="B29" s="16" t="s">
        <v>88</v>
      </c>
      <c r="C29" s="12" t="s">
        <v>89</v>
      </c>
      <c r="D29" s="13" t="s">
        <v>90</v>
      </c>
      <c r="E29" s="17">
        <v>35711</v>
      </c>
      <c r="F29" s="18">
        <v>293.72000000000003</v>
      </c>
      <c r="G29" s="19">
        <v>2.1299999999999999E-2</v>
      </c>
      <c r="H29" s="20"/>
    </row>
    <row r="30" spans="1:11" ht="13.05" customHeight="1">
      <c r="A30" s="15" t="s">
        <v>91</v>
      </c>
      <c r="B30" s="16" t="s">
        <v>92</v>
      </c>
      <c r="C30" s="12" t="s">
        <v>93</v>
      </c>
      <c r="D30" s="13" t="s">
        <v>53</v>
      </c>
      <c r="E30" s="17">
        <v>136785</v>
      </c>
      <c r="F30" s="18">
        <v>274.33999999999997</v>
      </c>
      <c r="G30" s="19">
        <v>1.9900000000000001E-2</v>
      </c>
      <c r="H30" s="20"/>
    </row>
    <row r="31" spans="1:11" ht="13.05" customHeight="1">
      <c r="A31" s="15" t="s">
        <v>94</v>
      </c>
      <c r="B31" s="16" t="s">
        <v>95</v>
      </c>
      <c r="C31" s="12" t="s">
        <v>96</v>
      </c>
      <c r="D31" s="13" t="s">
        <v>28</v>
      </c>
      <c r="E31" s="17">
        <v>2261</v>
      </c>
      <c r="F31" s="18">
        <v>270.67</v>
      </c>
      <c r="G31" s="19">
        <v>1.9599999999999999E-2</v>
      </c>
      <c r="H31" s="20"/>
    </row>
    <row r="32" spans="1:11" ht="13.05" customHeight="1">
      <c r="A32" s="15" t="s">
        <v>97</v>
      </c>
      <c r="B32" s="16" t="s">
        <v>98</v>
      </c>
      <c r="C32" s="12" t="s">
        <v>99</v>
      </c>
      <c r="D32" s="13" t="s">
        <v>60</v>
      </c>
      <c r="E32" s="17">
        <v>87701</v>
      </c>
      <c r="F32" s="18">
        <v>268.27999999999997</v>
      </c>
      <c r="G32" s="19">
        <v>1.9400000000000001E-2</v>
      </c>
      <c r="H32" s="20"/>
    </row>
    <row r="33" spans="1:8" ht="13.05" customHeight="1">
      <c r="A33" s="15" t="s">
        <v>100</v>
      </c>
      <c r="B33" s="16" t="s">
        <v>101</v>
      </c>
      <c r="C33" s="12" t="s">
        <v>102</v>
      </c>
      <c r="D33" s="13" t="s">
        <v>16</v>
      </c>
      <c r="E33" s="17">
        <v>6556</v>
      </c>
      <c r="F33" s="18">
        <v>257.25</v>
      </c>
      <c r="G33" s="19">
        <v>1.8599999999999998E-2</v>
      </c>
      <c r="H33" s="20"/>
    </row>
    <row r="34" spans="1:8" ht="13.05" customHeight="1">
      <c r="A34" s="15" t="s">
        <v>103</v>
      </c>
      <c r="B34" s="16" t="s">
        <v>104</v>
      </c>
      <c r="C34" s="12" t="s">
        <v>105</v>
      </c>
      <c r="D34" s="13" t="s">
        <v>49</v>
      </c>
      <c r="E34" s="17">
        <v>16390</v>
      </c>
      <c r="F34" s="18">
        <v>246.43</v>
      </c>
      <c r="G34" s="19">
        <v>1.7899999999999999E-2</v>
      </c>
      <c r="H34" s="20"/>
    </row>
    <row r="35" spans="1:8" ht="13.05" customHeight="1">
      <c r="A35" s="15" t="s">
        <v>106</v>
      </c>
      <c r="B35" s="16" t="s">
        <v>107</v>
      </c>
      <c r="C35" s="12" t="s">
        <v>108</v>
      </c>
      <c r="D35" s="13" t="s">
        <v>45</v>
      </c>
      <c r="E35" s="17">
        <v>224613</v>
      </c>
      <c r="F35" s="18">
        <v>226.19</v>
      </c>
      <c r="G35" s="19">
        <v>1.6400000000000001E-2</v>
      </c>
      <c r="H35" s="20"/>
    </row>
    <row r="36" spans="1:8" ht="13.05" customHeight="1">
      <c r="A36" s="15" t="s">
        <v>109</v>
      </c>
      <c r="B36" s="16" t="s">
        <v>110</v>
      </c>
      <c r="C36" s="12" t="s">
        <v>111</v>
      </c>
      <c r="D36" s="13" t="s">
        <v>112</v>
      </c>
      <c r="E36" s="17">
        <v>183214</v>
      </c>
      <c r="F36" s="18">
        <v>225.83</v>
      </c>
      <c r="G36" s="19">
        <v>1.6400000000000001E-2</v>
      </c>
      <c r="H36" s="20"/>
    </row>
    <row r="37" spans="1:8" ht="13.05" customHeight="1">
      <c r="A37" s="15" t="s">
        <v>113</v>
      </c>
      <c r="B37" s="16" t="s">
        <v>114</v>
      </c>
      <c r="C37" s="12" t="s">
        <v>115</v>
      </c>
      <c r="D37" s="13" t="s">
        <v>116</v>
      </c>
      <c r="E37" s="17">
        <v>15529</v>
      </c>
      <c r="F37" s="18">
        <v>216.98</v>
      </c>
      <c r="G37" s="19">
        <v>1.5699999999999999E-2</v>
      </c>
      <c r="H37" s="20"/>
    </row>
    <row r="38" spans="1:8" ht="13.05" customHeight="1">
      <c r="A38" s="15" t="s">
        <v>117</v>
      </c>
      <c r="B38" s="16" t="s">
        <v>118</v>
      </c>
      <c r="C38" s="12" t="s">
        <v>119</v>
      </c>
      <c r="D38" s="13" t="s">
        <v>120</v>
      </c>
      <c r="E38" s="17">
        <v>13357</v>
      </c>
      <c r="F38" s="18">
        <v>216.56</v>
      </c>
      <c r="G38" s="19">
        <v>1.5699999999999999E-2</v>
      </c>
      <c r="H38" s="20"/>
    </row>
    <row r="39" spans="1:8" ht="13.05" customHeight="1">
      <c r="A39" s="15" t="s">
        <v>121</v>
      </c>
      <c r="B39" s="16" t="s">
        <v>122</v>
      </c>
      <c r="C39" s="12" t="s">
        <v>123</v>
      </c>
      <c r="D39" s="13" t="s">
        <v>112</v>
      </c>
      <c r="E39" s="17">
        <v>39421</v>
      </c>
      <c r="F39" s="18">
        <v>215.04</v>
      </c>
      <c r="G39" s="19">
        <v>1.5599999999999999E-2</v>
      </c>
      <c r="H39" s="20"/>
    </row>
    <row r="40" spans="1:8" ht="13.05" customHeight="1">
      <c r="A40" s="15" t="s">
        <v>124</v>
      </c>
      <c r="B40" s="16" t="s">
        <v>125</v>
      </c>
      <c r="C40" s="12" t="s">
        <v>126</v>
      </c>
      <c r="D40" s="13" t="s">
        <v>67</v>
      </c>
      <c r="E40" s="17">
        <v>66801</v>
      </c>
      <c r="F40" s="18">
        <v>211.39</v>
      </c>
      <c r="G40" s="19">
        <v>1.5299999999999999E-2</v>
      </c>
      <c r="H40" s="20"/>
    </row>
    <row r="41" spans="1:8" ht="13.05" customHeight="1">
      <c r="A41" s="15" t="s">
        <v>127</v>
      </c>
      <c r="B41" s="16" t="s">
        <v>128</v>
      </c>
      <c r="C41" s="12" t="s">
        <v>129</v>
      </c>
      <c r="D41" s="13" t="s">
        <v>130</v>
      </c>
      <c r="E41" s="17">
        <v>4637</v>
      </c>
      <c r="F41" s="18">
        <v>204.95</v>
      </c>
      <c r="G41" s="19">
        <v>1.49E-2</v>
      </c>
      <c r="H41" s="20"/>
    </row>
    <row r="42" spans="1:8" ht="13.05" customHeight="1">
      <c r="A42" s="15" t="s">
        <v>131</v>
      </c>
      <c r="B42" s="16" t="s">
        <v>132</v>
      </c>
      <c r="C42" s="12" t="s">
        <v>133</v>
      </c>
      <c r="D42" s="13" t="s">
        <v>134</v>
      </c>
      <c r="E42" s="17">
        <v>2136</v>
      </c>
      <c r="F42" s="18">
        <v>202.96</v>
      </c>
      <c r="G42" s="19">
        <v>1.47E-2</v>
      </c>
      <c r="H42" s="20"/>
    </row>
    <row r="43" spans="1:8" ht="13.05" customHeight="1">
      <c r="A43" s="15" t="s">
        <v>135</v>
      </c>
      <c r="B43" s="16" t="s">
        <v>136</v>
      </c>
      <c r="C43" s="12" t="s">
        <v>137</v>
      </c>
      <c r="D43" s="13" t="s">
        <v>120</v>
      </c>
      <c r="E43" s="17">
        <v>18768</v>
      </c>
      <c r="F43" s="18">
        <v>201.56</v>
      </c>
      <c r="G43" s="19">
        <v>1.46E-2</v>
      </c>
      <c r="H43" s="20"/>
    </row>
    <row r="44" spans="1:8" ht="13.05" customHeight="1">
      <c r="A44" s="15" t="s">
        <v>138</v>
      </c>
      <c r="B44" s="16" t="s">
        <v>139</v>
      </c>
      <c r="C44" s="12" t="s">
        <v>140</v>
      </c>
      <c r="D44" s="13" t="s">
        <v>112</v>
      </c>
      <c r="E44" s="17">
        <v>147339</v>
      </c>
      <c r="F44" s="18">
        <v>201.4</v>
      </c>
      <c r="G44" s="19">
        <v>1.46E-2</v>
      </c>
      <c r="H44" s="20"/>
    </row>
    <row r="45" spans="1:8" ht="13.05" customHeight="1">
      <c r="A45" s="15" t="s">
        <v>141</v>
      </c>
      <c r="B45" s="16" t="s">
        <v>142</v>
      </c>
      <c r="C45" s="12" t="s">
        <v>143</v>
      </c>
      <c r="D45" s="13" t="s">
        <v>130</v>
      </c>
      <c r="E45" s="17">
        <v>5010</v>
      </c>
      <c r="F45" s="18">
        <v>198.74</v>
      </c>
      <c r="G45" s="19">
        <v>1.44E-2</v>
      </c>
      <c r="H45" s="20"/>
    </row>
    <row r="46" spans="1:8" ht="13.05" customHeight="1">
      <c r="A46" s="15" t="s">
        <v>144</v>
      </c>
      <c r="B46" s="16" t="s">
        <v>145</v>
      </c>
      <c r="C46" s="12" t="s">
        <v>146</v>
      </c>
      <c r="D46" s="13" t="s">
        <v>147</v>
      </c>
      <c r="E46" s="17">
        <v>1967</v>
      </c>
      <c r="F46" s="18">
        <v>194.38</v>
      </c>
      <c r="G46" s="19">
        <v>1.41E-2</v>
      </c>
      <c r="H46" s="20"/>
    </row>
    <row r="47" spans="1:8" ht="13.05" customHeight="1">
      <c r="A47" s="15" t="s">
        <v>148</v>
      </c>
      <c r="B47" s="16" t="s">
        <v>149</v>
      </c>
      <c r="C47" s="12" t="s">
        <v>150</v>
      </c>
      <c r="D47" s="13" t="s">
        <v>130</v>
      </c>
      <c r="E47" s="17">
        <v>3181</v>
      </c>
      <c r="F47" s="18">
        <v>189.46</v>
      </c>
      <c r="G47" s="19">
        <v>1.37E-2</v>
      </c>
      <c r="H47" s="20"/>
    </row>
    <row r="48" spans="1:8" ht="13.05" customHeight="1">
      <c r="A48" s="15" t="s">
        <v>151</v>
      </c>
      <c r="B48" s="16" t="s">
        <v>152</v>
      </c>
      <c r="C48" s="12" t="s">
        <v>153</v>
      </c>
      <c r="D48" s="13" t="s">
        <v>35</v>
      </c>
      <c r="E48" s="17">
        <v>2221</v>
      </c>
      <c r="F48" s="18">
        <v>188.58</v>
      </c>
      <c r="G48" s="19">
        <v>1.37E-2</v>
      </c>
      <c r="H48" s="20"/>
    </row>
    <row r="49" spans="1:8" ht="13.05" customHeight="1">
      <c r="A49" s="15" t="s">
        <v>154</v>
      </c>
      <c r="B49" s="16" t="s">
        <v>155</v>
      </c>
      <c r="C49" s="12" t="s">
        <v>156</v>
      </c>
      <c r="D49" s="13" t="s">
        <v>120</v>
      </c>
      <c r="E49" s="17">
        <v>14212</v>
      </c>
      <c r="F49" s="18">
        <v>174.88</v>
      </c>
      <c r="G49" s="19">
        <v>1.2699999999999999E-2</v>
      </c>
      <c r="H49" s="20"/>
    </row>
    <row r="50" spans="1:8" ht="13.05" customHeight="1">
      <c r="A50" s="15" t="s">
        <v>157</v>
      </c>
      <c r="B50" s="16" t="s">
        <v>158</v>
      </c>
      <c r="C50" s="12" t="s">
        <v>159</v>
      </c>
      <c r="D50" s="13" t="s">
        <v>120</v>
      </c>
      <c r="E50" s="17">
        <v>13675</v>
      </c>
      <c r="F50" s="18">
        <v>165.14</v>
      </c>
      <c r="G50" s="19">
        <v>1.2E-2</v>
      </c>
      <c r="H50" s="20"/>
    </row>
    <row r="51" spans="1:8" ht="13.05" customHeight="1">
      <c r="A51" s="15" t="s">
        <v>160</v>
      </c>
      <c r="B51" s="16" t="s">
        <v>161</v>
      </c>
      <c r="C51" s="12" t="s">
        <v>162</v>
      </c>
      <c r="D51" s="13" t="s">
        <v>16</v>
      </c>
      <c r="E51" s="17">
        <v>5830</v>
      </c>
      <c r="F51" s="18">
        <v>151.69999999999999</v>
      </c>
      <c r="G51" s="19">
        <v>1.0999999999999999E-2</v>
      </c>
      <c r="H51" s="20"/>
    </row>
    <row r="52" spans="1:8" ht="13.05" customHeight="1">
      <c r="A52" s="15" t="s">
        <v>163</v>
      </c>
      <c r="B52" s="16" t="s">
        <v>164</v>
      </c>
      <c r="C52" s="12" t="s">
        <v>165</v>
      </c>
      <c r="D52" s="13" t="s">
        <v>166</v>
      </c>
      <c r="E52" s="17">
        <v>9263</v>
      </c>
      <c r="F52" s="18">
        <v>150.94</v>
      </c>
      <c r="G52" s="19">
        <v>1.09E-2</v>
      </c>
      <c r="H52" s="20"/>
    </row>
    <row r="53" spans="1:8" ht="13.05" customHeight="1">
      <c r="A53" s="15" t="s">
        <v>167</v>
      </c>
      <c r="B53" s="16" t="s">
        <v>168</v>
      </c>
      <c r="C53" s="12" t="s">
        <v>169</v>
      </c>
      <c r="D53" s="13" t="s">
        <v>112</v>
      </c>
      <c r="E53" s="17">
        <v>125148</v>
      </c>
      <c r="F53" s="18">
        <v>149.51</v>
      </c>
      <c r="G53" s="19">
        <v>1.0800000000000001E-2</v>
      </c>
      <c r="H53" s="20"/>
    </row>
    <row r="54" spans="1:8" ht="13.05" customHeight="1">
      <c r="A54" s="15" t="s">
        <v>170</v>
      </c>
      <c r="B54" s="16" t="s">
        <v>171</v>
      </c>
      <c r="C54" s="12" t="s">
        <v>172</v>
      </c>
      <c r="D54" s="13" t="s">
        <v>173</v>
      </c>
      <c r="E54" s="17">
        <v>37599</v>
      </c>
      <c r="F54" s="18">
        <v>142.41</v>
      </c>
      <c r="G54" s="19">
        <v>1.03E-2</v>
      </c>
      <c r="H54" s="20"/>
    </row>
    <row r="55" spans="1:8" ht="13.05" customHeight="1">
      <c r="A55" s="15" t="s">
        <v>174</v>
      </c>
      <c r="B55" s="16" t="s">
        <v>175</v>
      </c>
      <c r="C55" s="12" t="s">
        <v>176</v>
      </c>
      <c r="D55" s="13" t="s">
        <v>45</v>
      </c>
      <c r="E55" s="17">
        <v>7770</v>
      </c>
      <c r="F55" s="18">
        <v>138.99</v>
      </c>
      <c r="G55" s="19">
        <v>1.01E-2</v>
      </c>
      <c r="H55" s="20"/>
    </row>
    <row r="56" spans="1:8" ht="13.05" customHeight="1">
      <c r="A56" s="15" t="s">
        <v>177</v>
      </c>
      <c r="B56" s="16" t="s">
        <v>178</v>
      </c>
      <c r="C56" s="12" t="s">
        <v>179</v>
      </c>
      <c r="D56" s="13" t="s">
        <v>147</v>
      </c>
      <c r="E56" s="17">
        <v>19125</v>
      </c>
      <c r="F56" s="18">
        <v>132.02000000000001</v>
      </c>
      <c r="G56" s="19">
        <v>9.5999999999999992E-3</v>
      </c>
      <c r="H56" s="20"/>
    </row>
    <row r="57" spans="1:8" ht="13.05" customHeight="1">
      <c r="A57" s="15" t="s">
        <v>180</v>
      </c>
      <c r="B57" s="16" t="s">
        <v>181</v>
      </c>
      <c r="C57" s="12" t="s">
        <v>182</v>
      </c>
      <c r="D57" s="13" t="s">
        <v>134</v>
      </c>
      <c r="E57" s="17">
        <v>5327</v>
      </c>
      <c r="F57" s="18">
        <v>125.98</v>
      </c>
      <c r="G57" s="19">
        <v>9.1000000000000004E-3</v>
      </c>
      <c r="H57" s="20"/>
    </row>
    <row r="58" spans="1:8" ht="13.05" customHeight="1">
      <c r="A58" s="4"/>
      <c r="B58" s="21" t="s">
        <v>183</v>
      </c>
      <c r="C58" s="22"/>
      <c r="D58" s="21"/>
      <c r="E58" s="21"/>
      <c r="F58" s="23">
        <v>13729.98</v>
      </c>
      <c r="G58" s="24">
        <v>0.99519999999999997</v>
      </c>
      <c r="H58" s="25"/>
    </row>
    <row r="59" spans="1:8" ht="13.05" customHeight="1">
      <c r="A59" s="4"/>
      <c r="B59" s="11" t="s">
        <v>184</v>
      </c>
      <c r="C59" s="26"/>
      <c r="D59" s="27"/>
      <c r="E59" s="27"/>
      <c r="F59" s="28" t="s">
        <v>185</v>
      </c>
      <c r="G59" s="28" t="s">
        <v>185</v>
      </c>
      <c r="H59" s="25" t="s">
        <v>185</v>
      </c>
    </row>
    <row r="60" spans="1:8" ht="13.05" customHeight="1">
      <c r="A60" s="4"/>
      <c r="B60" s="21" t="s">
        <v>183</v>
      </c>
      <c r="C60" s="26"/>
      <c r="D60" s="27"/>
      <c r="E60" s="27"/>
      <c r="F60" s="28" t="s">
        <v>185</v>
      </c>
      <c r="G60" s="28" t="s">
        <v>185</v>
      </c>
      <c r="H60" s="25" t="s">
        <v>185</v>
      </c>
    </row>
    <row r="61" spans="1:8" ht="13.05" customHeight="1">
      <c r="A61" s="4"/>
      <c r="B61" s="21" t="s">
        <v>186</v>
      </c>
      <c r="C61" s="26"/>
      <c r="D61" s="27"/>
      <c r="E61" s="29"/>
      <c r="F61" s="30">
        <v>13729.98</v>
      </c>
      <c r="G61" s="31">
        <v>0.99519999999999997</v>
      </c>
      <c r="H61" s="32"/>
    </row>
    <row r="62" spans="1:8" ht="13.05" customHeight="1">
      <c r="A62" s="4"/>
      <c r="B62" s="11" t="s">
        <v>187</v>
      </c>
      <c r="C62" s="12"/>
      <c r="D62" s="13"/>
      <c r="E62" s="13"/>
      <c r="F62" s="13"/>
      <c r="G62" s="13"/>
      <c r="H62" s="14"/>
    </row>
    <row r="63" spans="1:8" ht="13.05" customHeight="1">
      <c r="A63" s="4"/>
      <c r="B63" s="33" t="s">
        <v>188</v>
      </c>
      <c r="C63" s="12"/>
      <c r="D63" s="13"/>
      <c r="E63" s="13"/>
      <c r="F63" s="13"/>
      <c r="G63" s="13"/>
      <c r="H63" s="14"/>
    </row>
    <row r="64" spans="1:8" ht="13.05" customHeight="1">
      <c r="A64" s="5"/>
      <c r="B64" s="16" t="s">
        <v>189</v>
      </c>
      <c r="C64" s="12"/>
      <c r="D64" s="13"/>
      <c r="E64" s="34"/>
      <c r="F64" s="18">
        <v>116.15</v>
      </c>
      <c r="G64" s="19">
        <v>8.3999999999999995E-3</v>
      </c>
      <c r="H64" s="20">
        <v>6.6331997500000003E-2</v>
      </c>
    </row>
    <row r="65" spans="1:8" ht="13.05" customHeight="1">
      <c r="A65" s="4"/>
      <c r="B65" s="21" t="s">
        <v>186</v>
      </c>
      <c r="C65" s="26"/>
      <c r="D65" s="27"/>
      <c r="E65" s="29"/>
      <c r="F65" s="30">
        <v>116.15</v>
      </c>
      <c r="G65" s="31">
        <v>8.3999999999999995E-3</v>
      </c>
      <c r="H65" s="32"/>
    </row>
    <row r="66" spans="1:8" ht="13.05" customHeight="1">
      <c r="A66" s="4"/>
      <c r="B66" s="33" t="s">
        <v>190</v>
      </c>
      <c r="C66" s="35"/>
      <c r="D66" s="36"/>
      <c r="E66" s="36"/>
      <c r="F66" s="36"/>
      <c r="G66" s="36"/>
      <c r="H66" s="37"/>
    </row>
    <row r="67" spans="1:8" ht="13.05" customHeight="1">
      <c r="A67" s="4"/>
      <c r="B67" s="27" t="s">
        <v>191</v>
      </c>
      <c r="C67" s="26"/>
      <c r="D67" s="27"/>
      <c r="E67" s="27"/>
      <c r="F67" s="23">
        <v>0.72</v>
      </c>
      <c r="G67" s="24">
        <v>1E-4</v>
      </c>
      <c r="H67" s="37"/>
    </row>
    <row r="68" spans="1:8" ht="13.05" customHeight="1">
      <c r="A68" s="4"/>
      <c r="B68" s="21" t="s">
        <v>183</v>
      </c>
      <c r="C68" s="22"/>
      <c r="D68" s="21"/>
      <c r="E68" s="21"/>
      <c r="F68" s="23">
        <v>0.72</v>
      </c>
      <c r="G68" s="24">
        <v>1E-4</v>
      </c>
      <c r="H68" s="37"/>
    </row>
    <row r="69" spans="1:8" ht="13.05" customHeight="1">
      <c r="A69" s="4"/>
      <c r="B69" s="21" t="s">
        <v>192</v>
      </c>
      <c r="C69" s="26"/>
      <c r="D69" s="27"/>
      <c r="E69" s="27"/>
      <c r="F69" s="23">
        <v>-50.8</v>
      </c>
      <c r="G69" s="38">
        <v>-3.7000000000000002E-3</v>
      </c>
      <c r="H69" s="37"/>
    </row>
    <row r="70" spans="1:8" ht="13.05" customHeight="1" thickBot="1">
      <c r="A70" s="4"/>
      <c r="B70" s="39" t="s">
        <v>193</v>
      </c>
      <c r="C70" s="40"/>
      <c r="D70" s="41"/>
      <c r="E70" s="41"/>
      <c r="F70" s="42">
        <v>13796.049090758501</v>
      </c>
      <c r="G70" s="43">
        <v>1</v>
      </c>
      <c r="H70" s="44"/>
    </row>
    <row r="71" spans="1:8" ht="13.05" customHeight="1">
      <c r="A71" s="4"/>
      <c r="B71" s="45"/>
      <c r="C71" s="4"/>
      <c r="D71" s="4"/>
      <c r="E71" s="4"/>
      <c r="F71" s="4"/>
      <c r="G71" s="4"/>
      <c r="H71" s="4"/>
    </row>
    <row r="72" spans="1:8" ht="13.05" customHeight="1">
      <c r="A72" s="4"/>
      <c r="B72" s="45"/>
      <c r="C72" s="4"/>
      <c r="D72" s="4"/>
      <c r="E72" s="4"/>
      <c r="F72" s="4"/>
      <c r="G72" s="4"/>
      <c r="H72" s="4"/>
    </row>
    <row r="73" spans="1:8" ht="28.8">
      <c r="B73" s="46" t="s">
        <v>194</v>
      </c>
      <c r="C73" s="4"/>
    </row>
    <row r="74" spans="1:8">
      <c r="B74" s="47" t="s">
        <v>195</v>
      </c>
      <c r="C74" s="47" t="s">
        <v>9</v>
      </c>
    </row>
    <row r="75" spans="1:8">
      <c r="B75" s="48" t="s">
        <v>14</v>
      </c>
      <c r="C75" s="49">
        <f>G8</f>
        <v>3.85E-2</v>
      </c>
    </row>
    <row r="76" spans="1:8">
      <c r="B76" s="48" t="s">
        <v>18</v>
      </c>
      <c r="C76" s="49">
        <f t="shared" ref="C76:C81" si="0">G9</f>
        <v>3.6200000000000003E-2</v>
      </c>
    </row>
    <row r="77" spans="1:8">
      <c r="B77" s="48" t="s">
        <v>22</v>
      </c>
      <c r="C77" s="49">
        <f t="shared" si="0"/>
        <v>3.5499999999999997E-2</v>
      </c>
    </row>
    <row r="78" spans="1:8">
      <c r="B78" s="48" t="s">
        <v>26</v>
      </c>
      <c r="C78" s="49">
        <f t="shared" si="0"/>
        <v>3.5400000000000001E-2</v>
      </c>
    </row>
    <row r="79" spans="1:8">
      <c r="B79" s="48" t="s">
        <v>30</v>
      </c>
      <c r="C79" s="49">
        <f t="shared" si="0"/>
        <v>3.3599999999999998E-2</v>
      </c>
    </row>
    <row r="80" spans="1:8">
      <c r="B80" s="48" t="s">
        <v>33</v>
      </c>
      <c r="C80" s="49">
        <f t="shared" si="0"/>
        <v>3.0499999999999999E-2</v>
      </c>
    </row>
    <row r="81" spans="2:3">
      <c r="B81" s="48" t="s">
        <v>37</v>
      </c>
      <c r="C81" s="49">
        <f t="shared" si="0"/>
        <v>2.8299999999999999E-2</v>
      </c>
    </row>
    <row r="83" spans="2:3">
      <c r="B83" s="46" t="s">
        <v>196</v>
      </c>
    </row>
    <row r="84" spans="2:3">
      <c r="B84" s="47" t="s">
        <v>197</v>
      </c>
      <c r="C84" s="47" t="s">
        <v>9</v>
      </c>
    </row>
    <row r="85" spans="2:3">
      <c r="B85" s="48" t="s">
        <v>198</v>
      </c>
      <c r="C85" s="49">
        <v>0.1767</v>
      </c>
    </row>
    <row r="86" spans="2:3">
      <c r="B86" s="48" t="s">
        <v>199</v>
      </c>
      <c r="C86" s="49">
        <v>3.85E-2</v>
      </c>
    </row>
    <row r="87" spans="2:3">
      <c r="B87" s="48" t="s">
        <v>200</v>
      </c>
      <c r="C87" s="49">
        <v>3.6200000000000003E-2</v>
      </c>
    </row>
    <row r="88" spans="2:3">
      <c r="B88" s="48" t="s">
        <v>201</v>
      </c>
      <c r="C88" s="49">
        <v>3.5400000000000001E-2</v>
      </c>
    </row>
    <row r="89" spans="2:3">
      <c r="B89" s="48" t="s">
        <v>202</v>
      </c>
      <c r="C89" s="49">
        <v>3.3599999999999998E-2</v>
      </c>
    </row>
    <row r="90" spans="2:3">
      <c r="B90" s="48" t="s">
        <v>203</v>
      </c>
      <c r="C90" s="49">
        <v>3.2800000000000003E-2</v>
      </c>
    </row>
    <row r="91" spans="2:3">
      <c r="B91" s="48" t="s">
        <v>204</v>
      </c>
      <c r="C91" s="49">
        <v>3.0499999999999999E-2</v>
      </c>
    </row>
    <row r="93" spans="2:3">
      <c r="B93" s="46" t="s">
        <v>205</v>
      </c>
    </row>
    <row r="94" spans="2:3">
      <c r="B94" s="47" t="s">
        <v>206</v>
      </c>
      <c r="C94" s="47" t="s">
        <v>9</v>
      </c>
    </row>
    <row r="95" spans="2:3">
      <c r="B95" s="48" t="s">
        <v>207</v>
      </c>
      <c r="C95" s="49">
        <v>0.2737</v>
      </c>
    </row>
    <row r="96" spans="2:3">
      <c r="B96" s="48" t="s">
        <v>208</v>
      </c>
      <c r="C96" s="49">
        <v>0.2414</v>
      </c>
    </row>
    <row r="97" spans="2:6">
      <c r="B97" s="48" t="s">
        <v>45</v>
      </c>
      <c r="C97" s="49">
        <v>0.11979999999999999</v>
      </c>
    </row>
    <row r="98" spans="2:6">
      <c r="B98" s="48" t="s">
        <v>67</v>
      </c>
      <c r="C98" s="49">
        <v>6.0600000000000001E-2</v>
      </c>
    </row>
    <row r="99" spans="2:6">
      <c r="F99" s="50" t="s">
        <v>209</v>
      </c>
    </row>
    <row r="100" spans="2:6">
      <c r="B100" s="50" t="s">
        <v>210</v>
      </c>
      <c r="F100" s="50" t="s">
        <v>211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IDF295</vt:lpstr>
      <vt:lpstr>JR_PAGE_ANCHOR_0_55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2024-07-05T18:59:30Z</dcterms:created>
  <dcterms:modified xsi:type="dcterms:W3CDTF">2024-07-05T18:59:30Z</dcterms:modified>
</cp:coreProperties>
</file>