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swapna\Desktop\Fortnightly\Final sent\"/>
    </mc:Choice>
  </mc:AlternateContent>
  <xr:revisionPtr revIDLastSave="0" documentId="13_ncr:1_{450067C2-E589-4440-AA51-59FA0BCB8E0A}" xr6:coauthVersionLast="47" xr6:coauthVersionMax="47" xr10:uidLastSave="{00000000-0000-0000-0000-000000000000}"/>
  <bookViews>
    <workbookView xWindow="-120" yWindow="-120" windowWidth="19440" windowHeight="15000" tabRatio="942" xr2:uid="{00000000-000D-0000-FFFF-FFFF00000000}"/>
  </bookViews>
  <sheets>
    <sheet name="Index" sheetId="30" r:id="rId1"/>
    <sheet name="CAPEXG" sheetId="1" r:id="rId2"/>
    <sheet name="GLOB" sheetId="33" r:id="rId3"/>
    <sheet name="MIDCAP" sheetId="2" r:id="rId4"/>
    <sheet name="MULTIP" sheetId="3" r:id="rId5"/>
    <sheet name="SESCAP6" sheetId="4" r:id="rId6"/>
    <sheet name="SESCAP7" sheetId="5" r:id="rId7"/>
    <sheet name="SLTADV3" sheetId="6" r:id="rId8"/>
    <sheet name="SLTADV4" sheetId="7" r:id="rId9"/>
    <sheet name="SLTAX1" sheetId="8" r:id="rId10"/>
    <sheet name="SLTAX2" sheetId="9" r:id="rId11"/>
    <sheet name="SLTAX3" sheetId="10" r:id="rId12"/>
    <sheet name="SLTAX4" sheetId="11" r:id="rId13"/>
    <sheet name="SLTAX5" sheetId="12" r:id="rId14"/>
    <sheet name="SLTAX6" sheetId="13" r:id="rId15"/>
    <sheet name="SMILE" sheetId="14" r:id="rId16"/>
    <sheet name="SPAHF" sheetId="15" r:id="rId17"/>
    <sheet name="SPARF" sheetId="16" r:id="rId18"/>
    <sheet name="SPBAF" sheetId="17" r:id="rId19"/>
    <sheet name="SPDYF" sheetId="18" r:id="rId20"/>
    <sheet name="SPESF" sheetId="19" r:id="rId21"/>
    <sheet name="SPFOCUS" sheetId="20" r:id="rId22"/>
    <sheet name="SPMUCF" sheetId="21" r:id="rId23"/>
    <sheet name="SPSN100" sheetId="22" r:id="rId24"/>
    <sheet name="SPTAX" sheetId="23" r:id="rId25"/>
    <sheet name="SRURAL" sheetId="24" r:id="rId26"/>
    <sheet name="SSFUND" sheetId="25" r:id="rId27"/>
    <sheet name="STAX" sheetId="26" r:id="rId28"/>
    <sheet name="SUNBCF" sheetId="27" r:id="rId29"/>
    <sheet name="SUNFCF" sheetId="28" r:id="rId30"/>
    <sheet name="SUNFOP" sheetId="29" r:id="rId31"/>
    <sheet name="Annexure-A" sheetId="34" r:id="rId32"/>
  </sheets>
  <definedNames>
    <definedName name="_xlnm._FilterDatabase" localSheetId="0" hidden="1">Index!$A$1:$D$30</definedName>
    <definedName name="_xlnm._FilterDatabase" localSheetId="16" hidden="1">SPAHF!$A$4:$I$196</definedName>
    <definedName name="_xlnm._FilterDatabase" localSheetId="19" hidden="1">SPDYF!$A$4:$N$174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4" i="14" l="1"/>
  <c r="G145" i="17" l="1"/>
  <c r="F145" i="17"/>
  <c r="G87" i="14" l="1"/>
  <c r="F87" i="14"/>
</calcChain>
</file>

<file path=xl/sharedStrings.xml><?xml version="1.0" encoding="utf-8"?>
<sst xmlns="http://schemas.openxmlformats.org/spreadsheetml/2006/main" count="9038" uniqueCount="1167">
  <si>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</si>
  <si>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</si>
  <si>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</si>
  <si>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</si>
  <si>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</si>
  <si>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</si>
  <si>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</si>
  <si>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</si>
  <si>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</si>
  <si>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</si>
  <si>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</si>
  <si>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</si>
  <si>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</si>
  <si>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</si>
  <si>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INE397D01024</t>
  </si>
  <si>
    <t>Bharti Airtel Ltd</t>
  </si>
  <si>
    <t>Telecom - Services</t>
  </si>
  <si>
    <t>INE733E01010</t>
  </si>
  <si>
    <t>NTPC LTD</t>
  </si>
  <si>
    <t>Power</t>
  </si>
  <si>
    <t>INE002A01018</t>
  </si>
  <si>
    <t>Reliance Industries Ltd</t>
  </si>
  <si>
    <t>Petroleum Products</t>
  </si>
  <si>
    <t>INE481G01011</t>
  </si>
  <si>
    <t>Ultratech Cement Ltd</t>
  </si>
  <si>
    <t>Cement &amp; Cement Products</t>
  </si>
  <si>
    <t>INE090A01021</t>
  </si>
  <si>
    <t>ICICI Bank Ltd</t>
  </si>
  <si>
    <t>Banks</t>
  </si>
  <si>
    <t>INE284A01012</t>
  </si>
  <si>
    <t>ESAB India Ltd</t>
  </si>
  <si>
    <t>Industrial Products</t>
  </si>
  <si>
    <t>INE062A01020</t>
  </si>
  <si>
    <t>State Bank of India</t>
  </si>
  <si>
    <t>INE999A01015</t>
  </si>
  <si>
    <t>KSB LTD</t>
  </si>
  <si>
    <t>INE263A01024</t>
  </si>
  <si>
    <t>Bharat Electronics Ltd</t>
  </si>
  <si>
    <t>Aerospace &amp; Defense</t>
  </si>
  <si>
    <t>INE117A01022</t>
  </si>
  <si>
    <t>ABB India Ltd</t>
  </si>
  <si>
    <t>Electrical Equipment</t>
  </si>
  <si>
    <t>INE536A01023</t>
  </si>
  <si>
    <t>Grindwell Norton Ltd</t>
  </si>
  <si>
    <t>INE752E01010</t>
  </si>
  <si>
    <t>Power Grid Corporation of India Ltd</t>
  </si>
  <si>
    <t>INE455K01017</t>
  </si>
  <si>
    <t>Polycab India Ltd</t>
  </si>
  <si>
    <t>INE195J01029</t>
  </si>
  <si>
    <t>PNC Infratech Ltd</t>
  </si>
  <si>
    <t>INE878B01027</t>
  </si>
  <si>
    <t>KEI Industries Ltd</t>
  </si>
  <si>
    <t>INE868B01028</t>
  </si>
  <si>
    <t>NCC Ltd</t>
  </si>
  <si>
    <t>INE671A01010</t>
  </si>
  <si>
    <t>Honeywell Automation India Ltd</t>
  </si>
  <si>
    <t>Industrial Manufacturing</t>
  </si>
  <si>
    <t>INE111A01025</t>
  </si>
  <si>
    <t>Container Corporation of India Ltd</t>
  </si>
  <si>
    <t>Transport Services</t>
  </si>
  <si>
    <t>INE702C01027</t>
  </si>
  <si>
    <t>APL Apollo Tubes Ltd</t>
  </si>
  <si>
    <t>INE003A01024</t>
  </si>
  <si>
    <t>Siemens Ltd</t>
  </si>
  <si>
    <t>INE00R701025</t>
  </si>
  <si>
    <t>Dalmia Cement (Bharat) Ltd.</t>
  </si>
  <si>
    <t>INE208A01029</t>
  </si>
  <si>
    <t>Ashok Leyland Ltd</t>
  </si>
  <si>
    <t>Agricultural, Commercial &amp; Construction Vehicles</t>
  </si>
  <si>
    <t>INE634I01029</t>
  </si>
  <si>
    <t>KNR Construction Ltd</t>
  </si>
  <si>
    <t>INE935N01020</t>
  </si>
  <si>
    <t>Dixon Technologies (India) Ltd</t>
  </si>
  <si>
    <t>Consumer Durables</t>
  </si>
  <si>
    <t>INE152M01016</t>
  </si>
  <si>
    <t>Triveni Turbine Ltd</t>
  </si>
  <si>
    <t>INE245A01021</t>
  </si>
  <si>
    <t>TATA Power Company Ltd</t>
  </si>
  <si>
    <t>INE129A01019</t>
  </si>
  <si>
    <t>GAIL (India) Ltd</t>
  </si>
  <si>
    <t>Gas</t>
  </si>
  <si>
    <t>INE646L01027</t>
  </si>
  <si>
    <t>Interglobe Aviation Ltd</t>
  </si>
  <si>
    <t>INE066F01012</t>
  </si>
  <si>
    <t>Hindustan Aeronautics Ltd</t>
  </si>
  <si>
    <t>INE513A01022</t>
  </si>
  <si>
    <t>Schaeffler India Ltd</t>
  </si>
  <si>
    <t>Auto Components</t>
  </si>
  <si>
    <t>INE073K01018</t>
  </si>
  <si>
    <t>Sona BLW Precision Forgings Ltd</t>
  </si>
  <si>
    <t>INE093I01010</t>
  </si>
  <si>
    <t>Oberoi Realty Ltd</t>
  </si>
  <si>
    <t>Realty</t>
  </si>
  <si>
    <t>INE749A01030</t>
  </si>
  <si>
    <t>Jindal Steel &amp; Power Ltd</t>
  </si>
  <si>
    <t>Ferrous Metals</t>
  </si>
  <si>
    <t>INE864I01014</t>
  </si>
  <si>
    <t>MTAR Technologies Ltd</t>
  </si>
  <si>
    <t>INE791I01019</t>
  </si>
  <si>
    <t>Brigade Enterprises Ltd</t>
  </si>
  <si>
    <t>INE419M01027</t>
  </si>
  <si>
    <t>TD Power Systems Ltd</t>
  </si>
  <si>
    <t>INE823G01014</t>
  </si>
  <si>
    <t>JK Cement Ltd</t>
  </si>
  <si>
    <t>INE298A01020</t>
  </si>
  <si>
    <t>Cummins India Ltd</t>
  </si>
  <si>
    <t>INE585B01010</t>
  </si>
  <si>
    <t>Maruti Suzuki India Ltd</t>
  </si>
  <si>
    <t>Automobiles</t>
  </si>
  <si>
    <t>INE284S01014</t>
  </si>
  <si>
    <t>S.J.S. Enterprises Ltd</t>
  </si>
  <si>
    <t>INE213A01029</t>
  </si>
  <si>
    <t>Oil &amp; Natural Gas Corporation Ltd</t>
  </si>
  <si>
    <t>Oil</t>
  </si>
  <si>
    <t>INE258A01016</t>
  </si>
  <si>
    <t>BEML Ltd</t>
  </si>
  <si>
    <t>INE203G01027</t>
  </si>
  <si>
    <t>Indraprastha Gas Ltd</t>
  </si>
  <si>
    <t>INE325A01013</t>
  </si>
  <si>
    <t>Timken India Ltd</t>
  </si>
  <si>
    <t>INE006I01046</t>
  </si>
  <si>
    <t>Astral Ltd</t>
  </si>
  <si>
    <t>INE029A01011</t>
  </si>
  <si>
    <t>Bharat Petroleum Corporation Ltd</t>
  </si>
  <si>
    <t>INE257A01026</t>
  </si>
  <si>
    <t>Bharat Heavy Electricals Ltd</t>
  </si>
  <si>
    <t>INE340A01012</t>
  </si>
  <si>
    <t>Birla Corporation Ltd</t>
  </si>
  <si>
    <t>INE020B01018</t>
  </si>
  <si>
    <t>REC Ltd</t>
  </si>
  <si>
    <t>Finance</t>
  </si>
  <si>
    <t>INE08ZM01014</t>
  </si>
  <si>
    <t>Green Panel Industries Ltd</t>
  </si>
  <si>
    <t>INE395N01027</t>
  </si>
  <si>
    <t>TVS Supply Chain Solutions Ltd</t>
  </si>
  <si>
    <t>INE758E01017</t>
  </si>
  <si>
    <t>Jio Financial Services Ltd</t>
  </si>
  <si>
    <t>INE201P01022</t>
  </si>
  <si>
    <t>GR Infraprojects Ltd</t>
  </si>
  <si>
    <t>INE766P01016</t>
  </si>
  <si>
    <t>Mahindra Logistics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</si>
  <si>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</si>
  <si>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</si>
  <si>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</si>
  <si>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</si>
  <si>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</si>
  <si>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</si>
  <si>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</si>
  <si>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</si>
  <si>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</si>
  <si>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</si>
  <si>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</si>
  <si>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</si>
  <si>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</si>
  <si>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</si>
  <si>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</si>
  <si>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</si>
  <si>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</si>
  <si>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</si>
  <si>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</si>
  <si>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</si>
  <si>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</si>
  <si>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</si>
  <si>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</si>
  <si>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Reverse Repo</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</si>
  <si>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</si>
  <si>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</si>
  <si>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</si>
  <si>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</si>
  <si>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</si>
  <si>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</si>
  <si>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</si>
  <si>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</si>
  <si>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</si>
  <si>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</si>
  <si>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</si>
  <si>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</si>
  <si>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</si>
  <si>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</si>
  <si>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</si>
  <si>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</si>
  <si>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</si>
  <si>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31/07/2023</t>
  </si>
  <si>
    <t>31/08/2023</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</si>
  <si>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</si>
  <si>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</si>
  <si>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</si>
  <si>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</si>
  <si>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</si>
  <si>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</si>
  <si>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</si>
  <si>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INE171A01029</t>
  </si>
  <si>
    <t>The Federal Bank  Ltd</t>
  </si>
  <si>
    <t>INE721A01013</t>
  </si>
  <si>
    <t>Shriram Finance Ltd</t>
  </si>
  <si>
    <t>INE303R01014</t>
  </si>
  <si>
    <t>Kalyan Jewellers India Ltd</t>
  </si>
  <si>
    <t>INE974X01010</t>
  </si>
  <si>
    <t>Tube Investments of India Ltd</t>
  </si>
  <si>
    <t>INE048G01026</t>
  </si>
  <si>
    <t>Navin Fluorine International Ltd</t>
  </si>
  <si>
    <t>Chemicals &amp; Petrochemicals</t>
  </si>
  <si>
    <t>INE134E01011</t>
  </si>
  <si>
    <t>Power Finance Corporation Ltd</t>
  </si>
  <si>
    <t>INE849A01020</t>
  </si>
  <si>
    <t>Trent Ltd</t>
  </si>
  <si>
    <t>Retailing</t>
  </si>
  <si>
    <t>INE061F01013</t>
  </si>
  <si>
    <t>Fortis Health Care Ltd</t>
  </si>
  <si>
    <t>Healthcare Services</t>
  </si>
  <si>
    <t>INE121A01024</t>
  </si>
  <si>
    <t>Cholamandalam Investment and Finance Company Ltd</t>
  </si>
  <si>
    <t>INE169A01031</t>
  </si>
  <si>
    <t>Coromandel International Ltd</t>
  </si>
  <si>
    <t>Fertilizers &amp; Agrochemicals</t>
  </si>
  <si>
    <t>INE262H01013</t>
  </si>
  <si>
    <t>Persistent Systems Ltd</t>
  </si>
  <si>
    <t>INE949L01017</t>
  </si>
  <si>
    <t>AU Small Finance Bank Ltd</t>
  </si>
  <si>
    <t>INE180A01020</t>
  </si>
  <si>
    <t>Max Financial Services Ltd</t>
  </si>
  <si>
    <t>Insurance</t>
  </si>
  <si>
    <t>INE010B01027</t>
  </si>
  <si>
    <t>Zydus Lifesciences Ltd</t>
  </si>
  <si>
    <t>Pharmaceuticals &amp; Biotechnology</t>
  </si>
  <si>
    <t>INE246F01010</t>
  </si>
  <si>
    <t>Gujarat State Petronet Ltd</t>
  </si>
  <si>
    <t>INE797F01020</t>
  </si>
  <si>
    <t>Jubilant Foodworks Ltd</t>
  </si>
  <si>
    <t>Leisure Services</t>
  </si>
  <si>
    <t>INE342J01019</t>
  </si>
  <si>
    <t>ZF Commercial Vehicle Control Systems I Ltd</t>
  </si>
  <si>
    <t>INE149A01033</t>
  </si>
  <si>
    <t>Cholamandalam Financial Holdings Ltd</t>
  </si>
  <si>
    <t>INE591G01017</t>
  </si>
  <si>
    <t>Coforge Ltd</t>
  </si>
  <si>
    <t>INE473B01035</t>
  </si>
  <si>
    <t>Hatsun Agro Product Ltd</t>
  </si>
  <si>
    <t>Food Products</t>
  </si>
  <si>
    <t>INE326A01037</t>
  </si>
  <si>
    <t>Lupin Ltd</t>
  </si>
  <si>
    <t>INE540L01014</t>
  </si>
  <si>
    <t>Alkem Laboratories Ltd</t>
  </si>
  <si>
    <t>INE216P01012</t>
  </si>
  <si>
    <t>Aavas Financiers Ltd</t>
  </si>
  <si>
    <t>INE226A01021</t>
  </si>
  <si>
    <t>Voltas Ltd</t>
  </si>
  <si>
    <t>INE105A01035</t>
  </si>
  <si>
    <t>TVS Holdings Ltd</t>
  </si>
  <si>
    <t>INE356A01018</t>
  </si>
  <si>
    <t>MphasiS Ltd</t>
  </si>
  <si>
    <t>INE427F01016</t>
  </si>
  <si>
    <t>Chalet Hotels Ltd</t>
  </si>
  <si>
    <t>INE405E01023</t>
  </si>
  <si>
    <t>UNO Minda Ltd</t>
  </si>
  <si>
    <t>INE663F01024</t>
  </si>
  <si>
    <t>Info Edge (India) Ltd</t>
  </si>
  <si>
    <t>INE317I01021</t>
  </si>
  <si>
    <t>Metro Brands Ltd</t>
  </si>
  <si>
    <t>INE417T01026</t>
  </si>
  <si>
    <t>PB Fintech Ltd</t>
  </si>
  <si>
    <t>Financial Technology (Fintech)</t>
  </si>
  <si>
    <t>INE256A01028</t>
  </si>
  <si>
    <t>Zee Entertainment Enterprises Ltd</t>
  </si>
  <si>
    <t>Entertainment</t>
  </si>
  <si>
    <t>INE494B01023</t>
  </si>
  <si>
    <t>TVS Motor Company Ltd</t>
  </si>
  <si>
    <t>INE813H01021</t>
  </si>
  <si>
    <t>Torrent Power Ltd</t>
  </si>
  <si>
    <t>INE947Q01028</t>
  </si>
  <si>
    <t>Laurus Labs Ltd</t>
  </si>
  <si>
    <t>INE217B01036</t>
  </si>
  <si>
    <t>Kajaria Ceramics Ltd</t>
  </si>
  <si>
    <t>INE603J01030</t>
  </si>
  <si>
    <t>PI Industries Ltd</t>
  </si>
  <si>
    <t>INE437A01024</t>
  </si>
  <si>
    <t>Apollo Hospitals Enterprise Ltd</t>
  </si>
  <si>
    <t>INE692A01016</t>
  </si>
  <si>
    <t>Union Bank of India</t>
  </si>
  <si>
    <t>INE686F01025</t>
  </si>
  <si>
    <t>United Breweries Ltd</t>
  </si>
  <si>
    <t>Beverages</t>
  </si>
  <si>
    <t>INE787D01026</t>
  </si>
  <si>
    <t>Balkrishna Industries Ltd</t>
  </si>
  <si>
    <t>INE548C01032</t>
  </si>
  <si>
    <t>Emami Ltd</t>
  </si>
  <si>
    <t>Personal Products</t>
  </si>
  <si>
    <t>INE094A01015</t>
  </si>
  <si>
    <t>Hindustan Petroleum Corporation Ltd</t>
  </si>
  <si>
    <t>INE148O01028</t>
  </si>
  <si>
    <t>Delhivery Ltd</t>
  </si>
  <si>
    <t>INE027H01010</t>
  </si>
  <si>
    <t>Max Healthcare Institute Ltd</t>
  </si>
  <si>
    <t>INE058A01010</t>
  </si>
  <si>
    <t>Sanofi India Ltd</t>
  </si>
  <si>
    <t>INE200M01021</t>
  </si>
  <si>
    <t>Varun Beverages Ltd</t>
  </si>
  <si>
    <t>INE388Y01029</t>
  </si>
  <si>
    <t>FSN E–Commerce Ventures Ltd(NYKAA)</t>
  </si>
  <si>
    <t>Sundaram Clayton DCD Ltd</t>
  </si>
  <si>
    <t>INE562A01011</t>
  </si>
  <si>
    <t>Indian Bank</t>
  </si>
  <si>
    <t>INE930H01031</t>
  </si>
  <si>
    <t>K.P.R. Mill Ltd</t>
  </si>
  <si>
    <t>Textiles &amp; Apparels</t>
  </si>
  <si>
    <t>INE343H01029</t>
  </si>
  <si>
    <t>Solar Industries India Ltd</t>
  </si>
  <si>
    <t>INE105A04013</t>
  </si>
  <si>
    <t>Margin Money For Derivatives</t>
  </si>
  <si>
    <t>Sundaram Large and Mid Cap Fund</t>
  </si>
  <si>
    <t>INE040A01034</t>
  </si>
  <si>
    <t>HDFC Bank Ltd</t>
  </si>
  <si>
    <t>INE009A01021</t>
  </si>
  <si>
    <t>Infosys Ltd</t>
  </si>
  <si>
    <t>INE238A01034</t>
  </si>
  <si>
    <t>Axis Bank Ltd</t>
  </si>
  <si>
    <t>INE044A01036</t>
  </si>
  <si>
    <t>Sun Pharmaceutical Industries Ltd</t>
  </si>
  <si>
    <t>INE467B01029</t>
  </si>
  <si>
    <t>Tata Consultancy Services Ltd</t>
  </si>
  <si>
    <t>INE089A01023</t>
  </si>
  <si>
    <t>Dr. Reddys Laboratories Ltd</t>
  </si>
  <si>
    <t>INE095A01012</t>
  </si>
  <si>
    <t>IndusInd Bank Ltd</t>
  </si>
  <si>
    <t>INE053A01029</t>
  </si>
  <si>
    <t>The Indian Hotels Company Ltd</t>
  </si>
  <si>
    <t>INE038A01020</t>
  </si>
  <si>
    <t>Hindalco Industries Ltd</t>
  </si>
  <si>
    <t>Non - Ferrous Metals</t>
  </si>
  <si>
    <t>INE154A01025</t>
  </si>
  <si>
    <t>ITC Ltd</t>
  </si>
  <si>
    <t>Diversified Fmcg</t>
  </si>
  <si>
    <t>INE893J01029</t>
  </si>
  <si>
    <t>Mold-Tek Packaging Ltd</t>
  </si>
  <si>
    <t>INE280A01028</t>
  </si>
  <si>
    <t>Titan Company Ltd</t>
  </si>
  <si>
    <t>INE030A01027</t>
  </si>
  <si>
    <t>Hindustan UniLever Ltd</t>
  </si>
  <si>
    <t>INE476A01014</t>
  </si>
  <si>
    <t>Canara Bank</t>
  </si>
  <si>
    <t>INE214T01019</t>
  </si>
  <si>
    <t>LTIMindtree Ltd</t>
  </si>
  <si>
    <t>INE296A01024</t>
  </si>
  <si>
    <t>Bajaj Finance Ltd</t>
  </si>
  <si>
    <t>INE361B01024</t>
  </si>
  <si>
    <t>Divis Laboratories Ltd</t>
  </si>
  <si>
    <t>INE155A01022</t>
  </si>
  <si>
    <t>Tata Motors Ltd</t>
  </si>
  <si>
    <t>INE825V01034</t>
  </si>
  <si>
    <t>Vedant Fashions Ltd</t>
  </si>
  <si>
    <t>INE192R01011</t>
  </si>
  <si>
    <t>Avenue Supermarts Ltd</t>
  </si>
  <si>
    <t>INE081A01020</t>
  </si>
  <si>
    <t>Tata Steel Ltd</t>
  </si>
  <si>
    <t>INE021A01026</t>
  </si>
  <si>
    <t>Asian Paints Ltd</t>
  </si>
  <si>
    <t>INE586V01016</t>
  </si>
  <si>
    <t>TCI Express Ltd</t>
  </si>
  <si>
    <t>INE028A01039</t>
  </si>
  <si>
    <t>Bank of Baroda</t>
  </si>
  <si>
    <t>INE387A01021</t>
  </si>
  <si>
    <t>Sundram Fasteners Ltd</t>
  </si>
  <si>
    <t>INE758T01015</t>
  </si>
  <si>
    <t>Zomato Ltd</t>
  </si>
  <si>
    <t>INE131B01039</t>
  </si>
  <si>
    <t>Relaxo Footwears Ltd</t>
  </si>
  <si>
    <t>INE918I01026</t>
  </si>
  <si>
    <t>Bajaj Finserv Ltd</t>
  </si>
  <si>
    <t>INE647A01010</t>
  </si>
  <si>
    <t>SRF Ltd</t>
  </si>
  <si>
    <t>INE761H01022</t>
  </si>
  <si>
    <t>Page Industries Ltd</t>
  </si>
  <si>
    <t>INE465A01025</t>
  </si>
  <si>
    <t>Bharat Forge Ltd</t>
  </si>
  <si>
    <t>INE059A01026</t>
  </si>
  <si>
    <t>Cipla Ltd</t>
  </si>
  <si>
    <t>INE299U01018</t>
  </si>
  <si>
    <t>Crompton Greaves Consumer Electricals Ltd</t>
  </si>
  <si>
    <t>Sundaram Emerging Small Cap Series VI</t>
  </si>
  <si>
    <t>Sundaram Emerging Small Cap Series VII</t>
  </si>
  <si>
    <t>Sundaram Long Term Tax Advantage Fund Series III</t>
  </si>
  <si>
    <t>INE429E01023</t>
  </si>
  <si>
    <t>Safari Industries (India) Ltd</t>
  </si>
  <si>
    <t>INE063P01018</t>
  </si>
  <si>
    <t>Equitas Small Finance Bank Limited</t>
  </si>
  <si>
    <t>INE191H01014</t>
  </si>
  <si>
    <t>PVR INOX Ltd</t>
  </si>
  <si>
    <t>INE045A01017</t>
  </si>
  <si>
    <t>Ador Welding Ltd</t>
  </si>
  <si>
    <t>INE075I01017</t>
  </si>
  <si>
    <t>Healthcare Global Enterprises Ltd</t>
  </si>
  <si>
    <t>INE477A01020</t>
  </si>
  <si>
    <t>Can Fin Homes Ltd</t>
  </si>
  <si>
    <t>INE806T01012</t>
  </si>
  <si>
    <t>Sapphire Foods India Ltd</t>
  </si>
  <si>
    <t>INE745G01035</t>
  </si>
  <si>
    <t>Multi Commodity Exchange of India Ltd</t>
  </si>
  <si>
    <t>Capital Markets</t>
  </si>
  <si>
    <t>INE274F01020</t>
  </si>
  <si>
    <t>Westlife Foodworld Ltd</t>
  </si>
  <si>
    <t>INE295F01017</t>
  </si>
  <si>
    <t>Butterfly Gandhimathi Appliances Ltd</t>
  </si>
  <si>
    <t>INE572A01028</t>
  </si>
  <si>
    <t>JB Chemicals &amp; Pharmaceuticals Ltd</t>
  </si>
  <si>
    <t>INE978A01027</t>
  </si>
  <si>
    <t>Heritage Foods Ltd</t>
  </si>
  <si>
    <t>INE043D01016</t>
  </si>
  <si>
    <t>IDFC Ltd</t>
  </si>
  <si>
    <t>INE442H01029</t>
  </si>
  <si>
    <t>Ashoka Buildcon Ltd</t>
  </si>
  <si>
    <t>INE732I01013</t>
  </si>
  <si>
    <t>Angel One Ltd</t>
  </si>
  <si>
    <t>INE741K01010</t>
  </si>
  <si>
    <t>Creditaccess Grameen Ltd</t>
  </si>
  <si>
    <t>INE211B01039</t>
  </si>
  <si>
    <t>The Phoenix Mills Ltd</t>
  </si>
  <si>
    <t>INE717A01029</t>
  </si>
  <si>
    <t>Kennametal India Ltd</t>
  </si>
  <si>
    <t>INE348B01021</t>
  </si>
  <si>
    <t>Century Plyboards (India) Ltd</t>
  </si>
  <si>
    <t>INE060A01024</t>
  </si>
  <si>
    <t>Navneet Education Ltd</t>
  </si>
  <si>
    <t>Printing &amp; Publication</t>
  </si>
  <si>
    <t>INE00WC01027</t>
  </si>
  <si>
    <t>Affle (India) Ltd</t>
  </si>
  <si>
    <t>INE296E01026</t>
  </si>
  <si>
    <t>Rajapalayam Mills Ltd</t>
  </si>
  <si>
    <t>INE04I401011</t>
  </si>
  <si>
    <t>KPIT Technologies Ltd</t>
  </si>
  <si>
    <t>INE873D01024</t>
  </si>
  <si>
    <t>Indoco Remedies Ltd</t>
  </si>
  <si>
    <t>INE136B01020</t>
  </si>
  <si>
    <t>Cyient Ltd</t>
  </si>
  <si>
    <t>INE00IN01015</t>
  </si>
  <si>
    <t>Stove Kraft Ltd</t>
  </si>
  <si>
    <t>INE126A01031</t>
  </si>
  <si>
    <t>EID Parry India Ltd</t>
  </si>
  <si>
    <t>INE586B01026</t>
  </si>
  <si>
    <t>Taj GVK Hotels &amp; Resorts Ltd</t>
  </si>
  <si>
    <t>INE481N01025</t>
  </si>
  <si>
    <t>Home First Finance Company Ltd</t>
  </si>
  <si>
    <t>INE056C01010</t>
  </si>
  <si>
    <t>Tata Metaliks Ltd</t>
  </si>
  <si>
    <t>INE120A01034</t>
  </si>
  <si>
    <t>Carborundum Universal Ltd</t>
  </si>
  <si>
    <t>INE688A01022</t>
  </si>
  <si>
    <t>Transport Corporation of India Ltd</t>
  </si>
  <si>
    <t>INE743M01012</t>
  </si>
  <si>
    <t>RHI Magnesita India Ltd</t>
  </si>
  <si>
    <t>INE199A01012</t>
  </si>
  <si>
    <t>Procter &amp; Gamble Health Ltd</t>
  </si>
  <si>
    <t>INE217L01019</t>
  </si>
  <si>
    <t>Shriram Properties Ltd</t>
  </si>
  <si>
    <t>INE227C01017</t>
  </si>
  <si>
    <t>MM Forgings Ltd</t>
  </si>
  <si>
    <t>INE565V01010</t>
  </si>
  <si>
    <t>Valiant Organics Ltd</t>
  </si>
  <si>
    <t>INE679A01013</t>
  </si>
  <si>
    <t>CSB Bank Ltd</t>
  </si>
  <si>
    <t>Sundaram Long Term Tax Advantage Fund Series IV</t>
  </si>
  <si>
    <t>Sundaram Long Term Tax Advantage Fund Series-I</t>
  </si>
  <si>
    <t>INE123W01016</t>
  </si>
  <si>
    <t>SBI Life Insurance Company Ltd</t>
  </si>
  <si>
    <t>INE860A01027</t>
  </si>
  <si>
    <t>HCL Technologies Ltd</t>
  </si>
  <si>
    <t>INE237A01028</t>
  </si>
  <si>
    <t>Kotak Mahindra Bank Ltd</t>
  </si>
  <si>
    <t>INE192A01025</t>
  </si>
  <si>
    <t>TATA Consumer Products Ltd</t>
  </si>
  <si>
    <t>Agricultural Food &amp; Other Products</t>
  </si>
  <si>
    <t>INE075A01022</t>
  </si>
  <si>
    <t>Wipro Ltd</t>
  </si>
  <si>
    <t>IN9397D01014</t>
  </si>
  <si>
    <t>Sundaram Long Term Tax Advantage Fund Series-II</t>
  </si>
  <si>
    <t>Sundaram Long Term Micro Cap Tax Advantage Fund Series III</t>
  </si>
  <si>
    <t>INE421D01022</t>
  </si>
  <si>
    <t>CCL Products (India) Ltd</t>
  </si>
  <si>
    <t>INE386C01029</t>
  </si>
  <si>
    <t>Astra Microwave Products Ltd</t>
  </si>
  <si>
    <t>INE285J01028</t>
  </si>
  <si>
    <t>SIS Ltd</t>
  </si>
  <si>
    <t>Commercial Services &amp; Supplies</t>
  </si>
  <si>
    <t>INE220B01022</t>
  </si>
  <si>
    <t>Kalpataru Projects International Ltd</t>
  </si>
  <si>
    <t>INE435A01028</t>
  </si>
  <si>
    <t>International Paper APPM Ltd</t>
  </si>
  <si>
    <t>Paper, Forest &amp; Jute Products</t>
  </si>
  <si>
    <t>INE782A01015</t>
  </si>
  <si>
    <t>Johnson Controls-Hitachi AirConditioning India Ltd</t>
  </si>
  <si>
    <t>INE371P01015</t>
  </si>
  <si>
    <t>Amber Enterprises India Ltd</t>
  </si>
  <si>
    <t>Sundaram Long Term Micro Cap Tax Advantage Fund Series IV</t>
  </si>
  <si>
    <t>Sundaram Long Term Micro Cap Tax Advantage Fund Series V</t>
  </si>
  <si>
    <t>Sundaram Long Term Micro Cap Tax Advantage Fund Series VI</t>
  </si>
  <si>
    <t>Sundaram Small Cap Fund</t>
  </si>
  <si>
    <t>INE03QK01018</t>
  </si>
  <si>
    <t>Suven Pharmaceuticals Ltd</t>
  </si>
  <si>
    <t>INE763G01038</t>
  </si>
  <si>
    <t>ICICI Securities Ltd</t>
  </si>
  <si>
    <t>INE944F01028</t>
  </si>
  <si>
    <t>Radico Khaitan Ltd</t>
  </si>
  <si>
    <t>INE725G01011</t>
  </si>
  <si>
    <t>ICRA Ltd</t>
  </si>
  <si>
    <t>INE136S01016</t>
  </si>
  <si>
    <t>Neogen Chemicals Ltd</t>
  </si>
  <si>
    <t>INE334L01012</t>
  </si>
  <si>
    <t>Ujjivan Financial Services Ltd</t>
  </si>
  <si>
    <t>IN9155A01020</t>
  </si>
  <si>
    <t>INE098F01031</t>
  </si>
  <si>
    <t>Amrutanjan Health Care Ltd</t>
  </si>
  <si>
    <t>INE0BV301023</t>
  </si>
  <si>
    <t>CE Info Systems Private Limited</t>
  </si>
  <si>
    <t>INE322A01010</t>
  </si>
  <si>
    <t>Gillette India Ltd</t>
  </si>
  <si>
    <t>INE836A01035</t>
  </si>
  <si>
    <t>Birlasoft Ltd</t>
  </si>
  <si>
    <t>INE0CLI01024</t>
  </si>
  <si>
    <t>Rate Gain Travel Technologies Ltd</t>
  </si>
  <si>
    <t>INE177F01017</t>
  </si>
  <si>
    <t>Kovai Medical Center &amp; Hospital Ltd</t>
  </si>
  <si>
    <t>INE739E01017</t>
  </si>
  <si>
    <t>Cera Sanitaryware Ltd</t>
  </si>
  <si>
    <t>INE094J01016</t>
  </si>
  <si>
    <t>UTI Asset Management Co Ltd</t>
  </si>
  <si>
    <t>INE00F201020</t>
  </si>
  <si>
    <t>Prudent Corporate Advisory Services Ltd</t>
  </si>
  <si>
    <t>INE142Z01019</t>
  </si>
  <si>
    <t>Orient Electric Ltd</t>
  </si>
  <si>
    <t>INE119A01028</t>
  </si>
  <si>
    <t>Balrampur Chini Mills Ltd</t>
  </si>
  <si>
    <t>INE596I01012</t>
  </si>
  <si>
    <t>Computer Age Management Services Ltd</t>
  </si>
  <si>
    <t>INE451A01017</t>
  </si>
  <si>
    <t>Force Motors Ltd</t>
  </si>
  <si>
    <t>INE736A01011</t>
  </si>
  <si>
    <t>Central Depository Services (India) Ltd</t>
  </si>
  <si>
    <t>INE684F01012</t>
  </si>
  <si>
    <t>Firstsource Solutions Ltd</t>
  </si>
  <si>
    <t>INE0BJS01011</t>
  </si>
  <si>
    <t>Go Fashion (India ) Ltd</t>
  </si>
  <si>
    <t>INE423Y01016</t>
  </si>
  <si>
    <t>SBFC Finance Ltd</t>
  </si>
  <si>
    <t>INE342G01023</t>
  </si>
  <si>
    <t>NIIT Learning Systems Ltd</t>
  </si>
  <si>
    <t>Other Consumer Services</t>
  </si>
  <si>
    <t>Sundaram Aggressive Hybrid Fund</t>
  </si>
  <si>
    <t>INE854D01024</t>
  </si>
  <si>
    <t>United Spirits Ltd</t>
  </si>
  <si>
    <t>INE102D01028</t>
  </si>
  <si>
    <t>Godrej Consumer Products Ltd</t>
  </si>
  <si>
    <t>INE101A01026</t>
  </si>
  <si>
    <t>Mahindra &amp; Mahindra Ltd</t>
  </si>
  <si>
    <t>INE066A01021</t>
  </si>
  <si>
    <t>Eicher Motors Ltd</t>
  </si>
  <si>
    <t>INE196A01026</t>
  </si>
  <si>
    <t>Marico Ltd</t>
  </si>
  <si>
    <t>INE726G01019</t>
  </si>
  <si>
    <t>ICICI Prudential Life Insurance Company Ltd</t>
  </si>
  <si>
    <t>INE742F01042</t>
  </si>
  <si>
    <t>Adani Ports and Special Economic Zone Ltd</t>
  </si>
  <si>
    <t>Transport Infrastructure</t>
  </si>
  <si>
    <t>INE216A01030</t>
  </si>
  <si>
    <t>Britannia Industries Ltd</t>
  </si>
  <si>
    <t>INE183A01024</t>
  </si>
  <si>
    <t>Finolex Industries Ltd</t>
  </si>
  <si>
    <t>INE669C01036</t>
  </si>
  <si>
    <t>Tech Mahindra Ltd</t>
  </si>
  <si>
    <t>INE852S01026</t>
  </si>
  <si>
    <t>INE115A07QD5</t>
  </si>
  <si>
    <t>LIC Housing Finance Ltd - 7.82% - 28/11/2025**</t>
  </si>
  <si>
    <t>CRISIL AAA</t>
  </si>
  <si>
    <t>INE090A08TU6</t>
  </si>
  <si>
    <t>ICICI Bank Ltd - 7.6% - 07/10/2023**</t>
  </si>
  <si>
    <t>ICRA AAA</t>
  </si>
  <si>
    <t>INE134E08MB9</t>
  </si>
  <si>
    <t>Power Finance Corporation Ltd - 7.82% - 06/03/2038**</t>
  </si>
  <si>
    <t>INE115A07QH6</t>
  </si>
  <si>
    <t>LIC Housing Finance Ltd - 8.025% - 23/03/2033**</t>
  </si>
  <si>
    <t>INE261F08DV4</t>
  </si>
  <si>
    <t>National Bank for Agricultural &amp; Rural Development - 7.62% - 31/01/2028</t>
  </si>
  <si>
    <t>INE261F08DX0</t>
  </si>
  <si>
    <t>National Bank for Agricultural &amp; Rural Development - 7.58% - 31/07/2026**</t>
  </si>
  <si>
    <t>INE556F08KH1</t>
  </si>
  <si>
    <t>Small Industries Development Bank of India - 7.43% - 31/08/2026</t>
  </si>
  <si>
    <t>INE020B08DR1</t>
  </si>
  <si>
    <t>REC LTD - 5.74% - 20/06/2024</t>
  </si>
  <si>
    <t>INE020B08906</t>
  </si>
  <si>
    <t>REC LTD - 8.27% - 06/02/2025**</t>
  </si>
  <si>
    <t>INE053F08296</t>
  </si>
  <si>
    <t>Indian Railway Finance Corporation Ltd - 7.74% - 15/04/2038**</t>
  </si>
  <si>
    <t>INE020B08EG2</t>
  </si>
  <si>
    <t>REC LTD - 7.69% - 31/03/2033**</t>
  </si>
  <si>
    <t>INE134E08MJ2</t>
  </si>
  <si>
    <t>Power Finance Corporation Ltd - 7.77% - 15/04/2028**</t>
  </si>
  <si>
    <t>INE134E08MC7</t>
  </si>
  <si>
    <t>Power Finance Corporation Ltd - 7.77% - 15/07/2026**</t>
  </si>
  <si>
    <t>INE028A08158</t>
  </si>
  <si>
    <t>CARE AAA</t>
  </si>
  <si>
    <t>INE071G07587</t>
  </si>
  <si>
    <t>ICICI Home Finance Company Ltd - 8% - 28/06/2024**</t>
  </si>
  <si>
    <t>INE040A08666</t>
  </si>
  <si>
    <t>HDFC Bank Ltd (Prev HDFC Ltd) - 7.8% - 03/05/2033</t>
  </si>
  <si>
    <t>INE041007100</t>
  </si>
  <si>
    <t>Embassy Office Parks REIT - 7.77% - 05/06/2025**</t>
  </si>
  <si>
    <t>INE557F08FG1</t>
  </si>
  <si>
    <t>National Housing Bank  - 7.05% - 18/12/2024**</t>
  </si>
  <si>
    <t>INE040A08989</t>
  </si>
  <si>
    <t>HDFC Bank Ltd (Prev HDFC Ltd) - 7.35% - 10/02/2025**</t>
  </si>
  <si>
    <t>INE134E08LO4</t>
  </si>
  <si>
    <t>Power Finance Corporation Ltd - 7.13% - 08/08/2025**</t>
  </si>
  <si>
    <t>INE115A07PU1</t>
  </si>
  <si>
    <t>LIC Housing Finance Ltd - 6.25% - 20/06/2025</t>
  </si>
  <si>
    <t>INE018A08BA7</t>
  </si>
  <si>
    <t>Larsen &amp; Toubro Ltd - 7.7% - 28/04/2025**</t>
  </si>
  <si>
    <t>INE261F08BK1</t>
  </si>
  <si>
    <t>National Bank for Agricultural &amp; Rural Development - 7.69% - 29/05/2024**</t>
  </si>
  <si>
    <t>INE020B08EI8</t>
  </si>
  <si>
    <t>REC LTD - 7.51% - 31/07/2026**</t>
  </si>
  <si>
    <t>INE556F08KE8</t>
  </si>
  <si>
    <t>Small Industries Development Bank of India - 7.47% - 25/11/2025**</t>
  </si>
  <si>
    <t>INE020B08EL2</t>
  </si>
  <si>
    <t>REC LTD - 7.44% - 30/04/2026</t>
  </si>
  <si>
    <t>INE261F08DI1</t>
  </si>
  <si>
    <t>National Bank for Agricultural &amp; Rural Development - 5.23% - 31/01/2025**</t>
  </si>
  <si>
    <t>INE895D07487</t>
  </si>
  <si>
    <t>Tata Sons Pvt Ltd - 9.3% - 19/06/2024**</t>
  </si>
  <si>
    <t>INE040A08922</t>
  </si>
  <si>
    <t>HDFC Bank Ltd (Prev HDFC Ltd) - 7.8% - 02/06/2025</t>
  </si>
  <si>
    <t>INE261F08DF7</t>
  </si>
  <si>
    <t>National Bank for Agricultural &amp; Rural Development - 5.27% - 23/07/2024**</t>
  </si>
  <si>
    <t>IN0020220151</t>
  </si>
  <si>
    <t>7.26% Central Government Securities 06/02/2033</t>
  </si>
  <si>
    <t>Sovereign</t>
  </si>
  <si>
    <t>IN0020220102</t>
  </si>
  <si>
    <t>7.41% Central Government Securities 19/12/2036</t>
  </si>
  <si>
    <t>IN0020220037</t>
  </si>
  <si>
    <t>7.38% Central Government Securities 20/06/2027</t>
  </si>
  <si>
    <t>IN0020220011</t>
  </si>
  <si>
    <t>7.10% Central Government Securities 18/04/2029</t>
  </si>
  <si>
    <t>IN0020200112</t>
  </si>
  <si>
    <t>5.22% Central Government Securities 15/06/2025</t>
  </si>
  <si>
    <t>IN0020210186</t>
  </si>
  <si>
    <t>5.74% Central Government Securities 15/11/2026</t>
  </si>
  <si>
    <t>IN0020210160</t>
  </si>
  <si>
    <t>IN0020230085</t>
  </si>
  <si>
    <t>IN2220150030</t>
  </si>
  <si>
    <t>8.25% Maharashtra State Development Loan 10/06/2025</t>
  </si>
  <si>
    <t>IN1920140119</t>
  </si>
  <si>
    <t>8.08% Karnataka State Development Loan 11/03/2025</t>
  </si>
  <si>
    <t>IN2220140205</t>
  </si>
  <si>
    <t>8.06% Maharashtra State Development Loan 11/02/2025</t>
  </si>
  <si>
    <t>INE238AD6215</t>
  </si>
  <si>
    <t>Axis Bank Ltd - 06/12/2023</t>
  </si>
  <si>
    <t>CRISIL A1+</t>
  </si>
  <si>
    <t>INE040A14326</t>
  </si>
  <si>
    <t>HDFC Bank Ltd (Prev HDFC Ltd) - 24/05/2024**</t>
  </si>
  <si>
    <t>IND A1+</t>
  </si>
  <si>
    <t>IN002022Z515</t>
  </si>
  <si>
    <t>364 Days - T Bill - 22/03/2024</t>
  </si>
  <si>
    <t>Individual &amp; HUF</t>
  </si>
  <si>
    <t>Others</t>
  </si>
  <si>
    <t>Sundaram Arbitrage Fund</t>
  </si>
  <si>
    <t>INE121J01017</t>
  </si>
  <si>
    <t>Indus Towers Ltd (Prev Bharti Infratel Ltd)</t>
  </si>
  <si>
    <t>INE271C01023</t>
  </si>
  <si>
    <t>DLF Ltd</t>
  </si>
  <si>
    <t>INE522D01027</t>
  </si>
  <si>
    <t>Manappuram Finance Ltd</t>
  </si>
  <si>
    <t>INE079A01024</t>
  </si>
  <si>
    <t>Ambuja Cements Ltd</t>
  </si>
  <si>
    <t>INE016A01026</t>
  </si>
  <si>
    <t>Dabur India Ltd</t>
  </si>
  <si>
    <t>INE012A01025</t>
  </si>
  <si>
    <t>ACC Ltd</t>
  </si>
  <si>
    <t>INE151A01013</t>
  </si>
  <si>
    <t>Tata Communications Ltd</t>
  </si>
  <si>
    <t>Stock Future</t>
  </si>
  <si>
    <t>IN002022Z507</t>
  </si>
  <si>
    <t>IN002023Y078</t>
  </si>
  <si>
    <t>IN002022Z341</t>
  </si>
  <si>
    <t>INF173K01GU0</t>
  </si>
  <si>
    <t>Sundaram Balanced Advantage Fund</t>
  </si>
  <si>
    <t>INE488A01050</t>
  </si>
  <si>
    <t>Chemplast Sanmar Ltd</t>
  </si>
  <si>
    <t>Index Future</t>
  </si>
  <si>
    <t>INE040A08AH8</t>
  </si>
  <si>
    <t>HDFC Bank Ltd (Prev HDFC Ltd) - 7.4% - 02/06/2025**</t>
  </si>
  <si>
    <t>INE040A08641</t>
  </si>
  <si>
    <t>HDFC Bank Ltd (Prev HDFC Ltd) - 7.7% - 18/11/2025**</t>
  </si>
  <si>
    <t>INE134E08KT5</t>
  </si>
  <si>
    <t>Power Finance Corporation Ltd - 7.17% - 22/05/2025**</t>
  </si>
  <si>
    <t>INE053F07BB3</t>
  </si>
  <si>
    <t>Indian Railway Finance Corporation Ltd - 8.25% - 28/02/2024**</t>
  </si>
  <si>
    <t>IN0020230036</t>
  </si>
  <si>
    <t>-</t>
  </si>
  <si>
    <t>Sundaram Dividend Yield Fund</t>
  </si>
  <si>
    <t>INE848E01016</t>
  </si>
  <si>
    <t>NHPC Ltd</t>
  </si>
  <si>
    <t>INE212H01026</t>
  </si>
  <si>
    <t>AIA Engineering Ltd</t>
  </si>
  <si>
    <t>INE522F01014</t>
  </si>
  <si>
    <t>Coal India Ltd</t>
  </si>
  <si>
    <t>Consumable Fuels</t>
  </si>
  <si>
    <t>INE917I01010</t>
  </si>
  <si>
    <t>Bajaj Auto Ltd</t>
  </si>
  <si>
    <t>INE710A01016</t>
  </si>
  <si>
    <t>VST Industries Ltd</t>
  </si>
  <si>
    <t>Cigarettes &amp; Tobacco Products</t>
  </si>
  <si>
    <t>INE602W01019</t>
  </si>
  <si>
    <t>Senco Gold Ltd</t>
  </si>
  <si>
    <t>INE916U01025</t>
  </si>
  <si>
    <t>Sheela Foam Ltd</t>
  </si>
  <si>
    <t>IDIA00069480</t>
  </si>
  <si>
    <t>INE759J01022</t>
  </si>
  <si>
    <t>INE02CF01010</t>
  </si>
  <si>
    <t>IDIA00069477</t>
  </si>
  <si>
    <t>INE216A08027</t>
  </si>
  <si>
    <t>Britannia Industries Ltd - 5.5% - 03/06/2024**</t>
  </si>
  <si>
    <t>Sundaram Equity Savings Fund</t>
  </si>
  <si>
    <t>INE259A01022</t>
  </si>
  <si>
    <t>Colgate Palmolive (India) Ltd</t>
  </si>
  <si>
    <t>INE0N2P01017</t>
  </si>
  <si>
    <t>Rishabh Instruments Ltd</t>
  </si>
  <si>
    <t>INE227W01023</t>
  </si>
  <si>
    <t>Clean Science &amp; Technology Ltd</t>
  </si>
  <si>
    <t>INE795G01014</t>
  </si>
  <si>
    <t>HDFC Life Insurance Company Ltd</t>
  </si>
  <si>
    <t>INE0N7W01012</t>
  </si>
  <si>
    <t>BEML Land and Assets Ltd</t>
  </si>
  <si>
    <t>INE261F08EA6</t>
  </si>
  <si>
    <t>National Bank for Agricultural &amp; Rural Development - 7.5% - 31/08/2026**</t>
  </si>
  <si>
    <t>IN0020200278</t>
  </si>
  <si>
    <t>5.15% Central Government Securities 09/11/2025</t>
  </si>
  <si>
    <t>IN2220150022</t>
  </si>
  <si>
    <t>8.14% Maharashtra State Development Loan 27/05/2025</t>
  </si>
  <si>
    <t>Sundaram Focused  Fund</t>
  </si>
  <si>
    <t>INE239A01016</t>
  </si>
  <si>
    <t>Nestle India Ltd</t>
  </si>
  <si>
    <t>INE406A01037</t>
  </si>
  <si>
    <t>Aurobindo Pharma Ltd</t>
  </si>
  <si>
    <t>Sundaram Multi Cap Fund</t>
  </si>
  <si>
    <t>INE470A01017</t>
  </si>
  <si>
    <t>3M India Ltd</t>
  </si>
  <si>
    <t>Diversified</t>
  </si>
  <si>
    <t>INE472A01039</t>
  </si>
  <si>
    <t>Blue Star Ltd</t>
  </si>
  <si>
    <t>INE112L01020</t>
  </si>
  <si>
    <t>Metropolis Healthcare Ltd</t>
  </si>
  <si>
    <t>INE147E01013</t>
  </si>
  <si>
    <t>INE348C01011</t>
  </si>
  <si>
    <t>INE406B01019</t>
  </si>
  <si>
    <t>INE431E01011</t>
  </si>
  <si>
    <t>Healthcare Equipment &amp; Supplies</t>
  </si>
  <si>
    <t>IDIA00069356</t>
  </si>
  <si>
    <t>IDIA00069359</t>
  </si>
  <si>
    <t>INE604A01011</t>
  </si>
  <si>
    <t>Sundaram Nifty 100 Equal Weight Fund</t>
  </si>
  <si>
    <t>INE127D01025</t>
  </si>
  <si>
    <t>HDFC Asset Management Company Ltd</t>
  </si>
  <si>
    <t>INE179A01014</t>
  </si>
  <si>
    <t>Procter &amp; Gamble Hygiene and Health Care Ltd</t>
  </si>
  <si>
    <t>INE335Y01020</t>
  </si>
  <si>
    <t>Indian Railway Catering &amp; Tourism Corporation Ltd</t>
  </si>
  <si>
    <t>INE931S01010</t>
  </si>
  <si>
    <t>Adani Energy Solutions Ltd</t>
  </si>
  <si>
    <t>INE463A01038</t>
  </si>
  <si>
    <t>Berger Paints (I) Ltd</t>
  </si>
  <si>
    <t>INE176B01034</t>
  </si>
  <si>
    <t>Havells India Ltd</t>
  </si>
  <si>
    <t>INE775A01035</t>
  </si>
  <si>
    <t>Samvardhana Motherson International Ltd</t>
  </si>
  <si>
    <t>INE0J1Y01017</t>
  </si>
  <si>
    <t>LIC of India Ltd</t>
  </si>
  <si>
    <t>INE118A01012</t>
  </si>
  <si>
    <t>Bajaj Holdings &amp; Investment Ltd</t>
  </si>
  <si>
    <t>INE047A01021</t>
  </si>
  <si>
    <t>Grasim Industries Ltd</t>
  </si>
  <si>
    <t>INE423A01024</t>
  </si>
  <si>
    <t>Adani Enterprises</t>
  </si>
  <si>
    <t>Metals &amp; Minerals Trading</t>
  </si>
  <si>
    <t>INE414G01012</t>
  </si>
  <si>
    <t>Muthoot Finance Ltd</t>
  </si>
  <si>
    <t>INE399L01023</t>
  </si>
  <si>
    <t>Adani Total Gas Ltd</t>
  </si>
  <si>
    <t>INE070A01015</t>
  </si>
  <si>
    <t>Shree Cement Ltd</t>
  </si>
  <si>
    <t>INE018E01016</t>
  </si>
  <si>
    <t>SBI Cards and Payment Services Ltd</t>
  </si>
  <si>
    <t>INE318A01026</t>
  </si>
  <si>
    <t>Pidilite Industries Ltd</t>
  </si>
  <si>
    <t>INE765G01017</t>
  </si>
  <si>
    <t>ICICI Lombard General Insurance Company Ltd</t>
  </si>
  <si>
    <t>INE364U01010</t>
  </si>
  <si>
    <t>Adani Green Energy Ltd</t>
  </si>
  <si>
    <t>INE323A01026</t>
  </si>
  <si>
    <t>Bosch Ltd</t>
  </si>
  <si>
    <t>INE019A01038</t>
  </si>
  <si>
    <t>JSW Steel Ltd</t>
  </si>
  <si>
    <t>INE685A01028</t>
  </si>
  <si>
    <t>Torrent Pharmaceuticals Ltd</t>
  </si>
  <si>
    <t>INE158A01026</t>
  </si>
  <si>
    <t>Hero MotoCorp Ltd</t>
  </si>
  <si>
    <t>INE242A01010</t>
  </si>
  <si>
    <t>Indian Oil Corporation Ltd</t>
  </si>
  <si>
    <t>INE699H01024</t>
  </si>
  <si>
    <t>Adani Wilmar Ltd</t>
  </si>
  <si>
    <t>INE628A01036</t>
  </si>
  <si>
    <t>UPL Ltd</t>
  </si>
  <si>
    <t>INE205A01025</t>
  </si>
  <si>
    <t>Vedanta Ltd</t>
  </si>
  <si>
    <t>Diversified Metals</t>
  </si>
  <si>
    <t>Sundaram Tax Savings Fund (ELSS)</t>
  </si>
  <si>
    <t>INE176A01028</t>
  </si>
  <si>
    <t>Bata India Ltd</t>
  </si>
  <si>
    <t>INE287B01021</t>
  </si>
  <si>
    <t>Subros Ltd</t>
  </si>
  <si>
    <t>INE571A01038</t>
  </si>
  <si>
    <t>IPCA Laboratories Ltd</t>
  </si>
  <si>
    <t>INE768C01010</t>
  </si>
  <si>
    <t>Zydus Wellness Ltd</t>
  </si>
  <si>
    <t>Sundaram Consumption Fund</t>
  </si>
  <si>
    <t>INE02YR01019</t>
  </si>
  <si>
    <t>Electronics Mart India Ltd</t>
  </si>
  <si>
    <t>INE872J01023</t>
  </si>
  <si>
    <t>Devyani international limited</t>
  </si>
  <si>
    <t>INE668F01031</t>
  </si>
  <si>
    <t>Jyothy Laboratories Ltd</t>
  </si>
  <si>
    <t>Household Products</t>
  </si>
  <si>
    <t>Sundaram Services Fund</t>
  </si>
  <si>
    <t>INE474Q01031</t>
  </si>
  <si>
    <t>Global Health Ltd</t>
  </si>
  <si>
    <t>MU0295S00016</t>
  </si>
  <si>
    <t>Sundaram Diversified Equity</t>
  </si>
  <si>
    <t>Sundaram Large Cap Fund</t>
  </si>
  <si>
    <t>Sundaram Flexi Cap Fund</t>
  </si>
  <si>
    <t>INE647O01011</t>
  </si>
  <si>
    <t>Aditya Birla Fashion and Retail Ltd</t>
  </si>
  <si>
    <t>Sundaram Financial Services Opportunities Fund</t>
  </si>
  <si>
    <t>INE036D01028</t>
  </si>
  <si>
    <t>Karur Vysya Bank Ltd</t>
  </si>
  <si>
    <t>Institutional Plan - Growth</t>
  </si>
  <si>
    <t>S.NO.</t>
  </si>
  <si>
    <t>ACRONYM</t>
  </si>
  <si>
    <t>SCHEME NAME</t>
  </si>
  <si>
    <t>CAPEXG</t>
  </si>
  <si>
    <t>GLOB</t>
  </si>
  <si>
    <t>Sundaram Global Brand Fund</t>
  </si>
  <si>
    <t>MIDCAP</t>
  </si>
  <si>
    <t>MULTIP</t>
  </si>
  <si>
    <t>Sundaram Large And Mid Cap Fund</t>
  </si>
  <si>
    <t>SESCAP6</t>
  </si>
  <si>
    <t>SESCAP7</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</si>
  <si>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</si>
  <si>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</si>
  <si>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</si>
  <si>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</si>
  <si>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</si>
  <si>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</si>
  <si>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</si>
  <si>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</si>
  <si>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</si>
  <si>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</si>
  <si>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</si>
  <si>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</si>
  <si>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</si>
  <si>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</si>
  <si>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</si>
  <si>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</si>
  <si>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</si>
  <si>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</si>
  <si>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</si>
  <si>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</si>
  <si>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</si>
  <si>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</si>
  <si>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</si>
  <si>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</si>
  <si>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</si>
  <si>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</si>
  <si>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</si>
  <si>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</si>
  <si>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</si>
  <si>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</si>
  <si>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</si>
  <si>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Hindustan Dorr - Oliver Ltd @</t>
  </si>
  <si>
    <t>b) Total value and percentage of illiquid equity shares @</t>
  </si>
  <si>
    <t>0.00 / #</t>
  </si>
  <si>
    <t>Chennai Super Kings Ltd @</t>
  </si>
  <si>
    <t>Tirrihannah Company Ltd @</t>
  </si>
  <si>
    <t>Sandur Laminates Ltd @</t>
  </si>
  <si>
    <t>Crystal Cable Industries Ltd @</t>
  </si>
  <si>
    <t>Minerava Holdings Ltd @</t>
  </si>
  <si>
    <t>Rs.46.67 lacs / 0.02%</t>
  </si>
  <si>
    <t>Crescent Finstock Ltd @</t>
  </si>
  <si>
    <t>Mukerian Papers Ltd @</t>
  </si>
  <si>
    <t>Virtual Dynamics Software Ltd @</t>
  </si>
  <si>
    <t>Sangam Health Care Products Ltd @</t>
  </si>
  <si>
    <t>Balmer Lawrie Freight Containers Ltd @</t>
  </si>
  <si>
    <t>Noble Brothers Impex Ltd @</t>
  </si>
  <si>
    <t>Precision Fasteners Ltd @</t>
  </si>
  <si>
    <t>Rs. 17.95 lacs / 0.02%</t>
  </si>
  <si>
    <t>Bharti Airtel Ltd - Partly Paid Right Shares</t>
  </si>
  <si>
    <t>7.88%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</si>
  <si>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</si>
  <si>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7.17% Central Government Securities 17/04/20230</t>
  </si>
  <si>
    <t>7.18% Central Government Securities 14/08/2033</t>
  </si>
  <si>
    <t>IT - Software</t>
  </si>
  <si>
    <t>IT - Services</t>
  </si>
  <si>
    <t>** Thinly traded / Non Traded Securities</t>
  </si>
  <si>
    <t>TATA Consultancy Services Limited September 2023</t>
  </si>
  <si>
    <t>ITC Limited September 2023</t>
  </si>
  <si>
    <t>Siemens Limited September 2023</t>
  </si>
  <si>
    <t>Zydus Lifesciences Limited September 2023</t>
  </si>
  <si>
    <t xml:space="preserve">	Tata Consumer Products Limited September 2023</t>
  </si>
  <si>
    <t>Trent Limited September 2023</t>
  </si>
  <si>
    <t>Tata Communications Limited September 2023</t>
  </si>
  <si>
    <t>Asian Paints Limited September 2023</t>
  </si>
  <si>
    <t>Reliance Industries Limited September 2023</t>
  </si>
  <si>
    <t>ACC Limited September 2023</t>
  </si>
  <si>
    <t>Dabur India Limited September 2023</t>
  </si>
  <si>
    <t>Ambuja Cements Limited September 2023</t>
  </si>
  <si>
    <t xml:space="preserve">	Hindustan Unilever Limited September 2023</t>
  </si>
  <si>
    <t>Manappuram Finance Limited September 2023</t>
  </si>
  <si>
    <t>DLF Limited September 2023</t>
  </si>
  <si>
    <t>HDFC Bank Limited September 2023</t>
  </si>
  <si>
    <t>Bajaj Finance Limited September 2023</t>
  </si>
  <si>
    <t>Maruti Suzuki India Limited September 2023</t>
  </si>
  <si>
    <t>Indus Towers Limited September 2023</t>
  </si>
  <si>
    <t>ICICI Bank Limited September 2023</t>
  </si>
  <si>
    <t>Zee Entertainment Enterprises Limited September 2023</t>
  </si>
  <si>
    <t>Bajaj Finserv Limited September 2023</t>
  </si>
  <si>
    <t>Bank of Baroda September 2023</t>
  </si>
  <si>
    <t xml:space="preserve">	United Spirits Limited September 2023</t>
  </si>
  <si>
    <t xml:space="preserve">	Mahindra &amp; Mahindra Limited September 2023</t>
  </si>
  <si>
    <t>Tata Motors Limited September 2023</t>
  </si>
  <si>
    <t>Cipla Limited September 2023</t>
  </si>
  <si>
    <t>Jindal Steel &amp; Power Limited September 2023</t>
  </si>
  <si>
    <t>Infosys Limited September 2023</t>
  </si>
  <si>
    <t>Kotak Mahindra Bank Limited September 2023</t>
  </si>
  <si>
    <t>Nifty September 2023</t>
  </si>
  <si>
    <t>Hindustan Petroleum Corpn Limited September 2023</t>
  </si>
  <si>
    <t>SRF Limited September 2023</t>
  </si>
  <si>
    <t>HDFC Life Insurance Company Limited September 2023</t>
  </si>
  <si>
    <t xml:space="preserve">	State Bank Of India Limited September 2023</t>
  </si>
  <si>
    <t>Titan Company Limited September 2023</t>
  </si>
  <si>
    <t>IndusInd Bank Limited September 2023</t>
  </si>
  <si>
    <t>Axis Bank Limited September 2023</t>
  </si>
  <si>
    <t xml:space="preserve">	Tata Steel Limited September 2023</t>
  </si>
  <si>
    <t xml:space="preserve">	Tech Mahindra Limited September 2023</t>
  </si>
  <si>
    <t>Sundaram Liquid Fund - Direct Growth @@</t>
  </si>
  <si>
    <t xml:space="preserve"> @@ Placed as margin for derivatives</t>
  </si>
  <si>
    <t>INE041025011</t>
  </si>
  <si>
    <t>Embassy Office Parks (REIT)</t>
  </si>
  <si>
    <t>INE0GGX23010</t>
  </si>
  <si>
    <t>Power Grid Infrastructure Investment Trust (InvIT)</t>
  </si>
  <si>
    <t>INE0Q3R01026</t>
  </si>
  <si>
    <t>INE0Q3R04012</t>
  </si>
  <si>
    <t>S000000116168</t>
  </si>
  <si>
    <t>Sundaram Global Brand Fund - Master Class</t>
  </si>
  <si>
    <t>Annexure-A</t>
  </si>
  <si>
    <t>Rs.11491.23 Lacs</t>
  </si>
  <si>
    <t>Rs.1240.42 Lacs</t>
  </si>
  <si>
    <t>Cash and Other Net Current Assets^</t>
  </si>
  <si>
    <t>^ Net current assets includes interest accrued on fixed income securities</t>
  </si>
  <si>
    <t>Tata Motors Ltd - DVR</t>
  </si>
  <si>
    <t>TVS Holdings Ltd - 9.00% - 25/03/2024 - Preference share</t>
  </si>
  <si>
    <t>182 Days - T Bill - 16/11/2023*</t>
  </si>
  <si>
    <t>364 Days - T Bill - 23/11/2023*</t>
  </si>
  <si>
    <t>364 Days - T Bill - 14/03/2024*</t>
  </si>
  <si>
    <t>5.22% Central Government Securities 15/06/2025*</t>
  </si>
  <si>
    <t>364 Days - T Bill - 22/03/2024*</t>
  </si>
  <si>
    <t xml:space="preserve">* Investment earmarked for Derivative Margin </t>
  </si>
  <si>
    <t>YTM (%)</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</si>
  <si>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</si>
  <si>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</si>
  <si>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</si>
  <si>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</si>
  <si>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</si>
  <si>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</si>
  <si>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</si>
  <si>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</si>
  <si>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</si>
  <si>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</si>
  <si>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</si>
  <si>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</si>
  <si>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</si>
  <si>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</si>
  <si>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</si>
  <si>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</si>
  <si>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</si>
  <si>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</si>
  <si>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</si>
  <si>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</si>
  <si>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</si>
  <si>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</si>
  <si>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</si>
  <si>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</si>
  <si>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</si>
  <si>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</si>
  <si>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</si>
  <si>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21.50% Dewan Rubber Ltd</t>
  </si>
  <si>
    <t>Not Available</t>
  </si>
  <si>
    <t>Chemox Chemicals Industries</t>
  </si>
  <si>
    <t>15% Premier Vinyl Ltd</t>
  </si>
  <si>
    <t>18% Jord Engineering Ltd</t>
  </si>
  <si>
    <t>i) Exposure to securities classified as below investment grade or default as on Aug 31, 2023</t>
  </si>
  <si>
    <t>% to AUM as on 31/08/2023</t>
  </si>
  <si>
    <t>Refer below point i)</t>
  </si>
  <si>
    <t>Bank of Baroda - 8.55% - Call Dt 14/02/2024 (Tier II Bond under Basel III)**</t>
  </si>
  <si>
    <t>Yield to call date %</t>
  </si>
  <si>
    <t>Direct Plan - IDCW</t>
  </si>
  <si>
    <t>Regular Plan - IDCW</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</si>
  <si>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</si>
  <si>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</si>
  <si>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</si>
  <si>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</si>
  <si>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</si>
  <si>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</si>
  <si>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</si>
  <si>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</si>
  <si>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Monthly Portfolio Statement for the month ended 31 August 2023</t>
  </si>
  <si>
    <t>(a) Investments in Foreign Securities - Units of Mutual Funds</t>
  </si>
  <si>
    <t>Direct Plan - Half Yearly IDCW</t>
  </si>
  <si>
    <t>Regular Plan - Half Yearly IDCW</t>
  </si>
  <si>
    <t>YTM (%)***</t>
  </si>
  <si>
    <t>Index</t>
  </si>
  <si>
    <t>Scheme Riskometer</t>
  </si>
  <si>
    <t>Benchmark Riskometer - NIFTY Infrastructure TRI</t>
  </si>
  <si>
    <t xml:space="preserve">          Benchmark Riskometer - MSCI ACWI TRI</t>
  </si>
  <si>
    <t>Tier I Benchmark Riskometer - Nifty Mid Cap 150 TRI</t>
  </si>
  <si>
    <t>Tier II Benchmark Riskometer - Nifty Mid Cap 100 TRI</t>
  </si>
  <si>
    <t>Tier I Benchmark Riskometer - Nifty Large Mid Cap 250 INDEX</t>
  </si>
  <si>
    <t>Tier II Benchmark Riskometer - Nifty Large Mid Cap 250 INDEX</t>
  </si>
  <si>
    <t>Benchmark Riskometer - S&amp;P BSE 250 SmallCap</t>
  </si>
  <si>
    <t xml:space="preserve">       Benchmark Riskometer - S&amp;P BSE 500 INDEX</t>
  </si>
  <si>
    <t xml:space="preserve"> Benchmark Riskometer - S&amp;P BSE 500 INDEX</t>
  </si>
  <si>
    <t xml:space="preserve">        Benchmark Riskometer - S&amp;P BSE 500 INDEX</t>
  </si>
  <si>
    <t xml:space="preserve">        Benchmark Riskometer - Nifty Small Cap 100</t>
  </si>
  <si>
    <t xml:space="preserve">           Benchmark Riskometer - Nifty Small Cap 100</t>
  </si>
  <si>
    <t xml:space="preserve">         Benchmark Riskometer - Nifty Small Cap 100</t>
  </si>
  <si>
    <t>Benchmark Riskometer - Nifty Small Cap 100</t>
  </si>
  <si>
    <t>Tier I Benchmark Riskometer - Nifty Small Cap 250 TRI</t>
  </si>
  <si>
    <t>Tier II Benchmark Riskometer - Nifty Small Cap 100 TRI</t>
  </si>
  <si>
    <t>Benchmark Riskometer - CRISIL Hybrid 35+65 - Aggressive Index</t>
  </si>
  <si>
    <t>Benchmark Riskometer - NIFTY 50 Arbitrage INDEX</t>
  </si>
  <si>
    <t>Benchmark Riskometer - NIFTY 50 Hybrid Composite Debt 50 : 50 INDEX</t>
  </si>
  <si>
    <t xml:space="preserve">             Tier I Benchmark Riskometer - NIFTY 500</t>
  </si>
  <si>
    <t>Tier II Benchmark Riskometer - NIFTY Dividend Opportunities 50 TRI</t>
  </si>
  <si>
    <t>Benchmark Riskometer - Nifty Equity Savings INDEX</t>
  </si>
  <si>
    <t xml:space="preserve">          Tier I Benchmark Riskometer - Nifty 500 TRI</t>
  </si>
  <si>
    <t xml:space="preserve"> Tier II Benchmark Riskometer - Nifty Large MID CAP 250 TRI</t>
  </si>
  <si>
    <t>Tier I Benchmark Riskometer - Nifty 500 MultiCap 50:25:25</t>
  </si>
  <si>
    <t>Tier II Benchmark Riskometer - Nifty 500 MultiCap 50:25:25</t>
  </si>
  <si>
    <t>Benchmark Riskometer - Nifty 100 Equal Weight TRI</t>
  </si>
  <si>
    <t>Tier I Benchmark Riskometer - NIFTY 500</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</si>
  <si>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</si>
  <si>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</si>
  <si>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</si>
  <si>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</si>
  <si>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</si>
  <si>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</si>
  <si>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 xml:space="preserve">           Tier I Benchmark Riskometer - Nifty 500 TRI</t>
  </si>
  <si>
    <t xml:space="preserve">            Tier II Benchmark Riskometer - Nifty 500 TRI</t>
  </si>
  <si>
    <t>Benchmark Riskometer - Nifty Financial Services</t>
  </si>
  <si>
    <t>DERIVATIVES DISCLOSURE</t>
  </si>
  <si>
    <t>Disclosure regarding Derivative positions pursuant to SEBI Circular no CIR/IMD/DF/11/2010 dated August18,2010</t>
  </si>
  <si>
    <t>DETAILS OF INVESTMENTS IN DERIVATIVE INSTRUMENTS</t>
  </si>
  <si>
    <t>A. Hedging Positions through Futures as on August 31,2023 :</t>
  </si>
  <si>
    <t>Scheme Name</t>
  </si>
  <si>
    <t>Underlying</t>
  </si>
  <si>
    <t>Long/Short</t>
  </si>
  <si>
    <t>Futures Price When Purchased</t>
  </si>
  <si>
    <t>Current Price of the contract</t>
  </si>
  <si>
    <t>Margin maintained in       (Rs in Lakhs)*</t>
  </si>
  <si>
    <t>Asian Paints Ltd SEP-2023</t>
  </si>
  <si>
    <t>Short</t>
  </si>
  <si>
    <t>Associated Cement Co. Ltd SEP-2023</t>
  </si>
  <si>
    <t>Bajaj Finance Ltd SEP-2023</t>
  </si>
  <si>
    <t>Dabur India Ltd - Equity SEP-2023</t>
  </si>
  <si>
    <t>DLF Ltd SEP-2023</t>
  </si>
  <si>
    <t>Gujarat Ambuja Cement Co.Ltd SEP-2023</t>
  </si>
  <si>
    <t>HDFC Bank Ltd SEP-2023</t>
  </si>
  <si>
    <t>Hindustan Unilever Ltd SEP-2023</t>
  </si>
  <si>
    <t>ICICI Bank Ltd SEP-2023</t>
  </si>
  <si>
    <t>Indus Towers Ltd (Prev name Bharti Infratel Ltd) SEP-2023</t>
  </si>
  <si>
    <t>ITC Ltd SEP-2023</t>
  </si>
  <si>
    <t>Manappuram Finance Limited SEP-2023</t>
  </si>
  <si>
    <t>Maruti Suzuki India Ltd SEP-2023</t>
  </si>
  <si>
    <t>Reliance Industries Ltd SEP-2023</t>
  </si>
  <si>
    <t>Siemens India Ltd SEP-2023</t>
  </si>
  <si>
    <t>TATA Communications Ltd SEP-2023</t>
  </si>
  <si>
    <t>TATA Consultancy Services Ltd SEP-2023</t>
  </si>
  <si>
    <t>Tata Consumer Products Limited SEP-2023</t>
  </si>
  <si>
    <t>Trent Ltd SEP-2023</t>
  </si>
  <si>
    <t>Zee Entertainment Enterprises Ltd SEP-2023</t>
  </si>
  <si>
    <t>Zydus Lifesciences Ltd ( Prev Cadila Healthcare Ltd)  SEP-2023</t>
  </si>
  <si>
    <t>Bajaj Finserv Ltd SEP-2023</t>
  </si>
  <si>
    <t>Bank of Baroda SEP-2023</t>
  </si>
  <si>
    <t>Cipla Ltd SEP-2023</t>
  </si>
  <si>
    <t>Infosys Ltd SEP-2023</t>
  </si>
  <si>
    <t>Jindal Steel &amp; Power Ltd SEP-2023</t>
  </si>
  <si>
    <t>Kotak Mahindra Bank Ltd SEP-2023</t>
  </si>
  <si>
    <t>Mahindra &amp; Mahindra Ltd SEP-2023</t>
  </si>
  <si>
    <t>NIFTY SEP-2023</t>
  </si>
  <si>
    <t>Tata Motors Ltd SEP-2023</t>
  </si>
  <si>
    <t>United Spirits Ltd SEP-2023</t>
  </si>
  <si>
    <t>Axis Bank Ltd  SEP-2023</t>
  </si>
  <si>
    <t>HDFC Life Insurance Company Ltd SEP-2023</t>
  </si>
  <si>
    <t>Hindustan Petroleum Corpn Ltd SEP-2023</t>
  </si>
  <si>
    <t>IndusInd Bank Ltd SEP-2023</t>
  </si>
  <si>
    <t>SRF LTD SEP-2023</t>
  </si>
  <si>
    <t>State Bank Of India Ltd SEP-2023</t>
  </si>
  <si>
    <t>Tata Steel Ltd SEP-2023</t>
  </si>
  <si>
    <t>Tech Mahindra Ltd SEP-2023</t>
  </si>
  <si>
    <t>Titan Industries Ltd SEP-2023</t>
  </si>
  <si>
    <t xml:space="preserve">Total percentage of existing assets hedged through futures as a percentage of net assets </t>
  </si>
  <si>
    <t>%</t>
  </si>
  <si>
    <t>For the period ended August 31,2023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</si>
  <si>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</si>
  <si>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</si>
  <si>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</si>
  <si>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</si>
  <si>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</si>
  <si>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August 31,2023 :</t>
  </si>
  <si>
    <t>Margin maintained in       (Rs. in Lakhs) *</t>
  </si>
  <si>
    <t>LONG</t>
  </si>
  <si>
    <t>Total percentage of existing assets due to non-hedging positions as a percentage of net assets</t>
  </si>
  <si>
    <t>For the period ended August 31,2023 following were the non-hedging transactions through futures which have been squared off / expired</t>
  </si>
  <si>
    <t>Gross Notional value of contracts where futures were sold      ( Rs. in Lakhs)</t>
  </si>
  <si>
    <t>Net Profit / (Loss) value on all contracts combined      (Rs. in lakhs)</t>
  </si>
  <si>
    <t>Sundaram Equity Saving Fund</t>
  </si>
  <si>
    <t>Sundaram Multip Cap Fund</t>
  </si>
  <si>
    <t>C. Hedging Positions through Put Options as on August 31,2023 :</t>
  </si>
  <si>
    <t>Call/Put</t>
  </si>
  <si>
    <t>Number of Contracts</t>
  </si>
  <si>
    <t>Option Price when purchased</t>
  </si>
  <si>
    <t>Current Option Price</t>
  </si>
  <si>
    <t>Total % of existing assets hedged through Put Options</t>
  </si>
  <si>
    <t xml:space="preserve"> </t>
  </si>
  <si>
    <t>For the period ended  August 31,2023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</si>
  <si>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</si>
  <si>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</si>
  <si>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</si>
  <si>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</si>
  <si>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August 31,2023 :</t>
  </si>
  <si>
    <t xml:space="preserve">Total Exposure through Options other than hedging as a percentage of net assets </t>
  </si>
  <si>
    <t>For the period ended August 31,2023 , the following non hedging transactions through options which have been already exercised/expired</t>
  </si>
  <si>
    <t>Gross Notional value of contracts  bought(Rs. in Lakhs)</t>
  </si>
  <si>
    <t>Gross Notional value of contracts  sold (Rs. in Lakhs)</t>
  </si>
  <si>
    <t>E. Hedging Positions through Swaps as on August 31,2023 - Nil</t>
  </si>
  <si>
    <t>F. Hedging Positions through Interest Rate Futures as on August 31,2023 :</t>
  </si>
  <si>
    <t xml:space="preserve">Futures Price
When Purchased </t>
  </si>
  <si>
    <t>Current Price of
the contract</t>
  </si>
  <si>
    <t>Margin maintained
in (Rs. in Lakhs)</t>
  </si>
  <si>
    <t>Total percentage of existing assets hedged through Interest Rate Futures a Percentage of net assets</t>
  </si>
  <si>
    <t>For the period ended August 31,2023 following were the hedging transactions through Interest Rate Futures which have been squared off/ expired</t>
  </si>
  <si>
    <t>For the period ended August 31,2023 following were the Non Hedging transactions through Interest Rate Futures which have been squared off/ expired</t>
  </si>
  <si>
    <t>* Note: Margin maintained denotes security specific margin.</t>
  </si>
  <si>
    <t>Chennai Super Kings Ltd@</t>
  </si>
  <si>
    <t>Virtual Dynamics Software Ltd@</t>
  </si>
  <si>
    <t>Make My Trip Ltd (USD)</t>
  </si>
  <si>
    <t>Rs.2.54 lacs/ #</t>
  </si>
  <si>
    <t>Rs.0.01 lacs/ #</t>
  </si>
  <si>
    <t>Rs.0.02 lacs/ #</t>
  </si>
  <si>
    <t>Rs. 5.79 lacs/ 0.01%</t>
  </si>
  <si>
    <t>Rs. 1.48 lacs / #</t>
  </si>
  <si>
    <t>Sundaram Clayton DCD Ltd - 0.10% -  25/08/2024 - Unlisted Preference share** @</t>
  </si>
  <si>
    <t>b) Total value and percentage of illiquid equity / Preference shares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</si>
</sst>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
    <numFmt numFmtId="171" formatCode="[$-1014009]#,##0.000000;\-#,##0.000000"/>
    <numFmt numFmtId="172" formatCode="0.000000000"/>
    <numFmt numFmtId="173" formatCode="[$-1014009]#,##0.00;\(#,##0.00\)"/>
    <numFmt numFmtId="174" formatCode="_(* #,##0_);_(* \(#,##0\);_(* &quot;-&quot;??_);_(@_)"/>
    <numFmt numFmtId="175" formatCode="[$-1014009]#,##0.0000;\(#,##0.0000\)"/>
    <numFmt numFmtId="176" formatCode="0.000"/>
    <numFmt numFmtId="177" formatCode="_(* #,##0.00_);_(* \(#,##0.00\);_(* &quot;-&quot;??_);_(@_)"/>
    <numFmt numFmtId="178" formatCode="#,##0.000"/>
    <numFmt numFmtId="179" formatCode="#,##0.0000;\(#,##0.0000\)"/>
    <numFmt numFmtId="180" formatCode="_(* #,##0.000_);_(* \(#,##0.000\);_(* &quot;-&quot;??_);_(@_)"/>
  </numFmts>
  <fonts count="27"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sz val="10"/>
      <name val="Arial"/>
      <family val="2"/>
    </font>
    <font>
      <sz val="11"/>
      <name val="Calibri"/>
      <family val="2"/>
      <scheme val="minor"/>
    </font>
    <font>
      <u/>
      <sz val="10"/>
      <color theme="10"/>
      <name val="Arial"/>
      <family val="2"/>
    </font>
    <font>
      <u/>
      <sz val="11"/>
      <color theme="10"/>
      <name val="Calibri"/>
      <family val="2"/>
      <scheme val="minor"/>
    </font>
    <font>
      <sz val="10"/>
      <color indexed="8"/>
      <name val="Calibri"/>
      <family val="2"/>
    </font>
    <font>
      <b/>
      <i/>
      <sz val="10"/>
      <color indexed="8"/>
      <name val="Calibri"/>
      <family val="2"/>
    </font>
    <font>
      <b/>
      <sz val="10"/>
      <color indexed="8"/>
      <name val="Calibri"/>
      <family val="2"/>
    </font>
    <font>
      <b/>
      <sz val="11"/>
      <color indexed="8"/>
      <name val="Calibri"/>
      <family val="2"/>
    </font>
    <font>
      <sz val="10"/>
      <name val="Arial"/>
      <family val="2"/>
    </font>
    <font>
      <b/>
      <sz val="11"/>
      <name val="Calibri"/>
      <family val="2"/>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u/>
      <sz val="11"/>
      <color rgb="FF002060"/>
      <name val="Calibri"/>
      <family val="2"/>
      <scheme val="minor"/>
    </font>
    <font>
      <sz val="11"/>
      <name val="Calibri"/>
      <family val="2"/>
    </font>
    <font>
      <b/>
      <sz val="10"/>
      <name val="Arial"/>
      <family val="2"/>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2" fillId="0" borderId="0"/>
    <xf numFmtId="0" fontId="10" fillId="0" borderId="0">
      <alignment wrapText="1"/>
    </xf>
    <xf numFmtId="0" fontId="12" fillId="0" borderId="0" applyNumberFormat="0" applyFill="0" applyBorder="0" applyAlignment="0" applyProtection="0">
      <alignment wrapText="1"/>
    </xf>
    <xf numFmtId="43" fontId="18" fillId="0" borderId="0" applyFont="0" applyFill="0" applyBorder="0" applyAlignment="0" applyProtection="0"/>
    <xf numFmtId="9" fontId="18"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0" fillId="0" borderId="0">
      <alignment wrapText="1"/>
    </xf>
  </cellStyleXfs>
  <cellXfs count="262">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5"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0" fontId="5"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0" fillId="2" borderId="0" xfId="0" applyFill="1" applyAlignment="1">
      <alignment horizontal="center" vertical="top" readingOrder="1"/>
    </xf>
    <xf numFmtId="0" fontId="4" fillId="2" borderId="6" xfId="0" applyFont="1" applyFill="1" applyBorder="1" applyAlignment="1">
      <alignment horizontal="right" vertical="top" wrapText="1" readingOrder="1"/>
    </xf>
    <xf numFmtId="170" fontId="5" fillId="2" borderId="4" xfId="0" applyNumberFormat="1" applyFont="1" applyFill="1" applyBorder="1" applyAlignment="1">
      <alignment horizontal="lef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8" fillId="0" borderId="7" xfId="1" applyFont="1" applyBorder="1" applyAlignment="1">
      <alignment horizontal="center" vertical="center"/>
    </xf>
    <xf numFmtId="0" fontId="9" fillId="0" borderId="7" xfId="1" applyFont="1" applyBorder="1" applyAlignment="1">
      <alignment horizontal="center" vertical="center"/>
    </xf>
    <xf numFmtId="0" fontId="11" fillId="0" borderId="0" xfId="2" applyFont="1">
      <alignment wrapText="1"/>
    </xf>
    <xf numFmtId="0" fontId="11" fillId="0" borderId="7" xfId="2" applyFont="1" applyBorder="1" applyAlignment="1">
      <alignment horizontal="center" wrapText="1"/>
    </xf>
    <xf numFmtId="0" fontId="13" fillId="0" borderId="7" xfId="3" applyFont="1" applyBorder="1" applyAlignment="1"/>
    <xf numFmtId="0" fontId="11" fillId="0" borderId="7" xfId="2" applyFont="1" applyBorder="1" applyAlignment="1"/>
    <xf numFmtId="0" fontId="14" fillId="2" borderId="4" xfId="0" applyFont="1" applyFill="1" applyBorder="1" applyAlignment="1">
      <alignment horizontal="left" vertical="center" wrapText="1" readingOrder="1"/>
    </xf>
    <xf numFmtId="0" fontId="15" fillId="2" borderId="0" xfId="0" applyFont="1" applyFill="1" applyAlignment="1">
      <alignment horizontal="left" vertical="center" wrapText="1" readingOrder="1"/>
    </xf>
    <xf numFmtId="0" fontId="16" fillId="2" borderId="4" xfId="0" applyFont="1" applyFill="1" applyBorder="1" applyAlignment="1">
      <alignment horizontal="left" vertical="center" wrapText="1" readingOrder="1"/>
    </xf>
    <xf numFmtId="0" fontId="15" fillId="2" borderId="6" xfId="0" applyFont="1" applyFill="1" applyBorder="1" applyAlignment="1">
      <alignment horizontal="right" vertical="center" wrapText="1" readingOrder="1"/>
    </xf>
    <xf numFmtId="2" fontId="15" fillId="2" borderId="0" xfId="0" applyNumberFormat="1" applyFont="1" applyFill="1" applyAlignment="1">
      <alignment horizontal="right" vertical="center" wrapText="1" readingOrder="1"/>
    </xf>
    <xf numFmtId="0" fontId="15" fillId="2" borderId="0" xfId="0" applyFont="1" applyFill="1" applyAlignment="1">
      <alignment horizontal="right" vertical="center" wrapText="1" readingOrder="1"/>
    </xf>
    <xf numFmtId="0" fontId="15" fillId="0" borderId="0" xfId="1" applyFont="1" applyAlignment="1">
      <alignment horizontal="left" vertical="center" wrapText="1" readingOrder="1"/>
    </xf>
    <xf numFmtId="0" fontId="15" fillId="0" borderId="0" xfId="1" applyFont="1" applyAlignment="1">
      <alignment horizontal="right" vertical="center" wrapText="1" readingOrder="1"/>
    </xf>
    <xf numFmtId="0" fontId="2" fillId="0" borderId="0" xfId="1" applyAlignment="1">
      <alignment wrapText="1"/>
    </xf>
    <xf numFmtId="0" fontId="14" fillId="0" borderId="4" xfId="0" applyFont="1" applyBorder="1" applyAlignment="1">
      <alignment horizontal="left" vertical="center" wrapText="1" readingOrder="1"/>
    </xf>
    <xf numFmtId="165" fontId="14" fillId="2" borderId="4" xfId="0" applyNumberFormat="1" applyFont="1" applyFill="1" applyBorder="1" applyAlignment="1">
      <alignment horizontal="right" vertical="center" wrapText="1" readingOrder="1"/>
    </xf>
    <xf numFmtId="166" fontId="14" fillId="2" borderId="4" xfId="0" applyNumberFormat="1" applyFont="1" applyFill="1" applyBorder="1" applyAlignment="1">
      <alignment horizontal="right" vertical="center" wrapText="1" readingOrder="1"/>
    </xf>
    <xf numFmtId="167" fontId="14" fillId="2" borderId="4" xfId="0" applyNumberFormat="1" applyFont="1" applyFill="1" applyBorder="1" applyAlignment="1">
      <alignment horizontal="right" vertical="center" wrapText="1" readingOrder="1"/>
    </xf>
    <xf numFmtId="166" fontId="14" fillId="0" borderId="4" xfId="0" applyNumberFormat="1" applyFont="1" applyBorder="1" applyAlignment="1">
      <alignment horizontal="right" vertical="center" wrapText="1" readingOrder="1"/>
    </xf>
    <xf numFmtId="0" fontId="10" fillId="0" borderId="0" xfId="2">
      <alignment wrapText="1"/>
    </xf>
    <xf numFmtId="172" fontId="0" fillId="0" borderId="0" xfId="0" applyNumberFormat="1">
      <alignment wrapText="1"/>
    </xf>
    <xf numFmtId="167" fontId="16" fillId="2" borderId="4" xfId="0" applyNumberFormat="1" applyFont="1" applyFill="1" applyBorder="1" applyAlignment="1">
      <alignment horizontal="right" vertical="center" wrapText="1" readingOrder="1"/>
    </xf>
    <xf numFmtId="170" fontId="16" fillId="2" borderId="4" xfId="0" applyNumberFormat="1" applyFont="1" applyFill="1" applyBorder="1" applyAlignment="1">
      <alignment horizontal="left" vertical="center" wrapText="1" readingOrder="1"/>
    </xf>
    <xf numFmtId="0" fontId="14" fillId="2" borderId="4" xfId="2" applyFont="1" applyFill="1" applyBorder="1" applyAlignment="1">
      <alignment horizontal="right" vertical="top" wrapText="1" readingOrder="1"/>
    </xf>
    <xf numFmtId="0" fontId="16" fillId="2" borderId="4" xfId="2" applyFont="1" applyFill="1" applyBorder="1" applyAlignment="1">
      <alignment horizontal="left" vertical="center" wrapText="1" readingOrder="1"/>
    </xf>
    <xf numFmtId="0" fontId="16" fillId="2" borderId="4" xfId="2" applyFont="1" applyFill="1" applyBorder="1" applyAlignment="1">
      <alignment horizontal="right" vertical="center" wrapText="1" readingOrder="1"/>
    </xf>
    <xf numFmtId="167" fontId="16" fillId="2" borderId="4" xfId="2" applyNumberFormat="1" applyFont="1" applyFill="1" applyBorder="1" applyAlignment="1">
      <alignment horizontal="right" vertical="center" wrapText="1" readingOrder="1"/>
    </xf>
    <xf numFmtId="0" fontId="15" fillId="2" borderId="4" xfId="2" applyFont="1" applyFill="1" applyBorder="1" applyAlignment="1">
      <alignment horizontal="left" vertical="center" wrapText="1" readingOrder="1"/>
    </xf>
    <xf numFmtId="0" fontId="15" fillId="2" borderId="4" xfId="2" applyFont="1" applyFill="1" applyBorder="1" applyAlignment="1">
      <alignment horizontal="right" vertical="center" wrapText="1" readingOrder="1"/>
    </xf>
    <xf numFmtId="166" fontId="16" fillId="2" borderId="4" xfId="2" applyNumberFormat="1" applyFont="1" applyFill="1" applyBorder="1" applyAlignment="1">
      <alignment horizontal="right" vertical="center" wrapText="1" readingOrder="1"/>
    </xf>
    <xf numFmtId="164" fontId="14" fillId="2" borderId="4" xfId="2" applyNumberFormat="1" applyFont="1" applyFill="1" applyBorder="1" applyAlignment="1">
      <alignment horizontal="right" vertical="center" wrapText="1" readingOrder="1"/>
    </xf>
    <xf numFmtId="0" fontId="14" fillId="2" borderId="4" xfId="2" applyFont="1" applyFill="1" applyBorder="1" applyAlignment="1">
      <alignment horizontal="left" vertical="center" wrapText="1" readingOrder="1"/>
    </xf>
    <xf numFmtId="0" fontId="14" fillId="2" borderId="4" xfId="2" applyFont="1" applyFill="1" applyBorder="1" applyAlignment="1">
      <alignment horizontal="right" vertical="center" wrapText="1" readingOrder="1"/>
    </xf>
    <xf numFmtId="166" fontId="14" fillId="2" borderId="4" xfId="2" applyNumberFormat="1" applyFont="1" applyFill="1" applyBorder="1" applyAlignment="1">
      <alignment horizontal="right" vertical="center" wrapText="1" readingOrder="1"/>
    </xf>
    <xf numFmtId="167" fontId="14" fillId="2" borderId="4" xfId="2" applyNumberFormat="1" applyFont="1" applyFill="1" applyBorder="1" applyAlignment="1">
      <alignment horizontal="right" vertical="center" wrapText="1" readingOrder="1"/>
    </xf>
    <xf numFmtId="165" fontId="14" fillId="2" borderId="4" xfId="2" applyNumberFormat="1" applyFont="1" applyFill="1" applyBorder="1" applyAlignment="1">
      <alignment horizontal="right" vertical="center" wrapText="1" readingOrder="1"/>
    </xf>
    <xf numFmtId="168" fontId="16" fillId="2" borderId="4" xfId="2" applyNumberFormat="1" applyFont="1" applyFill="1" applyBorder="1" applyAlignment="1">
      <alignment horizontal="right" vertical="center" wrapText="1" readingOrder="1"/>
    </xf>
    <xf numFmtId="0" fontId="15" fillId="2" borderId="5" xfId="2" applyFont="1" applyFill="1" applyBorder="1" applyAlignment="1">
      <alignment horizontal="left" vertical="center" wrapText="1" readingOrder="1"/>
    </xf>
    <xf numFmtId="0" fontId="15" fillId="2" borderId="5" xfId="2" applyFont="1" applyFill="1" applyBorder="1" applyAlignment="1">
      <alignment horizontal="right" vertical="center" wrapText="1" readingOrder="1"/>
    </xf>
    <xf numFmtId="0" fontId="15" fillId="2" borderId="0" xfId="2" applyFont="1" applyFill="1" applyAlignment="1">
      <alignment horizontal="left" vertical="center" wrapText="1" readingOrder="1"/>
    </xf>
    <xf numFmtId="0" fontId="15" fillId="2" borderId="0" xfId="2" applyFont="1" applyFill="1" applyAlignment="1">
      <alignment horizontal="right" vertical="center" wrapText="1" readingOrder="1"/>
    </xf>
    <xf numFmtId="0" fontId="15" fillId="2" borderId="6" xfId="2" applyFont="1" applyFill="1" applyBorder="1" applyAlignment="1">
      <alignment horizontal="right" vertical="center" wrapText="1" readingOrder="1"/>
    </xf>
    <xf numFmtId="0" fontId="14" fillId="2" borderId="0" xfId="2" applyFont="1" applyFill="1" applyAlignment="1">
      <alignment horizontal="right" vertical="top" wrapText="1" readingOrder="1"/>
    </xf>
    <xf numFmtId="0" fontId="16" fillId="2" borderId="4" xfId="2" applyFont="1" applyFill="1" applyBorder="1" applyAlignment="1">
      <alignment horizontal="right" vertical="top" wrapText="1" readingOrder="1"/>
    </xf>
    <xf numFmtId="0" fontId="16" fillId="2" borderId="4" xfId="2" applyFont="1" applyFill="1" applyBorder="1" applyAlignment="1">
      <alignment horizontal="left" vertical="top" wrapText="1" readingOrder="1"/>
    </xf>
    <xf numFmtId="169" fontId="14" fillId="2" borderId="4" xfId="2" applyNumberFormat="1" applyFont="1" applyFill="1" applyBorder="1" applyAlignment="1">
      <alignment horizontal="right" vertical="center" wrapText="1" readingOrder="1"/>
    </xf>
    <xf numFmtId="0" fontId="14" fillId="2" borderId="0" xfId="2" applyFont="1" applyFill="1" applyAlignment="1">
      <alignment horizontal="left" vertical="center" wrapText="1" readingOrder="1"/>
    </xf>
    <xf numFmtId="0" fontId="14" fillId="2" borderId="0" xfId="2" applyFont="1" applyFill="1" applyAlignment="1">
      <alignment horizontal="right" vertical="center" wrapText="1" readingOrder="1"/>
    </xf>
    <xf numFmtId="0" fontId="10" fillId="2" borderId="0" xfId="2" applyFill="1" applyAlignment="1">
      <alignment horizontal="center" vertical="top" readingOrder="1"/>
    </xf>
    <xf numFmtId="0" fontId="14" fillId="2" borderId="6" xfId="2" applyFont="1" applyFill="1" applyBorder="1" applyAlignment="1">
      <alignment horizontal="right" vertical="top" wrapText="1" readingOrder="1"/>
    </xf>
    <xf numFmtId="170" fontId="16" fillId="2" borderId="4" xfId="2" applyNumberFormat="1" applyFont="1" applyFill="1" applyBorder="1" applyAlignment="1">
      <alignment horizontal="left" vertical="center" wrapText="1" readingOrder="1"/>
    </xf>
    <xf numFmtId="0" fontId="16" fillId="0" borderId="4" xfId="0" applyFont="1" applyBorder="1" applyAlignment="1">
      <alignment horizontal="left" vertical="center" wrapText="1" readingOrder="1"/>
    </xf>
    <xf numFmtId="0" fontId="19" fillId="0" borderId="7" xfId="6" applyFont="1" applyBorder="1" applyAlignment="1">
      <alignment horizontal="center" vertical="center" wrapText="1" readingOrder="1"/>
    </xf>
    <xf numFmtId="0" fontId="0" fillId="0" borderId="0" xfId="0" applyAlignment="1">
      <alignment vertical="center" wrapText="1"/>
    </xf>
    <xf numFmtId="0" fontId="20" fillId="0" borderId="0" xfId="0" applyFont="1" applyAlignment="1">
      <alignment vertical="center"/>
    </xf>
    <xf numFmtId="0" fontId="21" fillId="0" borderId="7" xfId="0" applyFont="1" applyBorder="1" applyAlignment="1">
      <alignment horizontal="center" vertical="center" wrapText="1"/>
    </xf>
    <xf numFmtId="0" fontId="22" fillId="0" borderId="7" xfId="0" applyFont="1" applyBorder="1" applyAlignment="1">
      <alignment vertical="center" wrapText="1"/>
    </xf>
    <xf numFmtId="0" fontId="22" fillId="0" borderId="7" xfId="0" applyFont="1" applyBorder="1" applyAlignment="1">
      <alignment vertical="center"/>
    </xf>
    <xf numFmtId="2" fontId="22" fillId="0" borderId="7" xfId="0" applyNumberFormat="1" applyFont="1" applyBorder="1" applyAlignment="1">
      <alignment vertical="center"/>
    </xf>
    <xf numFmtId="10" fontId="20" fillId="0" borderId="7" xfId="5" applyNumberFormat="1" applyFont="1" applyFill="1" applyBorder="1" applyAlignment="1">
      <alignment vertical="center"/>
    </xf>
    <xf numFmtId="4" fontId="22" fillId="0" borderId="7" xfId="0" applyNumberFormat="1" applyFont="1" applyBorder="1" applyAlignment="1">
      <alignment vertical="center"/>
    </xf>
    <xf numFmtId="0" fontId="21" fillId="0" borderId="7" xfId="7" applyFont="1" applyBorder="1" applyAlignment="1">
      <alignment horizontal="center" vertical="center"/>
    </xf>
    <xf numFmtId="0" fontId="21" fillId="0" borderId="0" xfId="7" applyFont="1" applyAlignment="1">
      <alignment horizontal="center" vertical="center"/>
    </xf>
    <xf numFmtId="0" fontId="10" fillId="0" borderId="0" xfId="2" applyAlignment="1">
      <alignment vertical="center" wrapText="1"/>
    </xf>
    <xf numFmtId="0" fontId="20" fillId="0" borderId="7" xfId="7" applyFont="1" applyBorder="1" applyAlignment="1">
      <alignment vertical="center"/>
    </xf>
    <xf numFmtId="0" fontId="20" fillId="0" borderId="7" xfId="7" applyFont="1" applyBorder="1" applyAlignment="1">
      <alignment vertical="center" wrapText="1"/>
    </xf>
    <xf numFmtId="0" fontId="20" fillId="0" borderId="0" xfId="7" applyFont="1" applyAlignment="1">
      <alignment horizontal="center" vertical="center"/>
    </xf>
    <xf numFmtId="0" fontId="21" fillId="0" borderId="7" xfId="7" applyFont="1" applyBorder="1" applyAlignment="1">
      <alignment horizontal="center" vertical="center" wrapText="1"/>
    </xf>
    <xf numFmtId="0" fontId="20" fillId="0" borderId="7" xfId="7" applyFont="1" applyBorder="1" applyAlignment="1">
      <alignment horizontal="left" vertical="center"/>
    </xf>
    <xf numFmtId="2" fontId="20" fillId="0" borderId="7" xfId="7" applyNumberFormat="1" applyFont="1" applyBorder="1" applyAlignment="1">
      <alignment horizontal="right" vertical="center" wrapText="1"/>
    </xf>
    <xf numFmtId="4" fontId="20" fillId="0" borderId="7" xfId="7" applyNumberFormat="1" applyFont="1" applyBorder="1" applyAlignment="1">
      <alignment horizontal="right" vertical="center"/>
    </xf>
    <xf numFmtId="10" fontId="20" fillId="0" borderId="7" xfId="5" applyNumberFormat="1" applyFont="1" applyFill="1" applyBorder="1" applyAlignment="1">
      <alignment vertical="center" wrapText="1"/>
    </xf>
    <xf numFmtId="0" fontId="22" fillId="0" borderId="7" xfId="0" applyFont="1" applyBorder="1" applyAlignment="1">
      <alignment horizontal="justify" vertical="center"/>
    </xf>
    <xf numFmtId="0" fontId="22" fillId="0" borderId="7" xfId="0" applyFont="1" applyBorder="1" applyAlignment="1">
      <alignment horizontal="justify" vertical="center" wrapText="1"/>
    </xf>
    <xf numFmtId="173" fontId="16" fillId="2" borderId="4" xfId="0" applyNumberFormat="1" applyFont="1" applyFill="1" applyBorder="1" applyAlignment="1">
      <alignment horizontal="left" vertical="center" wrapText="1" readingOrder="1"/>
    </xf>
    <xf numFmtId="0" fontId="23" fillId="0" borderId="7" xfId="0" applyFont="1" applyBorder="1" applyAlignment="1">
      <alignment horizontal="justify" vertical="center" wrapText="1"/>
    </xf>
    <xf numFmtId="14" fontId="22" fillId="0" borderId="7" xfId="0" applyNumberFormat="1" applyFont="1" applyBorder="1" applyAlignment="1">
      <alignment horizontal="justify" vertical="center" wrapText="1"/>
    </xf>
    <xf numFmtId="0" fontId="20" fillId="0" borderId="0" xfId="0" applyFont="1" applyAlignment="1"/>
    <xf numFmtId="174" fontId="20" fillId="0" borderId="0" xfId="4" applyNumberFormat="1" applyFont="1" applyFill="1"/>
    <xf numFmtId="43" fontId="20" fillId="0" borderId="0" xfId="4" applyFont="1" applyFill="1"/>
    <xf numFmtId="0" fontId="22" fillId="0" borderId="7" xfId="0" applyFont="1" applyBorder="1">
      <alignment wrapText="1"/>
    </xf>
    <xf numFmtId="174" fontId="20" fillId="0" borderId="0" xfId="4" applyNumberFormat="1" applyFont="1"/>
    <xf numFmtId="43" fontId="20" fillId="0" borderId="0" xfId="4" applyFont="1"/>
    <xf numFmtId="0" fontId="21" fillId="0" borderId="7" xfId="0" applyFont="1" applyBorder="1" applyAlignment="1">
      <alignment horizontal="left" wrapText="1"/>
    </xf>
    <xf numFmtId="0" fontId="21" fillId="0" borderId="7" xfId="0" applyFont="1" applyBorder="1" applyAlignment="1">
      <alignment horizontal="center" wrapText="1"/>
    </xf>
    <xf numFmtId="0" fontId="22" fillId="0" borderId="7" xfId="0" applyFont="1" applyBorder="1" applyAlignment="1">
      <alignment horizontal="left" vertical="center" wrapText="1"/>
    </xf>
    <xf numFmtId="0" fontId="22" fillId="0" borderId="7" xfId="0" applyFont="1" applyBorder="1" applyAlignment="1">
      <alignment horizontal="center" vertical="center"/>
    </xf>
    <xf numFmtId="4" fontId="22" fillId="0" borderId="7" xfId="8" applyNumberFormat="1" applyFont="1" applyFill="1" applyBorder="1" applyAlignment="1">
      <alignment horizontal="center" vertical="center"/>
    </xf>
    <xf numFmtId="10" fontId="22" fillId="0" borderId="7" xfId="8" applyNumberFormat="1" applyFont="1" applyFill="1" applyBorder="1" applyAlignment="1">
      <alignment horizontal="center" vertical="center"/>
    </xf>
    <xf numFmtId="4" fontId="22" fillId="0" borderId="7" xfId="0" applyNumberFormat="1" applyFont="1" applyBorder="1" applyAlignment="1">
      <alignment horizontal="center" vertical="center"/>
    </xf>
    <xf numFmtId="0" fontId="22" fillId="0" borderId="0" xfId="0" applyFont="1" applyAlignment="1"/>
    <xf numFmtId="0" fontId="22" fillId="0" borderId="7" xfId="0" applyFont="1" applyBorder="1" applyAlignment="1">
      <alignment horizontal="left" vertical="center"/>
    </xf>
    <xf numFmtId="43" fontId="22" fillId="0" borderId="7" xfId="8" applyFont="1" applyFill="1" applyBorder="1" applyAlignment="1">
      <alignment horizontal="right" vertical="center"/>
    </xf>
    <xf numFmtId="43" fontId="22" fillId="0" borderId="7" xfId="8" applyFont="1" applyFill="1" applyBorder="1" applyAlignment="1">
      <alignment horizontal="center" vertical="center"/>
    </xf>
    <xf numFmtId="4" fontId="22" fillId="0" borderId="7" xfId="0" applyNumberFormat="1" applyFont="1" applyBorder="1" applyAlignment="1">
      <alignment horizontal="right" vertical="center"/>
    </xf>
    <xf numFmtId="164" fontId="14" fillId="2" borderId="4" xfId="0" applyNumberFormat="1" applyFont="1" applyFill="1" applyBorder="1" applyAlignment="1">
      <alignment horizontal="right" vertical="center" wrapText="1" readingOrder="1"/>
    </xf>
    <xf numFmtId="0" fontId="19" fillId="0" borderId="11" xfId="0" applyFont="1" applyBorder="1" applyAlignment="1">
      <alignment horizontal="center" vertical="center" wrapText="1" readingOrder="1"/>
    </xf>
    <xf numFmtId="0" fontId="14" fillId="2" borderId="4" xfId="0" applyFont="1" applyFill="1" applyBorder="1" applyAlignment="1">
      <alignment horizontal="right" vertical="top" wrapText="1" readingOrder="1"/>
    </xf>
    <xf numFmtId="2" fontId="14" fillId="2" borderId="4" xfId="0" applyNumberFormat="1" applyFont="1" applyFill="1" applyBorder="1" applyAlignment="1">
      <alignment horizontal="right" vertical="top" wrapText="1" readingOrder="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17" fillId="2" borderId="4" xfId="2" applyFont="1" applyFill="1" applyBorder="1" applyAlignment="1">
      <alignment horizontal="center" vertical="center" wrapText="1" readingOrder="1"/>
    </xf>
    <xf numFmtId="0" fontId="10" fillId="0" borderId="0" xfId="2" applyAlignment="1">
      <alignment horizontal="center" vertical="center" wrapText="1"/>
    </xf>
    <xf numFmtId="0" fontId="24" fillId="3" borderId="0" xfId="3" applyFont="1" applyFill="1" applyBorder="1" applyAlignment="1">
      <alignment horizontal="center" vertical="center" wrapText="1"/>
    </xf>
    <xf numFmtId="0" fontId="12" fillId="3" borderId="0" xfId="3" applyFill="1" applyBorder="1" applyAlignment="1">
      <alignment horizontal="center" vertical="center" wrapText="1"/>
    </xf>
    <xf numFmtId="0" fontId="14" fillId="2" borderId="0" xfId="0" applyFont="1" applyFill="1" applyAlignment="1">
      <alignment horizontal="left" vertical="center" wrapText="1" readingOrder="1"/>
    </xf>
    <xf numFmtId="0" fontId="0" fillId="0" borderId="0" xfId="0" applyAlignment="1">
      <alignment horizontal="center" wrapText="1"/>
    </xf>
    <xf numFmtId="0" fontId="8" fillId="0" borderId="0" xfId="0" applyFont="1" applyAlignment="1">
      <alignment horizontal="left" vertical="center"/>
    </xf>
    <xf numFmtId="0" fontId="0" fillId="0" borderId="0" xfId="0" applyAlignment="1"/>
    <xf numFmtId="0" fontId="25" fillId="0" borderId="0" xfId="0" applyFont="1" applyAlignment="1">
      <alignment vertical="center" wrapText="1"/>
    </xf>
    <xf numFmtId="0" fontId="10" fillId="0" borderId="0" xfId="0" applyFont="1">
      <alignment wrapText="1"/>
    </xf>
    <xf numFmtId="0" fontId="8" fillId="0" borderId="0" xfId="0" applyFont="1" applyAlignment="1">
      <alignment horizontal="left" vertical="top"/>
    </xf>
    <xf numFmtId="0" fontId="26" fillId="0" borderId="0" xfId="0" applyFont="1">
      <alignment wrapText="1"/>
    </xf>
    <xf numFmtId="0" fontId="8" fillId="0" borderId="0" xfId="0" applyFont="1" applyAlignment="1">
      <alignment horizontal="left"/>
    </xf>
    <xf numFmtId="0" fontId="23" fillId="0" borderId="0" xfId="0" applyFont="1" applyAlignment="1"/>
    <xf numFmtId="0" fontId="23" fillId="0" borderId="7" xfId="0" applyFont="1" applyBorder="1" applyAlignment="1">
      <alignment horizontal="center" vertical="top"/>
    </xf>
    <xf numFmtId="0" fontId="23" fillId="0" borderId="7" xfId="0" applyFont="1" applyBorder="1" applyAlignment="1">
      <alignment horizontal="center" vertical="top" wrapText="1"/>
    </xf>
    <xf numFmtId="0" fontId="22" fillId="0" borderId="7" xfId="0" applyFont="1" applyBorder="1" applyAlignment="1">
      <alignment horizontal="left" vertical="top"/>
    </xf>
    <xf numFmtId="0" fontId="22" fillId="0" borderId="7" xfId="0" applyFont="1" applyBorder="1" applyAlignment="1">
      <alignment horizontal="center" vertical="top"/>
    </xf>
    <xf numFmtId="173" fontId="4" fillId="2" borderId="4" xfId="2" applyNumberFormat="1" applyFont="1" applyFill="1" applyBorder="1" applyAlignment="1">
      <alignment horizontal="right" vertical="center" wrapText="1" readingOrder="1"/>
    </xf>
    <xf numFmtId="175" fontId="4" fillId="2" borderId="4" xfId="2" applyNumberFormat="1" applyFont="1" applyFill="1" applyBorder="1" applyAlignment="1">
      <alignment horizontal="right" vertical="center" wrapText="1" readingOrder="1"/>
    </xf>
    <xf numFmtId="176" fontId="22" fillId="0" borderId="7" xfId="0" applyNumberFormat="1" applyFont="1" applyBorder="1" applyAlignment="1">
      <alignment horizontal="right" vertical="top" wrapText="1"/>
    </xf>
    <xf numFmtId="0" fontId="4" fillId="2" borderId="11" xfId="0" applyFont="1" applyFill="1" applyBorder="1" applyAlignment="1">
      <alignment horizontal="left" vertical="center" readingOrder="1"/>
    </xf>
    <xf numFmtId="0" fontId="4" fillId="2" borderId="4" xfId="0" applyFont="1" applyFill="1" applyBorder="1" applyAlignment="1">
      <alignment horizontal="left" vertical="center" readingOrder="1"/>
    </xf>
    <xf numFmtId="173" fontId="4" fillId="2" borderId="4" xfId="0" applyNumberFormat="1" applyFont="1" applyFill="1" applyBorder="1" applyAlignment="1">
      <alignment horizontal="right" vertical="center" readingOrder="1"/>
    </xf>
    <xf numFmtId="4" fontId="4" fillId="2" borderId="4" xfId="0" applyNumberFormat="1" applyFont="1" applyFill="1" applyBorder="1" applyAlignment="1">
      <alignment horizontal="right" vertical="center" readingOrder="1"/>
    </xf>
    <xf numFmtId="2" fontId="22" fillId="0" borderId="7" xfId="0" applyNumberFormat="1" applyFont="1" applyBorder="1" applyAlignment="1">
      <alignment horizontal="right" vertical="top" wrapText="1"/>
    </xf>
    <xf numFmtId="173" fontId="4" fillId="2" borderId="4" xfId="2" applyNumberFormat="1" applyFont="1" applyFill="1" applyBorder="1" applyAlignment="1">
      <alignment horizontal="right" vertical="center" readingOrder="1"/>
    </xf>
    <xf numFmtId="4" fontId="22" fillId="0" borderId="7" xfId="0" applyNumberFormat="1" applyFont="1" applyBorder="1" applyAlignment="1"/>
    <xf numFmtId="2" fontId="22" fillId="0" borderId="0" xfId="0" applyNumberFormat="1" applyFont="1" applyAlignment="1">
      <alignment horizontal="left" vertical="top"/>
    </xf>
    <xf numFmtId="173" fontId="22" fillId="0" borderId="0" xfId="0" applyNumberFormat="1" applyFont="1" applyAlignment="1"/>
    <xf numFmtId="0" fontId="23" fillId="0" borderId="7" xfId="0" applyFont="1" applyBorder="1" applyAlignment="1">
      <alignment horizontal="center"/>
    </xf>
    <xf numFmtId="10" fontId="22" fillId="0" borderId="7" xfId="5" applyNumberFormat="1" applyFont="1" applyFill="1" applyBorder="1" applyAlignment="1">
      <alignment horizontal="center"/>
    </xf>
    <xf numFmtId="10" fontId="22" fillId="0" borderId="7" xfId="0" applyNumberFormat="1" applyFont="1" applyBorder="1" applyAlignment="1">
      <alignment horizontal="center"/>
    </xf>
    <xf numFmtId="0" fontId="22" fillId="0" borderId="7" xfId="0" applyFont="1" applyBorder="1" applyAlignment="1"/>
    <xf numFmtId="37" fontId="22" fillId="0" borderId="7" xfId="4" applyNumberFormat="1" applyFont="1" applyFill="1" applyBorder="1" applyAlignment="1">
      <alignment horizontal="center"/>
    </xf>
    <xf numFmtId="177" fontId="22" fillId="0" borderId="7" xfId="4" applyNumberFormat="1" applyFont="1" applyFill="1" applyBorder="1"/>
    <xf numFmtId="43" fontId="22" fillId="0" borderId="0" xfId="4" applyFont="1" applyFill="1" applyBorder="1"/>
    <xf numFmtId="177" fontId="22" fillId="0" borderId="0" xfId="0" applyNumberFormat="1" applyFont="1" applyAlignment="1"/>
    <xf numFmtId="4" fontId="22" fillId="0" borderId="0" xfId="0" applyNumberFormat="1" applyFont="1" applyAlignment="1"/>
    <xf numFmtId="177" fontId="23" fillId="0" borderId="7" xfId="4" applyNumberFormat="1" applyFont="1" applyFill="1" applyBorder="1"/>
    <xf numFmtId="0" fontId="22" fillId="0" borderId="7" xfId="4" applyNumberFormat="1" applyFont="1" applyFill="1" applyBorder="1" applyAlignment="1">
      <alignment horizontal="center"/>
    </xf>
    <xf numFmtId="4" fontId="22" fillId="0" borderId="7" xfId="4" applyNumberFormat="1" applyFont="1" applyFill="1" applyBorder="1"/>
    <xf numFmtId="0" fontId="22" fillId="0" borderId="7" xfId="0" applyFont="1" applyBorder="1" applyAlignment="1">
      <alignment horizontal="left" vertical="top" wrapText="1"/>
    </xf>
    <xf numFmtId="178" fontId="22" fillId="0" borderId="7" xfId="4" applyNumberFormat="1" applyFont="1" applyFill="1" applyBorder="1"/>
    <xf numFmtId="4" fontId="23" fillId="0" borderId="7" xfId="4" applyNumberFormat="1" applyFont="1" applyFill="1" applyBorder="1"/>
    <xf numFmtId="43" fontId="22" fillId="0" borderId="7" xfId="4" applyFont="1" applyFill="1" applyBorder="1"/>
    <xf numFmtId="172" fontId="22" fillId="0" borderId="0" xfId="0" applyNumberFormat="1" applyFont="1" applyAlignment="1"/>
    <xf numFmtId="0" fontId="22" fillId="0" borderId="0" xfId="0" applyFont="1" applyAlignment="1" applyProtection="1">
      <alignment horizontal="left"/>
      <protection locked="0"/>
    </xf>
    <xf numFmtId="0" fontId="22" fillId="0" borderId="0" xfId="0" applyFont="1" applyAlignment="1">
      <alignment horizontal="center" vertical="top"/>
    </xf>
    <xf numFmtId="43" fontId="22" fillId="0" borderId="0" xfId="4" applyFont="1" applyFill="1" applyBorder="1" applyAlignment="1" applyProtection="1">
      <alignment horizontal="left"/>
      <protection locked="0"/>
    </xf>
    <xf numFmtId="4" fontId="22" fillId="0" borderId="0" xfId="0" applyNumberFormat="1" applyFont="1" applyAlignment="1">
      <alignment horizontal="right" vertical="center"/>
    </xf>
    <xf numFmtId="0" fontId="22" fillId="0" borderId="0" xfId="0" applyFont="1" applyAlignment="1">
      <alignment horizontal="left" vertical="top"/>
    </xf>
    <xf numFmtId="10" fontId="22" fillId="0" borderId="0" xfId="0" applyNumberFormat="1" applyFont="1" applyAlignment="1">
      <alignment horizontal="center"/>
    </xf>
    <xf numFmtId="43" fontId="22" fillId="0" borderId="7" xfId="4" applyFont="1" applyFill="1" applyBorder="1" applyAlignment="1">
      <alignment horizontal="center" vertical="top" wrapText="1"/>
    </xf>
    <xf numFmtId="0" fontId="22" fillId="0" borderId="7" xfId="0" applyFont="1" applyBorder="1" applyAlignment="1">
      <alignment horizontal="center"/>
    </xf>
    <xf numFmtId="2" fontId="22" fillId="0" borderId="7" xfId="0" applyNumberFormat="1" applyFont="1" applyBorder="1" applyAlignment="1">
      <alignment horizontal="right"/>
    </xf>
    <xf numFmtId="43" fontId="22" fillId="0" borderId="0" xfId="0" applyNumberFormat="1" applyFont="1" applyAlignment="1"/>
    <xf numFmtId="1" fontId="22" fillId="0" borderId="7" xfId="0" applyNumberFormat="1" applyFont="1" applyBorder="1" applyAlignment="1">
      <alignment horizontal="center"/>
    </xf>
    <xf numFmtId="43" fontId="23" fillId="0" borderId="0" xfId="4" applyFont="1" applyFill="1" applyBorder="1"/>
    <xf numFmtId="0" fontId="23" fillId="0" borderId="7" xfId="4" applyNumberFormat="1" applyFont="1" applyFill="1" applyBorder="1" applyAlignment="1">
      <alignment horizontal="center"/>
    </xf>
    <xf numFmtId="43" fontId="23" fillId="0" borderId="7" xfId="4" applyFont="1" applyFill="1" applyBorder="1" applyAlignment="1">
      <alignment horizontal="center" vertical="top" wrapText="1"/>
    </xf>
    <xf numFmtId="0" fontId="23" fillId="0" borderId="0" xfId="0" applyFont="1" applyAlignment="1">
      <alignment vertical="top" wrapText="1"/>
    </xf>
    <xf numFmtId="0" fontId="22" fillId="0" borderId="0" xfId="0" applyFont="1" applyAlignment="1">
      <alignment horizontal="center"/>
    </xf>
    <xf numFmtId="2" fontId="22" fillId="0" borderId="0" xfId="0" applyNumberFormat="1" applyFont="1" applyAlignment="1">
      <alignment horizontal="right"/>
    </xf>
    <xf numFmtId="0" fontId="22" fillId="0" borderId="0" xfId="0" applyFont="1" applyAlignment="1">
      <alignment horizontal="right" vertical="top" wrapText="1"/>
    </xf>
    <xf numFmtId="0" fontId="22" fillId="0" borderId="7" xfId="0" applyFont="1" applyBorder="1" applyAlignment="1">
      <alignment horizontal="center" vertical="top" wrapText="1"/>
    </xf>
    <xf numFmtId="179" fontId="22" fillId="0" borderId="0" xfId="0" applyNumberFormat="1" applyFont="1" applyAlignment="1">
      <alignment horizontal="right" vertical="top" wrapText="1"/>
    </xf>
    <xf numFmtId="2" fontId="22" fillId="0" borderId="0" xfId="0" applyNumberFormat="1" applyFont="1" applyAlignment="1">
      <alignment horizontal="center"/>
    </xf>
    <xf numFmtId="0" fontId="22" fillId="0" borderId="7" xfId="0" applyFont="1" applyBorder="1" applyAlignment="1">
      <alignment horizontal="left"/>
    </xf>
    <xf numFmtId="2" fontId="22" fillId="0" borderId="7" xfId="0" applyNumberFormat="1" applyFont="1" applyBorder="1" applyAlignment="1">
      <alignment horizontal="center" vertical="top" wrapText="1"/>
    </xf>
    <xf numFmtId="0" fontId="22" fillId="0" borderId="0" xfId="0" applyFont="1" applyAlignment="1">
      <alignment horizontal="left"/>
    </xf>
    <xf numFmtId="0" fontId="22" fillId="0" borderId="0" xfId="0" applyFont="1" applyAlignment="1">
      <alignment horizontal="right" vertical="top"/>
    </xf>
    <xf numFmtId="2" fontId="22" fillId="0" borderId="0" xfId="0" applyNumberFormat="1" applyFont="1" applyAlignment="1">
      <alignment horizontal="right" vertical="top"/>
    </xf>
    <xf numFmtId="180" fontId="22" fillId="0" borderId="0" xfId="4" applyNumberFormat="1" applyFont="1" applyFill="1" applyBorder="1" applyAlignment="1">
      <alignment horizontal="center" vertical="top" wrapText="1"/>
    </xf>
    <xf numFmtId="0" fontId="22" fillId="0" borderId="0" xfId="0" applyFont="1" applyAlignment="1">
      <alignment horizontal="left" vertical="top" wrapText="1"/>
    </xf>
    <xf numFmtId="174" fontId="22" fillId="0" borderId="0" xfId="4" applyNumberFormat="1" applyFont="1" applyFill="1" applyBorder="1" applyAlignment="1">
      <alignment horizontal="right" vertical="top" wrapText="1"/>
    </xf>
    <xf numFmtId="2" fontId="22" fillId="0" borderId="0" xfId="0" applyNumberFormat="1" applyFont="1" applyAlignment="1"/>
    <xf numFmtId="4" fontId="22" fillId="0" borderId="0" xfId="4" applyNumberFormat="1" applyFont="1" applyFill="1" applyBorder="1"/>
    <xf numFmtId="0" fontId="22" fillId="0" borderId="7" xfId="0" applyFont="1" applyBorder="1" applyAlignment="1">
      <alignment vertical="top" wrapText="1"/>
    </xf>
    <xf numFmtId="2" fontId="22" fillId="0" borderId="7" xfId="0" applyNumberFormat="1" applyFont="1" applyBorder="1" applyAlignment="1">
      <alignment vertical="top" wrapText="1"/>
    </xf>
    <xf numFmtId="43" fontId="22" fillId="0" borderId="7" xfId="4" applyFont="1" applyFill="1" applyBorder="1" applyAlignment="1"/>
    <xf numFmtId="4" fontId="22" fillId="0" borderId="7" xfId="0" applyNumberFormat="1" applyFont="1" applyBorder="1" applyAlignment="1">
      <alignment horizontal="center"/>
    </xf>
    <xf numFmtId="4" fontId="22" fillId="0" borderId="7" xfId="4" applyNumberFormat="1" applyFont="1" applyFill="1" applyBorder="1" applyAlignment="1">
      <alignment horizontal="center"/>
    </xf>
    <xf numFmtId="4" fontId="23" fillId="0" borderId="7" xfId="0" applyNumberFormat="1" applyFont="1" applyBorder="1" applyAlignment="1">
      <alignment horizontal="center" vertical="top" wrapText="1"/>
    </xf>
    <xf numFmtId="4" fontId="22" fillId="0" borderId="7" xfId="0" applyNumberFormat="1" applyFont="1" applyBorder="1" applyAlignment="1">
      <alignment horizontal="center" vertical="top" wrapText="1"/>
    </xf>
    <xf numFmtId="0" fontId="17" fillId="0" borderId="7" xfId="0" applyFont="1" applyBorder="1" applyAlignment="1">
      <alignment horizontal="center" vertical="center" wrapText="1" readingOrder="1"/>
    </xf>
    <xf numFmtId="0" fontId="17" fillId="0" borderId="8" xfId="0" applyFont="1" applyBorder="1" applyAlignment="1">
      <alignment horizontal="center" vertical="center" readingOrder="1"/>
    </xf>
    <xf numFmtId="0" fontId="17" fillId="0" borderId="9" xfId="0" applyFont="1" applyBorder="1" applyAlignment="1">
      <alignment horizontal="center" vertical="center" readingOrder="1"/>
    </xf>
    <xf numFmtId="0" fontId="17" fillId="0" borderId="10" xfId="0" applyFont="1" applyBorder="1" applyAlignment="1">
      <alignment horizontal="center" vertical="center" readingOrder="1"/>
    </xf>
    <xf numFmtId="0" fontId="9" fillId="0" borderId="0" xfId="9" applyFont="1" applyAlignment="1">
      <alignment horizontal="center" vertical="center" wrapText="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4" fillId="2" borderId="1" xfId="0" applyFont="1" applyFill="1" applyBorder="1" applyAlignment="1">
      <alignment horizontal="left" vertical="center" wrapText="1" readingOrder="1"/>
    </xf>
    <xf numFmtId="0" fontId="14" fillId="2" borderId="3" xfId="0" applyFont="1" applyFill="1" applyBorder="1" applyAlignment="1">
      <alignment horizontal="left" vertical="center" wrapText="1" readingOrder="1"/>
    </xf>
    <xf numFmtId="0" fontId="4" fillId="2" borderId="0" xfId="0" applyFont="1" applyFill="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14" fillId="2" borderId="1" xfId="2" applyFont="1" applyFill="1" applyBorder="1" applyAlignment="1">
      <alignment horizontal="left" vertical="center" wrapText="1" readingOrder="1"/>
    </xf>
    <xf numFmtId="0" fontId="14" fillId="2" borderId="3" xfId="2" applyFont="1" applyFill="1" applyBorder="1" applyAlignment="1">
      <alignment horizontal="left" vertical="center" wrapText="1" readingOrder="1"/>
    </xf>
    <xf numFmtId="0" fontId="16" fillId="2" borderId="1" xfId="2" applyFont="1" applyFill="1" applyBorder="1" applyAlignment="1">
      <alignment horizontal="left" vertical="center" wrapText="1" readingOrder="1"/>
    </xf>
    <xf numFmtId="0" fontId="16" fillId="2" borderId="2" xfId="2" applyFont="1" applyFill="1" applyBorder="1" applyAlignment="1">
      <alignment horizontal="left" vertical="center" wrapText="1" readingOrder="1"/>
    </xf>
    <xf numFmtId="0" fontId="16" fillId="2" borderId="3" xfId="2"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14" fillId="2" borderId="7" xfId="0" applyFont="1" applyFill="1" applyBorder="1" applyAlignment="1">
      <alignment horizontal="left" vertical="center" wrapText="1" readingOrder="1"/>
    </xf>
    <xf numFmtId="0" fontId="14" fillId="2" borderId="8" xfId="0" applyFont="1" applyFill="1" applyBorder="1" applyAlignment="1">
      <alignment horizontal="left" vertical="center" wrapText="1" readingOrder="1"/>
    </xf>
    <xf numFmtId="0" fontId="14" fillId="2" borderId="10" xfId="0" applyFont="1" applyFill="1" applyBorder="1" applyAlignment="1">
      <alignment horizontal="left" vertical="center" wrapText="1" readingOrder="1"/>
    </xf>
    <xf numFmtId="0" fontId="21" fillId="0" borderId="7" xfId="7" applyFont="1" applyBorder="1" applyAlignment="1">
      <alignment horizontal="center" vertical="center"/>
    </xf>
    <xf numFmtId="0" fontId="21" fillId="0" borderId="8" xfId="7" applyFont="1" applyBorder="1" applyAlignment="1">
      <alignment horizontal="center" vertical="center"/>
    </xf>
    <xf numFmtId="0" fontId="21" fillId="0" borderId="9" xfId="7" applyFont="1" applyBorder="1" applyAlignment="1">
      <alignment horizontal="center" vertical="center"/>
    </xf>
    <xf numFmtId="0" fontId="21" fillId="0" borderId="10" xfId="7" applyFont="1" applyBorder="1" applyAlignment="1">
      <alignment horizontal="center" vertical="center"/>
    </xf>
    <xf numFmtId="0" fontId="20" fillId="0" borderId="8" xfId="7" applyFont="1" applyBorder="1" applyAlignment="1">
      <alignment horizontal="left" vertical="center" wrapText="1"/>
    </xf>
    <xf numFmtId="0" fontId="20" fillId="0" borderId="9" xfId="7" applyFont="1" applyBorder="1" applyAlignment="1">
      <alignment horizontal="left" vertical="center" wrapText="1"/>
    </xf>
    <xf numFmtId="0" fontId="20" fillId="0" borderId="10" xfId="7" applyFont="1" applyBorder="1" applyAlignment="1">
      <alignment horizontal="left" vertical="center" wrapText="1"/>
    </xf>
    <xf numFmtId="0" fontId="23" fillId="0" borderId="8" xfId="0" applyFont="1" applyBorder="1" applyAlignment="1">
      <alignment horizontal="center" vertical="center"/>
    </xf>
    <xf numFmtId="0" fontId="23" fillId="0" borderId="9" xfId="0" applyFont="1" applyBorder="1" applyAlignment="1">
      <alignment horizontal="center" vertical="center"/>
    </xf>
    <xf numFmtId="0" fontId="23" fillId="0" borderId="10" xfId="0" applyFont="1" applyBorder="1" applyAlignment="1">
      <alignment horizontal="center" vertical="center"/>
    </xf>
    <xf numFmtId="0" fontId="21" fillId="0" borderId="8" xfId="7" applyFont="1" applyBorder="1" applyAlignment="1">
      <alignment horizontal="center" vertical="center" wrapText="1"/>
    </xf>
    <xf numFmtId="0" fontId="21" fillId="0" borderId="10" xfId="7" applyFont="1" applyBorder="1" applyAlignment="1">
      <alignment horizontal="center" vertical="center" wrapText="1"/>
    </xf>
    <xf numFmtId="0" fontId="20" fillId="0" borderId="8" xfId="4" applyNumberFormat="1" applyFont="1" applyFill="1" applyBorder="1" applyAlignment="1">
      <alignment horizontal="center" vertical="center"/>
    </xf>
    <xf numFmtId="0" fontId="20" fillId="0" borderId="10" xfId="4" applyNumberFormat="1" applyFont="1" applyFill="1" applyBorder="1" applyAlignment="1">
      <alignment horizontal="center" vertical="center"/>
    </xf>
    <xf numFmtId="0" fontId="14" fillId="2" borderId="9" xfId="0" applyFont="1" applyFill="1" applyBorder="1" applyAlignment="1">
      <alignment horizontal="left" vertical="center" wrapText="1" readingOrder="1"/>
    </xf>
    <xf numFmtId="0" fontId="17" fillId="0" borderId="7" xfId="0" applyFont="1" applyBorder="1" applyAlignment="1">
      <alignment horizontal="center" vertical="center" readingOrder="1"/>
    </xf>
    <xf numFmtId="0" fontId="14" fillId="0" borderId="0" xfId="0" applyFont="1" applyAlignment="1">
      <alignment horizontal="left" vertical="center" wrapText="1" readingOrder="1"/>
    </xf>
    <xf numFmtId="0" fontId="14" fillId="0" borderId="0" xfId="2" applyFont="1" applyAlignment="1">
      <alignment horizontal="left" vertical="center" wrapText="1" readingOrder="1"/>
    </xf>
    <xf numFmtId="0" fontId="23" fillId="0" borderId="0" xfId="0" applyFont="1" applyAlignment="1">
      <alignment horizontal="center"/>
    </xf>
  </cellXfs>
  <cellStyles count="10">
    <cellStyle name="Comma" xfId="4" builtinId="3"/>
    <cellStyle name="Comma 2" xfId="8" xr:uid="{EC87213F-CE1F-4EE2-854F-CF5D9061D96A}"/>
    <cellStyle name="Hyperlink 2" xfId="3" xr:uid="{CAC4A5A3-DB0C-4BCD-A099-93FE90FD6F52}"/>
    <cellStyle name="Normal" xfId="0" builtinId="0"/>
    <cellStyle name="Normal 2" xfId="2" xr:uid="{7F3620D4-3DD9-4928-B296-91E72AF34D8F}"/>
    <cellStyle name="Normal 2 2 3" xfId="7" xr:uid="{FBC7676B-B761-4DFC-87CB-7DD986394F8C}"/>
    <cellStyle name="Normal 2 2 3 2" xfId="1" xr:uid="{35E0EC92-67A5-4AB4-9324-B5E175909D26}"/>
    <cellStyle name="Normal 3" xfId="9" xr:uid="{A7CF8B27-C328-4144-882F-FC6B9C628239}"/>
    <cellStyle name="Normal 4" xfId="6" xr:uid="{C6152C60-6D81-49B7-9CF9-3CCA8295EE09}"/>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28575</xdr:rowOff>
    </xdr:from>
    <xdr:to>
      <xdr:col>14</xdr:col>
      <xdr:colOff>235942</xdr:colOff>
      <xdr:row>10</xdr:row>
      <xdr:rowOff>92075</xdr:rowOff>
    </xdr:to>
    <xdr:pic>
      <xdr:nvPicPr>
        <xdr:cNvPr id="2" name="Picture 1">
          <a:extLst>
            <a:ext uri="{FF2B5EF4-FFF2-40B4-BE49-F238E27FC236}">
              <a16:creationId xmlns:a16="http://schemas.microsoft.com/office/drawing/2014/main" id="{1A0F1CFA-D526-43B1-897E-B0285F64F791}"/>
            </a:ext>
          </a:extLst>
        </xdr:cNvPr>
        <xdr:cNvPicPr>
          <a:picLocks noChangeAspect="1"/>
        </xdr:cNvPicPr>
      </xdr:nvPicPr>
      <xdr:blipFill>
        <a:blip xmlns:r="http://schemas.openxmlformats.org/officeDocument/2006/relationships" r:embed="rId1"/>
        <a:stretch>
          <a:fillRect/>
        </a:stretch>
      </xdr:blipFill>
      <xdr:spPr>
        <a:xfrm>
          <a:off x="10172700" y="466725"/>
          <a:ext cx="3283942" cy="2025650"/>
        </a:xfrm>
        <a:prstGeom prst="rect">
          <a:avLst/>
        </a:prstGeom>
      </xdr:spPr>
    </xdr:pic>
    <xdr:clientData/>
  </xdr:twoCellAnchor>
  <xdr:twoCellAnchor editAs="oneCell">
    <xdr:from>
      <xdr:col>8</xdr:col>
      <xdr:colOff>542925</xdr:colOff>
      <xdr:row>12</xdr:row>
      <xdr:rowOff>114300</xdr:rowOff>
    </xdr:from>
    <xdr:to>
      <xdr:col>14</xdr:col>
      <xdr:colOff>266700</xdr:colOff>
      <xdr:row>20</xdr:row>
      <xdr:rowOff>28575</xdr:rowOff>
    </xdr:to>
    <xdr:pic>
      <xdr:nvPicPr>
        <xdr:cNvPr id="3" name="Picture 2">
          <a:extLst>
            <a:ext uri="{FF2B5EF4-FFF2-40B4-BE49-F238E27FC236}">
              <a16:creationId xmlns:a16="http://schemas.microsoft.com/office/drawing/2014/main" id="{1C88F73D-FCAF-41D5-8417-192B96D699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086100"/>
          <a:ext cx="3381375"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352423</xdr:colOff>
      <xdr:row>12</xdr:row>
      <xdr:rowOff>165100</xdr:rowOff>
    </xdr:to>
    <xdr:pic>
      <xdr:nvPicPr>
        <xdr:cNvPr id="2" name="Picture 1">
          <a:extLst>
            <a:ext uri="{FF2B5EF4-FFF2-40B4-BE49-F238E27FC236}">
              <a16:creationId xmlns:a16="http://schemas.microsoft.com/office/drawing/2014/main" id="{CF86E805-635F-410A-95A4-5D5E81259161}"/>
            </a:ext>
          </a:extLst>
        </xdr:cNvPr>
        <xdr:cNvPicPr>
          <a:picLocks noChangeAspect="1"/>
        </xdr:cNvPicPr>
      </xdr:nvPicPr>
      <xdr:blipFill>
        <a:blip xmlns:r="http://schemas.openxmlformats.org/officeDocument/2006/relationships" r:embed="rId1"/>
        <a:stretch>
          <a:fillRect/>
        </a:stretch>
      </xdr:blipFill>
      <xdr:spPr>
        <a:xfrm>
          <a:off x="10172700" y="704850"/>
          <a:ext cx="3400423" cy="2051050"/>
        </a:xfrm>
        <a:prstGeom prst="rect">
          <a:avLst/>
        </a:prstGeom>
      </xdr:spPr>
    </xdr:pic>
    <xdr:clientData/>
  </xdr:twoCellAnchor>
  <xdr:twoCellAnchor editAs="oneCell">
    <xdr:from>
      <xdr:col>9</xdr:col>
      <xdr:colOff>0</xdr:colOff>
      <xdr:row>17</xdr:row>
      <xdr:rowOff>0</xdr:rowOff>
    </xdr:from>
    <xdr:to>
      <xdr:col>14</xdr:col>
      <xdr:colOff>450850</xdr:colOff>
      <xdr:row>26</xdr:row>
      <xdr:rowOff>161925</xdr:rowOff>
    </xdr:to>
    <xdr:pic>
      <xdr:nvPicPr>
        <xdr:cNvPr id="3" name="Picture 2">
          <a:extLst>
            <a:ext uri="{FF2B5EF4-FFF2-40B4-BE49-F238E27FC236}">
              <a16:creationId xmlns:a16="http://schemas.microsoft.com/office/drawing/2014/main" id="{A5D504E5-F563-4B9D-8687-B713C94631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48050"/>
          <a:ext cx="349885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800100</xdr:colOff>
      <xdr:row>2</xdr:row>
      <xdr:rowOff>114300</xdr:rowOff>
    </xdr:from>
    <xdr:to>
      <xdr:col>14</xdr:col>
      <xdr:colOff>200025</xdr:colOff>
      <xdr:row>10</xdr:row>
      <xdr:rowOff>161925</xdr:rowOff>
    </xdr:to>
    <xdr:pic>
      <xdr:nvPicPr>
        <xdr:cNvPr id="2" name="Picture 1">
          <a:extLst>
            <a:ext uri="{FF2B5EF4-FFF2-40B4-BE49-F238E27FC236}">
              <a16:creationId xmlns:a16="http://schemas.microsoft.com/office/drawing/2014/main" id="{4304F1D4-7C9F-47D1-84E2-7AEB13D6D8C4}"/>
            </a:ext>
          </a:extLst>
        </xdr:cNvPr>
        <xdr:cNvPicPr>
          <a:picLocks noChangeAspect="1"/>
        </xdr:cNvPicPr>
      </xdr:nvPicPr>
      <xdr:blipFill>
        <a:blip xmlns:r="http://schemas.openxmlformats.org/officeDocument/2006/relationships" r:embed="rId1"/>
        <a:stretch>
          <a:fillRect/>
        </a:stretch>
      </xdr:blipFill>
      <xdr:spPr>
        <a:xfrm>
          <a:off x="10315575" y="552450"/>
          <a:ext cx="3248025" cy="2009775"/>
        </a:xfrm>
        <a:prstGeom prst="rect">
          <a:avLst/>
        </a:prstGeom>
      </xdr:spPr>
    </xdr:pic>
    <xdr:clientData/>
  </xdr:twoCellAnchor>
  <xdr:twoCellAnchor editAs="oneCell">
    <xdr:from>
      <xdr:col>8</xdr:col>
      <xdr:colOff>800099</xdr:colOff>
      <xdr:row>13</xdr:row>
      <xdr:rowOff>66675</xdr:rowOff>
    </xdr:from>
    <xdr:to>
      <xdr:col>14</xdr:col>
      <xdr:colOff>257174</xdr:colOff>
      <xdr:row>19</xdr:row>
      <xdr:rowOff>76200</xdr:rowOff>
    </xdr:to>
    <xdr:pic>
      <xdr:nvPicPr>
        <xdr:cNvPr id="3" name="Picture 2">
          <a:extLst>
            <a:ext uri="{FF2B5EF4-FFF2-40B4-BE49-F238E27FC236}">
              <a16:creationId xmlns:a16="http://schemas.microsoft.com/office/drawing/2014/main" id="{EE1BCC17-BF43-4FC0-82DC-4456AE1AD9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315574" y="3248025"/>
          <a:ext cx="330517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771526</xdr:colOff>
      <xdr:row>22</xdr:row>
      <xdr:rowOff>114301</xdr:rowOff>
    </xdr:from>
    <xdr:to>
      <xdr:col>14</xdr:col>
      <xdr:colOff>247651</xdr:colOff>
      <xdr:row>28</xdr:row>
      <xdr:rowOff>200025</xdr:rowOff>
    </xdr:to>
    <xdr:pic>
      <xdr:nvPicPr>
        <xdr:cNvPr id="4" name="Picture 3">
          <a:extLst>
            <a:ext uri="{FF2B5EF4-FFF2-40B4-BE49-F238E27FC236}">
              <a16:creationId xmlns:a16="http://schemas.microsoft.com/office/drawing/2014/main" id="{BB0AB0B3-AE8B-49AC-A935-C62EA76258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87001" y="5638801"/>
          <a:ext cx="3295650" cy="164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10</xdr:row>
      <xdr:rowOff>206375</xdr:rowOff>
    </xdr:to>
    <xdr:pic>
      <xdr:nvPicPr>
        <xdr:cNvPr id="2" name="Picture 1">
          <a:extLst>
            <a:ext uri="{FF2B5EF4-FFF2-40B4-BE49-F238E27FC236}">
              <a16:creationId xmlns:a16="http://schemas.microsoft.com/office/drawing/2014/main" id="{2D8ED621-4005-4605-A6D4-FF9F2BBAF63A}"/>
            </a:ext>
          </a:extLst>
        </xdr:cNvPr>
        <xdr:cNvPicPr>
          <a:picLocks noChangeAspect="1"/>
        </xdr:cNvPicPr>
      </xdr:nvPicPr>
      <xdr:blipFill>
        <a:blip xmlns:r="http://schemas.openxmlformats.org/officeDocument/2006/relationships" r:embed="rId1"/>
        <a:stretch>
          <a:fillRect/>
        </a:stretch>
      </xdr:blipFill>
      <xdr:spPr>
        <a:xfrm>
          <a:off x="10172700" y="581025"/>
          <a:ext cx="3283942" cy="2025650"/>
        </a:xfrm>
        <a:prstGeom prst="rect">
          <a:avLst/>
        </a:prstGeom>
      </xdr:spPr>
    </xdr:pic>
    <xdr:clientData/>
  </xdr:twoCellAnchor>
  <xdr:twoCellAnchor editAs="oneCell">
    <xdr:from>
      <xdr:col>8</xdr:col>
      <xdr:colOff>600075</xdr:colOff>
      <xdr:row>13</xdr:row>
      <xdr:rowOff>66675</xdr:rowOff>
    </xdr:from>
    <xdr:to>
      <xdr:col>14</xdr:col>
      <xdr:colOff>216196</xdr:colOff>
      <xdr:row>19</xdr:row>
      <xdr:rowOff>82550</xdr:rowOff>
    </xdr:to>
    <xdr:pic>
      <xdr:nvPicPr>
        <xdr:cNvPr id="3" name="Picture 2">
          <a:extLst>
            <a:ext uri="{FF2B5EF4-FFF2-40B4-BE49-F238E27FC236}">
              <a16:creationId xmlns:a16="http://schemas.microsoft.com/office/drawing/2014/main" id="{CAFA1561-53D7-4D6A-86DA-B41567C721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3095625"/>
          <a:ext cx="3273721" cy="1730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57150</xdr:rowOff>
    </xdr:from>
    <xdr:ext cx="3273721" cy="1724025"/>
    <xdr:pic>
      <xdr:nvPicPr>
        <xdr:cNvPr id="4" name="Picture 3">
          <a:extLst>
            <a:ext uri="{FF2B5EF4-FFF2-40B4-BE49-F238E27FC236}">
              <a16:creationId xmlns:a16="http://schemas.microsoft.com/office/drawing/2014/main" id="{436F4230-0038-4E28-958F-6F8CE30F01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581650"/>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16</xdr:row>
      <xdr:rowOff>161925</xdr:rowOff>
    </xdr:from>
    <xdr:to>
      <xdr:col>14</xdr:col>
      <xdr:colOff>180975</xdr:colOff>
      <xdr:row>26</xdr:row>
      <xdr:rowOff>28575</xdr:rowOff>
    </xdr:to>
    <xdr:pic>
      <xdr:nvPicPr>
        <xdr:cNvPr id="2" name="Picture 1">
          <a:extLst>
            <a:ext uri="{FF2B5EF4-FFF2-40B4-BE49-F238E27FC236}">
              <a16:creationId xmlns:a16="http://schemas.microsoft.com/office/drawing/2014/main" id="{D8050488-A5A8-4252-8EDA-1F84631EB3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72700" y="3438525"/>
          <a:ext cx="3228975"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3</xdr:row>
      <xdr:rowOff>38100</xdr:rowOff>
    </xdr:from>
    <xdr:to>
      <xdr:col>14</xdr:col>
      <xdr:colOff>121642</xdr:colOff>
      <xdr:row>12</xdr:row>
      <xdr:rowOff>133350</xdr:rowOff>
    </xdr:to>
    <xdr:pic>
      <xdr:nvPicPr>
        <xdr:cNvPr id="3" name="Picture 2">
          <a:extLst>
            <a:ext uri="{FF2B5EF4-FFF2-40B4-BE49-F238E27FC236}">
              <a16:creationId xmlns:a16="http://schemas.microsoft.com/office/drawing/2014/main" id="{1C3D1A86-0830-4774-8E48-7DDD5CFC0439}"/>
            </a:ext>
          </a:extLst>
        </xdr:cNvPr>
        <xdr:cNvPicPr>
          <a:picLocks noChangeAspect="1"/>
        </xdr:cNvPicPr>
      </xdr:nvPicPr>
      <xdr:blipFill>
        <a:blip xmlns:r="http://schemas.openxmlformats.org/officeDocument/2006/relationships" r:embed="rId2"/>
        <a:stretch>
          <a:fillRect/>
        </a:stretch>
      </xdr:blipFill>
      <xdr:spPr>
        <a:xfrm>
          <a:off x="10182225" y="742950"/>
          <a:ext cx="3160117" cy="1981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533400</xdr:colOff>
      <xdr:row>15</xdr:row>
      <xdr:rowOff>161925</xdr:rowOff>
    </xdr:from>
    <xdr:to>
      <xdr:col>14</xdr:col>
      <xdr:colOff>171450</xdr:colOff>
      <xdr:row>25</xdr:row>
      <xdr:rowOff>76200</xdr:rowOff>
    </xdr:to>
    <xdr:pic>
      <xdr:nvPicPr>
        <xdr:cNvPr id="2" name="Picture 1">
          <a:extLst>
            <a:ext uri="{FF2B5EF4-FFF2-40B4-BE49-F238E27FC236}">
              <a16:creationId xmlns:a16="http://schemas.microsoft.com/office/drawing/2014/main" id="{31686604-3CD7-4025-895F-5692B9582B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96500" y="3267075"/>
          <a:ext cx="3295650"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xdr:row>
      <xdr:rowOff>123825</xdr:rowOff>
    </xdr:from>
    <xdr:to>
      <xdr:col>14</xdr:col>
      <xdr:colOff>112117</xdr:colOff>
      <xdr:row>11</xdr:row>
      <xdr:rowOff>123825</xdr:rowOff>
    </xdr:to>
    <xdr:pic>
      <xdr:nvPicPr>
        <xdr:cNvPr id="3" name="Picture 2">
          <a:extLst>
            <a:ext uri="{FF2B5EF4-FFF2-40B4-BE49-F238E27FC236}">
              <a16:creationId xmlns:a16="http://schemas.microsoft.com/office/drawing/2014/main" id="{E4835CB8-8686-41CF-8A27-8A20AC2321BA}"/>
            </a:ext>
          </a:extLst>
        </xdr:cNvPr>
        <xdr:cNvPicPr>
          <a:picLocks noChangeAspect="1"/>
        </xdr:cNvPicPr>
      </xdr:nvPicPr>
      <xdr:blipFill>
        <a:blip xmlns:r="http://schemas.openxmlformats.org/officeDocument/2006/relationships" r:embed="rId2"/>
        <a:stretch>
          <a:fillRect/>
        </a:stretch>
      </xdr:blipFill>
      <xdr:spPr>
        <a:xfrm>
          <a:off x="10172700" y="561975"/>
          <a:ext cx="3160117" cy="1981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200025</xdr:colOff>
      <xdr:row>10</xdr:row>
      <xdr:rowOff>177800</xdr:rowOff>
    </xdr:to>
    <xdr:pic>
      <xdr:nvPicPr>
        <xdr:cNvPr id="2" name="Picture 1">
          <a:extLst>
            <a:ext uri="{FF2B5EF4-FFF2-40B4-BE49-F238E27FC236}">
              <a16:creationId xmlns:a16="http://schemas.microsoft.com/office/drawing/2014/main" id="{ADF22ABB-C59D-40B4-B3F8-ABEAE82E84F7}"/>
            </a:ext>
          </a:extLst>
        </xdr:cNvPr>
        <xdr:cNvPicPr>
          <a:picLocks noChangeAspect="1"/>
        </xdr:cNvPicPr>
      </xdr:nvPicPr>
      <xdr:blipFill>
        <a:blip xmlns:r="http://schemas.openxmlformats.org/officeDocument/2006/relationships" r:embed="rId1"/>
        <a:stretch>
          <a:fillRect/>
        </a:stretch>
      </xdr:blipFill>
      <xdr:spPr>
        <a:xfrm>
          <a:off x="10163175" y="571500"/>
          <a:ext cx="3257550" cy="2006600"/>
        </a:xfrm>
        <a:prstGeom prst="rect">
          <a:avLst/>
        </a:prstGeom>
      </xdr:spPr>
    </xdr:pic>
    <xdr:clientData/>
  </xdr:twoCellAnchor>
  <xdr:twoCellAnchor editAs="oneCell">
    <xdr:from>
      <xdr:col>8</xdr:col>
      <xdr:colOff>542925</xdr:colOff>
      <xdr:row>13</xdr:row>
      <xdr:rowOff>57151</xdr:rowOff>
    </xdr:from>
    <xdr:to>
      <xdr:col>14</xdr:col>
      <xdr:colOff>219075</xdr:colOff>
      <xdr:row>20</xdr:row>
      <xdr:rowOff>190500</xdr:rowOff>
    </xdr:to>
    <xdr:pic>
      <xdr:nvPicPr>
        <xdr:cNvPr id="3" name="Picture 2">
          <a:extLst>
            <a:ext uri="{FF2B5EF4-FFF2-40B4-BE49-F238E27FC236}">
              <a16:creationId xmlns:a16="http://schemas.microsoft.com/office/drawing/2014/main" id="{B0228CF2-9EBC-46B2-9245-0A37F6EB56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086101"/>
          <a:ext cx="333375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495300</xdr:colOff>
      <xdr:row>2</xdr:row>
      <xdr:rowOff>133350</xdr:rowOff>
    </xdr:from>
    <xdr:to>
      <xdr:col>14</xdr:col>
      <xdr:colOff>121642</xdr:colOff>
      <xdr:row>11</xdr:row>
      <xdr:rowOff>44450</xdr:rowOff>
    </xdr:to>
    <xdr:pic>
      <xdr:nvPicPr>
        <xdr:cNvPr id="2" name="Picture 1">
          <a:extLst>
            <a:ext uri="{FF2B5EF4-FFF2-40B4-BE49-F238E27FC236}">
              <a16:creationId xmlns:a16="http://schemas.microsoft.com/office/drawing/2014/main" id="{5BBCCDBB-A238-4E82-99C2-C67B24926DD3}"/>
            </a:ext>
          </a:extLst>
        </xdr:cNvPr>
        <xdr:cNvPicPr>
          <a:picLocks noChangeAspect="1"/>
        </xdr:cNvPicPr>
      </xdr:nvPicPr>
      <xdr:blipFill>
        <a:blip xmlns:r="http://schemas.openxmlformats.org/officeDocument/2006/relationships" r:embed="rId1"/>
        <a:stretch>
          <a:fillRect/>
        </a:stretch>
      </xdr:blipFill>
      <xdr:spPr>
        <a:xfrm>
          <a:off x="10058400" y="571500"/>
          <a:ext cx="3283942" cy="2082800"/>
        </a:xfrm>
        <a:prstGeom prst="rect">
          <a:avLst/>
        </a:prstGeom>
      </xdr:spPr>
    </xdr:pic>
    <xdr:clientData/>
  </xdr:twoCellAnchor>
  <xdr:twoCellAnchor editAs="oneCell">
    <xdr:from>
      <xdr:col>8</xdr:col>
      <xdr:colOff>409575</xdr:colOff>
      <xdr:row>14</xdr:row>
      <xdr:rowOff>66674</xdr:rowOff>
    </xdr:from>
    <xdr:to>
      <xdr:col>14</xdr:col>
      <xdr:colOff>85725</xdr:colOff>
      <xdr:row>21</xdr:row>
      <xdr:rowOff>47625</xdr:rowOff>
    </xdr:to>
    <xdr:pic>
      <xdr:nvPicPr>
        <xdr:cNvPr id="3" name="Picture 2">
          <a:extLst>
            <a:ext uri="{FF2B5EF4-FFF2-40B4-BE49-F238E27FC236}">
              <a16:creationId xmlns:a16="http://schemas.microsoft.com/office/drawing/2014/main" id="{1C1C3F6F-DE47-4B88-B6CE-D30BB0CCC7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72675" y="3305174"/>
          <a:ext cx="3333750" cy="1752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504825</xdr:colOff>
      <xdr:row>2</xdr:row>
      <xdr:rowOff>171451</xdr:rowOff>
    </xdr:from>
    <xdr:to>
      <xdr:col>14</xdr:col>
      <xdr:colOff>131167</xdr:colOff>
      <xdr:row>11</xdr:row>
      <xdr:rowOff>44450</xdr:rowOff>
    </xdr:to>
    <xdr:pic>
      <xdr:nvPicPr>
        <xdr:cNvPr id="2" name="Picture 1">
          <a:extLst>
            <a:ext uri="{FF2B5EF4-FFF2-40B4-BE49-F238E27FC236}">
              <a16:creationId xmlns:a16="http://schemas.microsoft.com/office/drawing/2014/main" id="{A4CBE33F-CD99-4F0D-A5C9-D19080DC2A07}"/>
            </a:ext>
          </a:extLst>
        </xdr:cNvPr>
        <xdr:cNvPicPr>
          <a:picLocks noChangeAspect="1"/>
        </xdr:cNvPicPr>
      </xdr:nvPicPr>
      <xdr:blipFill>
        <a:blip xmlns:r="http://schemas.openxmlformats.org/officeDocument/2006/relationships" r:embed="rId1"/>
        <a:stretch>
          <a:fillRect/>
        </a:stretch>
      </xdr:blipFill>
      <xdr:spPr>
        <a:xfrm>
          <a:off x="10067925" y="609601"/>
          <a:ext cx="3283942" cy="2044699"/>
        </a:xfrm>
        <a:prstGeom prst="rect">
          <a:avLst/>
        </a:prstGeom>
      </xdr:spPr>
    </xdr:pic>
    <xdr:clientData/>
  </xdr:twoCellAnchor>
  <xdr:twoCellAnchor editAs="oneCell">
    <xdr:from>
      <xdr:col>8</xdr:col>
      <xdr:colOff>504825</xdr:colOff>
      <xdr:row>13</xdr:row>
      <xdr:rowOff>171450</xdr:rowOff>
    </xdr:from>
    <xdr:to>
      <xdr:col>14</xdr:col>
      <xdr:colOff>120946</xdr:colOff>
      <xdr:row>20</xdr:row>
      <xdr:rowOff>171450</xdr:rowOff>
    </xdr:to>
    <xdr:pic>
      <xdr:nvPicPr>
        <xdr:cNvPr id="3" name="Picture 2">
          <a:extLst>
            <a:ext uri="{FF2B5EF4-FFF2-40B4-BE49-F238E27FC236}">
              <a16:creationId xmlns:a16="http://schemas.microsoft.com/office/drawing/2014/main" id="{8B7EA9D2-15D6-4953-B4AD-20450A5727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5" y="3200400"/>
          <a:ext cx="3273721"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542925</xdr:colOff>
      <xdr:row>2</xdr:row>
      <xdr:rowOff>200025</xdr:rowOff>
    </xdr:from>
    <xdr:to>
      <xdr:col>14</xdr:col>
      <xdr:colOff>169267</xdr:colOff>
      <xdr:row>11</xdr:row>
      <xdr:rowOff>73025</xdr:rowOff>
    </xdr:to>
    <xdr:pic>
      <xdr:nvPicPr>
        <xdr:cNvPr id="2" name="Picture 1">
          <a:extLst>
            <a:ext uri="{FF2B5EF4-FFF2-40B4-BE49-F238E27FC236}">
              <a16:creationId xmlns:a16="http://schemas.microsoft.com/office/drawing/2014/main" id="{5C6A9A4C-A6D3-4BF4-B8F6-28F4D88105D7}"/>
            </a:ext>
          </a:extLst>
        </xdr:cNvPr>
        <xdr:cNvPicPr>
          <a:picLocks noChangeAspect="1"/>
        </xdr:cNvPicPr>
      </xdr:nvPicPr>
      <xdr:blipFill>
        <a:blip xmlns:r="http://schemas.openxmlformats.org/officeDocument/2006/relationships" r:embed="rId1"/>
        <a:stretch>
          <a:fillRect/>
        </a:stretch>
      </xdr:blipFill>
      <xdr:spPr>
        <a:xfrm>
          <a:off x="10106025" y="638175"/>
          <a:ext cx="3283942" cy="2044700"/>
        </a:xfrm>
        <a:prstGeom prst="rect">
          <a:avLst/>
        </a:prstGeom>
      </xdr:spPr>
    </xdr:pic>
    <xdr:clientData/>
  </xdr:twoCellAnchor>
  <xdr:twoCellAnchor editAs="oneCell">
    <xdr:from>
      <xdr:col>8</xdr:col>
      <xdr:colOff>514350</xdr:colOff>
      <xdr:row>13</xdr:row>
      <xdr:rowOff>209549</xdr:rowOff>
    </xdr:from>
    <xdr:to>
      <xdr:col>14</xdr:col>
      <xdr:colOff>130471</xdr:colOff>
      <xdr:row>21</xdr:row>
      <xdr:rowOff>47624</xdr:rowOff>
    </xdr:to>
    <xdr:pic>
      <xdr:nvPicPr>
        <xdr:cNvPr id="3" name="Picture 2">
          <a:extLst>
            <a:ext uri="{FF2B5EF4-FFF2-40B4-BE49-F238E27FC236}">
              <a16:creationId xmlns:a16="http://schemas.microsoft.com/office/drawing/2014/main" id="{9AAE29C5-BD7B-47CE-BABC-0C0875A177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77450" y="3238499"/>
          <a:ext cx="3273721"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2</xdr:row>
      <xdr:rowOff>57150</xdr:rowOff>
    </xdr:from>
    <xdr:to>
      <xdr:col>14</xdr:col>
      <xdr:colOff>161925</xdr:colOff>
      <xdr:row>10</xdr:row>
      <xdr:rowOff>120650</xdr:rowOff>
    </xdr:to>
    <xdr:pic>
      <xdr:nvPicPr>
        <xdr:cNvPr id="2" name="Picture 1">
          <a:extLst>
            <a:ext uri="{FF2B5EF4-FFF2-40B4-BE49-F238E27FC236}">
              <a16:creationId xmlns:a16="http://schemas.microsoft.com/office/drawing/2014/main" id="{256F892D-1A4D-4E67-AD5A-12C64D083346}"/>
            </a:ext>
          </a:extLst>
        </xdr:cNvPr>
        <xdr:cNvPicPr>
          <a:picLocks noChangeAspect="1"/>
        </xdr:cNvPicPr>
      </xdr:nvPicPr>
      <xdr:blipFill>
        <a:blip xmlns:r="http://schemas.openxmlformats.org/officeDocument/2006/relationships" r:embed="rId1"/>
        <a:stretch>
          <a:fillRect/>
        </a:stretch>
      </xdr:blipFill>
      <xdr:spPr>
        <a:xfrm>
          <a:off x="10172700" y="495300"/>
          <a:ext cx="3209925" cy="2025650"/>
        </a:xfrm>
        <a:prstGeom prst="rect">
          <a:avLst/>
        </a:prstGeom>
      </xdr:spPr>
    </xdr:pic>
    <xdr:clientData/>
  </xdr:twoCellAnchor>
  <xdr:twoCellAnchor editAs="oneCell">
    <xdr:from>
      <xdr:col>8</xdr:col>
      <xdr:colOff>523875</xdr:colOff>
      <xdr:row>13</xdr:row>
      <xdr:rowOff>66675</xdr:rowOff>
    </xdr:from>
    <xdr:to>
      <xdr:col>14</xdr:col>
      <xdr:colOff>139996</xdr:colOff>
      <xdr:row>20</xdr:row>
      <xdr:rowOff>209550</xdr:rowOff>
    </xdr:to>
    <xdr:pic>
      <xdr:nvPicPr>
        <xdr:cNvPr id="3" name="Picture 2">
          <a:extLst>
            <a:ext uri="{FF2B5EF4-FFF2-40B4-BE49-F238E27FC236}">
              <a16:creationId xmlns:a16="http://schemas.microsoft.com/office/drawing/2014/main" id="{5C092616-CA68-4D7B-AB51-B1FBD6F073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5" y="309562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9525</xdr:colOff>
      <xdr:row>3</xdr:row>
      <xdr:rowOff>0</xdr:rowOff>
    </xdr:from>
    <xdr:to>
      <xdr:col>14</xdr:col>
      <xdr:colOff>209550</xdr:colOff>
      <xdr:row>11</xdr:row>
      <xdr:rowOff>120650</xdr:rowOff>
    </xdr:to>
    <xdr:pic>
      <xdr:nvPicPr>
        <xdr:cNvPr id="2" name="Picture 1">
          <a:extLst>
            <a:ext uri="{FF2B5EF4-FFF2-40B4-BE49-F238E27FC236}">
              <a16:creationId xmlns:a16="http://schemas.microsoft.com/office/drawing/2014/main" id="{21AF6F79-1F56-4360-BA7F-74ED96A99F08}"/>
            </a:ext>
          </a:extLst>
        </xdr:cNvPr>
        <xdr:cNvPicPr>
          <a:picLocks noChangeAspect="1"/>
        </xdr:cNvPicPr>
      </xdr:nvPicPr>
      <xdr:blipFill>
        <a:blip xmlns:r="http://schemas.openxmlformats.org/officeDocument/2006/relationships" r:embed="rId1"/>
        <a:stretch>
          <a:fillRect/>
        </a:stretch>
      </xdr:blipFill>
      <xdr:spPr>
        <a:xfrm>
          <a:off x="10182225" y="704850"/>
          <a:ext cx="3248025" cy="2025650"/>
        </a:xfrm>
        <a:prstGeom prst="rect">
          <a:avLst/>
        </a:prstGeom>
      </xdr:spPr>
    </xdr:pic>
    <xdr:clientData/>
  </xdr:twoCellAnchor>
  <xdr:twoCellAnchor editAs="oneCell">
    <xdr:from>
      <xdr:col>9</xdr:col>
      <xdr:colOff>0</xdr:colOff>
      <xdr:row>14</xdr:row>
      <xdr:rowOff>85725</xdr:rowOff>
    </xdr:from>
    <xdr:to>
      <xdr:col>14</xdr:col>
      <xdr:colOff>225721</xdr:colOff>
      <xdr:row>21</xdr:row>
      <xdr:rowOff>98425</xdr:rowOff>
    </xdr:to>
    <xdr:pic>
      <xdr:nvPicPr>
        <xdr:cNvPr id="3" name="Picture 2">
          <a:extLst>
            <a:ext uri="{FF2B5EF4-FFF2-40B4-BE49-F238E27FC236}">
              <a16:creationId xmlns:a16="http://schemas.microsoft.com/office/drawing/2014/main" id="{A332D9D5-971A-4D34-A7EC-2B7B4E89C0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24225"/>
          <a:ext cx="3273721" cy="178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0</xdr:colOff>
      <xdr:row>2</xdr:row>
      <xdr:rowOff>180975</xdr:rowOff>
    </xdr:from>
    <xdr:to>
      <xdr:col>14</xdr:col>
      <xdr:colOff>235942</xdr:colOff>
      <xdr:row>11</xdr:row>
      <xdr:rowOff>101600</xdr:rowOff>
    </xdr:to>
    <xdr:pic>
      <xdr:nvPicPr>
        <xdr:cNvPr id="2" name="Picture 1">
          <a:extLst>
            <a:ext uri="{FF2B5EF4-FFF2-40B4-BE49-F238E27FC236}">
              <a16:creationId xmlns:a16="http://schemas.microsoft.com/office/drawing/2014/main" id="{6B4DC400-89E4-49E9-B114-D249FEADC434}"/>
            </a:ext>
          </a:extLst>
        </xdr:cNvPr>
        <xdr:cNvPicPr>
          <a:picLocks noChangeAspect="1"/>
        </xdr:cNvPicPr>
      </xdr:nvPicPr>
      <xdr:blipFill>
        <a:blip xmlns:r="http://schemas.openxmlformats.org/officeDocument/2006/relationships" r:embed="rId1"/>
        <a:stretch>
          <a:fillRect/>
        </a:stretch>
      </xdr:blipFill>
      <xdr:spPr>
        <a:xfrm>
          <a:off x="10172700" y="619125"/>
          <a:ext cx="3283942" cy="2092325"/>
        </a:xfrm>
        <a:prstGeom prst="rect">
          <a:avLst/>
        </a:prstGeom>
      </xdr:spPr>
    </xdr:pic>
    <xdr:clientData/>
  </xdr:twoCellAnchor>
  <xdr:twoCellAnchor editAs="oneCell">
    <xdr:from>
      <xdr:col>8</xdr:col>
      <xdr:colOff>561975</xdr:colOff>
      <xdr:row>14</xdr:row>
      <xdr:rowOff>95250</xdr:rowOff>
    </xdr:from>
    <xdr:to>
      <xdr:col>14</xdr:col>
      <xdr:colOff>257175</xdr:colOff>
      <xdr:row>21</xdr:row>
      <xdr:rowOff>257176</xdr:rowOff>
    </xdr:to>
    <xdr:pic>
      <xdr:nvPicPr>
        <xdr:cNvPr id="3" name="Picture 2">
          <a:extLst>
            <a:ext uri="{FF2B5EF4-FFF2-40B4-BE49-F238E27FC236}">
              <a16:creationId xmlns:a16="http://schemas.microsoft.com/office/drawing/2014/main" id="{B0E4D4F4-FCE3-4BBA-9BF3-E06E35E8BE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333750"/>
          <a:ext cx="3352800" cy="1781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8</xdr:col>
      <xdr:colOff>571500</xdr:colOff>
      <xdr:row>2</xdr:row>
      <xdr:rowOff>123825</xdr:rowOff>
    </xdr:from>
    <xdr:to>
      <xdr:col>14</xdr:col>
      <xdr:colOff>104775</xdr:colOff>
      <xdr:row>10</xdr:row>
      <xdr:rowOff>187325</xdr:rowOff>
    </xdr:to>
    <xdr:pic>
      <xdr:nvPicPr>
        <xdr:cNvPr id="2" name="Picture 1">
          <a:extLst>
            <a:ext uri="{FF2B5EF4-FFF2-40B4-BE49-F238E27FC236}">
              <a16:creationId xmlns:a16="http://schemas.microsoft.com/office/drawing/2014/main" id="{B0738FA8-82DF-48D3-8457-B1B42ECAF637}"/>
            </a:ext>
          </a:extLst>
        </xdr:cNvPr>
        <xdr:cNvPicPr>
          <a:picLocks noChangeAspect="1"/>
        </xdr:cNvPicPr>
      </xdr:nvPicPr>
      <xdr:blipFill>
        <a:blip xmlns:r="http://schemas.openxmlformats.org/officeDocument/2006/relationships" r:embed="rId1"/>
        <a:stretch>
          <a:fillRect/>
        </a:stretch>
      </xdr:blipFill>
      <xdr:spPr>
        <a:xfrm>
          <a:off x="10134600" y="561975"/>
          <a:ext cx="3190875" cy="2025650"/>
        </a:xfrm>
        <a:prstGeom prst="rect">
          <a:avLst/>
        </a:prstGeom>
      </xdr:spPr>
    </xdr:pic>
    <xdr:clientData/>
  </xdr:twoCellAnchor>
  <xdr:twoCellAnchor editAs="oneCell">
    <xdr:from>
      <xdr:col>8</xdr:col>
      <xdr:colOff>457200</xdr:colOff>
      <xdr:row>14</xdr:row>
      <xdr:rowOff>38100</xdr:rowOff>
    </xdr:from>
    <xdr:to>
      <xdr:col>14</xdr:col>
      <xdr:colOff>104775</xdr:colOff>
      <xdr:row>22</xdr:row>
      <xdr:rowOff>19050</xdr:rowOff>
    </xdr:to>
    <xdr:pic>
      <xdr:nvPicPr>
        <xdr:cNvPr id="3" name="Picture 2">
          <a:extLst>
            <a:ext uri="{FF2B5EF4-FFF2-40B4-BE49-F238E27FC236}">
              <a16:creationId xmlns:a16="http://schemas.microsoft.com/office/drawing/2014/main" id="{8C5CC31B-10EB-47EB-AA2D-29979089F6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20300" y="3276600"/>
          <a:ext cx="330517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180975</xdr:colOff>
      <xdr:row>10</xdr:row>
      <xdr:rowOff>82550</xdr:rowOff>
    </xdr:to>
    <xdr:pic>
      <xdr:nvPicPr>
        <xdr:cNvPr id="2" name="Picture 1">
          <a:extLst>
            <a:ext uri="{FF2B5EF4-FFF2-40B4-BE49-F238E27FC236}">
              <a16:creationId xmlns:a16="http://schemas.microsoft.com/office/drawing/2014/main" id="{59B55521-1DE8-447E-A87B-7D0DC40910CC}"/>
            </a:ext>
          </a:extLst>
        </xdr:cNvPr>
        <xdr:cNvPicPr>
          <a:picLocks noChangeAspect="1"/>
        </xdr:cNvPicPr>
      </xdr:nvPicPr>
      <xdr:blipFill>
        <a:blip xmlns:r="http://schemas.openxmlformats.org/officeDocument/2006/relationships" r:embed="rId1"/>
        <a:stretch>
          <a:fillRect/>
        </a:stretch>
      </xdr:blipFill>
      <xdr:spPr>
        <a:xfrm>
          <a:off x="10153650" y="609600"/>
          <a:ext cx="3248025" cy="2025650"/>
        </a:xfrm>
        <a:prstGeom prst="rect">
          <a:avLst/>
        </a:prstGeom>
      </xdr:spPr>
    </xdr:pic>
    <xdr:clientData/>
  </xdr:twoCellAnchor>
  <xdr:twoCellAnchor editAs="oneCell">
    <xdr:from>
      <xdr:col>8</xdr:col>
      <xdr:colOff>495300</xdr:colOff>
      <xdr:row>14</xdr:row>
      <xdr:rowOff>85726</xdr:rowOff>
    </xdr:from>
    <xdr:to>
      <xdr:col>14</xdr:col>
      <xdr:colOff>114299</xdr:colOff>
      <xdr:row>21</xdr:row>
      <xdr:rowOff>38100</xdr:rowOff>
    </xdr:to>
    <xdr:pic>
      <xdr:nvPicPr>
        <xdr:cNvPr id="3" name="Picture 2">
          <a:extLst>
            <a:ext uri="{FF2B5EF4-FFF2-40B4-BE49-F238E27FC236}">
              <a16:creationId xmlns:a16="http://schemas.microsoft.com/office/drawing/2014/main" id="{0BB5045C-2C5B-4637-8535-8C329FDF84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58400" y="3476626"/>
          <a:ext cx="3276599"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504826</xdr:colOff>
      <xdr:row>24</xdr:row>
      <xdr:rowOff>190500</xdr:rowOff>
    </xdr:from>
    <xdr:ext cx="3200400" cy="1676400"/>
    <xdr:pic>
      <xdr:nvPicPr>
        <xdr:cNvPr id="4" name="Picture 3">
          <a:extLst>
            <a:ext uri="{FF2B5EF4-FFF2-40B4-BE49-F238E27FC236}">
              <a16:creationId xmlns:a16="http://schemas.microsoft.com/office/drawing/2014/main" id="{21DB85F2-B834-42F2-B9B1-4716C25AFF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6" y="5829300"/>
          <a:ext cx="320040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10</xdr:col>
      <xdr:colOff>9525</xdr:colOff>
      <xdr:row>13</xdr:row>
      <xdr:rowOff>139702</xdr:rowOff>
    </xdr:from>
    <xdr:to>
      <xdr:col>15</xdr:col>
      <xdr:colOff>6350</xdr:colOff>
      <xdr:row>21</xdr:row>
      <xdr:rowOff>107950</xdr:rowOff>
    </xdr:to>
    <xdr:pic>
      <xdr:nvPicPr>
        <xdr:cNvPr id="2" name="Picture 1">
          <a:extLst>
            <a:ext uri="{FF2B5EF4-FFF2-40B4-BE49-F238E27FC236}">
              <a16:creationId xmlns:a16="http://schemas.microsoft.com/office/drawing/2014/main" id="{46715CB6-9098-4E01-9DCA-D6084A5B3C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1274425" y="3397252"/>
          <a:ext cx="3603625" cy="18478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76200</xdr:colOff>
      <xdr:row>2</xdr:row>
      <xdr:rowOff>190499</xdr:rowOff>
    </xdr:from>
    <xdr:to>
      <xdr:col>14</xdr:col>
      <xdr:colOff>596900</xdr:colOff>
      <xdr:row>10</xdr:row>
      <xdr:rowOff>120650</xdr:rowOff>
    </xdr:to>
    <xdr:pic>
      <xdr:nvPicPr>
        <xdr:cNvPr id="3" name="Picture 2">
          <a:extLst>
            <a:ext uri="{FF2B5EF4-FFF2-40B4-BE49-F238E27FC236}">
              <a16:creationId xmlns:a16="http://schemas.microsoft.com/office/drawing/2014/main" id="{4210C6EE-CD66-4985-8E94-B4C8EC9442D4}"/>
            </a:ext>
          </a:extLst>
        </xdr:cNvPr>
        <xdr:cNvPicPr>
          <a:picLocks noChangeAspect="1"/>
        </xdr:cNvPicPr>
      </xdr:nvPicPr>
      <xdr:blipFill>
        <a:blip xmlns:r="http://schemas.openxmlformats.org/officeDocument/2006/relationships" r:embed="rId2"/>
        <a:stretch>
          <a:fillRect/>
        </a:stretch>
      </xdr:blipFill>
      <xdr:spPr>
        <a:xfrm>
          <a:off x="11341100" y="634999"/>
          <a:ext cx="3517900" cy="209550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8</xdr:col>
      <xdr:colOff>485774</xdr:colOff>
      <xdr:row>14</xdr:row>
      <xdr:rowOff>95252</xdr:rowOff>
    </xdr:from>
    <xdr:to>
      <xdr:col>14</xdr:col>
      <xdr:colOff>142875</xdr:colOff>
      <xdr:row>21</xdr:row>
      <xdr:rowOff>104776</xdr:rowOff>
    </xdr:to>
    <xdr:pic>
      <xdr:nvPicPr>
        <xdr:cNvPr id="2" name="Picture 1">
          <a:extLst>
            <a:ext uri="{FF2B5EF4-FFF2-40B4-BE49-F238E27FC236}">
              <a16:creationId xmlns:a16="http://schemas.microsoft.com/office/drawing/2014/main" id="{6F3E6181-4A29-4D96-AB22-417EF64E28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3174" y="3486152"/>
          <a:ext cx="3314701"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590549</xdr:colOff>
      <xdr:row>2</xdr:row>
      <xdr:rowOff>133350</xdr:rowOff>
    </xdr:from>
    <xdr:to>
      <xdr:col>14</xdr:col>
      <xdr:colOff>200025</xdr:colOff>
      <xdr:row>10</xdr:row>
      <xdr:rowOff>161925</xdr:rowOff>
    </xdr:to>
    <xdr:pic>
      <xdr:nvPicPr>
        <xdr:cNvPr id="3" name="Picture 2">
          <a:extLst>
            <a:ext uri="{FF2B5EF4-FFF2-40B4-BE49-F238E27FC236}">
              <a16:creationId xmlns:a16="http://schemas.microsoft.com/office/drawing/2014/main" id="{4FBFA987-942B-435E-B003-BD84C1326AB6}"/>
            </a:ext>
          </a:extLst>
        </xdr:cNvPr>
        <xdr:cNvPicPr>
          <a:picLocks noChangeAspect="1"/>
        </xdr:cNvPicPr>
      </xdr:nvPicPr>
      <xdr:blipFill>
        <a:blip xmlns:r="http://schemas.openxmlformats.org/officeDocument/2006/relationships" r:embed="rId2"/>
        <a:stretch>
          <a:fillRect/>
        </a:stretch>
      </xdr:blipFill>
      <xdr:spPr>
        <a:xfrm>
          <a:off x="10267949" y="571500"/>
          <a:ext cx="3267076" cy="19907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8</xdr:col>
      <xdr:colOff>523873</xdr:colOff>
      <xdr:row>13</xdr:row>
      <xdr:rowOff>76200</xdr:rowOff>
    </xdr:from>
    <xdr:to>
      <xdr:col>13</xdr:col>
      <xdr:colOff>419100</xdr:colOff>
      <xdr:row>21</xdr:row>
      <xdr:rowOff>190500</xdr:rowOff>
    </xdr:to>
    <xdr:pic>
      <xdr:nvPicPr>
        <xdr:cNvPr id="2" name="Picture 1">
          <a:extLst>
            <a:ext uri="{FF2B5EF4-FFF2-40B4-BE49-F238E27FC236}">
              <a16:creationId xmlns:a16="http://schemas.microsoft.com/office/drawing/2014/main" id="{61331C0F-87B5-4F32-8008-38CDB8969F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3" y="3105150"/>
          <a:ext cx="3476627"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552450</xdr:colOff>
      <xdr:row>2</xdr:row>
      <xdr:rowOff>76201</xdr:rowOff>
    </xdr:from>
    <xdr:to>
      <xdr:col>13</xdr:col>
      <xdr:colOff>323850</xdr:colOff>
      <xdr:row>10</xdr:row>
      <xdr:rowOff>190501</xdr:rowOff>
    </xdr:to>
    <xdr:pic>
      <xdr:nvPicPr>
        <xdr:cNvPr id="3" name="Picture 2">
          <a:extLst>
            <a:ext uri="{FF2B5EF4-FFF2-40B4-BE49-F238E27FC236}">
              <a16:creationId xmlns:a16="http://schemas.microsoft.com/office/drawing/2014/main" id="{F4BAD714-0DFD-4A5D-968C-EAAE22B19FC6}"/>
            </a:ext>
          </a:extLst>
        </xdr:cNvPr>
        <xdr:cNvPicPr>
          <a:picLocks noChangeAspect="1"/>
        </xdr:cNvPicPr>
      </xdr:nvPicPr>
      <xdr:blipFill>
        <a:blip xmlns:r="http://schemas.openxmlformats.org/officeDocument/2006/relationships" r:embed="rId2"/>
        <a:stretch>
          <a:fillRect/>
        </a:stretch>
      </xdr:blipFill>
      <xdr:spPr>
        <a:xfrm>
          <a:off x="10115550" y="514351"/>
          <a:ext cx="3352800" cy="20764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9525</xdr:colOff>
      <xdr:row>2</xdr:row>
      <xdr:rowOff>95250</xdr:rowOff>
    </xdr:from>
    <xdr:to>
      <xdr:col>14</xdr:col>
      <xdr:colOff>114300</xdr:colOff>
      <xdr:row>10</xdr:row>
      <xdr:rowOff>63500</xdr:rowOff>
    </xdr:to>
    <xdr:pic>
      <xdr:nvPicPr>
        <xdr:cNvPr id="2" name="Picture 1">
          <a:extLst>
            <a:ext uri="{FF2B5EF4-FFF2-40B4-BE49-F238E27FC236}">
              <a16:creationId xmlns:a16="http://schemas.microsoft.com/office/drawing/2014/main" id="{6A09E560-7295-463A-AAF2-502ADCB451FD}"/>
            </a:ext>
          </a:extLst>
        </xdr:cNvPr>
        <xdr:cNvPicPr>
          <a:picLocks noChangeAspect="1"/>
        </xdr:cNvPicPr>
      </xdr:nvPicPr>
      <xdr:blipFill>
        <a:blip xmlns:r="http://schemas.openxmlformats.org/officeDocument/2006/relationships" r:embed="rId1"/>
        <a:stretch>
          <a:fillRect/>
        </a:stretch>
      </xdr:blipFill>
      <xdr:spPr>
        <a:xfrm>
          <a:off x="10182225" y="533400"/>
          <a:ext cx="3152775" cy="1930400"/>
        </a:xfrm>
        <a:prstGeom prst="rect">
          <a:avLst/>
        </a:prstGeom>
      </xdr:spPr>
    </xdr:pic>
    <xdr:clientData/>
  </xdr:twoCellAnchor>
  <xdr:twoCellAnchor editAs="oneCell">
    <xdr:from>
      <xdr:col>8</xdr:col>
      <xdr:colOff>561975</xdr:colOff>
      <xdr:row>14</xdr:row>
      <xdr:rowOff>38100</xdr:rowOff>
    </xdr:from>
    <xdr:to>
      <xdr:col>14</xdr:col>
      <xdr:colOff>180975</xdr:colOff>
      <xdr:row>20</xdr:row>
      <xdr:rowOff>57150</xdr:rowOff>
    </xdr:to>
    <xdr:pic>
      <xdr:nvPicPr>
        <xdr:cNvPr id="3" name="Picture 2">
          <a:extLst>
            <a:ext uri="{FF2B5EF4-FFF2-40B4-BE49-F238E27FC236}">
              <a16:creationId xmlns:a16="http://schemas.microsoft.com/office/drawing/2014/main" id="{F1C75ECD-C8EB-4977-B1CF-BD7BD62C8F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276600"/>
          <a:ext cx="32766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527051</xdr:colOff>
      <xdr:row>23</xdr:row>
      <xdr:rowOff>85726</xdr:rowOff>
    </xdr:from>
    <xdr:ext cx="3238500" cy="1695450"/>
    <xdr:pic>
      <xdr:nvPicPr>
        <xdr:cNvPr id="4" name="Picture 3">
          <a:extLst>
            <a:ext uri="{FF2B5EF4-FFF2-40B4-BE49-F238E27FC236}">
              <a16:creationId xmlns:a16="http://schemas.microsoft.com/office/drawing/2014/main" id="{1DE71992-C90B-4873-A9F5-9AECECF36A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90151" y="5667376"/>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8</xdr:col>
      <xdr:colOff>495298</xdr:colOff>
      <xdr:row>12</xdr:row>
      <xdr:rowOff>619125</xdr:rowOff>
    </xdr:from>
    <xdr:to>
      <xdr:col>13</xdr:col>
      <xdr:colOff>514349</xdr:colOff>
      <xdr:row>19</xdr:row>
      <xdr:rowOff>104775</xdr:rowOff>
    </xdr:to>
    <xdr:pic>
      <xdr:nvPicPr>
        <xdr:cNvPr id="2" name="Picture 1">
          <a:extLst>
            <a:ext uri="{FF2B5EF4-FFF2-40B4-BE49-F238E27FC236}">
              <a16:creationId xmlns:a16="http://schemas.microsoft.com/office/drawing/2014/main" id="{D64F96C0-957B-4493-943A-187EAFDF9E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58398" y="3438525"/>
          <a:ext cx="3219451"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571500</xdr:colOff>
      <xdr:row>2</xdr:row>
      <xdr:rowOff>219074</xdr:rowOff>
    </xdr:from>
    <xdr:to>
      <xdr:col>13</xdr:col>
      <xdr:colOff>466725</xdr:colOff>
      <xdr:row>10</xdr:row>
      <xdr:rowOff>190499</xdr:rowOff>
    </xdr:to>
    <xdr:pic>
      <xdr:nvPicPr>
        <xdr:cNvPr id="3" name="Picture 2">
          <a:extLst>
            <a:ext uri="{FF2B5EF4-FFF2-40B4-BE49-F238E27FC236}">
              <a16:creationId xmlns:a16="http://schemas.microsoft.com/office/drawing/2014/main" id="{4D9DE609-BB7A-457C-9222-ABA4892FBE38}"/>
            </a:ext>
          </a:extLst>
        </xdr:cNvPr>
        <xdr:cNvPicPr>
          <a:picLocks/>
        </xdr:cNvPicPr>
      </xdr:nvPicPr>
      <xdr:blipFill>
        <a:blip xmlns:r="http://schemas.openxmlformats.org/officeDocument/2006/relationships" r:embed="rId2"/>
        <a:stretch>
          <a:fillRect/>
        </a:stretch>
      </xdr:blipFill>
      <xdr:spPr>
        <a:xfrm>
          <a:off x="10134600" y="657224"/>
          <a:ext cx="3095625" cy="19335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600075</xdr:colOff>
      <xdr:row>2</xdr:row>
      <xdr:rowOff>142876</xdr:rowOff>
    </xdr:from>
    <xdr:to>
      <xdr:col>14</xdr:col>
      <xdr:colOff>123825</xdr:colOff>
      <xdr:row>10</xdr:row>
      <xdr:rowOff>101601</xdr:rowOff>
    </xdr:to>
    <xdr:pic>
      <xdr:nvPicPr>
        <xdr:cNvPr id="2" name="Picture 1">
          <a:extLst>
            <a:ext uri="{FF2B5EF4-FFF2-40B4-BE49-F238E27FC236}">
              <a16:creationId xmlns:a16="http://schemas.microsoft.com/office/drawing/2014/main" id="{A603F4C5-90EA-4B71-8FE2-DD1349F4BEE1}"/>
            </a:ext>
          </a:extLst>
        </xdr:cNvPr>
        <xdr:cNvPicPr>
          <a:picLocks noChangeAspect="1"/>
        </xdr:cNvPicPr>
      </xdr:nvPicPr>
      <xdr:blipFill>
        <a:blip xmlns:r="http://schemas.openxmlformats.org/officeDocument/2006/relationships" r:embed="rId1"/>
        <a:stretch>
          <a:fillRect/>
        </a:stretch>
      </xdr:blipFill>
      <xdr:spPr>
        <a:xfrm>
          <a:off x="10163175" y="581026"/>
          <a:ext cx="3181350" cy="1920875"/>
        </a:xfrm>
        <a:prstGeom prst="rect">
          <a:avLst/>
        </a:prstGeom>
      </xdr:spPr>
    </xdr:pic>
    <xdr:clientData/>
  </xdr:twoCellAnchor>
  <xdr:twoCellAnchor editAs="oneCell">
    <xdr:from>
      <xdr:col>8</xdr:col>
      <xdr:colOff>523876</xdr:colOff>
      <xdr:row>14</xdr:row>
      <xdr:rowOff>152401</xdr:rowOff>
    </xdr:from>
    <xdr:to>
      <xdr:col>14</xdr:col>
      <xdr:colOff>47626</xdr:colOff>
      <xdr:row>19</xdr:row>
      <xdr:rowOff>323851</xdr:rowOff>
    </xdr:to>
    <xdr:pic>
      <xdr:nvPicPr>
        <xdr:cNvPr id="3" name="Picture 2">
          <a:extLst>
            <a:ext uri="{FF2B5EF4-FFF2-40B4-BE49-F238E27FC236}">
              <a16:creationId xmlns:a16="http://schemas.microsoft.com/office/drawing/2014/main" id="{3E04A1D2-D3A1-438B-BA14-2FCB6608B3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6" y="3390901"/>
          <a:ext cx="318135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523875</xdr:colOff>
      <xdr:row>22</xdr:row>
      <xdr:rowOff>57151</xdr:rowOff>
    </xdr:from>
    <xdr:ext cx="3238500" cy="1647824"/>
    <xdr:pic>
      <xdr:nvPicPr>
        <xdr:cNvPr id="4" name="Picture 3">
          <a:extLst>
            <a:ext uri="{FF2B5EF4-FFF2-40B4-BE49-F238E27FC236}">
              <a16:creationId xmlns:a16="http://schemas.microsoft.com/office/drawing/2014/main" id="{A7FFE211-E056-494C-A922-609F610F07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5" y="6038851"/>
          <a:ext cx="3238500" cy="164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2.xml><?xml version="1.0" encoding="utf-8"?>
<xdr:wsDr xmlns:xdr="http://schemas.openxmlformats.org/drawingml/2006/spreadsheetDrawing" xmlns:a="http://schemas.openxmlformats.org/drawingml/2006/main">
  <xdr:twoCellAnchor editAs="oneCell">
    <xdr:from>
      <xdr:col>8</xdr:col>
      <xdr:colOff>552450</xdr:colOff>
      <xdr:row>2</xdr:row>
      <xdr:rowOff>114300</xdr:rowOff>
    </xdr:from>
    <xdr:to>
      <xdr:col>14</xdr:col>
      <xdr:colOff>178792</xdr:colOff>
      <xdr:row>10</xdr:row>
      <xdr:rowOff>177800</xdr:rowOff>
    </xdr:to>
    <xdr:pic>
      <xdr:nvPicPr>
        <xdr:cNvPr id="2" name="Picture 1">
          <a:extLst>
            <a:ext uri="{FF2B5EF4-FFF2-40B4-BE49-F238E27FC236}">
              <a16:creationId xmlns:a16="http://schemas.microsoft.com/office/drawing/2014/main" id="{EFB56EF9-E4E4-4F7F-B7EE-EE32BCF53D3D}"/>
            </a:ext>
          </a:extLst>
        </xdr:cNvPr>
        <xdr:cNvPicPr>
          <a:picLocks noChangeAspect="1"/>
        </xdr:cNvPicPr>
      </xdr:nvPicPr>
      <xdr:blipFill>
        <a:blip xmlns:r="http://schemas.openxmlformats.org/officeDocument/2006/relationships" r:embed="rId1"/>
        <a:stretch>
          <a:fillRect/>
        </a:stretch>
      </xdr:blipFill>
      <xdr:spPr>
        <a:xfrm>
          <a:off x="10115550" y="552450"/>
          <a:ext cx="3283942" cy="2025650"/>
        </a:xfrm>
        <a:prstGeom prst="rect">
          <a:avLst/>
        </a:prstGeom>
      </xdr:spPr>
    </xdr:pic>
    <xdr:clientData/>
  </xdr:twoCellAnchor>
  <xdr:twoCellAnchor editAs="oneCell">
    <xdr:from>
      <xdr:col>8</xdr:col>
      <xdr:colOff>552450</xdr:colOff>
      <xdr:row>13</xdr:row>
      <xdr:rowOff>333376</xdr:rowOff>
    </xdr:from>
    <xdr:to>
      <xdr:col>14</xdr:col>
      <xdr:colOff>247650</xdr:colOff>
      <xdr:row>20</xdr:row>
      <xdr:rowOff>1</xdr:rowOff>
    </xdr:to>
    <xdr:pic>
      <xdr:nvPicPr>
        <xdr:cNvPr id="3" name="Picture 2">
          <a:extLst>
            <a:ext uri="{FF2B5EF4-FFF2-40B4-BE49-F238E27FC236}">
              <a16:creationId xmlns:a16="http://schemas.microsoft.com/office/drawing/2014/main" id="{A9098FFB-A3A5-4E09-B092-1AA7A78CC5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50" y="3238501"/>
          <a:ext cx="33528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581025</xdr:colOff>
      <xdr:row>24</xdr:row>
      <xdr:rowOff>57150</xdr:rowOff>
    </xdr:from>
    <xdr:ext cx="3419475" cy="1771650"/>
    <xdr:pic>
      <xdr:nvPicPr>
        <xdr:cNvPr id="4" name="Picture 3">
          <a:extLst>
            <a:ext uri="{FF2B5EF4-FFF2-40B4-BE49-F238E27FC236}">
              <a16:creationId xmlns:a16="http://schemas.microsoft.com/office/drawing/2014/main" id="{714CA5A3-42FF-4F0E-9621-ECF2C3234E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44125" y="5848350"/>
          <a:ext cx="34194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8</xdr:col>
      <xdr:colOff>542925</xdr:colOff>
      <xdr:row>2</xdr:row>
      <xdr:rowOff>76201</xdr:rowOff>
    </xdr:from>
    <xdr:to>
      <xdr:col>14</xdr:col>
      <xdr:colOff>104775</xdr:colOff>
      <xdr:row>9</xdr:row>
      <xdr:rowOff>193676</xdr:rowOff>
    </xdr:to>
    <xdr:pic>
      <xdr:nvPicPr>
        <xdr:cNvPr id="2" name="Picture 1">
          <a:extLst>
            <a:ext uri="{FF2B5EF4-FFF2-40B4-BE49-F238E27FC236}">
              <a16:creationId xmlns:a16="http://schemas.microsoft.com/office/drawing/2014/main" id="{D7C5B854-C323-401C-A9E2-BCD47659E731}"/>
            </a:ext>
          </a:extLst>
        </xdr:cNvPr>
        <xdr:cNvPicPr>
          <a:picLocks noChangeAspect="1"/>
        </xdr:cNvPicPr>
      </xdr:nvPicPr>
      <xdr:blipFill>
        <a:blip xmlns:r="http://schemas.openxmlformats.org/officeDocument/2006/relationships" r:embed="rId1"/>
        <a:stretch>
          <a:fillRect/>
        </a:stretch>
      </xdr:blipFill>
      <xdr:spPr>
        <a:xfrm>
          <a:off x="10106025" y="514351"/>
          <a:ext cx="3219450" cy="2022475"/>
        </a:xfrm>
        <a:prstGeom prst="rect">
          <a:avLst/>
        </a:prstGeom>
      </xdr:spPr>
    </xdr:pic>
    <xdr:clientData/>
  </xdr:twoCellAnchor>
  <xdr:twoCellAnchor editAs="oneCell">
    <xdr:from>
      <xdr:col>8</xdr:col>
      <xdr:colOff>542925</xdr:colOff>
      <xdr:row>13</xdr:row>
      <xdr:rowOff>66675</xdr:rowOff>
    </xdr:from>
    <xdr:to>
      <xdr:col>14</xdr:col>
      <xdr:colOff>190500</xdr:colOff>
      <xdr:row>20</xdr:row>
      <xdr:rowOff>9525</xdr:rowOff>
    </xdr:to>
    <xdr:pic>
      <xdr:nvPicPr>
        <xdr:cNvPr id="3" name="Picture 2">
          <a:extLst>
            <a:ext uri="{FF2B5EF4-FFF2-40B4-BE49-F238E27FC236}">
              <a16:creationId xmlns:a16="http://schemas.microsoft.com/office/drawing/2014/main" id="{CA960F27-8265-4A7E-9FCF-ED210FF735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400425"/>
          <a:ext cx="33051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8</xdr:col>
      <xdr:colOff>600075</xdr:colOff>
      <xdr:row>2</xdr:row>
      <xdr:rowOff>66675</xdr:rowOff>
    </xdr:from>
    <xdr:to>
      <xdr:col>14</xdr:col>
      <xdr:colOff>200025</xdr:colOff>
      <xdr:row>10</xdr:row>
      <xdr:rowOff>76200</xdr:rowOff>
    </xdr:to>
    <xdr:pic>
      <xdr:nvPicPr>
        <xdr:cNvPr id="2" name="Picture 1">
          <a:extLst>
            <a:ext uri="{FF2B5EF4-FFF2-40B4-BE49-F238E27FC236}">
              <a16:creationId xmlns:a16="http://schemas.microsoft.com/office/drawing/2014/main" id="{238EA7ED-6C5A-4854-B87F-CB532234D7BC}"/>
            </a:ext>
          </a:extLst>
        </xdr:cNvPr>
        <xdr:cNvPicPr>
          <a:picLocks noChangeAspect="1"/>
        </xdr:cNvPicPr>
      </xdr:nvPicPr>
      <xdr:blipFill>
        <a:blip xmlns:r="http://schemas.openxmlformats.org/officeDocument/2006/relationships" r:embed="rId1"/>
        <a:stretch>
          <a:fillRect/>
        </a:stretch>
      </xdr:blipFill>
      <xdr:spPr>
        <a:xfrm>
          <a:off x="10163175" y="504825"/>
          <a:ext cx="3257550" cy="1971675"/>
        </a:xfrm>
        <a:prstGeom prst="rect">
          <a:avLst/>
        </a:prstGeom>
      </xdr:spPr>
    </xdr:pic>
    <xdr:clientData/>
  </xdr:twoCellAnchor>
  <xdr:twoCellAnchor editAs="oneCell">
    <xdr:from>
      <xdr:col>8</xdr:col>
      <xdr:colOff>476250</xdr:colOff>
      <xdr:row>13</xdr:row>
      <xdr:rowOff>38100</xdr:rowOff>
    </xdr:from>
    <xdr:to>
      <xdr:col>14</xdr:col>
      <xdr:colOff>123825</xdr:colOff>
      <xdr:row>18</xdr:row>
      <xdr:rowOff>85725</xdr:rowOff>
    </xdr:to>
    <xdr:pic>
      <xdr:nvPicPr>
        <xdr:cNvPr id="3" name="Picture 2">
          <a:extLst>
            <a:ext uri="{FF2B5EF4-FFF2-40B4-BE49-F238E27FC236}">
              <a16:creationId xmlns:a16="http://schemas.microsoft.com/office/drawing/2014/main" id="{2F4FAEA7-3815-44BB-A43A-02A2CFAB30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39350" y="3067050"/>
          <a:ext cx="330517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371475</xdr:colOff>
      <xdr:row>21</xdr:row>
      <xdr:rowOff>571501</xdr:rowOff>
    </xdr:from>
    <xdr:ext cx="3343275" cy="1771650"/>
    <xdr:pic>
      <xdr:nvPicPr>
        <xdr:cNvPr id="4" name="Picture 3">
          <a:extLst>
            <a:ext uri="{FF2B5EF4-FFF2-40B4-BE49-F238E27FC236}">
              <a16:creationId xmlns:a16="http://schemas.microsoft.com/office/drawing/2014/main" id="{DEE050C9-3C2D-47EF-9AB7-B2FC7218D6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34575" y="5886451"/>
          <a:ext cx="33432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9</xdr:col>
      <xdr:colOff>0</xdr:colOff>
      <xdr:row>2</xdr:row>
      <xdr:rowOff>104775</xdr:rowOff>
    </xdr:from>
    <xdr:to>
      <xdr:col>14</xdr:col>
      <xdr:colOff>180975</xdr:colOff>
      <xdr:row>11</xdr:row>
      <xdr:rowOff>0</xdr:rowOff>
    </xdr:to>
    <xdr:pic>
      <xdr:nvPicPr>
        <xdr:cNvPr id="2" name="Picture 1">
          <a:extLst>
            <a:ext uri="{FF2B5EF4-FFF2-40B4-BE49-F238E27FC236}">
              <a16:creationId xmlns:a16="http://schemas.microsoft.com/office/drawing/2014/main" id="{B73004F2-47D0-4A45-AAFA-6E6E45BB236E}"/>
            </a:ext>
          </a:extLst>
        </xdr:cNvPr>
        <xdr:cNvPicPr>
          <a:picLocks noChangeAspect="1"/>
        </xdr:cNvPicPr>
      </xdr:nvPicPr>
      <xdr:blipFill>
        <a:blip xmlns:r="http://schemas.openxmlformats.org/officeDocument/2006/relationships" r:embed="rId1"/>
        <a:stretch>
          <a:fillRect/>
        </a:stretch>
      </xdr:blipFill>
      <xdr:spPr>
        <a:xfrm>
          <a:off x="10172700" y="542925"/>
          <a:ext cx="3228975" cy="2066925"/>
        </a:xfrm>
        <a:prstGeom prst="rect">
          <a:avLst/>
        </a:prstGeom>
      </xdr:spPr>
    </xdr:pic>
    <xdr:clientData/>
  </xdr:twoCellAnchor>
  <xdr:twoCellAnchor editAs="oneCell">
    <xdr:from>
      <xdr:col>8</xdr:col>
      <xdr:colOff>561974</xdr:colOff>
      <xdr:row>14</xdr:row>
      <xdr:rowOff>47626</xdr:rowOff>
    </xdr:from>
    <xdr:to>
      <xdr:col>14</xdr:col>
      <xdr:colOff>190499</xdr:colOff>
      <xdr:row>22</xdr:row>
      <xdr:rowOff>85726</xdr:rowOff>
    </xdr:to>
    <xdr:pic>
      <xdr:nvPicPr>
        <xdr:cNvPr id="3" name="Picture 2">
          <a:extLst>
            <a:ext uri="{FF2B5EF4-FFF2-40B4-BE49-F238E27FC236}">
              <a16:creationId xmlns:a16="http://schemas.microsoft.com/office/drawing/2014/main" id="{D529AFF4-A6A0-4730-B127-D650234EBB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4" y="3286126"/>
          <a:ext cx="328612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28575</xdr:colOff>
      <xdr:row>10</xdr:row>
      <xdr:rowOff>156997</xdr:rowOff>
    </xdr:to>
    <xdr:pic>
      <xdr:nvPicPr>
        <xdr:cNvPr id="2" name="Picture 1">
          <a:extLst>
            <a:ext uri="{FF2B5EF4-FFF2-40B4-BE49-F238E27FC236}">
              <a16:creationId xmlns:a16="http://schemas.microsoft.com/office/drawing/2014/main" id="{94BF8D95-4825-4551-BDF7-279E8D082056}"/>
            </a:ext>
          </a:extLst>
        </xdr:cNvPr>
        <xdr:cNvPicPr>
          <a:picLocks noChangeAspect="1"/>
        </xdr:cNvPicPr>
      </xdr:nvPicPr>
      <xdr:blipFill>
        <a:blip xmlns:r="http://schemas.openxmlformats.org/officeDocument/2006/relationships" r:embed="rId1"/>
        <a:stretch>
          <a:fillRect/>
        </a:stretch>
      </xdr:blipFill>
      <xdr:spPr>
        <a:xfrm>
          <a:off x="10163175" y="571500"/>
          <a:ext cx="3086100" cy="1985797"/>
        </a:xfrm>
        <a:prstGeom prst="rect">
          <a:avLst/>
        </a:prstGeom>
      </xdr:spPr>
    </xdr:pic>
    <xdr:clientData/>
  </xdr:twoCellAnchor>
  <xdr:twoCellAnchor editAs="oneCell">
    <xdr:from>
      <xdr:col>8</xdr:col>
      <xdr:colOff>609599</xdr:colOff>
      <xdr:row>13</xdr:row>
      <xdr:rowOff>123826</xdr:rowOff>
    </xdr:from>
    <xdr:to>
      <xdr:col>14</xdr:col>
      <xdr:colOff>85724</xdr:colOff>
      <xdr:row>20</xdr:row>
      <xdr:rowOff>142875</xdr:rowOff>
    </xdr:to>
    <xdr:pic>
      <xdr:nvPicPr>
        <xdr:cNvPr id="3" name="Picture 2">
          <a:extLst>
            <a:ext uri="{FF2B5EF4-FFF2-40B4-BE49-F238E27FC236}">
              <a16:creationId xmlns:a16="http://schemas.microsoft.com/office/drawing/2014/main" id="{D2BBAF3A-C3B6-4A30-961C-67928A7834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699" y="3152776"/>
          <a:ext cx="3133725"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581026</xdr:colOff>
      <xdr:row>25</xdr:row>
      <xdr:rowOff>161925</xdr:rowOff>
    </xdr:from>
    <xdr:ext cx="3238499" cy="1695450"/>
    <xdr:pic>
      <xdr:nvPicPr>
        <xdr:cNvPr id="4" name="Picture 3">
          <a:extLst>
            <a:ext uri="{FF2B5EF4-FFF2-40B4-BE49-F238E27FC236}">
              <a16:creationId xmlns:a16="http://schemas.microsoft.com/office/drawing/2014/main" id="{CC1AABB6-B33C-4DA0-B8D2-D0C15ADED3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44126" y="5857875"/>
          <a:ext cx="3238499"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7.xml><?xml version="1.0" encoding="utf-8"?>
<xdr:wsDr xmlns:xdr="http://schemas.openxmlformats.org/drawingml/2006/spreadsheetDrawing" xmlns:a="http://schemas.openxmlformats.org/drawingml/2006/main">
  <xdr:twoCellAnchor editAs="oneCell">
    <xdr:from>
      <xdr:col>9</xdr:col>
      <xdr:colOff>0</xdr:colOff>
      <xdr:row>2</xdr:row>
      <xdr:rowOff>171450</xdr:rowOff>
    </xdr:from>
    <xdr:to>
      <xdr:col>14</xdr:col>
      <xdr:colOff>235942</xdr:colOff>
      <xdr:row>11</xdr:row>
      <xdr:rowOff>25400</xdr:rowOff>
    </xdr:to>
    <xdr:pic>
      <xdr:nvPicPr>
        <xdr:cNvPr id="2" name="Picture 1">
          <a:extLst>
            <a:ext uri="{FF2B5EF4-FFF2-40B4-BE49-F238E27FC236}">
              <a16:creationId xmlns:a16="http://schemas.microsoft.com/office/drawing/2014/main" id="{06BED7F6-F063-467B-915F-BCDCE33B8276}"/>
            </a:ext>
          </a:extLst>
        </xdr:cNvPr>
        <xdr:cNvPicPr>
          <a:picLocks noChangeAspect="1"/>
        </xdr:cNvPicPr>
      </xdr:nvPicPr>
      <xdr:blipFill>
        <a:blip xmlns:r="http://schemas.openxmlformats.org/officeDocument/2006/relationships" r:embed="rId1"/>
        <a:stretch>
          <a:fillRect/>
        </a:stretch>
      </xdr:blipFill>
      <xdr:spPr>
        <a:xfrm>
          <a:off x="10172700" y="609600"/>
          <a:ext cx="3283942" cy="2025650"/>
        </a:xfrm>
        <a:prstGeom prst="rect">
          <a:avLst/>
        </a:prstGeom>
      </xdr:spPr>
    </xdr:pic>
    <xdr:clientData/>
  </xdr:twoCellAnchor>
  <xdr:twoCellAnchor editAs="oneCell">
    <xdr:from>
      <xdr:col>8</xdr:col>
      <xdr:colOff>590550</xdr:colOff>
      <xdr:row>13</xdr:row>
      <xdr:rowOff>180976</xdr:rowOff>
    </xdr:from>
    <xdr:to>
      <xdr:col>14</xdr:col>
      <xdr:colOff>200025</xdr:colOff>
      <xdr:row>19</xdr:row>
      <xdr:rowOff>15876</xdr:rowOff>
    </xdr:to>
    <xdr:pic>
      <xdr:nvPicPr>
        <xdr:cNvPr id="3" name="Picture 2">
          <a:extLst>
            <a:ext uri="{FF2B5EF4-FFF2-40B4-BE49-F238E27FC236}">
              <a16:creationId xmlns:a16="http://schemas.microsoft.com/office/drawing/2014/main" id="{F730E8F9-E73B-4E0F-BE5A-8C97E4B0CE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209926"/>
          <a:ext cx="3267075"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542925</xdr:colOff>
      <xdr:row>23</xdr:row>
      <xdr:rowOff>161926</xdr:rowOff>
    </xdr:from>
    <xdr:ext cx="3390900" cy="1724024"/>
    <xdr:pic>
      <xdr:nvPicPr>
        <xdr:cNvPr id="4" name="Picture 3">
          <a:extLst>
            <a:ext uri="{FF2B5EF4-FFF2-40B4-BE49-F238E27FC236}">
              <a16:creationId xmlns:a16="http://schemas.microsoft.com/office/drawing/2014/main" id="{AF9505A4-EE2B-437C-B09E-014965F807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5895976"/>
          <a:ext cx="3390900"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8.xml><?xml version="1.0" encoding="utf-8"?>
<xdr:wsDr xmlns:xdr="http://schemas.openxmlformats.org/drawingml/2006/spreadsheetDrawing" xmlns:a="http://schemas.openxmlformats.org/drawingml/2006/main">
  <xdr:twoCellAnchor editAs="oneCell">
    <xdr:from>
      <xdr:col>8</xdr:col>
      <xdr:colOff>488951</xdr:colOff>
      <xdr:row>13</xdr:row>
      <xdr:rowOff>88901</xdr:rowOff>
    </xdr:from>
    <xdr:to>
      <xdr:col>14</xdr:col>
      <xdr:colOff>50801</xdr:colOff>
      <xdr:row>19</xdr:row>
      <xdr:rowOff>82551</xdr:rowOff>
    </xdr:to>
    <xdr:pic>
      <xdr:nvPicPr>
        <xdr:cNvPr id="2" name="Picture 1">
          <a:extLst>
            <a:ext uri="{FF2B5EF4-FFF2-40B4-BE49-F238E27FC236}">
              <a16:creationId xmlns:a16="http://schemas.microsoft.com/office/drawing/2014/main" id="{9511B242-7147-484A-B43C-945D0B087A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52051" y="3270251"/>
          <a:ext cx="321945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485775</xdr:colOff>
      <xdr:row>23</xdr:row>
      <xdr:rowOff>111125</xdr:rowOff>
    </xdr:from>
    <xdr:ext cx="3273721" cy="1762125"/>
    <xdr:pic>
      <xdr:nvPicPr>
        <xdr:cNvPr id="3" name="Picture 2">
          <a:extLst>
            <a:ext uri="{FF2B5EF4-FFF2-40B4-BE49-F238E27FC236}">
              <a16:creationId xmlns:a16="http://schemas.microsoft.com/office/drawing/2014/main" id="{D2A473CD-0734-4BF9-B372-B61ECE54AD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48875" y="599757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457200</xdr:colOff>
      <xdr:row>2</xdr:row>
      <xdr:rowOff>200025</xdr:rowOff>
    </xdr:from>
    <xdr:to>
      <xdr:col>14</xdr:col>
      <xdr:colOff>83542</xdr:colOff>
      <xdr:row>11</xdr:row>
      <xdr:rowOff>53975</xdr:rowOff>
    </xdr:to>
    <xdr:pic>
      <xdr:nvPicPr>
        <xdr:cNvPr id="4" name="Picture 3">
          <a:extLst>
            <a:ext uri="{FF2B5EF4-FFF2-40B4-BE49-F238E27FC236}">
              <a16:creationId xmlns:a16="http://schemas.microsoft.com/office/drawing/2014/main" id="{8983557C-7364-4E68-BCDB-BA4D23A6CE11}"/>
            </a:ext>
          </a:extLst>
        </xdr:cNvPr>
        <xdr:cNvPicPr>
          <a:picLocks noChangeAspect="1"/>
        </xdr:cNvPicPr>
      </xdr:nvPicPr>
      <xdr:blipFill>
        <a:blip xmlns:r="http://schemas.openxmlformats.org/officeDocument/2006/relationships" r:embed="rId2"/>
        <a:stretch>
          <a:fillRect/>
        </a:stretch>
      </xdr:blipFill>
      <xdr:spPr>
        <a:xfrm>
          <a:off x="10020300" y="638175"/>
          <a:ext cx="3283942" cy="202565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8</xdr:col>
      <xdr:colOff>571501</xdr:colOff>
      <xdr:row>13</xdr:row>
      <xdr:rowOff>47623</xdr:rowOff>
    </xdr:from>
    <xdr:to>
      <xdr:col>13</xdr:col>
      <xdr:colOff>590550</xdr:colOff>
      <xdr:row>20</xdr:row>
      <xdr:rowOff>171450</xdr:rowOff>
    </xdr:to>
    <xdr:pic>
      <xdr:nvPicPr>
        <xdr:cNvPr id="2" name="Picture 1">
          <a:extLst>
            <a:ext uri="{FF2B5EF4-FFF2-40B4-BE49-F238E27FC236}">
              <a16:creationId xmlns:a16="http://schemas.microsoft.com/office/drawing/2014/main" id="{4A08107A-6F66-4517-9D88-93363D8F57F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34601" y="3076573"/>
          <a:ext cx="3257549" cy="17430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485775</xdr:colOff>
      <xdr:row>22</xdr:row>
      <xdr:rowOff>47624</xdr:rowOff>
    </xdr:from>
    <xdr:to>
      <xdr:col>13</xdr:col>
      <xdr:colOff>571500</xdr:colOff>
      <xdr:row>28</xdr:row>
      <xdr:rowOff>238125</xdr:rowOff>
    </xdr:to>
    <xdr:pic>
      <xdr:nvPicPr>
        <xdr:cNvPr id="3" name="Picture 2">
          <a:extLst>
            <a:ext uri="{FF2B5EF4-FFF2-40B4-BE49-F238E27FC236}">
              <a16:creationId xmlns:a16="http://schemas.microsoft.com/office/drawing/2014/main" id="{58737601-D958-4A27-88EE-B939D194FA2C}"/>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48875" y="5781674"/>
          <a:ext cx="3324225" cy="1752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9528</xdr:colOff>
      <xdr:row>2</xdr:row>
      <xdr:rowOff>9525</xdr:rowOff>
    </xdr:from>
    <xdr:to>
      <xdr:col>14</xdr:col>
      <xdr:colOff>19050</xdr:colOff>
      <xdr:row>10</xdr:row>
      <xdr:rowOff>66674</xdr:rowOff>
    </xdr:to>
    <xdr:pic>
      <xdr:nvPicPr>
        <xdr:cNvPr id="4" name="Picture 3">
          <a:extLst>
            <a:ext uri="{FF2B5EF4-FFF2-40B4-BE49-F238E27FC236}">
              <a16:creationId xmlns:a16="http://schemas.microsoft.com/office/drawing/2014/main" id="{EBEAE3F1-C4D3-41C2-BF3E-7082E10C617A}"/>
            </a:ext>
          </a:extLst>
        </xdr:cNvPr>
        <xdr:cNvPicPr>
          <a:picLocks noChangeAspect="1"/>
        </xdr:cNvPicPr>
      </xdr:nvPicPr>
      <xdr:blipFill>
        <a:blip xmlns:r="http://schemas.openxmlformats.org/officeDocument/2006/relationships" r:embed="rId2"/>
        <a:stretch>
          <a:fillRect/>
        </a:stretch>
      </xdr:blipFill>
      <xdr:spPr>
        <a:xfrm>
          <a:off x="10182228" y="447675"/>
          <a:ext cx="3248022" cy="2019299"/>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609599</xdr:colOff>
      <xdr:row>2</xdr:row>
      <xdr:rowOff>114300</xdr:rowOff>
    </xdr:from>
    <xdr:to>
      <xdr:col>14</xdr:col>
      <xdr:colOff>219074</xdr:colOff>
      <xdr:row>10</xdr:row>
      <xdr:rowOff>168275</xdr:rowOff>
    </xdr:to>
    <xdr:pic>
      <xdr:nvPicPr>
        <xdr:cNvPr id="2" name="Picture 1">
          <a:extLst>
            <a:ext uri="{FF2B5EF4-FFF2-40B4-BE49-F238E27FC236}">
              <a16:creationId xmlns:a16="http://schemas.microsoft.com/office/drawing/2014/main" id="{30419A3E-F256-4EB9-839F-F0381EFC7C08}"/>
            </a:ext>
          </a:extLst>
        </xdr:cNvPr>
        <xdr:cNvPicPr>
          <a:picLocks noChangeAspect="1"/>
        </xdr:cNvPicPr>
      </xdr:nvPicPr>
      <xdr:blipFill>
        <a:blip xmlns:r="http://schemas.openxmlformats.org/officeDocument/2006/relationships" r:embed="rId1"/>
        <a:stretch>
          <a:fillRect/>
        </a:stretch>
      </xdr:blipFill>
      <xdr:spPr>
        <a:xfrm>
          <a:off x="10172699" y="552450"/>
          <a:ext cx="3267075" cy="2016125"/>
        </a:xfrm>
        <a:prstGeom prst="rect">
          <a:avLst/>
        </a:prstGeom>
      </xdr:spPr>
    </xdr:pic>
    <xdr:clientData/>
  </xdr:twoCellAnchor>
  <xdr:twoCellAnchor editAs="oneCell">
    <xdr:from>
      <xdr:col>8</xdr:col>
      <xdr:colOff>504824</xdr:colOff>
      <xdr:row>13</xdr:row>
      <xdr:rowOff>104776</xdr:rowOff>
    </xdr:from>
    <xdr:to>
      <xdr:col>14</xdr:col>
      <xdr:colOff>209549</xdr:colOff>
      <xdr:row>21</xdr:row>
      <xdr:rowOff>180975</xdr:rowOff>
    </xdr:to>
    <xdr:pic>
      <xdr:nvPicPr>
        <xdr:cNvPr id="3" name="Picture 2">
          <a:extLst>
            <a:ext uri="{FF2B5EF4-FFF2-40B4-BE49-F238E27FC236}">
              <a16:creationId xmlns:a16="http://schemas.microsoft.com/office/drawing/2014/main" id="{7A0E1507-C5BD-4222-BF76-206F4BC301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4" y="3133726"/>
          <a:ext cx="3362325"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0538A-A20C-42CB-BB75-66405BD11B64}">
  <dimension ref="A1:C31"/>
  <sheetViews>
    <sheetView tabSelected="1" zoomScale="110" zoomScaleNormal="110" workbookViewId="0">
      <pane ySplit="1" topLeftCell="A2" activePane="bottomLeft" state="frozen"/>
      <selection sqref="A1:H1"/>
      <selection pane="bottomLeft" activeCell="E7" sqref="E7"/>
    </sheetView>
  </sheetViews>
  <sheetFormatPr defaultColWidth="9.140625" defaultRowHeight="15" x14ac:dyDescent="0.25"/>
  <cols>
    <col min="1" max="1" width="6" style="36" bestFit="1" customWidth="1"/>
    <col min="2" max="2" width="10.42578125" style="36" bestFit="1" customWidth="1"/>
    <col min="3" max="3" width="56.42578125" style="36" bestFit="1" customWidth="1"/>
    <col min="4" max="16384" width="9.140625" style="36"/>
  </cols>
  <sheetData>
    <row r="1" spans="1:3" x14ac:dyDescent="0.25">
      <c r="A1" s="34" t="s">
        <v>841</v>
      </c>
      <c r="B1" s="35" t="s">
        <v>842</v>
      </c>
      <c r="C1" s="35" t="s">
        <v>843</v>
      </c>
    </row>
    <row r="2" spans="1:3" x14ac:dyDescent="0.25">
      <c r="A2" s="37">
        <v>1</v>
      </c>
      <c r="B2" s="38" t="s">
        <v>844</v>
      </c>
      <c r="C2" s="39" t="s">
        <v>1</v>
      </c>
    </row>
    <row r="3" spans="1:3" x14ac:dyDescent="0.25">
      <c r="A3" s="37">
        <v>2</v>
      </c>
      <c r="B3" s="38" t="s">
        <v>845</v>
      </c>
      <c r="C3" s="39" t="s">
        <v>846</v>
      </c>
    </row>
    <row r="4" spans="1:3" x14ac:dyDescent="0.25">
      <c r="A4" s="37">
        <v>3</v>
      </c>
      <c r="B4" s="38" t="s">
        <v>847</v>
      </c>
      <c r="C4" s="39" t="s">
        <v>190</v>
      </c>
    </row>
    <row r="5" spans="1:3" x14ac:dyDescent="0.25">
      <c r="A5" s="37">
        <v>4</v>
      </c>
      <c r="B5" s="38" t="s">
        <v>848</v>
      </c>
      <c r="C5" s="39" t="s">
        <v>849</v>
      </c>
    </row>
    <row r="6" spans="1:3" x14ac:dyDescent="0.25">
      <c r="A6" s="37">
        <v>5</v>
      </c>
      <c r="B6" s="38" t="s">
        <v>850</v>
      </c>
      <c r="C6" s="39" t="s">
        <v>378</v>
      </c>
    </row>
    <row r="7" spans="1:3" x14ac:dyDescent="0.25">
      <c r="A7" s="37">
        <v>6</v>
      </c>
      <c r="B7" s="38" t="s">
        <v>851</v>
      </c>
      <c r="C7" s="39" t="s">
        <v>379</v>
      </c>
    </row>
    <row r="8" spans="1:3" x14ac:dyDescent="0.25">
      <c r="A8" s="37">
        <v>7</v>
      </c>
      <c r="B8" s="38" t="s">
        <v>852</v>
      </c>
      <c r="C8" s="39" t="s">
        <v>853</v>
      </c>
    </row>
    <row r="9" spans="1:3" x14ac:dyDescent="0.25">
      <c r="A9" s="37">
        <v>8</v>
      </c>
      <c r="B9" s="38" t="s">
        <v>854</v>
      </c>
      <c r="C9" s="39" t="s">
        <v>855</v>
      </c>
    </row>
    <row r="10" spans="1:3" x14ac:dyDescent="0.25">
      <c r="A10" s="37">
        <v>9</v>
      </c>
      <c r="B10" s="38" t="s">
        <v>856</v>
      </c>
      <c r="C10" s="39" t="s">
        <v>857</v>
      </c>
    </row>
    <row r="11" spans="1:3" x14ac:dyDescent="0.25">
      <c r="A11" s="37">
        <v>10</v>
      </c>
      <c r="B11" s="38" t="s">
        <v>858</v>
      </c>
      <c r="C11" s="39" t="s">
        <v>859</v>
      </c>
    </row>
    <row r="12" spans="1:3" x14ac:dyDescent="0.25">
      <c r="A12" s="37">
        <v>11</v>
      </c>
      <c r="B12" s="38" t="s">
        <v>860</v>
      </c>
      <c r="C12" s="39" t="s">
        <v>474</v>
      </c>
    </row>
    <row r="13" spans="1:3" x14ac:dyDescent="0.25">
      <c r="A13" s="37">
        <v>12</v>
      </c>
      <c r="B13" s="38" t="s">
        <v>861</v>
      </c>
      <c r="C13" s="39" t="s">
        <v>491</v>
      </c>
    </row>
    <row r="14" spans="1:3" x14ac:dyDescent="0.25">
      <c r="A14" s="37">
        <v>13</v>
      </c>
      <c r="B14" s="38" t="s">
        <v>862</v>
      </c>
      <c r="C14" s="39" t="s">
        <v>492</v>
      </c>
    </row>
    <row r="15" spans="1:3" x14ac:dyDescent="0.25">
      <c r="A15" s="37">
        <v>14</v>
      </c>
      <c r="B15" s="38" t="s">
        <v>863</v>
      </c>
      <c r="C15" s="39" t="s">
        <v>493</v>
      </c>
    </row>
    <row r="16" spans="1:3" x14ac:dyDescent="0.25">
      <c r="A16" s="37">
        <v>15</v>
      </c>
      <c r="B16" s="38" t="s">
        <v>864</v>
      </c>
      <c r="C16" s="39" t="s">
        <v>494</v>
      </c>
    </row>
    <row r="17" spans="1:3" x14ac:dyDescent="0.25">
      <c r="A17" s="37">
        <v>16</v>
      </c>
      <c r="B17" s="38" t="s">
        <v>865</v>
      </c>
      <c r="C17" s="39" t="s">
        <v>545</v>
      </c>
    </row>
    <row r="18" spans="1:3" x14ac:dyDescent="0.25">
      <c r="A18" s="37">
        <v>17</v>
      </c>
      <c r="B18" s="38" t="s">
        <v>866</v>
      </c>
      <c r="C18" s="39" t="s">
        <v>867</v>
      </c>
    </row>
    <row r="19" spans="1:3" x14ac:dyDescent="0.25">
      <c r="A19" s="37">
        <v>18</v>
      </c>
      <c r="B19" s="38" t="s">
        <v>868</v>
      </c>
      <c r="C19" s="39" t="s">
        <v>681</v>
      </c>
    </row>
    <row r="20" spans="1:3" x14ac:dyDescent="0.25">
      <c r="A20" s="37">
        <v>19</v>
      </c>
      <c r="B20" s="38" t="s">
        <v>869</v>
      </c>
      <c r="C20" s="39" t="s">
        <v>695</v>
      </c>
    </row>
    <row r="21" spans="1:3" x14ac:dyDescent="0.25">
      <c r="A21" s="37">
        <v>20</v>
      </c>
      <c r="B21" s="38" t="s">
        <v>870</v>
      </c>
      <c r="C21" s="39" t="s">
        <v>718</v>
      </c>
    </row>
    <row r="22" spans="1:3" x14ac:dyDescent="0.25">
      <c r="A22" s="37">
        <v>21</v>
      </c>
      <c r="B22" s="38" t="s">
        <v>871</v>
      </c>
      <c r="C22" s="39" t="s">
        <v>872</v>
      </c>
    </row>
    <row r="23" spans="1:3" x14ac:dyDescent="0.25">
      <c r="A23" s="37">
        <v>22</v>
      </c>
      <c r="B23" s="38" t="s">
        <v>873</v>
      </c>
      <c r="C23" s="39" t="s">
        <v>740</v>
      </c>
    </row>
    <row r="24" spans="1:3" x14ac:dyDescent="0.25">
      <c r="A24" s="37">
        <v>23</v>
      </c>
      <c r="B24" s="38" t="s">
        <v>874</v>
      </c>
      <c r="C24" s="39" t="s">
        <v>875</v>
      </c>
    </row>
    <row r="25" spans="1:3" x14ac:dyDescent="0.25">
      <c r="A25" s="37">
        <v>24</v>
      </c>
      <c r="B25" s="38" t="s">
        <v>876</v>
      </c>
      <c r="C25" s="39" t="s">
        <v>811</v>
      </c>
    </row>
    <row r="26" spans="1:3" x14ac:dyDescent="0.25">
      <c r="A26" s="37">
        <v>25</v>
      </c>
      <c r="B26" s="38" t="s">
        <v>877</v>
      </c>
      <c r="C26" s="39" t="s">
        <v>820</v>
      </c>
    </row>
    <row r="27" spans="1:3" x14ac:dyDescent="0.25">
      <c r="A27" s="37">
        <v>26</v>
      </c>
      <c r="B27" s="38" t="s">
        <v>878</v>
      </c>
      <c r="C27" s="39" t="s">
        <v>828</v>
      </c>
    </row>
    <row r="28" spans="1:3" x14ac:dyDescent="0.25">
      <c r="A28" s="37">
        <v>27</v>
      </c>
      <c r="B28" s="38" t="s">
        <v>879</v>
      </c>
      <c r="C28" s="39" t="s">
        <v>832</v>
      </c>
    </row>
    <row r="29" spans="1:3" x14ac:dyDescent="0.25">
      <c r="A29" s="37">
        <v>28</v>
      </c>
      <c r="B29" s="38" t="s">
        <v>880</v>
      </c>
      <c r="C29" s="39" t="s">
        <v>833</v>
      </c>
    </row>
    <row r="30" spans="1:3" x14ac:dyDescent="0.25">
      <c r="A30" s="37">
        <v>29</v>
      </c>
      <c r="B30" s="38" t="s">
        <v>881</v>
      </c>
      <c r="C30" s="39" t="s">
        <v>834</v>
      </c>
    </row>
    <row r="31" spans="1:3" x14ac:dyDescent="0.25">
      <c r="A31" s="37">
        <v>30</v>
      </c>
      <c r="B31" s="38" t="s">
        <v>882</v>
      </c>
      <c r="C31" s="39" t="s">
        <v>837</v>
      </c>
    </row>
  </sheetData>
  <hyperlinks>
    <hyperlink ref="B4" location="MIDCAP!A1" display="MIDCAP" xr:uid="{021538EC-8CF9-431F-B6C0-A5AA66758F16}"/>
    <hyperlink ref="B5" location="MULTIP!A1" display="MULTIP" xr:uid="{C92BE699-4CC6-4B37-A863-825A2D0F6077}"/>
    <hyperlink ref="B6" location="SESCAP6!A1" display="SESCAP6" xr:uid="{2A8190DD-4535-46E6-AD2C-653D5C2E775F}"/>
    <hyperlink ref="B7" location="SESCAP7!A1" display="SESCAP7" xr:uid="{89394436-0484-4B0F-BDD4-DD6876AD7734}"/>
    <hyperlink ref="B8" location="SLTADV3!A1" display="SLTADV3" xr:uid="{26F68E86-1E41-423A-ABAE-B1F8A5646E63}"/>
    <hyperlink ref="B9" location="SLTADV4!A1" display="SLTADV4" xr:uid="{0E92B1B0-5279-4FE2-BBB9-96E3E723D517}"/>
    <hyperlink ref="B10" location="SLTAX1!A1" display="SLTAX1" xr:uid="{262784E1-093F-4B19-9583-595323658A9B}"/>
    <hyperlink ref="B11" location="SLTAX2!A1" display="SLTAX2" xr:uid="{BBE693B7-EFC6-4AEB-9581-8538ED57F2FC}"/>
    <hyperlink ref="B12" location="SLTAX3!A1" display="SLTAX3" xr:uid="{5E3C7B92-115C-4140-9F93-81D59622A3A4}"/>
    <hyperlink ref="B13" location="SLTAX4!A1" display="SLTAX4" xr:uid="{07E63F44-796C-4275-9119-FD0C23E375BD}"/>
    <hyperlink ref="B14" location="SLTAX5!A1" display="SLTAX5" xr:uid="{E03E180A-D9D6-4E31-80BA-F16B0AB28D48}"/>
    <hyperlink ref="B15" location="SLTAX6!A1" display="SLTAX6" xr:uid="{8BBA9F65-47D9-49E9-AC5E-699A3867DBBC}"/>
    <hyperlink ref="B16" location="SMILE!A1" display="SMILE" xr:uid="{D548050F-DE94-4C6A-8905-9FB520F82CCD}"/>
    <hyperlink ref="B17" location="SPAHF!A1" display="SPAHF" xr:uid="{E54FECA9-A23F-4B13-8854-84805D945645}"/>
    <hyperlink ref="B18" location="SPARF!A1" display="SPARF" xr:uid="{C0241CB2-2BAE-4661-9E48-6F1C63F46D7D}"/>
    <hyperlink ref="B19" location="SPBAF!A1" display="SPBAF" xr:uid="{28632B00-7BC1-4DBB-9C23-1522D5EB3452}"/>
    <hyperlink ref="B21" location="SPESF!A1" display="SPESF" xr:uid="{B3A29BBD-B27B-45BD-9929-E92B0C14248F}"/>
    <hyperlink ref="B22" location="SPFOCUS!A1" display="SPFOCUS" xr:uid="{38FC3983-AF76-4DE2-BF63-0ADE5DCCFFA9}"/>
    <hyperlink ref="B23" location="SPMUCF!A1" display="SPMUCF" xr:uid="{E3668879-373B-4F98-A3D4-9465260DC781}"/>
    <hyperlink ref="B24" location="SPSN100!A1" display="SPSN100" xr:uid="{E1581D63-153D-4DB0-B024-8721B2CC3F21}"/>
    <hyperlink ref="B25" location="SPTAX!A1" display="SPTAX" xr:uid="{F0F28CE8-D5C9-4C8B-8413-D033507F5156}"/>
    <hyperlink ref="B26" location="SRURAL!A1" display="SRURAL" xr:uid="{642FB52A-A32B-47E6-B75C-184013075C22}"/>
    <hyperlink ref="B27" location="SSFUND!A1" display="SSFUND" xr:uid="{549F583E-3E3E-422C-9871-A534CD71DC7D}"/>
    <hyperlink ref="B28" location="STAX!A1" display="STAX" xr:uid="{CA043292-CD6B-4BCB-A346-2EECAE0FA3FC}"/>
    <hyperlink ref="B29" location="SUNBCF!A1" display="SUNBCF" xr:uid="{95C9805F-6258-470E-B2D8-8870862E49C1}"/>
    <hyperlink ref="B31" location="SUNFOP!A1" display="SUNFOP" xr:uid="{37D19C23-9FE5-4FA2-A5EA-0C6DB9ED9B09}"/>
    <hyperlink ref="B3" location="GLOB!A1" display="GLOB" xr:uid="{0DDFB927-E1CA-4247-9060-D6E374B8C7C8}"/>
    <hyperlink ref="B30" location="SUNFCF!A1" display="SUNFCF" xr:uid="{5AA1A03C-5A77-48E0-B7CB-104C53BBB02E}"/>
    <hyperlink ref="B2" location="CAPEXG!A1" display="CAPEXG" xr:uid="{D6F5C519-1B23-4971-A028-084D67D4A2DC}"/>
    <hyperlink ref="B20" location="SPDYF!A1" display="SPDYF" xr:uid="{D77D2153-B1D3-48F4-AF8F-9116B28881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4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221" t="s">
        <v>0</v>
      </c>
      <c r="B1" s="221"/>
      <c r="C1" s="221"/>
      <c r="D1" s="221"/>
      <c r="E1" s="221"/>
      <c r="F1" s="221"/>
      <c r="G1" s="221"/>
      <c r="H1" s="221"/>
      <c r="I1" s="138" t="s">
        <v>1024</v>
      </c>
    </row>
    <row r="2" spans="1:15" ht="17.100000000000001" customHeight="1" x14ac:dyDescent="0.2">
      <c r="A2" s="222" t="s">
        <v>1</v>
      </c>
      <c r="B2" s="223"/>
      <c r="C2" s="223"/>
      <c r="D2" s="223"/>
      <c r="E2" s="223"/>
      <c r="F2" s="223"/>
      <c r="G2" s="223"/>
      <c r="H2" s="224"/>
      <c r="J2" s="225" t="s">
        <v>1025</v>
      </c>
      <c r="K2" s="225"/>
      <c r="L2" s="225"/>
      <c r="M2" s="225"/>
      <c r="N2" s="225"/>
    </row>
    <row r="3" spans="1:15" ht="21" customHeight="1" x14ac:dyDescent="0.2">
      <c r="A3" s="221" t="s">
        <v>1019</v>
      </c>
      <c r="B3" s="221"/>
      <c r="C3" s="221"/>
      <c r="D3" s="221"/>
      <c r="E3" s="221"/>
      <c r="F3" s="221"/>
      <c r="G3" s="221"/>
      <c r="H3" s="221"/>
    </row>
    <row r="4" spans="1:15" s="135" customFormat="1" ht="30" x14ac:dyDescent="0.2">
      <c r="A4" s="134" t="s">
        <v>2</v>
      </c>
      <c r="B4" s="134" t="s">
        <v>3</v>
      </c>
      <c r="C4" s="134" t="s">
        <v>4</v>
      </c>
      <c r="D4" s="134" t="s">
        <v>5</v>
      </c>
      <c r="E4" s="134" t="s">
        <v>6</v>
      </c>
      <c r="F4" s="134" t="s">
        <v>7</v>
      </c>
      <c r="G4" s="134" t="s">
        <v>8</v>
      </c>
      <c r="H4" s="87" t="s">
        <v>971</v>
      </c>
      <c r="J4" s="141"/>
      <c r="K4" s="141"/>
      <c r="L4" s="141"/>
      <c r="M4" s="141"/>
      <c r="N4" s="141"/>
      <c r="O4" s="141"/>
    </row>
    <row r="5" spans="1:15" ht="14.1" customHeight="1" x14ac:dyDescent="0.2">
      <c r="A5" s="1"/>
      <c r="B5" s="1"/>
      <c r="C5" s="2" t="s">
        <v>9</v>
      </c>
      <c r="D5" s="1"/>
      <c r="E5" s="1"/>
      <c r="F5" s="1"/>
      <c r="G5" s="1"/>
      <c r="H5" s="53"/>
    </row>
    <row r="6" spans="1:15" ht="24" customHeight="1" x14ac:dyDescent="0.2">
      <c r="A6" s="1"/>
      <c r="B6" s="1"/>
      <c r="C6" s="2" t="s">
        <v>10</v>
      </c>
      <c r="D6" s="1"/>
      <c r="E6" s="1"/>
      <c r="F6" s="1"/>
      <c r="G6" s="1"/>
      <c r="H6" s="53"/>
    </row>
    <row r="7" spans="1:15" ht="17.100000000000001" customHeight="1" x14ac:dyDescent="0.2">
      <c r="A7" s="3">
        <v>1</v>
      </c>
      <c r="B7" s="4" t="s">
        <v>11</v>
      </c>
      <c r="C7" s="4" t="s">
        <v>12</v>
      </c>
      <c r="D7" s="4" t="s">
        <v>13</v>
      </c>
      <c r="E7" s="5">
        <v>235000</v>
      </c>
      <c r="F7" s="6">
        <v>6351.3450000000003</v>
      </c>
      <c r="G7" s="7">
        <v>8.8670070000000004E-2</v>
      </c>
      <c r="H7" s="53"/>
    </row>
    <row r="8" spans="1:15" ht="17.100000000000001" customHeight="1" x14ac:dyDescent="0.2">
      <c r="A8" s="3">
        <v>2</v>
      </c>
      <c r="B8" s="4" t="s">
        <v>14</v>
      </c>
      <c r="C8" s="4" t="s">
        <v>15</v>
      </c>
      <c r="D8" s="4" t="s">
        <v>16</v>
      </c>
      <c r="E8" s="5">
        <v>454000</v>
      </c>
      <c r="F8" s="6">
        <v>3888.056</v>
      </c>
      <c r="G8" s="7">
        <v>5.4280500000000002E-2</v>
      </c>
      <c r="H8" s="53"/>
    </row>
    <row r="9" spans="1:15" ht="17.100000000000001" customHeight="1" x14ac:dyDescent="0.2">
      <c r="A9" s="3">
        <v>3</v>
      </c>
      <c r="B9" s="4" t="s">
        <v>17</v>
      </c>
      <c r="C9" s="4" t="s">
        <v>18</v>
      </c>
      <c r="D9" s="4" t="s">
        <v>19</v>
      </c>
      <c r="E9" s="5">
        <v>1740000</v>
      </c>
      <c r="F9" s="6">
        <v>3833.22</v>
      </c>
      <c r="G9" s="7">
        <v>5.3514949999999999E-2</v>
      </c>
      <c r="H9" s="53"/>
    </row>
    <row r="10" spans="1:15" ht="17.100000000000001" customHeight="1" x14ac:dyDescent="0.2">
      <c r="A10" s="3">
        <v>4</v>
      </c>
      <c r="B10" s="4" t="s">
        <v>20</v>
      </c>
      <c r="C10" s="4" t="s">
        <v>21</v>
      </c>
      <c r="D10" s="4" t="s">
        <v>22</v>
      </c>
      <c r="E10" s="5">
        <v>158246</v>
      </c>
      <c r="F10" s="6">
        <v>3808.9812200000001</v>
      </c>
      <c r="G10" s="7">
        <v>5.3176550000000003E-2</v>
      </c>
      <c r="H10" s="53"/>
    </row>
    <row r="11" spans="1:15" ht="29.1" customHeight="1" x14ac:dyDescent="0.2">
      <c r="A11" s="3">
        <v>5</v>
      </c>
      <c r="B11" s="4" t="s">
        <v>23</v>
      </c>
      <c r="C11" s="4" t="s">
        <v>24</v>
      </c>
      <c r="D11" s="4" t="s">
        <v>25</v>
      </c>
      <c r="E11" s="5">
        <v>39000</v>
      </c>
      <c r="F11" s="6">
        <v>3236.0055000000002</v>
      </c>
      <c r="G11" s="7">
        <v>4.5177340000000003E-2</v>
      </c>
      <c r="H11" s="53"/>
    </row>
    <row r="12" spans="1:15" ht="17.100000000000001" customHeight="1" x14ac:dyDescent="0.2">
      <c r="A12" s="3">
        <v>6</v>
      </c>
      <c r="B12" s="4" t="s">
        <v>26</v>
      </c>
      <c r="C12" s="4" t="s">
        <v>27</v>
      </c>
      <c r="D12" s="4" t="s">
        <v>28</v>
      </c>
      <c r="E12" s="5">
        <v>300000</v>
      </c>
      <c r="F12" s="6">
        <v>2876.25</v>
      </c>
      <c r="G12" s="7">
        <v>4.0154849999999999E-2</v>
      </c>
      <c r="H12" s="53"/>
      <c r="J12" s="142" t="s">
        <v>1026</v>
      </c>
    </row>
    <row r="13" spans="1:15" ht="17.100000000000001" customHeight="1" x14ac:dyDescent="0.2">
      <c r="A13" s="3">
        <v>7</v>
      </c>
      <c r="B13" s="4" t="s">
        <v>29</v>
      </c>
      <c r="C13" s="4" t="s">
        <v>30</v>
      </c>
      <c r="D13" s="4" t="s">
        <v>31</v>
      </c>
      <c r="E13" s="5">
        <v>37700</v>
      </c>
      <c r="F13" s="6">
        <v>2042.22785</v>
      </c>
      <c r="G13" s="7">
        <v>2.85112E-2</v>
      </c>
      <c r="H13" s="53"/>
    </row>
    <row r="14" spans="1:15" ht="17.100000000000001" customHeight="1" x14ac:dyDescent="0.2">
      <c r="A14" s="3">
        <v>8</v>
      </c>
      <c r="B14" s="4" t="s">
        <v>32</v>
      </c>
      <c r="C14" s="4" t="s">
        <v>33</v>
      </c>
      <c r="D14" s="4" t="s">
        <v>28</v>
      </c>
      <c r="E14" s="5">
        <v>332000</v>
      </c>
      <c r="F14" s="6">
        <v>1863.682</v>
      </c>
      <c r="G14" s="7">
        <v>2.601856E-2</v>
      </c>
      <c r="H14" s="53"/>
    </row>
    <row r="15" spans="1:15" ht="17.100000000000001" customHeight="1" x14ac:dyDescent="0.2">
      <c r="A15" s="3">
        <v>9</v>
      </c>
      <c r="B15" s="4" t="s">
        <v>34</v>
      </c>
      <c r="C15" s="4" t="s">
        <v>35</v>
      </c>
      <c r="D15" s="4" t="s">
        <v>31</v>
      </c>
      <c r="E15" s="5">
        <v>65000</v>
      </c>
      <c r="F15" s="6">
        <v>1814.7349999999999</v>
      </c>
      <c r="G15" s="7">
        <v>2.533521E-2</v>
      </c>
      <c r="H15" s="53"/>
    </row>
    <row r="16" spans="1:15" ht="29.1" customHeight="1" x14ac:dyDescent="0.2">
      <c r="A16" s="3">
        <v>10</v>
      </c>
      <c r="B16" s="4" t="s">
        <v>36</v>
      </c>
      <c r="C16" s="4" t="s">
        <v>37</v>
      </c>
      <c r="D16" s="4" t="s">
        <v>38</v>
      </c>
      <c r="E16" s="5">
        <v>1300000</v>
      </c>
      <c r="F16" s="6">
        <v>1731.6</v>
      </c>
      <c r="G16" s="7">
        <v>2.4174580000000001E-2</v>
      </c>
      <c r="H16" s="53"/>
    </row>
    <row r="17" spans="1:8" ht="17.100000000000001" customHeight="1" x14ac:dyDescent="0.2">
      <c r="A17" s="3">
        <v>11</v>
      </c>
      <c r="B17" s="4" t="s">
        <v>39</v>
      </c>
      <c r="C17" s="4" t="s">
        <v>40</v>
      </c>
      <c r="D17" s="4" t="s">
        <v>41</v>
      </c>
      <c r="E17" s="5">
        <v>36500</v>
      </c>
      <c r="F17" s="6">
        <v>1599.26575</v>
      </c>
      <c r="G17" s="7">
        <v>2.2327079999999999E-2</v>
      </c>
      <c r="H17" s="53"/>
    </row>
    <row r="18" spans="1:8" ht="17.100000000000001" customHeight="1" x14ac:dyDescent="0.2">
      <c r="A18" s="3">
        <v>12</v>
      </c>
      <c r="B18" s="4" t="s">
        <v>42</v>
      </c>
      <c r="C18" s="4" t="s">
        <v>43</v>
      </c>
      <c r="D18" s="4" t="s">
        <v>31</v>
      </c>
      <c r="E18" s="5">
        <v>67000</v>
      </c>
      <c r="F18" s="6">
        <v>1524.9870000000001</v>
      </c>
      <c r="G18" s="7">
        <v>2.1290090000000001E-2</v>
      </c>
      <c r="H18" s="53"/>
    </row>
    <row r="19" spans="1:8" ht="17.100000000000001" customHeight="1" x14ac:dyDescent="0.2">
      <c r="A19" s="3">
        <v>13</v>
      </c>
      <c r="B19" s="4" t="s">
        <v>44</v>
      </c>
      <c r="C19" s="4" t="s">
        <v>45</v>
      </c>
      <c r="D19" s="4" t="s">
        <v>19</v>
      </c>
      <c r="E19" s="5">
        <v>565000</v>
      </c>
      <c r="F19" s="6">
        <v>1381.7075</v>
      </c>
      <c r="G19" s="7">
        <v>1.9289790000000001E-2</v>
      </c>
      <c r="H19" s="53"/>
    </row>
    <row r="20" spans="1:8" ht="17.100000000000001" customHeight="1" x14ac:dyDescent="0.2">
      <c r="A20" s="3">
        <v>14</v>
      </c>
      <c r="B20" s="4" t="s">
        <v>46</v>
      </c>
      <c r="C20" s="4" t="s">
        <v>47</v>
      </c>
      <c r="D20" s="4" t="s">
        <v>31</v>
      </c>
      <c r="E20" s="5">
        <v>26000</v>
      </c>
      <c r="F20" s="6">
        <v>1331.9929999999999</v>
      </c>
      <c r="G20" s="7">
        <v>1.8595730000000001E-2</v>
      </c>
      <c r="H20" s="53"/>
    </row>
    <row r="21" spans="1:8" ht="17.100000000000001" customHeight="1" x14ac:dyDescent="0.2">
      <c r="A21" s="3">
        <v>15</v>
      </c>
      <c r="B21" s="4" t="s">
        <v>48</v>
      </c>
      <c r="C21" s="4" t="s">
        <v>49</v>
      </c>
      <c r="D21" s="4" t="s">
        <v>13</v>
      </c>
      <c r="E21" s="5">
        <v>400000</v>
      </c>
      <c r="F21" s="6">
        <v>1328</v>
      </c>
      <c r="G21" s="7">
        <v>1.8539989999999999E-2</v>
      </c>
      <c r="H21" s="53"/>
    </row>
    <row r="22" spans="1:8" ht="17.100000000000001" customHeight="1" x14ac:dyDescent="0.2">
      <c r="A22" s="3">
        <v>16</v>
      </c>
      <c r="B22" s="4" t="s">
        <v>50</v>
      </c>
      <c r="C22" s="4" t="s">
        <v>51</v>
      </c>
      <c r="D22" s="4" t="s">
        <v>31</v>
      </c>
      <c r="E22" s="5">
        <v>49000</v>
      </c>
      <c r="F22" s="6">
        <v>1326.675</v>
      </c>
      <c r="G22" s="7">
        <v>1.8521490000000002E-2</v>
      </c>
      <c r="H22" s="53"/>
    </row>
    <row r="23" spans="1:8" ht="17.100000000000001" customHeight="1" x14ac:dyDescent="0.2">
      <c r="A23" s="3">
        <v>17</v>
      </c>
      <c r="B23" s="4" t="s">
        <v>52</v>
      </c>
      <c r="C23" s="4" t="s">
        <v>53</v>
      </c>
      <c r="D23" s="4" t="s">
        <v>13</v>
      </c>
      <c r="E23" s="5">
        <v>660000</v>
      </c>
      <c r="F23" s="6">
        <v>1119.3599999999999</v>
      </c>
      <c r="G23" s="7">
        <v>1.5627200000000001E-2</v>
      </c>
      <c r="H23" s="53"/>
    </row>
    <row r="24" spans="1:8" ht="29.1" customHeight="1" x14ac:dyDescent="0.2">
      <c r="A24" s="3">
        <v>18</v>
      </c>
      <c r="B24" s="4" t="s">
        <v>54</v>
      </c>
      <c r="C24" s="4" t="s">
        <v>55</v>
      </c>
      <c r="D24" s="4" t="s">
        <v>56</v>
      </c>
      <c r="E24" s="5">
        <v>2785</v>
      </c>
      <c r="F24" s="6">
        <v>1104.077045</v>
      </c>
      <c r="G24" s="7">
        <v>1.541384E-2</v>
      </c>
      <c r="H24" s="53"/>
    </row>
    <row r="25" spans="1:8" ht="17.100000000000001" customHeight="1" x14ac:dyDescent="0.2">
      <c r="A25" s="3">
        <v>19</v>
      </c>
      <c r="B25" s="4" t="s">
        <v>57</v>
      </c>
      <c r="C25" s="4" t="s">
        <v>58</v>
      </c>
      <c r="D25" s="4" t="s">
        <v>59</v>
      </c>
      <c r="E25" s="5">
        <v>160000</v>
      </c>
      <c r="F25" s="6">
        <v>1075.8399999999999</v>
      </c>
      <c r="G25" s="7">
        <v>1.5019619999999999E-2</v>
      </c>
      <c r="H25" s="53"/>
    </row>
    <row r="26" spans="1:8" ht="17.100000000000001" customHeight="1" x14ac:dyDescent="0.2">
      <c r="A26" s="3">
        <v>20</v>
      </c>
      <c r="B26" s="4" t="s">
        <v>60</v>
      </c>
      <c r="C26" s="4" t="s">
        <v>61</v>
      </c>
      <c r="D26" s="4" t="s">
        <v>31</v>
      </c>
      <c r="E26" s="5">
        <v>61000</v>
      </c>
      <c r="F26" s="6">
        <v>1022.177</v>
      </c>
      <c r="G26" s="7">
        <v>1.4270440000000001E-2</v>
      </c>
      <c r="H26" s="53"/>
    </row>
    <row r="27" spans="1:8" ht="17.100000000000001" customHeight="1" x14ac:dyDescent="0.2">
      <c r="A27" s="3">
        <v>21</v>
      </c>
      <c r="B27" s="4" t="s">
        <v>62</v>
      </c>
      <c r="C27" s="4" t="s">
        <v>63</v>
      </c>
      <c r="D27" s="4" t="s">
        <v>41</v>
      </c>
      <c r="E27" s="5">
        <v>26000</v>
      </c>
      <c r="F27" s="6">
        <v>1019.746</v>
      </c>
      <c r="G27" s="7">
        <v>1.4236510000000001E-2</v>
      </c>
      <c r="H27" s="53"/>
    </row>
    <row r="28" spans="1:8" ht="29.1" customHeight="1" x14ac:dyDescent="0.2">
      <c r="A28" s="3">
        <v>22</v>
      </c>
      <c r="B28" s="4" t="s">
        <v>64</v>
      </c>
      <c r="C28" s="4" t="s">
        <v>65</v>
      </c>
      <c r="D28" s="4" t="s">
        <v>25</v>
      </c>
      <c r="E28" s="5">
        <v>47000</v>
      </c>
      <c r="F28" s="6">
        <v>979.97349999999994</v>
      </c>
      <c r="G28" s="7">
        <v>1.3681250000000001E-2</v>
      </c>
      <c r="H28" s="53"/>
    </row>
    <row r="29" spans="1:8" ht="53.1" customHeight="1" x14ac:dyDescent="0.2">
      <c r="A29" s="3">
        <v>23</v>
      </c>
      <c r="B29" s="4" t="s">
        <v>66</v>
      </c>
      <c r="C29" s="4" t="s">
        <v>67</v>
      </c>
      <c r="D29" s="4" t="s">
        <v>68</v>
      </c>
      <c r="E29" s="5">
        <v>530000</v>
      </c>
      <c r="F29" s="6">
        <v>974.40499999999997</v>
      </c>
      <c r="G29" s="7">
        <v>1.3603509999999999E-2</v>
      </c>
      <c r="H29" s="53"/>
    </row>
    <row r="30" spans="1:8" ht="17.100000000000001" customHeight="1" x14ac:dyDescent="0.2">
      <c r="A30" s="3">
        <v>24</v>
      </c>
      <c r="B30" s="4" t="s">
        <v>69</v>
      </c>
      <c r="C30" s="4" t="s">
        <v>70</v>
      </c>
      <c r="D30" s="4" t="s">
        <v>13</v>
      </c>
      <c r="E30" s="5">
        <v>346507</v>
      </c>
      <c r="F30" s="6">
        <v>954.97329200000001</v>
      </c>
      <c r="G30" s="7">
        <v>1.3332220000000001E-2</v>
      </c>
      <c r="H30" s="53"/>
    </row>
    <row r="31" spans="1:8" ht="17.100000000000001" customHeight="1" x14ac:dyDescent="0.2">
      <c r="A31" s="3">
        <v>25</v>
      </c>
      <c r="B31" s="4" t="s">
        <v>71</v>
      </c>
      <c r="C31" s="4" t="s">
        <v>72</v>
      </c>
      <c r="D31" s="4" t="s">
        <v>73</v>
      </c>
      <c r="E31" s="5">
        <v>19000</v>
      </c>
      <c r="F31" s="6">
        <v>950.73149999999998</v>
      </c>
      <c r="G31" s="7">
        <v>1.327301E-2</v>
      </c>
      <c r="H31" s="53"/>
    </row>
    <row r="32" spans="1:8" ht="17.100000000000001" customHeight="1" x14ac:dyDescent="0.2">
      <c r="A32" s="3">
        <v>26</v>
      </c>
      <c r="B32" s="4" t="s">
        <v>74</v>
      </c>
      <c r="C32" s="4" t="s">
        <v>75</v>
      </c>
      <c r="D32" s="4" t="s">
        <v>41</v>
      </c>
      <c r="E32" s="5">
        <v>220000</v>
      </c>
      <c r="F32" s="6">
        <v>861.19</v>
      </c>
      <c r="G32" s="7">
        <v>1.2022929999999999E-2</v>
      </c>
      <c r="H32" s="53"/>
    </row>
    <row r="33" spans="1:8" ht="17.100000000000001" customHeight="1" x14ac:dyDescent="0.2">
      <c r="A33" s="3">
        <v>27</v>
      </c>
      <c r="B33" s="4" t="s">
        <v>76</v>
      </c>
      <c r="C33" s="4" t="s">
        <v>77</v>
      </c>
      <c r="D33" s="4" t="s">
        <v>19</v>
      </c>
      <c r="E33" s="5">
        <v>350000</v>
      </c>
      <c r="F33" s="6">
        <v>857.85</v>
      </c>
      <c r="G33" s="7">
        <v>1.19763E-2</v>
      </c>
      <c r="H33" s="53"/>
    </row>
    <row r="34" spans="1:8" ht="17.100000000000001" customHeight="1" x14ac:dyDescent="0.2">
      <c r="A34" s="3">
        <v>28</v>
      </c>
      <c r="B34" s="4" t="s">
        <v>78</v>
      </c>
      <c r="C34" s="4" t="s">
        <v>79</v>
      </c>
      <c r="D34" s="4" t="s">
        <v>80</v>
      </c>
      <c r="E34" s="5">
        <v>740000</v>
      </c>
      <c r="F34" s="6">
        <v>851</v>
      </c>
      <c r="G34" s="7">
        <v>1.1880669999999999E-2</v>
      </c>
      <c r="H34" s="53"/>
    </row>
    <row r="35" spans="1:8" ht="17.100000000000001" customHeight="1" x14ac:dyDescent="0.2">
      <c r="A35" s="3">
        <v>29</v>
      </c>
      <c r="B35" s="4" t="s">
        <v>81</v>
      </c>
      <c r="C35" s="4" t="s">
        <v>82</v>
      </c>
      <c r="D35" s="4" t="s">
        <v>59</v>
      </c>
      <c r="E35" s="5">
        <v>34000</v>
      </c>
      <c r="F35" s="6">
        <v>827.9</v>
      </c>
      <c r="G35" s="7">
        <v>1.155817E-2</v>
      </c>
      <c r="H35" s="53"/>
    </row>
    <row r="36" spans="1:8" ht="29.1" customHeight="1" x14ac:dyDescent="0.2">
      <c r="A36" s="3">
        <v>30</v>
      </c>
      <c r="B36" s="4" t="s">
        <v>83</v>
      </c>
      <c r="C36" s="4" t="s">
        <v>84</v>
      </c>
      <c r="D36" s="4" t="s">
        <v>38</v>
      </c>
      <c r="E36" s="5">
        <v>21000</v>
      </c>
      <c r="F36" s="6">
        <v>819.06299999999999</v>
      </c>
      <c r="G36" s="7">
        <v>1.14348E-2</v>
      </c>
      <c r="H36" s="53"/>
    </row>
    <row r="37" spans="1:8" ht="17.100000000000001" customHeight="1" x14ac:dyDescent="0.2">
      <c r="A37" s="3">
        <v>31</v>
      </c>
      <c r="B37" s="4" t="s">
        <v>85</v>
      </c>
      <c r="C37" s="4" t="s">
        <v>86</v>
      </c>
      <c r="D37" s="4" t="s">
        <v>87</v>
      </c>
      <c r="E37" s="5">
        <v>26495</v>
      </c>
      <c r="F37" s="6">
        <v>808.70688500000006</v>
      </c>
      <c r="G37" s="7">
        <v>1.129022E-2</v>
      </c>
      <c r="H37" s="53"/>
    </row>
    <row r="38" spans="1:8" ht="17.100000000000001" customHeight="1" x14ac:dyDescent="0.2">
      <c r="A38" s="3">
        <v>32</v>
      </c>
      <c r="B38" s="4" t="s">
        <v>88</v>
      </c>
      <c r="C38" s="4" t="s">
        <v>89</v>
      </c>
      <c r="D38" s="4" t="s">
        <v>87</v>
      </c>
      <c r="E38" s="5">
        <v>129500</v>
      </c>
      <c r="F38" s="6">
        <v>771.30200000000002</v>
      </c>
      <c r="G38" s="7">
        <v>1.076802E-2</v>
      </c>
      <c r="H38" s="53"/>
    </row>
    <row r="39" spans="1:8" ht="17.100000000000001" customHeight="1" x14ac:dyDescent="0.2">
      <c r="A39" s="3">
        <v>33</v>
      </c>
      <c r="B39" s="4" t="s">
        <v>90</v>
      </c>
      <c r="C39" s="4" t="s">
        <v>91</v>
      </c>
      <c r="D39" s="4" t="s">
        <v>92</v>
      </c>
      <c r="E39" s="5">
        <v>68500</v>
      </c>
      <c r="F39" s="6">
        <v>767.78224999999998</v>
      </c>
      <c r="G39" s="7">
        <v>1.071888E-2</v>
      </c>
      <c r="H39" s="53"/>
    </row>
    <row r="40" spans="1:8" ht="17.100000000000001" customHeight="1" x14ac:dyDescent="0.2">
      <c r="A40" s="3">
        <v>34</v>
      </c>
      <c r="B40" s="4" t="s">
        <v>93</v>
      </c>
      <c r="C40" s="4" t="s">
        <v>94</v>
      </c>
      <c r="D40" s="4" t="s">
        <v>95</v>
      </c>
      <c r="E40" s="5">
        <v>110000</v>
      </c>
      <c r="F40" s="6">
        <v>752.95</v>
      </c>
      <c r="G40" s="7">
        <v>1.051181E-2</v>
      </c>
      <c r="H40" s="53"/>
    </row>
    <row r="41" spans="1:8" ht="29.1" customHeight="1" x14ac:dyDescent="0.2">
      <c r="A41" s="3">
        <v>35</v>
      </c>
      <c r="B41" s="4" t="s">
        <v>96</v>
      </c>
      <c r="C41" s="4" t="s">
        <v>97</v>
      </c>
      <c r="D41" s="4" t="s">
        <v>38</v>
      </c>
      <c r="E41" s="5">
        <v>30000</v>
      </c>
      <c r="F41" s="6">
        <v>738.75</v>
      </c>
      <c r="G41" s="7">
        <v>1.0313569999999999E-2</v>
      </c>
      <c r="H41" s="53"/>
    </row>
    <row r="42" spans="1:8" ht="17.100000000000001" customHeight="1" x14ac:dyDescent="0.2">
      <c r="A42" s="3">
        <v>36</v>
      </c>
      <c r="B42" s="4" t="s">
        <v>98</v>
      </c>
      <c r="C42" s="4" t="s">
        <v>99</v>
      </c>
      <c r="D42" s="4" t="s">
        <v>92</v>
      </c>
      <c r="E42" s="5">
        <v>124000</v>
      </c>
      <c r="F42" s="6">
        <v>735.072</v>
      </c>
      <c r="G42" s="7">
        <v>1.0262220000000001E-2</v>
      </c>
      <c r="H42" s="53"/>
    </row>
    <row r="43" spans="1:8" ht="17.100000000000001" customHeight="1" x14ac:dyDescent="0.2">
      <c r="A43" s="3">
        <v>37</v>
      </c>
      <c r="B43" s="4" t="s">
        <v>100</v>
      </c>
      <c r="C43" s="4" t="s">
        <v>101</v>
      </c>
      <c r="D43" s="4" t="s">
        <v>41</v>
      </c>
      <c r="E43" s="5">
        <v>277000</v>
      </c>
      <c r="F43" s="6">
        <v>734.05</v>
      </c>
      <c r="G43" s="7">
        <v>1.024795E-2</v>
      </c>
      <c r="H43" s="53"/>
    </row>
    <row r="44" spans="1:8" ht="29.1" customHeight="1" x14ac:dyDescent="0.2">
      <c r="A44" s="3">
        <v>38</v>
      </c>
      <c r="B44" s="4" t="s">
        <v>102</v>
      </c>
      <c r="C44" s="4" t="s">
        <v>103</v>
      </c>
      <c r="D44" s="4" t="s">
        <v>25</v>
      </c>
      <c r="E44" s="5">
        <v>22000</v>
      </c>
      <c r="F44" s="6">
        <v>725.05399999999997</v>
      </c>
      <c r="G44" s="7">
        <v>1.012236E-2</v>
      </c>
      <c r="H44" s="53"/>
    </row>
    <row r="45" spans="1:8" ht="17.100000000000001" customHeight="1" x14ac:dyDescent="0.2">
      <c r="A45" s="3">
        <v>39</v>
      </c>
      <c r="B45" s="4" t="s">
        <v>104</v>
      </c>
      <c r="C45" s="4" t="s">
        <v>105</v>
      </c>
      <c r="D45" s="4" t="s">
        <v>31</v>
      </c>
      <c r="E45" s="5">
        <v>42000</v>
      </c>
      <c r="F45" s="6">
        <v>717.255</v>
      </c>
      <c r="G45" s="7">
        <v>1.001348E-2</v>
      </c>
      <c r="H45" s="53"/>
    </row>
    <row r="46" spans="1:8" ht="17.100000000000001" customHeight="1" x14ac:dyDescent="0.2">
      <c r="A46" s="3">
        <v>40</v>
      </c>
      <c r="B46" s="4" t="s">
        <v>106</v>
      </c>
      <c r="C46" s="4" t="s">
        <v>107</v>
      </c>
      <c r="D46" s="4" t="s">
        <v>108</v>
      </c>
      <c r="E46" s="5">
        <v>7150</v>
      </c>
      <c r="F46" s="6">
        <v>715.27170000000001</v>
      </c>
      <c r="G46" s="7">
        <v>9.9857899999999996E-3</v>
      </c>
      <c r="H46" s="53"/>
    </row>
    <row r="47" spans="1:8" ht="17.100000000000001" customHeight="1" x14ac:dyDescent="0.2">
      <c r="A47" s="3">
        <v>41</v>
      </c>
      <c r="B47" s="4" t="s">
        <v>109</v>
      </c>
      <c r="C47" s="4" t="s">
        <v>110</v>
      </c>
      <c r="D47" s="4" t="s">
        <v>87</v>
      </c>
      <c r="E47" s="5">
        <v>104000</v>
      </c>
      <c r="F47" s="6">
        <v>712.50400000000002</v>
      </c>
      <c r="G47" s="7">
        <v>9.9471500000000001E-3</v>
      </c>
      <c r="H47" s="53"/>
    </row>
    <row r="48" spans="1:8" ht="17.100000000000001" customHeight="1" x14ac:dyDescent="0.2">
      <c r="A48" s="3">
        <v>42</v>
      </c>
      <c r="B48" s="4" t="s">
        <v>111</v>
      </c>
      <c r="C48" s="4" t="s">
        <v>112</v>
      </c>
      <c r="D48" s="4" t="s">
        <v>113</v>
      </c>
      <c r="E48" s="5">
        <v>400000</v>
      </c>
      <c r="F48" s="6">
        <v>696.6</v>
      </c>
      <c r="G48" s="7">
        <v>9.7251200000000003E-3</v>
      </c>
      <c r="H48" s="53"/>
    </row>
    <row r="49" spans="1:8" ht="53.1" customHeight="1" x14ac:dyDescent="0.2">
      <c r="A49" s="3">
        <v>43</v>
      </c>
      <c r="B49" s="4" t="s">
        <v>114</v>
      </c>
      <c r="C49" s="4" t="s">
        <v>115</v>
      </c>
      <c r="D49" s="4" t="s">
        <v>68</v>
      </c>
      <c r="E49" s="5">
        <v>28000</v>
      </c>
      <c r="F49" s="6">
        <v>690.69</v>
      </c>
      <c r="G49" s="7">
        <v>9.6426099999999994E-3</v>
      </c>
      <c r="H49" s="53"/>
    </row>
    <row r="50" spans="1:8" ht="17.100000000000001" customHeight="1" x14ac:dyDescent="0.2">
      <c r="A50" s="3">
        <v>44</v>
      </c>
      <c r="B50" s="4" t="s">
        <v>116</v>
      </c>
      <c r="C50" s="4" t="s">
        <v>117</v>
      </c>
      <c r="D50" s="4" t="s">
        <v>80</v>
      </c>
      <c r="E50" s="5">
        <v>140000</v>
      </c>
      <c r="F50" s="6">
        <v>654.78</v>
      </c>
      <c r="G50" s="7">
        <v>9.1412799999999999E-3</v>
      </c>
      <c r="H50" s="53"/>
    </row>
    <row r="51" spans="1:8" ht="17.100000000000001" customHeight="1" x14ac:dyDescent="0.2">
      <c r="A51" s="3">
        <v>45</v>
      </c>
      <c r="B51" s="4" t="s">
        <v>118</v>
      </c>
      <c r="C51" s="4" t="s">
        <v>119</v>
      </c>
      <c r="D51" s="4" t="s">
        <v>31</v>
      </c>
      <c r="E51" s="5">
        <v>20000</v>
      </c>
      <c r="F51" s="6">
        <v>650.25</v>
      </c>
      <c r="G51" s="7">
        <v>9.0780300000000008E-3</v>
      </c>
      <c r="H51" s="53"/>
    </row>
    <row r="52" spans="1:8" ht="17.100000000000001" customHeight="1" x14ac:dyDescent="0.2">
      <c r="A52" s="3">
        <v>46</v>
      </c>
      <c r="B52" s="4" t="s">
        <v>120</v>
      </c>
      <c r="C52" s="4" t="s">
        <v>121</v>
      </c>
      <c r="D52" s="4" t="s">
        <v>31</v>
      </c>
      <c r="E52" s="5">
        <v>31000</v>
      </c>
      <c r="F52" s="6">
        <v>605.75549999999998</v>
      </c>
      <c r="G52" s="7">
        <v>8.4568500000000001E-3</v>
      </c>
      <c r="H52" s="53"/>
    </row>
    <row r="53" spans="1:8" ht="17.100000000000001" customHeight="1" x14ac:dyDescent="0.2">
      <c r="A53" s="3">
        <v>47</v>
      </c>
      <c r="B53" s="4" t="s">
        <v>122</v>
      </c>
      <c r="C53" s="4" t="s">
        <v>123</v>
      </c>
      <c r="D53" s="4" t="s">
        <v>22</v>
      </c>
      <c r="E53" s="5">
        <v>170000</v>
      </c>
      <c r="F53" s="6">
        <v>578.93499999999995</v>
      </c>
      <c r="G53" s="7">
        <v>8.0824199999999999E-3</v>
      </c>
      <c r="H53" s="53"/>
    </row>
    <row r="54" spans="1:8" ht="17.100000000000001" customHeight="1" x14ac:dyDescent="0.2">
      <c r="A54" s="3">
        <v>48</v>
      </c>
      <c r="B54" s="4" t="s">
        <v>124</v>
      </c>
      <c r="C54" s="4" t="s">
        <v>125</v>
      </c>
      <c r="D54" s="4" t="s">
        <v>41</v>
      </c>
      <c r="E54" s="5">
        <v>475000</v>
      </c>
      <c r="F54" s="6">
        <v>575.9375</v>
      </c>
      <c r="G54" s="7">
        <v>8.0405700000000004E-3</v>
      </c>
      <c r="H54" s="53"/>
    </row>
    <row r="55" spans="1:8" ht="29.1" customHeight="1" x14ac:dyDescent="0.2">
      <c r="A55" s="3">
        <v>49</v>
      </c>
      <c r="B55" s="4" t="s">
        <v>126</v>
      </c>
      <c r="C55" s="4" t="s">
        <v>127</v>
      </c>
      <c r="D55" s="4" t="s">
        <v>25</v>
      </c>
      <c r="E55" s="5">
        <v>50000</v>
      </c>
      <c r="F55" s="6">
        <v>574.67499999999995</v>
      </c>
      <c r="G55" s="7">
        <v>8.0229399999999992E-3</v>
      </c>
      <c r="H55" s="53"/>
    </row>
    <row r="56" spans="1:8" ht="17.100000000000001" customHeight="1" x14ac:dyDescent="0.2">
      <c r="A56" s="3">
        <v>50</v>
      </c>
      <c r="B56" s="4" t="s">
        <v>128</v>
      </c>
      <c r="C56" s="4" t="s">
        <v>129</v>
      </c>
      <c r="D56" s="4" t="s">
        <v>130</v>
      </c>
      <c r="E56" s="5">
        <v>225000</v>
      </c>
      <c r="F56" s="6">
        <v>536.96249999999998</v>
      </c>
      <c r="G56" s="7">
        <v>7.49644E-3</v>
      </c>
      <c r="H56" s="53"/>
    </row>
    <row r="57" spans="1:8" ht="17.100000000000001" customHeight="1" x14ac:dyDescent="0.2">
      <c r="A57" s="3">
        <v>51</v>
      </c>
      <c r="B57" s="4" t="s">
        <v>131</v>
      </c>
      <c r="C57" s="4" t="s">
        <v>132</v>
      </c>
      <c r="D57" s="4" t="s">
        <v>73</v>
      </c>
      <c r="E57" s="5">
        <v>125000</v>
      </c>
      <c r="F57" s="6">
        <v>472.5625</v>
      </c>
      <c r="G57" s="7">
        <v>6.59737E-3</v>
      </c>
      <c r="H57" s="53"/>
    </row>
    <row r="58" spans="1:8" ht="17.100000000000001" customHeight="1" x14ac:dyDescent="0.2">
      <c r="A58" s="3">
        <v>52</v>
      </c>
      <c r="B58" s="4" t="s">
        <v>133</v>
      </c>
      <c r="C58" s="4" t="s">
        <v>134</v>
      </c>
      <c r="D58" s="4" t="s">
        <v>59</v>
      </c>
      <c r="E58" s="5">
        <v>203072</v>
      </c>
      <c r="F58" s="6">
        <v>406.44860799999998</v>
      </c>
      <c r="G58" s="7">
        <v>5.6743599999999998E-3</v>
      </c>
      <c r="H58" s="53"/>
    </row>
    <row r="59" spans="1:8" ht="17.100000000000001" customHeight="1" x14ac:dyDescent="0.2">
      <c r="A59" s="3">
        <v>53</v>
      </c>
      <c r="B59" s="4" t="s">
        <v>135</v>
      </c>
      <c r="C59" s="4" t="s">
        <v>136</v>
      </c>
      <c r="D59" s="4" t="s">
        <v>130</v>
      </c>
      <c r="E59" s="5">
        <v>158246</v>
      </c>
      <c r="F59" s="6">
        <v>369.50441000000001</v>
      </c>
      <c r="G59" s="7">
        <v>5.1585900000000002E-3</v>
      </c>
      <c r="H59" s="53"/>
    </row>
    <row r="60" spans="1:8" ht="17.100000000000001" customHeight="1" x14ac:dyDescent="0.2">
      <c r="A60" s="3">
        <v>54</v>
      </c>
      <c r="B60" s="4" t="s">
        <v>137</v>
      </c>
      <c r="C60" s="4" t="s">
        <v>138</v>
      </c>
      <c r="D60" s="4" t="s">
        <v>13</v>
      </c>
      <c r="E60" s="5">
        <v>29000</v>
      </c>
      <c r="F60" s="6">
        <v>367.66199999999998</v>
      </c>
      <c r="G60" s="7">
        <v>5.1328700000000003E-3</v>
      </c>
      <c r="H60" s="53"/>
    </row>
    <row r="61" spans="1:8" ht="17.100000000000001" customHeight="1" x14ac:dyDescent="0.2">
      <c r="A61" s="3">
        <v>55</v>
      </c>
      <c r="B61" s="4" t="s">
        <v>139</v>
      </c>
      <c r="C61" s="4" t="s">
        <v>140</v>
      </c>
      <c r="D61" s="4" t="s">
        <v>59</v>
      </c>
      <c r="E61" s="5">
        <v>83340</v>
      </c>
      <c r="F61" s="6">
        <v>324.56763000000001</v>
      </c>
      <c r="G61" s="7">
        <v>4.5312399999999997E-3</v>
      </c>
      <c r="H61" s="53"/>
    </row>
    <row r="62" spans="1:8" ht="14.1" customHeight="1" x14ac:dyDescent="0.2">
      <c r="A62" s="1"/>
      <c r="B62" s="1"/>
      <c r="C62" s="2" t="s">
        <v>144</v>
      </c>
      <c r="D62" s="1"/>
      <c r="E62" s="1" t="s">
        <v>145</v>
      </c>
      <c r="F62" s="9">
        <v>69041.045639999997</v>
      </c>
      <c r="G62" s="10">
        <v>0.9638705900000003</v>
      </c>
      <c r="H62" s="53"/>
    </row>
    <row r="63" spans="1:8" ht="14.1" customHeight="1" x14ac:dyDescent="0.2">
      <c r="A63" s="1"/>
      <c r="B63" s="1"/>
      <c r="C63" s="11"/>
      <c r="D63" s="1"/>
      <c r="E63" s="1"/>
      <c r="F63" s="12"/>
      <c r="G63" s="12"/>
      <c r="H63" s="53"/>
    </row>
    <row r="64" spans="1:8" ht="14.1" customHeight="1" x14ac:dyDescent="0.2">
      <c r="A64" s="1"/>
      <c r="B64" s="1"/>
      <c r="C64" s="2" t="s">
        <v>146</v>
      </c>
      <c r="D64" s="1"/>
      <c r="E64" s="1"/>
      <c r="F64" s="1"/>
      <c r="G64" s="1"/>
      <c r="H64" s="53"/>
    </row>
    <row r="65" spans="1:8" ht="14.1" customHeight="1" x14ac:dyDescent="0.2">
      <c r="A65" s="1"/>
      <c r="B65" s="1"/>
      <c r="C65" s="2" t="s">
        <v>144</v>
      </c>
      <c r="D65" s="1"/>
      <c r="E65" s="1" t="s">
        <v>145</v>
      </c>
      <c r="F65" s="13" t="s">
        <v>147</v>
      </c>
      <c r="G65" s="10">
        <v>0</v>
      </c>
      <c r="H65" s="53"/>
    </row>
    <row r="66" spans="1:8" ht="14.1" customHeight="1" x14ac:dyDescent="0.2">
      <c r="A66" s="1"/>
      <c r="B66" s="1"/>
      <c r="C66" s="11"/>
      <c r="D66" s="1"/>
      <c r="E66" s="1"/>
      <c r="F66" s="12"/>
      <c r="G66" s="12"/>
      <c r="H66" s="53"/>
    </row>
    <row r="67" spans="1:8" ht="14.1" customHeight="1" x14ac:dyDescent="0.2">
      <c r="A67" s="1"/>
      <c r="B67" s="1"/>
      <c r="C67" s="2" t="s">
        <v>148</v>
      </c>
      <c r="D67" s="1"/>
      <c r="E67" s="1"/>
      <c r="F67" s="1"/>
      <c r="G67" s="1"/>
      <c r="H67" s="53"/>
    </row>
    <row r="68" spans="1:8" ht="17.100000000000001" customHeight="1" x14ac:dyDescent="0.2">
      <c r="A68" s="3">
        <v>1</v>
      </c>
      <c r="B68" s="4" t="s">
        <v>141</v>
      </c>
      <c r="C68" s="40" t="s">
        <v>883</v>
      </c>
      <c r="D68" s="4" t="s">
        <v>142</v>
      </c>
      <c r="E68" s="5">
        <v>559425</v>
      </c>
      <c r="F68" s="6">
        <v>1.1189000000000001E-5</v>
      </c>
      <c r="G68" s="8" t="s">
        <v>143</v>
      </c>
      <c r="H68" s="53"/>
    </row>
    <row r="69" spans="1:8" ht="14.1" customHeight="1" x14ac:dyDescent="0.2">
      <c r="A69" s="1"/>
      <c r="B69" s="1"/>
      <c r="C69" s="2" t="s">
        <v>144</v>
      </c>
      <c r="D69" s="1"/>
      <c r="E69" s="1" t="s">
        <v>145</v>
      </c>
      <c r="F69" s="9">
        <v>1.1189000000000001E-5</v>
      </c>
      <c r="G69" s="10">
        <v>0</v>
      </c>
      <c r="H69" s="53"/>
    </row>
    <row r="70" spans="1:8" ht="14.1" customHeight="1" x14ac:dyDescent="0.2">
      <c r="A70" s="1"/>
      <c r="B70" s="1"/>
      <c r="C70" s="11"/>
      <c r="D70" s="1"/>
      <c r="E70" s="1"/>
      <c r="F70" s="12"/>
      <c r="G70" s="12"/>
      <c r="H70" s="53"/>
    </row>
    <row r="71" spans="1:8" ht="14.1" customHeight="1" x14ac:dyDescent="0.2">
      <c r="A71" s="1"/>
      <c r="B71" s="1"/>
      <c r="C71" s="2" t="s">
        <v>149</v>
      </c>
      <c r="D71" s="1"/>
      <c r="E71" s="1"/>
      <c r="F71" s="1"/>
      <c r="G71" s="1"/>
      <c r="H71" s="53"/>
    </row>
    <row r="72" spans="1:8" ht="14.1" customHeight="1" x14ac:dyDescent="0.2">
      <c r="A72" s="1"/>
      <c r="B72" s="1"/>
      <c r="C72" s="2" t="s">
        <v>144</v>
      </c>
      <c r="D72" s="1"/>
      <c r="E72" s="1" t="s">
        <v>145</v>
      </c>
      <c r="F72" s="13" t="s">
        <v>147</v>
      </c>
      <c r="G72" s="10">
        <v>0</v>
      </c>
      <c r="H72" s="53"/>
    </row>
    <row r="73" spans="1:8" ht="14.1" customHeight="1" x14ac:dyDescent="0.2">
      <c r="A73" s="1"/>
      <c r="B73" s="1"/>
      <c r="C73" s="11"/>
      <c r="D73" s="1"/>
      <c r="E73" s="1"/>
      <c r="F73" s="12"/>
      <c r="G73" s="12"/>
      <c r="H73" s="53"/>
    </row>
    <row r="74" spans="1:8" ht="14.1" customHeight="1" x14ac:dyDescent="0.2">
      <c r="A74" s="1"/>
      <c r="B74" s="1"/>
      <c r="C74" s="2" t="s">
        <v>150</v>
      </c>
      <c r="D74" s="1"/>
      <c r="E74" s="1"/>
      <c r="F74" s="12"/>
      <c r="G74" s="12"/>
      <c r="H74" s="53"/>
    </row>
    <row r="75" spans="1:8" ht="14.1" customHeight="1" x14ac:dyDescent="0.2">
      <c r="A75" s="1"/>
      <c r="B75" s="1"/>
      <c r="C75" s="2" t="s">
        <v>144</v>
      </c>
      <c r="D75" s="1"/>
      <c r="E75" s="1" t="s">
        <v>145</v>
      </c>
      <c r="F75" s="13" t="s">
        <v>147</v>
      </c>
      <c r="G75" s="10">
        <v>0</v>
      </c>
      <c r="H75" s="53"/>
    </row>
    <row r="76" spans="1:8" ht="14.1" customHeight="1" x14ac:dyDescent="0.2">
      <c r="A76" s="1"/>
      <c r="B76" s="1"/>
      <c r="C76" s="11"/>
      <c r="D76" s="1"/>
      <c r="E76" s="1"/>
      <c r="F76" s="12"/>
      <c r="G76" s="12"/>
      <c r="H76" s="53"/>
    </row>
    <row r="77" spans="1:8" ht="14.1" customHeight="1" x14ac:dyDescent="0.2">
      <c r="A77" s="1"/>
      <c r="B77" s="1"/>
      <c r="C77" s="2" t="s">
        <v>151</v>
      </c>
      <c r="D77" s="1"/>
      <c r="E77" s="1"/>
      <c r="F77" s="12"/>
      <c r="G77" s="12"/>
      <c r="H77" s="53"/>
    </row>
    <row r="78" spans="1:8" ht="14.1" customHeight="1" x14ac:dyDescent="0.2">
      <c r="A78" s="1"/>
      <c r="B78" s="1"/>
      <c r="C78" s="2" t="s">
        <v>144</v>
      </c>
      <c r="D78" s="1"/>
      <c r="E78" s="1" t="s">
        <v>145</v>
      </c>
      <c r="F78" s="13" t="s">
        <v>147</v>
      </c>
      <c r="G78" s="10">
        <v>0</v>
      </c>
      <c r="H78" s="53"/>
    </row>
    <row r="79" spans="1:8" ht="14.1" customHeight="1" x14ac:dyDescent="0.2">
      <c r="A79" s="1"/>
      <c r="B79" s="1"/>
      <c r="C79" s="11"/>
      <c r="D79" s="1"/>
      <c r="E79" s="1"/>
      <c r="F79" s="12"/>
      <c r="G79" s="12"/>
      <c r="H79" s="53"/>
    </row>
    <row r="80" spans="1:8" ht="18" customHeight="1" x14ac:dyDescent="0.2">
      <c r="A80" s="1"/>
      <c r="B80" s="1"/>
      <c r="C80" s="2" t="s">
        <v>152</v>
      </c>
      <c r="D80" s="1"/>
      <c r="E80" s="1"/>
      <c r="F80" s="9">
        <v>69041.045651188993</v>
      </c>
      <c r="G80" s="10">
        <v>0.96387058999999997</v>
      </c>
      <c r="H80" s="53"/>
    </row>
    <row r="81" spans="1:8" ht="14.1" customHeight="1" x14ac:dyDescent="0.2">
      <c r="A81" s="1"/>
      <c r="B81" s="1"/>
      <c r="C81" s="11"/>
      <c r="D81" s="1"/>
      <c r="E81" s="1"/>
      <c r="F81" s="12"/>
      <c r="G81" s="12"/>
      <c r="H81" s="53"/>
    </row>
    <row r="82" spans="1:8" ht="14.1" customHeight="1" x14ac:dyDescent="0.2">
      <c r="A82" s="1"/>
      <c r="B82" s="1"/>
      <c r="C82" s="2" t="s">
        <v>153</v>
      </c>
      <c r="D82" s="1"/>
      <c r="E82" s="1"/>
      <c r="F82" s="12"/>
      <c r="G82" s="12"/>
      <c r="H82" s="53"/>
    </row>
    <row r="83" spans="1:8" ht="24" customHeight="1" x14ac:dyDescent="0.2">
      <c r="A83" s="1"/>
      <c r="B83" s="1"/>
      <c r="C83" s="2" t="s">
        <v>10</v>
      </c>
      <c r="D83" s="1"/>
      <c r="E83" s="1"/>
      <c r="F83" s="12"/>
      <c r="G83" s="12"/>
      <c r="H83" s="53"/>
    </row>
    <row r="84" spans="1:8" ht="14.1" customHeight="1" x14ac:dyDescent="0.2">
      <c r="A84" s="1"/>
      <c r="B84" s="1"/>
      <c r="C84" s="2" t="s">
        <v>144</v>
      </c>
      <c r="D84" s="1"/>
      <c r="E84" s="1" t="s">
        <v>145</v>
      </c>
      <c r="F84" s="13" t="s">
        <v>147</v>
      </c>
      <c r="G84" s="10">
        <v>0</v>
      </c>
      <c r="H84" s="53"/>
    </row>
    <row r="85" spans="1:8" ht="14.1" customHeight="1" x14ac:dyDescent="0.2">
      <c r="A85" s="1"/>
      <c r="B85" s="1"/>
      <c r="C85" s="11"/>
      <c r="D85" s="1"/>
      <c r="E85" s="1"/>
      <c r="F85" s="12"/>
      <c r="G85" s="12"/>
      <c r="H85" s="53"/>
    </row>
    <row r="86" spans="1:8" ht="14.1" customHeight="1" x14ac:dyDescent="0.2">
      <c r="A86" s="1"/>
      <c r="B86" s="1"/>
      <c r="C86" s="2" t="s">
        <v>154</v>
      </c>
      <c r="D86" s="1"/>
      <c r="E86" s="1"/>
      <c r="F86" s="1"/>
      <c r="G86" s="1"/>
      <c r="H86" s="53"/>
    </row>
    <row r="87" spans="1:8" ht="14.1" customHeight="1" x14ac:dyDescent="0.2">
      <c r="A87" s="1"/>
      <c r="B87" s="1"/>
      <c r="C87" s="2" t="s">
        <v>144</v>
      </c>
      <c r="D87" s="1"/>
      <c r="E87" s="1" t="s">
        <v>145</v>
      </c>
      <c r="F87" s="13" t="s">
        <v>147</v>
      </c>
      <c r="G87" s="10">
        <v>0</v>
      </c>
      <c r="H87" s="53"/>
    </row>
    <row r="88" spans="1:8" ht="14.1" customHeight="1" x14ac:dyDescent="0.2">
      <c r="A88" s="1"/>
      <c r="B88" s="1"/>
      <c r="C88" s="11"/>
      <c r="D88" s="1"/>
      <c r="E88" s="1"/>
      <c r="F88" s="12"/>
      <c r="G88" s="12"/>
      <c r="H88" s="53"/>
    </row>
    <row r="89" spans="1:8" ht="14.1" customHeight="1" x14ac:dyDescent="0.2">
      <c r="A89" s="1"/>
      <c r="B89" s="1"/>
      <c r="C89" s="2" t="s">
        <v>155</v>
      </c>
      <c r="D89" s="1"/>
      <c r="E89" s="1"/>
      <c r="F89" s="1"/>
      <c r="G89" s="1"/>
      <c r="H89" s="53"/>
    </row>
    <row r="90" spans="1:8" ht="14.1" customHeight="1" x14ac:dyDescent="0.2">
      <c r="A90" s="1"/>
      <c r="B90" s="1"/>
      <c r="C90" s="2" t="s">
        <v>144</v>
      </c>
      <c r="D90" s="1"/>
      <c r="E90" s="1" t="s">
        <v>145</v>
      </c>
      <c r="F90" s="13" t="s">
        <v>147</v>
      </c>
      <c r="G90" s="10">
        <v>0</v>
      </c>
      <c r="H90" s="53"/>
    </row>
    <row r="91" spans="1:8" ht="14.1" customHeight="1" x14ac:dyDescent="0.2">
      <c r="A91" s="1"/>
      <c r="B91" s="1"/>
      <c r="C91" s="11"/>
      <c r="D91" s="1"/>
      <c r="E91" s="1"/>
      <c r="F91" s="12"/>
      <c r="G91" s="12"/>
      <c r="H91" s="53"/>
    </row>
    <row r="92" spans="1:8" ht="14.1" customHeight="1" x14ac:dyDescent="0.2">
      <c r="A92" s="1"/>
      <c r="B92" s="1"/>
      <c r="C92" s="2" t="s">
        <v>156</v>
      </c>
      <c r="D92" s="1"/>
      <c r="E92" s="1"/>
      <c r="F92" s="12"/>
      <c r="G92" s="12"/>
      <c r="H92" s="53"/>
    </row>
    <row r="93" spans="1:8" ht="14.1" customHeight="1" x14ac:dyDescent="0.2">
      <c r="A93" s="1"/>
      <c r="B93" s="1"/>
      <c r="C93" s="2" t="s">
        <v>144</v>
      </c>
      <c r="D93" s="1"/>
      <c r="E93" s="1" t="s">
        <v>145</v>
      </c>
      <c r="F93" s="13" t="s">
        <v>147</v>
      </c>
      <c r="G93" s="10">
        <v>0</v>
      </c>
      <c r="H93" s="53"/>
    </row>
    <row r="94" spans="1:8" ht="14.1" customHeight="1" x14ac:dyDescent="0.2">
      <c r="A94" s="1"/>
      <c r="B94" s="1"/>
      <c r="C94" s="11"/>
      <c r="D94" s="1"/>
      <c r="E94" s="1"/>
      <c r="F94" s="12"/>
      <c r="G94" s="12"/>
      <c r="H94" s="53"/>
    </row>
    <row r="95" spans="1:8" ht="14.1" customHeight="1" x14ac:dyDescent="0.2">
      <c r="A95" s="1"/>
      <c r="B95" s="1"/>
      <c r="C95" s="2" t="s">
        <v>157</v>
      </c>
      <c r="D95" s="1"/>
      <c r="E95" s="1"/>
      <c r="F95" s="9">
        <v>0</v>
      </c>
      <c r="G95" s="10">
        <v>0</v>
      </c>
      <c r="H95" s="53"/>
    </row>
    <row r="96" spans="1:8" ht="14.1" customHeight="1" x14ac:dyDescent="0.2">
      <c r="A96" s="1"/>
      <c r="B96" s="1"/>
      <c r="C96" s="11"/>
      <c r="D96" s="1"/>
      <c r="E96" s="1"/>
      <c r="F96" s="12"/>
      <c r="G96" s="12"/>
      <c r="H96" s="53"/>
    </row>
    <row r="97" spans="1:8" ht="14.1" customHeight="1" x14ac:dyDescent="0.2">
      <c r="A97" s="1"/>
      <c r="B97" s="1"/>
      <c r="C97" s="2" t="s">
        <v>158</v>
      </c>
      <c r="D97" s="1"/>
      <c r="E97" s="1"/>
      <c r="F97" s="12"/>
      <c r="G97" s="12"/>
      <c r="H97" s="53"/>
    </row>
    <row r="98" spans="1:8" ht="14.1" customHeight="1" x14ac:dyDescent="0.2">
      <c r="A98" s="1"/>
      <c r="B98" s="1"/>
      <c r="C98" s="2" t="s">
        <v>159</v>
      </c>
      <c r="D98" s="1"/>
      <c r="E98" s="1"/>
      <c r="F98" s="12"/>
      <c r="G98" s="12"/>
      <c r="H98" s="53"/>
    </row>
    <row r="99" spans="1:8" ht="14.1" customHeight="1" x14ac:dyDescent="0.2">
      <c r="A99" s="1"/>
      <c r="B99" s="1"/>
      <c r="C99" s="2" t="s">
        <v>144</v>
      </c>
      <c r="D99" s="1"/>
      <c r="E99" s="1" t="s">
        <v>145</v>
      </c>
      <c r="F99" s="13" t="s">
        <v>147</v>
      </c>
      <c r="G99" s="10">
        <v>0</v>
      </c>
      <c r="H99" s="53"/>
    </row>
    <row r="100" spans="1:8" ht="14.1" customHeight="1" x14ac:dyDescent="0.2">
      <c r="A100" s="1"/>
      <c r="B100" s="1"/>
      <c r="C100" s="11"/>
      <c r="D100" s="1"/>
      <c r="E100" s="1"/>
      <c r="F100" s="12"/>
      <c r="G100" s="12"/>
      <c r="H100" s="53"/>
    </row>
    <row r="101" spans="1:8" ht="14.1" customHeight="1" x14ac:dyDescent="0.2">
      <c r="A101" s="1"/>
      <c r="B101" s="1"/>
      <c r="C101" s="2" t="s">
        <v>160</v>
      </c>
      <c r="D101" s="1"/>
      <c r="E101" s="1"/>
      <c r="F101" s="12"/>
      <c r="G101" s="12"/>
      <c r="H101" s="53"/>
    </row>
    <row r="102" spans="1:8" ht="14.1" customHeight="1" x14ac:dyDescent="0.2">
      <c r="A102" s="1"/>
      <c r="B102" s="1"/>
      <c r="C102" s="2" t="s">
        <v>144</v>
      </c>
      <c r="D102" s="1"/>
      <c r="E102" s="1" t="s">
        <v>145</v>
      </c>
      <c r="F102" s="13" t="s">
        <v>147</v>
      </c>
      <c r="G102" s="10">
        <v>0</v>
      </c>
      <c r="H102" s="53"/>
    </row>
    <row r="103" spans="1:8" ht="14.1" customHeight="1" x14ac:dyDescent="0.2">
      <c r="A103" s="1"/>
      <c r="B103" s="1"/>
      <c r="C103" s="11"/>
      <c r="D103" s="1"/>
      <c r="E103" s="1"/>
      <c r="F103" s="12"/>
      <c r="G103" s="12"/>
      <c r="H103" s="53"/>
    </row>
    <row r="104" spans="1:8" ht="14.1" customHeight="1" x14ac:dyDescent="0.2">
      <c r="A104" s="1"/>
      <c r="B104" s="1"/>
      <c r="C104" s="2" t="s">
        <v>161</v>
      </c>
      <c r="D104" s="1"/>
      <c r="E104" s="1"/>
      <c r="F104" s="12"/>
      <c r="G104" s="12"/>
      <c r="H104" s="53"/>
    </row>
    <row r="105" spans="1:8" ht="14.1" customHeight="1" x14ac:dyDescent="0.2">
      <c r="A105" s="1"/>
      <c r="B105" s="1"/>
      <c r="C105" s="2" t="s">
        <v>144</v>
      </c>
      <c r="D105" s="1"/>
      <c r="E105" s="1" t="s">
        <v>145</v>
      </c>
      <c r="F105" s="13" t="s">
        <v>147</v>
      </c>
      <c r="G105" s="10">
        <v>0</v>
      </c>
      <c r="H105" s="53"/>
    </row>
    <row r="106" spans="1:8" ht="14.1" customHeight="1" x14ac:dyDescent="0.2">
      <c r="A106" s="1"/>
      <c r="B106" s="1"/>
      <c r="C106" s="11"/>
      <c r="D106" s="1"/>
      <c r="E106" s="1"/>
      <c r="F106" s="12"/>
      <c r="G106" s="12"/>
      <c r="H106" s="53"/>
    </row>
    <row r="107" spans="1:8" ht="14.1" customHeight="1" x14ac:dyDescent="0.2">
      <c r="A107" s="1"/>
      <c r="B107" s="1"/>
      <c r="C107" s="2" t="s">
        <v>162</v>
      </c>
      <c r="D107" s="1"/>
      <c r="E107" s="1"/>
      <c r="F107" s="12"/>
      <c r="G107" s="12"/>
      <c r="H107" s="53"/>
    </row>
    <row r="108" spans="1:8" ht="17.100000000000001" customHeight="1" x14ac:dyDescent="0.2">
      <c r="A108" s="3">
        <v>1</v>
      </c>
      <c r="B108" s="4"/>
      <c r="C108" s="4" t="s">
        <v>163</v>
      </c>
      <c r="D108" s="4"/>
      <c r="E108" s="8"/>
      <c r="F108" s="6">
        <v>1369.3203369989999</v>
      </c>
      <c r="G108" s="7">
        <v>1.9116850000000001E-2</v>
      </c>
      <c r="H108" s="51">
        <v>6.6602331647804478</v>
      </c>
    </row>
    <row r="109" spans="1:8" ht="17.100000000000001" customHeight="1" x14ac:dyDescent="0.2">
      <c r="A109" s="3">
        <v>2</v>
      </c>
      <c r="B109" s="4"/>
      <c r="C109" s="4" t="s">
        <v>164</v>
      </c>
      <c r="D109" s="4"/>
      <c r="E109" s="8"/>
      <c r="F109" s="6">
        <v>1046.8839003999999</v>
      </c>
      <c r="G109" s="7">
        <v>1.4615370000000001E-2</v>
      </c>
      <c r="H109" s="51">
        <v>6.6588225936582406</v>
      </c>
    </row>
    <row r="110" spans="1:8" ht="14.1" customHeight="1" x14ac:dyDescent="0.2">
      <c r="A110" s="1"/>
      <c r="B110" s="1"/>
      <c r="C110" s="2" t="s">
        <v>144</v>
      </c>
      <c r="D110" s="1"/>
      <c r="E110" s="1" t="s">
        <v>145</v>
      </c>
      <c r="F110" s="9">
        <v>2416.2042373989998</v>
      </c>
      <c r="G110" s="10">
        <v>3.373222E-2</v>
      </c>
      <c r="H110" s="53"/>
    </row>
    <row r="111" spans="1:8" ht="14.1" customHeight="1" x14ac:dyDescent="0.2">
      <c r="A111" s="1"/>
      <c r="B111" s="1"/>
      <c r="C111" s="11"/>
      <c r="D111" s="1"/>
      <c r="E111" s="1"/>
      <c r="F111" s="12"/>
      <c r="G111" s="12"/>
      <c r="H111" s="53"/>
    </row>
    <row r="112" spans="1:8" ht="14.1" customHeight="1" x14ac:dyDescent="0.2">
      <c r="A112" s="1"/>
      <c r="B112" s="1"/>
      <c r="C112" s="2" t="s">
        <v>165</v>
      </c>
      <c r="D112" s="1"/>
      <c r="E112" s="1"/>
      <c r="F112" s="9">
        <v>2416.2042373989998</v>
      </c>
      <c r="G112" s="10">
        <v>3.373222E-2</v>
      </c>
      <c r="H112" s="53"/>
    </row>
    <row r="113" spans="1:8" ht="14.1" customHeight="1" x14ac:dyDescent="0.2">
      <c r="A113" s="1"/>
      <c r="B113" s="1"/>
      <c r="C113" s="12"/>
      <c r="D113" s="1"/>
      <c r="E113" s="1"/>
      <c r="F113" s="1"/>
      <c r="G113" s="1"/>
      <c r="H113" s="53"/>
    </row>
    <row r="114" spans="1:8" ht="14.1" customHeight="1" x14ac:dyDescent="0.2">
      <c r="A114" s="1"/>
      <c r="B114" s="1"/>
      <c r="C114" s="2" t="s">
        <v>166</v>
      </c>
      <c r="D114" s="1"/>
      <c r="E114" s="1"/>
      <c r="F114" s="1"/>
      <c r="G114" s="1"/>
      <c r="H114" s="53"/>
    </row>
    <row r="115" spans="1:8" ht="14.1" customHeight="1" x14ac:dyDescent="0.2">
      <c r="A115" s="1"/>
      <c r="B115" s="1"/>
      <c r="C115" s="2" t="s">
        <v>167</v>
      </c>
      <c r="D115" s="1"/>
      <c r="E115" s="1"/>
      <c r="F115" s="1"/>
      <c r="G115" s="1"/>
      <c r="H115" s="53"/>
    </row>
    <row r="116" spans="1:8" ht="14.1" customHeight="1" x14ac:dyDescent="0.2">
      <c r="A116" s="1"/>
      <c r="B116" s="1"/>
      <c r="C116" s="2" t="s">
        <v>144</v>
      </c>
      <c r="D116" s="1"/>
      <c r="E116" s="1" t="s">
        <v>145</v>
      </c>
      <c r="F116" s="13" t="s">
        <v>147</v>
      </c>
      <c r="G116" s="10">
        <v>0</v>
      </c>
      <c r="H116" s="53"/>
    </row>
    <row r="117" spans="1:8" ht="14.1" customHeight="1" x14ac:dyDescent="0.2">
      <c r="A117" s="1"/>
      <c r="B117" s="1"/>
      <c r="C117" s="11"/>
      <c r="D117" s="1"/>
      <c r="E117" s="1"/>
      <c r="F117" s="12"/>
      <c r="G117" s="12"/>
      <c r="H117" s="53"/>
    </row>
    <row r="118" spans="1:8" ht="14.1" customHeight="1" x14ac:dyDescent="0.2">
      <c r="A118" s="1"/>
      <c r="B118" s="1"/>
      <c r="C118" s="2" t="s">
        <v>168</v>
      </c>
      <c r="D118" s="1"/>
      <c r="E118" s="1"/>
      <c r="F118" s="1"/>
      <c r="G118" s="1"/>
      <c r="H118" s="53"/>
    </row>
    <row r="119" spans="1:8" ht="14.1" customHeight="1" x14ac:dyDescent="0.2">
      <c r="A119" s="1"/>
      <c r="B119" s="1"/>
      <c r="C119" s="2" t="s">
        <v>169</v>
      </c>
      <c r="D119" s="1"/>
      <c r="E119" s="1"/>
      <c r="F119" s="1"/>
      <c r="G119" s="1"/>
      <c r="H119" s="53"/>
    </row>
    <row r="120" spans="1:8" ht="14.1" customHeight="1" x14ac:dyDescent="0.2">
      <c r="A120" s="1"/>
      <c r="B120" s="1"/>
      <c r="C120" s="2" t="s">
        <v>144</v>
      </c>
      <c r="D120" s="1"/>
      <c r="E120" s="1" t="s">
        <v>145</v>
      </c>
      <c r="F120" s="13" t="s">
        <v>147</v>
      </c>
      <c r="G120" s="10">
        <v>0</v>
      </c>
      <c r="H120" s="53"/>
    </row>
    <row r="121" spans="1:8" ht="14.1" customHeight="1" x14ac:dyDescent="0.2">
      <c r="A121" s="1"/>
      <c r="B121" s="1"/>
      <c r="C121" s="11"/>
      <c r="D121" s="1"/>
      <c r="E121" s="1"/>
      <c r="F121" s="12"/>
      <c r="G121" s="12"/>
      <c r="H121" s="53"/>
    </row>
    <row r="122" spans="1:8" ht="24" customHeight="1" x14ac:dyDescent="0.2">
      <c r="A122" s="1"/>
      <c r="B122" s="1"/>
      <c r="C122" s="2" t="s">
        <v>170</v>
      </c>
      <c r="D122" s="1"/>
      <c r="E122" s="1"/>
      <c r="F122" s="12"/>
      <c r="G122" s="12"/>
      <c r="H122" s="53"/>
    </row>
    <row r="123" spans="1:8" ht="14.1" customHeight="1" x14ac:dyDescent="0.2">
      <c r="A123" s="1"/>
      <c r="B123" s="1"/>
      <c r="C123" s="2" t="s">
        <v>144</v>
      </c>
      <c r="D123" s="1"/>
      <c r="E123" s="1" t="s">
        <v>145</v>
      </c>
      <c r="F123" s="13" t="s">
        <v>147</v>
      </c>
      <c r="G123" s="10">
        <v>0</v>
      </c>
      <c r="H123" s="53"/>
    </row>
    <row r="124" spans="1:8" ht="14.1" customHeight="1" x14ac:dyDescent="0.2">
      <c r="A124" s="1"/>
      <c r="B124" s="1"/>
      <c r="C124" s="11"/>
      <c r="D124" s="1"/>
      <c r="E124" s="1"/>
      <c r="F124" s="12"/>
      <c r="G124" s="12"/>
      <c r="H124" s="53"/>
    </row>
    <row r="125" spans="1:8" ht="14.1" customHeight="1" x14ac:dyDescent="0.2">
      <c r="A125" s="1"/>
      <c r="B125" s="4"/>
      <c r="C125" s="4"/>
      <c r="D125" s="2"/>
      <c r="E125" s="1"/>
      <c r="F125" s="4"/>
      <c r="G125" s="8"/>
      <c r="H125" s="53"/>
    </row>
    <row r="126" spans="1:8" ht="18" customHeight="1" x14ac:dyDescent="0.2">
      <c r="A126" s="8"/>
      <c r="B126" s="4"/>
      <c r="C126" s="4" t="s">
        <v>171</v>
      </c>
      <c r="D126" s="4"/>
      <c r="E126" s="8"/>
      <c r="F126" s="6">
        <v>171.70893046</v>
      </c>
      <c r="G126" s="7">
        <v>2.3971999999999999E-3</v>
      </c>
      <c r="H126" s="53"/>
    </row>
    <row r="127" spans="1:8" ht="14.1" customHeight="1" x14ac:dyDescent="0.2">
      <c r="A127" s="11"/>
      <c r="B127" s="11"/>
      <c r="C127" s="2" t="s">
        <v>172</v>
      </c>
      <c r="D127" s="12"/>
      <c r="E127" s="12"/>
      <c r="F127" s="9">
        <v>71628.958819047999</v>
      </c>
      <c r="G127" s="14">
        <v>1.0000000099999999</v>
      </c>
      <c r="H127" s="53"/>
    </row>
    <row r="128" spans="1:8" ht="14.1" customHeight="1" x14ac:dyDescent="0.2">
      <c r="A128" s="15"/>
      <c r="B128" s="15"/>
      <c r="C128" s="15"/>
      <c r="D128" s="16"/>
      <c r="E128" s="16"/>
      <c r="F128" s="16"/>
      <c r="G128" s="16"/>
    </row>
    <row r="129" spans="1:7" ht="17.100000000000001" customHeight="1" x14ac:dyDescent="0.2">
      <c r="A129" s="17"/>
      <c r="B129" s="230" t="s">
        <v>173</v>
      </c>
      <c r="C129" s="230"/>
      <c r="D129" s="230"/>
      <c r="E129" s="230"/>
      <c r="F129" s="230"/>
      <c r="G129" s="19"/>
    </row>
    <row r="130" spans="1:7" ht="14.1" customHeight="1" x14ac:dyDescent="0.2">
      <c r="A130" s="17"/>
      <c r="B130" s="17"/>
      <c r="C130" s="17"/>
      <c r="D130" s="19"/>
      <c r="E130" s="19"/>
      <c r="F130" s="19"/>
      <c r="G130" s="19"/>
    </row>
    <row r="131" spans="1:7" ht="14.1" customHeight="1" x14ac:dyDescent="0.2">
      <c r="A131" s="17"/>
      <c r="B131" s="231" t="s">
        <v>174</v>
      </c>
      <c r="C131" s="232"/>
      <c r="D131" s="233"/>
      <c r="E131" s="20"/>
      <c r="F131" s="19"/>
      <c r="G131" s="19"/>
    </row>
    <row r="132" spans="1:7" ht="29.1" customHeight="1" x14ac:dyDescent="0.2">
      <c r="A132" s="17"/>
      <c r="B132" s="226" t="s">
        <v>175</v>
      </c>
      <c r="C132" s="227"/>
      <c r="D132" s="2" t="s">
        <v>176</v>
      </c>
      <c r="E132" s="20"/>
      <c r="F132" s="19"/>
      <c r="G132" s="19"/>
    </row>
    <row r="133" spans="1:7" ht="17.100000000000001" customHeight="1" x14ac:dyDescent="0.2">
      <c r="A133" s="41"/>
      <c r="B133" s="228" t="s">
        <v>884</v>
      </c>
      <c r="C133" s="229"/>
      <c r="D133" s="42" t="s">
        <v>885</v>
      </c>
      <c r="E133" s="43"/>
      <c r="F133" s="44"/>
      <c r="G133" s="45"/>
    </row>
    <row r="134" spans="1:7" ht="17.100000000000001" customHeight="1" x14ac:dyDescent="0.2">
      <c r="A134" s="17"/>
      <c r="B134" s="226" t="s">
        <v>178</v>
      </c>
      <c r="C134" s="227"/>
      <c r="D134" s="12" t="s">
        <v>145</v>
      </c>
      <c r="E134" s="20"/>
      <c r="F134" s="19"/>
      <c r="G134" s="19"/>
    </row>
    <row r="135" spans="1:7" ht="24" customHeight="1" x14ac:dyDescent="0.2">
      <c r="A135" s="21"/>
      <c r="B135" s="22" t="s">
        <v>145</v>
      </c>
      <c r="C135" s="22" t="s">
        <v>179</v>
      </c>
      <c r="D135" s="22" t="s">
        <v>180</v>
      </c>
      <c r="E135" s="21"/>
      <c r="F135" s="21"/>
      <c r="G135" s="21"/>
    </row>
    <row r="136" spans="1:7" ht="18" customHeight="1" x14ac:dyDescent="0.2">
      <c r="A136" s="21"/>
      <c r="B136" s="23" t="s">
        <v>181</v>
      </c>
      <c r="C136" s="22" t="s">
        <v>182</v>
      </c>
      <c r="D136" s="22" t="s">
        <v>183</v>
      </c>
      <c r="E136" s="21"/>
      <c r="F136" s="21"/>
      <c r="G136" s="21"/>
    </row>
    <row r="137" spans="1:7" ht="17.100000000000001" customHeight="1" x14ac:dyDescent="0.2">
      <c r="A137" s="21"/>
      <c r="B137" s="4" t="s">
        <v>184</v>
      </c>
      <c r="C137" s="24">
        <v>66.926299999999998</v>
      </c>
      <c r="D137" s="24">
        <v>67.4435</v>
      </c>
      <c r="E137" s="21"/>
      <c r="F137" s="18"/>
      <c r="G137" s="25"/>
    </row>
    <row r="138" spans="1:7" ht="17.100000000000001" customHeight="1" x14ac:dyDescent="0.2">
      <c r="A138" s="21"/>
      <c r="B138" s="4" t="s">
        <v>1009</v>
      </c>
      <c r="C138" s="24">
        <v>48.005099999999999</v>
      </c>
      <c r="D138" s="24">
        <v>48.376100000000001</v>
      </c>
      <c r="E138" s="21"/>
      <c r="F138" s="18"/>
      <c r="G138" s="25"/>
    </row>
    <row r="139" spans="1:7" ht="17.100000000000001" customHeight="1" x14ac:dyDescent="0.2">
      <c r="A139" s="21"/>
      <c r="B139" s="4" t="s">
        <v>185</v>
      </c>
      <c r="C139" s="24">
        <v>63.323599999999999</v>
      </c>
      <c r="D139" s="24">
        <v>63.783799999999999</v>
      </c>
      <c r="E139" s="21"/>
      <c r="F139" s="18"/>
      <c r="G139" s="25"/>
    </row>
    <row r="140" spans="1:7" ht="17.100000000000001" customHeight="1" x14ac:dyDescent="0.2">
      <c r="A140" s="21"/>
      <c r="B140" s="4" t="s">
        <v>1010</v>
      </c>
      <c r="C140" s="24">
        <v>45.191699999999997</v>
      </c>
      <c r="D140" s="24">
        <v>45.520099999999999</v>
      </c>
      <c r="E140" s="21"/>
      <c r="F140" s="18"/>
      <c r="G140" s="25"/>
    </row>
    <row r="141" spans="1:7" ht="14.1" customHeight="1" x14ac:dyDescent="0.2">
      <c r="A141" s="21"/>
      <c r="B141" s="21"/>
      <c r="C141" s="21"/>
      <c r="D141" s="21"/>
      <c r="E141" s="21"/>
      <c r="F141" s="21"/>
      <c r="G141" s="21"/>
    </row>
    <row r="142" spans="1:7" ht="17.100000000000001" customHeight="1" x14ac:dyDescent="0.2">
      <c r="A142" s="21"/>
      <c r="B142" s="226" t="s">
        <v>1011</v>
      </c>
      <c r="C142" s="227"/>
      <c r="D142" s="42" t="s">
        <v>176</v>
      </c>
      <c r="E142" s="21"/>
      <c r="F142" s="21"/>
      <c r="G142" s="21"/>
    </row>
    <row r="143" spans="1:7" ht="18" customHeight="1" x14ac:dyDescent="0.2">
      <c r="A143" s="21"/>
      <c r="B143" s="26"/>
      <c r="C143" s="26"/>
      <c r="D143" s="26"/>
      <c r="E143" s="21"/>
      <c r="F143" s="21"/>
      <c r="G143" s="21"/>
    </row>
    <row r="144" spans="1:7" ht="29.1" customHeight="1" x14ac:dyDescent="0.2">
      <c r="A144" s="21"/>
      <c r="B144" s="226" t="s">
        <v>186</v>
      </c>
      <c r="C144" s="227"/>
      <c r="D144" s="2" t="s">
        <v>176</v>
      </c>
      <c r="E144" s="27"/>
      <c r="F144" s="21"/>
      <c r="G144" s="21"/>
    </row>
    <row r="145" spans="1:7" ht="29.1" customHeight="1" x14ac:dyDescent="0.2">
      <c r="A145" s="21"/>
      <c r="B145" s="226" t="s">
        <v>187</v>
      </c>
      <c r="C145" s="227"/>
      <c r="D145" s="2" t="s">
        <v>176</v>
      </c>
      <c r="E145" s="27"/>
      <c r="F145" s="21"/>
      <c r="G145" s="21"/>
    </row>
    <row r="146" spans="1:7" ht="17.100000000000001" customHeight="1" x14ac:dyDescent="0.2">
      <c r="A146" s="21"/>
      <c r="B146" s="226" t="s">
        <v>188</v>
      </c>
      <c r="C146" s="227"/>
      <c r="D146" s="2" t="s">
        <v>176</v>
      </c>
      <c r="E146" s="27"/>
      <c r="F146" s="21"/>
      <c r="G146" s="21"/>
    </row>
    <row r="147" spans="1:7" ht="17.100000000000001" customHeight="1" x14ac:dyDescent="0.2">
      <c r="A147" s="21"/>
      <c r="B147" s="226" t="s">
        <v>189</v>
      </c>
      <c r="C147" s="227"/>
      <c r="D147" s="57">
        <v>0.2483646030295254</v>
      </c>
      <c r="E147" s="21"/>
      <c r="F147" s="18"/>
      <c r="G147" s="25"/>
    </row>
  </sheetData>
  <mergeCells count="14">
    <mergeCell ref="A1:H1"/>
    <mergeCell ref="A2:H2"/>
    <mergeCell ref="A3:H3"/>
    <mergeCell ref="J2:N2"/>
    <mergeCell ref="B147:C147"/>
    <mergeCell ref="B133:C133"/>
    <mergeCell ref="B134:C134"/>
    <mergeCell ref="B142:C142"/>
    <mergeCell ref="B144:C144"/>
    <mergeCell ref="B145:C145"/>
    <mergeCell ref="B146:C146"/>
    <mergeCell ref="B132:C132"/>
    <mergeCell ref="B129:F129"/>
    <mergeCell ref="B131:D131"/>
  </mergeCells>
  <hyperlinks>
    <hyperlink ref="I1" location="Index!B2" display="Index" xr:uid="{3DF6A384-F66D-4958-80C2-D4761A761C5D}"/>
  </hyperlinks>
  <pageMargins left="5.000000074505806E-2" right="5.000000074505806E-2" top="0.30000001192092896" bottom="0.20000000298023224" header="0" footer="0"/>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15A4B-70E8-42BC-B42C-19CB2D16F6B7}">
  <sheetPr>
    <outlinePr summaryBelow="0" summaryRight="0"/>
  </sheetPr>
  <dimension ref="A1:N91"/>
  <sheetViews>
    <sheetView showGridLines="0" workbookViewId="0">
      <selection sqref="A1:H1"/>
    </sheetView>
  </sheetViews>
  <sheetFormatPr defaultColWidth="9.140625" defaultRowHeight="12.75" x14ac:dyDescent="0.2"/>
  <cols>
    <col min="1" max="1" width="6.85546875" style="54" customWidth="1"/>
    <col min="2" max="2" width="20.5703125" style="54" customWidth="1"/>
    <col min="3" max="3" width="34.28515625" style="54" customWidth="1"/>
    <col min="4" max="4" width="17.85546875" style="54" customWidth="1"/>
    <col min="5" max="6" width="19.140625" style="54" customWidth="1"/>
    <col min="7" max="7" width="16.42578125" style="54" customWidth="1"/>
    <col min="8" max="9" width="9.140625" style="54"/>
    <col min="10" max="14" width="8.7109375" customWidth="1"/>
    <col min="15" max="16384" width="9.140625" style="54"/>
  </cols>
  <sheetData>
    <row r="1" spans="1:14" ht="18" customHeight="1" x14ac:dyDescent="0.2">
      <c r="A1" s="221" t="s">
        <v>0</v>
      </c>
      <c r="B1" s="221"/>
      <c r="C1" s="221"/>
      <c r="D1" s="221"/>
      <c r="E1" s="221"/>
      <c r="F1" s="221"/>
      <c r="G1" s="221"/>
      <c r="H1" s="221"/>
      <c r="I1" s="138" t="s">
        <v>1024</v>
      </c>
      <c r="J1" s="140"/>
      <c r="K1" s="140"/>
      <c r="L1" s="140"/>
      <c r="M1" s="140"/>
      <c r="N1" s="140"/>
    </row>
    <row r="2" spans="1:14" ht="17.100000000000001" customHeight="1" x14ac:dyDescent="0.2">
      <c r="A2" s="222" t="s">
        <v>846</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c r="J3" s="140"/>
      <c r="K3" s="140"/>
      <c r="L3" s="140"/>
      <c r="M3" s="140"/>
      <c r="N3" s="140"/>
    </row>
    <row r="4" spans="1:14" s="137" customFormat="1" ht="30" x14ac:dyDescent="0.2">
      <c r="A4" s="136" t="s">
        <v>2</v>
      </c>
      <c r="B4" s="136" t="s">
        <v>3</v>
      </c>
      <c r="C4" s="136" t="s">
        <v>4</v>
      </c>
      <c r="D4" s="136" t="s">
        <v>5</v>
      </c>
      <c r="E4" s="136" t="s">
        <v>6</v>
      </c>
      <c r="F4" s="136" t="s">
        <v>7</v>
      </c>
      <c r="G4" s="136" t="s">
        <v>8</v>
      </c>
      <c r="H4" s="87" t="s">
        <v>971</v>
      </c>
      <c r="J4" s="140"/>
      <c r="K4" s="140"/>
      <c r="L4" s="140"/>
      <c r="M4" s="140"/>
      <c r="N4" s="140"/>
    </row>
    <row r="5" spans="1:14" ht="14.1" customHeight="1" x14ac:dyDescent="0.2">
      <c r="A5" s="58"/>
      <c r="B5" s="58"/>
      <c r="C5" s="59" t="s">
        <v>9</v>
      </c>
      <c r="D5" s="58"/>
      <c r="E5" s="58"/>
      <c r="F5" s="58"/>
      <c r="G5" s="58"/>
      <c r="H5" s="53"/>
      <c r="J5" s="140"/>
      <c r="K5" s="140"/>
      <c r="L5" s="140"/>
      <c r="M5" s="140"/>
      <c r="N5" s="140"/>
    </row>
    <row r="6" spans="1:14" ht="24" customHeight="1" x14ac:dyDescent="0.2">
      <c r="A6" s="58"/>
      <c r="B6" s="58"/>
      <c r="C6" s="59" t="s">
        <v>10</v>
      </c>
      <c r="D6" s="58"/>
      <c r="E6" s="58"/>
      <c r="F6" s="58"/>
      <c r="G6" s="58"/>
      <c r="H6" s="53"/>
      <c r="J6" s="140"/>
      <c r="K6" s="140"/>
      <c r="L6" s="140"/>
      <c r="M6" s="140"/>
      <c r="N6" s="140"/>
    </row>
    <row r="7" spans="1:14" ht="14.1" customHeight="1" x14ac:dyDescent="0.2">
      <c r="A7" s="58"/>
      <c r="B7" s="58"/>
      <c r="C7" s="59" t="s">
        <v>144</v>
      </c>
      <c r="D7" s="58"/>
      <c r="E7" s="58" t="s">
        <v>145</v>
      </c>
      <c r="F7" s="60" t="s">
        <v>147</v>
      </c>
      <c r="G7" s="61">
        <v>0</v>
      </c>
      <c r="H7" s="53"/>
      <c r="J7" s="140"/>
      <c r="K7" s="140"/>
      <c r="L7" s="140"/>
      <c r="M7" s="140"/>
      <c r="N7" s="140"/>
    </row>
    <row r="8" spans="1:14" ht="14.1" customHeight="1" x14ac:dyDescent="0.2">
      <c r="A8" s="58"/>
      <c r="B8" s="58"/>
      <c r="C8" s="62"/>
      <c r="D8" s="58"/>
      <c r="E8" s="58"/>
      <c r="F8" s="63"/>
      <c r="G8" s="63"/>
      <c r="H8" s="53"/>
      <c r="J8" s="140"/>
      <c r="K8" s="140"/>
      <c r="L8" s="140"/>
      <c r="M8" s="140"/>
      <c r="N8" s="140"/>
    </row>
    <row r="9" spans="1:14" ht="14.1" customHeight="1" x14ac:dyDescent="0.2">
      <c r="A9" s="58"/>
      <c r="B9" s="58"/>
      <c r="C9" s="59" t="s">
        <v>146</v>
      </c>
      <c r="D9" s="58"/>
      <c r="E9" s="58"/>
      <c r="F9" s="58"/>
      <c r="G9" s="58"/>
      <c r="H9" s="53"/>
      <c r="J9" s="140"/>
      <c r="K9" s="140"/>
      <c r="L9" s="140"/>
      <c r="M9" s="140"/>
      <c r="N9" s="140"/>
    </row>
    <row r="10" spans="1:14" ht="14.1" customHeight="1" x14ac:dyDescent="0.2">
      <c r="A10" s="58"/>
      <c r="B10" s="58"/>
      <c r="C10" s="59" t="s">
        <v>144</v>
      </c>
      <c r="D10" s="58"/>
      <c r="E10" s="58" t="s">
        <v>145</v>
      </c>
      <c r="F10" s="60" t="s">
        <v>147</v>
      </c>
      <c r="G10" s="61">
        <v>0</v>
      </c>
      <c r="H10" s="53"/>
      <c r="J10" s="140"/>
      <c r="K10" s="140"/>
      <c r="L10" s="140"/>
      <c r="M10" s="140"/>
      <c r="N10" s="140"/>
    </row>
    <row r="11" spans="1:14" ht="14.1" customHeight="1" x14ac:dyDescent="0.2">
      <c r="A11" s="58"/>
      <c r="B11" s="58"/>
      <c r="C11" s="62"/>
      <c r="D11" s="58"/>
      <c r="E11" s="58"/>
      <c r="F11" s="63"/>
      <c r="G11" s="63"/>
      <c r="H11" s="53"/>
      <c r="J11" s="140"/>
      <c r="K11" s="140"/>
      <c r="L11" s="140"/>
      <c r="M11" s="140"/>
      <c r="N11" s="140"/>
    </row>
    <row r="12" spans="1:14" ht="14.1" customHeight="1" x14ac:dyDescent="0.2">
      <c r="A12" s="58"/>
      <c r="B12" s="58"/>
      <c r="C12" s="59" t="s">
        <v>148</v>
      </c>
      <c r="D12" s="58"/>
      <c r="E12" s="58"/>
      <c r="F12" s="58"/>
      <c r="G12" s="58"/>
      <c r="H12" s="53"/>
      <c r="J12" s="140"/>
      <c r="K12" s="140"/>
      <c r="L12" s="140"/>
      <c r="M12" s="140"/>
      <c r="N12" s="140"/>
    </row>
    <row r="13" spans="1:14" ht="14.1" customHeight="1" x14ac:dyDescent="0.2">
      <c r="A13" s="58"/>
      <c r="B13" s="58"/>
      <c r="C13" s="59" t="s">
        <v>144</v>
      </c>
      <c r="D13" s="58"/>
      <c r="E13" s="58" t="s">
        <v>145</v>
      </c>
      <c r="F13" s="60" t="s">
        <v>147</v>
      </c>
      <c r="G13" s="61">
        <v>0</v>
      </c>
      <c r="H13" s="53"/>
      <c r="J13" s="140"/>
      <c r="K13" s="140"/>
      <c r="L13" s="140"/>
      <c r="M13" s="140"/>
      <c r="N13" s="140"/>
    </row>
    <row r="14" spans="1:14" ht="14.1" customHeight="1" x14ac:dyDescent="0.2">
      <c r="A14" s="58"/>
      <c r="B14" s="58"/>
      <c r="C14" s="62"/>
      <c r="D14" s="58"/>
      <c r="E14" s="58"/>
      <c r="F14" s="63"/>
      <c r="G14" s="63"/>
      <c r="H14" s="53"/>
      <c r="J14" s="140"/>
      <c r="K14" s="140"/>
      <c r="L14" s="140"/>
      <c r="M14" s="140"/>
      <c r="N14" s="140"/>
    </row>
    <row r="15" spans="1:14" ht="14.1" customHeight="1" x14ac:dyDescent="0.2">
      <c r="A15" s="58"/>
      <c r="B15" s="58"/>
      <c r="C15" s="59" t="s">
        <v>149</v>
      </c>
      <c r="D15" s="58"/>
      <c r="E15" s="58"/>
      <c r="F15" s="58"/>
      <c r="G15" s="58"/>
      <c r="H15" s="53"/>
      <c r="J15" s="140"/>
      <c r="K15" s="140"/>
      <c r="L15" s="140"/>
      <c r="M15" s="140"/>
      <c r="N15" s="140"/>
    </row>
    <row r="16" spans="1:14" ht="14.1" customHeight="1" x14ac:dyDescent="0.2">
      <c r="A16" s="58"/>
      <c r="B16" s="58"/>
      <c r="C16" s="59" t="s">
        <v>144</v>
      </c>
      <c r="D16" s="58"/>
      <c r="E16" s="58" t="s">
        <v>145</v>
      </c>
      <c r="F16" s="60" t="s">
        <v>147</v>
      </c>
      <c r="G16" s="61">
        <v>0</v>
      </c>
      <c r="H16" s="53"/>
      <c r="J16" s="142" t="s">
        <v>1027</v>
      </c>
      <c r="K16" s="140"/>
      <c r="L16" s="140"/>
      <c r="M16" s="140"/>
      <c r="N16" s="140"/>
    </row>
    <row r="17" spans="1:14" ht="14.1" customHeight="1" x14ac:dyDescent="0.2">
      <c r="A17" s="58"/>
      <c r="B17" s="58"/>
      <c r="C17" s="62"/>
      <c r="D17" s="58"/>
      <c r="E17" s="58"/>
      <c r="F17" s="63"/>
      <c r="G17" s="63"/>
      <c r="H17" s="53"/>
      <c r="J17" s="140"/>
      <c r="K17" s="140"/>
      <c r="L17" s="140"/>
      <c r="M17" s="140"/>
      <c r="N17" s="140"/>
    </row>
    <row r="18" spans="1:14" ht="14.1" customHeight="1" x14ac:dyDescent="0.2">
      <c r="A18" s="58"/>
      <c r="B18" s="58"/>
      <c r="C18" s="59" t="s">
        <v>150</v>
      </c>
      <c r="D18" s="58"/>
      <c r="E18" s="58"/>
      <c r="F18" s="63"/>
      <c r="G18" s="63"/>
      <c r="H18" s="53"/>
      <c r="J18" s="140"/>
      <c r="K18" s="140"/>
      <c r="L18" s="140"/>
      <c r="M18" s="140"/>
      <c r="N18" s="140"/>
    </row>
    <row r="19" spans="1:14" ht="14.1" customHeight="1" x14ac:dyDescent="0.2">
      <c r="A19" s="58"/>
      <c r="B19" s="58"/>
      <c r="C19" s="59" t="s">
        <v>144</v>
      </c>
      <c r="D19" s="58"/>
      <c r="E19" s="58" t="s">
        <v>145</v>
      </c>
      <c r="F19" s="60" t="s">
        <v>147</v>
      </c>
      <c r="G19" s="61">
        <v>0</v>
      </c>
      <c r="H19" s="53"/>
      <c r="J19" s="140"/>
      <c r="K19" s="140"/>
      <c r="L19" s="140"/>
      <c r="M19" s="140"/>
      <c r="N19" s="140"/>
    </row>
    <row r="20" spans="1:14" ht="14.1" customHeight="1" x14ac:dyDescent="0.2">
      <c r="A20" s="58"/>
      <c r="B20" s="58"/>
      <c r="C20" s="62"/>
      <c r="D20" s="58"/>
      <c r="E20" s="58"/>
      <c r="F20" s="63"/>
      <c r="G20" s="63"/>
      <c r="H20" s="53"/>
      <c r="J20" s="140"/>
      <c r="K20" s="140"/>
      <c r="L20" s="140"/>
      <c r="M20" s="140"/>
      <c r="N20" s="140"/>
    </row>
    <row r="21" spans="1:14" ht="14.1" customHeight="1" x14ac:dyDescent="0.2">
      <c r="A21" s="58"/>
      <c r="B21" s="58"/>
      <c r="C21" s="59" t="s">
        <v>151</v>
      </c>
      <c r="D21" s="58"/>
      <c r="E21" s="58"/>
      <c r="F21" s="63"/>
      <c r="G21" s="63"/>
      <c r="H21" s="53"/>
      <c r="J21" s="140"/>
      <c r="K21" s="140"/>
      <c r="L21" s="140"/>
      <c r="M21" s="140"/>
      <c r="N21" s="140"/>
    </row>
    <row r="22" spans="1:14" ht="14.1" customHeight="1" x14ac:dyDescent="0.2">
      <c r="A22" s="58"/>
      <c r="B22" s="58"/>
      <c r="C22" s="59" t="s">
        <v>144</v>
      </c>
      <c r="D22" s="58"/>
      <c r="E22" s="58" t="s">
        <v>145</v>
      </c>
      <c r="F22" s="60" t="s">
        <v>147</v>
      </c>
      <c r="G22" s="61">
        <v>0</v>
      </c>
      <c r="H22" s="53"/>
      <c r="J22" s="140"/>
      <c r="K22" s="140"/>
      <c r="L22" s="140"/>
      <c r="M22" s="140"/>
      <c r="N22" s="140"/>
    </row>
    <row r="23" spans="1:14" ht="14.1" customHeight="1" x14ac:dyDescent="0.2">
      <c r="A23" s="58"/>
      <c r="B23" s="58"/>
      <c r="C23" s="62"/>
      <c r="D23" s="58"/>
      <c r="E23" s="58"/>
      <c r="F23" s="63"/>
      <c r="G23" s="63"/>
      <c r="H23" s="53"/>
      <c r="J23" s="140"/>
      <c r="K23" s="140"/>
      <c r="L23" s="140"/>
      <c r="M23" s="140"/>
      <c r="N23" s="140"/>
    </row>
    <row r="24" spans="1:14" ht="18" customHeight="1" x14ac:dyDescent="0.2">
      <c r="A24" s="58"/>
      <c r="B24" s="58"/>
      <c r="C24" s="59" t="s">
        <v>152</v>
      </c>
      <c r="D24" s="58"/>
      <c r="E24" s="58"/>
      <c r="F24" s="64">
        <v>0</v>
      </c>
      <c r="G24" s="61">
        <v>0</v>
      </c>
      <c r="H24" s="53"/>
      <c r="J24" s="140"/>
      <c r="K24" s="140"/>
      <c r="L24" s="140"/>
      <c r="M24" s="140"/>
      <c r="N24" s="140"/>
    </row>
    <row r="25" spans="1:14" ht="14.1" customHeight="1" x14ac:dyDescent="0.2">
      <c r="A25" s="58"/>
      <c r="B25" s="58"/>
      <c r="C25" s="62"/>
      <c r="D25" s="58"/>
      <c r="E25" s="58"/>
      <c r="F25" s="63"/>
      <c r="G25" s="63"/>
      <c r="H25" s="53"/>
      <c r="J25" s="140"/>
      <c r="K25" s="140"/>
      <c r="L25" s="140"/>
      <c r="M25" s="140"/>
      <c r="N25" s="140"/>
    </row>
    <row r="26" spans="1:14" ht="14.1" customHeight="1" x14ac:dyDescent="0.2">
      <c r="A26" s="58"/>
      <c r="B26" s="58"/>
      <c r="C26" s="59" t="s">
        <v>153</v>
      </c>
      <c r="D26" s="58"/>
      <c r="E26" s="58"/>
      <c r="F26" s="63"/>
      <c r="G26" s="63"/>
      <c r="H26" s="53"/>
      <c r="J26" s="140"/>
      <c r="K26" s="140"/>
      <c r="L26" s="140"/>
      <c r="M26" s="140"/>
      <c r="N26" s="140"/>
    </row>
    <row r="27" spans="1:14" ht="24" customHeight="1" x14ac:dyDescent="0.2">
      <c r="A27" s="58"/>
      <c r="B27" s="58"/>
      <c r="C27" s="59" t="s">
        <v>10</v>
      </c>
      <c r="D27" s="58"/>
      <c r="E27" s="58"/>
      <c r="F27" s="63"/>
      <c r="G27" s="63"/>
      <c r="H27" s="53"/>
      <c r="J27" s="140"/>
      <c r="K27" s="140"/>
      <c r="L27" s="140"/>
      <c r="M27" s="140"/>
      <c r="N27" s="140"/>
    </row>
    <row r="28" spans="1:14" ht="14.1" customHeight="1" x14ac:dyDescent="0.2">
      <c r="A28" s="58"/>
      <c r="B28" s="58"/>
      <c r="C28" s="59" t="s">
        <v>144</v>
      </c>
      <c r="D28" s="58"/>
      <c r="E28" s="58" t="s">
        <v>145</v>
      </c>
      <c r="F28" s="60" t="s">
        <v>147</v>
      </c>
      <c r="G28" s="61">
        <v>0</v>
      </c>
      <c r="H28" s="53"/>
      <c r="J28" s="140"/>
      <c r="K28" s="140"/>
      <c r="L28" s="140"/>
      <c r="M28" s="140"/>
      <c r="N28" s="140"/>
    </row>
    <row r="29" spans="1:14" ht="14.1" customHeight="1" x14ac:dyDescent="0.2">
      <c r="A29" s="58"/>
      <c r="B29" s="58"/>
      <c r="C29" s="62"/>
      <c r="D29" s="58"/>
      <c r="E29" s="58"/>
      <c r="F29" s="63"/>
      <c r="G29" s="63"/>
      <c r="H29" s="53"/>
      <c r="J29" s="140"/>
      <c r="K29" s="140"/>
      <c r="L29" s="140"/>
      <c r="M29" s="140"/>
      <c r="N29" s="140"/>
    </row>
    <row r="30" spans="1:14" ht="14.1" customHeight="1" x14ac:dyDescent="0.2">
      <c r="A30" s="58"/>
      <c r="B30" s="58"/>
      <c r="C30" s="59" t="s">
        <v>154</v>
      </c>
      <c r="D30" s="58"/>
      <c r="E30" s="58"/>
      <c r="F30" s="58"/>
      <c r="G30" s="58"/>
      <c r="H30" s="53"/>
      <c r="J30" s="140"/>
      <c r="K30" s="140"/>
      <c r="L30" s="140"/>
      <c r="M30" s="140"/>
      <c r="N30" s="140"/>
    </row>
    <row r="31" spans="1:14" ht="14.1" customHeight="1" x14ac:dyDescent="0.2">
      <c r="A31" s="58"/>
      <c r="B31" s="58"/>
      <c r="C31" s="59" t="s">
        <v>144</v>
      </c>
      <c r="D31" s="58"/>
      <c r="E31" s="58" t="s">
        <v>145</v>
      </c>
      <c r="F31" s="60" t="s">
        <v>147</v>
      </c>
      <c r="G31" s="61">
        <v>0</v>
      </c>
      <c r="H31" s="53"/>
      <c r="J31" s="140"/>
      <c r="K31" s="140"/>
      <c r="L31" s="140"/>
      <c r="M31" s="140"/>
      <c r="N31" s="140"/>
    </row>
    <row r="32" spans="1:14" ht="14.1" customHeight="1" x14ac:dyDescent="0.2">
      <c r="A32" s="58"/>
      <c r="B32" s="58"/>
      <c r="C32" s="62"/>
      <c r="D32" s="58"/>
      <c r="E32" s="58"/>
      <c r="F32" s="63"/>
      <c r="G32" s="63"/>
      <c r="H32" s="53"/>
      <c r="J32" s="140"/>
      <c r="K32" s="140"/>
      <c r="L32" s="140"/>
      <c r="M32" s="140"/>
      <c r="N32" s="140"/>
    </row>
    <row r="33" spans="1:14" ht="14.1" customHeight="1" x14ac:dyDescent="0.2">
      <c r="A33" s="58"/>
      <c r="B33" s="58"/>
      <c r="C33" s="59" t="s">
        <v>155</v>
      </c>
      <c r="D33" s="58"/>
      <c r="E33" s="58"/>
      <c r="F33" s="58"/>
      <c r="G33" s="58"/>
      <c r="H33" s="53"/>
      <c r="J33" s="140"/>
      <c r="K33" s="140"/>
      <c r="L33" s="140"/>
      <c r="M33" s="140"/>
      <c r="N33" s="140"/>
    </row>
    <row r="34" spans="1:14" ht="14.1" customHeight="1" x14ac:dyDescent="0.2">
      <c r="A34" s="58"/>
      <c r="B34" s="58"/>
      <c r="C34" s="59" t="s">
        <v>144</v>
      </c>
      <c r="D34" s="58"/>
      <c r="E34" s="58" t="s">
        <v>145</v>
      </c>
      <c r="F34" s="60" t="s">
        <v>147</v>
      </c>
      <c r="G34" s="61">
        <v>0</v>
      </c>
      <c r="H34" s="53"/>
      <c r="J34" s="140"/>
      <c r="K34" s="140"/>
      <c r="L34" s="140"/>
      <c r="M34" s="140"/>
      <c r="N34" s="140"/>
    </row>
    <row r="35" spans="1:14" ht="14.1" customHeight="1" x14ac:dyDescent="0.2">
      <c r="A35" s="58"/>
      <c r="B35" s="58"/>
      <c r="C35" s="62"/>
      <c r="D35" s="58"/>
      <c r="E35" s="58"/>
      <c r="F35" s="63"/>
      <c r="G35" s="63"/>
      <c r="H35" s="53"/>
      <c r="J35" s="140"/>
      <c r="K35" s="140"/>
      <c r="L35" s="140"/>
      <c r="M35" s="140"/>
      <c r="N35" s="140"/>
    </row>
    <row r="36" spans="1:14" ht="14.1" customHeight="1" x14ac:dyDescent="0.2">
      <c r="A36" s="58"/>
      <c r="B36" s="58"/>
      <c r="C36" s="59" t="s">
        <v>156</v>
      </c>
      <c r="D36" s="58"/>
      <c r="E36" s="58"/>
      <c r="F36" s="63"/>
      <c r="G36" s="63"/>
      <c r="H36" s="53"/>
      <c r="J36" s="140"/>
      <c r="K36" s="140"/>
      <c r="L36" s="140"/>
      <c r="M36" s="140"/>
      <c r="N36" s="140"/>
    </row>
    <row r="37" spans="1:14" ht="14.1" customHeight="1" x14ac:dyDescent="0.2">
      <c r="A37" s="58"/>
      <c r="B37" s="58"/>
      <c r="C37" s="59" t="s">
        <v>144</v>
      </c>
      <c r="D37" s="58"/>
      <c r="E37" s="58" t="s">
        <v>145</v>
      </c>
      <c r="F37" s="60" t="s">
        <v>147</v>
      </c>
      <c r="G37" s="61">
        <v>0</v>
      </c>
      <c r="H37" s="53"/>
      <c r="J37" s="140"/>
      <c r="K37" s="140"/>
      <c r="L37" s="140"/>
      <c r="M37" s="140"/>
      <c r="N37" s="140"/>
    </row>
    <row r="38" spans="1:14" ht="14.1" customHeight="1" x14ac:dyDescent="0.2">
      <c r="A38" s="58"/>
      <c r="B38" s="58"/>
      <c r="C38" s="62"/>
      <c r="D38" s="58"/>
      <c r="E38" s="58"/>
      <c r="F38" s="63"/>
      <c r="G38" s="63"/>
      <c r="H38" s="53"/>
      <c r="J38" s="140"/>
      <c r="K38" s="140"/>
      <c r="L38" s="140"/>
      <c r="M38" s="140"/>
      <c r="N38" s="140"/>
    </row>
    <row r="39" spans="1:14" ht="14.1" customHeight="1" x14ac:dyDescent="0.2">
      <c r="A39" s="58"/>
      <c r="B39" s="58"/>
      <c r="C39" s="59" t="s">
        <v>157</v>
      </c>
      <c r="D39" s="58"/>
      <c r="E39" s="58"/>
      <c r="F39" s="64">
        <v>0</v>
      </c>
      <c r="G39" s="61">
        <v>0</v>
      </c>
      <c r="H39" s="53"/>
      <c r="J39" s="140"/>
      <c r="K39" s="140"/>
      <c r="L39" s="140"/>
      <c r="M39" s="140"/>
      <c r="N39" s="140"/>
    </row>
    <row r="40" spans="1:14" ht="14.1" customHeight="1" x14ac:dyDescent="0.2">
      <c r="A40" s="58"/>
      <c r="B40" s="58"/>
      <c r="C40" s="62"/>
      <c r="D40" s="58"/>
      <c r="E40" s="58"/>
      <c r="F40" s="63"/>
      <c r="G40" s="63"/>
      <c r="H40" s="53"/>
      <c r="J40" s="140"/>
      <c r="K40" s="140"/>
      <c r="L40" s="140"/>
      <c r="M40" s="140"/>
      <c r="N40" s="140"/>
    </row>
    <row r="41" spans="1:14" ht="14.1" customHeight="1" x14ac:dyDescent="0.2">
      <c r="A41" s="58"/>
      <c r="B41" s="58"/>
      <c r="C41" s="59" t="s">
        <v>158</v>
      </c>
      <c r="D41" s="58"/>
      <c r="E41" s="58"/>
      <c r="F41" s="63"/>
      <c r="G41" s="63"/>
      <c r="H41" s="53"/>
      <c r="J41" s="140"/>
      <c r="K41" s="140"/>
      <c r="L41" s="140"/>
      <c r="M41" s="140"/>
      <c r="N41" s="140"/>
    </row>
    <row r="42" spans="1:14" ht="14.1" customHeight="1" x14ac:dyDescent="0.2">
      <c r="A42" s="58"/>
      <c r="B42" s="58"/>
      <c r="C42" s="59" t="s">
        <v>159</v>
      </c>
      <c r="D42" s="58"/>
      <c r="E42" s="58"/>
      <c r="F42" s="63"/>
      <c r="G42" s="63"/>
      <c r="H42" s="53"/>
      <c r="J42" s="140"/>
      <c r="K42" s="140"/>
      <c r="L42" s="140"/>
      <c r="M42" s="140"/>
      <c r="N42" s="140"/>
    </row>
    <row r="43" spans="1:14" ht="14.1" customHeight="1" x14ac:dyDescent="0.2">
      <c r="A43" s="58"/>
      <c r="B43" s="58"/>
      <c r="C43" s="59" t="s">
        <v>144</v>
      </c>
      <c r="D43" s="58"/>
      <c r="E43" s="58" t="s">
        <v>145</v>
      </c>
      <c r="F43" s="60" t="s">
        <v>147</v>
      </c>
      <c r="G43" s="61">
        <v>0</v>
      </c>
      <c r="H43" s="53"/>
      <c r="J43" s="140"/>
      <c r="K43" s="140"/>
      <c r="L43" s="140"/>
      <c r="M43" s="140"/>
      <c r="N43" s="140"/>
    </row>
    <row r="44" spans="1:14" ht="14.1" customHeight="1" x14ac:dyDescent="0.2">
      <c r="A44" s="58"/>
      <c r="B44" s="58"/>
      <c r="C44" s="62"/>
      <c r="D44" s="58"/>
      <c r="E44" s="58"/>
      <c r="F44" s="63"/>
      <c r="G44" s="63"/>
      <c r="H44" s="53"/>
      <c r="J44" s="140"/>
      <c r="K44" s="140"/>
      <c r="L44" s="140"/>
      <c r="M44" s="140"/>
      <c r="N44" s="140"/>
    </row>
    <row r="45" spans="1:14" ht="14.1" customHeight="1" x14ac:dyDescent="0.2">
      <c r="A45" s="58"/>
      <c r="B45" s="58"/>
      <c r="C45" s="59" t="s">
        <v>160</v>
      </c>
      <c r="D45" s="58"/>
      <c r="E45" s="58"/>
      <c r="F45" s="63"/>
      <c r="G45" s="63"/>
      <c r="H45" s="53"/>
      <c r="J45" s="140"/>
      <c r="K45" s="140"/>
      <c r="L45" s="140"/>
      <c r="M45" s="140"/>
      <c r="N45" s="140"/>
    </row>
    <row r="46" spans="1:14" ht="14.1" customHeight="1" x14ac:dyDescent="0.2">
      <c r="A46" s="58"/>
      <c r="B46" s="58"/>
      <c r="C46" s="59" t="s">
        <v>144</v>
      </c>
      <c r="D46" s="58"/>
      <c r="E46" s="58" t="s">
        <v>145</v>
      </c>
      <c r="F46" s="60" t="s">
        <v>147</v>
      </c>
      <c r="G46" s="61">
        <v>0</v>
      </c>
      <c r="H46" s="53"/>
      <c r="J46" s="140"/>
      <c r="K46" s="140"/>
      <c r="L46" s="140"/>
      <c r="M46" s="140"/>
      <c r="N46" s="140"/>
    </row>
    <row r="47" spans="1:14" ht="14.1" customHeight="1" x14ac:dyDescent="0.2">
      <c r="A47" s="58"/>
      <c r="B47" s="58"/>
      <c r="C47" s="62"/>
      <c r="D47" s="58"/>
      <c r="E47" s="58"/>
      <c r="F47" s="63"/>
      <c r="G47" s="63"/>
      <c r="H47" s="53"/>
      <c r="J47" s="140"/>
      <c r="K47" s="140"/>
      <c r="L47" s="140"/>
      <c r="M47" s="140"/>
      <c r="N47" s="140"/>
    </row>
    <row r="48" spans="1:14" ht="14.1" customHeight="1" x14ac:dyDescent="0.2">
      <c r="A48" s="58"/>
      <c r="B48" s="58"/>
      <c r="C48" s="59" t="s">
        <v>161</v>
      </c>
      <c r="D48" s="58"/>
      <c r="E48" s="58"/>
      <c r="F48" s="63"/>
      <c r="G48" s="63"/>
      <c r="H48" s="53"/>
      <c r="J48" s="140"/>
      <c r="K48" s="140"/>
      <c r="L48" s="140"/>
      <c r="M48" s="140"/>
      <c r="N48" s="140"/>
    </row>
    <row r="49" spans="1:14" ht="14.1" customHeight="1" x14ac:dyDescent="0.2">
      <c r="A49" s="58"/>
      <c r="B49" s="58"/>
      <c r="C49" s="59" t="s">
        <v>144</v>
      </c>
      <c r="D49" s="58"/>
      <c r="E49" s="58" t="s">
        <v>145</v>
      </c>
      <c r="F49" s="60" t="s">
        <v>147</v>
      </c>
      <c r="G49" s="61">
        <v>0</v>
      </c>
      <c r="H49" s="53"/>
      <c r="J49" s="140"/>
      <c r="K49" s="140"/>
      <c r="L49" s="140"/>
      <c r="M49" s="140"/>
      <c r="N49" s="140"/>
    </row>
    <row r="50" spans="1:14" ht="14.1" customHeight="1" x14ac:dyDescent="0.2">
      <c r="A50" s="58"/>
      <c r="B50" s="58"/>
      <c r="C50" s="62"/>
      <c r="D50" s="58"/>
      <c r="E50" s="58"/>
      <c r="F50" s="63"/>
      <c r="G50" s="63"/>
      <c r="H50" s="53"/>
      <c r="J50" s="140"/>
      <c r="K50" s="140"/>
      <c r="L50" s="140"/>
      <c r="M50" s="140"/>
      <c r="N50" s="140"/>
    </row>
    <row r="51" spans="1:14" ht="14.1" customHeight="1" x14ac:dyDescent="0.2">
      <c r="A51" s="58"/>
      <c r="B51" s="58"/>
      <c r="C51" s="59" t="s">
        <v>162</v>
      </c>
      <c r="D51" s="58"/>
      <c r="E51" s="58"/>
      <c r="F51" s="63"/>
      <c r="G51" s="63"/>
      <c r="H51" s="53"/>
      <c r="J51" s="140"/>
      <c r="K51" s="140"/>
      <c r="L51" s="140"/>
      <c r="M51" s="140"/>
      <c r="N51" s="140"/>
    </row>
    <row r="52" spans="1:14" ht="17.100000000000001" customHeight="1" x14ac:dyDescent="0.2">
      <c r="A52" s="65">
        <v>1</v>
      </c>
      <c r="B52" s="66"/>
      <c r="C52" s="66" t="s">
        <v>163</v>
      </c>
      <c r="D52" s="66"/>
      <c r="E52" s="67"/>
      <c r="F52" s="68">
        <v>223.22142800099999</v>
      </c>
      <c r="G52" s="69">
        <v>1.8840570000000001E-2</v>
      </c>
      <c r="H52" s="51">
        <v>6.6602331647804478</v>
      </c>
      <c r="J52" s="140"/>
      <c r="K52" s="140"/>
      <c r="L52" s="140"/>
      <c r="M52" s="140"/>
      <c r="N52" s="140"/>
    </row>
    <row r="53" spans="1:14" ht="17.100000000000001" customHeight="1" x14ac:dyDescent="0.2">
      <c r="A53" s="65">
        <v>2</v>
      </c>
      <c r="B53" s="66"/>
      <c r="C53" s="66" t="s">
        <v>164</v>
      </c>
      <c r="D53" s="66"/>
      <c r="E53" s="67"/>
      <c r="F53" s="68">
        <v>170.65905939999999</v>
      </c>
      <c r="G53" s="69">
        <v>1.4404149999999999E-2</v>
      </c>
      <c r="H53" s="51">
        <v>6.6588225936582406</v>
      </c>
      <c r="J53" s="140"/>
      <c r="K53" s="140"/>
      <c r="L53" s="140"/>
      <c r="M53" s="140"/>
      <c r="N53" s="140"/>
    </row>
    <row r="54" spans="1:14" ht="14.1" customHeight="1" x14ac:dyDescent="0.2">
      <c r="A54" s="58"/>
      <c r="B54" s="58"/>
      <c r="C54" s="59" t="s">
        <v>144</v>
      </c>
      <c r="D54" s="58"/>
      <c r="E54" s="58" t="s">
        <v>145</v>
      </c>
      <c r="F54" s="64">
        <v>393.88048740099998</v>
      </c>
      <c r="G54" s="61">
        <v>3.3244719999999998E-2</v>
      </c>
      <c r="H54" s="53"/>
      <c r="J54" s="140"/>
      <c r="K54" s="140"/>
      <c r="L54" s="140"/>
      <c r="M54" s="140"/>
      <c r="N54" s="140"/>
    </row>
    <row r="55" spans="1:14" ht="14.1" customHeight="1" x14ac:dyDescent="0.2">
      <c r="A55" s="58"/>
      <c r="B55" s="58"/>
      <c r="C55" s="62"/>
      <c r="D55" s="58"/>
      <c r="E55" s="58"/>
      <c r="F55" s="63"/>
      <c r="G55" s="63"/>
      <c r="H55" s="53"/>
      <c r="J55" s="140"/>
      <c r="K55" s="140"/>
      <c r="L55" s="140"/>
      <c r="M55" s="140"/>
      <c r="N55" s="140"/>
    </row>
    <row r="56" spans="1:14" ht="14.1" customHeight="1" x14ac:dyDescent="0.2">
      <c r="A56" s="58"/>
      <c r="B56" s="58"/>
      <c r="C56" s="59" t="s">
        <v>165</v>
      </c>
      <c r="D56" s="58"/>
      <c r="E56" s="58"/>
      <c r="F56" s="64">
        <v>393.88048740099998</v>
      </c>
      <c r="G56" s="61">
        <v>3.3244719999999998E-2</v>
      </c>
      <c r="H56" s="53"/>
      <c r="J56" s="140"/>
      <c r="K56" s="140"/>
      <c r="L56" s="140"/>
      <c r="M56" s="140"/>
      <c r="N56" s="140"/>
    </row>
    <row r="57" spans="1:14" ht="14.1" customHeight="1" x14ac:dyDescent="0.2">
      <c r="A57" s="58"/>
      <c r="B57" s="58"/>
      <c r="C57" s="63"/>
      <c r="D57" s="58"/>
      <c r="E57" s="58"/>
      <c r="F57" s="58"/>
      <c r="G57" s="58"/>
      <c r="H57" s="53"/>
      <c r="J57" s="140"/>
      <c r="K57" s="140"/>
      <c r="L57" s="140"/>
      <c r="M57" s="140"/>
      <c r="N57" s="140"/>
    </row>
    <row r="58" spans="1:14" ht="14.1" customHeight="1" x14ac:dyDescent="0.2">
      <c r="A58" s="58"/>
      <c r="B58" s="58"/>
      <c r="C58" s="59" t="s">
        <v>166</v>
      </c>
      <c r="D58" s="58"/>
      <c r="E58" s="58"/>
      <c r="F58" s="58"/>
      <c r="G58" s="58"/>
      <c r="H58" s="53"/>
      <c r="J58" s="140"/>
      <c r="K58" s="140"/>
      <c r="L58" s="140"/>
      <c r="M58" s="140"/>
      <c r="N58" s="140"/>
    </row>
    <row r="59" spans="1:14" customFormat="1" ht="27" customHeight="1" x14ac:dyDescent="0.2">
      <c r="A59" s="132"/>
      <c r="B59" s="132"/>
      <c r="C59" s="42" t="s">
        <v>1020</v>
      </c>
      <c r="D59" s="132"/>
      <c r="E59" s="132"/>
      <c r="F59" s="133"/>
      <c r="G59" s="132"/>
      <c r="H59" s="53"/>
      <c r="J59" s="140"/>
      <c r="K59" s="140"/>
      <c r="L59" s="140"/>
      <c r="M59" s="140"/>
      <c r="N59" s="140"/>
    </row>
    <row r="60" spans="1:14" ht="29.1" customHeight="1" x14ac:dyDescent="0.2">
      <c r="A60" s="65">
        <v>1</v>
      </c>
      <c r="B60" s="66" t="s">
        <v>956</v>
      </c>
      <c r="C60" s="66" t="s">
        <v>957</v>
      </c>
      <c r="D60" s="66"/>
      <c r="E60" s="70">
        <v>10732595.022</v>
      </c>
      <c r="F60" s="68">
        <v>11491.231506257</v>
      </c>
      <c r="G60" s="69">
        <v>0.96989521999999995</v>
      </c>
      <c r="H60" s="53"/>
      <c r="J60" s="140"/>
      <c r="K60" s="140"/>
      <c r="L60" s="140"/>
      <c r="M60" s="140"/>
      <c r="N60" s="140"/>
    </row>
    <row r="61" spans="1:14" ht="14.1" customHeight="1" x14ac:dyDescent="0.2">
      <c r="A61" s="58"/>
      <c r="B61" s="58"/>
      <c r="C61" s="59" t="s">
        <v>144</v>
      </c>
      <c r="D61" s="58"/>
      <c r="E61" s="58" t="s">
        <v>145</v>
      </c>
      <c r="F61" s="64">
        <v>11491.231506257</v>
      </c>
      <c r="G61" s="61">
        <v>0.96989521999999995</v>
      </c>
      <c r="H61" s="53"/>
      <c r="J61" s="140"/>
      <c r="K61" s="140"/>
      <c r="L61" s="140"/>
      <c r="M61" s="140"/>
      <c r="N61" s="140"/>
    </row>
    <row r="62" spans="1:14" ht="14.1" customHeight="1" x14ac:dyDescent="0.2">
      <c r="A62" s="58"/>
      <c r="B62" s="58"/>
      <c r="C62" s="62"/>
      <c r="D62" s="58"/>
      <c r="E62" s="58"/>
      <c r="F62" s="63"/>
      <c r="G62" s="63"/>
      <c r="H62" s="53"/>
      <c r="J62" s="140"/>
      <c r="K62" s="140"/>
      <c r="L62" s="140"/>
      <c r="M62" s="140"/>
      <c r="N62" s="140"/>
    </row>
    <row r="63" spans="1:14" ht="14.1" customHeight="1" x14ac:dyDescent="0.2">
      <c r="A63" s="58"/>
      <c r="B63" s="58"/>
      <c r="C63" s="59" t="s">
        <v>168</v>
      </c>
      <c r="D63" s="58"/>
      <c r="E63" s="58"/>
      <c r="F63" s="58"/>
      <c r="G63" s="58"/>
      <c r="H63" s="53"/>
      <c r="J63" s="140"/>
      <c r="K63" s="140"/>
      <c r="L63" s="140"/>
      <c r="M63" s="140"/>
      <c r="N63" s="140"/>
    </row>
    <row r="64" spans="1:14" ht="14.1" customHeight="1" x14ac:dyDescent="0.2">
      <c r="A64" s="58"/>
      <c r="B64" s="58"/>
      <c r="C64" s="59" t="s">
        <v>169</v>
      </c>
      <c r="D64" s="58"/>
      <c r="E64" s="58"/>
      <c r="F64" s="58"/>
      <c r="G64" s="58"/>
      <c r="H64" s="53"/>
      <c r="J64" s="140"/>
      <c r="K64" s="140"/>
      <c r="L64" s="140"/>
      <c r="M64" s="140"/>
      <c r="N64" s="140"/>
    </row>
    <row r="65" spans="1:14" ht="14.1" customHeight="1" x14ac:dyDescent="0.2">
      <c r="A65" s="58"/>
      <c r="B65" s="58"/>
      <c r="C65" s="59" t="s">
        <v>144</v>
      </c>
      <c r="D65" s="58"/>
      <c r="E65" s="58" t="s">
        <v>145</v>
      </c>
      <c r="F65" s="60" t="s">
        <v>147</v>
      </c>
      <c r="G65" s="61">
        <v>0</v>
      </c>
      <c r="H65" s="53"/>
      <c r="J65" s="140"/>
      <c r="K65" s="140"/>
      <c r="L65" s="140"/>
      <c r="M65" s="140"/>
      <c r="N65" s="140"/>
    </row>
    <row r="66" spans="1:14" ht="14.1" customHeight="1" x14ac:dyDescent="0.2">
      <c r="A66" s="58"/>
      <c r="B66" s="58"/>
      <c r="C66" s="62"/>
      <c r="D66" s="58"/>
      <c r="E66" s="58"/>
      <c r="F66" s="63"/>
      <c r="G66" s="63"/>
      <c r="H66" s="53"/>
      <c r="J66" s="140"/>
      <c r="K66" s="140"/>
      <c r="L66" s="140"/>
      <c r="M66" s="140"/>
      <c r="N66" s="140"/>
    </row>
    <row r="67" spans="1:14" ht="24" customHeight="1" x14ac:dyDescent="0.2">
      <c r="A67" s="58"/>
      <c r="B67" s="58"/>
      <c r="C67" s="59" t="s">
        <v>170</v>
      </c>
      <c r="D67" s="58"/>
      <c r="E67" s="58"/>
      <c r="F67" s="63"/>
      <c r="G67" s="63"/>
      <c r="H67" s="53"/>
      <c r="J67" s="140"/>
      <c r="K67" s="140"/>
      <c r="L67" s="140"/>
      <c r="M67" s="140"/>
      <c r="N67" s="140"/>
    </row>
    <row r="68" spans="1:14" ht="14.1" customHeight="1" x14ac:dyDescent="0.2">
      <c r="A68" s="58"/>
      <c r="B68" s="58"/>
      <c r="C68" s="59" t="s">
        <v>144</v>
      </c>
      <c r="D68" s="58"/>
      <c r="E68" s="58" t="s">
        <v>145</v>
      </c>
      <c r="F68" s="60" t="s">
        <v>147</v>
      </c>
      <c r="G68" s="61">
        <v>0</v>
      </c>
      <c r="H68" s="53"/>
      <c r="J68" s="140"/>
      <c r="K68" s="140"/>
      <c r="L68" s="140"/>
      <c r="M68" s="140"/>
      <c r="N68" s="140"/>
    </row>
    <row r="69" spans="1:14" ht="14.1" customHeight="1" x14ac:dyDescent="0.2">
      <c r="A69" s="58"/>
      <c r="B69" s="58"/>
      <c r="C69" s="62"/>
      <c r="D69" s="58"/>
      <c r="E69" s="58"/>
      <c r="F69" s="63"/>
      <c r="G69" s="63"/>
      <c r="H69" s="53"/>
      <c r="J69" s="140"/>
      <c r="K69" s="140"/>
      <c r="L69" s="140"/>
      <c r="M69" s="140"/>
      <c r="N69" s="140"/>
    </row>
    <row r="70" spans="1:14" ht="14.1" customHeight="1" x14ac:dyDescent="0.2">
      <c r="A70" s="58"/>
      <c r="B70" s="66"/>
      <c r="C70" s="66"/>
      <c r="D70" s="59"/>
      <c r="E70" s="58"/>
      <c r="F70" s="66"/>
      <c r="G70" s="67"/>
      <c r="H70" s="53"/>
      <c r="J70" s="140"/>
      <c r="K70" s="140"/>
      <c r="L70" s="140"/>
      <c r="M70" s="140"/>
      <c r="N70" s="140"/>
    </row>
    <row r="71" spans="1:14" ht="18" customHeight="1" x14ac:dyDescent="0.2">
      <c r="A71" s="67"/>
      <c r="B71" s="66"/>
      <c r="C71" s="66" t="s">
        <v>171</v>
      </c>
      <c r="D71" s="66"/>
      <c r="E71" s="67"/>
      <c r="F71" s="68">
        <v>-37.201747480000002</v>
      </c>
      <c r="G71" s="69">
        <v>-3.1399399999999999E-3</v>
      </c>
      <c r="H71" s="53"/>
      <c r="J71" s="140"/>
      <c r="K71" s="140"/>
      <c r="L71" s="140"/>
      <c r="M71" s="140"/>
      <c r="N71" s="140"/>
    </row>
    <row r="72" spans="1:14" ht="14.1" customHeight="1" x14ac:dyDescent="0.2">
      <c r="A72" s="62"/>
      <c r="B72" s="62"/>
      <c r="C72" s="59" t="s">
        <v>172</v>
      </c>
      <c r="D72" s="63"/>
      <c r="E72" s="63"/>
      <c r="F72" s="64">
        <v>11847.910246178</v>
      </c>
      <c r="G72" s="71">
        <v>1</v>
      </c>
      <c r="H72" s="53"/>
      <c r="J72" s="140"/>
      <c r="K72" s="140"/>
      <c r="L72" s="140"/>
      <c r="M72" s="140"/>
      <c r="N72" s="140"/>
    </row>
    <row r="73" spans="1:14" ht="14.1" customHeight="1" x14ac:dyDescent="0.2">
      <c r="A73" s="72"/>
      <c r="B73" s="72"/>
      <c r="C73" s="72"/>
      <c r="D73" s="73"/>
      <c r="E73" s="73"/>
      <c r="F73" s="73"/>
      <c r="G73" s="73"/>
      <c r="J73" s="140"/>
      <c r="K73" s="140"/>
      <c r="L73" s="140"/>
      <c r="M73" s="140"/>
      <c r="N73" s="140"/>
    </row>
    <row r="74" spans="1:14" ht="14.1" customHeight="1" x14ac:dyDescent="0.2">
      <c r="A74" s="74"/>
      <c r="B74" s="74"/>
      <c r="C74" s="74"/>
      <c r="D74" s="75"/>
      <c r="E74" s="75"/>
      <c r="F74" s="75"/>
      <c r="G74" s="75"/>
      <c r="J74" s="140"/>
      <c r="K74" s="140"/>
      <c r="L74" s="140"/>
      <c r="M74" s="140"/>
      <c r="N74" s="140"/>
    </row>
    <row r="75" spans="1:14" ht="14.1" customHeight="1" x14ac:dyDescent="0.2">
      <c r="A75" s="74"/>
      <c r="B75" s="236" t="s">
        <v>174</v>
      </c>
      <c r="C75" s="237"/>
      <c r="D75" s="238"/>
      <c r="E75" s="76"/>
      <c r="F75" s="75"/>
      <c r="G75" s="75"/>
      <c r="J75" s="140"/>
      <c r="K75" s="140"/>
      <c r="L75" s="140"/>
      <c r="M75" s="140"/>
      <c r="N75" s="140"/>
    </row>
    <row r="76" spans="1:14" ht="29.1" customHeight="1" x14ac:dyDescent="0.2">
      <c r="A76" s="74"/>
      <c r="B76" s="234" t="s">
        <v>175</v>
      </c>
      <c r="C76" s="235"/>
      <c r="D76" s="59" t="s">
        <v>176</v>
      </c>
      <c r="E76" s="76"/>
      <c r="F76" s="75"/>
      <c r="G76" s="75"/>
      <c r="J76" s="140"/>
      <c r="K76" s="140"/>
      <c r="L76" s="140"/>
      <c r="M76" s="140"/>
      <c r="N76" s="140"/>
    </row>
    <row r="77" spans="1:14" ht="17.100000000000001" customHeight="1" x14ac:dyDescent="0.2">
      <c r="A77" s="74"/>
      <c r="B77" s="234" t="s">
        <v>177</v>
      </c>
      <c r="C77" s="235"/>
      <c r="D77" s="59" t="s">
        <v>176</v>
      </c>
      <c r="E77" s="76"/>
      <c r="F77" s="75"/>
      <c r="G77" s="75"/>
      <c r="J77" s="140"/>
      <c r="K77" s="140"/>
      <c r="L77" s="140"/>
      <c r="M77" s="140"/>
      <c r="N77" s="140"/>
    </row>
    <row r="78" spans="1:14" ht="17.100000000000001" customHeight="1" x14ac:dyDescent="0.2">
      <c r="A78" s="74"/>
      <c r="B78" s="234" t="s">
        <v>178</v>
      </c>
      <c r="C78" s="235"/>
      <c r="D78" s="63" t="s">
        <v>145</v>
      </c>
      <c r="E78" s="76"/>
      <c r="F78" s="75"/>
      <c r="G78" s="75"/>
      <c r="J78" s="140"/>
      <c r="K78" s="140"/>
      <c r="L78" s="140"/>
      <c r="M78" s="140"/>
      <c r="N78" s="140"/>
    </row>
    <row r="79" spans="1:14" ht="24" customHeight="1" x14ac:dyDescent="0.2">
      <c r="A79" s="77"/>
      <c r="B79" s="78" t="s">
        <v>145</v>
      </c>
      <c r="C79" s="78" t="s">
        <v>179</v>
      </c>
      <c r="D79" s="78" t="s">
        <v>180</v>
      </c>
      <c r="E79" s="77"/>
      <c r="F79" s="77"/>
      <c r="G79" s="77"/>
      <c r="J79" s="140"/>
      <c r="K79" s="140"/>
      <c r="L79" s="140"/>
      <c r="M79" s="140"/>
      <c r="N79" s="140"/>
    </row>
    <row r="80" spans="1:14" ht="18" customHeight="1" x14ac:dyDescent="0.2">
      <c r="A80" s="77"/>
      <c r="B80" s="79" t="s">
        <v>181</v>
      </c>
      <c r="C80" s="78" t="s">
        <v>182</v>
      </c>
      <c r="D80" s="78" t="s">
        <v>183</v>
      </c>
      <c r="E80" s="77"/>
      <c r="F80" s="77"/>
      <c r="G80" s="77"/>
      <c r="J80" s="140"/>
      <c r="K80" s="140"/>
      <c r="L80" s="140"/>
      <c r="M80" s="140"/>
      <c r="N80" s="140"/>
    </row>
    <row r="81" spans="1:14" ht="17.100000000000001" customHeight="1" x14ac:dyDescent="0.2">
      <c r="A81" s="77"/>
      <c r="B81" s="66" t="s">
        <v>184</v>
      </c>
      <c r="C81" s="80">
        <v>29.592600000000001</v>
      </c>
      <c r="D81" s="80">
        <v>28.8797</v>
      </c>
      <c r="E81" s="77"/>
      <c r="F81" s="81"/>
      <c r="G81" s="82"/>
      <c r="J81" s="140"/>
      <c r="K81" s="140"/>
      <c r="L81" s="140"/>
      <c r="M81" s="140"/>
      <c r="N81" s="140"/>
    </row>
    <row r="82" spans="1:14" ht="17.100000000000001" customHeight="1" x14ac:dyDescent="0.2">
      <c r="A82" s="77"/>
      <c r="B82" s="66" t="s">
        <v>1009</v>
      </c>
      <c r="C82" s="80">
        <v>26.317900000000002</v>
      </c>
      <c r="D82" s="80">
        <v>25.683900000000001</v>
      </c>
      <c r="E82" s="77"/>
      <c r="F82" s="81"/>
      <c r="G82" s="82"/>
      <c r="J82" s="140"/>
      <c r="K82" s="140"/>
      <c r="L82" s="140"/>
      <c r="M82" s="140"/>
      <c r="N82" s="140"/>
    </row>
    <row r="83" spans="1:14" ht="17.100000000000001" customHeight="1" x14ac:dyDescent="0.2">
      <c r="A83" s="77"/>
      <c r="B83" s="66" t="s">
        <v>185</v>
      </c>
      <c r="C83" s="80">
        <v>27.533999999999999</v>
      </c>
      <c r="D83" s="80">
        <v>26.8477</v>
      </c>
      <c r="E83" s="77"/>
      <c r="F83" s="81"/>
      <c r="G83" s="82"/>
      <c r="J83" s="140"/>
      <c r="K83" s="140"/>
      <c r="L83" s="140"/>
      <c r="M83" s="140"/>
      <c r="N83" s="140"/>
    </row>
    <row r="84" spans="1:14" ht="17.100000000000001" customHeight="1" x14ac:dyDescent="0.2">
      <c r="A84" s="77"/>
      <c r="B84" s="66" t="s">
        <v>1010</v>
      </c>
      <c r="C84" s="80">
        <v>23.5944</v>
      </c>
      <c r="D84" s="80">
        <v>23.0063</v>
      </c>
      <c r="E84" s="77"/>
      <c r="F84" s="81"/>
      <c r="G84" s="82"/>
      <c r="J84" s="140"/>
      <c r="K84" s="140"/>
      <c r="L84" s="140"/>
      <c r="M84" s="140"/>
      <c r="N84" s="140"/>
    </row>
    <row r="85" spans="1:14" ht="14.1" customHeight="1" x14ac:dyDescent="0.2">
      <c r="A85" s="77"/>
      <c r="B85" s="77"/>
      <c r="C85" s="77"/>
      <c r="D85" s="77"/>
      <c r="E85" s="77"/>
      <c r="F85" s="77"/>
      <c r="G85" s="77"/>
      <c r="J85" s="140"/>
      <c r="K85" s="140"/>
      <c r="L85" s="140"/>
      <c r="M85" s="140"/>
      <c r="N85" s="140"/>
    </row>
    <row r="86" spans="1:14" ht="17.100000000000001" customHeight="1" x14ac:dyDescent="0.2">
      <c r="A86" s="77"/>
      <c r="B86" s="234" t="s">
        <v>1011</v>
      </c>
      <c r="C86" s="235"/>
      <c r="D86" s="59" t="s">
        <v>176</v>
      </c>
      <c r="E86" s="77"/>
      <c r="F86" s="77"/>
      <c r="G86" s="77"/>
      <c r="J86" s="140"/>
      <c r="K86" s="140"/>
      <c r="L86" s="140"/>
      <c r="M86" s="140"/>
      <c r="N86" s="140"/>
    </row>
    <row r="87" spans="1:14" ht="18" customHeight="1" x14ac:dyDescent="0.2">
      <c r="A87" s="77"/>
      <c r="B87" s="83"/>
      <c r="C87" s="83"/>
      <c r="D87" s="83"/>
      <c r="E87" s="77"/>
      <c r="F87" s="77"/>
      <c r="G87" s="77"/>
      <c r="J87" s="140"/>
      <c r="K87" s="140"/>
      <c r="L87" s="140"/>
      <c r="M87" s="140"/>
      <c r="N87" s="140"/>
    </row>
    <row r="88" spans="1:14" ht="29.1" customHeight="1" x14ac:dyDescent="0.2">
      <c r="A88" s="77"/>
      <c r="B88" s="234" t="s">
        <v>186</v>
      </c>
      <c r="C88" s="235"/>
      <c r="D88" s="59" t="s">
        <v>176</v>
      </c>
      <c r="E88" s="84"/>
      <c r="F88" s="77"/>
      <c r="G88" s="77"/>
      <c r="J88" s="140"/>
      <c r="K88" s="140"/>
      <c r="L88" s="140"/>
      <c r="M88" s="140"/>
      <c r="N88" s="140"/>
    </row>
    <row r="89" spans="1:14" ht="29.1" customHeight="1" x14ac:dyDescent="0.2">
      <c r="A89" s="77"/>
      <c r="B89" s="234" t="s">
        <v>187</v>
      </c>
      <c r="C89" s="235"/>
      <c r="D89" s="86" t="s">
        <v>959</v>
      </c>
      <c r="E89" s="84"/>
      <c r="F89" s="77"/>
      <c r="G89" s="77"/>
      <c r="J89" s="140"/>
      <c r="K89" s="140"/>
      <c r="L89" s="140"/>
      <c r="M89" s="140"/>
      <c r="N89" s="140"/>
    </row>
    <row r="90" spans="1:14" ht="17.100000000000001" customHeight="1" x14ac:dyDescent="0.2">
      <c r="A90" s="77"/>
      <c r="B90" s="234" t="s">
        <v>188</v>
      </c>
      <c r="C90" s="235"/>
      <c r="D90" s="59" t="s">
        <v>176</v>
      </c>
      <c r="E90" s="84"/>
      <c r="F90" s="77"/>
      <c r="G90" s="77"/>
      <c r="J90" s="140"/>
      <c r="K90" s="140"/>
      <c r="L90" s="140"/>
      <c r="M90" s="140"/>
      <c r="N90" s="140"/>
    </row>
    <row r="91" spans="1:14" ht="17.100000000000001" customHeight="1" x14ac:dyDescent="0.2">
      <c r="A91" s="77"/>
      <c r="B91" s="234" t="s">
        <v>189</v>
      </c>
      <c r="C91" s="235"/>
      <c r="D91" s="85">
        <v>0</v>
      </c>
      <c r="E91" s="77"/>
      <c r="F91" s="81"/>
      <c r="G91" s="82"/>
      <c r="J91" s="140"/>
      <c r="K91" s="140"/>
      <c r="L91" s="140"/>
      <c r="M91" s="140"/>
      <c r="N91" s="140"/>
    </row>
  </sheetData>
  <mergeCells count="13">
    <mergeCell ref="A1:H1"/>
    <mergeCell ref="A2:H2"/>
    <mergeCell ref="A3:H3"/>
    <mergeCell ref="J2:N2"/>
    <mergeCell ref="B91:C91"/>
    <mergeCell ref="B77:C77"/>
    <mergeCell ref="B78:C78"/>
    <mergeCell ref="B86:C86"/>
    <mergeCell ref="B88:C88"/>
    <mergeCell ref="B89:C89"/>
    <mergeCell ref="B90:C90"/>
    <mergeCell ref="B75:D75"/>
    <mergeCell ref="B76:C76"/>
  </mergeCells>
  <hyperlinks>
    <hyperlink ref="I1" location="Index!B3" display="Index" xr:uid="{FD92102C-B8B8-4C4B-98BB-4FB49707617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62"/>
  <sheetViews>
    <sheetView showGridLines="0" workbookViewId="0">
      <selection activeCell="B85" sqref="B85"/>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 min="10" max="10" width="9.5703125" bestFit="1" customWidth="1"/>
  </cols>
  <sheetData>
    <row r="1" spans="1:14" ht="18" customHeight="1" x14ac:dyDescent="0.2">
      <c r="A1" s="221" t="s">
        <v>0</v>
      </c>
      <c r="B1" s="221"/>
      <c r="C1" s="221"/>
      <c r="D1" s="221"/>
      <c r="E1" s="221"/>
      <c r="F1" s="221"/>
      <c r="G1" s="221"/>
      <c r="H1" s="221"/>
      <c r="I1" s="139" t="s">
        <v>1024</v>
      </c>
    </row>
    <row r="2" spans="1:14" ht="17.100000000000001" customHeight="1" x14ac:dyDescent="0.2">
      <c r="A2" s="222" t="s">
        <v>190</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191</v>
      </c>
      <c r="C7" s="4" t="s">
        <v>192</v>
      </c>
      <c r="D7" s="4" t="s">
        <v>28</v>
      </c>
      <c r="E7" s="5">
        <v>22120395</v>
      </c>
      <c r="F7" s="6">
        <v>31842.308602500001</v>
      </c>
      <c r="G7" s="7">
        <v>3.6950549999999999E-2</v>
      </c>
      <c r="H7" s="53"/>
    </row>
    <row r="8" spans="1:14" ht="17.100000000000001" customHeight="1" x14ac:dyDescent="0.2">
      <c r="A8" s="3">
        <v>2</v>
      </c>
      <c r="B8" s="4" t="s">
        <v>193</v>
      </c>
      <c r="C8" s="4" t="s">
        <v>194</v>
      </c>
      <c r="D8" s="4" t="s">
        <v>130</v>
      </c>
      <c r="E8" s="5">
        <v>1624015</v>
      </c>
      <c r="F8" s="6">
        <v>31315.881245</v>
      </c>
      <c r="G8" s="7">
        <v>3.6339679999999999E-2</v>
      </c>
      <c r="H8" s="53"/>
    </row>
    <row r="9" spans="1:14" ht="17.100000000000001" customHeight="1" x14ac:dyDescent="0.2">
      <c r="A9" s="3">
        <v>3</v>
      </c>
      <c r="B9" s="4" t="s">
        <v>195</v>
      </c>
      <c r="C9" s="4" t="s">
        <v>196</v>
      </c>
      <c r="D9" s="4" t="s">
        <v>73</v>
      </c>
      <c r="E9" s="5">
        <v>9072361</v>
      </c>
      <c r="F9" s="6">
        <v>22844.204998000001</v>
      </c>
      <c r="G9" s="7">
        <v>2.650895E-2</v>
      </c>
      <c r="H9" s="53"/>
    </row>
    <row r="10" spans="1:14" ht="17.100000000000001" customHeight="1" x14ac:dyDescent="0.2">
      <c r="A10" s="3">
        <v>4</v>
      </c>
      <c r="B10" s="4" t="s">
        <v>197</v>
      </c>
      <c r="C10" s="4" t="s">
        <v>198</v>
      </c>
      <c r="D10" s="4" t="s">
        <v>87</v>
      </c>
      <c r="E10" s="5">
        <v>760591</v>
      </c>
      <c r="F10" s="6">
        <v>22060.941954999998</v>
      </c>
      <c r="G10" s="7">
        <v>2.5600029999999999E-2</v>
      </c>
      <c r="H10" s="53"/>
    </row>
    <row r="11" spans="1:14" ht="29.1" customHeight="1" x14ac:dyDescent="0.2">
      <c r="A11" s="3">
        <v>5</v>
      </c>
      <c r="B11" s="4" t="s">
        <v>199</v>
      </c>
      <c r="C11" s="4" t="s">
        <v>200</v>
      </c>
      <c r="D11" s="4" t="s">
        <v>201</v>
      </c>
      <c r="E11" s="5">
        <v>478957</v>
      </c>
      <c r="F11" s="6">
        <v>22055.251414499999</v>
      </c>
      <c r="G11" s="7">
        <v>2.559343E-2</v>
      </c>
      <c r="H11" s="53"/>
    </row>
    <row r="12" spans="1:14" ht="17.100000000000001" customHeight="1" x14ac:dyDescent="0.2">
      <c r="A12" s="3">
        <v>6</v>
      </c>
      <c r="B12" s="4" t="s">
        <v>202</v>
      </c>
      <c r="C12" s="4" t="s">
        <v>203</v>
      </c>
      <c r="D12" s="4" t="s">
        <v>130</v>
      </c>
      <c r="E12" s="5">
        <v>8459013</v>
      </c>
      <c r="F12" s="6">
        <v>22010.351825999998</v>
      </c>
      <c r="G12" s="7">
        <v>2.5541319999999999E-2</v>
      </c>
      <c r="H12" s="53"/>
    </row>
    <row r="13" spans="1:14" ht="17.100000000000001" customHeight="1" x14ac:dyDescent="0.2">
      <c r="A13" s="3">
        <v>7</v>
      </c>
      <c r="B13" s="4" t="s">
        <v>104</v>
      </c>
      <c r="C13" s="4" t="s">
        <v>105</v>
      </c>
      <c r="D13" s="4" t="s">
        <v>31</v>
      </c>
      <c r="E13" s="5">
        <v>1270221</v>
      </c>
      <c r="F13" s="6">
        <v>21692.1991275</v>
      </c>
      <c r="G13" s="7">
        <v>2.5172130000000001E-2</v>
      </c>
      <c r="H13" s="53"/>
      <c r="J13" s="142" t="s">
        <v>1028</v>
      </c>
    </row>
    <row r="14" spans="1:14" ht="17.100000000000001" customHeight="1" x14ac:dyDescent="0.2">
      <c r="A14" s="3">
        <v>8</v>
      </c>
      <c r="B14" s="4" t="s">
        <v>204</v>
      </c>
      <c r="C14" s="4" t="s">
        <v>205</v>
      </c>
      <c r="D14" s="4" t="s">
        <v>206</v>
      </c>
      <c r="E14" s="5">
        <v>1036784</v>
      </c>
      <c r="F14" s="6">
        <v>21239.557024000002</v>
      </c>
      <c r="G14" s="7">
        <v>2.4646879999999999E-2</v>
      </c>
      <c r="H14" s="53"/>
    </row>
    <row r="15" spans="1:14" ht="17.100000000000001" customHeight="1" x14ac:dyDescent="0.2">
      <c r="A15" s="3">
        <v>9</v>
      </c>
      <c r="B15" s="4" t="s">
        <v>207</v>
      </c>
      <c r="C15" s="4" t="s">
        <v>208</v>
      </c>
      <c r="D15" s="4" t="s">
        <v>209</v>
      </c>
      <c r="E15" s="5">
        <v>6391007</v>
      </c>
      <c r="F15" s="6">
        <v>21195.7747155</v>
      </c>
      <c r="G15" s="7">
        <v>2.4596070000000001E-2</v>
      </c>
      <c r="H15" s="53"/>
    </row>
    <row r="16" spans="1:14" ht="29.1" customHeight="1" x14ac:dyDescent="0.2">
      <c r="A16" s="3">
        <v>10</v>
      </c>
      <c r="B16" s="4" t="s">
        <v>210</v>
      </c>
      <c r="C16" s="4" t="s">
        <v>211</v>
      </c>
      <c r="D16" s="4" t="s">
        <v>130</v>
      </c>
      <c r="E16" s="5">
        <v>1816845</v>
      </c>
      <c r="F16" s="6">
        <v>20382.275632500001</v>
      </c>
      <c r="G16" s="7">
        <v>2.3652070000000001E-2</v>
      </c>
      <c r="H16" s="53"/>
    </row>
    <row r="17" spans="1:10" ht="29.1" customHeight="1" x14ac:dyDescent="0.2">
      <c r="A17" s="3">
        <v>11</v>
      </c>
      <c r="B17" s="4" t="s">
        <v>212</v>
      </c>
      <c r="C17" s="4" t="s">
        <v>213</v>
      </c>
      <c r="D17" s="4" t="s">
        <v>214</v>
      </c>
      <c r="E17" s="5">
        <v>1773595</v>
      </c>
      <c r="F17" s="6">
        <v>19349.034652499999</v>
      </c>
      <c r="G17" s="7">
        <v>2.2453069999999999E-2</v>
      </c>
      <c r="H17" s="53"/>
    </row>
    <row r="18" spans="1:10" ht="29.1" customHeight="1" x14ac:dyDescent="0.2">
      <c r="A18" s="3">
        <v>12</v>
      </c>
      <c r="B18" s="4" t="s">
        <v>64</v>
      </c>
      <c r="C18" s="4" t="s">
        <v>65</v>
      </c>
      <c r="D18" s="4" t="s">
        <v>25</v>
      </c>
      <c r="E18" s="5">
        <v>921955</v>
      </c>
      <c r="F18" s="6">
        <v>19223.2227275</v>
      </c>
      <c r="G18" s="7">
        <v>2.2307069999999998E-2</v>
      </c>
      <c r="H18" s="53"/>
    </row>
    <row r="19" spans="1:10" ht="17.100000000000001" customHeight="1" x14ac:dyDescent="0.2">
      <c r="A19" s="3">
        <v>13</v>
      </c>
      <c r="B19" s="4" t="s">
        <v>42</v>
      </c>
      <c r="C19" s="4" t="s">
        <v>43</v>
      </c>
      <c r="D19" s="4" t="s">
        <v>31</v>
      </c>
      <c r="E19" s="5">
        <v>820523</v>
      </c>
      <c r="F19" s="6">
        <v>18675.924003</v>
      </c>
      <c r="G19" s="7">
        <v>2.167198E-2</v>
      </c>
      <c r="H19" s="53"/>
    </row>
    <row r="20" spans="1:10" ht="17.100000000000001" customHeight="1" x14ac:dyDescent="0.2">
      <c r="A20" s="3">
        <v>14</v>
      </c>
      <c r="B20" s="4" t="s">
        <v>46</v>
      </c>
      <c r="C20" s="4" t="s">
        <v>47</v>
      </c>
      <c r="D20" s="4" t="s">
        <v>31</v>
      </c>
      <c r="E20" s="5">
        <v>350006</v>
      </c>
      <c r="F20" s="6">
        <v>17930.982382999999</v>
      </c>
      <c r="G20" s="7">
        <v>2.0807530000000001E-2</v>
      </c>
      <c r="H20" s="53"/>
    </row>
    <row r="21" spans="1:10" ht="17.100000000000001" customHeight="1" x14ac:dyDescent="0.2">
      <c r="A21" s="3">
        <v>15</v>
      </c>
      <c r="B21" s="4" t="s">
        <v>215</v>
      </c>
      <c r="C21" s="4" t="s">
        <v>216</v>
      </c>
      <c r="D21" s="4" t="s">
        <v>905</v>
      </c>
      <c r="E21" s="5">
        <v>324518</v>
      </c>
      <c r="F21" s="6">
        <v>17428.888225999999</v>
      </c>
      <c r="G21" s="7">
        <v>2.0224889999999999E-2</v>
      </c>
      <c r="H21" s="53"/>
    </row>
    <row r="22" spans="1:10" ht="17.100000000000001" customHeight="1" x14ac:dyDescent="0.2">
      <c r="A22" s="3">
        <v>16</v>
      </c>
      <c r="B22" s="4" t="s">
        <v>90</v>
      </c>
      <c r="C22" s="4" t="s">
        <v>91</v>
      </c>
      <c r="D22" s="4" t="s">
        <v>92</v>
      </c>
      <c r="E22" s="5">
        <v>1526260</v>
      </c>
      <c r="F22" s="6">
        <v>17107.085210000001</v>
      </c>
      <c r="G22" s="7">
        <v>1.9851460000000001E-2</v>
      </c>
      <c r="H22" s="53"/>
      <c r="J22" s="142" t="s">
        <v>1029</v>
      </c>
    </row>
    <row r="23" spans="1:10" ht="17.100000000000001" customHeight="1" x14ac:dyDescent="0.2">
      <c r="A23" s="3">
        <v>17</v>
      </c>
      <c r="B23" s="4" t="s">
        <v>93</v>
      </c>
      <c r="C23" s="4" t="s">
        <v>94</v>
      </c>
      <c r="D23" s="4" t="s">
        <v>95</v>
      </c>
      <c r="E23" s="5">
        <v>2485000</v>
      </c>
      <c r="F23" s="6">
        <v>17009.825000000001</v>
      </c>
      <c r="G23" s="7">
        <v>1.9738599999999999E-2</v>
      </c>
      <c r="H23" s="53"/>
    </row>
    <row r="24" spans="1:10" ht="17.100000000000001" customHeight="1" x14ac:dyDescent="0.2">
      <c r="A24" s="3">
        <v>18</v>
      </c>
      <c r="B24" s="4" t="s">
        <v>85</v>
      </c>
      <c r="C24" s="4" t="s">
        <v>86</v>
      </c>
      <c r="D24" s="4" t="s">
        <v>87</v>
      </c>
      <c r="E24" s="5">
        <v>532035</v>
      </c>
      <c r="F24" s="6">
        <v>16239.304305</v>
      </c>
      <c r="G24" s="7">
        <v>1.8844469999999999E-2</v>
      </c>
      <c r="H24" s="53"/>
    </row>
    <row r="25" spans="1:10" ht="17.100000000000001" customHeight="1" x14ac:dyDescent="0.2">
      <c r="A25" s="3">
        <v>19</v>
      </c>
      <c r="B25" s="4" t="s">
        <v>217</v>
      </c>
      <c r="C25" s="4" t="s">
        <v>218</v>
      </c>
      <c r="D25" s="4" t="s">
        <v>28</v>
      </c>
      <c r="E25" s="5">
        <v>2200000</v>
      </c>
      <c r="F25" s="6">
        <v>15918.1</v>
      </c>
      <c r="G25" s="7">
        <v>1.8471729999999999E-2</v>
      </c>
      <c r="H25" s="53"/>
    </row>
    <row r="26" spans="1:10" ht="17.100000000000001" customHeight="1" x14ac:dyDescent="0.2">
      <c r="A26" s="3">
        <v>20</v>
      </c>
      <c r="B26" s="4" t="s">
        <v>219</v>
      </c>
      <c r="C26" s="4" t="s">
        <v>220</v>
      </c>
      <c r="D26" s="4" t="s">
        <v>221</v>
      </c>
      <c r="E26" s="5">
        <v>1682628</v>
      </c>
      <c r="F26" s="6">
        <v>15710.697636000001</v>
      </c>
      <c r="G26" s="7">
        <v>1.823106E-2</v>
      </c>
      <c r="H26" s="53"/>
    </row>
    <row r="27" spans="1:10" ht="29.1" customHeight="1" x14ac:dyDescent="0.2">
      <c r="A27" s="3">
        <v>21</v>
      </c>
      <c r="B27" s="4" t="s">
        <v>222</v>
      </c>
      <c r="C27" s="4" t="s">
        <v>223</v>
      </c>
      <c r="D27" s="4" t="s">
        <v>224</v>
      </c>
      <c r="E27" s="5">
        <v>2315500</v>
      </c>
      <c r="F27" s="6">
        <v>14491.55675</v>
      </c>
      <c r="G27" s="7">
        <v>1.6816339999999999E-2</v>
      </c>
      <c r="H27" s="53"/>
    </row>
    <row r="28" spans="1:10" ht="29.1" customHeight="1" x14ac:dyDescent="0.2">
      <c r="A28" s="3">
        <v>22</v>
      </c>
      <c r="B28" s="4" t="s">
        <v>36</v>
      </c>
      <c r="C28" s="4" t="s">
        <v>37</v>
      </c>
      <c r="D28" s="4" t="s">
        <v>38</v>
      </c>
      <c r="E28" s="5">
        <v>10839928</v>
      </c>
      <c r="F28" s="6">
        <v>14438.784095999999</v>
      </c>
      <c r="G28" s="7">
        <v>1.6755099999999998E-2</v>
      </c>
      <c r="H28" s="53"/>
    </row>
    <row r="29" spans="1:10" ht="17.100000000000001" customHeight="1" x14ac:dyDescent="0.2">
      <c r="A29" s="3">
        <v>23</v>
      </c>
      <c r="B29" s="4" t="s">
        <v>225</v>
      </c>
      <c r="C29" s="4" t="s">
        <v>226</v>
      </c>
      <c r="D29" s="4" t="s">
        <v>80</v>
      </c>
      <c r="E29" s="5">
        <v>5175000</v>
      </c>
      <c r="F29" s="6">
        <v>14290.762500000001</v>
      </c>
      <c r="G29" s="7">
        <v>1.658333E-2</v>
      </c>
      <c r="H29" s="53"/>
    </row>
    <row r="30" spans="1:10" ht="17.100000000000001" customHeight="1" x14ac:dyDescent="0.2">
      <c r="A30" s="3">
        <v>24</v>
      </c>
      <c r="B30" s="4" t="s">
        <v>120</v>
      </c>
      <c r="C30" s="4" t="s">
        <v>121</v>
      </c>
      <c r="D30" s="4" t="s">
        <v>31</v>
      </c>
      <c r="E30" s="5">
        <v>708210</v>
      </c>
      <c r="F30" s="6">
        <v>13838.777505</v>
      </c>
      <c r="G30" s="7">
        <v>1.6058840000000001E-2</v>
      </c>
      <c r="H30" s="53"/>
    </row>
    <row r="31" spans="1:10" ht="17.100000000000001" customHeight="1" x14ac:dyDescent="0.2">
      <c r="A31" s="3">
        <v>25</v>
      </c>
      <c r="B31" s="4" t="s">
        <v>227</v>
      </c>
      <c r="C31" s="4" t="s">
        <v>228</v>
      </c>
      <c r="D31" s="4" t="s">
        <v>229</v>
      </c>
      <c r="E31" s="5">
        <v>2641754</v>
      </c>
      <c r="F31" s="6">
        <v>13527.101357</v>
      </c>
      <c r="G31" s="7">
        <v>1.5697160000000002E-2</v>
      </c>
      <c r="H31" s="53"/>
    </row>
    <row r="32" spans="1:10" ht="29.1" customHeight="1" x14ac:dyDescent="0.2">
      <c r="A32" s="3">
        <v>26</v>
      </c>
      <c r="B32" s="4" t="s">
        <v>230</v>
      </c>
      <c r="C32" s="4" t="s">
        <v>231</v>
      </c>
      <c r="D32" s="4" t="s">
        <v>87</v>
      </c>
      <c r="E32" s="5">
        <v>96753</v>
      </c>
      <c r="F32" s="6">
        <v>13371.458106</v>
      </c>
      <c r="G32" s="7">
        <v>1.551655E-2</v>
      </c>
      <c r="H32" s="53"/>
    </row>
    <row r="33" spans="1:8" ht="17.100000000000001" customHeight="1" x14ac:dyDescent="0.2">
      <c r="A33" s="3">
        <v>27</v>
      </c>
      <c r="B33" s="4" t="s">
        <v>232</v>
      </c>
      <c r="C33" s="4" t="s">
        <v>233</v>
      </c>
      <c r="D33" s="4" t="s">
        <v>130</v>
      </c>
      <c r="E33" s="5">
        <v>1259033</v>
      </c>
      <c r="F33" s="6">
        <v>12390.143753</v>
      </c>
      <c r="G33" s="7">
        <v>1.437781E-2</v>
      </c>
      <c r="H33" s="53"/>
    </row>
    <row r="34" spans="1:8" ht="17.100000000000001" customHeight="1" x14ac:dyDescent="0.2">
      <c r="A34" s="3">
        <v>28</v>
      </c>
      <c r="B34" s="4" t="s">
        <v>128</v>
      </c>
      <c r="C34" s="4" t="s">
        <v>129</v>
      </c>
      <c r="D34" s="4" t="s">
        <v>130</v>
      </c>
      <c r="E34" s="5">
        <v>5126928</v>
      </c>
      <c r="F34" s="6">
        <v>12235.413672000001</v>
      </c>
      <c r="G34" s="7">
        <v>1.4198260000000001E-2</v>
      </c>
      <c r="H34" s="53"/>
    </row>
    <row r="35" spans="1:8" ht="53.1" customHeight="1" x14ac:dyDescent="0.2">
      <c r="A35" s="3">
        <v>29</v>
      </c>
      <c r="B35" s="4" t="s">
        <v>66</v>
      </c>
      <c r="C35" s="4" t="s">
        <v>67</v>
      </c>
      <c r="D35" s="4" t="s">
        <v>68</v>
      </c>
      <c r="E35" s="5">
        <v>6600000</v>
      </c>
      <c r="F35" s="6">
        <v>12134.1</v>
      </c>
      <c r="G35" s="7">
        <v>1.408069E-2</v>
      </c>
      <c r="H35" s="53"/>
    </row>
    <row r="36" spans="1:8" ht="17.100000000000001" customHeight="1" x14ac:dyDescent="0.2">
      <c r="A36" s="3">
        <v>30</v>
      </c>
      <c r="B36" s="4" t="s">
        <v>234</v>
      </c>
      <c r="C36" s="4" t="s">
        <v>235</v>
      </c>
      <c r="D36" s="4" t="s">
        <v>905</v>
      </c>
      <c r="E36" s="5">
        <v>218451</v>
      </c>
      <c r="F36" s="6">
        <v>11941.5146895</v>
      </c>
      <c r="G36" s="7">
        <v>1.385721E-2</v>
      </c>
      <c r="H36" s="53"/>
    </row>
    <row r="37" spans="1:8" ht="17.100000000000001" customHeight="1" x14ac:dyDescent="0.2">
      <c r="A37" s="3">
        <v>31</v>
      </c>
      <c r="B37" s="4" t="s">
        <v>236</v>
      </c>
      <c r="C37" s="4" t="s">
        <v>237</v>
      </c>
      <c r="D37" s="4" t="s">
        <v>238</v>
      </c>
      <c r="E37" s="5">
        <v>962480</v>
      </c>
      <c r="F37" s="6">
        <v>11544.9476</v>
      </c>
      <c r="G37" s="7">
        <v>1.3397030000000001E-2</v>
      </c>
      <c r="H37" s="53"/>
    </row>
    <row r="38" spans="1:8" ht="17.100000000000001" customHeight="1" x14ac:dyDescent="0.2">
      <c r="A38" s="3">
        <v>32</v>
      </c>
      <c r="B38" s="4" t="s">
        <v>32</v>
      </c>
      <c r="C38" s="4" t="s">
        <v>33</v>
      </c>
      <c r="D38" s="4" t="s">
        <v>28</v>
      </c>
      <c r="E38" s="5">
        <v>2000000</v>
      </c>
      <c r="F38" s="6">
        <v>11227</v>
      </c>
      <c r="G38" s="7">
        <v>1.3028069999999999E-2</v>
      </c>
      <c r="H38" s="53"/>
    </row>
    <row r="39" spans="1:8" ht="29.1" customHeight="1" x14ac:dyDescent="0.2">
      <c r="A39" s="3">
        <v>33</v>
      </c>
      <c r="B39" s="4" t="s">
        <v>239</v>
      </c>
      <c r="C39" s="4" t="s">
        <v>240</v>
      </c>
      <c r="D39" s="4" t="s">
        <v>224</v>
      </c>
      <c r="E39" s="5">
        <v>1019596</v>
      </c>
      <c r="F39" s="6">
        <v>11193.634685999999</v>
      </c>
      <c r="G39" s="7">
        <v>1.298935E-2</v>
      </c>
      <c r="H39" s="53"/>
    </row>
    <row r="40" spans="1:8" ht="29.1" customHeight="1" x14ac:dyDescent="0.2">
      <c r="A40" s="3">
        <v>34</v>
      </c>
      <c r="B40" s="4" t="s">
        <v>241</v>
      </c>
      <c r="C40" s="4" t="s">
        <v>242</v>
      </c>
      <c r="D40" s="4" t="s">
        <v>224</v>
      </c>
      <c r="E40" s="5">
        <v>301845</v>
      </c>
      <c r="F40" s="6">
        <v>10995.760582499999</v>
      </c>
      <c r="G40" s="7">
        <v>1.275974E-2</v>
      </c>
      <c r="H40" s="53"/>
    </row>
    <row r="41" spans="1:8" ht="17.100000000000001" customHeight="1" x14ac:dyDescent="0.2">
      <c r="A41" s="3">
        <v>35</v>
      </c>
      <c r="B41" s="4" t="s">
        <v>243</v>
      </c>
      <c r="C41" s="4" t="s">
        <v>244</v>
      </c>
      <c r="D41" s="4" t="s">
        <v>130</v>
      </c>
      <c r="E41" s="5">
        <v>670354</v>
      </c>
      <c r="F41" s="6">
        <v>10942.858695999999</v>
      </c>
      <c r="G41" s="7">
        <v>1.2698350000000001E-2</v>
      </c>
      <c r="H41" s="53"/>
    </row>
    <row r="42" spans="1:8" ht="17.100000000000001" customHeight="1" x14ac:dyDescent="0.2">
      <c r="A42" s="3">
        <v>36</v>
      </c>
      <c r="B42" s="4" t="s">
        <v>245</v>
      </c>
      <c r="C42" s="4" t="s">
        <v>246</v>
      </c>
      <c r="D42" s="4" t="s">
        <v>73</v>
      </c>
      <c r="E42" s="5">
        <v>1250000</v>
      </c>
      <c r="F42" s="6">
        <v>10873.75</v>
      </c>
      <c r="G42" s="7">
        <v>1.261815E-2</v>
      </c>
      <c r="H42" s="53"/>
    </row>
    <row r="43" spans="1:8" ht="17.100000000000001" customHeight="1" x14ac:dyDescent="0.2">
      <c r="A43" s="3">
        <v>37</v>
      </c>
      <c r="B43" s="4" t="s">
        <v>247</v>
      </c>
      <c r="C43" s="4" t="s">
        <v>248</v>
      </c>
      <c r="D43" s="4" t="s">
        <v>87</v>
      </c>
      <c r="E43" s="5">
        <v>200000</v>
      </c>
      <c r="F43" s="6">
        <v>10362.5</v>
      </c>
      <c r="G43" s="7">
        <v>1.202489E-2</v>
      </c>
      <c r="H43" s="53"/>
    </row>
    <row r="44" spans="1:8" ht="17.100000000000001" customHeight="1" x14ac:dyDescent="0.2">
      <c r="A44" s="3">
        <v>38</v>
      </c>
      <c r="B44" s="4" t="s">
        <v>249</v>
      </c>
      <c r="C44" s="4" t="s">
        <v>250</v>
      </c>
      <c r="D44" s="4" t="s">
        <v>905</v>
      </c>
      <c r="E44" s="5">
        <v>408140</v>
      </c>
      <c r="F44" s="6">
        <v>9912.9043199999996</v>
      </c>
      <c r="G44" s="7">
        <v>1.150316E-2</v>
      </c>
      <c r="H44" s="53"/>
    </row>
    <row r="45" spans="1:8" ht="17.100000000000001" customHeight="1" x14ac:dyDescent="0.2">
      <c r="A45" s="3">
        <v>39</v>
      </c>
      <c r="B45" s="4" t="s">
        <v>251</v>
      </c>
      <c r="C45" s="4" t="s">
        <v>252</v>
      </c>
      <c r="D45" s="4" t="s">
        <v>229</v>
      </c>
      <c r="E45" s="5">
        <v>1769363</v>
      </c>
      <c r="F45" s="6">
        <v>9752.7288559999997</v>
      </c>
      <c r="G45" s="7">
        <v>1.1317290000000001E-2</v>
      </c>
      <c r="H45" s="53"/>
    </row>
    <row r="46" spans="1:8" ht="17.100000000000001" customHeight="1" x14ac:dyDescent="0.2">
      <c r="A46" s="3">
        <v>40</v>
      </c>
      <c r="B46" s="4" t="s">
        <v>253</v>
      </c>
      <c r="C46" s="4" t="s">
        <v>254</v>
      </c>
      <c r="D46" s="4" t="s">
        <v>87</v>
      </c>
      <c r="E46" s="5">
        <v>1592658</v>
      </c>
      <c r="F46" s="6">
        <v>9590.986476</v>
      </c>
      <c r="G46" s="7">
        <v>1.11296E-2</v>
      </c>
      <c r="H46" s="53"/>
    </row>
    <row r="47" spans="1:8" ht="17.100000000000001" customHeight="1" x14ac:dyDescent="0.2">
      <c r="A47" s="3">
        <v>41</v>
      </c>
      <c r="B47" s="4" t="s">
        <v>255</v>
      </c>
      <c r="C47" s="4" t="s">
        <v>256</v>
      </c>
      <c r="D47" s="4" t="s">
        <v>206</v>
      </c>
      <c r="E47" s="5">
        <v>220000</v>
      </c>
      <c r="F47" s="6">
        <v>9529.2999999999993</v>
      </c>
      <c r="G47" s="7">
        <v>1.105802E-2</v>
      </c>
      <c r="H47" s="53"/>
    </row>
    <row r="48" spans="1:8" ht="17.100000000000001" customHeight="1" x14ac:dyDescent="0.2">
      <c r="A48" s="3">
        <v>42</v>
      </c>
      <c r="B48" s="4" t="s">
        <v>257</v>
      </c>
      <c r="C48" s="4" t="s">
        <v>258</v>
      </c>
      <c r="D48" s="4" t="s">
        <v>73</v>
      </c>
      <c r="E48" s="5">
        <v>892091</v>
      </c>
      <c r="F48" s="6">
        <v>9348.6676344999996</v>
      </c>
      <c r="G48" s="7">
        <v>1.0848409999999999E-2</v>
      </c>
      <c r="H48" s="53"/>
    </row>
    <row r="49" spans="1:8" ht="17.100000000000001" customHeight="1" x14ac:dyDescent="0.2">
      <c r="A49" s="3">
        <v>43</v>
      </c>
      <c r="B49" s="4" t="s">
        <v>88</v>
      </c>
      <c r="C49" s="4" t="s">
        <v>89</v>
      </c>
      <c r="D49" s="4" t="s">
        <v>87</v>
      </c>
      <c r="E49" s="5">
        <v>1564616</v>
      </c>
      <c r="F49" s="6">
        <v>9318.8528960000003</v>
      </c>
      <c r="G49" s="7">
        <v>1.081381E-2</v>
      </c>
      <c r="H49" s="53"/>
    </row>
    <row r="50" spans="1:8" ht="29.1" customHeight="1" x14ac:dyDescent="0.2">
      <c r="A50" s="3">
        <v>44</v>
      </c>
      <c r="B50" s="4" t="s">
        <v>259</v>
      </c>
      <c r="C50" s="4" t="s">
        <v>260</v>
      </c>
      <c r="D50" s="4" t="s">
        <v>261</v>
      </c>
      <c r="E50" s="5">
        <v>1199267</v>
      </c>
      <c r="F50" s="6">
        <v>9290.1218155000006</v>
      </c>
      <c r="G50" s="7">
        <v>1.078047E-2</v>
      </c>
      <c r="H50" s="53"/>
    </row>
    <row r="51" spans="1:8" ht="17.100000000000001" customHeight="1" x14ac:dyDescent="0.2">
      <c r="A51" s="3">
        <v>45</v>
      </c>
      <c r="B51" s="4" t="s">
        <v>57</v>
      </c>
      <c r="C51" s="4" t="s">
        <v>58</v>
      </c>
      <c r="D51" s="4" t="s">
        <v>59</v>
      </c>
      <c r="E51" s="5">
        <v>1371326</v>
      </c>
      <c r="F51" s="6">
        <v>9220.7960239999993</v>
      </c>
      <c r="G51" s="7">
        <v>1.0700029999999999E-2</v>
      </c>
      <c r="H51" s="53"/>
    </row>
    <row r="52" spans="1:8" ht="17.100000000000001" customHeight="1" x14ac:dyDescent="0.2">
      <c r="A52" s="3">
        <v>46</v>
      </c>
      <c r="B52" s="4" t="s">
        <v>262</v>
      </c>
      <c r="C52" s="4" t="s">
        <v>263</v>
      </c>
      <c r="D52" s="4" t="s">
        <v>264</v>
      </c>
      <c r="E52" s="5">
        <v>3354650</v>
      </c>
      <c r="F52" s="6">
        <v>8795.8922999999995</v>
      </c>
      <c r="G52" s="7">
        <v>1.0206959999999999E-2</v>
      </c>
      <c r="H52" s="53"/>
    </row>
    <row r="53" spans="1:8" ht="17.100000000000001" customHeight="1" x14ac:dyDescent="0.2">
      <c r="A53" s="3">
        <v>47</v>
      </c>
      <c r="B53" s="4" t="s">
        <v>265</v>
      </c>
      <c r="C53" s="4" t="s">
        <v>266</v>
      </c>
      <c r="D53" s="4" t="s">
        <v>108</v>
      </c>
      <c r="E53" s="5">
        <v>609596</v>
      </c>
      <c r="F53" s="6">
        <v>8655.6536039999992</v>
      </c>
      <c r="G53" s="7">
        <v>1.004422E-2</v>
      </c>
      <c r="H53" s="53"/>
    </row>
    <row r="54" spans="1:8" ht="17.100000000000001" customHeight="1" x14ac:dyDescent="0.2">
      <c r="A54" s="3">
        <v>48</v>
      </c>
      <c r="B54" s="4" t="s">
        <v>267</v>
      </c>
      <c r="C54" s="4" t="s">
        <v>268</v>
      </c>
      <c r="D54" s="4" t="s">
        <v>19</v>
      </c>
      <c r="E54" s="5">
        <v>1295089</v>
      </c>
      <c r="F54" s="6">
        <v>8507.4396410000008</v>
      </c>
      <c r="G54" s="7">
        <v>9.8722299999999992E-3</v>
      </c>
      <c r="H54" s="53"/>
    </row>
    <row r="55" spans="1:8" ht="29.1" customHeight="1" x14ac:dyDescent="0.2">
      <c r="A55" s="3">
        <v>49</v>
      </c>
      <c r="B55" s="4" t="s">
        <v>269</v>
      </c>
      <c r="C55" s="4" t="s">
        <v>270</v>
      </c>
      <c r="D55" s="4" t="s">
        <v>224</v>
      </c>
      <c r="E55" s="5">
        <v>2119699</v>
      </c>
      <c r="F55" s="6">
        <v>8470.3172040000009</v>
      </c>
      <c r="G55" s="7">
        <v>9.82915E-3</v>
      </c>
      <c r="H55" s="53"/>
    </row>
    <row r="56" spans="1:8" ht="17.100000000000001" customHeight="1" x14ac:dyDescent="0.2">
      <c r="A56" s="3">
        <v>50</v>
      </c>
      <c r="B56" s="4" t="s">
        <v>271</v>
      </c>
      <c r="C56" s="4" t="s">
        <v>272</v>
      </c>
      <c r="D56" s="4" t="s">
        <v>73</v>
      </c>
      <c r="E56" s="5">
        <v>556872</v>
      </c>
      <c r="F56" s="6">
        <v>8190.1949400000003</v>
      </c>
      <c r="G56" s="7">
        <v>9.5040899999999998E-3</v>
      </c>
      <c r="H56" s="53"/>
    </row>
    <row r="57" spans="1:8" ht="29.1" customHeight="1" x14ac:dyDescent="0.2">
      <c r="A57" s="3">
        <v>51</v>
      </c>
      <c r="B57" s="4" t="s">
        <v>273</v>
      </c>
      <c r="C57" s="4" t="s">
        <v>274</v>
      </c>
      <c r="D57" s="4" t="s">
        <v>214</v>
      </c>
      <c r="E57" s="5">
        <v>210001</v>
      </c>
      <c r="F57" s="6">
        <v>7619.4662829999997</v>
      </c>
      <c r="G57" s="7">
        <v>8.8418100000000003E-3</v>
      </c>
      <c r="H57" s="53"/>
    </row>
    <row r="58" spans="1:8" ht="17.100000000000001" customHeight="1" x14ac:dyDescent="0.2">
      <c r="A58" s="3">
        <v>52</v>
      </c>
      <c r="B58" s="4" t="s">
        <v>275</v>
      </c>
      <c r="C58" s="4" t="s">
        <v>276</v>
      </c>
      <c r="D58" s="4" t="s">
        <v>209</v>
      </c>
      <c r="E58" s="5">
        <v>133006</v>
      </c>
      <c r="F58" s="6">
        <v>6403.0418460000001</v>
      </c>
      <c r="G58" s="7">
        <v>7.4302400000000003E-3</v>
      </c>
      <c r="H58" s="53"/>
    </row>
    <row r="59" spans="1:8" ht="17.100000000000001" customHeight="1" x14ac:dyDescent="0.2">
      <c r="A59" s="3">
        <v>53</v>
      </c>
      <c r="B59" s="4" t="s">
        <v>277</v>
      </c>
      <c r="C59" s="4" t="s">
        <v>278</v>
      </c>
      <c r="D59" s="4" t="s">
        <v>28</v>
      </c>
      <c r="E59" s="5">
        <v>7185168</v>
      </c>
      <c r="F59" s="6">
        <v>6172.0593120000003</v>
      </c>
      <c r="G59" s="7">
        <v>7.1621999999999996E-3</v>
      </c>
      <c r="H59" s="53"/>
    </row>
    <row r="60" spans="1:8" ht="17.100000000000001" customHeight="1" x14ac:dyDescent="0.2">
      <c r="A60" s="3">
        <v>54</v>
      </c>
      <c r="B60" s="4" t="s">
        <v>279</v>
      </c>
      <c r="C60" s="4" t="s">
        <v>280</v>
      </c>
      <c r="D60" s="4" t="s">
        <v>281</v>
      </c>
      <c r="E60" s="5">
        <v>400854</v>
      </c>
      <c r="F60" s="6">
        <v>6079.351764</v>
      </c>
      <c r="G60" s="7">
        <v>7.0546200000000002E-3</v>
      </c>
      <c r="H60" s="53"/>
    </row>
    <row r="61" spans="1:8" ht="17.100000000000001" customHeight="1" x14ac:dyDescent="0.2">
      <c r="A61" s="3">
        <v>55</v>
      </c>
      <c r="B61" s="4" t="s">
        <v>60</v>
      </c>
      <c r="C61" s="4" t="s">
        <v>61</v>
      </c>
      <c r="D61" s="4" t="s">
        <v>31</v>
      </c>
      <c r="E61" s="5">
        <v>356831</v>
      </c>
      <c r="F61" s="6">
        <v>5979.4170670000003</v>
      </c>
      <c r="G61" s="7">
        <v>6.9386500000000002E-3</v>
      </c>
      <c r="H61" s="53"/>
    </row>
    <row r="62" spans="1:8" ht="17.100000000000001" customHeight="1" x14ac:dyDescent="0.2">
      <c r="A62" s="3">
        <v>56</v>
      </c>
      <c r="B62" s="4" t="s">
        <v>282</v>
      </c>
      <c r="C62" s="4" t="s">
        <v>283</v>
      </c>
      <c r="D62" s="4" t="s">
        <v>87</v>
      </c>
      <c r="E62" s="5">
        <v>251278</v>
      </c>
      <c r="F62" s="6">
        <v>5837.5648570000003</v>
      </c>
      <c r="G62" s="7">
        <v>6.7740500000000002E-3</v>
      </c>
      <c r="H62" s="53"/>
    </row>
    <row r="63" spans="1:8" ht="17.100000000000001" customHeight="1" x14ac:dyDescent="0.2">
      <c r="A63" s="3">
        <v>57</v>
      </c>
      <c r="B63" s="4" t="s">
        <v>116</v>
      </c>
      <c r="C63" s="4" t="s">
        <v>117</v>
      </c>
      <c r="D63" s="4" t="s">
        <v>80</v>
      </c>
      <c r="E63" s="5">
        <v>1222628</v>
      </c>
      <c r="F63" s="6">
        <v>5718.2311559999998</v>
      </c>
      <c r="G63" s="7">
        <v>6.6355700000000004E-3</v>
      </c>
      <c r="H63" s="53"/>
    </row>
    <row r="64" spans="1:8" ht="17.100000000000001" customHeight="1" x14ac:dyDescent="0.2">
      <c r="A64" s="3">
        <v>58</v>
      </c>
      <c r="B64" s="4" t="s">
        <v>284</v>
      </c>
      <c r="C64" s="4" t="s">
        <v>285</v>
      </c>
      <c r="D64" s="4" t="s">
        <v>286</v>
      </c>
      <c r="E64" s="5">
        <v>1083188</v>
      </c>
      <c r="F64" s="6">
        <v>5681.8626539999996</v>
      </c>
      <c r="G64" s="7">
        <v>6.5933700000000003E-3</v>
      </c>
      <c r="H64" s="53"/>
    </row>
    <row r="65" spans="1:8" ht="17.100000000000001" customHeight="1" x14ac:dyDescent="0.2">
      <c r="A65" s="3">
        <v>59</v>
      </c>
      <c r="B65" s="4" t="s">
        <v>287</v>
      </c>
      <c r="C65" s="4" t="s">
        <v>288</v>
      </c>
      <c r="D65" s="4" t="s">
        <v>22</v>
      </c>
      <c r="E65" s="5">
        <v>2200179</v>
      </c>
      <c r="F65" s="6">
        <v>5458.6440990000001</v>
      </c>
      <c r="G65" s="7">
        <v>6.3343399999999999E-3</v>
      </c>
      <c r="H65" s="53"/>
    </row>
    <row r="66" spans="1:8" ht="17.100000000000001" customHeight="1" x14ac:dyDescent="0.2">
      <c r="A66" s="3">
        <v>60</v>
      </c>
      <c r="B66" s="4" t="s">
        <v>289</v>
      </c>
      <c r="C66" s="4" t="s">
        <v>290</v>
      </c>
      <c r="D66" s="4" t="s">
        <v>59</v>
      </c>
      <c r="E66" s="5">
        <v>1189493</v>
      </c>
      <c r="F66" s="6">
        <v>5204.0318749999997</v>
      </c>
      <c r="G66" s="7">
        <v>6.0388799999999999E-3</v>
      </c>
      <c r="H66" s="53"/>
    </row>
    <row r="67" spans="1:8" ht="17.100000000000001" customHeight="1" x14ac:dyDescent="0.2">
      <c r="A67" s="3">
        <v>61</v>
      </c>
      <c r="B67" s="4" t="s">
        <v>291</v>
      </c>
      <c r="C67" s="4" t="s">
        <v>292</v>
      </c>
      <c r="D67" s="4" t="s">
        <v>209</v>
      </c>
      <c r="E67" s="5">
        <v>698432</v>
      </c>
      <c r="F67" s="6">
        <v>4117.6058560000001</v>
      </c>
      <c r="G67" s="7">
        <v>4.77817E-3</v>
      </c>
      <c r="H67" s="53"/>
    </row>
    <row r="68" spans="1:8" ht="29.1" customHeight="1" x14ac:dyDescent="0.2">
      <c r="A68" s="3">
        <v>62</v>
      </c>
      <c r="B68" s="4" t="s">
        <v>293</v>
      </c>
      <c r="C68" s="4" t="s">
        <v>294</v>
      </c>
      <c r="D68" s="4" t="s">
        <v>224</v>
      </c>
      <c r="E68" s="5">
        <v>56564</v>
      </c>
      <c r="F68" s="6">
        <v>4018.8156359999998</v>
      </c>
      <c r="G68" s="7">
        <v>4.6635299999999999E-3</v>
      </c>
      <c r="H68" s="53"/>
    </row>
    <row r="69" spans="1:8" ht="17.100000000000001" customHeight="1" x14ac:dyDescent="0.2">
      <c r="A69" s="3">
        <v>63</v>
      </c>
      <c r="B69" s="4" t="s">
        <v>295</v>
      </c>
      <c r="C69" s="4" t="s">
        <v>296</v>
      </c>
      <c r="D69" s="4" t="s">
        <v>281</v>
      </c>
      <c r="E69" s="5">
        <v>367257</v>
      </c>
      <c r="F69" s="6">
        <v>3303.4767149999998</v>
      </c>
      <c r="G69" s="7">
        <v>3.8334300000000001E-3</v>
      </c>
      <c r="H69" s="53"/>
    </row>
    <row r="70" spans="1:8" ht="17.100000000000001" customHeight="1" x14ac:dyDescent="0.2">
      <c r="A70" s="3">
        <v>64</v>
      </c>
      <c r="B70" s="4" t="s">
        <v>297</v>
      </c>
      <c r="C70" s="4" t="s">
        <v>298</v>
      </c>
      <c r="D70" s="4" t="s">
        <v>206</v>
      </c>
      <c r="E70" s="5">
        <v>1654684</v>
      </c>
      <c r="F70" s="6">
        <v>2209.8304819999998</v>
      </c>
      <c r="G70" s="7">
        <v>2.56434E-3</v>
      </c>
      <c r="H70" s="53"/>
    </row>
    <row r="71" spans="1:8" ht="17.100000000000001" customHeight="1" x14ac:dyDescent="0.2">
      <c r="A71" s="3">
        <v>65</v>
      </c>
      <c r="B71" s="4" t="s">
        <v>954</v>
      </c>
      <c r="C71" s="4" t="s">
        <v>299</v>
      </c>
      <c r="D71" s="4" t="s">
        <v>130</v>
      </c>
      <c r="E71" s="5">
        <v>200000</v>
      </c>
      <c r="F71" s="6">
        <v>2042.6</v>
      </c>
      <c r="G71" s="7">
        <v>2.3702800000000002E-3</v>
      </c>
      <c r="H71" s="53"/>
    </row>
    <row r="72" spans="1:8" ht="17.100000000000001" customHeight="1" x14ac:dyDescent="0.2">
      <c r="A72" s="3">
        <v>66</v>
      </c>
      <c r="B72" s="4" t="s">
        <v>300</v>
      </c>
      <c r="C72" s="4" t="s">
        <v>301</v>
      </c>
      <c r="D72" s="4" t="s">
        <v>28</v>
      </c>
      <c r="E72" s="5">
        <v>431294</v>
      </c>
      <c r="F72" s="6">
        <v>1633.0947309999999</v>
      </c>
      <c r="G72" s="7">
        <v>1.8950799999999999E-3</v>
      </c>
      <c r="H72" s="53"/>
    </row>
    <row r="73" spans="1:8" ht="17.100000000000001" customHeight="1" x14ac:dyDescent="0.2">
      <c r="A73" s="3">
        <v>67</v>
      </c>
      <c r="B73" s="4" t="s">
        <v>302</v>
      </c>
      <c r="C73" s="4" t="s">
        <v>303</v>
      </c>
      <c r="D73" s="4" t="s">
        <v>304</v>
      </c>
      <c r="E73" s="5">
        <v>172436</v>
      </c>
      <c r="F73" s="6">
        <v>1306.288918</v>
      </c>
      <c r="G73" s="7">
        <v>1.51585E-3</v>
      </c>
      <c r="H73" s="53"/>
    </row>
    <row r="74" spans="1:8" ht="29.1" customHeight="1" x14ac:dyDescent="0.2">
      <c r="A74" s="3">
        <v>68</v>
      </c>
      <c r="B74" s="4" t="s">
        <v>305</v>
      </c>
      <c r="C74" s="4" t="s">
        <v>306</v>
      </c>
      <c r="D74" s="4" t="s">
        <v>201</v>
      </c>
      <c r="E74" s="5">
        <v>21105</v>
      </c>
      <c r="F74" s="6">
        <v>1021.123215</v>
      </c>
      <c r="G74" s="7">
        <v>1.18494E-3</v>
      </c>
      <c r="H74" s="53"/>
    </row>
    <row r="75" spans="1:8" ht="14.1" customHeight="1" x14ac:dyDescent="0.2">
      <c r="A75" s="1"/>
      <c r="B75" s="1"/>
      <c r="C75" s="2" t="s">
        <v>144</v>
      </c>
      <c r="D75" s="1"/>
      <c r="E75" s="1" t="s">
        <v>145</v>
      </c>
      <c r="F75" s="9">
        <v>819422.23685350001</v>
      </c>
      <c r="G75" s="10">
        <v>0.95087663</v>
      </c>
      <c r="H75" s="53"/>
    </row>
    <row r="76" spans="1:8" ht="14.1" customHeight="1" x14ac:dyDescent="0.2">
      <c r="A76" s="1"/>
      <c r="B76" s="1"/>
      <c r="C76" s="11"/>
      <c r="D76" s="1"/>
      <c r="E76" s="1"/>
      <c r="F76" s="12"/>
      <c r="G76" s="12"/>
      <c r="H76" s="53"/>
    </row>
    <row r="77" spans="1:8" ht="14.1" customHeight="1" x14ac:dyDescent="0.2">
      <c r="A77" s="1"/>
      <c r="B77" s="1"/>
      <c r="C77" s="2" t="s">
        <v>146</v>
      </c>
      <c r="D77" s="1"/>
      <c r="E77" s="1"/>
      <c r="F77" s="1"/>
      <c r="G77" s="1"/>
      <c r="H77" s="53"/>
    </row>
    <row r="78" spans="1:8" ht="14.1" customHeight="1" x14ac:dyDescent="0.2">
      <c r="A78" s="1"/>
      <c r="B78" s="1"/>
      <c r="C78" s="2" t="s">
        <v>144</v>
      </c>
      <c r="D78" s="1"/>
      <c r="E78" s="1" t="s">
        <v>145</v>
      </c>
      <c r="F78" s="13" t="s">
        <v>147</v>
      </c>
      <c r="G78" s="10">
        <v>0</v>
      </c>
      <c r="H78" s="53"/>
    </row>
    <row r="79" spans="1:8" ht="14.1" customHeight="1" x14ac:dyDescent="0.2">
      <c r="A79" s="1"/>
      <c r="B79" s="1"/>
      <c r="C79" s="11"/>
      <c r="D79" s="1"/>
      <c r="E79" s="1"/>
      <c r="F79" s="12"/>
      <c r="G79" s="12"/>
      <c r="H79" s="53"/>
    </row>
    <row r="80" spans="1:8" ht="14.1" customHeight="1" x14ac:dyDescent="0.2">
      <c r="A80" s="1"/>
      <c r="B80" s="1"/>
      <c r="C80" s="2" t="s">
        <v>148</v>
      </c>
      <c r="D80" s="1"/>
      <c r="E80" s="1"/>
      <c r="F80" s="1"/>
      <c r="G80" s="1"/>
      <c r="H80" s="53"/>
    </row>
    <row r="81" spans="1:8" ht="14.1" customHeight="1" x14ac:dyDescent="0.2">
      <c r="A81" s="1"/>
      <c r="B81" s="1"/>
      <c r="C81" s="2" t="s">
        <v>144</v>
      </c>
      <c r="D81" s="1"/>
      <c r="E81" s="1" t="s">
        <v>145</v>
      </c>
      <c r="F81" s="13" t="s">
        <v>147</v>
      </c>
      <c r="G81" s="10">
        <v>0</v>
      </c>
      <c r="H81" s="53"/>
    </row>
    <row r="82" spans="1:8" ht="14.1" customHeight="1" x14ac:dyDescent="0.2">
      <c r="A82" s="1"/>
      <c r="B82" s="1"/>
      <c r="C82" s="11"/>
      <c r="D82" s="1"/>
      <c r="E82" s="1"/>
      <c r="F82" s="12"/>
      <c r="G82" s="12"/>
      <c r="H82" s="53"/>
    </row>
    <row r="83" spans="1:8" ht="14.1" customHeight="1" x14ac:dyDescent="0.2">
      <c r="A83" s="1"/>
      <c r="B83" s="1"/>
      <c r="C83" s="2" t="s">
        <v>149</v>
      </c>
      <c r="D83" s="1"/>
      <c r="E83" s="1"/>
      <c r="F83" s="1"/>
      <c r="G83" s="1"/>
      <c r="H83" s="53"/>
    </row>
    <row r="84" spans="1:8" ht="29.1" customHeight="1" x14ac:dyDescent="0.2">
      <c r="A84" s="3">
        <v>1</v>
      </c>
      <c r="B84" s="4" t="s">
        <v>307</v>
      </c>
      <c r="C84" s="4" t="s">
        <v>964</v>
      </c>
      <c r="D84" s="4" t="s">
        <v>87</v>
      </c>
      <c r="E84" s="5">
        <v>25352032</v>
      </c>
      <c r="F84" s="6">
        <v>2611.2592960000002</v>
      </c>
      <c r="G84" s="7">
        <v>3.03017E-3</v>
      </c>
      <c r="H84" s="53"/>
    </row>
    <row r="85" spans="1:8" ht="29.1" customHeight="1" x14ac:dyDescent="0.2">
      <c r="A85" s="3">
        <v>2</v>
      </c>
      <c r="B85" s="4" t="s">
        <v>955</v>
      </c>
      <c r="C85" s="4" t="s">
        <v>1165</v>
      </c>
      <c r="D85" s="4" t="s">
        <v>130</v>
      </c>
      <c r="E85" s="5">
        <v>25352</v>
      </c>
      <c r="F85" s="6">
        <v>2.5352253519999999</v>
      </c>
      <c r="G85" s="7" t="s">
        <v>143</v>
      </c>
      <c r="H85" s="53"/>
    </row>
    <row r="86" spans="1:8" ht="14.1" customHeight="1" x14ac:dyDescent="0.2">
      <c r="A86" s="1"/>
      <c r="B86" s="1"/>
      <c r="C86" s="2" t="s">
        <v>144</v>
      </c>
      <c r="D86" s="1"/>
      <c r="E86" s="1" t="s">
        <v>145</v>
      </c>
      <c r="F86" s="9">
        <v>2613.7945213520002</v>
      </c>
      <c r="G86" s="10">
        <v>3.0331099999999999E-3</v>
      </c>
      <c r="H86" s="53"/>
    </row>
    <row r="87" spans="1:8" ht="14.1" customHeight="1" x14ac:dyDescent="0.2">
      <c r="A87" s="1"/>
      <c r="B87" s="1"/>
      <c r="C87" s="11"/>
      <c r="D87" s="1"/>
      <c r="E87" s="1"/>
      <c r="F87" s="12"/>
      <c r="G87" s="12"/>
      <c r="H87" s="53"/>
    </row>
    <row r="88" spans="1:8" ht="14.1" customHeight="1" x14ac:dyDescent="0.2">
      <c r="A88" s="1"/>
      <c r="B88" s="1"/>
      <c r="C88" s="2" t="s">
        <v>150</v>
      </c>
      <c r="D88" s="1"/>
      <c r="E88" s="1"/>
      <c r="F88" s="12"/>
      <c r="G88" s="12"/>
      <c r="H88" s="53"/>
    </row>
    <row r="89" spans="1:8" ht="14.1" customHeight="1" x14ac:dyDescent="0.2">
      <c r="A89" s="1"/>
      <c r="B89" s="1"/>
      <c r="C89" s="2" t="s">
        <v>144</v>
      </c>
      <c r="D89" s="1"/>
      <c r="E89" s="1" t="s">
        <v>145</v>
      </c>
      <c r="F89" s="13" t="s">
        <v>147</v>
      </c>
      <c r="G89" s="10">
        <v>0</v>
      </c>
      <c r="H89" s="53"/>
    </row>
    <row r="90" spans="1:8" ht="14.1" customHeight="1" x14ac:dyDescent="0.2">
      <c r="A90" s="1"/>
      <c r="B90" s="1"/>
      <c r="C90" s="11"/>
      <c r="D90" s="1"/>
      <c r="E90" s="1"/>
      <c r="F90" s="12"/>
      <c r="G90" s="12"/>
      <c r="H90" s="53"/>
    </row>
    <row r="91" spans="1:8" ht="14.1" customHeight="1" x14ac:dyDescent="0.2">
      <c r="A91" s="1"/>
      <c r="B91" s="1"/>
      <c r="C91" s="2" t="s">
        <v>151</v>
      </c>
      <c r="D91" s="1"/>
      <c r="E91" s="1"/>
      <c r="F91" s="12"/>
      <c r="G91" s="12"/>
      <c r="H91" s="53"/>
    </row>
    <row r="92" spans="1:8" ht="14.1" customHeight="1" x14ac:dyDescent="0.2">
      <c r="A92" s="1"/>
      <c r="B92" s="1"/>
      <c r="C92" s="2" t="s">
        <v>144</v>
      </c>
      <c r="D92" s="1"/>
      <c r="E92" s="1" t="s">
        <v>145</v>
      </c>
      <c r="F92" s="13" t="s">
        <v>147</v>
      </c>
      <c r="G92" s="10">
        <v>0</v>
      </c>
      <c r="H92" s="53"/>
    </row>
    <row r="93" spans="1:8" ht="14.1" customHeight="1" x14ac:dyDescent="0.2">
      <c r="A93" s="1"/>
      <c r="B93" s="1"/>
      <c r="C93" s="11"/>
      <c r="D93" s="1"/>
      <c r="E93" s="1"/>
      <c r="F93" s="12"/>
      <c r="G93" s="12"/>
      <c r="H93" s="53"/>
    </row>
    <row r="94" spans="1:8" ht="18" customHeight="1" x14ac:dyDescent="0.2">
      <c r="A94" s="1"/>
      <c r="B94" s="1"/>
      <c r="C94" s="2" t="s">
        <v>152</v>
      </c>
      <c r="D94" s="1"/>
      <c r="E94" s="1"/>
      <c r="F94" s="9">
        <v>822036.03137485206</v>
      </c>
      <c r="G94" s="10">
        <v>0.95390973999999995</v>
      </c>
      <c r="H94" s="53"/>
    </row>
    <row r="95" spans="1:8" ht="14.1" customHeight="1" x14ac:dyDescent="0.2">
      <c r="A95" s="1"/>
      <c r="B95" s="1"/>
      <c r="C95" s="11"/>
      <c r="D95" s="1"/>
      <c r="E95" s="1"/>
      <c r="F95" s="12"/>
      <c r="G95" s="12"/>
      <c r="H95" s="53"/>
    </row>
    <row r="96" spans="1:8" ht="14.1" customHeight="1" x14ac:dyDescent="0.2">
      <c r="A96" s="1"/>
      <c r="B96" s="1"/>
      <c r="C96" s="2" t="s">
        <v>153</v>
      </c>
      <c r="D96" s="1"/>
      <c r="E96" s="1"/>
      <c r="F96" s="12"/>
      <c r="G96" s="12"/>
      <c r="H96" s="53"/>
    </row>
    <row r="97" spans="1:8" ht="24" customHeight="1" x14ac:dyDescent="0.2">
      <c r="A97" s="1"/>
      <c r="B97" s="1"/>
      <c r="C97" s="2" t="s">
        <v>10</v>
      </c>
      <c r="D97" s="1"/>
      <c r="E97" s="1"/>
      <c r="F97" s="12"/>
      <c r="G97" s="12"/>
      <c r="H97" s="53"/>
    </row>
    <row r="98" spans="1:8" ht="14.1" customHeight="1" x14ac:dyDescent="0.2">
      <c r="A98" s="1"/>
      <c r="B98" s="1"/>
      <c r="C98" s="2" t="s">
        <v>144</v>
      </c>
      <c r="D98" s="1"/>
      <c r="E98" s="1" t="s">
        <v>145</v>
      </c>
      <c r="F98" s="13" t="s">
        <v>147</v>
      </c>
      <c r="G98" s="10">
        <v>0</v>
      </c>
      <c r="H98" s="53"/>
    </row>
    <row r="99" spans="1:8" ht="14.1" customHeight="1" x14ac:dyDescent="0.2">
      <c r="A99" s="1"/>
      <c r="B99" s="1"/>
      <c r="C99" s="11"/>
      <c r="D99" s="1"/>
      <c r="E99" s="1"/>
      <c r="F99" s="12"/>
      <c r="G99" s="12"/>
      <c r="H99" s="53"/>
    </row>
    <row r="100" spans="1:8" ht="14.1" customHeight="1" x14ac:dyDescent="0.2">
      <c r="A100" s="1"/>
      <c r="B100" s="1"/>
      <c r="C100" s="2" t="s">
        <v>154</v>
      </c>
      <c r="D100" s="1"/>
      <c r="E100" s="1"/>
      <c r="F100" s="1"/>
      <c r="G100" s="1"/>
      <c r="H100" s="53"/>
    </row>
    <row r="101" spans="1:8" ht="14.1" customHeight="1" x14ac:dyDescent="0.2">
      <c r="A101" s="1"/>
      <c r="B101" s="1"/>
      <c r="C101" s="2" t="s">
        <v>144</v>
      </c>
      <c r="D101" s="1"/>
      <c r="E101" s="1" t="s">
        <v>145</v>
      </c>
      <c r="F101" s="13" t="s">
        <v>147</v>
      </c>
      <c r="G101" s="10">
        <v>0</v>
      </c>
      <c r="H101" s="53"/>
    </row>
    <row r="102" spans="1:8" ht="14.1" customHeight="1" x14ac:dyDescent="0.2">
      <c r="A102" s="1"/>
      <c r="B102" s="1"/>
      <c r="C102" s="11"/>
      <c r="D102" s="1"/>
      <c r="E102" s="1"/>
      <c r="F102" s="12"/>
      <c r="G102" s="12"/>
      <c r="H102" s="53"/>
    </row>
    <row r="103" spans="1:8" ht="14.1" customHeight="1" x14ac:dyDescent="0.2">
      <c r="A103" s="1"/>
      <c r="B103" s="1"/>
      <c r="C103" s="2" t="s">
        <v>155</v>
      </c>
      <c r="D103" s="1"/>
      <c r="E103" s="1"/>
      <c r="F103" s="1"/>
      <c r="G103" s="1"/>
      <c r="H103" s="53"/>
    </row>
    <row r="104" spans="1:8" ht="14.1" customHeight="1" x14ac:dyDescent="0.2">
      <c r="A104" s="1"/>
      <c r="B104" s="1"/>
      <c r="C104" s="2" t="s">
        <v>144</v>
      </c>
      <c r="D104" s="1"/>
      <c r="E104" s="1" t="s">
        <v>145</v>
      </c>
      <c r="F104" s="13" t="s">
        <v>147</v>
      </c>
      <c r="G104" s="10">
        <v>0</v>
      </c>
      <c r="H104" s="53"/>
    </row>
    <row r="105" spans="1:8" ht="14.1" customHeight="1" x14ac:dyDescent="0.2">
      <c r="A105" s="1"/>
      <c r="B105" s="1"/>
      <c r="C105" s="11"/>
      <c r="D105" s="1"/>
      <c r="E105" s="1"/>
      <c r="F105" s="12"/>
      <c r="G105" s="12"/>
      <c r="H105" s="53"/>
    </row>
    <row r="106" spans="1:8" ht="14.1" customHeight="1" x14ac:dyDescent="0.2">
      <c r="A106" s="1"/>
      <c r="B106" s="1"/>
      <c r="C106" s="2" t="s">
        <v>156</v>
      </c>
      <c r="D106" s="1"/>
      <c r="E106" s="1"/>
      <c r="F106" s="12"/>
      <c r="G106" s="12"/>
      <c r="H106" s="53"/>
    </row>
    <row r="107" spans="1:8" ht="14.1" customHeight="1" x14ac:dyDescent="0.2">
      <c r="A107" s="1"/>
      <c r="B107" s="1"/>
      <c r="C107" s="2" t="s">
        <v>144</v>
      </c>
      <c r="D107" s="1"/>
      <c r="E107" s="1" t="s">
        <v>145</v>
      </c>
      <c r="F107" s="13" t="s">
        <v>147</v>
      </c>
      <c r="G107" s="10">
        <v>0</v>
      </c>
      <c r="H107" s="53"/>
    </row>
    <row r="108" spans="1:8" ht="14.1" customHeight="1" x14ac:dyDescent="0.2">
      <c r="A108" s="1"/>
      <c r="B108" s="1"/>
      <c r="C108" s="11"/>
      <c r="D108" s="1"/>
      <c r="E108" s="1"/>
      <c r="F108" s="12"/>
      <c r="G108" s="12"/>
      <c r="H108" s="53"/>
    </row>
    <row r="109" spans="1:8" ht="14.1" customHeight="1" x14ac:dyDescent="0.2">
      <c r="A109" s="1"/>
      <c r="B109" s="1"/>
      <c r="C109" s="2" t="s">
        <v>157</v>
      </c>
      <c r="D109" s="1"/>
      <c r="E109" s="1"/>
      <c r="F109" s="9">
        <v>0</v>
      </c>
      <c r="G109" s="10">
        <v>0</v>
      </c>
      <c r="H109" s="53"/>
    </row>
    <row r="110" spans="1:8" ht="14.1" customHeight="1" x14ac:dyDescent="0.2">
      <c r="A110" s="1"/>
      <c r="B110" s="1"/>
      <c r="C110" s="11"/>
      <c r="D110" s="1"/>
      <c r="E110" s="1"/>
      <c r="F110" s="12"/>
      <c r="G110" s="12"/>
      <c r="H110" s="53"/>
    </row>
    <row r="111" spans="1:8" ht="14.1" customHeight="1" x14ac:dyDescent="0.2">
      <c r="A111" s="1"/>
      <c r="B111" s="1"/>
      <c r="C111" s="2" t="s">
        <v>158</v>
      </c>
      <c r="D111" s="1"/>
      <c r="E111" s="1"/>
      <c r="F111" s="12"/>
      <c r="G111" s="12"/>
      <c r="H111" s="53"/>
    </row>
    <row r="112" spans="1:8" ht="14.1" customHeight="1" x14ac:dyDescent="0.2">
      <c r="A112" s="1"/>
      <c r="B112" s="1"/>
      <c r="C112" s="2" t="s">
        <v>159</v>
      </c>
      <c r="D112" s="1"/>
      <c r="E112" s="1"/>
      <c r="F112" s="12"/>
      <c r="G112" s="12"/>
      <c r="H112" s="53"/>
    </row>
    <row r="113" spans="1:8" ht="14.1" customHeight="1" x14ac:dyDescent="0.2">
      <c r="A113" s="1"/>
      <c r="B113" s="1"/>
      <c r="C113" s="2" t="s">
        <v>144</v>
      </c>
      <c r="D113" s="1"/>
      <c r="E113" s="1" t="s">
        <v>145</v>
      </c>
      <c r="F113" s="13" t="s">
        <v>147</v>
      </c>
      <c r="G113" s="10">
        <v>0</v>
      </c>
      <c r="H113" s="53"/>
    </row>
    <row r="114" spans="1:8" ht="14.1" customHeight="1" x14ac:dyDescent="0.2">
      <c r="A114" s="1"/>
      <c r="B114" s="1"/>
      <c r="C114" s="11"/>
      <c r="D114" s="1"/>
      <c r="E114" s="1"/>
      <c r="F114" s="12"/>
      <c r="G114" s="12"/>
      <c r="H114" s="53"/>
    </row>
    <row r="115" spans="1:8" ht="14.1" customHeight="1" x14ac:dyDescent="0.2">
      <c r="A115" s="1"/>
      <c r="B115" s="1"/>
      <c r="C115" s="2" t="s">
        <v>160</v>
      </c>
      <c r="D115" s="1"/>
      <c r="E115" s="1"/>
      <c r="F115" s="12"/>
      <c r="G115" s="12"/>
      <c r="H115" s="53"/>
    </row>
    <row r="116" spans="1:8" ht="14.1" customHeight="1" x14ac:dyDescent="0.2">
      <c r="A116" s="1"/>
      <c r="B116" s="1"/>
      <c r="C116" s="2" t="s">
        <v>144</v>
      </c>
      <c r="D116" s="1"/>
      <c r="E116" s="1" t="s">
        <v>145</v>
      </c>
      <c r="F116" s="13" t="s">
        <v>147</v>
      </c>
      <c r="G116" s="10">
        <v>0</v>
      </c>
      <c r="H116" s="53"/>
    </row>
    <row r="117" spans="1:8" ht="14.1" customHeight="1" x14ac:dyDescent="0.2">
      <c r="A117" s="1"/>
      <c r="B117" s="1"/>
      <c r="C117" s="11"/>
      <c r="D117" s="1"/>
      <c r="E117" s="1"/>
      <c r="F117" s="12"/>
      <c r="G117" s="12"/>
      <c r="H117" s="53"/>
    </row>
    <row r="118" spans="1:8" ht="14.1" customHeight="1" x14ac:dyDescent="0.2">
      <c r="A118" s="1"/>
      <c r="B118" s="1"/>
      <c r="C118" s="2" t="s">
        <v>161</v>
      </c>
      <c r="D118" s="1"/>
      <c r="E118" s="1"/>
      <c r="F118" s="12"/>
      <c r="G118" s="12"/>
      <c r="H118" s="53"/>
    </row>
    <row r="119" spans="1:8" ht="14.1" customHeight="1" x14ac:dyDescent="0.2">
      <c r="A119" s="1"/>
      <c r="B119" s="1"/>
      <c r="C119" s="2" t="s">
        <v>144</v>
      </c>
      <c r="D119" s="1"/>
      <c r="E119" s="1" t="s">
        <v>145</v>
      </c>
      <c r="F119" s="13" t="s">
        <v>147</v>
      </c>
      <c r="G119" s="10">
        <v>0</v>
      </c>
      <c r="H119" s="53"/>
    </row>
    <row r="120" spans="1:8" ht="14.1" customHeight="1" x14ac:dyDescent="0.2">
      <c r="A120" s="1"/>
      <c r="B120" s="1"/>
      <c r="C120" s="11"/>
      <c r="D120" s="1"/>
      <c r="E120" s="1"/>
      <c r="F120" s="12"/>
      <c r="G120" s="12"/>
      <c r="H120" s="53"/>
    </row>
    <row r="121" spans="1:8" ht="14.1" customHeight="1" x14ac:dyDescent="0.2">
      <c r="A121" s="1"/>
      <c r="B121" s="1"/>
      <c r="C121" s="2" t="s">
        <v>162</v>
      </c>
      <c r="D121" s="1"/>
      <c r="E121" s="1"/>
      <c r="F121" s="12"/>
      <c r="G121" s="12"/>
      <c r="H121" s="53"/>
    </row>
    <row r="122" spans="1:8" ht="17.100000000000001" customHeight="1" x14ac:dyDescent="0.2">
      <c r="A122" s="3">
        <v>1</v>
      </c>
      <c r="B122" s="4"/>
      <c r="C122" s="4" t="s">
        <v>163</v>
      </c>
      <c r="D122" s="4"/>
      <c r="E122" s="8"/>
      <c r="F122" s="6">
        <v>20910.835043913001</v>
      </c>
      <c r="G122" s="7">
        <v>2.4265419999999999E-2</v>
      </c>
      <c r="H122" s="51">
        <v>6.6602331647804478</v>
      </c>
    </row>
    <row r="123" spans="1:8" ht="17.100000000000001" customHeight="1" x14ac:dyDescent="0.2">
      <c r="A123" s="3">
        <v>2</v>
      </c>
      <c r="B123" s="4"/>
      <c r="C123" s="4" t="s">
        <v>164</v>
      </c>
      <c r="D123" s="4"/>
      <c r="E123" s="8"/>
      <c r="F123" s="6">
        <v>15986.921311800001</v>
      </c>
      <c r="G123" s="7">
        <v>1.8551600000000001E-2</v>
      </c>
      <c r="H123" s="51">
        <v>6.6588225936582406</v>
      </c>
    </row>
    <row r="124" spans="1:8" ht="14.1" customHeight="1" x14ac:dyDescent="0.2">
      <c r="A124" s="1"/>
      <c r="B124" s="1"/>
      <c r="C124" s="2" t="s">
        <v>144</v>
      </c>
      <c r="D124" s="1"/>
      <c r="E124" s="1" t="s">
        <v>145</v>
      </c>
      <c r="F124" s="9">
        <v>36897.756355712998</v>
      </c>
      <c r="G124" s="10">
        <v>4.2817019999999997E-2</v>
      </c>
      <c r="H124" s="53"/>
    </row>
    <row r="125" spans="1:8" ht="14.1" customHeight="1" x14ac:dyDescent="0.2">
      <c r="A125" s="1"/>
      <c r="B125" s="1"/>
      <c r="C125" s="11"/>
      <c r="D125" s="1"/>
      <c r="E125" s="1"/>
      <c r="F125" s="12"/>
      <c r="G125" s="12"/>
      <c r="H125" s="53"/>
    </row>
    <row r="126" spans="1:8" ht="14.1" customHeight="1" x14ac:dyDescent="0.2">
      <c r="A126" s="1"/>
      <c r="B126" s="1"/>
      <c r="C126" s="2" t="s">
        <v>165</v>
      </c>
      <c r="D126" s="1"/>
      <c r="E126" s="1"/>
      <c r="F126" s="9">
        <v>36897.756355712998</v>
      </c>
      <c r="G126" s="10">
        <v>4.2817019999999997E-2</v>
      </c>
      <c r="H126" s="53"/>
    </row>
    <row r="127" spans="1:8" ht="14.1" customHeight="1" x14ac:dyDescent="0.2">
      <c r="A127" s="1"/>
      <c r="B127" s="1"/>
      <c r="C127" s="12"/>
      <c r="D127" s="1"/>
      <c r="E127" s="1"/>
      <c r="F127" s="1"/>
      <c r="G127" s="1"/>
      <c r="H127" s="53"/>
    </row>
    <row r="128" spans="1:8" ht="14.1" customHeight="1" x14ac:dyDescent="0.2">
      <c r="A128" s="1"/>
      <c r="B128" s="1"/>
      <c r="C128" s="2" t="s">
        <v>166</v>
      </c>
      <c r="D128" s="1"/>
      <c r="E128" s="1"/>
      <c r="F128" s="1"/>
      <c r="G128" s="1"/>
      <c r="H128" s="53"/>
    </row>
    <row r="129" spans="1:8" ht="14.1" customHeight="1" x14ac:dyDescent="0.2">
      <c r="A129" s="1"/>
      <c r="B129" s="1"/>
      <c r="C129" s="2" t="s">
        <v>167</v>
      </c>
      <c r="D129" s="1"/>
      <c r="E129" s="1"/>
      <c r="F129" s="1"/>
      <c r="G129" s="1"/>
      <c r="H129" s="53"/>
    </row>
    <row r="130" spans="1:8" ht="14.1" customHeight="1" x14ac:dyDescent="0.2">
      <c r="A130" s="1"/>
      <c r="B130" s="1"/>
      <c r="C130" s="2" t="s">
        <v>144</v>
      </c>
      <c r="D130" s="1"/>
      <c r="E130" s="1" t="s">
        <v>145</v>
      </c>
      <c r="F130" s="13" t="s">
        <v>147</v>
      </c>
      <c r="G130" s="10">
        <v>0</v>
      </c>
      <c r="H130" s="53"/>
    </row>
    <row r="131" spans="1:8" ht="14.1" customHeight="1" x14ac:dyDescent="0.2">
      <c r="A131" s="1"/>
      <c r="B131" s="1"/>
      <c r="C131" s="11"/>
      <c r="D131" s="1"/>
      <c r="E131" s="1"/>
      <c r="F131" s="12"/>
      <c r="G131" s="12"/>
      <c r="H131" s="53"/>
    </row>
    <row r="132" spans="1:8" ht="14.1" customHeight="1" x14ac:dyDescent="0.2">
      <c r="A132" s="1"/>
      <c r="B132" s="1"/>
      <c r="C132" s="2" t="s">
        <v>168</v>
      </c>
      <c r="D132" s="1"/>
      <c r="E132" s="1"/>
      <c r="F132" s="1"/>
      <c r="G132" s="1"/>
      <c r="H132" s="53"/>
    </row>
    <row r="133" spans="1:8" ht="14.1" customHeight="1" x14ac:dyDescent="0.2">
      <c r="A133" s="1"/>
      <c r="B133" s="1"/>
      <c r="C133" s="2" t="s">
        <v>169</v>
      </c>
      <c r="D133" s="1"/>
      <c r="E133" s="1"/>
      <c r="F133" s="1"/>
      <c r="G133" s="1"/>
      <c r="H133" s="53"/>
    </row>
    <row r="134" spans="1:8" ht="14.1" customHeight="1" x14ac:dyDescent="0.2">
      <c r="A134" s="1"/>
      <c r="B134" s="1"/>
      <c r="C134" s="2" t="s">
        <v>144</v>
      </c>
      <c r="D134" s="1"/>
      <c r="E134" s="1" t="s">
        <v>145</v>
      </c>
      <c r="F134" s="13" t="s">
        <v>147</v>
      </c>
      <c r="G134" s="10">
        <v>0</v>
      </c>
      <c r="H134" s="53"/>
    </row>
    <row r="135" spans="1:8" ht="14.1" customHeight="1" x14ac:dyDescent="0.2">
      <c r="A135" s="1"/>
      <c r="B135" s="1"/>
      <c r="C135" s="11"/>
      <c r="D135" s="1"/>
      <c r="E135" s="1"/>
      <c r="F135" s="12"/>
      <c r="G135" s="12"/>
      <c r="H135" s="53"/>
    </row>
    <row r="136" spans="1:8" ht="24" customHeight="1" x14ac:dyDescent="0.2">
      <c r="A136" s="1"/>
      <c r="B136" s="1"/>
      <c r="C136" s="2" t="s">
        <v>170</v>
      </c>
      <c r="D136" s="1"/>
      <c r="E136" s="1"/>
      <c r="F136" s="12"/>
      <c r="G136" s="12"/>
      <c r="H136" s="53"/>
    </row>
    <row r="137" spans="1:8" ht="14.1" customHeight="1" x14ac:dyDescent="0.2">
      <c r="A137" s="1"/>
      <c r="B137" s="1"/>
      <c r="C137" s="2" t="s">
        <v>144</v>
      </c>
      <c r="D137" s="1"/>
      <c r="E137" s="1" t="s">
        <v>145</v>
      </c>
      <c r="F137" s="13" t="s">
        <v>147</v>
      </c>
      <c r="G137" s="10">
        <v>0</v>
      </c>
      <c r="H137" s="53"/>
    </row>
    <row r="138" spans="1:8" ht="14.1" customHeight="1" x14ac:dyDescent="0.2">
      <c r="A138" s="1"/>
      <c r="B138" s="1"/>
      <c r="C138" s="11"/>
      <c r="D138" s="1"/>
      <c r="E138" s="1"/>
      <c r="F138" s="12"/>
      <c r="G138" s="12"/>
      <c r="H138" s="53"/>
    </row>
    <row r="139" spans="1:8" ht="18" customHeight="1" x14ac:dyDescent="0.2">
      <c r="A139" s="8"/>
      <c r="B139" s="4"/>
      <c r="C139" s="4" t="s">
        <v>308</v>
      </c>
      <c r="D139" s="4"/>
      <c r="E139" s="8"/>
      <c r="F139" s="6">
        <v>3525.0220420999999</v>
      </c>
      <c r="G139" s="7">
        <v>4.0905200000000003E-3</v>
      </c>
      <c r="H139" s="53"/>
    </row>
    <row r="140" spans="1:8" ht="18" customHeight="1" x14ac:dyDescent="0.2">
      <c r="A140" s="8"/>
      <c r="B140" s="4"/>
      <c r="C140" s="4" t="s">
        <v>171</v>
      </c>
      <c r="D140" s="4"/>
      <c r="E140" s="8"/>
      <c r="F140" s="6">
        <v>-704.2512525248228</v>
      </c>
      <c r="G140" s="7">
        <v>-8.1722950643186372E-4</v>
      </c>
      <c r="H140" s="53"/>
    </row>
    <row r="141" spans="1:8" ht="14.1" customHeight="1" x14ac:dyDescent="0.2">
      <c r="A141" s="11"/>
      <c r="B141" s="11"/>
      <c r="C141" s="2" t="s">
        <v>172</v>
      </c>
      <c r="D141" s="12"/>
      <c r="E141" s="12"/>
      <c r="F141" s="9">
        <v>861754.55852014024</v>
      </c>
      <c r="G141" s="14">
        <v>1.0000000499999999</v>
      </c>
      <c r="H141" s="53"/>
    </row>
    <row r="142" spans="1:8" ht="14.1" customHeight="1" x14ac:dyDescent="0.2">
      <c r="A142" s="15"/>
      <c r="B142" s="15"/>
      <c r="C142" s="15"/>
      <c r="D142" s="16"/>
      <c r="E142" s="16"/>
      <c r="F142" s="16"/>
      <c r="G142" s="16"/>
    </row>
    <row r="143" spans="1:8" ht="14.1" customHeight="1" x14ac:dyDescent="0.2">
      <c r="A143" s="17"/>
      <c r="B143" s="239" t="s">
        <v>907</v>
      </c>
      <c r="C143" s="239"/>
      <c r="D143" s="239"/>
      <c r="E143" s="239"/>
      <c r="F143" s="239"/>
      <c r="G143" s="19"/>
    </row>
    <row r="144" spans="1:8" ht="17.100000000000001" customHeight="1" x14ac:dyDescent="0.2">
      <c r="A144" s="17"/>
      <c r="B144" s="230" t="s">
        <v>173</v>
      </c>
      <c r="C144" s="230"/>
      <c r="D144" s="230"/>
      <c r="E144" s="230"/>
      <c r="F144" s="230"/>
      <c r="G144" s="19"/>
    </row>
    <row r="145" spans="1:7" ht="14.1" customHeight="1" x14ac:dyDescent="0.2">
      <c r="A145" s="17"/>
      <c r="B145" s="17"/>
      <c r="C145" s="17"/>
      <c r="D145" s="19"/>
      <c r="E145" s="19"/>
      <c r="F145" s="19"/>
      <c r="G145" s="19"/>
    </row>
    <row r="146" spans="1:7" ht="14.1" customHeight="1" x14ac:dyDescent="0.2">
      <c r="A146" s="17"/>
      <c r="B146" s="231" t="s">
        <v>174</v>
      </c>
      <c r="C146" s="232"/>
      <c r="D146" s="233"/>
      <c r="E146" s="20"/>
      <c r="F146" s="19"/>
      <c r="G146" s="19"/>
    </row>
    <row r="147" spans="1:7" ht="29.1" customHeight="1" x14ac:dyDescent="0.2">
      <c r="A147" s="17"/>
      <c r="B147" s="226" t="s">
        <v>175</v>
      </c>
      <c r="C147" s="227"/>
      <c r="D147" s="2" t="s">
        <v>176</v>
      </c>
      <c r="E147" s="20"/>
      <c r="F147" s="19"/>
      <c r="G147" s="19"/>
    </row>
    <row r="148" spans="1:7" ht="28.5" customHeight="1" x14ac:dyDescent="0.2">
      <c r="A148" s="17"/>
      <c r="B148" s="226" t="s">
        <v>1166</v>
      </c>
      <c r="C148" s="227"/>
      <c r="D148" s="2" t="s">
        <v>1160</v>
      </c>
      <c r="E148" s="20"/>
      <c r="F148" s="19"/>
      <c r="G148" s="19"/>
    </row>
    <row r="149" spans="1:7" ht="17.100000000000001" customHeight="1" x14ac:dyDescent="0.2">
      <c r="A149" s="17"/>
      <c r="B149" s="226" t="s">
        <v>178</v>
      </c>
      <c r="C149" s="227"/>
      <c r="D149" s="12" t="s">
        <v>145</v>
      </c>
      <c r="E149" s="20"/>
      <c r="F149" s="19"/>
      <c r="G149" s="19"/>
    </row>
    <row r="150" spans="1:7" ht="24" customHeight="1" x14ac:dyDescent="0.2">
      <c r="A150" s="21"/>
      <c r="B150" s="22" t="s">
        <v>145</v>
      </c>
      <c r="C150" s="22" t="s">
        <v>179</v>
      </c>
      <c r="D150" s="22" t="s">
        <v>180</v>
      </c>
      <c r="E150" s="21"/>
      <c r="F150" s="21"/>
      <c r="G150" s="21"/>
    </row>
    <row r="151" spans="1:7" ht="18" customHeight="1" x14ac:dyDescent="0.2">
      <c r="A151" s="21"/>
      <c r="B151" s="23" t="s">
        <v>181</v>
      </c>
      <c r="C151" s="22" t="s">
        <v>182</v>
      </c>
      <c r="D151" s="22" t="s">
        <v>183</v>
      </c>
      <c r="E151" s="21"/>
      <c r="F151" s="21"/>
      <c r="G151" s="21"/>
    </row>
    <row r="152" spans="1:7" ht="17.100000000000001" customHeight="1" x14ac:dyDescent="0.2">
      <c r="A152" s="21"/>
      <c r="B152" s="4" t="s">
        <v>184</v>
      </c>
      <c r="C152" s="24">
        <v>930.60239999999999</v>
      </c>
      <c r="D152" s="24">
        <v>962.66830000000004</v>
      </c>
      <c r="E152" s="21"/>
      <c r="F152" s="18"/>
      <c r="G152" s="25"/>
    </row>
    <row r="153" spans="1:7" ht="17.100000000000001" customHeight="1" x14ac:dyDescent="0.2">
      <c r="A153" s="21"/>
      <c r="B153" s="4" t="s">
        <v>1009</v>
      </c>
      <c r="C153" s="24">
        <v>54.3217</v>
      </c>
      <c r="D153" s="24">
        <v>56.193399999999997</v>
      </c>
      <c r="E153" s="21"/>
      <c r="F153" s="18"/>
      <c r="G153" s="25"/>
    </row>
    <row r="154" spans="1:7" ht="17.100000000000001" customHeight="1" x14ac:dyDescent="0.2">
      <c r="A154" s="21"/>
      <c r="B154" s="4" t="s">
        <v>185</v>
      </c>
      <c r="C154" s="24">
        <v>866.40570000000002</v>
      </c>
      <c r="D154" s="24">
        <v>895.62369999999999</v>
      </c>
      <c r="E154" s="21"/>
      <c r="F154" s="18"/>
      <c r="G154" s="25"/>
    </row>
    <row r="155" spans="1:7" ht="17.100000000000001" customHeight="1" x14ac:dyDescent="0.2">
      <c r="A155" s="21"/>
      <c r="B155" s="4" t="s">
        <v>1010</v>
      </c>
      <c r="C155" s="24">
        <v>49.868299999999998</v>
      </c>
      <c r="D155" s="24">
        <v>51.55</v>
      </c>
      <c r="E155" s="21"/>
      <c r="F155" s="18"/>
      <c r="G155" s="25"/>
    </row>
    <row r="156" spans="1:7" ht="14.1" customHeight="1" x14ac:dyDescent="0.2">
      <c r="A156" s="21"/>
      <c r="B156" s="21"/>
      <c r="C156" s="21"/>
      <c r="D156" s="21"/>
      <c r="E156" s="21"/>
      <c r="F156" s="21"/>
      <c r="G156" s="21"/>
    </row>
    <row r="157" spans="1:7" ht="17.100000000000001" customHeight="1" x14ac:dyDescent="0.2">
      <c r="A157" s="21"/>
      <c r="B157" s="226" t="s">
        <v>1011</v>
      </c>
      <c r="C157" s="227"/>
      <c r="D157" s="42" t="s">
        <v>176</v>
      </c>
      <c r="E157" s="21"/>
      <c r="F157" s="21"/>
      <c r="G157" s="21"/>
    </row>
    <row r="158" spans="1:7" ht="18" customHeight="1" x14ac:dyDescent="0.2">
      <c r="A158" s="21"/>
      <c r="B158" s="26"/>
      <c r="C158" s="26"/>
      <c r="D158" s="26"/>
      <c r="E158" s="21"/>
      <c r="F158" s="21"/>
      <c r="G158" s="21"/>
    </row>
    <row r="159" spans="1:7" ht="29.1" customHeight="1" x14ac:dyDescent="0.2">
      <c r="A159" s="21"/>
      <c r="B159" s="226" t="s">
        <v>186</v>
      </c>
      <c r="C159" s="227"/>
      <c r="D159" s="2" t="s">
        <v>176</v>
      </c>
      <c r="E159" s="27"/>
      <c r="F159" s="21"/>
      <c r="G159" s="21"/>
    </row>
    <row r="160" spans="1:7" ht="29.1" customHeight="1" x14ac:dyDescent="0.2">
      <c r="A160" s="21"/>
      <c r="B160" s="226" t="s">
        <v>187</v>
      </c>
      <c r="C160" s="227"/>
      <c r="D160" s="2" t="s">
        <v>176</v>
      </c>
      <c r="E160" s="27"/>
      <c r="F160" s="21"/>
      <c r="G160" s="21"/>
    </row>
    <row r="161" spans="1:7" ht="17.100000000000001" customHeight="1" x14ac:dyDescent="0.2">
      <c r="A161" s="21"/>
      <c r="B161" s="226" t="s">
        <v>188</v>
      </c>
      <c r="C161" s="227"/>
      <c r="D161" s="2" t="s">
        <v>176</v>
      </c>
      <c r="E161" s="27"/>
      <c r="F161" s="21"/>
      <c r="G161" s="21"/>
    </row>
    <row r="162" spans="1:7" ht="17.100000000000001" customHeight="1" x14ac:dyDescent="0.2">
      <c r="A162" s="21"/>
      <c r="B162" s="226" t="s">
        <v>189</v>
      </c>
      <c r="C162" s="227"/>
      <c r="D162" s="57">
        <v>0.46296604238221056</v>
      </c>
      <c r="E162" s="21"/>
      <c r="F162" s="18"/>
      <c r="G162" s="25"/>
    </row>
  </sheetData>
  <mergeCells count="15">
    <mergeCell ref="A1:H1"/>
    <mergeCell ref="A2:H2"/>
    <mergeCell ref="A3:H3"/>
    <mergeCell ref="B143:F143"/>
    <mergeCell ref="J2:N2"/>
    <mergeCell ref="B147:C147"/>
    <mergeCell ref="B144:F144"/>
    <mergeCell ref="B146:D146"/>
    <mergeCell ref="B162:C162"/>
    <mergeCell ref="B148:C148"/>
    <mergeCell ref="B149:C149"/>
    <mergeCell ref="B157:C157"/>
    <mergeCell ref="B159:C159"/>
    <mergeCell ref="B160:C160"/>
    <mergeCell ref="B161:C161"/>
  </mergeCells>
  <hyperlinks>
    <hyperlink ref="I1" location="Index!B4" display="Index" xr:uid="{FA8E01CC-D465-42DD-A352-4023B0CF7FAE}"/>
  </hyperlinks>
  <pageMargins left="5.000000074505806E-2" right="5.000000074505806E-2" top="0.30000001192092896" bottom="0.20000000298023224" header="0" footer="0"/>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6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309</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310</v>
      </c>
      <c r="C7" s="4" t="s">
        <v>311</v>
      </c>
      <c r="D7" s="4" t="s">
        <v>28</v>
      </c>
      <c r="E7" s="5">
        <v>1999316</v>
      </c>
      <c r="F7" s="6">
        <v>31418.251282000001</v>
      </c>
      <c r="G7" s="7">
        <v>5.736161E-2</v>
      </c>
      <c r="H7" s="53"/>
    </row>
    <row r="8" spans="1:14" ht="17.100000000000001" customHeight="1" x14ac:dyDescent="0.2">
      <c r="A8" s="3">
        <v>2</v>
      </c>
      <c r="B8" s="4" t="s">
        <v>26</v>
      </c>
      <c r="C8" s="4" t="s">
        <v>27</v>
      </c>
      <c r="D8" s="4" t="s">
        <v>28</v>
      </c>
      <c r="E8" s="5">
        <v>2800000</v>
      </c>
      <c r="F8" s="6">
        <v>26845</v>
      </c>
      <c r="G8" s="7">
        <v>4.901204E-2</v>
      </c>
      <c r="H8" s="53"/>
    </row>
    <row r="9" spans="1:14" ht="17.100000000000001" customHeight="1" x14ac:dyDescent="0.2">
      <c r="A9" s="3">
        <v>3</v>
      </c>
      <c r="B9" s="4" t="s">
        <v>20</v>
      </c>
      <c r="C9" s="4" t="s">
        <v>21</v>
      </c>
      <c r="D9" s="4" t="s">
        <v>22</v>
      </c>
      <c r="E9" s="5">
        <v>870000</v>
      </c>
      <c r="F9" s="6">
        <v>20940.900000000001</v>
      </c>
      <c r="G9" s="7">
        <v>3.8232679999999998E-2</v>
      </c>
      <c r="H9" s="53"/>
    </row>
    <row r="10" spans="1:14" ht="17.100000000000001" customHeight="1" x14ac:dyDescent="0.2">
      <c r="A10" s="3">
        <v>4</v>
      </c>
      <c r="B10" s="4" t="s">
        <v>312</v>
      </c>
      <c r="C10" s="4" t="s">
        <v>313</v>
      </c>
      <c r="D10" s="4" t="s">
        <v>905</v>
      </c>
      <c r="E10" s="5">
        <v>1299690</v>
      </c>
      <c r="F10" s="6">
        <v>18656.400105000001</v>
      </c>
      <c r="G10" s="7">
        <v>3.4061769999999998E-2</v>
      </c>
      <c r="H10" s="53"/>
    </row>
    <row r="11" spans="1:14" ht="17.100000000000001" customHeight="1" x14ac:dyDescent="0.2">
      <c r="A11" s="3">
        <v>5</v>
      </c>
      <c r="B11" s="4" t="s">
        <v>314</v>
      </c>
      <c r="C11" s="4" t="s">
        <v>315</v>
      </c>
      <c r="D11" s="4" t="s">
        <v>28</v>
      </c>
      <c r="E11" s="5">
        <v>1371950</v>
      </c>
      <c r="F11" s="6">
        <v>13355.93325</v>
      </c>
      <c r="G11" s="7">
        <v>2.4384490000000002E-2</v>
      </c>
      <c r="H11" s="53"/>
    </row>
    <row r="12" spans="1:14" ht="17.100000000000001" customHeight="1" x14ac:dyDescent="0.2">
      <c r="A12" s="3">
        <v>6</v>
      </c>
      <c r="B12" s="4" t="s">
        <v>32</v>
      </c>
      <c r="C12" s="4" t="s">
        <v>33</v>
      </c>
      <c r="D12" s="4" t="s">
        <v>28</v>
      </c>
      <c r="E12" s="5">
        <v>2330000</v>
      </c>
      <c r="F12" s="6">
        <v>13079.455</v>
      </c>
      <c r="G12" s="7">
        <v>2.3879709999999998E-2</v>
      </c>
      <c r="H12" s="53"/>
    </row>
    <row r="13" spans="1:14" ht="17.100000000000001" customHeight="1" x14ac:dyDescent="0.2">
      <c r="A13" s="3">
        <v>7</v>
      </c>
      <c r="B13" s="4" t="s">
        <v>11</v>
      </c>
      <c r="C13" s="4" t="s">
        <v>12</v>
      </c>
      <c r="D13" s="4" t="s">
        <v>13</v>
      </c>
      <c r="E13" s="5">
        <v>470000</v>
      </c>
      <c r="F13" s="6">
        <v>12702.69</v>
      </c>
      <c r="G13" s="7">
        <v>2.319183E-2</v>
      </c>
      <c r="H13" s="53"/>
      <c r="J13" s="142" t="s">
        <v>1030</v>
      </c>
    </row>
    <row r="14" spans="1:14" ht="29.1" customHeight="1" x14ac:dyDescent="0.2">
      <c r="A14" s="3">
        <v>8</v>
      </c>
      <c r="B14" s="4" t="s">
        <v>210</v>
      </c>
      <c r="C14" s="4" t="s">
        <v>211</v>
      </c>
      <c r="D14" s="4" t="s">
        <v>130</v>
      </c>
      <c r="E14" s="5">
        <v>808159</v>
      </c>
      <c r="F14" s="6">
        <v>9066.3317415000001</v>
      </c>
      <c r="G14" s="7">
        <v>1.655278E-2</v>
      </c>
      <c r="H14" s="53"/>
    </row>
    <row r="15" spans="1:14" ht="29.1" customHeight="1" x14ac:dyDescent="0.2">
      <c r="A15" s="3">
        <v>9</v>
      </c>
      <c r="B15" s="4" t="s">
        <v>316</v>
      </c>
      <c r="C15" s="4" t="s">
        <v>317</v>
      </c>
      <c r="D15" s="4" t="s">
        <v>224</v>
      </c>
      <c r="E15" s="5">
        <v>780000</v>
      </c>
      <c r="F15" s="6">
        <v>8670.48</v>
      </c>
      <c r="G15" s="7">
        <v>1.583006E-2</v>
      </c>
      <c r="H15" s="53"/>
    </row>
    <row r="16" spans="1:14" ht="17.100000000000001" customHeight="1" x14ac:dyDescent="0.2">
      <c r="A16" s="3">
        <v>10</v>
      </c>
      <c r="B16" s="4" t="s">
        <v>318</v>
      </c>
      <c r="C16" s="4" t="s">
        <v>319</v>
      </c>
      <c r="D16" s="4" t="s">
        <v>905</v>
      </c>
      <c r="E16" s="5">
        <v>257671</v>
      </c>
      <c r="F16" s="6">
        <v>8649.5001279999997</v>
      </c>
      <c r="G16" s="7">
        <v>1.579175E-2</v>
      </c>
      <c r="H16" s="53"/>
    </row>
    <row r="17" spans="1:10" ht="17.100000000000001" customHeight="1" x14ac:dyDescent="0.2">
      <c r="A17" s="3">
        <v>11</v>
      </c>
      <c r="B17" s="4" t="s">
        <v>46</v>
      </c>
      <c r="C17" s="4" t="s">
        <v>47</v>
      </c>
      <c r="D17" s="4" t="s">
        <v>31</v>
      </c>
      <c r="E17" s="5">
        <v>161000</v>
      </c>
      <c r="F17" s="6">
        <v>8248.1105000000007</v>
      </c>
      <c r="G17" s="7">
        <v>1.505892E-2</v>
      </c>
      <c r="H17" s="53"/>
    </row>
    <row r="18" spans="1:10" ht="29.1" customHeight="1" x14ac:dyDescent="0.2">
      <c r="A18" s="3">
        <v>12</v>
      </c>
      <c r="B18" s="4" t="s">
        <v>320</v>
      </c>
      <c r="C18" s="4" t="s">
        <v>321</v>
      </c>
      <c r="D18" s="4" t="s">
        <v>224</v>
      </c>
      <c r="E18" s="5">
        <v>145000</v>
      </c>
      <c r="F18" s="6">
        <v>8131.3824999999997</v>
      </c>
      <c r="G18" s="7">
        <v>1.4845799999999999E-2</v>
      </c>
      <c r="H18" s="53"/>
    </row>
    <row r="19" spans="1:10" ht="17.100000000000001" customHeight="1" x14ac:dyDescent="0.2">
      <c r="A19" s="3">
        <v>13</v>
      </c>
      <c r="B19" s="4" t="s">
        <v>295</v>
      </c>
      <c r="C19" s="4" t="s">
        <v>296</v>
      </c>
      <c r="D19" s="4" t="s">
        <v>281</v>
      </c>
      <c r="E19" s="5">
        <v>900000</v>
      </c>
      <c r="F19" s="6">
        <v>8095.5</v>
      </c>
      <c r="G19" s="7">
        <v>1.478029E-2</v>
      </c>
      <c r="H19" s="53"/>
    </row>
    <row r="20" spans="1:10" ht="17.100000000000001" customHeight="1" x14ac:dyDescent="0.2">
      <c r="A20" s="3">
        <v>14</v>
      </c>
      <c r="B20" s="4" t="s">
        <v>249</v>
      </c>
      <c r="C20" s="4" t="s">
        <v>250</v>
      </c>
      <c r="D20" s="4" t="s">
        <v>905</v>
      </c>
      <c r="E20" s="5">
        <v>330000</v>
      </c>
      <c r="F20" s="6">
        <v>8015.04</v>
      </c>
      <c r="G20" s="7">
        <v>1.463339E-2</v>
      </c>
      <c r="H20" s="53"/>
    </row>
    <row r="21" spans="1:10" ht="17.100000000000001" customHeight="1" x14ac:dyDescent="0.2">
      <c r="A21" s="3">
        <v>15</v>
      </c>
      <c r="B21" s="4" t="s">
        <v>322</v>
      </c>
      <c r="C21" s="4" t="s">
        <v>323</v>
      </c>
      <c r="D21" s="4" t="s">
        <v>28</v>
      </c>
      <c r="E21" s="5">
        <v>580000</v>
      </c>
      <c r="F21" s="6">
        <v>7993.27</v>
      </c>
      <c r="G21" s="7">
        <v>1.459365E-2</v>
      </c>
      <c r="H21" s="53"/>
    </row>
    <row r="22" spans="1:10" ht="17.100000000000001" customHeight="1" x14ac:dyDescent="0.2">
      <c r="A22" s="3">
        <v>16</v>
      </c>
      <c r="B22" s="4" t="s">
        <v>71</v>
      </c>
      <c r="C22" s="4" t="s">
        <v>72</v>
      </c>
      <c r="D22" s="4" t="s">
        <v>73</v>
      </c>
      <c r="E22" s="5">
        <v>158000</v>
      </c>
      <c r="F22" s="6">
        <v>7906.0829999999996</v>
      </c>
      <c r="G22" s="7">
        <v>1.443447E-2</v>
      </c>
      <c r="H22" s="53"/>
      <c r="J22" s="142" t="s">
        <v>1031</v>
      </c>
    </row>
    <row r="23" spans="1:10" ht="17.100000000000001" customHeight="1" x14ac:dyDescent="0.2">
      <c r="A23" s="3">
        <v>17</v>
      </c>
      <c r="B23" s="4" t="s">
        <v>90</v>
      </c>
      <c r="C23" s="4" t="s">
        <v>91</v>
      </c>
      <c r="D23" s="4" t="s">
        <v>92</v>
      </c>
      <c r="E23" s="5">
        <v>700000</v>
      </c>
      <c r="F23" s="6">
        <v>7845.95</v>
      </c>
      <c r="G23" s="7">
        <v>1.4324679999999999E-2</v>
      </c>
      <c r="H23" s="53"/>
    </row>
    <row r="24" spans="1:10" ht="17.100000000000001" customHeight="1" x14ac:dyDescent="0.2">
      <c r="A24" s="3">
        <v>18</v>
      </c>
      <c r="B24" s="4" t="s">
        <v>88</v>
      </c>
      <c r="C24" s="4" t="s">
        <v>89</v>
      </c>
      <c r="D24" s="4" t="s">
        <v>87</v>
      </c>
      <c r="E24" s="5">
        <v>1300000</v>
      </c>
      <c r="F24" s="6">
        <v>7742.8</v>
      </c>
      <c r="G24" s="7">
        <v>1.4136350000000001E-2</v>
      </c>
      <c r="H24" s="53"/>
    </row>
    <row r="25" spans="1:10" ht="53.1" customHeight="1" x14ac:dyDescent="0.2">
      <c r="A25" s="3">
        <v>19</v>
      </c>
      <c r="B25" s="4" t="s">
        <v>66</v>
      </c>
      <c r="C25" s="4" t="s">
        <v>67</v>
      </c>
      <c r="D25" s="4" t="s">
        <v>68</v>
      </c>
      <c r="E25" s="5">
        <v>4200000</v>
      </c>
      <c r="F25" s="6">
        <v>7721.7</v>
      </c>
      <c r="G25" s="7">
        <v>1.409783E-2</v>
      </c>
      <c r="H25" s="53"/>
    </row>
    <row r="26" spans="1:10" ht="17.100000000000001" customHeight="1" x14ac:dyDescent="0.2">
      <c r="A26" s="3">
        <v>20</v>
      </c>
      <c r="B26" s="4" t="s">
        <v>253</v>
      </c>
      <c r="C26" s="4" t="s">
        <v>254</v>
      </c>
      <c r="D26" s="4" t="s">
        <v>87</v>
      </c>
      <c r="E26" s="5">
        <v>1280000</v>
      </c>
      <c r="F26" s="6">
        <v>7708.16</v>
      </c>
      <c r="G26" s="7">
        <v>1.407311E-2</v>
      </c>
      <c r="H26" s="53"/>
    </row>
    <row r="27" spans="1:10" ht="17.100000000000001" customHeight="1" x14ac:dyDescent="0.2">
      <c r="A27" s="3">
        <v>21</v>
      </c>
      <c r="B27" s="4" t="s">
        <v>57</v>
      </c>
      <c r="C27" s="4" t="s">
        <v>58</v>
      </c>
      <c r="D27" s="4" t="s">
        <v>59</v>
      </c>
      <c r="E27" s="5">
        <v>1105000</v>
      </c>
      <c r="F27" s="6">
        <v>7430.02</v>
      </c>
      <c r="G27" s="7">
        <v>1.3565300000000001E-2</v>
      </c>
      <c r="H27" s="53"/>
    </row>
    <row r="28" spans="1:10" ht="17.100000000000001" customHeight="1" x14ac:dyDescent="0.2">
      <c r="A28" s="3">
        <v>22</v>
      </c>
      <c r="B28" s="4" t="s">
        <v>202</v>
      </c>
      <c r="C28" s="4" t="s">
        <v>203</v>
      </c>
      <c r="D28" s="4" t="s">
        <v>130</v>
      </c>
      <c r="E28" s="5">
        <v>2852583</v>
      </c>
      <c r="F28" s="6">
        <v>7422.4209659999997</v>
      </c>
      <c r="G28" s="7">
        <v>1.355142E-2</v>
      </c>
      <c r="H28" s="53"/>
    </row>
    <row r="29" spans="1:10" ht="17.100000000000001" customHeight="1" x14ac:dyDescent="0.2">
      <c r="A29" s="3">
        <v>23</v>
      </c>
      <c r="B29" s="4" t="s">
        <v>85</v>
      </c>
      <c r="C29" s="4" t="s">
        <v>86</v>
      </c>
      <c r="D29" s="4" t="s">
        <v>87</v>
      </c>
      <c r="E29" s="5">
        <v>235053</v>
      </c>
      <c r="F29" s="6">
        <v>7174.5227189999996</v>
      </c>
      <c r="G29" s="7">
        <v>1.3098830000000001E-2</v>
      </c>
      <c r="H29" s="53"/>
    </row>
    <row r="30" spans="1:10" ht="17.100000000000001" customHeight="1" x14ac:dyDescent="0.2">
      <c r="A30" s="3">
        <v>24</v>
      </c>
      <c r="B30" s="4" t="s">
        <v>14</v>
      </c>
      <c r="C30" s="4" t="s">
        <v>15</v>
      </c>
      <c r="D30" s="4" t="s">
        <v>16</v>
      </c>
      <c r="E30" s="5">
        <v>825000</v>
      </c>
      <c r="F30" s="6">
        <v>7065.3</v>
      </c>
      <c r="G30" s="7">
        <v>1.289941E-2</v>
      </c>
      <c r="H30" s="53"/>
    </row>
    <row r="31" spans="1:10" ht="17.100000000000001" customHeight="1" x14ac:dyDescent="0.2">
      <c r="A31" s="3">
        <v>25</v>
      </c>
      <c r="B31" s="4" t="s">
        <v>324</v>
      </c>
      <c r="C31" s="4" t="s">
        <v>325</v>
      </c>
      <c r="D31" s="4" t="s">
        <v>229</v>
      </c>
      <c r="E31" s="5">
        <v>1650000</v>
      </c>
      <c r="F31" s="6">
        <v>6944.85</v>
      </c>
      <c r="G31" s="7">
        <v>1.26795E-2</v>
      </c>
      <c r="H31" s="53"/>
    </row>
    <row r="32" spans="1:10" ht="17.100000000000001" customHeight="1" x14ac:dyDescent="0.2">
      <c r="A32" s="3">
        <v>26</v>
      </c>
      <c r="B32" s="4" t="s">
        <v>326</v>
      </c>
      <c r="C32" s="4" t="s">
        <v>327</v>
      </c>
      <c r="D32" s="4" t="s">
        <v>328</v>
      </c>
      <c r="E32" s="5">
        <v>1499310</v>
      </c>
      <c r="F32" s="6">
        <v>6894.5770350000003</v>
      </c>
      <c r="G32" s="7">
        <v>1.258772E-2</v>
      </c>
      <c r="H32" s="53"/>
    </row>
    <row r="33" spans="1:8" ht="17.100000000000001" customHeight="1" x14ac:dyDescent="0.2">
      <c r="A33" s="3">
        <v>27</v>
      </c>
      <c r="B33" s="4" t="s">
        <v>39</v>
      </c>
      <c r="C33" s="4" t="s">
        <v>40</v>
      </c>
      <c r="D33" s="4" t="s">
        <v>41</v>
      </c>
      <c r="E33" s="5">
        <v>157000</v>
      </c>
      <c r="F33" s="6">
        <v>6879.0334999999995</v>
      </c>
      <c r="G33" s="7">
        <v>1.255934E-2</v>
      </c>
      <c r="H33" s="53"/>
    </row>
    <row r="34" spans="1:8" ht="17.100000000000001" customHeight="1" x14ac:dyDescent="0.2">
      <c r="A34" s="3">
        <v>28</v>
      </c>
      <c r="B34" s="4" t="s">
        <v>329</v>
      </c>
      <c r="C34" s="4" t="s">
        <v>330</v>
      </c>
      <c r="D34" s="4" t="s">
        <v>331</v>
      </c>
      <c r="E34" s="5">
        <v>1545000</v>
      </c>
      <c r="F34" s="6">
        <v>6793.3649999999998</v>
      </c>
      <c r="G34" s="7">
        <v>1.240293E-2</v>
      </c>
      <c r="H34" s="53"/>
    </row>
    <row r="35" spans="1:8" ht="17.100000000000001" customHeight="1" x14ac:dyDescent="0.2">
      <c r="A35" s="3">
        <v>29</v>
      </c>
      <c r="B35" s="4" t="s">
        <v>332</v>
      </c>
      <c r="C35" s="4" t="s">
        <v>333</v>
      </c>
      <c r="D35" s="4" t="s">
        <v>31</v>
      </c>
      <c r="E35" s="5">
        <v>710928</v>
      </c>
      <c r="F35" s="6">
        <v>6769.456416</v>
      </c>
      <c r="G35" s="7">
        <v>1.235928E-2</v>
      </c>
      <c r="H35" s="53"/>
    </row>
    <row r="36" spans="1:8" ht="17.100000000000001" customHeight="1" x14ac:dyDescent="0.2">
      <c r="A36" s="3">
        <v>30</v>
      </c>
      <c r="B36" s="4" t="s">
        <v>279</v>
      </c>
      <c r="C36" s="4" t="s">
        <v>280</v>
      </c>
      <c r="D36" s="4" t="s">
        <v>281</v>
      </c>
      <c r="E36" s="5">
        <v>427342</v>
      </c>
      <c r="F36" s="6">
        <v>6481.0687719999996</v>
      </c>
      <c r="G36" s="7">
        <v>1.1832759999999999E-2</v>
      </c>
      <c r="H36" s="53"/>
    </row>
    <row r="37" spans="1:8" ht="17.100000000000001" customHeight="1" x14ac:dyDescent="0.2">
      <c r="A37" s="3">
        <v>31</v>
      </c>
      <c r="B37" s="4" t="s">
        <v>191</v>
      </c>
      <c r="C37" s="4" t="s">
        <v>192</v>
      </c>
      <c r="D37" s="4" t="s">
        <v>28</v>
      </c>
      <c r="E37" s="5">
        <v>4475000</v>
      </c>
      <c r="F37" s="6">
        <v>6441.7624999999998</v>
      </c>
      <c r="G37" s="7">
        <v>1.1761000000000001E-2</v>
      </c>
      <c r="H37" s="53"/>
    </row>
    <row r="38" spans="1:8" ht="17.100000000000001" customHeight="1" x14ac:dyDescent="0.2">
      <c r="A38" s="3">
        <v>32</v>
      </c>
      <c r="B38" s="4" t="s">
        <v>334</v>
      </c>
      <c r="C38" s="4" t="s">
        <v>335</v>
      </c>
      <c r="D38" s="4" t="s">
        <v>73</v>
      </c>
      <c r="E38" s="5">
        <v>205000</v>
      </c>
      <c r="F38" s="6">
        <v>6364.1225000000004</v>
      </c>
      <c r="G38" s="7">
        <v>1.1619239999999999E-2</v>
      </c>
      <c r="H38" s="53"/>
    </row>
    <row r="39" spans="1:8" ht="17.100000000000001" customHeight="1" x14ac:dyDescent="0.2">
      <c r="A39" s="3">
        <v>33</v>
      </c>
      <c r="B39" s="4" t="s">
        <v>17</v>
      </c>
      <c r="C39" s="4" t="s">
        <v>18</v>
      </c>
      <c r="D39" s="4" t="s">
        <v>19</v>
      </c>
      <c r="E39" s="5">
        <v>2875000</v>
      </c>
      <c r="F39" s="6">
        <v>6333.625</v>
      </c>
      <c r="G39" s="7">
        <v>1.1563560000000001E-2</v>
      </c>
      <c r="H39" s="53"/>
    </row>
    <row r="40" spans="1:8" ht="17.100000000000001" customHeight="1" x14ac:dyDescent="0.2">
      <c r="A40" s="3">
        <v>34</v>
      </c>
      <c r="B40" s="4" t="s">
        <v>336</v>
      </c>
      <c r="C40" s="4" t="s">
        <v>337</v>
      </c>
      <c r="D40" s="4" t="s">
        <v>331</v>
      </c>
      <c r="E40" s="5">
        <v>250000</v>
      </c>
      <c r="F40" s="6">
        <v>6262.625</v>
      </c>
      <c r="G40" s="7">
        <v>1.143394E-2</v>
      </c>
      <c r="H40" s="53"/>
    </row>
    <row r="41" spans="1:8" ht="29.1" customHeight="1" x14ac:dyDescent="0.2">
      <c r="A41" s="3">
        <v>35</v>
      </c>
      <c r="B41" s="4" t="s">
        <v>23</v>
      </c>
      <c r="C41" s="4" t="s">
        <v>24</v>
      </c>
      <c r="D41" s="4" t="s">
        <v>25</v>
      </c>
      <c r="E41" s="5">
        <v>75000</v>
      </c>
      <c r="F41" s="6">
        <v>6223.0874999999996</v>
      </c>
      <c r="G41" s="7">
        <v>1.136175E-2</v>
      </c>
      <c r="H41" s="53"/>
    </row>
    <row r="42" spans="1:8" ht="29.1" customHeight="1" x14ac:dyDescent="0.2">
      <c r="A42" s="3">
        <v>36</v>
      </c>
      <c r="B42" s="4" t="s">
        <v>199</v>
      </c>
      <c r="C42" s="4" t="s">
        <v>200</v>
      </c>
      <c r="D42" s="4" t="s">
        <v>201</v>
      </c>
      <c r="E42" s="5">
        <v>133150</v>
      </c>
      <c r="F42" s="6">
        <v>6131.3577750000004</v>
      </c>
      <c r="G42" s="7">
        <v>1.1194279999999999E-2</v>
      </c>
      <c r="H42" s="53"/>
    </row>
    <row r="43" spans="1:8" ht="17.100000000000001" customHeight="1" x14ac:dyDescent="0.2">
      <c r="A43" s="3">
        <v>37</v>
      </c>
      <c r="B43" s="4" t="s">
        <v>338</v>
      </c>
      <c r="C43" s="4" t="s">
        <v>339</v>
      </c>
      <c r="D43" s="4" t="s">
        <v>28</v>
      </c>
      <c r="E43" s="5">
        <v>1900000</v>
      </c>
      <c r="F43" s="6">
        <v>6087.6</v>
      </c>
      <c r="G43" s="7">
        <v>1.111439E-2</v>
      </c>
      <c r="H43" s="53"/>
    </row>
    <row r="44" spans="1:8" ht="17.100000000000001" customHeight="1" x14ac:dyDescent="0.2">
      <c r="A44" s="3">
        <v>38</v>
      </c>
      <c r="B44" s="4" t="s">
        <v>340</v>
      </c>
      <c r="C44" s="4" t="s">
        <v>341</v>
      </c>
      <c r="D44" s="4" t="s">
        <v>905</v>
      </c>
      <c r="E44" s="5">
        <v>117000</v>
      </c>
      <c r="F44" s="6">
        <v>6076.2780000000002</v>
      </c>
      <c r="G44" s="7">
        <v>1.109371E-2</v>
      </c>
      <c r="H44" s="53"/>
    </row>
    <row r="45" spans="1:8" ht="17.100000000000001" customHeight="1" x14ac:dyDescent="0.2">
      <c r="A45" s="3">
        <v>39</v>
      </c>
      <c r="B45" s="4" t="s">
        <v>342</v>
      </c>
      <c r="C45" s="4" t="s">
        <v>343</v>
      </c>
      <c r="D45" s="4" t="s">
        <v>130</v>
      </c>
      <c r="E45" s="5">
        <v>83000</v>
      </c>
      <c r="F45" s="6">
        <v>5945.29</v>
      </c>
      <c r="G45" s="7">
        <v>1.0854559999999999E-2</v>
      </c>
      <c r="H45" s="53"/>
    </row>
    <row r="46" spans="1:8" ht="17.100000000000001" customHeight="1" x14ac:dyDescent="0.2">
      <c r="A46" s="3">
        <v>40</v>
      </c>
      <c r="B46" s="4" t="s">
        <v>271</v>
      </c>
      <c r="C46" s="4" t="s">
        <v>272</v>
      </c>
      <c r="D46" s="4" t="s">
        <v>73</v>
      </c>
      <c r="E46" s="5">
        <v>401148</v>
      </c>
      <c r="F46" s="6">
        <v>5899.8842100000002</v>
      </c>
      <c r="G46" s="7">
        <v>1.0771670000000001E-2</v>
      </c>
      <c r="H46" s="53"/>
    </row>
    <row r="47" spans="1:8" ht="17.100000000000001" customHeight="1" x14ac:dyDescent="0.2">
      <c r="A47" s="3">
        <v>41</v>
      </c>
      <c r="B47" s="4" t="s">
        <v>255</v>
      </c>
      <c r="C47" s="4" t="s">
        <v>256</v>
      </c>
      <c r="D47" s="4" t="s">
        <v>206</v>
      </c>
      <c r="E47" s="5">
        <v>135000</v>
      </c>
      <c r="F47" s="6">
        <v>5847.5249999999996</v>
      </c>
      <c r="G47" s="7">
        <v>1.0676069999999999E-2</v>
      </c>
      <c r="H47" s="53"/>
    </row>
    <row r="48" spans="1:8" ht="29.1" customHeight="1" x14ac:dyDescent="0.2">
      <c r="A48" s="3">
        <v>42</v>
      </c>
      <c r="B48" s="4" t="s">
        <v>344</v>
      </c>
      <c r="C48" s="4" t="s">
        <v>345</v>
      </c>
      <c r="D48" s="4" t="s">
        <v>224</v>
      </c>
      <c r="E48" s="5">
        <v>160000</v>
      </c>
      <c r="F48" s="6">
        <v>5747.36</v>
      </c>
      <c r="G48" s="7">
        <v>1.0493199999999999E-2</v>
      </c>
      <c r="H48" s="53"/>
    </row>
    <row r="49" spans="1:8" ht="17.100000000000001" customHeight="1" x14ac:dyDescent="0.2">
      <c r="A49" s="3">
        <v>43</v>
      </c>
      <c r="B49" s="4" t="s">
        <v>257</v>
      </c>
      <c r="C49" s="4" t="s">
        <v>258</v>
      </c>
      <c r="D49" s="4" t="s">
        <v>73</v>
      </c>
      <c r="E49" s="5">
        <v>535000</v>
      </c>
      <c r="F49" s="6">
        <v>5606.5325000000003</v>
      </c>
      <c r="G49" s="7">
        <v>1.023608E-2</v>
      </c>
      <c r="H49" s="53"/>
    </row>
    <row r="50" spans="1:8" ht="17.100000000000001" customHeight="1" x14ac:dyDescent="0.2">
      <c r="A50" s="3">
        <v>44</v>
      </c>
      <c r="B50" s="4" t="s">
        <v>120</v>
      </c>
      <c r="C50" s="4" t="s">
        <v>121</v>
      </c>
      <c r="D50" s="4" t="s">
        <v>31</v>
      </c>
      <c r="E50" s="5">
        <v>285000</v>
      </c>
      <c r="F50" s="6">
        <v>5569.0424999999996</v>
      </c>
      <c r="G50" s="7">
        <v>1.016763E-2</v>
      </c>
      <c r="H50" s="53"/>
    </row>
    <row r="51" spans="1:8" ht="17.100000000000001" customHeight="1" x14ac:dyDescent="0.2">
      <c r="A51" s="3">
        <v>45</v>
      </c>
      <c r="B51" s="4" t="s">
        <v>215</v>
      </c>
      <c r="C51" s="4" t="s">
        <v>216</v>
      </c>
      <c r="D51" s="4" t="s">
        <v>905</v>
      </c>
      <c r="E51" s="5">
        <v>103500</v>
      </c>
      <c r="F51" s="6">
        <v>5558.6745000000001</v>
      </c>
      <c r="G51" s="7">
        <v>1.01487E-2</v>
      </c>
      <c r="H51" s="53"/>
    </row>
    <row r="52" spans="1:8" ht="17.100000000000001" customHeight="1" x14ac:dyDescent="0.2">
      <c r="A52" s="3">
        <v>46</v>
      </c>
      <c r="B52" s="4" t="s">
        <v>116</v>
      </c>
      <c r="C52" s="4" t="s">
        <v>117</v>
      </c>
      <c r="D52" s="4" t="s">
        <v>80</v>
      </c>
      <c r="E52" s="5">
        <v>1176577</v>
      </c>
      <c r="F52" s="6">
        <v>5502.8506289999996</v>
      </c>
      <c r="G52" s="7">
        <v>1.004678E-2</v>
      </c>
      <c r="H52" s="53"/>
    </row>
    <row r="53" spans="1:8" ht="17.100000000000001" customHeight="1" x14ac:dyDescent="0.2">
      <c r="A53" s="3">
        <v>47</v>
      </c>
      <c r="B53" s="4" t="s">
        <v>346</v>
      </c>
      <c r="C53" s="4" t="s">
        <v>347</v>
      </c>
      <c r="D53" s="4" t="s">
        <v>108</v>
      </c>
      <c r="E53" s="5">
        <v>900000</v>
      </c>
      <c r="F53" s="6">
        <v>5409</v>
      </c>
      <c r="G53" s="7">
        <v>9.8754399999999992E-3</v>
      </c>
      <c r="H53" s="53"/>
    </row>
    <row r="54" spans="1:8" ht="29.1" customHeight="1" x14ac:dyDescent="0.2">
      <c r="A54" s="3">
        <v>48</v>
      </c>
      <c r="B54" s="4" t="s">
        <v>273</v>
      </c>
      <c r="C54" s="4" t="s">
        <v>274</v>
      </c>
      <c r="D54" s="4" t="s">
        <v>214</v>
      </c>
      <c r="E54" s="5">
        <v>147000</v>
      </c>
      <c r="F54" s="6">
        <v>5333.6009999999997</v>
      </c>
      <c r="G54" s="7">
        <v>9.7377799999999997E-3</v>
      </c>
      <c r="H54" s="53"/>
    </row>
    <row r="55" spans="1:8" ht="17.100000000000001" customHeight="1" x14ac:dyDescent="0.2">
      <c r="A55" s="3">
        <v>49</v>
      </c>
      <c r="B55" s="4" t="s">
        <v>207</v>
      </c>
      <c r="C55" s="4" t="s">
        <v>208</v>
      </c>
      <c r="D55" s="4" t="s">
        <v>209</v>
      </c>
      <c r="E55" s="5">
        <v>1600000</v>
      </c>
      <c r="F55" s="6">
        <v>5306.4</v>
      </c>
      <c r="G55" s="7">
        <v>9.6881199999999997E-3</v>
      </c>
      <c r="H55" s="53"/>
    </row>
    <row r="56" spans="1:8" ht="29.1" customHeight="1" x14ac:dyDescent="0.2">
      <c r="A56" s="3">
        <v>50</v>
      </c>
      <c r="B56" s="4" t="s">
        <v>64</v>
      </c>
      <c r="C56" s="4" t="s">
        <v>65</v>
      </c>
      <c r="D56" s="4" t="s">
        <v>25</v>
      </c>
      <c r="E56" s="5">
        <v>250000</v>
      </c>
      <c r="F56" s="6">
        <v>5212.625</v>
      </c>
      <c r="G56" s="7">
        <v>9.51691E-3</v>
      </c>
      <c r="H56" s="53"/>
    </row>
    <row r="57" spans="1:8" ht="17.100000000000001" customHeight="1" x14ac:dyDescent="0.2">
      <c r="A57" s="3">
        <v>51</v>
      </c>
      <c r="B57" s="4" t="s">
        <v>348</v>
      </c>
      <c r="C57" s="4" t="s">
        <v>349</v>
      </c>
      <c r="D57" s="4" t="s">
        <v>206</v>
      </c>
      <c r="E57" s="5">
        <v>400000</v>
      </c>
      <c r="F57" s="6">
        <v>5041.8</v>
      </c>
      <c r="G57" s="7">
        <v>9.2050299999999995E-3</v>
      </c>
      <c r="H57" s="53"/>
    </row>
    <row r="58" spans="1:8" ht="17.100000000000001" customHeight="1" x14ac:dyDescent="0.2">
      <c r="A58" s="3">
        <v>52</v>
      </c>
      <c r="B58" s="4" t="s">
        <v>350</v>
      </c>
      <c r="C58" s="4" t="s">
        <v>351</v>
      </c>
      <c r="D58" s="4" t="s">
        <v>206</v>
      </c>
      <c r="E58" s="5">
        <v>133556</v>
      </c>
      <c r="F58" s="6">
        <v>4968.8174239999998</v>
      </c>
      <c r="G58" s="7">
        <v>9.0717799999999998E-3</v>
      </c>
      <c r="H58" s="53"/>
    </row>
    <row r="59" spans="1:8" ht="17.100000000000001" customHeight="1" x14ac:dyDescent="0.2">
      <c r="A59" s="3">
        <v>53</v>
      </c>
      <c r="B59" s="4" t="s">
        <v>352</v>
      </c>
      <c r="C59" s="4" t="s">
        <v>353</v>
      </c>
      <c r="D59" s="4" t="s">
        <v>95</v>
      </c>
      <c r="E59" s="5">
        <v>4000000</v>
      </c>
      <c r="F59" s="6">
        <v>4916</v>
      </c>
      <c r="G59" s="7">
        <v>8.97535E-3</v>
      </c>
      <c r="H59" s="53"/>
    </row>
    <row r="60" spans="1:8" ht="17.100000000000001" customHeight="1" x14ac:dyDescent="0.2">
      <c r="A60" s="3">
        <v>54</v>
      </c>
      <c r="B60" s="4" t="s">
        <v>197</v>
      </c>
      <c r="C60" s="4" t="s">
        <v>198</v>
      </c>
      <c r="D60" s="4" t="s">
        <v>87</v>
      </c>
      <c r="E60" s="5">
        <v>169137</v>
      </c>
      <c r="F60" s="6">
        <v>4905.8186850000002</v>
      </c>
      <c r="G60" s="7">
        <v>8.9567599999999994E-3</v>
      </c>
      <c r="H60" s="53"/>
    </row>
    <row r="61" spans="1:8" ht="17.100000000000001" customHeight="1" x14ac:dyDescent="0.2">
      <c r="A61" s="3">
        <v>55</v>
      </c>
      <c r="B61" s="4" t="s">
        <v>124</v>
      </c>
      <c r="C61" s="4" t="s">
        <v>125</v>
      </c>
      <c r="D61" s="4" t="s">
        <v>41</v>
      </c>
      <c r="E61" s="5">
        <v>4000000</v>
      </c>
      <c r="F61" s="6">
        <v>4850</v>
      </c>
      <c r="G61" s="7">
        <v>8.8548499999999992E-3</v>
      </c>
      <c r="H61" s="53"/>
    </row>
    <row r="62" spans="1:8" ht="17.100000000000001" customHeight="1" x14ac:dyDescent="0.2">
      <c r="A62" s="3">
        <v>56</v>
      </c>
      <c r="B62" s="4" t="s">
        <v>104</v>
      </c>
      <c r="C62" s="4" t="s">
        <v>105</v>
      </c>
      <c r="D62" s="4" t="s">
        <v>31</v>
      </c>
      <c r="E62" s="5">
        <v>275028</v>
      </c>
      <c r="F62" s="6">
        <v>4696.7906700000003</v>
      </c>
      <c r="G62" s="7">
        <v>8.5751300000000003E-3</v>
      </c>
      <c r="H62" s="53"/>
    </row>
    <row r="63" spans="1:8" ht="17.100000000000001" customHeight="1" x14ac:dyDescent="0.2">
      <c r="A63" s="3">
        <v>57</v>
      </c>
      <c r="B63" s="4" t="s">
        <v>219</v>
      </c>
      <c r="C63" s="4" t="s">
        <v>220</v>
      </c>
      <c r="D63" s="4" t="s">
        <v>221</v>
      </c>
      <c r="E63" s="5">
        <v>501344</v>
      </c>
      <c r="F63" s="6">
        <v>4681.0489280000002</v>
      </c>
      <c r="G63" s="7">
        <v>8.5463899999999992E-3</v>
      </c>
      <c r="H63" s="53"/>
    </row>
    <row r="64" spans="1:8" ht="17.100000000000001" customHeight="1" x14ac:dyDescent="0.2">
      <c r="A64" s="3">
        <v>58</v>
      </c>
      <c r="B64" s="4" t="s">
        <v>354</v>
      </c>
      <c r="C64" s="4" t="s">
        <v>355</v>
      </c>
      <c r="D64" s="4" t="s">
        <v>73</v>
      </c>
      <c r="E64" s="5">
        <v>142000</v>
      </c>
      <c r="F64" s="6">
        <v>4623.6620000000003</v>
      </c>
      <c r="G64" s="7">
        <v>8.4416100000000004E-3</v>
      </c>
      <c r="H64" s="53"/>
    </row>
    <row r="65" spans="1:8" ht="17.100000000000001" customHeight="1" x14ac:dyDescent="0.2">
      <c r="A65" s="3">
        <v>59</v>
      </c>
      <c r="B65" s="4" t="s">
        <v>106</v>
      </c>
      <c r="C65" s="4" t="s">
        <v>107</v>
      </c>
      <c r="D65" s="4" t="s">
        <v>108</v>
      </c>
      <c r="E65" s="5">
        <v>45000</v>
      </c>
      <c r="F65" s="6">
        <v>4501.71</v>
      </c>
      <c r="G65" s="7">
        <v>8.2189600000000008E-3</v>
      </c>
      <c r="H65" s="53"/>
    </row>
    <row r="66" spans="1:8" ht="17.100000000000001" customHeight="1" x14ac:dyDescent="0.2">
      <c r="A66" s="3">
        <v>60</v>
      </c>
      <c r="B66" s="4" t="s">
        <v>356</v>
      </c>
      <c r="C66" s="4" t="s">
        <v>357</v>
      </c>
      <c r="D66" s="4" t="s">
        <v>59</v>
      </c>
      <c r="E66" s="5">
        <v>320375</v>
      </c>
      <c r="F66" s="6">
        <v>4500.6279999999997</v>
      </c>
      <c r="G66" s="7">
        <v>8.2169800000000005E-3</v>
      </c>
      <c r="H66" s="53"/>
    </row>
    <row r="67" spans="1:8" ht="17.100000000000001" customHeight="1" x14ac:dyDescent="0.2">
      <c r="A67" s="3">
        <v>61</v>
      </c>
      <c r="B67" s="4" t="s">
        <v>358</v>
      </c>
      <c r="C67" s="4" t="s">
        <v>359</v>
      </c>
      <c r="D67" s="4" t="s">
        <v>28</v>
      </c>
      <c r="E67" s="5">
        <v>2350000</v>
      </c>
      <c r="F67" s="6">
        <v>4398.0249999999996</v>
      </c>
      <c r="G67" s="7">
        <v>8.0296599999999992E-3</v>
      </c>
      <c r="H67" s="53"/>
    </row>
    <row r="68" spans="1:8" ht="17.100000000000001" customHeight="1" x14ac:dyDescent="0.2">
      <c r="A68" s="3">
        <v>62</v>
      </c>
      <c r="B68" s="4" t="s">
        <v>360</v>
      </c>
      <c r="C68" s="4" t="s">
        <v>361</v>
      </c>
      <c r="D68" s="4" t="s">
        <v>87</v>
      </c>
      <c r="E68" s="5">
        <v>328185</v>
      </c>
      <c r="F68" s="6">
        <v>4176.4823100000003</v>
      </c>
      <c r="G68" s="7">
        <v>7.6251799999999996E-3</v>
      </c>
      <c r="H68" s="53"/>
    </row>
    <row r="69" spans="1:8" ht="17.100000000000001" customHeight="1" x14ac:dyDescent="0.2">
      <c r="A69" s="3">
        <v>63</v>
      </c>
      <c r="B69" s="4" t="s">
        <v>362</v>
      </c>
      <c r="C69" s="4" t="s">
        <v>363</v>
      </c>
      <c r="D69" s="4" t="s">
        <v>206</v>
      </c>
      <c r="E69" s="5">
        <v>4180000</v>
      </c>
      <c r="F69" s="6">
        <v>4079.68</v>
      </c>
      <c r="G69" s="7">
        <v>7.4484399999999997E-3</v>
      </c>
      <c r="H69" s="53"/>
    </row>
    <row r="70" spans="1:8" ht="17.100000000000001" customHeight="1" x14ac:dyDescent="0.2">
      <c r="A70" s="3">
        <v>64</v>
      </c>
      <c r="B70" s="4" t="s">
        <v>74</v>
      </c>
      <c r="C70" s="4" t="s">
        <v>75</v>
      </c>
      <c r="D70" s="4" t="s">
        <v>41</v>
      </c>
      <c r="E70" s="5">
        <v>881341</v>
      </c>
      <c r="F70" s="6">
        <v>3450.0093445000002</v>
      </c>
      <c r="G70" s="7">
        <v>6.2988300000000001E-3</v>
      </c>
      <c r="H70" s="53"/>
    </row>
    <row r="71" spans="1:8" ht="17.100000000000001" customHeight="1" x14ac:dyDescent="0.2">
      <c r="A71" s="3">
        <v>65</v>
      </c>
      <c r="B71" s="4" t="s">
        <v>364</v>
      </c>
      <c r="C71" s="4" t="s">
        <v>365</v>
      </c>
      <c r="D71" s="4" t="s">
        <v>73</v>
      </c>
      <c r="E71" s="5">
        <v>348399</v>
      </c>
      <c r="F71" s="6">
        <v>3292.0221510000001</v>
      </c>
      <c r="G71" s="7">
        <v>6.0103800000000001E-3</v>
      </c>
      <c r="H71" s="53"/>
    </row>
    <row r="72" spans="1:8" ht="17.100000000000001" customHeight="1" x14ac:dyDescent="0.2">
      <c r="A72" s="3">
        <v>66</v>
      </c>
      <c r="B72" s="4" t="s">
        <v>366</v>
      </c>
      <c r="C72" s="4" t="s">
        <v>367</v>
      </c>
      <c r="D72" s="4" t="s">
        <v>130</v>
      </c>
      <c r="E72" s="5">
        <v>220000</v>
      </c>
      <c r="F72" s="6">
        <v>3275.58</v>
      </c>
      <c r="G72" s="7">
        <v>5.9803599999999997E-3</v>
      </c>
      <c r="H72" s="53"/>
    </row>
    <row r="73" spans="1:8" ht="29.1" customHeight="1" x14ac:dyDescent="0.2">
      <c r="A73" s="3">
        <v>67</v>
      </c>
      <c r="B73" s="4" t="s">
        <v>368</v>
      </c>
      <c r="C73" s="4" t="s">
        <v>369</v>
      </c>
      <c r="D73" s="4" t="s">
        <v>201</v>
      </c>
      <c r="E73" s="5">
        <v>120000</v>
      </c>
      <c r="F73" s="6">
        <v>2827.8</v>
      </c>
      <c r="G73" s="7">
        <v>5.1628300000000002E-3</v>
      </c>
      <c r="H73" s="53"/>
    </row>
    <row r="74" spans="1:8" ht="17.100000000000001" customHeight="1" x14ac:dyDescent="0.2">
      <c r="A74" s="3">
        <v>68</v>
      </c>
      <c r="B74" s="4" t="s">
        <v>370</v>
      </c>
      <c r="C74" s="4" t="s">
        <v>371</v>
      </c>
      <c r="D74" s="4" t="s">
        <v>304</v>
      </c>
      <c r="E74" s="5">
        <v>7000</v>
      </c>
      <c r="F74" s="6">
        <v>2810.7240000000002</v>
      </c>
      <c r="G74" s="7">
        <v>5.1316599999999997E-3</v>
      </c>
      <c r="H74" s="53"/>
    </row>
    <row r="75" spans="1:8" ht="29.1" customHeight="1" x14ac:dyDescent="0.2">
      <c r="A75" s="3">
        <v>69</v>
      </c>
      <c r="B75" s="4" t="s">
        <v>269</v>
      </c>
      <c r="C75" s="4" t="s">
        <v>270</v>
      </c>
      <c r="D75" s="4" t="s">
        <v>224</v>
      </c>
      <c r="E75" s="5">
        <v>664603</v>
      </c>
      <c r="F75" s="6">
        <v>2655.753588</v>
      </c>
      <c r="G75" s="7">
        <v>4.8487199999999999E-3</v>
      </c>
      <c r="H75" s="53"/>
    </row>
    <row r="76" spans="1:8" ht="17.100000000000001" customHeight="1" x14ac:dyDescent="0.2">
      <c r="A76" s="3">
        <v>70</v>
      </c>
      <c r="B76" s="4" t="s">
        <v>227</v>
      </c>
      <c r="C76" s="4" t="s">
        <v>228</v>
      </c>
      <c r="D76" s="4" t="s">
        <v>229</v>
      </c>
      <c r="E76" s="5">
        <v>516458</v>
      </c>
      <c r="F76" s="6">
        <v>2644.523189</v>
      </c>
      <c r="G76" s="7">
        <v>4.8282200000000003E-3</v>
      </c>
      <c r="H76" s="53"/>
    </row>
    <row r="77" spans="1:8" ht="17.100000000000001" customHeight="1" x14ac:dyDescent="0.2">
      <c r="A77" s="3">
        <v>71</v>
      </c>
      <c r="B77" s="4" t="s">
        <v>372</v>
      </c>
      <c r="C77" s="4" t="s">
        <v>373</v>
      </c>
      <c r="D77" s="4" t="s">
        <v>31</v>
      </c>
      <c r="E77" s="5">
        <v>240000</v>
      </c>
      <c r="F77" s="6">
        <v>2568.84</v>
      </c>
      <c r="G77" s="7">
        <v>4.6900400000000004E-3</v>
      </c>
      <c r="H77" s="53"/>
    </row>
    <row r="78" spans="1:8" ht="29.1" customHeight="1" x14ac:dyDescent="0.2">
      <c r="A78" s="3">
        <v>72</v>
      </c>
      <c r="B78" s="4" t="s">
        <v>374</v>
      </c>
      <c r="C78" s="4" t="s">
        <v>375</v>
      </c>
      <c r="D78" s="4" t="s">
        <v>224</v>
      </c>
      <c r="E78" s="5">
        <v>180000</v>
      </c>
      <c r="F78" s="6">
        <v>2263.6799999999998</v>
      </c>
      <c r="G78" s="7">
        <v>4.1329000000000001E-3</v>
      </c>
      <c r="H78" s="53"/>
    </row>
    <row r="79" spans="1:8" ht="29.1" customHeight="1" x14ac:dyDescent="0.2">
      <c r="A79" s="3">
        <v>73</v>
      </c>
      <c r="B79" s="4" t="s">
        <v>241</v>
      </c>
      <c r="C79" s="4" t="s">
        <v>242</v>
      </c>
      <c r="D79" s="4" t="s">
        <v>224</v>
      </c>
      <c r="E79" s="5">
        <v>60000</v>
      </c>
      <c r="F79" s="6">
        <v>2185.71</v>
      </c>
      <c r="G79" s="7">
        <v>3.9905399999999999E-3</v>
      </c>
      <c r="H79" s="53"/>
    </row>
    <row r="80" spans="1:8" ht="29.1" customHeight="1" x14ac:dyDescent="0.2">
      <c r="A80" s="3">
        <v>74</v>
      </c>
      <c r="B80" s="4" t="s">
        <v>376</v>
      </c>
      <c r="C80" s="4" t="s">
        <v>377</v>
      </c>
      <c r="D80" s="4" t="s">
        <v>73</v>
      </c>
      <c r="E80" s="5">
        <v>696600</v>
      </c>
      <c r="F80" s="6">
        <v>2090.1482999999998</v>
      </c>
      <c r="G80" s="7">
        <v>3.81607E-3</v>
      </c>
      <c r="H80" s="53"/>
    </row>
    <row r="81" spans="1:8" ht="17.100000000000001" customHeight="1" x14ac:dyDescent="0.2">
      <c r="A81" s="3">
        <v>75</v>
      </c>
      <c r="B81" s="4" t="s">
        <v>135</v>
      </c>
      <c r="C81" s="4" t="s">
        <v>136</v>
      </c>
      <c r="D81" s="4" t="s">
        <v>130</v>
      </c>
      <c r="E81" s="5">
        <v>870000</v>
      </c>
      <c r="F81" s="6">
        <v>2031.45</v>
      </c>
      <c r="G81" s="7">
        <v>3.7088999999999998E-3</v>
      </c>
      <c r="H81" s="53"/>
    </row>
    <row r="82" spans="1:8" ht="17.100000000000001" customHeight="1" x14ac:dyDescent="0.2">
      <c r="A82" s="3">
        <v>76</v>
      </c>
      <c r="B82" s="4" t="s">
        <v>234</v>
      </c>
      <c r="C82" s="4" t="s">
        <v>235</v>
      </c>
      <c r="D82" s="4" t="s">
        <v>905</v>
      </c>
      <c r="E82" s="5">
        <v>26512</v>
      </c>
      <c r="F82" s="6">
        <v>1449.265224</v>
      </c>
      <c r="G82" s="7">
        <v>2.64598E-3</v>
      </c>
      <c r="H82" s="53"/>
    </row>
    <row r="83" spans="1:8" ht="17.100000000000001" customHeight="1" x14ac:dyDescent="0.2">
      <c r="A83" s="3">
        <v>77</v>
      </c>
      <c r="B83" s="4" t="s">
        <v>128</v>
      </c>
      <c r="C83" s="4" t="s">
        <v>129</v>
      </c>
      <c r="D83" s="4" t="s">
        <v>130</v>
      </c>
      <c r="E83" s="5">
        <v>600000</v>
      </c>
      <c r="F83" s="6">
        <v>1431.9</v>
      </c>
      <c r="G83" s="7">
        <v>2.6142800000000001E-3</v>
      </c>
      <c r="H83" s="53"/>
    </row>
    <row r="84" spans="1:8" ht="14.1" customHeight="1" x14ac:dyDescent="0.2">
      <c r="A84" s="1"/>
      <c r="B84" s="1"/>
      <c r="C84" s="2" t="s">
        <v>144</v>
      </c>
      <c r="D84" s="1"/>
      <c r="E84" s="1" t="s">
        <v>145</v>
      </c>
      <c r="F84" s="9">
        <v>524824.66434200003</v>
      </c>
      <c r="G84" s="10">
        <v>0.95819434000000003</v>
      </c>
      <c r="H84" s="53"/>
    </row>
    <row r="85" spans="1:8" ht="14.1" customHeight="1" x14ac:dyDescent="0.2">
      <c r="A85" s="1"/>
      <c r="B85" s="1"/>
      <c r="C85" s="11"/>
      <c r="D85" s="1"/>
      <c r="E85" s="1"/>
      <c r="F85" s="12"/>
      <c r="G85" s="12"/>
      <c r="H85" s="53"/>
    </row>
    <row r="86" spans="1:8" ht="14.1" customHeight="1" x14ac:dyDescent="0.2">
      <c r="A86" s="1"/>
      <c r="B86" s="1"/>
      <c r="C86" s="2" t="s">
        <v>146</v>
      </c>
      <c r="D86" s="1"/>
      <c r="E86" s="1"/>
      <c r="F86" s="1"/>
      <c r="G86" s="1"/>
      <c r="H86" s="53"/>
    </row>
    <row r="87" spans="1:8" ht="14.1" customHeight="1" x14ac:dyDescent="0.2">
      <c r="A87" s="1"/>
      <c r="B87" s="1"/>
      <c r="C87" s="2" t="s">
        <v>144</v>
      </c>
      <c r="D87" s="1"/>
      <c r="E87" s="1" t="s">
        <v>145</v>
      </c>
      <c r="F87" s="13" t="s">
        <v>147</v>
      </c>
      <c r="G87" s="10">
        <v>0</v>
      </c>
      <c r="H87" s="53"/>
    </row>
    <row r="88" spans="1:8" ht="14.1" customHeight="1" x14ac:dyDescent="0.2">
      <c r="A88" s="1"/>
      <c r="B88" s="1"/>
      <c r="C88" s="11"/>
      <c r="D88" s="1"/>
      <c r="E88" s="1"/>
      <c r="F88" s="12"/>
      <c r="G88" s="12"/>
      <c r="H88" s="53"/>
    </row>
    <row r="89" spans="1:8" ht="14.1" customHeight="1" x14ac:dyDescent="0.2">
      <c r="A89" s="1"/>
      <c r="B89" s="1"/>
      <c r="C89" s="2" t="s">
        <v>148</v>
      </c>
      <c r="D89" s="1"/>
      <c r="E89" s="1"/>
      <c r="F89" s="1"/>
      <c r="G89" s="1"/>
      <c r="H89" s="53"/>
    </row>
    <row r="90" spans="1:8" ht="14.1" customHeight="1" x14ac:dyDescent="0.2">
      <c r="A90" s="1"/>
      <c r="B90" s="1"/>
      <c r="C90" s="2" t="s">
        <v>144</v>
      </c>
      <c r="D90" s="1"/>
      <c r="E90" s="1" t="s">
        <v>145</v>
      </c>
      <c r="F90" s="13" t="s">
        <v>147</v>
      </c>
      <c r="G90" s="10">
        <v>0</v>
      </c>
      <c r="H90" s="53"/>
    </row>
    <row r="91" spans="1:8" ht="14.1" customHeight="1" x14ac:dyDescent="0.2">
      <c r="A91" s="1"/>
      <c r="B91" s="1"/>
      <c r="C91" s="11"/>
      <c r="D91" s="1"/>
      <c r="E91" s="1"/>
      <c r="F91" s="12"/>
      <c r="G91" s="12"/>
      <c r="H91" s="53"/>
    </row>
    <row r="92" spans="1:8" ht="14.1" customHeight="1" x14ac:dyDescent="0.2">
      <c r="A92" s="1"/>
      <c r="B92" s="1"/>
      <c r="C92" s="2" t="s">
        <v>149</v>
      </c>
      <c r="D92" s="1"/>
      <c r="E92" s="1"/>
      <c r="F92" s="1"/>
      <c r="G92" s="1"/>
      <c r="H92" s="53"/>
    </row>
    <row r="93" spans="1:8" ht="14.1" customHeight="1" x14ac:dyDescent="0.2">
      <c r="A93" s="1"/>
      <c r="B93" s="1"/>
      <c r="C93" s="2" t="s">
        <v>144</v>
      </c>
      <c r="D93" s="1"/>
      <c r="E93" s="1" t="s">
        <v>145</v>
      </c>
      <c r="F93" s="13" t="s">
        <v>147</v>
      </c>
      <c r="G93" s="10">
        <v>0</v>
      </c>
      <c r="H93" s="53"/>
    </row>
    <row r="94" spans="1:8" ht="14.1" customHeight="1" x14ac:dyDescent="0.2">
      <c r="A94" s="1"/>
      <c r="B94" s="1"/>
      <c r="C94" s="11"/>
      <c r="D94" s="1"/>
      <c r="E94" s="1"/>
      <c r="F94" s="12"/>
      <c r="G94" s="12"/>
      <c r="H94" s="53"/>
    </row>
    <row r="95" spans="1:8" ht="14.1" customHeight="1" x14ac:dyDescent="0.2">
      <c r="A95" s="1"/>
      <c r="B95" s="1"/>
      <c r="C95" s="2" t="s">
        <v>150</v>
      </c>
      <c r="D95" s="1"/>
      <c r="E95" s="1"/>
      <c r="F95" s="12"/>
      <c r="G95" s="12"/>
      <c r="H95" s="53"/>
    </row>
    <row r="96" spans="1:8" ht="14.1" customHeight="1" x14ac:dyDescent="0.2">
      <c r="A96" s="1"/>
      <c r="B96" s="1"/>
      <c r="C96" s="2" t="s">
        <v>144</v>
      </c>
      <c r="D96" s="1"/>
      <c r="E96" s="1" t="s">
        <v>145</v>
      </c>
      <c r="F96" s="13" t="s">
        <v>147</v>
      </c>
      <c r="G96" s="10">
        <v>0</v>
      </c>
      <c r="H96" s="53"/>
    </row>
    <row r="97" spans="1:8" ht="14.1" customHeight="1" x14ac:dyDescent="0.2">
      <c r="A97" s="1"/>
      <c r="B97" s="1"/>
      <c r="C97" s="11"/>
      <c r="D97" s="1"/>
      <c r="E97" s="1"/>
      <c r="F97" s="12"/>
      <c r="G97" s="12"/>
      <c r="H97" s="53"/>
    </row>
    <row r="98" spans="1:8" ht="14.1" customHeight="1" x14ac:dyDescent="0.2">
      <c r="A98" s="1"/>
      <c r="B98" s="1"/>
      <c r="C98" s="2" t="s">
        <v>151</v>
      </c>
      <c r="D98" s="1"/>
      <c r="E98" s="1"/>
      <c r="F98" s="12"/>
      <c r="G98" s="12"/>
      <c r="H98" s="53"/>
    </row>
    <row r="99" spans="1:8" ht="14.1" customHeight="1" x14ac:dyDescent="0.2">
      <c r="A99" s="1"/>
      <c r="B99" s="1"/>
      <c r="C99" s="2" t="s">
        <v>144</v>
      </c>
      <c r="D99" s="1"/>
      <c r="E99" s="1" t="s">
        <v>145</v>
      </c>
      <c r="F99" s="13" t="s">
        <v>147</v>
      </c>
      <c r="G99" s="10">
        <v>0</v>
      </c>
      <c r="H99" s="53"/>
    </row>
    <row r="100" spans="1:8" ht="14.1" customHeight="1" x14ac:dyDescent="0.2">
      <c r="A100" s="1"/>
      <c r="B100" s="1"/>
      <c r="C100" s="11"/>
      <c r="D100" s="1"/>
      <c r="E100" s="1"/>
      <c r="F100" s="12"/>
      <c r="G100" s="12"/>
      <c r="H100" s="53"/>
    </row>
    <row r="101" spans="1:8" ht="18" customHeight="1" x14ac:dyDescent="0.2">
      <c r="A101" s="1"/>
      <c r="B101" s="1"/>
      <c r="C101" s="2" t="s">
        <v>152</v>
      </c>
      <c r="D101" s="1"/>
      <c r="E101" s="1"/>
      <c r="F101" s="9">
        <v>524824.66434200003</v>
      </c>
      <c r="G101" s="10">
        <v>0.95819434000000003</v>
      </c>
      <c r="H101" s="53"/>
    </row>
    <row r="102" spans="1:8" ht="14.1" customHeight="1" x14ac:dyDescent="0.2">
      <c r="A102" s="1"/>
      <c r="B102" s="1"/>
      <c r="C102" s="11"/>
      <c r="D102" s="1"/>
      <c r="E102" s="1"/>
      <c r="F102" s="12"/>
      <c r="G102" s="12"/>
      <c r="H102" s="53"/>
    </row>
    <row r="103" spans="1:8" ht="14.1" customHeight="1" x14ac:dyDescent="0.2">
      <c r="A103" s="1"/>
      <c r="B103" s="1"/>
      <c r="C103" s="2" t="s">
        <v>153</v>
      </c>
      <c r="D103" s="1"/>
      <c r="E103" s="1"/>
      <c r="F103" s="12"/>
      <c r="G103" s="12"/>
      <c r="H103" s="53"/>
    </row>
    <row r="104" spans="1:8" ht="24" customHeight="1" x14ac:dyDescent="0.2">
      <c r="A104" s="1"/>
      <c r="B104" s="1"/>
      <c r="C104" s="2" t="s">
        <v>10</v>
      </c>
      <c r="D104" s="1"/>
      <c r="E104" s="1"/>
      <c r="F104" s="12"/>
      <c r="G104" s="12"/>
      <c r="H104" s="53"/>
    </row>
    <row r="105" spans="1:8" ht="14.1" customHeight="1" x14ac:dyDescent="0.2">
      <c r="A105" s="1"/>
      <c r="B105" s="1"/>
      <c r="C105" s="2" t="s">
        <v>144</v>
      </c>
      <c r="D105" s="1"/>
      <c r="E105" s="1" t="s">
        <v>145</v>
      </c>
      <c r="F105" s="13" t="s">
        <v>147</v>
      </c>
      <c r="G105" s="10">
        <v>0</v>
      </c>
      <c r="H105" s="53"/>
    </row>
    <row r="106" spans="1:8" ht="14.1" customHeight="1" x14ac:dyDescent="0.2">
      <c r="A106" s="1"/>
      <c r="B106" s="1"/>
      <c r="C106" s="11"/>
      <c r="D106" s="1"/>
      <c r="E106" s="1"/>
      <c r="F106" s="12"/>
      <c r="G106" s="12"/>
      <c r="H106" s="53"/>
    </row>
    <row r="107" spans="1:8" ht="14.1" customHeight="1" x14ac:dyDescent="0.2">
      <c r="A107" s="1"/>
      <c r="B107" s="1"/>
      <c r="C107" s="2" t="s">
        <v>154</v>
      </c>
      <c r="D107" s="1"/>
      <c r="E107" s="1"/>
      <c r="F107" s="1"/>
      <c r="G107" s="1"/>
      <c r="H107" s="53"/>
    </row>
    <row r="108" spans="1:8" ht="14.1" customHeight="1" x14ac:dyDescent="0.2">
      <c r="A108" s="1"/>
      <c r="B108" s="1"/>
      <c r="C108" s="2" t="s">
        <v>144</v>
      </c>
      <c r="D108" s="1"/>
      <c r="E108" s="1" t="s">
        <v>145</v>
      </c>
      <c r="F108" s="13" t="s">
        <v>147</v>
      </c>
      <c r="G108" s="10">
        <v>0</v>
      </c>
      <c r="H108" s="53"/>
    </row>
    <row r="109" spans="1:8" ht="14.1" customHeight="1" x14ac:dyDescent="0.2">
      <c r="A109" s="1"/>
      <c r="B109" s="1"/>
      <c r="C109" s="11"/>
      <c r="D109" s="1"/>
      <c r="E109" s="1"/>
      <c r="F109" s="12"/>
      <c r="G109" s="12"/>
      <c r="H109" s="53"/>
    </row>
    <row r="110" spans="1:8" ht="14.1" customHeight="1" x14ac:dyDescent="0.2">
      <c r="A110" s="1"/>
      <c r="B110" s="1"/>
      <c r="C110" s="2" t="s">
        <v>155</v>
      </c>
      <c r="D110" s="1"/>
      <c r="E110" s="1"/>
      <c r="F110" s="1"/>
      <c r="G110" s="1"/>
      <c r="H110" s="53"/>
    </row>
    <row r="111" spans="1:8" ht="14.1" customHeight="1" x14ac:dyDescent="0.2">
      <c r="A111" s="1"/>
      <c r="B111" s="1"/>
      <c r="C111" s="2" t="s">
        <v>144</v>
      </c>
      <c r="D111" s="1"/>
      <c r="E111" s="1" t="s">
        <v>145</v>
      </c>
      <c r="F111" s="13" t="s">
        <v>147</v>
      </c>
      <c r="G111" s="10">
        <v>0</v>
      </c>
      <c r="H111" s="53"/>
    </row>
    <row r="112" spans="1:8" ht="14.1" customHeight="1" x14ac:dyDescent="0.2">
      <c r="A112" s="1"/>
      <c r="B112" s="1"/>
      <c r="C112" s="11"/>
      <c r="D112" s="1"/>
      <c r="E112" s="1"/>
      <c r="F112" s="12"/>
      <c r="G112" s="12"/>
      <c r="H112" s="53"/>
    </row>
    <row r="113" spans="1:8" ht="14.1" customHeight="1" x14ac:dyDescent="0.2">
      <c r="A113" s="1"/>
      <c r="B113" s="1"/>
      <c r="C113" s="2" t="s">
        <v>156</v>
      </c>
      <c r="D113" s="1"/>
      <c r="E113" s="1"/>
      <c r="F113" s="12"/>
      <c r="G113" s="12"/>
      <c r="H113" s="53"/>
    </row>
    <row r="114" spans="1:8" ht="14.1" customHeight="1" x14ac:dyDescent="0.2">
      <c r="A114" s="1"/>
      <c r="B114" s="1"/>
      <c r="C114" s="2" t="s">
        <v>144</v>
      </c>
      <c r="D114" s="1"/>
      <c r="E114" s="1" t="s">
        <v>145</v>
      </c>
      <c r="F114" s="13" t="s">
        <v>147</v>
      </c>
      <c r="G114" s="10">
        <v>0</v>
      </c>
      <c r="H114" s="53"/>
    </row>
    <row r="115" spans="1:8" ht="14.1" customHeight="1" x14ac:dyDescent="0.2">
      <c r="A115" s="1"/>
      <c r="B115" s="1"/>
      <c r="C115" s="11"/>
      <c r="D115" s="1"/>
      <c r="E115" s="1"/>
      <c r="F115" s="12"/>
      <c r="G115" s="12"/>
      <c r="H115" s="53"/>
    </row>
    <row r="116" spans="1:8" ht="14.1" customHeight="1" x14ac:dyDescent="0.2">
      <c r="A116" s="1"/>
      <c r="B116" s="1"/>
      <c r="C116" s="2" t="s">
        <v>157</v>
      </c>
      <c r="D116" s="1"/>
      <c r="E116" s="1"/>
      <c r="F116" s="9">
        <v>0</v>
      </c>
      <c r="G116" s="10">
        <v>0</v>
      </c>
      <c r="H116" s="53"/>
    </row>
    <row r="117" spans="1:8" ht="14.1" customHeight="1" x14ac:dyDescent="0.2">
      <c r="A117" s="1"/>
      <c r="B117" s="1"/>
      <c r="C117" s="11"/>
      <c r="D117" s="1"/>
      <c r="E117" s="1"/>
      <c r="F117" s="12"/>
      <c r="G117" s="12"/>
      <c r="H117" s="53"/>
    </row>
    <row r="118" spans="1:8" ht="14.1" customHeight="1" x14ac:dyDescent="0.2">
      <c r="A118" s="1"/>
      <c r="B118" s="1"/>
      <c r="C118" s="2" t="s">
        <v>158</v>
      </c>
      <c r="D118" s="1"/>
      <c r="E118" s="1"/>
      <c r="F118" s="12"/>
      <c r="G118" s="12"/>
      <c r="H118" s="53"/>
    </row>
    <row r="119" spans="1:8" ht="14.1" customHeight="1" x14ac:dyDescent="0.2">
      <c r="A119" s="1"/>
      <c r="B119" s="1"/>
      <c r="C119" s="2" t="s">
        <v>159</v>
      </c>
      <c r="D119" s="1"/>
      <c r="E119" s="1"/>
      <c r="F119" s="12"/>
      <c r="G119" s="12"/>
      <c r="H119" s="53"/>
    </row>
    <row r="120" spans="1:8" ht="14.1" customHeight="1" x14ac:dyDescent="0.2">
      <c r="A120" s="1"/>
      <c r="B120" s="1"/>
      <c r="C120" s="2" t="s">
        <v>144</v>
      </c>
      <c r="D120" s="1"/>
      <c r="E120" s="1" t="s">
        <v>145</v>
      </c>
      <c r="F120" s="13" t="s">
        <v>147</v>
      </c>
      <c r="G120" s="10">
        <v>0</v>
      </c>
      <c r="H120" s="53"/>
    </row>
    <row r="121" spans="1:8" ht="14.1" customHeight="1" x14ac:dyDescent="0.2">
      <c r="A121" s="1"/>
      <c r="B121" s="1"/>
      <c r="C121" s="11"/>
      <c r="D121" s="1"/>
      <c r="E121" s="1"/>
      <c r="F121" s="12"/>
      <c r="G121" s="12"/>
      <c r="H121" s="53"/>
    </row>
    <row r="122" spans="1:8" ht="14.1" customHeight="1" x14ac:dyDescent="0.2">
      <c r="A122" s="1"/>
      <c r="B122" s="1"/>
      <c r="C122" s="2" t="s">
        <v>160</v>
      </c>
      <c r="D122" s="1"/>
      <c r="E122" s="1"/>
      <c r="F122" s="12"/>
      <c r="G122" s="12"/>
      <c r="H122" s="53"/>
    </row>
    <row r="123" spans="1:8" ht="14.1" customHeight="1" x14ac:dyDescent="0.2">
      <c r="A123" s="1"/>
      <c r="B123" s="1"/>
      <c r="C123" s="2" t="s">
        <v>144</v>
      </c>
      <c r="D123" s="1"/>
      <c r="E123" s="1" t="s">
        <v>145</v>
      </c>
      <c r="F123" s="13" t="s">
        <v>147</v>
      </c>
      <c r="G123" s="10">
        <v>0</v>
      </c>
      <c r="H123" s="53"/>
    </row>
    <row r="124" spans="1:8" ht="14.1" customHeight="1" x14ac:dyDescent="0.2">
      <c r="A124" s="1"/>
      <c r="B124" s="1"/>
      <c r="C124" s="11"/>
      <c r="D124" s="1"/>
      <c r="E124" s="1"/>
      <c r="F124" s="12"/>
      <c r="G124" s="12"/>
      <c r="H124" s="53"/>
    </row>
    <row r="125" spans="1:8" ht="14.1" customHeight="1" x14ac:dyDescent="0.2">
      <c r="A125" s="1"/>
      <c r="B125" s="1"/>
      <c r="C125" s="2" t="s">
        <v>161</v>
      </c>
      <c r="D125" s="1"/>
      <c r="E125" s="1"/>
      <c r="F125" s="12"/>
      <c r="G125" s="12"/>
      <c r="H125" s="53"/>
    </row>
    <row r="126" spans="1:8" ht="14.1" customHeight="1" x14ac:dyDescent="0.2">
      <c r="A126" s="1"/>
      <c r="B126" s="1"/>
      <c r="C126" s="2" t="s">
        <v>144</v>
      </c>
      <c r="D126" s="1"/>
      <c r="E126" s="1" t="s">
        <v>145</v>
      </c>
      <c r="F126" s="13" t="s">
        <v>147</v>
      </c>
      <c r="G126" s="10">
        <v>0</v>
      </c>
      <c r="H126" s="53"/>
    </row>
    <row r="127" spans="1:8" ht="14.1" customHeight="1" x14ac:dyDescent="0.2">
      <c r="A127" s="1"/>
      <c r="B127" s="1"/>
      <c r="C127" s="11"/>
      <c r="D127" s="1"/>
      <c r="E127" s="1"/>
      <c r="F127" s="12"/>
      <c r="G127" s="12"/>
      <c r="H127" s="53"/>
    </row>
    <row r="128" spans="1:8" ht="14.1" customHeight="1" x14ac:dyDescent="0.2">
      <c r="A128" s="1"/>
      <c r="B128" s="1"/>
      <c r="C128" s="2" t="s">
        <v>162</v>
      </c>
      <c r="D128" s="1"/>
      <c r="E128" s="1"/>
      <c r="F128" s="12"/>
      <c r="G128" s="12"/>
      <c r="H128" s="53"/>
    </row>
    <row r="129" spans="1:14" ht="17.100000000000001" customHeight="1" x14ac:dyDescent="0.2">
      <c r="A129" s="3">
        <v>1</v>
      </c>
      <c r="B129" s="4"/>
      <c r="C129" s="4" t="s">
        <v>163</v>
      </c>
      <c r="D129" s="4"/>
      <c r="E129" s="8"/>
      <c r="F129" s="6">
        <v>12205.026900976</v>
      </c>
      <c r="G129" s="7">
        <v>2.2283230000000001E-2</v>
      </c>
      <c r="H129" s="51">
        <v>6.6602331647804478</v>
      </c>
    </row>
    <row r="130" spans="1:14" ht="17.100000000000001" customHeight="1" x14ac:dyDescent="0.2">
      <c r="A130" s="3">
        <v>2</v>
      </c>
      <c r="B130" s="4"/>
      <c r="C130" s="4" t="s">
        <v>164</v>
      </c>
      <c r="D130" s="4"/>
      <c r="E130" s="8"/>
      <c r="F130" s="6">
        <v>9331.0862185999995</v>
      </c>
      <c r="G130" s="7">
        <v>1.703615E-2</v>
      </c>
      <c r="H130" s="51">
        <v>6.6588225936582406</v>
      </c>
    </row>
    <row r="131" spans="1:14" ht="14.1" customHeight="1" x14ac:dyDescent="0.2">
      <c r="A131" s="1"/>
      <c r="B131" s="1"/>
      <c r="C131" s="2" t="s">
        <v>144</v>
      </c>
      <c r="D131" s="1"/>
      <c r="E131" s="1" t="s">
        <v>145</v>
      </c>
      <c r="F131" s="9">
        <v>21536.113119575999</v>
      </c>
      <c r="G131" s="10">
        <v>3.9319380000000001E-2</v>
      </c>
      <c r="H131" s="53"/>
    </row>
    <row r="132" spans="1:14" ht="14.1" customHeight="1" x14ac:dyDescent="0.2">
      <c r="A132" s="1"/>
      <c r="B132" s="1"/>
      <c r="C132" s="11"/>
      <c r="D132" s="1"/>
      <c r="E132" s="1"/>
      <c r="F132" s="12"/>
      <c r="G132" s="12"/>
      <c r="H132" s="53"/>
    </row>
    <row r="133" spans="1:14" ht="14.1" customHeight="1" x14ac:dyDescent="0.2">
      <c r="A133" s="1"/>
      <c r="B133" s="1"/>
      <c r="C133" s="2" t="s">
        <v>165</v>
      </c>
      <c r="D133" s="1"/>
      <c r="E133" s="1"/>
      <c r="F133" s="9">
        <v>21536.113119575999</v>
      </c>
      <c r="G133" s="10">
        <v>3.9319380000000001E-2</v>
      </c>
      <c r="H133" s="53"/>
    </row>
    <row r="134" spans="1:14" ht="14.1" customHeight="1" x14ac:dyDescent="0.2">
      <c r="A134" s="1"/>
      <c r="B134" s="1"/>
      <c r="C134" s="12"/>
      <c r="D134" s="1"/>
      <c r="E134" s="1"/>
      <c r="F134" s="1"/>
      <c r="G134" s="1"/>
      <c r="H134" s="53"/>
    </row>
    <row r="135" spans="1:14" ht="14.1" customHeight="1" x14ac:dyDescent="0.2">
      <c r="A135" s="1"/>
      <c r="B135" s="1"/>
      <c r="C135" s="2" t="s">
        <v>166</v>
      </c>
      <c r="D135" s="1"/>
      <c r="E135" s="1"/>
      <c r="F135" s="1"/>
      <c r="G135" s="1"/>
      <c r="H135" s="53"/>
    </row>
    <row r="136" spans="1:14" ht="14.1" customHeight="1" x14ac:dyDescent="0.2">
      <c r="A136" s="1"/>
      <c r="B136" s="1"/>
      <c r="C136" s="2" t="s">
        <v>167</v>
      </c>
      <c r="D136" s="1"/>
      <c r="E136" s="1"/>
      <c r="F136" s="1"/>
      <c r="G136" s="1"/>
      <c r="H136" s="53"/>
    </row>
    <row r="137" spans="1:14" ht="14.1" customHeight="1" x14ac:dyDescent="0.2">
      <c r="A137" s="1"/>
      <c r="B137" s="1"/>
      <c r="C137" s="2" t="s">
        <v>144</v>
      </c>
      <c r="D137" s="1"/>
      <c r="E137" s="1" t="s">
        <v>145</v>
      </c>
      <c r="F137" s="13" t="s">
        <v>147</v>
      </c>
      <c r="G137" s="10">
        <v>0</v>
      </c>
      <c r="H137" s="53"/>
      <c r="J137" s="143"/>
      <c r="K137" s="143"/>
      <c r="L137" s="143"/>
      <c r="M137" s="143"/>
      <c r="N137" s="143"/>
    </row>
    <row r="138" spans="1:14" ht="14.1" customHeight="1" x14ac:dyDescent="0.2">
      <c r="A138" s="1"/>
      <c r="B138" s="1"/>
      <c r="C138" s="11"/>
      <c r="D138" s="1"/>
      <c r="E138" s="1"/>
      <c r="F138" s="12"/>
      <c r="G138" s="12"/>
      <c r="H138" s="53"/>
    </row>
    <row r="139" spans="1:14" ht="14.1" customHeight="1" x14ac:dyDescent="0.2">
      <c r="A139" s="1"/>
      <c r="B139" s="1"/>
      <c r="C139" s="2" t="s">
        <v>168</v>
      </c>
      <c r="D139" s="1"/>
      <c r="E139" s="1"/>
      <c r="F139" s="1"/>
      <c r="G139" s="1"/>
      <c r="H139" s="53"/>
    </row>
    <row r="140" spans="1:14" ht="14.1" customHeight="1" x14ac:dyDescent="0.2">
      <c r="A140" s="1"/>
      <c r="B140" s="1"/>
      <c r="C140" s="2" t="s">
        <v>169</v>
      </c>
      <c r="D140" s="1"/>
      <c r="E140" s="1"/>
      <c r="F140" s="1"/>
      <c r="G140" s="1"/>
      <c r="H140" s="53"/>
    </row>
    <row r="141" spans="1:14" ht="14.1" customHeight="1" x14ac:dyDescent="0.2">
      <c r="A141" s="1"/>
      <c r="B141" s="1"/>
      <c r="C141" s="2" t="s">
        <v>144</v>
      </c>
      <c r="D141" s="1"/>
      <c r="E141" s="1" t="s">
        <v>145</v>
      </c>
      <c r="F141" s="13" t="s">
        <v>147</v>
      </c>
      <c r="G141" s="10">
        <v>0</v>
      </c>
      <c r="H141" s="53"/>
    </row>
    <row r="142" spans="1:14" ht="14.1" customHeight="1" x14ac:dyDescent="0.2">
      <c r="A142" s="1"/>
      <c r="B142" s="1"/>
      <c r="C142" s="11"/>
      <c r="D142" s="1"/>
      <c r="E142" s="1"/>
      <c r="F142" s="12"/>
      <c r="G142" s="12"/>
      <c r="H142" s="53"/>
    </row>
    <row r="143" spans="1:14" ht="24" customHeight="1" x14ac:dyDescent="0.2">
      <c r="A143" s="1"/>
      <c r="B143" s="1"/>
      <c r="C143" s="2" t="s">
        <v>170</v>
      </c>
      <c r="D143" s="1"/>
      <c r="E143" s="1"/>
      <c r="F143" s="12"/>
      <c r="G143" s="12"/>
      <c r="H143" s="53"/>
    </row>
    <row r="144" spans="1:14" ht="14.1" customHeight="1" x14ac:dyDescent="0.2">
      <c r="A144" s="1"/>
      <c r="B144" s="1"/>
      <c r="C144" s="2" t="s">
        <v>144</v>
      </c>
      <c r="D144" s="1"/>
      <c r="E144" s="1" t="s">
        <v>145</v>
      </c>
      <c r="F144" s="13" t="s">
        <v>147</v>
      </c>
      <c r="G144" s="10">
        <v>0</v>
      </c>
      <c r="H144" s="53"/>
    </row>
    <row r="145" spans="1:8" ht="14.1" customHeight="1" x14ac:dyDescent="0.2">
      <c r="A145" s="1"/>
      <c r="B145" s="1"/>
      <c r="C145" s="11"/>
      <c r="D145" s="1"/>
      <c r="E145" s="1"/>
      <c r="F145" s="12"/>
      <c r="G145" s="12"/>
      <c r="H145" s="53"/>
    </row>
    <row r="146" spans="1:8" ht="14.1" customHeight="1" x14ac:dyDescent="0.2">
      <c r="A146" s="1"/>
      <c r="B146" s="4"/>
      <c r="C146" s="4"/>
      <c r="D146" s="2"/>
      <c r="E146" s="1"/>
      <c r="F146" s="4"/>
      <c r="G146" s="8"/>
      <c r="H146" s="53"/>
    </row>
    <row r="147" spans="1:8" ht="18" customHeight="1" x14ac:dyDescent="0.2">
      <c r="A147" s="8"/>
      <c r="B147" s="4"/>
      <c r="C147" s="4" t="s">
        <v>171</v>
      </c>
      <c r="D147" s="4"/>
      <c r="E147" s="8"/>
      <c r="F147" s="6">
        <v>1361.81858721</v>
      </c>
      <c r="G147" s="7">
        <v>2.4863300000000001E-3</v>
      </c>
      <c r="H147" s="53"/>
    </row>
    <row r="148" spans="1:8" ht="14.1" customHeight="1" x14ac:dyDescent="0.2">
      <c r="A148" s="11"/>
      <c r="B148" s="11"/>
      <c r="C148" s="2" t="s">
        <v>172</v>
      </c>
      <c r="D148" s="12"/>
      <c r="E148" s="12"/>
      <c r="F148" s="9">
        <v>547722.59604878596</v>
      </c>
      <c r="G148" s="14">
        <v>1.0000000499999999</v>
      </c>
      <c r="H148" s="53"/>
    </row>
    <row r="149" spans="1:8" ht="14.1" customHeight="1" x14ac:dyDescent="0.2">
      <c r="A149" s="15"/>
      <c r="B149" s="15"/>
      <c r="C149" s="15"/>
      <c r="D149" s="16"/>
      <c r="E149" s="16"/>
      <c r="F149" s="16"/>
      <c r="G149" s="16"/>
    </row>
    <row r="150" spans="1:8" ht="14.1" customHeight="1" x14ac:dyDescent="0.2">
      <c r="A150" s="17"/>
      <c r="B150" s="17"/>
      <c r="C150" s="17"/>
      <c r="D150" s="19"/>
      <c r="E150" s="19"/>
      <c r="F150" s="19"/>
      <c r="G150" s="19"/>
    </row>
    <row r="151" spans="1:8" ht="14.1" customHeight="1" x14ac:dyDescent="0.2">
      <c r="A151" s="17"/>
      <c r="B151" s="231" t="s">
        <v>174</v>
      </c>
      <c r="C151" s="232"/>
      <c r="D151" s="233"/>
      <c r="E151" s="20"/>
      <c r="F151" s="19"/>
      <c r="G151" s="19"/>
    </row>
    <row r="152" spans="1:8" ht="29.1" customHeight="1" x14ac:dyDescent="0.2">
      <c r="A152" s="17"/>
      <c r="B152" s="226" t="s">
        <v>175</v>
      </c>
      <c r="C152" s="227"/>
      <c r="D152" s="2" t="s">
        <v>176</v>
      </c>
      <c r="E152" s="20"/>
      <c r="F152" s="19"/>
      <c r="G152" s="19"/>
    </row>
    <row r="153" spans="1:8" ht="17.100000000000001" customHeight="1" x14ac:dyDescent="0.2">
      <c r="A153" s="17"/>
      <c r="B153" s="226" t="s">
        <v>177</v>
      </c>
      <c r="C153" s="227"/>
      <c r="D153" s="2" t="s">
        <v>176</v>
      </c>
      <c r="E153" s="20"/>
      <c r="F153" s="19"/>
      <c r="G153" s="19"/>
    </row>
    <row r="154" spans="1:8" ht="17.100000000000001" customHeight="1" x14ac:dyDescent="0.2">
      <c r="A154" s="17"/>
      <c r="B154" s="226" t="s">
        <v>178</v>
      </c>
      <c r="C154" s="227"/>
      <c r="D154" s="12" t="s">
        <v>145</v>
      </c>
      <c r="E154" s="20"/>
      <c r="F154" s="19"/>
      <c r="G154" s="19"/>
    </row>
    <row r="155" spans="1:8" ht="24" customHeight="1" x14ac:dyDescent="0.2">
      <c r="A155" s="21"/>
      <c r="B155" s="22" t="s">
        <v>145</v>
      </c>
      <c r="C155" s="22" t="s">
        <v>179</v>
      </c>
      <c r="D155" s="22" t="s">
        <v>180</v>
      </c>
      <c r="E155" s="21"/>
      <c r="F155" s="21"/>
      <c r="G155" s="21"/>
    </row>
    <row r="156" spans="1:8" ht="18" customHeight="1" x14ac:dyDescent="0.2">
      <c r="A156" s="21"/>
      <c r="B156" s="23" t="s">
        <v>181</v>
      </c>
      <c r="C156" s="22" t="s">
        <v>182</v>
      </c>
      <c r="D156" s="22" t="s">
        <v>183</v>
      </c>
      <c r="E156" s="21"/>
      <c r="F156" s="21"/>
      <c r="G156" s="21"/>
    </row>
    <row r="157" spans="1:8" ht="17.100000000000001" customHeight="1" x14ac:dyDescent="0.2">
      <c r="A157" s="21"/>
      <c r="B157" s="4" t="s">
        <v>184</v>
      </c>
      <c r="C157" s="24">
        <v>68.228499999999997</v>
      </c>
      <c r="D157" s="24">
        <v>68.052800000000005</v>
      </c>
      <c r="E157" s="21"/>
      <c r="F157" s="18"/>
      <c r="G157" s="25"/>
    </row>
    <row r="158" spans="1:8" ht="17.100000000000001" customHeight="1" x14ac:dyDescent="0.2">
      <c r="A158" s="21"/>
      <c r="B158" s="4" t="s">
        <v>1009</v>
      </c>
      <c r="C158" s="24">
        <v>29.366700000000002</v>
      </c>
      <c r="D158" s="24">
        <v>29.2911</v>
      </c>
      <c r="E158" s="21"/>
      <c r="F158" s="18"/>
      <c r="G158" s="25"/>
    </row>
    <row r="159" spans="1:8" ht="17.100000000000001" customHeight="1" x14ac:dyDescent="0.2">
      <c r="A159" s="21"/>
      <c r="B159" s="4" t="s">
        <v>185</v>
      </c>
      <c r="C159" s="24">
        <v>61.9467</v>
      </c>
      <c r="D159" s="24">
        <v>61.729799999999997</v>
      </c>
      <c r="E159" s="21"/>
      <c r="F159" s="18"/>
      <c r="G159" s="25"/>
    </row>
    <row r="160" spans="1:8" ht="17.100000000000001" customHeight="1" x14ac:dyDescent="0.2">
      <c r="A160" s="21"/>
      <c r="B160" s="4" t="s">
        <v>1010</v>
      </c>
      <c r="C160" s="24">
        <v>26.101400000000002</v>
      </c>
      <c r="D160" s="24">
        <v>26.010100000000001</v>
      </c>
      <c r="E160" s="21"/>
      <c r="F160" s="18"/>
      <c r="G160" s="25"/>
    </row>
    <row r="161" spans="1:7" ht="14.1" customHeight="1" x14ac:dyDescent="0.2">
      <c r="A161" s="21"/>
      <c r="B161" s="21"/>
      <c r="C161" s="21"/>
      <c r="D161" s="21"/>
      <c r="E161" s="21"/>
      <c r="F161" s="21"/>
      <c r="G161" s="21"/>
    </row>
    <row r="162" spans="1:7" ht="17.100000000000001" customHeight="1" x14ac:dyDescent="0.2">
      <c r="A162" s="21"/>
      <c r="B162" s="226" t="s">
        <v>1011</v>
      </c>
      <c r="C162" s="227"/>
      <c r="D162" s="2" t="s">
        <v>176</v>
      </c>
      <c r="E162" s="21"/>
      <c r="F162" s="21"/>
      <c r="G162" s="21"/>
    </row>
    <row r="163" spans="1:7" ht="18" customHeight="1" x14ac:dyDescent="0.2">
      <c r="A163" s="21"/>
      <c r="B163" s="26"/>
      <c r="C163" s="26"/>
      <c r="D163" s="26"/>
      <c r="E163" s="21"/>
      <c r="F163" s="21"/>
      <c r="G163" s="21"/>
    </row>
    <row r="164" spans="1:7" ht="29.1" customHeight="1" x14ac:dyDescent="0.2">
      <c r="A164" s="21"/>
      <c r="B164" s="226" t="s">
        <v>186</v>
      </c>
      <c r="C164" s="227"/>
      <c r="D164" s="2" t="s">
        <v>176</v>
      </c>
      <c r="E164" s="27"/>
      <c r="F164" s="21"/>
      <c r="G164" s="21"/>
    </row>
    <row r="165" spans="1:7" ht="29.1" customHeight="1" x14ac:dyDescent="0.2">
      <c r="A165" s="21"/>
      <c r="B165" s="226" t="s">
        <v>187</v>
      </c>
      <c r="C165" s="227"/>
      <c r="D165" s="2" t="s">
        <v>176</v>
      </c>
      <c r="E165" s="27"/>
      <c r="F165" s="21"/>
      <c r="G165" s="21"/>
    </row>
    <row r="166" spans="1:7" ht="17.100000000000001" customHeight="1" x14ac:dyDescent="0.2">
      <c r="A166" s="21"/>
      <c r="B166" s="226" t="s">
        <v>188</v>
      </c>
      <c r="C166" s="227"/>
      <c r="D166" s="2" t="s">
        <v>176</v>
      </c>
      <c r="E166" s="27"/>
      <c r="F166" s="21"/>
      <c r="G166" s="21"/>
    </row>
    <row r="167" spans="1:7" ht="17.100000000000001" customHeight="1" x14ac:dyDescent="0.2">
      <c r="A167" s="21"/>
      <c r="B167" s="226" t="s">
        <v>189</v>
      </c>
      <c r="C167" s="227"/>
      <c r="D167" s="57">
        <v>0.30470413124445511</v>
      </c>
      <c r="E167" s="21"/>
      <c r="F167" s="18"/>
      <c r="G167" s="25"/>
    </row>
  </sheetData>
  <mergeCells count="13">
    <mergeCell ref="A1:H1"/>
    <mergeCell ref="A2:H2"/>
    <mergeCell ref="A3:H3"/>
    <mergeCell ref="J2:N2"/>
    <mergeCell ref="B167:C167"/>
    <mergeCell ref="B153:C153"/>
    <mergeCell ref="B154:C154"/>
    <mergeCell ref="B162:C162"/>
    <mergeCell ref="B164:C164"/>
    <mergeCell ref="B165:C165"/>
    <mergeCell ref="B166:C166"/>
    <mergeCell ref="B152:C152"/>
    <mergeCell ref="B151:D151"/>
  </mergeCells>
  <hyperlinks>
    <hyperlink ref="I1" location="Index!B5" display="Index" xr:uid="{80C111A2-33EB-4364-9379-CF102FB8BEB2}"/>
  </hyperlinks>
  <pageMargins left="5.000000074505806E-2" right="5.000000074505806E-2" top="0.30000001192092896" bottom="0.20000000298023224" header="0" footer="0"/>
  <pageSetup paperSize="9"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6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378</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4.1" customHeight="1" x14ac:dyDescent="0.2">
      <c r="A7" s="1"/>
      <c r="B7" s="1"/>
      <c r="C7" s="2" t="s">
        <v>144</v>
      </c>
      <c r="D7" s="1"/>
      <c r="E7" s="1" t="s">
        <v>145</v>
      </c>
      <c r="F7" s="13" t="s">
        <v>147</v>
      </c>
      <c r="G7" s="10">
        <v>0</v>
      </c>
      <c r="H7" s="53"/>
    </row>
    <row r="8" spans="1:14" ht="14.1" customHeight="1" x14ac:dyDescent="0.2">
      <c r="A8" s="1"/>
      <c r="B8" s="1"/>
      <c r="C8" s="11"/>
      <c r="D8" s="1"/>
      <c r="E8" s="1"/>
      <c r="F8" s="12"/>
      <c r="G8" s="12"/>
      <c r="H8" s="53"/>
    </row>
    <row r="9" spans="1:14" ht="14.1" customHeight="1" x14ac:dyDescent="0.2">
      <c r="A9" s="1"/>
      <c r="B9" s="1"/>
      <c r="C9" s="2" t="s">
        <v>146</v>
      </c>
      <c r="D9" s="1"/>
      <c r="E9" s="1"/>
      <c r="F9" s="1"/>
      <c r="G9" s="1"/>
      <c r="H9" s="53"/>
    </row>
    <row r="10" spans="1:14" ht="14.1" customHeight="1" x14ac:dyDescent="0.2">
      <c r="A10" s="1"/>
      <c r="B10" s="1"/>
      <c r="C10" s="2" t="s">
        <v>144</v>
      </c>
      <c r="D10" s="1"/>
      <c r="E10" s="1" t="s">
        <v>145</v>
      </c>
      <c r="F10" s="13" t="s">
        <v>147</v>
      </c>
      <c r="G10" s="10">
        <v>0</v>
      </c>
      <c r="H10" s="53"/>
    </row>
    <row r="11" spans="1:14" ht="14.1" customHeight="1" x14ac:dyDescent="0.2">
      <c r="A11" s="1"/>
      <c r="B11" s="1"/>
      <c r="C11" s="11"/>
      <c r="D11" s="1"/>
      <c r="E11" s="1"/>
      <c r="F11" s="12"/>
      <c r="G11" s="12"/>
      <c r="H11" s="53"/>
    </row>
    <row r="12" spans="1:14" ht="14.1" customHeight="1" x14ac:dyDescent="0.2">
      <c r="A12" s="1"/>
      <c r="B12" s="1"/>
      <c r="C12" s="2" t="s">
        <v>148</v>
      </c>
      <c r="D12" s="1"/>
      <c r="E12" s="1"/>
      <c r="F12" s="1"/>
      <c r="G12" s="1"/>
      <c r="H12" s="53"/>
    </row>
    <row r="13" spans="1:14" ht="14.1" customHeight="1" x14ac:dyDescent="0.2">
      <c r="A13" s="1"/>
      <c r="B13" s="1"/>
      <c r="C13" s="2" t="s">
        <v>144</v>
      </c>
      <c r="D13" s="1"/>
      <c r="E13" s="1" t="s">
        <v>145</v>
      </c>
      <c r="F13" s="13" t="s">
        <v>147</v>
      </c>
      <c r="G13" s="10">
        <v>0</v>
      </c>
      <c r="H13" s="53"/>
    </row>
    <row r="14" spans="1:14" ht="14.1" customHeight="1" x14ac:dyDescent="0.2">
      <c r="A14" s="1"/>
      <c r="B14" s="1"/>
      <c r="C14" s="11"/>
      <c r="D14" s="1"/>
      <c r="E14" s="1"/>
      <c r="F14" s="12"/>
      <c r="G14" s="12"/>
      <c r="H14" s="53"/>
    </row>
    <row r="15" spans="1:14" ht="14.1" customHeight="1" x14ac:dyDescent="0.2">
      <c r="A15" s="1"/>
      <c r="B15" s="1"/>
      <c r="C15" s="2" t="s">
        <v>149</v>
      </c>
      <c r="D15" s="1"/>
      <c r="E15" s="1"/>
      <c r="F15" s="1"/>
      <c r="G15" s="1"/>
      <c r="H15" s="53"/>
    </row>
    <row r="16" spans="1:14" ht="14.1" customHeight="1" x14ac:dyDescent="0.2">
      <c r="A16" s="1"/>
      <c r="B16" s="1"/>
      <c r="C16" s="2" t="s">
        <v>144</v>
      </c>
      <c r="D16" s="1"/>
      <c r="E16" s="1" t="s">
        <v>145</v>
      </c>
      <c r="F16" s="13" t="s">
        <v>147</v>
      </c>
      <c r="G16" s="10">
        <v>0</v>
      </c>
      <c r="H16" s="53"/>
      <c r="J16" s="142" t="s">
        <v>1032</v>
      </c>
    </row>
    <row r="17" spans="1:8" ht="14.1" customHeight="1" x14ac:dyDescent="0.2">
      <c r="A17" s="1"/>
      <c r="B17" s="1"/>
      <c r="C17" s="11"/>
      <c r="D17" s="1"/>
      <c r="E17" s="1"/>
      <c r="F17" s="12"/>
      <c r="G17" s="12"/>
      <c r="H17" s="53"/>
    </row>
    <row r="18" spans="1:8" ht="14.1" customHeight="1" x14ac:dyDescent="0.2">
      <c r="A18" s="1"/>
      <c r="B18" s="1"/>
      <c r="C18" s="2" t="s">
        <v>150</v>
      </c>
      <c r="D18" s="1"/>
      <c r="E18" s="1"/>
      <c r="F18" s="12"/>
      <c r="G18" s="12"/>
      <c r="H18" s="53"/>
    </row>
    <row r="19" spans="1:8" ht="14.1" customHeight="1" x14ac:dyDescent="0.2">
      <c r="A19" s="1"/>
      <c r="B19" s="1"/>
      <c r="C19" s="2" t="s">
        <v>144</v>
      </c>
      <c r="D19" s="1"/>
      <c r="E19" s="1" t="s">
        <v>145</v>
      </c>
      <c r="F19" s="13" t="s">
        <v>147</v>
      </c>
      <c r="G19" s="10">
        <v>0</v>
      </c>
      <c r="H19" s="53"/>
    </row>
    <row r="20" spans="1:8" ht="14.1" customHeight="1" x14ac:dyDescent="0.2">
      <c r="A20" s="1"/>
      <c r="B20" s="1"/>
      <c r="C20" s="11"/>
      <c r="D20" s="1"/>
      <c r="E20" s="1"/>
      <c r="F20" s="12"/>
      <c r="G20" s="12"/>
      <c r="H20" s="53"/>
    </row>
    <row r="21" spans="1:8" ht="14.1" customHeight="1" x14ac:dyDescent="0.2">
      <c r="A21" s="1"/>
      <c r="B21" s="1"/>
      <c r="C21" s="2" t="s">
        <v>151</v>
      </c>
      <c r="D21" s="1"/>
      <c r="E21" s="1"/>
      <c r="F21" s="12"/>
      <c r="G21" s="12"/>
      <c r="H21" s="53"/>
    </row>
    <row r="22" spans="1:8" ht="14.1" customHeight="1" x14ac:dyDescent="0.2">
      <c r="A22" s="1"/>
      <c r="B22" s="1"/>
      <c r="C22" s="2" t="s">
        <v>144</v>
      </c>
      <c r="D22" s="1"/>
      <c r="E22" s="1" t="s">
        <v>145</v>
      </c>
      <c r="F22" s="13" t="s">
        <v>147</v>
      </c>
      <c r="G22" s="10">
        <v>0</v>
      </c>
      <c r="H22" s="53"/>
    </row>
    <row r="23" spans="1:8" ht="14.1" customHeight="1" x14ac:dyDescent="0.2">
      <c r="A23" s="1"/>
      <c r="B23" s="1"/>
      <c r="C23" s="11"/>
      <c r="D23" s="1"/>
      <c r="E23" s="1"/>
      <c r="F23" s="12"/>
      <c r="G23" s="12"/>
      <c r="H23" s="53"/>
    </row>
    <row r="24" spans="1:8" ht="18" customHeight="1" x14ac:dyDescent="0.2">
      <c r="A24" s="1"/>
      <c r="B24" s="1"/>
      <c r="C24" s="2" t="s">
        <v>152</v>
      </c>
      <c r="D24" s="1"/>
      <c r="E24" s="1"/>
      <c r="F24" s="9">
        <v>0</v>
      </c>
      <c r="G24" s="10">
        <v>0</v>
      </c>
      <c r="H24" s="53"/>
    </row>
    <row r="25" spans="1:8" ht="14.1" customHeight="1" x14ac:dyDescent="0.2">
      <c r="A25" s="1"/>
      <c r="B25" s="1"/>
      <c r="C25" s="11"/>
      <c r="D25" s="1"/>
      <c r="E25" s="1"/>
      <c r="F25" s="12"/>
      <c r="G25" s="12"/>
      <c r="H25" s="53"/>
    </row>
    <row r="26" spans="1:8" ht="14.1" customHeight="1" x14ac:dyDescent="0.2">
      <c r="A26" s="1"/>
      <c r="B26" s="1"/>
      <c r="C26" s="2" t="s">
        <v>153</v>
      </c>
      <c r="D26" s="1"/>
      <c r="E26" s="1"/>
      <c r="F26" s="12"/>
      <c r="G26" s="12"/>
      <c r="H26" s="53"/>
    </row>
    <row r="27" spans="1:8" ht="24" customHeight="1" x14ac:dyDescent="0.2">
      <c r="A27" s="1"/>
      <c r="B27" s="1"/>
      <c r="C27" s="2" t="s">
        <v>10</v>
      </c>
      <c r="D27" s="1"/>
      <c r="E27" s="1"/>
      <c r="F27" s="12"/>
      <c r="G27" s="12"/>
      <c r="H27" s="53"/>
    </row>
    <row r="28" spans="1:8" ht="14.1" customHeight="1" x14ac:dyDescent="0.2">
      <c r="A28" s="1"/>
      <c r="B28" s="1"/>
      <c r="C28" s="2" t="s">
        <v>144</v>
      </c>
      <c r="D28" s="1"/>
      <c r="E28" s="1" t="s">
        <v>145</v>
      </c>
      <c r="F28" s="13" t="s">
        <v>147</v>
      </c>
      <c r="G28" s="10">
        <v>0</v>
      </c>
      <c r="H28" s="53"/>
    </row>
    <row r="29" spans="1:8" ht="14.1" customHeight="1" x14ac:dyDescent="0.2">
      <c r="A29" s="1"/>
      <c r="B29" s="1"/>
      <c r="C29" s="11"/>
      <c r="D29" s="1"/>
      <c r="E29" s="1"/>
      <c r="F29" s="12"/>
      <c r="G29" s="12"/>
      <c r="H29" s="53"/>
    </row>
    <row r="30" spans="1:8" ht="14.1" customHeight="1" x14ac:dyDescent="0.2">
      <c r="A30" s="1"/>
      <c r="B30" s="1"/>
      <c r="C30" s="2" t="s">
        <v>154</v>
      </c>
      <c r="D30" s="1"/>
      <c r="E30" s="1"/>
      <c r="F30" s="1"/>
      <c r="G30" s="1"/>
      <c r="H30" s="53"/>
    </row>
    <row r="31" spans="1:8" ht="14.1" customHeight="1" x14ac:dyDescent="0.2">
      <c r="A31" s="1"/>
      <c r="B31" s="1"/>
      <c r="C31" s="2" t="s">
        <v>144</v>
      </c>
      <c r="D31" s="1"/>
      <c r="E31" s="1" t="s">
        <v>145</v>
      </c>
      <c r="F31" s="13" t="s">
        <v>147</v>
      </c>
      <c r="G31" s="10">
        <v>0</v>
      </c>
      <c r="H31" s="53"/>
    </row>
    <row r="32" spans="1:8" ht="14.1" customHeight="1" x14ac:dyDescent="0.2">
      <c r="A32" s="1"/>
      <c r="B32" s="1"/>
      <c r="C32" s="11"/>
      <c r="D32" s="1"/>
      <c r="E32" s="1"/>
      <c r="F32" s="12"/>
      <c r="G32" s="12"/>
      <c r="H32" s="53"/>
    </row>
    <row r="33" spans="1:8" ht="14.1" customHeight="1" x14ac:dyDescent="0.2">
      <c r="A33" s="1"/>
      <c r="B33" s="1"/>
      <c r="C33" s="2" t="s">
        <v>155</v>
      </c>
      <c r="D33" s="1"/>
      <c r="E33" s="1"/>
      <c r="F33" s="1"/>
      <c r="G33" s="1"/>
      <c r="H33" s="53"/>
    </row>
    <row r="34" spans="1:8" ht="14.1" customHeight="1" x14ac:dyDescent="0.2">
      <c r="A34" s="1"/>
      <c r="B34" s="1"/>
      <c r="C34" s="2" t="s">
        <v>144</v>
      </c>
      <c r="D34" s="1"/>
      <c r="E34" s="1" t="s">
        <v>145</v>
      </c>
      <c r="F34" s="13" t="s">
        <v>147</v>
      </c>
      <c r="G34" s="10">
        <v>0</v>
      </c>
      <c r="H34" s="53"/>
    </row>
    <row r="35" spans="1:8" ht="14.1" customHeight="1" x14ac:dyDescent="0.2">
      <c r="A35" s="1"/>
      <c r="B35" s="1"/>
      <c r="C35" s="11"/>
      <c r="D35" s="1"/>
      <c r="E35" s="1"/>
      <c r="F35" s="12"/>
      <c r="G35" s="12"/>
      <c r="H35" s="53"/>
    </row>
    <row r="36" spans="1:8" ht="14.1" customHeight="1" x14ac:dyDescent="0.2">
      <c r="A36" s="1"/>
      <c r="B36" s="1"/>
      <c r="C36" s="2" t="s">
        <v>156</v>
      </c>
      <c r="D36" s="1"/>
      <c r="E36" s="1"/>
      <c r="F36" s="12"/>
      <c r="G36" s="12"/>
      <c r="H36" s="53"/>
    </row>
    <row r="37" spans="1:8" ht="14.1" customHeight="1" x14ac:dyDescent="0.2">
      <c r="A37" s="1"/>
      <c r="B37" s="1"/>
      <c r="C37" s="2" t="s">
        <v>144</v>
      </c>
      <c r="D37" s="1"/>
      <c r="E37" s="1" t="s">
        <v>145</v>
      </c>
      <c r="F37" s="13" t="s">
        <v>147</v>
      </c>
      <c r="G37" s="10">
        <v>0</v>
      </c>
      <c r="H37" s="53"/>
    </row>
    <row r="38" spans="1:8" ht="14.1" customHeight="1" x14ac:dyDescent="0.2">
      <c r="A38" s="1"/>
      <c r="B38" s="1"/>
      <c r="C38" s="11"/>
      <c r="D38" s="1"/>
      <c r="E38" s="1"/>
      <c r="F38" s="12"/>
      <c r="G38" s="12"/>
      <c r="H38" s="53"/>
    </row>
    <row r="39" spans="1:8" ht="14.1" customHeight="1" x14ac:dyDescent="0.2">
      <c r="A39" s="1"/>
      <c r="B39" s="1"/>
      <c r="C39" s="2" t="s">
        <v>157</v>
      </c>
      <c r="D39" s="1"/>
      <c r="E39" s="1"/>
      <c r="F39" s="9">
        <v>0</v>
      </c>
      <c r="G39" s="10">
        <v>0</v>
      </c>
      <c r="H39" s="53"/>
    </row>
    <row r="40" spans="1:8" ht="14.1" customHeight="1" x14ac:dyDescent="0.2">
      <c r="A40" s="1"/>
      <c r="B40" s="1"/>
      <c r="C40" s="11"/>
      <c r="D40" s="1"/>
      <c r="E40" s="1"/>
      <c r="F40" s="12"/>
      <c r="G40" s="12"/>
      <c r="H40" s="53"/>
    </row>
    <row r="41" spans="1:8" ht="14.1" customHeight="1" x14ac:dyDescent="0.2">
      <c r="A41" s="1"/>
      <c r="B41" s="1"/>
      <c r="C41" s="2" t="s">
        <v>158</v>
      </c>
      <c r="D41" s="1"/>
      <c r="E41" s="1"/>
      <c r="F41" s="12"/>
      <c r="G41" s="12"/>
      <c r="H41" s="53"/>
    </row>
    <row r="42" spans="1:8" ht="14.1" customHeight="1" x14ac:dyDescent="0.2">
      <c r="A42" s="1"/>
      <c r="B42" s="1"/>
      <c r="C42" s="2" t="s">
        <v>159</v>
      </c>
      <c r="D42" s="1"/>
      <c r="E42" s="1"/>
      <c r="F42" s="12"/>
      <c r="G42" s="12"/>
      <c r="H42" s="53"/>
    </row>
    <row r="43" spans="1:8" ht="14.1" customHeight="1" x14ac:dyDescent="0.2">
      <c r="A43" s="1"/>
      <c r="B43" s="1"/>
      <c r="C43" s="2" t="s">
        <v>144</v>
      </c>
      <c r="D43" s="1"/>
      <c r="E43" s="1" t="s">
        <v>145</v>
      </c>
      <c r="F43" s="13" t="s">
        <v>147</v>
      </c>
      <c r="G43" s="10">
        <v>0</v>
      </c>
      <c r="H43" s="53"/>
    </row>
    <row r="44" spans="1:8" ht="14.1" customHeight="1" x14ac:dyDescent="0.2">
      <c r="A44" s="1"/>
      <c r="B44" s="1"/>
      <c r="C44" s="11"/>
      <c r="D44" s="1"/>
      <c r="E44" s="1"/>
      <c r="F44" s="12"/>
      <c r="G44" s="12"/>
      <c r="H44" s="53"/>
    </row>
    <row r="45" spans="1:8" ht="14.1" customHeight="1" x14ac:dyDescent="0.2">
      <c r="A45" s="1"/>
      <c r="B45" s="1"/>
      <c r="C45" s="2" t="s">
        <v>160</v>
      </c>
      <c r="D45" s="1"/>
      <c r="E45" s="1"/>
      <c r="F45" s="12"/>
      <c r="G45" s="12"/>
      <c r="H45" s="53"/>
    </row>
    <row r="46" spans="1:8" ht="14.1" customHeight="1" x14ac:dyDescent="0.2">
      <c r="A46" s="1"/>
      <c r="B46" s="1"/>
      <c r="C46" s="2" t="s">
        <v>144</v>
      </c>
      <c r="D46" s="1"/>
      <c r="E46" s="1" t="s">
        <v>145</v>
      </c>
      <c r="F46" s="13" t="s">
        <v>147</v>
      </c>
      <c r="G46" s="10">
        <v>0</v>
      </c>
      <c r="H46" s="53"/>
    </row>
    <row r="47" spans="1:8" ht="14.1" customHeight="1" x14ac:dyDescent="0.2">
      <c r="A47" s="1"/>
      <c r="B47" s="1"/>
      <c r="C47" s="11"/>
      <c r="D47" s="1"/>
      <c r="E47" s="1"/>
      <c r="F47" s="12"/>
      <c r="G47" s="12"/>
      <c r="H47" s="53"/>
    </row>
    <row r="48" spans="1:8" ht="14.1" customHeight="1" x14ac:dyDescent="0.2">
      <c r="A48" s="1"/>
      <c r="B48" s="1"/>
      <c r="C48" s="2" t="s">
        <v>161</v>
      </c>
      <c r="D48" s="1"/>
      <c r="E48" s="1"/>
      <c r="F48" s="12"/>
      <c r="G48" s="12"/>
      <c r="H48" s="53"/>
    </row>
    <row r="49" spans="1:8" ht="14.1" customHeight="1" x14ac:dyDescent="0.2">
      <c r="A49" s="1"/>
      <c r="B49" s="1"/>
      <c r="C49" s="2" t="s">
        <v>144</v>
      </c>
      <c r="D49" s="1"/>
      <c r="E49" s="1" t="s">
        <v>145</v>
      </c>
      <c r="F49" s="13" t="s">
        <v>147</v>
      </c>
      <c r="G49" s="10">
        <v>0</v>
      </c>
      <c r="H49" s="53"/>
    </row>
    <row r="50" spans="1:8" ht="14.1" customHeight="1" x14ac:dyDescent="0.2">
      <c r="A50" s="1"/>
      <c r="B50" s="1"/>
      <c r="C50" s="11"/>
      <c r="D50" s="1"/>
      <c r="E50" s="1"/>
      <c r="F50" s="12"/>
      <c r="G50" s="12"/>
      <c r="H50" s="53"/>
    </row>
    <row r="51" spans="1:8" ht="14.1" customHeight="1" x14ac:dyDescent="0.2">
      <c r="A51" s="1"/>
      <c r="B51" s="1"/>
      <c r="C51" s="2" t="s">
        <v>162</v>
      </c>
      <c r="D51" s="1"/>
      <c r="E51" s="1"/>
      <c r="F51" s="12"/>
      <c r="G51" s="12"/>
      <c r="H51" s="53"/>
    </row>
    <row r="52" spans="1:8" ht="17.100000000000001" customHeight="1" x14ac:dyDescent="0.2">
      <c r="A52" s="3">
        <v>1</v>
      </c>
      <c r="B52" s="4"/>
      <c r="C52" s="4" t="s">
        <v>163</v>
      </c>
      <c r="D52" s="4"/>
      <c r="E52" s="8"/>
      <c r="F52" s="6">
        <v>2526.894072002</v>
      </c>
      <c r="G52" s="7">
        <v>0.5557552</v>
      </c>
      <c r="H52" s="51">
        <v>6.6602331647804478</v>
      </c>
    </row>
    <row r="53" spans="1:8" ht="17.100000000000001" customHeight="1" x14ac:dyDescent="0.2">
      <c r="A53" s="3">
        <v>2</v>
      </c>
      <c r="B53" s="4"/>
      <c r="C53" s="4" t="s">
        <v>164</v>
      </c>
      <c r="D53" s="4"/>
      <c r="E53" s="8"/>
      <c r="F53" s="6">
        <v>1931.8815618000001</v>
      </c>
      <c r="G53" s="7">
        <v>0.42489048000000001</v>
      </c>
      <c r="H53" s="51">
        <v>6.6588225936582406</v>
      </c>
    </row>
    <row r="54" spans="1:8" ht="14.1" customHeight="1" x14ac:dyDescent="0.2">
      <c r="A54" s="1"/>
      <c r="B54" s="1"/>
      <c r="C54" s="2" t="s">
        <v>144</v>
      </c>
      <c r="D54" s="1"/>
      <c r="E54" s="1" t="s">
        <v>145</v>
      </c>
      <c r="F54" s="9">
        <v>4458.7756338019999</v>
      </c>
      <c r="G54" s="10">
        <v>0.98064567999999996</v>
      </c>
      <c r="H54" s="53"/>
    </row>
    <row r="55" spans="1:8" ht="14.1" customHeight="1" x14ac:dyDescent="0.2">
      <c r="A55" s="1"/>
      <c r="B55" s="1"/>
      <c r="C55" s="11"/>
      <c r="D55" s="1"/>
      <c r="E55" s="1"/>
      <c r="F55" s="12"/>
      <c r="G55" s="12"/>
      <c r="H55" s="53"/>
    </row>
    <row r="56" spans="1:8" ht="14.1" customHeight="1" x14ac:dyDescent="0.2">
      <c r="A56" s="1"/>
      <c r="B56" s="1"/>
      <c r="C56" s="2" t="s">
        <v>165</v>
      </c>
      <c r="D56" s="1"/>
      <c r="E56" s="1"/>
      <c r="F56" s="9">
        <v>4458.7756338019999</v>
      </c>
      <c r="G56" s="10">
        <v>0.98064567999999996</v>
      </c>
      <c r="H56" s="53"/>
    </row>
    <row r="57" spans="1:8" ht="14.1" customHeight="1" x14ac:dyDescent="0.2">
      <c r="A57" s="1"/>
      <c r="B57" s="1"/>
      <c r="C57" s="12"/>
      <c r="D57" s="1"/>
      <c r="E57" s="1"/>
      <c r="F57" s="1"/>
      <c r="G57" s="1"/>
      <c r="H57" s="53"/>
    </row>
    <row r="58" spans="1:8" ht="14.1" customHeight="1" x14ac:dyDescent="0.2">
      <c r="A58" s="1"/>
      <c r="B58" s="1"/>
      <c r="C58" s="2" t="s">
        <v>166</v>
      </c>
      <c r="D58" s="1"/>
      <c r="E58" s="1"/>
      <c r="F58" s="1"/>
      <c r="G58" s="1"/>
      <c r="H58" s="53"/>
    </row>
    <row r="59" spans="1:8" ht="14.1" customHeight="1" x14ac:dyDescent="0.2">
      <c r="A59" s="1"/>
      <c r="B59" s="1"/>
      <c r="C59" s="2" t="s">
        <v>167</v>
      </c>
      <c r="D59" s="1"/>
      <c r="E59" s="1"/>
      <c r="F59" s="1"/>
      <c r="G59" s="1"/>
      <c r="H59" s="53"/>
    </row>
    <row r="60" spans="1:8" ht="14.1" customHeight="1" x14ac:dyDescent="0.2">
      <c r="A60" s="1"/>
      <c r="B60" s="1"/>
      <c r="C60" s="2" t="s">
        <v>144</v>
      </c>
      <c r="D60" s="1"/>
      <c r="E60" s="1" t="s">
        <v>145</v>
      </c>
      <c r="F60" s="13" t="s">
        <v>147</v>
      </c>
      <c r="G60" s="10">
        <v>0</v>
      </c>
      <c r="H60" s="53"/>
    </row>
    <row r="61" spans="1:8" ht="14.1" customHeight="1" x14ac:dyDescent="0.2">
      <c r="A61" s="1"/>
      <c r="B61" s="1"/>
      <c r="C61" s="11"/>
      <c r="D61" s="1"/>
      <c r="E61" s="1"/>
      <c r="F61" s="12"/>
      <c r="G61" s="12"/>
      <c r="H61" s="53"/>
    </row>
    <row r="62" spans="1:8" ht="14.1" customHeight="1" x14ac:dyDescent="0.2">
      <c r="A62" s="1"/>
      <c r="B62" s="1"/>
      <c r="C62" s="2" t="s">
        <v>168</v>
      </c>
      <c r="D62" s="1"/>
      <c r="E62" s="1"/>
      <c r="F62" s="1"/>
      <c r="G62" s="1"/>
      <c r="H62" s="53"/>
    </row>
    <row r="63" spans="1:8" ht="14.1" customHeight="1" x14ac:dyDescent="0.2">
      <c r="A63" s="1"/>
      <c r="B63" s="1"/>
      <c r="C63" s="2" t="s">
        <v>169</v>
      </c>
      <c r="D63" s="1"/>
      <c r="E63" s="1"/>
      <c r="F63" s="1"/>
      <c r="G63" s="1"/>
      <c r="H63" s="53"/>
    </row>
    <row r="64" spans="1:8" ht="14.1" customHeight="1" x14ac:dyDescent="0.2">
      <c r="A64" s="1"/>
      <c r="B64" s="1"/>
      <c r="C64" s="2" t="s">
        <v>144</v>
      </c>
      <c r="D64" s="1"/>
      <c r="E64" s="1" t="s">
        <v>145</v>
      </c>
      <c r="F64" s="13" t="s">
        <v>147</v>
      </c>
      <c r="G64" s="10">
        <v>0</v>
      </c>
      <c r="H64" s="53"/>
    </row>
    <row r="65" spans="1:8" ht="14.1" customHeight="1" x14ac:dyDescent="0.2">
      <c r="A65" s="1"/>
      <c r="B65" s="1"/>
      <c r="C65" s="11"/>
      <c r="D65" s="1"/>
      <c r="E65" s="1"/>
      <c r="F65" s="12"/>
      <c r="G65" s="12"/>
      <c r="H65" s="53"/>
    </row>
    <row r="66" spans="1:8" ht="24" customHeight="1" x14ac:dyDescent="0.2">
      <c r="A66" s="1"/>
      <c r="B66" s="1"/>
      <c r="C66" s="2" t="s">
        <v>170</v>
      </c>
      <c r="D66" s="1"/>
      <c r="E66" s="1"/>
      <c r="F66" s="12"/>
      <c r="G66" s="12"/>
      <c r="H66" s="53"/>
    </row>
    <row r="67" spans="1:8" ht="14.1" customHeight="1" x14ac:dyDescent="0.2">
      <c r="A67" s="1"/>
      <c r="B67" s="1"/>
      <c r="C67" s="2" t="s">
        <v>144</v>
      </c>
      <c r="D67" s="1"/>
      <c r="E67" s="1" t="s">
        <v>145</v>
      </c>
      <c r="F67" s="13" t="s">
        <v>147</v>
      </c>
      <c r="G67" s="10">
        <v>0</v>
      </c>
      <c r="H67" s="53"/>
    </row>
    <row r="68" spans="1:8" ht="14.1" customHeight="1" x14ac:dyDescent="0.2">
      <c r="A68" s="1"/>
      <c r="B68" s="1"/>
      <c r="C68" s="11"/>
      <c r="D68" s="1"/>
      <c r="E68" s="1"/>
      <c r="F68" s="12"/>
      <c r="G68" s="12"/>
      <c r="H68" s="53"/>
    </row>
    <row r="69" spans="1:8" ht="14.1" customHeight="1" x14ac:dyDescent="0.2">
      <c r="A69" s="1"/>
      <c r="B69" s="4"/>
      <c r="C69" s="4"/>
      <c r="D69" s="2"/>
      <c r="E69" s="1"/>
      <c r="F69" s="4"/>
      <c r="G69" s="8"/>
      <c r="H69" s="53"/>
    </row>
    <row r="70" spans="1:8" ht="18" customHeight="1" x14ac:dyDescent="0.2">
      <c r="A70" s="8"/>
      <c r="B70" s="4"/>
      <c r="C70" s="4" t="s">
        <v>171</v>
      </c>
      <c r="D70" s="4"/>
      <c r="E70" s="8"/>
      <c r="F70" s="6">
        <v>87.999754100000004</v>
      </c>
      <c r="G70" s="7">
        <v>1.9354320000000001E-2</v>
      </c>
      <c r="H70" s="53"/>
    </row>
    <row r="71" spans="1:8" ht="14.1" customHeight="1" x14ac:dyDescent="0.2">
      <c r="A71" s="11"/>
      <c r="B71" s="11"/>
      <c r="C71" s="2" t="s">
        <v>172</v>
      </c>
      <c r="D71" s="12"/>
      <c r="E71" s="12"/>
      <c r="F71" s="9">
        <v>4546.7753879020001</v>
      </c>
      <c r="G71" s="14">
        <v>1</v>
      </c>
      <c r="H71" s="53"/>
    </row>
    <row r="72" spans="1:8" ht="14.1" customHeight="1" x14ac:dyDescent="0.2">
      <c r="A72" s="15"/>
      <c r="B72" s="15"/>
      <c r="C72" s="15"/>
      <c r="D72" s="16"/>
      <c r="E72" s="16"/>
      <c r="F72" s="16"/>
      <c r="G72" s="16"/>
    </row>
    <row r="73" spans="1:8" ht="14.1" customHeight="1" x14ac:dyDescent="0.2">
      <c r="A73" s="17"/>
      <c r="B73" s="17"/>
      <c r="C73" s="17"/>
      <c r="D73" s="19"/>
      <c r="E73" s="19"/>
      <c r="F73" s="19"/>
      <c r="G73" s="19"/>
    </row>
    <row r="74" spans="1:8" ht="14.1" customHeight="1" x14ac:dyDescent="0.2">
      <c r="A74" s="17"/>
      <c r="B74" s="231" t="s">
        <v>174</v>
      </c>
      <c r="C74" s="232"/>
      <c r="D74" s="233"/>
      <c r="E74" s="20"/>
      <c r="F74" s="19"/>
      <c r="G74" s="19"/>
    </row>
    <row r="75" spans="1:8" ht="29.1" customHeight="1" x14ac:dyDescent="0.2">
      <c r="A75" s="17"/>
      <c r="B75" s="226" t="s">
        <v>175</v>
      </c>
      <c r="C75" s="227"/>
      <c r="D75" s="2" t="s">
        <v>176</v>
      </c>
      <c r="E75" s="20"/>
      <c r="F75" s="19"/>
      <c r="G75" s="19"/>
    </row>
    <row r="76" spans="1:8" ht="17.100000000000001" customHeight="1" x14ac:dyDescent="0.2">
      <c r="A76" s="17"/>
      <c r="B76" s="226" t="s">
        <v>177</v>
      </c>
      <c r="C76" s="227"/>
      <c r="D76" s="2" t="s">
        <v>176</v>
      </c>
      <c r="E76" s="20"/>
      <c r="F76" s="19"/>
      <c r="G76" s="19"/>
    </row>
    <row r="77" spans="1:8" ht="17.100000000000001" customHeight="1" x14ac:dyDescent="0.2">
      <c r="A77" s="17"/>
      <c r="B77" s="226" t="s">
        <v>178</v>
      </c>
      <c r="C77" s="227"/>
      <c r="D77" s="12" t="s">
        <v>145</v>
      </c>
      <c r="E77" s="20"/>
      <c r="F77" s="19"/>
      <c r="G77" s="19"/>
    </row>
    <row r="78" spans="1:8" ht="24" customHeight="1" x14ac:dyDescent="0.2">
      <c r="A78" s="21"/>
      <c r="B78" s="22" t="s">
        <v>145</v>
      </c>
      <c r="C78" s="22" t="s">
        <v>179</v>
      </c>
      <c r="D78" s="22" t="s">
        <v>180</v>
      </c>
      <c r="E78" s="21"/>
      <c r="F78" s="21"/>
      <c r="G78" s="21"/>
    </row>
    <row r="79" spans="1:8" ht="18" customHeight="1" x14ac:dyDescent="0.2">
      <c r="A79" s="21"/>
      <c r="B79" s="23" t="s">
        <v>181</v>
      </c>
      <c r="C79" s="22" t="s">
        <v>182</v>
      </c>
      <c r="D79" s="22" t="s">
        <v>183</v>
      </c>
      <c r="E79" s="21"/>
      <c r="F79" s="21"/>
      <c r="G79" s="21"/>
    </row>
    <row r="80" spans="1:8" ht="17.100000000000001" customHeight="1" x14ac:dyDescent="0.2">
      <c r="A80" s="21"/>
      <c r="B80" s="4" t="s">
        <v>184</v>
      </c>
      <c r="C80" s="24">
        <v>24.987100000000002</v>
      </c>
      <c r="D80" s="24">
        <v>25.1083</v>
      </c>
      <c r="E80" s="21"/>
      <c r="F80" s="18"/>
      <c r="G80" s="25"/>
    </row>
    <row r="81" spans="1:7" ht="17.100000000000001" customHeight="1" x14ac:dyDescent="0.2">
      <c r="A81" s="21"/>
      <c r="B81" s="4" t="s">
        <v>1009</v>
      </c>
      <c r="C81" s="24">
        <v>23.424499999999998</v>
      </c>
      <c r="D81" s="24">
        <v>23.5381</v>
      </c>
      <c r="E81" s="21"/>
      <c r="F81" s="18"/>
      <c r="G81" s="25"/>
    </row>
    <row r="82" spans="1:7" ht="17.100000000000001" customHeight="1" x14ac:dyDescent="0.2">
      <c r="A82" s="21"/>
      <c r="B82" s="4" t="s">
        <v>185</v>
      </c>
      <c r="C82" s="24">
        <v>24.320399999999999</v>
      </c>
      <c r="D82" s="24">
        <v>24.4268</v>
      </c>
      <c r="E82" s="21"/>
      <c r="F82" s="18"/>
      <c r="G82" s="25"/>
    </row>
    <row r="83" spans="1:7" ht="17.100000000000001" customHeight="1" x14ac:dyDescent="0.2">
      <c r="A83" s="21"/>
      <c r="B83" s="4" t="s">
        <v>1010</v>
      </c>
      <c r="C83" s="24">
        <v>22.776800000000001</v>
      </c>
      <c r="D83" s="24">
        <v>22.8764</v>
      </c>
      <c r="E83" s="21"/>
      <c r="F83" s="18"/>
      <c r="G83" s="25"/>
    </row>
    <row r="84" spans="1:7" ht="14.1" customHeight="1" x14ac:dyDescent="0.2">
      <c r="A84" s="21"/>
      <c r="B84" s="21"/>
      <c r="C84" s="21"/>
      <c r="D84" s="21"/>
      <c r="E84" s="21"/>
      <c r="F84" s="21"/>
      <c r="G84" s="21"/>
    </row>
    <row r="85" spans="1:7" ht="17.100000000000001" customHeight="1" x14ac:dyDescent="0.2">
      <c r="A85" s="21"/>
      <c r="B85" s="226" t="s">
        <v>1011</v>
      </c>
      <c r="C85" s="227"/>
      <c r="D85" s="2" t="s">
        <v>176</v>
      </c>
      <c r="E85" s="21"/>
      <c r="F85" s="21"/>
      <c r="G85" s="21"/>
    </row>
    <row r="86" spans="1:7" ht="18" customHeight="1" x14ac:dyDescent="0.2">
      <c r="A86" s="21"/>
      <c r="B86" s="26"/>
      <c r="C86" s="26"/>
      <c r="D86" s="26"/>
      <c r="E86" s="21"/>
      <c r="F86" s="21"/>
      <c r="G86" s="21"/>
    </row>
    <row r="87" spans="1:7" ht="29.1" customHeight="1" x14ac:dyDescent="0.2">
      <c r="A87" s="21"/>
      <c r="B87" s="226" t="s">
        <v>186</v>
      </c>
      <c r="C87" s="227"/>
      <c r="D87" s="2" t="s">
        <v>176</v>
      </c>
      <c r="E87" s="27"/>
      <c r="F87" s="21"/>
      <c r="G87" s="21"/>
    </row>
    <row r="88" spans="1:7" ht="29.1" customHeight="1" x14ac:dyDescent="0.2">
      <c r="A88" s="21"/>
      <c r="B88" s="226" t="s">
        <v>187</v>
      </c>
      <c r="C88" s="227"/>
      <c r="D88" s="2" t="s">
        <v>176</v>
      </c>
      <c r="E88" s="27"/>
      <c r="F88" s="21"/>
      <c r="G88" s="21"/>
    </row>
    <row r="89" spans="1:7" ht="17.100000000000001" customHeight="1" x14ac:dyDescent="0.2">
      <c r="A89" s="21"/>
      <c r="B89" s="226" t="s">
        <v>188</v>
      </c>
      <c r="C89" s="227"/>
      <c r="D89" s="2" t="s">
        <v>176</v>
      </c>
      <c r="E89" s="27"/>
      <c r="F89" s="21"/>
      <c r="G89" s="21"/>
    </row>
    <row r="90" spans="1:7" ht="17.100000000000001" customHeight="1" x14ac:dyDescent="0.2">
      <c r="A90" s="21"/>
      <c r="B90" s="226" t="s">
        <v>189</v>
      </c>
      <c r="C90" s="227"/>
      <c r="D90" s="57">
        <v>2.3941217385315933E-2</v>
      </c>
      <c r="E90" s="21"/>
      <c r="F90" s="18"/>
      <c r="G90" s="25"/>
    </row>
    <row r="162" spans="10:14" x14ac:dyDescent="0.2">
      <c r="J162" s="143"/>
      <c r="K162" s="143"/>
      <c r="L162" s="143"/>
      <c r="M162" s="143"/>
      <c r="N162" s="143"/>
    </row>
  </sheetData>
  <mergeCells count="13">
    <mergeCell ref="A1:H1"/>
    <mergeCell ref="A2:H2"/>
    <mergeCell ref="A3:H3"/>
    <mergeCell ref="J2:N2"/>
    <mergeCell ref="B90:C90"/>
    <mergeCell ref="B76:C76"/>
    <mergeCell ref="B77:C77"/>
    <mergeCell ref="B85:C85"/>
    <mergeCell ref="B87:C87"/>
    <mergeCell ref="B88:C88"/>
    <mergeCell ref="B89:C89"/>
    <mergeCell ref="B75:C75"/>
    <mergeCell ref="B74:D74"/>
  </mergeCells>
  <hyperlinks>
    <hyperlink ref="I1" location="Index!B6" display="Index" xr:uid="{FC2411CB-6116-442B-85D4-4C97173DA7A8}"/>
  </hyperlinks>
  <pageMargins left="5.000000074505806E-2" right="5.000000074505806E-2" top="0.30000001192092896" bottom="0.20000000298023224" header="0" footer="0"/>
  <pageSetup paperSize="9"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379</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4.1" customHeight="1" x14ac:dyDescent="0.2">
      <c r="A7" s="1"/>
      <c r="B7" s="1"/>
      <c r="C7" s="2" t="s">
        <v>144</v>
      </c>
      <c r="D7" s="1"/>
      <c r="E7" s="1" t="s">
        <v>145</v>
      </c>
      <c r="F7" s="13" t="s">
        <v>147</v>
      </c>
      <c r="G7" s="10">
        <v>0</v>
      </c>
      <c r="H7" s="53"/>
    </row>
    <row r="8" spans="1:14" ht="14.1" customHeight="1" x14ac:dyDescent="0.2">
      <c r="A8" s="1"/>
      <c r="B8" s="1"/>
      <c r="C8" s="11"/>
      <c r="D8" s="1"/>
      <c r="E8" s="1"/>
      <c r="F8" s="12"/>
      <c r="G8" s="12"/>
      <c r="H8" s="53"/>
    </row>
    <row r="9" spans="1:14" ht="14.1" customHeight="1" x14ac:dyDescent="0.2">
      <c r="A9" s="1"/>
      <c r="B9" s="1"/>
      <c r="C9" s="2" t="s">
        <v>146</v>
      </c>
      <c r="D9" s="1"/>
      <c r="E9" s="1"/>
      <c r="F9" s="1"/>
      <c r="G9" s="1"/>
      <c r="H9" s="53"/>
    </row>
    <row r="10" spans="1:14" ht="14.1" customHeight="1" x14ac:dyDescent="0.2">
      <c r="A10" s="1"/>
      <c r="B10" s="1"/>
      <c r="C10" s="2" t="s">
        <v>144</v>
      </c>
      <c r="D10" s="1"/>
      <c r="E10" s="1" t="s">
        <v>145</v>
      </c>
      <c r="F10" s="13" t="s">
        <v>147</v>
      </c>
      <c r="G10" s="10">
        <v>0</v>
      </c>
      <c r="H10" s="53"/>
    </row>
    <row r="11" spans="1:14" ht="14.1" customHeight="1" x14ac:dyDescent="0.2">
      <c r="A11" s="1"/>
      <c r="B11" s="1"/>
      <c r="C11" s="11"/>
      <c r="D11" s="1"/>
      <c r="E11" s="1"/>
      <c r="F11" s="12"/>
      <c r="G11" s="12"/>
      <c r="H11" s="53"/>
    </row>
    <row r="12" spans="1:14" ht="14.1" customHeight="1" x14ac:dyDescent="0.2">
      <c r="A12" s="1"/>
      <c r="B12" s="1"/>
      <c r="C12" s="2" t="s">
        <v>148</v>
      </c>
      <c r="D12" s="1"/>
      <c r="E12" s="1"/>
      <c r="F12" s="1"/>
      <c r="G12" s="1"/>
      <c r="H12" s="53"/>
    </row>
    <row r="13" spans="1:14" ht="14.1" customHeight="1" x14ac:dyDescent="0.2">
      <c r="A13" s="1"/>
      <c r="B13" s="1"/>
      <c r="C13" s="2" t="s">
        <v>144</v>
      </c>
      <c r="D13" s="1"/>
      <c r="E13" s="1" t="s">
        <v>145</v>
      </c>
      <c r="F13" s="13" t="s">
        <v>147</v>
      </c>
      <c r="G13" s="10">
        <v>0</v>
      </c>
      <c r="H13" s="53"/>
    </row>
    <row r="14" spans="1:14" ht="14.1" customHeight="1" x14ac:dyDescent="0.2">
      <c r="A14" s="1"/>
      <c r="B14" s="1"/>
      <c r="C14" s="11"/>
      <c r="D14" s="1"/>
      <c r="E14" s="1"/>
      <c r="F14" s="12"/>
      <c r="G14" s="12"/>
      <c r="H14" s="53"/>
    </row>
    <row r="15" spans="1:14" ht="14.1" customHeight="1" x14ac:dyDescent="0.2">
      <c r="A15" s="1"/>
      <c r="B15" s="1"/>
      <c r="C15" s="2" t="s">
        <v>149</v>
      </c>
      <c r="D15" s="1"/>
      <c r="E15" s="1"/>
      <c r="F15" s="1"/>
      <c r="G15" s="1"/>
      <c r="H15" s="53"/>
      <c r="J15" s="142" t="s">
        <v>1032</v>
      </c>
    </row>
    <row r="16" spans="1:14" ht="14.1" customHeight="1" x14ac:dyDescent="0.2">
      <c r="A16" s="1"/>
      <c r="B16" s="1"/>
      <c r="C16" s="2" t="s">
        <v>144</v>
      </c>
      <c r="D16" s="1"/>
      <c r="E16" s="1" t="s">
        <v>145</v>
      </c>
      <c r="F16" s="13" t="s">
        <v>147</v>
      </c>
      <c r="G16" s="10">
        <v>0</v>
      </c>
      <c r="H16" s="53"/>
    </row>
    <row r="17" spans="1:8" ht="14.1" customHeight="1" x14ac:dyDescent="0.2">
      <c r="A17" s="1"/>
      <c r="B17" s="1"/>
      <c r="C17" s="11"/>
      <c r="D17" s="1"/>
      <c r="E17" s="1"/>
      <c r="F17" s="12"/>
      <c r="G17" s="12"/>
      <c r="H17" s="53"/>
    </row>
    <row r="18" spans="1:8" ht="14.1" customHeight="1" x14ac:dyDescent="0.2">
      <c r="A18" s="1"/>
      <c r="B18" s="1"/>
      <c r="C18" s="2" t="s">
        <v>150</v>
      </c>
      <c r="D18" s="1"/>
      <c r="E18" s="1"/>
      <c r="F18" s="12"/>
      <c r="G18" s="12"/>
      <c r="H18" s="53"/>
    </row>
    <row r="19" spans="1:8" ht="14.1" customHeight="1" x14ac:dyDescent="0.2">
      <c r="A19" s="1"/>
      <c r="B19" s="1"/>
      <c r="C19" s="2" t="s">
        <v>144</v>
      </c>
      <c r="D19" s="1"/>
      <c r="E19" s="1" t="s">
        <v>145</v>
      </c>
      <c r="F19" s="13" t="s">
        <v>147</v>
      </c>
      <c r="G19" s="10">
        <v>0</v>
      </c>
      <c r="H19" s="53"/>
    </row>
    <row r="20" spans="1:8" ht="14.1" customHeight="1" x14ac:dyDescent="0.2">
      <c r="A20" s="1"/>
      <c r="B20" s="1"/>
      <c r="C20" s="11"/>
      <c r="D20" s="1"/>
      <c r="E20" s="1"/>
      <c r="F20" s="12"/>
      <c r="G20" s="12"/>
      <c r="H20" s="53"/>
    </row>
    <row r="21" spans="1:8" ht="14.1" customHeight="1" x14ac:dyDescent="0.2">
      <c r="A21" s="1"/>
      <c r="B21" s="1"/>
      <c r="C21" s="2" t="s">
        <v>151</v>
      </c>
      <c r="D21" s="1"/>
      <c r="E21" s="1"/>
      <c r="F21" s="12"/>
      <c r="G21" s="12"/>
      <c r="H21" s="53"/>
    </row>
    <row r="22" spans="1:8" ht="14.1" customHeight="1" x14ac:dyDescent="0.2">
      <c r="A22" s="1"/>
      <c r="B22" s="1"/>
      <c r="C22" s="2" t="s">
        <v>144</v>
      </c>
      <c r="D22" s="1"/>
      <c r="E22" s="1" t="s">
        <v>145</v>
      </c>
      <c r="F22" s="13" t="s">
        <v>147</v>
      </c>
      <c r="G22" s="10">
        <v>0</v>
      </c>
      <c r="H22" s="53"/>
    </row>
    <row r="23" spans="1:8" ht="14.1" customHeight="1" x14ac:dyDescent="0.2">
      <c r="A23" s="1"/>
      <c r="B23" s="1"/>
      <c r="C23" s="11"/>
      <c r="D23" s="1"/>
      <c r="E23" s="1"/>
      <c r="F23" s="12"/>
      <c r="G23" s="12"/>
      <c r="H23" s="53"/>
    </row>
    <row r="24" spans="1:8" ht="18" customHeight="1" x14ac:dyDescent="0.2">
      <c r="A24" s="1"/>
      <c r="B24" s="1"/>
      <c r="C24" s="2" t="s">
        <v>152</v>
      </c>
      <c r="D24" s="1"/>
      <c r="E24" s="1"/>
      <c r="F24" s="9">
        <v>0</v>
      </c>
      <c r="G24" s="10">
        <v>0</v>
      </c>
      <c r="H24" s="53"/>
    </row>
    <row r="25" spans="1:8" ht="14.1" customHeight="1" x14ac:dyDescent="0.2">
      <c r="A25" s="1"/>
      <c r="B25" s="1"/>
      <c r="C25" s="11"/>
      <c r="D25" s="1"/>
      <c r="E25" s="1"/>
      <c r="F25" s="12"/>
      <c r="G25" s="12"/>
      <c r="H25" s="53"/>
    </row>
    <row r="26" spans="1:8" ht="14.1" customHeight="1" x14ac:dyDescent="0.2">
      <c r="A26" s="1"/>
      <c r="B26" s="1"/>
      <c r="C26" s="2" t="s">
        <v>153</v>
      </c>
      <c r="D26" s="1"/>
      <c r="E26" s="1"/>
      <c r="F26" s="12"/>
      <c r="G26" s="12"/>
      <c r="H26" s="53"/>
    </row>
    <row r="27" spans="1:8" ht="24" customHeight="1" x14ac:dyDescent="0.2">
      <c r="A27" s="1"/>
      <c r="B27" s="1"/>
      <c r="C27" s="2" t="s">
        <v>10</v>
      </c>
      <c r="D27" s="1"/>
      <c r="E27" s="1"/>
      <c r="F27" s="12"/>
      <c r="G27" s="12"/>
      <c r="H27" s="53"/>
    </row>
    <row r="28" spans="1:8" ht="14.1" customHeight="1" x14ac:dyDescent="0.2">
      <c r="A28" s="1"/>
      <c r="B28" s="1"/>
      <c r="C28" s="2" t="s">
        <v>144</v>
      </c>
      <c r="D28" s="1"/>
      <c r="E28" s="1" t="s">
        <v>145</v>
      </c>
      <c r="F28" s="13" t="s">
        <v>147</v>
      </c>
      <c r="G28" s="10">
        <v>0</v>
      </c>
      <c r="H28" s="53"/>
    </row>
    <row r="29" spans="1:8" ht="14.1" customHeight="1" x14ac:dyDescent="0.2">
      <c r="A29" s="1"/>
      <c r="B29" s="1"/>
      <c r="C29" s="11"/>
      <c r="D29" s="1"/>
      <c r="E29" s="1"/>
      <c r="F29" s="12"/>
      <c r="G29" s="12"/>
      <c r="H29" s="53"/>
    </row>
    <row r="30" spans="1:8" ht="14.1" customHeight="1" x14ac:dyDescent="0.2">
      <c r="A30" s="1"/>
      <c r="B30" s="1"/>
      <c r="C30" s="2" t="s">
        <v>154</v>
      </c>
      <c r="D30" s="1"/>
      <c r="E30" s="1"/>
      <c r="F30" s="1"/>
      <c r="G30" s="1"/>
      <c r="H30" s="53"/>
    </row>
    <row r="31" spans="1:8" ht="14.1" customHeight="1" x14ac:dyDescent="0.2">
      <c r="A31" s="1"/>
      <c r="B31" s="1"/>
      <c r="C31" s="2" t="s">
        <v>144</v>
      </c>
      <c r="D31" s="1"/>
      <c r="E31" s="1" t="s">
        <v>145</v>
      </c>
      <c r="F31" s="13" t="s">
        <v>147</v>
      </c>
      <c r="G31" s="10">
        <v>0</v>
      </c>
      <c r="H31" s="53"/>
    </row>
    <row r="32" spans="1:8" ht="14.1" customHeight="1" x14ac:dyDescent="0.2">
      <c r="A32" s="1"/>
      <c r="B32" s="1"/>
      <c r="C32" s="11"/>
      <c r="D32" s="1"/>
      <c r="E32" s="1"/>
      <c r="F32" s="12"/>
      <c r="G32" s="12"/>
      <c r="H32" s="53"/>
    </row>
    <row r="33" spans="1:8" ht="14.1" customHeight="1" x14ac:dyDescent="0.2">
      <c r="A33" s="1"/>
      <c r="B33" s="1"/>
      <c r="C33" s="2" t="s">
        <v>155</v>
      </c>
      <c r="D33" s="1"/>
      <c r="E33" s="1"/>
      <c r="F33" s="1"/>
      <c r="G33" s="1"/>
      <c r="H33" s="53"/>
    </row>
    <row r="34" spans="1:8" ht="14.1" customHeight="1" x14ac:dyDescent="0.2">
      <c r="A34" s="1"/>
      <c r="B34" s="1"/>
      <c r="C34" s="2" t="s">
        <v>144</v>
      </c>
      <c r="D34" s="1"/>
      <c r="E34" s="1" t="s">
        <v>145</v>
      </c>
      <c r="F34" s="13" t="s">
        <v>147</v>
      </c>
      <c r="G34" s="10">
        <v>0</v>
      </c>
      <c r="H34" s="53"/>
    </row>
    <row r="35" spans="1:8" ht="14.1" customHeight="1" x14ac:dyDescent="0.2">
      <c r="A35" s="1"/>
      <c r="B35" s="1"/>
      <c r="C35" s="11"/>
      <c r="D35" s="1"/>
      <c r="E35" s="1"/>
      <c r="F35" s="12"/>
      <c r="G35" s="12"/>
      <c r="H35" s="53"/>
    </row>
    <row r="36" spans="1:8" ht="14.1" customHeight="1" x14ac:dyDescent="0.2">
      <c r="A36" s="1"/>
      <c r="B36" s="1"/>
      <c r="C36" s="2" t="s">
        <v>156</v>
      </c>
      <c r="D36" s="1"/>
      <c r="E36" s="1"/>
      <c r="F36" s="12"/>
      <c r="G36" s="12"/>
      <c r="H36" s="53"/>
    </row>
    <row r="37" spans="1:8" ht="14.1" customHeight="1" x14ac:dyDescent="0.2">
      <c r="A37" s="1"/>
      <c r="B37" s="1"/>
      <c r="C37" s="2" t="s">
        <v>144</v>
      </c>
      <c r="D37" s="1"/>
      <c r="E37" s="1" t="s">
        <v>145</v>
      </c>
      <c r="F37" s="13" t="s">
        <v>147</v>
      </c>
      <c r="G37" s="10">
        <v>0</v>
      </c>
      <c r="H37" s="53"/>
    </row>
    <row r="38" spans="1:8" ht="14.1" customHeight="1" x14ac:dyDescent="0.2">
      <c r="A38" s="1"/>
      <c r="B38" s="1"/>
      <c r="C38" s="11"/>
      <c r="D38" s="1"/>
      <c r="E38" s="1"/>
      <c r="F38" s="12"/>
      <c r="G38" s="12"/>
      <c r="H38" s="53"/>
    </row>
    <row r="39" spans="1:8" ht="14.1" customHeight="1" x14ac:dyDescent="0.2">
      <c r="A39" s="1"/>
      <c r="B39" s="1"/>
      <c r="C39" s="2" t="s">
        <v>157</v>
      </c>
      <c r="D39" s="1"/>
      <c r="E39" s="1"/>
      <c r="F39" s="9">
        <v>0</v>
      </c>
      <c r="G39" s="10">
        <v>0</v>
      </c>
      <c r="H39" s="53"/>
    </row>
    <row r="40" spans="1:8" ht="14.1" customHeight="1" x14ac:dyDescent="0.2">
      <c r="A40" s="1"/>
      <c r="B40" s="1"/>
      <c r="C40" s="11"/>
      <c r="D40" s="1"/>
      <c r="E40" s="1"/>
      <c r="F40" s="12"/>
      <c r="G40" s="12"/>
      <c r="H40" s="53"/>
    </row>
    <row r="41" spans="1:8" ht="14.1" customHeight="1" x14ac:dyDescent="0.2">
      <c r="A41" s="1"/>
      <c r="B41" s="1"/>
      <c r="C41" s="2" t="s">
        <v>158</v>
      </c>
      <c r="D41" s="1"/>
      <c r="E41" s="1"/>
      <c r="F41" s="12"/>
      <c r="G41" s="12"/>
      <c r="H41" s="53"/>
    </row>
    <row r="42" spans="1:8" ht="14.1" customHeight="1" x14ac:dyDescent="0.2">
      <c r="A42" s="1"/>
      <c r="B42" s="1"/>
      <c r="C42" s="2" t="s">
        <v>159</v>
      </c>
      <c r="D42" s="1"/>
      <c r="E42" s="1"/>
      <c r="F42" s="12"/>
      <c r="G42" s="12"/>
      <c r="H42" s="53"/>
    </row>
    <row r="43" spans="1:8" ht="14.1" customHeight="1" x14ac:dyDescent="0.2">
      <c r="A43" s="1"/>
      <c r="B43" s="1"/>
      <c r="C43" s="2" t="s">
        <v>144</v>
      </c>
      <c r="D43" s="1"/>
      <c r="E43" s="1" t="s">
        <v>145</v>
      </c>
      <c r="F43" s="13" t="s">
        <v>147</v>
      </c>
      <c r="G43" s="10">
        <v>0</v>
      </c>
      <c r="H43" s="53"/>
    </row>
    <row r="44" spans="1:8" ht="14.1" customHeight="1" x14ac:dyDescent="0.2">
      <c r="A44" s="1"/>
      <c r="B44" s="1"/>
      <c r="C44" s="11"/>
      <c r="D44" s="1"/>
      <c r="E44" s="1"/>
      <c r="F44" s="12"/>
      <c r="G44" s="12"/>
      <c r="H44" s="53"/>
    </row>
    <row r="45" spans="1:8" ht="14.1" customHeight="1" x14ac:dyDescent="0.2">
      <c r="A45" s="1"/>
      <c r="B45" s="1"/>
      <c r="C45" s="2" t="s">
        <v>160</v>
      </c>
      <c r="D45" s="1"/>
      <c r="E45" s="1"/>
      <c r="F45" s="12"/>
      <c r="G45" s="12"/>
      <c r="H45" s="53"/>
    </row>
    <row r="46" spans="1:8" ht="14.1" customHeight="1" x14ac:dyDescent="0.2">
      <c r="A46" s="1"/>
      <c r="B46" s="1"/>
      <c r="C46" s="2" t="s">
        <v>144</v>
      </c>
      <c r="D46" s="1"/>
      <c r="E46" s="1" t="s">
        <v>145</v>
      </c>
      <c r="F46" s="13" t="s">
        <v>147</v>
      </c>
      <c r="G46" s="10">
        <v>0</v>
      </c>
      <c r="H46" s="53"/>
    </row>
    <row r="47" spans="1:8" ht="14.1" customHeight="1" x14ac:dyDescent="0.2">
      <c r="A47" s="1"/>
      <c r="B47" s="1"/>
      <c r="C47" s="11"/>
      <c r="D47" s="1"/>
      <c r="E47" s="1"/>
      <c r="F47" s="12"/>
      <c r="G47" s="12"/>
      <c r="H47" s="53"/>
    </row>
    <row r="48" spans="1:8" ht="14.1" customHeight="1" x14ac:dyDescent="0.2">
      <c r="A48" s="1"/>
      <c r="B48" s="1"/>
      <c r="C48" s="2" t="s">
        <v>161</v>
      </c>
      <c r="D48" s="1"/>
      <c r="E48" s="1"/>
      <c r="F48" s="12"/>
      <c r="G48" s="12"/>
      <c r="H48" s="53"/>
    </row>
    <row r="49" spans="1:8" ht="14.1" customHeight="1" x14ac:dyDescent="0.2">
      <c r="A49" s="1"/>
      <c r="B49" s="1"/>
      <c r="C49" s="2" t="s">
        <v>144</v>
      </c>
      <c r="D49" s="1"/>
      <c r="E49" s="1" t="s">
        <v>145</v>
      </c>
      <c r="F49" s="13" t="s">
        <v>147</v>
      </c>
      <c r="G49" s="10">
        <v>0</v>
      </c>
      <c r="H49" s="53"/>
    </row>
    <row r="50" spans="1:8" ht="14.1" customHeight="1" x14ac:dyDescent="0.2">
      <c r="A50" s="1"/>
      <c r="B50" s="1"/>
      <c r="C50" s="11"/>
      <c r="D50" s="1"/>
      <c r="E50" s="1"/>
      <c r="F50" s="12"/>
      <c r="G50" s="12"/>
      <c r="H50" s="53"/>
    </row>
    <row r="51" spans="1:8" ht="14.1" customHeight="1" x14ac:dyDescent="0.2">
      <c r="A51" s="1"/>
      <c r="B51" s="1"/>
      <c r="C51" s="2" t="s">
        <v>162</v>
      </c>
      <c r="D51" s="1"/>
      <c r="E51" s="1"/>
      <c r="F51" s="12"/>
      <c r="G51" s="12"/>
      <c r="H51" s="53"/>
    </row>
    <row r="52" spans="1:8" ht="17.100000000000001" customHeight="1" x14ac:dyDescent="0.2">
      <c r="A52" s="3">
        <v>1</v>
      </c>
      <c r="B52" s="4"/>
      <c r="C52" s="4" t="s">
        <v>163</v>
      </c>
      <c r="D52" s="4"/>
      <c r="E52" s="8"/>
      <c r="F52" s="6">
        <v>8877.1203789610008</v>
      </c>
      <c r="G52" s="7">
        <v>0.55569902000000004</v>
      </c>
      <c r="H52" s="51">
        <v>6.6602331647804478</v>
      </c>
    </row>
    <row r="53" spans="1:8" ht="17.100000000000001" customHeight="1" x14ac:dyDescent="0.2">
      <c r="A53" s="3">
        <v>2</v>
      </c>
      <c r="B53" s="4"/>
      <c r="C53" s="4" t="s">
        <v>164</v>
      </c>
      <c r="D53" s="4"/>
      <c r="E53" s="8"/>
      <c r="F53" s="6">
        <v>6786.8081106999998</v>
      </c>
      <c r="G53" s="7">
        <v>0.42484751999999998</v>
      </c>
      <c r="H53" s="51">
        <v>6.6588225936582406</v>
      </c>
    </row>
    <row r="54" spans="1:8" ht="14.1" customHeight="1" x14ac:dyDescent="0.2">
      <c r="A54" s="1"/>
      <c r="B54" s="1"/>
      <c r="C54" s="2" t="s">
        <v>144</v>
      </c>
      <c r="D54" s="1"/>
      <c r="E54" s="1" t="s">
        <v>145</v>
      </c>
      <c r="F54" s="9">
        <v>15663.928489661001</v>
      </c>
      <c r="G54" s="10">
        <v>0.98054653999999997</v>
      </c>
      <c r="H54" s="53"/>
    </row>
    <row r="55" spans="1:8" ht="14.1" customHeight="1" x14ac:dyDescent="0.2">
      <c r="A55" s="1"/>
      <c r="B55" s="1"/>
      <c r="C55" s="11"/>
      <c r="D55" s="1"/>
      <c r="E55" s="1"/>
      <c r="F55" s="12"/>
      <c r="G55" s="12"/>
      <c r="H55" s="53"/>
    </row>
    <row r="56" spans="1:8" ht="14.1" customHeight="1" x14ac:dyDescent="0.2">
      <c r="A56" s="1"/>
      <c r="B56" s="1"/>
      <c r="C56" s="2" t="s">
        <v>165</v>
      </c>
      <c r="D56" s="1"/>
      <c r="E56" s="1"/>
      <c r="F56" s="9">
        <v>15663.928489661001</v>
      </c>
      <c r="G56" s="10">
        <v>0.98054653999999997</v>
      </c>
      <c r="H56" s="53"/>
    </row>
    <row r="57" spans="1:8" ht="14.1" customHeight="1" x14ac:dyDescent="0.2">
      <c r="A57" s="1"/>
      <c r="B57" s="1"/>
      <c r="C57" s="12"/>
      <c r="D57" s="1"/>
      <c r="E57" s="1"/>
      <c r="F57" s="1"/>
      <c r="G57" s="1"/>
      <c r="H57" s="53"/>
    </row>
    <row r="58" spans="1:8" ht="14.1" customHeight="1" x14ac:dyDescent="0.2">
      <c r="A58" s="1"/>
      <c r="B58" s="1"/>
      <c r="C58" s="2" t="s">
        <v>166</v>
      </c>
      <c r="D58" s="1"/>
      <c r="E58" s="1"/>
      <c r="F58" s="1"/>
      <c r="G58" s="1"/>
      <c r="H58" s="53"/>
    </row>
    <row r="59" spans="1:8" ht="14.1" customHeight="1" x14ac:dyDescent="0.2">
      <c r="A59" s="1"/>
      <c r="B59" s="1"/>
      <c r="C59" s="2" t="s">
        <v>167</v>
      </c>
      <c r="D59" s="1"/>
      <c r="E59" s="1"/>
      <c r="F59" s="1"/>
      <c r="G59" s="1"/>
      <c r="H59" s="53"/>
    </row>
    <row r="60" spans="1:8" ht="14.1" customHeight="1" x14ac:dyDescent="0.2">
      <c r="A60" s="1"/>
      <c r="B60" s="1"/>
      <c r="C60" s="2" t="s">
        <v>144</v>
      </c>
      <c r="D60" s="1"/>
      <c r="E60" s="1" t="s">
        <v>145</v>
      </c>
      <c r="F60" s="13" t="s">
        <v>147</v>
      </c>
      <c r="G60" s="10">
        <v>0</v>
      </c>
      <c r="H60" s="53"/>
    </row>
    <row r="61" spans="1:8" ht="14.1" customHeight="1" x14ac:dyDescent="0.2">
      <c r="A61" s="1"/>
      <c r="B61" s="1"/>
      <c r="C61" s="11"/>
      <c r="D61" s="1"/>
      <c r="E61" s="1"/>
      <c r="F61" s="12"/>
      <c r="G61" s="12"/>
      <c r="H61" s="53"/>
    </row>
    <row r="62" spans="1:8" ht="14.1" customHeight="1" x14ac:dyDescent="0.2">
      <c r="A62" s="1"/>
      <c r="B62" s="1"/>
      <c r="C62" s="2" t="s">
        <v>168</v>
      </c>
      <c r="D62" s="1"/>
      <c r="E62" s="1"/>
      <c r="F62" s="1"/>
      <c r="G62" s="1"/>
      <c r="H62" s="53"/>
    </row>
    <row r="63" spans="1:8" ht="14.1" customHeight="1" x14ac:dyDescent="0.2">
      <c r="A63" s="1"/>
      <c r="B63" s="1"/>
      <c r="C63" s="2" t="s">
        <v>169</v>
      </c>
      <c r="D63" s="1"/>
      <c r="E63" s="1"/>
      <c r="F63" s="1"/>
      <c r="G63" s="1"/>
      <c r="H63" s="53"/>
    </row>
    <row r="64" spans="1:8" ht="14.1" customHeight="1" x14ac:dyDescent="0.2">
      <c r="A64" s="1"/>
      <c r="B64" s="1"/>
      <c r="C64" s="2" t="s">
        <v>144</v>
      </c>
      <c r="D64" s="1"/>
      <c r="E64" s="1" t="s">
        <v>145</v>
      </c>
      <c r="F64" s="13" t="s">
        <v>147</v>
      </c>
      <c r="G64" s="10">
        <v>0</v>
      </c>
      <c r="H64" s="53"/>
    </row>
    <row r="65" spans="1:8" ht="14.1" customHeight="1" x14ac:dyDescent="0.2">
      <c r="A65" s="1"/>
      <c r="B65" s="1"/>
      <c r="C65" s="11"/>
      <c r="D65" s="1"/>
      <c r="E65" s="1"/>
      <c r="F65" s="12"/>
      <c r="G65" s="12"/>
      <c r="H65" s="53"/>
    </row>
    <row r="66" spans="1:8" ht="24" customHeight="1" x14ac:dyDescent="0.2">
      <c r="A66" s="1"/>
      <c r="B66" s="1"/>
      <c r="C66" s="2" t="s">
        <v>170</v>
      </c>
      <c r="D66" s="1"/>
      <c r="E66" s="1"/>
      <c r="F66" s="12"/>
      <c r="G66" s="12"/>
      <c r="H66" s="53"/>
    </row>
    <row r="67" spans="1:8" ht="14.1" customHeight="1" x14ac:dyDescent="0.2">
      <c r="A67" s="1"/>
      <c r="B67" s="1"/>
      <c r="C67" s="2" t="s">
        <v>144</v>
      </c>
      <c r="D67" s="1"/>
      <c r="E67" s="1" t="s">
        <v>145</v>
      </c>
      <c r="F67" s="13" t="s">
        <v>147</v>
      </c>
      <c r="G67" s="10">
        <v>0</v>
      </c>
      <c r="H67" s="53"/>
    </row>
    <row r="68" spans="1:8" ht="14.1" customHeight="1" x14ac:dyDescent="0.2">
      <c r="A68" s="1"/>
      <c r="B68" s="1"/>
      <c r="C68" s="11"/>
      <c r="D68" s="1"/>
      <c r="E68" s="1"/>
      <c r="F68" s="12"/>
      <c r="G68" s="12"/>
      <c r="H68" s="53"/>
    </row>
    <row r="69" spans="1:8" ht="14.1" customHeight="1" x14ac:dyDescent="0.2">
      <c r="A69" s="1"/>
      <c r="B69" s="4"/>
      <c r="C69" s="4"/>
      <c r="D69" s="2"/>
      <c r="E69" s="1"/>
      <c r="F69" s="4"/>
      <c r="G69" s="8"/>
      <c r="H69" s="53"/>
    </row>
    <row r="70" spans="1:8" ht="18" customHeight="1" x14ac:dyDescent="0.2">
      <c r="A70" s="8"/>
      <c r="B70" s="4"/>
      <c r="C70" s="4" t="s">
        <v>171</v>
      </c>
      <c r="D70" s="4"/>
      <c r="E70" s="8"/>
      <c r="F70" s="6">
        <v>310.76305730000001</v>
      </c>
      <c r="G70" s="7">
        <v>1.9453459999999999E-2</v>
      </c>
      <c r="H70" s="53"/>
    </row>
    <row r="71" spans="1:8" ht="14.1" customHeight="1" x14ac:dyDescent="0.2">
      <c r="A71" s="11"/>
      <c r="B71" s="11"/>
      <c r="C71" s="2" t="s">
        <v>172</v>
      </c>
      <c r="D71" s="12"/>
      <c r="E71" s="12"/>
      <c r="F71" s="9">
        <v>15974.691546960999</v>
      </c>
      <c r="G71" s="14">
        <v>1</v>
      </c>
      <c r="H71" s="53"/>
    </row>
    <row r="72" spans="1:8" ht="14.1" customHeight="1" x14ac:dyDescent="0.2">
      <c r="A72" s="15"/>
      <c r="B72" s="15"/>
      <c r="C72" s="15"/>
      <c r="D72" s="16"/>
      <c r="E72" s="16"/>
      <c r="F72" s="16"/>
      <c r="G72" s="16"/>
    </row>
    <row r="73" spans="1:8" ht="14.1" customHeight="1" x14ac:dyDescent="0.2">
      <c r="A73" s="17"/>
      <c r="B73" s="17"/>
      <c r="C73" s="17"/>
      <c r="D73" s="19"/>
      <c r="E73" s="19"/>
      <c r="F73" s="19"/>
      <c r="G73" s="19"/>
    </row>
    <row r="74" spans="1:8" ht="14.1" customHeight="1" x14ac:dyDescent="0.2">
      <c r="A74" s="17"/>
      <c r="B74" s="231" t="s">
        <v>174</v>
      </c>
      <c r="C74" s="232"/>
      <c r="D74" s="233"/>
      <c r="E74" s="20"/>
      <c r="F74" s="19"/>
      <c r="G74" s="19"/>
    </row>
    <row r="75" spans="1:8" ht="29.1" customHeight="1" x14ac:dyDescent="0.2">
      <c r="A75" s="17"/>
      <c r="B75" s="226" t="s">
        <v>175</v>
      </c>
      <c r="C75" s="227"/>
      <c r="D75" s="2" t="s">
        <v>176</v>
      </c>
      <c r="E75" s="20"/>
      <c r="F75" s="19"/>
      <c r="G75" s="19"/>
    </row>
    <row r="76" spans="1:8" ht="17.100000000000001" customHeight="1" x14ac:dyDescent="0.2">
      <c r="A76" s="17"/>
      <c r="B76" s="226" t="s">
        <v>177</v>
      </c>
      <c r="C76" s="227"/>
      <c r="D76" s="2" t="s">
        <v>176</v>
      </c>
      <c r="E76" s="20"/>
      <c r="F76" s="19"/>
      <c r="G76" s="19"/>
    </row>
    <row r="77" spans="1:8" ht="17.100000000000001" customHeight="1" x14ac:dyDescent="0.2">
      <c r="A77" s="17"/>
      <c r="B77" s="226" t="s">
        <v>178</v>
      </c>
      <c r="C77" s="227"/>
      <c r="D77" s="12" t="s">
        <v>145</v>
      </c>
      <c r="E77" s="20"/>
      <c r="F77" s="19"/>
      <c r="G77" s="19"/>
    </row>
    <row r="78" spans="1:8" ht="24" customHeight="1" x14ac:dyDescent="0.2">
      <c r="A78" s="21"/>
      <c r="B78" s="22" t="s">
        <v>145</v>
      </c>
      <c r="C78" s="22" t="s">
        <v>179</v>
      </c>
      <c r="D78" s="22" t="s">
        <v>180</v>
      </c>
      <c r="E78" s="21"/>
      <c r="F78" s="21"/>
      <c r="G78" s="21"/>
    </row>
    <row r="79" spans="1:8" ht="18" customHeight="1" x14ac:dyDescent="0.2">
      <c r="A79" s="21"/>
      <c r="B79" s="23" t="s">
        <v>181</v>
      </c>
      <c r="C79" s="22" t="s">
        <v>182</v>
      </c>
      <c r="D79" s="22" t="s">
        <v>183</v>
      </c>
      <c r="E79" s="21"/>
      <c r="F79" s="21"/>
      <c r="G79" s="21"/>
    </row>
    <row r="80" spans="1:8" ht="17.100000000000001" customHeight="1" x14ac:dyDescent="0.2">
      <c r="A80" s="21"/>
      <c r="B80" s="4" t="s">
        <v>184</v>
      </c>
      <c r="C80" s="24">
        <v>25.162600000000001</v>
      </c>
      <c r="D80" s="24">
        <v>25.280899999999999</v>
      </c>
      <c r="E80" s="21"/>
      <c r="F80" s="18"/>
      <c r="G80" s="25"/>
    </row>
    <row r="81" spans="1:7" ht="17.100000000000001" customHeight="1" x14ac:dyDescent="0.2">
      <c r="A81" s="21"/>
      <c r="B81" s="4" t="s">
        <v>1009</v>
      </c>
      <c r="C81" s="24">
        <v>23.617599999999999</v>
      </c>
      <c r="D81" s="24">
        <v>23.7286</v>
      </c>
      <c r="E81" s="21"/>
      <c r="F81" s="18"/>
      <c r="G81" s="25"/>
    </row>
    <row r="82" spans="1:7" ht="17.100000000000001" customHeight="1" x14ac:dyDescent="0.2">
      <c r="A82" s="21"/>
      <c r="B82" s="4" t="s">
        <v>185</v>
      </c>
      <c r="C82" s="24">
        <v>24.6174</v>
      </c>
      <c r="D82" s="24">
        <v>24.724399999999999</v>
      </c>
      <c r="E82" s="21"/>
      <c r="F82" s="18"/>
      <c r="G82" s="25"/>
    </row>
    <row r="83" spans="1:7" ht="17.100000000000001" customHeight="1" x14ac:dyDescent="0.2">
      <c r="A83" s="21"/>
      <c r="B83" s="4" t="s">
        <v>1010</v>
      </c>
      <c r="C83" s="24">
        <v>23.086500000000001</v>
      </c>
      <c r="D83" s="24">
        <v>23.186900000000001</v>
      </c>
      <c r="E83" s="21"/>
      <c r="F83" s="18"/>
      <c r="G83" s="25"/>
    </row>
    <row r="84" spans="1:7" ht="14.1" customHeight="1" x14ac:dyDescent="0.2">
      <c r="A84" s="21"/>
      <c r="B84" s="21"/>
      <c r="C84" s="21"/>
      <c r="D84" s="21"/>
      <c r="E84" s="21"/>
      <c r="F84" s="21"/>
      <c r="G84" s="21"/>
    </row>
    <row r="85" spans="1:7" ht="17.100000000000001" customHeight="1" x14ac:dyDescent="0.2">
      <c r="A85" s="21"/>
      <c r="B85" s="226" t="s">
        <v>1011</v>
      </c>
      <c r="C85" s="227"/>
      <c r="D85" s="2" t="s">
        <v>176</v>
      </c>
      <c r="E85" s="21"/>
      <c r="F85" s="21"/>
      <c r="G85" s="21"/>
    </row>
    <row r="86" spans="1:7" ht="18" customHeight="1" x14ac:dyDescent="0.2">
      <c r="A86" s="21"/>
      <c r="B86" s="26"/>
      <c r="C86" s="26"/>
      <c r="D86" s="26"/>
      <c r="E86" s="21"/>
      <c r="F86" s="21"/>
      <c r="G86" s="21"/>
    </row>
    <row r="87" spans="1:7" ht="29.1" customHeight="1" x14ac:dyDescent="0.2">
      <c r="A87" s="21"/>
      <c r="B87" s="226" t="s">
        <v>186</v>
      </c>
      <c r="C87" s="227"/>
      <c r="D87" s="2" t="s">
        <v>176</v>
      </c>
      <c r="E87" s="27"/>
      <c r="F87" s="21"/>
      <c r="G87" s="21"/>
    </row>
    <row r="88" spans="1:7" ht="29.1" customHeight="1" x14ac:dyDescent="0.2">
      <c r="A88" s="21"/>
      <c r="B88" s="226" t="s">
        <v>187</v>
      </c>
      <c r="C88" s="227"/>
      <c r="D88" s="2" t="s">
        <v>176</v>
      </c>
      <c r="E88" s="27"/>
      <c r="F88" s="21"/>
      <c r="G88" s="21"/>
    </row>
    <row r="89" spans="1:7" ht="17.100000000000001" customHeight="1" x14ac:dyDescent="0.2">
      <c r="A89" s="21"/>
      <c r="B89" s="226" t="s">
        <v>188</v>
      </c>
      <c r="C89" s="227"/>
      <c r="D89" s="2" t="s">
        <v>176</v>
      </c>
      <c r="E89" s="27"/>
      <c r="F89" s="21"/>
      <c r="G89" s="21"/>
    </row>
    <row r="90" spans="1:7" ht="17.100000000000001" customHeight="1" x14ac:dyDescent="0.2">
      <c r="A90" s="21"/>
      <c r="B90" s="226" t="s">
        <v>189</v>
      </c>
      <c r="C90" s="227"/>
      <c r="D90" s="57">
        <v>1.7539999975427791E-2</v>
      </c>
      <c r="E90" s="21"/>
      <c r="F90" s="18"/>
      <c r="G90" s="25"/>
    </row>
    <row r="156" spans="10:14" x14ac:dyDescent="0.2">
      <c r="J156" s="143"/>
      <c r="K156" s="143"/>
      <c r="L156" s="143"/>
      <c r="M156" s="143"/>
      <c r="N156" s="143"/>
    </row>
  </sheetData>
  <mergeCells count="13">
    <mergeCell ref="A1:H1"/>
    <mergeCell ref="A2:H2"/>
    <mergeCell ref="A3:H3"/>
    <mergeCell ref="J2:N2"/>
    <mergeCell ref="B90:C90"/>
    <mergeCell ref="B76:C76"/>
    <mergeCell ref="B77:C77"/>
    <mergeCell ref="B85:C85"/>
    <mergeCell ref="B87:C87"/>
    <mergeCell ref="B88:C88"/>
    <mergeCell ref="B89:C89"/>
    <mergeCell ref="B75:C75"/>
    <mergeCell ref="B74:D74"/>
  </mergeCells>
  <hyperlinks>
    <hyperlink ref="I1" location="Index!B7" display="Index" xr:uid="{5EE32F76-2F27-4D5B-8D2B-704AA154C05C}"/>
  </hyperlinks>
  <pageMargins left="5.000000074505806E-2" right="5.000000074505806E-2" top="0.30000001192092896" bottom="0.20000000298023224" header="0" footer="0"/>
  <pageSetup paperSize="9"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58"/>
  <sheetViews>
    <sheetView showGridLines="0" workbookViewId="0">
      <selection activeCell="J66" sqref="J66"/>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380</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50</v>
      </c>
      <c r="C7" s="4" t="s">
        <v>51</v>
      </c>
      <c r="D7" s="4" t="s">
        <v>31</v>
      </c>
      <c r="E7" s="5">
        <v>6058</v>
      </c>
      <c r="F7" s="6">
        <v>164.02035000000001</v>
      </c>
      <c r="G7" s="7">
        <v>4.8087369999999997E-2</v>
      </c>
      <c r="H7" s="53"/>
    </row>
    <row r="8" spans="1:14" ht="17.100000000000001" customHeight="1" x14ac:dyDescent="0.2">
      <c r="A8" s="3">
        <v>2</v>
      </c>
      <c r="B8" s="4" t="s">
        <v>34</v>
      </c>
      <c r="C8" s="4" t="s">
        <v>35</v>
      </c>
      <c r="D8" s="4" t="s">
        <v>31</v>
      </c>
      <c r="E8" s="5">
        <v>5488</v>
      </c>
      <c r="F8" s="6">
        <v>153.219472</v>
      </c>
      <c r="G8" s="7">
        <v>4.4920769999999999E-2</v>
      </c>
      <c r="H8" s="53"/>
    </row>
    <row r="9" spans="1:14" ht="17.100000000000001" customHeight="1" x14ac:dyDescent="0.2">
      <c r="A9" s="3">
        <v>3</v>
      </c>
      <c r="B9" s="4" t="s">
        <v>381</v>
      </c>
      <c r="C9" s="4" t="s">
        <v>382</v>
      </c>
      <c r="D9" s="4" t="s">
        <v>73</v>
      </c>
      <c r="E9" s="5">
        <v>3942</v>
      </c>
      <c r="F9" s="6">
        <v>145.24693199999999</v>
      </c>
      <c r="G9" s="7">
        <v>4.2583389999999999E-2</v>
      </c>
      <c r="H9" s="53"/>
    </row>
    <row r="10" spans="1:14" ht="17.100000000000001" customHeight="1" x14ac:dyDescent="0.2">
      <c r="A10" s="3">
        <v>4</v>
      </c>
      <c r="B10" s="4" t="s">
        <v>131</v>
      </c>
      <c r="C10" s="4" t="s">
        <v>132</v>
      </c>
      <c r="D10" s="4" t="s">
        <v>73</v>
      </c>
      <c r="E10" s="5">
        <v>37034</v>
      </c>
      <c r="F10" s="6">
        <v>140.007037</v>
      </c>
      <c r="G10" s="7">
        <v>4.1047159999999999E-2</v>
      </c>
      <c r="H10" s="53"/>
    </row>
    <row r="11" spans="1:14" ht="17.100000000000001" customHeight="1" x14ac:dyDescent="0.2">
      <c r="A11" s="3">
        <v>5</v>
      </c>
      <c r="B11" s="4" t="s">
        <v>383</v>
      </c>
      <c r="C11" s="4" t="s">
        <v>384</v>
      </c>
      <c r="D11" s="4" t="s">
        <v>28</v>
      </c>
      <c r="E11" s="5">
        <v>152433</v>
      </c>
      <c r="F11" s="6">
        <v>137.951865</v>
      </c>
      <c r="G11" s="7">
        <v>4.0444630000000002E-2</v>
      </c>
      <c r="H11" s="53"/>
    </row>
    <row r="12" spans="1:14" ht="17.100000000000001" customHeight="1" x14ac:dyDescent="0.2">
      <c r="A12" s="3">
        <v>6</v>
      </c>
      <c r="B12" s="4" t="s">
        <v>385</v>
      </c>
      <c r="C12" s="4" t="s">
        <v>386</v>
      </c>
      <c r="D12" s="4" t="s">
        <v>264</v>
      </c>
      <c r="E12" s="5">
        <v>6041</v>
      </c>
      <c r="F12" s="6">
        <v>108.1912895</v>
      </c>
      <c r="G12" s="7">
        <v>3.1719440000000002E-2</v>
      </c>
      <c r="H12" s="53"/>
    </row>
    <row r="13" spans="1:14" ht="17.100000000000001" customHeight="1" x14ac:dyDescent="0.2">
      <c r="A13" s="3">
        <v>7</v>
      </c>
      <c r="B13" s="4" t="s">
        <v>387</v>
      </c>
      <c r="C13" s="4" t="s">
        <v>388</v>
      </c>
      <c r="D13" s="4" t="s">
        <v>31</v>
      </c>
      <c r="E13" s="5">
        <v>8019</v>
      </c>
      <c r="F13" s="6">
        <v>94.977035999999998</v>
      </c>
      <c r="G13" s="7">
        <v>2.78453E-2</v>
      </c>
      <c r="H13" s="53"/>
      <c r="J13" s="142" t="s">
        <v>1033</v>
      </c>
    </row>
    <row r="14" spans="1:14" ht="17.100000000000001" customHeight="1" x14ac:dyDescent="0.2">
      <c r="A14" s="3">
        <v>8</v>
      </c>
      <c r="B14" s="4" t="s">
        <v>215</v>
      </c>
      <c r="C14" s="4" t="s">
        <v>216</v>
      </c>
      <c r="D14" s="4" t="s">
        <v>905</v>
      </c>
      <c r="E14" s="5">
        <v>1751</v>
      </c>
      <c r="F14" s="6">
        <v>94.040957000000006</v>
      </c>
      <c r="G14" s="7">
        <v>2.7570859999999999E-2</v>
      </c>
      <c r="H14" s="53"/>
    </row>
    <row r="15" spans="1:14" ht="17.100000000000001" customHeight="1" x14ac:dyDescent="0.2">
      <c r="A15" s="3">
        <v>9</v>
      </c>
      <c r="B15" s="4" t="s">
        <v>389</v>
      </c>
      <c r="C15" s="4" t="s">
        <v>390</v>
      </c>
      <c r="D15" s="4" t="s">
        <v>209</v>
      </c>
      <c r="E15" s="5">
        <v>24416</v>
      </c>
      <c r="F15" s="6">
        <v>85.700159999999997</v>
      </c>
      <c r="G15" s="7">
        <v>2.512551E-2</v>
      </c>
      <c r="H15" s="53"/>
    </row>
    <row r="16" spans="1:14" ht="29.1" customHeight="1" x14ac:dyDescent="0.2">
      <c r="A16" s="3">
        <v>10</v>
      </c>
      <c r="B16" s="4" t="s">
        <v>199</v>
      </c>
      <c r="C16" s="4" t="s">
        <v>200</v>
      </c>
      <c r="D16" s="4" t="s">
        <v>201</v>
      </c>
      <c r="E16" s="5">
        <v>1842</v>
      </c>
      <c r="F16" s="6">
        <v>84.821337</v>
      </c>
      <c r="G16" s="7">
        <v>2.4867859999999999E-2</v>
      </c>
      <c r="H16" s="53"/>
    </row>
    <row r="17" spans="1:8" ht="17.100000000000001" customHeight="1" x14ac:dyDescent="0.2">
      <c r="A17" s="3">
        <v>11</v>
      </c>
      <c r="B17" s="4" t="s">
        <v>391</v>
      </c>
      <c r="C17" s="4" t="s">
        <v>392</v>
      </c>
      <c r="D17" s="4" t="s">
        <v>130</v>
      </c>
      <c r="E17" s="5">
        <v>11094</v>
      </c>
      <c r="F17" s="6">
        <v>83.354769000000005</v>
      </c>
      <c r="G17" s="7">
        <v>2.443789E-2</v>
      </c>
      <c r="H17" s="53"/>
    </row>
    <row r="18" spans="1:8" ht="17.100000000000001" customHeight="1" x14ac:dyDescent="0.2">
      <c r="A18" s="3">
        <v>12</v>
      </c>
      <c r="B18" s="4" t="s">
        <v>393</v>
      </c>
      <c r="C18" s="4" t="s">
        <v>394</v>
      </c>
      <c r="D18" s="4" t="s">
        <v>229</v>
      </c>
      <c r="E18" s="5">
        <v>5630</v>
      </c>
      <c r="F18" s="6">
        <v>80.247204999999994</v>
      </c>
      <c r="G18" s="7">
        <v>2.352682E-2</v>
      </c>
      <c r="H18" s="53"/>
    </row>
    <row r="19" spans="1:8" ht="17.100000000000001" customHeight="1" x14ac:dyDescent="0.2">
      <c r="A19" s="3">
        <v>13</v>
      </c>
      <c r="B19" s="4" t="s">
        <v>395</v>
      </c>
      <c r="C19" s="4" t="s">
        <v>396</v>
      </c>
      <c r="D19" s="4" t="s">
        <v>397</v>
      </c>
      <c r="E19" s="5">
        <v>4536</v>
      </c>
      <c r="F19" s="6">
        <v>76.57902</v>
      </c>
      <c r="G19" s="7">
        <v>2.245138E-2</v>
      </c>
      <c r="H19" s="53"/>
    </row>
    <row r="20" spans="1:8" ht="17.100000000000001" customHeight="1" x14ac:dyDescent="0.2">
      <c r="A20" s="3">
        <v>14</v>
      </c>
      <c r="B20" s="4" t="s">
        <v>398</v>
      </c>
      <c r="C20" s="4" t="s">
        <v>399</v>
      </c>
      <c r="D20" s="4" t="s">
        <v>229</v>
      </c>
      <c r="E20" s="5">
        <v>8151</v>
      </c>
      <c r="F20" s="6">
        <v>76.476757500000005</v>
      </c>
      <c r="G20" s="7">
        <v>2.2421400000000001E-2</v>
      </c>
      <c r="H20" s="53"/>
    </row>
    <row r="21" spans="1:8" ht="17.100000000000001" customHeight="1" x14ac:dyDescent="0.2">
      <c r="A21" s="3">
        <v>15</v>
      </c>
      <c r="B21" s="4" t="s">
        <v>400</v>
      </c>
      <c r="C21" s="4" t="s">
        <v>401</v>
      </c>
      <c r="D21" s="4" t="s">
        <v>73</v>
      </c>
      <c r="E21" s="5">
        <v>6126</v>
      </c>
      <c r="F21" s="6">
        <v>74.265497999999994</v>
      </c>
      <c r="G21" s="7">
        <v>2.1773109999999998E-2</v>
      </c>
      <c r="H21" s="53"/>
    </row>
    <row r="22" spans="1:8" ht="29.1" customHeight="1" x14ac:dyDescent="0.2">
      <c r="A22" s="3">
        <v>16</v>
      </c>
      <c r="B22" s="4" t="s">
        <v>402</v>
      </c>
      <c r="C22" s="4" t="s">
        <v>403</v>
      </c>
      <c r="D22" s="4" t="s">
        <v>224</v>
      </c>
      <c r="E22" s="5">
        <v>2681</v>
      </c>
      <c r="F22" s="6">
        <v>74.223484999999997</v>
      </c>
      <c r="G22" s="7">
        <v>2.1760789999999999E-2</v>
      </c>
      <c r="H22" s="53"/>
    </row>
    <row r="23" spans="1:8" ht="17.100000000000001" customHeight="1" x14ac:dyDescent="0.2">
      <c r="A23" s="3">
        <v>17</v>
      </c>
      <c r="B23" s="4" t="s">
        <v>404</v>
      </c>
      <c r="C23" s="4" t="s">
        <v>405</v>
      </c>
      <c r="D23" s="4" t="s">
        <v>238</v>
      </c>
      <c r="E23" s="5">
        <v>28888</v>
      </c>
      <c r="F23" s="6">
        <v>72.436660000000003</v>
      </c>
      <c r="G23" s="7">
        <v>2.1236930000000001E-2</v>
      </c>
      <c r="H23" s="53"/>
    </row>
    <row r="24" spans="1:8" ht="17.100000000000001" customHeight="1" x14ac:dyDescent="0.2">
      <c r="A24" s="3">
        <v>18</v>
      </c>
      <c r="B24" s="4" t="s">
        <v>406</v>
      </c>
      <c r="C24" s="4" t="s">
        <v>407</v>
      </c>
      <c r="D24" s="4" t="s">
        <v>130</v>
      </c>
      <c r="E24" s="5">
        <v>59081</v>
      </c>
      <c r="F24" s="6">
        <v>71.931117499999999</v>
      </c>
      <c r="G24" s="7">
        <v>2.108871E-2</v>
      </c>
      <c r="H24" s="53"/>
    </row>
    <row r="25" spans="1:8" ht="17.100000000000001" customHeight="1" x14ac:dyDescent="0.2">
      <c r="A25" s="3">
        <v>19</v>
      </c>
      <c r="B25" s="4" t="s">
        <v>408</v>
      </c>
      <c r="C25" s="4" t="s">
        <v>409</v>
      </c>
      <c r="D25" s="4" t="s">
        <v>13</v>
      </c>
      <c r="E25" s="5">
        <v>70325</v>
      </c>
      <c r="F25" s="6">
        <v>71.415037499999997</v>
      </c>
      <c r="G25" s="7">
        <v>2.093741E-2</v>
      </c>
      <c r="H25" s="53"/>
    </row>
    <row r="26" spans="1:8" ht="17.100000000000001" customHeight="1" x14ac:dyDescent="0.2">
      <c r="A26" s="3">
        <v>20</v>
      </c>
      <c r="B26" s="4" t="s">
        <v>410</v>
      </c>
      <c r="C26" s="4" t="s">
        <v>411</v>
      </c>
      <c r="D26" s="4" t="s">
        <v>397</v>
      </c>
      <c r="E26" s="5">
        <v>3672</v>
      </c>
      <c r="F26" s="6">
        <v>68.660892000000004</v>
      </c>
      <c r="G26" s="7">
        <v>2.0129950000000001E-2</v>
      </c>
      <c r="H26" s="53"/>
    </row>
    <row r="27" spans="1:8" ht="29.1" customHeight="1" x14ac:dyDescent="0.2">
      <c r="A27" s="3">
        <v>21</v>
      </c>
      <c r="B27" s="4" t="s">
        <v>269</v>
      </c>
      <c r="C27" s="4" t="s">
        <v>270</v>
      </c>
      <c r="D27" s="4" t="s">
        <v>224</v>
      </c>
      <c r="E27" s="5">
        <v>16491</v>
      </c>
      <c r="F27" s="6">
        <v>65.898036000000005</v>
      </c>
      <c r="G27" s="7">
        <v>1.9319940000000001E-2</v>
      </c>
      <c r="H27" s="53"/>
    </row>
    <row r="28" spans="1:8" ht="17.100000000000001" customHeight="1" x14ac:dyDescent="0.2">
      <c r="A28" s="3">
        <v>22</v>
      </c>
      <c r="B28" s="4" t="s">
        <v>412</v>
      </c>
      <c r="C28" s="4" t="s">
        <v>413</v>
      </c>
      <c r="D28" s="4" t="s">
        <v>130</v>
      </c>
      <c r="E28" s="5">
        <v>4638</v>
      </c>
      <c r="F28" s="6">
        <v>65.653209000000004</v>
      </c>
      <c r="G28" s="7">
        <v>1.924816E-2</v>
      </c>
      <c r="H28" s="53"/>
    </row>
    <row r="29" spans="1:8" ht="29.1" customHeight="1" x14ac:dyDescent="0.2">
      <c r="A29" s="3">
        <v>23</v>
      </c>
      <c r="B29" s="4" t="s">
        <v>96</v>
      </c>
      <c r="C29" s="4" t="s">
        <v>97</v>
      </c>
      <c r="D29" s="4" t="s">
        <v>38</v>
      </c>
      <c r="E29" s="5">
        <v>2627</v>
      </c>
      <c r="F29" s="6">
        <v>64.689875000000001</v>
      </c>
      <c r="G29" s="7">
        <v>1.896573E-2</v>
      </c>
      <c r="H29" s="53"/>
    </row>
    <row r="30" spans="1:8" ht="17.100000000000001" customHeight="1" x14ac:dyDescent="0.2">
      <c r="A30" s="3">
        <v>24</v>
      </c>
      <c r="B30" s="4" t="s">
        <v>414</v>
      </c>
      <c r="C30" s="4" t="s">
        <v>415</v>
      </c>
      <c r="D30" s="4" t="s">
        <v>92</v>
      </c>
      <c r="E30" s="5">
        <v>3479</v>
      </c>
      <c r="F30" s="6">
        <v>62.616781500000002</v>
      </c>
      <c r="G30" s="7">
        <v>1.835794E-2</v>
      </c>
      <c r="H30" s="53"/>
    </row>
    <row r="31" spans="1:8" ht="29.1" customHeight="1" x14ac:dyDescent="0.2">
      <c r="A31" s="3">
        <v>25</v>
      </c>
      <c r="B31" s="4" t="s">
        <v>416</v>
      </c>
      <c r="C31" s="4" t="s">
        <v>417</v>
      </c>
      <c r="D31" s="4" t="s">
        <v>56</v>
      </c>
      <c r="E31" s="5">
        <v>2187</v>
      </c>
      <c r="F31" s="6">
        <v>61.763066999999999</v>
      </c>
      <c r="G31" s="7">
        <v>1.8107649999999999E-2</v>
      </c>
      <c r="H31" s="53"/>
    </row>
    <row r="32" spans="1:8" ht="29.1" customHeight="1" x14ac:dyDescent="0.2">
      <c r="A32" s="3">
        <v>26</v>
      </c>
      <c r="B32" s="4" t="s">
        <v>102</v>
      </c>
      <c r="C32" s="4" t="s">
        <v>103</v>
      </c>
      <c r="D32" s="4" t="s">
        <v>25</v>
      </c>
      <c r="E32" s="5">
        <v>1823</v>
      </c>
      <c r="F32" s="6">
        <v>60.080610999999998</v>
      </c>
      <c r="G32" s="7">
        <v>1.7614390000000001E-2</v>
      </c>
      <c r="H32" s="53"/>
    </row>
    <row r="33" spans="1:8" ht="17.100000000000001" customHeight="1" x14ac:dyDescent="0.2">
      <c r="A33" s="3">
        <v>27</v>
      </c>
      <c r="B33" s="4" t="s">
        <v>247</v>
      </c>
      <c r="C33" s="4" t="s">
        <v>248</v>
      </c>
      <c r="D33" s="4" t="s">
        <v>87</v>
      </c>
      <c r="E33" s="5">
        <v>1151</v>
      </c>
      <c r="F33" s="6">
        <v>59.636187499999998</v>
      </c>
      <c r="G33" s="7">
        <v>1.7484090000000001E-2</v>
      </c>
      <c r="H33" s="53"/>
    </row>
    <row r="34" spans="1:8" ht="17.100000000000001" customHeight="1" x14ac:dyDescent="0.2">
      <c r="A34" s="3">
        <v>28</v>
      </c>
      <c r="B34" s="4" t="s">
        <v>98</v>
      </c>
      <c r="C34" s="4" t="s">
        <v>99</v>
      </c>
      <c r="D34" s="4" t="s">
        <v>92</v>
      </c>
      <c r="E34" s="5">
        <v>9950</v>
      </c>
      <c r="F34" s="6">
        <v>58.983600000000003</v>
      </c>
      <c r="G34" s="7">
        <v>1.7292769999999999E-2</v>
      </c>
      <c r="H34" s="53"/>
    </row>
    <row r="35" spans="1:8" ht="17.100000000000001" customHeight="1" x14ac:dyDescent="0.2">
      <c r="A35" s="3">
        <v>29</v>
      </c>
      <c r="B35" s="4" t="s">
        <v>418</v>
      </c>
      <c r="C35" s="4" t="s">
        <v>419</v>
      </c>
      <c r="D35" s="4" t="s">
        <v>73</v>
      </c>
      <c r="E35" s="5">
        <v>8402</v>
      </c>
      <c r="F35" s="6">
        <v>57.549498999999997</v>
      </c>
      <c r="G35" s="7">
        <v>1.687232E-2</v>
      </c>
      <c r="H35" s="53"/>
    </row>
    <row r="36" spans="1:8" ht="17.100000000000001" customHeight="1" x14ac:dyDescent="0.2">
      <c r="A36" s="3">
        <v>30</v>
      </c>
      <c r="B36" s="4" t="s">
        <v>42</v>
      </c>
      <c r="C36" s="4" t="s">
        <v>43</v>
      </c>
      <c r="D36" s="4" t="s">
        <v>31</v>
      </c>
      <c r="E36" s="5">
        <v>2356</v>
      </c>
      <c r="F36" s="6">
        <v>53.624915999999999</v>
      </c>
      <c r="G36" s="7">
        <v>1.572171E-2</v>
      </c>
      <c r="H36" s="53"/>
    </row>
    <row r="37" spans="1:8" ht="29.1" customHeight="1" x14ac:dyDescent="0.2">
      <c r="A37" s="3">
        <v>31</v>
      </c>
      <c r="B37" s="4" t="s">
        <v>420</v>
      </c>
      <c r="C37" s="4" t="s">
        <v>421</v>
      </c>
      <c r="D37" s="4" t="s">
        <v>422</v>
      </c>
      <c r="E37" s="5">
        <v>34094</v>
      </c>
      <c r="F37" s="6">
        <v>52.624088999999998</v>
      </c>
      <c r="G37" s="7">
        <v>1.5428290000000001E-2</v>
      </c>
      <c r="H37" s="53"/>
    </row>
    <row r="38" spans="1:8" ht="17.100000000000001" customHeight="1" x14ac:dyDescent="0.2">
      <c r="A38" s="3">
        <v>32</v>
      </c>
      <c r="B38" s="4" t="s">
        <v>423</v>
      </c>
      <c r="C38" s="4" t="s">
        <v>424</v>
      </c>
      <c r="D38" s="4" t="s">
        <v>906</v>
      </c>
      <c r="E38" s="5">
        <v>4857</v>
      </c>
      <c r="F38" s="6">
        <v>52.370602499999997</v>
      </c>
      <c r="G38" s="7">
        <v>1.535398E-2</v>
      </c>
      <c r="H38" s="53"/>
    </row>
    <row r="39" spans="1:8" ht="17.100000000000001" customHeight="1" x14ac:dyDescent="0.2">
      <c r="A39" s="3">
        <v>33</v>
      </c>
      <c r="B39" s="4" t="s">
        <v>425</v>
      </c>
      <c r="C39" s="4" t="s">
        <v>426</v>
      </c>
      <c r="D39" s="4" t="s">
        <v>304</v>
      </c>
      <c r="E39" s="5">
        <v>6658</v>
      </c>
      <c r="F39" s="6">
        <v>50.154713999999998</v>
      </c>
      <c r="G39" s="7">
        <v>1.470432E-2</v>
      </c>
      <c r="H39" s="53"/>
    </row>
    <row r="40" spans="1:8" ht="17.100000000000001" customHeight="1" x14ac:dyDescent="0.2">
      <c r="A40" s="3">
        <v>34</v>
      </c>
      <c r="B40" s="4" t="s">
        <v>427</v>
      </c>
      <c r="C40" s="4" t="s">
        <v>428</v>
      </c>
      <c r="D40" s="4" t="s">
        <v>905</v>
      </c>
      <c r="E40" s="5">
        <v>4049</v>
      </c>
      <c r="F40" s="6">
        <v>47.612191000000003</v>
      </c>
      <c r="G40" s="7">
        <v>1.395891E-2</v>
      </c>
      <c r="H40" s="53"/>
    </row>
    <row r="41" spans="1:8" ht="29.1" customHeight="1" x14ac:dyDescent="0.2">
      <c r="A41" s="3">
        <v>35</v>
      </c>
      <c r="B41" s="4" t="s">
        <v>429</v>
      </c>
      <c r="C41" s="4" t="s">
        <v>430</v>
      </c>
      <c r="D41" s="4" t="s">
        <v>224</v>
      </c>
      <c r="E41" s="5">
        <v>13550</v>
      </c>
      <c r="F41" s="6">
        <v>42.987375</v>
      </c>
      <c r="G41" s="7">
        <v>1.260301E-2</v>
      </c>
      <c r="H41" s="53"/>
    </row>
    <row r="42" spans="1:8" ht="17.100000000000001" customHeight="1" x14ac:dyDescent="0.2">
      <c r="A42" s="3">
        <v>36</v>
      </c>
      <c r="B42" s="4" t="s">
        <v>431</v>
      </c>
      <c r="C42" s="4" t="s">
        <v>432</v>
      </c>
      <c r="D42" s="4" t="s">
        <v>906</v>
      </c>
      <c r="E42" s="5">
        <v>2523</v>
      </c>
      <c r="F42" s="6">
        <v>41.310340500000002</v>
      </c>
      <c r="G42" s="7">
        <v>1.211134E-2</v>
      </c>
      <c r="H42" s="53"/>
    </row>
    <row r="43" spans="1:8" ht="17.100000000000001" customHeight="1" x14ac:dyDescent="0.2">
      <c r="A43" s="3">
        <v>37</v>
      </c>
      <c r="B43" s="4" t="s">
        <v>433</v>
      </c>
      <c r="C43" s="4" t="s">
        <v>434</v>
      </c>
      <c r="D43" s="4" t="s">
        <v>73</v>
      </c>
      <c r="E43" s="5">
        <v>7524</v>
      </c>
      <c r="F43" s="6">
        <v>39.820770000000003</v>
      </c>
      <c r="G43" s="7">
        <v>1.167463E-2</v>
      </c>
      <c r="H43" s="53"/>
    </row>
    <row r="44" spans="1:8" ht="29.1" customHeight="1" x14ac:dyDescent="0.2">
      <c r="A44" s="3">
        <v>38</v>
      </c>
      <c r="B44" s="4" t="s">
        <v>435</v>
      </c>
      <c r="C44" s="4" t="s">
        <v>436</v>
      </c>
      <c r="D44" s="4" t="s">
        <v>214</v>
      </c>
      <c r="E44" s="5">
        <v>8191</v>
      </c>
      <c r="F44" s="6">
        <v>39.140693499999998</v>
      </c>
      <c r="G44" s="7">
        <v>1.1475239999999999E-2</v>
      </c>
      <c r="H44" s="53"/>
    </row>
    <row r="45" spans="1:8" ht="17.100000000000001" customHeight="1" x14ac:dyDescent="0.2">
      <c r="A45" s="3">
        <v>39</v>
      </c>
      <c r="B45" s="4" t="s">
        <v>437</v>
      </c>
      <c r="C45" s="4" t="s">
        <v>438</v>
      </c>
      <c r="D45" s="4" t="s">
        <v>229</v>
      </c>
      <c r="E45" s="5">
        <v>16207</v>
      </c>
      <c r="F45" s="6">
        <v>39.123697999999997</v>
      </c>
      <c r="G45" s="7">
        <v>1.1470259999999999E-2</v>
      </c>
      <c r="H45" s="53"/>
    </row>
    <row r="46" spans="1:8" ht="17.100000000000001" customHeight="1" x14ac:dyDescent="0.2">
      <c r="A46" s="3">
        <v>40</v>
      </c>
      <c r="B46" s="4" t="s">
        <v>439</v>
      </c>
      <c r="C46" s="4" t="s">
        <v>440</v>
      </c>
      <c r="D46" s="4" t="s">
        <v>130</v>
      </c>
      <c r="E46" s="5">
        <v>4394</v>
      </c>
      <c r="F46" s="6">
        <v>36.656945</v>
      </c>
      <c r="G46" s="7">
        <v>1.0747059999999999E-2</v>
      </c>
      <c r="H46" s="53"/>
    </row>
    <row r="47" spans="1:8" ht="17.100000000000001" customHeight="1" x14ac:dyDescent="0.2">
      <c r="A47" s="3">
        <v>41</v>
      </c>
      <c r="B47" s="4" t="s">
        <v>441</v>
      </c>
      <c r="C47" s="4" t="s">
        <v>442</v>
      </c>
      <c r="D47" s="4" t="s">
        <v>95</v>
      </c>
      <c r="E47" s="5">
        <v>3908</v>
      </c>
      <c r="F47" s="6">
        <v>35.980955999999999</v>
      </c>
      <c r="G47" s="7">
        <v>1.054887E-2</v>
      </c>
      <c r="H47" s="53"/>
    </row>
    <row r="48" spans="1:8" ht="17.100000000000001" customHeight="1" x14ac:dyDescent="0.2">
      <c r="A48" s="3">
        <v>42</v>
      </c>
      <c r="B48" s="4" t="s">
        <v>443</v>
      </c>
      <c r="C48" s="4" t="s">
        <v>444</v>
      </c>
      <c r="D48" s="4" t="s">
        <v>31</v>
      </c>
      <c r="E48" s="5">
        <v>3042</v>
      </c>
      <c r="F48" s="6">
        <v>34.564725000000003</v>
      </c>
      <c r="G48" s="7">
        <v>1.0133659999999999E-2</v>
      </c>
      <c r="H48" s="53"/>
    </row>
    <row r="49" spans="1:8" ht="17.100000000000001" customHeight="1" x14ac:dyDescent="0.2">
      <c r="A49" s="3">
        <v>43</v>
      </c>
      <c r="B49" s="4" t="s">
        <v>445</v>
      </c>
      <c r="C49" s="4" t="s">
        <v>446</v>
      </c>
      <c r="D49" s="4" t="s">
        <v>59</v>
      </c>
      <c r="E49" s="5">
        <v>4036</v>
      </c>
      <c r="F49" s="6">
        <v>32.721870000000003</v>
      </c>
      <c r="G49" s="7">
        <v>9.5933700000000004E-3</v>
      </c>
      <c r="H49" s="53"/>
    </row>
    <row r="50" spans="1:8" ht="17.100000000000001" customHeight="1" x14ac:dyDescent="0.2">
      <c r="A50" s="3">
        <v>44</v>
      </c>
      <c r="B50" s="4" t="s">
        <v>447</v>
      </c>
      <c r="C50" s="4" t="s">
        <v>448</v>
      </c>
      <c r="D50" s="4" t="s">
        <v>31</v>
      </c>
      <c r="E50" s="5">
        <v>4198</v>
      </c>
      <c r="F50" s="6">
        <v>30.265481000000001</v>
      </c>
      <c r="G50" s="7">
        <v>8.8732099999999994E-3</v>
      </c>
      <c r="H50" s="53"/>
    </row>
    <row r="51" spans="1:8" ht="29.1" customHeight="1" x14ac:dyDescent="0.2">
      <c r="A51" s="3">
        <v>45</v>
      </c>
      <c r="B51" s="4" t="s">
        <v>449</v>
      </c>
      <c r="C51" s="4" t="s">
        <v>450</v>
      </c>
      <c r="D51" s="4" t="s">
        <v>224</v>
      </c>
      <c r="E51" s="5">
        <v>596</v>
      </c>
      <c r="F51" s="6">
        <v>29.055</v>
      </c>
      <c r="G51" s="7">
        <v>8.5183199999999994E-3</v>
      </c>
      <c r="H51" s="53"/>
    </row>
    <row r="52" spans="1:8" ht="17.100000000000001" customHeight="1" x14ac:dyDescent="0.2">
      <c r="A52" s="3">
        <v>46</v>
      </c>
      <c r="B52" s="4" t="s">
        <v>451</v>
      </c>
      <c r="C52" s="4" t="s">
        <v>452</v>
      </c>
      <c r="D52" s="4" t="s">
        <v>92</v>
      </c>
      <c r="E52" s="5">
        <v>22875</v>
      </c>
      <c r="F52" s="6">
        <v>21.102187499999999</v>
      </c>
      <c r="G52" s="7">
        <v>6.1867199999999997E-3</v>
      </c>
      <c r="H52" s="53"/>
    </row>
    <row r="53" spans="1:8" ht="17.100000000000001" customHeight="1" x14ac:dyDescent="0.2">
      <c r="A53" s="3">
        <v>47</v>
      </c>
      <c r="B53" s="4" t="s">
        <v>453</v>
      </c>
      <c r="C53" s="4" t="s">
        <v>454</v>
      </c>
      <c r="D53" s="4" t="s">
        <v>31</v>
      </c>
      <c r="E53" s="5">
        <v>2107</v>
      </c>
      <c r="F53" s="6">
        <v>19.4402355</v>
      </c>
      <c r="G53" s="7">
        <v>5.6994699999999999E-3</v>
      </c>
      <c r="H53" s="53"/>
    </row>
    <row r="54" spans="1:8" ht="29.1" customHeight="1" x14ac:dyDescent="0.2">
      <c r="A54" s="3">
        <v>48</v>
      </c>
      <c r="B54" s="4" t="s">
        <v>376</v>
      </c>
      <c r="C54" s="4" t="s">
        <v>377</v>
      </c>
      <c r="D54" s="4" t="s">
        <v>73</v>
      </c>
      <c r="E54" s="5">
        <v>5400</v>
      </c>
      <c r="F54" s="6">
        <v>16.2027</v>
      </c>
      <c r="G54" s="7">
        <v>4.7502999999999998E-3</v>
      </c>
      <c r="H54" s="53"/>
    </row>
    <row r="55" spans="1:8" ht="29.1" customHeight="1" x14ac:dyDescent="0.2">
      <c r="A55" s="3">
        <v>49</v>
      </c>
      <c r="B55" s="4" t="s">
        <v>455</v>
      </c>
      <c r="C55" s="4" t="s">
        <v>456</v>
      </c>
      <c r="D55" s="4" t="s">
        <v>201</v>
      </c>
      <c r="E55" s="5">
        <v>2348</v>
      </c>
      <c r="F55" s="6">
        <v>11.911403999999999</v>
      </c>
      <c r="G55" s="7">
        <v>3.4921800000000001E-3</v>
      </c>
      <c r="H55" s="53"/>
    </row>
    <row r="56" spans="1:8" ht="17.100000000000001" customHeight="1" x14ac:dyDescent="0.2">
      <c r="A56" s="3">
        <v>50</v>
      </c>
      <c r="B56" s="4" t="s">
        <v>954</v>
      </c>
      <c r="C56" s="4" t="s">
        <v>299</v>
      </c>
      <c r="D56" s="4" t="s">
        <v>130</v>
      </c>
      <c r="E56" s="5">
        <v>1151</v>
      </c>
      <c r="F56" s="6">
        <v>11.755163</v>
      </c>
      <c r="G56" s="7">
        <v>3.4463699999999998E-3</v>
      </c>
      <c r="H56" s="53"/>
    </row>
    <row r="57" spans="1:8" ht="17.100000000000001" customHeight="1" x14ac:dyDescent="0.2">
      <c r="A57" s="3">
        <v>51</v>
      </c>
      <c r="B57" s="4" t="s">
        <v>457</v>
      </c>
      <c r="C57" s="4" t="s">
        <v>458</v>
      </c>
      <c r="D57" s="4" t="s">
        <v>28</v>
      </c>
      <c r="E57" s="5">
        <v>2318</v>
      </c>
      <c r="F57" s="6">
        <v>7.6563540000000003</v>
      </c>
      <c r="G57" s="7">
        <v>2.2446800000000002E-3</v>
      </c>
      <c r="H57" s="53"/>
    </row>
    <row r="58" spans="1:8" ht="14.1" customHeight="1" x14ac:dyDescent="0.2">
      <c r="A58" s="1"/>
      <c r="B58" s="1"/>
      <c r="C58" s="2" t="s">
        <v>144</v>
      </c>
      <c r="D58" s="1"/>
      <c r="E58" s="1" t="s">
        <v>145</v>
      </c>
      <c r="F58" s="9">
        <v>3260.7201534999999</v>
      </c>
      <c r="G58" s="10">
        <v>0.95597557</v>
      </c>
      <c r="H58" s="53"/>
    </row>
    <row r="59" spans="1:8" ht="14.1" customHeight="1" x14ac:dyDescent="0.2">
      <c r="A59" s="1"/>
      <c r="B59" s="1"/>
      <c r="C59" s="11"/>
      <c r="D59" s="1"/>
      <c r="E59" s="1"/>
      <c r="F59" s="12"/>
      <c r="G59" s="12"/>
      <c r="H59" s="53"/>
    </row>
    <row r="60" spans="1:8" ht="14.1" customHeight="1" x14ac:dyDescent="0.2">
      <c r="A60" s="1"/>
      <c r="B60" s="1"/>
      <c r="C60" s="2" t="s">
        <v>146</v>
      </c>
      <c r="D60" s="1"/>
      <c r="E60" s="1"/>
      <c r="F60" s="1"/>
      <c r="G60" s="1"/>
      <c r="H60" s="53"/>
    </row>
    <row r="61" spans="1:8" ht="14.1" customHeight="1" x14ac:dyDescent="0.2">
      <c r="A61" s="1"/>
      <c r="B61" s="1"/>
      <c r="C61" s="2" t="s">
        <v>144</v>
      </c>
      <c r="D61" s="1"/>
      <c r="E61" s="1" t="s">
        <v>145</v>
      </c>
      <c r="F61" s="13" t="s">
        <v>147</v>
      </c>
      <c r="G61" s="10">
        <v>0</v>
      </c>
      <c r="H61" s="53"/>
    </row>
    <row r="62" spans="1:8" ht="14.1" customHeight="1" x14ac:dyDescent="0.2">
      <c r="A62" s="1"/>
      <c r="B62" s="1"/>
      <c r="C62" s="11"/>
      <c r="D62" s="1"/>
      <c r="E62" s="1"/>
      <c r="F62" s="12"/>
      <c r="G62" s="12"/>
      <c r="H62" s="53"/>
    </row>
    <row r="63" spans="1:8" ht="14.1" customHeight="1" x14ac:dyDescent="0.2">
      <c r="A63" s="1"/>
      <c r="B63" s="1"/>
      <c r="C63" s="2" t="s">
        <v>148</v>
      </c>
      <c r="D63" s="1"/>
      <c r="E63" s="1"/>
      <c r="F63" s="1"/>
      <c r="G63" s="1"/>
      <c r="H63" s="53"/>
    </row>
    <row r="64" spans="1:8" ht="14.1" customHeight="1" x14ac:dyDescent="0.2">
      <c r="A64" s="1"/>
      <c r="B64" s="1"/>
      <c r="C64" s="2" t="s">
        <v>144</v>
      </c>
      <c r="D64" s="1"/>
      <c r="E64" s="1" t="s">
        <v>145</v>
      </c>
      <c r="F64" s="13" t="s">
        <v>147</v>
      </c>
      <c r="G64" s="10">
        <v>0</v>
      </c>
      <c r="H64" s="53"/>
    </row>
    <row r="65" spans="1:8" ht="14.1" customHeight="1" x14ac:dyDescent="0.2">
      <c r="A65" s="1"/>
      <c r="B65" s="1"/>
      <c r="C65" s="11"/>
      <c r="D65" s="1"/>
      <c r="E65" s="1"/>
      <c r="F65" s="12"/>
      <c r="G65" s="12"/>
      <c r="H65" s="53"/>
    </row>
    <row r="66" spans="1:8" ht="14.1" customHeight="1" x14ac:dyDescent="0.2">
      <c r="A66" s="1"/>
      <c r="B66" s="1"/>
      <c r="C66" s="2" t="s">
        <v>149</v>
      </c>
      <c r="D66" s="1"/>
      <c r="E66" s="1"/>
      <c r="F66" s="1"/>
      <c r="G66" s="1"/>
      <c r="H66" s="53"/>
    </row>
    <row r="67" spans="1:8" ht="29.1" customHeight="1" x14ac:dyDescent="0.2">
      <c r="A67" s="3">
        <v>1</v>
      </c>
      <c r="B67" s="4" t="s">
        <v>307</v>
      </c>
      <c r="C67" s="4" t="s">
        <v>964</v>
      </c>
      <c r="D67" s="4" t="s">
        <v>87</v>
      </c>
      <c r="E67" s="5">
        <v>133516</v>
      </c>
      <c r="F67" s="6">
        <v>13.752148</v>
      </c>
      <c r="G67" s="7">
        <v>4.03185E-3</v>
      </c>
      <c r="H67" s="53"/>
    </row>
    <row r="68" spans="1:8" ht="31.5" customHeight="1" x14ac:dyDescent="0.2">
      <c r="A68" s="3">
        <v>2</v>
      </c>
      <c r="B68" s="4" t="s">
        <v>955</v>
      </c>
      <c r="C68" s="4" t="s">
        <v>1165</v>
      </c>
      <c r="D68" s="4" t="s">
        <v>130</v>
      </c>
      <c r="E68" s="5">
        <v>133</v>
      </c>
      <c r="F68" s="6">
        <v>1.3300133E-2</v>
      </c>
      <c r="G68" s="7" t="s">
        <v>143</v>
      </c>
      <c r="H68" s="53"/>
    </row>
    <row r="69" spans="1:8" ht="14.1" customHeight="1" x14ac:dyDescent="0.2">
      <c r="A69" s="1"/>
      <c r="B69" s="1"/>
      <c r="C69" s="2" t="s">
        <v>144</v>
      </c>
      <c r="D69" s="1"/>
      <c r="E69" s="1" t="s">
        <v>145</v>
      </c>
      <c r="F69" s="9">
        <v>13.765448133</v>
      </c>
      <c r="G69" s="10">
        <v>4.0357500000000003E-3</v>
      </c>
      <c r="H69" s="53"/>
    </row>
    <row r="70" spans="1:8" ht="14.1" customHeight="1" x14ac:dyDescent="0.2">
      <c r="A70" s="1"/>
      <c r="B70" s="1"/>
      <c r="C70" s="11"/>
      <c r="D70" s="1"/>
      <c r="E70" s="1"/>
      <c r="F70" s="12"/>
      <c r="G70" s="12"/>
      <c r="H70" s="53"/>
    </row>
    <row r="71" spans="1:8" ht="14.1" customHeight="1" x14ac:dyDescent="0.2">
      <c r="A71" s="1"/>
      <c r="B71" s="1"/>
      <c r="C71" s="2" t="s">
        <v>150</v>
      </c>
      <c r="D71" s="1"/>
      <c r="E71" s="1"/>
      <c r="F71" s="12"/>
      <c r="G71" s="12"/>
      <c r="H71" s="53"/>
    </row>
    <row r="72" spans="1:8" ht="14.1" customHeight="1" x14ac:dyDescent="0.2">
      <c r="A72" s="1"/>
      <c r="B72" s="1"/>
      <c r="C72" s="2" t="s">
        <v>144</v>
      </c>
      <c r="D72" s="1"/>
      <c r="E72" s="1" t="s">
        <v>145</v>
      </c>
      <c r="F72" s="13" t="s">
        <v>147</v>
      </c>
      <c r="G72" s="10">
        <v>0</v>
      </c>
      <c r="H72" s="53"/>
    </row>
    <row r="73" spans="1:8" ht="14.1" customHeight="1" x14ac:dyDescent="0.2">
      <c r="A73" s="1"/>
      <c r="B73" s="1"/>
      <c r="C73" s="11"/>
      <c r="D73" s="1"/>
      <c r="E73" s="1"/>
      <c r="F73" s="12"/>
      <c r="G73" s="12"/>
      <c r="H73" s="53"/>
    </row>
    <row r="74" spans="1:8" ht="14.1" customHeight="1" x14ac:dyDescent="0.2">
      <c r="A74" s="1"/>
      <c r="B74" s="1"/>
      <c r="C74" s="2" t="s">
        <v>151</v>
      </c>
      <c r="D74" s="1"/>
      <c r="E74" s="1"/>
      <c r="F74" s="12"/>
      <c r="G74" s="12"/>
      <c r="H74" s="53"/>
    </row>
    <row r="75" spans="1:8" ht="14.1" customHeight="1" x14ac:dyDescent="0.2">
      <c r="A75" s="1"/>
      <c r="B75" s="1"/>
      <c r="C75" s="2" t="s">
        <v>144</v>
      </c>
      <c r="D75" s="1"/>
      <c r="E75" s="1" t="s">
        <v>145</v>
      </c>
      <c r="F75" s="13" t="s">
        <v>147</v>
      </c>
      <c r="G75" s="10">
        <v>0</v>
      </c>
      <c r="H75" s="53"/>
    </row>
    <row r="76" spans="1:8" ht="14.1" customHeight="1" x14ac:dyDescent="0.2">
      <c r="A76" s="1"/>
      <c r="B76" s="1"/>
      <c r="C76" s="11"/>
      <c r="D76" s="1"/>
      <c r="E76" s="1"/>
      <c r="F76" s="12"/>
      <c r="G76" s="12"/>
      <c r="H76" s="53"/>
    </row>
    <row r="77" spans="1:8" ht="18" customHeight="1" x14ac:dyDescent="0.2">
      <c r="A77" s="1"/>
      <c r="B77" s="1"/>
      <c r="C77" s="2" t="s">
        <v>152</v>
      </c>
      <c r="D77" s="1"/>
      <c r="E77" s="1"/>
      <c r="F77" s="9">
        <v>3274.485601633</v>
      </c>
      <c r="G77" s="10">
        <v>0.96001132</v>
      </c>
      <c r="H77" s="53"/>
    </row>
    <row r="78" spans="1:8" ht="14.1" customHeight="1" x14ac:dyDescent="0.2">
      <c r="A78" s="1"/>
      <c r="B78" s="1"/>
      <c r="C78" s="11"/>
      <c r="D78" s="1"/>
      <c r="E78" s="1"/>
      <c r="F78" s="12"/>
      <c r="G78" s="12"/>
      <c r="H78" s="53"/>
    </row>
    <row r="79" spans="1:8" ht="14.1" customHeight="1" x14ac:dyDescent="0.2">
      <c r="A79" s="1"/>
      <c r="B79" s="1"/>
      <c r="C79" s="2" t="s">
        <v>153</v>
      </c>
      <c r="D79" s="1"/>
      <c r="E79" s="1"/>
      <c r="F79" s="12"/>
      <c r="G79" s="12"/>
      <c r="H79" s="53"/>
    </row>
    <row r="80" spans="1:8" ht="24" customHeight="1" x14ac:dyDescent="0.2">
      <c r="A80" s="1"/>
      <c r="B80" s="1"/>
      <c r="C80" s="2" t="s">
        <v>10</v>
      </c>
      <c r="D80" s="1"/>
      <c r="E80" s="1"/>
      <c r="F80" s="12"/>
      <c r="G80" s="12"/>
      <c r="H80" s="53"/>
    </row>
    <row r="81" spans="1:8" ht="14.1" customHeight="1" x14ac:dyDescent="0.2">
      <c r="A81" s="1"/>
      <c r="B81" s="1"/>
      <c r="C81" s="2" t="s">
        <v>144</v>
      </c>
      <c r="D81" s="1"/>
      <c r="E81" s="1" t="s">
        <v>145</v>
      </c>
      <c r="F81" s="13" t="s">
        <v>147</v>
      </c>
      <c r="G81" s="10">
        <v>0</v>
      </c>
      <c r="H81" s="53"/>
    </row>
    <row r="82" spans="1:8" ht="14.1" customHeight="1" x14ac:dyDescent="0.2">
      <c r="A82" s="1"/>
      <c r="B82" s="1"/>
      <c r="C82" s="11"/>
      <c r="D82" s="1"/>
      <c r="E82" s="1"/>
      <c r="F82" s="12"/>
      <c r="G82" s="12"/>
      <c r="H82" s="53"/>
    </row>
    <row r="83" spans="1:8" ht="14.1" customHeight="1" x14ac:dyDescent="0.2">
      <c r="A83" s="1"/>
      <c r="B83" s="1"/>
      <c r="C83" s="2" t="s">
        <v>154</v>
      </c>
      <c r="D83" s="1"/>
      <c r="E83" s="1"/>
      <c r="F83" s="1"/>
      <c r="G83" s="1"/>
      <c r="H83" s="53"/>
    </row>
    <row r="84" spans="1:8" ht="14.1" customHeight="1" x14ac:dyDescent="0.2">
      <c r="A84" s="1"/>
      <c r="B84" s="1"/>
      <c r="C84" s="2" t="s">
        <v>144</v>
      </c>
      <c r="D84" s="1"/>
      <c r="E84" s="1" t="s">
        <v>145</v>
      </c>
      <c r="F84" s="13" t="s">
        <v>147</v>
      </c>
      <c r="G84" s="10">
        <v>0</v>
      </c>
      <c r="H84" s="53"/>
    </row>
    <row r="85" spans="1:8" ht="14.1" customHeight="1" x14ac:dyDescent="0.2">
      <c r="A85" s="1"/>
      <c r="B85" s="1"/>
      <c r="C85" s="11"/>
      <c r="D85" s="1"/>
      <c r="E85" s="1"/>
      <c r="F85" s="12"/>
      <c r="G85" s="12"/>
      <c r="H85" s="53"/>
    </row>
    <row r="86" spans="1:8" ht="14.1" customHeight="1" x14ac:dyDescent="0.2">
      <c r="A86" s="1"/>
      <c r="B86" s="1"/>
      <c r="C86" s="2" t="s">
        <v>155</v>
      </c>
      <c r="D86" s="1"/>
      <c r="E86" s="1"/>
      <c r="F86" s="1"/>
      <c r="G86" s="1"/>
      <c r="H86" s="53"/>
    </row>
    <row r="87" spans="1:8" ht="14.1" customHeight="1" x14ac:dyDescent="0.2">
      <c r="A87" s="1"/>
      <c r="B87" s="1"/>
      <c r="C87" s="2" t="s">
        <v>144</v>
      </c>
      <c r="D87" s="1"/>
      <c r="E87" s="1" t="s">
        <v>145</v>
      </c>
      <c r="F87" s="13" t="s">
        <v>147</v>
      </c>
      <c r="G87" s="10">
        <v>0</v>
      </c>
      <c r="H87" s="53"/>
    </row>
    <row r="88" spans="1:8" ht="14.1" customHeight="1" x14ac:dyDescent="0.2">
      <c r="A88" s="1"/>
      <c r="B88" s="1"/>
      <c r="C88" s="11"/>
      <c r="D88" s="1"/>
      <c r="E88" s="1"/>
      <c r="F88" s="12"/>
      <c r="G88" s="12"/>
      <c r="H88" s="53"/>
    </row>
    <row r="89" spans="1:8" ht="14.1" customHeight="1" x14ac:dyDescent="0.2">
      <c r="A89" s="1"/>
      <c r="B89" s="1"/>
      <c r="C89" s="2" t="s">
        <v>156</v>
      </c>
      <c r="D89" s="1"/>
      <c r="E89" s="1"/>
      <c r="F89" s="12"/>
      <c r="G89" s="12"/>
      <c r="H89" s="53"/>
    </row>
    <row r="90" spans="1:8" ht="14.1" customHeight="1" x14ac:dyDescent="0.2">
      <c r="A90" s="1"/>
      <c r="B90" s="1"/>
      <c r="C90" s="2" t="s">
        <v>144</v>
      </c>
      <c r="D90" s="1"/>
      <c r="E90" s="1" t="s">
        <v>145</v>
      </c>
      <c r="F90" s="13" t="s">
        <v>147</v>
      </c>
      <c r="G90" s="10">
        <v>0</v>
      </c>
      <c r="H90" s="53"/>
    </row>
    <row r="91" spans="1:8" ht="14.1" customHeight="1" x14ac:dyDescent="0.2">
      <c r="A91" s="1"/>
      <c r="B91" s="1"/>
      <c r="C91" s="11"/>
      <c r="D91" s="1"/>
      <c r="E91" s="1"/>
      <c r="F91" s="12"/>
      <c r="G91" s="12"/>
      <c r="H91" s="53"/>
    </row>
    <row r="92" spans="1:8" ht="14.1" customHeight="1" x14ac:dyDescent="0.2">
      <c r="A92" s="1"/>
      <c r="B92" s="1"/>
      <c r="C92" s="2" t="s">
        <v>157</v>
      </c>
      <c r="D92" s="1"/>
      <c r="E92" s="1"/>
      <c r="F92" s="9">
        <v>0</v>
      </c>
      <c r="G92" s="10">
        <v>0</v>
      </c>
      <c r="H92" s="53"/>
    </row>
    <row r="93" spans="1:8" ht="14.1" customHeight="1" x14ac:dyDescent="0.2">
      <c r="A93" s="1"/>
      <c r="B93" s="1"/>
      <c r="C93" s="11"/>
      <c r="D93" s="1"/>
      <c r="E93" s="1"/>
      <c r="F93" s="12"/>
      <c r="G93" s="12"/>
      <c r="H93" s="53"/>
    </row>
    <row r="94" spans="1:8" ht="14.1" customHeight="1" x14ac:dyDescent="0.2">
      <c r="A94" s="1"/>
      <c r="B94" s="1"/>
      <c r="C94" s="2" t="s">
        <v>158</v>
      </c>
      <c r="D94" s="1"/>
      <c r="E94" s="1"/>
      <c r="F94" s="12"/>
      <c r="G94" s="12"/>
      <c r="H94" s="53"/>
    </row>
    <row r="95" spans="1:8" ht="14.1" customHeight="1" x14ac:dyDescent="0.2">
      <c r="A95" s="1"/>
      <c r="B95" s="1"/>
      <c r="C95" s="2" t="s">
        <v>159</v>
      </c>
      <c r="D95" s="1"/>
      <c r="E95" s="1"/>
      <c r="F95" s="12"/>
      <c r="G95" s="12"/>
      <c r="H95" s="53"/>
    </row>
    <row r="96" spans="1:8" ht="14.1" customHeight="1" x14ac:dyDescent="0.2">
      <c r="A96" s="1"/>
      <c r="B96" s="1"/>
      <c r="C96" s="2" t="s">
        <v>144</v>
      </c>
      <c r="D96" s="1"/>
      <c r="E96" s="1" t="s">
        <v>145</v>
      </c>
      <c r="F96" s="13" t="s">
        <v>147</v>
      </c>
      <c r="G96" s="10">
        <v>0</v>
      </c>
      <c r="H96" s="53"/>
    </row>
    <row r="97" spans="1:8" ht="14.1" customHeight="1" x14ac:dyDescent="0.2">
      <c r="A97" s="1"/>
      <c r="B97" s="1"/>
      <c r="C97" s="11"/>
      <c r="D97" s="1"/>
      <c r="E97" s="1"/>
      <c r="F97" s="12"/>
      <c r="G97" s="12"/>
      <c r="H97" s="53"/>
    </row>
    <row r="98" spans="1:8" ht="14.1" customHeight="1" x14ac:dyDescent="0.2">
      <c r="A98" s="1"/>
      <c r="B98" s="1"/>
      <c r="C98" s="2" t="s">
        <v>160</v>
      </c>
      <c r="D98" s="1"/>
      <c r="E98" s="1"/>
      <c r="F98" s="12"/>
      <c r="G98" s="12"/>
      <c r="H98" s="53"/>
    </row>
    <row r="99" spans="1:8" ht="14.1" customHeight="1" x14ac:dyDescent="0.2">
      <c r="A99" s="1"/>
      <c r="B99" s="1"/>
      <c r="C99" s="2" t="s">
        <v>144</v>
      </c>
      <c r="D99" s="1"/>
      <c r="E99" s="1" t="s">
        <v>145</v>
      </c>
      <c r="F99" s="13" t="s">
        <v>147</v>
      </c>
      <c r="G99" s="10">
        <v>0</v>
      </c>
      <c r="H99" s="53"/>
    </row>
    <row r="100" spans="1:8" ht="14.1" customHeight="1" x14ac:dyDescent="0.2">
      <c r="A100" s="1"/>
      <c r="B100" s="1"/>
      <c r="C100" s="11"/>
      <c r="D100" s="1"/>
      <c r="E100" s="1"/>
      <c r="F100" s="12"/>
      <c r="G100" s="12"/>
      <c r="H100" s="53"/>
    </row>
    <row r="101" spans="1:8" ht="14.1" customHeight="1" x14ac:dyDescent="0.2">
      <c r="A101" s="1"/>
      <c r="B101" s="1"/>
      <c r="C101" s="2" t="s">
        <v>161</v>
      </c>
      <c r="D101" s="1"/>
      <c r="E101" s="1"/>
      <c r="F101" s="12"/>
      <c r="G101" s="12"/>
      <c r="H101" s="53"/>
    </row>
    <row r="102" spans="1:8" ht="14.1" customHeight="1" x14ac:dyDescent="0.2">
      <c r="A102" s="1"/>
      <c r="B102" s="1"/>
      <c r="C102" s="2" t="s">
        <v>144</v>
      </c>
      <c r="D102" s="1"/>
      <c r="E102" s="1" t="s">
        <v>145</v>
      </c>
      <c r="F102" s="13" t="s">
        <v>147</v>
      </c>
      <c r="G102" s="10">
        <v>0</v>
      </c>
      <c r="H102" s="53"/>
    </row>
    <row r="103" spans="1:8" ht="14.1" customHeight="1" x14ac:dyDescent="0.2">
      <c r="A103" s="1"/>
      <c r="B103" s="1"/>
      <c r="C103" s="11"/>
      <c r="D103" s="1"/>
      <c r="E103" s="1"/>
      <c r="F103" s="12"/>
      <c r="G103" s="12"/>
      <c r="H103" s="53"/>
    </row>
    <row r="104" spans="1:8" ht="14.1" customHeight="1" x14ac:dyDescent="0.2">
      <c r="A104" s="1"/>
      <c r="B104" s="1"/>
      <c r="C104" s="2" t="s">
        <v>162</v>
      </c>
      <c r="D104" s="1"/>
      <c r="E104" s="1"/>
      <c r="F104" s="12"/>
      <c r="G104" s="12"/>
      <c r="H104" s="53"/>
    </row>
    <row r="105" spans="1:8" ht="17.100000000000001" customHeight="1" x14ac:dyDescent="0.2">
      <c r="A105" s="3">
        <v>1</v>
      </c>
      <c r="B105" s="4"/>
      <c r="C105" s="4" t="s">
        <v>163</v>
      </c>
      <c r="D105" s="4"/>
      <c r="E105" s="8"/>
      <c r="F105" s="6">
        <v>75.970066000000003</v>
      </c>
      <c r="G105" s="7">
        <v>2.227285E-2</v>
      </c>
      <c r="H105" s="51">
        <v>6.6602331647804478</v>
      </c>
    </row>
    <row r="106" spans="1:8" ht="17.100000000000001" customHeight="1" x14ac:dyDescent="0.2">
      <c r="A106" s="3">
        <v>2</v>
      </c>
      <c r="B106" s="4"/>
      <c r="C106" s="4" t="s">
        <v>164</v>
      </c>
      <c r="D106" s="4"/>
      <c r="E106" s="8"/>
      <c r="F106" s="6">
        <v>58.081247900000001</v>
      </c>
      <c r="G106" s="7">
        <v>1.702822E-2</v>
      </c>
      <c r="H106" s="51">
        <v>6.6588225936582406</v>
      </c>
    </row>
    <row r="107" spans="1:8" ht="14.1" customHeight="1" x14ac:dyDescent="0.2">
      <c r="A107" s="1"/>
      <c r="B107" s="1"/>
      <c r="C107" s="2" t="s">
        <v>144</v>
      </c>
      <c r="D107" s="1"/>
      <c r="E107" s="1" t="s">
        <v>145</v>
      </c>
      <c r="F107" s="9">
        <v>134.0513139</v>
      </c>
      <c r="G107" s="10">
        <v>3.930107E-2</v>
      </c>
      <c r="H107" s="53"/>
    </row>
    <row r="108" spans="1:8" ht="14.1" customHeight="1" x14ac:dyDescent="0.2">
      <c r="A108" s="1"/>
      <c r="B108" s="1"/>
      <c r="C108" s="11"/>
      <c r="D108" s="1"/>
      <c r="E108" s="1"/>
      <c r="F108" s="12"/>
      <c r="G108" s="12"/>
      <c r="H108" s="53"/>
    </row>
    <row r="109" spans="1:8" ht="14.1" customHeight="1" x14ac:dyDescent="0.2">
      <c r="A109" s="1"/>
      <c r="B109" s="1"/>
      <c r="C109" s="2" t="s">
        <v>165</v>
      </c>
      <c r="D109" s="1"/>
      <c r="E109" s="1"/>
      <c r="F109" s="9">
        <v>134.0513139</v>
      </c>
      <c r="G109" s="10">
        <v>3.930107E-2</v>
      </c>
      <c r="H109" s="53"/>
    </row>
    <row r="110" spans="1:8" ht="14.1" customHeight="1" x14ac:dyDescent="0.2">
      <c r="A110" s="1"/>
      <c r="B110" s="1"/>
      <c r="C110" s="12"/>
      <c r="D110" s="1"/>
      <c r="E110" s="1"/>
      <c r="F110" s="1"/>
      <c r="G110" s="1"/>
      <c r="H110" s="53"/>
    </row>
    <row r="111" spans="1:8" ht="14.1" customHeight="1" x14ac:dyDescent="0.2">
      <c r="A111" s="1"/>
      <c r="B111" s="1"/>
      <c r="C111" s="2" t="s">
        <v>166</v>
      </c>
      <c r="D111" s="1"/>
      <c r="E111" s="1"/>
      <c r="F111" s="1"/>
      <c r="G111" s="1"/>
      <c r="H111" s="53"/>
    </row>
    <row r="112" spans="1:8" ht="14.1" customHeight="1" x14ac:dyDescent="0.2">
      <c r="A112" s="1"/>
      <c r="B112" s="1"/>
      <c r="C112" s="2" t="s">
        <v>167</v>
      </c>
      <c r="D112" s="1"/>
      <c r="E112" s="1"/>
      <c r="F112" s="1"/>
      <c r="G112" s="1"/>
      <c r="H112" s="53"/>
    </row>
    <row r="113" spans="1:8" ht="14.1" customHeight="1" x14ac:dyDescent="0.2">
      <c r="A113" s="1"/>
      <c r="B113" s="1"/>
      <c r="C113" s="2" t="s">
        <v>144</v>
      </c>
      <c r="D113" s="1"/>
      <c r="E113" s="1" t="s">
        <v>145</v>
      </c>
      <c r="F113" s="13" t="s">
        <v>147</v>
      </c>
      <c r="G113" s="10">
        <v>0</v>
      </c>
      <c r="H113" s="53"/>
    </row>
    <row r="114" spans="1:8" ht="14.1" customHeight="1" x14ac:dyDescent="0.2">
      <c r="A114" s="1"/>
      <c r="B114" s="1"/>
      <c r="C114" s="11"/>
      <c r="D114" s="1"/>
      <c r="E114" s="1"/>
      <c r="F114" s="12"/>
      <c r="G114" s="12"/>
      <c r="H114" s="53"/>
    </row>
    <row r="115" spans="1:8" ht="14.1" customHeight="1" x14ac:dyDescent="0.2">
      <c r="A115" s="1"/>
      <c r="B115" s="1"/>
      <c r="C115" s="2" t="s">
        <v>168</v>
      </c>
      <c r="D115" s="1"/>
      <c r="E115" s="1"/>
      <c r="F115" s="1"/>
      <c r="G115" s="1"/>
      <c r="H115" s="53"/>
    </row>
    <row r="116" spans="1:8" ht="14.1" customHeight="1" x14ac:dyDescent="0.2">
      <c r="A116" s="1"/>
      <c r="B116" s="1"/>
      <c r="C116" s="2" t="s">
        <v>169</v>
      </c>
      <c r="D116" s="1"/>
      <c r="E116" s="1"/>
      <c r="F116" s="1"/>
      <c r="G116" s="1"/>
      <c r="H116" s="53"/>
    </row>
    <row r="117" spans="1:8" ht="14.1" customHeight="1" x14ac:dyDescent="0.2">
      <c r="A117" s="1"/>
      <c r="B117" s="1"/>
      <c r="C117" s="2" t="s">
        <v>144</v>
      </c>
      <c r="D117" s="1"/>
      <c r="E117" s="1" t="s">
        <v>145</v>
      </c>
      <c r="F117" s="13" t="s">
        <v>147</v>
      </c>
      <c r="G117" s="10">
        <v>0</v>
      </c>
      <c r="H117" s="53"/>
    </row>
    <row r="118" spans="1:8" ht="14.1" customHeight="1" x14ac:dyDescent="0.2">
      <c r="A118" s="1"/>
      <c r="B118" s="1"/>
      <c r="C118" s="11"/>
      <c r="D118" s="1"/>
      <c r="E118" s="1"/>
      <c r="F118" s="12"/>
      <c r="G118" s="12"/>
      <c r="H118" s="53"/>
    </row>
    <row r="119" spans="1:8" ht="24" customHeight="1" x14ac:dyDescent="0.2">
      <c r="A119" s="1"/>
      <c r="B119" s="1"/>
      <c r="C119" s="2" t="s">
        <v>170</v>
      </c>
      <c r="D119" s="1"/>
      <c r="E119" s="1"/>
      <c r="F119" s="12"/>
      <c r="G119" s="12"/>
      <c r="H119" s="53"/>
    </row>
    <row r="120" spans="1:8" ht="14.1" customHeight="1" x14ac:dyDescent="0.2">
      <c r="A120" s="1"/>
      <c r="B120" s="1"/>
      <c r="C120" s="2" t="s">
        <v>144</v>
      </c>
      <c r="D120" s="1"/>
      <c r="E120" s="1" t="s">
        <v>145</v>
      </c>
      <c r="F120" s="13" t="s">
        <v>147</v>
      </c>
      <c r="G120" s="10">
        <v>0</v>
      </c>
      <c r="H120" s="53"/>
    </row>
    <row r="121" spans="1:8" ht="14.1" customHeight="1" x14ac:dyDescent="0.2">
      <c r="A121" s="1"/>
      <c r="B121" s="1"/>
      <c r="C121" s="11"/>
      <c r="D121" s="1"/>
      <c r="E121" s="1"/>
      <c r="F121" s="12"/>
      <c r="G121" s="12"/>
      <c r="H121" s="53"/>
    </row>
    <row r="122" spans="1:8" ht="14.1" customHeight="1" x14ac:dyDescent="0.2">
      <c r="A122" s="1"/>
      <c r="B122" s="4"/>
      <c r="C122" s="4"/>
      <c r="D122" s="2"/>
      <c r="E122" s="1"/>
      <c r="F122" s="4"/>
      <c r="G122" s="8"/>
      <c r="H122" s="53"/>
    </row>
    <row r="123" spans="1:8" ht="18" customHeight="1" x14ac:dyDescent="0.2">
      <c r="A123" s="8"/>
      <c r="B123" s="4"/>
      <c r="C123" s="4" t="s">
        <v>171</v>
      </c>
      <c r="D123" s="4"/>
      <c r="E123" s="8"/>
      <c r="F123" s="6">
        <v>2.3453588000000001</v>
      </c>
      <c r="G123" s="7">
        <v>6.8760999999999996E-4</v>
      </c>
      <c r="H123" s="53"/>
    </row>
    <row r="124" spans="1:8" ht="14.1" customHeight="1" x14ac:dyDescent="0.2">
      <c r="A124" s="11"/>
      <c r="B124" s="11"/>
      <c r="C124" s="2" t="s">
        <v>172</v>
      </c>
      <c r="D124" s="12"/>
      <c r="E124" s="12"/>
      <c r="F124" s="9">
        <v>3410.8822743330002</v>
      </c>
      <c r="G124" s="14">
        <v>1</v>
      </c>
      <c r="H124" s="53"/>
    </row>
    <row r="125" spans="1:8" ht="14.1" customHeight="1" x14ac:dyDescent="0.2">
      <c r="A125" s="15"/>
      <c r="B125" s="15"/>
      <c r="C125" s="15"/>
      <c r="D125" s="16"/>
      <c r="E125" s="16"/>
      <c r="F125" s="16"/>
      <c r="G125" s="16"/>
    </row>
    <row r="126" spans="1:8" ht="14.1" customHeight="1" x14ac:dyDescent="0.2">
      <c r="A126" s="17"/>
      <c r="B126" s="239" t="s">
        <v>907</v>
      </c>
      <c r="C126" s="239"/>
      <c r="D126" s="239"/>
      <c r="E126" s="239"/>
      <c r="F126" s="239"/>
      <c r="G126" s="19"/>
    </row>
    <row r="127" spans="1:8" ht="17.100000000000001" customHeight="1" x14ac:dyDescent="0.2">
      <c r="A127" s="17"/>
      <c r="B127" s="230" t="s">
        <v>173</v>
      </c>
      <c r="C127" s="230"/>
      <c r="D127" s="230"/>
      <c r="E127" s="230"/>
      <c r="F127" s="230"/>
      <c r="G127" s="19"/>
    </row>
    <row r="128" spans="1:8" ht="14.1" customHeight="1" x14ac:dyDescent="0.2">
      <c r="A128" s="17"/>
      <c r="B128" s="17"/>
      <c r="C128" s="17"/>
      <c r="D128" s="19"/>
      <c r="E128" s="19"/>
      <c r="F128" s="19"/>
      <c r="G128" s="19"/>
    </row>
    <row r="129" spans="1:7" ht="14.1" customHeight="1" x14ac:dyDescent="0.2">
      <c r="A129" s="17"/>
      <c r="B129" s="231" t="s">
        <v>174</v>
      </c>
      <c r="C129" s="232"/>
      <c r="D129" s="233"/>
      <c r="E129" s="20"/>
      <c r="F129" s="19"/>
      <c r="G129" s="19"/>
    </row>
    <row r="130" spans="1:7" ht="29.1" customHeight="1" x14ac:dyDescent="0.2">
      <c r="A130" s="17"/>
      <c r="B130" s="226" t="s">
        <v>175</v>
      </c>
      <c r="C130" s="227"/>
      <c r="D130" s="2" t="s">
        <v>176</v>
      </c>
      <c r="E130" s="20"/>
      <c r="F130" s="19"/>
      <c r="G130" s="19"/>
    </row>
    <row r="131" spans="1:7" ht="23.25" customHeight="1" x14ac:dyDescent="0.2">
      <c r="A131" s="17"/>
      <c r="B131" s="226" t="s">
        <v>1166</v>
      </c>
      <c r="C131" s="227"/>
      <c r="D131" s="2" t="s">
        <v>1161</v>
      </c>
      <c r="E131" s="20"/>
      <c r="F131" s="19"/>
      <c r="G131" s="19"/>
    </row>
    <row r="132" spans="1:7" ht="17.100000000000001" customHeight="1" x14ac:dyDescent="0.2">
      <c r="A132" s="17"/>
      <c r="B132" s="226" t="s">
        <v>178</v>
      </c>
      <c r="C132" s="227"/>
      <c r="D132" s="12" t="s">
        <v>145</v>
      </c>
      <c r="E132" s="20"/>
      <c r="F132" s="19"/>
      <c r="G132" s="19"/>
    </row>
    <row r="133" spans="1:7" ht="24" customHeight="1" x14ac:dyDescent="0.2">
      <c r="A133" s="21"/>
      <c r="B133" s="22" t="s">
        <v>145</v>
      </c>
      <c r="C133" s="22" t="s">
        <v>179</v>
      </c>
      <c r="D133" s="22" t="s">
        <v>180</v>
      </c>
      <c r="E133" s="21"/>
      <c r="F133" s="21"/>
      <c r="G133" s="21"/>
    </row>
    <row r="134" spans="1:7" ht="18" customHeight="1" x14ac:dyDescent="0.2">
      <c r="A134" s="21"/>
      <c r="B134" s="23" t="s">
        <v>181</v>
      </c>
      <c r="C134" s="22" t="s">
        <v>182</v>
      </c>
      <c r="D134" s="22" t="s">
        <v>183</v>
      </c>
      <c r="E134" s="21"/>
      <c r="F134" s="21"/>
      <c r="G134" s="21"/>
    </row>
    <row r="135" spans="1:7" ht="17.100000000000001" customHeight="1" x14ac:dyDescent="0.2">
      <c r="A135" s="21"/>
      <c r="B135" s="4" t="s">
        <v>184</v>
      </c>
      <c r="C135" s="24">
        <v>20.924399999999999</v>
      </c>
      <c r="D135" s="24">
        <v>22.1539</v>
      </c>
      <c r="E135" s="21"/>
      <c r="F135" s="18"/>
      <c r="G135" s="25"/>
    </row>
    <row r="136" spans="1:7" ht="17.100000000000001" customHeight="1" x14ac:dyDescent="0.2">
      <c r="A136" s="21"/>
      <c r="B136" s="4" t="s">
        <v>1009</v>
      </c>
      <c r="C136" s="24">
        <v>20.924399999999999</v>
      </c>
      <c r="D136" s="24">
        <v>22.1539</v>
      </c>
      <c r="E136" s="21"/>
      <c r="F136" s="18"/>
      <c r="G136" s="25"/>
    </row>
    <row r="137" spans="1:7" ht="17.100000000000001" customHeight="1" x14ac:dyDescent="0.2">
      <c r="A137" s="21"/>
      <c r="B137" s="4" t="s">
        <v>185</v>
      </c>
      <c r="C137" s="24">
        <v>20.3626</v>
      </c>
      <c r="D137" s="24">
        <v>21.5549</v>
      </c>
      <c r="E137" s="21"/>
      <c r="F137" s="18"/>
      <c r="G137" s="25"/>
    </row>
    <row r="138" spans="1:7" ht="17.100000000000001" customHeight="1" x14ac:dyDescent="0.2">
      <c r="A138" s="21"/>
      <c r="B138" s="4" t="s">
        <v>1010</v>
      </c>
      <c r="C138" s="24">
        <v>20.3627</v>
      </c>
      <c r="D138" s="24">
        <v>21.555</v>
      </c>
      <c r="E138" s="21"/>
      <c r="F138" s="18"/>
      <c r="G138" s="25"/>
    </row>
    <row r="139" spans="1:7" ht="14.1" customHeight="1" x14ac:dyDescent="0.2">
      <c r="A139" s="21"/>
      <c r="B139" s="21"/>
      <c r="C139" s="21"/>
      <c r="D139" s="21"/>
      <c r="E139" s="21"/>
      <c r="F139" s="21"/>
      <c r="G139" s="21"/>
    </row>
    <row r="140" spans="1:7" ht="17.100000000000001" customHeight="1" x14ac:dyDescent="0.2">
      <c r="A140" s="21"/>
      <c r="B140" s="226" t="s">
        <v>1011</v>
      </c>
      <c r="C140" s="227"/>
      <c r="D140" s="2" t="s">
        <v>176</v>
      </c>
      <c r="E140" s="21"/>
      <c r="F140" s="21"/>
      <c r="G140" s="21"/>
    </row>
    <row r="141" spans="1:7" ht="18" customHeight="1" x14ac:dyDescent="0.2">
      <c r="A141" s="21"/>
      <c r="B141" s="26"/>
      <c r="C141" s="26"/>
      <c r="D141" s="26"/>
      <c r="E141" s="21"/>
      <c r="F141" s="21"/>
      <c r="G141" s="21"/>
    </row>
    <row r="142" spans="1:7" ht="29.1" customHeight="1" x14ac:dyDescent="0.2">
      <c r="A142" s="21"/>
      <c r="B142" s="226" t="s">
        <v>186</v>
      </c>
      <c r="C142" s="227"/>
      <c r="D142" s="2" t="s">
        <v>176</v>
      </c>
      <c r="E142" s="27"/>
      <c r="F142" s="21"/>
      <c r="G142" s="21"/>
    </row>
    <row r="143" spans="1:7" ht="29.1" customHeight="1" x14ac:dyDescent="0.2">
      <c r="A143" s="21"/>
      <c r="B143" s="226" t="s">
        <v>187</v>
      </c>
      <c r="C143" s="227"/>
      <c r="D143" s="2" t="s">
        <v>176</v>
      </c>
      <c r="E143" s="27"/>
      <c r="F143" s="21"/>
      <c r="G143" s="21"/>
    </row>
    <row r="144" spans="1:7" ht="17.100000000000001" customHeight="1" x14ac:dyDescent="0.2">
      <c r="A144" s="21"/>
      <c r="B144" s="226" t="s">
        <v>188</v>
      </c>
      <c r="C144" s="227"/>
      <c r="D144" s="2" t="s">
        <v>176</v>
      </c>
      <c r="E144" s="27"/>
      <c r="F144" s="21"/>
      <c r="G144" s="21"/>
    </row>
    <row r="145" spans="1:14" ht="17.100000000000001" customHeight="1" x14ac:dyDescent="0.2">
      <c r="A145" s="21"/>
      <c r="B145" s="226" t="s">
        <v>189</v>
      </c>
      <c r="C145" s="227"/>
      <c r="D145" s="57">
        <v>8.3226946051795744E-2</v>
      </c>
      <c r="E145" s="21"/>
      <c r="F145" s="18"/>
      <c r="G145" s="25"/>
    </row>
    <row r="158" spans="1:14" x14ac:dyDescent="0.2">
      <c r="J158" s="143"/>
      <c r="K158" s="143"/>
      <c r="L158" s="143"/>
      <c r="M158" s="143"/>
      <c r="N158" s="143"/>
    </row>
  </sheetData>
  <mergeCells count="15">
    <mergeCell ref="A1:H1"/>
    <mergeCell ref="A2:H2"/>
    <mergeCell ref="A3:H3"/>
    <mergeCell ref="B126:F126"/>
    <mergeCell ref="J2:N2"/>
    <mergeCell ref="B130:C130"/>
    <mergeCell ref="B127:F127"/>
    <mergeCell ref="B129:D129"/>
    <mergeCell ref="B145:C145"/>
    <mergeCell ref="B131:C131"/>
    <mergeCell ref="B132:C132"/>
    <mergeCell ref="B140:C140"/>
    <mergeCell ref="B142:C142"/>
    <mergeCell ref="B143:C143"/>
    <mergeCell ref="B144:C144"/>
  </mergeCells>
  <hyperlinks>
    <hyperlink ref="I1" location="Index!B8" display="Index" xr:uid="{96BF1746-95F9-499E-9262-0B4AA229745B}"/>
  </hyperlinks>
  <pageMargins left="5.000000074505806E-2" right="5.000000074505806E-2" top="0.30000001192092896" bottom="0.20000000298023224" header="0" footer="0"/>
  <pageSetup paperSize="9"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55"/>
  <sheetViews>
    <sheetView showGridLines="0" workbookViewId="0">
      <selection activeCell="E130" sqref="E130"/>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459</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381</v>
      </c>
      <c r="C7" s="4" t="s">
        <v>382</v>
      </c>
      <c r="D7" s="4" t="s">
        <v>73</v>
      </c>
      <c r="E7" s="5">
        <v>3134</v>
      </c>
      <c r="F7" s="6">
        <v>115.475364</v>
      </c>
      <c r="G7" s="7">
        <v>5.1122590000000002E-2</v>
      </c>
      <c r="H7" s="53"/>
    </row>
    <row r="8" spans="1:14" ht="17.100000000000001" customHeight="1" x14ac:dyDescent="0.2">
      <c r="A8" s="3">
        <v>2</v>
      </c>
      <c r="B8" s="4" t="s">
        <v>50</v>
      </c>
      <c r="C8" s="4" t="s">
        <v>51</v>
      </c>
      <c r="D8" s="4" t="s">
        <v>31</v>
      </c>
      <c r="E8" s="5">
        <v>3854</v>
      </c>
      <c r="F8" s="6">
        <v>104.34705</v>
      </c>
      <c r="G8" s="7">
        <v>4.6195930000000003E-2</v>
      </c>
      <c r="H8" s="53"/>
    </row>
    <row r="9" spans="1:14" ht="17.100000000000001" customHeight="1" x14ac:dyDescent="0.2">
      <c r="A9" s="3">
        <v>3</v>
      </c>
      <c r="B9" s="4" t="s">
        <v>34</v>
      </c>
      <c r="C9" s="4" t="s">
        <v>35</v>
      </c>
      <c r="D9" s="4" t="s">
        <v>31</v>
      </c>
      <c r="E9" s="5">
        <v>3493</v>
      </c>
      <c r="F9" s="6">
        <v>97.521067000000002</v>
      </c>
      <c r="G9" s="7">
        <v>4.3173969999999999E-2</v>
      </c>
      <c r="H9" s="53"/>
    </row>
    <row r="10" spans="1:14" ht="17.100000000000001" customHeight="1" x14ac:dyDescent="0.2">
      <c r="A10" s="3">
        <v>4</v>
      </c>
      <c r="B10" s="4" t="s">
        <v>383</v>
      </c>
      <c r="C10" s="4" t="s">
        <v>384</v>
      </c>
      <c r="D10" s="4" t="s">
        <v>28</v>
      </c>
      <c r="E10" s="5">
        <v>101192</v>
      </c>
      <c r="F10" s="6">
        <v>91.578760000000003</v>
      </c>
      <c r="G10" s="7">
        <v>4.0543219999999998E-2</v>
      </c>
      <c r="H10" s="53"/>
    </row>
    <row r="11" spans="1:14" ht="17.100000000000001" customHeight="1" x14ac:dyDescent="0.2">
      <c r="A11" s="3">
        <v>5</v>
      </c>
      <c r="B11" s="4" t="s">
        <v>131</v>
      </c>
      <c r="C11" s="4" t="s">
        <v>132</v>
      </c>
      <c r="D11" s="4" t="s">
        <v>73</v>
      </c>
      <c r="E11" s="5">
        <v>23786</v>
      </c>
      <c r="F11" s="6">
        <v>89.922972999999999</v>
      </c>
      <c r="G11" s="7">
        <v>3.9810180000000001E-2</v>
      </c>
      <c r="H11" s="53"/>
    </row>
    <row r="12" spans="1:14" ht="17.100000000000001" customHeight="1" x14ac:dyDescent="0.2">
      <c r="A12" s="3">
        <v>6</v>
      </c>
      <c r="B12" s="4" t="s">
        <v>385</v>
      </c>
      <c r="C12" s="4" t="s">
        <v>386</v>
      </c>
      <c r="D12" s="4" t="s">
        <v>264</v>
      </c>
      <c r="E12" s="5">
        <v>3916</v>
      </c>
      <c r="F12" s="6">
        <v>70.133601999999996</v>
      </c>
      <c r="G12" s="7">
        <v>3.1049150000000001E-2</v>
      </c>
      <c r="H12" s="53"/>
    </row>
    <row r="13" spans="1:14" ht="17.100000000000001" customHeight="1" x14ac:dyDescent="0.2">
      <c r="A13" s="3">
        <v>7</v>
      </c>
      <c r="B13" s="4" t="s">
        <v>215</v>
      </c>
      <c r="C13" s="4" t="s">
        <v>216</v>
      </c>
      <c r="D13" s="4" t="s">
        <v>905</v>
      </c>
      <c r="E13" s="5">
        <v>1195</v>
      </c>
      <c r="F13" s="6">
        <v>64.179865000000007</v>
      </c>
      <c r="G13" s="7">
        <v>2.8413339999999999E-2</v>
      </c>
      <c r="H13" s="53"/>
    </row>
    <row r="14" spans="1:14" ht="17.100000000000001" customHeight="1" x14ac:dyDescent="0.2">
      <c r="A14" s="3">
        <v>8</v>
      </c>
      <c r="B14" s="4" t="s">
        <v>387</v>
      </c>
      <c r="C14" s="4" t="s">
        <v>388</v>
      </c>
      <c r="D14" s="4" t="s">
        <v>31</v>
      </c>
      <c r="E14" s="5">
        <v>5262</v>
      </c>
      <c r="F14" s="6">
        <v>62.323127999999997</v>
      </c>
      <c r="G14" s="7">
        <v>2.7591339999999999E-2</v>
      </c>
      <c r="H14" s="53"/>
      <c r="J14" s="142" t="s">
        <v>1034</v>
      </c>
    </row>
    <row r="15" spans="1:14" ht="29.1" customHeight="1" x14ac:dyDescent="0.2">
      <c r="A15" s="3">
        <v>9</v>
      </c>
      <c r="B15" s="4" t="s">
        <v>199</v>
      </c>
      <c r="C15" s="4" t="s">
        <v>200</v>
      </c>
      <c r="D15" s="4" t="s">
        <v>201</v>
      </c>
      <c r="E15" s="5">
        <v>1246</v>
      </c>
      <c r="F15" s="6">
        <v>57.376430999999997</v>
      </c>
      <c r="G15" s="7">
        <v>2.5401360000000001E-2</v>
      </c>
      <c r="H15" s="53"/>
    </row>
    <row r="16" spans="1:14" ht="17.100000000000001" customHeight="1" x14ac:dyDescent="0.2">
      <c r="A16" s="3">
        <v>10</v>
      </c>
      <c r="B16" s="4" t="s">
        <v>389</v>
      </c>
      <c r="C16" s="4" t="s">
        <v>390</v>
      </c>
      <c r="D16" s="4" t="s">
        <v>209</v>
      </c>
      <c r="E16" s="5">
        <v>15930</v>
      </c>
      <c r="F16" s="6">
        <v>55.914299999999997</v>
      </c>
      <c r="G16" s="7">
        <v>2.4754060000000001E-2</v>
      </c>
      <c r="H16" s="53"/>
    </row>
    <row r="17" spans="1:8" ht="17.100000000000001" customHeight="1" x14ac:dyDescent="0.2">
      <c r="A17" s="3">
        <v>11</v>
      </c>
      <c r="B17" s="4" t="s">
        <v>393</v>
      </c>
      <c r="C17" s="4" t="s">
        <v>394</v>
      </c>
      <c r="D17" s="4" t="s">
        <v>229</v>
      </c>
      <c r="E17" s="5">
        <v>3795</v>
      </c>
      <c r="F17" s="6">
        <v>54.092032500000002</v>
      </c>
      <c r="G17" s="7">
        <v>2.3947309999999999E-2</v>
      </c>
      <c r="H17" s="53"/>
    </row>
    <row r="18" spans="1:8" ht="17.100000000000001" customHeight="1" x14ac:dyDescent="0.2">
      <c r="A18" s="3">
        <v>12</v>
      </c>
      <c r="B18" s="4" t="s">
        <v>391</v>
      </c>
      <c r="C18" s="4" t="s">
        <v>392</v>
      </c>
      <c r="D18" s="4" t="s">
        <v>130</v>
      </c>
      <c r="E18" s="5">
        <v>6934</v>
      </c>
      <c r="F18" s="6">
        <v>52.098609000000003</v>
      </c>
      <c r="G18" s="7">
        <v>2.30648E-2</v>
      </c>
      <c r="H18" s="53"/>
    </row>
    <row r="19" spans="1:8" ht="29.1" customHeight="1" x14ac:dyDescent="0.2">
      <c r="A19" s="3">
        <v>13</v>
      </c>
      <c r="B19" s="4" t="s">
        <v>402</v>
      </c>
      <c r="C19" s="4" t="s">
        <v>403</v>
      </c>
      <c r="D19" s="4" t="s">
        <v>224</v>
      </c>
      <c r="E19" s="5">
        <v>1815</v>
      </c>
      <c r="F19" s="6">
        <v>50.248275</v>
      </c>
      <c r="G19" s="7">
        <v>2.2245629999999999E-2</v>
      </c>
      <c r="H19" s="53"/>
    </row>
    <row r="20" spans="1:8" ht="17.100000000000001" customHeight="1" x14ac:dyDescent="0.2">
      <c r="A20" s="3">
        <v>14</v>
      </c>
      <c r="B20" s="4" t="s">
        <v>395</v>
      </c>
      <c r="C20" s="4" t="s">
        <v>396</v>
      </c>
      <c r="D20" s="4" t="s">
        <v>397</v>
      </c>
      <c r="E20" s="5">
        <v>2929</v>
      </c>
      <c r="F20" s="6">
        <v>49.448842499999998</v>
      </c>
      <c r="G20" s="7">
        <v>2.1891710000000002E-2</v>
      </c>
      <c r="H20" s="53"/>
    </row>
    <row r="21" spans="1:8" ht="17.100000000000001" customHeight="1" x14ac:dyDescent="0.2">
      <c r="A21" s="3">
        <v>15</v>
      </c>
      <c r="B21" s="4" t="s">
        <v>400</v>
      </c>
      <c r="C21" s="4" t="s">
        <v>401</v>
      </c>
      <c r="D21" s="4" t="s">
        <v>73</v>
      </c>
      <c r="E21" s="5">
        <v>4055</v>
      </c>
      <c r="F21" s="6">
        <v>49.158765000000002</v>
      </c>
      <c r="G21" s="7">
        <v>2.1763290000000001E-2</v>
      </c>
      <c r="H21" s="53"/>
    </row>
    <row r="22" spans="1:8" ht="17.100000000000001" customHeight="1" x14ac:dyDescent="0.2">
      <c r="A22" s="3">
        <v>16</v>
      </c>
      <c r="B22" s="4" t="s">
        <v>404</v>
      </c>
      <c r="C22" s="4" t="s">
        <v>405</v>
      </c>
      <c r="D22" s="4" t="s">
        <v>238</v>
      </c>
      <c r="E22" s="5">
        <v>19328</v>
      </c>
      <c r="F22" s="6">
        <v>48.464959999999998</v>
      </c>
      <c r="G22" s="7">
        <v>2.145613E-2</v>
      </c>
      <c r="H22" s="53"/>
    </row>
    <row r="23" spans="1:8" ht="17.100000000000001" customHeight="1" x14ac:dyDescent="0.2">
      <c r="A23" s="3">
        <v>17</v>
      </c>
      <c r="B23" s="4" t="s">
        <v>398</v>
      </c>
      <c r="C23" s="4" t="s">
        <v>399</v>
      </c>
      <c r="D23" s="4" t="s">
        <v>229</v>
      </c>
      <c r="E23" s="5">
        <v>5099</v>
      </c>
      <c r="F23" s="6">
        <v>47.841367499999997</v>
      </c>
      <c r="G23" s="7">
        <v>2.1180060000000001E-2</v>
      </c>
      <c r="H23" s="53"/>
    </row>
    <row r="24" spans="1:8" ht="17.100000000000001" customHeight="1" x14ac:dyDescent="0.2">
      <c r="A24" s="3">
        <v>18</v>
      </c>
      <c r="B24" s="4" t="s">
        <v>412</v>
      </c>
      <c r="C24" s="4" t="s">
        <v>413</v>
      </c>
      <c r="D24" s="4" t="s">
        <v>130</v>
      </c>
      <c r="E24" s="5">
        <v>3328</v>
      </c>
      <c r="F24" s="6">
        <v>47.109504000000001</v>
      </c>
      <c r="G24" s="7">
        <v>2.0856050000000001E-2</v>
      </c>
      <c r="H24" s="53"/>
    </row>
    <row r="25" spans="1:8" ht="17.100000000000001" customHeight="1" x14ac:dyDescent="0.2">
      <c r="A25" s="3">
        <v>19</v>
      </c>
      <c r="B25" s="4" t="s">
        <v>418</v>
      </c>
      <c r="C25" s="4" t="s">
        <v>419</v>
      </c>
      <c r="D25" s="4" t="s">
        <v>73</v>
      </c>
      <c r="E25" s="5">
        <v>6854</v>
      </c>
      <c r="F25" s="6">
        <v>46.946472999999997</v>
      </c>
      <c r="G25" s="7">
        <v>2.0783869999999999E-2</v>
      </c>
      <c r="H25" s="53"/>
    </row>
    <row r="26" spans="1:8" ht="17.100000000000001" customHeight="1" x14ac:dyDescent="0.2">
      <c r="A26" s="3">
        <v>20</v>
      </c>
      <c r="B26" s="4" t="s">
        <v>98</v>
      </c>
      <c r="C26" s="4" t="s">
        <v>99</v>
      </c>
      <c r="D26" s="4" t="s">
        <v>92</v>
      </c>
      <c r="E26" s="5">
        <v>7883</v>
      </c>
      <c r="F26" s="6">
        <v>46.730423999999999</v>
      </c>
      <c r="G26" s="7">
        <v>2.0688229999999998E-2</v>
      </c>
      <c r="H26" s="53"/>
    </row>
    <row r="27" spans="1:8" ht="17.100000000000001" customHeight="1" x14ac:dyDescent="0.2">
      <c r="A27" s="3">
        <v>21</v>
      </c>
      <c r="B27" s="4" t="s">
        <v>406</v>
      </c>
      <c r="C27" s="4" t="s">
        <v>407</v>
      </c>
      <c r="D27" s="4" t="s">
        <v>130</v>
      </c>
      <c r="E27" s="5">
        <v>38221</v>
      </c>
      <c r="F27" s="6">
        <v>46.534067499999999</v>
      </c>
      <c r="G27" s="7">
        <v>2.0601299999999999E-2</v>
      </c>
      <c r="H27" s="53"/>
    </row>
    <row r="28" spans="1:8" ht="17.100000000000001" customHeight="1" x14ac:dyDescent="0.2">
      <c r="A28" s="3">
        <v>22</v>
      </c>
      <c r="B28" s="4" t="s">
        <v>410</v>
      </c>
      <c r="C28" s="4" t="s">
        <v>411</v>
      </c>
      <c r="D28" s="4" t="s">
        <v>397</v>
      </c>
      <c r="E28" s="5">
        <v>2367</v>
      </c>
      <c r="F28" s="6">
        <v>44.259349499999999</v>
      </c>
      <c r="G28" s="7">
        <v>1.9594250000000001E-2</v>
      </c>
      <c r="H28" s="53"/>
    </row>
    <row r="29" spans="1:8" ht="17.100000000000001" customHeight="1" x14ac:dyDescent="0.2">
      <c r="A29" s="3">
        <v>23</v>
      </c>
      <c r="B29" s="4" t="s">
        <v>42</v>
      </c>
      <c r="C29" s="4" t="s">
        <v>43</v>
      </c>
      <c r="D29" s="4" t="s">
        <v>31</v>
      </c>
      <c r="E29" s="5">
        <v>1906</v>
      </c>
      <c r="F29" s="6">
        <v>43.382466000000001</v>
      </c>
      <c r="G29" s="7">
        <v>1.9206040000000001E-2</v>
      </c>
      <c r="H29" s="53"/>
    </row>
    <row r="30" spans="1:8" ht="29.1" customHeight="1" x14ac:dyDescent="0.2">
      <c r="A30" s="3">
        <v>24</v>
      </c>
      <c r="B30" s="4" t="s">
        <v>420</v>
      </c>
      <c r="C30" s="4" t="s">
        <v>421</v>
      </c>
      <c r="D30" s="4" t="s">
        <v>422</v>
      </c>
      <c r="E30" s="5">
        <v>28099</v>
      </c>
      <c r="F30" s="6">
        <v>43.3708065</v>
      </c>
      <c r="G30" s="7">
        <v>1.9200869999999998E-2</v>
      </c>
      <c r="H30" s="53"/>
    </row>
    <row r="31" spans="1:8" ht="29.1" customHeight="1" x14ac:dyDescent="0.2">
      <c r="A31" s="3">
        <v>25</v>
      </c>
      <c r="B31" s="4" t="s">
        <v>96</v>
      </c>
      <c r="C31" s="4" t="s">
        <v>97</v>
      </c>
      <c r="D31" s="4" t="s">
        <v>38</v>
      </c>
      <c r="E31" s="5">
        <v>1669</v>
      </c>
      <c r="F31" s="6">
        <v>41.099125000000001</v>
      </c>
      <c r="G31" s="7">
        <v>1.819517E-2</v>
      </c>
      <c r="H31" s="53"/>
    </row>
    <row r="32" spans="1:8" ht="17.100000000000001" customHeight="1" x14ac:dyDescent="0.2">
      <c r="A32" s="3">
        <v>26</v>
      </c>
      <c r="B32" s="4" t="s">
        <v>408</v>
      </c>
      <c r="C32" s="4" t="s">
        <v>409</v>
      </c>
      <c r="D32" s="4" t="s">
        <v>13</v>
      </c>
      <c r="E32" s="5">
        <v>40346</v>
      </c>
      <c r="F32" s="6">
        <v>40.971362999999997</v>
      </c>
      <c r="G32" s="7">
        <v>1.8138609999999999E-2</v>
      </c>
      <c r="H32" s="53"/>
    </row>
    <row r="33" spans="1:8" ht="17.100000000000001" customHeight="1" x14ac:dyDescent="0.2">
      <c r="A33" s="3">
        <v>27</v>
      </c>
      <c r="B33" s="4" t="s">
        <v>414</v>
      </c>
      <c r="C33" s="4" t="s">
        <v>415</v>
      </c>
      <c r="D33" s="4" t="s">
        <v>92</v>
      </c>
      <c r="E33" s="5">
        <v>2275</v>
      </c>
      <c r="F33" s="6">
        <v>40.9465875</v>
      </c>
      <c r="G33" s="7">
        <v>1.812764E-2</v>
      </c>
      <c r="H33" s="53"/>
    </row>
    <row r="34" spans="1:8" ht="29.1" customHeight="1" x14ac:dyDescent="0.2">
      <c r="A34" s="3">
        <v>28</v>
      </c>
      <c r="B34" s="4" t="s">
        <v>416</v>
      </c>
      <c r="C34" s="4" t="s">
        <v>417</v>
      </c>
      <c r="D34" s="4" t="s">
        <v>56</v>
      </c>
      <c r="E34" s="5">
        <v>1417</v>
      </c>
      <c r="F34" s="6">
        <v>40.017496999999999</v>
      </c>
      <c r="G34" s="7">
        <v>1.7716320000000001E-2</v>
      </c>
      <c r="H34" s="53"/>
    </row>
    <row r="35" spans="1:8" ht="29.1" customHeight="1" x14ac:dyDescent="0.2">
      <c r="A35" s="3">
        <v>29</v>
      </c>
      <c r="B35" s="4" t="s">
        <v>102</v>
      </c>
      <c r="C35" s="4" t="s">
        <v>103</v>
      </c>
      <c r="D35" s="4" t="s">
        <v>25</v>
      </c>
      <c r="E35" s="5">
        <v>1193</v>
      </c>
      <c r="F35" s="6">
        <v>39.317701</v>
      </c>
      <c r="G35" s="7">
        <v>1.740651E-2</v>
      </c>
      <c r="H35" s="53"/>
    </row>
    <row r="36" spans="1:8" ht="29.1" customHeight="1" x14ac:dyDescent="0.2">
      <c r="A36" s="3">
        <v>30</v>
      </c>
      <c r="B36" s="4" t="s">
        <v>269</v>
      </c>
      <c r="C36" s="4" t="s">
        <v>270</v>
      </c>
      <c r="D36" s="4" t="s">
        <v>224</v>
      </c>
      <c r="E36" s="5">
        <v>9440</v>
      </c>
      <c r="F36" s="6">
        <v>37.722239999999999</v>
      </c>
      <c r="G36" s="7">
        <v>1.670017E-2</v>
      </c>
      <c r="H36" s="53"/>
    </row>
    <row r="37" spans="1:8" ht="17.100000000000001" customHeight="1" x14ac:dyDescent="0.2">
      <c r="A37" s="3">
        <v>31</v>
      </c>
      <c r="B37" s="4" t="s">
        <v>423</v>
      </c>
      <c r="C37" s="4" t="s">
        <v>424</v>
      </c>
      <c r="D37" s="4" t="s">
        <v>906</v>
      </c>
      <c r="E37" s="5">
        <v>3437</v>
      </c>
      <c r="F37" s="6">
        <v>37.059452499999999</v>
      </c>
      <c r="G37" s="7">
        <v>1.6406750000000001E-2</v>
      </c>
      <c r="H37" s="53"/>
    </row>
    <row r="38" spans="1:8" ht="17.100000000000001" customHeight="1" x14ac:dyDescent="0.2">
      <c r="A38" s="3">
        <v>32</v>
      </c>
      <c r="B38" s="4" t="s">
        <v>247</v>
      </c>
      <c r="C38" s="4" t="s">
        <v>248</v>
      </c>
      <c r="D38" s="4" t="s">
        <v>87</v>
      </c>
      <c r="E38" s="5">
        <v>700</v>
      </c>
      <c r="F38" s="6">
        <v>36.268749999999997</v>
      </c>
      <c r="G38" s="7">
        <v>1.6056689999999998E-2</v>
      </c>
      <c r="H38" s="53"/>
    </row>
    <row r="39" spans="1:8" ht="17.100000000000001" customHeight="1" x14ac:dyDescent="0.2">
      <c r="A39" s="3">
        <v>33</v>
      </c>
      <c r="B39" s="4" t="s">
        <v>425</v>
      </c>
      <c r="C39" s="4" t="s">
        <v>426</v>
      </c>
      <c r="D39" s="4" t="s">
        <v>304</v>
      </c>
      <c r="E39" s="5">
        <v>4092</v>
      </c>
      <c r="F39" s="6">
        <v>30.825036000000001</v>
      </c>
      <c r="G39" s="7">
        <v>1.364668E-2</v>
      </c>
      <c r="H39" s="53"/>
    </row>
    <row r="40" spans="1:8" ht="17.100000000000001" customHeight="1" x14ac:dyDescent="0.2">
      <c r="A40" s="3">
        <v>34</v>
      </c>
      <c r="B40" s="4" t="s">
        <v>427</v>
      </c>
      <c r="C40" s="4" t="s">
        <v>428</v>
      </c>
      <c r="D40" s="4" t="s">
        <v>905</v>
      </c>
      <c r="E40" s="5">
        <v>2391</v>
      </c>
      <c r="F40" s="6">
        <v>28.115769</v>
      </c>
      <c r="G40" s="7">
        <v>1.244725E-2</v>
      </c>
      <c r="H40" s="53"/>
    </row>
    <row r="41" spans="1:8" ht="17.100000000000001" customHeight="1" x14ac:dyDescent="0.2">
      <c r="A41" s="3">
        <v>35</v>
      </c>
      <c r="B41" s="4" t="s">
        <v>431</v>
      </c>
      <c r="C41" s="4" t="s">
        <v>432</v>
      </c>
      <c r="D41" s="4" t="s">
        <v>906</v>
      </c>
      <c r="E41" s="5">
        <v>1643</v>
      </c>
      <c r="F41" s="6">
        <v>26.901660499999998</v>
      </c>
      <c r="G41" s="7">
        <v>1.190975E-2</v>
      </c>
      <c r="H41" s="53"/>
    </row>
    <row r="42" spans="1:8" ht="17.100000000000001" customHeight="1" x14ac:dyDescent="0.2">
      <c r="A42" s="3">
        <v>36</v>
      </c>
      <c r="B42" s="4" t="s">
        <v>443</v>
      </c>
      <c r="C42" s="4" t="s">
        <v>444</v>
      </c>
      <c r="D42" s="4" t="s">
        <v>31</v>
      </c>
      <c r="E42" s="5">
        <v>2300</v>
      </c>
      <c r="F42" s="6">
        <v>26.133749999999999</v>
      </c>
      <c r="G42" s="7">
        <v>1.156978E-2</v>
      </c>
      <c r="H42" s="53"/>
    </row>
    <row r="43" spans="1:8" ht="17.100000000000001" customHeight="1" x14ac:dyDescent="0.2">
      <c r="A43" s="3">
        <v>37</v>
      </c>
      <c r="B43" s="4" t="s">
        <v>437</v>
      </c>
      <c r="C43" s="4" t="s">
        <v>438</v>
      </c>
      <c r="D43" s="4" t="s">
        <v>229</v>
      </c>
      <c r="E43" s="5">
        <v>10135</v>
      </c>
      <c r="F43" s="6">
        <v>24.465890000000002</v>
      </c>
      <c r="G43" s="7">
        <v>1.08314E-2</v>
      </c>
      <c r="H43" s="53"/>
    </row>
    <row r="44" spans="1:8" ht="17.100000000000001" customHeight="1" x14ac:dyDescent="0.2">
      <c r="A44" s="3">
        <v>38</v>
      </c>
      <c r="B44" s="4" t="s">
        <v>433</v>
      </c>
      <c r="C44" s="4" t="s">
        <v>434</v>
      </c>
      <c r="D44" s="4" t="s">
        <v>73</v>
      </c>
      <c r="E44" s="5">
        <v>4498</v>
      </c>
      <c r="F44" s="6">
        <v>23.805665000000001</v>
      </c>
      <c r="G44" s="7">
        <v>1.0539110000000001E-2</v>
      </c>
      <c r="H44" s="53"/>
    </row>
    <row r="45" spans="1:8" ht="29.1" customHeight="1" x14ac:dyDescent="0.2">
      <c r="A45" s="3">
        <v>39</v>
      </c>
      <c r="B45" s="4" t="s">
        <v>429</v>
      </c>
      <c r="C45" s="4" t="s">
        <v>430</v>
      </c>
      <c r="D45" s="4" t="s">
        <v>224</v>
      </c>
      <c r="E45" s="5">
        <v>7291</v>
      </c>
      <c r="F45" s="6">
        <v>23.1306975</v>
      </c>
      <c r="G45" s="7">
        <v>1.0240290000000001E-2</v>
      </c>
      <c r="H45" s="53"/>
    </row>
    <row r="46" spans="1:8" ht="29.1" customHeight="1" x14ac:dyDescent="0.2">
      <c r="A46" s="3">
        <v>40</v>
      </c>
      <c r="B46" s="4" t="s">
        <v>449</v>
      </c>
      <c r="C46" s="4" t="s">
        <v>450</v>
      </c>
      <c r="D46" s="4" t="s">
        <v>224</v>
      </c>
      <c r="E46" s="5">
        <v>472</v>
      </c>
      <c r="F46" s="6">
        <v>23.01</v>
      </c>
      <c r="G46" s="7">
        <v>1.0186860000000001E-2</v>
      </c>
      <c r="H46" s="53"/>
    </row>
    <row r="47" spans="1:8" ht="17.100000000000001" customHeight="1" x14ac:dyDescent="0.2">
      <c r="A47" s="3">
        <v>41</v>
      </c>
      <c r="B47" s="4" t="s">
        <v>439</v>
      </c>
      <c r="C47" s="4" t="s">
        <v>440</v>
      </c>
      <c r="D47" s="4" t="s">
        <v>130</v>
      </c>
      <c r="E47" s="5">
        <v>2752</v>
      </c>
      <c r="F47" s="6">
        <v>22.958559999999999</v>
      </c>
      <c r="G47" s="7">
        <v>1.0164080000000001E-2</v>
      </c>
      <c r="H47" s="53"/>
    </row>
    <row r="48" spans="1:8" ht="17.100000000000001" customHeight="1" x14ac:dyDescent="0.2">
      <c r="A48" s="3">
        <v>42</v>
      </c>
      <c r="B48" s="4" t="s">
        <v>441</v>
      </c>
      <c r="C48" s="4" t="s">
        <v>442</v>
      </c>
      <c r="D48" s="4" t="s">
        <v>95</v>
      </c>
      <c r="E48" s="5">
        <v>2336</v>
      </c>
      <c r="F48" s="6">
        <v>21.507552</v>
      </c>
      <c r="G48" s="7">
        <v>9.5216999999999993E-3</v>
      </c>
      <c r="H48" s="53"/>
    </row>
    <row r="49" spans="1:8" ht="17.100000000000001" customHeight="1" x14ac:dyDescent="0.2">
      <c r="A49" s="3">
        <v>43</v>
      </c>
      <c r="B49" s="4" t="s">
        <v>445</v>
      </c>
      <c r="C49" s="4" t="s">
        <v>446</v>
      </c>
      <c r="D49" s="4" t="s">
        <v>59</v>
      </c>
      <c r="E49" s="5">
        <v>2557</v>
      </c>
      <c r="F49" s="6">
        <v>20.730877499999998</v>
      </c>
      <c r="G49" s="7">
        <v>9.1778599999999995E-3</v>
      </c>
      <c r="H49" s="53"/>
    </row>
    <row r="50" spans="1:8" ht="17.100000000000001" customHeight="1" x14ac:dyDescent="0.2">
      <c r="A50" s="3">
        <v>44</v>
      </c>
      <c r="B50" s="4" t="s">
        <v>447</v>
      </c>
      <c r="C50" s="4" t="s">
        <v>448</v>
      </c>
      <c r="D50" s="4" t="s">
        <v>31</v>
      </c>
      <c r="E50" s="5">
        <v>2747</v>
      </c>
      <c r="F50" s="6">
        <v>19.804496499999999</v>
      </c>
      <c r="G50" s="7">
        <v>8.7677299999999996E-3</v>
      </c>
      <c r="H50" s="53"/>
    </row>
    <row r="51" spans="1:8" ht="29.1" customHeight="1" x14ac:dyDescent="0.2">
      <c r="A51" s="3">
        <v>45</v>
      </c>
      <c r="B51" s="4" t="s">
        <v>435</v>
      </c>
      <c r="C51" s="4" t="s">
        <v>436</v>
      </c>
      <c r="D51" s="4" t="s">
        <v>214</v>
      </c>
      <c r="E51" s="5">
        <v>3485</v>
      </c>
      <c r="F51" s="6">
        <v>16.6530725</v>
      </c>
      <c r="G51" s="7">
        <v>7.3725500000000003E-3</v>
      </c>
      <c r="H51" s="53"/>
    </row>
    <row r="52" spans="1:8" ht="17.100000000000001" customHeight="1" x14ac:dyDescent="0.2">
      <c r="A52" s="3">
        <v>46</v>
      </c>
      <c r="B52" s="4" t="s">
        <v>451</v>
      </c>
      <c r="C52" s="4" t="s">
        <v>452</v>
      </c>
      <c r="D52" s="4" t="s">
        <v>92</v>
      </c>
      <c r="E52" s="5">
        <v>14375</v>
      </c>
      <c r="F52" s="6">
        <v>13.260937500000001</v>
      </c>
      <c r="G52" s="7">
        <v>5.8708099999999997E-3</v>
      </c>
      <c r="H52" s="53"/>
    </row>
    <row r="53" spans="1:8" ht="17.100000000000001" customHeight="1" x14ac:dyDescent="0.2">
      <c r="A53" s="3">
        <v>47</v>
      </c>
      <c r="B53" s="4" t="s">
        <v>453</v>
      </c>
      <c r="C53" s="4" t="s">
        <v>454</v>
      </c>
      <c r="D53" s="4" t="s">
        <v>31</v>
      </c>
      <c r="E53" s="5">
        <v>1303</v>
      </c>
      <c r="F53" s="6">
        <v>12.0221295</v>
      </c>
      <c r="G53" s="7">
        <v>5.3223699999999999E-3</v>
      </c>
      <c r="H53" s="53"/>
    </row>
    <row r="54" spans="1:8" ht="29.1" customHeight="1" x14ac:dyDescent="0.2">
      <c r="A54" s="3">
        <v>48</v>
      </c>
      <c r="B54" s="4" t="s">
        <v>376</v>
      </c>
      <c r="C54" s="4" t="s">
        <v>377</v>
      </c>
      <c r="D54" s="4" t="s">
        <v>73</v>
      </c>
      <c r="E54" s="5">
        <v>2931</v>
      </c>
      <c r="F54" s="6">
        <v>8.7944654999999994</v>
      </c>
      <c r="G54" s="7">
        <v>3.8934400000000002E-3</v>
      </c>
      <c r="H54" s="53"/>
    </row>
    <row r="55" spans="1:8" ht="17.100000000000001" customHeight="1" x14ac:dyDescent="0.2">
      <c r="A55" s="3">
        <v>49</v>
      </c>
      <c r="B55" s="4" t="s">
        <v>954</v>
      </c>
      <c r="C55" s="4" t="s">
        <v>299</v>
      </c>
      <c r="D55" s="4" t="s">
        <v>130</v>
      </c>
      <c r="E55" s="5">
        <v>700</v>
      </c>
      <c r="F55" s="6">
        <v>7.1490999999999998</v>
      </c>
      <c r="G55" s="7">
        <v>3.1650099999999998E-3</v>
      </c>
      <c r="H55" s="53"/>
    </row>
    <row r="56" spans="1:8" ht="29.1" customHeight="1" x14ac:dyDescent="0.2">
      <c r="A56" s="3">
        <v>50</v>
      </c>
      <c r="B56" s="4" t="s">
        <v>455</v>
      </c>
      <c r="C56" s="4" t="s">
        <v>456</v>
      </c>
      <c r="D56" s="4" t="s">
        <v>201</v>
      </c>
      <c r="E56" s="5">
        <v>1125</v>
      </c>
      <c r="F56" s="6">
        <v>5.7071249999999996</v>
      </c>
      <c r="G56" s="7">
        <v>2.5266300000000002E-3</v>
      </c>
      <c r="H56" s="53"/>
    </row>
    <row r="57" spans="1:8" ht="17.100000000000001" customHeight="1" x14ac:dyDescent="0.2">
      <c r="A57" s="3">
        <v>51</v>
      </c>
      <c r="B57" s="4" t="s">
        <v>457</v>
      </c>
      <c r="C57" s="4" t="s">
        <v>458</v>
      </c>
      <c r="D57" s="4" t="s">
        <v>28</v>
      </c>
      <c r="E57" s="5">
        <v>1611</v>
      </c>
      <c r="F57" s="6">
        <v>5.3211329999999997</v>
      </c>
      <c r="G57" s="7">
        <v>2.3557399999999998E-3</v>
      </c>
      <c r="H57" s="53"/>
    </row>
    <row r="58" spans="1:8" ht="14.1" customHeight="1" x14ac:dyDescent="0.2">
      <c r="A58" s="1"/>
      <c r="B58" s="1"/>
      <c r="C58" s="2" t="s">
        <v>144</v>
      </c>
      <c r="D58" s="1"/>
      <c r="E58" s="1" t="s">
        <v>145</v>
      </c>
      <c r="F58" s="9">
        <v>2152.1591149999999</v>
      </c>
      <c r="G58" s="10">
        <v>0.95279157999999997</v>
      </c>
      <c r="H58" s="53"/>
    </row>
    <row r="59" spans="1:8" ht="14.1" customHeight="1" x14ac:dyDescent="0.2">
      <c r="A59" s="1"/>
      <c r="B59" s="1"/>
      <c r="C59" s="11"/>
      <c r="D59" s="1"/>
      <c r="E59" s="1"/>
      <c r="F59" s="12"/>
      <c r="G59" s="12"/>
      <c r="H59" s="53"/>
    </row>
    <row r="60" spans="1:8" ht="14.1" customHeight="1" x14ac:dyDescent="0.2">
      <c r="A60" s="1"/>
      <c r="B60" s="1"/>
      <c r="C60" s="2" t="s">
        <v>146</v>
      </c>
      <c r="D60" s="1"/>
      <c r="E60" s="1"/>
      <c r="F60" s="1"/>
      <c r="G60" s="1"/>
      <c r="H60" s="53"/>
    </row>
    <row r="61" spans="1:8" ht="14.1" customHeight="1" x14ac:dyDescent="0.2">
      <c r="A61" s="1"/>
      <c r="B61" s="1"/>
      <c r="C61" s="2" t="s">
        <v>144</v>
      </c>
      <c r="D61" s="1"/>
      <c r="E61" s="1" t="s">
        <v>145</v>
      </c>
      <c r="F61" s="13" t="s">
        <v>147</v>
      </c>
      <c r="G61" s="10">
        <v>0</v>
      </c>
      <c r="H61" s="53"/>
    </row>
    <row r="62" spans="1:8" ht="14.1" customHeight="1" x14ac:dyDescent="0.2">
      <c r="A62" s="1"/>
      <c r="B62" s="1"/>
      <c r="C62" s="11"/>
      <c r="D62" s="1"/>
      <c r="E62" s="1"/>
      <c r="F62" s="12"/>
      <c r="G62" s="12"/>
      <c r="H62" s="53"/>
    </row>
    <row r="63" spans="1:8" ht="14.1" customHeight="1" x14ac:dyDescent="0.2">
      <c r="A63" s="1"/>
      <c r="B63" s="1"/>
      <c r="C63" s="2" t="s">
        <v>148</v>
      </c>
      <c r="D63" s="1"/>
      <c r="E63" s="1"/>
      <c r="F63" s="1"/>
      <c r="G63" s="1"/>
      <c r="H63" s="53"/>
    </row>
    <row r="64" spans="1:8" ht="14.1" customHeight="1" x14ac:dyDescent="0.2">
      <c r="A64" s="1"/>
      <c r="B64" s="1"/>
      <c r="C64" s="2" t="s">
        <v>144</v>
      </c>
      <c r="D64" s="1"/>
      <c r="E64" s="1" t="s">
        <v>145</v>
      </c>
      <c r="F64" s="13" t="s">
        <v>147</v>
      </c>
      <c r="G64" s="10">
        <v>0</v>
      </c>
      <c r="H64" s="53"/>
    </row>
    <row r="65" spans="1:8" ht="14.1" customHeight="1" x14ac:dyDescent="0.2">
      <c r="A65" s="1"/>
      <c r="B65" s="1"/>
      <c r="C65" s="11"/>
      <c r="D65" s="1"/>
      <c r="E65" s="1"/>
      <c r="F65" s="12"/>
      <c r="G65" s="12"/>
      <c r="H65" s="53"/>
    </row>
    <row r="66" spans="1:8" ht="14.1" customHeight="1" x14ac:dyDescent="0.2">
      <c r="A66" s="1"/>
      <c r="B66" s="1"/>
      <c r="C66" s="2" t="s">
        <v>149</v>
      </c>
      <c r="D66" s="1"/>
      <c r="E66" s="1"/>
      <c r="F66" s="1"/>
      <c r="G66" s="1"/>
      <c r="H66" s="53"/>
    </row>
    <row r="67" spans="1:8" ht="29.1" customHeight="1" x14ac:dyDescent="0.2">
      <c r="A67" s="3">
        <v>1</v>
      </c>
      <c r="B67" s="4" t="s">
        <v>307</v>
      </c>
      <c r="C67" s="4" t="s">
        <v>964</v>
      </c>
      <c r="D67" s="4" t="s">
        <v>87</v>
      </c>
      <c r="E67" s="5">
        <v>81200</v>
      </c>
      <c r="F67" s="6">
        <v>8.3635999999999999</v>
      </c>
      <c r="G67" s="7">
        <v>3.7026899999999998E-3</v>
      </c>
      <c r="H67" s="53"/>
    </row>
    <row r="68" spans="1:8" ht="29.1" customHeight="1" x14ac:dyDescent="0.2">
      <c r="A68" s="3">
        <v>2</v>
      </c>
      <c r="B68" s="4" t="s">
        <v>955</v>
      </c>
      <c r="C68" s="4" t="s">
        <v>1165</v>
      </c>
      <c r="D68" s="4" t="s">
        <v>130</v>
      </c>
      <c r="E68" s="5">
        <v>81</v>
      </c>
      <c r="F68" s="6">
        <v>8.1000810000000003E-3</v>
      </c>
      <c r="G68" s="7" t="s">
        <v>143</v>
      </c>
      <c r="H68" s="53"/>
    </row>
    <row r="69" spans="1:8" ht="14.1" customHeight="1" x14ac:dyDescent="0.2">
      <c r="A69" s="1"/>
      <c r="B69" s="1"/>
      <c r="C69" s="2" t="s">
        <v>144</v>
      </c>
      <c r="D69" s="1"/>
      <c r="E69" s="1" t="s">
        <v>145</v>
      </c>
      <c r="F69" s="9">
        <v>8.3717000810000002</v>
      </c>
      <c r="G69" s="10">
        <v>3.7062800000000002E-3</v>
      </c>
      <c r="H69" s="53"/>
    </row>
    <row r="70" spans="1:8" ht="14.1" customHeight="1" x14ac:dyDescent="0.2">
      <c r="A70" s="1"/>
      <c r="B70" s="1"/>
      <c r="C70" s="11"/>
      <c r="D70" s="1"/>
      <c r="E70" s="1"/>
      <c r="F70" s="12"/>
      <c r="G70" s="12"/>
      <c r="H70" s="53"/>
    </row>
    <row r="71" spans="1:8" ht="14.1" customHeight="1" x14ac:dyDescent="0.2">
      <c r="A71" s="1"/>
      <c r="B71" s="1"/>
      <c r="C71" s="2" t="s">
        <v>150</v>
      </c>
      <c r="D71" s="1"/>
      <c r="E71" s="1"/>
      <c r="F71" s="12"/>
      <c r="G71" s="12"/>
      <c r="H71" s="53"/>
    </row>
    <row r="72" spans="1:8" ht="14.1" customHeight="1" x14ac:dyDescent="0.2">
      <c r="A72" s="1"/>
      <c r="B72" s="1"/>
      <c r="C72" s="2" t="s">
        <v>144</v>
      </c>
      <c r="D72" s="1"/>
      <c r="E72" s="1" t="s">
        <v>145</v>
      </c>
      <c r="F72" s="13" t="s">
        <v>147</v>
      </c>
      <c r="G72" s="10">
        <v>0</v>
      </c>
      <c r="H72" s="53"/>
    </row>
    <row r="73" spans="1:8" ht="14.1" customHeight="1" x14ac:dyDescent="0.2">
      <c r="A73" s="1"/>
      <c r="B73" s="1"/>
      <c r="C73" s="11"/>
      <c r="D73" s="1"/>
      <c r="E73" s="1"/>
      <c r="F73" s="12"/>
      <c r="G73" s="12"/>
      <c r="H73" s="53"/>
    </row>
    <row r="74" spans="1:8" ht="14.1" customHeight="1" x14ac:dyDescent="0.2">
      <c r="A74" s="1"/>
      <c r="B74" s="1"/>
      <c r="C74" s="2" t="s">
        <v>151</v>
      </c>
      <c r="D74" s="1"/>
      <c r="E74" s="1"/>
      <c r="F74" s="12"/>
      <c r="G74" s="12"/>
      <c r="H74" s="53"/>
    </row>
    <row r="75" spans="1:8" ht="14.1" customHeight="1" x14ac:dyDescent="0.2">
      <c r="A75" s="1"/>
      <c r="B75" s="1"/>
      <c r="C75" s="2" t="s">
        <v>144</v>
      </c>
      <c r="D75" s="1"/>
      <c r="E75" s="1" t="s">
        <v>145</v>
      </c>
      <c r="F75" s="13" t="s">
        <v>147</v>
      </c>
      <c r="G75" s="10">
        <v>0</v>
      </c>
      <c r="H75" s="53"/>
    </row>
    <row r="76" spans="1:8" ht="14.1" customHeight="1" x14ac:dyDescent="0.2">
      <c r="A76" s="1"/>
      <c r="B76" s="1"/>
      <c r="C76" s="11"/>
      <c r="D76" s="1"/>
      <c r="E76" s="1"/>
      <c r="F76" s="12"/>
      <c r="G76" s="12"/>
      <c r="H76" s="53"/>
    </row>
    <row r="77" spans="1:8" ht="18" customHeight="1" x14ac:dyDescent="0.2">
      <c r="A77" s="1"/>
      <c r="B77" s="1"/>
      <c r="C77" s="2" t="s">
        <v>152</v>
      </c>
      <c r="D77" s="1"/>
      <c r="E77" s="1"/>
      <c r="F77" s="9">
        <v>2160.5308150810001</v>
      </c>
      <c r="G77" s="10">
        <v>0.95649786000000003</v>
      </c>
      <c r="H77" s="53"/>
    </row>
    <row r="78" spans="1:8" ht="14.1" customHeight="1" x14ac:dyDescent="0.2">
      <c r="A78" s="1"/>
      <c r="B78" s="1"/>
      <c r="C78" s="11"/>
      <c r="D78" s="1"/>
      <c r="E78" s="1"/>
      <c r="F78" s="12"/>
      <c r="G78" s="12"/>
      <c r="H78" s="53"/>
    </row>
    <row r="79" spans="1:8" ht="14.1" customHeight="1" x14ac:dyDescent="0.2">
      <c r="A79" s="1"/>
      <c r="B79" s="1"/>
      <c r="C79" s="2" t="s">
        <v>153</v>
      </c>
      <c r="D79" s="1"/>
      <c r="E79" s="1"/>
      <c r="F79" s="12"/>
      <c r="G79" s="12"/>
      <c r="H79" s="53"/>
    </row>
    <row r="80" spans="1:8" ht="24" customHeight="1" x14ac:dyDescent="0.2">
      <c r="A80" s="1"/>
      <c r="B80" s="1"/>
      <c r="C80" s="2" t="s">
        <v>10</v>
      </c>
      <c r="D80" s="1"/>
      <c r="E80" s="1"/>
      <c r="F80" s="12"/>
      <c r="G80" s="12"/>
      <c r="H80" s="53"/>
    </row>
    <row r="81" spans="1:8" ht="14.1" customHeight="1" x14ac:dyDescent="0.2">
      <c r="A81" s="1"/>
      <c r="B81" s="1"/>
      <c r="C81" s="2" t="s">
        <v>144</v>
      </c>
      <c r="D81" s="1"/>
      <c r="E81" s="1" t="s">
        <v>145</v>
      </c>
      <c r="F81" s="13" t="s">
        <v>147</v>
      </c>
      <c r="G81" s="10">
        <v>0</v>
      </c>
      <c r="H81" s="53"/>
    </row>
    <row r="82" spans="1:8" ht="14.1" customHeight="1" x14ac:dyDescent="0.2">
      <c r="A82" s="1"/>
      <c r="B82" s="1"/>
      <c r="C82" s="11"/>
      <c r="D82" s="1"/>
      <c r="E82" s="1"/>
      <c r="F82" s="12"/>
      <c r="G82" s="12"/>
      <c r="H82" s="53"/>
    </row>
    <row r="83" spans="1:8" ht="14.1" customHeight="1" x14ac:dyDescent="0.2">
      <c r="A83" s="1"/>
      <c r="B83" s="1"/>
      <c r="C83" s="2" t="s">
        <v>154</v>
      </c>
      <c r="D83" s="1"/>
      <c r="E83" s="1"/>
      <c r="F83" s="1"/>
      <c r="G83" s="1"/>
      <c r="H83" s="53"/>
    </row>
    <row r="84" spans="1:8" ht="14.1" customHeight="1" x14ac:dyDescent="0.2">
      <c r="A84" s="1"/>
      <c r="B84" s="1"/>
      <c r="C84" s="2" t="s">
        <v>144</v>
      </c>
      <c r="D84" s="1"/>
      <c r="E84" s="1" t="s">
        <v>145</v>
      </c>
      <c r="F84" s="13" t="s">
        <v>147</v>
      </c>
      <c r="G84" s="10">
        <v>0</v>
      </c>
      <c r="H84" s="53"/>
    </row>
    <row r="85" spans="1:8" ht="14.1" customHeight="1" x14ac:dyDescent="0.2">
      <c r="A85" s="1"/>
      <c r="B85" s="1"/>
      <c r="C85" s="11"/>
      <c r="D85" s="1"/>
      <c r="E85" s="1"/>
      <c r="F85" s="12"/>
      <c r="G85" s="12"/>
      <c r="H85" s="53"/>
    </row>
    <row r="86" spans="1:8" ht="14.1" customHeight="1" x14ac:dyDescent="0.2">
      <c r="A86" s="1"/>
      <c r="B86" s="1"/>
      <c r="C86" s="2" t="s">
        <v>155</v>
      </c>
      <c r="D86" s="1"/>
      <c r="E86" s="1"/>
      <c r="F86" s="1"/>
      <c r="G86" s="1"/>
      <c r="H86" s="53"/>
    </row>
    <row r="87" spans="1:8" ht="14.1" customHeight="1" x14ac:dyDescent="0.2">
      <c r="A87" s="1"/>
      <c r="B87" s="1"/>
      <c r="C87" s="2" t="s">
        <v>144</v>
      </c>
      <c r="D87" s="1"/>
      <c r="E87" s="1" t="s">
        <v>145</v>
      </c>
      <c r="F87" s="13" t="s">
        <v>147</v>
      </c>
      <c r="G87" s="10">
        <v>0</v>
      </c>
      <c r="H87" s="53"/>
    </row>
    <row r="88" spans="1:8" ht="14.1" customHeight="1" x14ac:dyDescent="0.2">
      <c r="A88" s="1"/>
      <c r="B88" s="1"/>
      <c r="C88" s="11"/>
      <c r="D88" s="1"/>
      <c r="E88" s="1"/>
      <c r="F88" s="12"/>
      <c r="G88" s="12"/>
      <c r="H88" s="53"/>
    </row>
    <row r="89" spans="1:8" ht="14.1" customHeight="1" x14ac:dyDescent="0.2">
      <c r="A89" s="1"/>
      <c r="B89" s="1"/>
      <c r="C89" s="2" t="s">
        <v>156</v>
      </c>
      <c r="D89" s="1"/>
      <c r="E89" s="1"/>
      <c r="F89" s="12"/>
      <c r="G89" s="12"/>
      <c r="H89" s="53"/>
    </row>
    <row r="90" spans="1:8" ht="14.1" customHeight="1" x14ac:dyDescent="0.2">
      <c r="A90" s="1"/>
      <c r="B90" s="1"/>
      <c r="C90" s="2" t="s">
        <v>144</v>
      </c>
      <c r="D90" s="1"/>
      <c r="E90" s="1" t="s">
        <v>145</v>
      </c>
      <c r="F90" s="13" t="s">
        <v>147</v>
      </c>
      <c r="G90" s="10">
        <v>0</v>
      </c>
      <c r="H90" s="53"/>
    </row>
    <row r="91" spans="1:8" ht="14.1" customHeight="1" x14ac:dyDescent="0.2">
      <c r="A91" s="1"/>
      <c r="B91" s="1"/>
      <c r="C91" s="11"/>
      <c r="D91" s="1"/>
      <c r="E91" s="1"/>
      <c r="F91" s="12"/>
      <c r="G91" s="12"/>
      <c r="H91" s="53"/>
    </row>
    <row r="92" spans="1:8" ht="14.1" customHeight="1" x14ac:dyDescent="0.2">
      <c r="A92" s="1"/>
      <c r="B92" s="1"/>
      <c r="C92" s="2" t="s">
        <v>157</v>
      </c>
      <c r="D92" s="1"/>
      <c r="E92" s="1"/>
      <c r="F92" s="9">
        <v>0</v>
      </c>
      <c r="G92" s="10">
        <v>0</v>
      </c>
      <c r="H92" s="53"/>
    </row>
    <row r="93" spans="1:8" ht="14.1" customHeight="1" x14ac:dyDescent="0.2">
      <c r="A93" s="1"/>
      <c r="B93" s="1"/>
      <c r="C93" s="11"/>
      <c r="D93" s="1"/>
      <c r="E93" s="1"/>
      <c r="F93" s="12"/>
      <c r="G93" s="12"/>
      <c r="H93" s="53"/>
    </row>
    <row r="94" spans="1:8" ht="14.1" customHeight="1" x14ac:dyDescent="0.2">
      <c r="A94" s="1"/>
      <c r="B94" s="1"/>
      <c r="C94" s="2" t="s">
        <v>158</v>
      </c>
      <c r="D94" s="1"/>
      <c r="E94" s="1"/>
      <c r="F94" s="12"/>
      <c r="G94" s="12"/>
      <c r="H94" s="53"/>
    </row>
    <row r="95" spans="1:8" ht="14.1" customHeight="1" x14ac:dyDescent="0.2">
      <c r="A95" s="1"/>
      <c r="B95" s="1"/>
      <c r="C95" s="2" t="s">
        <v>159</v>
      </c>
      <c r="D95" s="1"/>
      <c r="E95" s="1"/>
      <c r="F95" s="12"/>
      <c r="G95" s="12"/>
      <c r="H95" s="53"/>
    </row>
    <row r="96" spans="1:8" ht="14.1" customHeight="1" x14ac:dyDescent="0.2">
      <c r="A96" s="1"/>
      <c r="B96" s="1"/>
      <c r="C96" s="2" t="s">
        <v>144</v>
      </c>
      <c r="D96" s="1"/>
      <c r="E96" s="1" t="s">
        <v>145</v>
      </c>
      <c r="F96" s="13" t="s">
        <v>147</v>
      </c>
      <c r="G96" s="10">
        <v>0</v>
      </c>
      <c r="H96" s="53"/>
    </row>
    <row r="97" spans="1:8" ht="14.1" customHeight="1" x14ac:dyDescent="0.2">
      <c r="A97" s="1"/>
      <c r="B97" s="1"/>
      <c r="C97" s="11"/>
      <c r="D97" s="1"/>
      <c r="E97" s="1"/>
      <c r="F97" s="12"/>
      <c r="G97" s="12"/>
      <c r="H97" s="53"/>
    </row>
    <row r="98" spans="1:8" ht="14.1" customHeight="1" x14ac:dyDescent="0.2">
      <c r="A98" s="1"/>
      <c r="B98" s="1"/>
      <c r="C98" s="2" t="s">
        <v>160</v>
      </c>
      <c r="D98" s="1"/>
      <c r="E98" s="1"/>
      <c r="F98" s="12"/>
      <c r="G98" s="12"/>
      <c r="H98" s="53"/>
    </row>
    <row r="99" spans="1:8" ht="14.1" customHeight="1" x14ac:dyDescent="0.2">
      <c r="A99" s="1"/>
      <c r="B99" s="1"/>
      <c r="C99" s="2" t="s">
        <v>144</v>
      </c>
      <c r="D99" s="1"/>
      <c r="E99" s="1" t="s">
        <v>145</v>
      </c>
      <c r="F99" s="13" t="s">
        <v>147</v>
      </c>
      <c r="G99" s="10">
        <v>0</v>
      </c>
      <c r="H99" s="53"/>
    </row>
    <row r="100" spans="1:8" ht="14.1" customHeight="1" x14ac:dyDescent="0.2">
      <c r="A100" s="1"/>
      <c r="B100" s="1"/>
      <c r="C100" s="11"/>
      <c r="D100" s="1"/>
      <c r="E100" s="1"/>
      <c r="F100" s="12"/>
      <c r="G100" s="12"/>
      <c r="H100" s="53"/>
    </row>
    <row r="101" spans="1:8" ht="14.1" customHeight="1" x14ac:dyDescent="0.2">
      <c r="A101" s="1"/>
      <c r="B101" s="1"/>
      <c r="C101" s="2" t="s">
        <v>161</v>
      </c>
      <c r="D101" s="1"/>
      <c r="E101" s="1"/>
      <c r="F101" s="12"/>
      <c r="G101" s="12"/>
      <c r="H101" s="53"/>
    </row>
    <row r="102" spans="1:8" ht="14.1" customHeight="1" x14ac:dyDescent="0.2">
      <c r="A102" s="1"/>
      <c r="B102" s="1"/>
      <c r="C102" s="2" t="s">
        <v>144</v>
      </c>
      <c r="D102" s="1"/>
      <c r="E102" s="1" t="s">
        <v>145</v>
      </c>
      <c r="F102" s="13" t="s">
        <v>147</v>
      </c>
      <c r="G102" s="10">
        <v>0</v>
      </c>
      <c r="H102" s="53"/>
    </row>
    <row r="103" spans="1:8" ht="14.1" customHeight="1" x14ac:dyDescent="0.2">
      <c r="A103" s="1"/>
      <c r="B103" s="1"/>
      <c r="C103" s="11"/>
      <c r="D103" s="1"/>
      <c r="E103" s="1"/>
      <c r="F103" s="12"/>
      <c r="G103" s="12"/>
      <c r="H103" s="53"/>
    </row>
    <row r="104" spans="1:8" ht="14.1" customHeight="1" x14ac:dyDescent="0.2">
      <c r="A104" s="1"/>
      <c r="B104" s="1"/>
      <c r="C104" s="2" t="s">
        <v>162</v>
      </c>
      <c r="D104" s="1"/>
      <c r="E104" s="1"/>
      <c r="F104" s="12"/>
      <c r="G104" s="12"/>
      <c r="H104" s="53"/>
    </row>
    <row r="105" spans="1:8" ht="17.100000000000001" customHeight="1" x14ac:dyDescent="0.2">
      <c r="A105" s="3">
        <v>1</v>
      </c>
      <c r="B105" s="4"/>
      <c r="C105" s="4" t="s">
        <v>163</v>
      </c>
      <c r="D105" s="4"/>
      <c r="E105" s="8"/>
      <c r="F105" s="6">
        <v>54.094206</v>
      </c>
      <c r="G105" s="7">
        <v>2.3948279999999999E-2</v>
      </c>
      <c r="H105" s="51">
        <v>6.6602331647804478</v>
      </c>
    </row>
    <row r="106" spans="1:8" ht="17.100000000000001" customHeight="1" x14ac:dyDescent="0.2">
      <c r="A106" s="3">
        <v>2</v>
      </c>
      <c r="B106" s="4"/>
      <c r="C106" s="4" t="s">
        <v>164</v>
      </c>
      <c r="D106" s="4"/>
      <c r="E106" s="8"/>
      <c r="F106" s="6">
        <v>41.356543299999998</v>
      </c>
      <c r="G106" s="7">
        <v>1.830913E-2</v>
      </c>
      <c r="H106" s="51">
        <v>6.6588225936582406</v>
      </c>
    </row>
    <row r="107" spans="1:8" ht="14.1" customHeight="1" x14ac:dyDescent="0.2">
      <c r="A107" s="1"/>
      <c r="B107" s="1"/>
      <c r="C107" s="2" t="s">
        <v>144</v>
      </c>
      <c r="D107" s="1"/>
      <c r="E107" s="1" t="s">
        <v>145</v>
      </c>
      <c r="F107" s="9">
        <v>95.450749299999998</v>
      </c>
      <c r="G107" s="10">
        <v>4.2257410000000002E-2</v>
      </c>
      <c r="H107" s="53"/>
    </row>
    <row r="108" spans="1:8" ht="14.1" customHeight="1" x14ac:dyDescent="0.2">
      <c r="A108" s="1"/>
      <c r="B108" s="1"/>
      <c r="C108" s="11"/>
      <c r="D108" s="1"/>
      <c r="E108" s="1"/>
      <c r="F108" s="12"/>
      <c r="G108" s="12"/>
      <c r="H108" s="53"/>
    </row>
    <row r="109" spans="1:8" ht="14.1" customHeight="1" x14ac:dyDescent="0.2">
      <c r="A109" s="1"/>
      <c r="B109" s="1"/>
      <c r="C109" s="2" t="s">
        <v>165</v>
      </c>
      <c r="D109" s="1"/>
      <c r="E109" s="1"/>
      <c r="F109" s="9">
        <v>95.450749299999998</v>
      </c>
      <c r="G109" s="10">
        <v>4.2257410000000002E-2</v>
      </c>
      <c r="H109" s="53"/>
    </row>
    <row r="110" spans="1:8" ht="14.1" customHeight="1" x14ac:dyDescent="0.2">
      <c r="A110" s="1"/>
      <c r="B110" s="1"/>
      <c r="C110" s="12"/>
      <c r="D110" s="1"/>
      <c r="E110" s="1"/>
      <c r="F110" s="1"/>
      <c r="G110" s="1"/>
      <c r="H110" s="53"/>
    </row>
    <row r="111" spans="1:8" ht="14.1" customHeight="1" x14ac:dyDescent="0.2">
      <c r="A111" s="1"/>
      <c r="B111" s="1"/>
      <c r="C111" s="2" t="s">
        <v>166</v>
      </c>
      <c r="D111" s="1"/>
      <c r="E111" s="1"/>
      <c r="F111" s="1"/>
      <c r="G111" s="1"/>
      <c r="H111" s="53"/>
    </row>
    <row r="112" spans="1:8" ht="14.1" customHeight="1" x14ac:dyDescent="0.2">
      <c r="A112" s="1"/>
      <c r="B112" s="1"/>
      <c r="C112" s="2" t="s">
        <v>167</v>
      </c>
      <c r="D112" s="1"/>
      <c r="E112" s="1"/>
      <c r="F112" s="1"/>
      <c r="G112" s="1"/>
      <c r="H112" s="53"/>
    </row>
    <row r="113" spans="1:8" ht="14.1" customHeight="1" x14ac:dyDescent="0.2">
      <c r="A113" s="1"/>
      <c r="B113" s="1"/>
      <c r="C113" s="2" t="s">
        <v>144</v>
      </c>
      <c r="D113" s="1"/>
      <c r="E113" s="1" t="s">
        <v>145</v>
      </c>
      <c r="F113" s="13" t="s">
        <v>147</v>
      </c>
      <c r="G113" s="10">
        <v>0</v>
      </c>
      <c r="H113" s="53"/>
    </row>
    <row r="114" spans="1:8" ht="14.1" customHeight="1" x14ac:dyDescent="0.2">
      <c r="A114" s="1"/>
      <c r="B114" s="1"/>
      <c r="C114" s="11"/>
      <c r="D114" s="1"/>
      <c r="E114" s="1"/>
      <c r="F114" s="12"/>
      <c r="G114" s="12"/>
      <c r="H114" s="53"/>
    </row>
    <row r="115" spans="1:8" ht="14.1" customHeight="1" x14ac:dyDescent="0.2">
      <c r="A115" s="1"/>
      <c r="B115" s="1"/>
      <c r="C115" s="2" t="s">
        <v>168</v>
      </c>
      <c r="D115" s="1"/>
      <c r="E115" s="1"/>
      <c r="F115" s="1"/>
      <c r="G115" s="1"/>
      <c r="H115" s="53"/>
    </row>
    <row r="116" spans="1:8" ht="14.1" customHeight="1" x14ac:dyDescent="0.2">
      <c r="A116" s="1"/>
      <c r="B116" s="1"/>
      <c r="C116" s="2" t="s">
        <v>169</v>
      </c>
      <c r="D116" s="1"/>
      <c r="E116" s="1"/>
      <c r="F116" s="1"/>
      <c r="G116" s="1"/>
      <c r="H116" s="53"/>
    </row>
    <row r="117" spans="1:8" ht="14.1" customHeight="1" x14ac:dyDescent="0.2">
      <c r="A117" s="1"/>
      <c r="B117" s="1"/>
      <c r="C117" s="2" t="s">
        <v>144</v>
      </c>
      <c r="D117" s="1"/>
      <c r="E117" s="1" t="s">
        <v>145</v>
      </c>
      <c r="F117" s="13" t="s">
        <v>147</v>
      </c>
      <c r="G117" s="10">
        <v>0</v>
      </c>
      <c r="H117" s="53"/>
    </row>
    <row r="118" spans="1:8" ht="14.1" customHeight="1" x14ac:dyDescent="0.2">
      <c r="A118" s="1"/>
      <c r="B118" s="1"/>
      <c r="C118" s="11"/>
      <c r="D118" s="1"/>
      <c r="E118" s="1"/>
      <c r="F118" s="12"/>
      <c r="G118" s="12"/>
      <c r="H118" s="53"/>
    </row>
    <row r="119" spans="1:8" ht="24" customHeight="1" x14ac:dyDescent="0.2">
      <c r="A119" s="1"/>
      <c r="B119" s="1"/>
      <c r="C119" s="2" t="s">
        <v>170</v>
      </c>
      <c r="D119" s="1"/>
      <c r="E119" s="1"/>
      <c r="F119" s="12"/>
      <c r="G119" s="12"/>
      <c r="H119" s="53"/>
    </row>
    <row r="120" spans="1:8" ht="14.1" customHeight="1" x14ac:dyDescent="0.2">
      <c r="A120" s="1"/>
      <c r="B120" s="1"/>
      <c r="C120" s="2" t="s">
        <v>144</v>
      </c>
      <c r="D120" s="1"/>
      <c r="E120" s="1" t="s">
        <v>145</v>
      </c>
      <c r="F120" s="13" t="s">
        <v>147</v>
      </c>
      <c r="G120" s="10">
        <v>0</v>
      </c>
      <c r="H120" s="53"/>
    </row>
    <row r="121" spans="1:8" ht="14.1" customHeight="1" x14ac:dyDescent="0.2">
      <c r="A121" s="1"/>
      <c r="B121" s="1"/>
      <c r="C121" s="11"/>
      <c r="D121" s="1"/>
      <c r="E121" s="1"/>
      <c r="F121" s="12"/>
      <c r="G121" s="12"/>
      <c r="H121" s="53"/>
    </row>
    <row r="122" spans="1:8" ht="14.1" customHeight="1" x14ac:dyDescent="0.2">
      <c r="A122" s="1"/>
      <c r="B122" s="4"/>
      <c r="C122" s="4"/>
      <c r="D122" s="2"/>
      <c r="E122" s="1"/>
      <c r="F122" s="4"/>
      <c r="G122" s="8"/>
      <c r="H122" s="53"/>
    </row>
    <row r="123" spans="1:8" ht="18" customHeight="1" x14ac:dyDescent="0.2">
      <c r="A123" s="8"/>
      <c r="B123" s="4"/>
      <c r="C123" s="4" t="s">
        <v>171</v>
      </c>
      <c r="D123" s="4"/>
      <c r="E123" s="8"/>
      <c r="F123" s="6">
        <v>2.8117804099999999</v>
      </c>
      <c r="G123" s="7">
        <v>1.24482E-3</v>
      </c>
      <c r="H123" s="53"/>
    </row>
    <row r="124" spans="1:8" ht="14.1" customHeight="1" x14ac:dyDescent="0.2">
      <c r="A124" s="11"/>
      <c r="B124" s="11"/>
      <c r="C124" s="2" t="s">
        <v>172</v>
      </c>
      <c r="D124" s="12"/>
      <c r="E124" s="12"/>
      <c r="F124" s="9">
        <v>2258.793344791</v>
      </c>
      <c r="G124" s="14">
        <v>1.0000000899999999</v>
      </c>
      <c r="H124" s="53"/>
    </row>
    <row r="125" spans="1:8" ht="14.1" customHeight="1" x14ac:dyDescent="0.2">
      <c r="A125" s="15"/>
      <c r="B125" s="15"/>
      <c r="C125" s="15"/>
      <c r="D125" s="16"/>
      <c r="E125" s="16"/>
      <c r="F125" s="16"/>
      <c r="G125" s="16"/>
    </row>
    <row r="126" spans="1:8" ht="14.1" customHeight="1" x14ac:dyDescent="0.2">
      <c r="A126" s="17"/>
      <c r="B126" s="239" t="s">
        <v>907</v>
      </c>
      <c r="C126" s="239"/>
      <c r="D126" s="239"/>
      <c r="E126" s="239"/>
      <c r="F126" s="239"/>
      <c r="G126" s="19"/>
    </row>
    <row r="127" spans="1:8" ht="17.100000000000001" customHeight="1" x14ac:dyDescent="0.2">
      <c r="A127" s="17"/>
      <c r="B127" s="230" t="s">
        <v>173</v>
      </c>
      <c r="C127" s="230"/>
      <c r="D127" s="230"/>
      <c r="E127" s="230"/>
      <c r="F127" s="230"/>
      <c r="G127" s="19"/>
    </row>
    <row r="128" spans="1:8" ht="14.1" customHeight="1" x14ac:dyDescent="0.2">
      <c r="A128" s="17"/>
      <c r="B128" s="17"/>
      <c r="C128" s="17"/>
      <c r="D128" s="19"/>
      <c r="E128" s="19"/>
      <c r="F128" s="19"/>
      <c r="G128" s="19"/>
    </row>
    <row r="129" spans="1:7" ht="14.1" customHeight="1" x14ac:dyDescent="0.2">
      <c r="A129" s="17"/>
      <c r="B129" s="231" t="s">
        <v>174</v>
      </c>
      <c r="C129" s="232"/>
      <c r="D129" s="233"/>
      <c r="E129" s="20"/>
      <c r="F129" s="19"/>
      <c r="G129" s="19"/>
    </row>
    <row r="130" spans="1:7" ht="29.1" customHeight="1" x14ac:dyDescent="0.2">
      <c r="A130" s="17"/>
      <c r="B130" s="226" t="s">
        <v>175</v>
      </c>
      <c r="C130" s="227"/>
      <c r="D130" s="2" t="s">
        <v>176</v>
      </c>
      <c r="E130" s="20"/>
      <c r="F130" s="19"/>
      <c r="G130" s="19"/>
    </row>
    <row r="131" spans="1:7" ht="29.25" customHeight="1" x14ac:dyDescent="0.2">
      <c r="A131" s="17"/>
      <c r="B131" s="226" t="s">
        <v>1166</v>
      </c>
      <c r="C131" s="227"/>
      <c r="D131" s="2" t="s">
        <v>1161</v>
      </c>
      <c r="E131" s="20"/>
      <c r="F131" s="19"/>
      <c r="G131" s="19"/>
    </row>
    <row r="132" spans="1:7" ht="17.100000000000001" customHeight="1" x14ac:dyDescent="0.2">
      <c r="A132" s="17"/>
      <c r="B132" s="226" t="s">
        <v>178</v>
      </c>
      <c r="C132" s="227"/>
      <c r="D132" s="12" t="s">
        <v>145</v>
      </c>
      <c r="E132" s="20"/>
      <c r="F132" s="19"/>
      <c r="G132" s="19"/>
    </row>
    <row r="133" spans="1:7" ht="24" customHeight="1" x14ac:dyDescent="0.2">
      <c r="A133" s="21"/>
      <c r="B133" s="22" t="s">
        <v>145</v>
      </c>
      <c r="C133" s="22" t="s">
        <v>179</v>
      </c>
      <c r="D133" s="22" t="s">
        <v>180</v>
      </c>
      <c r="E133" s="21"/>
      <c r="F133" s="21"/>
      <c r="G133" s="21"/>
    </row>
    <row r="134" spans="1:7" ht="18" customHeight="1" x14ac:dyDescent="0.2">
      <c r="A134" s="21"/>
      <c r="B134" s="23" t="s">
        <v>181</v>
      </c>
      <c r="C134" s="22" t="s">
        <v>182</v>
      </c>
      <c r="D134" s="22" t="s">
        <v>183</v>
      </c>
      <c r="E134" s="21"/>
      <c r="F134" s="21"/>
      <c r="G134" s="21"/>
    </row>
    <row r="135" spans="1:7" ht="17.100000000000001" customHeight="1" x14ac:dyDescent="0.2">
      <c r="A135" s="21"/>
      <c r="B135" s="4" t="s">
        <v>184</v>
      </c>
      <c r="C135" s="24">
        <v>23.935500000000001</v>
      </c>
      <c r="D135" s="24">
        <v>25.353100000000001</v>
      </c>
      <c r="E135" s="21"/>
      <c r="F135" s="18"/>
      <c r="G135" s="25"/>
    </row>
    <row r="136" spans="1:7" ht="17.100000000000001" customHeight="1" x14ac:dyDescent="0.2">
      <c r="A136" s="21"/>
      <c r="B136" s="4" t="s">
        <v>1009</v>
      </c>
      <c r="C136" s="24">
        <v>23.113399999999999</v>
      </c>
      <c r="D136" s="24">
        <v>24.482399999999998</v>
      </c>
      <c r="E136" s="21"/>
      <c r="F136" s="18"/>
      <c r="G136" s="25"/>
    </row>
    <row r="137" spans="1:7" ht="17.100000000000001" customHeight="1" x14ac:dyDescent="0.2">
      <c r="A137" s="21"/>
      <c r="B137" s="4" t="s">
        <v>185</v>
      </c>
      <c r="C137" s="24">
        <v>23.5687</v>
      </c>
      <c r="D137" s="24">
        <v>24.96</v>
      </c>
      <c r="E137" s="21"/>
      <c r="F137" s="18"/>
      <c r="G137" s="25"/>
    </row>
    <row r="138" spans="1:7" ht="17.100000000000001" customHeight="1" x14ac:dyDescent="0.2">
      <c r="A138" s="21"/>
      <c r="B138" s="4" t="s">
        <v>1010</v>
      </c>
      <c r="C138" s="24">
        <v>22.751000000000001</v>
      </c>
      <c r="D138" s="24">
        <v>24.094000000000001</v>
      </c>
      <c r="E138" s="21"/>
      <c r="F138" s="18"/>
      <c r="G138" s="25"/>
    </row>
    <row r="139" spans="1:7" ht="14.1" customHeight="1" x14ac:dyDescent="0.2">
      <c r="A139" s="21"/>
      <c r="B139" s="21"/>
      <c r="C139" s="21"/>
      <c r="D139" s="21"/>
      <c r="E139" s="21"/>
      <c r="F139" s="21"/>
      <c r="G139" s="21"/>
    </row>
    <row r="140" spans="1:7" ht="17.100000000000001" customHeight="1" x14ac:dyDescent="0.2">
      <c r="A140" s="21"/>
      <c r="B140" s="226" t="s">
        <v>1011</v>
      </c>
      <c r="C140" s="227"/>
      <c r="D140" s="2" t="s">
        <v>176</v>
      </c>
      <c r="E140" s="21"/>
      <c r="F140" s="21"/>
      <c r="G140" s="21"/>
    </row>
    <row r="141" spans="1:7" ht="18" customHeight="1" x14ac:dyDescent="0.2">
      <c r="A141" s="21"/>
      <c r="B141" s="26"/>
      <c r="C141" s="26"/>
      <c r="D141" s="26"/>
      <c r="E141" s="21"/>
      <c r="F141" s="21"/>
      <c r="G141" s="21"/>
    </row>
    <row r="142" spans="1:7" ht="29.1" customHeight="1" x14ac:dyDescent="0.2">
      <c r="A142" s="21"/>
      <c r="B142" s="226" t="s">
        <v>186</v>
      </c>
      <c r="C142" s="227"/>
      <c r="D142" s="2" t="s">
        <v>176</v>
      </c>
      <c r="E142" s="27"/>
      <c r="F142" s="21"/>
      <c r="G142" s="21"/>
    </row>
    <row r="143" spans="1:7" ht="29.1" customHeight="1" x14ac:dyDescent="0.2">
      <c r="A143" s="21"/>
      <c r="B143" s="226" t="s">
        <v>187</v>
      </c>
      <c r="C143" s="227"/>
      <c r="D143" s="2" t="s">
        <v>176</v>
      </c>
      <c r="E143" s="27"/>
      <c r="F143" s="21"/>
      <c r="G143" s="21"/>
    </row>
    <row r="144" spans="1:7" ht="17.100000000000001" customHeight="1" x14ac:dyDescent="0.2">
      <c r="A144" s="21"/>
      <c r="B144" s="226" t="s">
        <v>188</v>
      </c>
      <c r="C144" s="227"/>
      <c r="D144" s="2" t="s">
        <v>176</v>
      </c>
      <c r="E144" s="27"/>
      <c r="F144" s="21"/>
      <c r="G144" s="21"/>
    </row>
    <row r="145" spans="1:14" ht="17.100000000000001" customHeight="1" x14ac:dyDescent="0.2">
      <c r="A145" s="21"/>
      <c r="B145" s="226" t="s">
        <v>189</v>
      </c>
      <c r="C145" s="227"/>
      <c r="D145" s="57">
        <v>7.9158807495114822E-2</v>
      </c>
      <c r="E145" s="21"/>
      <c r="F145" s="18"/>
      <c r="G145" s="25"/>
    </row>
    <row r="155" spans="1:14" x14ac:dyDescent="0.2">
      <c r="J155" s="143"/>
      <c r="K155" s="143"/>
      <c r="L155" s="143"/>
      <c r="M155" s="143"/>
      <c r="N155" s="143"/>
    </row>
  </sheetData>
  <mergeCells count="15">
    <mergeCell ref="A1:H1"/>
    <mergeCell ref="A2:H2"/>
    <mergeCell ref="A3:H3"/>
    <mergeCell ref="B126:F126"/>
    <mergeCell ref="J2:N2"/>
    <mergeCell ref="B130:C130"/>
    <mergeCell ref="B127:F127"/>
    <mergeCell ref="B129:D129"/>
    <mergeCell ref="B145:C145"/>
    <mergeCell ref="B131:C131"/>
    <mergeCell ref="B132:C132"/>
    <mergeCell ref="B140:C140"/>
    <mergeCell ref="B142:C142"/>
    <mergeCell ref="B143:C143"/>
    <mergeCell ref="B144:C144"/>
  </mergeCells>
  <hyperlinks>
    <hyperlink ref="I1" location="Index!B9" display="Index" xr:uid="{DAA8D34A-3056-4E3D-964A-F9039EC12346}"/>
  </hyperlinks>
  <pageMargins left="5.000000074505806E-2" right="5.000000074505806E-2" top="0.30000001192092896" bottom="0.20000000298023224" header="0" footer="0"/>
  <pageSetup paperSize="9"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460</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26</v>
      </c>
      <c r="C7" s="4" t="s">
        <v>27</v>
      </c>
      <c r="D7" s="4" t="s">
        <v>28</v>
      </c>
      <c r="E7" s="5">
        <v>17852</v>
      </c>
      <c r="F7" s="6">
        <v>171.15604999999999</v>
      </c>
      <c r="G7" s="7">
        <v>9.5801990000000004E-2</v>
      </c>
      <c r="H7" s="53"/>
    </row>
    <row r="8" spans="1:14" ht="17.100000000000001" customHeight="1" x14ac:dyDescent="0.2">
      <c r="A8" s="3">
        <v>2</v>
      </c>
      <c r="B8" s="4" t="s">
        <v>310</v>
      </c>
      <c r="C8" s="4" t="s">
        <v>311</v>
      </c>
      <c r="D8" s="4" t="s">
        <v>28</v>
      </c>
      <c r="E8" s="5">
        <v>10200</v>
      </c>
      <c r="F8" s="6">
        <v>160.28790000000001</v>
      </c>
      <c r="G8" s="7">
        <v>8.9718709999999993E-2</v>
      </c>
      <c r="H8" s="53"/>
    </row>
    <row r="9" spans="1:14" ht="17.100000000000001" customHeight="1" x14ac:dyDescent="0.2">
      <c r="A9" s="3">
        <v>3</v>
      </c>
      <c r="B9" s="4" t="s">
        <v>20</v>
      </c>
      <c r="C9" s="4" t="s">
        <v>21</v>
      </c>
      <c r="D9" s="4" t="s">
        <v>22</v>
      </c>
      <c r="E9" s="5">
        <v>5610</v>
      </c>
      <c r="F9" s="6">
        <v>135.03270000000001</v>
      </c>
      <c r="G9" s="7">
        <v>7.5582490000000002E-2</v>
      </c>
      <c r="H9" s="53"/>
    </row>
    <row r="10" spans="1:14" ht="17.100000000000001" customHeight="1" x14ac:dyDescent="0.2">
      <c r="A10" s="3">
        <v>4</v>
      </c>
      <c r="B10" s="4" t="s">
        <v>312</v>
      </c>
      <c r="C10" s="4" t="s">
        <v>313</v>
      </c>
      <c r="D10" s="4" t="s">
        <v>905</v>
      </c>
      <c r="E10" s="5">
        <v>8300</v>
      </c>
      <c r="F10" s="6">
        <v>119.14234999999999</v>
      </c>
      <c r="G10" s="7">
        <v>6.6688109999999995E-2</v>
      </c>
      <c r="H10" s="53"/>
    </row>
    <row r="11" spans="1:14" ht="17.100000000000001" customHeight="1" x14ac:dyDescent="0.2">
      <c r="A11" s="3">
        <v>5</v>
      </c>
      <c r="B11" s="4" t="s">
        <v>32</v>
      </c>
      <c r="C11" s="4" t="s">
        <v>33</v>
      </c>
      <c r="D11" s="4" t="s">
        <v>28</v>
      </c>
      <c r="E11" s="5">
        <v>16131</v>
      </c>
      <c r="F11" s="6">
        <v>90.551368499999995</v>
      </c>
      <c r="G11" s="7">
        <v>5.0684750000000001E-2</v>
      </c>
      <c r="H11" s="53"/>
    </row>
    <row r="12" spans="1:14" ht="17.100000000000001" customHeight="1" x14ac:dyDescent="0.2">
      <c r="A12" s="3">
        <v>6</v>
      </c>
      <c r="B12" s="4" t="s">
        <v>11</v>
      </c>
      <c r="C12" s="4" t="s">
        <v>12</v>
      </c>
      <c r="D12" s="4" t="s">
        <v>13</v>
      </c>
      <c r="E12" s="5">
        <v>3340</v>
      </c>
      <c r="F12" s="6">
        <v>90.270179999999996</v>
      </c>
      <c r="G12" s="7">
        <v>5.052736E-2</v>
      </c>
      <c r="H12" s="53"/>
    </row>
    <row r="13" spans="1:14" ht="17.100000000000001" customHeight="1" x14ac:dyDescent="0.2">
      <c r="A13" s="3">
        <v>7</v>
      </c>
      <c r="B13" s="4" t="s">
        <v>314</v>
      </c>
      <c r="C13" s="4" t="s">
        <v>315</v>
      </c>
      <c r="D13" s="4" t="s">
        <v>28</v>
      </c>
      <c r="E13" s="5">
        <v>6893</v>
      </c>
      <c r="F13" s="6">
        <v>67.103354999999993</v>
      </c>
      <c r="G13" s="7">
        <v>3.7560080000000003E-2</v>
      </c>
      <c r="H13" s="53"/>
      <c r="J13" s="142" t="s">
        <v>1033</v>
      </c>
    </row>
    <row r="14" spans="1:14" ht="29.1" customHeight="1" x14ac:dyDescent="0.2">
      <c r="A14" s="3">
        <v>8</v>
      </c>
      <c r="B14" s="4" t="s">
        <v>23</v>
      </c>
      <c r="C14" s="4" t="s">
        <v>24</v>
      </c>
      <c r="D14" s="4" t="s">
        <v>25</v>
      </c>
      <c r="E14" s="5">
        <v>746</v>
      </c>
      <c r="F14" s="6">
        <v>61.898977000000002</v>
      </c>
      <c r="G14" s="7">
        <v>3.4647009999999999E-2</v>
      </c>
      <c r="H14" s="53"/>
    </row>
    <row r="15" spans="1:14" ht="17.100000000000001" customHeight="1" x14ac:dyDescent="0.2">
      <c r="A15" s="3">
        <v>9</v>
      </c>
      <c r="B15" s="4" t="s">
        <v>14</v>
      </c>
      <c r="C15" s="4" t="s">
        <v>15</v>
      </c>
      <c r="D15" s="4" t="s">
        <v>16</v>
      </c>
      <c r="E15" s="5">
        <v>6757</v>
      </c>
      <c r="F15" s="6">
        <v>57.866948000000001</v>
      </c>
      <c r="G15" s="7">
        <v>3.2390139999999998E-2</v>
      </c>
      <c r="H15" s="53"/>
    </row>
    <row r="16" spans="1:14" ht="29.1" customHeight="1" x14ac:dyDescent="0.2">
      <c r="A16" s="3">
        <v>10</v>
      </c>
      <c r="B16" s="4" t="s">
        <v>199</v>
      </c>
      <c r="C16" s="4" t="s">
        <v>200</v>
      </c>
      <c r="D16" s="4" t="s">
        <v>201</v>
      </c>
      <c r="E16" s="5">
        <v>1204</v>
      </c>
      <c r="F16" s="6">
        <v>55.442394</v>
      </c>
      <c r="G16" s="7">
        <v>3.103303E-2</v>
      </c>
      <c r="H16" s="53"/>
    </row>
    <row r="17" spans="1:8" ht="17.100000000000001" customHeight="1" x14ac:dyDescent="0.2">
      <c r="A17" s="3">
        <v>11</v>
      </c>
      <c r="B17" s="4" t="s">
        <v>329</v>
      </c>
      <c r="C17" s="4" t="s">
        <v>330</v>
      </c>
      <c r="D17" s="4" t="s">
        <v>331</v>
      </c>
      <c r="E17" s="5">
        <v>11370</v>
      </c>
      <c r="F17" s="6">
        <v>49.99389</v>
      </c>
      <c r="G17" s="7">
        <v>2.7983319999999999E-2</v>
      </c>
      <c r="H17" s="53"/>
    </row>
    <row r="18" spans="1:8" ht="17.100000000000001" customHeight="1" x14ac:dyDescent="0.2">
      <c r="A18" s="3">
        <v>12</v>
      </c>
      <c r="B18" s="4" t="s">
        <v>346</v>
      </c>
      <c r="C18" s="4" t="s">
        <v>347</v>
      </c>
      <c r="D18" s="4" t="s">
        <v>108</v>
      </c>
      <c r="E18" s="5">
        <v>8199</v>
      </c>
      <c r="F18" s="6">
        <v>49.27599</v>
      </c>
      <c r="G18" s="7">
        <v>2.7581479999999998E-2</v>
      </c>
      <c r="H18" s="53"/>
    </row>
    <row r="19" spans="1:8" ht="17.100000000000001" customHeight="1" x14ac:dyDescent="0.2">
      <c r="A19" s="3">
        <v>13</v>
      </c>
      <c r="B19" s="4" t="s">
        <v>389</v>
      </c>
      <c r="C19" s="4" t="s">
        <v>390</v>
      </c>
      <c r="D19" s="4" t="s">
        <v>209</v>
      </c>
      <c r="E19" s="5">
        <v>13359</v>
      </c>
      <c r="F19" s="6">
        <v>46.890090000000001</v>
      </c>
      <c r="G19" s="7">
        <v>2.624601E-2</v>
      </c>
      <c r="H19" s="53"/>
    </row>
    <row r="20" spans="1:8" ht="17.100000000000001" customHeight="1" x14ac:dyDescent="0.2">
      <c r="A20" s="3">
        <v>14</v>
      </c>
      <c r="B20" s="4" t="s">
        <v>334</v>
      </c>
      <c r="C20" s="4" t="s">
        <v>335</v>
      </c>
      <c r="D20" s="4" t="s">
        <v>73</v>
      </c>
      <c r="E20" s="5">
        <v>1421</v>
      </c>
      <c r="F20" s="6">
        <v>44.114234500000002</v>
      </c>
      <c r="G20" s="7">
        <v>2.4692269999999999E-2</v>
      </c>
      <c r="H20" s="53"/>
    </row>
    <row r="21" spans="1:8" ht="29.1" customHeight="1" x14ac:dyDescent="0.2">
      <c r="A21" s="3">
        <v>15</v>
      </c>
      <c r="B21" s="4" t="s">
        <v>212</v>
      </c>
      <c r="C21" s="4" t="s">
        <v>213</v>
      </c>
      <c r="D21" s="4" t="s">
        <v>214</v>
      </c>
      <c r="E21" s="5">
        <v>4000</v>
      </c>
      <c r="F21" s="6">
        <v>43.637999999999998</v>
      </c>
      <c r="G21" s="7">
        <v>2.4425700000000002E-2</v>
      </c>
      <c r="H21" s="53"/>
    </row>
    <row r="22" spans="1:8" ht="17.100000000000001" customHeight="1" x14ac:dyDescent="0.2">
      <c r="A22" s="3">
        <v>16</v>
      </c>
      <c r="B22" s="4" t="s">
        <v>461</v>
      </c>
      <c r="C22" s="4" t="s">
        <v>462</v>
      </c>
      <c r="D22" s="4" t="s">
        <v>221</v>
      </c>
      <c r="E22" s="5">
        <v>3200</v>
      </c>
      <c r="F22" s="6">
        <v>41.361600000000003</v>
      </c>
      <c r="G22" s="7">
        <v>2.3151519999999998E-2</v>
      </c>
      <c r="H22" s="53"/>
    </row>
    <row r="23" spans="1:8" ht="17.100000000000001" customHeight="1" x14ac:dyDescent="0.2">
      <c r="A23" s="3">
        <v>17</v>
      </c>
      <c r="B23" s="4" t="s">
        <v>93</v>
      </c>
      <c r="C23" s="4" t="s">
        <v>94</v>
      </c>
      <c r="D23" s="4" t="s">
        <v>95</v>
      </c>
      <c r="E23" s="5">
        <v>6000</v>
      </c>
      <c r="F23" s="6">
        <v>41.07</v>
      </c>
      <c r="G23" s="7">
        <v>2.2988310000000001E-2</v>
      </c>
      <c r="H23" s="53"/>
    </row>
    <row r="24" spans="1:8" ht="17.100000000000001" customHeight="1" x14ac:dyDescent="0.2">
      <c r="A24" s="3">
        <v>18</v>
      </c>
      <c r="B24" s="4" t="s">
        <v>358</v>
      </c>
      <c r="C24" s="4" t="s">
        <v>359</v>
      </c>
      <c r="D24" s="4" t="s">
        <v>28</v>
      </c>
      <c r="E24" s="5">
        <v>21124</v>
      </c>
      <c r="F24" s="6">
        <v>39.533566</v>
      </c>
      <c r="G24" s="7">
        <v>2.2128310000000002E-2</v>
      </c>
      <c r="H24" s="53"/>
    </row>
    <row r="25" spans="1:8" ht="17.100000000000001" customHeight="1" x14ac:dyDescent="0.2">
      <c r="A25" s="3">
        <v>19</v>
      </c>
      <c r="B25" s="4" t="s">
        <v>85</v>
      </c>
      <c r="C25" s="4" t="s">
        <v>86</v>
      </c>
      <c r="D25" s="4" t="s">
        <v>87</v>
      </c>
      <c r="E25" s="5">
        <v>1240</v>
      </c>
      <c r="F25" s="6">
        <v>37.848520000000001</v>
      </c>
      <c r="G25" s="7">
        <v>2.118513E-2</v>
      </c>
      <c r="H25" s="53"/>
    </row>
    <row r="26" spans="1:8" ht="17.100000000000001" customHeight="1" x14ac:dyDescent="0.2">
      <c r="A26" s="3">
        <v>20</v>
      </c>
      <c r="B26" s="4" t="s">
        <v>463</v>
      </c>
      <c r="C26" s="4" t="s">
        <v>464</v>
      </c>
      <c r="D26" s="4" t="s">
        <v>905</v>
      </c>
      <c r="E26" s="5">
        <v>3000</v>
      </c>
      <c r="F26" s="6">
        <v>35.164499999999997</v>
      </c>
      <c r="G26" s="7">
        <v>1.9682789999999999E-2</v>
      </c>
      <c r="H26" s="53"/>
    </row>
    <row r="27" spans="1:8" ht="17.100000000000001" customHeight="1" x14ac:dyDescent="0.2">
      <c r="A27" s="3">
        <v>21</v>
      </c>
      <c r="B27" s="4" t="s">
        <v>318</v>
      </c>
      <c r="C27" s="4" t="s">
        <v>319</v>
      </c>
      <c r="D27" s="4" t="s">
        <v>905</v>
      </c>
      <c r="E27" s="5">
        <v>960</v>
      </c>
      <c r="F27" s="6">
        <v>32.225279999999998</v>
      </c>
      <c r="G27" s="7">
        <v>1.8037609999999999E-2</v>
      </c>
      <c r="H27" s="53"/>
    </row>
    <row r="28" spans="1:8" ht="29.1" customHeight="1" x14ac:dyDescent="0.2">
      <c r="A28" s="3">
        <v>22</v>
      </c>
      <c r="B28" s="4" t="s">
        <v>316</v>
      </c>
      <c r="C28" s="4" t="s">
        <v>317</v>
      </c>
      <c r="D28" s="4" t="s">
        <v>224</v>
      </c>
      <c r="E28" s="5">
        <v>2650</v>
      </c>
      <c r="F28" s="6">
        <v>29.4574</v>
      </c>
      <c r="G28" s="7">
        <v>1.6488329999999999E-2</v>
      </c>
      <c r="H28" s="53"/>
    </row>
    <row r="29" spans="1:8" ht="29.1" customHeight="1" x14ac:dyDescent="0.2">
      <c r="A29" s="3">
        <v>23</v>
      </c>
      <c r="B29" s="4" t="s">
        <v>374</v>
      </c>
      <c r="C29" s="4" t="s">
        <v>375</v>
      </c>
      <c r="D29" s="4" t="s">
        <v>224</v>
      </c>
      <c r="E29" s="5">
        <v>1814</v>
      </c>
      <c r="F29" s="6">
        <v>22.812864000000001</v>
      </c>
      <c r="G29" s="7">
        <v>1.276915E-2</v>
      </c>
      <c r="H29" s="53"/>
    </row>
    <row r="30" spans="1:8" ht="17.100000000000001" customHeight="1" x14ac:dyDescent="0.2">
      <c r="A30" s="3">
        <v>24</v>
      </c>
      <c r="B30" s="4" t="s">
        <v>287</v>
      </c>
      <c r="C30" s="4" t="s">
        <v>288</v>
      </c>
      <c r="D30" s="4" t="s">
        <v>22</v>
      </c>
      <c r="E30" s="5">
        <v>8979</v>
      </c>
      <c r="F30" s="6">
        <v>22.276899</v>
      </c>
      <c r="G30" s="7">
        <v>1.246915E-2</v>
      </c>
      <c r="H30" s="53"/>
    </row>
    <row r="31" spans="1:8" ht="17.100000000000001" customHeight="1" x14ac:dyDescent="0.2">
      <c r="A31" s="3">
        <v>25</v>
      </c>
      <c r="B31" s="4" t="s">
        <v>465</v>
      </c>
      <c r="C31" s="4" t="s">
        <v>466</v>
      </c>
      <c r="D31" s="4" t="s">
        <v>28</v>
      </c>
      <c r="E31" s="5">
        <v>1239</v>
      </c>
      <c r="F31" s="6">
        <v>21.790912500000001</v>
      </c>
      <c r="G31" s="7">
        <v>1.219713E-2</v>
      </c>
      <c r="H31" s="53"/>
    </row>
    <row r="32" spans="1:8" ht="29.1" customHeight="1" x14ac:dyDescent="0.2">
      <c r="A32" s="3">
        <v>26</v>
      </c>
      <c r="B32" s="4" t="s">
        <v>126</v>
      </c>
      <c r="C32" s="4" t="s">
        <v>127</v>
      </c>
      <c r="D32" s="4" t="s">
        <v>25</v>
      </c>
      <c r="E32" s="5">
        <v>1871</v>
      </c>
      <c r="F32" s="6">
        <v>21.504338499999999</v>
      </c>
      <c r="G32" s="7">
        <v>1.2036730000000001E-2</v>
      </c>
      <c r="H32" s="53"/>
    </row>
    <row r="33" spans="1:8" ht="17.100000000000001" customHeight="1" x14ac:dyDescent="0.2">
      <c r="A33" s="3">
        <v>27</v>
      </c>
      <c r="B33" s="4" t="s">
        <v>322</v>
      </c>
      <c r="C33" s="4" t="s">
        <v>323</v>
      </c>
      <c r="D33" s="4" t="s">
        <v>28</v>
      </c>
      <c r="E33" s="5">
        <v>1556</v>
      </c>
      <c r="F33" s="6">
        <v>21.444013999999999</v>
      </c>
      <c r="G33" s="7">
        <v>1.200296E-2</v>
      </c>
      <c r="H33" s="53"/>
    </row>
    <row r="34" spans="1:8" ht="17.100000000000001" customHeight="1" x14ac:dyDescent="0.2">
      <c r="A34" s="3">
        <v>28</v>
      </c>
      <c r="B34" s="4" t="s">
        <v>122</v>
      </c>
      <c r="C34" s="4" t="s">
        <v>123</v>
      </c>
      <c r="D34" s="4" t="s">
        <v>22</v>
      </c>
      <c r="E34" s="5">
        <v>5912</v>
      </c>
      <c r="F34" s="6">
        <v>20.133316000000001</v>
      </c>
      <c r="G34" s="7">
        <v>1.1269319999999999E-2</v>
      </c>
      <c r="H34" s="53"/>
    </row>
    <row r="35" spans="1:8" ht="17.100000000000001" customHeight="1" x14ac:dyDescent="0.2">
      <c r="A35" s="3">
        <v>29</v>
      </c>
      <c r="B35" s="4" t="s">
        <v>336</v>
      </c>
      <c r="C35" s="4" t="s">
        <v>337</v>
      </c>
      <c r="D35" s="4" t="s">
        <v>331</v>
      </c>
      <c r="E35" s="5">
        <v>788</v>
      </c>
      <c r="F35" s="6">
        <v>19.739794</v>
      </c>
      <c r="G35" s="7">
        <v>1.1049049999999999E-2</v>
      </c>
      <c r="H35" s="53"/>
    </row>
    <row r="36" spans="1:8" ht="29.1" customHeight="1" x14ac:dyDescent="0.2">
      <c r="A36" s="3">
        <v>30</v>
      </c>
      <c r="B36" s="4" t="s">
        <v>467</v>
      </c>
      <c r="C36" s="4" t="s">
        <v>468</v>
      </c>
      <c r="D36" s="4" t="s">
        <v>469</v>
      </c>
      <c r="E36" s="5">
        <v>2272</v>
      </c>
      <c r="F36" s="6">
        <v>18.956432</v>
      </c>
      <c r="G36" s="7">
        <v>1.061057E-2</v>
      </c>
      <c r="H36" s="53"/>
    </row>
    <row r="37" spans="1:8" ht="17.100000000000001" customHeight="1" x14ac:dyDescent="0.2">
      <c r="A37" s="3">
        <v>31</v>
      </c>
      <c r="B37" s="4" t="s">
        <v>57</v>
      </c>
      <c r="C37" s="4" t="s">
        <v>58</v>
      </c>
      <c r="D37" s="4" t="s">
        <v>59</v>
      </c>
      <c r="E37" s="5">
        <v>2464</v>
      </c>
      <c r="F37" s="6">
        <v>16.567936</v>
      </c>
      <c r="G37" s="7">
        <v>9.2736499999999996E-3</v>
      </c>
      <c r="H37" s="53"/>
    </row>
    <row r="38" spans="1:8" ht="17.100000000000001" customHeight="1" x14ac:dyDescent="0.2">
      <c r="A38" s="3">
        <v>32</v>
      </c>
      <c r="B38" s="4" t="s">
        <v>326</v>
      </c>
      <c r="C38" s="4" t="s">
        <v>327</v>
      </c>
      <c r="D38" s="4" t="s">
        <v>328</v>
      </c>
      <c r="E38" s="5">
        <v>2289</v>
      </c>
      <c r="F38" s="6">
        <v>10.525966499999999</v>
      </c>
      <c r="G38" s="7">
        <v>5.8917500000000003E-3</v>
      </c>
      <c r="H38" s="53"/>
    </row>
    <row r="39" spans="1:8" ht="17.100000000000001" customHeight="1" x14ac:dyDescent="0.2">
      <c r="A39" s="3">
        <v>33</v>
      </c>
      <c r="B39" s="4" t="s">
        <v>470</v>
      </c>
      <c r="C39" s="4" t="s">
        <v>471</v>
      </c>
      <c r="D39" s="4" t="s">
        <v>905</v>
      </c>
      <c r="E39" s="5">
        <v>2457</v>
      </c>
      <c r="F39" s="6">
        <v>10.034388</v>
      </c>
      <c r="G39" s="7">
        <v>5.6166000000000002E-3</v>
      </c>
      <c r="H39" s="53"/>
    </row>
    <row r="40" spans="1:8" ht="17.100000000000001" customHeight="1" x14ac:dyDescent="0.2">
      <c r="A40" s="3">
        <v>34</v>
      </c>
      <c r="B40" s="4" t="s">
        <v>472</v>
      </c>
      <c r="C40" s="40" t="s">
        <v>900</v>
      </c>
      <c r="D40" s="4" t="s">
        <v>16</v>
      </c>
      <c r="E40" s="5">
        <v>482</v>
      </c>
      <c r="F40" s="6">
        <v>2.277209</v>
      </c>
      <c r="G40" s="7">
        <v>1.2746299999999999E-3</v>
      </c>
      <c r="H40" s="53"/>
    </row>
    <row r="41" spans="1:8" ht="14.1" customHeight="1" x14ac:dyDescent="0.2">
      <c r="A41" s="1"/>
      <c r="B41" s="1"/>
      <c r="C41" s="2" t="s">
        <v>144</v>
      </c>
      <c r="D41" s="1"/>
      <c r="E41" s="1" t="s">
        <v>145</v>
      </c>
      <c r="F41" s="9">
        <v>1707.3893625000001</v>
      </c>
      <c r="G41" s="10">
        <v>0.95568514000000027</v>
      </c>
      <c r="H41" s="53"/>
    </row>
    <row r="42" spans="1:8" ht="14.1" customHeight="1" x14ac:dyDescent="0.2">
      <c r="A42" s="1"/>
      <c r="B42" s="1"/>
      <c r="C42" s="11"/>
      <c r="D42" s="1"/>
      <c r="E42" s="1"/>
      <c r="F42" s="12"/>
      <c r="G42" s="12"/>
      <c r="H42" s="53"/>
    </row>
    <row r="43" spans="1:8" ht="14.1" customHeight="1" x14ac:dyDescent="0.2">
      <c r="A43" s="1"/>
      <c r="B43" s="1"/>
      <c r="C43" s="2" t="s">
        <v>146</v>
      </c>
      <c r="D43" s="1"/>
      <c r="E43" s="1"/>
      <c r="F43" s="1"/>
      <c r="G43" s="1"/>
      <c r="H43" s="53"/>
    </row>
    <row r="44" spans="1:8" ht="14.1" customHeight="1" x14ac:dyDescent="0.2">
      <c r="A44" s="1"/>
      <c r="B44" s="1"/>
      <c r="C44" s="2" t="s">
        <v>144</v>
      </c>
      <c r="D44" s="1"/>
      <c r="E44" s="1" t="s">
        <v>145</v>
      </c>
      <c r="F44" s="13" t="s">
        <v>147</v>
      </c>
      <c r="G44" s="10">
        <v>0</v>
      </c>
      <c r="H44" s="53"/>
    </row>
    <row r="45" spans="1:8" ht="14.1" customHeight="1" x14ac:dyDescent="0.2">
      <c r="A45" s="1"/>
      <c r="B45" s="1"/>
      <c r="C45" s="11"/>
      <c r="D45" s="1"/>
      <c r="E45" s="1"/>
      <c r="F45" s="12"/>
      <c r="G45" s="12"/>
      <c r="H45" s="53"/>
    </row>
    <row r="46" spans="1:8" ht="14.1" customHeight="1" x14ac:dyDescent="0.2">
      <c r="A46" s="1"/>
      <c r="B46" s="1"/>
      <c r="C46" s="2" t="s">
        <v>148</v>
      </c>
      <c r="D46" s="1"/>
      <c r="E46" s="1"/>
      <c r="F46" s="1"/>
      <c r="G46" s="1"/>
      <c r="H46" s="53"/>
    </row>
    <row r="47" spans="1:8" ht="14.1" customHeight="1" x14ac:dyDescent="0.2">
      <c r="A47" s="1"/>
      <c r="B47" s="1"/>
      <c r="C47" s="2" t="s">
        <v>144</v>
      </c>
      <c r="D47" s="1"/>
      <c r="E47" s="1" t="s">
        <v>145</v>
      </c>
      <c r="F47" s="13" t="s">
        <v>147</v>
      </c>
      <c r="G47" s="10">
        <v>0</v>
      </c>
      <c r="H47" s="53"/>
    </row>
    <row r="48" spans="1:8" ht="14.1" customHeight="1" x14ac:dyDescent="0.2">
      <c r="A48" s="1"/>
      <c r="B48" s="1"/>
      <c r="C48" s="11"/>
      <c r="D48" s="1"/>
      <c r="E48" s="1"/>
      <c r="F48" s="12"/>
      <c r="G48" s="12"/>
      <c r="H48" s="53"/>
    </row>
    <row r="49" spans="1:8" ht="14.1" customHeight="1" x14ac:dyDescent="0.2">
      <c r="A49" s="1"/>
      <c r="B49" s="1"/>
      <c r="C49" s="2" t="s">
        <v>149</v>
      </c>
      <c r="D49" s="1"/>
      <c r="E49" s="1"/>
      <c r="F49" s="1"/>
      <c r="G49" s="1"/>
      <c r="H49" s="53"/>
    </row>
    <row r="50" spans="1:8" ht="14.1" customHeight="1" x14ac:dyDescent="0.2">
      <c r="A50" s="1"/>
      <c r="B50" s="1"/>
      <c r="C50" s="2" t="s">
        <v>144</v>
      </c>
      <c r="D50" s="1"/>
      <c r="E50" s="1" t="s">
        <v>145</v>
      </c>
      <c r="F50" s="13" t="s">
        <v>147</v>
      </c>
      <c r="G50" s="10">
        <v>0</v>
      </c>
      <c r="H50" s="53"/>
    </row>
    <row r="51" spans="1:8" ht="14.1" customHeight="1" x14ac:dyDescent="0.2">
      <c r="A51" s="1"/>
      <c r="B51" s="1"/>
      <c r="C51" s="11"/>
      <c r="D51" s="1"/>
      <c r="E51" s="1"/>
      <c r="F51" s="12"/>
      <c r="G51" s="12"/>
      <c r="H51" s="53"/>
    </row>
    <row r="52" spans="1:8" ht="14.1" customHeight="1" x14ac:dyDescent="0.2">
      <c r="A52" s="1"/>
      <c r="B52" s="1"/>
      <c r="C52" s="2" t="s">
        <v>150</v>
      </c>
      <c r="D52" s="1"/>
      <c r="E52" s="1"/>
      <c r="F52" s="12"/>
      <c r="G52" s="12"/>
      <c r="H52" s="53"/>
    </row>
    <row r="53" spans="1:8" ht="14.1" customHeight="1" x14ac:dyDescent="0.2">
      <c r="A53" s="1"/>
      <c r="B53" s="1"/>
      <c r="C53" s="2" t="s">
        <v>144</v>
      </c>
      <c r="D53" s="1"/>
      <c r="E53" s="1" t="s">
        <v>145</v>
      </c>
      <c r="F53" s="13" t="s">
        <v>147</v>
      </c>
      <c r="G53" s="10">
        <v>0</v>
      </c>
      <c r="H53" s="53"/>
    </row>
    <row r="54" spans="1:8" ht="14.1" customHeight="1" x14ac:dyDescent="0.2">
      <c r="A54" s="1"/>
      <c r="B54" s="1"/>
      <c r="C54" s="11"/>
      <c r="D54" s="1"/>
      <c r="E54" s="1"/>
      <c r="F54" s="12"/>
      <c r="G54" s="12"/>
      <c r="H54" s="53"/>
    </row>
    <row r="55" spans="1:8" ht="14.1" customHeight="1" x14ac:dyDescent="0.2">
      <c r="A55" s="1"/>
      <c r="B55" s="1"/>
      <c r="C55" s="2" t="s">
        <v>151</v>
      </c>
      <c r="D55" s="1"/>
      <c r="E55" s="1"/>
      <c r="F55" s="12"/>
      <c r="G55" s="12"/>
      <c r="H55" s="53"/>
    </row>
    <row r="56" spans="1:8" ht="14.1" customHeight="1" x14ac:dyDescent="0.2">
      <c r="A56" s="1"/>
      <c r="B56" s="1"/>
      <c r="C56" s="2" t="s">
        <v>144</v>
      </c>
      <c r="D56" s="1"/>
      <c r="E56" s="1" t="s">
        <v>145</v>
      </c>
      <c r="F56" s="13" t="s">
        <v>147</v>
      </c>
      <c r="G56" s="10">
        <v>0</v>
      </c>
      <c r="H56" s="53"/>
    </row>
    <row r="57" spans="1:8" ht="14.1" customHeight="1" x14ac:dyDescent="0.2">
      <c r="A57" s="1"/>
      <c r="B57" s="1"/>
      <c r="C57" s="11"/>
      <c r="D57" s="1"/>
      <c r="E57" s="1"/>
      <c r="F57" s="12"/>
      <c r="G57" s="12"/>
      <c r="H57" s="53"/>
    </row>
    <row r="58" spans="1:8" ht="18" customHeight="1" x14ac:dyDescent="0.2">
      <c r="A58" s="1"/>
      <c r="B58" s="1"/>
      <c r="C58" s="2" t="s">
        <v>152</v>
      </c>
      <c r="D58" s="1"/>
      <c r="E58" s="1"/>
      <c r="F58" s="9">
        <v>1707.3893625000001</v>
      </c>
      <c r="G58" s="10">
        <v>0.95568514000000004</v>
      </c>
      <c r="H58" s="53"/>
    </row>
    <row r="59" spans="1:8" ht="14.1" customHeight="1" x14ac:dyDescent="0.2">
      <c r="A59" s="1"/>
      <c r="B59" s="1"/>
      <c r="C59" s="11"/>
      <c r="D59" s="1"/>
      <c r="E59" s="1"/>
      <c r="F59" s="12"/>
      <c r="G59" s="12"/>
      <c r="H59" s="53"/>
    </row>
    <row r="60" spans="1:8" ht="14.1" customHeight="1" x14ac:dyDescent="0.2">
      <c r="A60" s="1"/>
      <c r="B60" s="1"/>
      <c r="C60" s="2" t="s">
        <v>153</v>
      </c>
      <c r="D60" s="1"/>
      <c r="E60" s="1"/>
      <c r="F60" s="12"/>
      <c r="G60" s="12"/>
      <c r="H60" s="53"/>
    </row>
    <row r="61" spans="1:8" ht="24" customHeight="1" x14ac:dyDescent="0.2">
      <c r="A61" s="1"/>
      <c r="B61" s="1"/>
      <c r="C61" s="2" t="s">
        <v>10</v>
      </c>
      <c r="D61" s="1"/>
      <c r="E61" s="1"/>
      <c r="F61" s="12"/>
      <c r="G61" s="12"/>
      <c r="H61" s="53"/>
    </row>
    <row r="62" spans="1:8" ht="14.1" customHeight="1" x14ac:dyDescent="0.2">
      <c r="A62" s="1"/>
      <c r="B62" s="1"/>
      <c r="C62" s="2" t="s">
        <v>144</v>
      </c>
      <c r="D62" s="1"/>
      <c r="E62" s="1" t="s">
        <v>145</v>
      </c>
      <c r="F62" s="13" t="s">
        <v>147</v>
      </c>
      <c r="G62" s="10">
        <v>0</v>
      </c>
      <c r="H62" s="53"/>
    </row>
    <row r="63" spans="1:8" ht="14.1" customHeight="1" x14ac:dyDescent="0.2">
      <c r="A63" s="1"/>
      <c r="B63" s="1"/>
      <c r="C63" s="11"/>
      <c r="D63" s="1"/>
      <c r="E63" s="1"/>
      <c r="F63" s="12"/>
      <c r="G63" s="12"/>
      <c r="H63" s="53"/>
    </row>
    <row r="64" spans="1:8" ht="14.1" customHeight="1" x14ac:dyDescent="0.2">
      <c r="A64" s="1"/>
      <c r="B64" s="1"/>
      <c r="C64" s="2" t="s">
        <v>154</v>
      </c>
      <c r="D64" s="1"/>
      <c r="E64" s="1"/>
      <c r="F64" s="1"/>
      <c r="G64" s="1"/>
      <c r="H64" s="53"/>
    </row>
    <row r="65" spans="1:8" ht="14.1" customHeight="1" x14ac:dyDescent="0.2">
      <c r="A65" s="1"/>
      <c r="B65" s="1"/>
      <c r="C65" s="2" t="s">
        <v>144</v>
      </c>
      <c r="D65" s="1"/>
      <c r="E65" s="1" t="s">
        <v>145</v>
      </c>
      <c r="F65" s="13" t="s">
        <v>147</v>
      </c>
      <c r="G65" s="10">
        <v>0</v>
      </c>
      <c r="H65" s="53"/>
    </row>
    <row r="66" spans="1:8" ht="14.1" customHeight="1" x14ac:dyDescent="0.2">
      <c r="A66" s="1"/>
      <c r="B66" s="1"/>
      <c r="C66" s="11"/>
      <c r="D66" s="1"/>
      <c r="E66" s="1"/>
      <c r="F66" s="12"/>
      <c r="G66" s="12"/>
      <c r="H66" s="53"/>
    </row>
    <row r="67" spans="1:8" ht="14.1" customHeight="1" x14ac:dyDescent="0.2">
      <c r="A67" s="1"/>
      <c r="B67" s="1"/>
      <c r="C67" s="2" t="s">
        <v>155</v>
      </c>
      <c r="D67" s="1"/>
      <c r="E67" s="1"/>
      <c r="F67" s="1"/>
      <c r="G67" s="1"/>
      <c r="H67" s="53"/>
    </row>
    <row r="68" spans="1:8" ht="14.1" customHeight="1" x14ac:dyDescent="0.2">
      <c r="A68" s="1"/>
      <c r="B68" s="1"/>
      <c r="C68" s="2" t="s">
        <v>144</v>
      </c>
      <c r="D68" s="1"/>
      <c r="E68" s="1" t="s">
        <v>145</v>
      </c>
      <c r="F68" s="13" t="s">
        <v>147</v>
      </c>
      <c r="G68" s="10">
        <v>0</v>
      </c>
      <c r="H68" s="53"/>
    </row>
    <row r="69" spans="1:8" ht="14.1" customHeight="1" x14ac:dyDescent="0.2">
      <c r="A69" s="1"/>
      <c r="B69" s="1"/>
      <c r="C69" s="11"/>
      <c r="D69" s="1"/>
      <c r="E69" s="1"/>
      <c r="F69" s="12"/>
      <c r="G69" s="12"/>
      <c r="H69" s="53"/>
    </row>
    <row r="70" spans="1:8" ht="14.1" customHeight="1" x14ac:dyDescent="0.2">
      <c r="A70" s="1"/>
      <c r="B70" s="1"/>
      <c r="C70" s="2" t="s">
        <v>156</v>
      </c>
      <c r="D70" s="1"/>
      <c r="E70" s="1"/>
      <c r="F70" s="12"/>
      <c r="G70" s="12"/>
      <c r="H70" s="53"/>
    </row>
    <row r="71" spans="1:8" ht="14.1" customHeight="1" x14ac:dyDescent="0.2">
      <c r="A71" s="1"/>
      <c r="B71" s="1"/>
      <c r="C71" s="2" t="s">
        <v>144</v>
      </c>
      <c r="D71" s="1"/>
      <c r="E71" s="1" t="s">
        <v>145</v>
      </c>
      <c r="F71" s="13" t="s">
        <v>147</v>
      </c>
      <c r="G71" s="10">
        <v>0</v>
      </c>
      <c r="H71" s="53"/>
    </row>
    <row r="72" spans="1:8" ht="14.1" customHeight="1" x14ac:dyDescent="0.2">
      <c r="A72" s="1"/>
      <c r="B72" s="1"/>
      <c r="C72" s="11"/>
      <c r="D72" s="1"/>
      <c r="E72" s="1"/>
      <c r="F72" s="12"/>
      <c r="G72" s="12"/>
      <c r="H72" s="53"/>
    </row>
    <row r="73" spans="1:8" ht="14.1" customHeight="1" x14ac:dyDescent="0.2">
      <c r="A73" s="1"/>
      <c r="B73" s="1"/>
      <c r="C73" s="2" t="s">
        <v>157</v>
      </c>
      <c r="D73" s="1"/>
      <c r="E73" s="1"/>
      <c r="F73" s="9">
        <v>0</v>
      </c>
      <c r="G73" s="10">
        <v>0</v>
      </c>
      <c r="H73" s="53"/>
    </row>
    <row r="74" spans="1:8" ht="14.1" customHeight="1" x14ac:dyDescent="0.2">
      <c r="A74" s="1"/>
      <c r="B74" s="1"/>
      <c r="C74" s="11"/>
      <c r="D74" s="1"/>
      <c r="E74" s="1"/>
      <c r="F74" s="12"/>
      <c r="G74" s="12"/>
      <c r="H74" s="53"/>
    </row>
    <row r="75" spans="1:8" ht="14.1" customHeight="1" x14ac:dyDescent="0.2">
      <c r="A75" s="1"/>
      <c r="B75" s="1"/>
      <c r="C75" s="2" t="s">
        <v>158</v>
      </c>
      <c r="D75" s="1"/>
      <c r="E75" s="1"/>
      <c r="F75" s="12"/>
      <c r="G75" s="12"/>
      <c r="H75" s="53"/>
    </row>
    <row r="76" spans="1:8" ht="14.1" customHeight="1" x14ac:dyDescent="0.2">
      <c r="A76" s="1"/>
      <c r="B76" s="1"/>
      <c r="C76" s="2" t="s">
        <v>159</v>
      </c>
      <c r="D76" s="1"/>
      <c r="E76" s="1"/>
      <c r="F76" s="12"/>
      <c r="G76" s="12"/>
      <c r="H76" s="53"/>
    </row>
    <row r="77" spans="1:8" ht="14.1" customHeight="1" x14ac:dyDescent="0.2">
      <c r="A77" s="1"/>
      <c r="B77" s="1"/>
      <c r="C77" s="2" t="s">
        <v>144</v>
      </c>
      <c r="D77" s="1"/>
      <c r="E77" s="1" t="s">
        <v>145</v>
      </c>
      <c r="F77" s="13" t="s">
        <v>147</v>
      </c>
      <c r="G77" s="10">
        <v>0</v>
      </c>
      <c r="H77" s="53"/>
    </row>
    <row r="78" spans="1:8" ht="14.1" customHeight="1" x14ac:dyDescent="0.2">
      <c r="A78" s="1"/>
      <c r="B78" s="1"/>
      <c r="C78" s="11"/>
      <c r="D78" s="1"/>
      <c r="E78" s="1"/>
      <c r="F78" s="12"/>
      <c r="G78" s="12"/>
      <c r="H78" s="53"/>
    </row>
    <row r="79" spans="1:8" ht="14.1" customHeight="1" x14ac:dyDescent="0.2">
      <c r="A79" s="1"/>
      <c r="B79" s="1"/>
      <c r="C79" s="2" t="s">
        <v>160</v>
      </c>
      <c r="D79" s="1"/>
      <c r="E79" s="1"/>
      <c r="F79" s="12"/>
      <c r="G79" s="12"/>
      <c r="H79" s="53"/>
    </row>
    <row r="80" spans="1:8" ht="14.1" customHeight="1" x14ac:dyDescent="0.2">
      <c r="A80" s="1"/>
      <c r="B80" s="1"/>
      <c r="C80" s="2" t="s">
        <v>144</v>
      </c>
      <c r="D80" s="1"/>
      <c r="E80" s="1" t="s">
        <v>145</v>
      </c>
      <c r="F80" s="13" t="s">
        <v>147</v>
      </c>
      <c r="G80" s="10">
        <v>0</v>
      </c>
      <c r="H80" s="53"/>
    </row>
    <row r="81" spans="1:8" ht="14.1" customHeight="1" x14ac:dyDescent="0.2">
      <c r="A81" s="1"/>
      <c r="B81" s="1"/>
      <c r="C81" s="11"/>
      <c r="D81" s="1"/>
      <c r="E81" s="1"/>
      <c r="F81" s="12"/>
      <c r="G81" s="12"/>
      <c r="H81" s="53"/>
    </row>
    <row r="82" spans="1:8" ht="14.1" customHeight="1" x14ac:dyDescent="0.2">
      <c r="A82" s="1"/>
      <c r="B82" s="1"/>
      <c r="C82" s="2" t="s">
        <v>161</v>
      </c>
      <c r="D82" s="1"/>
      <c r="E82" s="1"/>
      <c r="F82" s="12"/>
      <c r="G82" s="12"/>
      <c r="H82" s="53"/>
    </row>
    <row r="83" spans="1:8" ht="14.1" customHeight="1" x14ac:dyDescent="0.2">
      <c r="A83" s="1"/>
      <c r="B83" s="1"/>
      <c r="C83" s="2" t="s">
        <v>144</v>
      </c>
      <c r="D83" s="1"/>
      <c r="E83" s="1" t="s">
        <v>145</v>
      </c>
      <c r="F83" s="13" t="s">
        <v>147</v>
      </c>
      <c r="G83" s="10">
        <v>0</v>
      </c>
      <c r="H83" s="53"/>
    </row>
    <row r="84" spans="1:8" ht="14.1" customHeight="1" x14ac:dyDescent="0.2">
      <c r="A84" s="1"/>
      <c r="B84" s="1"/>
      <c r="C84" s="11"/>
      <c r="D84" s="1"/>
      <c r="E84" s="1"/>
      <c r="F84" s="12"/>
      <c r="G84" s="12"/>
      <c r="H84" s="53"/>
    </row>
    <row r="85" spans="1:8" ht="14.1" customHeight="1" x14ac:dyDescent="0.2">
      <c r="A85" s="1"/>
      <c r="B85" s="1"/>
      <c r="C85" s="2" t="s">
        <v>162</v>
      </c>
      <c r="D85" s="1"/>
      <c r="E85" s="1"/>
      <c r="F85" s="12"/>
      <c r="G85" s="12"/>
      <c r="H85" s="53"/>
    </row>
    <row r="86" spans="1:8" ht="17.100000000000001" customHeight="1" x14ac:dyDescent="0.2">
      <c r="A86" s="3">
        <v>1</v>
      </c>
      <c r="B86" s="4"/>
      <c r="C86" s="4" t="s">
        <v>163</v>
      </c>
      <c r="D86" s="4"/>
      <c r="E86" s="8"/>
      <c r="F86" s="6">
        <v>43.000942999999999</v>
      </c>
      <c r="G86" s="7">
        <v>2.4069119999999999E-2</v>
      </c>
      <c r="H86" s="51">
        <v>6.6602331647804478</v>
      </c>
    </row>
    <row r="87" spans="1:8" ht="17.100000000000001" customHeight="1" x14ac:dyDescent="0.2">
      <c r="A87" s="3">
        <v>2</v>
      </c>
      <c r="B87" s="4"/>
      <c r="C87" s="4" t="s">
        <v>164</v>
      </c>
      <c r="D87" s="4"/>
      <c r="E87" s="8"/>
      <c r="F87" s="6">
        <v>32.875431900000002</v>
      </c>
      <c r="G87" s="7">
        <v>1.8401520000000001E-2</v>
      </c>
      <c r="H87" s="51">
        <v>6.6588225936582406</v>
      </c>
    </row>
    <row r="88" spans="1:8" ht="14.1" customHeight="1" x14ac:dyDescent="0.2">
      <c r="A88" s="1"/>
      <c r="B88" s="1"/>
      <c r="C88" s="2" t="s">
        <v>144</v>
      </c>
      <c r="D88" s="1"/>
      <c r="E88" s="1" t="s">
        <v>145</v>
      </c>
      <c r="F88" s="9">
        <v>75.876374900000002</v>
      </c>
      <c r="G88" s="10">
        <v>4.2470639999999997E-2</v>
      </c>
      <c r="H88" s="53"/>
    </row>
    <row r="89" spans="1:8" ht="14.1" customHeight="1" x14ac:dyDescent="0.2">
      <c r="A89" s="1"/>
      <c r="B89" s="1"/>
      <c r="C89" s="11"/>
      <c r="D89" s="1"/>
      <c r="E89" s="1"/>
      <c r="F89" s="12"/>
      <c r="G89" s="12"/>
      <c r="H89" s="53"/>
    </row>
    <row r="90" spans="1:8" ht="14.1" customHeight="1" x14ac:dyDescent="0.2">
      <c r="A90" s="1"/>
      <c r="B90" s="1"/>
      <c r="C90" s="2" t="s">
        <v>165</v>
      </c>
      <c r="D90" s="1"/>
      <c r="E90" s="1"/>
      <c r="F90" s="9">
        <v>75.876374900000002</v>
      </c>
      <c r="G90" s="10">
        <v>4.2470639999999997E-2</v>
      </c>
      <c r="H90" s="53"/>
    </row>
    <row r="91" spans="1:8" ht="14.1" customHeight="1" x14ac:dyDescent="0.2">
      <c r="A91" s="1"/>
      <c r="B91" s="1"/>
      <c r="C91" s="12"/>
      <c r="D91" s="1"/>
      <c r="E91" s="1"/>
      <c r="F91" s="1"/>
      <c r="G91" s="1"/>
      <c r="H91" s="53"/>
    </row>
    <row r="92" spans="1:8" ht="14.1" customHeight="1" x14ac:dyDescent="0.2">
      <c r="A92" s="1"/>
      <c r="B92" s="1"/>
      <c r="C92" s="2" t="s">
        <v>166</v>
      </c>
      <c r="D92" s="1"/>
      <c r="E92" s="1"/>
      <c r="F92" s="1"/>
      <c r="G92" s="1"/>
      <c r="H92" s="53"/>
    </row>
    <row r="93" spans="1:8" ht="14.1" customHeight="1" x14ac:dyDescent="0.2">
      <c r="A93" s="1"/>
      <c r="B93" s="1"/>
      <c r="C93" s="2" t="s">
        <v>167</v>
      </c>
      <c r="D93" s="1"/>
      <c r="E93" s="1"/>
      <c r="F93" s="1"/>
      <c r="G93" s="1"/>
      <c r="H93" s="53"/>
    </row>
    <row r="94" spans="1:8" ht="14.1" customHeight="1" x14ac:dyDescent="0.2">
      <c r="A94" s="1"/>
      <c r="B94" s="1"/>
      <c r="C94" s="2" t="s">
        <v>144</v>
      </c>
      <c r="D94" s="1"/>
      <c r="E94" s="1" t="s">
        <v>145</v>
      </c>
      <c r="F94" s="13" t="s">
        <v>147</v>
      </c>
      <c r="G94" s="10">
        <v>0</v>
      </c>
      <c r="H94" s="53"/>
    </row>
    <row r="95" spans="1:8" ht="14.1" customHeight="1" x14ac:dyDescent="0.2">
      <c r="A95" s="1"/>
      <c r="B95" s="1"/>
      <c r="C95" s="11"/>
      <c r="D95" s="1"/>
      <c r="E95" s="1"/>
      <c r="F95" s="12"/>
      <c r="G95" s="12"/>
      <c r="H95" s="53"/>
    </row>
    <row r="96" spans="1:8" ht="14.1" customHeight="1" x14ac:dyDescent="0.2">
      <c r="A96" s="1"/>
      <c r="B96" s="1"/>
      <c r="C96" s="2" t="s">
        <v>168</v>
      </c>
      <c r="D96" s="1"/>
      <c r="E96" s="1"/>
      <c r="F96" s="1"/>
      <c r="G96" s="1"/>
      <c r="H96" s="53"/>
    </row>
    <row r="97" spans="1:8" ht="14.1" customHeight="1" x14ac:dyDescent="0.2">
      <c r="A97" s="1"/>
      <c r="B97" s="1"/>
      <c r="C97" s="2" t="s">
        <v>169</v>
      </c>
      <c r="D97" s="1"/>
      <c r="E97" s="1"/>
      <c r="F97" s="1"/>
      <c r="G97" s="1"/>
      <c r="H97" s="53"/>
    </row>
    <row r="98" spans="1:8" ht="14.1" customHeight="1" x14ac:dyDescent="0.2">
      <c r="A98" s="1"/>
      <c r="B98" s="1"/>
      <c r="C98" s="2" t="s">
        <v>144</v>
      </c>
      <c r="D98" s="1"/>
      <c r="E98" s="1" t="s">
        <v>145</v>
      </c>
      <c r="F98" s="13" t="s">
        <v>147</v>
      </c>
      <c r="G98" s="10">
        <v>0</v>
      </c>
      <c r="H98" s="53"/>
    </row>
    <row r="99" spans="1:8" ht="14.1" customHeight="1" x14ac:dyDescent="0.2">
      <c r="A99" s="1"/>
      <c r="B99" s="1"/>
      <c r="C99" s="11"/>
      <c r="D99" s="1"/>
      <c r="E99" s="1"/>
      <c r="F99" s="12"/>
      <c r="G99" s="12"/>
      <c r="H99" s="53"/>
    </row>
    <row r="100" spans="1:8" ht="24" customHeight="1" x14ac:dyDescent="0.2">
      <c r="A100" s="1"/>
      <c r="B100" s="1"/>
      <c r="C100" s="2" t="s">
        <v>170</v>
      </c>
      <c r="D100" s="1"/>
      <c r="E100" s="1"/>
      <c r="F100" s="12"/>
      <c r="G100" s="12"/>
      <c r="H100" s="53"/>
    </row>
    <row r="101" spans="1:8" ht="14.1" customHeight="1" x14ac:dyDescent="0.2">
      <c r="A101" s="1"/>
      <c r="B101" s="1"/>
      <c r="C101" s="2" t="s">
        <v>144</v>
      </c>
      <c r="D101" s="1"/>
      <c r="E101" s="1" t="s">
        <v>145</v>
      </c>
      <c r="F101" s="13" t="s">
        <v>147</v>
      </c>
      <c r="G101" s="10">
        <v>0</v>
      </c>
      <c r="H101" s="53"/>
    </row>
    <row r="102" spans="1:8" ht="14.1" customHeight="1" x14ac:dyDescent="0.2">
      <c r="A102" s="1"/>
      <c r="B102" s="1"/>
      <c r="C102" s="11"/>
      <c r="D102" s="1"/>
      <c r="E102" s="1"/>
      <c r="F102" s="12"/>
      <c r="G102" s="12"/>
      <c r="H102" s="53"/>
    </row>
    <row r="103" spans="1:8" ht="14.1" customHeight="1" x14ac:dyDescent="0.2">
      <c r="A103" s="1"/>
      <c r="B103" s="4"/>
      <c r="C103" s="4"/>
      <c r="D103" s="2"/>
      <c r="E103" s="1"/>
      <c r="F103" s="4"/>
      <c r="G103" s="8"/>
      <c r="H103" s="53"/>
    </row>
    <row r="104" spans="1:8" ht="18" customHeight="1" x14ac:dyDescent="0.2">
      <c r="A104" s="8"/>
      <c r="B104" s="4"/>
      <c r="C104" s="4" t="s">
        <v>171</v>
      </c>
      <c r="D104" s="4"/>
      <c r="E104" s="8"/>
      <c r="F104" s="6">
        <v>3.2948241199999999</v>
      </c>
      <c r="G104" s="7">
        <v>1.8442300000000001E-3</v>
      </c>
      <c r="H104" s="53"/>
    </row>
    <row r="105" spans="1:8" ht="14.1" customHeight="1" x14ac:dyDescent="0.2">
      <c r="A105" s="11"/>
      <c r="B105" s="11"/>
      <c r="C105" s="2" t="s">
        <v>172</v>
      </c>
      <c r="D105" s="12"/>
      <c r="E105" s="12"/>
      <c r="F105" s="9">
        <v>1786.56056152</v>
      </c>
      <c r="G105" s="14">
        <v>1.0000000099999999</v>
      </c>
      <c r="H105" s="53"/>
    </row>
    <row r="106" spans="1:8" ht="14.1" customHeight="1" x14ac:dyDescent="0.2">
      <c r="A106" s="15"/>
      <c r="B106" s="15"/>
      <c r="C106" s="15"/>
      <c r="D106" s="16"/>
      <c r="E106" s="16"/>
      <c r="F106" s="16"/>
      <c r="G106" s="16"/>
    </row>
    <row r="107" spans="1:8" ht="14.1" customHeight="1" x14ac:dyDescent="0.2">
      <c r="A107" s="17"/>
      <c r="B107" s="17"/>
      <c r="C107" s="17"/>
      <c r="D107" s="19"/>
      <c r="E107" s="19"/>
      <c r="F107" s="19"/>
      <c r="G107" s="19"/>
    </row>
    <row r="108" spans="1:8" ht="14.1" customHeight="1" x14ac:dyDescent="0.2">
      <c r="A108" s="17"/>
      <c r="B108" s="231" t="s">
        <v>174</v>
      </c>
      <c r="C108" s="232"/>
      <c r="D108" s="233"/>
      <c r="E108" s="20"/>
      <c r="F108" s="19"/>
      <c r="G108" s="19"/>
    </row>
    <row r="109" spans="1:8" ht="29.1" customHeight="1" x14ac:dyDescent="0.2">
      <c r="A109" s="17"/>
      <c r="B109" s="226" t="s">
        <v>175</v>
      </c>
      <c r="C109" s="227"/>
      <c r="D109" s="2" t="s">
        <v>176</v>
      </c>
      <c r="E109" s="20"/>
      <c r="F109" s="19"/>
      <c r="G109" s="19"/>
    </row>
    <row r="110" spans="1:8" ht="17.100000000000001" customHeight="1" x14ac:dyDescent="0.2">
      <c r="A110" s="17"/>
      <c r="B110" s="226" t="s">
        <v>177</v>
      </c>
      <c r="C110" s="227"/>
      <c r="D110" s="2" t="s">
        <v>176</v>
      </c>
      <c r="E110" s="20"/>
      <c r="F110" s="19"/>
      <c r="G110" s="19"/>
    </row>
    <row r="111" spans="1:8" ht="17.100000000000001" customHeight="1" x14ac:dyDescent="0.2">
      <c r="A111" s="17"/>
      <c r="B111" s="226" t="s">
        <v>178</v>
      </c>
      <c r="C111" s="227"/>
      <c r="D111" s="12" t="s">
        <v>145</v>
      </c>
      <c r="E111" s="20"/>
      <c r="F111" s="19"/>
      <c r="G111" s="19"/>
    </row>
    <row r="112" spans="1:8" ht="24" customHeight="1" x14ac:dyDescent="0.2">
      <c r="A112" s="21"/>
      <c r="B112" s="22" t="s">
        <v>145</v>
      </c>
      <c r="C112" s="22" t="s">
        <v>179</v>
      </c>
      <c r="D112" s="22" t="s">
        <v>180</v>
      </c>
      <c r="E112" s="21"/>
      <c r="F112" s="21"/>
      <c r="G112" s="21"/>
    </row>
    <row r="113" spans="1:7" ht="18" customHeight="1" x14ac:dyDescent="0.2">
      <c r="A113" s="21"/>
      <c r="B113" s="23" t="s">
        <v>181</v>
      </c>
      <c r="C113" s="22" t="s">
        <v>182</v>
      </c>
      <c r="D113" s="22" t="s">
        <v>183</v>
      </c>
      <c r="E113" s="21"/>
      <c r="F113" s="21"/>
      <c r="G113" s="21"/>
    </row>
    <row r="114" spans="1:7" ht="17.100000000000001" customHeight="1" x14ac:dyDescent="0.2">
      <c r="A114" s="21"/>
      <c r="B114" s="4" t="s">
        <v>184</v>
      </c>
      <c r="C114" s="24">
        <v>26.004899999999999</v>
      </c>
      <c r="D114" s="24">
        <v>25.5581</v>
      </c>
      <c r="E114" s="21"/>
      <c r="F114" s="18"/>
      <c r="G114" s="25"/>
    </row>
    <row r="115" spans="1:7" ht="17.100000000000001" customHeight="1" x14ac:dyDescent="0.2">
      <c r="A115" s="21"/>
      <c r="B115" s="4" t="s">
        <v>1009</v>
      </c>
      <c r="C115" s="24">
        <v>21.6631</v>
      </c>
      <c r="D115" s="24">
        <v>21.290900000000001</v>
      </c>
      <c r="E115" s="21"/>
      <c r="F115" s="18"/>
      <c r="G115" s="25"/>
    </row>
    <row r="116" spans="1:7" ht="17.100000000000001" customHeight="1" x14ac:dyDescent="0.2">
      <c r="A116" s="21"/>
      <c r="B116" s="4" t="s">
        <v>185</v>
      </c>
      <c r="C116" s="24">
        <v>25.4148</v>
      </c>
      <c r="D116" s="24">
        <v>24.9771</v>
      </c>
      <c r="E116" s="21"/>
      <c r="F116" s="18"/>
      <c r="G116" s="25"/>
    </row>
    <row r="117" spans="1:7" ht="17.100000000000001" customHeight="1" x14ac:dyDescent="0.2">
      <c r="A117" s="21"/>
      <c r="B117" s="4" t="s">
        <v>1010</v>
      </c>
      <c r="C117" s="24">
        <v>21.0992</v>
      </c>
      <c r="D117" s="24">
        <v>20.735800000000001</v>
      </c>
      <c r="E117" s="21"/>
      <c r="F117" s="18"/>
      <c r="G117" s="25"/>
    </row>
    <row r="118" spans="1:7" ht="14.1" customHeight="1" x14ac:dyDescent="0.2">
      <c r="A118" s="21"/>
      <c r="B118" s="21"/>
      <c r="C118" s="21"/>
      <c r="D118" s="21"/>
      <c r="E118" s="21"/>
      <c r="F118" s="21"/>
      <c r="G118" s="21"/>
    </row>
    <row r="119" spans="1:7" ht="17.100000000000001" customHeight="1" x14ac:dyDescent="0.2">
      <c r="A119" s="21"/>
      <c r="B119" s="226" t="s">
        <v>1011</v>
      </c>
      <c r="C119" s="227"/>
      <c r="D119" s="2" t="s">
        <v>176</v>
      </c>
      <c r="E119" s="21"/>
      <c r="F119" s="21"/>
      <c r="G119" s="21"/>
    </row>
    <row r="120" spans="1:7" ht="18" customHeight="1" x14ac:dyDescent="0.2">
      <c r="A120" s="21"/>
      <c r="B120" s="26"/>
      <c r="C120" s="26"/>
      <c r="D120" s="26"/>
      <c r="E120" s="21"/>
      <c r="F120" s="21"/>
      <c r="G120" s="21"/>
    </row>
    <row r="121" spans="1:7" ht="29.1" customHeight="1" x14ac:dyDescent="0.2">
      <c r="A121" s="21"/>
      <c r="B121" s="226" t="s">
        <v>186</v>
      </c>
      <c r="C121" s="227"/>
      <c r="D121" s="2" t="s">
        <v>176</v>
      </c>
      <c r="E121" s="27"/>
      <c r="F121" s="21"/>
      <c r="G121" s="21"/>
    </row>
    <row r="122" spans="1:7" ht="29.1" customHeight="1" x14ac:dyDescent="0.2">
      <c r="A122" s="21"/>
      <c r="B122" s="226" t="s">
        <v>187</v>
      </c>
      <c r="C122" s="227"/>
      <c r="D122" s="2" t="s">
        <v>176</v>
      </c>
      <c r="E122" s="27"/>
      <c r="F122" s="21"/>
      <c r="G122" s="21"/>
    </row>
    <row r="123" spans="1:7" ht="17.100000000000001" customHeight="1" x14ac:dyDescent="0.2">
      <c r="A123" s="21"/>
      <c r="B123" s="226" t="s">
        <v>188</v>
      </c>
      <c r="C123" s="227"/>
      <c r="D123" s="2" t="s">
        <v>176</v>
      </c>
      <c r="E123" s="27"/>
      <c r="F123" s="21"/>
      <c r="G123" s="21"/>
    </row>
    <row r="124" spans="1:7" ht="17.100000000000001" customHeight="1" x14ac:dyDescent="0.2">
      <c r="A124" s="21"/>
      <c r="B124" s="226" t="s">
        <v>189</v>
      </c>
      <c r="C124" s="227"/>
      <c r="D124" s="28">
        <v>0</v>
      </c>
      <c r="E124" s="21"/>
      <c r="F124" s="18"/>
      <c r="G124" s="25"/>
    </row>
    <row r="130" spans="10:14" x14ac:dyDescent="0.2">
      <c r="J130" s="143"/>
      <c r="K130" s="143"/>
      <c r="L130" s="143"/>
      <c r="M130" s="143"/>
      <c r="N130" s="143"/>
    </row>
  </sheetData>
  <mergeCells count="13">
    <mergeCell ref="A1:H1"/>
    <mergeCell ref="A2:H2"/>
    <mergeCell ref="A3:H3"/>
    <mergeCell ref="J2:N2"/>
    <mergeCell ref="B124:C124"/>
    <mergeCell ref="B110:C110"/>
    <mergeCell ref="B111:C111"/>
    <mergeCell ref="B119:C119"/>
    <mergeCell ref="B121:C121"/>
    <mergeCell ref="B122:C122"/>
    <mergeCell ref="B123:C123"/>
    <mergeCell ref="B109:C109"/>
    <mergeCell ref="B108:D108"/>
  </mergeCells>
  <hyperlinks>
    <hyperlink ref="I1" location="Index!B10" display="Index" xr:uid="{8C6431DF-06F2-491F-84D0-AD1F9DCDA5C8}"/>
  </hyperlinks>
  <pageMargins left="5.000000074505806E-2" right="5.000000074505806E-2" top="0.30000001192092896" bottom="0.20000000298023224" header="0" footer="0"/>
  <pageSetup paperSize="9"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2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473</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310</v>
      </c>
      <c r="C7" s="4" t="s">
        <v>311</v>
      </c>
      <c r="D7" s="4" t="s">
        <v>28</v>
      </c>
      <c r="E7" s="5">
        <v>6942</v>
      </c>
      <c r="F7" s="6">
        <v>109.090059</v>
      </c>
      <c r="G7" s="7">
        <v>9.6165909999999993E-2</v>
      </c>
      <c r="H7" s="53"/>
    </row>
    <row r="8" spans="1:14" ht="17.100000000000001" customHeight="1" x14ac:dyDescent="0.2">
      <c r="A8" s="3">
        <v>2</v>
      </c>
      <c r="B8" s="4" t="s">
        <v>26</v>
      </c>
      <c r="C8" s="4" t="s">
        <v>27</v>
      </c>
      <c r="D8" s="4" t="s">
        <v>28</v>
      </c>
      <c r="E8" s="5">
        <v>11277</v>
      </c>
      <c r="F8" s="6">
        <v>108.11823750000001</v>
      </c>
      <c r="G8" s="7">
        <v>9.530922E-2</v>
      </c>
      <c r="H8" s="53"/>
    </row>
    <row r="9" spans="1:14" ht="17.100000000000001" customHeight="1" x14ac:dyDescent="0.2">
      <c r="A9" s="3">
        <v>3</v>
      </c>
      <c r="B9" s="4" t="s">
        <v>20</v>
      </c>
      <c r="C9" s="4" t="s">
        <v>21</v>
      </c>
      <c r="D9" s="4" t="s">
        <v>22</v>
      </c>
      <c r="E9" s="5">
        <v>3489</v>
      </c>
      <c r="F9" s="6">
        <v>83.980230000000006</v>
      </c>
      <c r="G9" s="7">
        <v>7.4030899999999997E-2</v>
      </c>
      <c r="H9" s="53"/>
    </row>
    <row r="10" spans="1:14" ht="17.100000000000001" customHeight="1" x14ac:dyDescent="0.2">
      <c r="A10" s="3">
        <v>4</v>
      </c>
      <c r="B10" s="4" t="s">
        <v>312</v>
      </c>
      <c r="C10" s="4" t="s">
        <v>313</v>
      </c>
      <c r="D10" s="4" t="s">
        <v>905</v>
      </c>
      <c r="E10" s="5">
        <v>5779</v>
      </c>
      <c r="F10" s="6">
        <v>82.954655500000001</v>
      </c>
      <c r="G10" s="7">
        <v>7.3126830000000004E-2</v>
      </c>
      <c r="H10" s="53"/>
    </row>
    <row r="11" spans="1:14" ht="17.100000000000001" customHeight="1" x14ac:dyDescent="0.2">
      <c r="A11" s="3">
        <v>5</v>
      </c>
      <c r="B11" s="4" t="s">
        <v>32</v>
      </c>
      <c r="C11" s="4" t="s">
        <v>33</v>
      </c>
      <c r="D11" s="4" t="s">
        <v>28</v>
      </c>
      <c r="E11" s="5">
        <v>12485</v>
      </c>
      <c r="F11" s="6">
        <v>70.084547499999999</v>
      </c>
      <c r="G11" s="7">
        <v>6.1781469999999998E-2</v>
      </c>
      <c r="H11" s="53"/>
    </row>
    <row r="12" spans="1:14" ht="17.100000000000001" customHeight="1" x14ac:dyDescent="0.2">
      <c r="A12" s="3">
        <v>6</v>
      </c>
      <c r="B12" s="4" t="s">
        <v>11</v>
      </c>
      <c r="C12" s="4" t="s">
        <v>12</v>
      </c>
      <c r="D12" s="4" t="s">
        <v>13</v>
      </c>
      <c r="E12" s="5">
        <v>2233</v>
      </c>
      <c r="F12" s="6">
        <v>60.351291000000003</v>
      </c>
      <c r="G12" s="7">
        <v>5.3201329999999998E-2</v>
      </c>
      <c r="H12" s="53"/>
    </row>
    <row r="13" spans="1:14" ht="17.100000000000001" customHeight="1" x14ac:dyDescent="0.2">
      <c r="A13" s="3">
        <v>7</v>
      </c>
      <c r="B13" s="4" t="s">
        <v>346</v>
      </c>
      <c r="C13" s="4" t="s">
        <v>347</v>
      </c>
      <c r="D13" s="4" t="s">
        <v>108</v>
      </c>
      <c r="E13" s="5">
        <v>7590</v>
      </c>
      <c r="F13" s="6">
        <v>45.615900000000003</v>
      </c>
      <c r="G13" s="7">
        <v>4.021168E-2</v>
      </c>
      <c r="H13" s="53"/>
      <c r="J13" s="142" t="s">
        <v>1035</v>
      </c>
    </row>
    <row r="14" spans="1:14" ht="17.100000000000001" customHeight="1" x14ac:dyDescent="0.2">
      <c r="A14" s="3">
        <v>8</v>
      </c>
      <c r="B14" s="4" t="s">
        <v>314</v>
      </c>
      <c r="C14" s="4" t="s">
        <v>315</v>
      </c>
      <c r="D14" s="4" t="s">
        <v>28</v>
      </c>
      <c r="E14" s="5">
        <v>4354</v>
      </c>
      <c r="F14" s="6">
        <v>42.386189999999999</v>
      </c>
      <c r="G14" s="7">
        <v>3.7364599999999998E-2</v>
      </c>
      <c r="H14" s="53"/>
    </row>
    <row r="15" spans="1:14" ht="29.1" customHeight="1" x14ac:dyDescent="0.2">
      <c r="A15" s="3">
        <v>9</v>
      </c>
      <c r="B15" s="4" t="s">
        <v>23</v>
      </c>
      <c r="C15" s="4" t="s">
        <v>24</v>
      </c>
      <c r="D15" s="4" t="s">
        <v>25</v>
      </c>
      <c r="E15" s="5">
        <v>501</v>
      </c>
      <c r="F15" s="6">
        <v>41.570224500000002</v>
      </c>
      <c r="G15" s="7">
        <v>3.6645299999999999E-2</v>
      </c>
      <c r="H15" s="53"/>
    </row>
    <row r="16" spans="1:14" ht="17.100000000000001" customHeight="1" x14ac:dyDescent="0.2">
      <c r="A16" s="3">
        <v>10</v>
      </c>
      <c r="B16" s="4" t="s">
        <v>14</v>
      </c>
      <c r="C16" s="4" t="s">
        <v>15</v>
      </c>
      <c r="D16" s="4" t="s">
        <v>16</v>
      </c>
      <c r="E16" s="5">
        <v>4570</v>
      </c>
      <c r="F16" s="6">
        <v>39.137479999999996</v>
      </c>
      <c r="G16" s="7">
        <v>3.450077E-2</v>
      </c>
      <c r="H16" s="53"/>
    </row>
    <row r="17" spans="1:8" ht="17.100000000000001" customHeight="1" x14ac:dyDescent="0.2">
      <c r="A17" s="3">
        <v>11</v>
      </c>
      <c r="B17" s="4" t="s">
        <v>329</v>
      </c>
      <c r="C17" s="4" t="s">
        <v>330</v>
      </c>
      <c r="D17" s="4" t="s">
        <v>331</v>
      </c>
      <c r="E17" s="5">
        <v>7286</v>
      </c>
      <c r="F17" s="6">
        <v>32.036541999999997</v>
      </c>
      <c r="G17" s="7">
        <v>2.8241100000000002E-2</v>
      </c>
      <c r="H17" s="53"/>
    </row>
    <row r="18" spans="1:8" ht="17.100000000000001" customHeight="1" x14ac:dyDescent="0.2">
      <c r="A18" s="3">
        <v>12</v>
      </c>
      <c r="B18" s="4" t="s">
        <v>334</v>
      </c>
      <c r="C18" s="4" t="s">
        <v>335</v>
      </c>
      <c r="D18" s="4" t="s">
        <v>73</v>
      </c>
      <c r="E18" s="5">
        <v>959</v>
      </c>
      <c r="F18" s="6">
        <v>29.771675500000001</v>
      </c>
      <c r="G18" s="7">
        <v>2.624456E-2</v>
      </c>
      <c r="H18" s="53"/>
    </row>
    <row r="19" spans="1:8" ht="17.100000000000001" customHeight="1" x14ac:dyDescent="0.2">
      <c r="A19" s="3">
        <v>13</v>
      </c>
      <c r="B19" s="4" t="s">
        <v>93</v>
      </c>
      <c r="C19" s="4" t="s">
        <v>94</v>
      </c>
      <c r="D19" s="4" t="s">
        <v>95</v>
      </c>
      <c r="E19" s="5">
        <v>3810</v>
      </c>
      <c r="F19" s="6">
        <v>26.079450000000001</v>
      </c>
      <c r="G19" s="7">
        <v>2.2989760000000001E-2</v>
      </c>
      <c r="H19" s="53"/>
    </row>
    <row r="20" spans="1:8" ht="29.1" customHeight="1" x14ac:dyDescent="0.2">
      <c r="A20" s="3">
        <v>14</v>
      </c>
      <c r="B20" s="4" t="s">
        <v>199</v>
      </c>
      <c r="C20" s="4" t="s">
        <v>200</v>
      </c>
      <c r="D20" s="4" t="s">
        <v>201</v>
      </c>
      <c r="E20" s="5">
        <v>526</v>
      </c>
      <c r="F20" s="6">
        <v>24.221511</v>
      </c>
      <c r="G20" s="7">
        <v>2.1351930000000002E-2</v>
      </c>
      <c r="H20" s="53"/>
    </row>
    <row r="21" spans="1:8" ht="17.100000000000001" customHeight="1" x14ac:dyDescent="0.2">
      <c r="A21" s="3">
        <v>15</v>
      </c>
      <c r="B21" s="4" t="s">
        <v>461</v>
      </c>
      <c r="C21" s="4" t="s">
        <v>462</v>
      </c>
      <c r="D21" s="4" t="s">
        <v>221</v>
      </c>
      <c r="E21" s="5">
        <v>1859</v>
      </c>
      <c r="F21" s="6">
        <v>24.0285045</v>
      </c>
      <c r="G21" s="7">
        <v>2.1181789999999999E-2</v>
      </c>
      <c r="H21" s="53"/>
    </row>
    <row r="22" spans="1:8" ht="17.100000000000001" customHeight="1" x14ac:dyDescent="0.2">
      <c r="A22" s="3">
        <v>16</v>
      </c>
      <c r="B22" s="4" t="s">
        <v>358</v>
      </c>
      <c r="C22" s="4" t="s">
        <v>359</v>
      </c>
      <c r="D22" s="4" t="s">
        <v>28</v>
      </c>
      <c r="E22" s="5">
        <v>12176</v>
      </c>
      <c r="F22" s="6">
        <v>22.787383999999999</v>
      </c>
      <c r="G22" s="7">
        <v>2.0087710000000002E-2</v>
      </c>
      <c r="H22" s="53"/>
    </row>
    <row r="23" spans="1:8" ht="17.100000000000001" customHeight="1" x14ac:dyDescent="0.2">
      <c r="A23" s="3">
        <v>17</v>
      </c>
      <c r="B23" s="4" t="s">
        <v>318</v>
      </c>
      <c r="C23" s="4" t="s">
        <v>319</v>
      </c>
      <c r="D23" s="4" t="s">
        <v>905</v>
      </c>
      <c r="E23" s="5">
        <v>672</v>
      </c>
      <c r="F23" s="6">
        <v>22.557696</v>
      </c>
      <c r="G23" s="7">
        <v>1.988523E-2</v>
      </c>
      <c r="H23" s="53"/>
    </row>
    <row r="24" spans="1:8" ht="29.1" customHeight="1" x14ac:dyDescent="0.2">
      <c r="A24" s="3">
        <v>18</v>
      </c>
      <c r="B24" s="4" t="s">
        <v>212</v>
      </c>
      <c r="C24" s="4" t="s">
        <v>213</v>
      </c>
      <c r="D24" s="4" t="s">
        <v>214</v>
      </c>
      <c r="E24" s="5">
        <v>2059</v>
      </c>
      <c r="F24" s="6">
        <v>22.462660499999998</v>
      </c>
      <c r="G24" s="7">
        <v>1.980146E-2</v>
      </c>
      <c r="H24" s="53"/>
    </row>
    <row r="25" spans="1:8" ht="17.100000000000001" customHeight="1" x14ac:dyDescent="0.2">
      <c r="A25" s="3">
        <v>19</v>
      </c>
      <c r="B25" s="4" t="s">
        <v>463</v>
      </c>
      <c r="C25" s="4" t="s">
        <v>464</v>
      </c>
      <c r="D25" s="4" t="s">
        <v>905</v>
      </c>
      <c r="E25" s="5">
        <v>1859</v>
      </c>
      <c r="F25" s="6">
        <v>21.7902685</v>
      </c>
      <c r="G25" s="7">
        <v>1.920873E-2</v>
      </c>
      <c r="H25" s="53"/>
    </row>
    <row r="26" spans="1:8" ht="17.100000000000001" customHeight="1" x14ac:dyDescent="0.2">
      <c r="A26" s="3">
        <v>20</v>
      </c>
      <c r="B26" s="4" t="s">
        <v>389</v>
      </c>
      <c r="C26" s="4" t="s">
        <v>390</v>
      </c>
      <c r="D26" s="4" t="s">
        <v>209</v>
      </c>
      <c r="E26" s="5">
        <v>5791</v>
      </c>
      <c r="F26" s="6">
        <v>20.326409999999999</v>
      </c>
      <c r="G26" s="7">
        <v>1.791829E-2</v>
      </c>
      <c r="H26" s="53"/>
    </row>
    <row r="27" spans="1:8" ht="17.100000000000001" customHeight="1" x14ac:dyDescent="0.2">
      <c r="A27" s="3">
        <v>21</v>
      </c>
      <c r="B27" s="4" t="s">
        <v>287</v>
      </c>
      <c r="C27" s="4" t="s">
        <v>288</v>
      </c>
      <c r="D27" s="4" t="s">
        <v>22</v>
      </c>
      <c r="E27" s="5">
        <v>8132</v>
      </c>
      <c r="F27" s="6">
        <v>20.175491999999998</v>
      </c>
      <c r="G27" s="7">
        <v>1.7785260000000001E-2</v>
      </c>
      <c r="H27" s="53"/>
    </row>
    <row r="28" spans="1:8" ht="17.100000000000001" customHeight="1" x14ac:dyDescent="0.2">
      <c r="A28" s="3">
        <v>22</v>
      </c>
      <c r="B28" s="4" t="s">
        <v>85</v>
      </c>
      <c r="C28" s="4" t="s">
        <v>86</v>
      </c>
      <c r="D28" s="4" t="s">
        <v>87</v>
      </c>
      <c r="E28" s="5">
        <v>587</v>
      </c>
      <c r="F28" s="6">
        <v>17.917000999999999</v>
      </c>
      <c r="G28" s="7">
        <v>1.5794329999999999E-2</v>
      </c>
      <c r="H28" s="53"/>
    </row>
    <row r="29" spans="1:8" ht="17.100000000000001" customHeight="1" x14ac:dyDescent="0.2">
      <c r="A29" s="3">
        <v>23</v>
      </c>
      <c r="B29" s="4" t="s">
        <v>465</v>
      </c>
      <c r="C29" s="4" t="s">
        <v>466</v>
      </c>
      <c r="D29" s="4" t="s">
        <v>28</v>
      </c>
      <c r="E29" s="5">
        <v>916</v>
      </c>
      <c r="F29" s="6">
        <v>16.110150000000001</v>
      </c>
      <c r="G29" s="7">
        <v>1.420154E-2</v>
      </c>
      <c r="H29" s="53"/>
    </row>
    <row r="30" spans="1:8" ht="29.1" customHeight="1" x14ac:dyDescent="0.2">
      <c r="A30" s="3">
        <v>24</v>
      </c>
      <c r="B30" s="4" t="s">
        <v>374</v>
      </c>
      <c r="C30" s="4" t="s">
        <v>375</v>
      </c>
      <c r="D30" s="4" t="s">
        <v>224</v>
      </c>
      <c r="E30" s="5">
        <v>1213</v>
      </c>
      <c r="F30" s="6">
        <v>15.254688</v>
      </c>
      <c r="G30" s="7">
        <v>1.344743E-2</v>
      </c>
      <c r="H30" s="53"/>
    </row>
    <row r="31" spans="1:8" ht="29.1" customHeight="1" x14ac:dyDescent="0.2">
      <c r="A31" s="3">
        <v>25</v>
      </c>
      <c r="B31" s="4" t="s">
        <v>126</v>
      </c>
      <c r="C31" s="4" t="s">
        <v>127</v>
      </c>
      <c r="D31" s="4" t="s">
        <v>25</v>
      </c>
      <c r="E31" s="5">
        <v>1266</v>
      </c>
      <c r="F31" s="6">
        <v>14.550770999999999</v>
      </c>
      <c r="G31" s="7">
        <v>1.282691E-2</v>
      </c>
      <c r="H31" s="53"/>
    </row>
    <row r="32" spans="1:8" ht="17.100000000000001" customHeight="1" x14ac:dyDescent="0.2">
      <c r="A32" s="3">
        <v>26</v>
      </c>
      <c r="B32" s="4" t="s">
        <v>322</v>
      </c>
      <c r="C32" s="4" t="s">
        <v>323</v>
      </c>
      <c r="D32" s="4" t="s">
        <v>28</v>
      </c>
      <c r="E32" s="5">
        <v>1052</v>
      </c>
      <c r="F32" s="6">
        <v>14.498138000000001</v>
      </c>
      <c r="G32" s="7">
        <v>1.278051E-2</v>
      </c>
      <c r="H32" s="53"/>
    </row>
    <row r="33" spans="1:8" ht="17.100000000000001" customHeight="1" x14ac:dyDescent="0.2">
      <c r="A33" s="3">
        <v>27</v>
      </c>
      <c r="B33" s="4" t="s">
        <v>326</v>
      </c>
      <c r="C33" s="4" t="s">
        <v>327</v>
      </c>
      <c r="D33" s="4" t="s">
        <v>328</v>
      </c>
      <c r="E33" s="5">
        <v>2990</v>
      </c>
      <c r="F33" s="6">
        <v>13.749515000000001</v>
      </c>
      <c r="G33" s="7">
        <v>1.2120580000000001E-2</v>
      </c>
      <c r="H33" s="53"/>
    </row>
    <row r="34" spans="1:8" ht="17.100000000000001" customHeight="1" x14ac:dyDescent="0.2">
      <c r="A34" s="3">
        <v>28</v>
      </c>
      <c r="B34" s="4" t="s">
        <v>122</v>
      </c>
      <c r="C34" s="4" t="s">
        <v>123</v>
      </c>
      <c r="D34" s="4" t="s">
        <v>22</v>
      </c>
      <c r="E34" s="5">
        <v>3989</v>
      </c>
      <c r="F34" s="6">
        <v>13.5845395</v>
      </c>
      <c r="G34" s="7">
        <v>1.197515E-2</v>
      </c>
      <c r="H34" s="53"/>
    </row>
    <row r="35" spans="1:8" ht="17.100000000000001" customHeight="1" x14ac:dyDescent="0.2">
      <c r="A35" s="3">
        <v>29</v>
      </c>
      <c r="B35" s="4" t="s">
        <v>336</v>
      </c>
      <c r="C35" s="4" t="s">
        <v>337</v>
      </c>
      <c r="D35" s="4" t="s">
        <v>331</v>
      </c>
      <c r="E35" s="5">
        <v>517</v>
      </c>
      <c r="F35" s="6">
        <v>12.9511085</v>
      </c>
      <c r="G35" s="7">
        <v>1.141676E-2</v>
      </c>
      <c r="H35" s="53"/>
    </row>
    <row r="36" spans="1:8" ht="29.1" customHeight="1" x14ac:dyDescent="0.2">
      <c r="A36" s="3">
        <v>30</v>
      </c>
      <c r="B36" s="4" t="s">
        <v>467</v>
      </c>
      <c r="C36" s="4" t="s">
        <v>468</v>
      </c>
      <c r="D36" s="4" t="s">
        <v>469</v>
      </c>
      <c r="E36" s="5">
        <v>1535</v>
      </c>
      <c r="F36" s="6">
        <v>12.8072725</v>
      </c>
      <c r="G36" s="7">
        <v>1.128997E-2</v>
      </c>
      <c r="H36" s="53"/>
    </row>
    <row r="37" spans="1:8" ht="17.100000000000001" customHeight="1" x14ac:dyDescent="0.2">
      <c r="A37" s="3">
        <v>31</v>
      </c>
      <c r="B37" s="4" t="s">
        <v>57</v>
      </c>
      <c r="C37" s="4" t="s">
        <v>58</v>
      </c>
      <c r="D37" s="4" t="s">
        <v>59</v>
      </c>
      <c r="E37" s="5">
        <v>1593</v>
      </c>
      <c r="F37" s="6">
        <v>10.711332000000001</v>
      </c>
      <c r="G37" s="7">
        <v>9.4423400000000005E-3</v>
      </c>
      <c r="H37" s="53"/>
    </row>
    <row r="38" spans="1:8" ht="17.100000000000001" customHeight="1" x14ac:dyDescent="0.2">
      <c r="A38" s="3">
        <v>32</v>
      </c>
      <c r="B38" s="4" t="s">
        <v>470</v>
      </c>
      <c r="C38" s="4" t="s">
        <v>471</v>
      </c>
      <c r="D38" s="4" t="s">
        <v>905</v>
      </c>
      <c r="E38" s="5">
        <v>1658</v>
      </c>
      <c r="F38" s="6">
        <v>6.7712719999999997</v>
      </c>
      <c r="G38" s="7">
        <v>5.96906E-3</v>
      </c>
      <c r="H38" s="53"/>
    </row>
    <row r="39" spans="1:8" ht="17.100000000000001" customHeight="1" x14ac:dyDescent="0.2">
      <c r="A39" s="3">
        <v>33</v>
      </c>
      <c r="B39" s="4" t="s">
        <v>472</v>
      </c>
      <c r="C39" s="40" t="s">
        <v>900</v>
      </c>
      <c r="D39" s="4" t="s">
        <v>16</v>
      </c>
      <c r="E39" s="5">
        <v>327</v>
      </c>
      <c r="F39" s="6">
        <v>1.5449115</v>
      </c>
      <c r="G39" s="7">
        <v>1.36188E-3</v>
      </c>
      <c r="H39" s="53"/>
    </row>
    <row r="40" spans="1:8" ht="14.1" customHeight="1" x14ac:dyDescent="0.2">
      <c r="A40" s="1"/>
      <c r="B40" s="1"/>
      <c r="C40" s="2" t="s">
        <v>144</v>
      </c>
      <c r="D40" s="1"/>
      <c r="E40" s="1" t="s">
        <v>145</v>
      </c>
      <c r="F40" s="9">
        <v>1099.9771079999996</v>
      </c>
      <c r="G40" s="10">
        <v>0.96966029000000009</v>
      </c>
      <c r="H40" s="53"/>
    </row>
    <row r="41" spans="1:8" ht="14.1" customHeight="1" x14ac:dyDescent="0.2">
      <c r="A41" s="1"/>
      <c r="B41" s="1"/>
      <c r="C41" s="11"/>
      <c r="D41" s="1"/>
      <c r="E41" s="1"/>
      <c r="F41" s="12"/>
      <c r="G41" s="12"/>
      <c r="H41" s="53"/>
    </row>
    <row r="42" spans="1:8" ht="14.1" customHeight="1" x14ac:dyDescent="0.2">
      <c r="A42" s="1"/>
      <c r="B42" s="1"/>
      <c r="C42" s="2" t="s">
        <v>146</v>
      </c>
      <c r="D42" s="1"/>
      <c r="E42" s="1"/>
      <c r="F42" s="1"/>
      <c r="G42" s="1"/>
      <c r="H42" s="53"/>
    </row>
    <row r="43" spans="1:8" ht="14.1" customHeight="1" x14ac:dyDescent="0.2">
      <c r="A43" s="1"/>
      <c r="B43" s="1"/>
      <c r="C43" s="2" t="s">
        <v>144</v>
      </c>
      <c r="D43" s="1"/>
      <c r="E43" s="1" t="s">
        <v>145</v>
      </c>
      <c r="F43" s="13" t="s">
        <v>147</v>
      </c>
      <c r="G43" s="10">
        <v>0</v>
      </c>
      <c r="H43" s="53"/>
    </row>
    <row r="44" spans="1:8" ht="14.1" customHeight="1" x14ac:dyDescent="0.2">
      <c r="A44" s="1"/>
      <c r="B44" s="1"/>
      <c r="C44" s="11"/>
      <c r="D44" s="1"/>
      <c r="E44" s="1"/>
      <c r="F44" s="12"/>
      <c r="G44" s="12"/>
      <c r="H44" s="53"/>
    </row>
    <row r="45" spans="1:8" ht="14.1" customHeight="1" x14ac:dyDescent="0.2">
      <c r="A45" s="1"/>
      <c r="B45" s="1"/>
      <c r="C45" s="2" t="s">
        <v>148</v>
      </c>
      <c r="D45" s="1"/>
      <c r="E45" s="1"/>
      <c r="F45" s="1"/>
      <c r="G45" s="1"/>
      <c r="H45" s="53"/>
    </row>
    <row r="46" spans="1:8" ht="14.1" customHeight="1" x14ac:dyDescent="0.2">
      <c r="A46" s="1"/>
      <c r="B46" s="1"/>
      <c r="C46" s="2" t="s">
        <v>144</v>
      </c>
      <c r="D46" s="1"/>
      <c r="E46" s="1" t="s">
        <v>145</v>
      </c>
      <c r="F46" s="13" t="s">
        <v>147</v>
      </c>
      <c r="G46" s="10">
        <v>0</v>
      </c>
      <c r="H46" s="53"/>
    </row>
    <row r="47" spans="1:8" ht="14.1" customHeight="1" x14ac:dyDescent="0.2">
      <c r="A47" s="1"/>
      <c r="B47" s="1"/>
      <c r="C47" s="11"/>
      <c r="D47" s="1"/>
      <c r="E47" s="1"/>
      <c r="F47" s="12"/>
      <c r="G47" s="12"/>
      <c r="H47" s="53"/>
    </row>
    <row r="48" spans="1:8" ht="14.1" customHeight="1" x14ac:dyDescent="0.2">
      <c r="A48" s="1"/>
      <c r="B48" s="1"/>
      <c r="C48" s="2" t="s">
        <v>149</v>
      </c>
      <c r="D48" s="1"/>
      <c r="E48" s="1"/>
      <c r="F48" s="1"/>
      <c r="G48" s="1"/>
      <c r="H48" s="53"/>
    </row>
    <row r="49" spans="1:8" ht="14.1" customHeight="1" x14ac:dyDescent="0.2">
      <c r="A49" s="1"/>
      <c r="B49" s="1"/>
      <c r="C49" s="2" t="s">
        <v>144</v>
      </c>
      <c r="D49" s="1"/>
      <c r="E49" s="1" t="s">
        <v>145</v>
      </c>
      <c r="F49" s="13" t="s">
        <v>147</v>
      </c>
      <c r="G49" s="10">
        <v>0</v>
      </c>
      <c r="H49" s="53"/>
    </row>
    <row r="50" spans="1:8" ht="14.1" customHeight="1" x14ac:dyDescent="0.2">
      <c r="A50" s="1"/>
      <c r="B50" s="1"/>
      <c r="C50" s="11"/>
      <c r="D50" s="1"/>
      <c r="E50" s="1"/>
      <c r="F50" s="12"/>
      <c r="G50" s="12"/>
      <c r="H50" s="53"/>
    </row>
    <row r="51" spans="1:8" ht="14.1" customHeight="1" x14ac:dyDescent="0.2">
      <c r="A51" s="1"/>
      <c r="B51" s="1"/>
      <c r="C51" s="2" t="s">
        <v>150</v>
      </c>
      <c r="D51" s="1"/>
      <c r="E51" s="1"/>
      <c r="F51" s="12"/>
      <c r="G51" s="12"/>
      <c r="H51" s="53"/>
    </row>
    <row r="52" spans="1:8" ht="14.1" customHeight="1" x14ac:dyDescent="0.2">
      <c r="A52" s="1"/>
      <c r="B52" s="1"/>
      <c r="C52" s="2" t="s">
        <v>144</v>
      </c>
      <c r="D52" s="1"/>
      <c r="E52" s="1" t="s">
        <v>145</v>
      </c>
      <c r="F52" s="13" t="s">
        <v>147</v>
      </c>
      <c r="G52" s="10">
        <v>0</v>
      </c>
      <c r="H52" s="53"/>
    </row>
    <row r="53" spans="1:8" ht="14.1" customHeight="1" x14ac:dyDescent="0.2">
      <c r="A53" s="1"/>
      <c r="B53" s="1"/>
      <c r="C53" s="11"/>
      <c r="D53" s="1"/>
      <c r="E53" s="1"/>
      <c r="F53" s="12"/>
      <c r="G53" s="12"/>
      <c r="H53" s="53"/>
    </row>
    <row r="54" spans="1:8" ht="14.1" customHeight="1" x14ac:dyDescent="0.2">
      <c r="A54" s="1"/>
      <c r="B54" s="1"/>
      <c r="C54" s="2" t="s">
        <v>151</v>
      </c>
      <c r="D54" s="1"/>
      <c r="E54" s="1"/>
      <c r="F54" s="12"/>
      <c r="G54" s="12"/>
      <c r="H54" s="53"/>
    </row>
    <row r="55" spans="1:8" ht="14.1" customHeight="1" x14ac:dyDescent="0.2">
      <c r="A55" s="1"/>
      <c r="B55" s="1"/>
      <c r="C55" s="2" t="s">
        <v>144</v>
      </c>
      <c r="D55" s="1"/>
      <c r="E55" s="1" t="s">
        <v>145</v>
      </c>
      <c r="F55" s="13" t="s">
        <v>147</v>
      </c>
      <c r="G55" s="10">
        <v>0</v>
      </c>
      <c r="H55" s="53"/>
    </row>
    <row r="56" spans="1:8" ht="14.1" customHeight="1" x14ac:dyDescent="0.2">
      <c r="A56" s="1"/>
      <c r="B56" s="1"/>
      <c r="C56" s="11"/>
      <c r="D56" s="1"/>
      <c r="E56" s="1"/>
      <c r="F56" s="12"/>
      <c r="G56" s="12"/>
      <c r="H56" s="53"/>
    </row>
    <row r="57" spans="1:8" ht="18" customHeight="1" x14ac:dyDescent="0.2">
      <c r="A57" s="1"/>
      <c r="B57" s="1"/>
      <c r="C57" s="2" t="s">
        <v>152</v>
      </c>
      <c r="D57" s="1"/>
      <c r="E57" s="1"/>
      <c r="F57" s="9">
        <v>1099.977108</v>
      </c>
      <c r="G57" s="10">
        <v>0.96966028999999998</v>
      </c>
      <c r="H57" s="53"/>
    </row>
    <row r="58" spans="1:8" ht="14.1" customHeight="1" x14ac:dyDescent="0.2">
      <c r="A58" s="1"/>
      <c r="B58" s="1"/>
      <c r="C58" s="11"/>
      <c r="D58" s="1"/>
      <c r="E58" s="1"/>
      <c r="F58" s="12"/>
      <c r="G58" s="12"/>
      <c r="H58" s="53"/>
    </row>
    <row r="59" spans="1:8" ht="14.1" customHeight="1" x14ac:dyDescent="0.2">
      <c r="A59" s="1"/>
      <c r="B59" s="1"/>
      <c r="C59" s="2" t="s">
        <v>153</v>
      </c>
      <c r="D59" s="1"/>
      <c r="E59" s="1"/>
      <c r="F59" s="12"/>
      <c r="G59" s="12"/>
      <c r="H59" s="53"/>
    </row>
    <row r="60" spans="1:8" ht="24" customHeight="1" x14ac:dyDescent="0.2">
      <c r="A60" s="1"/>
      <c r="B60" s="1"/>
      <c r="C60" s="2" t="s">
        <v>10</v>
      </c>
      <c r="D60" s="1"/>
      <c r="E60" s="1"/>
      <c r="F60" s="12"/>
      <c r="G60" s="12"/>
      <c r="H60" s="53"/>
    </row>
    <row r="61" spans="1:8" ht="14.1" customHeight="1" x14ac:dyDescent="0.2">
      <c r="A61" s="1"/>
      <c r="B61" s="1"/>
      <c r="C61" s="2" t="s">
        <v>144</v>
      </c>
      <c r="D61" s="1"/>
      <c r="E61" s="1" t="s">
        <v>145</v>
      </c>
      <c r="F61" s="13" t="s">
        <v>147</v>
      </c>
      <c r="G61" s="10">
        <v>0</v>
      </c>
      <c r="H61" s="53"/>
    </row>
    <row r="62" spans="1:8" ht="14.1" customHeight="1" x14ac:dyDescent="0.2">
      <c r="A62" s="1"/>
      <c r="B62" s="1"/>
      <c r="C62" s="11"/>
      <c r="D62" s="1"/>
      <c r="E62" s="1"/>
      <c r="F62" s="12"/>
      <c r="G62" s="12"/>
      <c r="H62" s="53"/>
    </row>
    <row r="63" spans="1:8" ht="14.1" customHeight="1" x14ac:dyDescent="0.2">
      <c r="A63" s="1"/>
      <c r="B63" s="1"/>
      <c r="C63" s="2" t="s">
        <v>154</v>
      </c>
      <c r="D63" s="1"/>
      <c r="E63" s="1"/>
      <c r="F63" s="1"/>
      <c r="G63" s="1"/>
      <c r="H63" s="53"/>
    </row>
    <row r="64" spans="1:8" ht="14.1" customHeight="1" x14ac:dyDescent="0.2">
      <c r="A64" s="1"/>
      <c r="B64" s="1"/>
      <c r="C64" s="2" t="s">
        <v>144</v>
      </c>
      <c r="D64" s="1"/>
      <c r="E64" s="1" t="s">
        <v>145</v>
      </c>
      <c r="F64" s="13" t="s">
        <v>147</v>
      </c>
      <c r="G64" s="10">
        <v>0</v>
      </c>
      <c r="H64" s="53"/>
    </row>
    <row r="65" spans="1:8" ht="14.1" customHeight="1" x14ac:dyDescent="0.2">
      <c r="A65" s="1"/>
      <c r="B65" s="1"/>
      <c r="C65" s="11"/>
      <c r="D65" s="1"/>
      <c r="E65" s="1"/>
      <c r="F65" s="12"/>
      <c r="G65" s="12"/>
      <c r="H65" s="53"/>
    </row>
    <row r="66" spans="1:8" ht="14.1" customHeight="1" x14ac:dyDescent="0.2">
      <c r="A66" s="1"/>
      <c r="B66" s="1"/>
      <c r="C66" s="2" t="s">
        <v>155</v>
      </c>
      <c r="D66" s="1"/>
      <c r="E66" s="1"/>
      <c r="F66" s="1"/>
      <c r="G66" s="1"/>
      <c r="H66" s="53"/>
    </row>
    <row r="67" spans="1:8" ht="14.1" customHeight="1" x14ac:dyDescent="0.2">
      <c r="A67" s="1"/>
      <c r="B67" s="1"/>
      <c r="C67" s="2" t="s">
        <v>144</v>
      </c>
      <c r="D67" s="1"/>
      <c r="E67" s="1" t="s">
        <v>145</v>
      </c>
      <c r="F67" s="13" t="s">
        <v>147</v>
      </c>
      <c r="G67" s="10">
        <v>0</v>
      </c>
      <c r="H67" s="53"/>
    </row>
    <row r="68" spans="1:8" ht="14.1" customHeight="1" x14ac:dyDescent="0.2">
      <c r="A68" s="1"/>
      <c r="B68" s="1"/>
      <c r="C68" s="11"/>
      <c r="D68" s="1"/>
      <c r="E68" s="1"/>
      <c r="F68" s="12"/>
      <c r="G68" s="12"/>
      <c r="H68" s="53"/>
    </row>
    <row r="69" spans="1:8" ht="14.1" customHeight="1" x14ac:dyDescent="0.2">
      <c r="A69" s="1"/>
      <c r="B69" s="1"/>
      <c r="C69" s="2" t="s">
        <v>156</v>
      </c>
      <c r="D69" s="1"/>
      <c r="E69" s="1"/>
      <c r="F69" s="12"/>
      <c r="G69" s="12"/>
      <c r="H69" s="53"/>
    </row>
    <row r="70" spans="1:8" ht="14.1" customHeight="1" x14ac:dyDescent="0.2">
      <c r="A70" s="1"/>
      <c r="B70" s="1"/>
      <c r="C70" s="2" t="s">
        <v>144</v>
      </c>
      <c r="D70" s="1"/>
      <c r="E70" s="1" t="s">
        <v>145</v>
      </c>
      <c r="F70" s="13" t="s">
        <v>147</v>
      </c>
      <c r="G70" s="10">
        <v>0</v>
      </c>
      <c r="H70" s="53"/>
    </row>
    <row r="71" spans="1:8" ht="14.1" customHeight="1" x14ac:dyDescent="0.2">
      <c r="A71" s="1"/>
      <c r="B71" s="1"/>
      <c r="C71" s="11"/>
      <c r="D71" s="1"/>
      <c r="E71" s="1"/>
      <c r="F71" s="12"/>
      <c r="G71" s="12"/>
      <c r="H71" s="53"/>
    </row>
    <row r="72" spans="1:8" ht="14.1" customHeight="1" x14ac:dyDescent="0.2">
      <c r="A72" s="1"/>
      <c r="B72" s="1"/>
      <c r="C72" s="2" t="s">
        <v>157</v>
      </c>
      <c r="D72" s="1"/>
      <c r="E72" s="1"/>
      <c r="F72" s="9">
        <v>0</v>
      </c>
      <c r="G72" s="10">
        <v>0</v>
      </c>
      <c r="H72" s="53"/>
    </row>
    <row r="73" spans="1:8" ht="14.1" customHeight="1" x14ac:dyDescent="0.2">
      <c r="A73" s="1"/>
      <c r="B73" s="1"/>
      <c r="C73" s="11"/>
      <c r="D73" s="1"/>
      <c r="E73" s="1"/>
      <c r="F73" s="12"/>
      <c r="G73" s="12"/>
      <c r="H73" s="53"/>
    </row>
    <row r="74" spans="1:8" ht="14.1" customHeight="1" x14ac:dyDescent="0.2">
      <c r="A74" s="1"/>
      <c r="B74" s="1"/>
      <c r="C74" s="2" t="s">
        <v>158</v>
      </c>
      <c r="D74" s="1"/>
      <c r="E74" s="1"/>
      <c r="F74" s="12"/>
      <c r="G74" s="12"/>
      <c r="H74" s="53"/>
    </row>
    <row r="75" spans="1:8" ht="14.1" customHeight="1" x14ac:dyDescent="0.2">
      <c r="A75" s="1"/>
      <c r="B75" s="1"/>
      <c r="C75" s="2" t="s">
        <v>159</v>
      </c>
      <c r="D75" s="1"/>
      <c r="E75" s="1"/>
      <c r="F75" s="12"/>
      <c r="G75" s="12"/>
      <c r="H75" s="53"/>
    </row>
    <row r="76" spans="1:8" ht="14.1" customHeight="1" x14ac:dyDescent="0.2">
      <c r="A76" s="1"/>
      <c r="B76" s="1"/>
      <c r="C76" s="2" t="s">
        <v>144</v>
      </c>
      <c r="D76" s="1"/>
      <c r="E76" s="1" t="s">
        <v>145</v>
      </c>
      <c r="F76" s="13" t="s">
        <v>147</v>
      </c>
      <c r="G76" s="10">
        <v>0</v>
      </c>
      <c r="H76" s="53"/>
    </row>
    <row r="77" spans="1:8" ht="14.1" customHeight="1" x14ac:dyDescent="0.2">
      <c r="A77" s="1"/>
      <c r="B77" s="1"/>
      <c r="C77" s="11"/>
      <c r="D77" s="1"/>
      <c r="E77" s="1"/>
      <c r="F77" s="12"/>
      <c r="G77" s="12"/>
      <c r="H77" s="53"/>
    </row>
    <row r="78" spans="1:8" ht="14.1" customHeight="1" x14ac:dyDescent="0.2">
      <c r="A78" s="1"/>
      <c r="B78" s="1"/>
      <c r="C78" s="2" t="s">
        <v>160</v>
      </c>
      <c r="D78" s="1"/>
      <c r="E78" s="1"/>
      <c r="F78" s="12"/>
      <c r="G78" s="12"/>
      <c r="H78" s="53"/>
    </row>
    <row r="79" spans="1:8" ht="14.1" customHeight="1" x14ac:dyDescent="0.2">
      <c r="A79" s="1"/>
      <c r="B79" s="1"/>
      <c r="C79" s="2" t="s">
        <v>144</v>
      </c>
      <c r="D79" s="1"/>
      <c r="E79" s="1" t="s">
        <v>145</v>
      </c>
      <c r="F79" s="13" t="s">
        <v>147</v>
      </c>
      <c r="G79" s="10">
        <v>0</v>
      </c>
      <c r="H79" s="53"/>
    </row>
    <row r="80" spans="1:8" ht="14.1" customHeight="1" x14ac:dyDescent="0.2">
      <c r="A80" s="1"/>
      <c r="B80" s="1"/>
      <c r="C80" s="11"/>
      <c r="D80" s="1"/>
      <c r="E80" s="1"/>
      <c r="F80" s="12"/>
      <c r="G80" s="12"/>
      <c r="H80" s="53"/>
    </row>
    <row r="81" spans="1:8" ht="14.1" customHeight="1" x14ac:dyDescent="0.2">
      <c r="A81" s="1"/>
      <c r="B81" s="1"/>
      <c r="C81" s="2" t="s">
        <v>161</v>
      </c>
      <c r="D81" s="1"/>
      <c r="E81" s="1"/>
      <c r="F81" s="12"/>
      <c r="G81" s="12"/>
      <c r="H81" s="53"/>
    </row>
    <row r="82" spans="1:8" ht="14.1" customHeight="1" x14ac:dyDescent="0.2">
      <c r="A82" s="1"/>
      <c r="B82" s="1"/>
      <c r="C82" s="2" t="s">
        <v>144</v>
      </c>
      <c r="D82" s="1"/>
      <c r="E82" s="1" t="s">
        <v>145</v>
      </c>
      <c r="F82" s="13" t="s">
        <v>147</v>
      </c>
      <c r="G82" s="10">
        <v>0</v>
      </c>
      <c r="H82" s="53"/>
    </row>
    <row r="83" spans="1:8" ht="14.1" customHeight="1" x14ac:dyDescent="0.2">
      <c r="A83" s="1"/>
      <c r="B83" s="1"/>
      <c r="C83" s="11"/>
      <c r="D83" s="1"/>
      <c r="E83" s="1"/>
      <c r="F83" s="12"/>
      <c r="G83" s="12"/>
      <c r="H83" s="53"/>
    </row>
    <row r="84" spans="1:8" ht="14.1" customHeight="1" x14ac:dyDescent="0.2">
      <c r="A84" s="1"/>
      <c r="B84" s="1"/>
      <c r="C84" s="2" t="s">
        <v>162</v>
      </c>
      <c r="D84" s="1"/>
      <c r="E84" s="1"/>
      <c r="F84" s="12"/>
      <c r="G84" s="12"/>
      <c r="H84" s="53"/>
    </row>
    <row r="85" spans="1:8" ht="17.100000000000001" customHeight="1" x14ac:dyDescent="0.2">
      <c r="A85" s="3">
        <v>1</v>
      </c>
      <c r="B85" s="4"/>
      <c r="C85" s="4" t="s">
        <v>163</v>
      </c>
      <c r="D85" s="4"/>
      <c r="E85" s="8"/>
      <c r="F85" s="6">
        <v>21.025656999999999</v>
      </c>
      <c r="G85" s="7">
        <v>1.8534700000000001E-2</v>
      </c>
      <c r="H85" s="51">
        <v>6.6602331647804478</v>
      </c>
    </row>
    <row r="86" spans="1:8" ht="17.100000000000001" customHeight="1" x14ac:dyDescent="0.2">
      <c r="A86" s="3">
        <v>2</v>
      </c>
      <c r="B86" s="4"/>
      <c r="C86" s="4" t="s">
        <v>164</v>
      </c>
      <c r="D86" s="4"/>
      <c r="E86" s="8"/>
      <c r="F86" s="6">
        <v>16.0747067</v>
      </c>
      <c r="G86" s="7">
        <v>1.41703E-2</v>
      </c>
      <c r="H86" s="51">
        <v>6.6588225936582406</v>
      </c>
    </row>
    <row r="87" spans="1:8" ht="14.1" customHeight="1" x14ac:dyDescent="0.2">
      <c r="A87" s="1"/>
      <c r="B87" s="1"/>
      <c r="C87" s="2" t="s">
        <v>144</v>
      </c>
      <c r="D87" s="1"/>
      <c r="E87" s="1" t="s">
        <v>145</v>
      </c>
      <c r="F87" s="9">
        <v>37.100363700000003</v>
      </c>
      <c r="G87" s="10">
        <v>3.2704999999999998E-2</v>
      </c>
      <c r="H87" s="53"/>
    </row>
    <row r="88" spans="1:8" ht="14.1" customHeight="1" x14ac:dyDescent="0.2">
      <c r="A88" s="1"/>
      <c r="B88" s="1"/>
      <c r="C88" s="11"/>
      <c r="D88" s="1"/>
      <c r="E88" s="1"/>
      <c r="F88" s="12"/>
      <c r="G88" s="12"/>
      <c r="H88" s="53"/>
    </row>
    <row r="89" spans="1:8" ht="14.1" customHeight="1" x14ac:dyDescent="0.2">
      <c r="A89" s="1"/>
      <c r="B89" s="1"/>
      <c r="C89" s="2" t="s">
        <v>165</v>
      </c>
      <c r="D89" s="1"/>
      <c r="E89" s="1"/>
      <c r="F89" s="9">
        <v>37.100363700000003</v>
      </c>
      <c r="G89" s="10">
        <v>3.2704999999999998E-2</v>
      </c>
      <c r="H89" s="53"/>
    </row>
    <row r="90" spans="1:8" ht="14.1" customHeight="1" x14ac:dyDescent="0.2">
      <c r="A90" s="1"/>
      <c r="B90" s="1"/>
      <c r="C90" s="12"/>
      <c r="D90" s="1"/>
      <c r="E90" s="1"/>
      <c r="F90" s="1"/>
      <c r="G90" s="1"/>
      <c r="H90" s="53"/>
    </row>
    <row r="91" spans="1:8" ht="14.1" customHeight="1" x14ac:dyDescent="0.2">
      <c r="A91" s="1"/>
      <c r="B91" s="1"/>
      <c r="C91" s="2" t="s">
        <v>166</v>
      </c>
      <c r="D91" s="1"/>
      <c r="E91" s="1"/>
      <c r="F91" s="1"/>
      <c r="G91" s="1"/>
      <c r="H91" s="53"/>
    </row>
    <row r="92" spans="1:8" ht="14.1" customHeight="1" x14ac:dyDescent="0.2">
      <c r="A92" s="1"/>
      <c r="B92" s="1"/>
      <c r="C92" s="2" t="s">
        <v>167</v>
      </c>
      <c r="D92" s="1"/>
      <c r="E92" s="1"/>
      <c r="F92" s="1"/>
      <c r="G92" s="1"/>
      <c r="H92" s="53"/>
    </row>
    <row r="93" spans="1:8" ht="14.1" customHeight="1" x14ac:dyDescent="0.2">
      <c r="A93" s="1"/>
      <c r="B93" s="1"/>
      <c r="C93" s="2" t="s">
        <v>144</v>
      </c>
      <c r="D93" s="1"/>
      <c r="E93" s="1" t="s">
        <v>145</v>
      </c>
      <c r="F93" s="13" t="s">
        <v>147</v>
      </c>
      <c r="G93" s="10">
        <v>0</v>
      </c>
      <c r="H93" s="53"/>
    </row>
    <row r="94" spans="1:8" ht="14.1" customHeight="1" x14ac:dyDescent="0.2">
      <c r="A94" s="1"/>
      <c r="B94" s="1"/>
      <c r="C94" s="11"/>
      <c r="D94" s="1"/>
      <c r="E94" s="1"/>
      <c r="F94" s="12"/>
      <c r="G94" s="12"/>
      <c r="H94" s="53"/>
    </row>
    <row r="95" spans="1:8" ht="14.1" customHeight="1" x14ac:dyDescent="0.2">
      <c r="A95" s="1"/>
      <c r="B95" s="1"/>
      <c r="C95" s="2" t="s">
        <v>168</v>
      </c>
      <c r="D95" s="1"/>
      <c r="E95" s="1"/>
      <c r="F95" s="1"/>
      <c r="G95" s="1"/>
      <c r="H95" s="53"/>
    </row>
    <row r="96" spans="1:8" ht="14.1" customHeight="1" x14ac:dyDescent="0.2">
      <c r="A96" s="1"/>
      <c r="B96" s="1"/>
      <c r="C96" s="2" t="s">
        <v>169</v>
      </c>
      <c r="D96" s="1"/>
      <c r="E96" s="1"/>
      <c r="F96" s="1"/>
      <c r="G96" s="1"/>
      <c r="H96" s="53"/>
    </row>
    <row r="97" spans="1:8" ht="14.1" customHeight="1" x14ac:dyDescent="0.2">
      <c r="A97" s="1"/>
      <c r="B97" s="1"/>
      <c r="C97" s="2" t="s">
        <v>144</v>
      </c>
      <c r="D97" s="1"/>
      <c r="E97" s="1" t="s">
        <v>145</v>
      </c>
      <c r="F97" s="13" t="s">
        <v>147</v>
      </c>
      <c r="G97" s="10">
        <v>0</v>
      </c>
      <c r="H97" s="53"/>
    </row>
    <row r="98" spans="1:8" ht="14.1" customHeight="1" x14ac:dyDescent="0.2">
      <c r="A98" s="1"/>
      <c r="B98" s="1"/>
      <c r="C98" s="11"/>
      <c r="D98" s="1"/>
      <c r="E98" s="1"/>
      <c r="F98" s="12"/>
      <c r="G98" s="12"/>
      <c r="H98" s="53"/>
    </row>
    <row r="99" spans="1:8" ht="24" customHeight="1" x14ac:dyDescent="0.2">
      <c r="A99" s="1"/>
      <c r="B99" s="1"/>
      <c r="C99" s="2" t="s">
        <v>170</v>
      </c>
      <c r="D99" s="1"/>
      <c r="E99" s="1"/>
      <c r="F99" s="12"/>
      <c r="G99" s="12"/>
      <c r="H99" s="53"/>
    </row>
    <row r="100" spans="1:8" ht="14.1" customHeight="1" x14ac:dyDescent="0.2">
      <c r="A100" s="1"/>
      <c r="B100" s="1"/>
      <c r="C100" s="2" t="s">
        <v>144</v>
      </c>
      <c r="D100" s="1"/>
      <c r="E100" s="1" t="s">
        <v>145</v>
      </c>
      <c r="F100" s="13" t="s">
        <v>147</v>
      </c>
      <c r="G100" s="10">
        <v>0</v>
      </c>
      <c r="H100" s="53"/>
    </row>
    <row r="101" spans="1:8" ht="14.1" customHeight="1" x14ac:dyDescent="0.2">
      <c r="A101" s="1"/>
      <c r="B101" s="1"/>
      <c r="C101" s="11"/>
      <c r="D101" s="1"/>
      <c r="E101" s="1"/>
      <c r="F101" s="12"/>
      <c r="G101" s="12"/>
      <c r="H101" s="53"/>
    </row>
    <row r="102" spans="1:8" ht="14.1" customHeight="1" x14ac:dyDescent="0.2">
      <c r="A102" s="1"/>
      <c r="B102" s="4"/>
      <c r="C102" s="4"/>
      <c r="D102" s="2"/>
      <c r="E102" s="1"/>
      <c r="F102" s="4"/>
      <c r="G102" s="8"/>
      <c r="H102" s="53"/>
    </row>
    <row r="103" spans="1:8" ht="18" customHeight="1" x14ac:dyDescent="0.2">
      <c r="A103" s="8"/>
      <c r="B103" s="4"/>
      <c r="C103" s="4" t="s">
        <v>171</v>
      </c>
      <c r="D103" s="4"/>
      <c r="E103" s="8"/>
      <c r="F103" s="6">
        <v>-2.6831401800000001</v>
      </c>
      <c r="G103" s="7">
        <v>-2.3652600000000001E-3</v>
      </c>
      <c r="H103" s="53"/>
    </row>
    <row r="104" spans="1:8" ht="14.1" customHeight="1" x14ac:dyDescent="0.2">
      <c r="A104" s="11"/>
      <c r="B104" s="11"/>
      <c r="C104" s="2" t="s">
        <v>172</v>
      </c>
      <c r="D104" s="12"/>
      <c r="E104" s="12"/>
      <c r="F104" s="9">
        <v>1134.3943315199999</v>
      </c>
      <c r="G104" s="14">
        <v>1.00000003</v>
      </c>
      <c r="H104" s="53"/>
    </row>
    <row r="105" spans="1:8" ht="14.1" customHeight="1" x14ac:dyDescent="0.2">
      <c r="A105" s="15"/>
      <c r="B105" s="15"/>
      <c r="C105" s="15"/>
      <c r="D105" s="16"/>
      <c r="E105" s="16"/>
      <c r="F105" s="16"/>
      <c r="G105" s="16"/>
    </row>
    <row r="106" spans="1:8" ht="14.1" customHeight="1" x14ac:dyDescent="0.2">
      <c r="A106" s="17"/>
      <c r="B106" s="17"/>
      <c r="C106" s="17"/>
      <c r="D106" s="19"/>
      <c r="E106" s="19"/>
      <c r="F106" s="19"/>
      <c r="G106" s="19"/>
    </row>
    <row r="107" spans="1:8" ht="14.1" customHeight="1" x14ac:dyDescent="0.2">
      <c r="A107" s="17"/>
      <c r="B107" s="231" t="s">
        <v>174</v>
      </c>
      <c r="C107" s="232"/>
      <c r="D107" s="233"/>
      <c r="E107" s="20"/>
      <c r="F107" s="19"/>
      <c r="G107" s="19"/>
    </row>
    <row r="108" spans="1:8" ht="29.1" customHeight="1" x14ac:dyDescent="0.2">
      <c r="A108" s="17"/>
      <c r="B108" s="226" t="s">
        <v>175</v>
      </c>
      <c r="C108" s="227"/>
      <c r="D108" s="2" t="s">
        <v>176</v>
      </c>
      <c r="E108" s="20"/>
      <c r="F108" s="19"/>
      <c r="G108" s="19"/>
    </row>
    <row r="109" spans="1:8" ht="17.100000000000001" customHeight="1" x14ac:dyDescent="0.2">
      <c r="A109" s="17"/>
      <c r="B109" s="226" t="s">
        <v>177</v>
      </c>
      <c r="C109" s="227"/>
      <c r="D109" s="2" t="s">
        <v>176</v>
      </c>
      <c r="E109" s="20"/>
      <c r="F109" s="19"/>
      <c r="G109" s="19"/>
    </row>
    <row r="110" spans="1:8" ht="17.100000000000001" customHeight="1" x14ac:dyDescent="0.2">
      <c r="A110" s="17"/>
      <c r="B110" s="226" t="s">
        <v>178</v>
      </c>
      <c r="C110" s="227"/>
      <c r="D110" s="12" t="s">
        <v>145</v>
      </c>
      <c r="E110" s="20"/>
      <c r="F110" s="19"/>
      <c r="G110" s="19"/>
    </row>
    <row r="111" spans="1:8" ht="24" customHeight="1" x14ac:dyDescent="0.2">
      <c r="A111" s="21"/>
      <c r="B111" s="22" t="s">
        <v>145</v>
      </c>
      <c r="C111" s="22" t="s">
        <v>179</v>
      </c>
      <c r="D111" s="22" t="s">
        <v>180</v>
      </c>
      <c r="E111" s="21"/>
      <c r="F111" s="21"/>
      <c r="G111" s="21"/>
    </row>
    <row r="112" spans="1:8" ht="18" customHeight="1" x14ac:dyDescent="0.2">
      <c r="A112" s="21"/>
      <c r="B112" s="23" t="s">
        <v>181</v>
      </c>
      <c r="C112" s="22" t="s">
        <v>182</v>
      </c>
      <c r="D112" s="22" t="s">
        <v>183</v>
      </c>
      <c r="E112" s="21"/>
      <c r="F112" s="21"/>
      <c r="G112" s="21"/>
    </row>
    <row r="113" spans="1:14" ht="17.100000000000001" customHeight="1" x14ac:dyDescent="0.2">
      <c r="A113" s="21"/>
      <c r="B113" s="4" t="s">
        <v>184</v>
      </c>
      <c r="C113" s="24">
        <v>28.261500000000002</v>
      </c>
      <c r="D113" s="24">
        <v>27.6799</v>
      </c>
      <c r="E113" s="21"/>
      <c r="F113" s="18"/>
      <c r="G113" s="25"/>
    </row>
    <row r="114" spans="1:14" ht="17.100000000000001" customHeight="1" x14ac:dyDescent="0.2">
      <c r="A114" s="21"/>
      <c r="B114" s="4" t="s">
        <v>1009</v>
      </c>
      <c r="C114" s="24">
        <v>22.898499999999999</v>
      </c>
      <c r="D114" s="24">
        <v>22.427299999999999</v>
      </c>
      <c r="E114" s="21"/>
      <c r="F114" s="18"/>
      <c r="G114" s="25"/>
    </row>
    <row r="115" spans="1:14" ht="17.100000000000001" customHeight="1" x14ac:dyDescent="0.2">
      <c r="A115" s="21"/>
      <c r="B115" s="4" t="s">
        <v>185</v>
      </c>
      <c r="C115" s="24">
        <v>27.526900000000001</v>
      </c>
      <c r="D115" s="24">
        <v>26.9557</v>
      </c>
      <c r="E115" s="21"/>
      <c r="F115" s="18"/>
      <c r="G115" s="25"/>
    </row>
    <row r="116" spans="1:14" ht="17.100000000000001" customHeight="1" x14ac:dyDescent="0.2">
      <c r="A116" s="21"/>
      <c r="B116" s="4" t="s">
        <v>1010</v>
      </c>
      <c r="C116" s="24">
        <v>22.217700000000001</v>
      </c>
      <c r="D116" s="24">
        <v>21.756699999999999</v>
      </c>
      <c r="E116" s="21"/>
      <c r="F116" s="18"/>
      <c r="G116" s="25"/>
    </row>
    <row r="117" spans="1:14" ht="14.1" customHeight="1" x14ac:dyDescent="0.2">
      <c r="A117" s="21"/>
      <c r="B117" s="21"/>
      <c r="C117" s="21"/>
      <c r="D117" s="21"/>
      <c r="E117" s="21"/>
      <c r="F117" s="21"/>
      <c r="G117" s="21"/>
    </row>
    <row r="118" spans="1:14" ht="17.100000000000001" customHeight="1" x14ac:dyDescent="0.2">
      <c r="A118" s="21"/>
      <c r="B118" s="226" t="s">
        <v>1011</v>
      </c>
      <c r="C118" s="227"/>
      <c r="D118" s="2" t="s">
        <v>176</v>
      </c>
      <c r="E118" s="21"/>
      <c r="F118" s="21"/>
      <c r="G118" s="21"/>
    </row>
    <row r="119" spans="1:14" ht="18" customHeight="1" x14ac:dyDescent="0.2">
      <c r="A119" s="21"/>
      <c r="B119" s="26"/>
      <c r="C119" s="26"/>
      <c r="D119" s="26"/>
      <c r="E119" s="21"/>
      <c r="F119" s="21"/>
      <c r="G119" s="21"/>
    </row>
    <row r="120" spans="1:14" ht="29.1" customHeight="1" x14ac:dyDescent="0.2">
      <c r="A120" s="21"/>
      <c r="B120" s="226" t="s">
        <v>186</v>
      </c>
      <c r="C120" s="227"/>
      <c r="D120" s="2" t="s">
        <v>176</v>
      </c>
      <c r="E120" s="27"/>
      <c r="F120" s="21"/>
      <c r="G120" s="21"/>
    </row>
    <row r="121" spans="1:14" ht="29.1" customHeight="1" x14ac:dyDescent="0.2">
      <c r="A121" s="21"/>
      <c r="B121" s="226" t="s">
        <v>187</v>
      </c>
      <c r="C121" s="227"/>
      <c r="D121" s="2" t="s">
        <v>176</v>
      </c>
      <c r="E121" s="27"/>
      <c r="F121" s="21"/>
      <c r="G121" s="21"/>
    </row>
    <row r="122" spans="1:14" ht="17.100000000000001" customHeight="1" x14ac:dyDescent="0.2">
      <c r="A122" s="21"/>
      <c r="B122" s="226" t="s">
        <v>188</v>
      </c>
      <c r="C122" s="227"/>
      <c r="D122" s="2" t="s">
        <v>176</v>
      </c>
      <c r="E122" s="27"/>
      <c r="F122" s="21"/>
      <c r="G122" s="21"/>
    </row>
    <row r="123" spans="1:14" ht="17.100000000000001" customHeight="1" x14ac:dyDescent="0.2">
      <c r="A123" s="21"/>
      <c r="B123" s="226" t="s">
        <v>189</v>
      </c>
      <c r="C123" s="227"/>
      <c r="D123" s="28">
        <v>0</v>
      </c>
      <c r="E123" s="21"/>
      <c r="F123" s="18"/>
      <c r="G123" s="25"/>
    </row>
    <row r="127" spans="1:14" x14ac:dyDescent="0.2">
      <c r="J127" s="143"/>
      <c r="K127" s="143"/>
      <c r="L127" s="143"/>
      <c r="M127" s="143"/>
      <c r="N127" s="143"/>
    </row>
  </sheetData>
  <mergeCells count="13">
    <mergeCell ref="A1:H1"/>
    <mergeCell ref="A2:H2"/>
    <mergeCell ref="A3:H3"/>
    <mergeCell ref="J2:N2"/>
    <mergeCell ref="B123:C123"/>
    <mergeCell ref="B109:C109"/>
    <mergeCell ref="B110:C110"/>
    <mergeCell ref="B118:C118"/>
    <mergeCell ref="B120:C120"/>
    <mergeCell ref="B121:C121"/>
    <mergeCell ref="B122:C122"/>
    <mergeCell ref="B108:C108"/>
    <mergeCell ref="B107:D107"/>
  </mergeCells>
  <hyperlinks>
    <hyperlink ref="I1" location="Index!B11" display="Index" xr:uid="{DC440FE5-C431-459F-AD9F-6F2623C43EA5}"/>
  </hyperlinks>
  <pageMargins left="5.000000074505806E-2" right="5.000000074505806E-2" top="0.30000001192092896" bottom="0.20000000298023224" header="0" footer="0"/>
  <pageSetup paperSize="9"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57"/>
  <sheetViews>
    <sheetView showGridLines="0" workbookViewId="0">
      <selection activeCell="F66" activeCellId="1" sqref="F56 F66"/>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474</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50</v>
      </c>
      <c r="C7" s="4" t="s">
        <v>51</v>
      </c>
      <c r="D7" s="4" t="s">
        <v>31</v>
      </c>
      <c r="E7" s="5">
        <v>13792</v>
      </c>
      <c r="F7" s="6">
        <v>373.41840000000002</v>
      </c>
      <c r="G7" s="7">
        <v>4.7622879999999999E-2</v>
      </c>
      <c r="H7" s="53"/>
    </row>
    <row r="8" spans="1:14" ht="17.100000000000001" customHeight="1" x14ac:dyDescent="0.2">
      <c r="A8" s="3">
        <v>2</v>
      </c>
      <c r="B8" s="4" t="s">
        <v>381</v>
      </c>
      <c r="C8" s="4" t="s">
        <v>382</v>
      </c>
      <c r="D8" s="4" t="s">
        <v>73</v>
      </c>
      <c r="E8" s="5">
        <v>9918</v>
      </c>
      <c r="F8" s="6">
        <v>365.43862799999999</v>
      </c>
      <c r="G8" s="7">
        <v>4.6605199999999999E-2</v>
      </c>
      <c r="H8" s="53"/>
    </row>
    <row r="9" spans="1:14" ht="17.100000000000001" customHeight="1" x14ac:dyDescent="0.2">
      <c r="A9" s="3">
        <v>3</v>
      </c>
      <c r="B9" s="4" t="s">
        <v>383</v>
      </c>
      <c r="C9" s="4" t="s">
        <v>384</v>
      </c>
      <c r="D9" s="4" t="s">
        <v>28</v>
      </c>
      <c r="E9" s="5">
        <v>382570</v>
      </c>
      <c r="F9" s="6">
        <v>346.22584999999998</v>
      </c>
      <c r="G9" s="7">
        <v>4.4154949999999998E-2</v>
      </c>
      <c r="H9" s="53"/>
    </row>
    <row r="10" spans="1:14" ht="17.100000000000001" customHeight="1" x14ac:dyDescent="0.2">
      <c r="A10" s="3">
        <v>4</v>
      </c>
      <c r="B10" s="4" t="s">
        <v>131</v>
      </c>
      <c r="C10" s="4" t="s">
        <v>132</v>
      </c>
      <c r="D10" s="4" t="s">
        <v>73</v>
      </c>
      <c r="E10" s="5">
        <v>88376</v>
      </c>
      <c r="F10" s="6">
        <v>334.10546799999997</v>
      </c>
      <c r="G10" s="7">
        <v>4.2609210000000002E-2</v>
      </c>
      <c r="H10" s="53"/>
    </row>
    <row r="11" spans="1:14" ht="17.100000000000001" customHeight="1" x14ac:dyDescent="0.2">
      <c r="A11" s="3">
        <v>5</v>
      </c>
      <c r="B11" s="4" t="s">
        <v>34</v>
      </c>
      <c r="C11" s="4" t="s">
        <v>35</v>
      </c>
      <c r="D11" s="4" t="s">
        <v>31</v>
      </c>
      <c r="E11" s="5">
        <v>11388</v>
      </c>
      <c r="F11" s="6">
        <v>317.94157200000001</v>
      </c>
      <c r="G11" s="7">
        <v>4.0547800000000002E-2</v>
      </c>
      <c r="H11" s="53"/>
    </row>
    <row r="12" spans="1:14" ht="17.100000000000001" customHeight="1" x14ac:dyDescent="0.2">
      <c r="A12" s="3">
        <v>6</v>
      </c>
      <c r="B12" s="4" t="s">
        <v>410</v>
      </c>
      <c r="C12" s="4" t="s">
        <v>411</v>
      </c>
      <c r="D12" s="4" t="s">
        <v>397</v>
      </c>
      <c r="E12" s="5">
        <v>16028</v>
      </c>
      <c r="F12" s="6">
        <v>299.69955800000002</v>
      </c>
      <c r="G12" s="7">
        <v>3.8221350000000001E-2</v>
      </c>
      <c r="H12" s="53"/>
    </row>
    <row r="13" spans="1:14" ht="17.100000000000001" customHeight="1" x14ac:dyDescent="0.2">
      <c r="A13" s="3">
        <v>7</v>
      </c>
      <c r="B13" s="4" t="s">
        <v>389</v>
      </c>
      <c r="C13" s="4" t="s">
        <v>390</v>
      </c>
      <c r="D13" s="4" t="s">
        <v>209</v>
      </c>
      <c r="E13" s="5">
        <v>72529</v>
      </c>
      <c r="F13" s="6">
        <v>254.57678999999999</v>
      </c>
      <c r="G13" s="7">
        <v>3.2466750000000003E-2</v>
      </c>
      <c r="H13" s="53"/>
      <c r="J13" s="142" t="s">
        <v>1036</v>
      </c>
    </row>
    <row r="14" spans="1:14" ht="17.100000000000001" customHeight="1" x14ac:dyDescent="0.2">
      <c r="A14" s="3">
        <v>8</v>
      </c>
      <c r="B14" s="4" t="s">
        <v>98</v>
      </c>
      <c r="C14" s="4" t="s">
        <v>99</v>
      </c>
      <c r="D14" s="4" t="s">
        <v>92</v>
      </c>
      <c r="E14" s="5">
        <v>40332</v>
      </c>
      <c r="F14" s="6">
        <v>239.08809600000001</v>
      </c>
      <c r="G14" s="7">
        <v>3.0491440000000002E-2</v>
      </c>
      <c r="H14" s="53"/>
    </row>
    <row r="15" spans="1:14" ht="17.100000000000001" customHeight="1" x14ac:dyDescent="0.2">
      <c r="A15" s="3">
        <v>9</v>
      </c>
      <c r="B15" s="4" t="s">
        <v>42</v>
      </c>
      <c r="C15" s="4" t="s">
        <v>43</v>
      </c>
      <c r="D15" s="4" t="s">
        <v>31</v>
      </c>
      <c r="E15" s="5">
        <v>10116</v>
      </c>
      <c r="F15" s="6">
        <v>230.25027600000001</v>
      </c>
      <c r="G15" s="7">
        <v>2.9364330000000001E-2</v>
      </c>
      <c r="H15" s="53"/>
    </row>
    <row r="16" spans="1:14" ht="29.1" customHeight="1" x14ac:dyDescent="0.2">
      <c r="A16" s="3">
        <v>10</v>
      </c>
      <c r="B16" s="4" t="s">
        <v>199</v>
      </c>
      <c r="C16" s="4" t="s">
        <v>200</v>
      </c>
      <c r="D16" s="4" t="s">
        <v>201</v>
      </c>
      <c r="E16" s="5">
        <v>4936</v>
      </c>
      <c r="F16" s="6">
        <v>227.29539600000001</v>
      </c>
      <c r="G16" s="7">
        <v>2.8987490000000001E-2</v>
      </c>
      <c r="H16" s="53"/>
    </row>
    <row r="17" spans="1:8" ht="17.100000000000001" customHeight="1" x14ac:dyDescent="0.2">
      <c r="A17" s="3">
        <v>11</v>
      </c>
      <c r="B17" s="4" t="s">
        <v>427</v>
      </c>
      <c r="C17" s="4" t="s">
        <v>428</v>
      </c>
      <c r="D17" s="4" t="s">
        <v>905</v>
      </c>
      <c r="E17" s="5">
        <v>17726</v>
      </c>
      <c r="F17" s="6">
        <v>208.440034</v>
      </c>
      <c r="G17" s="7">
        <v>2.658282E-2</v>
      </c>
      <c r="H17" s="53"/>
    </row>
    <row r="18" spans="1:8" ht="17.100000000000001" customHeight="1" x14ac:dyDescent="0.2">
      <c r="A18" s="3">
        <v>12</v>
      </c>
      <c r="B18" s="4" t="s">
        <v>385</v>
      </c>
      <c r="C18" s="4" t="s">
        <v>386</v>
      </c>
      <c r="D18" s="4" t="s">
        <v>264</v>
      </c>
      <c r="E18" s="5">
        <v>11089</v>
      </c>
      <c r="F18" s="6">
        <v>198.5984455</v>
      </c>
      <c r="G18" s="7">
        <v>2.5327700000000002E-2</v>
      </c>
      <c r="H18" s="53"/>
    </row>
    <row r="19" spans="1:8" ht="17.100000000000001" customHeight="1" x14ac:dyDescent="0.2">
      <c r="A19" s="3">
        <v>13</v>
      </c>
      <c r="B19" s="4" t="s">
        <v>391</v>
      </c>
      <c r="C19" s="4" t="s">
        <v>392</v>
      </c>
      <c r="D19" s="4" t="s">
        <v>130</v>
      </c>
      <c r="E19" s="5">
        <v>26340</v>
      </c>
      <c r="F19" s="6">
        <v>197.90558999999999</v>
      </c>
      <c r="G19" s="7">
        <v>2.5239339999999999E-2</v>
      </c>
      <c r="H19" s="53"/>
    </row>
    <row r="20" spans="1:8" ht="17.100000000000001" customHeight="1" x14ac:dyDescent="0.2">
      <c r="A20" s="3">
        <v>14</v>
      </c>
      <c r="B20" s="4" t="s">
        <v>404</v>
      </c>
      <c r="C20" s="4" t="s">
        <v>405</v>
      </c>
      <c r="D20" s="4" t="s">
        <v>238</v>
      </c>
      <c r="E20" s="5">
        <v>76918</v>
      </c>
      <c r="F20" s="6">
        <v>192.87188499999999</v>
      </c>
      <c r="G20" s="7">
        <v>2.4597379999999999E-2</v>
      </c>
      <c r="H20" s="53"/>
    </row>
    <row r="21" spans="1:8" ht="29.1" customHeight="1" x14ac:dyDescent="0.2">
      <c r="A21" s="3">
        <v>15</v>
      </c>
      <c r="B21" s="4" t="s">
        <v>416</v>
      </c>
      <c r="C21" s="4" t="s">
        <v>417</v>
      </c>
      <c r="D21" s="4" t="s">
        <v>56</v>
      </c>
      <c r="E21" s="5">
        <v>6607</v>
      </c>
      <c r="F21" s="6">
        <v>186.58828700000001</v>
      </c>
      <c r="G21" s="7">
        <v>2.3796020000000001E-2</v>
      </c>
      <c r="H21" s="53"/>
    </row>
    <row r="22" spans="1:8" ht="17.100000000000001" customHeight="1" x14ac:dyDescent="0.2">
      <c r="A22" s="3">
        <v>16</v>
      </c>
      <c r="B22" s="4" t="s">
        <v>393</v>
      </c>
      <c r="C22" s="4" t="s">
        <v>394</v>
      </c>
      <c r="D22" s="4" t="s">
        <v>229</v>
      </c>
      <c r="E22" s="5">
        <v>12562</v>
      </c>
      <c r="F22" s="6">
        <v>179.05246700000001</v>
      </c>
      <c r="G22" s="7">
        <v>2.2834960000000001E-2</v>
      </c>
      <c r="H22" s="53"/>
    </row>
    <row r="23" spans="1:8" ht="17.100000000000001" customHeight="1" x14ac:dyDescent="0.2">
      <c r="A23" s="3">
        <v>17</v>
      </c>
      <c r="B23" s="4" t="s">
        <v>398</v>
      </c>
      <c r="C23" s="4" t="s">
        <v>399</v>
      </c>
      <c r="D23" s="4" t="s">
        <v>229</v>
      </c>
      <c r="E23" s="5">
        <v>18794</v>
      </c>
      <c r="F23" s="6">
        <v>176.33470500000001</v>
      </c>
      <c r="G23" s="7">
        <v>2.2488359999999999E-2</v>
      </c>
      <c r="H23" s="53"/>
    </row>
    <row r="24" spans="1:8" ht="17.100000000000001" customHeight="1" x14ac:dyDescent="0.2">
      <c r="A24" s="3">
        <v>18</v>
      </c>
      <c r="B24" s="4" t="s">
        <v>418</v>
      </c>
      <c r="C24" s="4" t="s">
        <v>419</v>
      </c>
      <c r="D24" s="4" t="s">
        <v>73</v>
      </c>
      <c r="E24" s="5">
        <v>24979</v>
      </c>
      <c r="F24" s="6">
        <v>171.0936605</v>
      </c>
      <c r="G24" s="7">
        <v>2.1819959999999999E-2</v>
      </c>
      <c r="H24" s="53"/>
    </row>
    <row r="25" spans="1:8" ht="17.100000000000001" customHeight="1" x14ac:dyDescent="0.2">
      <c r="A25" s="3">
        <v>19</v>
      </c>
      <c r="B25" s="4" t="s">
        <v>395</v>
      </c>
      <c r="C25" s="4" t="s">
        <v>396</v>
      </c>
      <c r="D25" s="4" t="s">
        <v>397</v>
      </c>
      <c r="E25" s="5">
        <v>9937</v>
      </c>
      <c r="F25" s="6">
        <v>167.7614025</v>
      </c>
      <c r="G25" s="7">
        <v>2.1394989999999999E-2</v>
      </c>
      <c r="H25" s="53"/>
    </row>
    <row r="26" spans="1:8" ht="17.100000000000001" customHeight="1" x14ac:dyDescent="0.2">
      <c r="A26" s="3">
        <v>20</v>
      </c>
      <c r="B26" s="4" t="s">
        <v>437</v>
      </c>
      <c r="C26" s="4" t="s">
        <v>438</v>
      </c>
      <c r="D26" s="4" t="s">
        <v>229</v>
      </c>
      <c r="E26" s="5">
        <v>65797</v>
      </c>
      <c r="F26" s="6">
        <v>158.833958</v>
      </c>
      <c r="G26" s="7">
        <v>2.0256449999999999E-2</v>
      </c>
      <c r="H26" s="53"/>
    </row>
    <row r="27" spans="1:8" ht="29.1" customHeight="1" x14ac:dyDescent="0.2">
      <c r="A27" s="3">
        <v>21</v>
      </c>
      <c r="B27" s="4" t="s">
        <v>96</v>
      </c>
      <c r="C27" s="4" t="s">
        <v>97</v>
      </c>
      <c r="D27" s="4" t="s">
        <v>38</v>
      </c>
      <c r="E27" s="5">
        <v>6367</v>
      </c>
      <c r="F27" s="6">
        <v>156.787375</v>
      </c>
      <c r="G27" s="7">
        <v>1.999544E-2</v>
      </c>
      <c r="H27" s="53"/>
    </row>
    <row r="28" spans="1:8" ht="17.100000000000001" customHeight="1" x14ac:dyDescent="0.2">
      <c r="A28" s="3">
        <v>22</v>
      </c>
      <c r="B28" s="4" t="s">
        <v>406</v>
      </c>
      <c r="C28" s="4" t="s">
        <v>407</v>
      </c>
      <c r="D28" s="4" t="s">
        <v>130</v>
      </c>
      <c r="E28" s="5">
        <v>124593</v>
      </c>
      <c r="F28" s="6">
        <v>151.69197750000001</v>
      </c>
      <c r="G28" s="7">
        <v>1.9345620000000001E-2</v>
      </c>
      <c r="H28" s="53"/>
    </row>
    <row r="29" spans="1:8" ht="29.1" customHeight="1" x14ac:dyDescent="0.2">
      <c r="A29" s="3">
        <v>23</v>
      </c>
      <c r="B29" s="4" t="s">
        <v>420</v>
      </c>
      <c r="C29" s="4" t="s">
        <v>421</v>
      </c>
      <c r="D29" s="4" t="s">
        <v>422</v>
      </c>
      <c r="E29" s="5">
        <v>96813</v>
      </c>
      <c r="F29" s="6">
        <v>149.43086550000001</v>
      </c>
      <c r="G29" s="7">
        <v>1.9057250000000001E-2</v>
      </c>
      <c r="H29" s="53"/>
    </row>
    <row r="30" spans="1:8" ht="29.1" customHeight="1" x14ac:dyDescent="0.2">
      <c r="A30" s="3">
        <v>24</v>
      </c>
      <c r="B30" s="4" t="s">
        <v>102</v>
      </c>
      <c r="C30" s="4" t="s">
        <v>103</v>
      </c>
      <c r="D30" s="4" t="s">
        <v>25</v>
      </c>
      <c r="E30" s="5">
        <v>4362</v>
      </c>
      <c r="F30" s="6">
        <v>143.75843399999999</v>
      </c>
      <c r="G30" s="7">
        <v>1.8333829999999999E-2</v>
      </c>
      <c r="H30" s="53"/>
    </row>
    <row r="31" spans="1:8" ht="17.100000000000001" customHeight="1" x14ac:dyDescent="0.2">
      <c r="A31" s="3">
        <v>25</v>
      </c>
      <c r="B31" s="4" t="s">
        <v>400</v>
      </c>
      <c r="C31" s="4" t="s">
        <v>401</v>
      </c>
      <c r="D31" s="4" t="s">
        <v>73</v>
      </c>
      <c r="E31" s="5">
        <v>11192</v>
      </c>
      <c r="F31" s="6">
        <v>135.68061599999999</v>
      </c>
      <c r="G31" s="7">
        <v>1.730365E-2</v>
      </c>
      <c r="H31" s="53"/>
    </row>
    <row r="32" spans="1:8" ht="17.100000000000001" customHeight="1" x14ac:dyDescent="0.2">
      <c r="A32" s="3">
        <v>26</v>
      </c>
      <c r="B32" s="4" t="s">
        <v>439</v>
      </c>
      <c r="C32" s="4" t="s">
        <v>440</v>
      </c>
      <c r="D32" s="4" t="s">
        <v>130</v>
      </c>
      <c r="E32" s="5">
        <v>15340</v>
      </c>
      <c r="F32" s="6">
        <v>127.97395</v>
      </c>
      <c r="G32" s="7">
        <v>1.63208E-2</v>
      </c>
      <c r="H32" s="53"/>
    </row>
    <row r="33" spans="1:8" ht="17.100000000000001" customHeight="1" x14ac:dyDescent="0.2">
      <c r="A33" s="3">
        <v>27</v>
      </c>
      <c r="B33" s="4" t="s">
        <v>423</v>
      </c>
      <c r="C33" s="4" t="s">
        <v>424</v>
      </c>
      <c r="D33" s="4" t="s">
        <v>906</v>
      </c>
      <c r="E33" s="5">
        <v>10759</v>
      </c>
      <c r="F33" s="6">
        <v>116.0089175</v>
      </c>
      <c r="G33" s="7">
        <v>1.479488E-2</v>
      </c>
      <c r="H33" s="53"/>
    </row>
    <row r="34" spans="1:8" ht="29.1" customHeight="1" x14ac:dyDescent="0.2">
      <c r="A34" s="3">
        <v>28</v>
      </c>
      <c r="B34" s="4" t="s">
        <v>429</v>
      </c>
      <c r="C34" s="4" t="s">
        <v>430</v>
      </c>
      <c r="D34" s="4" t="s">
        <v>224</v>
      </c>
      <c r="E34" s="5">
        <v>36034</v>
      </c>
      <c r="F34" s="6">
        <v>114.317865</v>
      </c>
      <c r="G34" s="7">
        <v>1.457921E-2</v>
      </c>
      <c r="H34" s="53"/>
    </row>
    <row r="35" spans="1:8" ht="29.1" customHeight="1" x14ac:dyDescent="0.2">
      <c r="A35" s="3">
        <v>29</v>
      </c>
      <c r="B35" s="4" t="s">
        <v>475</v>
      </c>
      <c r="C35" s="4" t="s">
        <v>476</v>
      </c>
      <c r="D35" s="4" t="s">
        <v>469</v>
      </c>
      <c r="E35" s="5">
        <v>18519</v>
      </c>
      <c r="F35" s="6">
        <v>112.22514</v>
      </c>
      <c r="G35" s="7">
        <v>1.431232E-2</v>
      </c>
      <c r="H35" s="53"/>
    </row>
    <row r="36" spans="1:8" ht="17.100000000000001" customHeight="1" x14ac:dyDescent="0.2">
      <c r="A36" s="3">
        <v>30</v>
      </c>
      <c r="B36" s="4" t="s">
        <v>433</v>
      </c>
      <c r="C36" s="4" t="s">
        <v>434</v>
      </c>
      <c r="D36" s="4" t="s">
        <v>73</v>
      </c>
      <c r="E36" s="5">
        <v>20256</v>
      </c>
      <c r="F36" s="6">
        <v>107.20488</v>
      </c>
      <c r="G36" s="7">
        <v>1.367208E-2</v>
      </c>
      <c r="H36" s="53"/>
    </row>
    <row r="37" spans="1:8" ht="17.100000000000001" customHeight="1" x14ac:dyDescent="0.2">
      <c r="A37" s="3">
        <v>31</v>
      </c>
      <c r="B37" s="4" t="s">
        <v>408</v>
      </c>
      <c r="C37" s="4" t="s">
        <v>409</v>
      </c>
      <c r="D37" s="4" t="s">
        <v>13</v>
      </c>
      <c r="E37" s="5">
        <v>104608</v>
      </c>
      <c r="F37" s="6">
        <v>106.22942399999999</v>
      </c>
      <c r="G37" s="7">
        <v>1.3547679999999999E-2</v>
      </c>
      <c r="H37" s="53"/>
    </row>
    <row r="38" spans="1:8" ht="29.1" customHeight="1" x14ac:dyDescent="0.2">
      <c r="A38" s="3">
        <v>32</v>
      </c>
      <c r="B38" s="4" t="s">
        <v>477</v>
      </c>
      <c r="C38" s="4" t="s">
        <v>478</v>
      </c>
      <c r="D38" s="4" t="s">
        <v>38</v>
      </c>
      <c r="E38" s="5">
        <v>26477</v>
      </c>
      <c r="F38" s="6">
        <v>104.87539700000001</v>
      </c>
      <c r="G38" s="7">
        <v>1.337499E-2</v>
      </c>
      <c r="H38" s="53"/>
    </row>
    <row r="39" spans="1:8" ht="29.1" customHeight="1" x14ac:dyDescent="0.2">
      <c r="A39" s="3">
        <v>33</v>
      </c>
      <c r="B39" s="4" t="s">
        <v>435</v>
      </c>
      <c r="C39" s="4" t="s">
        <v>436</v>
      </c>
      <c r="D39" s="4" t="s">
        <v>214</v>
      </c>
      <c r="E39" s="5">
        <v>18954</v>
      </c>
      <c r="F39" s="6">
        <v>90.571689000000006</v>
      </c>
      <c r="G39" s="7">
        <v>1.155081E-2</v>
      </c>
      <c r="H39" s="53"/>
    </row>
    <row r="40" spans="1:8" ht="17.100000000000001" customHeight="1" x14ac:dyDescent="0.2">
      <c r="A40" s="3">
        <v>34</v>
      </c>
      <c r="B40" s="4" t="s">
        <v>431</v>
      </c>
      <c r="C40" s="4" t="s">
        <v>432</v>
      </c>
      <c r="D40" s="4" t="s">
        <v>906</v>
      </c>
      <c r="E40" s="5">
        <v>5499</v>
      </c>
      <c r="F40" s="6">
        <v>90.037876499999996</v>
      </c>
      <c r="G40" s="7">
        <v>1.148273E-2</v>
      </c>
      <c r="H40" s="53"/>
    </row>
    <row r="41" spans="1:8" ht="29.1" customHeight="1" x14ac:dyDescent="0.2">
      <c r="A41" s="3">
        <v>35</v>
      </c>
      <c r="B41" s="4" t="s">
        <v>479</v>
      </c>
      <c r="C41" s="4" t="s">
        <v>480</v>
      </c>
      <c r="D41" s="4" t="s">
        <v>481</v>
      </c>
      <c r="E41" s="5">
        <v>18905</v>
      </c>
      <c r="F41" s="6">
        <v>89.638057500000002</v>
      </c>
      <c r="G41" s="7">
        <v>1.1431739999999999E-2</v>
      </c>
      <c r="H41" s="53"/>
    </row>
    <row r="42" spans="1:8" ht="17.100000000000001" customHeight="1" x14ac:dyDescent="0.2">
      <c r="A42" s="3">
        <v>36</v>
      </c>
      <c r="B42" s="4" t="s">
        <v>457</v>
      </c>
      <c r="C42" s="4" t="s">
        <v>458</v>
      </c>
      <c r="D42" s="4" t="s">
        <v>28</v>
      </c>
      <c r="E42" s="5">
        <v>25918</v>
      </c>
      <c r="F42" s="6">
        <v>85.607153999999994</v>
      </c>
      <c r="G42" s="7">
        <v>1.0917670000000001E-2</v>
      </c>
      <c r="H42" s="53"/>
    </row>
    <row r="43" spans="1:8" ht="17.100000000000001" customHeight="1" x14ac:dyDescent="0.2">
      <c r="A43" s="3">
        <v>37</v>
      </c>
      <c r="B43" s="4" t="s">
        <v>425</v>
      </c>
      <c r="C43" s="4" t="s">
        <v>426</v>
      </c>
      <c r="D43" s="4" t="s">
        <v>304</v>
      </c>
      <c r="E43" s="5">
        <v>11065</v>
      </c>
      <c r="F43" s="6">
        <v>83.352644999999995</v>
      </c>
      <c r="G43" s="7">
        <v>1.063015E-2</v>
      </c>
      <c r="H43" s="53"/>
    </row>
    <row r="44" spans="1:8" ht="17.100000000000001" customHeight="1" x14ac:dyDescent="0.2">
      <c r="A44" s="3">
        <v>38</v>
      </c>
      <c r="B44" s="4" t="s">
        <v>482</v>
      </c>
      <c r="C44" s="4" t="s">
        <v>483</v>
      </c>
      <c r="D44" s="4" t="s">
        <v>13</v>
      </c>
      <c r="E44" s="5">
        <v>12092</v>
      </c>
      <c r="F44" s="6">
        <v>79.861614000000003</v>
      </c>
      <c r="G44" s="7">
        <v>1.018493E-2</v>
      </c>
      <c r="H44" s="53"/>
    </row>
    <row r="45" spans="1:8" ht="17.100000000000001" customHeight="1" x14ac:dyDescent="0.2">
      <c r="A45" s="3">
        <v>39</v>
      </c>
      <c r="B45" s="4" t="s">
        <v>247</v>
      </c>
      <c r="C45" s="4" t="s">
        <v>248</v>
      </c>
      <c r="D45" s="4" t="s">
        <v>87</v>
      </c>
      <c r="E45" s="5">
        <v>1412</v>
      </c>
      <c r="F45" s="6">
        <v>73.15925</v>
      </c>
      <c r="G45" s="7">
        <v>9.3301600000000005E-3</v>
      </c>
      <c r="H45" s="53"/>
    </row>
    <row r="46" spans="1:8" ht="17.100000000000001" customHeight="1" x14ac:dyDescent="0.2">
      <c r="A46" s="3">
        <v>40</v>
      </c>
      <c r="B46" s="4" t="s">
        <v>447</v>
      </c>
      <c r="C46" s="4" t="s">
        <v>448</v>
      </c>
      <c r="D46" s="4" t="s">
        <v>31</v>
      </c>
      <c r="E46" s="5">
        <v>9276</v>
      </c>
      <c r="F46" s="6">
        <v>66.875321999999997</v>
      </c>
      <c r="G46" s="7">
        <v>8.5287599999999998E-3</v>
      </c>
      <c r="H46" s="53"/>
    </row>
    <row r="47" spans="1:8" ht="17.100000000000001" customHeight="1" x14ac:dyDescent="0.2">
      <c r="A47" s="3">
        <v>41</v>
      </c>
      <c r="B47" s="4" t="s">
        <v>441</v>
      </c>
      <c r="C47" s="4" t="s">
        <v>442</v>
      </c>
      <c r="D47" s="4" t="s">
        <v>95</v>
      </c>
      <c r="E47" s="5">
        <v>7165</v>
      </c>
      <c r="F47" s="6">
        <v>65.968154999999996</v>
      </c>
      <c r="G47" s="7">
        <v>8.4130699999999999E-3</v>
      </c>
      <c r="H47" s="53"/>
    </row>
    <row r="48" spans="1:8" ht="29.1" customHeight="1" x14ac:dyDescent="0.2">
      <c r="A48" s="3">
        <v>42</v>
      </c>
      <c r="B48" s="4" t="s">
        <v>484</v>
      </c>
      <c r="C48" s="4" t="s">
        <v>485</v>
      </c>
      <c r="D48" s="4" t="s">
        <v>486</v>
      </c>
      <c r="E48" s="5">
        <v>14860</v>
      </c>
      <c r="F48" s="6">
        <v>65.651480000000006</v>
      </c>
      <c r="G48" s="7">
        <v>8.3726800000000004E-3</v>
      </c>
      <c r="H48" s="53"/>
    </row>
    <row r="49" spans="1:8" ht="29.1" customHeight="1" x14ac:dyDescent="0.2">
      <c r="A49" s="3">
        <v>43</v>
      </c>
      <c r="B49" s="4" t="s">
        <v>487</v>
      </c>
      <c r="C49" s="4" t="s">
        <v>488</v>
      </c>
      <c r="D49" s="4" t="s">
        <v>73</v>
      </c>
      <c r="E49" s="5">
        <v>5046</v>
      </c>
      <c r="F49" s="6">
        <v>63.554369999999999</v>
      </c>
      <c r="G49" s="7">
        <v>8.1052299999999997E-3</v>
      </c>
      <c r="H49" s="53"/>
    </row>
    <row r="50" spans="1:8" ht="17.100000000000001" customHeight="1" x14ac:dyDescent="0.2">
      <c r="A50" s="3">
        <v>44</v>
      </c>
      <c r="B50" s="4" t="s">
        <v>489</v>
      </c>
      <c r="C50" s="4" t="s">
        <v>490</v>
      </c>
      <c r="D50" s="4" t="s">
        <v>73</v>
      </c>
      <c r="E50" s="5">
        <v>1940</v>
      </c>
      <c r="F50" s="6">
        <v>56.25515</v>
      </c>
      <c r="G50" s="7">
        <v>7.1743500000000003E-3</v>
      </c>
      <c r="H50" s="53"/>
    </row>
    <row r="51" spans="1:8" ht="29.1" customHeight="1" x14ac:dyDescent="0.2">
      <c r="A51" s="3">
        <v>45</v>
      </c>
      <c r="B51" s="4" t="s">
        <v>449</v>
      </c>
      <c r="C51" s="4" t="s">
        <v>450</v>
      </c>
      <c r="D51" s="4" t="s">
        <v>224</v>
      </c>
      <c r="E51" s="5">
        <v>1052</v>
      </c>
      <c r="F51" s="6">
        <v>51.284999999999997</v>
      </c>
      <c r="G51" s="7">
        <v>6.5404900000000004E-3</v>
      </c>
      <c r="H51" s="53"/>
    </row>
    <row r="52" spans="1:8" ht="17.100000000000001" customHeight="1" x14ac:dyDescent="0.2">
      <c r="A52" s="3">
        <v>46</v>
      </c>
      <c r="B52" s="4" t="s">
        <v>451</v>
      </c>
      <c r="C52" s="4" t="s">
        <v>452</v>
      </c>
      <c r="D52" s="4" t="s">
        <v>92</v>
      </c>
      <c r="E52" s="5">
        <v>45125</v>
      </c>
      <c r="F52" s="6">
        <v>41.627812499999997</v>
      </c>
      <c r="G52" s="7">
        <v>5.3088900000000001E-3</v>
      </c>
      <c r="H52" s="53"/>
    </row>
    <row r="53" spans="1:8" ht="17.100000000000001" customHeight="1" x14ac:dyDescent="0.2">
      <c r="A53" s="3">
        <v>47</v>
      </c>
      <c r="B53" s="4" t="s">
        <v>453</v>
      </c>
      <c r="C53" s="4" t="s">
        <v>454</v>
      </c>
      <c r="D53" s="4" t="s">
        <v>31</v>
      </c>
      <c r="E53" s="5">
        <v>4443</v>
      </c>
      <c r="F53" s="6">
        <v>40.993339499999998</v>
      </c>
      <c r="G53" s="7">
        <v>5.2279700000000002E-3</v>
      </c>
      <c r="H53" s="53"/>
    </row>
    <row r="54" spans="1:8" ht="29.1" customHeight="1" x14ac:dyDescent="0.2">
      <c r="A54" s="3">
        <v>48</v>
      </c>
      <c r="B54" s="4" t="s">
        <v>455</v>
      </c>
      <c r="C54" s="4" t="s">
        <v>456</v>
      </c>
      <c r="D54" s="4" t="s">
        <v>201</v>
      </c>
      <c r="E54" s="5">
        <v>3563</v>
      </c>
      <c r="F54" s="6">
        <v>18.075099000000002</v>
      </c>
      <c r="G54" s="7">
        <v>2.3051600000000001E-3</v>
      </c>
      <c r="H54" s="53"/>
    </row>
    <row r="55" spans="1:8" ht="17.100000000000001" customHeight="1" x14ac:dyDescent="0.2">
      <c r="A55" s="3">
        <v>49</v>
      </c>
      <c r="B55" s="4" t="s">
        <v>954</v>
      </c>
      <c r="C55" s="4" t="s">
        <v>299</v>
      </c>
      <c r="D55" s="4" t="s">
        <v>130</v>
      </c>
      <c r="E55" s="5">
        <v>1412</v>
      </c>
      <c r="F55" s="6">
        <v>14.420756000000001</v>
      </c>
      <c r="G55" s="7">
        <v>1.8391099999999999E-3</v>
      </c>
      <c r="H55" s="53"/>
    </row>
    <row r="56" spans="1:8" ht="14.1" customHeight="1" x14ac:dyDescent="0.2">
      <c r="A56" s="1"/>
      <c r="B56" s="1"/>
      <c r="C56" s="2" t="s">
        <v>144</v>
      </c>
      <c r="D56" s="1"/>
      <c r="E56" s="1" t="s">
        <v>145</v>
      </c>
      <c r="F56" s="9">
        <v>7428.6400800000001</v>
      </c>
      <c r="G56" s="10">
        <v>0.94739103000000002</v>
      </c>
      <c r="H56" s="53"/>
    </row>
    <row r="57" spans="1:8" ht="14.1" customHeight="1" x14ac:dyDescent="0.2">
      <c r="A57" s="1"/>
      <c r="B57" s="1"/>
      <c r="C57" s="11"/>
      <c r="D57" s="1"/>
      <c r="E57" s="1"/>
      <c r="F57" s="12"/>
      <c r="G57" s="12"/>
      <c r="H57" s="53"/>
    </row>
    <row r="58" spans="1:8" ht="14.1" customHeight="1" x14ac:dyDescent="0.2">
      <c r="A58" s="1"/>
      <c r="B58" s="1"/>
      <c r="C58" s="2" t="s">
        <v>146</v>
      </c>
      <c r="D58" s="1"/>
      <c r="E58" s="1"/>
      <c r="F58" s="1"/>
      <c r="G58" s="1"/>
      <c r="H58" s="53"/>
    </row>
    <row r="59" spans="1:8" ht="14.1" customHeight="1" x14ac:dyDescent="0.2">
      <c r="A59" s="1"/>
      <c r="B59" s="1"/>
      <c r="C59" s="2" t="s">
        <v>144</v>
      </c>
      <c r="D59" s="1"/>
      <c r="E59" s="1" t="s">
        <v>145</v>
      </c>
      <c r="F59" s="13" t="s">
        <v>147</v>
      </c>
      <c r="G59" s="10">
        <v>0</v>
      </c>
      <c r="H59" s="53"/>
    </row>
    <row r="60" spans="1:8" ht="14.1" customHeight="1" x14ac:dyDescent="0.2">
      <c r="A60" s="1"/>
      <c r="B60" s="1"/>
      <c r="C60" s="11"/>
      <c r="D60" s="1"/>
      <c r="E60" s="1"/>
      <c r="F60" s="12"/>
      <c r="G60" s="12"/>
      <c r="H60" s="53"/>
    </row>
    <row r="61" spans="1:8" ht="14.1" customHeight="1" x14ac:dyDescent="0.2">
      <c r="A61" s="1"/>
      <c r="B61" s="1"/>
      <c r="C61" s="2" t="s">
        <v>148</v>
      </c>
      <c r="D61" s="1"/>
      <c r="E61" s="1"/>
      <c r="F61" s="1"/>
      <c r="G61" s="1"/>
      <c r="H61" s="53"/>
    </row>
    <row r="62" spans="1:8" ht="14.1" customHeight="1" x14ac:dyDescent="0.2">
      <c r="A62" s="1"/>
      <c r="B62" s="1"/>
      <c r="C62" s="2" t="s">
        <v>144</v>
      </c>
      <c r="D62" s="1"/>
      <c r="E62" s="1" t="s">
        <v>145</v>
      </c>
      <c r="F62" s="13" t="s">
        <v>147</v>
      </c>
      <c r="G62" s="10">
        <v>0</v>
      </c>
      <c r="H62" s="53"/>
    </row>
    <row r="63" spans="1:8" ht="14.1" customHeight="1" x14ac:dyDescent="0.2">
      <c r="A63" s="1"/>
      <c r="B63" s="1"/>
      <c r="C63" s="11"/>
      <c r="D63" s="1"/>
      <c r="E63" s="1"/>
      <c r="F63" s="12"/>
      <c r="G63" s="12"/>
      <c r="H63" s="53"/>
    </row>
    <row r="64" spans="1:8" ht="14.1" customHeight="1" x14ac:dyDescent="0.2">
      <c r="A64" s="1"/>
      <c r="B64" s="1"/>
      <c r="C64" s="2" t="s">
        <v>149</v>
      </c>
      <c r="D64" s="1"/>
      <c r="E64" s="1"/>
      <c r="F64" s="1"/>
      <c r="G64" s="1"/>
      <c r="H64" s="53"/>
    </row>
    <row r="65" spans="1:8" ht="29.1" customHeight="1" x14ac:dyDescent="0.2">
      <c r="A65" s="3">
        <v>1</v>
      </c>
      <c r="B65" s="4" t="s">
        <v>307</v>
      </c>
      <c r="C65" s="4" t="s">
        <v>964</v>
      </c>
      <c r="D65" s="4" t="s">
        <v>87</v>
      </c>
      <c r="E65" s="5">
        <v>163792</v>
      </c>
      <c r="F65" s="6">
        <v>16.870576</v>
      </c>
      <c r="G65" s="7">
        <v>2.15154E-3</v>
      </c>
      <c r="H65" s="53"/>
    </row>
    <row r="66" spans="1:8" ht="34.5" customHeight="1" x14ac:dyDescent="0.2">
      <c r="A66" s="3">
        <v>2</v>
      </c>
      <c r="B66" s="4" t="s">
        <v>955</v>
      </c>
      <c r="C66" s="4" t="s">
        <v>1165</v>
      </c>
      <c r="D66" s="4" t="s">
        <v>130</v>
      </c>
      <c r="E66" s="5">
        <v>163</v>
      </c>
      <c r="F66" s="6">
        <v>1.6300162999999999E-2</v>
      </c>
      <c r="G66" s="7" t="s">
        <v>143</v>
      </c>
      <c r="H66" s="53"/>
    </row>
    <row r="67" spans="1:8" ht="14.1" customHeight="1" x14ac:dyDescent="0.2">
      <c r="A67" s="1"/>
      <c r="B67" s="1"/>
      <c r="C67" s="2" t="s">
        <v>144</v>
      </c>
      <c r="D67" s="1"/>
      <c r="E67" s="1" t="s">
        <v>145</v>
      </c>
      <c r="F67" s="9">
        <v>16.886876163</v>
      </c>
      <c r="G67" s="10">
        <v>2.1536200000000002E-3</v>
      </c>
      <c r="H67" s="53"/>
    </row>
    <row r="68" spans="1:8" ht="14.1" customHeight="1" x14ac:dyDescent="0.2">
      <c r="A68" s="1"/>
      <c r="B68" s="1"/>
      <c r="C68" s="11"/>
      <c r="D68" s="1"/>
      <c r="E68" s="1"/>
      <c r="F68" s="12"/>
      <c r="G68" s="12"/>
      <c r="H68" s="53"/>
    </row>
    <row r="69" spans="1:8" ht="14.1" customHeight="1" x14ac:dyDescent="0.2">
      <c r="A69" s="1"/>
      <c r="B69" s="1"/>
      <c r="C69" s="2" t="s">
        <v>150</v>
      </c>
      <c r="D69" s="1"/>
      <c r="E69" s="1"/>
      <c r="F69" s="12"/>
      <c r="G69" s="12"/>
      <c r="H69" s="53"/>
    </row>
    <row r="70" spans="1:8" ht="14.1" customHeight="1" x14ac:dyDescent="0.2">
      <c r="A70" s="1"/>
      <c r="B70" s="1"/>
      <c r="C70" s="2" t="s">
        <v>144</v>
      </c>
      <c r="D70" s="1"/>
      <c r="E70" s="1" t="s">
        <v>145</v>
      </c>
      <c r="F70" s="13" t="s">
        <v>147</v>
      </c>
      <c r="G70" s="10">
        <v>0</v>
      </c>
      <c r="H70" s="53"/>
    </row>
    <row r="71" spans="1:8" ht="14.1" customHeight="1" x14ac:dyDescent="0.2">
      <c r="A71" s="1"/>
      <c r="B71" s="1"/>
      <c r="C71" s="11"/>
      <c r="D71" s="1"/>
      <c r="E71" s="1"/>
      <c r="F71" s="12"/>
      <c r="G71" s="12"/>
      <c r="H71" s="53"/>
    </row>
    <row r="72" spans="1:8" ht="14.1" customHeight="1" x14ac:dyDescent="0.2">
      <c r="A72" s="1"/>
      <c r="B72" s="1"/>
      <c r="C72" s="2" t="s">
        <v>151</v>
      </c>
      <c r="D72" s="1"/>
      <c r="E72" s="1"/>
      <c r="F72" s="12"/>
      <c r="G72" s="12"/>
      <c r="H72" s="53"/>
    </row>
    <row r="73" spans="1:8" ht="14.1" customHeight="1" x14ac:dyDescent="0.2">
      <c r="A73" s="1"/>
      <c r="B73" s="1"/>
      <c r="C73" s="2" t="s">
        <v>144</v>
      </c>
      <c r="D73" s="1"/>
      <c r="E73" s="1" t="s">
        <v>145</v>
      </c>
      <c r="F73" s="13" t="s">
        <v>147</v>
      </c>
      <c r="G73" s="10">
        <v>0</v>
      </c>
      <c r="H73" s="53"/>
    </row>
    <row r="74" spans="1:8" ht="14.1" customHeight="1" x14ac:dyDescent="0.2">
      <c r="A74" s="1"/>
      <c r="B74" s="1"/>
      <c r="C74" s="11"/>
      <c r="D74" s="1"/>
      <c r="E74" s="1"/>
      <c r="F74" s="12"/>
      <c r="G74" s="12"/>
      <c r="H74" s="53"/>
    </row>
    <row r="75" spans="1:8" ht="18" customHeight="1" x14ac:dyDescent="0.2">
      <c r="A75" s="1"/>
      <c r="B75" s="1"/>
      <c r="C75" s="2" t="s">
        <v>152</v>
      </c>
      <c r="D75" s="1"/>
      <c r="E75" s="1"/>
      <c r="F75" s="9">
        <v>7445.5269561630002</v>
      </c>
      <c r="G75" s="10">
        <v>0.94954464999999999</v>
      </c>
      <c r="H75" s="53"/>
    </row>
    <row r="76" spans="1:8" ht="14.1" customHeight="1" x14ac:dyDescent="0.2">
      <c r="A76" s="1"/>
      <c r="B76" s="1"/>
      <c r="C76" s="11"/>
      <c r="D76" s="1"/>
      <c r="E76" s="1"/>
      <c r="F76" s="12"/>
      <c r="G76" s="12"/>
      <c r="H76" s="53"/>
    </row>
    <row r="77" spans="1:8" ht="14.1" customHeight="1" x14ac:dyDescent="0.2">
      <c r="A77" s="1"/>
      <c r="B77" s="1"/>
      <c r="C77" s="2" t="s">
        <v>153</v>
      </c>
      <c r="D77" s="1"/>
      <c r="E77" s="1"/>
      <c r="F77" s="12"/>
      <c r="G77" s="12"/>
      <c r="H77" s="53"/>
    </row>
    <row r="78" spans="1:8" ht="24" customHeight="1" x14ac:dyDescent="0.2">
      <c r="A78" s="1"/>
      <c r="B78" s="1"/>
      <c r="C78" s="2" t="s">
        <v>10</v>
      </c>
      <c r="D78" s="1"/>
      <c r="E78" s="1"/>
      <c r="F78" s="12"/>
      <c r="G78" s="12"/>
      <c r="H78" s="53"/>
    </row>
    <row r="79" spans="1:8" ht="14.1" customHeight="1" x14ac:dyDescent="0.2">
      <c r="A79" s="1"/>
      <c r="B79" s="1"/>
      <c r="C79" s="2" t="s">
        <v>144</v>
      </c>
      <c r="D79" s="1"/>
      <c r="E79" s="1" t="s">
        <v>145</v>
      </c>
      <c r="F79" s="13" t="s">
        <v>147</v>
      </c>
      <c r="G79" s="10">
        <v>0</v>
      </c>
      <c r="H79" s="53"/>
    </row>
    <row r="80" spans="1:8" ht="14.1" customHeight="1" x14ac:dyDescent="0.2">
      <c r="A80" s="1"/>
      <c r="B80" s="1"/>
      <c r="C80" s="11"/>
      <c r="D80" s="1"/>
      <c r="E80" s="1"/>
      <c r="F80" s="12"/>
      <c r="G80" s="12"/>
      <c r="H80" s="53"/>
    </row>
    <row r="81" spans="1:8" ht="14.1" customHeight="1" x14ac:dyDescent="0.2">
      <c r="A81" s="1"/>
      <c r="B81" s="1"/>
      <c r="C81" s="2" t="s">
        <v>154</v>
      </c>
      <c r="D81" s="1"/>
      <c r="E81" s="1"/>
      <c r="F81" s="1"/>
      <c r="G81" s="1"/>
      <c r="H81" s="53"/>
    </row>
    <row r="82" spans="1:8" ht="14.1" customHeight="1" x14ac:dyDescent="0.2">
      <c r="A82" s="1"/>
      <c r="B82" s="1"/>
      <c r="C82" s="2" t="s">
        <v>144</v>
      </c>
      <c r="D82" s="1"/>
      <c r="E82" s="1" t="s">
        <v>145</v>
      </c>
      <c r="F82" s="13" t="s">
        <v>147</v>
      </c>
      <c r="G82" s="10">
        <v>0</v>
      </c>
      <c r="H82" s="53"/>
    </row>
    <row r="83" spans="1:8" ht="14.1" customHeight="1" x14ac:dyDescent="0.2">
      <c r="A83" s="1"/>
      <c r="B83" s="1"/>
      <c r="C83" s="11"/>
      <c r="D83" s="1"/>
      <c r="E83" s="1"/>
      <c r="F83" s="12"/>
      <c r="G83" s="12"/>
      <c r="H83" s="53"/>
    </row>
    <row r="84" spans="1:8" ht="14.1" customHeight="1" x14ac:dyDescent="0.2">
      <c r="A84" s="1"/>
      <c r="B84" s="1"/>
      <c r="C84" s="2" t="s">
        <v>155</v>
      </c>
      <c r="D84" s="1"/>
      <c r="E84" s="1"/>
      <c r="F84" s="1"/>
      <c r="G84" s="1"/>
      <c r="H84" s="53"/>
    </row>
    <row r="85" spans="1:8" ht="14.1" customHeight="1" x14ac:dyDescent="0.2">
      <c r="A85" s="1"/>
      <c r="B85" s="1"/>
      <c r="C85" s="2" t="s">
        <v>144</v>
      </c>
      <c r="D85" s="1"/>
      <c r="E85" s="1" t="s">
        <v>145</v>
      </c>
      <c r="F85" s="13" t="s">
        <v>147</v>
      </c>
      <c r="G85" s="10">
        <v>0</v>
      </c>
      <c r="H85" s="53"/>
    </row>
    <row r="86" spans="1:8" ht="14.1" customHeight="1" x14ac:dyDescent="0.2">
      <c r="A86" s="1"/>
      <c r="B86" s="1"/>
      <c r="C86" s="11"/>
      <c r="D86" s="1"/>
      <c r="E86" s="1"/>
      <c r="F86" s="12"/>
      <c r="G86" s="12"/>
      <c r="H86" s="53"/>
    </row>
    <row r="87" spans="1:8" ht="14.1" customHeight="1" x14ac:dyDescent="0.2">
      <c r="A87" s="1"/>
      <c r="B87" s="1"/>
      <c r="C87" s="2" t="s">
        <v>156</v>
      </c>
      <c r="D87" s="1"/>
      <c r="E87" s="1"/>
      <c r="F87" s="12"/>
      <c r="G87" s="12"/>
      <c r="H87" s="53"/>
    </row>
    <row r="88" spans="1:8" ht="14.1" customHeight="1" x14ac:dyDescent="0.2">
      <c r="A88" s="1"/>
      <c r="B88" s="1"/>
      <c r="C88" s="2" t="s">
        <v>144</v>
      </c>
      <c r="D88" s="1"/>
      <c r="E88" s="1" t="s">
        <v>145</v>
      </c>
      <c r="F88" s="13" t="s">
        <v>147</v>
      </c>
      <c r="G88" s="10">
        <v>0</v>
      </c>
      <c r="H88" s="53"/>
    </row>
    <row r="89" spans="1:8" ht="14.1" customHeight="1" x14ac:dyDescent="0.2">
      <c r="A89" s="1"/>
      <c r="B89" s="1"/>
      <c r="C89" s="11"/>
      <c r="D89" s="1"/>
      <c r="E89" s="1"/>
      <c r="F89" s="12"/>
      <c r="G89" s="12"/>
      <c r="H89" s="53"/>
    </row>
    <row r="90" spans="1:8" ht="14.1" customHeight="1" x14ac:dyDescent="0.2">
      <c r="A90" s="1"/>
      <c r="B90" s="1"/>
      <c r="C90" s="2" t="s">
        <v>157</v>
      </c>
      <c r="D90" s="1"/>
      <c r="E90" s="1"/>
      <c r="F90" s="9">
        <v>0</v>
      </c>
      <c r="G90" s="10">
        <v>0</v>
      </c>
      <c r="H90" s="53"/>
    </row>
    <row r="91" spans="1:8" ht="14.1" customHeight="1" x14ac:dyDescent="0.2">
      <c r="A91" s="1"/>
      <c r="B91" s="1"/>
      <c r="C91" s="11"/>
      <c r="D91" s="1"/>
      <c r="E91" s="1"/>
      <c r="F91" s="12"/>
      <c r="G91" s="12"/>
      <c r="H91" s="53"/>
    </row>
    <row r="92" spans="1:8" ht="14.1" customHeight="1" x14ac:dyDescent="0.2">
      <c r="A92" s="1"/>
      <c r="B92" s="1"/>
      <c r="C92" s="2" t="s">
        <v>158</v>
      </c>
      <c r="D92" s="1"/>
      <c r="E92" s="1"/>
      <c r="F92" s="12"/>
      <c r="G92" s="12"/>
      <c r="H92" s="53"/>
    </row>
    <row r="93" spans="1:8" ht="14.1" customHeight="1" x14ac:dyDescent="0.2">
      <c r="A93" s="1"/>
      <c r="B93" s="1"/>
      <c r="C93" s="2" t="s">
        <v>159</v>
      </c>
      <c r="D93" s="1"/>
      <c r="E93" s="1"/>
      <c r="F93" s="12"/>
      <c r="G93" s="12"/>
      <c r="H93" s="53"/>
    </row>
    <row r="94" spans="1:8" ht="14.1" customHeight="1" x14ac:dyDescent="0.2">
      <c r="A94" s="1"/>
      <c r="B94" s="1"/>
      <c r="C94" s="2" t="s">
        <v>144</v>
      </c>
      <c r="D94" s="1"/>
      <c r="E94" s="1" t="s">
        <v>145</v>
      </c>
      <c r="F94" s="13" t="s">
        <v>147</v>
      </c>
      <c r="G94" s="10">
        <v>0</v>
      </c>
      <c r="H94" s="53"/>
    </row>
    <row r="95" spans="1:8" ht="14.1" customHeight="1" x14ac:dyDescent="0.2">
      <c r="A95" s="1"/>
      <c r="B95" s="1"/>
      <c r="C95" s="11"/>
      <c r="D95" s="1"/>
      <c r="E95" s="1"/>
      <c r="F95" s="12"/>
      <c r="G95" s="12"/>
      <c r="H95" s="53"/>
    </row>
    <row r="96" spans="1:8" ht="14.1" customHeight="1" x14ac:dyDescent="0.2">
      <c r="A96" s="1"/>
      <c r="B96" s="1"/>
      <c r="C96" s="2" t="s">
        <v>160</v>
      </c>
      <c r="D96" s="1"/>
      <c r="E96" s="1"/>
      <c r="F96" s="12"/>
      <c r="G96" s="12"/>
      <c r="H96" s="53"/>
    </row>
    <row r="97" spans="1:8" ht="14.1" customHeight="1" x14ac:dyDescent="0.2">
      <c r="A97" s="1"/>
      <c r="B97" s="1"/>
      <c r="C97" s="2" t="s">
        <v>144</v>
      </c>
      <c r="D97" s="1"/>
      <c r="E97" s="1" t="s">
        <v>145</v>
      </c>
      <c r="F97" s="13" t="s">
        <v>147</v>
      </c>
      <c r="G97" s="10">
        <v>0</v>
      </c>
      <c r="H97" s="53"/>
    </row>
    <row r="98" spans="1:8" ht="14.1" customHeight="1" x14ac:dyDescent="0.2">
      <c r="A98" s="1"/>
      <c r="B98" s="1"/>
      <c r="C98" s="11"/>
      <c r="D98" s="1"/>
      <c r="E98" s="1"/>
      <c r="F98" s="12"/>
      <c r="G98" s="12"/>
      <c r="H98" s="53"/>
    </row>
    <row r="99" spans="1:8" ht="14.1" customHeight="1" x14ac:dyDescent="0.2">
      <c r="A99" s="1"/>
      <c r="B99" s="1"/>
      <c r="C99" s="2" t="s">
        <v>161</v>
      </c>
      <c r="D99" s="1"/>
      <c r="E99" s="1"/>
      <c r="F99" s="12"/>
      <c r="G99" s="12"/>
      <c r="H99" s="53"/>
    </row>
    <row r="100" spans="1:8" ht="14.1" customHeight="1" x14ac:dyDescent="0.2">
      <c r="A100" s="1"/>
      <c r="B100" s="1"/>
      <c r="C100" s="2" t="s">
        <v>144</v>
      </c>
      <c r="D100" s="1"/>
      <c r="E100" s="1" t="s">
        <v>145</v>
      </c>
      <c r="F100" s="13" t="s">
        <v>147</v>
      </c>
      <c r="G100" s="10">
        <v>0</v>
      </c>
      <c r="H100" s="53"/>
    </row>
    <row r="101" spans="1:8" ht="14.1" customHeight="1" x14ac:dyDescent="0.2">
      <c r="A101" s="1"/>
      <c r="B101" s="1"/>
      <c r="C101" s="11"/>
      <c r="D101" s="1"/>
      <c r="E101" s="1"/>
      <c r="F101" s="12"/>
      <c r="G101" s="12"/>
      <c r="H101" s="53"/>
    </row>
    <row r="102" spans="1:8" ht="14.1" customHeight="1" x14ac:dyDescent="0.2">
      <c r="A102" s="1"/>
      <c r="B102" s="1"/>
      <c r="C102" s="2" t="s">
        <v>162</v>
      </c>
      <c r="D102" s="1"/>
      <c r="E102" s="1"/>
      <c r="F102" s="12"/>
      <c r="G102" s="12"/>
      <c r="H102" s="53"/>
    </row>
    <row r="103" spans="1:8" ht="17.100000000000001" customHeight="1" x14ac:dyDescent="0.2">
      <c r="A103" s="3">
        <v>1</v>
      </c>
      <c r="B103" s="4"/>
      <c r="C103" s="4" t="s">
        <v>163</v>
      </c>
      <c r="D103" s="4"/>
      <c r="E103" s="8"/>
      <c r="F103" s="6">
        <v>222.590285999</v>
      </c>
      <c r="G103" s="7">
        <v>2.838744E-2</v>
      </c>
      <c r="H103" s="51">
        <v>6.6602331647804478</v>
      </c>
    </row>
    <row r="104" spans="1:8" ht="17.100000000000001" customHeight="1" x14ac:dyDescent="0.2">
      <c r="A104" s="3">
        <v>2</v>
      </c>
      <c r="B104" s="4"/>
      <c r="C104" s="4" t="s">
        <v>164</v>
      </c>
      <c r="D104" s="4"/>
      <c r="E104" s="8"/>
      <c r="F104" s="6">
        <v>170.176535</v>
      </c>
      <c r="G104" s="7">
        <v>2.1702989999999998E-2</v>
      </c>
      <c r="H104" s="51">
        <v>6.6588225936582406</v>
      </c>
    </row>
    <row r="105" spans="1:8" ht="14.1" customHeight="1" x14ac:dyDescent="0.2">
      <c r="A105" s="1"/>
      <c r="B105" s="1"/>
      <c r="C105" s="2" t="s">
        <v>144</v>
      </c>
      <c r="D105" s="1"/>
      <c r="E105" s="1" t="s">
        <v>145</v>
      </c>
      <c r="F105" s="9">
        <v>392.766820999</v>
      </c>
      <c r="G105" s="10">
        <v>5.0090429999999998E-2</v>
      </c>
      <c r="H105" s="53"/>
    </row>
    <row r="106" spans="1:8" ht="14.1" customHeight="1" x14ac:dyDescent="0.2">
      <c r="A106" s="1"/>
      <c r="B106" s="1"/>
      <c r="C106" s="11"/>
      <c r="D106" s="1"/>
      <c r="E106" s="1"/>
      <c r="F106" s="12"/>
      <c r="G106" s="12"/>
      <c r="H106" s="53"/>
    </row>
    <row r="107" spans="1:8" ht="14.1" customHeight="1" x14ac:dyDescent="0.2">
      <c r="A107" s="1"/>
      <c r="B107" s="1"/>
      <c r="C107" s="2" t="s">
        <v>165</v>
      </c>
      <c r="D107" s="1"/>
      <c r="E107" s="1"/>
      <c r="F107" s="9">
        <v>392.766820999</v>
      </c>
      <c r="G107" s="10">
        <v>5.0090429999999998E-2</v>
      </c>
      <c r="H107" s="53"/>
    </row>
    <row r="108" spans="1:8" ht="14.1" customHeight="1" x14ac:dyDescent="0.2">
      <c r="A108" s="1"/>
      <c r="B108" s="1"/>
      <c r="C108" s="12"/>
      <c r="D108" s="1"/>
      <c r="E108" s="1"/>
      <c r="F108" s="1"/>
      <c r="G108" s="1"/>
      <c r="H108" s="53"/>
    </row>
    <row r="109" spans="1:8" ht="14.1" customHeight="1" x14ac:dyDescent="0.2">
      <c r="A109" s="1"/>
      <c r="B109" s="1"/>
      <c r="C109" s="2" t="s">
        <v>166</v>
      </c>
      <c r="D109" s="1"/>
      <c r="E109" s="1"/>
      <c r="F109" s="1"/>
      <c r="G109" s="1"/>
      <c r="H109" s="53"/>
    </row>
    <row r="110" spans="1:8" ht="14.1" customHeight="1" x14ac:dyDescent="0.2">
      <c r="A110" s="1"/>
      <c r="B110" s="1"/>
      <c r="C110" s="2" t="s">
        <v>167</v>
      </c>
      <c r="D110" s="1"/>
      <c r="E110" s="1"/>
      <c r="F110" s="1"/>
      <c r="G110" s="1"/>
      <c r="H110" s="53"/>
    </row>
    <row r="111" spans="1:8" ht="14.1" customHeight="1" x14ac:dyDescent="0.2">
      <c r="A111" s="1"/>
      <c r="B111" s="1"/>
      <c r="C111" s="2" t="s">
        <v>144</v>
      </c>
      <c r="D111" s="1"/>
      <c r="E111" s="1" t="s">
        <v>145</v>
      </c>
      <c r="F111" s="13" t="s">
        <v>147</v>
      </c>
      <c r="G111" s="10">
        <v>0</v>
      </c>
      <c r="H111" s="53"/>
    </row>
    <row r="112" spans="1:8" ht="14.1" customHeight="1" x14ac:dyDescent="0.2">
      <c r="A112" s="1"/>
      <c r="B112" s="1"/>
      <c r="C112" s="11"/>
      <c r="D112" s="1"/>
      <c r="E112" s="1"/>
      <c r="F112" s="12"/>
      <c r="G112" s="12"/>
      <c r="H112" s="53"/>
    </row>
    <row r="113" spans="1:8" ht="14.1" customHeight="1" x14ac:dyDescent="0.2">
      <c r="A113" s="1"/>
      <c r="B113" s="1"/>
      <c r="C113" s="2" t="s">
        <v>168</v>
      </c>
      <c r="D113" s="1"/>
      <c r="E113" s="1"/>
      <c r="F113" s="1"/>
      <c r="G113" s="1"/>
      <c r="H113" s="53"/>
    </row>
    <row r="114" spans="1:8" ht="14.1" customHeight="1" x14ac:dyDescent="0.2">
      <c r="A114" s="1"/>
      <c r="B114" s="1"/>
      <c r="C114" s="2" t="s">
        <v>169</v>
      </c>
      <c r="D114" s="1"/>
      <c r="E114" s="1"/>
      <c r="F114" s="1"/>
      <c r="G114" s="1"/>
      <c r="H114" s="53"/>
    </row>
    <row r="115" spans="1:8" ht="14.1" customHeight="1" x14ac:dyDescent="0.2">
      <c r="A115" s="1"/>
      <c r="B115" s="1"/>
      <c r="C115" s="2" t="s">
        <v>144</v>
      </c>
      <c r="D115" s="1"/>
      <c r="E115" s="1" t="s">
        <v>145</v>
      </c>
      <c r="F115" s="13" t="s">
        <v>147</v>
      </c>
      <c r="G115" s="10">
        <v>0</v>
      </c>
      <c r="H115" s="53"/>
    </row>
    <row r="116" spans="1:8" ht="14.1" customHeight="1" x14ac:dyDescent="0.2">
      <c r="A116" s="1"/>
      <c r="B116" s="1"/>
      <c r="C116" s="11"/>
      <c r="D116" s="1"/>
      <c r="E116" s="1"/>
      <c r="F116" s="12"/>
      <c r="G116" s="12"/>
      <c r="H116" s="53"/>
    </row>
    <row r="117" spans="1:8" ht="24" customHeight="1" x14ac:dyDescent="0.2">
      <c r="A117" s="1"/>
      <c r="B117" s="1"/>
      <c r="C117" s="2" t="s">
        <v>170</v>
      </c>
      <c r="D117" s="1"/>
      <c r="E117" s="1"/>
      <c r="F117" s="12"/>
      <c r="G117" s="12"/>
      <c r="H117" s="53"/>
    </row>
    <row r="118" spans="1:8" ht="14.1" customHeight="1" x14ac:dyDescent="0.2">
      <c r="A118" s="1"/>
      <c r="B118" s="1"/>
      <c r="C118" s="2" t="s">
        <v>144</v>
      </c>
      <c r="D118" s="1"/>
      <c r="E118" s="1" t="s">
        <v>145</v>
      </c>
      <c r="F118" s="13" t="s">
        <v>147</v>
      </c>
      <c r="G118" s="10">
        <v>0</v>
      </c>
      <c r="H118" s="53"/>
    </row>
    <row r="119" spans="1:8" ht="14.1" customHeight="1" x14ac:dyDescent="0.2">
      <c r="A119" s="1"/>
      <c r="B119" s="1"/>
      <c r="C119" s="11"/>
      <c r="D119" s="1"/>
      <c r="E119" s="1"/>
      <c r="F119" s="12"/>
      <c r="G119" s="12"/>
      <c r="H119" s="53"/>
    </row>
    <row r="120" spans="1:8" ht="14.1" customHeight="1" x14ac:dyDescent="0.2">
      <c r="A120" s="1"/>
      <c r="B120" s="4"/>
      <c r="C120" s="4"/>
      <c r="D120" s="2"/>
      <c r="E120" s="1"/>
      <c r="F120" s="4"/>
      <c r="G120" s="8"/>
      <c r="H120" s="53"/>
    </row>
    <row r="121" spans="1:8" ht="18" customHeight="1" x14ac:dyDescent="0.2">
      <c r="A121" s="8"/>
      <c r="B121" s="4"/>
      <c r="C121" s="4" t="s">
        <v>171</v>
      </c>
      <c r="D121" s="4"/>
      <c r="E121" s="8"/>
      <c r="F121" s="6">
        <v>2.8615586899999998</v>
      </c>
      <c r="G121" s="7">
        <v>3.6494000000000001E-4</v>
      </c>
      <c r="H121" s="53"/>
    </row>
    <row r="122" spans="1:8" ht="14.1" customHeight="1" x14ac:dyDescent="0.2">
      <c r="A122" s="11"/>
      <c r="B122" s="11"/>
      <c r="C122" s="2" t="s">
        <v>172</v>
      </c>
      <c r="D122" s="12"/>
      <c r="E122" s="12"/>
      <c r="F122" s="9">
        <v>7841.1553358519996</v>
      </c>
      <c r="G122" s="14">
        <v>1.0000000200000001</v>
      </c>
      <c r="H122" s="53"/>
    </row>
    <row r="123" spans="1:8" ht="14.1" customHeight="1" x14ac:dyDescent="0.2">
      <c r="A123" s="15"/>
      <c r="B123" s="15"/>
      <c r="C123" s="15"/>
      <c r="D123" s="16"/>
      <c r="E123" s="16"/>
      <c r="F123" s="16"/>
      <c r="G123" s="16"/>
    </row>
    <row r="124" spans="1:8" ht="17.100000000000001" customHeight="1" x14ac:dyDescent="0.2">
      <c r="A124" s="17"/>
      <c r="B124" s="230" t="s">
        <v>173</v>
      </c>
      <c r="C124" s="230"/>
      <c r="D124" s="230"/>
      <c r="E124" s="230"/>
      <c r="F124" s="230"/>
      <c r="G124" s="19"/>
    </row>
    <row r="125" spans="1:8" ht="14.1" customHeight="1" x14ac:dyDescent="0.2">
      <c r="A125" s="17"/>
      <c r="B125" s="239" t="s">
        <v>907</v>
      </c>
      <c r="C125" s="239"/>
      <c r="D125" s="239"/>
      <c r="E125" s="239"/>
      <c r="F125" s="239"/>
      <c r="G125" s="19"/>
    </row>
    <row r="126" spans="1:8" ht="14.1" customHeight="1" x14ac:dyDescent="0.2">
      <c r="A126" s="17"/>
      <c r="B126" s="17"/>
      <c r="C126" s="17"/>
      <c r="D126" s="19"/>
      <c r="E126" s="19"/>
      <c r="F126" s="19"/>
      <c r="G126" s="19"/>
    </row>
    <row r="127" spans="1:8" ht="14.1" customHeight="1" x14ac:dyDescent="0.2">
      <c r="A127" s="17"/>
      <c r="B127" s="231" t="s">
        <v>174</v>
      </c>
      <c r="C127" s="232"/>
      <c r="D127" s="233"/>
      <c r="E127" s="20"/>
      <c r="F127" s="19"/>
      <c r="G127" s="19"/>
    </row>
    <row r="128" spans="1:8" ht="29.1" customHeight="1" x14ac:dyDescent="0.2">
      <c r="A128" s="17"/>
      <c r="B128" s="226" t="s">
        <v>175</v>
      </c>
      <c r="C128" s="227"/>
      <c r="D128" s="2" t="s">
        <v>176</v>
      </c>
      <c r="E128" s="20"/>
      <c r="F128" s="19"/>
      <c r="G128" s="19"/>
    </row>
    <row r="129" spans="1:7" ht="27.75" customHeight="1" x14ac:dyDescent="0.2">
      <c r="A129" s="17"/>
      <c r="B129" s="226" t="s">
        <v>1166</v>
      </c>
      <c r="C129" s="227"/>
      <c r="D129" s="2" t="s">
        <v>1162</v>
      </c>
      <c r="E129" s="20"/>
      <c r="F129" s="19"/>
      <c r="G129" s="19"/>
    </row>
    <row r="130" spans="1:7" ht="17.100000000000001" customHeight="1" x14ac:dyDescent="0.2">
      <c r="A130" s="17"/>
      <c r="B130" s="226" t="s">
        <v>178</v>
      </c>
      <c r="C130" s="227"/>
      <c r="D130" s="12" t="s">
        <v>145</v>
      </c>
      <c r="E130" s="20"/>
      <c r="F130" s="19"/>
      <c r="G130" s="19"/>
    </row>
    <row r="131" spans="1:7" ht="24" customHeight="1" x14ac:dyDescent="0.2">
      <c r="A131" s="21"/>
      <c r="B131" s="22" t="s">
        <v>145</v>
      </c>
      <c r="C131" s="22" t="s">
        <v>179</v>
      </c>
      <c r="D131" s="22" t="s">
        <v>180</v>
      </c>
      <c r="E131" s="21"/>
      <c r="F131" s="21"/>
      <c r="G131" s="21"/>
    </row>
    <row r="132" spans="1:7" ht="18" customHeight="1" x14ac:dyDescent="0.2">
      <c r="A132" s="21"/>
      <c r="B132" s="23" t="s">
        <v>181</v>
      </c>
      <c r="C132" s="22" t="s">
        <v>182</v>
      </c>
      <c r="D132" s="22" t="s">
        <v>183</v>
      </c>
      <c r="E132" s="21"/>
      <c r="F132" s="21"/>
      <c r="G132" s="21"/>
    </row>
    <row r="133" spans="1:7" ht="17.100000000000001" customHeight="1" x14ac:dyDescent="0.2">
      <c r="A133" s="21"/>
      <c r="B133" s="4" t="s">
        <v>184</v>
      </c>
      <c r="C133" s="24">
        <v>24.5228</v>
      </c>
      <c r="D133" s="24">
        <v>26.017700000000001</v>
      </c>
      <c r="E133" s="21"/>
      <c r="F133" s="18"/>
      <c r="G133" s="25"/>
    </row>
    <row r="134" spans="1:7" ht="17.100000000000001" customHeight="1" x14ac:dyDescent="0.2">
      <c r="A134" s="21"/>
      <c r="B134" s="4" t="s">
        <v>1009</v>
      </c>
      <c r="C134" s="24">
        <v>22.587199999999999</v>
      </c>
      <c r="D134" s="24">
        <v>23.964200000000002</v>
      </c>
      <c r="E134" s="21"/>
      <c r="F134" s="18"/>
      <c r="G134" s="25"/>
    </row>
    <row r="135" spans="1:7" ht="17.100000000000001" customHeight="1" x14ac:dyDescent="0.2">
      <c r="A135" s="21"/>
      <c r="B135" s="4" t="s">
        <v>185</v>
      </c>
      <c r="C135" s="24">
        <v>23.8994</v>
      </c>
      <c r="D135" s="24">
        <v>25.352499999999999</v>
      </c>
      <c r="E135" s="21"/>
      <c r="F135" s="18"/>
      <c r="G135" s="25"/>
    </row>
    <row r="136" spans="1:7" ht="17.100000000000001" customHeight="1" x14ac:dyDescent="0.2">
      <c r="A136" s="21"/>
      <c r="B136" s="4" t="s">
        <v>1010</v>
      </c>
      <c r="C136" s="24">
        <v>21.9925</v>
      </c>
      <c r="D136" s="24">
        <v>23.329599999999999</v>
      </c>
      <c r="E136" s="21"/>
      <c r="F136" s="18"/>
      <c r="G136" s="25"/>
    </row>
    <row r="137" spans="1:7" ht="14.1" customHeight="1" x14ac:dyDescent="0.2">
      <c r="A137" s="21"/>
      <c r="B137" s="21"/>
      <c r="C137" s="21"/>
      <c r="D137" s="21"/>
      <c r="E137" s="21"/>
      <c r="F137" s="21"/>
      <c r="G137" s="21"/>
    </row>
    <row r="138" spans="1:7" ht="17.100000000000001" customHeight="1" x14ac:dyDescent="0.2">
      <c r="A138" s="21"/>
      <c r="B138" s="226" t="s">
        <v>1011</v>
      </c>
      <c r="C138" s="227"/>
      <c r="D138" s="2" t="s">
        <v>176</v>
      </c>
      <c r="E138" s="21"/>
      <c r="F138" s="21"/>
      <c r="G138" s="21"/>
    </row>
    <row r="139" spans="1:7" ht="18" customHeight="1" x14ac:dyDescent="0.2">
      <c r="A139" s="21"/>
      <c r="B139" s="26"/>
      <c r="C139" s="26"/>
      <c r="D139" s="26"/>
      <c r="E139" s="21"/>
      <c r="F139" s="21"/>
      <c r="G139" s="21"/>
    </row>
    <row r="140" spans="1:7" ht="29.1" customHeight="1" x14ac:dyDescent="0.2">
      <c r="A140" s="21"/>
      <c r="B140" s="226" t="s">
        <v>186</v>
      </c>
      <c r="C140" s="227"/>
      <c r="D140" s="2" t="s">
        <v>176</v>
      </c>
      <c r="E140" s="27"/>
      <c r="F140" s="21"/>
      <c r="G140" s="21"/>
    </row>
    <row r="141" spans="1:7" ht="29.1" customHeight="1" x14ac:dyDescent="0.2">
      <c r="A141" s="21"/>
      <c r="B141" s="226" t="s">
        <v>187</v>
      </c>
      <c r="C141" s="227"/>
      <c r="D141" s="2" t="s">
        <v>176</v>
      </c>
      <c r="E141" s="27"/>
      <c r="F141" s="21"/>
      <c r="G141" s="21"/>
    </row>
    <row r="142" spans="1:7" ht="17.100000000000001" customHeight="1" x14ac:dyDescent="0.2">
      <c r="A142" s="21"/>
      <c r="B142" s="226" t="s">
        <v>188</v>
      </c>
      <c r="C142" s="227"/>
      <c r="D142" s="2" t="s">
        <v>176</v>
      </c>
      <c r="E142" s="27"/>
      <c r="F142" s="21"/>
      <c r="G142" s="21"/>
    </row>
    <row r="143" spans="1:7" ht="17.100000000000001" customHeight="1" x14ac:dyDescent="0.2">
      <c r="A143" s="21"/>
      <c r="B143" s="226" t="s">
        <v>189</v>
      </c>
      <c r="C143" s="227"/>
      <c r="D143" s="57">
        <v>8.0211375602118329E-2</v>
      </c>
      <c r="E143" s="21"/>
      <c r="F143" s="18"/>
      <c r="G143" s="25"/>
    </row>
    <row r="157" spans="10:14" x14ac:dyDescent="0.2">
      <c r="J157" s="143"/>
      <c r="K157" s="143"/>
      <c r="L157" s="143"/>
      <c r="M157" s="143"/>
      <c r="N157" s="143"/>
    </row>
  </sheetData>
  <mergeCells count="15">
    <mergeCell ref="A1:H1"/>
    <mergeCell ref="A2:H2"/>
    <mergeCell ref="A3:H3"/>
    <mergeCell ref="B125:F125"/>
    <mergeCell ref="J2:N2"/>
    <mergeCell ref="B124:F124"/>
    <mergeCell ref="B128:C128"/>
    <mergeCell ref="B127:D127"/>
    <mergeCell ref="B143:C143"/>
    <mergeCell ref="B129:C129"/>
    <mergeCell ref="B130:C130"/>
    <mergeCell ref="B138:C138"/>
    <mergeCell ref="B140:C140"/>
    <mergeCell ref="B141:C141"/>
    <mergeCell ref="B142:C142"/>
  </mergeCells>
  <hyperlinks>
    <hyperlink ref="I1" location="Index!B12" display="Index" xr:uid="{15DF0566-18AB-424E-8BB8-85653AEBB0F4}"/>
  </hyperlinks>
  <pageMargins left="5.000000074505806E-2" right="5.000000074505806E-2" top="0.30000001192092896" bottom="0.20000000298023224" header="0" footer="0"/>
  <pageSetup paperSize="9"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N156"/>
  <sheetViews>
    <sheetView showGridLines="0" workbookViewId="0">
      <selection activeCell="J44" sqref="J4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491</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381</v>
      </c>
      <c r="C7" s="4" t="s">
        <v>382</v>
      </c>
      <c r="D7" s="4" t="s">
        <v>73</v>
      </c>
      <c r="E7" s="5">
        <v>5646</v>
      </c>
      <c r="F7" s="6">
        <v>208.03251599999999</v>
      </c>
      <c r="G7" s="7">
        <v>5.4159390000000002E-2</v>
      </c>
      <c r="H7" s="53"/>
    </row>
    <row r="8" spans="1:14" ht="17.100000000000001" customHeight="1" x14ac:dyDescent="0.2">
      <c r="A8" s="3">
        <v>2</v>
      </c>
      <c r="B8" s="4" t="s">
        <v>383</v>
      </c>
      <c r="C8" s="4" t="s">
        <v>384</v>
      </c>
      <c r="D8" s="4" t="s">
        <v>28</v>
      </c>
      <c r="E8" s="5">
        <v>205102</v>
      </c>
      <c r="F8" s="6">
        <v>185.61731</v>
      </c>
      <c r="G8" s="7">
        <v>4.8323789999999998E-2</v>
      </c>
      <c r="H8" s="53"/>
    </row>
    <row r="9" spans="1:14" ht="17.100000000000001" customHeight="1" x14ac:dyDescent="0.2">
      <c r="A9" s="3">
        <v>3</v>
      </c>
      <c r="B9" s="4" t="s">
        <v>50</v>
      </c>
      <c r="C9" s="4" t="s">
        <v>51</v>
      </c>
      <c r="D9" s="4" t="s">
        <v>31</v>
      </c>
      <c r="E9" s="5">
        <v>6789</v>
      </c>
      <c r="F9" s="6">
        <v>183.812175</v>
      </c>
      <c r="G9" s="7">
        <v>4.7853840000000002E-2</v>
      </c>
      <c r="H9" s="53"/>
    </row>
    <row r="10" spans="1:14" ht="17.100000000000001" customHeight="1" x14ac:dyDescent="0.2">
      <c r="A10" s="3">
        <v>4</v>
      </c>
      <c r="B10" s="4" t="s">
        <v>131</v>
      </c>
      <c r="C10" s="4" t="s">
        <v>132</v>
      </c>
      <c r="D10" s="4" t="s">
        <v>73</v>
      </c>
      <c r="E10" s="5">
        <v>43069</v>
      </c>
      <c r="F10" s="6">
        <v>162.82235449999999</v>
      </c>
      <c r="G10" s="7">
        <v>4.2389330000000003E-2</v>
      </c>
      <c r="H10" s="53"/>
    </row>
    <row r="11" spans="1:14" ht="17.100000000000001" customHeight="1" x14ac:dyDescent="0.2">
      <c r="A11" s="3">
        <v>5</v>
      </c>
      <c r="B11" s="4" t="s">
        <v>34</v>
      </c>
      <c r="C11" s="4" t="s">
        <v>35</v>
      </c>
      <c r="D11" s="4" t="s">
        <v>31</v>
      </c>
      <c r="E11" s="5">
        <v>5766</v>
      </c>
      <c r="F11" s="6">
        <v>160.980954</v>
      </c>
      <c r="G11" s="7">
        <v>4.190994E-2</v>
      </c>
      <c r="H11" s="53"/>
    </row>
    <row r="12" spans="1:14" ht="17.100000000000001" customHeight="1" x14ac:dyDescent="0.2">
      <c r="A12" s="3">
        <v>6</v>
      </c>
      <c r="B12" s="4" t="s">
        <v>410</v>
      </c>
      <c r="C12" s="4" t="s">
        <v>411</v>
      </c>
      <c r="D12" s="4" t="s">
        <v>397</v>
      </c>
      <c r="E12" s="5">
        <v>7740</v>
      </c>
      <c r="F12" s="6">
        <v>144.72639000000001</v>
      </c>
      <c r="G12" s="7">
        <v>3.7678209999999997E-2</v>
      </c>
      <c r="H12" s="53"/>
    </row>
    <row r="13" spans="1:14" ht="17.100000000000001" customHeight="1" x14ac:dyDescent="0.2">
      <c r="A13" s="3">
        <v>7</v>
      </c>
      <c r="B13" s="4" t="s">
        <v>389</v>
      </c>
      <c r="C13" s="4" t="s">
        <v>390</v>
      </c>
      <c r="D13" s="4" t="s">
        <v>209</v>
      </c>
      <c r="E13" s="5">
        <v>35324</v>
      </c>
      <c r="F13" s="6">
        <v>123.98724</v>
      </c>
      <c r="G13" s="7">
        <v>3.2278960000000002E-2</v>
      </c>
      <c r="H13" s="53"/>
    </row>
    <row r="14" spans="1:14" ht="17.100000000000001" customHeight="1" x14ac:dyDescent="0.2">
      <c r="A14" s="3">
        <v>8</v>
      </c>
      <c r="B14" s="4" t="s">
        <v>427</v>
      </c>
      <c r="C14" s="4" t="s">
        <v>428</v>
      </c>
      <c r="D14" s="4" t="s">
        <v>905</v>
      </c>
      <c r="E14" s="5">
        <v>9563</v>
      </c>
      <c r="F14" s="6">
        <v>112.451317</v>
      </c>
      <c r="G14" s="7">
        <v>2.927569E-2</v>
      </c>
      <c r="H14" s="53"/>
      <c r="J14" s="142" t="s">
        <v>1037</v>
      </c>
    </row>
    <row r="15" spans="1:14" ht="17.100000000000001" customHeight="1" x14ac:dyDescent="0.2">
      <c r="A15" s="3">
        <v>9</v>
      </c>
      <c r="B15" s="4" t="s">
        <v>42</v>
      </c>
      <c r="C15" s="4" t="s">
        <v>43</v>
      </c>
      <c r="D15" s="4" t="s">
        <v>31</v>
      </c>
      <c r="E15" s="5">
        <v>4869</v>
      </c>
      <c r="F15" s="6">
        <v>110.82330899999999</v>
      </c>
      <c r="G15" s="7">
        <v>2.8851849999999998E-2</v>
      </c>
      <c r="H15" s="53"/>
    </row>
    <row r="16" spans="1:14" ht="17.100000000000001" customHeight="1" x14ac:dyDescent="0.2">
      <c r="A16" s="3">
        <v>10</v>
      </c>
      <c r="B16" s="4" t="s">
        <v>98</v>
      </c>
      <c r="C16" s="4" t="s">
        <v>99</v>
      </c>
      <c r="D16" s="4" t="s">
        <v>92</v>
      </c>
      <c r="E16" s="5">
        <v>18429</v>
      </c>
      <c r="F16" s="6">
        <v>109.247112</v>
      </c>
      <c r="G16" s="7">
        <v>2.8441500000000002E-2</v>
      </c>
      <c r="H16" s="53"/>
    </row>
    <row r="17" spans="1:8" ht="29.1" customHeight="1" x14ac:dyDescent="0.2">
      <c r="A17" s="3">
        <v>11</v>
      </c>
      <c r="B17" s="4" t="s">
        <v>199</v>
      </c>
      <c r="C17" s="4" t="s">
        <v>200</v>
      </c>
      <c r="D17" s="4" t="s">
        <v>201</v>
      </c>
      <c r="E17" s="5">
        <v>2356</v>
      </c>
      <c r="F17" s="6">
        <v>108.49026600000001</v>
      </c>
      <c r="G17" s="7">
        <v>2.8244459999999999E-2</v>
      </c>
      <c r="H17" s="53"/>
    </row>
    <row r="18" spans="1:8" ht="17.100000000000001" customHeight="1" x14ac:dyDescent="0.2">
      <c r="A18" s="3">
        <v>12</v>
      </c>
      <c r="B18" s="4" t="s">
        <v>385</v>
      </c>
      <c r="C18" s="4" t="s">
        <v>386</v>
      </c>
      <c r="D18" s="4" t="s">
        <v>264</v>
      </c>
      <c r="E18" s="5">
        <v>5434</v>
      </c>
      <c r="F18" s="6">
        <v>97.320222999999999</v>
      </c>
      <c r="G18" s="7">
        <v>2.5336439999999998E-2</v>
      </c>
      <c r="H18" s="53"/>
    </row>
    <row r="19" spans="1:8" ht="17.100000000000001" customHeight="1" x14ac:dyDescent="0.2">
      <c r="A19" s="3">
        <v>13</v>
      </c>
      <c r="B19" s="4" t="s">
        <v>391</v>
      </c>
      <c r="C19" s="4" t="s">
        <v>392</v>
      </c>
      <c r="D19" s="4" t="s">
        <v>130</v>
      </c>
      <c r="E19" s="5">
        <v>12457</v>
      </c>
      <c r="F19" s="6">
        <v>93.5956695</v>
      </c>
      <c r="G19" s="7">
        <v>2.4366789999999999E-2</v>
      </c>
      <c r="H19" s="53"/>
    </row>
    <row r="20" spans="1:8" ht="29.1" customHeight="1" x14ac:dyDescent="0.2">
      <c r="A20" s="3">
        <v>14</v>
      </c>
      <c r="B20" s="4" t="s">
        <v>416</v>
      </c>
      <c r="C20" s="4" t="s">
        <v>417</v>
      </c>
      <c r="D20" s="4" t="s">
        <v>56</v>
      </c>
      <c r="E20" s="5">
        <v>3181</v>
      </c>
      <c r="F20" s="6">
        <v>89.834620999999999</v>
      </c>
      <c r="G20" s="7">
        <v>2.338763E-2</v>
      </c>
      <c r="H20" s="53"/>
    </row>
    <row r="21" spans="1:8" ht="17.100000000000001" customHeight="1" x14ac:dyDescent="0.2">
      <c r="A21" s="3">
        <v>15</v>
      </c>
      <c r="B21" s="4" t="s">
        <v>404</v>
      </c>
      <c r="C21" s="4" t="s">
        <v>405</v>
      </c>
      <c r="D21" s="4" t="s">
        <v>238</v>
      </c>
      <c r="E21" s="5">
        <v>35822</v>
      </c>
      <c r="F21" s="6">
        <v>89.823665000000005</v>
      </c>
      <c r="G21" s="7">
        <v>2.3384780000000001E-2</v>
      </c>
      <c r="H21" s="53"/>
    </row>
    <row r="22" spans="1:8" ht="17.100000000000001" customHeight="1" x14ac:dyDescent="0.2">
      <c r="A22" s="3">
        <v>16</v>
      </c>
      <c r="B22" s="4" t="s">
        <v>393</v>
      </c>
      <c r="C22" s="4" t="s">
        <v>394</v>
      </c>
      <c r="D22" s="4" t="s">
        <v>229</v>
      </c>
      <c r="E22" s="5">
        <v>6161</v>
      </c>
      <c r="F22" s="6">
        <v>87.815813500000004</v>
      </c>
      <c r="G22" s="7">
        <v>2.2862049999999998E-2</v>
      </c>
      <c r="H22" s="53"/>
    </row>
    <row r="23" spans="1:8" ht="17.100000000000001" customHeight="1" x14ac:dyDescent="0.2">
      <c r="A23" s="3">
        <v>17</v>
      </c>
      <c r="B23" s="4" t="s">
        <v>398</v>
      </c>
      <c r="C23" s="4" t="s">
        <v>399</v>
      </c>
      <c r="D23" s="4" t="s">
        <v>229</v>
      </c>
      <c r="E23" s="5">
        <v>9165</v>
      </c>
      <c r="F23" s="6">
        <v>85.990612499999997</v>
      </c>
      <c r="G23" s="7">
        <v>2.2386880000000001E-2</v>
      </c>
      <c r="H23" s="53"/>
    </row>
    <row r="24" spans="1:8" ht="29.1" customHeight="1" x14ac:dyDescent="0.2">
      <c r="A24" s="3">
        <v>18</v>
      </c>
      <c r="B24" s="4" t="s">
        <v>102</v>
      </c>
      <c r="C24" s="4" t="s">
        <v>103</v>
      </c>
      <c r="D24" s="4" t="s">
        <v>25</v>
      </c>
      <c r="E24" s="5">
        <v>2480</v>
      </c>
      <c r="F24" s="6">
        <v>81.733360000000005</v>
      </c>
      <c r="G24" s="7">
        <v>2.1278539999999999E-2</v>
      </c>
      <c r="H24" s="53"/>
    </row>
    <row r="25" spans="1:8" ht="17.100000000000001" customHeight="1" x14ac:dyDescent="0.2">
      <c r="A25" s="3">
        <v>19</v>
      </c>
      <c r="B25" s="4" t="s">
        <v>418</v>
      </c>
      <c r="C25" s="4" t="s">
        <v>419</v>
      </c>
      <c r="D25" s="4" t="s">
        <v>73</v>
      </c>
      <c r="E25" s="5">
        <v>11837</v>
      </c>
      <c r="F25" s="6">
        <v>81.077531500000006</v>
      </c>
      <c r="G25" s="7">
        <v>2.1107799999999999E-2</v>
      </c>
      <c r="H25" s="53"/>
    </row>
    <row r="26" spans="1:8" ht="17.100000000000001" customHeight="1" x14ac:dyDescent="0.2">
      <c r="A26" s="3">
        <v>20</v>
      </c>
      <c r="B26" s="4" t="s">
        <v>395</v>
      </c>
      <c r="C26" s="4" t="s">
        <v>396</v>
      </c>
      <c r="D26" s="4" t="s">
        <v>397</v>
      </c>
      <c r="E26" s="5">
        <v>4793</v>
      </c>
      <c r="F26" s="6">
        <v>80.9178225</v>
      </c>
      <c r="G26" s="7">
        <v>2.106622E-2</v>
      </c>
      <c r="H26" s="53"/>
    </row>
    <row r="27" spans="1:8" ht="29.1" customHeight="1" x14ac:dyDescent="0.2">
      <c r="A27" s="3">
        <v>21</v>
      </c>
      <c r="B27" s="4" t="s">
        <v>96</v>
      </c>
      <c r="C27" s="4" t="s">
        <v>97</v>
      </c>
      <c r="D27" s="4" t="s">
        <v>38</v>
      </c>
      <c r="E27" s="5">
        <v>3088</v>
      </c>
      <c r="F27" s="6">
        <v>76.042000000000002</v>
      </c>
      <c r="G27" s="7">
        <v>1.9796850000000001E-2</v>
      </c>
      <c r="H27" s="53"/>
    </row>
    <row r="28" spans="1:8" ht="17.100000000000001" customHeight="1" x14ac:dyDescent="0.2">
      <c r="A28" s="3">
        <v>22</v>
      </c>
      <c r="B28" s="4" t="s">
        <v>437</v>
      </c>
      <c r="C28" s="4" t="s">
        <v>438</v>
      </c>
      <c r="D28" s="4" t="s">
        <v>229</v>
      </c>
      <c r="E28" s="5">
        <v>31256</v>
      </c>
      <c r="F28" s="6">
        <v>75.451983999999996</v>
      </c>
      <c r="G28" s="7">
        <v>1.9643239999999999E-2</v>
      </c>
      <c r="H28" s="53"/>
    </row>
    <row r="29" spans="1:8" ht="17.100000000000001" customHeight="1" x14ac:dyDescent="0.2">
      <c r="A29" s="3">
        <v>23</v>
      </c>
      <c r="B29" s="4" t="s">
        <v>406</v>
      </c>
      <c r="C29" s="4" t="s">
        <v>407</v>
      </c>
      <c r="D29" s="4" t="s">
        <v>130</v>
      </c>
      <c r="E29" s="5">
        <v>60160</v>
      </c>
      <c r="F29" s="6">
        <v>73.244799999999998</v>
      </c>
      <c r="G29" s="7">
        <v>1.9068620000000001E-2</v>
      </c>
      <c r="H29" s="53"/>
    </row>
    <row r="30" spans="1:8" ht="29.1" customHeight="1" x14ac:dyDescent="0.2">
      <c r="A30" s="3">
        <v>24</v>
      </c>
      <c r="B30" s="4" t="s">
        <v>477</v>
      </c>
      <c r="C30" s="4" t="s">
        <v>478</v>
      </c>
      <c r="D30" s="4" t="s">
        <v>38</v>
      </c>
      <c r="E30" s="5">
        <v>17450</v>
      </c>
      <c r="F30" s="6">
        <v>69.119450000000001</v>
      </c>
      <c r="G30" s="7">
        <v>1.7994619999999999E-2</v>
      </c>
      <c r="H30" s="53"/>
    </row>
    <row r="31" spans="1:8" ht="17.100000000000001" customHeight="1" x14ac:dyDescent="0.2">
      <c r="A31" s="3">
        <v>25</v>
      </c>
      <c r="B31" s="4" t="s">
        <v>400</v>
      </c>
      <c r="C31" s="4" t="s">
        <v>401</v>
      </c>
      <c r="D31" s="4" t="s">
        <v>73</v>
      </c>
      <c r="E31" s="5">
        <v>5528</v>
      </c>
      <c r="F31" s="6">
        <v>67.015944000000005</v>
      </c>
      <c r="G31" s="7">
        <v>1.7447000000000001E-2</v>
      </c>
      <c r="H31" s="53"/>
    </row>
    <row r="32" spans="1:8" ht="17.100000000000001" customHeight="1" x14ac:dyDescent="0.2">
      <c r="A32" s="3">
        <v>26</v>
      </c>
      <c r="B32" s="4" t="s">
        <v>439</v>
      </c>
      <c r="C32" s="4" t="s">
        <v>440</v>
      </c>
      <c r="D32" s="4" t="s">
        <v>130</v>
      </c>
      <c r="E32" s="5">
        <v>7127</v>
      </c>
      <c r="F32" s="6">
        <v>59.4569975</v>
      </c>
      <c r="G32" s="7">
        <v>1.5479089999999999E-2</v>
      </c>
      <c r="H32" s="53"/>
    </row>
    <row r="33" spans="1:8" ht="17.100000000000001" customHeight="1" x14ac:dyDescent="0.2">
      <c r="A33" s="3">
        <v>27</v>
      </c>
      <c r="B33" s="4" t="s">
        <v>482</v>
      </c>
      <c r="C33" s="4" t="s">
        <v>483</v>
      </c>
      <c r="D33" s="4" t="s">
        <v>13</v>
      </c>
      <c r="E33" s="5">
        <v>8885</v>
      </c>
      <c r="F33" s="6">
        <v>58.680982499999999</v>
      </c>
      <c r="G33" s="7">
        <v>1.527706E-2</v>
      </c>
      <c r="H33" s="53"/>
    </row>
    <row r="34" spans="1:8" ht="29.1" customHeight="1" x14ac:dyDescent="0.2">
      <c r="A34" s="3">
        <v>28</v>
      </c>
      <c r="B34" s="4" t="s">
        <v>429</v>
      </c>
      <c r="C34" s="4" t="s">
        <v>430</v>
      </c>
      <c r="D34" s="4" t="s">
        <v>224</v>
      </c>
      <c r="E34" s="5">
        <v>18366</v>
      </c>
      <c r="F34" s="6">
        <v>58.266134999999998</v>
      </c>
      <c r="G34" s="7">
        <v>1.516906E-2</v>
      </c>
      <c r="H34" s="53"/>
    </row>
    <row r="35" spans="1:8" ht="17.100000000000001" customHeight="1" x14ac:dyDescent="0.2">
      <c r="A35" s="3">
        <v>29</v>
      </c>
      <c r="B35" s="4" t="s">
        <v>423</v>
      </c>
      <c r="C35" s="4" t="s">
        <v>424</v>
      </c>
      <c r="D35" s="4" t="s">
        <v>906</v>
      </c>
      <c r="E35" s="5">
        <v>5354</v>
      </c>
      <c r="F35" s="6">
        <v>57.729505000000003</v>
      </c>
      <c r="G35" s="7">
        <v>1.502936E-2</v>
      </c>
      <c r="H35" s="53"/>
    </row>
    <row r="36" spans="1:8" ht="29.1" customHeight="1" x14ac:dyDescent="0.2">
      <c r="A36" s="3">
        <v>30</v>
      </c>
      <c r="B36" s="4" t="s">
        <v>420</v>
      </c>
      <c r="C36" s="4" t="s">
        <v>421</v>
      </c>
      <c r="D36" s="4" t="s">
        <v>422</v>
      </c>
      <c r="E36" s="5">
        <v>35853</v>
      </c>
      <c r="F36" s="6">
        <v>55.339105500000002</v>
      </c>
      <c r="G36" s="7">
        <v>1.4407039999999999E-2</v>
      </c>
      <c r="H36" s="53"/>
    </row>
    <row r="37" spans="1:8" ht="17.100000000000001" customHeight="1" x14ac:dyDescent="0.2">
      <c r="A37" s="3">
        <v>31</v>
      </c>
      <c r="B37" s="4" t="s">
        <v>433</v>
      </c>
      <c r="C37" s="4" t="s">
        <v>434</v>
      </c>
      <c r="D37" s="4" t="s">
        <v>73</v>
      </c>
      <c r="E37" s="5">
        <v>10328</v>
      </c>
      <c r="F37" s="6">
        <v>54.660939999999997</v>
      </c>
      <c r="G37" s="7">
        <v>1.423048E-2</v>
      </c>
      <c r="H37" s="53"/>
    </row>
    <row r="38" spans="1:8" ht="29.1" customHeight="1" x14ac:dyDescent="0.2">
      <c r="A38" s="3">
        <v>32</v>
      </c>
      <c r="B38" s="4" t="s">
        <v>475</v>
      </c>
      <c r="C38" s="4" t="s">
        <v>476</v>
      </c>
      <c r="D38" s="4" t="s">
        <v>469</v>
      </c>
      <c r="E38" s="5">
        <v>8921</v>
      </c>
      <c r="F38" s="6">
        <v>54.061259999999997</v>
      </c>
      <c r="G38" s="7">
        <v>1.4074359999999999E-2</v>
      </c>
      <c r="H38" s="53"/>
    </row>
    <row r="39" spans="1:8" ht="17.100000000000001" customHeight="1" x14ac:dyDescent="0.2">
      <c r="A39" s="3">
        <v>33</v>
      </c>
      <c r="B39" s="4" t="s">
        <v>408</v>
      </c>
      <c r="C39" s="4" t="s">
        <v>409</v>
      </c>
      <c r="D39" s="4" t="s">
        <v>13</v>
      </c>
      <c r="E39" s="5">
        <v>50158</v>
      </c>
      <c r="F39" s="6">
        <v>50.935448999999998</v>
      </c>
      <c r="G39" s="7">
        <v>1.3260579999999999E-2</v>
      </c>
      <c r="H39" s="53"/>
    </row>
    <row r="40" spans="1:8" ht="17.100000000000001" customHeight="1" x14ac:dyDescent="0.2">
      <c r="A40" s="3">
        <v>34</v>
      </c>
      <c r="B40" s="4" t="s">
        <v>431</v>
      </c>
      <c r="C40" s="4" t="s">
        <v>432</v>
      </c>
      <c r="D40" s="4" t="s">
        <v>906</v>
      </c>
      <c r="E40" s="5">
        <v>2771</v>
      </c>
      <c r="F40" s="6">
        <v>45.370968499999996</v>
      </c>
      <c r="G40" s="7">
        <v>1.181192E-2</v>
      </c>
      <c r="H40" s="53"/>
    </row>
    <row r="41" spans="1:8" ht="17.100000000000001" customHeight="1" x14ac:dyDescent="0.2">
      <c r="A41" s="3">
        <v>35</v>
      </c>
      <c r="B41" s="4" t="s">
        <v>457</v>
      </c>
      <c r="C41" s="4" t="s">
        <v>458</v>
      </c>
      <c r="D41" s="4" t="s">
        <v>28</v>
      </c>
      <c r="E41" s="5">
        <v>12767</v>
      </c>
      <c r="F41" s="6">
        <v>42.169401000000001</v>
      </c>
      <c r="G41" s="7">
        <v>1.0978419999999999E-2</v>
      </c>
      <c r="H41" s="53"/>
    </row>
    <row r="42" spans="1:8" ht="29.1" customHeight="1" x14ac:dyDescent="0.2">
      <c r="A42" s="3">
        <v>36</v>
      </c>
      <c r="B42" s="4" t="s">
        <v>435</v>
      </c>
      <c r="C42" s="4" t="s">
        <v>436</v>
      </c>
      <c r="D42" s="4" t="s">
        <v>214</v>
      </c>
      <c r="E42" s="5">
        <v>8645</v>
      </c>
      <c r="F42" s="6">
        <v>41.310132500000002</v>
      </c>
      <c r="G42" s="7">
        <v>1.0754720000000001E-2</v>
      </c>
      <c r="H42" s="53"/>
    </row>
    <row r="43" spans="1:8" ht="29.1" customHeight="1" x14ac:dyDescent="0.2">
      <c r="A43" s="3">
        <v>37</v>
      </c>
      <c r="B43" s="4" t="s">
        <v>479</v>
      </c>
      <c r="C43" s="4" t="s">
        <v>480</v>
      </c>
      <c r="D43" s="4" t="s">
        <v>481</v>
      </c>
      <c r="E43" s="5">
        <v>8672</v>
      </c>
      <c r="F43" s="6">
        <v>41.118288</v>
      </c>
      <c r="G43" s="7">
        <v>1.0704780000000001E-2</v>
      </c>
      <c r="H43" s="53"/>
    </row>
    <row r="44" spans="1:8" ht="17.100000000000001" customHeight="1" x14ac:dyDescent="0.2">
      <c r="A44" s="3">
        <v>38</v>
      </c>
      <c r="B44" s="4" t="s">
        <v>425</v>
      </c>
      <c r="C44" s="4" t="s">
        <v>426</v>
      </c>
      <c r="D44" s="4" t="s">
        <v>304</v>
      </c>
      <c r="E44" s="5">
        <v>5116</v>
      </c>
      <c r="F44" s="6">
        <v>38.538828000000002</v>
      </c>
      <c r="G44" s="7">
        <v>1.0033240000000001E-2</v>
      </c>
      <c r="H44" s="53"/>
    </row>
    <row r="45" spans="1:8" ht="17.100000000000001" customHeight="1" x14ac:dyDescent="0.2">
      <c r="A45" s="3">
        <v>39</v>
      </c>
      <c r="B45" s="4" t="s">
        <v>247</v>
      </c>
      <c r="C45" s="4" t="s">
        <v>248</v>
      </c>
      <c r="D45" s="4" t="s">
        <v>87</v>
      </c>
      <c r="E45" s="5">
        <v>692</v>
      </c>
      <c r="F45" s="6">
        <v>35.85425</v>
      </c>
      <c r="G45" s="7">
        <v>9.3343300000000001E-3</v>
      </c>
      <c r="H45" s="53"/>
    </row>
    <row r="46" spans="1:8" ht="17.100000000000001" customHeight="1" x14ac:dyDescent="0.2">
      <c r="A46" s="3">
        <v>40</v>
      </c>
      <c r="B46" s="4" t="s">
        <v>447</v>
      </c>
      <c r="C46" s="4" t="s">
        <v>448</v>
      </c>
      <c r="D46" s="4" t="s">
        <v>31</v>
      </c>
      <c r="E46" s="5">
        <v>4549</v>
      </c>
      <c r="F46" s="6">
        <v>32.796015500000003</v>
      </c>
      <c r="G46" s="7">
        <v>8.5381499999999996E-3</v>
      </c>
      <c r="H46" s="53"/>
    </row>
    <row r="47" spans="1:8" ht="29.1" customHeight="1" x14ac:dyDescent="0.2">
      <c r="A47" s="3">
        <v>41</v>
      </c>
      <c r="B47" s="4" t="s">
        <v>487</v>
      </c>
      <c r="C47" s="4" t="s">
        <v>488</v>
      </c>
      <c r="D47" s="4" t="s">
        <v>73</v>
      </c>
      <c r="E47" s="5">
        <v>2514</v>
      </c>
      <c r="F47" s="6">
        <v>31.663830000000001</v>
      </c>
      <c r="G47" s="7">
        <v>8.2433899999999997E-3</v>
      </c>
      <c r="H47" s="53"/>
    </row>
    <row r="48" spans="1:8" ht="17.100000000000001" customHeight="1" x14ac:dyDescent="0.2">
      <c r="A48" s="3">
        <v>42</v>
      </c>
      <c r="B48" s="4" t="s">
        <v>441</v>
      </c>
      <c r="C48" s="4" t="s">
        <v>442</v>
      </c>
      <c r="D48" s="4" t="s">
        <v>95</v>
      </c>
      <c r="E48" s="5">
        <v>3248</v>
      </c>
      <c r="F48" s="6">
        <v>29.904336000000001</v>
      </c>
      <c r="G48" s="7">
        <v>7.7853200000000001E-3</v>
      </c>
      <c r="H48" s="53"/>
    </row>
    <row r="49" spans="1:8" ht="17.100000000000001" customHeight="1" x14ac:dyDescent="0.2">
      <c r="A49" s="3">
        <v>43</v>
      </c>
      <c r="B49" s="4" t="s">
        <v>489</v>
      </c>
      <c r="C49" s="4" t="s">
        <v>490</v>
      </c>
      <c r="D49" s="4" t="s">
        <v>73</v>
      </c>
      <c r="E49" s="5">
        <v>937</v>
      </c>
      <c r="F49" s="6">
        <v>27.170657500000001</v>
      </c>
      <c r="G49" s="7">
        <v>7.07364E-3</v>
      </c>
      <c r="H49" s="53"/>
    </row>
    <row r="50" spans="1:8" ht="29.1" customHeight="1" x14ac:dyDescent="0.2">
      <c r="A50" s="3">
        <v>44</v>
      </c>
      <c r="B50" s="4" t="s">
        <v>449</v>
      </c>
      <c r="C50" s="4" t="s">
        <v>450</v>
      </c>
      <c r="D50" s="4" t="s">
        <v>224</v>
      </c>
      <c r="E50" s="5">
        <v>482</v>
      </c>
      <c r="F50" s="6">
        <v>23.497499999999999</v>
      </c>
      <c r="G50" s="7">
        <v>6.1173599999999996E-3</v>
      </c>
      <c r="H50" s="53"/>
    </row>
    <row r="51" spans="1:8" ht="17.100000000000001" customHeight="1" x14ac:dyDescent="0.2">
      <c r="A51" s="3">
        <v>45</v>
      </c>
      <c r="B51" s="4" t="s">
        <v>451</v>
      </c>
      <c r="C51" s="4" t="s">
        <v>452</v>
      </c>
      <c r="D51" s="4" t="s">
        <v>92</v>
      </c>
      <c r="E51" s="5">
        <v>21625</v>
      </c>
      <c r="F51" s="6">
        <v>19.9490625</v>
      </c>
      <c r="G51" s="7">
        <v>5.1935599999999998E-3</v>
      </c>
      <c r="H51" s="53"/>
    </row>
    <row r="52" spans="1:8" ht="17.100000000000001" customHeight="1" x14ac:dyDescent="0.2">
      <c r="A52" s="3">
        <v>46</v>
      </c>
      <c r="B52" s="4" t="s">
        <v>453</v>
      </c>
      <c r="C52" s="4" t="s">
        <v>454</v>
      </c>
      <c r="D52" s="4" t="s">
        <v>31</v>
      </c>
      <c r="E52" s="5">
        <v>2157</v>
      </c>
      <c r="F52" s="6">
        <v>19.901560499999999</v>
      </c>
      <c r="G52" s="7">
        <v>5.1811899999999996E-3</v>
      </c>
      <c r="H52" s="53"/>
    </row>
    <row r="53" spans="1:8" ht="29.1" customHeight="1" x14ac:dyDescent="0.2">
      <c r="A53" s="3">
        <v>47</v>
      </c>
      <c r="B53" s="4" t="s">
        <v>455</v>
      </c>
      <c r="C53" s="4" t="s">
        <v>456</v>
      </c>
      <c r="D53" s="4" t="s">
        <v>201</v>
      </c>
      <c r="E53" s="5">
        <v>1745</v>
      </c>
      <c r="F53" s="6">
        <v>8.8523849999999999</v>
      </c>
      <c r="G53" s="7">
        <v>2.3046400000000002E-3</v>
      </c>
      <c r="H53" s="53"/>
    </row>
    <row r="54" spans="1:8" ht="17.100000000000001" customHeight="1" x14ac:dyDescent="0.2">
      <c r="A54" s="3">
        <v>48</v>
      </c>
      <c r="B54" s="4" t="s">
        <v>954</v>
      </c>
      <c r="C54" s="4" t="s">
        <v>299</v>
      </c>
      <c r="D54" s="4" t="s">
        <v>130</v>
      </c>
      <c r="E54" s="5">
        <v>692</v>
      </c>
      <c r="F54" s="6">
        <v>7.0673959999999996</v>
      </c>
      <c r="G54" s="7">
        <v>1.83993E-3</v>
      </c>
      <c r="H54" s="53"/>
    </row>
    <row r="55" spans="1:8" ht="14.1" customHeight="1" x14ac:dyDescent="0.2">
      <c r="A55" s="1"/>
      <c r="B55" s="1"/>
      <c r="C55" s="2" t="s">
        <v>144</v>
      </c>
      <c r="D55" s="1"/>
      <c r="E55" s="1" t="s">
        <v>145</v>
      </c>
      <c r="F55" s="9">
        <v>3654.2694255000001</v>
      </c>
      <c r="G55" s="10">
        <v>0.95135603999999996</v>
      </c>
      <c r="H55" s="53"/>
    </row>
    <row r="56" spans="1:8" ht="14.1" customHeight="1" x14ac:dyDescent="0.2">
      <c r="A56" s="1"/>
      <c r="B56" s="1"/>
      <c r="C56" s="11"/>
      <c r="D56" s="1"/>
      <c r="E56" s="1"/>
      <c r="F56" s="12"/>
      <c r="G56" s="12"/>
      <c r="H56" s="53"/>
    </row>
    <row r="57" spans="1:8" ht="14.1" customHeight="1" x14ac:dyDescent="0.2">
      <c r="A57" s="1"/>
      <c r="B57" s="1"/>
      <c r="C57" s="2" t="s">
        <v>146</v>
      </c>
      <c r="D57" s="1"/>
      <c r="E57" s="1"/>
      <c r="F57" s="1"/>
      <c r="G57" s="1"/>
      <c r="H57" s="53"/>
    </row>
    <row r="58" spans="1:8" ht="14.1" customHeight="1" x14ac:dyDescent="0.2">
      <c r="A58" s="1"/>
      <c r="B58" s="1"/>
      <c r="C58" s="2" t="s">
        <v>144</v>
      </c>
      <c r="D58" s="1"/>
      <c r="E58" s="1" t="s">
        <v>145</v>
      </c>
      <c r="F58" s="13" t="s">
        <v>147</v>
      </c>
      <c r="G58" s="10">
        <v>0</v>
      </c>
      <c r="H58" s="53"/>
    </row>
    <row r="59" spans="1:8" ht="14.1" customHeight="1" x14ac:dyDescent="0.2">
      <c r="A59" s="1"/>
      <c r="B59" s="1"/>
      <c r="C59" s="11"/>
      <c r="D59" s="1"/>
      <c r="E59" s="1"/>
      <c r="F59" s="12"/>
      <c r="G59" s="12"/>
      <c r="H59" s="53"/>
    </row>
    <row r="60" spans="1:8" ht="14.1" customHeight="1" x14ac:dyDescent="0.2">
      <c r="A60" s="1"/>
      <c r="B60" s="1"/>
      <c r="C60" s="2" t="s">
        <v>148</v>
      </c>
      <c r="D60" s="1"/>
      <c r="E60" s="1"/>
      <c r="F60" s="1"/>
      <c r="G60" s="1"/>
      <c r="H60" s="53"/>
    </row>
    <row r="61" spans="1:8" ht="14.1" customHeight="1" x14ac:dyDescent="0.2">
      <c r="A61" s="1"/>
      <c r="B61" s="1"/>
      <c r="C61" s="2" t="s">
        <v>144</v>
      </c>
      <c r="D61" s="1"/>
      <c r="E61" s="1" t="s">
        <v>145</v>
      </c>
      <c r="F61" s="13" t="s">
        <v>147</v>
      </c>
      <c r="G61" s="10">
        <v>0</v>
      </c>
      <c r="H61" s="53"/>
    </row>
    <row r="62" spans="1:8" ht="14.1" customHeight="1" x14ac:dyDescent="0.2">
      <c r="A62" s="1"/>
      <c r="B62" s="1"/>
      <c r="C62" s="11"/>
      <c r="D62" s="1"/>
      <c r="E62" s="1"/>
      <c r="F62" s="12"/>
      <c r="G62" s="12"/>
      <c r="H62" s="53"/>
    </row>
    <row r="63" spans="1:8" ht="14.1" customHeight="1" x14ac:dyDescent="0.2">
      <c r="A63" s="1"/>
      <c r="B63" s="1"/>
      <c r="C63" s="2" t="s">
        <v>149</v>
      </c>
      <c r="D63" s="1"/>
      <c r="E63" s="1"/>
      <c r="F63" s="1"/>
      <c r="G63" s="1"/>
      <c r="H63" s="53"/>
    </row>
    <row r="64" spans="1:8" ht="29.1" customHeight="1" x14ac:dyDescent="0.2">
      <c r="A64" s="3">
        <v>1</v>
      </c>
      <c r="B64" s="4" t="s">
        <v>307</v>
      </c>
      <c r="C64" s="4" t="s">
        <v>964</v>
      </c>
      <c r="D64" s="4" t="s">
        <v>87</v>
      </c>
      <c r="E64" s="5">
        <v>80272</v>
      </c>
      <c r="F64" s="6">
        <v>8.2680159999999994</v>
      </c>
      <c r="G64" s="7">
        <v>2.1524999999999999E-3</v>
      </c>
      <c r="H64" s="53"/>
    </row>
    <row r="65" spans="1:8" ht="36" customHeight="1" x14ac:dyDescent="0.2">
      <c r="A65" s="3">
        <v>2</v>
      </c>
      <c r="B65" s="4" t="s">
        <v>955</v>
      </c>
      <c r="C65" s="4" t="s">
        <v>1165</v>
      </c>
      <c r="D65" s="4" t="s">
        <v>130</v>
      </c>
      <c r="E65" s="5">
        <v>80</v>
      </c>
      <c r="F65" s="6">
        <v>8.0000799999999997E-3</v>
      </c>
      <c r="G65" s="7" t="s">
        <v>143</v>
      </c>
      <c r="H65" s="53"/>
    </row>
    <row r="66" spans="1:8" ht="14.1" customHeight="1" x14ac:dyDescent="0.2">
      <c r="A66" s="1"/>
      <c r="B66" s="1"/>
      <c r="C66" s="2" t="s">
        <v>144</v>
      </c>
      <c r="D66" s="1"/>
      <c r="E66" s="1" t="s">
        <v>145</v>
      </c>
      <c r="F66" s="9">
        <v>8.2760160799999998</v>
      </c>
      <c r="G66" s="10">
        <v>2.1545800000000001E-3</v>
      </c>
      <c r="H66" s="53"/>
    </row>
    <row r="67" spans="1:8" ht="14.1" customHeight="1" x14ac:dyDescent="0.2">
      <c r="A67" s="1"/>
      <c r="B67" s="1"/>
      <c r="C67" s="11"/>
      <c r="D67" s="1"/>
      <c r="E67" s="1"/>
      <c r="F67" s="12"/>
      <c r="G67" s="12"/>
      <c r="H67" s="53"/>
    </row>
    <row r="68" spans="1:8" ht="14.1" customHeight="1" x14ac:dyDescent="0.2">
      <c r="A68" s="1"/>
      <c r="B68" s="1"/>
      <c r="C68" s="2" t="s">
        <v>150</v>
      </c>
      <c r="D68" s="1"/>
      <c r="E68" s="1"/>
      <c r="F68" s="12"/>
      <c r="G68" s="12"/>
      <c r="H68" s="53"/>
    </row>
    <row r="69" spans="1:8" ht="14.1" customHeight="1" x14ac:dyDescent="0.2">
      <c r="A69" s="1"/>
      <c r="B69" s="1"/>
      <c r="C69" s="2" t="s">
        <v>144</v>
      </c>
      <c r="D69" s="1"/>
      <c r="E69" s="1" t="s">
        <v>145</v>
      </c>
      <c r="F69" s="13" t="s">
        <v>147</v>
      </c>
      <c r="G69" s="10">
        <v>0</v>
      </c>
      <c r="H69" s="53"/>
    </row>
    <row r="70" spans="1:8" ht="14.1" customHeight="1" x14ac:dyDescent="0.2">
      <c r="A70" s="1"/>
      <c r="B70" s="1"/>
      <c r="C70" s="11"/>
      <c r="D70" s="1"/>
      <c r="E70" s="1"/>
      <c r="F70" s="12"/>
      <c r="G70" s="12"/>
      <c r="H70" s="53"/>
    </row>
    <row r="71" spans="1:8" ht="14.1" customHeight="1" x14ac:dyDescent="0.2">
      <c r="A71" s="1"/>
      <c r="B71" s="1"/>
      <c r="C71" s="2" t="s">
        <v>151</v>
      </c>
      <c r="D71" s="1"/>
      <c r="E71" s="1"/>
      <c r="F71" s="12"/>
      <c r="G71" s="12"/>
      <c r="H71" s="53"/>
    </row>
    <row r="72" spans="1:8" ht="14.1" customHeight="1" x14ac:dyDescent="0.2">
      <c r="A72" s="1"/>
      <c r="B72" s="1"/>
      <c r="C72" s="2" t="s">
        <v>144</v>
      </c>
      <c r="D72" s="1"/>
      <c r="E72" s="1" t="s">
        <v>145</v>
      </c>
      <c r="F72" s="13" t="s">
        <v>147</v>
      </c>
      <c r="G72" s="10">
        <v>0</v>
      </c>
      <c r="H72" s="53"/>
    </row>
    <row r="73" spans="1:8" ht="14.1" customHeight="1" x14ac:dyDescent="0.2">
      <c r="A73" s="1"/>
      <c r="B73" s="1"/>
      <c r="C73" s="11"/>
      <c r="D73" s="1"/>
      <c r="E73" s="1"/>
      <c r="F73" s="12"/>
      <c r="G73" s="12"/>
      <c r="H73" s="53"/>
    </row>
    <row r="74" spans="1:8" ht="18" customHeight="1" x14ac:dyDescent="0.2">
      <c r="A74" s="1"/>
      <c r="B74" s="1"/>
      <c r="C74" s="2" t="s">
        <v>152</v>
      </c>
      <c r="D74" s="1"/>
      <c r="E74" s="1"/>
      <c r="F74" s="9">
        <v>3662.54544158</v>
      </c>
      <c r="G74" s="10">
        <v>0.95351061999999998</v>
      </c>
      <c r="H74" s="53"/>
    </row>
    <row r="75" spans="1:8" ht="14.1" customHeight="1" x14ac:dyDescent="0.2">
      <c r="A75" s="1"/>
      <c r="B75" s="1"/>
      <c r="C75" s="11"/>
      <c r="D75" s="1"/>
      <c r="E75" s="1"/>
      <c r="F75" s="12"/>
      <c r="G75" s="12"/>
      <c r="H75" s="53"/>
    </row>
    <row r="76" spans="1:8" ht="14.1" customHeight="1" x14ac:dyDescent="0.2">
      <c r="A76" s="1"/>
      <c r="B76" s="1"/>
      <c r="C76" s="2" t="s">
        <v>153</v>
      </c>
      <c r="D76" s="1"/>
      <c r="E76" s="1"/>
      <c r="F76" s="12"/>
      <c r="G76" s="12"/>
      <c r="H76" s="53"/>
    </row>
    <row r="77" spans="1:8" ht="24" customHeight="1" x14ac:dyDescent="0.2">
      <c r="A77" s="1"/>
      <c r="B77" s="1"/>
      <c r="C77" s="2" t="s">
        <v>10</v>
      </c>
      <c r="D77" s="1"/>
      <c r="E77" s="1"/>
      <c r="F77" s="12"/>
      <c r="G77" s="12"/>
      <c r="H77" s="53"/>
    </row>
    <row r="78" spans="1:8" ht="14.1" customHeight="1" x14ac:dyDescent="0.2">
      <c r="A78" s="1"/>
      <c r="B78" s="1"/>
      <c r="C78" s="2" t="s">
        <v>144</v>
      </c>
      <c r="D78" s="1"/>
      <c r="E78" s="1" t="s">
        <v>145</v>
      </c>
      <c r="F78" s="13" t="s">
        <v>147</v>
      </c>
      <c r="G78" s="10">
        <v>0</v>
      </c>
      <c r="H78" s="53"/>
    </row>
    <row r="79" spans="1:8" ht="14.1" customHeight="1" x14ac:dyDescent="0.2">
      <c r="A79" s="1"/>
      <c r="B79" s="1"/>
      <c r="C79" s="11"/>
      <c r="D79" s="1"/>
      <c r="E79" s="1"/>
      <c r="F79" s="12"/>
      <c r="G79" s="12"/>
      <c r="H79" s="53"/>
    </row>
    <row r="80" spans="1:8" ht="14.1" customHeight="1" x14ac:dyDescent="0.2">
      <c r="A80" s="1"/>
      <c r="B80" s="1"/>
      <c r="C80" s="2" t="s">
        <v>154</v>
      </c>
      <c r="D80" s="1"/>
      <c r="E80" s="1"/>
      <c r="F80" s="1"/>
      <c r="G80" s="1"/>
      <c r="H80" s="53"/>
    </row>
    <row r="81" spans="1:8" ht="14.1" customHeight="1" x14ac:dyDescent="0.2">
      <c r="A81" s="1"/>
      <c r="B81" s="1"/>
      <c r="C81" s="2" t="s">
        <v>144</v>
      </c>
      <c r="D81" s="1"/>
      <c r="E81" s="1" t="s">
        <v>145</v>
      </c>
      <c r="F81" s="13" t="s">
        <v>147</v>
      </c>
      <c r="G81" s="10">
        <v>0</v>
      </c>
      <c r="H81" s="53"/>
    </row>
    <row r="82" spans="1:8" ht="14.1" customHeight="1" x14ac:dyDescent="0.2">
      <c r="A82" s="1"/>
      <c r="B82" s="1"/>
      <c r="C82" s="11"/>
      <c r="D82" s="1"/>
      <c r="E82" s="1"/>
      <c r="F82" s="12"/>
      <c r="G82" s="12"/>
      <c r="H82" s="53"/>
    </row>
    <row r="83" spans="1:8" ht="14.1" customHeight="1" x14ac:dyDescent="0.2">
      <c r="A83" s="1"/>
      <c r="B83" s="1"/>
      <c r="C83" s="2" t="s">
        <v>155</v>
      </c>
      <c r="D83" s="1"/>
      <c r="E83" s="1"/>
      <c r="F83" s="1"/>
      <c r="G83" s="1"/>
      <c r="H83" s="53"/>
    </row>
    <row r="84" spans="1:8" ht="14.1" customHeight="1" x14ac:dyDescent="0.2">
      <c r="A84" s="1"/>
      <c r="B84" s="1"/>
      <c r="C84" s="2" t="s">
        <v>144</v>
      </c>
      <c r="D84" s="1"/>
      <c r="E84" s="1" t="s">
        <v>145</v>
      </c>
      <c r="F84" s="13" t="s">
        <v>147</v>
      </c>
      <c r="G84" s="10">
        <v>0</v>
      </c>
      <c r="H84" s="53"/>
    </row>
    <row r="85" spans="1:8" ht="14.1" customHeight="1" x14ac:dyDescent="0.2">
      <c r="A85" s="1"/>
      <c r="B85" s="1"/>
      <c r="C85" s="11"/>
      <c r="D85" s="1"/>
      <c r="E85" s="1"/>
      <c r="F85" s="12"/>
      <c r="G85" s="12"/>
      <c r="H85" s="53"/>
    </row>
    <row r="86" spans="1:8" ht="14.1" customHeight="1" x14ac:dyDescent="0.2">
      <c r="A86" s="1"/>
      <c r="B86" s="1"/>
      <c r="C86" s="2" t="s">
        <v>156</v>
      </c>
      <c r="D86" s="1"/>
      <c r="E86" s="1"/>
      <c r="F86" s="12"/>
      <c r="G86" s="12"/>
      <c r="H86" s="53"/>
    </row>
    <row r="87" spans="1:8" ht="14.1" customHeight="1" x14ac:dyDescent="0.2">
      <c r="A87" s="1"/>
      <c r="B87" s="1"/>
      <c r="C87" s="2" t="s">
        <v>144</v>
      </c>
      <c r="D87" s="1"/>
      <c r="E87" s="1" t="s">
        <v>145</v>
      </c>
      <c r="F87" s="13" t="s">
        <v>147</v>
      </c>
      <c r="G87" s="10">
        <v>0</v>
      </c>
      <c r="H87" s="53"/>
    </row>
    <row r="88" spans="1:8" ht="14.1" customHeight="1" x14ac:dyDescent="0.2">
      <c r="A88" s="1"/>
      <c r="B88" s="1"/>
      <c r="C88" s="11"/>
      <c r="D88" s="1"/>
      <c r="E88" s="1"/>
      <c r="F88" s="12"/>
      <c r="G88" s="12"/>
      <c r="H88" s="53"/>
    </row>
    <row r="89" spans="1:8" ht="14.1" customHeight="1" x14ac:dyDescent="0.2">
      <c r="A89" s="1"/>
      <c r="B89" s="1"/>
      <c r="C89" s="2" t="s">
        <v>157</v>
      </c>
      <c r="D89" s="1"/>
      <c r="E89" s="1"/>
      <c r="F89" s="9">
        <v>0</v>
      </c>
      <c r="G89" s="10">
        <v>0</v>
      </c>
      <c r="H89" s="53"/>
    </row>
    <row r="90" spans="1:8" ht="14.1" customHeight="1" x14ac:dyDescent="0.2">
      <c r="A90" s="1"/>
      <c r="B90" s="1"/>
      <c r="C90" s="11"/>
      <c r="D90" s="1"/>
      <c r="E90" s="1"/>
      <c r="F90" s="12"/>
      <c r="G90" s="12"/>
      <c r="H90" s="53"/>
    </row>
    <row r="91" spans="1:8" ht="14.1" customHeight="1" x14ac:dyDescent="0.2">
      <c r="A91" s="1"/>
      <c r="B91" s="1"/>
      <c r="C91" s="2" t="s">
        <v>158</v>
      </c>
      <c r="D91" s="1"/>
      <c r="E91" s="1"/>
      <c r="F91" s="12"/>
      <c r="G91" s="12"/>
      <c r="H91" s="53"/>
    </row>
    <row r="92" spans="1:8" ht="14.1" customHeight="1" x14ac:dyDescent="0.2">
      <c r="A92" s="1"/>
      <c r="B92" s="1"/>
      <c r="C92" s="2" t="s">
        <v>159</v>
      </c>
      <c r="D92" s="1"/>
      <c r="E92" s="1"/>
      <c r="F92" s="12"/>
      <c r="G92" s="12"/>
      <c r="H92" s="53"/>
    </row>
    <row r="93" spans="1:8" ht="14.1" customHeight="1" x14ac:dyDescent="0.2">
      <c r="A93" s="1"/>
      <c r="B93" s="1"/>
      <c r="C93" s="2" t="s">
        <v>144</v>
      </c>
      <c r="D93" s="1"/>
      <c r="E93" s="1" t="s">
        <v>145</v>
      </c>
      <c r="F93" s="13" t="s">
        <v>147</v>
      </c>
      <c r="G93" s="10">
        <v>0</v>
      </c>
      <c r="H93" s="53"/>
    </row>
    <row r="94" spans="1:8" ht="14.1" customHeight="1" x14ac:dyDescent="0.2">
      <c r="A94" s="1"/>
      <c r="B94" s="1"/>
      <c r="C94" s="11"/>
      <c r="D94" s="1"/>
      <c r="E94" s="1"/>
      <c r="F94" s="12"/>
      <c r="G94" s="12"/>
      <c r="H94" s="53"/>
    </row>
    <row r="95" spans="1:8" ht="14.1" customHeight="1" x14ac:dyDescent="0.2">
      <c r="A95" s="1"/>
      <c r="B95" s="1"/>
      <c r="C95" s="2" t="s">
        <v>160</v>
      </c>
      <c r="D95" s="1"/>
      <c r="E95" s="1"/>
      <c r="F95" s="12"/>
      <c r="G95" s="12"/>
      <c r="H95" s="53"/>
    </row>
    <row r="96" spans="1:8" ht="14.1" customHeight="1" x14ac:dyDescent="0.2">
      <c r="A96" s="1"/>
      <c r="B96" s="1"/>
      <c r="C96" s="2" t="s">
        <v>144</v>
      </c>
      <c r="D96" s="1"/>
      <c r="E96" s="1" t="s">
        <v>145</v>
      </c>
      <c r="F96" s="13" t="s">
        <v>147</v>
      </c>
      <c r="G96" s="10">
        <v>0</v>
      </c>
      <c r="H96" s="53"/>
    </row>
    <row r="97" spans="1:8" ht="14.1" customHeight="1" x14ac:dyDescent="0.2">
      <c r="A97" s="1"/>
      <c r="B97" s="1"/>
      <c r="C97" s="11"/>
      <c r="D97" s="1"/>
      <c r="E97" s="1"/>
      <c r="F97" s="12"/>
      <c r="G97" s="12"/>
      <c r="H97" s="53"/>
    </row>
    <row r="98" spans="1:8" ht="14.1" customHeight="1" x14ac:dyDescent="0.2">
      <c r="A98" s="1"/>
      <c r="B98" s="1"/>
      <c r="C98" s="2" t="s">
        <v>161</v>
      </c>
      <c r="D98" s="1"/>
      <c r="E98" s="1"/>
      <c r="F98" s="12"/>
      <c r="G98" s="12"/>
      <c r="H98" s="53"/>
    </row>
    <row r="99" spans="1:8" ht="14.1" customHeight="1" x14ac:dyDescent="0.2">
      <c r="A99" s="1"/>
      <c r="B99" s="1"/>
      <c r="C99" s="2" t="s">
        <v>144</v>
      </c>
      <c r="D99" s="1"/>
      <c r="E99" s="1" t="s">
        <v>145</v>
      </c>
      <c r="F99" s="13" t="s">
        <v>147</v>
      </c>
      <c r="G99" s="10">
        <v>0</v>
      </c>
      <c r="H99" s="53"/>
    </row>
    <row r="100" spans="1:8" ht="14.1" customHeight="1" x14ac:dyDescent="0.2">
      <c r="A100" s="1"/>
      <c r="B100" s="1"/>
      <c r="C100" s="11"/>
      <c r="D100" s="1"/>
      <c r="E100" s="1"/>
      <c r="F100" s="12"/>
      <c r="G100" s="12"/>
      <c r="H100" s="53"/>
    </row>
    <row r="101" spans="1:8" ht="14.1" customHeight="1" x14ac:dyDescent="0.2">
      <c r="A101" s="1"/>
      <c r="B101" s="1"/>
      <c r="C101" s="2" t="s">
        <v>162</v>
      </c>
      <c r="D101" s="1"/>
      <c r="E101" s="1"/>
      <c r="F101" s="12"/>
      <c r="G101" s="12"/>
      <c r="H101" s="53"/>
    </row>
    <row r="102" spans="1:8" ht="17.100000000000001" customHeight="1" x14ac:dyDescent="0.2">
      <c r="A102" s="3">
        <v>1</v>
      </c>
      <c r="B102" s="4"/>
      <c r="C102" s="4" t="s">
        <v>163</v>
      </c>
      <c r="D102" s="4"/>
      <c r="E102" s="8"/>
      <c r="F102" s="6">
        <v>100.129536</v>
      </c>
      <c r="G102" s="7">
        <v>2.6067819999999998E-2</v>
      </c>
      <c r="H102" s="51">
        <v>6.6602331647804478</v>
      </c>
    </row>
    <row r="103" spans="1:8" ht="17.100000000000001" customHeight="1" x14ac:dyDescent="0.2">
      <c r="A103" s="3">
        <v>2</v>
      </c>
      <c r="B103" s="4"/>
      <c r="C103" s="4" t="s">
        <v>164</v>
      </c>
      <c r="D103" s="4"/>
      <c r="E103" s="8"/>
      <c r="F103" s="6">
        <v>76.551848100000001</v>
      </c>
      <c r="G103" s="7">
        <v>1.9929579999999999E-2</v>
      </c>
      <c r="H103" s="51">
        <v>6.6588225936582406</v>
      </c>
    </row>
    <row r="104" spans="1:8" ht="14.1" customHeight="1" x14ac:dyDescent="0.2">
      <c r="A104" s="1"/>
      <c r="B104" s="1"/>
      <c r="C104" s="2" t="s">
        <v>144</v>
      </c>
      <c r="D104" s="1"/>
      <c r="E104" s="1" t="s">
        <v>145</v>
      </c>
      <c r="F104" s="9">
        <v>176.6813841</v>
      </c>
      <c r="G104" s="10">
        <v>4.5997400000000001E-2</v>
      </c>
      <c r="H104" s="53"/>
    </row>
    <row r="105" spans="1:8" ht="14.1" customHeight="1" x14ac:dyDescent="0.2">
      <c r="A105" s="1"/>
      <c r="B105" s="1"/>
      <c r="C105" s="11"/>
      <c r="D105" s="1"/>
      <c r="E105" s="1"/>
      <c r="F105" s="12"/>
      <c r="G105" s="12"/>
      <c r="H105" s="53"/>
    </row>
    <row r="106" spans="1:8" ht="14.1" customHeight="1" x14ac:dyDescent="0.2">
      <c r="A106" s="1"/>
      <c r="B106" s="1"/>
      <c r="C106" s="2" t="s">
        <v>165</v>
      </c>
      <c r="D106" s="1"/>
      <c r="E106" s="1"/>
      <c r="F106" s="9">
        <v>176.6813841</v>
      </c>
      <c r="G106" s="10">
        <v>4.5997400000000001E-2</v>
      </c>
      <c r="H106" s="53"/>
    </row>
    <row r="107" spans="1:8" ht="14.1" customHeight="1" x14ac:dyDescent="0.2">
      <c r="A107" s="1"/>
      <c r="B107" s="1"/>
      <c r="C107" s="12"/>
      <c r="D107" s="1"/>
      <c r="E107" s="1"/>
      <c r="F107" s="1"/>
      <c r="G107" s="1"/>
      <c r="H107" s="53"/>
    </row>
    <row r="108" spans="1:8" ht="14.1" customHeight="1" x14ac:dyDescent="0.2">
      <c r="A108" s="1"/>
      <c r="B108" s="1"/>
      <c r="C108" s="2" t="s">
        <v>166</v>
      </c>
      <c r="D108" s="1"/>
      <c r="E108" s="1"/>
      <c r="F108" s="1"/>
      <c r="G108" s="1"/>
      <c r="H108" s="53"/>
    </row>
    <row r="109" spans="1:8" ht="14.1" customHeight="1" x14ac:dyDescent="0.2">
      <c r="A109" s="1"/>
      <c r="B109" s="1"/>
      <c r="C109" s="2" t="s">
        <v>167</v>
      </c>
      <c r="D109" s="1"/>
      <c r="E109" s="1"/>
      <c r="F109" s="1"/>
      <c r="G109" s="1"/>
      <c r="H109" s="53"/>
    </row>
    <row r="110" spans="1:8" ht="14.1" customHeight="1" x14ac:dyDescent="0.2">
      <c r="A110" s="1"/>
      <c r="B110" s="1"/>
      <c r="C110" s="2" t="s">
        <v>144</v>
      </c>
      <c r="D110" s="1"/>
      <c r="E110" s="1" t="s">
        <v>145</v>
      </c>
      <c r="F110" s="13" t="s">
        <v>147</v>
      </c>
      <c r="G110" s="10">
        <v>0</v>
      </c>
      <c r="H110" s="53"/>
    </row>
    <row r="111" spans="1:8" ht="14.1" customHeight="1" x14ac:dyDescent="0.2">
      <c r="A111" s="1"/>
      <c r="B111" s="1"/>
      <c r="C111" s="11"/>
      <c r="D111" s="1"/>
      <c r="E111" s="1"/>
      <c r="F111" s="12"/>
      <c r="G111" s="12"/>
      <c r="H111" s="53"/>
    </row>
    <row r="112" spans="1:8" ht="14.1" customHeight="1" x14ac:dyDescent="0.2">
      <c r="A112" s="1"/>
      <c r="B112" s="1"/>
      <c r="C112" s="2" t="s">
        <v>168</v>
      </c>
      <c r="D112" s="1"/>
      <c r="E112" s="1"/>
      <c r="F112" s="1"/>
      <c r="G112" s="1"/>
      <c r="H112" s="53"/>
    </row>
    <row r="113" spans="1:8" ht="14.1" customHeight="1" x14ac:dyDescent="0.2">
      <c r="A113" s="1"/>
      <c r="B113" s="1"/>
      <c r="C113" s="2" t="s">
        <v>169</v>
      </c>
      <c r="D113" s="1"/>
      <c r="E113" s="1"/>
      <c r="F113" s="1"/>
      <c r="G113" s="1"/>
      <c r="H113" s="53"/>
    </row>
    <row r="114" spans="1:8" ht="14.1" customHeight="1" x14ac:dyDescent="0.2">
      <c r="A114" s="1"/>
      <c r="B114" s="1"/>
      <c r="C114" s="2" t="s">
        <v>144</v>
      </c>
      <c r="D114" s="1"/>
      <c r="E114" s="1" t="s">
        <v>145</v>
      </c>
      <c r="F114" s="13" t="s">
        <v>147</v>
      </c>
      <c r="G114" s="10">
        <v>0</v>
      </c>
      <c r="H114" s="53"/>
    </row>
    <row r="115" spans="1:8" ht="14.1" customHeight="1" x14ac:dyDescent="0.2">
      <c r="A115" s="1"/>
      <c r="B115" s="1"/>
      <c r="C115" s="11"/>
      <c r="D115" s="1"/>
      <c r="E115" s="1"/>
      <c r="F115" s="12"/>
      <c r="G115" s="12"/>
      <c r="H115" s="53"/>
    </row>
    <row r="116" spans="1:8" ht="24" customHeight="1" x14ac:dyDescent="0.2">
      <c r="A116" s="1"/>
      <c r="B116" s="1"/>
      <c r="C116" s="2" t="s">
        <v>170</v>
      </c>
      <c r="D116" s="1"/>
      <c r="E116" s="1"/>
      <c r="F116" s="12"/>
      <c r="G116" s="12"/>
      <c r="H116" s="53"/>
    </row>
    <row r="117" spans="1:8" ht="14.1" customHeight="1" x14ac:dyDescent="0.2">
      <c r="A117" s="1"/>
      <c r="B117" s="1"/>
      <c r="C117" s="2" t="s">
        <v>144</v>
      </c>
      <c r="D117" s="1"/>
      <c r="E117" s="1" t="s">
        <v>145</v>
      </c>
      <c r="F117" s="13" t="s">
        <v>147</v>
      </c>
      <c r="G117" s="10">
        <v>0</v>
      </c>
      <c r="H117" s="53"/>
    </row>
    <row r="118" spans="1:8" ht="14.1" customHeight="1" x14ac:dyDescent="0.2">
      <c r="A118" s="1"/>
      <c r="B118" s="1"/>
      <c r="C118" s="11"/>
      <c r="D118" s="1"/>
      <c r="E118" s="1"/>
      <c r="F118" s="12"/>
      <c r="G118" s="12"/>
      <c r="H118" s="53"/>
    </row>
    <row r="119" spans="1:8" ht="14.1" customHeight="1" x14ac:dyDescent="0.2">
      <c r="A119" s="1"/>
      <c r="B119" s="4"/>
      <c r="C119" s="4"/>
      <c r="D119" s="2"/>
      <c r="E119" s="1"/>
      <c r="F119" s="4"/>
      <c r="G119" s="8"/>
      <c r="H119" s="53"/>
    </row>
    <row r="120" spans="1:8" ht="18" customHeight="1" x14ac:dyDescent="0.2">
      <c r="A120" s="8"/>
      <c r="B120" s="4"/>
      <c r="C120" s="4" t="s">
        <v>171</v>
      </c>
      <c r="D120" s="4"/>
      <c r="E120" s="8"/>
      <c r="F120" s="6">
        <v>1.8897326299999999</v>
      </c>
      <c r="G120" s="7">
        <v>4.9198000000000004E-4</v>
      </c>
      <c r="H120" s="53"/>
    </row>
    <row r="121" spans="1:8" ht="14.1" customHeight="1" x14ac:dyDescent="0.2">
      <c r="A121" s="11"/>
      <c r="B121" s="11"/>
      <c r="C121" s="2" t="s">
        <v>172</v>
      </c>
      <c r="D121" s="12"/>
      <c r="E121" s="12"/>
      <c r="F121" s="9">
        <v>3841.1165583100001</v>
      </c>
      <c r="G121" s="14">
        <v>1</v>
      </c>
      <c r="H121" s="53"/>
    </row>
    <row r="122" spans="1:8" ht="14.1" customHeight="1" x14ac:dyDescent="0.2">
      <c r="A122" s="15"/>
      <c r="B122" s="15"/>
      <c r="C122" s="15"/>
      <c r="D122" s="16"/>
      <c r="E122" s="16"/>
      <c r="F122" s="16"/>
      <c r="G122" s="16"/>
    </row>
    <row r="123" spans="1:8" ht="17.100000000000001" customHeight="1" x14ac:dyDescent="0.2">
      <c r="A123" s="17"/>
      <c r="B123" s="230" t="s">
        <v>173</v>
      </c>
      <c r="C123" s="230"/>
      <c r="D123" s="230"/>
      <c r="E123" s="230"/>
      <c r="F123" s="230"/>
      <c r="G123" s="19"/>
    </row>
    <row r="124" spans="1:8" ht="14.1" customHeight="1" x14ac:dyDescent="0.2">
      <c r="A124" s="17"/>
      <c r="B124" s="239" t="s">
        <v>907</v>
      </c>
      <c r="C124" s="239"/>
      <c r="D124" s="239"/>
      <c r="E124" s="239"/>
      <c r="F124" s="239"/>
      <c r="G124" s="19"/>
    </row>
    <row r="125" spans="1:8" ht="14.1" customHeight="1" x14ac:dyDescent="0.2">
      <c r="A125" s="17"/>
      <c r="B125" s="17"/>
      <c r="C125" s="17"/>
      <c r="D125" s="19"/>
      <c r="E125" s="19"/>
      <c r="F125" s="19"/>
      <c r="G125" s="19"/>
    </row>
    <row r="126" spans="1:8" ht="14.1" customHeight="1" x14ac:dyDescent="0.2">
      <c r="A126" s="17"/>
      <c r="B126" s="231" t="s">
        <v>174</v>
      </c>
      <c r="C126" s="232"/>
      <c r="D126" s="233"/>
      <c r="E126" s="20"/>
      <c r="F126" s="19"/>
      <c r="G126" s="19"/>
    </row>
    <row r="127" spans="1:8" ht="29.1" customHeight="1" x14ac:dyDescent="0.2">
      <c r="A127" s="17"/>
      <c r="B127" s="226" t="s">
        <v>175</v>
      </c>
      <c r="C127" s="227"/>
      <c r="D127" s="2" t="s">
        <v>176</v>
      </c>
      <c r="E127" s="20"/>
      <c r="F127" s="19"/>
      <c r="G127" s="19"/>
    </row>
    <row r="128" spans="1:8" ht="36" customHeight="1" x14ac:dyDescent="0.2">
      <c r="A128" s="17"/>
      <c r="B128" s="226" t="s">
        <v>1166</v>
      </c>
      <c r="C128" s="227"/>
      <c r="D128" s="2" t="s">
        <v>1161</v>
      </c>
      <c r="E128" s="20"/>
      <c r="F128" s="19"/>
      <c r="G128" s="19"/>
    </row>
    <row r="129" spans="1:7" ht="17.100000000000001" customHeight="1" x14ac:dyDescent="0.2">
      <c r="A129" s="17"/>
      <c r="B129" s="226" t="s">
        <v>178</v>
      </c>
      <c r="C129" s="227"/>
      <c r="D129" s="12" t="s">
        <v>145</v>
      </c>
      <c r="E129" s="20"/>
      <c r="F129" s="19"/>
      <c r="G129" s="19"/>
    </row>
    <row r="130" spans="1:7" ht="24" customHeight="1" x14ac:dyDescent="0.2">
      <c r="A130" s="21"/>
      <c r="B130" s="22" t="s">
        <v>145</v>
      </c>
      <c r="C130" s="22" t="s">
        <v>179</v>
      </c>
      <c r="D130" s="22" t="s">
        <v>180</v>
      </c>
      <c r="E130" s="21"/>
      <c r="F130" s="21"/>
      <c r="G130" s="21"/>
    </row>
    <row r="131" spans="1:7" ht="18" customHeight="1" x14ac:dyDescent="0.2">
      <c r="A131" s="21"/>
      <c r="B131" s="23" t="s">
        <v>181</v>
      </c>
      <c r="C131" s="22" t="s">
        <v>182</v>
      </c>
      <c r="D131" s="22" t="s">
        <v>183</v>
      </c>
      <c r="E131" s="21"/>
      <c r="F131" s="21"/>
      <c r="G131" s="21"/>
    </row>
    <row r="132" spans="1:7" ht="17.100000000000001" customHeight="1" x14ac:dyDescent="0.2">
      <c r="A132" s="21"/>
      <c r="B132" s="4" t="s">
        <v>184</v>
      </c>
      <c r="C132" s="24">
        <v>21.137</v>
      </c>
      <c r="D132" s="24">
        <v>22.458400000000001</v>
      </c>
      <c r="E132" s="21"/>
      <c r="F132" s="18"/>
      <c r="G132" s="25"/>
    </row>
    <row r="133" spans="1:7" ht="17.100000000000001" customHeight="1" x14ac:dyDescent="0.2">
      <c r="A133" s="21"/>
      <c r="B133" s="4" t="s">
        <v>1009</v>
      </c>
      <c r="C133" s="24">
        <v>21.137</v>
      </c>
      <c r="D133" s="24">
        <v>22.458400000000001</v>
      </c>
      <c r="E133" s="21"/>
      <c r="F133" s="18"/>
      <c r="G133" s="25"/>
    </row>
    <row r="134" spans="1:7" ht="17.100000000000001" customHeight="1" x14ac:dyDescent="0.2">
      <c r="A134" s="21"/>
      <c r="B134" s="4" t="s">
        <v>185</v>
      </c>
      <c r="C134" s="24">
        <v>20.717700000000001</v>
      </c>
      <c r="D134" s="24">
        <v>22.0108</v>
      </c>
      <c r="E134" s="21"/>
      <c r="F134" s="18"/>
      <c r="G134" s="25"/>
    </row>
    <row r="135" spans="1:7" ht="17.100000000000001" customHeight="1" x14ac:dyDescent="0.2">
      <c r="A135" s="21"/>
      <c r="B135" s="4" t="s">
        <v>1010</v>
      </c>
      <c r="C135" s="24">
        <v>20.717400000000001</v>
      </c>
      <c r="D135" s="24">
        <v>22.0106</v>
      </c>
      <c r="E135" s="21"/>
      <c r="F135" s="18"/>
      <c r="G135" s="25"/>
    </row>
    <row r="136" spans="1:7" ht="14.1" customHeight="1" x14ac:dyDescent="0.2">
      <c r="A136" s="21"/>
      <c r="B136" s="21"/>
      <c r="C136" s="21"/>
      <c r="D136" s="21"/>
      <c r="E136" s="21"/>
      <c r="F136" s="21"/>
      <c r="G136" s="21"/>
    </row>
    <row r="137" spans="1:7" ht="17.100000000000001" customHeight="1" x14ac:dyDescent="0.2">
      <c r="A137" s="21"/>
      <c r="B137" s="226" t="s">
        <v>1011</v>
      </c>
      <c r="C137" s="227"/>
      <c r="D137" s="2" t="s">
        <v>176</v>
      </c>
      <c r="E137" s="21"/>
      <c r="F137" s="21"/>
      <c r="G137" s="21"/>
    </row>
    <row r="138" spans="1:7" ht="18" customHeight="1" x14ac:dyDescent="0.2">
      <c r="A138" s="21"/>
      <c r="B138" s="26"/>
      <c r="C138" s="26"/>
      <c r="D138" s="26"/>
      <c r="E138" s="21"/>
      <c r="F138" s="21"/>
      <c r="G138" s="21"/>
    </row>
    <row r="139" spans="1:7" ht="29.1" customHeight="1" x14ac:dyDescent="0.2">
      <c r="A139" s="21"/>
      <c r="B139" s="226" t="s">
        <v>186</v>
      </c>
      <c r="C139" s="227"/>
      <c r="D139" s="2" t="s">
        <v>176</v>
      </c>
      <c r="E139" s="27"/>
      <c r="F139" s="21"/>
      <c r="G139" s="21"/>
    </row>
    <row r="140" spans="1:7" ht="29.1" customHeight="1" x14ac:dyDescent="0.2">
      <c r="A140" s="21"/>
      <c r="B140" s="226" t="s">
        <v>187</v>
      </c>
      <c r="C140" s="227"/>
      <c r="D140" s="2" t="s">
        <v>176</v>
      </c>
      <c r="E140" s="27"/>
      <c r="F140" s="21"/>
      <c r="G140" s="21"/>
    </row>
    <row r="141" spans="1:7" ht="17.100000000000001" customHeight="1" x14ac:dyDescent="0.2">
      <c r="A141" s="21"/>
      <c r="B141" s="226" t="s">
        <v>188</v>
      </c>
      <c r="C141" s="227"/>
      <c r="D141" s="2" t="s">
        <v>176</v>
      </c>
      <c r="E141" s="27"/>
      <c r="F141" s="21"/>
      <c r="G141" s="21"/>
    </row>
    <row r="142" spans="1:7" ht="17.100000000000001" customHeight="1" x14ac:dyDescent="0.2">
      <c r="A142" s="21"/>
      <c r="B142" s="226" t="s">
        <v>189</v>
      </c>
      <c r="C142" s="227"/>
      <c r="D142" s="57">
        <v>8.0171817949067067E-2</v>
      </c>
      <c r="E142" s="21"/>
      <c r="F142" s="18"/>
      <c r="G142" s="25"/>
    </row>
    <row r="156" spans="10:14" x14ac:dyDescent="0.2">
      <c r="J156" s="143"/>
      <c r="K156" s="143"/>
      <c r="L156" s="143"/>
      <c r="M156" s="143"/>
      <c r="N156" s="143"/>
    </row>
  </sheetData>
  <mergeCells count="15">
    <mergeCell ref="A1:H1"/>
    <mergeCell ref="A2:H2"/>
    <mergeCell ref="A3:H3"/>
    <mergeCell ref="B124:F124"/>
    <mergeCell ref="J2:N2"/>
    <mergeCell ref="B123:F123"/>
    <mergeCell ref="B127:C127"/>
    <mergeCell ref="B126:D126"/>
    <mergeCell ref="B142:C142"/>
    <mergeCell ref="B128:C128"/>
    <mergeCell ref="B129:C129"/>
    <mergeCell ref="B137:C137"/>
    <mergeCell ref="B139:C139"/>
    <mergeCell ref="B140:C140"/>
    <mergeCell ref="B141:C141"/>
  </mergeCells>
  <hyperlinks>
    <hyperlink ref="I1" location="Index!B13" display="Index" xr:uid="{80755D47-3BB2-4E3A-839F-BC8EA45C7410}"/>
  </hyperlinks>
  <pageMargins left="5.000000074505806E-2" right="5.000000074505806E-2" top="0.30000001192092896" bottom="0.20000000298023224" header="0" footer="0"/>
  <pageSetup paperSize="9"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55"/>
  <sheetViews>
    <sheetView showGridLines="0" workbookViewId="0">
      <selection activeCell="B131" sqref="B131:C13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492</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381</v>
      </c>
      <c r="C7" s="4" t="s">
        <v>382</v>
      </c>
      <c r="D7" s="4" t="s">
        <v>73</v>
      </c>
      <c r="E7" s="5">
        <v>4872</v>
      </c>
      <c r="F7" s="6">
        <v>179.513712</v>
      </c>
      <c r="G7" s="7">
        <v>5.5211389999999999E-2</v>
      </c>
      <c r="H7" s="53"/>
    </row>
    <row r="8" spans="1:14" ht="17.100000000000001" customHeight="1" x14ac:dyDescent="0.2">
      <c r="A8" s="3">
        <v>2</v>
      </c>
      <c r="B8" s="4" t="s">
        <v>383</v>
      </c>
      <c r="C8" s="4" t="s">
        <v>384</v>
      </c>
      <c r="D8" s="4" t="s">
        <v>28</v>
      </c>
      <c r="E8" s="5">
        <v>166497</v>
      </c>
      <c r="F8" s="6">
        <v>150.67978500000001</v>
      </c>
      <c r="G8" s="7">
        <v>4.6343210000000003E-2</v>
      </c>
      <c r="H8" s="53"/>
    </row>
    <row r="9" spans="1:14" ht="17.100000000000001" customHeight="1" x14ac:dyDescent="0.2">
      <c r="A9" s="3">
        <v>3</v>
      </c>
      <c r="B9" s="4" t="s">
        <v>34</v>
      </c>
      <c r="C9" s="4" t="s">
        <v>35</v>
      </c>
      <c r="D9" s="4" t="s">
        <v>31</v>
      </c>
      <c r="E9" s="5">
        <v>5066</v>
      </c>
      <c r="F9" s="6">
        <v>141.43765400000001</v>
      </c>
      <c r="G9" s="7">
        <v>4.3500690000000002E-2</v>
      </c>
      <c r="H9" s="53"/>
    </row>
    <row r="10" spans="1:14" ht="17.100000000000001" customHeight="1" x14ac:dyDescent="0.2">
      <c r="A10" s="3">
        <v>4</v>
      </c>
      <c r="B10" s="4" t="s">
        <v>50</v>
      </c>
      <c r="C10" s="4" t="s">
        <v>51</v>
      </c>
      <c r="D10" s="4" t="s">
        <v>31</v>
      </c>
      <c r="E10" s="5">
        <v>5130</v>
      </c>
      <c r="F10" s="6">
        <v>138.89474999999999</v>
      </c>
      <c r="G10" s="7">
        <v>4.2718590000000001E-2</v>
      </c>
      <c r="H10" s="53"/>
    </row>
    <row r="11" spans="1:14" ht="17.100000000000001" customHeight="1" x14ac:dyDescent="0.2">
      <c r="A11" s="3">
        <v>5</v>
      </c>
      <c r="B11" s="4" t="s">
        <v>131</v>
      </c>
      <c r="C11" s="4" t="s">
        <v>132</v>
      </c>
      <c r="D11" s="4" t="s">
        <v>73</v>
      </c>
      <c r="E11" s="5">
        <v>36188</v>
      </c>
      <c r="F11" s="6">
        <v>136.80873399999999</v>
      </c>
      <c r="G11" s="7">
        <v>4.2077009999999998E-2</v>
      </c>
      <c r="H11" s="53"/>
    </row>
    <row r="12" spans="1:14" ht="17.100000000000001" customHeight="1" x14ac:dyDescent="0.2">
      <c r="A12" s="3">
        <v>6</v>
      </c>
      <c r="B12" s="4" t="s">
        <v>410</v>
      </c>
      <c r="C12" s="4" t="s">
        <v>411</v>
      </c>
      <c r="D12" s="4" t="s">
        <v>397</v>
      </c>
      <c r="E12" s="5">
        <v>6432</v>
      </c>
      <c r="F12" s="6">
        <v>120.26875200000001</v>
      </c>
      <c r="G12" s="7">
        <v>3.6989960000000002E-2</v>
      </c>
      <c r="H12" s="53"/>
    </row>
    <row r="13" spans="1:14" ht="17.100000000000001" customHeight="1" x14ac:dyDescent="0.2">
      <c r="A13" s="3">
        <v>7</v>
      </c>
      <c r="B13" s="4" t="s">
        <v>385</v>
      </c>
      <c r="C13" s="4" t="s">
        <v>386</v>
      </c>
      <c r="D13" s="4" t="s">
        <v>264</v>
      </c>
      <c r="E13" s="5">
        <v>5857</v>
      </c>
      <c r="F13" s="6">
        <v>104.89594150000001</v>
      </c>
      <c r="G13" s="7">
        <v>3.2261890000000001E-2</v>
      </c>
      <c r="H13" s="53"/>
    </row>
    <row r="14" spans="1:14" ht="17.100000000000001" customHeight="1" x14ac:dyDescent="0.2">
      <c r="A14" s="3">
        <v>8</v>
      </c>
      <c r="B14" s="4" t="s">
        <v>98</v>
      </c>
      <c r="C14" s="4" t="s">
        <v>99</v>
      </c>
      <c r="D14" s="4" t="s">
        <v>92</v>
      </c>
      <c r="E14" s="5">
        <v>16682</v>
      </c>
      <c r="F14" s="6">
        <v>98.890895999999998</v>
      </c>
      <c r="G14" s="7">
        <v>3.041497E-2</v>
      </c>
      <c r="H14" s="53"/>
      <c r="J14" s="142" t="s">
        <v>1038</v>
      </c>
    </row>
    <row r="15" spans="1:14" ht="17.100000000000001" customHeight="1" x14ac:dyDescent="0.2">
      <c r="A15" s="3">
        <v>9</v>
      </c>
      <c r="B15" s="4" t="s">
        <v>391</v>
      </c>
      <c r="C15" s="4" t="s">
        <v>392</v>
      </c>
      <c r="D15" s="4" t="s">
        <v>130</v>
      </c>
      <c r="E15" s="5">
        <v>12229</v>
      </c>
      <c r="F15" s="6">
        <v>91.882591500000004</v>
      </c>
      <c r="G15" s="7">
        <v>2.8259490000000002E-2</v>
      </c>
      <c r="H15" s="53"/>
    </row>
    <row r="16" spans="1:14" ht="17.100000000000001" customHeight="1" x14ac:dyDescent="0.2">
      <c r="A16" s="3">
        <v>10</v>
      </c>
      <c r="B16" s="4" t="s">
        <v>389</v>
      </c>
      <c r="C16" s="4" t="s">
        <v>390</v>
      </c>
      <c r="D16" s="4" t="s">
        <v>209</v>
      </c>
      <c r="E16" s="5">
        <v>24965</v>
      </c>
      <c r="F16" s="6">
        <v>87.62715</v>
      </c>
      <c r="G16" s="7">
        <v>2.6950680000000001E-2</v>
      </c>
      <c r="H16" s="53"/>
    </row>
    <row r="17" spans="1:8" ht="29.1" customHeight="1" x14ac:dyDescent="0.2">
      <c r="A17" s="3">
        <v>11</v>
      </c>
      <c r="B17" s="4" t="s">
        <v>199</v>
      </c>
      <c r="C17" s="4" t="s">
        <v>200</v>
      </c>
      <c r="D17" s="4" t="s">
        <v>201</v>
      </c>
      <c r="E17" s="5">
        <v>1852</v>
      </c>
      <c r="F17" s="6">
        <v>85.281822000000005</v>
      </c>
      <c r="G17" s="7">
        <v>2.6229349999999998E-2</v>
      </c>
      <c r="H17" s="53"/>
    </row>
    <row r="18" spans="1:8" ht="17.100000000000001" customHeight="1" x14ac:dyDescent="0.2">
      <c r="A18" s="3">
        <v>12</v>
      </c>
      <c r="B18" s="4" t="s">
        <v>437</v>
      </c>
      <c r="C18" s="4" t="s">
        <v>438</v>
      </c>
      <c r="D18" s="4" t="s">
        <v>229</v>
      </c>
      <c r="E18" s="5">
        <v>33431</v>
      </c>
      <c r="F18" s="6">
        <v>80.702433999999997</v>
      </c>
      <c r="G18" s="7">
        <v>2.4820910000000002E-2</v>
      </c>
      <c r="H18" s="53"/>
    </row>
    <row r="19" spans="1:8" ht="17.100000000000001" customHeight="1" x14ac:dyDescent="0.2">
      <c r="A19" s="3">
        <v>13</v>
      </c>
      <c r="B19" s="4" t="s">
        <v>393</v>
      </c>
      <c r="C19" s="4" t="s">
        <v>394</v>
      </c>
      <c r="D19" s="4" t="s">
        <v>229</v>
      </c>
      <c r="E19" s="5">
        <v>5601</v>
      </c>
      <c r="F19" s="6">
        <v>79.833853500000004</v>
      </c>
      <c r="G19" s="7">
        <v>2.4553769999999999E-2</v>
      </c>
      <c r="H19" s="53"/>
    </row>
    <row r="20" spans="1:8" ht="17.100000000000001" customHeight="1" x14ac:dyDescent="0.2">
      <c r="A20" s="3">
        <v>14</v>
      </c>
      <c r="B20" s="4" t="s">
        <v>404</v>
      </c>
      <c r="C20" s="4" t="s">
        <v>405</v>
      </c>
      <c r="D20" s="4" t="s">
        <v>238</v>
      </c>
      <c r="E20" s="5">
        <v>31050</v>
      </c>
      <c r="F20" s="6">
        <v>77.857875000000007</v>
      </c>
      <c r="G20" s="7">
        <v>2.3946039999999998E-2</v>
      </c>
      <c r="H20" s="53"/>
    </row>
    <row r="21" spans="1:8" ht="17.100000000000001" customHeight="1" x14ac:dyDescent="0.2">
      <c r="A21" s="3">
        <v>15</v>
      </c>
      <c r="B21" s="4" t="s">
        <v>398</v>
      </c>
      <c r="C21" s="4" t="s">
        <v>399</v>
      </c>
      <c r="D21" s="4" t="s">
        <v>229</v>
      </c>
      <c r="E21" s="5">
        <v>8090</v>
      </c>
      <c r="F21" s="6">
        <v>75.904425000000003</v>
      </c>
      <c r="G21" s="7">
        <v>2.3345230000000002E-2</v>
      </c>
      <c r="H21" s="53"/>
    </row>
    <row r="22" spans="1:8" ht="29.1" customHeight="1" x14ac:dyDescent="0.2">
      <c r="A22" s="3">
        <v>16</v>
      </c>
      <c r="B22" s="4" t="s">
        <v>96</v>
      </c>
      <c r="C22" s="4" t="s">
        <v>97</v>
      </c>
      <c r="D22" s="4" t="s">
        <v>38</v>
      </c>
      <c r="E22" s="5">
        <v>3057</v>
      </c>
      <c r="F22" s="6">
        <v>75.278625000000005</v>
      </c>
      <c r="G22" s="7">
        <v>2.3152760000000001E-2</v>
      </c>
      <c r="H22" s="53"/>
    </row>
    <row r="23" spans="1:8" ht="17.100000000000001" customHeight="1" x14ac:dyDescent="0.2">
      <c r="A23" s="3">
        <v>17</v>
      </c>
      <c r="B23" s="4" t="s">
        <v>395</v>
      </c>
      <c r="C23" s="4" t="s">
        <v>396</v>
      </c>
      <c r="D23" s="4" t="s">
        <v>397</v>
      </c>
      <c r="E23" s="5">
        <v>4116</v>
      </c>
      <c r="F23" s="6">
        <v>69.488370000000003</v>
      </c>
      <c r="G23" s="7">
        <v>2.1371899999999999E-2</v>
      </c>
      <c r="H23" s="53"/>
    </row>
    <row r="24" spans="1:8" ht="17.100000000000001" customHeight="1" x14ac:dyDescent="0.2">
      <c r="A24" s="3">
        <v>18</v>
      </c>
      <c r="B24" s="4" t="s">
        <v>42</v>
      </c>
      <c r="C24" s="4" t="s">
        <v>43</v>
      </c>
      <c r="D24" s="4" t="s">
        <v>31</v>
      </c>
      <c r="E24" s="5">
        <v>3026</v>
      </c>
      <c r="F24" s="6">
        <v>68.874786</v>
      </c>
      <c r="G24" s="7">
        <v>2.1183190000000001E-2</v>
      </c>
      <c r="H24" s="53"/>
    </row>
    <row r="25" spans="1:8" ht="17.100000000000001" customHeight="1" x14ac:dyDescent="0.2">
      <c r="A25" s="3">
        <v>19</v>
      </c>
      <c r="B25" s="4" t="s">
        <v>418</v>
      </c>
      <c r="C25" s="4" t="s">
        <v>419</v>
      </c>
      <c r="D25" s="4" t="s">
        <v>73</v>
      </c>
      <c r="E25" s="5">
        <v>9198</v>
      </c>
      <c r="F25" s="6">
        <v>63.001700999999997</v>
      </c>
      <c r="G25" s="7">
        <v>1.9376859999999999E-2</v>
      </c>
      <c r="H25" s="53"/>
    </row>
    <row r="26" spans="1:8" ht="29.1" customHeight="1" x14ac:dyDescent="0.2">
      <c r="A26" s="3">
        <v>20</v>
      </c>
      <c r="B26" s="4" t="s">
        <v>416</v>
      </c>
      <c r="C26" s="4" t="s">
        <v>417</v>
      </c>
      <c r="D26" s="4" t="s">
        <v>56</v>
      </c>
      <c r="E26" s="5">
        <v>2217</v>
      </c>
      <c r="F26" s="6">
        <v>62.610297000000003</v>
      </c>
      <c r="G26" s="7">
        <v>1.9256479999999999E-2</v>
      </c>
      <c r="H26" s="53"/>
    </row>
    <row r="27" spans="1:8" ht="29.1" customHeight="1" x14ac:dyDescent="0.2">
      <c r="A27" s="3">
        <v>21</v>
      </c>
      <c r="B27" s="4" t="s">
        <v>269</v>
      </c>
      <c r="C27" s="4" t="s">
        <v>270</v>
      </c>
      <c r="D27" s="4" t="s">
        <v>224</v>
      </c>
      <c r="E27" s="5">
        <v>15078</v>
      </c>
      <c r="F27" s="6">
        <v>60.251688000000001</v>
      </c>
      <c r="G27" s="7">
        <v>1.8531059999999999E-2</v>
      </c>
      <c r="H27" s="53"/>
    </row>
    <row r="28" spans="1:8" ht="17.100000000000001" customHeight="1" x14ac:dyDescent="0.2">
      <c r="A28" s="3">
        <v>22</v>
      </c>
      <c r="B28" s="4" t="s">
        <v>400</v>
      </c>
      <c r="C28" s="4" t="s">
        <v>401</v>
      </c>
      <c r="D28" s="4" t="s">
        <v>73</v>
      </c>
      <c r="E28" s="5">
        <v>4636</v>
      </c>
      <c r="F28" s="6">
        <v>56.202227999999998</v>
      </c>
      <c r="G28" s="7">
        <v>1.728561E-2</v>
      </c>
      <c r="H28" s="53"/>
    </row>
    <row r="29" spans="1:8" ht="29.1" customHeight="1" x14ac:dyDescent="0.2">
      <c r="A29" s="3">
        <v>23</v>
      </c>
      <c r="B29" s="4" t="s">
        <v>429</v>
      </c>
      <c r="C29" s="4" t="s">
        <v>430</v>
      </c>
      <c r="D29" s="4" t="s">
        <v>224</v>
      </c>
      <c r="E29" s="5">
        <v>17579</v>
      </c>
      <c r="F29" s="6">
        <v>55.769377499999997</v>
      </c>
      <c r="G29" s="7">
        <v>1.7152480000000001E-2</v>
      </c>
      <c r="H29" s="53"/>
    </row>
    <row r="30" spans="1:8" ht="17.100000000000001" customHeight="1" x14ac:dyDescent="0.2">
      <c r="A30" s="3">
        <v>24</v>
      </c>
      <c r="B30" s="4" t="s">
        <v>408</v>
      </c>
      <c r="C30" s="4" t="s">
        <v>409</v>
      </c>
      <c r="D30" s="4" t="s">
        <v>13</v>
      </c>
      <c r="E30" s="5">
        <v>51989</v>
      </c>
      <c r="F30" s="6">
        <v>52.794829499999999</v>
      </c>
      <c r="G30" s="7">
        <v>1.6237620000000001E-2</v>
      </c>
      <c r="H30" s="53"/>
    </row>
    <row r="31" spans="1:8" ht="17.100000000000001" customHeight="1" x14ac:dyDescent="0.2">
      <c r="A31" s="3">
        <v>25</v>
      </c>
      <c r="B31" s="4" t="s">
        <v>439</v>
      </c>
      <c r="C31" s="4" t="s">
        <v>440</v>
      </c>
      <c r="D31" s="4" t="s">
        <v>130</v>
      </c>
      <c r="E31" s="5">
        <v>6095</v>
      </c>
      <c r="F31" s="6">
        <v>50.847537500000001</v>
      </c>
      <c r="G31" s="7">
        <v>1.563871E-2</v>
      </c>
      <c r="H31" s="53"/>
    </row>
    <row r="32" spans="1:8" ht="17.100000000000001" customHeight="1" x14ac:dyDescent="0.2">
      <c r="A32" s="3">
        <v>26</v>
      </c>
      <c r="B32" s="4" t="s">
        <v>423</v>
      </c>
      <c r="C32" s="4" t="s">
        <v>424</v>
      </c>
      <c r="D32" s="4" t="s">
        <v>906</v>
      </c>
      <c r="E32" s="5">
        <v>4552</v>
      </c>
      <c r="F32" s="6">
        <v>49.081940000000003</v>
      </c>
      <c r="G32" s="7">
        <v>1.509568E-2</v>
      </c>
      <c r="H32" s="53"/>
    </row>
    <row r="33" spans="1:8" ht="17.100000000000001" customHeight="1" x14ac:dyDescent="0.2">
      <c r="A33" s="3">
        <v>27</v>
      </c>
      <c r="B33" s="4" t="s">
        <v>433</v>
      </c>
      <c r="C33" s="4" t="s">
        <v>434</v>
      </c>
      <c r="D33" s="4" t="s">
        <v>73</v>
      </c>
      <c r="E33" s="5">
        <v>9015</v>
      </c>
      <c r="F33" s="6">
        <v>47.711887500000003</v>
      </c>
      <c r="G33" s="7">
        <v>1.4674309999999999E-2</v>
      </c>
      <c r="H33" s="53"/>
    </row>
    <row r="34" spans="1:8" ht="17.100000000000001" customHeight="1" x14ac:dyDescent="0.2">
      <c r="A34" s="3">
        <v>28</v>
      </c>
      <c r="B34" s="4" t="s">
        <v>406</v>
      </c>
      <c r="C34" s="4" t="s">
        <v>407</v>
      </c>
      <c r="D34" s="4" t="s">
        <v>130</v>
      </c>
      <c r="E34" s="5">
        <v>38726</v>
      </c>
      <c r="F34" s="6">
        <v>47.148904999999999</v>
      </c>
      <c r="G34" s="7">
        <v>1.4501160000000001E-2</v>
      </c>
      <c r="H34" s="53"/>
    </row>
    <row r="35" spans="1:8" ht="17.100000000000001" customHeight="1" x14ac:dyDescent="0.2">
      <c r="A35" s="3">
        <v>29</v>
      </c>
      <c r="B35" s="4" t="s">
        <v>482</v>
      </c>
      <c r="C35" s="4" t="s">
        <v>483</v>
      </c>
      <c r="D35" s="4" t="s">
        <v>13</v>
      </c>
      <c r="E35" s="5">
        <v>6941</v>
      </c>
      <c r="F35" s="6">
        <v>45.841834499999997</v>
      </c>
      <c r="G35" s="7">
        <v>1.409915E-2</v>
      </c>
      <c r="H35" s="53"/>
    </row>
    <row r="36" spans="1:8" ht="29.1" customHeight="1" x14ac:dyDescent="0.2">
      <c r="A36" s="3">
        <v>30</v>
      </c>
      <c r="B36" s="4" t="s">
        <v>479</v>
      </c>
      <c r="C36" s="4" t="s">
        <v>480</v>
      </c>
      <c r="D36" s="4" t="s">
        <v>481</v>
      </c>
      <c r="E36" s="5">
        <v>9641</v>
      </c>
      <c r="F36" s="6">
        <v>45.712801499999998</v>
      </c>
      <c r="G36" s="7">
        <v>1.4059469999999999E-2</v>
      </c>
      <c r="H36" s="53"/>
    </row>
    <row r="37" spans="1:8" ht="29.1" customHeight="1" x14ac:dyDescent="0.2">
      <c r="A37" s="3">
        <v>31</v>
      </c>
      <c r="B37" s="4" t="s">
        <v>420</v>
      </c>
      <c r="C37" s="4" t="s">
        <v>421</v>
      </c>
      <c r="D37" s="4" t="s">
        <v>422</v>
      </c>
      <c r="E37" s="5">
        <v>29151</v>
      </c>
      <c r="F37" s="6">
        <v>44.9945685</v>
      </c>
      <c r="G37" s="7">
        <v>1.383857E-2</v>
      </c>
      <c r="H37" s="53"/>
    </row>
    <row r="38" spans="1:8" ht="29.1" customHeight="1" x14ac:dyDescent="0.2">
      <c r="A38" s="3">
        <v>32</v>
      </c>
      <c r="B38" s="4" t="s">
        <v>102</v>
      </c>
      <c r="C38" s="4" t="s">
        <v>103</v>
      </c>
      <c r="D38" s="4" t="s">
        <v>25</v>
      </c>
      <c r="E38" s="5">
        <v>1255</v>
      </c>
      <c r="F38" s="6">
        <v>41.361035000000001</v>
      </c>
      <c r="G38" s="7">
        <v>1.2721039999999999E-2</v>
      </c>
      <c r="H38" s="53"/>
    </row>
    <row r="39" spans="1:8" ht="29.1" customHeight="1" x14ac:dyDescent="0.2">
      <c r="A39" s="3">
        <v>33</v>
      </c>
      <c r="B39" s="4" t="s">
        <v>402</v>
      </c>
      <c r="C39" s="4" t="s">
        <v>403</v>
      </c>
      <c r="D39" s="4" t="s">
        <v>224</v>
      </c>
      <c r="E39" s="5">
        <v>1489</v>
      </c>
      <c r="F39" s="6">
        <v>41.222965000000002</v>
      </c>
      <c r="G39" s="7">
        <v>1.267857E-2</v>
      </c>
      <c r="H39" s="53"/>
    </row>
    <row r="40" spans="1:8" ht="17.100000000000001" customHeight="1" x14ac:dyDescent="0.2">
      <c r="A40" s="3">
        <v>34</v>
      </c>
      <c r="B40" s="4" t="s">
        <v>215</v>
      </c>
      <c r="C40" s="4" t="s">
        <v>216</v>
      </c>
      <c r="D40" s="4" t="s">
        <v>905</v>
      </c>
      <c r="E40" s="5">
        <v>717</v>
      </c>
      <c r="F40" s="6">
        <v>38.507919000000001</v>
      </c>
      <c r="G40" s="7">
        <v>1.184353E-2</v>
      </c>
      <c r="H40" s="53"/>
    </row>
    <row r="41" spans="1:8" ht="17.100000000000001" customHeight="1" x14ac:dyDescent="0.2">
      <c r="A41" s="3">
        <v>35</v>
      </c>
      <c r="B41" s="4" t="s">
        <v>431</v>
      </c>
      <c r="C41" s="4" t="s">
        <v>432</v>
      </c>
      <c r="D41" s="4" t="s">
        <v>906</v>
      </c>
      <c r="E41" s="5">
        <v>2347</v>
      </c>
      <c r="F41" s="6">
        <v>38.428604499999999</v>
      </c>
      <c r="G41" s="7">
        <v>1.1819140000000001E-2</v>
      </c>
      <c r="H41" s="53"/>
    </row>
    <row r="42" spans="1:8" ht="29.1" customHeight="1" x14ac:dyDescent="0.2">
      <c r="A42" s="3">
        <v>36</v>
      </c>
      <c r="B42" s="4" t="s">
        <v>475</v>
      </c>
      <c r="C42" s="4" t="s">
        <v>476</v>
      </c>
      <c r="D42" s="4" t="s">
        <v>469</v>
      </c>
      <c r="E42" s="5">
        <v>6151</v>
      </c>
      <c r="F42" s="6">
        <v>37.275060000000003</v>
      </c>
      <c r="G42" s="7">
        <v>1.146435E-2</v>
      </c>
      <c r="H42" s="53"/>
    </row>
    <row r="43" spans="1:8" ht="17.100000000000001" customHeight="1" x14ac:dyDescent="0.2">
      <c r="A43" s="3">
        <v>37</v>
      </c>
      <c r="B43" s="4" t="s">
        <v>425</v>
      </c>
      <c r="C43" s="4" t="s">
        <v>426</v>
      </c>
      <c r="D43" s="4" t="s">
        <v>304</v>
      </c>
      <c r="E43" s="5">
        <v>4877</v>
      </c>
      <c r="F43" s="6">
        <v>36.738441000000002</v>
      </c>
      <c r="G43" s="7">
        <v>1.129931E-2</v>
      </c>
      <c r="H43" s="53"/>
    </row>
    <row r="44" spans="1:8" ht="17.100000000000001" customHeight="1" x14ac:dyDescent="0.2">
      <c r="A44" s="3">
        <v>38</v>
      </c>
      <c r="B44" s="4" t="s">
        <v>457</v>
      </c>
      <c r="C44" s="4" t="s">
        <v>458</v>
      </c>
      <c r="D44" s="4" t="s">
        <v>28</v>
      </c>
      <c r="E44" s="5">
        <v>10993</v>
      </c>
      <c r="F44" s="6">
        <v>36.309879000000002</v>
      </c>
      <c r="G44" s="7">
        <v>1.11675E-2</v>
      </c>
      <c r="H44" s="53"/>
    </row>
    <row r="45" spans="1:8" ht="17.100000000000001" customHeight="1" x14ac:dyDescent="0.2">
      <c r="A45" s="3">
        <v>39</v>
      </c>
      <c r="B45" s="4" t="s">
        <v>247</v>
      </c>
      <c r="C45" s="4" t="s">
        <v>248</v>
      </c>
      <c r="D45" s="4" t="s">
        <v>87</v>
      </c>
      <c r="E45" s="5">
        <v>601</v>
      </c>
      <c r="F45" s="6">
        <v>31.139312499999999</v>
      </c>
      <c r="G45" s="7">
        <v>9.5772300000000008E-3</v>
      </c>
      <c r="H45" s="53"/>
    </row>
    <row r="46" spans="1:8" ht="29.1" customHeight="1" x14ac:dyDescent="0.2">
      <c r="A46" s="3">
        <v>40</v>
      </c>
      <c r="B46" s="4" t="s">
        <v>487</v>
      </c>
      <c r="C46" s="4" t="s">
        <v>488</v>
      </c>
      <c r="D46" s="4" t="s">
        <v>73</v>
      </c>
      <c r="E46" s="5">
        <v>2262</v>
      </c>
      <c r="F46" s="6">
        <v>28.489889999999999</v>
      </c>
      <c r="G46" s="7">
        <v>8.7623800000000002E-3</v>
      </c>
      <c r="H46" s="53"/>
    </row>
    <row r="47" spans="1:8" ht="17.100000000000001" customHeight="1" x14ac:dyDescent="0.2">
      <c r="A47" s="3">
        <v>41</v>
      </c>
      <c r="B47" s="4" t="s">
        <v>447</v>
      </c>
      <c r="C47" s="4" t="s">
        <v>448</v>
      </c>
      <c r="D47" s="4" t="s">
        <v>31</v>
      </c>
      <c r="E47" s="5">
        <v>3949</v>
      </c>
      <c r="F47" s="6">
        <v>28.470315500000002</v>
      </c>
      <c r="G47" s="7">
        <v>8.7563599999999995E-3</v>
      </c>
      <c r="H47" s="53"/>
    </row>
    <row r="48" spans="1:8" ht="17.100000000000001" customHeight="1" x14ac:dyDescent="0.2">
      <c r="A48" s="3">
        <v>42</v>
      </c>
      <c r="B48" s="4" t="s">
        <v>489</v>
      </c>
      <c r="C48" s="4" t="s">
        <v>490</v>
      </c>
      <c r="D48" s="4" t="s">
        <v>73</v>
      </c>
      <c r="E48" s="5">
        <v>928</v>
      </c>
      <c r="F48" s="6">
        <v>26.909680000000002</v>
      </c>
      <c r="G48" s="7">
        <v>8.27636E-3</v>
      </c>
      <c r="H48" s="53"/>
    </row>
    <row r="49" spans="1:8" ht="29.1" customHeight="1" x14ac:dyDescent="0.2">
      <c r="A49" s="3">
        <v>43</v>
      </c>
      <c r="B49" s="4" t="s">
        <v>449</v>
      </c>
      <c r="C49" s="4" t="s">
        <v>450</v>
      </c>
      <c r="D49" s="4" t="s">
        <v>224</v>
      </c>
      <c r="E49" s="5">
        <v>536</v>
      </c>
      <c r="F49" s="6">
        <v>26.13</v>
      </c>
      <c r="G49" s="7">
        <v>8.0365699999999998E-3</v>
      </c>
      <c r="H49" s="53"/>
    </row>
    <row r="50" spans="1:8" ht="17.100000000000001" customHeight="1" x14ac:dyDescent="0.2">
      <c r="A50" s="3">
        <v>44</v>
      </c>
      <c r="B50" s="4" t="s">
        <v>427</v>
      </c>
      <c r="C50" s="4" t="s">
        <v>428</v>
      </c>
      <c r="D50" s="4" t="s">
        <v>905</v>
      </c>
      <c r="E50" s="5">
        <v>2001</v>
      </c>
      <c r="F50" s="6">
        <v>23.529758999999999</v>
      </c>
      <c r="G50" s="7">
        <v>7.2368299999999997E-3</v>
      </c>
      <c r="H50" s="53"/>
    </row>
    <row r="51" spans="1:8" ht="17.100000000000001" customHeight="1" x14ac:dyDescent="0.2">
      <c r="A51" s="3">
        <v>45</v>
      </c>
      <c r="B51" s="4" t="s">
        <v>441</v>
      </c>
      <c r="C51" s="4" t="s">
        <v>442</v>
      </c>
      <c r="D51" s="4" t="s">
        <v>95</v>
      </c>
      <c r="E51" s="5">
        <v>2470</v>
      </c>
      <c r="F51" s="6">
        <v>22.741289999999999</v>
      </c>
      <c r="G51" s="7">
        <v>6.99433E-3</v>
      </c>
      <c r="H51" s="53"/>
    </row>
    <row r="52" spans="1:8" ht="17.100000000000001" customHeight="1" x14ac:dyDescent="0.2">
      <c r="A52" s="3">
        <v>46</v>
      </c>
      <c r="B52" s="4" t="s">
        <v>451</v>
      </c>
      <c r="C52" s="4" t="s">
        <v>452</v>
      </c>
      <c r="D52" s="4" t="s">
        <v>92</v>
      </c>
      <c r="E52" s="5">
        <v>21625</v>
      </c>
      <c r="F52" s="6">
        <v>19.9490625</v>
      </c>
      <c r="G52" s="7">
        <v>6.13555E-3</v>
      </c>
      <c r="H52" s="53"/>
    </row>
    <row r="53" spans="1:8" ht="17.100000000000001" customHeight="1" x14ac:dyDescent="0.2">
      <c r="A53" s="3">
        <v>47</v>
      </c>
      <c r="B53" s="4" t="s">
        <v>453</v>
      </c>
      <c r="C53" s="4" t="s">
        <v>454</v>
      </c>
      <c r="D53" s="4" t="s">
        <v>31</v>
      </c>
      <c r="E53" s="5">
        <v>2121</v>
      </c>
      <c r="F53" s="6">
        <v>19.569406499999999</v>
      </c>
      <c r="G53" s="7">
        <v>6.0187799999999996E-3</v>
      </c>
      <c r="H53" s="53"/>
    </row>
    <row r="54" spans="1:8" ht="29.1" customHeight="1" x14ac:dyDescent="0.2">
      <c r="A54" s="3">
        <v>48</v>
      </c>
      <c r="B54" s="4" t="s">
        <v>376</v>
      </c>
      <c r="C54" s="4" t="s">
        <v>377</v>
      </c>
      <c r="D54" s="4" t="s">
        <v>73</v>
      </c>
      <c r="E54" s="5">
        <v>6110</v>
      </c>
      <c r="F54" s="6">
        <v>18.333055000000002</v>
      </c>
      <c r="G54" s="7">
        <v>5.6385300000000001E-3</v>
      </c>
      <c r="H54" s="53"/>
    </row>
    <row r="55" spans="1:8" ht="29.1" customHeight="1" x14ac:dyDescent="0.2">
      <c r="A55" s="3">
        <v>49</v>
      </c>
      <c r="B55" s="4" t="s">
        <v>435</v>
      </c>
      <c r="C55" s="4" t="s">
        <v>436</v>
      </c>
      <c r="D55" s="4" t="s">
        <v>214</v>
      </c>
      <c r="E55" s="5">
        <v>2505</v>
      </c>
      <c r="F55" s="6">
        <v>11.9701425</v>
      </c>
      <c r="G55" s="7">
        <v>3.68155E-3</v>
      </c>
      <c r="H55" s="53"/>
    </row>
    <row r="56" spans="1:8" ht="29.1" customHeight="1" x14ac:dyDescent="0.2">
      <c r="A56" s="3">
        <v>50</v>
      </c>
      <c r="B56" s="4" t="s">
        <v>455</v>
      </c>
      <c r="C56" s="4" t="s">
        <v>456</v>
      </c>
      <c r="D56" s="4" t="s">
        <v>201</v>
      </c>
      <c r="E56" s="5">
        <v>1926</v>
      </c>
      <c r="F56" s="6">
        <v>9.7705979999999997</v>
      </c>
      <c r="G56" s="7">
        <v>3.00505E-3</v>
      </c>
      <c r="H56" s="53"/>
    </row>
    <row r="57" spans="1:8" ht="17.100000000000001" customHeight="1" x14ac:dyDescent="0.2">
      <c r="A57" s="3">
        <v>51</v>
      </c>
      <c r="B57" s="4" t="s">
        <v>954</v>
      </c>
      <c r="C57" s="4" t="s">
        <v>299</v>
      </c>
      <c r="D57" s="4" t="s">
        <v>130</v>
      </c>
      <c r="E57" s="5">
        <v>601</v>
      </c>
      <c r="F57" s="6">
        <v>6.1380129999999999</v>
      </c>
      <c r="G57" s="7">
        <v>1.88781E-3</v>
      </c>
      <c r="H57" s="53"/>
    </row>
    <row r="58" spans="1:8" ht="14.1" customHeight="1" x14ac:dyDescent="0.2">
      <c r="A58" s="1"/>
      <c r="B58" s="1"/>
      <c r="C58" s="2" t="s">
        <v>144</v>
      </c>
      <c r="D58" s="1"/>
      <c r="E58" s="1" t="s">
        <v>145</v>
      </c>
      <c r="F58" s="9">
        <v>3089.07618</v>
      </c>
      <c r="G58" s="10">
        <v>0.95007896000000003</v>
      </c>
      <c r="H58" s="53"/>
    </row>
    <row r="59" spans="1:8" ht="14.1" customHeight="1" x14ac:dyDescent="0.2">
      <c r="A59" s="1"/>
      <c r="B59" s="1"/>
      <c r="C59" s="11"/>
      <c r="D59" s="1"/>
      <c r="E59" s="1"/>
      <c r="F59" s="12"/>
      <c r="G59" s="12"/>
      <c r="H59" s="53"/>
    </row>
    <row r="60" spans="1:8" ht="14.1" customHeight="1" x14ac:dyDescent="0.2">
      <c r="A60" s="1"/>
      <c r="B60" s="1"/>
      <c r="C60" s="2" t="s">
        <v>146</v>
      </c>
      <c r="D60" s="1"/>
      <c r="E60" s="1"/>
      <c r="F60" s="1"/>
      <c r="G60" s="1"/>
      <c r="H60" s="53"/>
    </row>
    <row r="61" spans="1:8" ht="14.1" customHeight="1" x14ac:dyDescent="0.2">
      <c r="A61" s="1"/>
      <c r="B61" s="1"/>
      <c r="C61" s="2" t="s">
        <v>144</v>
      </c>
      <c r="D61" s="1"/>
      <c r="E61" s="1" t="s">
        <v>145</v>
      </c>
      <c r="F61" s="13" t="s">
        <v>147</v>
      </c>
      <c r="G61" s="10">
        <v>0</v>
      </c>
      <c r="H61" s="53"/>
    </row>
    <row r="62" spans="1:8" ht="14.1" customHeight="1" x14ac:dyDescent="0.2">
      <c r="A62" s="1"/>
      <c r="B62" s="1"/>
      <c r="C62" s="11"/>
      <c r="D62" s="1"/>
      <c r="E62" s="1"/>
      <c r="F62" s="12"/>
      <c r="G62" s="12"/>
      <c r="H62" s="53"/>
    </row>
    <row r="63" spans="1:8" ht="14.1" customHeight="1" x14ac:dyDescent="0.2">
      <c r="A63" s="1"/>
      <c r="B63" s="1"/>
      <c r="C63" s="2" t="s">
        <v>148</v>
      </c>
      <c r="D63" s="1"/>
      <c r="E63" s="1"/>
      <c r="F63" s="1"/>
      <c r="G63" s="1"/>
      <c r="H63" s="53"/>
    </row>
    <row r="64" spans="1:8" ht="14.1" customHeight="1" x14ac:dyDescent="0.2">
      <c r="A64" s="1"/>
      <c r="B64" s="1"/>
      <c r="C64" s="2" t="s">
        <v>144</v>
      </c>
      <c r="D64" s="1"/>
      <c r="E64" s="1" t="s">
        <v>145</v>
      </c>
      <c r="F64" s="13" t="s">
        <v>147</v>
      </c>
      <c r="G64" s="10">
        <v>0</v>
      </c>
      <c r="H64" s="53"/>
    </row>
    <row r="65" spans="1:8" ht="14.1" customHeight="1" x14ac:dyDescent="0.2">
      <c r="A65" s="1"/>
      <c r="B65" s="1"/>
      <c r="C65" s="11"/>
      <c r="D65" s="1"/>
      <c r="E65" s="1"/>
      <c r="F65" s="12"/>
      <c r="G65" s="12"/>
      <c r="H65" s="53"/>
    </row>
    <row r="66" spans="1:8" ht="14.1" customHeight="1" x14ac:dyDescent="0.2">
      <c r="A66" s="1"/>
      <c r="B66" s="1"/>
      <c r="C66" s="2" t="s">
        <v>149</v>
      </c>
      <c r="D66" s="1"/>
      <c r="E66" s="1"/>
      <c r="F66" s="1"/>
      <c r="G66" s="1"/>
      <c r="H66" s="53"/>
    </row>
    <row r="67" spans="1:8" ht="29.1" customHeight="1" x14ac:dyDescent="0.2">
      <c r="A67" s="3">
        <v>1</v>
      </c>
      <c r="B67" s="4" t="s">
        <v>307</v>
      </c>
      <c r="C67" s="4" t="s">
        <v>964</v>
      </c>
      <c r="D67" s="4" t="s">
        <v>87</v>
      </c>
      <c r="E67" s="5">
        <v>69716</v>
      </c>
      <c r="F67" s="6">
        <v>7.1807480000000004</v>
      </c>
      <c r="G67" s="7">
        <v>2.2085199999999998E-3</v>
      </c>
      <c r="H67" s="53"/>
    </row>
    <row r="68" spans="1:8" ht="29.1" customHeight="1" x14ac:dyDescent="0.2">
      <c r="A68" s="3">
        <v>2</v>
      </c>
      <c r="B68" s="4" t="s">
        <v>955</v>
      </c>
      <c r="C68" s="4" t="s">
        <v>1165</v>
      </c>
      <c r="D68" s="4" t="s">
        <v>130</v>
      </c>
      <c r="E68" s="5">
        <v>69</v>
      </c>
      <c r="F68" s="6">
        <v>6.900069E-3</v>
      </c>
      <c r="G68" s="7" t="s">
        <v>143</v>
      </c>
      <c r="H68" s="53"/>
    </row>
    <row r="69" spans="1:8" ht="14.1" customHeight="1" x14ac:dyDescent="0.2">
      <c r="A69" s="1"/>
      <c r="B69" s="1"/>
      <c r="C69" s="2" t="s">
        <v>144</v>
      </c>
      <c r="D69" s="1"/>
      <c r="E69" s="1" t="s">
        <v>145</v>
      </c>
      <c r="F69" s="9">
        <v>7.1876480689999998</v>
      </c>
      <c r="G69" s="10">
        <v>2.2106399999999998E-3</v>
      </c>
      <c r="H69" s="53"/>
    </row>
    <row r="70" spans="1:8" ht="14.1" customHeight="1" x14ac:dyDescent="0.2">
      <c r="A70" s="1"/>
      <c r="B70" s="1"/>
      <c r="C70" s="11"/>
      <c r="D70" s="1"/>
      <c r="E70" s="1"/>
      <c r="F70" s="12"/>
      <c r="G70" s="12"/>
      <c r="H70" s="53"/>
    </row>
    <row r="71" spans="1:8" ht="14.1" customHeight="1" x14ac:dyDescent="0.2">
      <c r="A71" s="1"/>
      <c r="B71" s="1"/>
      <c r="C71" s="2" t="s">
        <v>150</v>
      </c>
      <c r="D71" s="1"/>
      <c r="E71" s="1"/>
      <c r="F71" s="12"/>
      <c r="G71" s="12"/>
      <c r="H71" s="53"/>
    </row>
    <row r="72" spans="1:8" ht="14.1" customHeight="1" x14ac:dyDescent="0.2">
      <c r="A72" s="1"/>
      <c r="B72" s="1"/>
      <c r="C72" s="2" t="s">
        <v>144</v>
      </c>
      <c r="D72" s="1"/>
      <c r="E72" s="1" t="s">
        <v>145</v>
      </c>
      <c r="F72" s="13" t="s">
        <v>147</v>
      </c>
      <c r="G72" s="10">
        <v>0</v>
      </c>
      <c r="H72" s="53"/>
    </row>
    <row r="73" spans="1:8" ht="14.1" customHeight="1" x14ac:dyDescent="0.2">
      <c r="A73" s="1"/>
      <c r="B73" s="1"/>
      <c r="C73" s="11"/>
      <c r="D73" s="1"/>
      <c r="E73" s="1"/>
      <c r="F73" s="12"/>
      <c r="G73" s="12"/>
      <c r="H73" s="53"/>
    </row>
    <row r="74" spans="1:8" ht="14.1" customHeight="1" x14ac:dyDescent="0.2">
      <c r="A74" s="1"/>
      <c r="B74" s="1"/>
      <c r="C74" s="2" t="s">
        <v>151</v>
      </c>
      <c r="D74" s="1"/>
      <c r="E74" s="1"/>
      <c r="F74" s="12"/>
      <c r="G74" s="12"/>
      <c r="H74" s="53"/>
    </row>
    <row r="75" spans="1:8" ht="14.1" customHeight="1" x14ac:dyDescent="0.2">
      <c r="A75" s="1"/>
      <c r="B75" s="1"/>
      <c r="C75" s="2" t="s">
        <v>144</v>
      </c>
      <c r="D75" s="1"/>
      <c r="E75" s="1" t="s">
        <v>145</v>
      </c>
      <c r="F75" s="13" t="s">
        <v>147</v>
      </c>
      <c r="G75" s="10">
        <v>0</v>
      </c>
      <c r="H75" s="53"/>
    </row>
    <row r="76" spans="1:8" ht="14.1" customHeight="1" x14ac:dyDescent="0.2">
      <c r="A76" s="1"/>
      <c r="B76" s="1"/>
      <c r="C76" s="11"/>
      <c r="D76" s="1"/>
      <c r="E76" s="1"/>
      <c r="F76" s="12"/>
      <c r="G76" s="12"/>
      <c r="H76" s="53"/>
    </row>
    <row r="77" spans="1:8" ht="18" customHeight="1" x14ac:dyDescent="0.2">
      <c r="A77" s="1"/>
      <c r="B77" s="1"/>
      <c r="C77" s="2" t="s">
        <v>152</v>
      </c>
      <c r="D77" s="1"/>
      <c r="E77" s="1"/>
      <c r="F77" s="9">
        <v>3096.2638280689998</v>
      </c>
      <c r="G77" s="10">
        <v>0.95228959999999996</v>
      </c>
      <c r="H77" s="53"/>
    </row>
    <row r="78" spans="1:8" ht="14.1" customHeight="1" x14ac:dyDescent="0.2">
      <c r="A78" s="1"/>
      <c r="B78" s="1"/>
      <c r="C78" s="11"/>
      <c r="D78" s="1"/>
      <c r="E78" s="1"/>
      <c r="F78" s="12"/>
      <c r="G78" s="12"/>
      <c r="H78" s="53"/>
    </row>
    <row r="79" spans="1:8" ht="14.1" customHeight="1" x14ac:dyDescent="0.2">
      <c r="A79" s="1"/>
      <c r="B79" s="1"/>
      <c r="C79" s="2" t="s">
        <v>153</v>
      </c>
      <c r="D79" s="1"/>
      <c r="E79" s="1"/>
      <c r="F79" s="12"/>
      <c r="G79" s="12"/>
      <c r="H79" s="53"/>
    </row>
    <row r="80" spans="1:8" ht="24" customHeight="1" x14ac:dyDescent="0.2">
      <c r="A80" s="1"/>
      <c r="B80" s="1"/>
      <c r="C80" s="2" t="s">
        <v>10</v>
      </c>
      <c r="D80" s="1"/>
      <c r="E80" s="1"/>
      <c r="F80" s="12"/>
      <c r="G80" s="12"/>
      <c r="H80" s="53"/>
    </row>
    <row r="81" spans="1:8" ht="14.1" customHeight="1" x14ac:dyDescent="0.2">
      <c r="A81" s="1"/>
      <c r="B81" s="1"/>
      <c r="C81" s="2" t="s">
        <v>144</v>
      </c>
      <c r="D81" s="1"/>
      <c r="E81" s="1" t="s">
        <v>145</v>
      </c>
      <c r="F81" s="13" t="s">
        <v>147</v>
      </c>
      <c r="G81" s="10">
        <v>0</v>
      </c>
      <c r="H81" s="53"/>
    </row>
    <row r="82" spans="1:8" ht="14.1" customHeight="1" x14ac:dyDescent="0.2">
      <c r="A82" s="1"/>
      <c r="B82" s="1"/>
      <c r="C82" s="11"/>
      <c r="D82" s="1"/>
      <c r="E82" s="1"/>
      <c r="F82" s="12"/>
      <c r="G82" s="12"/>
      <c r="H82" s="53"/>
    </row>
    <row r="83" spans="1:8" ht="14.1" customHeight="1" x14ac:dyDescent="0.2">
      <c r="A83" s="1"/>
      <c r="B83" s="1"/>
      <c r="C83" s="2" t="s">
        <v>154</v>
      </c>
      <c r="D83" s="1"/>
      <c r="E83" s="1"/>
      <c r="F83" s="1"/>
      <c r="G83" s="1"/>
      <c r="H83" s="53"/>
    </row>
    <row r="84" spans="1:8" ht="14.1" customHeight="1" x14ac:dyDescent="0.2">
      <c r="A84" s="1"/>
      <c r="B84" s="1"/>
      <c r="C84" s="2" t="s">
        <v>144</v>
      </c>
      <c r="D84" s="1"/>
      <c r="E84" s="1" t="s">
        <v>145</v>
      </c>
      <c r="F84" s="13" t="s">
        <v>147</v>
      </c>
      <c r="G84" s="10">
        <v>0</v>
      </c>
      <c r="H84" s="53"/>
    </row>
    <row r="85" spans="1:8" ht="14.1" customHeight="1" x14ac:dyDescent="0.2">
      <c r="A85" s="1"/>
      <c r="B85" s="1"/>
      <c r="C85" s="11"/>
      <c r="D85" s="1"/>
      <c r="E85" s="1"/>
      <c r="F85" s="12"/>
      <c r="G85" s="12"/>
      <c r="H85" s="53"/>
    </row>
    <row r="86" spans="1:8" ht="14.1" customHeight="1" x14ac:dyDescent="0.2">
      <c r="A86" s="1"/>
      <c r="B86" s="1"/>
      <c r="C86" s="2" t="s">
        <v>155</v>
      </c>
      <c r="D86" s="1"/>
      <c r="E86" s="1"/>
      <c r="F86" s="1"/>
      <c r="G86" s="1"/>
      <c r="H86" s="53"/>
    </row>
    <row r="87" spans="1:8" ht="14.1" customHeight="1" x14ac:dyDescent="0.2">
      <c r="A87" s="1"/>
      <c r="B87" s="1"/>
      <c r="C87" s="2" t="s">
        <v>144</v>
      </c>
      <c r="D87" s="1"/>
      <c r="E87" s="1" t="s">
        <v>145</v>
      </c>
      <c r="F87" s="13" t="s">
        <v>147</v>
      </c>
      <c r="G87" s="10">
        <v>0</v>
      </c>
      <c r="H87" s="53"/>
    </row>
    <row r="88" spans="1:8" ht="14.1" customHeight="1" x14ac:dyDescent="0.2">
      <c r="A88" s="1"/>
      <c r="B88" s="1"/>
      <c r="C88" s="11"/>
      <c r="D88" s="1"/>
      <c r="E88" s="1"/>
      <c r="F88" s="12"/>
      <c r="G88" s="12"/>
      <c r="H88" s="53"/>
    </row>
    <row r="89" spans="1:8" ht="14.1" customHeight="1" x14ac:dyDescent="0.2">
      <c r="A89" s="1"/>
      <c r="B89" s="1"/>
      <c r="C89" s="2" t="s">
        <v>156</v>
      </c>
      <c r="D89" s="1"/>
      <c r="E89" s="1"/>
      <c r="F89" s="12"/>
      <c r="G89" s="12"/>
      <c r="H89" s="53"/>
    </row>
    <row r="90" spans="1:8" ht="14.1" customHeight="1" x14ac:dyDescent="0.2">
      <c r="A90" s="1"/>
      <c r="B90" s="1"/>
      <c r="C90" s="2" t="s">
        <v>144</v>
      </c>
      <c r="D90" s="1"/>
      <c r="E90" s="1" t="s">
        <v>145</v>
      </c>
      <c r="F90" s="13" t="s">
        <v>147</v>
      </c>
      <c r="G90" s="10">
        <v>0</v>
      </c>
      <c r="H90" s="53"/>
    </row>
    <row r="91" spans="1:8" ht="14.1" customHeight="1" x14ac:dyDescent="0.2">
      <c r="A91" s="1"/>
      <c r="B91" s="1"/>
      <c r="C91" s="11"/>
      <c r="D91" s="1"/>
      <c r="E91" s="1"/>
      <c r="F91" s="12"/>
      <c r="G91" s="12"/>
      <c r="H91" s="53"/>
    </row>
    <row r="92" spans="1:8" ht="14.1" customHeight="1" x14ac:dyDescent="0.2">
      <c r="A92" s="1"/>
      <c r="B92" s="1"/>
      <c r="C92" s="2" t="s">
        <v>157</v>
      </c>
      <c r="D92" s="1"/>
      <c r="E92" s="1"/>
      <c r="F92" s="9">
        <v>0</v>
      </c>
      <c r="G92" s="10">
        <v>0</v>
      </c>
      <c r="H92" s="53"/>
    </row>
    <row r="93" spans="1:8" ht="14.1" customHeight="1" x14ac:dyDescent="0.2">
      <c r="A93" s="1"/>
      <c r="B93" s="1"/>
      <c r="C93" s="11"/>
      <c r="D93" s="1"/>
      <c r="E93" s="1"/>
      <c r="F93" s="12"/>
      <c r="G93" s="12"/>
      <c r="H93" s="53"/>
    </row>
    <row r="94" spans="1:8" ht="14.1" customHeight="1" x14ac:dyDescent="0.2">
      <c r="A94" s="1"/>
      <c r="B94" s="1"/>
      <c r="C94" s="2" t="s">
        <v>158</v>
      </c>
      <c r="D94" s="1"/>
      <c r="E94" s="1"/>
      <c r="F94" s="12"/>
      <c r="G94" s="12"/>
      <c r="H94" s="53"/>
    </row>
    <row r="95" spans="1:8" ht="14.1" customHeight="1" x14ac:dyDescent="0.2">
      <c r="A95" s="1"/>
      <c r="B95" s="1"/>
      <c r="C95" s="2" t="s">
        <v>159</v>
      </c>
      <c r="D95" s="1"/>
      <c r="E95" s="1"/>
      <c r="F95" s="12"/>
      <c r="G95" s="12"/>
      <c r="H95" s="53"/>
    </row>
    <row r="96" spans="1:8" ht="14.1" customHeight="1" x14ac:dyDescent="0.2">
      <c r="A96" s="1"/>
      <c r="B96" s="1"/>
      <c r="C96" s="2" t="s">
        <v>144</v>
      </c>
      <c r="D96" s="1"/>
      <c r="E96" s="1" t="s">
        <v>145</v>
      </c>
      <c r="F96" s="13" t="s">
        <v>147</v>
      </c>
      <c r="G96" s="10">
        <v>0</v>
      </c>
      <c r="H96" s="53"/>
    </row>
    <row r="97" spans="1:8" ht="14.1" customHeight="1" x14ac:dyDescent="0.2">
      <c r="A97" s="1"/>
      <c r="B97" s="1"/>
      <c r="C97" s="11"/>
      <c r="D97" s="1"/>
      <c r="E97" s="1"/>
      <c r="F97" s="12"/>
      <c r="G97" s="12"/>
      <c r="H97" s="53"/>
    </row>
    <row r="98" spans="1:8" ht="14.1" customHeight="1" x14ac:dyDescent="0.2">
      <c r="A98" s="1"/>
      <c r="B98" s="1"/>
      <c r="C98" s="2" t="s">
        <v>160</v>
      </c>
      <c r="D98" s="1"/>
      <c r="E98" s="1"/>
      <c r="F98" s="12"/>
      <c r="G98" s="12"/>
      <c r="H98" s="53"/>
    </row>
    <row r="99" spans="1:8" ht="14.1" customHeight="1" x14ac:dyDescent="0.2">
      <c r="A99" s="1"/>
      <c r="B99" s="1"/>
      <c r="C99" s="2" t="s">
        <v>144</v>
      </c>
      <c r="D99" s="1"/>
      <c r="E99" s="1" t="s">
        <v>145</v>
      </c>
      <c r="F99" s="13" t="s">
        <v>147</v>
      </c>
      <c r="G99" s="10">
        <v>0</v>
      </c>
      <c r="H99" s="53"/>
    </row>
    <row r="100" spans="1:8" ht="14.1" customHeight="1" x14ac:dyDescent="0.2">
      <c r="A100" s="1"/>
      <c r="B100" s="1"/>
      <c r="C100" s="11"/>
      <c r="D100" s="1"/>
      <c r="E100" s="1"/>
      <c r="F100" s="12"/>
      <c r="G100" s="12"/>
      <c r="H100" s="53"/>
    </row>
    <row r="101" spans="1:8" ht="14.1" customHeight="1" x14ac:dyDescent="0.2">
      <c r="A101" s="1"/>
      <c r="B101" s="1"/>
      <c r="C101" s="2" t="s">
        <v>161</v>
      </c>
      <c r="D101" s="1"/>
      <c r="E101" s="1"/>
      <c r="F101" s="12"/>
      <c r="G101" s="12"/>
      <c r="H101" s="53"/>
    </row>
    <row r="102" spans="1:8" ht="14.1" customHeight="1" x14ac:dyDescent="0.2">
      <c r="A102" s="1"/>
      <c r="B102" s="1"/>
      <c r="C102" s="2" t="s">
        <v>144</v>
      </c>
      <c r="D102" s="1"/>
      <c r="E102" s="1" t="s">
        <v>145</v>
      </c>
      <c r="F102" s="13" t="s">
        <v>147</v>
      </c>
      <c r="G102" s="10">
        <v>0</v>
      </c>
      <c r="H102" s="53"/>
    </row>
    <row r="103" spans="1:8" ht="14.1" customHeight="1" x14ac:dyDescent="0.2">
      <c r="A103" s="1"/>
      <c r="B103" s="1"/>
      <c r="C103" s="11"/>
      <c r="D103" s="1"/>
      <c r="E103" s="1"/>
      <c r="F103" s="12"/>
      <c r="G103" s="12"/>
      <c r="H103" s="53"/>
    </row>
    <row r="104" spans="1:8" ht="14.1" customHeight="1" x14ac:dyDescent="0.2">
      <c r="A104" s="1"/>
      <c r="B104" s="1"/>
      <c r="C104" s="2" t="s">
        <v>162</v>
      </c>
      <c r="D104" s="1"/>
      <c r="E104" s="1"/>
      <c r="F104" s="12"/>
      <c r="G104" s="12"/>
      <c r="H104" s="53"/>
    </row>
    <row r="105" spans="1:8" ht="17.100000000000001" customHeight="1" x14ac:dyDescent="0.2">
      <c r="A105" s="3">
        <v>1</v>
      </c>
      <c r="B105" s="4"/>
      <c r="C105" s="4" t="s">
        <v>163</v>
      </c>
      <c r="D105" s="4"/>
      <c r="E105" s="8"/>
      <c r="F105" s="6">
        <v>85.961281</v>
      </c>
      <c r="G105" s="7">
        <v>2.6438329999999999E-2</v>
      </c>
      <c r="H105" s="51">
        <v>6.6602331647804478</v>
      </c>
    </row>
    <row r="106" spans="1:8" ht="17.100000000000001" customHeight="1" x14ac:dyDescent="0.2">
      <c r="A106" s="3">
        <v>2</v>
      </c>
      <c r="B106" s="4"/>
      <c r="C106" s="4" t="s">
        <v>164</v>
      </c>
      <c r="D106" s="4"/>
      <c r="E106" s="8"/>
      <c r="F106" s="6">
        <v>65.719813400000007</v>
      </c>
      <c r="G106" s="7">
        <v>2.0212839999999999E-2</v>
      </c>
      <c r="H106" s="51">
        <v>6.6588225936582406</v>
      </c>
    </row>
    <row r="107" spans="1:8" ht="14.1" customHeight="1" x14ac:dyDescent="0.2">
      <c r="A107" s="1"/>
      <c r="B107" s="1"/>
      <c r="C107" s="2" t="s">
        <v>144</v>
      </c>
      <c r="D107" s="1"/>
      <c r="E107" s="1" t="s">
        <v>145</v>
      </c>
      <c r="F107" s="9">
        <v>151.68109440000001</v>
      </c>
      <c r="G107" s="10">
        <v>4.6651169999999999E-2</v>
      </c>
      <c r="H107" s="53"/>
    </row>
    <row r="108" spans="1:8" ht="14.1" customHeight="1" x14ac:dyDescent="0.2">
      <c r="A108" s="1"/>
      <c r="B108" s="1"/>
      <c r="C108" s="11"/>
      <c r="D108" s="1"/>
      <c r="E108" s="1"/>
      <c r="F108" s="12"/>
      <c r="G108" s="12"/>
      <c r="H108" s="53"/>
    </row>
    <row r="109" spans="1:8" ht="14.1" customHeight="1" x14ac:dyDescent="0.2">
      <c r="A109" s="1"/>
      <c r="B109" s="1"/>
      <c r="C109" s="2" t="s">
        <v>165</v>
      </c>
      <c r="D109" s="1"/>
      <c r="E109" s="1"/>
      <c r="F109" s="9">
        <v>151.68109440000001</v>
      </c>
      <c r="G109" s="10">
        <v>4.6651169999999999E-2</v>
      </c>
      <c r="H109" s="53"/>
    </row>
    <row r="110" spans="1:8" ht="14.1" customHeight="1" x14ac:dyDescent="0.2">
      <c r="A110" s="1"/>
      <c r="B110" s="1"/>
      <c r="C110" s="12"/>
      <c r="D110" s="1"/>
      <c r="E110" s="1"/>
      <c r="F110" s="1"/>
      <c r="G110" s="1"/>
      <c r="H110" s="53"/>
    </row>
    <row r="111" spans="1:8" ht="14.1" customHeight="1" x14ac:dyDescent="0.2">
      <c r="A111" s="1"/>
      <c r="B111" s="1"/>
      <c r="C111" s="2" t="s">
        <v>166</v>
      </c>
      <c r="D111" s="1"/>
      <c r="E111" s="1"/>
      <c r="F111" s="1"/>
      <c r="G111" s="1"/>
      <c r="H111" s="53"/>
    </row>
    <row r="112" spans="1:8" ht="14.1" customHeight="1" x14ac:dyDescent="0.2">
      <c r="A112" s="1"/>
      <c r="B112" s="1"/>
      <c r="C112" s="2" t="s">
        <v>167</v>
      </c>
      <c r="D112" s="1"/>
      <c r="E112" s="1"/>
      <c r="F112" s="1"/>
      <c r="G112" s="1"/>
      <c r="H112" s="53"/>
    </row>
    <row r="113" spans="1:8" ht="14.1" customHeight="1" x14ac:dyDescent="0.2">
      <c r="A113" s="1"/>
      <c r="B113" s="1"/>
      <c r="C113" s="2" t="s">
        <v>144</v>
      </c>
      <c r="D113" s="1"/>
      <c r="E113" s="1" t="s">
        <v>145</v>
      </c>
      <c r="F113" s="13" t="s">
        <v>147</v>
      </c>
      <c r="G113" s="10">
        <v>0</v>
      </c>
      <c r="H113" s="53"/>
    </row>
    <row r="114" spans="1:8" ht="14.1" customHeight="1" x14ac:dyDescent="0.2">
      <c r="A114" s="1"/>
      <c r="B114" s="1"/>
      <c r="C114" s="11"/>
      <c r="D114" s="1"/>
      <c r="E114" s="1"/>
      <c r="F114" s="12"/>
      <c r="G114" s="12"/>
      <c r="H114" s="53"/>
    </row>
    <row r="115" spans="1:8" ht="14.1" customHeight="1" x14ac:dyDescent="0.2">
      <c r="A115" s="1"/>
      <c r="B115" s="1"/>
      <c r="C115" s="2" t="s">
        <v>168</v>
      </c>
      <c r="D115" s="1"/>
      <c r="E115" s="1"/>
      <c r="F115" s="1"/>
      <c r="G115" s="1"/>
      <c r="H115" s="53"/>
    </row>
    <row r="116" spans="1:8" ht="14.1" customHeight="1" x14ac:dyDescent="0.2">
      <c r="A116" s="1"/>
      <c r="B116" s="1"/>
      <c r="C116" s="2" t="s">
        <v>169</v>
      </c>
      <c r="D116" s="1"/>
      <c r="E116" s="1"/>
      <c r="F116" s="1"/>
      <c r="G116" s="1"/>
      <c r="H116" s="53"/>
    </row>
    <row r="117" spans="1:8" ht="14.1" customHeight="1" x14ac:dyDescent="0.2">
      <c r="A117" s="1"/>
      <c r="B117" s="1"/>
      <c r="C117" s="2" t="s">
        <v>144</v>
      </c>
      <c r="D117" s="1"/>
      <c r="E117" s="1" t="s">
        <v>145</v>
      </c>
      <c r="F117" s="13" t="s">
        <v>147</v>
      </c>
      <c r="G117" s="10">
        <v>0</v>
      </c>
      <c r="H117" s="53"/>
    </row>
    <row r="118" spans="1:8" ht="14.1" customHeight="1" x14ac:dyDescent="0.2">
      <c r="A118" s="1"/>
      <c r="B118" s="1"/>
      <c r="C118" s="11"/>
      <c r="D118" s="1"/>
      <c r="E118" s="1"/>
      <c r="F118" s="12"/>
      <c r="G118" s="12"/>
      <c r="H118" s="53"/>
    </row>
    <row r="119" spans="1:8" ht="24" customHeight="1" x14ac:dyDescent="0.2">
      <c r="A119" s="1"/>
      <c r="B119" s="1"/>
      <c r="C119" s="2" t="s">
        <v>170</v>
      </c>
      <c r="D119" s="1"/>
      <c r="E119" s="1"/>
      <c r="F119" s="12"/>
      <c r="G119" s="12"/>
      <c r="H119" s="53"/>
    </row>
    <row r="120" spans="1:8" ht="14.1" customHeight="1" x14ac:dyDescent="0.2">
      <c r="A120" s="1"/>
      <c r="B120" s="1"/>
      <c r="C120" s="2" t="s">
        <v>144</v>
      </c>
      <c r="D120" s="1"/>
      <c r="E120" s="1" t="s">
        <v>145</v>
      </c>
      <c r="F120" s="13" t="s">
        <v>147</v>
      </c>
      <c r="G120" s="10">
        <v>0</v>
      </c>
      <c r="H120" s="53"/>
    </row>
    <row r="121" spans="1:8" ht="14.1" customHeight="1" x14ac:dyDescent="0.2">
      <c r="A121" s="1"/>
      <c r="B121" s="1"/>
      <c r="C121" s="11"/>
      <c r="D121" s="1"/>
      <c r="E121" s="1"/>
      <c r="F121" s="12"/>
      <c r="G121" s="12"/>
      <c r="H121" s="53"/>
    </row>
    <row r="122" spans="1:8" ht="14.1" customHeight="1" x14ac:dyDescent="0.2">
      <c r="A122" s="1"/>
      <c r="B122" s="4"/>
      <c r="C122" s="4"/>
      <c r="D122" s="2"/>
      <c r="E122" s="1"/>
      <c r="F122" s="4"/>
      <c r="G122" s="8"/>
      <c r="H122" s="53"/>
    </row>
    <row r="123" spans="1:8" ht="18" customHeight="1" x14ac:dyDescent="0.2">
      <c r="A123" s="8"/>
      <c r="B123" s="4"/>
      <c r="C123" s="4" t="s">
        <v>171</v>
      </c>
      <c r="D123" s="4"/>
      <c r="E123" s="8"/>
      <c r="F123" s="6">
        <v>3.4440397900000002</v>
      </c>
      <c r="G123" s="7">
        <v>1.0592500000000001E-3</v>
      </c>
      <c r="H123" s="53"/>
    </row>
    <row r="124" spans="1:8" ht="14.1" customHeight="1" x14ac:dyDescent="0.2">
      <c r="A124" s="11"/>
      <c r="B124" s="11"/>
      <c r="C124" s="2" t="s">
        <v>172</v>
      </c>
      <c r="D124" s="12"/>
      <c r="E124" s="12"/>
      <c r="F124" s="9">
        <v>3251.388962259</v>
      </c>
      <c r="G124" s="14">
        <v>1.0000000200000001</v>
      </c>
      <c r="H124" s="53"/>
    </row>
    <row r="125" spans="1:8" ht="14.1" customHeight="1" x14ac:dyDescent="0.2">
      <c r="A125" s="15"/>
      <c r="B125" s="15"/>
      <c r="C125" s="15"/>
      <c r="D125" s="16"/>
      <c r="E125" s="16"/>
      <c r="F125" s="16"/>
      <c r="G125" s="16"/>
    </row>
    <row r="126" spans="1:8" ht="17.100000000000001" customHeight="1" x14ac:dyDescent="0.2">
      <c r="A126" s="17"/>
      <c r="B126" s="230" t="s">
        <v>173</v>
      </c>
      <c r="C126" s="230"/>
      <c r="D126" s="230"/>
      <c r="E126" s="230"/>
      <c r="F126" s="230"/>
      <c r="G126" s="19"/>
    </row>
    <row r="127" spans="1:8" ht="14.1" customHeight="1" x14ac:dyDescent="0.2">
      <c r="A127" s="17"/>
      <c r="B127" s="239" t="s">
        <v>907</v>
      </c>
      <c r="C127" s="239"/>
      <c r="D127" s="239"/>
      <c r="E127" s="239"/>
      <c r="F127" s="239"/>
      <c r="G127" s="19"/>
    </row>
    <row r="128" spans="1:8" ht="14.1" customHeight="1" x14ac:dyDescent="0.2">
      <c r="A128" s="17"/>
      <c r="B128" s="17"/>
      <c r="C128" s="17"/>
      <c r="D128" s="19"/>
      <c r="E128" s="19"/>
      <c r="F128" s="19"/>
      <c r="G128" s="19"/>
    </row>
    <row r="129" spans="1:7" ht="14.1" customHeight="1" x14ac:dyDescent="0.2">
      <c r="A129" s="17"/>
      <c r="B129" s="231" t="s">
        <v>174</v>
      </c>
      <c r="C129" s="232"/>
      <c r="D129" s="233"/>
      <c r="E129" s="20"/>
      <c r="F129" s="19"/>
      <c r="G129" s="19"/>
    </row>
    <row r="130" spans="1:7" ht="29.1" customHeight="1" x14ac:dyDescent="0.2">
      <c r="A130" s="17"/>
      <c r="B130" s="226" t="s">
        <v>175</v>
      </c>
      <c r="C130" s="227"/>
      <c r="D130" s="2" t="s">
        <v>176</v>
      </c>
      <c r="E130" s="20"/>
      <c r="F130" s="19"/>
      <c r="G130" s="19"/>
    </row>
    <row r="131" spans="1:7" ht="27" customHeight="1" x14ac:dyDescent="0.2">
      <c r="A131" s="17"/>
      <c r="B131" s="226" t="s">
        <v>1166</v>
      </c>
      <c r="C131" s="227"/>
      <c r="D131" s="2" t="s">
        <v>1161</v>
      </c>
      <c r="E131" s="20"/>
      <c r="F131" s="19"/>
      <c r="G131" s="19"/>
    </row>
    <row r="132" spans="1:7" ht="17.100000000000001" customHeight="1" x14ac:dyDescent="0.2">
      <c r="A132" s="17"/>
      <c r="B132" s="226" t="s">
        <v>178</v>
      </c>
      <c r="C132" s="227"/>
      <c r="D132" s="12" t="s">
        <v>145</v>
      </c>
      <c r="E132" s="20"/>
      <c r="F132" s="19"/>
      <c r="G132" s="19"/>
    </row>
    <row r="133" spans="1:7" ht="24" customHeight="1" x14ac:dyDescent="0.2">
      <c r="A133" s="21"/>
      <c r="B133" s="22" t="s">
        <v>145</v>
      </c>
      <c r="C133" s="22" t="s">
        <v>179</v>
      </c>
      <c r="D133" s="22" t="s">
        <v>180</v>
      </c>
      <c r="E133" s="21"/>
      <c r="F133" s="21"/>
      <c r="G133" s="21"/>
    </row>
    <row r="134" spans="1:7" ht="18" customHeight="1" x14ac:dyDescent="0.2">
      <c r="A134" s="21"/>
      <c r="B134" s="23" t="s">
        <v>181</v>
      </c>
      <c r="C134" s="22" t="s">
        <v>182</v>
      </c>
      <c r="D134" s="22" t="s">
        <v>183</v>
      </c>
      <c r="E134" s="21"/>
      <c r="F134" s="21"/>
      <c r="G134" s="21"/>
    </row>
    <row r="135" spans="1:7" ht="17.100000000000001" customHeight="1" x14ac:dyDescent="0.2">
      <c r="A135" s="21"/>
      <c r="B135" s="4" t="s">
        <v>184</v>
      </c>
      <c r="C135" s="24">
        <v>20.3443</v>
      </c>
      <c r="D135" s="24">
        <v>21.686800000000002</v>
      </c>
      <c r="E135" s="21"/>
      <c r="F135" s="18"/>
      <c r="G135" s="25"/>
    </row>
    <row r="136" spans="1:7" ht="17.100000000000001" customHeight="1" x14ac:dyDescent="0.2">
      <c r="A136" s="21"/>
      <c r="B136" s="4" t="s">
        <v>1009</v>
      </c>
      <c r="C136" s="24">
        <v>20.3443</v>
      </c>
      <c r="D136" s="24">
        <v>21.686800000000002</v>
      </c>
      <c r="E136" s="21"/>
      <c r="F136" s="18"/>
      <c r="G136" s="25"/>
    </row>
    <row r="137" spans="1:7" ht="17.100000000000001" customHeight="1" x14ac:dyDescent="0.2">
      <c r="A137" s="21"/>
      <c r="B137" s="4" t="s">
        <v>185</v>
      </c>
      <c r="C137" s="24">
        <v>19.866900000000001</v>
      </c>
      <c r="D137" s="24">
        <v>21.1739</v>
      </c>
      <c r="E137" s="21"/>
      <c r="F137" s="18"/>
      <c r="G137" s="25"/>
    </row>
    <row r="138" spans="1:7" ht="17.100000000000001" customHeight="1" x14ac:dyDescent="0.2">
      <c r="A138" s="21"/>
      <c r="B138" s="4" t="s">
        <v>1010</v>
      </c>
      <c r="C138" s="24">
        <v>19.866900000000001</v>
      </c>
      <c r="D138" s="24">
        <v>21.1739</v>
      </c>
      <c r="E138" s="21"/>
      <c r="F138" s="18"/>
      <c r="G138" s="25"/>
    </row>
    <row r="139" spans="1:7" ht="14.1" customHeight="1" x14ac:dyDescent="0.2">
      <c r="A139" s="21"/>
      <c r="B139" s="21"/>
      <c r="C139" s="21"/>
      <c r="D139" s="21"/>
      <c r="E139" s="21"/>
      <c r="F139" s="21"/>
      <c r="G139" s="21"/>
    </row>
    <row r="140" spans="1:7" ht="17.100000000000001" customHeight="1" x14ac:dyDescent="0.2">
      <c r="A140" s="21"/>
      <c r="B140" s="226" t="s">
        <v>1011</v>
      </c>
      <c r="C140" s="227"/>
      <c r="D140" s="2" t="s">
        <v>176</v>
      </c>
      <c r="E140" s="21"/>
      <c r="F140" s="21"/>
      <c r="G140" s="21"/>
    </row>
    <row r="141" spans="1:7" ht="18" customHeight="1" x14ac:dyDescent="0.2">
      <c r="A141" s="21"/>
      <c r="B141" s="26"/>
      <c r="C141" s="26"/>
      <c r="D141" s="26"/>
      <c r="E141" s="21"/>
      <c r="F141" s="21"/>
      <c r="G141" s="21"/>
    </row>
    <row r="142" spans="1:7" ht="29.1" customHeight="1" x14ac:dyDescent="0.2">
      <c r="A142" s="21"/>
      <c r="B142" s="226" t="s">
        <v>186</v>
      </c>
      <c r="C142" s="227"/>
      <c r="D142" s="2" t="s">
        <v>176</v>
      </c>
      <c r="E142" s="27"/>
      <c r="F142" s="21"/>
      <c r="G142" s="21"/>
    </row>
    <row r="143" spans="1:7" ht="29.1" customHeight="1" x14ac:dyDescent="0.2">
      <c r="A143" s="21"/>
      <c r="B143" s="226" t="s">
        <v>187</v>
      </c>
      <c r="C143" s="227"/>
      <c r="D143" s="2" t="s">
        <v>176</v>
      </c>
      <c r="E143" s="27"/>
      <c r="F143" s="21"/>
      <c r="G143" s="21"/>
    </row>
    <row r="144" spans="1:7" ht="17.100000000000001" customHeight="1" x14ac:dyDescent="0.2">
      <c r="A144" s="21"/>
      <c r="B144" s="226" t="s">
        <v>188</v>
      </c>
      <c r="C144" s="227"/>
      <c r="D144" s="2" t="s">
        <v>176</v>
      </c>
      <c r="E144" s="27"/>
      <c r="F144" s="21"/>
      <c r="G144" s="21"/>
    </row>
    <row r="145" spans="1:14" ht="17.100000000000001" customHeight="1" x14ac:dyDescent="0.2">
      <c r="A145" s="21"/>
      <c r="B145" s="226" t="s">
        <v>189</v>
      </c>
      <c r="C145" s="227"/>
      <c r="D145" s="57">
        <v>8.1427490781647321E-2</v>
      </c>
      <c r="E145" s="21"/>
      <c r="F145" s="18"/>
      <c r="G145" s="25"/>
    </row>
    <row r="155" spans="1:14" x14ac:dyDescent="0.2">
      <c r="J155" s="143"/>
      <c r="K155" s="143"/>
      <c r="L155" s="143"/>
      <c r="M155" s="143"/>
      <c r="N155" s="143"/>
    </row>
  </sheetData>
  <mergeCells count="15">
    <mergeCell ref="A1:H1"/>
    <mergeCell ref="A2:H2"/>
    <mergeCell ref="A3:H3"/>
    <mergeCell ref="B127:F127"/>
    <mergeCell ref="J2:N2"/>
    <mergeCell ref="B126:F126"/>
    <mergeCell ref="B130:C130"/>
    <mergeCell ref="B129:D129"/>
    <mergeCell ref="B145:C145"/>
    <mergeCell ref="B131:C131"/>
    <mergeCell ref="B132:C132"/>
    <mergeCell ref="B140:C140"/>
    <mergeCell ref="B142:C142"/>
    <mergeCell ref="B143:C143"/>
    <mergeCell ref="B144:C144"/>
  </mergeCells>
  <hyperlinks>
    <hyperlink ref="I1" location="Index!B14" display="Index" xr:uid="{D71CFF5D-FCB1-42EE-8E34-8423D4D80CB6}"/>
  </hyperlinks>
  <pageMargins left="5.000000074505806E-2" right="5.000000074505806E-2" top="0.30000001192092896" bottom="0.20000000298023224" header="0" footer="0"/>
  <pageSetup paperSize="9"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N158"/>
  <sheetViews>
    <sheetView showGridLines="0" workbookViewId="0">
      <selection activeCell="B131" sqref="B131:C13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493</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381</v>
      </c>
      <c r="C7" s="4" t="s">
        <v>382</v>
      </c>
      <c r="D7" s="4" t="s">
        <v>73</v>
      </c>
      <c r="E7" s="5">
        <v>5017</v>
      </c>
      <c r="F7" s="6">
        <v>184.856382</v>
      </c>
      <c r="G7" s="7">
        <v>4.8130199999999998E-2</v>
      </c>
      <c r="H7" s="53"/>
    </row>
    <row r="8" spans="1:14" ht="17.100000000000001" customHeight="1" x14ac:dyDescent="0.2">
      <c r="A8" s="3">
        <v>2</v>
      </c>
      <c r="B8" s="4" t="s">
        <v>50</v>
      </c>
      <c r="C8" s="4" t="s">
        <v>51</v>
      </c>
      <c r="D8" s="4" t="s">
        <v>31</v>
      </c>
      <c r="E8" s="5">
        <v>6471</v>
      </c>
      <c r="F8" s="6">
        <v>175.202325</v>
      </c>
      <c r="G8" s="7">
        <v>4.5616619999999997E-2</v>
      </c>
      <c r="H8" s="53"/>
    </row>
    <row r="9" spans="1:14" ht="17.100000000000001" customHeight="1" x14ac:dyDescent="0.2">
      <c r="A9" s="3">
        <v>3</v>
      </c>
      <c r="B9" s="4" t="s">
        <v>34</v>
      </c>
      <c r="C9" s="4" t="s">
        <v>35</v>
      </c>
      <c r="D9" s="4" t="s">
        <v>31</v>
      </c>
      <c r="E9" s="5">
        <v>5959</v>
      </c>
      <c r="F9" s="6">
        <v>166.36932100000001</v>
      </c>
      <c r="G9" s="7">
        <v>4.3316809999999997E-2</v>
      </c>
      <c r="H9" s="53"/>
    </row>
    <row r="10" spans="1:14" ht="17.100000000000001" customHeight="1" x14ac:dyDescent="0.2">
      <c r="A10" s="3">
        <v>4</v>
      </c>
      <c r="B10" s="4" t="s">
        <v>383</v>
      </c>
      <c r="C10" s="4" t="s">
        <v>384</v>
      </c>
      <c r="D10" s="4" t="s">
        <v>28</v>
      </c>
      <c r="E10" s="5">
        <v>180840</v>
      </c>
      <c r="F10" s="6">
        <v>163.6602</v>
      </c>
      <c r="G10" s="7">
        <v>4.2611450000000002E-2</v>
      </c>
      <c r="H10" s="53"/>
    </row>
    <row r="11" spans="1:14" ht="17.100000000000001" customHeight="1" x14ac:dyDescent="0.2">
      <c r="A11" s="3">
        <v>5</v>
      </c>
      <c r="B11" s="4" t="s">
        <v>131</v>
      </c>
      <c r="C11" s="4" t="s">
        <v>132</v>
      </c>
      <c r="D11" s="4" t="s">
        <v>73</v>
      </c>
      <c r="E11" s="5">
        <v>39326</v>
      </c>
      <c r="F11" s="6">
        <v>148.671943</v>
      </c>
      <c r="G11" s="7">
        <v>3.8709019999999997E-2</v>
      </c>
      <c r="H11" s="53"/>
    </row>
    <row r="12" spans="1:14" ht="17.100000000000001" customHeight="1" x14ac:dyDescent="0.2">
      <c r="A12" s="3">
        <v>6</v>
      </c>
      <c r="B12" s="4" t="s">
        <v>385</v>
      </c>
      <c r="C12" s="4" t="s">
        <v>386</v>
      </c>
      <c r="D12" s="4" t="s">
        <v>264</v>
      </c>
      <c r="E12" s="5">
        <v>6584</v>
      </c>
      <c r="F12" s="6">
        <v>117.91614800000001</v>
      </c>
      <c r="G12" s="7">
        <v>3.0701280000000001E-2</v>
      </c>
      <c r="H12" s="53"/>
    </row>
    <row r="13" spans="1:14" ht="17.100000000000001" customHeight="1" x14ac:dyDescent="0.2">
      <c r="A13" s="3">
        <v>7</v>
      </c>
      <c r="B13" s="4" t="s">
        <v>410</v>
      </c>
      <c r="C13" s="4" t="s">
        <v>411</v>
      </c>
      <c r="D13" s="4" t="s">
        <v>397</v>
      </c>
      <c r="E13" s="5">
        <v>6199</v>
      </c>
      <c r="F13" s="6">
        <v>115.9120015</v>
      </c>
      <c r="G13" s="7">
        <v>3.017947E-2</v>
      </c>
      <c r="H13" s="53"/>
    </row>
    <row r="14" spans="1:14" ht="17.100000000000001" customHeight="1" x14ac:dyDescent="0.2">
      <c r="A14" s="3">
        <v>8</v>
      </c>
      <c r="B14" s="4" t="s">
        <v>389</v>
      </c>
      <c r="C14" s="4" t="s">
        <v>390</v>
      </c>
      <c r="D14" s="4" t="s">
        <v>209</v>
      </c>
      <c r="E14" s="5">
        <v>32339</v>
      </c>
      <c r="F14" s="6">
        <v>113.50989</v>
      </c>
      <c r="G14" s="7">
        <v>2.955404E-2</v>
      </c>
      <c r="H14" s="53"/>
      <c r="J14" s="142" t="s">
        <v>1039</v>
      </c>
    </row>
    <row r="15" spans="1:14" ht="17.100000000000001" customHeight="1" x14ac:dyDescent="0.2">
      <c r="A15" s="3">
        <v>9</v>
      </c>
      <c r="B15" s="4" t="s">
        <v>387</v>
      </c>
      <c r="C15" s="4" t="s">
        <v>388</v>
      </c>
      <c r="D15" s="4" t="s">
        <v>31</v>
      </c>
      <c r="E15" s="5">
        <v>8741</v>
      </c>
      <c r="F15" s="6">
        <v>103.52840399999999</v>
      </c>
      <c r="G15" s="7">
        <v>2.695521E-2</v>
      </c>
      <c r="H15" s="53"/>
    </row>
    <row r="16" spans="1:14" ht="17.100000000000001" customHeight="1" x14ac:dyDescent="0.2">
      <c r="A16" s="3">
        <v>10</v>
      </c>
      <c r="B16" s="4" t="s">
        <v>98</v>
      </c>
      <c r="C16" s="4" t="s">
        <v>99</v>
      </c>
      <c r="D16" s="4" t="s">
        <v>92</v>
      </c>
      <c r="E16" s="5">
        <v>17357</v>
      </c>
      <c r="F16" s="6">
        <v>102.892296</v>
      </c>
      <c r="G16" s="7">
        <v>2.6789589999999999E-2</v>
      </c>
      <c r="H16" s="53"/>
    </row>
    <row r="17" spans="1:8" ht="29.1" customHeight="1" x14ac:dyDescent="0.2">
      <c r="A17" s="3">
        <v>11</v>
      </c>
      <c r="B17" s="4" t="s">
        <v>199</v>
      </c>
      <c r="C17" s="4" t="s">
        <v>200</v>
      </c>
      <c r="D17" s="4" t="s">
        <v>201</v>
      </c>
      <c r="E17" s="5">
        <v>2136</v>
      </c>
      <c r="F17" s="6">
        <v>98.359595999999996</v>
      </c>
      <c r="G17" s="7">
        <v>2.5609429999999999E-2</v>
      </c>
      <c r="H17" s="53"/>
    </row>
    <row r="18" spans="1:8" ht="17.100000000000001" customHeight="1" x14ac:dyDescent="0.2">
      <c r="A18" s="3">
        <v>12</v>
      </c>
      <c r="B18" s="4" t="s">
        <v>404</v>
      </c>
      <c r="C18" s="4" t="s">
        <v>405</v>
      </c>
      <c r="D18" s="4" t="s">
        <v>238</v>
      </c>
      <c r="E18" s="5">
        <v>37340</v>
      </c>
      <c r="F18" s="6">
        <v>93.630049999999997</v>
      </c>
      <c r="G18" s="7">
        <v>2.437802E-2</v>
      </c>
      <c r="H18" s="53"/>
    </row>
    <row r="19" spans="1:8" ht="17.100000000000001" customHeight="1" x14ac:dyDescent="0.2">
      <c r="A19" s="3">
        <v>13</v>
      </c>
      <c r="B19" s="4" t="s">
        <v>393</v>
      </c>
      <c r="C19" s="4" t="s">
        <v>394</v>
      </c>
      <c r="D19" s="4" t="s">
        <v>229</v>
      </c>
      <c r="E19" s="5">
        <v>6371</v>
      </c>
      <c r="F19" s="6">
        <v>90.809048500000003</v>
      </c>
      <c r="G19" s="7">
        <v>2.3643529999999999E-2</v>
      </c>
      <c r="H19" s="53"/>
    </row>
    <row r="20" spans="1:8" ht="17.100000000000001" customHeight="1" x14ac:dyDescent="0.2">
      <c r="A20" s="3">
        <v>14</v>
      </c>
      <c r="B20" s="4" t="s">
        <v>398</v>
      </c>
      <c r="C20" s="4" t="s">
        <v>399</v>
      </c>
      <c r="D20" s="4" t="s">
        <v>229</v>
      </c>
      <c r="E20" s="5">
        <v>9506</v>
      </c>
      <c r="F20" s="6">
        <v>89.190044999999998</v>
      </c>
      <c r="G20" s="7">
        <v>2.3222E-2</v>
      </c>
      <c r="H20" s="53"/>
    </row>
    <row r="21" spans="1:8" ht="17.100000000000001" customHeight="1" x14ac:dyDescent="0.2">
      <c r="A21" s="3">
        <v>15</v>
      </c>
      <c r="B21" s="4" t="s">
        <v>215</v>
      </c>
      <c r="C21" s="4" t="s">
        <v>216</v>
      </c>
      <c r="D21" s="4" t="s">
        <v>905</v>
      </c>
      <c r="E21" s="5">
        <v>1654</v>
      </c>
      <c r="F21" s="6">
        <v>88.831378000000001</v>
      </c>
      <c r="G21" s="7">
        <v>2.3128610000000001E-2</v>
      </c>
      <c r="H21" s="53"/>
    </row>
    <row r="22" spans="1:8" ht="17.100000000000001" customHeight="1" x14ac:dyDescent="0.2">
      <c r="A22" s="3">
        <v>16</v>
      </c>
      <c r="B22" s="4" t="s">
        <v>391</v>
      </c>
      <c r="C22" s="4" t="s">
        <v>392</v>
      </c>
      <c r="D22" s="4" t="s">
        <v>130</v>
      </c>
      <c r="E22" s="5">
        <v>11039</v>
      </c>
      <c r="F22" s="6">
        <v>82.941526499999995</v>
      </c>
      <c r="G22" s="7">
        <v>2.1595099999999999E-2</v>
      </c>
      <c r="H22" s="53"/>
    </row>
    <row r="23" spans="1:8" ht="29.1" customHeight="1" x14ac:dyDescent="0.2">
      <c r="A23" s="3">
        <v>17</v>
      </c>
      <c r="B23" s="4" t="s">
        <v>416</v>
      </c>
      <c r="C23" s="4" t="s">
        <v>417</v>
      </c>
      <c r="D23" s="4" t="s">
        <v>56</v>
      </c>
      <c r="E23" s="5">
        <v>2903</v>
      </c>
      <c r="F23" s="6">
        <v>81.983622999999994</v>
      </c>
      <c r="G23" s="7">
        <v>2.1345699999999999E-2</v>
      </c>
      <c r="H23" s="53"/>
    </row>
    <row r="24" spans="1:8" ht="17.100000000000001" customHeight="1" x14ac:dyDescent="0.2">
      <c r="A24" s="3">
        <v>18</v>
      </c>
      <c r="B24" s="4" t="s">
        <v>395</v>
      </c>
      <c r="C24" s="4" t="s">
        <v>396</v>
      </c>
      <c r="D24" s="4" t="s">
        <v>397</v>
      </c>
      <c r="E24" s="5">
        <v>4750</v>
      </c>
      <c r="F24" s="6">
        <v>80.191874999999996</v>
      </c>
      <c r="G24" s="7">
        <v>2.0879189999999999E-2</v>
      </c>
      <c r="H24" s="53"/>
    </row>
    <row r="25" spans="1:8" ht="29.1" customHeight="1" x14ac:dyDescent="0.2">
      <c r="A25" s="3">
        <v>19</v>
      </c>
      <c r="B25" s="4" t="s">
        <v>96</v>
      </c>
      <c r="C25" s="4" t="s">
        <v>97</v>
      </c>
      <c r="D25" s="4" t="s">
        <v>38</v>
      </c>
      <c r="E25" s="5">
        <v>3200</v>
      </c>
      <c r="F25" s="6">
        <v>78.8</v>
      </c>
      <c r="G25" s="7">
        <v>2.051679E-2</v>
      </c>
      <c r="H25" s="53"/>
    </row>
    <row r="26" spans="1:8" ht="17.100000000000001" customHeight="1" x14ac:dyDescent="0.2">
      <c r="A26" s="3">
        <v>20</v>
      </c>
      <c r="B26" s="4" t="s">
        <v>437</v>
      </c>
      <c r="C26" s="4" t="s">
        <v>438</v>
      </c>
      <c r="D26" s="4" t="s">
        <v>229</v>
      </c>
      <c r="E26" s="5">
        <v>32152</v>
      </c>
      <c r="F26" s="6">
        <v>77.614928000000006</v>
      </c>
      <c r="G26" s="7">
        <v>2.0208239999999999E-2</v>
      </c>
      <c r="H26" s="53"/>
    </row>
    <row r="27" spans="1:8" ht="17.100000000000001" customHeight="1" x14ac:dyDescent="0.2">
      <c r="A27" s="3">
        <v>21</v>
      </c>
      <c r="B27" s="4" t="s">
        <v>406</v>
      </c>
      <c r="C27" s="4" t="s">
        <v>407</v>
      </c>
      <c r="D27" s="4" t="s">
        <v>130</v>
      </c>
      <c r="E27" s="5">
        <v>62770</v>
      </c>
      <c r="F27" s="6">
        <v>76.422475000000006</v>
      </c>
      <c r="G27" s="7">
        <v>1.9897769999999999E-2</v>
      </c>
      <c r="H27" s="53"/>
    </row>
    <row r="28" spans="1:8" ht="29.1" customHeight="1" x14ac:dyDescent="0.2">
      <c r="A28" s="3">
        <v>22</v>
      </c>
      <c r="B28" s="4" t="s">
        <v>102</v>
      </c>
      <c r="C28" s="4" t="s">
        <v>103</v>
      </c>
      <c r="D28" s="4" t="s">
        <v>25</v>
      </c>
      <c r="E28" s="5">
        <v>2267</v>
      </c>
      <c r="F28" s="6">
        <v>74.713519000000005</v>
      </c>
      <c r="G28" s="7">
        <v>1.9452810000000001E-2</v>
      </c>
      <c r="H28" s="53"/>
    </row>
    <row r="29" spans="1:8" ht="17.100000000000001" customHeight="1" x14ac:dyDescent="0.2">
      <c r="A29" s="3">
        <v>23</v>
      </c>
      <c r="B29" s="4" t="s">
        <v>418</v>
      </c>
      <c r="C29" s="4" t="s">
        <v>419</v>
      </c>
      <c r="D29" s="4" t="s">
        <v>73</v>
      </c>
      <c r="E29" s="5">
        <v>10705</v>
      </c>
      <c r="F29" s="6">
        <v>73.323897500000001</v>
      </c>
      <c r="G29" s="7">
        <v>1.9091E-2</v>
      </c>
      <c r="H29" s="53"/>
    </row>
    <row r="30" spans="1:8" ht="17.100000000000001" customHeight="1" x14ac:dyDescent="0.2">
      <c r="A30" s="3">
        <v>24</v>
      </c>
      <c r="B30" s="4" t="s">
        <v>427</v>
      </c>
      <c r="C30" s="4" t="s">
        <v>428</v>
      </c>
      <c r="D30" s="4" t="s">
        <v>905</v>
      </c>
      <c r="E30" s="5">
        <v>6048</v>
      </c>
      <c r="F30" s="6">
        <v>71.118431999999999</v>
      </c>
      <c r="G30" s="7">
        <v>1.851678E-2</v>
      </c>
      <c r="H30" s="53"/>
    </row>
    <row r="31" spans="1:8" ht="17.100000000000001" customHeight="1" x14ac:dyDescent="0.2">
      <c r="A31" s="3">
        <v>25</v>
      </c>
      <c r="B31" s="4" t="s">
        <v>482</v>
      </c>
      <c r="C31" s="4" t="s">
        <v>483</v>
      </c>
      <c r="D31" s="4" t="s">
        <v>13</v>
      </c>
      <c r="E31" s="5">
        <v>10323</v>
      </c>
      <c r="F31" s="6">
        <v>68.178253499999997</v>
      </c>
      <c r="G31" s="7">
        <v>1.7751260000000001E-2</v>
      </c>
      <c r="H31" s="53"/>
    </row>
    <row r="32" spans="1:8" ht="17.100000000000001" customHeight="1" x14ac:dyDescent="0.2">
      <c r="A32" s="3">
        <v>26</v>
      </c>
      <c r="B32" s="4" t="s">
        <v>400</v>
      </c>
      <c r="C32" s="4" t="s">
        <v>401</v>
      </c>
      <c r="D32" s="4" t="s">
        <v>73</v>
      </c>
      <c r="E32" s="5">
        <v>5457</v>
      </c>
      <c r="F32" s="6">
        <v>66.155210999999994</v>
      </c>
      <c r="G32" s="7">
        <v>1.7224529999999998E-2</v>
      </c>
      <c r="H32" s="53"/>
    </row>
    <row r="33" spans="1:8" ht="29.1" customHeight="1" x14ac:dyDescent="0.2">
      <c r="A33" s="3">
        <v>27</v>
      </c>
      <c r="B33" s="4" t="s">
        <v>420</v>
      </c>
      <c r="C33" s="4" t="s">
        <v>421</v>
      </c>
      <c r="D33" s="4" t="s">
        <v>422</v>
      </c>
      <c r="E33" s="5">
        <v>39723</v>
      </c>
      <c r="F33" s="6">
        <v>61.312450499999997</v>
      </c>
      <c r="G33" s="7">
        <v>1.5963640000000001E-2</v>
      </c>
      <c r="H33" s="53"/>
    </row>
    <row r="34" spans="1:8" ht="29.1" customHeight="1" x14ac:dyDescent="0.2">
      <c r="A34" s="3">
        <v>28</v>
      </c>
      <c r="B34" s="4" t="s">
        <v>269</v>
      </c>
      <c r="C34" s="4" t="s">
        <v>270</v>
      </c>
      <c r="D34" s="4" t="s">
        <v>224</v>
      </c>
      <c r="E34" s="5">
        <v>14944</v>
      </c>
      <c r="F34" s="6">
        <v>59.716223999999997</v>
      </c>
      <c r="G34" s="7">
        <v>1.5548040000000001E-2</v>
      </c>
      <c r="H34" s="53"/>
    </row>
    <row r="35" spans="1:8" ht="17.100000000000001" customHeight="1" x14ac:dyDescent="0.2">
      <c r="A35" s="3">
        <v>29</v>
      </c>
      <c r="B35" s="4" t="s">
        <v>433</v>
      </c>
      <c r="C35" s="4" t="s">
        <v>434</v>
      </c>
      <c r="D35" s="4" t="s">
        <v>73</v>
      </c>
      <c r="E35" s="5">
        <v>11129</v>
      </c>
      <c r="F35" s="6">
        <v>58.900232500000001</v>
      </c>
      <c r="G35" s="7">
        <v>1.533558E-2</v>
      </c>
      <c r="H35" s="53"/>
    </row>
    <row r="36" spans="1:8" ht="17.100000000000001" customHeight="1" x14ac:dyDescent="0.2">
      <c r="A36" s="3">
        <v>30</v>
      </c>
      <c r="B36" s="4" t="s">
        <v>423</v>
      </c>
      <c r="C36" s="4" t="s">
        <v>424</v>
      </c>
      <c r="D36" s="4" t="s">
        <v>906</v>
      </c>
      <c r="E36" s="5">
        <v>5426</v>
      </c>
      <c r="F36" s="6">
        <v>58.505845000000001</v>
      </c>
      <c r="G36" s="7">
        <v>1.5232900000000001E-2</v>
      </c>
      <c r="H36" s="53"/>
    </row>
    <row r="37" spans="1:8" ht="29.1" customHeight="1" x14ac:dyDescent="0.2">
      <c r="A37" s="3">
        <v>31</v>
      </c>
      <c r="B37" s="4" t="s">
        <v>429</v>
      </c>
      <c r="C37" s="4" t="s">
        <v>430</v>
      </c>
      <c r="D37" s="4" t="s">
        <v>224</v>
      </c>
      <c r="E37" s="5">
        <v>17769</v>
      </c>
      <c r="F37" s="6">
        <v>56.372152499999999</v>
      </c>
      <c r="G37" s="7">
        <v>1.467736E-2</v>
      </c>
      <c r="H37" s="53"/>
    </row>
    <row r="38" spans="1:8" ht="29.1" customHeight="1" x14ac:dyDescent="0.2">
      <c r="A38" s="3">
        <v>32</v>
      </c>
      <c r="B38" s="4" t="s">
        <v>475</v>
      </c>
      <c r="C38" s="4" t="s">
        <v>476</v>
      </c>
      <c r="D38" s="4" t="s">
        <v>469</v>
      </c>
      <c r="E38" s="5">
        <v>9296</v>
      </c>
      <c r="F38" s="6">
        <v>56.333759999999998</v>
      </c>
      <c r="G38" s="7">
        <v>1.4667360000000001E-2</v>
      </c>
      <c r="H38" s="53"/>
    </row>
    <row r="39" spans="1:8" ht="17.100000000000001" customHeight="1" x14ac:dyDescent="0.2">
      <c r="A39" s="3">
        <v>33</v>
      </c>
      <c r="B39" s="4" t="s">
        <v>439</v>
      </c>
      <c r="C39" s="4" t="s">
        <v>440</v>
      </c>
      <c r="D39" s="4" t="s">
        <v>130</v>
      </c>
      <c r="E39" s="5">
        <v>6413</v>
      </c>
      <c r="F39" s="6">
        <v>53.500452500000002</v>
      </c>
      <c r="G39" s="7">
        <v>1.392966E-2</v>
      </c>
      <c r="H39" s="53"/>
    </row>
    <row r="40" spans="1:8" ht="29.1" customHeight="1" x14ac:dyDescent="0.2">
      <c r="A40" s="3">
        <v>34</v>
      </c>
      <c r="B40" s="4" t="s">
        <v>402</v>
      </c>
      <c r="C40" s="4" t="s">
        <v>403</v>
      </c>
      <c r="D40" s="4" t="s">
        <v>224</v>
      </c>
      <c r="E40" s="5">
        <v>1825</v>
      </c>
      <c r="F40" s="6">
        <v>50.525125000000003</v>
      </c>
      <c r="G40" s="7">
        <v>1.315499E-2</v>
      </c>
      <c r="H40" s="53"/>
    </row>
    <row r="41" spans="1:8" ht="17.100000000000001" customHeight="1" x14ac:dyDescent="0.2">
      <c r="A41" s="3">
        <v>35</v>
      </c>
      <c r="B41" s="4" t="s">
        <v>408</v>
      </c>
      <c r="C41" s="4" t="s">
        <v>409</v>
      </c>
      <c r="D41" s="4" t="s">
        <v>13</v>
      </c>
      <c r="E41" s="5">
        <v>48779</v>
      </c>
      <c r="F41" s="6">
        <v>49.5350745</v>
      </c>
      <c r="G41" s="7">
        <v>1.2897219999999999E-2</v>
      </c>
      <c r="H41" s="53"/>
    </row>
    <row r="42" spans="1:8" ht="29.1" customHeight="1" x14ac:dyDescent="0.2">
      <c r="A42" s="3">
        <v>36</v>
      </c>
      <c r="B42" s="4" t="s">
        <v>477</v>
      </c>
      <c r="C42" s="4" t="s">
        <v>478</v>
      </c>
      <c r="D42" s="4" t="s">
        <v>38</v>
      </c>
      <c r="E42" s="5">
        <v>11833</v>
      </c>
      <c r="F42" s="6">
        <v>46.870513000000003</v>
      </c>
      <c r="G42" s="7">
        <v>1.2203459999999999E-2</v>
      </c>
      <c r="H42" s="53"/>
    </row>
    <row r="43" spans="1:8" ht="29.1" customHeight="1" x14ac:dyDescent="0.2">
      <c r="A43" s="3">
        <v>37</v>
      </c>
      <c r="B43" s="4" t="s">
        <v>479</v>
      </c>
      <c r="C43" s="4" t="s">
        <v>480</v>
      </c>
      <c r="D43" s="4" t="s">
        <v>481</v>
      </c>
      <c r="E43" s="5">
        <v>9760</v>
      </c>
      <c r="F43" s="6">
        <v>46.27704</v>
      </c>
      <c r="G43" s="7">
        <v>1.2048939999999999E-2</v>
      </c>
      <c r="H43" s="53"/>
    </row>
    <row r="44" spans="1:8" ht="17.100000000000001" customHeight="1" x14ac:dyDescent="0.2">
      <c r="A44" s="3">
        <v>38</v>
      </c>
      <c r="B44" s="4" t="s">
        <v>431</v>
      </c>
      <c r="C44" s="4" t="s">
        <v>432</v>
      </c>
      <c r="D44" s="4" t="s">
        <v>906</v>
      </c>
      <c r="E44" s="5">
        <v>2788</v>
      </c>
      <c r="F44" s="6">
        <v>45.649318000000001</v>
      </c>
      <c r="G44" s="7">
        <v>1.18855E-2</v>
      </c>
      <c r="H44" s="53"/>
    </row>
    <row r="45" spans="1:8" ht="17.100000000000001" customHeight="1" x14ac:dyDescent="0.2">
      <c r="A45" s="3">
        <v>39</v>
      </c>
      <c r="B45" s="4" t="s">
        <v>457</v>
      </c>
      <c r="C45" s="4" t="s">
        <v>458</v>
      </c>
      <c r="D45" s="4" t="s">
        <v>28</v>
      </c>
      <c r="E45" s="5">
        <v>12704</v>
      </c>
      <c r="F45" s="6">
        <v>41.961312</v>
      </c>
      <c r="G45" s="7">
        <v>1.0925270000000001E-2</v>
      </c>
      <c r="H45" s="53"/>
    </row>
    <row r="46" spans="1:8" ht="17.100000000000001" customHeight="1" x14ac:dyDescent="0.2">
      <c r="A46" s="3">
        <v>40</v>
      </c>
      <c r="B46" s="4" t="s">
        <v>247</v>
      </c>
      <c r="C46" s="4" t="s">
        <v>248</v>
      </c>
      <c r="D46" s="4" t="s">
        <v>87</v>
      </c>
      <c r="E46" s="5">
        <v>707</v>
      </c>
      <c r="F46" s="6">
        <v>36.631437499999997</v>
      </c>
      <c r="G46" s="7">
        <v>9.5375600000000005E-3</v>
      </c>
      <c r="H46" s="53"/>
    </row>
    <row r="47" spans="1:8" ht="17.100000000000001" customHeight="1" x14ac:dyDescent="0.2">
      <c r="A47" s="3">
        <v>41</v>
      </c>
      <c r="B47" s="4" t="s">
        <v>447</v>
      </c>
      <c r="C47" s="4" t="s">
        <v>448</v>
      </c>
      <c r="D47" s="4" t="s">
        <v>31</v>
      </c>
      <c r="E47" s="5">
        <v>4646</v>
      </c>
      <c r="F47" s="6">
        <v>33.495336999999999</v>
      </c>
      <c r="G47" s="7">
        <v>8.7210299999999994E-3</v>
      </c>
      <c r="H47" s="53"/>
    </row>
    <row r="48" spans="1:8" ht="29.1" customHeight="1" x14ac:dyDescent="0.2">
      <c r="A48" s="3">
        <v>42</v>
      </c>
      <c r="B48" s="4" t="s">
        <v>487</v>
      </c>
      <c r="C48" s="4" t="s">
        <v>488</v>
      </c>
      <c r="D48" s="4" t="s">
        <v>73</v>
      </c>
      <c r="E48" s="5">
        <v>2285</v>
      </c>
      <c r="F48" s="6">
        <v>28.779575000000001</v>
      </c>
      <c r="G48" s="7">
        <v>7.4932000000000002E-3</v>
      </c>
      <c r="H48" s="53"/>
    </row>
    <row r="49" spans="1:8" ht="17.100000000000001" customHeight="1" x14ac:dyDescent="0.2">
      <c r="A49" s="3">
        <v>43</v>
      </c>
      <c r="B49" s="4" t="s">
        <v>489</v>
      </c>
      <c r="C49" s="4" t="s">
        <v>490</v>
      </c>
      <c r="D49" s="4" t="s">
        <v>73</v>
      </c>
      <c r="E49" s="5">
        <v>975</v>
      </c>
      <c r="F49" s="6">
        <v>28.272562499999999</v>
      </c>
      <c r="G49" s="7">
        <v>7.3612E-3</v>
      </c>
      <c r="H49" s="53"/>
    </row>
    <row r="50" spans="1:8" ht="29.1" customHeight="1" x14ac:dyDescent="0.2">
      <c r="A50" s="3">
        <v>44</v>
      </c>
      <c r="B50" s="4" t="s">
        <v>435</v>
      </c>
      <c r="C50" s="4" t="s">
        <v>436</v>
      </c>
      <c r="D50" s="4" t="s">
        <v>214</v>
      </c>
      <c r="E50" s="5">
        <v>5842</v>
      </c>
      <c r="F50" s="6">
        <v>27.915997000000001</v>
      </c>
      <c r="G50" s="7">
        <v>7.2683599999999998E-3</v>
      </c>
      <c r="H50" s="53"/>
    </row>
    <row r="51" spans="1:8" ht="29.1" customHeight="1" x14ac:dyDescent="0.2">
      <c r="A51" s="3">
        <v>45</v>
      </c>
      <c r="B51" s="4" t="s">
        <v>449</v>
      </c>
      <c r="C51" s="4" t="s">
        <v>450</v>
      </c>
      <c r="D51" s="4" t="s">
        <v>224</v>
      </c>
      <c r="E51" s="5">
        <v>546</v>
      </c>
      <c r="F51" s="6">
        <v>26.6175</v>
      </c>
      <c r="G51" s="7">
        <v>6.9302799999999996E-3</v>
      </c>
      <c r="H51" s="53"/>
    </row>
    <row r="52" spans="1:8" ht="17.100000000000001" customHeight="1" x14ac:dyDescent="0.2">
      <c r="A52" s="3">
        <v>46</v>
      </c>
      <c r="B52" s="4" t="s">
        <v>453</v>
      </c>
      <c r="C52" s="4" t="s">
        <v>454</v>
      </c>
      <c r="D52" s="4" t="s">
        <v>31</v>
      </c>
      <c r="E52" s="5">
        <v>2302</v>
      </c>
      <c r="F52" s="6">
        <v>21.239402999999999</v>
      </c>
      <c r="G52" s="7">
        <v>5.5300100000000001E-3</v>
      </c>
      <c r="H52" s="53"/>
    </row>
    <row r="53" spans="1:8" ht="17.100000000000001" customHeight="1" x14ac:dyDescent="0.2">
      <c r="A53" s="3">
        <v>47</v>
      </c>
      <c r="B53" s="4" t="s">
        <v>451</v>
      </c>
      <c r="C53" s="4" t="s">
        <v>452</v>
      </c>
      <c r="D53" s="4" t="s">
        <v>92</v>
      </c>
      <c r="E53" s="5">
        <v>22625</v>
      </c>
      <c r="F53" s="6">
        <v>20.8715625</v>
      </c>
      <c r="G53" s="7">
        <v>5.43423E-3</v>
      </c>
      <c r="H53" s="53"/>
    </row>
    <row r="54" spans="1:8" ht="29.1" customHeight="1" x14ac:dyDescent="0.2">
      <c r="A54" s="3">
        <v>48</v>
      </c>
      <c r="B54" s="4" t="s">
        <v>484</v>
      </c>
      <c r="C54" s="4" t="s">
        <v>485</v>
      </c>
      <c r="D54" s="4" t="s">
        <v>486</v>
      </c>
      <c r="E54" s="5">
        <v>3612</v>
      </c>
      <c r="F54" s="6">
        <v>15.957815999999999</v>
      </c>
      <c r="G54" s="7">
        <v>4.1548599999999998E-3</v>
      </c>
      <c r="H54" s="53"/>
    </row>
    <row r="55" spans="1:8" ht="29.1" customHeight="1" x14ac:dyDescent="0.2">
      <c r="A55" s="3">
        <v>49</v>
      </c>
      <c r="B55" s="4" t="s">
        <v>376</v>
      </c>
      <c r="C55" s="4" t="s">
        <v>377</v>
      </c>
      <c r="D55" s="4" t="s">
        <v>73</v>
      </c>
      <c r="E55" s="5">
        <v>4172</v>
      </c>
      <c r="F55" s="6">
        <v>12.518086</v>
      </c>
      <c r="G55" s="7">
        <v>3.2592799999999998E-3</v>
      </c>
      <c r="H55" s="53"/>
    </row>
    <row r="56" spans="1:8" ht="29.1" customHeight="1" x14ac:dyDescent="0.2">
      <c r="A56" s="3">
        <v>50</v>
      </c>
      <c r="B56" s="4" t="s">
        <v>455</v>
      </c>
      <c r="C56" s="4" t="s">
        <v>456</v>
      </c>
      <c r="D56" s="4" t="s">
        <v>201</v>
      </c>
      <c r="E56" s="5">
        <v>1792</v>
      </c>
      <c r="F56" s="6">
        <v>9.0908160000000002</v>
      </c>
      <c r="G56" s="7">
        <v>2.3669300000000002E-3</v>
      </c>
      <c r="H56" s="53"/>
    </row>
    <row r="57" spans="1:8" ht="17.100000000000001" customHeight="1" x14ac:dyDescent="0.2">
      <c r="A57" s="3">
        <v>51</v>
      </c>
      <c r="B57" s="4" t="s">
        <v>954</v>
      </c>
      <c r="C57" s="4" t="s">
        <v>299</v>
      </c>
      <c r="D57" s="4" t="s">
        <v>130</v>
      </c>
      <c r="E57" s="5">
        <v>707</v>
      </c>
      <c r="F57" s="6">
        <v>7.2205909999999998</v>
      </c>
      <c r="G57" s="7">
        <v>1.87999E-3</v>
      </c>
      <c r="H57" s="53"/>
    </row>
    <row r="58" spans="1:8" ht="14.1" customHeight="1" x14ac:dyDescent="0.2">
      <c r="A58" s="1"/>
      <c r="B58" s="1"/>
      <c r="C58" s="2" t="s">
        <v>144</v>
      </c>
      <c r="D58" s="1"/>
      <c r="E58" s="1" t="s">
        <v>145</v>
      </c>
      <c r="F58" s="9">
        <v>3638.8529515</v>
      </c>
      <c r="G58" s="10">
        <v>0.94743129999999998</v>
      </c>
      <c r="H58" s="53"/>
    </row>
    <row r="59" spans="1:8" ht="14.1" customHeight="1" x14ac:dyDescent="0.2">
      <c r="A59" s="1"/>
      <c r="B59" s="1"/>
      <c r="C59" s="11"/>
      <c r="D59" s="1"/>
      <c r="E59" s="1"/>
      <c r="F59" s="12"/>
      <c r="G59" s="12"/>
      <c r="H59" s="53"/>
    </row>
    <row r="60" spans="1:8" ht="14.1" customHeight="1" x14ac:dyDescent="0.2">
      <c r="A60" s="1"/>
      <c r="B60" s="1"/>
      <c r="C60" s="2" t="s">
        <v>146</v>
      </c>
      <c r="D60" s="1"/>
      <c r="E60" s="1"/>
      <c r="F60" s="1"/>
      <c r="G60" s="1"/>
      <c r="H60" s="53"/>
    </row>
    <row r="61" spans="1:8" ht="14.1" customHeight="1" x14ac:dyDescent="0.2">
      <c r="A61" s="1"/>
      <c r="B61" s="1"/>
      <c r="C61" s="2" t="s">
        <v>144</v>
      </c>
      <c r="D61" s="1"/>
      <c r="E61" s="1" t="s">
        <v>145</v>
      </c>
      <c r="F61" s="13" t="s">
        <v>147</v>
      </c>
      <c r="G61" s="10">
        <v>0</v>
      </c>
      <c r="H61" s="53"/>
    </row>
    <row r="62" spans="1:8" ht="14.1" customHeight="1" x14ac:dyDescent="0.2">
      <c r="A62" s="1"/>
      <c r="B62" s="1"/>
      <c r="C62" s="11"/>
      <c r="D62" s="1"/>
      <c r="E62" s="1"/>
      <c r="F62" s="12"/>
      <c r="G62" s="12"/>
      <c r="H62" s="53"/>
    </row>
    <row r="63" spans="1:8" ht="14.1" customHeight="1" x14ac:dyDescent="0.2">
      <c r="A63" s="1"/>
      <c r="B63" s="1"/>
      <c r="C63" s="2" t="s">
        <v>148</v>
      </c>
      <c r="D63" s="1"/>
      <c r="E63" s="1"/>
      <c r="F63" s="1"/>
      <c r="G63" s="1"/>
      <c r="H63" s="53"/>
    </row>
    <row r="64" spans="1:8" ht="14.1" customHeight="1" x14ac:dyDescent="0.2">
      <c r="A64" s="1"/>
      <c r="B64" s="1"/>
      <c r="C64" s="2" t="s">
        <v>144</v>
      </c>
      <c r="D64" s="1"/>
      <c r="E64" s="1" t="s">
        <v>145</v>
      </c>
      <c r="F64" s="13" t="s">
        <v>147</v>
      </c>
      <c r="G64" s="10">
        <v>0</v>
      </c>
      <c r="H64" s="53"/>
    </row>
    <row r="65" spans="1:8" ht="14.1" customHeight="1" x14ac:dyDescent="0.2">
      <c r="A65" s="1"/>
      <c r="B65" s="1"/>
      <c r="C65" s="11"/>
      <c r="D65" s="1"/>
      <c r="E65" s="1"/>
      <c r="F65" s="12"/>
      <c r="G65" s="12"/>
      <c r="H65" s="53"/>
    </row>
    <row r="66" spans="1:8" ht="14.1" customHeight="1" x14ac:dyDescent="0.2">
      <c r="A66" s="1"/>
      <c r="B66" s="1"/>
      <c r="C66" s="2" t="s">
        <v>149</v>
      </c>
      <c r="D66" s="1"/>
      <c r="E66" s="1"/>
      <c r="F66" s="1"/>
      <c r="G66" s="1"/>
      <c r="H66" s="53"/>
    </row>
    <row r="67" spans="1:8" ht="29.1" customHeight="1" x14ac:dyDescent="0.2">
      <c r="A67" s="3">
        <v>1</v>
      </c>
      <c r="B67" s="4" t="s">
        <v>307</v>
      </c>
      <c r="C67" s="4" t="s">
        <v>964</v>
      </c>
      <c r="D67" s="4" t="s">
        <v>87</v>
      </c>
      <c r="E67" s="5">
        <v>82012</v>
      </c>
      <c r="F67" s="6">
        <v>8.4472360000000002</v>
      </c>
      <c r="G67" s="7">
        <v>2.19937E-3</v>
      </c>
      <c r="H67" s="53"/>
    </row>
    <row r="68" spans="1:8" ht="29.1" customHeight="1" x14ac:dyDescent="0.2">
      <c r="A68" s="3">
        <v>2</v>
      </c>
      <c r="B68" s="4" t="s">
        <v>955</v>
      </c>
      <c r="C68" s="4" t="s">
        <v>1165</v>
      </c>
      <c r="D68" s="4" t="s">
        <v>130</v>
      </c>
      <c r="E68" s="5">
        <v>82</v>
      </c>
      <c r="F68" s="6">
        <v>8.2000819999999992E-3</v>
      </c>
      <c r="G68" s="7" t="s">
        <v>143</v>
      </c>
      <c r="H68" s="53"/>
    </row>
    <row r="69" spans="1:8" ht="14.1" customHeight="1" x14ac:dyDescent="0.2">
      <c r="A69" s="1"/>
      <c r="B69" s="1"/>
      <c r="C69" s="2" t="s">
        <v>144</v>
      </c>
      <c r="D69" s="1"/>
      <c r="E69" s="1" t="s">
        <v>145</v>
      </c>
      <c r="F69" s="9">
        <v>8.4554360820000003</v>
      </c>
      <c r="G69" s="10">
        <v>2.2015099999999998E-3</v>
      </c>
      <c r="H69" s="53"/>
    </row>
    <row r="70" spans="1:8" ht="14.1" customHeight="1" x14ac:dyDescent="0.2">
      <c r="A70" s="1"/>
      <c r="B70" s="1"/>
      <c r="C70" s="11"/>
      <c r="D70" s="1"/>
      <c r="E70" s="1"/>
      <c r="F70" s="12"/>
      <c r="G70" s="12"/>
      <c r="H70" s="53"/>
    </row>
    <row r="71" spans="1:8" ht="14.1" customHeight="1" x14ac:dyDescent="0.2">
      <c r="A71" s="1"/>
      <c r="B71" s="1"/>
      <c r="C71" s="2" t="s">
        <v>150</v>
      </c>
      <c r="D71" s="1"/>
      <c r="E71" s="1"/>
      <c r="F71" s="12"/>
      <c r="G71" s="12"/>
      <c r="H71" s="53"/>
    </row>
    <row r="72" spans="1:8" ht="14.1" customHeight="1" x14ac:dyDescent="0.2">
      <c r="A72" s="1"/>
      <c r="B72" s="1"/>
      <c r="C72" s="2" t="s">
        <v>144</v>
      </c>
      <c r="D72" s="1"/>
      <c r="E72" s="1" t="s">
        <v>145</v>
      </c>
      <c r="F72" s="13" t="s">
        <v>147</v>
      </c>
      <c r="G72" s="10">
        <v>0</v>
      </c>
      <c r="H72" s="53"/>
    </row>
    <row r="73" spans="1:8" ht="14.1" customHeight="1" x14ac:dyDescent="0.2">
      <c r="A73" s="1"/>
      <c r="B73" s="1"/>
      <c r="C73" s="11"/>
      <c r="D73" s="1"/>
      <c r="E73" s="1"/>
      <c r="F73" s="12"/>
      <c r="G73" s="12"/>
      <c r="H73" s="53"/>
    </row>
    <row r="74" spans="1:8" ht="14.1" customHeight="1" x14ac:dyDescent="0.2">
      <c r="A74" s="1"/>
      <c r="B74" s="1"/>
      <c r="C74" s="2" t="s">
        <v>151</v>
      </c>
      <c r="D74" s="1"/>
      <c r="E74" s="1"/>
      <c r="F74" s="12"/>
      <c r="G74" s="12"/>
      <c r="H74" s="53"/>
    </row>
    <row r="75" spans="1:8" ht="14.1" customHeight="1" x14ac:dyDescent="0.2">
      <c r="A75" s="1"/>
      <c r="B75" s="1"/>
      <c r="C75" s="2" t="s">
        <v>144</v>
      </c>
      <c r="D75" s="1"/>
      <c r="E75" s="1" t="s">
        <v>145</v>
      </c>
      <c r="F75" s="13" t="s">
        <v>147</v>
      </c>
      <c r="G75" s="10">
        <v>0</v>
      </c>
      <c r="H75" s="53"/>
    </row>
    <row r="76" spans="1:8" ht="14.1" customHeight="1" x14ac:dyDescent="0.2">
      <c r="A76" s="1"/>
      <c r="B76" s="1"/>
      <c r="C76" s="11"/>
      <c r="D76" s="1"/>
      <c r="E76" s="1"/>
      <c r="F76" s="12"/>
      <c r="G76" s="12"/>
      <c r="H76" s="53"/>
    </row>
    <row r="77" spans="1:8" ht="18" customHeight="1" x14ac:dyDescent="0.2">
      <c r="A77" s="1"/>
      <c r="B77" s="1"/>
      <c r="C77" s="2" t="s">
        <v>152</v>
      </c>
      <c r="D77" s="1"/>
      <c r="E77" s="1"/>
      <c r="F77" s="9">
        <v>3647.3083875819998</v>
      </c>
      <c r="G77" s="10">
        <v>0.94963280999999999</v>
      </c>
      <c r="H77" s="53"/>
    </row>
    <row r="78" spans="1:8" ht="14.1" customHeight="1" x14ac:dyDescent="0.2">
      <c r="A78" s="1"/>
      <c r="B78" s="1"/>
      <c r="C78" s="11"/>
      <c r="D78" s="1"/>
      <c r="E78" s="1"/>
      <c r="F78" s="12"/>
      <c r="G78" s="12"/>
      <c r="H78" s="53"/>
    </row>
    <row r="79" spans="1:8" ht="14.1" customHeight="1" x14ac:dyDescent="0.2">
      <c r="A79" s="1"/>
      <c r="B79" s="1"/>
      <c r="C79" s="2" t="s">
        <v>153</v>
      </c>
      <c r="D79" s="1"/>
      <c r="E79" s="1"/>
      <c r="F79" s="12"/>
      <c r="G79" s="12"/>
      <c r="H79" s="53"/>
    </row>
    <row r="80" spans="1:8" ht="24" customHeight="1" x14ac:dyDescent="0.2">
      <c r="A80" s="1"/>
      <c r="B80" s="1"/>
      <c r="C80" s="2" t="s">
        <v>10</v>
      </c>
      <c r="D80" s="1"/>
      <c r="E80" s="1"/>
      <c r="F80" s="12"/>
      <c r="G80" s="12"/>
      <c r="H80" s="53"/>
    </row>
    <row r="81" spans="1:8" ht="14.1" customHeight="1" x14ac:dyDescent="0.2">
      <c r="A81" s="1"/>
      <c r="B81" s="1"/>
      <c r="C81" s="2" t="s">
        <v>144</v>
      </c>
      <c r="D81" s="1"/>
      <c r="E81" s="1" t="s">
        <v>145</v>
      </c>
      <c r="F81" s="13" t="s">
        <v>147</v>
      </c>
      <c r="G81" s="10">
        <v>0</v>
      </c>
      <c r="H81" s="53"/>
    </row>
    <row r="82" spans="1:8" ht="14.1" customHeight="1" x14ac:dyDescent="0.2">
      <c r="A82" s="1"/>
      <c r="B82" s="1"/>
      <c r="C82" s="11"/>
      <c r="D82" s="1"/>
      <c r="E82" s="1"/>
      <c r="F82" s="12"/>
      <c r="G82" s="12"/>
      <c r="H82" s="53"/>
    </row>
    <row r="83" spans="1:8" ht="14.1" customHeight="1" x14ac:dyDescent="0.2">
      <c r="A83" s="1"/>
      <c r="B83" s="1"/>
      <c r="C83" s="2" t="s">
        <v>154</v>
      </c>
      <c r="D83" s="1"/>
      <c r="E83" s="1"/>
      <c r="F83" s="1"/>
      <c r="G83" s="1"/>
      <c r="H83" s="53"/>
    </row>
    <row r="84" spans="1:8" ht="14.1" customHeight="1" x14ac:dyDescent="0.2">
      <c r="A84" s="1"/>
      <c r="B84" s="1"/>
      <c r="C84" s="2" t="s">
        <v>144</v>
      </c>
      <c r="D84" s="1"/>
      <c r="E84" s="1" t="s">
        <v>145</v>
      </c>
      <c r="F84" s="13" t="s">
        <v>147</v>
      </c>
      <c r="G84" s="10">
        <v>0</v>
      </c>
      <c r="H84" s="53"/>
    </row>
    <row r="85" spans="1:8" ht="14.1" customHeight="1" x14ac:dyDescent="0.2">
      <c r="A85" s="1"/>
      <c r="B85" s="1"/>
      <c r="C85" s="11"/>
      <c r="D85" s="1"/>
      <c r="E85" s="1"/>
      <c r="F85" s="12"/>
      <c r="G85" s="12"/>
      <c r="H85" s="53"/>
    </row>
    <row r="86" spans="1:8" ht="14.1" customHeight="1" x14ac:dyDescent="0.2">
      <c r="A86" s="1"/>
      <c r="B86" s="1"/>
      <c r="C86" s="2" t="s">
        <v>155</v>
      </c>
      <c r="D86" s="1"/>
      <c r="E86" s="1"/>
      <c r="F86" s="1"/>
      <c r="G86" s="1"/>
      <c r="H86" s="53"/>
    </row>
    <row r="87" spans="1:8" ht="14.1" customHeight="1" x14ac:dyDescent="0.2">
      <c r="A87" s="1"/>
      <c r="B87" s="1"/>
      <c r="C87" s="2" t="s">
        <v>144</v>
      </c>
      <c r="D87" s="1"/>
      <c r="E87" s="1" t="s">
        <v>145</v>
      </c>
      <c r="F87" s="13" t="s">
        <v>147</v>
      </c>
      <c r="G87" s="10">
        <v>0</v>
      </c>
      <c r="H87" s="53"/>
    </row>
    <row r="88" spans="1:8" ht="14.1" customHeight="1" x14ac:dyDescent="0.2">
      <c r="A88" s="1"/>
      <c r="B88" s="1"/>
      <c r="C88" s="11"/>
      <c r="D88" s="1"/>
      <c r="E88" s="1"/>
      <c r="F88" s="12"/>
      <c r="G88" s="12"/>
      <c r="H88" s="53"/>
    </row>
    <row r="89" spans="1:8" ht="14.1" customHeight="1" x14ac:dyDescent="0.2">
      <c r="A89" s="1"/>
      <c r="B89" s="1"/>
      <c r="C89" s="2" t="s">
        <v>156</v>
      </c>
      <c r="D89" s="1"/>
      <c r="E89" s="1"/>
      <c r="F89" s="12"/>
      <c r="G89" s="12"/>
      <c r="H89" s="53"/>
    </row>
    <row r="90" spans="1:8" ht="14.1" customHeight="1" x14ac:dyDescent="0.2">
      <c r="A90" s="1"/>
      <c r="B90" s="1"/>
      <c r="C90" s="2" t="s">
        <v>144</v>
      </c>
      <c r="D90" s="1"/>
      <c r="E90" s="1" t="s">
        <v>145</v>
      </c>
      <c r="F90" s="13" t="s">
        <v>147</v>
      </c>
      <c r="G90" s="10">
        <v>0</v>
      </c>
      <c r="H90" s="53"/>
    </row>
    <row r="91" spans="1:8" ht="14.1" customHeight="1" x14ac:dyDescent="0.2">
      <c r="A91" s="1"/>
      <c r="B91" s="1"/>
      <c r="C91" s="11"/>
      <c r="D91" s="1"/>
      <c r="E91" s="1"/>
      <c r="F91" s="12"/>
      <c r="G91" s="12"/>
      <c r="H91" s="53"/>
    </row>
    <row r="92" spans="1:8" ht="14.1" customHeight="1" x14ac:dyDescent="0.2">
      <c r="A92" s="1"/>
      <c r="B92" s="1"/>
      <c r="C92" s="2" t="s">
        <v>157</v>
      </c>
      <c r="D92" s="1"/>
      <c r="E92" s="1"/>
      <c r="F92" s="9">
        <v>0</v>
      </c>
      <c r="G92" s="10">
        <v>0</v>
      </c>
      <c r="H92" s="53"/>
    </row>
    <row r="93" spans="1:8" ht="14.1" customHeight="1" x14ac:dyDescent="0.2">
      <c r="A93" s="1"/>
      <c r="B93" s="1"/>
      <c r="C93" s="11"/>
      <c r="D93" s="1"/>
      <c r="E93" s="1"/>
      <c r="F93" s="12"/>
      <c r="G93" s="12"/>
      <c r="H93" s="53"/>
    </row>
    <row r="94" spans="1:8" ht="14.1" customHeight="1" x14ac:dyDescent="0.2">
      <c r="A94" s="1"/>
      <c r="B94" s="1"/>
      <c r="C94" s="2" t="s">
        <v>158</v>
      </c>
      <c r="D94" s="1"/>
      <c r="E94" s="1"/>
      <c r="F94" s="12"/>
      <c r="G94" s="12"/>
      <c r="H94" s="53"/>
    </row>
    <row r="95" spans="1:8" ht="14.1" customHeight="1" x14ac:dyDescent="0.2">
      <c r="A95" s="1"/>
      <c r="B95" s="1"/>
      <c r="C95" s="2" t="s">
        <v>159</v>
      </c>
      <c r="D95" s="1"/>
      <c r="E95" s="1"/>
      <c r="F95" s="12"/>
      <c r="G95" s="12"/>
      <c r="H95" s="53"/>
    </row>
    <row r="96" spans="1:8" ht="14.1" customHeight="1" x14ac:dyDescent="0.2">
      <c r="A96" s="1"/>
      <c r="B96" s="1"/>
      <c r="C96" s="2" t="s">
        <v>144</v>
      </c>
      <c r="D96" s="1"/>
      <c r="E96" s="1" t="s">
        <v>145</v>
      </c>
      <c r="F96" s="13" t="s">
        <v>147</v>
      </c>
      <c r="G96" s="10">
        <v>0</v>
      </c>
      <c r="H96" s="53"/>
    </row>
    <row r="97" spans="1:8" ht="14.1" customHeight="1" x14ac:dyDescent="0.2">
      <c r="A97" s="1"/>
      <c r="B97" s="1"/>
      <c r="C97" s="11"/>
      <c r="D97" s="1"/>
      <c r="E97" s="1"/>
      <c r="F97" s="12"/>
      <c r="G97" s="12"/>
      <c r="H97" s="53"/>
    </row>
    <row r="98" spans="1:8" ht="14.1" customHeight="1" x14ac:dyDescent="0.2">
      <c r="A98" s="1"/>
      <c r="B98" s="1"/>
      <c r="C98" s="2" t="s">
        <v>160</v>
      </c>
      <c r="D98" s="1"/>
      <c r="E98" s="1"/>
      <c r="F98" s="12"/>
      <c r="G98" s="12"/>
      <c r="H98" s="53"/>
    </row>
    <row r="99" spans="1:8" ht="14.1" customHeight="1" x14ac:dyDescent="0.2">
      <c r="A99" s="1"/>
      <c r="B99" s="1"/>
      <c r="C99" s="2" t="s">
        <v>144</v>
      </c>
      <c r="D99" s="1"/>
      <c r="E99" s="1" t="s">
        <v>145</v>
      </c>
      <c r="F99" s="13" t="s">
        <v>147</v>
      </c>
      <c r="G99" s="10">
        <v>0</v>
      </c>
      <c r="H99" s="53"/>
    </row>
    <row r="100" spans="1:8" ht="14.1" customHeight="1" x14ac:dyDescent="0.2">
      <c r="A100" s="1"/>
      <c r="B100" s="1"/>
      <c r="C100" s="11"/>
      <c r="D100" s="1"/>
      <c r="E100" s="1"/>
      <c r="F100" s="12"/>
      <c r="G100" s="12"/>
      <c r="H100" s="53"/>
    </row>
    <row r="101" spans="1:8" ht="14.1" customHeight="1" x14ac:dyDescent="0.2">
      <c r="A101" s="1"/>
      <c r="B101" s="1"/>
      <c r="C101" s="2" t="s">
        <v>161</v>
      </c>
      <c r="D101" s="1"/>
      <c r="E101" s="1"/>
      <c r="F101" s="12"/>
      <c r="G101" s="12"/>
      <c r="H101" s="53"/>
    </row>
    <row r="102" spans="1:8" ht="14.1" customHeight="1" x14ac:dyDescent="0.2">
      <c r="A102" s="1"/>
      <c r="B102" s="1"/>
      <c r="C102" s="2" t="s">
        <v>144</v>
      </c>
      <c r="D102" s="1"/>
      <c r="E102" s="1" t="s">
        <v>145</v>
      </c>
      <c r="F102" s="13" t="s">
        <v>147</v>
      </c>
      <c r="G102" s="10">
        <v>0</v>
      </c>
      <c r="H102" s="53"/>
    </row>
    <row r="103" spans="1:8" ht="14.1" customHeight="1" x14ac:dyDescent="0.2">
      <c r="A103" s="1"/>
      <c r="B103" s="1"/>
      <c r="C103" s="11"/>
      <c r="D103" s="1"/>
      <c r="E103" s="1"/>
      <c r="F103" s="12"/>
      <c r="G103" s="12"/>
      <c r="H103" s="53"/>
    </row>
    <row r="104" spans="1:8" ht="14.1" customHeight="1" x14ac:dyDescent="0.2">
      <c r="A104" s="1"/>
      <c r="B104" s="1"/>
      <c r="C104" s="2" t="s">
        <v>162</v>
      </c>
      <c r="D104" s="1"/>
      <c r="E104" s="1"/>
      <c r="F104" s="12"/>
      <c r="G104" s="12"/>
      <c r="H104" s="53"/>
    </row>
    <row r="105" spans="1:8" ht="17.100000000000001" customHeight="1" x14ac:dyDescent="0.2">
      <c r="A105" s="3">
        <v>1</v>
      </c>
      <c r="B105" s="4"/>
      <c r="C105" s="4" t="s">
        <v>163</v>
      </c>
      <c r="D105" s="4"/>
      <c r="E105" s="8"/>
      <c r="F105" s="6">
        <v>107.58063799999999</v>
      </c>
      <c r="G105" s="7">
        <v>2.801027E-2</v>
      </c>
      <c r="H105" s="51">
        <v>6.6602331647804478</v>
      </c>
    </row>
    <row r="106" spans="1:8" ht="17.100000000000001" customHeight="1" x14ac:dyDescent="0.2">
      <c r="A106" s="3">
        <v>2</v>
      </c>
      <c r="B106" s="4"/>
      <c r="C106" s="4" t="s">
        <v>164</v>
      </c>
      <c r="D106" s="4"/>
      <c r="E106" s="8"/>
      <c r="F106" s="6">
        <v>82.248421199999996</v>
      </c>
      <c r="G106" s="7">
        <v>2.1414639999999999E-2</v>
      </c>
      <c r="H106" s="51">
        <v>6.6588225936582406</v>
      </c>
    </row>
    <row r="107" spans="1:8" ht="14.1" customHeight="1" x14ac:dyDescent="0.2">
      <c r="A107" s="1"/>
      <c r="B107" s="1"/>
      <c r="C107" s="2" t="s">
        <v>144</v>
      </c>
      <c r="D107" s="1"/>
      <c r="E107" s="1" t="s">
        <v>145</v>
      </c>
      <c r="F107" s="9">
        <v>189.82905919999999</v>
      </c>
      <c r="G107" s="10">
        <v>4.9424910000000002E-2</v>
      </c>
      <c r="H107" s="53"/>
    </row>
    <row r="108" spans="1:8" ht="14.1" customHeight="1" x14ac:dyDescent="0.2">
      <c r="A108" s="1"/>
      <c r="B108" s="1"/>
      <c r="C108" s="11"/>
      <c r="D108" s="1"/>
      <c r="E108" s="1"/>
      <c r="F108" s="12"/>
      <c r="G108" s="12"/>
      <c r="H108" s="53"/>
    </row>
    <row r="109" spans="1:8" ht="14.1" customHeight="1" x14ac:dyDescent="0.2">
      <c r="A109" s="1"/>
      <c r="B109" s="1"/>
      <c r="C109" s="2" t="s">
        <v>165</v>
      </c>
      <c r="D109" s="1"/>
      <c r="E109" s="1"/>
      <c r="F109" s="9">
        <v>189.82905919999999</v>
      </c>
      <c r="G109" s="10">
        <v>4.9424910000000002E-2</v>
      </c>
      <c r="H109" s="53"/>
    </row>
    <row r="110" spans="1:8" ht="14.1" customHeight="1" x14ac:dyDescent="0.2">
      <c r="A110" s="1"/>
      <c r="B110" s="1"/>
      <c r="C110" s="12"/>
      <c r="D110" s="1"/>
      <c r="E110" s="1"/>
      <c r="F110" s="1"/>
      <c r="G110" s="1"/>
      <c r="H110" s="53"/>
    </row>
    <row r="111" spans="1:8" ht="14.1" customHeight="1" x14ac:dyDescent="0.2">
      <c r="A111" s="1"/>
      <c r="B111" s="1"/>
      <c r="C111" s="2" t="s">
        <v>166</v>
      </c>
      <c r="D111" s="1"/>
      <c r="E111" s="1"/>
      <c r="F111" s="1"/>
      <c r="G111" s="1"/>
      <c r="H111" s="53"/>
    </row>
    <row r="112" spans="1:8" ht="14.1" customHeight="1" x14ac:dyDescent="0.2">
      <c r="A112" s="1"/>
      <c r="B112" s="1"/>
      <c r="C112" s="2" t="s">
        <v>167</v>
      </c>
      <c r="D112" s="1"/>
      <c r="E112" s="1"/>
      <c r="F112" s="1"/>
      <c r="G112" s="1"/>
      <c r="H112" s="53"/>
    </row>
    <row r="113" spans="1:8" ht="14.1" customHeight="1" x14ac:dyDescent="0.2">
      <c r="A113" s="1"/>
      <c r="B113" s="1"/>
      <c r="C113" s="2" t="s">
        <v>144</v>
      </c>
      <c r="D113" s="1"/>
      <c r="E113" s="1" t="s">
        <v>145</v>
      </c>
      <c r="F113" s="13" t="s">
        <v>147</v>
      </c>
      <c r="G113" s="10">
        <v>0</v>
      </c>
      <c r="H113" s="53"/>
    </row>
    <row r="114" spans="1:8" ht="14.1" customHeight="1" x14ac:dyDescent="0.2">
      <c r="A114" s="1"/>
      <c r="B114" s="1"/>
      <c r="C114" s="11"/>
      <c r="D114" s="1"/>
      <c r="E114" s="1"/>
      <c r="F114" s="12"/>
      <c r="G114" s="12"/>
      <c r="H114" s="53"/>
    </row>
    <row r="115" spans="1:8" ht="14.1" customHeight="1" x14ac:dyDescent="0.2">
      <c r="A115" s="1"/>
      <c r="B115" s="1"/>
      <c r="C115" s="2" t="s">
        <v>168</v>
      </c>
      <c r="D115" s="1"/>
      <c r="E115" s="1"/>
      <c r="F115" s="1"/>
      <c r="G115" s="1"/>
      <c r="H115" s="53"/>
    </row>
    <row r="116" spans="1:8" ht="14.1" customHeight="1" x14ac:dyDescent="0.2">
      <c r="A116" s="1"/>
      <c r="B116" s="1"/>
      <c r="C116" s="2" t="s">
        <v>169</v>
      </c>
      <c r="D116" s="1"/>
      <c r="E116" s="1"/>
      <c r="F116" s="1"/>
      <c r="G116" s="1"/>
      <c r="H116" s="53"/>
    </row>
    <row r="117" spans="1:8" ht="14.1" customHeight="1" x14ac:dyDescent="0.2">
      <c r="A117" s="1"/>
      <c r="B117" s="1"/>
      <c r="C117" s="2" t="s">
        <v>144</v>
      </c>
      <c r="D117" s="1"/>
      <c r="E117" s="1" t="s">
        <v>145</v>
      </c>
      <c r="F117" s="13" t="s">
        <v>147</v>
      </c>
      <c r="G117" s="10">
        <v>0</v>
      </c>
      <c r="H117" s="53"/>
    </row>
    <row r="118" spans="1:8" ht="14.1" customHeight="1" x14ac:dyDescent="0.2">
      <c r="A118" s="1"/>
      <c r="B118" s="1"/>
      <c r="C118" s="11"/>
      <c r="D118" s="1"/>
      <c r="E118" s="1"/>
      <c r="F118" s="12"/>
      <c r="G118" s="12"/>
      <c r="H118" s="53"/>
    </row>
    <row r="119" spans="1:8" ht="24" customHeight="1" x14ac:dyDescent="0.2">
      <c r="A119" s="1"/>
      <c r="B119" s="1"/>
      <c r="C119" s="2" t="s">
        <v>170</v>
      </c>
      <c r="D119" s="1"/>
      <c r="E119" s="1"/>
      <c r="F119" s="12"/>
      <c r="G119" s="12"/>
      <c r="H119" s="53"/>
    </row>
    <row r="120" spans="1:8" ht="14.1" customHeight="1" x14ac:dyDescent="0.2">
      <c r="A120" s="1"/>
      <c r="B120" s="1"/>
      <c r="C120" s="2" t="s">
        <v>144</v>
      </c>
      <c r="D120" s="1"/>
      <c r="E120" s="1" t="s">
        <v>145</v>
      </c>
      <c r="F120" s="13" t="s">
        <v>147</v>
      </c>
      <c r="G120" s="10">
        <v>0</v>
      </c>
      <c r="H120" s="53"/>
    </row>
    <row r="121" spans="1:8" ht="14.1" customHeight="1" x14ac:dyDescent="0.2">
      <c r="A121" s="1"/>
      <c r="B121" s="1"/>
      <c r="C121" s="11"/>
      <c r="D121" s="1"/>
      <c r="E121" s="1"/>
      <c r="F121" s="12"/>
      <c r="G121" s="12"/>
      <c r="H121" s="53"/>
    </row>
    <row r="122" spans="1:8" ht="14.1" customHeight="1" x14ac:dyDescent="0.2">
      <c r="A122" s="1"/>
      <c r="B122" s="4"/>
      <c r="C122" s="4"/>
      <c r="D122" s="2"/>
      <c r="E122" s="1"/>
      <c r="F122" s="4"/>
      <c r="G122" s="8"/>
      <c r="H122" s="53"/>
    </row>
    <row r="123" spans="1:8" ht="18" customHeight="1" x14ac:dyDescent="0.2">
      <c r="A123" s="8"/>
      <c r="B123" s="4"/>
      <c r="C123" s="4" t="s">
        <v>171</v>
      </c>
      <c r="D123" s="4"/>
      <c r="E123" s="8"/>
      <c r="F123" s="6">
        <v>3.6193247999999998</v>
      </c>
      <c r="G123" s="7">
        <v>9.4235E-4</v>
      </c>
      <c r="H123" s="53"/>
    </row>
    <row r="124" spans="1:8" ht="14.1" customHeight="1" x14ac:dyDescent="0.2">
      <c r="A124" s="11"/>
      <c r="B124" s="11"/>
      <c r="C124" s="2" t="s">
        <v>172</v>
      </c>
      <c r="D124" s="12"/>
      <c r="E124" s="12"/>
      <c r="F124" s="9">
        <v>3840.7567715820001</v>
      </c>
      <c r="G124" s="14">
        <v>1.00000007</v>
      </c>
      <c r="H124" s="53"/>
    </row>
    <row r="125" spans="1:8" ht="14.1" customHeight="1" x14ac:dyDescent="0.2">
      <c r="A125" s="15"/>
      <c r="B125" s="15"/>
      <c r="C125" s="15"/>
      <c r="D125" s="16"/>
      <c r="E125" s="16"/>
      <c r="F125" s="16"/>
      <c r="G125" s="16"/>
    </row>
    <row r="126" spans="1:8" ht="14.1" customHeight="1" x14ac:dyDescent="0.2">
      <c r="A126" s="17"/>
      <c r="B126" s="239" t="s">
        <v>907</v>
      </c>
      <c r="C126" s="239"/>
      <c r="D126" s="239"/>
      <c r="E126" s="239"/>
      <c r="F126" s="239"/>
      <c r="G126" s="19"/>
    </row>
    <row r="127" spans="1:8" ht="17.100000000000001" customHeight="1" x14ac:dyDescent="0.2">
      <c r="A127" s="17"/>
      <c r="B127" s="230" t="s">
        <v>173</v>
      </c>
      <c r="C127" s="230"/>
      <c r="D127" s="230"/>
      <c r="E127" s="230"/>
      <c r="F127" s="230"/>
      <c r="G127" s="19"/>
    </row>
    <row r="128" spans="1:8" ht="14.1" customHeight="1" x14ac:dyDescent="0.2">
      <c r="A128" s="17"/>
      <c r="B128" s="17"/>
      <c r="C128" s="17"/>
      <c r="D128" s="19"/>
      <c r="E128" s="19"/>
      <c r="F128" s="19"/>
      <c r="G128" s="19"/>
    </row>
    <row r="129" spans="1:7" ht="14.1" customHeight="1" x14ac:dyDescent="0.2">
      <c r="A129" s="17"/>
      <c r="B129" s="231" t="s">
        <v>174</v>
      </c>
      <c r="C129" s="232"/>
      <c r="D129" s="233"/>
      <c r="E129" s="20"/>
      <c r="F129" s="19"/>
      <c r="G129" s="19"/>
    </row>
    <row r="130" spans="1:7" ht="29.1" customHeight="1" x14ac:dyDescent="0.2">
      <c r="A130" s="17"/>
      <c r="B130" s="226" t="s">
        <v>175</v>
      </c>
      <c r="C130" s="227"/>
      <c r="D130" s="2" t="s">
        <v>176</v>
      </c>
      <c r="E130" s="20"/>
      <c r="F130" s="19"/>
      <c r="G130" s="19"/>
    </row>
    <row r="131" spans="1:7" ht="29.25" customHeight="1" x14ac:dyDescent="0.2">
      <c r="A131" s="17"/>
      <c r="B131" s="226" t="s">
        <v>1166</v>
      </c>
      <c r="C131" s="227"/>
      <c r="D131" s="2" t="s">
        <v>1161</v>
      </c>
      <c r="E131" s="20"/>
      <c r="F131" s="19"/>
      <c r="G131" s="19"/>
    </row>
    <row r="132" spans="1:7" ht="17.100000000000001" customHeight="1" x14ac:dyDescent="0.2">
      <c r="A132" s="17"/>
      <c r="B132" s="226" t="s">
        <v>178</v>
      </c>
      <c r="C132" s="227"/>
      <c r="D132" s="12" t="s">
        <v>145</v>
      </c>
      <c r="E132" s="20"/>
      <c r="F132" s="19"/>
      <c r="G132" s="19"/>
    </row>
    <row r="133" spans="1:7" ht="24" customHeight="1" x14ac:dyDescent="0.2">
      <c r="A133" s="21"/>
      <c r="B133" s="22" t="s">
        <v>145</v>
      </c>
      <c r="C133" s="22" t="s">
        <v>179</v>
      </c>
      <c r="D133" s="22" t="s">
        <v>180</v>
      </c>
      <c r="E133" s="21"/>
      <c r="F133" s="21"/>
      <c r="G133" s="21"/>
    </row>
    <row r="134" spans="1:7" ht="18" customHeight="1" x14ac:dyDescent="0.2">
      <c r="A134" s="21"/>
      <c r="B134" s="23" t="s">
        <v>181</v>
      </c>
      <c r="C134" s="22" t="s">
        <v>182</v>
      </c>
      <c r="D134" s="22" t="s">
        <v>183</v>
      </c>
      <c r="E134" s="21"/>
      <c r="F134" s="21"/>
      <c r="G134" s="21"/>
    </row>
    <row r="135" spans="1:7" ht="17.100000000000001" customHeight="1" x14ac:dyDescent="0.2">
      <c r="A135" s="21"/>
      <c r="B135" s="4" t="s">
        <v>184</v>
      </c>
      <c r="C135" s="24">
        <v>19.851500000000001</v>
      </c>
      <c r="D135" s="24">
        <v>21.137699999999999</v>
      </c>
      <c r="E135" s="21"/>
      <c r="F135" s="18"/>
      <c r="G135" s="25"/>
    </row>
    <row r="136" spans="1:7" ht="17.100000000000001" customHeight="1" x14ac:dyDescent="0.2">
      <c r="A136" s="21"/>
      <c r="B136" s="4" t="s">
        <v>1009</v>
      </c>
      <c r="C136" s="24">
        <v>19.851500000000001</v>
      </c>
      <c r="D136" s="24">
        <v>21.137599999999999</v>
      </c>
      <c r="E136" s="21"/>
      <c r="F136" s="18"/>
      <c r="G136" s="25"/>
    </row>
    <row r="137" spans="1:7" ht="17.100000000000001" customHeight="1" x14ac:dyDescent="0.2">
      <c r="A137" s="21"/>
      <c r="B137" s="4" t="s">
        <v>185</v>
      </c>
      <c r="C137" s="24">
        <v>19.028700000000001</v>
      </c>
      <c r="D137" s="24">
        <v>20.257400000000001</v>
      </c>
      <c r="E137" s="21"/>
      <c r="F137" s="18"/>
      <c r="G137" s="25"/>
    </row>
    <row r="138" spans="1:7" ht="17.100000000000001" customHeight="1" x14ac:dyDescent="0.2">
      <c r="A138" s="21"/>
      <c r="B138" s="4" t="s">
        <v>1010</v>
      </c>
      <c r="C138" s="24">
        <v>19.028600000000001</v>
      </c>
      <c r="D138" s="24">
        <v>20.257300000000001</v>
      </c>
      <c r="E138" s="21"/>
      <c r="F138" s="18"/>
      <c r="G138" s="25"/>
    </row>
    <row r="139" spans="1:7" ht="14.1" customHeight="1" x14ac:dyDescent="0.2">
      <c r="A139" s="21"/>
      <c r="B139" s="21"/>
      <c r="C139" s="21"/>
      <c r="D139" s="21"/>
      <c r="E139" s="21"/>
      <c r="F139" s="21"/>
      <c r="G139" s="21"/>
    </row>
    <row r="140" spans="1:7" ht="17.100000000000001" customHeight="1" x14ac:dyDescent="0.2">
      <c r="A140" s="21"/>
      <c r="B140" s="226" t="s">
        <v>1011</v>
      </c>
      <c r="C140" s="227"/>
      <c r="D140" s="2" t="s">
        <v>176</v>
      </c>
      <c r="E140" s="21"/>
      <c r="F140" s="21"/>
      <c r="G140" s="21"/>
    </row>
    <row r="141" spans="1:7" ht="18" customHeight="1" x14ac:dyDescent="0.2">
      <c r="A141" s="21"/>
      <c r="B141" s="26"/>
      <c r="C141" s="26"/>
      <c r="D141" s="26"/>
      <c r="E141" s="21"/>
      <c r="F141" s="21"/>
      <c r="G141" s="21"/>
    </row>
    <row r="142" spans="1:7" ht="29.1" customHeight="1" x14ac:dyDescent="0.2">
      <c r="A142" s="21"/>
      <c r="B142" s="226" t="s">
        <v>186</v>
      </c>
      <c r="C142" s="227"/>
      <c r="D142" s="2" t="s">
        <v>176</v>
      </c>
      <c r="E142" s="27"/>
      <c r="F142" s="21"/>
      <c r="G142" s="21"/>
    </row>
    <row r="143" spans="1:7" ht="29.1" customHeight="1" x14ac:dyDescent="0.2">
      <c r="A143" s="21"/>
      <c r="B143" s="226" t="s">
        <v>187</v>
      </c>
      <c r="C143" s="227"/>
      <c r="D143" s="2" t="s">
        <v>176</v>
      </c>
      <c r="E143" s="27"/>
      <c r="F143" s="21"/>
      <c r="G143" s="21"/>
    </row>
    <row r="144" spans="1:7" ht="17.100000000000001" customHeight="1" x14ac:dyDescent="0.2">
      <c r="A144" s="21"/>
      <c r="B144" s="226" t="s">
        <v>188</v>
      </c>
      <c r="C144" s="227"/>
      <c r="D144" s="2" t="s">
        <v>176</v>
      </c>
      <c r="E144" s="27"/>
      <c r="F144" s="21"/>
      <c r="G144" s="21"/>
    </row>
    <row r="145" spans="1:14" ht="17.100000000000001" customHeight="1" x14ac:dyDescent="0.2">
      <c r="A145" s="21"/>
      <c r="B145" s="226" t="s">
        <v>189</v>
      </c>
      <c r="C145" s="227"/>
      <c r="D145" s="57">
        <v>9.0473751787280551E-2</v>
      </c>
      <c r="E145" s="21"/>
      <c r="F145" s="18"/>
      <c r="G145" s="25"/>
    </row>
    <row r="158" spans="1:14" x14ac:dyDescent="0.2">
      <c r="J158" s="143"/>
      <c r="K158" s="143"/>
      <c r="L158" s="143"/>
      <c r="M158" s="143"/>
      <c r="N158" s="143"/>
    </row>
  </sheetData>
  <mergeCells count="15">
    <mergeCell ref="A1:H1"/>
    <mergeCell ref="A2:H2"/>
    <mergeCell ref="A3:H3"/>
    <mergeCell ref="B126:F126"/>
    <mergeCell ref="J2:N2"/>
    <mergeCell ref="B130:C130"/>
    <mergeCell ref="B127:F127"/>
    <mergeCell ref="B129:D129"/>
    <mergeCell ref="B145:C145"/>
    <mergeCell ref="B131:C131"/>
    <mergeCell ref="B132:C132"/>
    <mergeCell ref="B140:C140"/>
    <mergeCell ref="B142:C142"/>
    <mergeCell ref="B143:C143"/>
    <mergeCell ref="B144:C144"/>
  </mergeCells>
  <hyperlinks>
    <hyperlink ref="I1" location="Index!B15" display="Index" xr:uid="{7F1D538B-5ED3-49A3-80AA-89F51C530201}"/>
  </hyperlinks>
  <pageMargins left="5.000000074505806E-2" right="5.000000074505806E-2" top="0.30000001192092896" bottom="0.20000000298023224" header="0" footer="0"/>
  <pageSetup paperSize="9"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N16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494</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50</v>
      </c>
      <c r="C7" s="4" t="s">
        <v>51</v>
      </c>
      <c r="D7" s="4" t="s">
        <v>31</v>
      </c>
      <c r="E7" s="5">
        <v>316388</v>
      </c>
      <c r="F7" s="6">
        <v>8566.2050999999992</v>
      </c>
      <c r="G7" s="7">
        <v>3.3179739999999999E-2</v>
      </c>
      <c r="H7" s="53"/>
    </row>
    <row r="8" spans="1:14" ht="17.100000000000001" customHeight="1" x14ac:dyDescent="0.2">
      <c r="A8" s="3">
        <v>2</v>
      </c>
      <c r="B8" s="4" t="s">
        <v>34</v>
      </c>
      <c r="C8" s="4" t="s">
        <v>35</v>
      </c>
      <c r="D8" s="4" t="s">
        <v>31</v>
      </c>
      <c r="E8" s="5">
        <v>287143</v>
      </c>
      <c r="F8" s="6">
        <v>8016.7454170000001</v>
      </c>
      <c r="G8" s="7">
        <v>3.1051499999999999E-2</v>
      </c>
      <c r="H8" s="53"/>
    </row>
    <row r="9" spans="1:14" ht="17.100000000000001" customHeight="1" x14ac:dyDescent="0.2">
      <c r="A9" s="3">
        <v>3</v>
      </c>
      <c r="B9" s="4" t="s">
        <v>391</v>
      </c>
      <c r="C9" s="4" t="s">
        <v>392</v>
      </c>
      <c r="D9" s="4" t="s">
        <v>130</v>
      </c>
      <c r="E9" s="5">
        <v>1066345</v>
      </c>
      <c r="F9" s="6">
        <v>8011.9831574999998</v>
      </c>
      <c r="G9" s="7">
        <v>3.103305E-2</v>
      </c>
      <c r="H9" s="53"/>
    </row>
    <row r="10" spans="1:14" ht="29.1" customHeight="1" x14ac:dyDescent="0.2">
      <c r="A10" s="3">
        <v>4</v>
      </c>
      <c r="B10" s="4" t="s">
        <v>495</v>
      </c>
      <c r="C10" s="4" t="s">
        <v>496</v>
      </c>
      <c r="D10" s="4" t="s">
        <v>224</v>
      </c>
      <c r="E10" s="5">
        <v>1472149</v>
      </c>
      <c r="F10" s="6">
        <v>7546.9718485000003</v>
      </c>
      <c r="G10" s="7">
        <v>2.923191E-2</v>
      </c>
      <c r="H10" s="53"/>
    </row>
    <row r="11" spans="1:14" ht="17.100000000000001" customHeight="1" x14ac:dyDescent="0.2">
      <c r="A11" s="3">
        <v>5</v>
      </c>
      <c r="B11" s="4" t="s">
        <v>398</v>
      </c>
      <c r="C11" s="4" t="s">
        <v>399</v>
      </c>
      <c r="D11" s="4" t="s">
        <v>229</v>
      </c>
      <c r="E11" s="5">
        <v>740386</v>
      </c>
      <c r="F11" s="6">
        <v>6946.6716450000004</v>
      </c>
      <c r="G11" s="7">
        <v>2.690675E-2</v>
      </c>
      <c r="H11" s="53"/>
    </row>
    <row r="12" spans="1:14" ht="17.100000000000001" customHeight="1" x14ac:dyDescent="0.2">
      <c r="A12" s="3">
        <v>6</v>
      </c>
      <c r="B12" s="4" t="s">
        <v>427</v>
      </c>
      <c r="C12" s="4" t="s">
        <v>428</v>
      </c>
      <c r="D12" s="4" t="s">
        <v>905</v>
      </c>
      <c r="E12" s="5">
        <v>582108</v>
      </c>
      <c r="F12" s="6">
        <v>6845.0079720000003</v>
      </c>
      <c r="G12" s="7">
        <v>2.651297E-2</v>
      </c>
      <c r="H12" s="53"/>
    </row>
    <row r="13" spans="1:14" ht="17.100000000000001" customHeight="1" x14ac:dyDescent="0.2">
      <c r="A13" s="3">
        <v>7</v>
      </c>
      <c r="B13" s="4" t="s">
        <v>381</v>
      </c>
      <c r="C13" s="4" t="s">
        <v>382</v>
      </c>
      <c r="D13" s="4" t="s">
        <v>73</v>
      </c>
      <c r="E13" s="5">
        <v>179292</v>
      </c>
      <c r="F13" s="6">
        <v>6606.1930320000001</v>
      </c>
      <c r="G13" s="7">
        <v>2.5587970000000002E-2</v>
      </c>
      <c r="H13" s="53"/>
      <c r="J13" s="142" t="s">
        <v>1040</v>
      </c>
    </row>
    <row r="14" spans="1:14" ht="17.100000000000001" customHeight="1" x14ac:dyDescent="0.2">
      <c r="A14" s="3">
        <v>8</v>
      </c>
      <c r="B14" s="4" t="s">
        <v>497</v>
      </c>
      <c r="C14" s="4" t="s">
        <v>498</v>
      </c>
      <c r="D14" s="4" t="s">
        <v>397</v>
      </c>
      <c r="E14" s="5">
        <v>922157</v>
      </c>
      <c r="F14" s="6">
        <v>5762.0980145000003</v>
      </c>
      <c r="G14" s="7">
        <v>2.231851E-2</v>
      </c>
      <c r="H14" s="53"/>
    </row>
    <row r="15" spans="1:14" ht="17.100000000000001" customHeight="1" x14ac:dyDescent="0.2">
      <c r="A15" s="3">
        <v>9</v>
      </c>
      <c r="B15" s="4" t="s">
        <v>431</v>
      </c>
      <c r="C15" s="4" t="s">
        <v>432</v>
      </c>
      <c r="D15" s="4" t="s">
        <v>906</v>
      </c>
      <c r="E15" s="5">
        <v>342151</v>
      </c>
      <c r="F15" s="6">
        <v>5602.2093985000001</v>
      </c>
      <c r="G15" s="7">
        <v>2.169921E-2</v>
      </c>
      <c r="H15" s="53"/>
    </row>
    <row r="16" spans="1:14" ht="17.100000000000001" customHeight="1" x14ac:dyDescent="0.2">
      <c r="A16" s="3">
        <v>10</v>
      </c>
      <c r="B16" s="4" t="s">
        <v>232</v>
      </c>
      <c r="C16" s="4" t="s">
        <v>233</v>
      </c>
      <c r="D16" s="4" t="s">
        <v>130</v>
      </c>
      <c r="E16" s="5">
        <v>557219</v>
      </c>
      <c r="F16" s="6">
        <v>5483.5921790000002</v>
      </c>
      <c r="G16" s="7">
        <v>2.123976E-2</v>
      </c>
      <c r="H16" s="53"/>
    </row>
    <row r="17" spans="1:10" ht="17.100000000000001" customHeight="1" x14ac:dyDescent="0.2">
      <c r="A17" s="3">
        <v>11</v>
      </c>
      <c r="B17" s="4" t="s">
        <v>499</v>
      </c>
      <c r="C17" s="4" t="s">
        <v>500</v>
      </c>
      <c r="D17" s="4" t="s">
        <v>281</v>
      </c>
      <c r="E17" s="5">
        <v>425000</v>
      </c>
      <c r="F17" s="6">
        <v>5362.2250000000004</v>
      </c>
      <c r="G17" s="7">
        <v>2.076967E-2</v>
      </c>
      <c r="H17" s="53"/>
    </row>
    <row r="18" spans="1:10" ht="17.100000000000001" customHeight="1" x14ac:dyDescent="0.2">
      <c r="A18" s="3">
        <v>12</v>
      </c>
      <c r="B18" s="4" t="s">
        <v>501</v>
      </c>
      <c r="C18" s="4" t="s">
        <v>502</v>
      </c>
      <c r="D18" s="4" t="s">
        <v>397</v>
      </c>
      <c r="E18" s="5">
        <v>85868</v>
      </c>
      <c r="F18" s="6">
        <v>5023.6644059999999</v>
      </c>
      <c r="G18" s="7">
        <v>1.9458309999999999E-2</v>
      </c>
      <c r="H18" s="53"/>
    </row>
    <row r="19" spans="1:10" ht="17.100000000000001" customHeight="1" x14ac:dyDescent="0.2">
      <c r="A19" s="3">
        <v>13</v>
      </c>
      <c r="B19" s="4" t="s">
        <v>395</v>
      </c>
      <c r="C19" s="4" t="s">
        <v>396</v>
      </c>
      <c r="D19" s="4" t="s">
        <v>397</v>
      </c>
      <c r="E19" s="5">
        <v>289997</v>
      </c>
      <c r="F19" s="6">
        <v>4895.8743525</v>
      </c>
      <c r="G19" s="7">
        <v>1.8963339999999999E-2</v>
      </c>
      <c r="H19" s="53"/>
    </row>
    <row r="20" spans="1:10" ht="29.1" customHeight="1" x14ac:dyDescent="0.2">
      <c r="A20" s="3">
        <v>14</v>
      </c>
      <c r="B20" s="4" t="s">
        <v>402</v>
      </c>
      <c r="C20" s="4" t="s">
        <v>403</v>
      </c>
      <c r="D20" s="4" t="s">
        <v>224</v>
      </c>
      <c r="E20" s="5">
        <v>169741</v>
      </c>
      <c r="F20" s="6">
        <v>4699.2795850000002</v>
      </c>
      <c r="G20" s="7">
        <v>1.820186E-2</v>
      </c>
      <c r="H20" s="53"/>
    </row>
    <row r="21" spans="1:10" ht="29.1" customHeight="1" x14ac:dyDescent="0.2">
      <c r="A21" s="3">
        <v>15</v>
      </c>
      <c r="B21" s="4" t="s">
        <v>503</v>
      </c>
      <c r="C21" s="4" t="s">
        <v>504</v>
      </c>
      <c r="D21" s="4" t="s">
        <v>201</v>
      </c>
      <c r="E21" s="5">
        <v>265529</v>
      </c>
      <c r="F21" s="6">
        <v>4534.8370265000003</v>
      </c>
      <c r="G21" s="7">
        <v>1.7564920000000001E-2</v>
      </c>
      <c r="H21" s="53"/>
    </row>
    <row r="22" spans="1:10" ht="17.100000000000001" customHeight="1" x14ac:dyDescent="0.2">
      <c r="A22" s="3">
        <v>16</v>
      </c>
      <c r="B22" s="4" t="s">
        <v>234</v>
      </c>
      <c r="C22" s="4" t="s">
        <v>235</v>
      </c>
      <c r="D22" s="4" t="s">
        <v>905</v>
      </c>
      <c r="E22" s="5">
        <v>82662</v>
      </c>
      <c r="F22" s="6">
        <v>4518.676899</v>
      </c>
      <c r="G22" s="7">
        <v>1.750233E-2</v>
      </c>
      <c r="H22" s="53"/>
    </row>
    <row r="23" spans="1:10" ht="17.100000000000001" customHeight="1" x14ac:dyDescent="0.2">
      <c r="A23" s="3">
        <v>17</v>
      </c>
      <c r="B23" s="4" t="s">
        <v>310</v>
      </c>
      <c r="C23" s="4" t="s">
        <v>311</v>
      </c>
      <c r="D23" s="4" t="s">
        <v>28</v>
      </c>
      <c r="E23" s="5">
        <v>282648</v>
      </c>
      <c r="F23" s="6">
        <v>4441.671996</v>
      </c>
      <c r="G23" s="7">
        <v>1.720406E-2</v>
      </c>
      <c r="H23" s="53"/>
    </row>
    <row r="24" spans="1:10" ht="17.100000000000001" customHeight="1" x14ac:dyDescent="0.2">
      <c r="A24" s="3">
        <v>18</v>
      </c>
      <c r="B24" s="4" t="s">
        <v>443</v>
      </c>
      <c r="C24" s="4" t="s">
        <v>444</v>
      </c>
      <c r="D24" s="4" t="s">
        <v>31</v>
      </c>
      <c r="E24" s="5">
        <v>365000</v>
      </c>
      <c r="F24" s="6">
        <v>4147.3125</v>
      </c>
      <c r="G24" s="7">
        <v>1.6063910000000001E-2</v>
      </c>
      <c r="H24" s="53"/>
      <c r="J24" s="142" t="s">
        <v>1041</v>
      </c>
    </row>
    <row r="25" spans="1:10" ht="17.100000000000001" customHeight="1" x14ac:dyDescent="0.2">
      <c r="A25" s="3">
        <v>19</v>
      </c>
      <c r="B25" s="4" t="s">
        <v>98</v>
      </c>
      <c r="C25" s="4" t="s">
        <v>99</v>
      </c>
      <c r="D25" s="4" t="s">
        <v>92</v>
      </c>
      <c r="E25" s="5">
        <v>698780</v>
      </c>
      <c r="F25" s="6">
        <v>4142.3678399999999</v>
      </c>
      <c r="G25" s="7">
        <v>1.6044760000000002E-2</v>
      </c>
      <c r="H25" s="53"/>
    </row>
    <row r="26" spans="1:10" ht="17.100000000000001" customHeight="1" x14ac:dyDescent="0.2">
      <c r="A26" s="3">
        <v>20</v>
      </c>
      <c r="B26" s="4" t="s">
        <v>32</v>
      </c>
      <c r="C26" s="4" t="s">
        <v>33</v>
      </c>
      <c r="D26" s="4" t="s">
        <v>28</v>
      </c>
      <c r="E26" s="5">
        <v>711874</v>
      </c>
      <c r="F26" s="6">
        <v>3996.104699</v>
      </c>
      <c r="G26" s="7">
        <v>1.5478230000000001E-2</v>
      </c>
      <c r="H26" s="53"/>
    </row>
    <row r="27" spans="1:10" ht="17.100000000000001" customHeight="1" x14ac:dyDescent="0.2">
      <c r="A27" s="3">
        <v>21</v>
      </c>
      <c r="B27" s="4" t="s">
        <v>131</v>
      </c>
      <c r="C27" s="4" t="s">
        <v>132</v>
      </c>
      <c r="D27" s="4" t="s">
        <v>73</v>
      </c>
      <c r="E27" s="5">
        <v>1030000</v>
      </c>
      <c r="F27" s="6">
        <v>3893.915</v>
      </c>
      <c r="G27" s="7">
        <v>1.5082419999999999E-2</v>
      </c>
      <c r="H27" s="53"/>
    </row>
    <row r="28" spans="1:10" ht="17.100000000000001" customHeight="1" x14ac:dyDescent="0.2">
      <c r="A28" s="3">
        <v>22</v>
      </c>
      <c r="B28" s="4" t="s">
        <v>385</v>
      </c>
      <c r="C28" s="4" t="s">
        <v>386</v>
      </c>
      <c r="D28" s="4" t="s">
        <v>264</v>
      </c>
      <c r="E28" s="5">
        <v>214613</v>
      </c>
      <c r="F28" s="6">
        <v>3843.6115235000002</v>
      </c>
      <c r="G28" s="7">
        <v>1.4887579999999999E-2</v>
      </c>
      <c r="H28" s="53"/>
    </row>
    <row r="29" spans="1:10" ht="17.100000000000001" customHeight="1" x14ac:dyDescent="0.2">
      <c r="A29" s="3">
        <v>23</v>
      </c>
      <c r="B29" s="4" t="s">
        <v>505</v>
      </c>
      <c r="C29" s="4" t="s">
        <v>506</v>
      </c>
      <c r="D29" s="4" t="s">
        <v>130</v>
      </c>
      <c r="E29" s="5">
        <v>757823</v>
      </c>
      <c r="F29" s="6">
        <v>3681.5041339999998</v>
      </c>
      <c r="G29" s="7">
        <v>1.425968E-2</v>
      </c>
      <c r="H29" s="53"/>
    </row>
    <row r="30" spans="1:10" ht="17.100000000000001" customHeight="1" x14ac:dyDescent="0.2">
      <c r="A30" s="3">
        <v>24</v>
      </c>
      <c r="B30" s="4" t="s">
        <v>202</v>
      </c>
      <c r="C30" s="4" t="s">
        <v>203</v>
      </c>
      <c r="D30" s="4" t="s">
        <v>130</v>
      </c>
      <c r="E30" s="5">
        <v>1403989</v>
      </c>
      <c r="F30" s="6">
        <v>3653.1793779999998</v>
      </c>
      <c r="G30" s="7">
        <v>1.414997E-2</v>
      </c>
      <c r="H30" s="53"/>
    </row>
    <row r="31" spans="1:10" ht="29.1" customHeight="1" x14ac:dyDescent="0.2">
      <c r="A31" s="3">
        <v>25</v>
      </c>
      <c r="B31" s="4" t="s">
        <v>449</v>
      </c>
      <c r="C31" s="4" t="s">
        <v>450</v>
      </c>
      <c r="D31" s="4" t="s">
        <v>224</v>
      </c>
      <c r="E31" s="5">
        <v>72597</v>
      </c>
      <c r="F31" s="6">
        <v>3539.1037500000002</v>
      </c>
      <c r="G31" s="7">
        <v>1.3708120000000001E-2</v>
      </c>
      <c r="H31" s="53"/>
    </row>
    <row r="32" spans="1:10" ht="29.1" customHeight="1" x14ac:dyDescent="0.2">
      <c r="A32" s="3">
        <v>26</v>
      </c>
      <c r="B32" s="4" t="s">
        <v>199</v>
      </c>
      <c r="C32" s="4" t="s">
        <v>200</v>
      </c>
      <c r="D32" s="4" t="s">
        <v>201</v>
      </c>
      <c r="E32" s="5">
        <v>76555</v>
      </c>
      <c r="F32" s="6">
        <v>3525.2429175000002</v>
      </c>
      <c r="G32" s="7">
        <v>1.365443E-2</v>
      </c>
      <c r="H32" s="53"/>
    </row>
    <row r="33" spans="1:8" ht="17.100000000000001" customHeight="1" x14ac:dyDescent="0.2">
      <c r="A33" s="3">
        <v>27</v>
      </c>
      <c r="B33" s="4" t="s">
        <v>383</v>
      </c>
      <c r="C33" s="4" t="s">
        <v>384</v>
      </c>
      <c r="D33" s="4" t="s">
        <v>28</v>
      </c>
      <c r="E33" s="5">
        <v>3812309</v>
      </c>
      <c r="F33" s="6">
        <v>3450.1396450000002</v>
      </c>
      <c r="G33" s="7">
        <v>1.336353E-2</v>
      </c>
      <c r="H33" s="53"/>
    </row>
    <row r="34" spans="1:8" ht="17.100000000000001" customHeight="1" x14ac:dyDescent="0.2">
      <c r="A34" s="3">
        <v>28</v>
      </c>
      <c r="B34" s="4" t="s">
        <v>457</v>
      </c>
      <c r="C34" s="4" t="s">
        <v>458</v>
      </c>
      <c r="D34" s="4" t="s">
        <v>28</v>
      </c>
      <c r="E34" s="5">
        <v>1039359</v>
      </c>
      <c r="F34" s="6">
        <v>3433.0027770000002</v>
      </c>
      <c r="G34" s="7">
        <v>1.3297150000000001E-2</v>
      </c>
      <c r="H34" s="53"/>
    </row>
    <row r="35" spans="1:8" ht="17.100000000000001" customHeight="1" x14ac:dyDescent="0.2">
      <c r="A35" s="3">
        <v>29</v>
      </c>
      <c r="B35" s="4" t="s">
        <v>302</v>
      </c>
      <c r="C35" s="4" t="s">
        <v>303</v>
      </c>
      <c r="D35" s="4" t="s">
        <v>304</v>
      </c>
      <c r="E35" s="5">
        <v>452552</v>
      </c>
      <c r="F35" s="6">
        <v>3428.3076759999999</v>
      </c>
      <c r="G35" s="7">
        <v>1.3278969999999999E-2</v>
      </c>
      <c r="H35" s="53"/>
    </row>
    <row r="36" spans="1:8" ht="29.1" customHeight="1" x14ac:dyDescent="0.2">
      <c r="A36" s="3">
        <v>30</v>
      </c>
      <c r="B36" s="4" t="s">
        <v>96</v>
      </c>
      <c r="C36" s="4" t="s">
        <v>97</v>
      </c>
      <c r="D36" s="4" t="s">
        <v>38</v>
      </c>
      <c r="E36" s="5">
        <v>133616</v>
      </c>
      <c r="F36" s="6">
        <v>3290.2939999999999</v>
      </c>
      <c r="G36" s="7">
        <v>1.274439E-2</v>
      </c>
      <c r="H36" s="53"/>
    </row>
    <row r="37" spans="1:8" ht="17.100000000000001" customHeight="1" x14ac:dyDescent="0.2">
      <c r="A37" s="3">
        <v>31</v>
      </c>
      <c r="B37" s="4" t="s">
        <v>423</v>
      </c>
      <c r="C37" s="4" t="s">
        <v>424</v>
      </c>
      <c r="D37" s="4" t="s">
        <v>906</v>
      </c>
      <c r="E37" s="5">
        <v>303175</v>
      </c>
      <c r="F37" s="6">
        <v>3268.9844374999998</v>
      </c>
      <c r="G37" s="7">
        <v>1.266186E-2</v>
      </c>
      <c r="H37" s="53"/>
    </row>
    <row r="38" spans="1:8" ht="17.100000000000001" customHeight="1" x14ac:dyDescent="0.2">
      <c r="A38" s="3">
        <v>32</v>
      </c>
      <c r="B38" s="4" t="s">
        <v>251</v>
      </c>
      <c r="C38" s="4" t="s">
        <v>252</v>
      </c>
      <c r="D38" s="4" t="s">
        <v>229</v>
      </c>
      <c r="E38" s="5">
        <v>592238</v>
      </c>
      <c r="F38" s="6">
        <v>3264.4158560000001</v>
      </c>
      <c r="G38" s="7">
        <v>1.264416E-2</v>
      </c>
      <c r="H38" s="53"/>
    </row>
    <row r="39" spans="1:8" ht="17.100000000000001" customHeight="1" x14ac:dyDescent="0.2">
      <c r="A39" s="3">
        <v>33</v>
      </c>
      <c r="B39" s="4" t="s">
        <v>340</v>
      </c>
      <c r="C39" s="4" t="s">
        <v>341</v>
      </c>
      <c r="D39" s="4" t="s">
        <v>905</v>
      </c>
      <c r="E39" s="5">
        <v>60512</v>
      </c>
      <c r="F39" s="6">
        <v>3142.630208</v>
      </c>
      <c r="G39" s="7">
        <v>1.217244E-2</v>
      </c>
      <c r="H39" s="53"/>
    </row>
    <row r="40" spans="1:8" ht="17.100000000000001" customHeight="1" x14ac:dyDescent="0.2">
      <c r="A40" s="3">
        <v>34</v>
      </c>
      <c r="B40" s="4" t="s">
        <v>507</v>
      </c>
      <c r="C40" s="40" t="s">
        <v>963</v>
      </c>
      <c r="D40" s="4" t="s">
        <v>108</v>
      </c>
      <c r="E40" s="5">
        <v>772856</v>
      </c>
      <c r="F40" s="6">
        <v>3087.5597200000002</v>
      </c>
      <c r="G40" s="7">
        <v>1.195914E-2</v>
      </c>
      <c r="H40" s="53"/>
    </row>
    <row r="41" spans="1:8" ht="29.1" customHeight="1" x14ac:dyDescent="0.2">
      <c r="A41" s="3">
        <v>35</v>
      </c>
      <c r="B41" s="4" t="s">
        <v>508</v>
      </c>
      <c r="C41" s="4" t="s">
        <v>509</v>
      </c>
      <c r="D41" s="4" t="s">
        <v>224</v>
      </c>
      <c r="E41" s="5">
        <v>484538</v>
      </c>
      <c r="F41" s="6">
        <v>2977.7282789999999</v>
      </c>
      <c r="G41" s="7">
        <v>1.1533720000000001E-2</v>
      </c>
      <c r="H41" s="53"/>
    </row>
    <row r="42" spans="1:8" ht="17.100000000000001" customHeight="1" x14ac:dyDescent="0.2">
      <c r="A42" s="3">
        <v>36</v>
      </c>
      <c r="B42" s="4" t="s">
        <v>74</v>
      </c>
      <c r="C42" s="4" t="s">
        <v>75</v>
      </c>
      <c r="D42" s="4" t="s">
        <v>41</v>
      </c>
      <c r="E42" s="5">
        <v>753193</v>
      </c>
      <c r="F42" s="6">
        <v>2948.3739985000002</v>
      </c>
      <c r="G42" s="7">
        <v>1.1420029999999999E-2</v>
      </c>
      <c r="H42" s="53"/>
    </row>
    <row r="43" spans="1:8" ht="17.100000000000001" customHeight="1" x14ac:dyDescent="0.2">
      <c r="A43" s="3">
        <v>37</v>
      </c>
      <c r="B43" s="4" t="s">
        <v>100</v>
      </c>
      <c r="C43" s="4" t="s">
        <v>101</v>
      </c>
      <c r="D43" s="4" t="s">
        <v>41</v>
      </c>
      <c r="E43" s="5">
        <v>1099317</v>
      </c>
      <c r="F43" s="6">
        <v>2913.1900500000002</v>
      </c>
      <c r="G43" s="7">
        <v>1.128375E-2</v>
      </c>
      <c r="H43" s="53"/>
    </row>
    <row r="44" spans="1:8" ht="29.1" customHeight="1" x14ac:dyDescent="0.2">
      <c r="A44" s="3">
        <v>38</v>
      </c>
      <c r="B44" s="4" t="s">
        <v>126</v>
      </c>
      <c r="C44" s="4" t="s">
        <v>127</v>
      </c>
      <c r="D44" s="4" t="s">
        <v>25</v>
      </c>
      <c r="E44" s="5">
        <v>252888</v>
      </c>
      <c r="F44" s="6">
        <v>2906.5682280000001</v>
      </c>
      <c r="G44" s="7">
        <v>1.12581E-2</v>
      </c>
      <c r="H44" s="53"/>
    </row>
    <row r="45" spans="1:8" ht="17.100000000000001" customHeight="1" x14ac:dyDescent="0.2">
      <c r="A45" s="3">
        <v>39</v>
      </c>
      <c r="B45" s="4" t="s">
        <v>342</v>
      </c>
      <c r="C45" s="4" t="s">
        <v>343</v>
      </c>
      <c r="D45" s="4" t="s">
        <v>130</v>
      </c>
      <c r="E45" s="5">
        <v>40208</v>
      </c>
      <c r="F45" s="6">
        <v>2880.0990400000001</v>
      </c>
      <c r="G45" s="7">
        <v>1.115557E-2</v>
      </c>
      <c r="H45" s="53"/>
    </row>
    <row r="46" spans="1:8" ht="17.100000000000001" customHeight="1" x14ac:dyDescent="0.2">
      <c r="A46" s="3">
        <v>40</v>
      </c>
      <c r="B46" s="4" t="s">
        <v>109</v>
      </c>
      <c r="C46" s="4" t="s">
        <v>110</v>
      </c>
      <c r="D46" s="4" t="s">
        <v>87</v>
      </c>
      <c r="E46" s="5">
        <v>402291</v>
      </c>
      <c r="F46" s="6">
        <v>2756.0956409999999</v>
      </c>
      <c r="G46" s="7">
        <v>1.0675270000000001E-2</v>
      </c>
      <c r="H46" s="53"/>
    </row>
    <row r="47" spans="1:8" ht="17.100000000000001" customHeight="1" x14ac:dyDescent="0.2">
      <c r="A47" s="3">
        <v>41</v>
      </c>
      <c r="B47" s="4" t="s">
        <v>348</v>
      </c>
      <c r="C47" s="4" t="s">
        <v>349</v>
      </c>
      <c r="D47" s="4" t="s">
        <v>206</v>
      </c>
      <c r="E47" s="5">
        <v>210000</v>
      </c>
      <c r="F47" s="6">
        <v>2646.9450000000002</v>
      </c>
      <c r="G47" s="7">
        <v>1.025249E-2</v>
      </c>
      <c r="H47" s="53"/>
    </row>
    <row r="48" spans="1:8" ht="17.100000000000001" customHeight="1" x14ac:dyDescent="0.2">
      <c r="A48" s="3">
        <v>42</v>
      </c>
      <c r="B48" s="4" t="s">
        <v>510</v>
      </c>
      <c r="C48" s="4" t="s">
        <v>511</v>
      </c>
      <c r="D48" s="4" t="s">
        <v>905</v>
      </c>
      <c r="E48" s="5">
        <v>150000</v>
      </c>
      <c r="F48" s="6">
        <v>2623.05</v>
      </c>
      <c r="G48" s="7">
        <v>1.0159939999999999E-2</v>
      </c>
      <c r="H48" s="53"/>
    </row>
    <row r="49" spans="1:8" ht="17.100000000000001" customHeight="1" x14ac:dyDescent="0.2">
      <c r="A49" s="3">
        <v>43</v>
      </c>
      <c r="B49" s="4" t="s">
        <v>512</v>
      </c>
      <c r="C49" s="4" t="s">
        <v>513</v>
      </c>
      <c r="D49" s="4" t="s">
        <v>286</v>
      </c>
      <c r="E49" s="5">
        <v>45640</v>
      </c>
      <c r="F49" s="6">
        <v>2544.45282</v>
      </c>
      <c r="G49" s="7">
        <v>9.8555099999999996E-3</v>
      </c>
      <c r="H49" s="53"/>
    </row>
    <row r="50" spans="1:8" ht="17.100000000000001" customHeight="1" x14ac:dyDescent="0.2">
      <c r="A50" s="3">
        <v>44</v>
      </c>
      <c r="B50" s="4" t="s">
        <v>514</v>
      </c>
      <c r="C50" s="4" t="s">
        <v>515</v>
      </c>
      <c r="D50" s="4" t="s">
        <v>905</v>
      </c>
      <c r="E50" s="5">
        <v>498569</v>
      </c>
      <c r="F50" s="6">
        <v>2541.206193</v>
      </c>
      <c r="G50" s="7">
        <v>9.8429299999999997E-3</v>
      </c>
      <c r="H50" s="53"/>
    </row>
    <row r="51" spans="1:8" ht="17.100000000000001" customHeight="1" x14ac:dyDescent="0.2">
      <c r="A51" s="3">
        <v>45</v>
      </c>
      <c r="B51" s="4" t="s">
        <v>516</v>
      </c>
      <c r="C51" s="4" t="s">
        <v>517</v>
      </c>
      <c r="D51" s="4" t="s">
        <v>905</v>
      </c>
      <c r="E51" s="5">
        <v>420673</v>
      </c>
      <c r="F51" s="6">
        <v>2530.7687679999999</v>
      </c>
      <c r="G51" s="7">
        <v>9.8025000000000004E-3</v>
      </c>
      <c r="H51" s="53"/>
    </row>
    <row r="52" spans="1:8" ht="17.100000000000001" customHeight="1" x14ac:dyDescent="0.2">
      <c r="A52" s="3">
        <v>46</v>
      </c>
      <c r="B52" s="4" t="s">
        <v>518</v>
      </c>
      <c r="C52" s="4" t="s">
        <v>519</v>
      </c>
      <c r="D52" s="4" t="s">
        <v>209</v>
      </c>
      <c r="E52" s="5">
        <v>94501</v>
      </c>
      <c r="F52" s="6">
        <v>2524.8304674999999</v>
      </c>
      <c r="G52" s="7">
        <v>9.7795E-3</v>
      </c>
      <c r="H52" s="53"/>
    </row>
    <row r="53" spans="1:8" ht="17.100000000000001" customHeight="1" x14ac:dyDescent="0.2">
      <c r="A53" s="3">
        <v>47</v>
      </c>
      <c r="B53" s="4" t="s">
        <v>520</v>
      </c>
      <c r="C53" s="4" t="s">
        <v>521</v>
      </c>
      <c r="D53" s="4" t="s">
        <v>73</v>
      </c>
      <c r="E53" s="5">
        <v>26125</v>
      </c>
      <c r="F53" s="6">
        <v>2483.7559999999999</v>
      </c>
      <c r="G53" s="7">
        <v>9.6204099999999994E-3</v>
      </c>
      <c r="H53" s="53"/>
    </row>
    <row r="54" spans="1:8" ht="29.1" customHeight="1" x14ac:dyDescent="0.2">
      <c r="A54" s="3">
        <v>48</v>
      </c>
      <c r="B54" s="4" t="s">
        <v>102</v>
      </c>
      <c r="C54" s="4" t="s">
        <v>103</v>
      </c>
      <c r="D54" s="4" t="s">
        <v>25</v>
      </c>
      <c r="E54" s="5">
        <v>74011</v>
      </c>
      <c r="F54" s="6">
        <v>2439.180527</v>
      </c>
      <c r="G54" s="7">
        <v>9.4477499999999996E-3</v>
      </c>
      <c r="H54" s="53"/>
    </row>
    <row r="55" spans="1:8" ht="17.100000000000001" customHeight="1" x14ac:dyDescent="0.2">
      <c r="A55" s="3">
        <v>49</v>
      </c>
      <c r="B55" s="4" t="s">
        <v>332</v>
      </c>
      <c r="C55" s="4" t="s">
        <v>333</v>
      </c>
      <c r="D55" s="4" t="s">
        <v>31</v>
      </c>
      <c r="E55" s="5">
        <v>255189</v>
      </c>
      <c r="F55" s="6">
        <v>2429.909658</v>
      </c>
      <c r="G55" s="7">
        <v>9.4118399999999994E-3</v>
      </c>
      <c r="H55" s="53"/>
    </row>
    <row r="56" spans="1:8" ht="17.100000000000001" customHeight="1" x14ac:dyDescent="0.2">
      <c r="A56" s="3">
        <v>50</v>
      </c>
      <c r="B56" s="4" t="s">
        <v>197</v>
      </c>
      <c r="C56" s="4" t="s">
        <v>198</v>
      </c>
      <c r="D56" s="4" t="s">
        <v>87</v>
      </c>
      <c r="E56" s="5">
        <v>82456</v>
      </c>
      <c r="F56" s="6">
        <v>2391.6362800000002</v>
      </c>
      <c r="G56" s="7">
        <v>9.2636000000000003E-3</v>
      </c>
      <c r="H56" s="53"/>
    </row>
    <row r="57" spans="1:8" ht="17.100000000000001" customHeight="1" x14ac:dyDescent="0.2">
      <c r="A57" s="3">
        <v>51</v>
      </c>
      <c r="B57" s="4" t="s">
        <v>522</v>
      </c>
      <c r="C57" s="4" t="s">
        <v>523</v>
      </c>
      <c r="D57" s="4" t="s">
        <v>397</v>
      </c>
      <c r="E57" s="5">
        <v>311824</v>
      </c>
      <c r="F57" s="6">
        <v>2333.067168</v>
      </c>
      <c r="G57" s="7">
        <v>9.0367399999999997E-3</v>
      </c>
      <c r="H57" s="53"/>
    </row>
    <row r="58" spans="1:8" ht="17.100000000000001" customHeight="1" x14ac:dyDescent="0.2">
      <c r="A58" s="3">
        <v>52</v>
      </c>
      <c r="B58" s="4" t="s">
        <v>71</v>
      </c>
      <c r="C58" s="4" t="s">
        <v>72</v>
      </c>
      <c r="D58" s="4" t="s">
        <v>73</v>
      </c>
      <c r="E58" s="5">
        <v>46375</v>
      </c>
      <c r="F58" s="6">
        <v>2320.5354375000002</v>
      </c>
      <c r="G58" s="7">
        <v>8.9882E-3</v>
      </c>
      <c r="H58" s="53"/>
    </row>
    <row r="59" spans="1:8" ht="17.100000000000001" customHeight="1" x14ac:dyDescent="0.2">
      <c r="A59" s="3">
        <v>53</v>
      </c>
      <c r="B59" s="4" t="s">
        <v>48</v>
      </c>
      <c r="C59" s="4" t="s">
        <v>49</v>
      </c>
      <c r="D59" s="4" t="s">
        <v>13</v>
      </c>
      <c r="E59" s="5">
        <v>690873</v>
      </c>
      <c r="F59" s="6">
        <v>2293.6983599999999</v>
      </c>
      <c r="G59" s="7">
        <v>8.8842499999999998E-3</v>
      </c>
      <c r="H59" s="53"/>
    </row>
    <row r="60" spans="1:8" ht="17.100000000000001" customHeight="1" x14ac:dyDescent="0.2">
      <c r="A60" s="3">
        <v>54</v>
      </c>
      <c r="B60" s="4" t="s">
        <v>524</v>
      </c>
      <c r="C60" s="4" t="s">
        <v>525</v>
      </c>
      <c r="D60" s="4" t="s">
        <v>397</v>
      </c>
      <c r="E60" s="5">
        <v>203182</v>
      </c>
      <c r="F60" s="6">
        <v>2188.2701400000001</v>
      </c>
      <c r="G60" s="7">
        <v>8.4758899999999998E-3</v>
      </c>
      <c r="H60" s="53"/>
    </row>
    <row r="61" spans="1:8" ht="17.100000000000001" customHeight="1" x14ac:dyDescent="0.2">
      <c r="A61" s="3">
        <v>55</v>
      </c>
      <c r="B61" s="4" t="s">
        <v>447</v>
      </c>
      <c r="C61" s="4" t="s">
        <v>448</v>
      </c>
      <c r="D61" s="4" t="s">
        <v>31</v>
      </c>
      <c r="E61" s="5">
        <v>300000</v>
      </c>
      <c r="F61" s="6">
        <v>2162.85</v>
      </c>
      <c r="G61" s="7">
        <v>8.3774299999999999E-3</v>
      </c>
      <c r="H61" s="53"/>
    </row>
    <row r="62" spans="1:8" ht="17.100000000000001" customHeight="1" x14ac:dyDescent="0.2">
      <c r="A62" s="3">
        <v>56</v>
      </c>
      <c r="B62" s="4" t="s">
        <v>526</v>
      </c>
      <c r="C62" s="4" t="s">
        <v>527</v>
      </c>
      <c r="D62" s="4" t="s">
        <v>73</v>
      </c>
      <c r="E62" s="5">
        <v>884000</v>
      </c>
      <c r="F62" s="6">
        <v>2111.8760000000002</v>
      </c>
      <c r="G62" s="7">
        <v>8.1799899999999998E-3</v>
      </c>
      <c r="H62" s="53"/>
    </row>
    <row r="63" spans="1:8" ht="29.1" customHeight="1" x14ac:dyDescent="0.2">
      <c r="A63" s="3">
        <v>57</v>
      </c>
      <c r="B63" s="4" t="s">
        <v>528</v>
      </c>
      <c r="C63" s="4" t="s">
        <v>529</v>
      </c>
      <c r="D63" s="4" t="s">
        <v>469</v>
      </c>
      <c r="E63" s="5">
        <v>525000</v>
      </c>
      <c r="F63" s="6">
        <v>2047.7625</v>
      </c>
      <c r="G63" s="7">
        <v>7.9316600000000001E-3</v>
      </c>
      <c r="H63" s="53"/>
    </row>
    <row r="64" spans="1:8" ht="53.1" customHeight="1" x14ac:dyDescent="0.2">
      <c r="A64" s="3">
        <v>58</v>
      </c>
      <c r="B64" s="4" t="s">
        <v>114</v>
      </c>
      <c r="C64" s="4" t="s">
        <v>115</v>
      </c>
      <c r="D64" s="4" t="s">
        <v>68</v>
      </c>
      <c r="E64" s="5">
        <v>82013</v>
      </c>
      <c r="F64" s="6">
        <v>2023.0556775</v>
      </c>
      <c r="G64" s="7">
        <v>7.8359599999999995E-3</v>
      </c>
      <c r="H64" s="53"/>
    </row>
    <row r="65" spans="1:8" ht="17.100000000000001" customHeight="1" x14ac:dyDescent="0.2">
      <c r="A65" s="3">
        <v>59</v>
      </c>
      <c r="B65" s="4" t="s">
        <v>88</v>
      </c>
      <c r="C65" s="4" t="s">
        <v>89</v>
      </c>
      <c r="D65" s="4" t="s">
        <v>87</v>
      </c>
      <c r="E65" s="5">
        <v>328271</v>
      </c>
      <c r="F65" s="6">
        <v>1955.1820760000001</v>
      </c>
      <c r="G65" s="7">
        <v>7.5730700000000003E-3</v>
      </c>
      <c r="H65" s="53"/>
    </row>
    <row r="66" spans="1:8" ht="17.100000000000001" customHeight="1" x14ac:dyDescent="0.2">
      <c r="A66" s="3">
        <v>60</v>
      </c>
      <c r="B66" s="4" t="s">
        <v>530</v>
      </c>
      <c r="C66" s="4" t="s">
        <v>531</v>
      </c>
      <c r="D66" s="4" t="s">
        <v>397</v>
      </c>
      <c r="E66" s="5">
        <v>80661</v>
      </c>
      <c r="F66" s="6">
        <v>1916.0617245000001</v>
      </c>
      <c r="G66" s="7">
        <v>7.4215399999999999E-3</v>
      </c>
      <c r="H66" s="53"/>
    </row>
    <row r="67" spans="1:8" ht="17.100000000000001" customHeight="1" x14ac:dyDescent="0.2">
      <c r="A67" s="3">
        <v>61</v>
      </c>
      <c r="B67" s="4" t="s">
        <v>532</v>
      </c>
      <c r="C67" s="4" t="s">
        <v>533</v>
      </c>
      <c r="D67" s="4" t="s">
        <v>108</v>
      </c>
      <c r="E67" s="5">
        <v>54249</v>
      </c>
      <c r="F67" s="6">
        <v>1861.7714309999999</v>
      </c>
      <c r="G67" s="7">
        <v>7.2112599999999997E-3</v>
      </c>
      <c r="H67" s="53"/>
    </row>
    <row r="68" spans="1:8" ht="17.100000000000001" customHeight="1" x14ac:dyDescent="0.2">
      <c r="A68" s="3">
        <v>62</v>
      </c>
      <c r="B68" s="4" t="s">
        <v>534</v>
      </c>
      <c r="C68" s="4" t="s">
        <v>535</v>
      </c>
      <c r="D68" s="4" t="s">
        <v>397</v>
      </c>
      <c r="E68" s="5">
        <v>160942</v>
      </c>
      <c r="F68" s="6">
        <v>1832.244199</v>
      </c>
      <c r="G68" s="7">
        <v>7.0968899999999998E-3</v>
      </c>
      <c r="H68" s="53"/>
    </row>
    <row r="69" spans="1:8" ht="17.100000000000001" customHeight="1" x14ac:dyDescent="0.2">
      <c r="A69" s="3">
        <v>63</v>
      </c>
      <c r="B69" s="4" t="s">
        <v>69</v>
      </c>
      <c r="C69" s="4" t="s">
        <v>70</v>
      </c>
      <c r="D69" s="4" t="s">
        <v>13</v>
      </c>
      <c r="E69" s="5">
        <v>634000</v>
      </c>
      <c r="F69" s="6">
        <v>1747.3040000000001</v>
      </c>
      <c r="G69" s="7">
        <v>6.7678900000000004E-3</v>
      </c>
      <c r="H69" s="53"/>
    </row>
    <row r="70" spans="1:8" ht="17.100000000000001" customHeight="1" x14ac:dyDescent="0.2">
      <c r="A70" s="3">
        <v>64</v>
      </c>
      <c r="B70" s="4" t="s">
        <v>400</v>
      </c>
      <c r="C70" s="4" t="s">
        <v>401</v>
      </c>
      <c r="D70" s="4" t="s">
        <v>73</v>
      </c>
      <c r="E70" s="5">
        <v>143771</v>
      </c>
      <c r="F70" s="6">
        <v>1742.935833</v>
      </c>
      <c r="G70" s="7">
        <v>6.7509700000000002E-3</v>
      </c>
      <c r="H70" s="53"/>
    </row>
    <row r="71" spans="1:8" ht="17.100000000000001" customHeight="1" x14ac:dyDescent="0.2">
      <c r="A71" s="3">
        <v>65</v>
      </c>
      <c r="B71" s="4" t="s">
        <v>338</v>
      </c>
      <c r="C71" s="4" t="s">
        <v>339</v>
      </c>
      <c r="D71" s="4" t="s">
        <v>28</v>
      </c>
      <c r="E71" s="5">
        <v>522077</v>
      </c>
      <c r="F71" s="6">
        <v>1672.734708</v>
      </c>
      <c r="G71" s="7">
        <v>6.4790500000000001E-3</v>
      </c>
      <c r="H71" s="53"/>
    </row>
    <row r="72" spans="1:8" ht="29.1" customHeight="1" x14ac:dyDescent="0.2">
      <c r="A72" s="3">
        <v>66</v>
      </c>
      <c r="B72" s="4" t="s">
        <v>536</v>
      </c>
      <c r="C72" s="4" t="s">
        <v>537</v>
      </c>
      <c r="D72" s="4" t="s">
        <v>481</v>
      </c>
      <c r="E72" s="5">
        <v>1000000</v>
      </c>
      <c r="F72" s="6">
        <v>1632</v>
      </c>
      <c r="G72" s="7">
        <v>6.3212700000000004E-3</v>
      </c>
      <c r="H72" s="53"/>
    </row>
    <row r="73" spans="1:8" ht="17.100000000000001" customHeight="1" x14ac:dyDescent="0.2">
      <c r="A73" s="3">
        <v>67</v>
      </c>
      <c r="B73" s="4" t="s">
        <v>257</v>
      </c>
      <c r="C73" s="4" t="s">
        <v>258</v>
      </c>
      <c r="D73" s="4" t="s">
        <v>73</v>
      </c>
      <c r="E73" s="5">
        <v>155725</v>
      </c>
      <c r="F73" s="6">
        <v>1631.9201375</v>
      </c>
      <c r="G73" s="7">
        <v>6.3209700000000004E-3</v>
      </c>
      <c r="H73" s="53"/>
    </row>
    <row r="74" spans="1:8" ht="17.100000000000001" customHeight="1" x14ac:dyDescent="0.2">
      <c r="A74" s="3">
        <v>68</v>
      </c>
      <c r="B74" s="4" t="s">
        <v>538</v>
      </c>
      <c r="C74" s="4" t="s">
        <v>539</v>
      </c>
      <c r="D74" s="4" t="s">
        <v>206</v>
      </c>
      <c r="E74" s="5">
        <v>103878</v>
      </c>
      <c r="F74" s="6">
        <v>1397.1591000000001</v>
      </c>
      <c r="G74" s="7">
        <v>5.4116600000000004E-3</v>
      </c>
      <c r="H74" s="53"/>
    </row>
    <row r="75" spans="1:8" ht="17.100000000000001" customHeight="1" x14ac:dyDescent="0.2">
      <c r="A75" s="3">
        <v>69</v>
      </c>
      <c r="B75" s="4" t="s">
        <v>453</v>
      </c>
      <c r="C75" s="4" t="s">
        <v>454</v>
      </c>
      <c r="D75" s="4" t="s">
        <v>31</v>
      </c>
      <c r="E75" s="5">
        <v>150000</v>
      </c>
      <c r="F75" s="6">
        <v>1383.9749999999999</v>
      </c>
      <c r="G75" s="7">
        <v>5.3605900000000001E-3</v>
      </c>
      <c r="H75" s="53"/>
    </row>
    <row r="76" spans="1:8" ht="17.100000000000001" customHeight="1" x14ac:dyDescent="0.2">
      <c r="A76" s="3">
        <v>70</v>
      </c>
      <c r="B76" s="4" t="s">
        <v>356</v>
      </c>
      <c r="C76" s="4" t="s">
        <v>357</v>
      </c>
      <c r="D76" s="4" t="s">
        <v>59</v>
      </c>
      <c r="E76" s="5">
        <v>98055</v>
      </c>
      <c r="F76" s="6">
        <v>1377.4766400000001</v>
      </c>
      <c r="G76" s="7">
        <v>5.3354199999999996E-3</v>
      </c>
      <c r="H76" s="53"/>
    </row>
    <row r="77" spans="1:8" ht="17.100000000000001" customHeight="1" x14ac:dyDescent="0.2">
      <c r="A77" s="3">
        <v>71</v>
      </c>
      <c r="B77" s="4" t="s">
        <v>215</v>
      </c>
      <c r="C77" s="4" t="s">
        <v>216</v>
      </c>
      <c r="D77" s="4" t="s">
        <v>905</v>
      </c>
      <c r="E77" s="5">
        <v>22000</v>
      </c>
      <c r="F77" s="6">
        <v>1181.5540000000001</v>
      </c>
      <c r="G77" s="7">
        <v>4.5765500000000004E-3</v>
      </c>
      <c r="H77" s="53"/>
    </row>
    <row r="78" spans="1:8" ht="17.100000000000001" customHeight="1" x14ac:dyDescent="0.2">
      <c r="A78" s="3">
        <v>72</v>
      </c>
      <c r="B78" s="4" t="s">
        <v>540</v>
      </c>
      <c r="C78" s="4" t="s">
        <v>541</v>
      </c>
      <c r="D78" s="4" t="s">
        <v>130</v>
      </c>
      <c r="E78" s="5">
        <v>630505</v>
      </c>
      <c r="F78" s="6">
        <v>554.84439999999995</v>
      </c>
      <c r="G78" s="7">
        <v>2.1491000000000001E-3</v>
      </c>
      <c r="H78" s="53"/>
    </row>
    <row r="79" spans="1:8" ht="29.1" customHeight="1" x14ac:dyDescent="0.2">
      <c r="A79" s="3">
        <v>73</v>
      </c>
      <c r="B79" s="4" t="s">
        <v>542</v>
      </c>
      <c r="C79" s="4" t="s">
        <v>543</v>
      </c>
      <c r="D79" s="4" t="s">
        <v>544</v>
      </c>
      <c r="E79" s="5">
        <v>16887</v>
      </c>
      <c r="F79" s="6">
        <v>64.4492355</v>
      </c>
      <c r="G79" s="7">
        <v>2.4962999999999998E-4</v>
      </c>
      <c r="H79" s="53"/>
    </row>
    <row r="80" spans="1:8" ht="14.1" customHeight="1" x14ac:dyDescent="0.2">
      <c r="A80" s="1"/>
      <c r="B80" s="1"/>
      <c r="C80" s="2" t="s">
        <v>144</v>
      </c>
      <c r="D80" s="1"/>
      <c r="E80" s="1" t="s">
        <v>145</v>
      </c>
      <c r="F80" s="9">
        <v>245622.10181551901</v>
      </c>
      <c r="G80" s="10">
        <v>0.95137548999999999</v>
      </c>
      <c r="H80" s="53"/>
    </row>
    <row r="81" spans="1:8" ht="14.1" customHeight="1" x14ac:dyDescent="0.2">
      <c r="A81" s="1"/>
      <c r="B81" s="1"/>
      <c r="C81" s="11"/>
      <c r="D81" s="1"/>
      <c r="E81" s="1"/>
      <c r="F81" s="12"/>
      <c r="G81" s="12"/>
      <c r="H81" s="53"/>
    </row>
    <row r="82" spans="1:8" ht="14.1" customHeight="1" x14ac:dyDescent="0.2">
      <c r="A82" s="1"/>
      <c r="B82" s="1"/>
      <c r="C82" s="2" t="s">
        <v>146</v>
      </c>
      <c r="D82" s="1"/>
      <c r="E82" s="1"/>
      <c r="F82" s="1"/>
      <c r="G82" s="1"/>
      <c r="H82" s="53"/>
    </row>
    <row r="83" spans="1:8" ht="14.1" customHeight="1" x14ac:dyDescent="0.2">
      <c r="A83" s="1"/>
      <c r="B83" s="1"/>
      <c r="C83" s="2" t="s">
        <v>144</v>
      </c>
      <c r="D83" s="1"/>
      <c r="E83" s="1" t="s">
        <v>145</v>
      </c>
      <c r="F83" s="13" t="s">
        <v>147</v>
      </c>
      <c r="G83" s="10">
        <v>0</v>
      </c>
      <c r="H83" s="53"/>
    </row>
    <row r="84" spans="1:8" ht="14.1" customHeight="1" x14ac:dyDescent="0.2">
      <c r="A84" s="1"/>
      <c r="B84" s="1"/>
      <c r="C84" s="11"/>
      <c r="D84" s="1"/>
      <c r="E84" s="1"/>
      <c r="F84" s="12"/>
      <c r="G84" s="12"/>
      <c r="H84" s="53"/>
    </row>
    <row r="85" spans="1:8" ht="14.1" customHeight="1" x14ac:dyDescent="0.2">
      <c r="A85" s="1"/>
      <c r="B85" s="1"/>
      <c r="C85" s="2" t="s">
        <v>148</v>
      </c>
      <c r="D85" s="1"/>
      <c r="E85" s="1"/>
      <c r="F85" s="1"/>
      <c r="G85" s="1"/>
      <c r="H85" s="53"/>
    </row>
    <row r="86" spans="1:8" ht="17.100000000000001" customHeight="1" x14ac:dyDescent="0.2">
      <c r="A86" s="3">
        <v>1</v>
      </c>
      <c r="B86" s="4" t="s">
        <v>141</v>
      </c>
      <c r="C86" s="40" t="s">
        <v>883</v>
      </c>
      <c r="D86" s="4" t="s">
        <v>142</v>
      </c>
      <c r="E86" s="5">
        <v>375961</v>
      </c>
      <c r="F86" s="6">
        <v>7.5190000000000003E-6</v>
      </c>
      <c r="G86" s="8" t="s">
        <v>143</v>
      </c>
      <c r="H86" s="53"/>
    </row>
    <row r="87" spans="1:8" ht="14.1" customHeight="1" x14ac:dyDescent="0.2">
      <c r="A87" s="1"/>
      <c r="B87" s="1"/>
      <c r="C87" s="2" t="s">
        <v>144</v>
      </c>
      <c r="D87" s="1"/>
      <c r="E87" s="1" t="s">
        <v>145</v>
      </c>
      <c r="F87" s="9">
        <f>SUM(F86)</f>
        <v>7.5190000000000003E-6</v>
      </c>
      <c r="G87" s="10">
        <f>SUM(G86)</f>
        <v>0</v>
      </c>
      <c r="H87" s="53"/>
    </row>
    <row r="88" spans="1:8" ht="14.1" customHeight="1" x14ac:dyDescent="0.2">
      <c r="A88" s="1"/>
      <c r="B88" s="1"/>
      <c r="C88" s="11"/>
      <c r="D88" s="1"/>
      <c r="E88" s="1"/>
      <c r="F88" s="12"/>
      <c r="G88" s="12"/>
      <c r="H88" s="53"/>
    </row>
    <row r="89" spans="1:8" ht="14.1" customHeight="1" x14ac:dyDescent="0.2">
      <c r="A89" s="1"/>
      <c r="B89" s="1"/>
      <c r="C89" s="2" t="s">
        <v>149</v>
      </c>
      <c r="D89" s="1"/>
      <c r="E89" s="1"/>
      <c r="F89" s="1"/>
      <c r="G89" s="1"/>
      <c r="H89" s="53"/>
    </row>
    <row r="90" spans="1:8" ht="14.1" customHeight="1" x14ac:dyDescent="0.2">
      <c r="A90" s="1"/>
      <c r="B90" s="1"/>
      <c r="C90" s="2" t="s">
        <v>144</v>
      </c>
      <c r="D90" s="1"/>
      <c r="E90" s="1" t="s">
        <v>145</v>
      </c>
      <c r="F90" s="13" t="s">
        <v>147</v>
      </c>
      <c r="G90" s="10">
        <v>0</v>
      </c>
      <c r="H90" s="53"/>
    </row>
    <row r="91" spans="1:8" ht="14.1" customHeight="1" x14ac:dyDescent="0.2">
      <c r="A91" s="1"/>
      <c r="B91" s="1"/>
      <c r="C91" s="11"/>
      <c r="D91" s="1"/>
      <c r="E91" s="1"/>
      <c r="F91" s="12"/>
      <c r="G91" s="12"/>
      <c r="H91" s="53"/>
    </row>
    <row r="92" spans="1:8" ht="14.1" customHeight="1" x14ac:dyDescent="0.2">
      <c r="A92" s="1"/>
      <c r="B92" s="1"/>
      <c r="C92" s="2" t="s">
        <v>150</v>
      </c>
      <c r="D92" s="1"/>
      <c r="E92" s="1"/>
      <c r="F92" s="12"/>
      <c r="G92" s="12"/>
      <c r="H92" s="53"/>
    </row>
    <row r="93" spans="1:8" ht="14.1" customHeight="1" x14ac:dyDescent="0.2">
      <c r="A93" s="1"/>
      <c r="B93" s="1"/>
      <c r="C93" s="2" t="s">
        <v>144</v>
      </c>
      <c r="D93" s="1"/>
      <c r="E93" s="1" t="s">
        <v>145</v>
      </c>
      <c r="F93" s="13" t="s">
        <v>147</v>
      </c>
      <c r="G93" s="10">
        <v>0</v>
      </c>
      <c r="H93" s="53"/>
    </row>
    <row r="94" spans="1:8" ht="14.1" customHeight="1" x14ac:dyDescent="0.2">
      <c r="A94" s="1"/>
      <c r="B94" s="1"/>
      <c r="C94" s="11"/>
      <c r="D94" s="1"/>
      <c r="E94" s="1"/>
      <c r="F94" s="12"/>
      <c r="G94" s="12"/>
      <c r="H94" s="53"/>
    </row>
    <row r="95" spans="1:8" ht="14.1" customHeight="1" x14ac:dyDescent="0.2">
      <c r="A95" s="1"/>
      <c r="B95" s="1"/>
      <c r="C95" s="2" t="s">
        <v>151</v>
      </c>
      <c r="D95" s="1"/>
      <c r="E95" s="1"/>
      <c r="F95" s="12"/>
      <c r="G95" s="12"/>
      <c r="H95" s="53"/>
    </row>
    <row r="96" spans="1:8" ht="14.1" customHeight="1" x14ac:dyDescent="0.2">
      <c r="A96" s="1"/>
      <c r="B96" s="1"/>
      <c r="C96" s="2" t="s">
        <v>144</v>
      </c>
      <c r="D96" s="1"/>
      <c r="E96" s="1" t="s">
        <v>145</v>
      </c>
      <c r="F96" s="13" t="s">
        <v>147</v>
      </c>
      <c r="G96" s="10">
        <v>0</v>
      </c>
      <c r="H96" s="53"/>
    </row>
    <row r="97" spans="1:8" ht="14.1" customHeight="1" x14ac:dyDescent="0.2">
      <c r="A97" s="1"/>
      <c r="B97" s="1"/>
      <c r="C97" s="11"/>
      <c r="D97" s="1"/>
      <c r="E97" s="1"/>
      <c r="F97" s="12"/>
      <c r="G97" s="12"/>
      <c r="H97" s="53"/>
    </row>
    <row r="98" spans="1:8" ht="18" customHeight="1" x14ac:dyDescent="0.2">
      <c r="A98" s="1"/>
      <c r="B98" s="1"/>
      <c r="C98" s="2" t="s">
        <v>152</v>
      </c>
      <c r="D98" s="1"/>
      <c r="E98" s="1"/>
      <c r="F98" s="9">
        <v>245622.10181551901</v>
      </c>
      <c r="G98" s="10">
        <v>0.95137548999999999</v>
      </c>
      <c r="H98" s="53"/>
    </row>
    <row r="99" spans="1:8" ht="14.1" customHeight="1" x14ac:dyDescent="0.2">
      <c r="A99" s="1"/>
      <c r="B99" s="1"/>
      <c r="C99" s="11"/>
      <c r="D99" s="1"/>
      <c r="E99" s="1"/>
      <c r="F99" s="12"/>
      <c r="G99" s="12"/>
      <c r="H99" s="53"/>
    </row>
    <row r="100" spans="1:8" ht="14.1" customHeight="1" x14ac:dyDescent="0.2">
      <c r="A100" s="1"/>
      <c r="B100" s="1"/>
      <c r="C100" s="2" t="s">
        <v>153</v>
      </c>
      <c r="D100" s="1"/>
      <c r="E100" s="1"/>
      <c r="F100" s="12"/>
      <c r="G100" s="12"/>
      <c r="H100" s="53"/>
    </row>
    <row r="101" spans="1:8" ht="24" customHeight="1" x14ac:dyDescent="0.2">
      <c r="A101" s="1"/>
      <c r="B101" s="1"/>
      <c r="C101" s="2" t="s">
        <v>10</v>
      </c>
      <c r="D101" s="1"/>
      <c r="E101" s="1"/>
      <c r="F101" s="12"/>
      <c r="G101" s="12"/>
      <c r="H101" s="53"/>
    </row>
    <row r="102" spans="1:8" ht="14.1" customHeight="1" x14ac:dyDescent="0.2">
      <c r="A102" s="1"/>
      <c r="B102" s="1"/>
      <c r="C102" s="2" t="s">
        <v>144</v>
      </c>
      <c r="D102" s="1"/>
      <c r="E102" s="1" t="s">
        <v>145</v>
      </c>
      <c r="F102" s="13" t="s">
        <v>147</v>
      </c>
      <c r="G102" s="10">
        <v>0</v>
      </c>
      <c r="H102" s="53"/>
    </row>
    <row r="103" spans="1:8" ht="14.1" customHeight="1" x14ac:dyDescent="0.2">
      <c r="A103" s="1"/>
      <c r="B103" s="1"/>
      <c r="C103" s="11"/>
      <c r="D103" s="1"/>
      <c r="E103" s="1"/>
      <c r="F103" s="12"/>
      <c r="G103" s="12"/>
      <c r="H103" s="53"/>
    </row>
    <row r="104" spans="1:8" ht="14.1" customHeight="1" x14ac:dyDescent="0.2">
      <c r="A104" s="1"/>
      <c r="B104" s="1"/>
      <c r="C104" s="2" t="s">
        <v>154</v>
      </c>
      <c r="D104" s="1"/>
      <c r="E104" s="1"/>
      <c r="F104" s="1"/>
      <c r="G104" s="1"/>
      <c r="H104" s="53"/>
    </row>
    <row r="105" spans="1:8" ht="14.1" customHeight="1" x14ac:dyDescent="0.2">
      <c r="A105" s="1"/>
      <c r="B105" s="1"/>
      <c r="C105" s="2" t="s">
        <v>144</v>
      </c>
      <c r="D105" s="1"/>
      <c r="E105" s="1" t="s">
        <v>145</v>
      </c>
      <c r="F105" s="13" t="s">
        <v>147</v>
      </c>
      <c r="G105" s="10">
        <v>0</v>
      </c>
      <c r="H105" s="53"/>
    </row>
    <row r="106" spans="1:8" ht="14.1" customHeight="1" x14ac:dyDescent="0.2">
      <c r="A106" s="1"/>
      <c r="B106" s="1"/>
      <c r="C106" s="11"/>
      <c r="D106" s="1"/>
      <c r="E106" s="1"/>
      <c r="F106" s="12"/>
      <c r="G106" s="12"/>
      <c r="H106" s="53"/>
    </row>
    <row r="107" spans="1:8" ht="14.1" customHeight="1" x14ac:dyDescent="0.2">
      <c r="A107" s="1"/>
      <c r="B107" s="1"/>
      <c r="C107" s="2" t="s">
        <v>155</v>
      </c>
      <c r="D107" s="1"/>
      <c r="E107" s="1"/>
      <c r="F107" s="1"/>
      <c r="G107" s="1"/>
      <c r="H107" s="53"/>
    </row>
    <row r="108" spans="1:8" ht="14.1" customHeight="1" x14ac:dyDescent="0.2">
      <c r="A108" s="1"/>
      <c r="B108" s="1"/>
      <c r="C108" s="2" t="s">
        <v>144</v>
      </c>
      <c r="D108" s="1"/>
      <c r="E108" s="1" t="s">
        <v>145</v>
      </c>
      <c r="F108" s="13" t="s">
        <v>147</v>
      </c>
      <c r="G108" s="10">
        <v>0</v>
      </c>
      <c r="H108" s="53"/>
    </row>
    <row r="109" spans="1:8" ht="14.1" customHeight="1" x14ac:dyDescent="0.2">
      <c r="A109" s="1"/>
      <c r="B109" s="1"/>
      <c r="C109" s="11"/>
      <c r="D109" s="1"/>
      <c r="E109" s="1"/>
      <c r="F109" s="12"/>
      <c r="G109" s="12"/>
      <c r="H109" s="53"/>
    </row>
    <row r="110" spans="1:8" ht="14.1" customHeight="1" x14ac:dyDescent="0.2">
      <c r="A110" s="1"/>
      <c r="B110" s="1"/>
      <c r="C110" s="2" t="s">
        <v>156</v>
      </c>
      <c r="D110" s="1"/>
      <c r="E110" s="1"/>
      <c r="F110" s="12"/>
      <c r="G110" s="12"/>
      <c r="H110" s="53"/>
    </row>
    <row r="111" spans="1:8" ht="14.1" customHeight="1" x14ac:dyDescent="0.2">
      <c r="A111" s="1"/>
      <c r="B111" s="1"/>
      <c r="C111" s="2" t="s">
        <v>144</v>
      </c>
      <c r="D111" s="1"/>
      <c r="E111" s="1" t="s">
        <v>145</v>
      </c>
      <c r="F111" s="13" t="s">
        <v>147</v>
      </c>
      <c r="G111" s="10">
        <v>0</v>
      </c>
      <c r="H111" s="53"/>
    </row>
    <row r="112" spans="1:8" ht="14.1" customHeight="1" x14ac:dyDescent="0.2">
      <c r="A112" s="1"/>
      <c r="B112" s="1"/>
      <c r="C112" s="11"/>
      <c r="D112" s="1"/>
      <c r="E112" s="1"/>
      <c r="F112" s="12"/>
      <c r="G112" s="12"/>
      <c r="H112" s="53"/>
    </row>
    <row r="113" spans="1:8" ht="14.1" customHeight="1" x14ac:dyDescent="0.2">
      <c r="A113" s="1"/>
      <c r="B113" s="1"/>
      <c r="C113" s="2" t="s">
        <v>157</v>
      </c>
      <c r="D113" s="1"/>
      <c r="E113" s="1"/>
      <c r="F113" s="9">
        <v>0</v>
      </c>
      <c r="G113" s="10">
        <v>0</v>
      </c>
      <c r="H113" s="53"/>
    </row>
    <row r="114" spans="1:8" ht="14.1" customHeight="1" x14ac:dyDescent="0.2">
      <c r="A114" s="1"/>
      <c r="B114" s="1"/>
      <c r="C114" s="11"/>
      <c r="D114" s="1"/>
      <c r="E114" s="1"/>
      <c r="F114" s="12"/>
      <c r="G114" s="12"/>
      <c r="H114" s="53"/>
    </row>
    <row r="115" spans="1:8" ht="14.1" customHeight="1" x14ac:dyDescent="0.2">
      <c r="A115" s="1"/>
      <c r="B115" s="1"/>
      <c r="C115" s="2" t="s">
        <v>158</v>
      </c>
      <c r="D115" s="1"/>
      <c r="E115" s="1"/>
      <c r="F115" s="12"/>
      <c r="G115" s="12"/>
      <c r="H115" s="53"/>
    </row>
    <row r="116" spans="1:8" ht="14.1" customHeight="1" x14ac:dyDescent="0.2">
      <c r="A116" s="1"/>
      <c r="B116" s="1"/>
      <c r="C116" s="2" t="s">
        <v>159</v>
      </c>
      <c r="D116" s="1"/>
      <c r="E116" s="1"/>
      <c r="F116" s="12"/>
      <c r="G116" s="12"/>
      <c r="H116" s="53"/>
    </row>
    <row r="117" spans="1:8" ht="14.1" customHeight="1" x14ac:dyDescent="0.2">
      <c r="A117" s="1"/>
      <c r="B117" s="1"/>
      <c r="C117" s="2" t="s">
        <v>144</v>
      </c>
      <c r="D117" s="1"/>
      <c r="E117" s="1" t="s">
        <v>145</v>
      </c>
      <c r="F117" s="13" t="s">
        <v>147</v>
      </c>
      <c r="G117" s="10">
        <v>0</v>
      </c>
      <c r="H117" s="53"/>
    </row>
    <row r="118" spans="1:8" ht="14.1" customHeight="1" x14ac:dyDescent="0.2">
      <c r="A118" s="1"/>
      <c r="B118" s="1"/>
      <c r="C118" s="11"/>
      <c r="D118" s="1"/>
      <c r="E118" s="1"/>
      <c r="F118" s="12"/>
      <c r="G118" s="12"/>
      <c r="H118" s="53"/>
    </row>
    <row r="119" spans="1:8" ht="14.1" customHeight="1" x14ac:dyDescent="0.2">
      <c r="A119" s="1"/>
      <c r="B119" s="1"/>
      <c r="C119" s="2" t="s">
        <v>160</v>
      </c>
      <c r="D119" s="1"/>
      <c r="E119" s="1"/>
      <c r="F119" s="12"/>
      <c r="G119" s="12"/>
      <c r="H119" s="53"/>
    </row>
    <row r="120" spans="1:8" ht="14.1" customHeight="1" x14ac:dyDescent="0.2">
      <c r="A120" s="1"/>
      <c r="B120" s="1"/>
      <c r="C120" s="2" t="s">
        <v>144</v>
      </c>
      <c r="D120" s="1"/>
      <c r="E120" s="1" t="s">
        <v>145</v>
      </c>
      <c r="F120" s="13" t="s">
        <v>147</v>
      </c>
      <c r="G120" s="10">
        <v>0</v>
      </c>
      <c r="H120" s="53"/>
    </row>
    <row r="121" spans="1:8" ht="14.1" customHeight="1" x14ac:dyDescent="0.2">
      <c r="A121" s="1"/>
      <c r="B121" s="1"/>
      <c r="C121" s="11"/>
      <c r="D121" s="1"/>
      <c r="E121" s="1"/>
      <c r="F121" s="12"/>
      <c r="G121" s="12"/>
      <c r="H121" s="53"/>
    </row>
    <row r="122" spans="1:8" ht="14.1" customHeight="1" x14ac:dyDescent="0.2">
      <c r="A122" s="1"/>
      <c r="B122" s="1"/>
      <c r="C122" s="2" t="s">
        <v>161</v>
      </c>
      <c r="D122" s="1"/>
      <c r="E122" s="1"/>
      <c r="F122" s="12"/>
      <c r="G122" s="12"/>
      <c r="H122" s="53"/>
    </row>
    <row r="123" spans="1:8" ht="14.1" customHeight="1" x14ac:dyDescent="0.2">
      <c r="A123" s="1"/>
      <c r="B123" s="1"/>
      <c r="C123" s="2" t="s">
        <v>144</v>
      </c>
      <c r="D123" s="1"/>
      <c r="E123" s="1" t="s">
        <v>145</v>
      </c>
      <c r="F123" s="13" t="s">
        <v>147</v>
      </c>
      <c r="G123" s="10">
        <v>0</v>
      </c>
      <c r="H123" s="53"/>
    </row>
    <row r="124" spans="1:8" ht="14.1" customHeight="1" x14ac:dyDescent="0.2">
      <c r="A124" s="1"/>
      <c r="B124" s="1"/>
      <c r="C124" s="11"/>
      <c r="D124" s="1"/>
      <c r="E124" s="1"/>
      <c r="F124" s="12"/>
      <c r="G124" s="12"/>
      <c r="H124" s="53"/>
    </row>
    <row r="125" spans="1:8" ht="14.1" customHeight="1" x14ac:dyDescent="0.2">
      <c r="A125" s="1"/>
      <c r="B125" s="1"/>
      <c r="C125" s="2" t="s">
        <v>162</v>
      </c>
      <c r="D125" s="1"/>
      <c r="E125" s="1"/>
      <c r="F125" s="12"/>
      <c r="G125" s="12"/>
      <c r="H125" s="53"/>
    </row>
    <row r="126" spans="1:8" ht="17.100000000000001" customHeight="1" x14ac:dyDescent="0.2">
      <c r="A126" s="3">
        <v>1</v>
      </c>
      <c r="B126" s="4"/>
      <c r="C126" s="4" t="s">
        <v>163</v>
      </c>
      <c r="D126" s="4"/>
      <c r="E126" s="8"/>
      <c r="F126" s="6">
        <v>8584.9676430109994</v>
      </c>
      <c r="G126" s="7">
        <v>3.3252410000000003E-2</v>
      </c>
      <c r="H126" s="51">
        <v>6.6602331647804478</v>
      </c>
    </row>
    <row r="127" spans="1:8" ht="17.100000000000001" customHeight="1" x14ac:dyDescent="0.2">
      <c r="A127" s="3">
        <v>2</v>
      </c>
      <c r="B127" s="4"/>
      <c r="C127" s="4" t="s">
        <v>164</v>
      </c>
      <c r="D127" s="4"/>
      <c r="E127" s="8"/>
      <c r="F127" s="6">
        <v>6563.4491384000003</v>
      </c>
      <c r="G127" s="7">
        <v>2.5422400000000001E-2</v>
      </c>
      <c r="H127" s="51">
        <v>6.6588225936582406</v>
      </c>
    </row>
    <row r="128" spans="1:8" ht="14.1" customHeight="1" x14ac:dyDescent="0.2">
      <c r="A128" s="1"/>
      <c r="B128" s="1"/>
      <c r="C128" s="2" t="s">
        <v>144</v>
      </c>
      <c r="D128" s="1"/>
      <c r="E128" s="1" t="s">
        <v>145</v>
      </c>
      <c r="F128" s="9">
        <v>15148.416781411001</v>
      </c>
      <c r="G128" s="10">
        <v>5.8674810000000001E-2</v>
      </c>
      <c r="H128" s="53"/>
    </row>
    <row r="129" spans="1:8" ht="14.1" customHeight="1" x14ac:dyDescent="0.2">
      <c r="A129" s="1"/>
      <c r="B129" s="1"/>
      <c r="C129" s="11"/>
      <c r="D129" s="1"/>
      <c r="E129" s="1"/>
      <c r="F129" s="12"/>
      <c r="G129" s="12"/>
      <c r="H129" s="53"/>
    </row>
    <row r="130" spans="1:8" ht="14.1" customHeight="1" x14ac:dyDescent="0.2">
      <c r="A130" s="1"/>
      <c r="B130" s="1"/>
      <c r="C130" s="2" t="s">
        <v>165</v>
      </c>
      <c r="D130" s="1"/>
      <c r="E130" s="1"/>
      <c r="F130" s="9">
        <v>15148.416781411001</v>
      </c>
      <c r="G130" s="10">
        <v>5.8674810000000001E-2</v>
      </c>
      <c r="H130" s="53"/>
    </row>
    <row r="131" spans="1:8" ht="14.1" customHeight="1" x14ac:dyDescent="0.2">
      <c r="A131" s="1"/>
      <c r="B131" s="1"/>
      <c r="C131" s="12"/>
      <c r="D131" s="1"/>
      <c r="E131" s="1"/>
      <c r="F131" s="1"/>
      <c r="G131" s="1"/>
      <c r="H131" s="53"/>
    </row>
    <row r="132" spans="1:8" ht="14.1" customHeight="1" x14ac:dyDescent="0.2">
      <c r="A132" s="1"/>
      <c r="B132" s="1"/>
      <c r="C132" s="2" t="s">
        <v>166</v>
      </c>
      <c r="D132" s="1"/>
      <c r="E132" s="1"/>
      <c r="F132" s="1"/>
      <c r="G132" s="1"/>
      <c r="H132" s="53"/>
    </row>
    <row r="133" spans="1:8" ht="14.1" customHeight="1" x14ac:dyDescent="0.2">
      <c r="A133" s="1"/>
      <c r="B133" s="1"/>
      <c r="C133" s="2" t="s">
        <v>167</v>
      </c>
      <c r="D133" s="1"/>
      <c r="E133" s="1"/>
      <c r="F133" s="1"/>
      <c r="G133" s="1"/>
      <c r="H133" s="53"/>
    </row>
    <row r="134" spans="1:8" ht="14.1" customHeight="1" x14ac:dyDescent="0.2">
      <c r="A134" s="1"/>
      <c r="B134" s="1"/>
      <c r="C134" s="2" t="s">
        <v>144</v>
      </c>
      <c r="D134" s="1"/>
      <c r="E134" s="1" t="s">
        <v>145</v>
      </c>
      <c r="F134" s="13" t="s">
        <v>147</v>
      </c>
      <c r="G134" s="10">
        <v>0</v>
      </c>
      <c r="H134" s="53"/>
    </row>
    <row r="135" spans="1:8" ht="14.1" customHeight="1" x14ac:dyDescent="0.2">
      <c r="A135" s="1"/>
      <c r="B135" s="1"/>
      <c r="C135" s="11"/>
      <c r="D135" s="1"/>
      <c r="E135" s="1"/>
      <c r="F135" s="12"/>
      <c r="G135" s="12"/>
      <c r="H135" s="53"/>
    </row>
    <row r="136" spans="1:8" ht="14.1" customHeight="1" x14ac:dyDescent="0.2">
      <c r="A136" s="1"/>
      <c r="B136" s="1"/>
      <c r="C136" s="2" t="s">
        <v>168</v>
      </c>
      <c r="D136" s="1"/>
      <c r="E136" s="1"/>
      <c r="F136" s="1"/>
      <c r="G136" s="1"/>
      <c r="H136" s="53"/>
    </row>
    <row r="137" spans="1:8" ht="14.1" customHeight="1" x14ac:dyDescent="0.2">
      <c r="A137" s="1"/>
      <c r="B137" s="1"/>
      <c r="C137" s="2" t="s">
        <v>169</v>
      </c>
      <c r="D137" s="1"/>
      <c r="E137" s="1"/>
      <c r="F137" s="1"/>
      <c r="G137" s="1"/>
      <c r="H137" s="53"/>
    </row>
    <row r="138" spans="1:8" ht="14.1" customHeight="1" x14ac:dyDescent="0.2">
      <c r="A138" s="1"/>
      <c r="B138" s="1"/>
      <c r="C138" s="2" t="s">
        <v>144</v>
      </c>
      <c r="D138" s="1"/>
      <c r="E138" s="1" t="s">
        <v>145</v>
      </c>
      <c r="F138" s="13" t="s">
        <v>147</v>
      </c>
      <c r="G138" s="10">
        <v>0</v>
      </c>
      <c r="H138" s="53"/>
    </row>
    <row r="139" spans="1:8" ht="14.1" customHeight="1" x14ac:dyDescent="0.2">
      <c r="A139" s="1"/>
      <c r="B139" s="1"/>
      <c r="C139" s="11"/>
      <c r="D139" s="1"/>
      <c r="E139" s="1"/>
      <c r="F139" s="12"/>
      <c r="G139" s="12"/>
      <c r="H139" s="53"/>
    </row>
    <row r="140" spans="1:8" ht="24" customHeight="1" x14ac:dyDescent="0.2">
      <c r="A140" s="1"/>
      <c r="B140" s="1"/>
      <c r="C140" s="2" t="s">
        <v>170</v>
      </c>
      <c r="D140" s="1"/>
      <c r="E140" s="1"/>
      <c r="F140" s="12"/>
      <c r="G140" s="12"/>
      <c r="H140" s="53"/>
    </row>
    <row r="141" spans="1:8" ht="14.1" customHeight="1" x14ac:dyDescent="0.2">
      <c r="A141" s="1"/>
      <c r="B141" s="1"/>
      <c r="C141" s="2" t="s">
        <v>144</v>
      </c>
      <c r="D141" s="1"/>
      <c r="E141" s="1" t="s">
        <v>145</v>
      </c>
      <c r="F141" s="13" t="s">
        <v>147</v>
      </c>
      <c r="G141" s="10">
        <v>0</v>
      </c>
      <c r="H141" s="53"/>
    </row>
    <row r="142" spans="1:8" ht="14.1" customHeight="1" x14ac:dyDescent="0.2">
      <c r="A142" s="1"/>
      <c r="B142" s="1"/>
      <c r="C142" s="11"/>
      <c r="D142" s="1"/>
      <c r="E142" s="1"/>
      <c r="F142" s="12"/>
      <c r="G142" s="12"/>
      <c r="H142" s="53"/>
    </row>
    <row r="143" spans="1:8" ht="14.1" customHeight="1" x14ac:dyDescent="0.2">
      <c r="A143" s="1"/>
      <c r="B143" s="4"/>
      <c r="C143" s="4"/>
      <c r="D143" s="2"/>
      <c r="E143" s="1"/>
      <c r="F143" s="4"/>
      <c r="G143" s="8"/>
      <c r="H143" s="53"/>
    </row>
    <row r="144" spans="1:8" ht="18" customHeight="1" x14ac:dyDescent="0.2">
      <c r="A144" s="8"/>
      <c r="B144" s="4"/>
      <c r="C144" s="4" t="s">
        <v>171</v>
      </c>
      <c r="D144" s="4"/>
      <c r="E144" s="8"/>
      <c r="F144" s="6">
        <v>-2594.7277571999998</v>
      </c>
      <c r="G144" s="7">
        <f>F144/F145</f>
        <v>-1.00502365026578E-2</v>
      </c>
      <c r="H144" s="53"/>
    </row>
    <row r="145" spans="1:14" ht="14.1" customHeight="1" x14ac:dyDescent="0.2">
      <c r="A145" s="11"/>
      <c r="B145" s="11"/>
      <c r="C145" s="2" t="s">
        <v>172</v>
      </c>
      <c r="D145" s="12"/>
      <c r="E145" s="12"/>
      <c r="F145" s="9">
        <v>258175.79083973001</v>
      </c>
      <c r="G145" s="14">
        <v>1.0000000600000001</v>
      </c>
      <c r="H145" s="53"/>
    </row>
    <row r="146" spans="1:14" ht="14.1" customHeight="1" x14ac:dyDescent="0.2">
      <c r="A146" s="15"/>
      <c r="B146" s="15"/>
      <c r="C146" s="15"/>
      <c r="D146" s="16"/>
      <c r="E146" s="16"/>
      <c r="F146" s="16"/>
      <c r="G146" s="16"/>
    </row>
    <row r="147" spans="1:14" ht="17.100000000000001" customHeight="1" x14ac:dyDescent="0.2">
      <c r="A147" s="17"/>
      <c r="B147" s="230" t="s">
        <v>173</v>
      </c>
      <c r="C147" s="230"/>
      <c r="D147" s="230"/>
      <c r="E147" s="230"/>
      <c r="F147" s="230"/>
      <c r="G147" s="19"/>
    </row>
    <row r="148" spans="1:14" ht="14.1" customHeight="1" x14ac:dyDescent="0.2">
      <c r="A148" s="17"/>
      <c r="B148" s="17"/>
      <c r="C148" s="17"/>
      <c r="D148" s="19"/>
      <c r="E148" s="19"/>
      <c r="F148" s="19"/>
      <c r="G148" s="19"/>
    </row>
    <row r="149" spans="1:14" ht="14.1" customHeight="1" x14ac:dyDescent="0.2">
      <c r="A149" s="17"/>
      <c r="B149" s="231" t="s">
        <v>174</v>
      </c>
      <c r="C149" s="232"/>
      <c r="D149" s="233"/>
      <c r="E149" s="20"/>
      <c r="F149" s="19"/>
      <c r="G149" s="19"/>
    </row>
    <row r="150" spans="1:14" ht="29.1" customHeight="1" x14ac:dyDescent="0.2">
      <c r="A150" s="17"/>
      <c r="B150" s="226" t="s">
        <v>175</v>
      </c>
      <c r="C150" s="227"/>
      <c r="D150" s="2" t="s">
        <v>176</v>
      </c>
      <c r="E150" s="20"/>
      <c r="F150" s="19"/>
      <c r="G150" s="19"/>
    </row>
    <row r="151" spans="1:14" ht="17.100000000000001" customHeight="1" x14ac:dyDescent="0.2">
      <c r="A151" s="17"/>
      <c r="B151" s="228" t="s">
        <v>884</v>
      </c>
      <c r="C151" s="229"/>
      <c r="D151" s="42" t="s">
        <v>885</v>
      </c>
      <c r="E151" s="20"/>
      <c r="F151" s="19"/>
      <c r="G151" s="19"/>
    </row>
    <row r="152" spans="1:14" ht="17.100000000000001" customHeight="1" x14ac:dyDescent="0.2">
      <c r="A152" s="17"/>
      <c r="B152" s="226" t="s">
        <v>178</v>
      </c>
      <c r="C152" s="227"/>
      <c r="D152" s="12" t="s">
        <v>145</v>
      </c>
      <c r="E152" s="20"/>
      <c r="F152" s="19"/>
      <c r="G152" s="19"/>
    </row>
    <row r="153" spans="1:14" ht="24" customHeight="1" x14ac:dyDescent="0.2">
      <c r="A153" s="21"/>
      <c r="B153" s="22" t="s">
        <v>145</v>
      </c>
      <c r="C153" s="22" t="s">
        <v>179</v>
      </c>
      <c r="D153" s="22" t="s">
        <v>180</v>
      </c>
      <c r="E153" s="21"/>
      <c r="F153" s="21"/>
      <c r="G153" s="21"/>
    </row>
    <row r="154" spans="1:14" ht="18" customHeight="1" x14ac:dyDescent="0.2">
      <c r="A154" s="21"/>
      <c r="B154" s="23" t="s">
        <v>181</v>
      </c>
      <c r="C154" s="22" t="s">
        <v>182</v>
      </c>
      <c r="D154" s="22" t="s">
        <v>183</v>
      </c>
      <c r="E154" s="21"/>
      <c r="F154" s="21"/>
      <c r="G154" s="21"/>
    </row>
    <row r="155" spans="1:14" ht="17.100000000000001" customHeight="1" x14ac:dyDescent="0.2">
      <c r="A155" s="21"/>
      <c r="B155" s="4" t="s">
        <v>184</v>
      </c>
      <c r="C155" s="24">
        <v>194.7818</v>
      </c>
      <c r="D155" s="24">
        <v>203.19300000000001</v>
      </c>
      <c r="E155" s="21"/>
      <c r="F155" s="18"/>
      <c r="G155" s="25"/>
    </row>
    <row r="156" spans="1:14" ht="17.100000000000001" customHeight="1" x14ac:dyDescent="0.2">
      <c r="A156" s="21"/>
      <c r="B156" s="4" t="s">
        <v>1009</v>
      </c>
      <c r="C156" s="24">
        <v>31.771899999999999</v>
      </c>
      <c r="D156" s="24">
        <v>33.143900000000002</v>
      </c>
      <c r="E156" s="21"/>
      <c r="F156" s="18"/>
      <c r="G156" s="25"/>
      <c r="J156" s="143"/>
      <c r="K156" s="143"/>
      <c r="L156" s="143"/>
      <c r="M156" s="143"/>
      <c r="N156" s="143"/>
    </row>
    <row r="157" spans="1:14" ht="17.100000000000001" customHeight="1" x14ac:dyDescent="0.2">
      <c r="A157" s="21"/>
      <c r="B157" s="4" t="s">
        <v>185</v>
      </c>
      <c r="C157" s="24">
        <v>179.7859</v>
      </c>
      <c r="D157" s="24">
        <v>187.37209999999999</v>
      </c>
      <c r="E157" s="21"/>
      <c r="F157" s="18"/>
      <c r="G157" s="25"/>
    </row>
    <row r="158" spans="1:14" ht="17.100000000000001" customHeight="1" x14ac:dyDescent="0.2">
      <c r="A158" s="21"/>
      <c r="B158" s="4" t="s">
        <v>1010</v>
      </c>
      <c r="C158" s="24">
        <v>28.540500000000002</v>
      </c>
      <c r="D158" s="24">
        <v>29.744800000000001</v>
      </c>
      <c r="E158" s="21"/>
      <c r="F158" s="18"/>
      <c r="G158" s="25"/>
    </row>
    <row r="159" spans="1:14" ht="14.1" customHeight="1" x14ac:dyDescent="0.2">
      <c r="A159" s="21"/>
      <c r="B159" s="21"/>
      <c r="C159" s="21"/>
      <c r="D159" s="21"/>
      <c r="E159" s="21"/>
      <c r="F159" s="21"/>
      <c r="G159" s="21"/>
    </row>
    <row r="160" spans="1:14" ht="17.100000000000001" customHeight="1" x14ac:dyDescent="0.2">
      <c r="A160" s="21"/>
      <c r="B160" s="226" t="s">
        <v>1011</v>
      </c>
      <c r="C160" s="227"/>
      <c r="D160" s="42" t="s">
        <v>176</v>
      </c>
      <c r="E160" s="21"/>
      <c r="F160" s="21"/>
      <c r="G160" s="21"/>
    </row>
    <row r="161" spans="1:7" ht="18" customHeight="1" x14ac:dyDescent="0.2">
      <c r="A161" s="21"/>
      <c r="B161" s="26"/>
      <c r="C161" s="26"/>
      <c r="D161" s="26"/>
      <c r="E161" s="21"/>
      <c r="F161" s="21"/>
      <c r="G161" s="21"/>
    </row>
    <row r="162" spans="1:7" ht="29.1" customHeight="1" x14ac:dyDescent="0.2">
      <c r="A162" s="21"/>
      <c r="B162" s="226" t="s">
        <v>186</v>
      </c>
      <c r="C162" s="227"/>
      <c r="D162" s="2" t="s">
        <v>176</v>
      </c>
      <c r="E162" s="27"/>
      <c r="F162" s="21"/>
      <c r="G162" s="21"/>
    </row>
    <row r="163" spans="1:7" ht="29.1" customHeight="1" x14ac:dyDescent="0.2">
      <c r="A163" s="21"/>
      <c r="B163" s="226" t="s">
        <v>187</v>
      </c>
      <c r="C163" s="227"/>
      <c r="D163" s="2" t="s">
        <v>176</v>
      </c>
      <c r="E163" s="27"/>
      <c r="F163" s="21"/>
      <c r="G163" s="21"/>
    </row>
    <row r="164" spans="1:7" ht="17.100000000000001" customHeight="1" x14ac:dyDescent="0.2">
      <c r="A164" s="21"/>
      <c r="B164" s="226" t="s">
        <v>188</v>
      </c>
      <c r="C164" s="227"/>
      <c r="D164" s="2" t="s">
        <v>176</v>
      </c>
      <c r="E164" s="27"/>
      <c r="F164" s="21"/>
      <c r="G164" s="21"/>
    </row>
    <row r="165" spans="1:7" ht="17.100000000000001" customHeight="1" x14ac:dyDescent="0.2">
      <c r="A165" s="21"/>
      <c r="B165" s="226" t="s">
        <v>189</v>
      </c>
      <c r="C165" s="227"/>
      <c r="D165" s="57">
        <v>0.38046181870351597</v>
      </c>
      <c r="E165" s="21"/>
      <c r="F165" s="18"/>
      <c r="G165" s="25"/>
    </row>
  </sheetData>
  <mergeCells count="14">
    <mergeCell ref="A1:H1"/>
    <mergeCell ref="A2:H2"/>
    <mergeCell ref="A3:H3"/>
    <mergeCell ref="J2:N2"/>
    <mergeCell ref="B165:C165"/>
    <mergeCell ref="B151:C151"/>
    <mergeCell ref="B152:C152"/>
    <mergeCell ref="B160:C160"/>
    <mergeCell ref="B162:C162"/>
    <mergeCell ref="B163:C163"/>
    <mergeCell ref="B164:C164"/>
    <mergeCell ref="B150:C150"/>
    <mergeCell ref="B147:F147"/>
    <mergeCell ref="B149:D149"/>
  </mergeCells>
  <hyperlinks>
    <hyperlink ref="I1" location="Index!B16" display="Index" xr:uid="{858446F4-15EF-4DB7-A8C7-62FA291E2398}"/>
  </hyperlinks>
  <pageMargins left="5.000000074505806E-2" right="5.000000074505806E-2" top="0.30000001192092896" bottom="0.20000000298023224" header="0" footer="0"/>
  <pageSetup paperSize="9"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O246"/>
  <sheetViews>
    <sheetView showGridLines="0" workbookViewId="0">
      <selection activeCell="C100" sqref="C100"/>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28515625" customWidth="1"/>
    <col min="9" max="9" width="9" customWidth="1"/>
    <col min="11" max="11" width="16.7109375" bestFit="1" customWidth="1"/>
  </cols>
  <sheetData>
    <row r="1" spans="1:15" ht="18" customHeight="1" x14ac:dyDescent="0.2">
      <c r="A1" s="221" t="s">
        <v>0</v>
      </c>
      <c r="B1" s="221"/>
      <c r="C1" s="221"/>
      <c r="D1" s="221"/>
      <c r="E1" s="221"/>
      <c r="F1" s="221"/>
      <c r="G1" s="221"/>
      <c r="H1" s="221"/>
      <c r="I1" s="221"/>
      <c r="J1" s="138" t="s">
        <v>1024</v>
      </c>
      <c r="K1" s="54"/>
      <c r="L1" s="54"/>
      <c r="M1" s="54"/>
      <c r="N1" s="54"/>
      <c r="O1" s="54"/>
    </row>
    <row r="2" spans="1:15" ht="17.100000000000001" customHeight="1" x14ac:dyDescent="0.2">
      <c r="A2" s="221" t="s">
        <v>545</v>
      </c>
      <c r="B2" s="258"/>
      <c r="C2" s="258"/>
      <c r="D2" s="258"/>
      <c r="E2" s="258"/>
      <c r="F2" s="258"/>
      <c r="G2" s="258"/>
      <c r="H2" s="258"/>
      <c r="I2" s="258"/>
      <c r="K2" s="225" t="s">
        <v>1025</v>
      </c>
      <c r="L2" s="225"/>
      <c r="M2" s="225"/>
      <c r="N2" s="225"/>
      <c r="O2" s="225"/>
    </row>
    <row r="3" spans="1:15" ht="21" customHeight="1" x14ac:dyDescent="0.2">
      <c r="A3" s="221" t="s">
        <v>1019</v>
      </c>
      <c r="B3" s="221"/>
      <c r="C3" s="221"/>
      <c r="D3" s="221"/>
      <c r="E3" s="221"/>
      <c r="F3" s="221"/>
      <c r="G3" s="221"/>
      <c r="H3" s="221"/>
      <c r="I3" s="221"/>
      <c r="K3" s="54"/>
      <c r="L3" s="54"/>
      <c r="M3" s="54"/>
      <c r="N3" s="54"/>
      <c r="O3" s="54"/>
    </row>
    <row r="4" spans="1:15" s="135" customFormat="1" ht="45" x14ac:dyDescent="0.2">
      <c r="A4" s="134" t="s">
        <v>2</v>
      </c>
      <c r="B4" s="134" t="s">
        <v>3</v>
      </c>
      <c r="C4" s="134" t="s">
        <v>4</v>
      </c>
      <c r="D4" s="134" t="s">
        <v>5</v>
      </c>
      <c r="E4" s="134" t="s">
        <v>6</v>
      </c>
      <c r="F4" s="134" t="s">
        <v>7</v>
      </c>
      <c r="G4" s="134" t="s">
        <v>8</v>
      </c>
      <c r="H4" s="131" t="s">
        <v>1023</v>
      </c>
      <c r="I4" s="131" t="s">
        <v>1008</v>
      </c>
      <c r="K4" s="137"/>
      <c r="L4" s="137"/>
      <c r="M4" s="137"/>
      <c r="N4" s="137"/>
      <c r="O4" s="137"/>
    </row>
    <row r="5" spans="1:15" ht="14.1" customHeight="1" x14ac:dyDescent="0.2">
      <c r="A5" s="1"/>
      <c r="B5" s="1"/>
      <c r="C5" s="2" t="s">
        <v>9</v>
      </c>
      <c r="D5" s="1"/>
      <c r="E5" s="1"/>
      <c r="F5" s="1"/>
      <c r="G5" s="1"/>
      <c r="H5" s="53"/>
      <c r="I5" s="53"/>
      <c r="K5" s="54"/>
      <c r="L5" s="54"/>
      <c r="M5" s="54"/>
      <c r="N5" s="54"/>
      <c r="O5" s="54"/>
    </row>
    <row r="6" spans="1:15" ht="24" customHeight="1" x14ac:dyDescent="0.2">
      <c r="A6" s="1"/>
      <c r="B6" s="1"/>
      <c r="C6" s="2" t="s">
        <v>10</v>
      </c>
      <c r="D6" s="1"/>
      <c r="E6" s="1"/>
      <c r="F6" s="1"/>
      <c r="G6" s="1"/>
      <c r="H6" s="53"/>
      <c r="I6" s="53"/>
      <c r="K6" s="54"/>
      <c r="L6" s="54"/>
      <c r="M6" s="54"/>
      <c r="N6" s="54"/>
      <c r="O6" s="54"/>
    </row>
    <row r="7" spans="1:15" ht="17.100000000000001" customHeight="1" x14ac:dyDescent="0.2">
      <c r="A7" s="3">
        <v>1</v>
      </c>
      <c r="B7" s="4" t="s">
        <v>310</v>
      </c>
      <c r="C7" s="4" t="s">
        <v>311</v>
      </c>
      <c r="D7" s="4" t="s">
        <v>28</v>
      </c>
      <c r="E7" s="5">
        <v>1375000</v>
      </c>
      <c r="F7" s="6">
        <v>21607.4375</v>
      </c>
      <c r="G7" s="7">
        <v>6.1316910000000002E-2</v>
      </c>
      <c r="H7" s="53"/>
      <c r="I7" s="53"/>
      <c r="K7" s="54"/>
      <c r="L7" s="54"/>
      <c r="M7" s="54"/>
      <c r="N7" s="54"/>
      <c r="O7" s="54"/>
    </row>
    <row r="8" spans="1:15" ht="17.100000000000001" customHeight="1" x14ac:dyDescent="0.2">
      <c r="A8" s="3">
        <v>2</v>
      </c>
      <c r="B8" s="4" t="s">
        <v>26</v>
      </c>
      <c r="C8" s="4" t="s">
        <v>27</v>
      </c>
      <c r="D8" s="4" t="s">
        <v>28</v>
      </c>
      <c r="E8" s="5">
        <v>1885000</v>
      </c>
      <c r="F8" s="6">
        <v>18072.4375</v>
      </c>
      <c r="G8" s="7">
        <v>5.1285400000000002E-2</v>
      </c>
      <c r="H8" s="53"/>
      <c r="I8" s="53"/>
      <c r="K8" s="54"/>
      <c r="L8" s="54"/>
      <c r="M8" s="54"/>
      <c r="N8" s="54"/>
      <c r="O8" s="54"/>
    </row>
    <row r="9" spans="1:15" ht="17.100000000000001" customHeight="1" x14ac:dyDescent="0.2">
      <c r="A9" s="3">
        <v>3</v>
      </c>
      <c r="B9" s="4" t="s">
        <v>20</v>
      </c>
      <c r="C9" s="4" t="s">
        <v>21</v>
      </c>
      <c r="D9" s="4" t="s">
        <v>22</v>
      </c>
      <c r="E9" s="5">
        <v>605000</v>
      </c>
      <c r="F9" s="6">
        <v>14562.35</v>
      </c>
      <c r="G9" s="7">
        <v>4.132458E-2</v>
      </c>
      <c r="H9" s="53"/>
      <c r="I9" s="53"/>
      <c r="K9" s="54"/>
      <c r="L9" s="54"/>
      <c r="M9" s="54"/>
      <c r="N9" s="54"/>
      <c r="O9" s="54"/>
    </row>
    <row r="10" spans="1:15" ht="17.100000000000001" customHeight="1" x14ac:dyDescent="0.2">
      <c r="A10" s="3">
        <v>4</v>
      </c>
      <c r="B10" s="4" t="s">
        <v>312</v>
      </c>
      <c r="C10" s="4" t="s">
        <v>313</v>
      </c>
      <c r="D10" s="4" t="s">
        <v>905</v>
      </c>
      <c r="E10" s="5">
        <v>950000</v>
      </c>
      <c r="F10" s="6">
        <v>13636.775</v>
      </c>
      <c r="G10" s="7">
        <v>3.8698009999999998E-2</v>
      </c>
      <c r="H10" s="53"/>
      <c r="I10" s="53"/>
      <c r="K10" s="54"/>
      <c r="L10" s="54"/>
      <c r="M10" s="54"/>
      <c r="N10" s="54"/>
      <c r="O10" s="54"/>
    </row>
    <row r="11" spans="1:15" ht="17.100000000000001" customHeight="1" x14ac:dyDescent="0.2">
      <c r="A11" s="3">
        <v>5</v>
      </c>
      <c r="B11" s="4" t="s">
        <v>11</v>
      </c>
      <c r="C11" s="4" t="s">
        <v>12</v>
      </c>
      <c r="D11" s="4" t="s">
        <v>13</v>
      </c>
      <c r="E11" s="5">
        <v>325000</v>
      </c>
      <c r="F11" s="6">
        <v>8783.7749999999996</v>
      </c>
      <c r="G11" s="7">
        <v>2.4926319999999998E-2</v>
      </c>
      <c r="H11" s="53"/>
      <c r="I11" s="53"/>
      <c r="K11" s="54"/>
      <c r="L11" s="54"/>
      <c r="M11" s="54"/>
      <c r="N11" s="54"/>
      <c r="O11" s="54"/>
    </row>
    <row r="12" spans="1:15" ht="17.100000000000001" customHeight="1" x14ac:dyDescent="0.2">
      <c r="A12" s="3">
        <v>6</v>
      </c>
      <c r="B12" s="4" t="s">
        <v>14</v>
      </c>
      <c r="C12" s="4" t="s">
        <v>15</v>
      </c>
      <c r="D12" s="4" t="s">
        <v>16</v>
      </c>
      <c r="E12" s="5">
        <v>1000000</v>
      </c>
      <c r="F12" s="6">
        <v>8564</v>
      </c>
      <c r="G12" s="7">
        <v>2.4302649999999999E-2</v>
      </c>
      <c r="H12" s="53"/>
      <c r="I12" s="53"/>
      <c r="L12" s="54"/>
      <c r="M12" s="54"/>
      <c r="N12" s="54"/>
      <c r="O12" s="54"/>
    </row>
    <row r="13" spans="1:15" ht="17.100000000000001" customHeight="1" x14ac:dyDescent="0.2">
      <c r="A13" s="3">
        <v>7</v>
      </c>
      <c r="B13" s="4" t="s">
        <v>32</v>
      </c>
      <c r="C13" s="4" t="s">
        <v>33</v>
      </c>
      <c r="D13" s="4" t="s">
        <v>28</v>
      </c>
      <c r="E13" s="5">
        <v>1400000</v>
      </c>
      <c r="F13" s="6">
        <v>7858.9</v>
      </c>
      <c r="G13" s="7">
        <v>2.230174E-2</v>
      </c>
      <c r="H13" s="53"/>
      <c r="I13" s="53"/>
      <c r="K13" s="142" t="s">
        <v>1042</v>
      </c>
      <c r="L13" s="54"/>
      <c r="M13" s="54"/>
      <c r="N13" s="54"/>
      <c r="O13" s="54"/>
    </row>
    <row r="14" spans="1:15" ht="29.1" customHeight="1" x14ac:dyDescent="0.2">
      <c r="A14" s="3">
        <v>8</v>
      </c>
      <c r="B14" s="4" t="s">
        <v>316</v>
      </c>
      <c r="C14" s="4" t="s">
        <v>317</v>
      </c>
      <c r="D14" s="4" t="s">
        <v>224</v>
      </c>
      <c r="E14" s="5">
        <v>651000</v>
      </c>
      <c r="F14" s="6">
        <v>7236.5159999999996</v>
      </c>
      <c r="G14" s="7">
        <v>2.0535560000000001E-2</v>
      </c>
      <c r="H14" s="53"/>
      <c r="I14" s="53"/>
      <c r="K14" s="54"/>
      <c r="L14" s="54"/>
      <c r="M14" s="54"/>
      <c r="N14" s="54"/>
      <c r="O14" s="54"/>
    </row>
    <row r="15" spans="1:15" ht="17.100000000000001" customHeight="1" x14ac:dyDescent="0.2">
      <c r="A15" s="3">
        <v>9</v>
      </c>
      <c r="B15" s="4" t="s">
        <v>195</v>
      </c>
      <c r="C15" s="4" t="s">
        <v>196</v>
      </c>
      <c r="D15" s="4" t="s">
        <v>73</v>
      </c>
      <c r="E15" s="5">
        <v>2352756</v>
      </c>
      <c r="F15" s="6">
        <v>5924.2396079999999</v>
      </c>
      <c r="G15" s="7">
        <v>1.6811619999999999E-2</v>
      </c>
      <c r="H15" s="53"/>
      <c r="I15" s="53"/>
      <c r="K15" s="54"/>
      <c r="L15" s="54"/>
      <c r="M15" s="54"/>
      <c r="N15" s="54"/>
      <c r="O15" s="54"/>
    </row>
    <row r="16" spans="1:15" ht="17.100000000000001" customHeight="1" x14ac:dyDescent="0.2">
      <c r="A16" s="3">
        <v>10</v>
      </c>
      <c r="B16" s="4" t="s">
        <v>314</v>
      </c>
      <c r="C16" s="4" t="s">
        <v>315</v>
      </c>
      <c r="D16" s="4" t="s">
        <v>28</v>
      </c>
      <c r="E16" s="5">
        <v>550000</v>
      </c>
      <c r="F16" s="6">
        <v>5354.25</v>
      </c>
      <c r="G16" s="7">
        <v>1.519412E-2</v>
      </c>
      <c r="H16" s="53"/>
      <c r="I16" s="53"/>
      <c r="K16" s="54"/>
      <c r="L16" s="54"/>
      <c r="M16" s="54"/>
      <c r="N16" s="54"/>
      <c r="O16" s="54"/>
    </row>
    <row r="17" spans="1:15" ht="17.100000000000001" customHeight="1" x14ac:dyDescent="0.2">
      <c r="A17" s="3">
        <v>11</v>
      </c>
      <c r="B17" s="4" t="s">
        <v>546</v>
      </c>
      <c r="C17" s="4" t="s">
        <v>547</v>
      </c>
      <c r="D17" s="4" t="s">
        <v>281</v>
      </c>
      <c r="E17" s="5">
        <v>520000</v>
      </c>
      <c r="F17" s="6">
        <v>5239.26</v>
      </c>
      <c r="G17" s="7">
        <v>1.486781E-2</v>
      </c>
      <c r="H17" s="53"/>
      <c r="I17" s="53"/>
      <c r="K17" s="54"/>
      <c r="L17" s="54"/>
      <c r="M17" s="54"/>
      <c r="N17" s="54"/>
      <c r="O17" s="54"/>
    </row>
    <row r="18" spans="1:15" ht="17.100000000000001" customHeight="1" x14ac:dyDescent="0.2">
      <c r="A18" s="3">
        <v>12</v>
      </c>
      <c r="B18" s="4" t="s">
        <v>295</v>
      </c>
      <c r="C18" s="4" t="s">
        <v>296</v>
      </c>
      <c r="D18" s="4" t="s">
        <v>281</v>
      </c>
      <c r="E18" s="5">
        <v>500000</v>
      </c>
      <c r="F18" s="6">
        <v>4497.5</v>
      </c>
      <c r="G18" s="7">
        <v>1.2762870000000001E-2</v>
      </c>
      <c r="H18" s="53"/>
      <c r="I18" s="53"/>
      <c r="K18" s="54"/>
      <c r="L18" s="54"/>
      <c r="M18" s="54"/>
      <c r="N18" s="54"/>
      <c r="O18" s="54"/>
    </row>
    <row r="19" spans="1:15" ht="17.100000000000001" customHeight="1" x14ac:dyDescent="0.2">
      <c r="A19" s="3">
        <v>13</v>
      </c>
      <c r="B19" s="4" t="s">
        <v>398</v>
      </c>
      <c r="C19" s="4" t="s">
        <v>399</v>
      </c>
      <c r="D19" s="4" t="s">
        <v>229</v>
      </c>
      <c r="E19" s="5">
        <v>475000</v>
      </c>
      <c r="F19" s="6">
        <v>4456.6875</v>
      </c>
      <c r="G19" s="7">
        <v>1.264705E-2</v>
      </c>
      <c r="H19" s="53"/>
      <c r="I19" s="53"/>
      <c r="K19" s="54"/>
      <c r="L19" s="54"/>
      <c r="M19" s="54"/>
      <c r="N19" s="54"/>
      <c r="O19" s="54"/>
    </row>
    <row r="20" spans="1:15" ht="17.100000000000001" customHeight="1" x14ac:dyDescent="0.2">
      <c r="A20" s="3">
        <v>14</v>
      </c>
      <c r="B20" s="4" t="s">
        <v>193</v>
      </c>
      <c r="C20" s="4" t="s">
        <v>194</v>
      </c>
      <c r="D20" s="4" t="s">
        <v>130</v>
      </c>
      <c r="E20" s="5">
        <v>230000</v>
      </c>
      <c r="F20" s="6">
        <v>4435.09</v>
      </c>
      <c r="G20" s="7">
        <v>1.258576E-2</v>
      </c>
      <c r="H20" s="53"/>
      <c r="I20" s="53"/>
      <c r="K20" s="54"/>
      <c r="L20" s="54"/>
      <c r="M20" s="54"/>
      <c r="N20" s="54"/>
      <c r="O20" s="54"/>
    </row>
    <row r="21" spans="1:15" ht="17.100000000000001" customHeight="1" x14ac:dyDescent="0.2">
      <c r="A21" s="3">
        <v>15</v>
      </c>
      <c r="B21" s="4" t="s">
        <v>439</v>
      </c>
      <c r="C21" s="4" t="s">
        <v>440</v>
      </c>
      <c r="D21" s="4" t="s">
        <v>130</v>
      </c>
      <c r="E21" s="5">
        <v>500363</v>
      </c>
      <c r="F21" s="6">
        <v>4174.2783275000002</v>
      </c>
      <c r="G21" s="7">
        <v>1.1845639999999999E-2</v>
      </c>
      <c r="H21" s="53"/>
      <c r="I21" s="53"/>
      <c r="K21" s="54"/>
      <c r="L21" s="54"/>
      <c r="M21" s="54"/>
      <c r="N21" s="54"/>
      <c r="O21" s="54"/>
    </row>
    <row r="22" spans="1:15" ht="17.100000000000001" customHeight="1" x14ac:dyDescent="0.2">
      <c r="A22" s="3">
        <v>16</v>
      </c>
      <c r="B22" s="4" t="s">
        <v>318</v>
      </c>
      <c r="C22" s="4" t="s">
        <v>319</v>
      </c>
      <c r="D22" s="4" t="s">
        <v>905</v>
      </c>
      <c r="E22" s="5">
        <v>120000</v>
      </c>
      <c r="F22" s="6">
        <v>4028.16</v>
      </c>
      <c r="G22" s="7">
        <v>1.143099E-2</v>
      </c>
      <c r="H22" s="53"/>
      <c r="I22" s="53"/>
      <c r="K22" s="54"/>
      <c r="L22" s="54"/>
      <c r="M22" s="54"/>
      <c r="N22" s="54"/>
      <c r="O22" s="54"/>
    </row>
    <row r="23" spans="1:15" ht="17.100000000000001" customHeight="1" x14ac:dyDescent="0.2">
      <c r="A23" s="3">
        <v>17</v>
      </c>
      <c r="B23" s="4" t="s">
        <v>106</v>
      </c>
      <c r="C23" s="4" t="s">
        <v>107</v>
      </c>
      <c r="D23" s="4" t="s">
        <v>108</v>
      </c>
      <c r="E23" s="5">
        <v>40000</v>
      </c>
      <c r="F23" s="6">
        <v>4001.52</v>
      </c>
      <c r="G23" s="7">
        <v>1.135539E-2</v>
      </c>
      <c r="H23" s="53"/>
      <c r="I23" s="53"/>
      <c r="K23" s="54"/>
      <c r="L23" s="54"/>
      <c r="M23" s="54"/>
      <c r="N23" s="54"/>
      <c r="O23" s="54"/>
    </row>
    <row r="24" spans="1:15" ht="17.100000000000001" customHeight="1" x14ac:dyDescent="0.2">
      <c r="A24" s="3">
        <v>18</v>
      </c>
      <c r="B24" s="4" t="s">
        <v>336</v>
      </c>
      <c r="C24" s="4" t="s">
        <v>337</v>
      </c>
      <c r="D24" s="4" t="s">
        <v>331</v>
      </c>
      <c r="E24" s="5">
        <v>159437</v>
      </c>
      <c r="F24" s="6">
        <v>3993.9765685000002</v>
      </c>
      <c r="G24" s="7">
        <v>1.133398E-2</v>
      </c>
      <c r="H24" s="53"/>
      <c r="I24" s="53"/>
      <c r="K24" s="54"/>
      <c r="L24" s="54"/>
      <c r="M24" s="54"/>
      <c r="N24" s="54"/>
      <c r="O24" s="54"/>
    </row>
    <row r="25" spans="1:15" ht="17.100000000000001" customHeight="1" x14ac:dyDescent="0.2">
      <c r="A25" s="3">
        <v>19</v>
      </c>
      <c r="B25" s="4" t="s">
        <v>17</v>
      </c>
      <c r="C25" s="4" t="s">
        <v>18</v>
      </c>
      <c r="D25" s="4" t="s">
        <v>19</v>
      </c>
      <c r="E25" s="5">
        <v>1750000</v>
      </c>
      <c r="F25" s="6">
        <v>3855.25</v>
      </c>
      <c r="G25" s="7">
        <v>1.094031E-2</v>
      </c>
      <c r="H25" s="53"/>
      <c r="I25" s="53"/>
      <c r="K25" s="54"/>
      <c r="L25" s="54"/>
      <c r="M25" s="54"/>
      <c r="N25" s="54"/>
      <c r="O25" s="54"/>
    </row>
    <row r="26" spans="1:15" ht="29.1" customHeight="1" x14ac:dyDescent="0.2">
      <c r="A26" s="3">
        <v>20</v>
      </c>
      <c r="B26" s="4" t="s">
        <v>212</v>
      </c>
      <c r="C26" s="4" t="s">
        <v>213</v>
      </c>
      <c r="D26" s="4" t="s">
        <v>214</v>
      </c>
      <c r="E26" s="5">
        <v>350000</v>
      </c>
      <c r="F26" s="6">
        <v>3818.3249999999998</v>
      </c>
      <c r="G26" s="7">
        <v>1.083552E-2</v>
      </c>
      <c r="H26" s="53"/>
      <c r="I26" s="53"/>
      <c r="K26" s="54"/>
      <c r="L26" s="54"/>
      <c r="M26" s="54"/>
      <c r="N26" s="54"/>
      <c r="O26" s="54"/>
    </row>
    <row r="27" spans="1:15" ht="17.100000000000001" customHeight="1" x14ac:dyDescent="0.2">
      <c r="A27" s="3">
        <v>21</v>
      </c>
      <c r="B27" s="4" t="s">
        <v>461</v>
      </c>
      <c r="C27" s="4" t="s">
        <v>462</v>
      </c>
      <c r="D27" s="4" t="s">
        <v>221</v>
      </c>
      <c r="E27" s="5">
        <v>275000</v>
      </c>
      <c r="F27" s="6">
        <v>3554.5124999999998</v>
      </c>
      <c r="G27" s="7">
        <v>1.0086889999999999E-2</v>
      </c>
      <c r="H27" s="53"/>
      <c r="I27" s="53"/>
      <c r="K27" s="54"/>
      <c r="L27" s="54"/>
      <c r="M27" s="54"/>
      <c r="N27" s="54"/>
      <c r="O27" s="54"/>
    </row>
    <row r="28" spans="1:15" ht="17.100000000000001" customHeight="1" x14ac:dyDescent="0.2">
      <c r="A28" s="3">
        <v>22</v>
      </c>
      <c r="B28" s="4" t="s">
        <v>366</v>
      </c>
      <c r="C28" s="4" t="s">
        <v>367</v>
      </c>
      <c r="D28" s="4" t="s">
        <v>130</v>
      </c>
      <c r="E28" s="5">
        <v>235000</v>
      </c>
      <c r="F28" s="6">
        <v>3498.915</v>
      </c>
      <c r="G28" s="7">
        <v>9.9291099999999997E-3</v>
      </c>
      <c r="H28" s="53"/>
      <c r="I28" s="53"/>
      <c r="K28" s="54"/>
      <c r="L28" s="54"/>
      <c r="M28" s="54"/>
      <c r="N28" s="54"/>
      <c r="O28" s="54"/>
    </row>
    <row r="29" spans="1:15" ht="17.100000000000001" customHeight="1" x14ac:dyDescent="0.2">
      <c r="A29" s="3">
        <v>23</v>
      </c>
      <c r="B29" s="4" t="s">
        <v>548</v>
      </c>
      <c r="C29" s="4" t="s">
        <v>549</v>
      </c>
      <c r="D29" s="4" t="s">
        <v>286</v>
      </c>
      <c r="E29" s="5">
        <v>330000</v>
      </c>
      <c r="F29" s="6">
        <v>3316.9949999999999</v>
      </c>
      <c r="G29" s="7">
        <v>9.4128700000000003E-3</v>
      </c>
      <c r="H29" s="53"/>
      <c r="I29" s="53"/>
    </row>
    <row r="30" spans="1:15" ht="53.1" customHeight="1" x14ac:dyDescent="0.2">
      <c r="A30" s="3">
        <v>24</v>
      </c>
      <c r="B30" s="4" t="s">
        <v>66</v>
      </c>
      <c r="C30" s="4" t="s">
        <v>67</v>
      </c>
      <c r="D30" s="4" t="s">
        <v>68</v>
      </c>
      <c r="E30" s="5">
        <v>1800000</v>
      </c>
      <c r="F30" s="6">
        <v>3309.3</v>
      </c>
      <c r="G30" s="7">
        <v>9.3910299999999999E-3</v>
      </c>
      <c r="H30" s="53"/>
      <c r="I30" s="53"/>
    </row>
    <row r="31" spans="1:15" ht="17.100000000000001" customHeight="1" x14ac:dyDescent="0.2">
      <c r="A31" s="3">
        <v>25</v>
      </c>
      <c r="B31" s="4" t="s">
        <v>550</v>
      </c>
      <c r="C31" s="4" t="s">
        <v>551</v>
      </c>
      <c r="D31" s="4" t="s">
        <v>108</v>
      </c>
      <c r="E31" s="5">
        <v>200000</v>
      </c>
      <c r="F31" s="6">
        <v>3150.8</v>
      </c>
      <c r="G31" s="7">
        <v>8.9412399999999996E-3</v>
      </c>
      <c r="H31" s="53"/>
      <c r="I31" s="53"/>
    </row>
    <row r="32" spans="1:15" ht="29.1" customHeight="1" x14ac:dyDescent="0.2">
      <c r="A32" s="3">
        <v>26</v>
      </c>
      <c r="B32" s="4" t="s">
        <v>222</v>
      </c>
      <c r="C32" s="4" t="s">
        <v>223</v>
      </c>
      <c r="D32" s="4" t="s">
        <v>224</v>
      </c>
      <c r="E32" s="5">
        <v>500000</v>
      </c>
      <c r="F32" s="6">
        <v>3129.25</v>
      </c>
      <c r="G32" s="7">
        <v>8.8800900000000002E-3</v>
      </c>
      <c r="H32" s="53"/>
      <c r="I32" s="53"/>
    </row>
    <row r="33" spans="1:9" ht="17.100000000000001" customHeight="1" x14ac:dyDescent="0.2">
      <c r="A33" s="3">
        <v>27</v>
      </c>
      <c r="B33" s="4" t="s">
        <v>322</v>
      </c>
      <c r="C33" s="4" t="s">
        <v>323</v>
      </c>
      <c r="D33" s="4" t="s">
        <v>28</v>
      </c>
      <c r="E33" s="5">
        <v>225000</v>
      </c>
      <c r="F33" s="6">
        <v>3100.8375000000001</v>
      </c>
      <c r="G33" s="7">
        <v>8.7994600000000003E-3</v>
      </c>
      <c r="H33" s="53"/>
      <c r="I33" s="53"/>
    </row>
    <row r="34" spans="1:9" ht="17.100000000000001" customHeight="1" x14ac:dyDescent="0.2">
      <c r="A34" s="3">
        <v>28</v>
      </c>
      <c r="B34" s="4" t="s">
        <v>85</v>
      </c>
      <c r="C34" s="4" t="s">
        <v>86</v>
      </c>
      <c r="D34" s="4" t="s">
        <v>87</v>
      </c>
      <c r="E34" s="5">
        <v>100000</v>
      </c>
      <c r="F34" s="6">
        <v>3052.3</v>
      </c>
      <c r="G34" s="7">
        <v>8.6617199999999995E-3</v>
      </c>
      <c r="H34" s="53"/>
      <c r="I34" s="53"/>
    </row>
    <row r="35" spans="1:9" ht="29.1" customHeight="1" x14ac:dyDescent="0.2">
      <c r="A35" s="3">
        <v>29</v>
      </c>
      <c r="B35" s="4" t="s">
        <v>374</v>
      </c>
      <c r="C35" s="4" t="s">
        <v>375</v>
      </c>
      <c r="D35" s="4" t="s">
        <v>224</v>
      </c>
      <c r="E35" s="5">
        <v>233900</v>
      </c>
      <c r="F35" s="6">
        <v>2941.5264000000002</v>
      </c>
      <c r="G35" s="7">
        <v>8.3473699999999998E-3</v>
      </c>
      <c r="H35" s="53"/>
      <c r="I35" s="53"/>
    </row>
    <row r="36" spans="1:9" ht="29.1" customHeight="1" x14ac:dyDescent="0.2">
      <c r="A36" s="3">
        <v>30</v>
      </c>
      <c r="B36" s="4" t="s">
        <v>64</v>
      </c>
      <c r="C36" s="4" t="s">
        <v>65</v>
      </c>
      <c r="D36" s="4" t="s">
        <v>25</v>
      </c>
      <c r="E36" s="5">
        <v>140000</v>
      </c>
      <c r="F36" s="6">
        <v>2919.07</v>
      </c>
      <c r="G36" s="7">
        <v>8.28365E-3</v>
      </c>
      <c r="H36" s="53"/>
      <c r="I36" s="53"/>
    </row>
    <row r="37" spans="1:9" ht="17.100000000000001" customHeight="1" x14ac:dyDescent="0.2">
      <c r="A37" s="3">
        <v>31</v>
      </c>
      <c r="B37" s="4" t="s">
        <v>197</v>
      </c>
      <c r="C37" s="4" t="s">
        <v>198</v>
      </c>
      <c r="D37" s="4" t="s">
        <v>87</v>
      </c>
      <c r="E37" s="5">
        <v>95000</v>
      </c>
      <c r="F37" s="6">
        <v>2755.4749999999999</v>
      </c>
      <c r="G37" s="7">
        <v>7.8194000000000007E-3</v>
      </c>
      <c r="H37" s="53"/>
      <c r="I37" s="53"/>
    </row>
    <row r="38" spans="1:9" ht="29.1" customHeight="1" x14ac:dyDescent="0.2">
      <c r="A38" s="3">
        <v>32</v>
      </c>
      <c r="B38" s="4" t="s">
        <v>23</v>
      </c>
      <c r="C38" s="4" t="s">
        <v>24</v>
      </c>
      <c r="D38" s="4" t="s">
        <v>25</v>
      </c>
      <c r="E38" s="5">
        <v>30000</v>
      </c>
      <c r="F38" s="6">
        <v>2489.2350000000001</v>
      </c>
      <c r="G38" s="7">
        <v>7.0638699999999999E-3</v>
      </c>
      <c r="H38" s="53"/>
      <c r="I38" s="53"/>
    </row>
    <row r="39" spans="1:9" ht="17.100000000000001" customHeight="1" x14ac:dyDescent="0.2">
      <c r="A39" s="3">
        <v>33</v>
      </c>
      <c r="B39" s="4" t="s">
        <v>236</v>
      </c>
      <c r="C39" s="4" t="s">
        <v>237</v>
      </c>
      <c r="D39" s="4" t="s">
        <v>238</v>
      </c>
      <c r="E39" s="5">
        <v>200000</v>
      </c>
      <c r="F39" s="6">
        <v>2399</v>
      </c>
      <c r="G39" s="7">
        <v>6.8078100000000001E-3</v>
      </c>
      <c r="H39" s="53"/>
      <c r="I39" s="53"/>
    </row>
    <row r="40" spans="1:9" ht="29.1" customHeight="1" x14ac:dyDescent="0.2">
      <c r="A40" s="3">
        <v>34</v>
      </c>
      <c r="B40" s="4" t="s">
        <v>273</v>
      </c>
      <c r="C40" s="4" t="s">
        <v>274</v>
      </c>
      <c r="D40" s="4" t="s">
        <v>214</v>
      </c>
      <c r="E40" s="5">
        <v>65000</v>
      </c>
      <c r="F40" s="6">
        <v>2358.395</v>
      </c>
      <c r="G40" s="7">
        <v>6.6925800000000001E-3</v>
      </c>
      <c r="H40" s="53"/>
      <c r="I40" s="53"/>
    </row>
    <row r="41" spans="1:9" ht="17.100000000000001" customHeight="1" x14ac:dyDescent="0.2">
      <c r="A41" s="3">
        <v>35</v>
      </c>
      <c r="B41" s="4" t="s">
        <v>463</v>
      </c>
      <c r="C41" s="4" t="s">
        <v>464</v>
      </c>
      <c r="D41" s="4" t="s">
        <v>905</v>
      </c>
      <c r="E41" s="5">
        <v>200000</v>
      </c>
      <c r="F41" s="6">
        <v>2344.3000000000002</v>
      </c>
      <c r="G41" s="7">
        <v>6.65258E-3</v>
      </c>
      <c r="H41" s="53"/>
      <c r="I41" s="53"/>
    </row>
    <row r="42" spans="1:9" ht="17.100000000000001" customHeight="1" x14ac:dyDescent="0.2">
      <c r="A42" s="3">
        <v>36</v>
      </c>
      <c r="B42" s="4" t="s">
        <v>120</v>
      </c>
      <c r="C42" s="4" t="s">
        <v>121</v>
      </c>
      <c r="D42" s="4" t="s">
        <v>31</v>
      </c>
      <c r="E42" s="5">
        <v>117306</v>
      </c>
      <c r="F42" s="6">
        <v>2292.217893</v>
      </c>
      <c r="G42" s="7">
        <v>6.5047799999999999E-3</v>
      </c>
      <c r="H42" s="53"/>
      <c r="I42" s="53"/>
    </row>
    <row r="43" spans="1:9" ht="17.100000000000001" customHeight="1" x14ac:dyDescent="0.2">
      <c r="A43" s="3">
        <v>37</v>
      </c>
      <c r="B43" s="4" t="s">
        <v>552</v>
      </c>
      <c r="C43" s="4" t="s">
        <v>553</v>
      </c>
      <c r="D43" s="4" t="s">
        <v>108</v>
      </c>
      <c r="E43" s="5">
        <v>66000</v>
      </c>
      <c r="F43" s="6">
        <v>2202.1559999999999</v>
      </c>
      <c r="G43" s="7">
        <v>6.2492099999999998E-3</v>
      </c>
      <c r="H43" s="53"/>
      <c r="I43" s="53"/>
    </row>
    <row r="44" spans="1:9" ht="17.100000000000001" customHeight="1" x14ac:dyDescent="0.2">
      <c r="A44" s="3">
        <v>38</v>
      </c>
      <c r="B44" s="4" t="s">
        <v>346</v>
      </c>
      <c r="C44" s="4" t="s">
        <v>347</v>
      </c>
      <c r="D44" s="4" t="s">
        <v>108</v>
      </c>
      <c r="E44" s="5">
        <v>335000</v>
      </c>
      <c r="F44" s="6">
        <v>2013.35</v>
      </c>
      <c r="G44" s="7">
        <v>5.7134200000000003E-3</v>
      </c>
      <c r="H44" s="53"/>
      <c r="I44" s="53"/>
    </row>
    <row r="45" spans="1:9" ht="17.100000000000001" customHeight="1" x14ac:dyDescent="0.2">
      <c r="A45" s="3">
        <v>39</v>
      </c>
      <c r="B45" s="4" t="s">
        <v>277</v>
      </c>
      <c r="C45" s="4" t="s">
        <v>278</v>
      </c>
      <c r="D45" s="4" t="s">
        <v>28</v>
      </c>
      <c r="E45" s="5">
        <v>2313891</v>
      </c>
      <c r="F45" s="6">
        <v>1987.6323689999999</v>
      </c>
      <c r="G45" s="7">
        <v>5.64044E-3</v>
      </c>
      <c r="H45" s="53"/>
      <c r="I45" s="53"/>
    </row>
    <row r="46" spans="1:9" ht="17.100000000000001" customHeight="1" x14ac:dyDescent="0.2">
      <c r="A46" s="3">
        <v>40</v>
      </c>
      <c r="B46" s="4" t="s">
        <v>329</v>
      </c>
      <c r="C46" s="4" t="s">
        <v>330</v>
      </c>
      <c r="D46" s="4" t="s">
        <v>331</v>
      </c>
      <c r="E46" s="5">
        <v>450000</v>
      </c>
      <c r="F46" s="6">
        <v>1978.65</v>
      </c>
      <c r="G46" s="7">
        <v>5.6149499999999996E-3</v>
      </c>
      <c r="H46" s="53"/>
      <c r="I46" s="53"/>
    </row>
    <row r="47" spans="1:9" ht="17.100000000000001" customHeight="1" x14ac:dyDescent="0.2">
      <c r="A47" s="3">
        <v>41</v>
      </c>
      <c r="B47" s="4" t="s">
        <v>465</v>
      </c>
      <c r="C47" s="4" t="s">
        <v>466</v>
      </c>
      <c r="D47" s="4" t="s">
        <v>28</v>
      </c>
      <c r="E47" s="5">
        <v>110000</v>
      </c>
      <c r="F47" s="6">
        <v>1934.625</v>
      </c>
      <c r="G47" s="7">
        <v>5.49002E-3</v>
      </c>
      <c r="H47" s="53"/>
      <c r="I47" s="53"/>
    </row>
    <row r="48" spans="1:9" ht="17.100000000000001" customHeight="1" x14ac:dyDescent="0.2">
      <c r="A48" s="3">
        <v>42</v>
      </c>
      <c r="B48" s="4" t="s">
        <v>46</v>
      </c>
      <c r="C48" s="4" t="s">
        <v>47</v>
      </c>
      <c r="D48" s="4" t="s">
        <v>31</v>
      </c>
      <c r="E48" s="5">
        <v>37500</v>
      </c>
      <c r="F48" s="6">
        <v>1921.14375</v>
      </c>
      <c r="G48" s="7">
        <v>5.4517599999999999E-3</v>
      </c>
      <c r="H48" s="53"/>
      <c r="I48" s="53"/>
    </row>
    <row r="49" spans="1:9" ht="17.100000000000001" customHeight="1" x14ac:dyDescent="0.2">
      <c r="A49" s="3">
        <v>43</v>
      </c>
      <c r="B49" s="4" t="s">
        <v>352</v>
      </c>
      <c r="C49" s="4" t="s">
        <v>353</v>
      </c>
      <c r="D49" s="4" t="s">
        <v>95</v>
      </c>
      <c r="E49" s="5">
        <v>1500000</v>
      </c>
      <c r="F49" s="6">
        <v>1843.5</v>
      </c>
      <c r="G49" s="7">
        <v>5.2314299999999996E-3</v>
      </c>
      <c r="H49" s="53"/>
      <c r="I49" s="53"/>
    </row>
    <row r="50" spans="1:9" ht="17.100000000000001" customHeight="1" x14ac:dyDescent="0.2">
      <c r="A50" s="3">
        <v>44</v>
      </c>
      <c r="B50" s="4" t="s">
        <v>289</v>
      </c>
      <c r="C50" s="4" t="s">
        <v>290</v>
      </c>
      <c r="D50" s="4" t="s">
        <v>59</v>
      </c>
      <c r="E50" s="5">
        <v>415000</v>
      </c>
      <c r="F50" s="6">
        <v>1815.625</v>
      </c>
      <c r="G50" s="7">
        <v>5.1523200000000002E-3</v>
      </c>
      <c r="H50" s="53"/>
      <c r="I50" s="53"/>
    </row>
    <row r="51" spans="1:9" ht="17.100000000000001" customHeight="1" x14ac:dyDescent="0.2">
      <c r="A51" s="3">
        <v>45</v>
      </c>
      <c r="B51" s="4" t="s">
        <v>232</v>
      </c>
      <c r="C51" s="4" t="s">
        <v>233</v>
      </c>
      <c r="D51" s="4" t="s">
        <v>130</v>
      </c>
      <c r="E51" s="5">
        <v>175000</v>
      </c>
      <c r="F51" s="6">
        <v>1722.175</v>
      </c>
      <c r="G51" s="7">
        <v>4.8871299999999999E-3</v>
      </c>
      <c r="H51" s="53"/>
      <c r="I51" s="53"/>
    </row>
    <row r="52" spans="1:9" ht="29.1" customHeight="1" x14ac:dyDescent="0.2">
      <c r="A52" s="3">
        <v>46</v>
      </c>
      <c r="B52" s="4" t="s">
        <v>376</v>
      </c>
      <c r="C52" s="4" t="s">
        <v>377</v>
      </c>
      <c r="D52" s="4" t="s">
        <v>73</v>
      </c>
      <c r="E52" s="5">
        <v>570000</v>
      </c>
      <c r="F52" s="6">
        <v>1710.2850000000001</v>
      </c>
      <c r="G52" s="7">
        <v>4.85339E-3</v>
      </c>
      <c r="H52" s="53"/>
      <c r="I52" s="53"/>
    </row>
    <row r="53" spans="1:9" ht="29.1" customHeight="1" x14ac:dyDescent="0.2">
      <c r="A53" s="3">
        <v>47</v>
      </c>
      <c r="B53" s="4" t="s">
        <v>467</v>
      </c>
      <c r="C53" s="4" t="s">
        <v>468</v>
      </c>
      <c r="D53" s="4" t="s">
        <v>469</v>
      </c>
      <c r="E53" s="5">
        <v>200000</v>
      </c>
      <c r="F53" s="6">
        <v>1668.7</v>
      </c>
      <c r="G53" s="7">
        <v>4.7353899999999999E-3</v>
      </c>
      <c r="H53" s="53"/>
      <c r="I53" s="53"/>
    </row>
    <row r="54" spans="1:9" ht="17.100000000000001" customHeight="1" x14ac:dyDescent="0.2">
      <c r="A54" s="3">
        <v>48</v>
      </c>
      <c r="B54" s="4" t="s">
        <v>78</v>
      </c>
      <c r="C54" s="4" t="s">
        <v>79</v>
      </c>
      <c r="D54" s="4" t="s">
        <v>80</v>
      </c>
      <c r="E54" s="5">
        <v>1400000</v>
      </c>
      <c r="F54" s="6">
        <v>1610</v>
      </c>
      <c r="G54" s="7">
        <v>4.5688100000000004E-3</v>
      </c>
      <c r="H54" s="53"/>
      <c r="I54" s="53"/>
    </row>
    <row r="55" spans="1:9" ht="17.100000000000001" customHeight="1" x14ac:dyDescent="0.2">
      <c r="A55" s="3">
        <v>49</v>
      </c>
      <c r="B55" s="4" t="s">
        <v>338</v>
      </c>
      <c r="C55" s="4" t="s">
        <v>339</v>
      </c>
      <c r="D55" s="4" t="s">
        <v>28</v>
      </c>
      <c r="E55" s="5">
        <v>489500</v>
      </c>
      <c r="F55" s="6">
        <v>1568.3579999999999</v>
      </c>
      <c r="G55" s="7">
        <v>4.4506399999999996E-3</v>
      </c>
      <c r="H55" s="53"/>
      <c r="I55" s="53"/>
    </row>
    <row r="56" spans="1:9" ht="17.100000000000001" customHeight="1" x14ac:dyDescent="0.2">
      <c r="A56" s="3">
        <v>50</v>
      </c>
      <c r="B56" s="4" t="s">
        <v>88</v>
      </c>
      <c r="C56" s="4" t="s">
        <v>89</v>
      </c>
      <c r="D56" s="4" t="s">
        <v>87</v>
      </c>
      <c r="E56" s="5">
        <v>260000</v>
      </c>
      <c r="F56" s="6">
        <v>1548.56</v>
      </c>
      <c r="G56" s="7">
        <v>4.3944600000000002E-3</v>
      </c>
      <c r="H56" s="53"/>
      <c r="I56" s="53"/>
    </row>
    <row r="57" spans="1:9" ht="17.100000000000001" customHeight="1" x14ac:dyDescent="0.2">
      <c r="A57" s="3">
        <v>51</v>
      </c>
      <c r="B57" s="4" t="s">
        <v>135</v>
      </c>
      <c r="C57" s="4" t="s">
        <v>136</v>
      </c>
      <c r="D57" s="4" t="s">
        <v>130</v>
      </c>
      <c r="E57" s="5">
        <v>605000</v>
      </c>
      <c r="F57" s="6">
        <v>1412.675</v>
      </c>
      <c r="G57" s="7">
        <v>4.0088499999999996E-3</v>
      </c>
      <c r="H57" s="53"/>
      <c r="I57" s="53"/>
    </row>
    <row r="58" spans="1:9" ht="17.100000000000001" customHeight="1" x14ac:dyDescent="0.2">
      <c r="A58" s="3">
        <v>52</v>
      </c>
      <c r="B58" s="4" t="s">
        <v>340</v>
      </c>
      <c r="C58" s="4" t="s">
        <v>341</v>
      </c>
      <c r="D58" s="4" t="s">
        <v>905</v>
      </c>
      <c r="E58" s="5">
        <v>26000</v>
      </c>
      <c r="F58" s="6">
        <v>1350.2840000000001</v>
      </c>
      <c r="G58" s="7">
        <v>3.8317899999999998E-3</v>
      </c>
      <c r="H58" s="53"/>
      <c r="I58" s="53"/>
    </row>
    <row r="59" spans="1:9" ht="17.100000000000001" customHeight="1" x14ac:dyDescent="0.2">
      <c r="A59" s="3">
        <v>53</v>
      </c>
      <c r="B59" s="4" t="s">
        <v>354</v>
      </c>
      <c r="C59" s="4" t="s">
        <v>355</v>
      </c>
      <c r="D59" s="4" t="s">
        <v>73</v>
      </c>
      <c r="E59" s="5">
        <v>40000</v>
      </c>
      <c r="F59" s="6">
        <v>1302.44</v>
      </c>
      <c r="G59" s="7">
        <v>3.6960199999999999E-3</v>
      </c>
      <c r="H59" s="53"/>
      <c r="I59" s="53"/>
    </row>
    <row r="60" spans="1:9" ht="17.100000000000001" customHeight="1" x14ac:dyDescent="0.2">
      <c r="A60" s="3">
        <v>54</v>
      </c>
      <c r="B60" s="4" t="s">
        <v>93</v>
      </c>
      <c r="C60" s="4" t="s">
        <v>94</v>
      </c>
      <c r="D60" s="4" t="s">
        <v>95</v>
      </c>
      <c r="E60" s="5">
        <v>190000</v>
      </c>
      <c r="F60" s="6">
        <v>1300.55</v>
      </c>
      <c r="G60" s="7">
        <v>3.6906600000000001E-3</v>
      </c>
      <c r="H60" s="53"/>
      <c r="I60" s="53"/>
    </row>
    <row r="61" spans="1:9" ht="17.100000000000001" customHeight="1" x14ac:dyDescent="0.2">
      <c r="A61" s="3">
        <v>55</v>
      </c>
      <c r="B61" s="4" t="s">
        <v>104</v>
      </c>
      <c r="C61" s="4" t="s">
        <v>105</v>
      </c>
      <c r="D61" s="4" t="s">
        <v>31</v>
      </c>
      <c r="E61" s="5">
        <v>75000</v>
      </c>
      <c r="F61" s="6">
        <v>1280.8125</v>
      </c>
      <c r="G61" s="7">
        <v>3.6346500000000001E-3</v>
      </c>
      <c r="H61" s="53"/>
      <c r="I61" s="53"/>
    </row>
    <row r="62" spans="1:9" ht="17.100000000000001" customHeight="1" x14ac:dyDescent="0.2">
      <c r="A62" s="3">
        <v>56</v>
      </c>
      <c r="B62" s="4" t="s">
        <v>227</v>
      </c>
      <c r="C62" s="4" t="s">
        <v>228</v>
      </c>
      <c r="D62" s="4" t="s">
        <v>229</v>
      </c>
      <c r="E62" s="5">
        <v>250000</v>
      </c>
      <c r="F62" s="6">
        <v>1280.125</v>
      </c>
      <c r="G62" s="7">
        <v>3.6327E-3</v>
      </c>
      <c r="H62" s="53"/>
      <c r="I62" s="53"/>
    </row>
    <row r="63" spans="1:9" ht="17.100000000000001" customHeight="1" x14ac:dyDescent="0.2">
      <c r="A63" s="3">
        <v>57</v>
      </c>
      <c r="B63" s="4" t="s">
        <v>324</v>
      </c>
      <c r="C63" s="4" t="s">
        <v>325</v>
      </c>
      <c r="D63" s="4" t="s">
        <v>229</v>
      </c>
      <c r="E63" s="5">
        <v>300000</v>
      </c>
      <c r="F63" s="6">
        <v>1262.7</v>
      </c>
      <c r="G63" s="7">
        <v>3.5832500000000001E-3</v>
      </c>
      <c r="H63" s="53"/>
      <c r="I63" s="53"/>
    </row>
    <row r="64" spans="1:9" ht="17.100000000000001" customHeight="1" x14ac:dyDescent="0.2">
      <c r="A64" s="3">
        <v>58</v>
      </c>
      <c r="B64" s="4" t="s">
        <v>133</v>
      </c>
      <c r="C64" s="4" t="s">
        <v>134</v>
      </c>
      <c r="D64" s="4" t="s">
        <v>59</v>
      </c>
      <c r="E64" s="5">
        <v>615448</v>
      </c>
      <c r="F64" s="6">
        <v>1231.819172</v>
      </c>
      <c r="G64" s="7">
        <v>3.4956200000000001E-3</v>
      </c>
      <c r="H64" s="53"/>
      <c r="I64" s="53"/>
    </row>
    <row r="65" spans="1:9" ht="17.100000000000001" customHeight="1" x14ac:dyDescent="0.2">
      <c r="A65" s="3">
        <v>59</v>
      </c>
      <c r="B65" s="4" t="s">
        <v>255</v>
      </c>
      <c r="C65" s="4" t="s">
        <v>256</v>
      </c>
      <c r="D65" s="4" t="s">
        <v>206</v>
      </c>
      <c r="E65" s="5">
        <v>27000</v>
      </c>
      <c r="F65" s="6">
        <v>1169.5050000000001</v>
      </c>
      <c r="G65" s="7">
        <v>3.3187899999999998E-3</v>
      </c>
      <c r="H65" s="53"/>
      <c r="I65" s="53"/>
    </row>
    <row r="66" spans="1:9" ht="29.1" customHeight="1" x14ac:dyDescent="0.2">
      <c r="A66" s="3">
        <v>60</v>
      </c>
      <c r="B66" s="4" t="s">
        <v>542</v>
      </c>
      <c r="C66" s="4" t="s">
        <v>543</v>
      </c>
      <c r="D66" s="4" t="s">
        <v>544</v>
      </c>
      <c r="E66" s="5">
        <v>305783</v>
      </c>
      <c r="F66" s="6">
        <v>1167.0208195</v>
      </c>
      <c r="G66" s="7">
        <v>3.3117400000000001E-3</v>
      </c>
      <c r="H66" s="53"/>
      <c r="I66" s="53"/>
    </row>
    <row r="67" spans="1:9" ht="29.1" customHeight="1" x14ac:dyDescent="0.2">
      <c r="A67" s="3">
        <v>61</v>
      </c>
      <c r="B67" s="4" t="s">
        <v>554</v>
      </c>
      <c r="C67" s="4" t="s">
        <v>555</v>
      </c>
      <c r="D67" s="4" t="s">
        <v>469</v>
      </c>
      <c r="E67" s="5">
        <v>200000</v>
      </c>
      <c r="F67" s="6">
        <v>1140.0999999999999</v>
      </c>
      <c r="G67" s="7">
        <v>3.2353400000000002E-3</v>
      </c>
      <c r="H67" s="53"/>
      <c r="I67" s="53"/>
    </row>
    <row r="68" spans="1:9" ht="17.100000000000001" customHeight="1" x14ac:dyDescent="0.2">
      <c r="A68" s="3">
        <v>62</v>
      </c>
      <c r="B68" s="4" t="s">
        <v>287</v>
      </c>
      <c r="C68" s="4" t="s">
        <v>288</v>
      </c>
      <c r="D68" s="4" t="s">
        <v>22</v>
      </c>
      <c r="E68" s="5">
        <v>450000</v>
      </c>
      <c r="F68" s="6">
        <v>1116.45</v>
      </c>
      <c r="G68" s="7">
        <v>3.1682300000000002E-3</v>
      </c>
      <c r="H68" s="53"/>
      <c r="I68" s="53"/>
    </row>
    <row r="69" spans="1:9" ht="29.1" customHeight="1" x14ac:dyDescent="0.2">
      <c r="A69" s="3">
        <v>63</v>
      </c>
      <c r="B69" s="4" t="s">
        <v>556</v>
      </c>
      <c r="C69" s="4" t="s">
        <v>557</v>
      </c>
      <c r="D69" s="4" t="s">
        <v>221</v>
      </c>
      <c r="E69" s="5">
        <v>187500</v>
      </c>
      <c r="F69" s="6">
        <v>1057.3125</v>
      </c>
      <c r="G69" s="7">
        <v>3.0004099999999998E-3</v>
      </c>
      <c r="H69" s="53"/>
      <c r="I69" s="53"/>
    </row>
    <row r="70" spans="1:9" ht="17.100000000000001" customHeight="1" x14ac:dyDescent="0.2">
      <c r="A70" s="3">
        <v>64</v>
      </c>
      <c r="B70" s="4" t="s">
        <v>245</v>
      </c>
      <c r="C70" s="4" t="s">
        <v>246</v>
      </c>
      <c r="D70" s="4" t="s">
        <v>73</v>
      </c>
      <c r="E70" s="5">
        <v>120000</v>
      </c>
      <c r="F70" s="6">
        <v>1043.8800000000001</v>
      </c>
      <c r="G70" s="7">
        <v>2.9622899999999998E-3</v>
      </c>
      <c r="H70" s="53"/>
      <c r="I70" s="53"/>
    </row>
    <row r="71" spans="1:9" ht="17.100000000000001" customHeight="1" x14ac:dyDescent="0.2">
      <c r="A71" s="3">
        <v>65</v>
      </c>
      <c r="B71" s="4" t="s">
        <v>265</v>
      </c>
      <c r="C71" s="4" t="s">
        <v>266</v>
      </c>
      <c r="D71" s="4" t="s">
        <v>108</v>
      </c>
      <c r="E71" s="5">
        <v>71000</v>
      </c>
      <c r="F71" s="6">
        <v>1008.129</v>
      </c>
      <c r="G71" s="7">
        <v>2.8608399999999999E-3</v>
      </c>
      <c r="H71" s="53"/>
      <c r="I71" s="53"/>
    </row>
    <row r="72" spans="1:9" ht="17.100000000000001" customHeight="1" x14ac:dyDescent="0.2">
      <c r="A72" s="3">
        <v>66</v>
      </c>
      <c r="B72" s="4" t="s">
        <v>253</v>
      </c>
      <c r="C72" s="4" t="s">
        <v>254</v>
      </c>
      <c r="D72" s="4" t="s">
        <v>87</v>
      </c>
      <c r="E72" s="5">
        <v>167200</v>
      </c>
      <c r="F72" s="6">
        <v>1006.8784000000001</v>
      </c>
      <c r="G72" s="7">
        <v>2.8572900000000002E-3</v>
      </c>
      <c r="H72" s="53"/>
      <c r="I72" s="53"/>
    </row>
    <row r="73" spans="1:9" ht="17.100000000000001" customHeight="1" x14ac:dyDescent="0.2">
      <c r="A73" s="3">
        <v>67</v>
      </c>
      <c r="B73" s="4" t="s">
        <v>348</v>
      </c>
      <c r="C73" s="4" t="s">
        <v>349</v>
      </c>
      <c r="D73" s="4" t="s">
        <v>206</v>
      </c>
      <c r="E73" s="5">
        <v>77500</v>
      </c>
      <c r="F73" s="6">
        <v>976.84875</v>
      </c>
      <c r="G73" s="7">
        <v>2.7720700000000002E-3</v>
      </c>
      <c r="H73" s="53"/>
      <c r="I73" s="53"/>
    </row>
    <row r="74" spans="1:9" ht="17.100000000000001" customHeight="1" x14ac:dyDescent="0.2">
      <c r="A74" s="3">
        <v>68</v>
      </c>
      <c r="B74" s="4" t="s">
        <v>207</v>
      </c>
      <c r="C74" s="4" t="s">
        <v>208</v>
      </c>
      <c r="D74" s="4" t="s">
        <v>209</v>
      </c>
      <c r="E74" s="5">
        <v>287906</v>
      </c>
      <c r="F74" s="6">
        <v>954.84024899999997</v>
      </c>
      <c r="G74" s="7">
        <v>2.7096199999999998E-3</v>
      </c>
      <c r="H74" s="53"/>
      <c r="I74" s="53"/>
    </row>
    <row r="75" spans="1:9" ht="53.1" customHeight="1" x14ac:dyDescent="0.2">
      <c r="A75" s="3">
        <v>69</v>
      </c>
      <c r="B75" s="4" t="s">
        <v>114</v>
      </c>
      <c r="C75" s="4" t="s">
        <v>115</v>
      </c>
      <c r="D75" s="4" t="s">
        <v>68</v>
      </c>
      <c r="E75" s="5">
        <v>35000</v>
      </c>
      <c r="F75" s="6">
        <v>863.36249999999995</v>
      </c>
      <c r="G75" s="7">
        <v>2.4500199999999998E-3</v>
      </c>
      <c r="H75" s="53"/>
      <c r="I75" s="53"/>
    </row>
    <row r="76" spans="1:9" ht="29.1" customHeight="1" x14ac:dyDescent="0.2">
      <c r="A76" s="3">
        <v>70</v>
      </c>
      <c r="B76" s="4" t="s">
        <v>558</v>
      </c>
      <c r="C76" s="4" t="s">
        <v>559</v>
      </c>
      <c r="D76" s="4" t="s">
        <v>560</v>
      </c>
      <c r="E76" s="5">
        <v>97208</v>
      </c>
      <c r="F76" s="6">
        <v>770.08177599999999</v>
      </c>
      <c r="G76" s="7">
        <v>2.1853100000000002E-3</v>
      </c>
      <c r="H76" s="53"/>
      <c r="I76" s="53"/>
    </row>
    <row r="77" spans="1:9" ht="17.100000000000001" customHeight="1" x14ac:dyDescent="0.2">
      <c r="A77" s="3">
        <v>71</v>
      </c>
      <c r="B77" s="4" t="s">
        <v>561</v>
      </c>
      <c r="C77" s="4" t="s">
        <v>562</v>
      </c>
      <c r="D77" s="4" t="s">
        <v>238</v>
      </c>
      <c r="E77" s="5">
        <v>16000</v>
      </c>
      <c r="F77" s="6">
        <v>714.84</v>
      </c>
      <c r="G77" s="7">
        <v>2.0285500000000001E-3</v>
      </c>
      <c r="H77" s="53"/>
      <c r="I77" s="53"/>
    </row>
    <row r="78" spans="1:9" ht="17.100000000000001" customHeight="1" x14ac:dyDescent="0.2">
      <c r="A78" s="3">
        <v>72</v>
      </c>
      <c r="B78" s="4" t="s">
        <v>42</v>
      </c>
      <c r="C78" s="4" t="s">
        <v>43</v>
      </c>
      <c r="D78" s="4" t="s">
        <v>31</v>
      </c>
      <c r="E78" s="5">
        <v>30950</v>
      </c>
      <c r="F78" s="6">
        <v>704.45294999999999</v>
      </c>
      <c r="G78" s="7">
        <v>1.9990799999999999E-3</v>
      </c>
      <c r="H78" s="53"/>
      <c r="I78" s="53"/>
    </row>
    <row r="79" spans="1:9" ht="17.100000000000001" customHeight="1" x14ac:dyDescent="0.2">
      <c r="A79" s="3">
        <v>73</v>
      </c>
      <c r="B79" s="4" t="s">
        <v>563</v>
      </c>
      <c r="C79" s="4" t="s">
        <v>564</v>
      </c>
      <c r="D79" s="4" t="s">
        <v>31</v>
      </c>
      <c r="E79" s="5">
        <v>271955</v>
      </c>
      <c r="F79" s="6">
        <v>651.46820249999996</v>
      </c>
      <c r="G79" s="7">
        <v>1.8487200000000001E-3</v>
      </c>
      <c r="H79" s="53"/>
      <c r="I79" s="53"/>
    </row>
    <row r="80" spans="1:9" ht="17.100000000000001" customHeight="1" x14ac:dyDescent="0.2">
      <c r="A80" s="3">
        <v>74</v>
      </c>
      <c r="B80" s="4" t="s">
        <v>249</v>
      </c>
      <c r="C80" s="4" t="s">
        <v>250</v>
      </c>
      <c r="D80" s="4" t="s">
        <v>905</v>
      </c>
      <c r="E80" s="5">
        <v>25000</v>
      </c>
      <c r="F80" s="6">
        <v>607.20000000000005</v>
      </c>
      <c r="G80" s="7">
        <v>1.72309E-3</v>
      </c>
      <c r="H80" s="53"/>
      <c r="I80" s="53"/>
    </row>
    <row r="81" spans="1:9" ht="17.100000000000001" customHeight="1" x14ac:dyDescent="0.2">
      <c r="A81" s="3">
        <v>75</v>
      </c>
      <c r="B81" s="4" t="s">
        <v>565</v>
      </c>
      <c r="C81" s="4" t="s">
        <v>566</v>
      </c>
      <c r="D81" s="4" t="s">
        <v>905</v>
      </c>
      <c r="E81" s="5">
        <v>45000</v>
      </c>
      <c r="F81" s="6">
        <v>540.87750000000005</v>
      </c>
      <c r="G81" s="7">
        <v>1.5348899999999999E-3</v>
      </c>
      <c r="H81" s="53"/>
      <c r="I81" s="53"/>
    </row>
    <row r="82" spans="1:9" ht="17.100000000000001" customHeight="1" x14ac:dyDescent="0.2">
      <c r="A82" s="3">
        <v>76</v>
      </c>
      <c r="B82" s="4" t="s">
        <v>247</v>
      </c>
      <c r="C82" s="4" t="s">
        <v>248</v>
      </c>
      <c r="D82" s="4" t="s">
        <v>87</v>
      </c>
      <c r="E82" s="5">
        <v>5000</v>
      </c>
      <c r="F82" s="6">
        <v>259.0625</v>
      </c>
      <c r="G82" s="7">
        <v>7.3516E-4</v>
      </c>
      <c r="H82" s="53"/>
      <c r="I82" s="53"/>
    </row>
    <row r="83" spans="1:9" ht="17.100000000000001" customHeight="1" x14ac:dyDescent="0.2">
      <c r="A83" s="3">
        <v>77</v>
      </c>
      <c r="B83" s="4" t="s">
        <v>191</v>
      </c>
      <c r="C83" s="4" t="s">
        <v>192</v>
      </c>
      <c r="D83" s="4" t="s">
        <v>28</v>
      </c>
      <c r="E83" s="5">
        <v>161691</v>
      </c>
      <c r="F83" s="6">
        <v>232.75419450000001</v>
      </c>
      <c r="G83" s="7">
        <v>6.6049999999999995E-4</v>
      </c>
      <c r="H83" s="53"/>
      <c r="I83" s="53"/>
    </row>
    <row r="84" spans="1:9" ht="17.100000000000001" customHeight="1" x14ac:dyDescent="0.2">
      <c r="A84" s="3">
        <v>78</v>
      </c>
      <c r="B84" s="4" t="s">
        <v>954</v>
      </c>
      <c r="C84" s="4" t="s">
        <v>299</v>
      </c>
      <c r="D84" s="4" t="s">
        <v>130</v>
      </c>
      <c r="E84" s="5">
        <v>5000</v>
      </c>
      <c r="F84" s="6">
        <v>51.064999999999998</v>
      </c>
      <c r="G84" s="7">
        <v>1.4490999999999999E-4</v>
      </c>
      <c r="H84" s="53"/>
      <c r="I84" s="53"/>
    </row>
    <row r="85" spans="1:9" ht="14.1" customHeight="1" x14ac:dyDescent="0.2">
      <c r="A85" s="1"/>
      <c r="B85" s="1"/>
      <c r="C85" s="2" t="s">
        <v>144</v>
      </c>
      <c r="D85" s="1"/>
      <c r="E85" s="1" t="s">
        <v>145</v>
      </c>
      <c r="F85" s="9">
        <v>252695.15242949993</v>
      </c>
      <c r="G85" s="10">
        <v>0.71709043999999988</v>
      </c>
      <c r="H85" s="53"/>
      <c r="I85" s="53"/>
    </row>
    <row r="86" spans="1:9" ht="14.1" customHeight="1" x14ac:dyDescent="0.2">
      <c r="A86" s="1"/>
      <c r="B86" s="1"/>
      <c r="C86" s="11"/>
      <c r="D86" s="1"/>
      <c r="E86" s="1"/>
      <c r="F86" s="12"/>
      <c r="G86" s="12"/>
      <c r="H86" s="53"/>
      <c r="I86" s="53"/>
    </row>
    <row r="87" spans="1:9" ht="14.1" customHeight="1" x14ac:dyDescent="0.2">
      <c r="A87" s="1"/>
      <c r="B87" s="1"/>
      <c r="C87" s="2" t="s">
        <v>146</v>
      </c>
      <c r="D87" s="1"/>
      <c r="E87" s="1"/>
      <c r="F87" s="1"/>
      <c r="G87" s="1"/>
      <c r="H87" s="53"/>
      <c r="I87" s="53"/>
    </row>
    <row r="88" spans="1:9" ht="14.1" customHeight="1" x14ac:dyDescent="0.2">
      <c r="A88" s="1"/>
      <c r="B88" s="1"/>
      <c r="C88" s="2" t="s">
        <v>144</v>
      </c>
      <c r="D88" s="1"/>
      <c r="E88" s="1" t="s">
        <v>145</v>
      </c>
      <c r="F88" s="13" t="s">
        <v>147</v>
      </c>
      <c r="G88" s="10">
        <v>0</v>
      </c>
      <c r="H88" s="53"/>
      <c r="I88" s="53"/>
    </row>
    <row r="89" spans="1:9" ht="14.1" customHeight="1" x14ac:dyDescent="0.2">
      <c r="A89" s="1"/>
      <c r="B89" s="1"/>
      <c r="C89" s="11"/>
      <c r="D89" s="1"/>
      <c r="E89" s="1"/>
      <c r="F89" s="12"/>
      <c r="G89" s="12"/>
      <c r="H89" s="53"/>
      <c r="I89" s="53"/>
    </row>
    <row r="90" spans="1:9" ht="14.1" customHeight="1" x14ac:dyDescent="0.2">
      <c r="A90" s="1"/>
      <c r="B90" s="1"/>
      <c r="C90" s="2" t="s">
        <v>148</v>
      </c>
      <c r="D90" s="1"/>
      <c r="E90" s="1"/>
      <c r="F90" s="1"/>
      <c r="G90" s="1"/>
      <c r="H90" s="53"/>
      <c r="I90" s="53"/>
    </row>
    <row r="91" spans="1:9" ht="17.100000000000001" customHeight="1" x14ac:dyDescent="0.2">
      <c r="A91" s="3">
        <v>1</v>
      </c>
      <c r="B91" s="4" t="s">
        <v>567</v>
      </c>
      <c r="C91" s="40" t="s">
        <v>886</v>
      </c>
      <c r="D91" s="4" t="s">
        <v>229</v>
      </c>
      <c r="E91" s="5">
        <v>30579</v>
      </c>
      <c r="F91" s="6">
        <v>1.467792</v>
      </c>
      <c r="G91" s="7" t="s">
        <v>143</v>
      </c>
      <c r="H91" s="53"/>
      <c r="I91" s="53"/>
    </row>
    <row r="92" spans="1:9" ht="14.1" customHeight="1" x14ac:dyDescent="0.2">
      <c r="A92" s="1"/>
      <c r="B92" s="1"/>
      <c r="C92" s="2" t="s">
        <v>144</v>
      </c>
      <c r="D92" s="1"/>
      <c r="E92" s="1" t="s">
        <v>145</v>
      </c>
      <c r="F92" s="9">
        <v>1.467792</v>
      </c>
      <c r="G92" s="10">
        <v>4.1699999999999999E-6</v>
      </c>
      <c r="H92" s="53"/>
      <c r="I92" s="53"/>
    </row>
    <row r="93" spans="1:9" ht="14.1" customHeight="1" x14ac:dyDescent="0.2">
      <c r="A93" s="1"/>
      <c r="B93" s="1"/>
      <c r="C93" s="11"/>
      <c r="D93" s="1"/>
      <c r="E93" s="1"/>
      <c r="F93" s="12"/>
      <c r="G93" s="12"/>
      <c r="H93" s="53"/>
      <c r="I93" s="53"/>
    </row>
    <row r="94" spans="1:9" ht="14.1" customHeight="1" x14ac:dyDescent="0.2">
      <c r="A94" s="1"/>
      <c r="B94" s="1"/>
      <c r="C94" s="2" t="s">
        <v>149</v>
      </c>
      <c r="D94" s="1"/>
      <c r="E94" s="1"/>
      <c r="F94" s="1"/>
      <c r="G94" s="1"/>
      <c r="H94" s="53"/>
      <c r="I94" s="53"/>
    </row>
    <row r="95" spans="1:9" ht="29.1" customHeight="1" x14ac:dyDescent="0.2">
      <c r="A95" s="3">
        <v>1</v>
      </c>
      <c r="B95" s="4" t="s">
        <v>307</v>
      </c>
      <c r="C95" s="4" t="s">
        <v>964</v>
      </c>
      <c r="D95" s="4" t="s">
        <v>87</v>
      </c>
      <c r="E95" s="5">
        <v>200000</v>
      </c>
      <c r="F95" s="6">
        <v>20.6</v>
      </c>
      <c r="G95" s="7">
        <v>5.8459999999999999E-5</v>
      </c>
      <c r="H95" s="53"/>
      <c r="I95" s="53"/>
    </row>
    <row r="96" spans="1:9" ht="38.25" x14ac:dyDescent="0.2">
      <c r="A96" s="3">
        <v>2</v>
      </c>
      <c r="B96" s="4" t="s">
        <v>955</v>
      </c>
      <c r="C96" s="4" t="s">
        <v>1165</v>
      </c>
      <c r="D96" s="4" t="s">
        <v>130</v>
      </c>
      <c r="E96" s="5">
        <v>91</v>
      </c>
      <c r="F96" s="6">
        <v>9.1000909999999994E-3</v>
      </c>
      <c r="G96" s="7" t="s">
        <v>143</v>
      </c>
      <c r="H96" s="53"/>
      <c r="I96" s="53"/>
    </row>
    <row r="97" spans="1:9" ht="14.1" customHeight="1" x14ac:dyDescent="0.2">
      <c r="A97" s="1"/>
      <c r="B97" s="1"/>
      <c r="C97" s="2" t="s">
        <v>144</v>
      </c>
      <c r="D97" s="1"/>
      <c r="E97" s="1" t="s">
        <v>145</v>
      </c>
      <c r="F97" s="9">
        <v>20.609100090999998</v>
      </c>
      <c r="G97" s="10">
        <v>5.8489999999999997E-5</v>
      </c>
      <c r="H97" s="53"/>
      <c r="I97" s="53"/>
    </row>
    <row r="98" spans="1:9" ht="14.1" customHeight="1" x14ac:dyDescent="0.2">
      <c r="A98" s="1"/>
      <c r="B98" s="1"/>
      <c r="C98" s="11"/>
      <c r="D98" s="1"/>
      <c r="E98" s="1"/>
      <c r="F98" s="12"/>
      <c r="G98" s="12"/>
      <c r="H98" s="53"/>
      <c r="I98" s="53"/>
    </row>
    <row r="99" spans="1:9" ht="14.1" customHeight="1" x14ac:dyDescent="0.2">
      <c r="A99" s="1"/>
      <c r="B99" s="1"/>
      <c r="C99" s="2" t="s">
        <v>150</v>
      </c>
      <c r="D99" s="1"/>
      <c r="E99" s="1"/>
      <c r="F99" s="12"/>
      <c r="G99" s="12"/>
      <c r="H99" s="53"/>
      <c r="I99" s="53"/>
    </row>
    <row r="100" spans="1:9" ht="14.1" customHeight="1" x14ac:dyDescent="0.2">
      <c r="A100" s="1"/>
      <c r="B100" s="1"/>
      <c r="C100" s="2" t="s">
        <v>144</v>
      </c>
      <c r="D100" s="1"/>
      <c r="E100" s="1" t="s">
        <v>145</v>
      </c>
      <c r="F100" s="13" t="s">
        <v>147</v>
      </c>
      <c r="G100" s="10">
        <v>0</v>
      </c>
      <c r="H100" s="53"/>
      <c r="I100" s="53"/>
    </row>
    <row r="101" spans="1:9" ht="14.1" customHeight="1" x14ac:dyDescent="0.2">
      <c r="A101" s="1"/>
      <c r="B101" s="1"/>
      <c r="C101" s="11"/>
      <c r="D101" s="1"/>
      <c r="E101" s="1"/>
      <c r="F101" s="12"/>
      <c r="G101" s="12"/>
      <c r="H101" s="53"/>
      <c r="I101" s="53"/>
    </row>
    <row r="102" spans="1:9" ht="14.1" customHeight="1" x14ac:dyDescent="0.2">
      <c r="A102" s="1"/>
      <c r="B102" s="1"/>
      <c r="C102" s="2" t="s">
        <v>151</v>
      </c>
      <c r="D102" s="1"/>
      <c r="E102" s="1"/>
      <c r="F102" s="12"/>
      <c r="G102" s="12"/>
      <c r="H102" s="53"/>
      <c r="I102" s="53"/>
    </row>
    <row r="103" spans="1:9" ht="14.1" customHeight="1" x14ac:dyDescent="0.2">
      <c r="A103" s="1"/>
      <c r="B103" s="1"/>
      <c r="C103" s="2" t="s">
        <v>144</v>
      </c>
      <c r="D103" s="1"/>
      <c r="E103" s="1" t="s">
        <v>145</v>
      </c>
      <c r="F103" s="13" t="s">
        <v>147</v>
      </c>
      <c r="G103" s="10">
        <v>0</v>
      </c>
      <c r="H103" s="53"/>
      <c r="I103" s="53"/>
    </row>
    <row r="104" spans="1:9" ht="14.1" customHeight="1" x14ac:dyDescent="0.2">
      <c r="A104" s="1"/>
      <c r="B104" s="1"/>
      <c r="C104" s="11"/>
      <c r="D104" s="1"/>
      <c r="E104" s="1"/>
      <c r="F104" s="12"/>
      <c r="G104" s="12"/>
      <c r="H104" s="53"/>
      <c r="I104" s="53"/>
    </row>
    <row r="105" spans="1:9" ht="18" customHeight="1" x14ac:dyDescent="0.2">
      <c r="A105" s="1"/>
      <c r="B105" s="1"/>
      <c r="C105" s="2" t="s">
        <v>152</v>
      </c>
      <c r="D105" s="1"/>
      <c r="E105" s="1"/>
      <c r="F105" s="9">
        <v>252717.229321591</v>
      </c>
      <c r="G105" s="10">
        <v>0.71715309999999999</v>
      </c>
      <c r="H105" s="53"/>
      <c r="I105" s="53"/>
    </row>
    <row r="106" spans="1:9" ht="14.1" customHeight="1" x14ac:dyDescent="0.2">
      <c r="A106" s="1"/>
      <c r="B106" s="1"/>
      <c r="C106" s="11"/>
      <c r="D106" s="1"/>
      <c r="E106" s="1"/>
      <c r="F106" s="12"/>
      <c r="G106" s="12"/>
      <c r="H106" s="53"/>
      <c r="I106" s="53"/>
    </row>
    <row r="107" spans="1:9" ht="14.1" customHeight="1" x14ac:dyDescent="0.2">
      <c r="A107" s="1"/>
      <c r="B107" s="1"/>
      <c r="C107" s="2" t="s">
        <v>153</v>
      </c>
      <c r="D107" s="1"/>
      <c r="E107" s="1"/>
      <c r="F107" s="12"/>
      <c r="G107" s="12"/>
      <c r="H107" s="53"/>
      <c r="I107" s="53"/>
    </row>
    <row r="108" spans="1:9" ht="24" customHeight="1" x14ac:dyDescent="0.2">
      <c r="A108" s="1"/>
      <c r="B108" s="1"/>
      <c r="C108" s="2" t="s">
        <v>10</v>
      </c>
      <c r="D108" s="1"/>
      <c r="E108" s="1"/>
      <c r="F108" s="12"/>
      <c r="G108" s="12"/>
      <c r="H108" s="53"/>
      <c r="I108" s="53"/>
    </row>
    <row r="109" spans="1:9" ht="29.1" customHeight="1" x14ac:dyDescent="0.2">
      <c r="A109" s="3">
        <v>1</v>
      </c>
      <c r="B109" s="4" t="s">
        <v>568</v>
      </c>
      <c r="C109" s="4" t="s">
        <v>569</v>
      </c>
      <c r="D109" s="4" t="s">
        <v>570</v>
      </c>
      <c r="E109" s="5">
        <v>300</v>
      </c>
      <c r="F109" s="6">
        <v>3002.01</v>
      </c>
      <c r="G109" s="7">
        <v>8.5190100000000005E-3</v>
      </c>
      <c r="H109" s="53">
        <v>7.7649999999999997</v>
      </c>
      <c r="I109" s="53"/>
    </row>
    <row r="110" spans="1:9" ht="17.100000000000001" customHeight="1" x14ac:dyDescent="0.2">
      <c r="A110" s="3">
        <v>2</v>
      </c>
      <c r="B110" s="4" t="s">
        <v>571</v>
      </c>
      <c r="C110" s="4" t="s">
        <v>572</v>
      </c>
      <c r="D110" s="4" t="s">
        <v>573</v>
      </c>
      <c r="E110" s="5">
        <v>300</v>
      </c>
      <c r="F110" s="6">
        <v>2998.9259999999999</v>
      </c>
      <c r="G110" s="7">
        <v>8.5102600000000004E-3</v>
      </c>
      <c r="H110" s="53">
        <v>7.4550000000000001</v>
      </c>
      <c r="I110" s="53"/>
    </row>
    <row r="111" spans="1:9" ht="29.1" customHeight="1" x14ac:dyDescent="0.2">
      <c r="A111" s="3">
        <v>3</v>
      </c>
      <c r="B111" s="4" t="s">
        <v>574</v>
      </c>
      <c r="C111" s="4" t="s">
        <v>575</v>
      </c>
      <c r="D111" s="4" t="s">
        <v>570</v>
      </c>
      <c r="E111" s="5">
        <v>2500</v>
      </c>
      <c r="F111" s="6">
        <v>2557.085</v>
      </c>
      <c r="G111" s="7">
        <v>7.2564200000000004E-3</v>
      </c>
      <c r="H111" s="53">
        <v>7.5475000000000003</v>
      </c>
      <c r="I111" s="53"/>
    </row>
    <row r="112" spans="1:9" ht="29.1" customHeight="1" x14ac:dyDescent="0.2">
      <c r="A112" s="3">
        <v>4</v>
      </c>
      <c r="B112" s="4" t="s">
        <v>576</v>
      </c>
      <c r="C112" s="4" t="s">
        <v>577</v>
      </c>
      <c r="D112" s="4" t="s">
        <v>570</v>
      </c>
      <c r="E112" s="5">
        <v>250</v>
      </c>
      <c r="F112" s="6">
        <v>2553.4299999999998</v>
      </c>
      <c r="G112" s="7">
        <v>7.2460399999999996E-3</v>
      </c>
      <c r="H112" s="53">
        <v>7.69</v>
      </c>
      <c r="I112" s="53"/>
    </row>
    <row r="113" spans="1:9" ht="29.1" customHeight="1" x14ac:dyDescent="0.2">
      <c r="A113" s="3">
        <v>5</v>
      </c>
      <c r="B113" s="4" t="s">
        <v>578</v>
      </c>
      <c r="C113" s="4" t="s">
        <v>579</v>
      </c>
      <c r="D113" s="4" t="s">
        <v>573</v>
      </c>
      <c r="E113" s="5">
        <v>2500</v>
      </c>
      <c r="F113" s="6">
        <v>2496.4775</v>
      </c>
      <c r="G113" s="7">
        <v>7.0844300000000001E-3</v>
      </c>
      <c r="H113" s="53">
        <v>7.6382000000000003</v>
      </c>
      <c r="I113" s="53"/>
    </row>
    <row r="114" spans="1:9" ht="29.1" customHeight="1" x14ac:dyDescent="0.2">
      <c r="A114" s="3">
        <v>6</v>
      </c>
      <c r="B114" s="4" t="s">
        <v>580</v>
      </c>
      <c r="C114" s="4" t="s">
        <v>581</v>
      </c>
      <c r="D114" s="4" t="s">
        <v>570</v>
      </c>
      <c r="E114" s="5">
        <v>2500</v>
      </c>
      <c r="F114" s="6">
        <v>2495.3449999999998</v>
      </c>
      <c r="G114" s="7">
        <v>7.0812100000000001E-3</v>
      </c>
      <c r="H114" s="53">
        <v>7.6449999999999996</v>
      </c>
      <c r="I114" s="53"/>
    </row>
    <row r="115" spans="1:9" ht="29.1" customHeight="1" x14ac:dyDescent="0.2">
      <c r="A115" s="3">
        <v>7</v>
      </c>
      <c r="B115" s="4" t="s">
        <v>582</v>
      </c>
      <c r="C115" s="4" t="s">
        <v>583</v>
      </c>
      <c r="D115" s="4" t="s">
        <v>570</v>
      </c>
      <c r="E115" s="5">
        <v>2500</v>
      </c>
      <c r="F115" s="6">
        <v>2485.73</v>
      </c>
      <c r="G115" s="7">
        <v>7.0539299999999999E-3</v>
      </c>
      <c r="H115" s="53">
        <v>7.65</v>
      </c>
      <c r="I115" s="53"/>
    </row>
    <row r="116" spans="1:9" ht="17.100000000000001" customHeight="1" x14ac:dyDescent="0.2">
      <c r="A116" s="3">
        <v>8</v>
      </c>
      <c r="B116" s="4" t="s">
        <v>584</v>
      </c>
      <c r="C116" s="4" t="s">
        <v>585</v>
      </c>
      <c r="D116" s="4" t="s">
        <v>573</v>
      </c>
      <c r="E116" s="5">
        <v>250</v>
      </c>
      <c r="F116" s="6">
        <v>2467.0349999999999</v>
      </c>
      <c r="G116" s="7">
        <v>7.0008800000000001E-3</v>
      </c>
      <c r="H116" s="53">
        <v>7.4</v>
      </c>
      <c r="I116" s="53"/>
    </row>
    <row r="117" spans="1:9" ht="17.100000000000001" customHeight="1" x14ac:dyDescent="0.2">
      <c r="A117" s="3">
        <v>9</v>
      </c>
      <c r="B117" s="4" t="s">
        <v>586</v>
      </c>
      <c r="C117" s="4" t="s">
        <v>587</v>
      </c>
      <c r="D117" s="4" t="s">
        <v>573</v>
      </c>
      <c r="E117" s="5">
        <v>200</v>
      </c>
      <c r="F117" s="6">
        <v>2020.1780000000001</v>
      </c>
      <c r="G117" s="7">
        <v>5.7327999999999997E-3</v>
      </c>
      <c r="H117" s="53">
        <v>7.4950000000000001</v>
      </c>
      <c r="I117" s="53"/>
    </row>
    <row r="118" spans="1:9" ht="29.1" customHeight="1" x14ac:dyDescent="0.2">
      <c r="A118" s="3">
        <v>10</v>
      </c>
      <c r="B118" s="4" t="s">
        <v>588</v>
      </c>
      <c r="C118" s="4" t="s">
        <v>589</v>
      </c>
      <c r="D118" s="4" t="s">
        <v>570</v>
      </c>
      <c r="E118" s="5">
        <v>1500</v>
      </c>
      <c r="F118" s="6">
        <v>1528.3575000000001</v>
      </c>
      <c r="G118" s="7">
        <v>4.3371299999999998E-3</v>
      </c>
      <c r="H118" s="53">
        <v>7.5250000000000004</v>
      </c>
      <c r="I118" s="53"/>
    </row>
    <row r="119" spans="1:9" ht="17.100000000000001" customHeight="1" x14ac:dyDescent="0.2">
      <c r="A119" s="3">
        <v>11</v>
      </c>
      <c r="B119" s="4" t="s">
        <v>590</v>
      </c>
      <c r="C119" s="4" t="s">
        <v>591</v>
      </c>
      <c r="D119" s="4" t="s">
        <v>570</v>
      </c>
      <c r="E119" s="5">
        <v>1500</v>
      </c>
      <c r="F119" s="6">
        <v>1510.3154999999999</v>
      </c>
      <c r="G119" s="7">
        <v>4.2859300000000003E-3</v>
      </c>
      <c r="H119" s="53">
        <v>7.5742000000000003</v>
      </c>
      <c r="I119" s="53"/>
    </row>
    <row r="120" spans="1:9" ht="29.1" customHeight="1" x14ac:dyDescent="0.2">
      <c r="A120" s="3">
        <v>12</v>
      </c>
      <c r="B120" s="4" t="s">
        <v>592</v>
      </c>
      <c r="C120" s="4" t="s">
        <v>593</v>
      </c>
      <c r="D120" s="4" t="s">
        <v>570</v>
      </c>
      <c r="E120" s="5">
        <v>1500</v>
      </c>
      <c r="F120" s="6">
        <v>1509.999</v>
      </c>
      <c r="G120" s="7">
        <v>4.2850299999999996E-3</v>
      </c>
      <c r="H120" s="53">
        <v>7.5774999999999997</v>
      </c>
      <c r="I120" s="53"/>
    </row>
    <row r="121" spans="1:9" ht="29.1" customHeight="1" x14ac:dyDescent="0.2">
      <c r="A121" s="3">
        <v>13</v>
      </c>
      <c r="B121" s="4" t="s">
        <v>594</v>
      </c>
      <c r="C121" s="4" t="s">
        <v>595</v>
      </c>
      <c r="D121" s="4" t="s">
        <v>570</v>
      </c>
      <c r="E121" s="5">
        <v>1500</v>
      </c>
      <c r="F121" s="6">
        <v>1504.9860000000001</v>
      </c>
      <c r="G121" s="7">
        <v>4.2707999999999999E-3</v>
      </c>
      <c r="H121" s="53">
        <v>7.6288999999999998</v>
      </c>
      <c r="I121" s="53"/>
    </row>
    <row r="122" spans="1:9" ht="29.1" customHeight="1" x14ac:dyDescent="0.2">
      <c r="A122" s="130">
        <v>14</v>
      </c>
      <c r="B122" s="40" t="s">
        <v>596</v>
      </c>
      <c r="C122" s="40" t="s">
        <v>1007</v>
      </c>
      <c r="D122" s="40" t="s">
        <v>597</v>
      </c>
      <c r="E122" s="50">
        <v>150</v>
      </c>
      <c r="F122" s="51">
        <v>1503.8235</v>
      </c>
      <c r="G122" s="52">
        <v>4.2674999999999996E-3</v>
      </c>
      <c r="H122" s="53">
        <v>8.4694000000000003</v>
      </c>
      <c r="I122" s="53">
        <v>7.6154617419499999</v>
      </c>
    </row>
    <row r="123" spans="1:9" ht="29.1" customHeight="1" x14ac:dyDescent="0.2">
      <c r="A123" s="3">
        <v>15</v>
      </c>
      <c r="B123" s="4" t="s">
        <v>598</v>
      </c>
      <c r="C123" s="4" t="s">
        <v>599</v>
      </c>
      <c r="D123" s="4" t="s">
        <v>570</v>
      </c>
      <c r="E123" s="5">
        <v>1500</v>
      </c>
      <c r="F123" s="6">
        <v>1502.742</v>
      </c>
      <c r="G123" s="7">
        <v>4.2644299999999996E-3</v>
      </c>
      <c r="H123" s="53">
        <v>7.6550000000000002</v>
      </c>
      <c r="I123" s="53"/>
    </row>
    <row r="124" spans="1:9" ht="29.1" customHeight="1" x14ac:dyDescent="0.2">
      <c r="A124" s="3">
        <v>16</v>
      </c>
      <c r="B124" s="4" t="s">
        <v>600</v>
      </c>
      <c r="C124" s="4" t="s">
        <v>601</v>
      </c>
      <c r="D124" s="4" t="s">
        <v>570</v>
      </c>
      <c r="E124" s="5">
        <v>1500</v>
      </c>
      <c r="F124" s="6">
        <v>1498.038</v>
      </c>
      <c r="G124" s="7">
        <v>4.2510899999999999E-3</v>
      </c>
      <c r="H124" s="53">
        <v>7.81</v>
      </c>
      <c r="I124" s="53"/>
    </row>
    <row r="125" spans="1:9" ht="29.1" customHeight="1" x14ac:dyDescent="0.2">
      <c r="A125" s="3">
        <v>17</v>
      </c>
      <c r="B125" s="4" t="s">
        <v>602</v>
      </c>
      <c r="C125" s="4" t="s">
        <v>603</v>
      </c>
      <c r="D125" s="4" t="s">
        <v>570</v>
      </c>
      <c r="E125" s="5">
        <v>1500</v>
      </c>
      <c r="F125" s="6">
        <v>1495.3230000000001</v>
      </c>
      <c r="G125" s="7">
        <v>4.2433799999999997E-3</v>
      </c>
      <c r="H125" s="53">
        <v>8.2117000000000004</v>
      </c>
      <c r="I125" s="53"/>
    </row>
    <row r="126" spans="1:9" ht="29.1" customHeight="1" x14ac:dyDescent="0.2">
      <c r="A126" s="3">
        <v>18</v>
      </c>
      <c r="B126" s="4" t="s">
        <v>604</v>
      </c>
      <c r="C126" s="4" t="s">
        <v>605</v>
      </c>
      <c r="D126" s="4" t="s">
        <v>570</v>
      </c>
      <c r="E126" s="5">
        <v>150</v>
      </c>
      <c r="F126" s="6">
        <v>1493.3910000000001</v>
      </c>
      <c r="G126" s="7">
        <v>4.2379000000000002E-3</v>
      </c>
      <c r="H126" s="53">
        <v>7.375</v>
      </c>
      <c r="I126" s="53"/>
    </row>
    <row r="127" spans="1:9" ht="29.1" customHeight="1" x14ac:dyDescent="0.2">
      <c r="A127" s="3">
        <v>19</v>
      </c>
      <c r="B127" s="4" t="s">
        <v>606</v>
      </c>
      <c r="C127" s="4" t="s">
        <v>607</v>
      </c>
      <c r="D127" s="4" t="s">
        <v>573</v>
      </c>
      <c r="E127" s="5">
        <v>150</v>
      </c>
      <c r="F127" s="6">
        <v>1489.9845</v>
      </c>
      <c r="G127" s="7">
        <v>4.2282300000000004E-3</v>
      </c>
      <c r="H127" s="53">
        <v>7.8049999999999997</v>
      </c>
      <c r="I127" s="53"/>
    </row>
    <row r="128" spans="1:9" ht="29.1" customHeight="1" x14ac:dyDescent="0.2">
      <c r="A128" s="3">
        <v>20</v>
      </c>
      <c r="B128" s="4" t="s">
        <v>608</v>
      </c>
      <c r="C128" s="4" t="s">
        <v>609</v>
      </c>
      <c r="D128" s="4" t="s">
        <v>570</v>
      </c>
      <c r="E128" s="5">
        <v>150</v>
      </c>
      <c r="F128" s="6">
        <v>1488.453</v>
      </c>
      <c r="G128" s="7">
        <v>4.2238900000000001E-3</v>
      </c>
      <c r="H128" s="53">
        <v>7.5650000000000004</v>
      </c>
      <c r="I128" s="53"/>
    </row>
    <row r="129" spans="1:9" ht="29.1" customHeight="1" x14ac:dyDescent="0.2">
      <c r="A129" s="3">
        <v>21</v>
      </c>
      <c r="B129" s="4" t="s">
        <v>610</v>
      </c>
      <c r="C129" s="4" t="s">
        <v>611</v>
      </c>
      <c r="D129" s="4" t="s">
        <v>570</v>
      </c>
      <c r="E129" s="5">
        <v>150</v>
      </c>
      <c r="F129" s="6">
        <v>1462.3364999999999</v>
      </c>
      <c r="G129" s="7">
        <v>4.1497699999999997E-3</v>
      </c>
      <c r="H129" s="53">
        <v>7.7750000000000004</v>
      </c>
      <c r="I129" s="53"/>
    </row>
    <row r="130" spans="1:9" ht="17.100000000000001" customHeight="1" x14ac:dyDescent="0.2">
      <c r="A130" s="3">
        <v>22</v>
      </c>
      <c r="B130" s="4" t="s">
        <v>612</v>
      </c>
      <c r="C130" s="4" t="s">
        <v>613</v>
      </c>
      <c r="D130" s="4" t="s">
        <v>570</v>
      </c>
      <c r="E130" s="5">
        <v>100</v>
      </c>
      <c r="F130" s="6">
        <v>1003.294</v>
      </c>
      <c r="G130" s="7">
        <v>2.8471199999999999E-3</v>
      </c>
      <c r="H130" s="53">
        <v>7.44</v>
      </c>
      <c r="I130" s="53"/>
    </row>
    <row r="131" spans="1:9" ht="29.1" customHeight="1" x14ac:dyDescent="0.2">
      <c r="A131" s="3">
        <v>23</v>
      </c>
      <c r="B131" s="4" t="s">
        <v>614</v>
      </c>
      <c r="C131" s="4" t="s">
        <v>615</v>
      </c>
      <c r="D131" s="4" t="s">
        <v>570</v>
      </c>
      <c r="E131" s="5">
        <v>100</v>
      </c>
      <c r="F131" s="6">
        <v>1000.677</v>
      </c>
      <c r="G131" s="7">
        <v>2.8396900000000002E-3</v>
      </c>
      <c r="H131" s="53">
        <v>7.4450000000000003</v>
      </c>
      <c r="I131" s="53"/>
    </row>
    <row r="132" spans="1:9" ht="17.100000000000001" customHeight="1" x14ac:dyDescent="0.2">
      <c r="A132" s="3">
        <v>24</v>
      </c>
      <c r="B132" s="4" t="s">
        <v>616</v>
      </c>
      <c r="C132" s="4" t="s">
        <v>617</v>
      </c>
      <c r="D132" s="4" t="s">
        <v>570</v>
      </c>
      <c r="E132" s="5">
        <v>1000</v>
      </c>
      <c r="F132" s="6">
        <v>997.12900000000002</v>
      </c>
      <c r="G132" s="7">
        <v>2.8296200000000001E-3</v>
      </c>
      <c r="H132" s="53">
        <v>7.6150000000000002</v>
      </c>
      <c r="I132" s="53"/>
    </row>
    <row r="133" spans="1:9" ht="29.1" customHeight="1" x14ac:dyDescent="0.2">
      <c r="A133" s="3">
        <v>25</v>
      </c>
      <c r="B133" s="4" t="s">
        <v>618</v>
      </c>
      <c r="C133" s="4" t="s">
        <v>619</v>
      </c>
      <c r="D133" s="4" t="s">
        <v>573</v>
      </c>
      <c r="E133" s="5">
        <v>100</v>
      </c>
      <c r="F133" s="6">
        <v>996.63300000000004</v>
      </c>
      <c r="G133" s="7">
        <v>2.8282099999999998E-3</v>
      </c>
      <c r="H133" s="53">
        <v>7.62</v>
      </c>
      <c r="I133" s="53"/>
    </row>
    <row r="134" spans="1:9" ht="17.100000000000001" customHeight="1" x14ac:dyDescent="0.2">
      <c r="A134" s="3">
        <v>26</v>
      </c>
      <c r="B134" s="4" t="s">
        <v>620</v>
      </c>
      <c r="C134" s="4" t="s">
        <v>621</v>
      </c>
      <c r="D134" s="4" t="s">
        <v>570</v>
      </c>
      <c r="E134" s="5">
        <v>1000</v>
      </c>
      <c r="F134" s="6">
        <v>995.91899999999998</v>
      </c>
      <c r="G134" s="7">
        <v>2.8261900000000001E-3</v>
      </c>
      <c r="H134" s="53">
        <v>7.6</v>
      </c>
      <c r="I134" s="53"/>
    </row>
    <row r="135" spans="1:9" ht="29.1" customHeight="1" x14ac:dyDescent="0.2">
      <c r="A135" s="3">
        <v>27</v>
      </c>
      <c r="B135" s="4" t="s">
        <v>622</v>
      </c>
      <c r="C135" s="4" t="s">
        <v>623</v>
      </c>
      <c r="D135" s="4" t="s">
        <v>573</v>
      </c>
      <c r="E135" s="5">
        <v>100</v>
      </c>
      <c r="F135" s="6">
        <v>969.75300000000004</v>
      </c>
      <c r="G135" s="7">
        <v>2.75194E-3</v>
      </c>
      <c r="H135" s="53">
        <v>7.5250000000000004</v>
      </c>
      <c r="I135" s="53"/>
    </row>
    <row r="136" spans="1:9" ht="29.1" customHeight="1" x14ac:dyDescent="0.2">
      <c r="A136" s="3">
        <v>28</v>
      </c>
      <c r="B136" s="4" t="s">
        <v>626</v>
      </c>
      <c r="C136" s="4" t="s">
        <v>627</v>
      </c>
      <c r="D136" s="4" t="s">
        <v>570</v>
      </c>
      <c r="E136" s="5">
        <v>500</v>
      </c>
      <c r="F136" s="6">
        <v>499.68849999999998</v>
      </c>
      <c r="G136" s="7">
        <v>1.418E-3</v>
      </c>
      <c r="H136" s="53">
        <v>7.8049999999999997</v>
      </c>
      <c r="I136" s="53"/>
    </row>
    <row r="137" spans="1:9" ht="29.1" customHeight="1" x14ac:dyDescent="0.2">
      <c r="A137" s="3">
        <v>29</v>
      </c>
      <c r="B137" s="4" t="s">
        <v>628</v>
      </c>
      <c r="C137" s="4" t="s">
        <v>629</v>
      </c>
      <c r="D137" s="4" t="s">
        <v>570</v>
      </c>
      <c r="E137" s="5">
        <v>20</v>
      </c>
      <c r="F137" s="6">
        <v>196.17939999999999</v>
      </c>
      <c r="G137" s="7">
        <v>5.5670999999999997E-4</v>
      </c>
      <c r="H137" s="53">
        <v>7.5149999999999997</v>
      </c>
      <c r="I137" s="53"/>
    </row>
    <row r="138" spans="1:9" ht="14.1" customHeight="1" x14ac:dyDescent="0.2">
      <c r="A138" s="1"/>
      <c r="B138" s="1"/>
      <c r="C138" s="2" t="s">
        <v>144</v>
      </c>
      <c r="D138" s="1"/>
      <c r="E138" s="1" t="s">
        <v>145</v>
      </c>
      <c r="F138" s="9">
        <v>47723.238899999997</v>
      </c>
      <c r="G138" s="10">
        <v>0.13542753999999999</v>
      </c>
      <c r="H138" s="53"/>
      <c r="I138" s="53"/>
    </row>
    <row r="139" spans="1:9" ht="14.1" customHeight="1" x14ac:dyDescent="0.2">
      <c r="A139" s="1"/>
      <c r="B139" s="1"/>
      <c r="C139" s="11"/>
      <c r="D139" s="1"/>
      <c r="E139" s="1"/>
      <c r="F139" s="12"/>
      <c r="G139" s="12"/>
      <c r="H139" s="53"/>
      <c r="I139" s="53"/>
    </row>
    <row r="140" spans="1:9" ht="14.1" customHeight="1" x14ac:dyDescent="0.2">
      <c r="A140" s="1"/>
      <c r="B140" s="1"/>
      <c r="C140" s="2" t="s">
        <v>154</v>
      </c>
      <c r="D140" s="1"/>
      <c r="E140" s="1"/>
      <c r="F140" s="1"/>
      <c r="G140" s="1"/>
      <c r="H140" s="53"/>
      <c r="I140" s="53"/>
    </row>
    <row r="141" spans="1:9" ht="17.100000000000001" customHeight="1" x14ac:dyDescent="0.2">
      <c r="A141" s="3">
        <v>1</v>
      </c>
      <c r="B141" s="4" t="s">
        <v>624</v>
      </c>
      <c r="C141" s="4" t="s">
        <v>625</v>
      </c>
      <c r="D141" s="4" t="s">
        <v>573</v>
      </c>
      <c r="E141" s="5">
        <v>50</v>
      </c>
      <c r="F141" s="6">
        <v>503.20499999999998</v>
      </c>
      <c r="G141" s="7">
        <v>1.4279799999999999E-3</v>
      </c>
      <c r="H141" s="53">
        <v>8.4024999999999999</v>
      </c>
      <c r="I141" s="53"/>
    </row>
    <row r="142" spans="1:9" ht="14.1" customHeight="1" x14ac:dyDescent="0.2">
      <c r="A142" s="1"/>
      <c r="B142" s="1"/>
      <c r="C142" s="2" t="s">
        <v>144</v>
      </c>
      <c r="D142" s="1"/>
      <c r="E142" s="1" t="s">
        <v>145</v>
      </c>
      <c r="F142" s="9">
        <v>503.20499999999998</v>
      </c>
      <c r="G142" s="10">
        <v>1.4279799999999999E-3</v>
      </c>
      <c r="H142" s="53"/>
      <c r="I142" s="53"/>
    </row>
    <row r="143" spans="1:9" ht="14.1" customHeight="1" x14ac:dyDescent="0.2">
      <c r="A143" s="1"/>
      <c r="B143" s="1"/>
      <c r="C143" s="11"/>
      <c r="D143" s="1"/>
      <c r="E143" s="1"/>
      <c r="F143" s="12"/>
      <c r="G143" s="12"/>
      <c r="H143" s="53"/>
      <c r="I143" s="53"/>
    </row>
    <row r="144" spans="1:9" ht="14.1" customHeight="1" x14ac:dyDescent="0.2">
      <c r="A144" s="1"/>
      <c r="B144" s="1"/>
      <c r="C144" s="2" t="s">
        <v>155</v>
      </c>
      <c r="D144" s="1"/>
      <c r="E144" s="1"/>
      <c r="F144" s="1"/>
      <c r="G144" s="1"/>
      <c r="H144" s="53"/>
      <c r="I144" s="53"/>
    </row>
    <row r="145" spans="1:9" ht="29.1" customHeight="1" x14ac:dyDescent="0.2">
      <c r="A145" s="3">
        <v>1</v>
      </c>
      <c r="B145" s="4" t="s">
        <v>630</v>
      </c>
      <c r="C145" s="4" t="s">
        <v>631</v>
      </c>
      <c r="D145" s="4" t="s">
        <v>632</v>
      </c>
      <c r="E145" s="5">
        <v>10000000</v>
      </c>
      <c r="F145" s="6">
        <v>10062.75</v>
      </c>
      <c r="G145" s="7">
        <v>2.8555759999999999E-2</v>
      </c>
      <c r="H145" s="53">
        <v>7.2946</v>
      </c>
      <c r="I145" s="53"/>
    </row>
    <row r="146" spans="1:9" ht="29.1" customHeight="1" x14ac:dyDescent="0.2">
      <c r="A146" s="3">
        <v>2</v>
      </c>
      <c r="B146" s="4" t="s">
        <v>633</v>
      </c>
      <c r="C146" s="4" t="s">
        <v>634</v>
      </c>
      <c r="D146" s="4" t="s">
        <v>632</v>
      </c>
      <c r="E146" s="5">
        <v>8500000</v>
      </c>
      <c r="F146" s="6">
        <v>8628.2904999999992</v>
      </c>
      <c r="G146" s="7">
        <v>2.4485090000000001E-2</v>
      </c>
      <c r="H146" s="53">
        <v>7.3602999999999996</v>
      </c>
      <c r="I146" s="53"/>
    </row>
    <row r="147" spans="1:9" ht="29.1" customHeight="1" x14ac:dyDescent="0.2">
      <c r="A147" s="3">
        <v>3</v>
      </c>
      <c r="B147" s="4" t="s">
        <v>635</v>
      </c>
      <c r="C147" s="4" t="s">
        <v>636</v>
      </c>
      <c r="D147" s="4" t="s">
        <v>632</v>
      </c>
      <c r="E147" s="5">
        <v>2500000</v>
      </c>
      <c r="F147" s="6">
        <v>2517.39</v>
      </c>
      <c r="G147" s="7">
        <v>7.1437699999999998E-3</v>
      </c>
      <c r="H147" s="53">
        <v>7.2914000000000003</v>
      </c>
      <c r="I147" s="53"/>
    </row>
    <row r="148" spans="1:9" ht="29.1" customHeight="1" x14ac:dyDescent="0.2">
      <c r="A148" s="3">
        <v>4</v>
      </c>
      <c r="B148" s="4" t="s">
        <v>637</v>
      </c>
      <c r="C148" s="4" t="s">
        <v>638</v>
      </c>
      <c r="D148" s="4" t="s">
        <v>632</v>
      </c>
      <c r="E148" s="5">
        <v>2500000</v>
      </c>
      <c r="F148" s="6">
        <v>2490.9875000000002</v>
      </c>
      <c r="G148" s="7">
        <v>7.0688499999999998E-3</v>
      </c>
      <c r="H148" s="53">
        <v>7.3051000000000004</v>
      </c>
      <c r="I148" s="53"/>
    </row>
    <row r="149" spans="1:9" ht="29.1" customHeight="1" x14ac:dyDescent="0.2">
      <c r="A149" s="3">
        <v>5</v>
      </c>
      <c r="B149" s="4" t="s">
        <v>639</v>
      </c>
      <c r="C149" s="4" t="s">
        <v>640</v>
      </c>
      <c r="D149" s="4" t="s">
        <v>632</v>
      </c>
      <c r="E149" s="5">
        <v>2000000</v>
      </c>
      <c r="F149" s="6">
        <v>1937.472</v>
      </c>
      <c r="G149" s="7">
        <v>5.4980999999999997E-3</v>
      </c>
      <c r="H149" s="53">
        <v>7.2313999999999998</v>
      </c>
      <c r="I149" s="53"/>
    </row>
    <row r="150" spans="1:9" ht="29.1" customHeight="1" x14ac:dyDescent="0.2">
      <c r="A150" s="3">
        <v>6</v>
      </c>
      <c r="B150" s="4" t="s">
        <v>641</v>
      </c>
      <c r="C150" s="40" t="s">
        <v>642</v>
      </c>
      <c r="D150" s="4" t="s">
        <v>632</v>
      </c>
      <c r="E150" s="5">
        <v>2000000</v>
      </c>
      <c r="F150" s="6">
        <v>1919.1</v>
      </c>
      <c r="G150" s="7">
        <v>5.4459599999999997E-3</v>
      </c>
      <c r="H150" s="53">
        <v>7.2990000000000004</v>
      </c>
      <c r="I150" s="53"/>
    </row>
    <row r="151" spans="1:9" ht="41.1" customHeight="1" x14ac:dyDescent="0.2">
      <c r="A151" s="3">
        <v>7</v>
      </c>
      <c r="B151" s="40" t="s">
        <v>643</v>
      </c>
      <c r="C151" s="40" t="s">
        <v>901</v>
      </c>
      <c r="D151" s="4" t="s">
        <v>632</v>
      </c>
      <c r="E151" s="5">
        <v>1500000</v>
      </c>
      <c r="F151" s="6">
        <v>1494.6</v>
      </c>
      <c r="G151" s="7">
        <v>4.2413299999999998E-3</v>
      </c>
      <c r="H151" s="53">
        <v>7.6610720963921022</v>
      </c>
      <c r="I151" s="53"/>
    </row>
    <row r="152" spans="1:9" ht="29.1" customHeight="1" x14ac:dyDescent="0.2">
      <c r="A152" s="3">
        <v>8</v>
      </c>
      <c r="B152" s="4" t="s">
        <v>644</v>
      </c>
      <c r="C152" s="40" t="s">
        <v>904</v>
      </c>
      <c r="D152" s="4" t="s">
        <v>632</v>
      </c>
      <c r="E152" s="5">
        <v>1000000</v>
      </c>
      <c r="F152" s="6">
        <v>1003.3049999999999</v>
      </c>
      <c r="G152" s="7">
        <v>2.8471500000000001E-3</v>
      </c>
      <c r="H152" s="53">
        <v>7.2595000000000001</v>
      </c>
      <c r="I152" s="53"/>
    </row>
    <row r="153" spans="1:9" ht="29.1" customHeight="1" x14ac:dyDescent="0.2">
      <c r="A153" s="3">
        <v>9</v>
      </c>
      <c r="B153" s="4" t="s">
        <v>645</v>
      </c>
      <c r="C153" s="4" t="s">
        <v>646</v>
      </c>
      <c r="D153" s="4" t="s">
        <v>632</v>
      </c>
      <c r="E153" s="5">
        <v>400000</v>
      </c>
      <c r="F153" s="6">
        <v>406.37</v>
      </c>
      <c r="G153" s="7">
        <v>1.15318E-3</v>
      </c>
      <c r="H153" s="53">
        <v>7.3985000000000003</v>
      </c>
      <c r="I153" s="53"/>
    </row>
    <row r="154" spans="1:9" ht="29.1" customHeight="1" x14ac:dyDescent="0.2">
      <c r="A154" s="3">
        <v>10</v>
      </c>
      <c r="B154" s="4" t="s">
        <v>647</v>
      </c>
      <c r="C154" s="4" t="s">
        <v>648</v>
      </c>
      <c r="D154" s="4" t="s">
        <v>632</v>
      </c>
      <c r="E154" s="5">
        <v>400000</v>
      </c>
      <c r="F154" s="6">
        <v>404.74680000000001</v>
      </c>
      <c r="G154" s="7">
        <v>1.14858E-3</v>
      </c>
      <c r="H154" s="53">
        <v>7.3739999999999997</v>
      </c>
      <c r="I154" s="53"/>
    </row>
    <row r="155" spans="1:9" ht="29.1" customHeight="1" x14ac:dyDescent="0.2">
      <c r="A155" s="3">
        <v>11</v>
      </c>
      <c r="B155" s="4" t="s">
        <v>649</v>
      </c>
      <c r="C155" s="4" t="s">
        <v>650</v>
      </c>
      <c r="D155" s="4" t="s">
        <v>632</v>
      </c>
      <c r="E155" s="5">
        <v>400000</v>
      </c>
      <c r="F155" s="6">
        <v>404.31319999999999</v>
      </c>
      <c r="G155" s="7">
        <v>1.1473500000000001E-3</v>
      </c>
      <c r="H155" s="53">
        <v>7.3865999999999996</v>
      </c>
      <c r="I155" s="53"/>
    </row>
    <row r="156" spans="1:9" ht="14.1" customHeight="1" x14ac:dyDescent="0.2">
      <c r="A156" s="1"/>
      <c r="B156" s="1"/>
      <c r="C156" s="2" t="s">
        <v>144</v>
      </c>
      <c r="D156" s="1"/>
      <c r="E156" s="1" t="s">
        <v>145</v>
      </c>
      <c r="F156" s="9">
        <v>31269.325000000001</v>
      </c>
      <c r="G156" s="10">
        <v>8.8735120000000001E-2</v>
      </c>
      <c r="H156" s="53"/>
      <c r="I156" s="53"/>
    </row>
    <row r="157" spans="1:9" ht="14.1" customHeight="1" x14ac:dyDescent="0.2">
      <c r="A157" s="1"/>
      <c r="B157" s="1"/>
      <c r="C157" s="11"/>
      <c r="D157" s="1"/>
      <c r="E157" s="1"/>
      <c r="F157" s="12"/>
      <c r="G157" s="12"/>
      <c r="H157" s="53"/>
      <c r="I157" s="53"/>
    </row>
    <row r="158" spans="1:9" ht="14.1" customHeight="1" x14ac:dyDescent="0.2">
      <c r="A158" s="1"/>
      <c r="B158" s="1"/>
      <c r="C158" s="2" t="s">
        <v>156</v>
      </c>
      <c r="D158" s="1"/>
      <c r="E158" s="1"/>
      <c r="F158" s="12"/>
      <c r="G158" s="12"/>
      <c r="H158" s="53"/>
      <c r="I158" s="53"/>
    </row>
    <row r="159" spans="1:9" ht="14.1" customHeight="1" x14ac:dyDescent="0.2">
      <c r="A159" s="1"/>
      <c r="B159" s="1"/>
      <c r="C159" s="2" t="s">
        <v>144</v>
      </c>
      <c r="D159" s="1"/>
      <c r="E159" s="1" t="s">
        <v>145</v>
      </c>
      <c r="F159" s="13" t="s">
        <v>147</v>
      </c>
      <c r="G159" s="10">
        <v>0</v>
      </c>
      <c r="H159" s="53"/>
      <c r="I159" s="53"/>
    </row>
    <row r="160" spans="1:9" ht="14.1" customHeight="1" x14ac:dyDescent="0.2">
      <c r="A160" s="1"/>
      <c r="B160" s="1"/>
      <c r="C160" s="11"/>
      <c r="D160" s="1"/>
      <c r="E160" s="1"/>
      <c r="F160" s="12"/>
      <c r="G160" s="12"/>
      <c r="H160" s="53"/>
      <c r="I160" s="53"/>
    </row>
    <row r="161" spans="1:9" ht="14.1" customHeight="1" x14ac:dyDescent="0.2">
      <c r="A161" s="1"/>
      <c r="B161" s="1"/>
      <c r="C161" s="2" t="s">
        <v>157</v>
      </c>
      <c r="D161" s="1"/>
      <c r="E161" s="1"/>
      <c r="F161" s="9">
        <v>79495.768899999995</v>
      </c>
      <c r="G161" s="10">
        <v>0.22559064000000001</v>
      </c>
      <c r="H161" s="53"/>
      <c r="I161" s="53"/>
    </row>
    <row r="162" spans="1:9" ht="14.1" customHeight="1" x14ac:dyDescent="0.2">
      <c r="A162" s="1"/>
      <c r="B162" s="1"/>
      <c r="C162" s="11"/>
      <c r="D162" s="1"/>
      <c r="E162" s="1"/>
      <c r="F162" s="12"/>
      <c r="G162" s="12"/>
      <c r="H162" s="53"/>
      <c r="I162" s="53"/>
    </row>
    <row r="163" spans="1:9" ht="14.1" customHeight="1" x14ac:dyDescent="0.2">
      <c r="A163" s="1"/>
      <c r="B163" s="1"/>
      <c r="C163" s="2" t="s">
        <v>158</v>
      </c>
      <c r="D163" s="1"/>
      <c r="E163" s="1"/>
      <c r="F163" s="12"/>
      <c r="G163" s="12"/>
      <c r="H163" s="53"/>
      <c r="I163" s="53"/>
    </row>
    <row r="164" spans="1:9" ht="14.1" customHeight="1" x14ac:dyDescent="0.2">
      <c r="A164" s="1"/>
      <c r="B164" s="1"/>
      <c r="C164" s="2" t="s">
        <v>159</v>
      </c>
      <c r="D164" s="1"/>
      <c r="E164" s="1"/>
      <c r="F164" s="12"/>
      <c r="G164" s="12"/>
      <c r="H164" s="53"/>
      <c r="I164" s="53"/>
    </row>
    <row r="165" spans="1:9" ht="17.100000000000001" customHeight="1" x14ac:dyDescent="0.2">
      <c r="A165" s="3">
        <v>1</v>
      </c>
      <c r="B165" s="4" t="s">
        <v>651</v>
      </c>
      <c r="C165" s="4" t="s">
        <v>652</v>
      </c>
      <c r="D165" s="4" t="s">
        <v>653</v>
      </c>
      <c r="E165" s="5">
        <v>600</v>
      </c>
      <c r="F165" s="6">
        <v>2945.1570000000002</v>
      </c>
      <c r="G165" s="7">
        <v>8.3576799999999993E-3</v>
      </c>
      <c r="H165" s="53">
        <v>7.0800999999999998</v>
      </c>
      <c r="I165" s="53"/>
    </row>
    <row r="166" spans="1:9" ht="14.1" customHeight="1" x14ac:dyDescent="0.2">
      <c r="A166" s="1"/>
      <c r="B166" s="1"/>
      <c r="C166" s="2" t="s">
        <v>144</v>
      </c>
      <c r="D166" s="1"/>
      <c r="E166" s="1" t="s">
        <v>145</v>
      </c>
      <c r="F166" s="9">
        <v>2945.1570000000002</v>
      </c>
      <c r="G166" s="10">
        <v>8.3576799999999993E-3</v>
      </c>
      <c r="H166" s="53"/>
      <c r="I166" s="53"/>
    </row>
    <row r="167" spans="1:9" ht="14.1" customHeight="1" x14ac:dyDescent="0.2">
      <c r="A167" s="1"/>
      <c r="B167" s="1"/>
      <c r="C167" s="11"/>
      <c r="D167" s="1"/>
      <c r="E167" s="1"/>
      <c r="F167" s="12"/>
      <c r="G167" s="12"/>
      <c r="H167" s="53"/>
      <c r="I167" s="53"/>
    </row>
    <row r="168" spans="1:9" ht="14.1" customHeight="1" x14ac:dyDescent="0.2">
      <c r="A168" s="1"/>
      <c r="B168" s="1"/>
      <c r="C168" s="2" t="s">
        <v>160</v>
      </c>
      <c r="D168" s="1"/>
      <c r="E168" s="1"/>
      <c r="F168" s="12"/>
      <c r="G168" s="12"/>
      <c r="H168" s="53"/>
      <c r="I168" s="53"/>
    </row>
    <row r="169" spans="1:9" ht="29.1" customHeight="1" x14ac:dyDescent="0.2">
      <c r="A169" s="3">
        <v>1</v>
      </c>
      <c r="B169" s="4" t="s">
        <v>654</v>
      </c>
      <c r="C169" s="4" t="s">
        <v>655</v>
      </c>
      <c r="D169" s="4" t="s">
        <v>656</v>
      </c>
      <c r="E169" s="5">
        <v>500</v>
      </c>
      <c r="F169" s="6">
        <v>2366.5124999999998</v>
      </c>
      <c r="G169" s="7">
        <v>6.7156200000000003E-3</v>
      </c>
      <c r="H169" s="53">
        <v>7.7401</v>
      </c>
      <c r="I169" s="53"/>
    </row>
    <row r="170" spans="1:9" ht="14.1" customHeight="1" x14ac:dyDescent="0.2">
      <c r="A170" s="1"/>
      <c r="B170" s="1"/>
      <c r="C170" s="2" t="s">
        <v>144</v>
      </c>
      <c r="D170" s="1"/>
      <c r="E170" s="1" t="s">
        <v>145</v>
      </c>
      <c r="F170" s="9">
        <v>2366.5124999999998</v>
      </c>
      <c r="G170" s="10">
        <v>6.7156200000000003E-3</v>
      </c>
      <c r="H170" s="53"/>
      <c r="I170" s="53"/>
    </row>
    <row r="171" spans="1:9" ht="14.1" customHeight="1" x14ac:dyDescent="0.2">
      <c r="A171" s="1"/>
      <c r="B171" s="1"/>
      <c r="C171" s="11"/>
      <c r="D171" s="1"/>
      <c r="E171" s="1"/>
      <c r="F171" s="12"/>
      <c r="G171" s="12"/>
      <c r="H171" s="53"/>
      <c r="I171" s="53"/>
    </row>
    <row r="172" spans="1:9" ht="14.1" customHeight="1" x14ac:dyDescent="0.2">
      <c r="A172" s="1"/>
      <c r="B172" s="1"/>
      <c r="C172" s="2" t="s">
        <v>161</v>
      </c>
      <c r="D172" s="1"/>
      <c r="E172" s="1"/>
      <c r="F172" s="12"/>
      <c r="G172" s="12"/>
      <c r="H172" s="53"/>
      <c r="I172" s="53"/>
    </row>
    <row r="173" spans="1:9" ht="17.100000000000001" customHeight="1" x14ac:dyDescent="0.2">
      <c r="A173" s="3">
        <v>1</v>
      </c>
      <c r="B173" s="4" t="s">
        <v>657</v>
      </c>
      <c r="C173" s="4" t="s">
        <v>658</v>
      </c>
      <c r="D173" s="4" t="s">
        <v>632</v>
      </c>
      <c r="E173" s="5">
        <v>1000000</v>
      </c>
      <c r="F173" s="6">
        <v>962.57899999999995</v>
      </c>
      <c r="G173" s="7">
        <v>2.7315799999999999E-3</v>
      </c>
      <c r="H173" s="53">
        <v>6.99</v>
      </c>
      <c r="I173" s="53"/>
    </row>
    <row r="174" spans="1:9" ht="14.1" customHeight="1" x14ac:dyDescent="0.2">
      <c r="A174" s="1"/>
      <c r="B174" s="1"/>
      <c r="C174" s="2" t="s">
        <v>144</v>
      </c>
      <c r="D174" s="1"/>
      <c r="E174" s="1" t="s">
        <v>145</v>
      </c>
      <c r="F174" s="9">
        <v>962.57899999999995</v>
      </c>
      <c r="G174" s="10">
        <v>2.7315799999999999E-3</v>
      </c>
      <c r="H174" s="53"/>
      <c r="I174" s="53"/>
    </row>
    <row r="175" spans="1:9" ht="14.1" customHeight="1" x14ac:dyDescent="0.2">
      <c r="A175" s="1"/>
      <c r="B175" s="1"/>
      <c r="C175" s="11"/>
      <c r="D175" s="1"/>
      <c r="E175" s="1"/>
      <c r="F175" s="12"/>
      <c r="G175" s="12"/>
      <c r="H175" s="53"/>
      <c r="I175" s="53"/>
    </row>
    <row r="176" spans="1:9" ht="14.1" customHeight="1" x14ac:dyDescent="0.2">
      <c r="A176" s="1"/>
      <c r="B176" s="1"/>
      <c r="C176" s="2" t="s">
        <v>162</v>
      </c>
      <c r="D176" s="1"/>
      <c r="E176" s="1"/>
      <c r="F176" s="12"/>
      <c r="G176" s="12"/>
      <c r="H176" s="53"/>
      <c r="I176" s="53"/>
    </row>
    <row r="177" spans="1:9" ht="17.100000000000001" customHeight="1" x14ac:dyDescent="0.2">
      <c r="A177" s="3">
        <v>1</v>
      </c>
      <c r="B177" s="4"/>
      <c r="C177" s="4" t="s">
        <v>163</v>
      </c>
      <c r="D177" s="4"/>
      <c r="E177" s="8"/>
      <c r="F177" s="6">
        <v>7597.7710180069998</v>
      </c>
      <c r="G177" s="7">
        <v>2.1560719999999998E-2</v>
      </c>
      <c r="H177" s="51">
        <v>6.6602331647804478</v>
      </c>
      <c r="I177" s="53"/>
    </row>
    <row r="178" spans="1:9" ht="17.100000000000001" customHeight="1" x14ac:dyDescent="0.2">
      <c r="A178" s="3">
        <v>2</v>
      </c>
      <c r="B178" s="4"/>
      <c r="C178" s="4" t="s">
        <v>164</v>
      </c>
      <c r="D178" s="4"/>
      <c r="E178" s="8"/>
      <c r="F178" s="6">
        <v>5808.7095614</v>
      </c>
      <c r="G178" s="7">
        <v>1.648378E-2</v>
      </c>
      <c r="H178" s="51">
        <v>6.6588225936582406</v>
      </c>
      <c r="I178" s="53"/>
    </row>
    <row r="179" spans="1:9" ht="14.1" customHeight="1" x14ac:dyDescent="0.2">
      <c r="A179" s="1"/>
      <c r="B179" s="1"/>
      <c r="C179" s="2" t="s">
        <v>144</v>
      </c>
      <c r="D179" s="1"/>
      <c r="E179" s="1" t="s">
        <v>145</v>
      </c>
      <c r="F179" s="9">
        <v>13406.480579407</v>
      </c>
      <c r="G179" s="10">
        <v>3.8044500000000002E-2</v>
      </c>
      <c r="H179" s="53"/>
      <c r="I179" s="53"/>
    </row>
    <row r="180" spans="1:9" ht="14.1" customHeight="1" x14ac:dyDescent="0.2">
      <c r="A180" s="1"/>
      <c r="B180" s="1"/>
      <c r="C180" s="11"/>
      <c r="D180" s="1"/>
      <c r="E180" s="1"/>
      <c r="F180" s="12"/>
      <c r="G180" s="12"/>
      <c r="H180" s="53"/>
      <c r="I180" s="53"/>
    </row>
    <row r="181" spans="1:9" ht="14.1" customHeight="1" x14ac:dyDescent="0.2">
      <c r="A181" s="1"/>
      <c r="B181" s="1"/>
      <c r="C181" s="2" t="s">
        <v>165</v>
      </c>
      <c r="D181" s="1"/>
      <c r="E181" s="1"/>
      <c r="F181" s="9">
        <v>19680.729079407</v>
      </c>
      <c r="G181" s="10">
        <v>5.5849379999999997E-2</v>
      </c>
      <c r="H181" s="53"/>
      <c r="I181" s="53"/>
    </row>
    <row r="182" spans="1:9" ht="14.1" customHeight="1" x14ac:dyDescent="0.2">
      <c r="A182" s="1"/>
      <c r="B182" s="1"/>
      <c r="C182" s="12"/>
      <c r="D182" s="1"/>
      <c r="E182" s="1"/>
      <c r="F182" s="1"/>
      <c r="G182" s="1"/>
      <c r="H182" s="53"/>
      <c r="I182" s="53"/>
    </row>
    <row r="183" spans="1:9" ht="14.1" customHeight="1" x14ac:dyDescent="0.2">
      <c r="A183" s="1"/>
      <c r="B183" s="1"/>
      <c r="C183" s="2" t="s">
        <v>166</v>
      </c>
      <c r="D183" s="1"/>
      <c r="E183" s="1"/>
      <c r="F183" s="1"/>
      <c r="G183" s="1"/>
      <c r="H183" s="53"/>
      <c r="I183" s="53"/>
    </row>
    <row r="184" spans="1:9" ht="14.1" customHeight="1" x14ac:dyDescent="0.2">
      <c r="A184" s="1"/>
      <c r="B184" s="1"/>
      <c r="C184" s="2" t="s">
        <v>167</v>
      </c>
      <c r="D184" s="1"/>
      <c r="E184" s="1"/>
      <c r="F184" s="1"/>
      <c r="G184" s="1"/>
      <c r="H184" s="53"/>
      <c r="I184" s="53"/>
    </row>
    <row r="185" spans="1:9" ht="14.1" customHeight="1" x14ac:dyDescent="0.2">
      <c r="A185" s="1"/>
      <c r="B185" s="1"/>
      <c r="C185" s="2" t="s">
        <v>144</v>
      </c>
      <c r="D185" s="1"/>
      <c r="E185" s="1" t="s">
        <v>145</v>
      </c>
      <c r="F185" s="13" t="s">
        <v>147</v>
      </c>
      <c r="G185" s="10">
        <v>0</v>
      </c>
      <c r="H185" s="53"/>
      <c r="I185" s="53"/>
    </row>
    <row r="186" spans="1:9" ht="14.1" customHeight="1" x14ac:dyDescent="0.2">
      <c r="A186" s="1"/>
      <c r="B186" s="1"/>
      <c r="C186" s="11"/>
      <c r="D186" s="1"/>
      <c r="E186" s="1"/>
      <c r="F186" s="12"/>
      <c r="G186" s="12"/>
      <c r="H186" s="53"/>
      <c r="I186" s="53"/>
    </row>
    <row r="187" spans="1:9" ht="14.1" customHeight="1" x14ac:dyDescent="0.2">
      <c r="A187" s="1"/>
      <c r="B187" s="1"/>
      <c r="C187" s="2" t="s">
        <v>168</v>
      </c>
      <c r="D187" s="1"/>
      <c r="E187" s="1"/>
      <c r="F187" s="1"/>
      <c r="G187" s="1"/>
      <c r="H187" s="53"/>
      <c r="I187" s="53"/>
    </row>
    <row r="188" spans="1:9" ht="14.1" customHeight="1" x14ac:dyDescent="0.2">
      <c r="A188" s="1"/>
      <c r="B188" s="1"/>
      <c r="C188" s="2" t="s">
        <v>169</v>
      </c>
      <c r="D188" s="1"/>
      <c r="E188" s="1"/>
      <c r="F188" s="1"/>
      <c r="G188" s="1"/>
      <c r="H188" s="53"/>
      <c r="I188" s="53"/>
    </row>
    <row r="189" spans="1:9" ht="14.1" customHeight="1" x14ac:dyDescent="0.2">
      <c r="A189" s="1"/>
      <c r="B189" s="1"/>
      <c r="C189" s="2" t="s">
        <v>144</v>
      </c>
      <c r="D189" s="1"/>
      <c r="E189" s="1" t="s">
        <v>145</v>
      </c>
      <c r="F189" s="13" t="s">
        <v>147</v>
      </c>
      <c r="G189" s="10">
        <v>0</v>
      </c>
      <c r="H189" s="53"/>
      <c r="I189" s="53"/>
    </row>
    <row r="190" spans="1:9" ht="14.1" customHeight="1" x14ac:dyDescent="0.2">
      <c r="A190" s="1"/>
      <c r="B190" s="1"/>
      <c r="C190" s="11"/>
      <c r="D190" s="1"/>
      <c r="E190" s="1"/>
      <c r="F190" s="12"/>
      <c r="G190" s="12"/>
      <c r="H190" s="53"/>
      <c r="I190" s="53"/>
    </row>
    <row r="191" spans="1:9" ht="24" customHeight="1" x14ac:dyDescent="0.2">
      <c r="A191" s="1"/>
      <c r="B191" s="1"/>
      <c r="C191" s="2" t="s">
        <v>170</v>
      </c>
      <c r="D191" s="1"/>
      <c r="E191" s="1"/>
      <c r="F191" s="12"/>
      <c r="G191" s="12"/>
      <c r="H191" s="53"/>
      <c r="I191" s="53"/>
    </row>
    <row r="192" spans="1:9" ht="14.1" customHeight="1" x14ac:dyDescent="0.2">
      <c r="A192" s="1"/>
      <c r="B192" s="1"/>
      <c r="C192" s="2" t="s">
        <v>144</v>
      </c>
      <c r="D192" s="1"/>
      <c r="E192" s="1" t="s">
        <v>145</v>
      </c>
      <c r="F192" s="13" t="s">
        <v>147</v>
      </c>
      <c r="G192" s="10">
        <v>0</v>
      </c>
      <c r="H192" s="53"/>
      <c r="I192" s="53"/>
    </row>
    <row r="193" spans="1:15" ht="14.1" customHeight="1" x14ac:dyDescent="0.2">
      <c r="A193" s="1"/>
      <c r="B193" s="1"/>
      <c r="C193" s="11"/>
      <c r="D193" s="1"/>
      <c r="E193" s="1"/>
      <c r="F193" s="12"/>
      <c r="G193" s="12"/>
      <c r="H193" s="53"/>
      <c r="I193" s="53"/>
    </row>
    <row r="194" spans="1:15" ht="18" customHeight="1" x14ac:dyDescent="0.2">
      <c r="A194" s="8"/>
      <c r="B194" s="4"/>
      <c r="C194" s="4" t="s">
        <v>308</v>
      </c>
      <c r="D194" s="4"/>
      <c r="E194" s="8"/>
      <c r="F194" s="6">
        <v>3570.9160182000001</v>
      </c>
      <c r="G194" s="7">
        <v>1.0133430000000001E-2</v>
      </c>
      <c r="H194" s="53"/>
      <c r="I194" s="53"/>
    </row>
    <row r="195" spans="1:15" ht="18" customHeight="1" x14ac:dyDescent="0.2">
      <c r="A195" s="8"/>
      <c r="B195" s="4"/>
      <c r="C195" s="40" t="s">
        <v>961</v>
      </c>
      <c r="D195" s="4"/>
      <c r="E195" s="8"/>
      <c r="F195" s="6">
        <v>-3075.1162295700001</v>
      </c>
      <c r="G195" s="7">
        <v>-8.7264700000000001E-3</v>
      </c>
      <c r="H195" s="53"/>
      <c r="I195" s="53"/>
    </row>
    <row r="196" spans="1:15" ht="14.1" customHeight="1" x14ac:dyDescent="0.2">
      <c r="A196" s="11"/>
      <c r="B196" s="11"/>
      <c r="C196" s="2" t="s">
        <v>172</v>
      </c>
      <c r="D196" s="12"/>
      <c r="E196" s="12"/>
      <c r="F196" s="9">
        <v>352389.52708962798</v>
      </c>
      <c r="G196" s="14">
        <v>1.00000008</v>
      </c>
      <c r="H196" s="53"/>
      <c r="I196" s="53"/>
    </row>
    <row r="197" spans="1:15" ht="14.1" customHeight="1" x14ac:dyDescent="0.2">
      <c r="A197" s="15"/>
      <c r="B197" s="15"/>
      <c r="C197" s="15"/>
      <c r="D197" s="16"/>
      <c r="E197" s="16"/>
      <c r="F197" s="16"/>
      <c r="G197" s="16"/>
    </row>
    <row r="198" spans="1:15" ht="14.1" customHeight="1" x14ac:dyDescent="0.2">
      <c r="A198" s="17"/>
      <c r="B198" s="239" t="s">
        <v>907</v>
      </c>
      <c r="C198" s="239"/>
      <c r="D198" s="239"/>
      <c r="E198" s="239"/>
      <c r="F198" s="239"/>
      <c r="G198" s="19"/>
    </row>
    <row r="199" spans="1:15" ht="17.100000000000001" customHeight="1" x14ac:dyDescent="0.2">
      <c r="A199" s="41"/>
      <c r="B199" s="239" t="s">
        <v>962</v>
      </c>
      <c r="C199" s="239"/>
      <c r="D199" s="239"/>
      <c r="E199" s="239"/>
      <c r="F199" s="239"/>
      <c r="G199" s="45"/>
    </row>
    <row r="200" spans="1:15" ht="17.100000000000001" customHeight="1" x14ac:dyDescent="0.2">
      <c r="A200" s="17"/>
      <c r="B200" s="230" t="s">
        <v>173</v>
      </c>
      <c r="C200" s="230"/>
      <c r="D200" s="230"/>
      <c r="E200" s="230"/>
      <c r="F200" s="230"/>
      <c r="G200" s="19"/>
    </row>
    <row r="201" spans="1:15" s="48" customFormat="1" ht="69.75" customHeight="1" x14ac:dyDescent="0.25">
      <c r="A201" s="46"/>
      <c r="B201" s="259" t="s">
        <v>902</v>
      </c>
      <c r="C201" s="259"/>
      <c r="D201" s="259"/>
      <c r="E201" s="259"/>
      <c r="F201" s="259"/>
      <c r="G201" s="47"/>
      <c r="H201"/>
      <c r="J201"/>
      <c r="K201"/>
      <c r="L201"/>
      <c r="M201"/>
      <c r="N201"/>
      <c r="O201"/>
    </row>
    <row r="202" spans="1:15" ht="14.1" customHeight="1" x14ac:dyDescent="0.2">
      <c r="A202" s="17"/>
      <c r="B202" s="17"/>
      <c r="C202" s="17"/>
      <c r="D202" s="19"/>
      <c r="E202" s="19"/>
      <c r="F202" s="19"/>
      <c r="G202" s="19"/>
    </row>
    <row r="203" spans="1:15" ht="14.1" customHeight="1" x14ac:dyDescent="0.2">
      <c r="A203" s="17"/>
      <c r="B203" s="231" t="s">
        <v>174</v>
      </c>
      <c r="C203" s="232"/>
      <c r="D203" s="233"/>
      <c r="E203" s="20"/>
      <c r="F203" s="19"/>
      <c r="G203" s="19"/>
    </row>
    <row r="204" spans="1:15" ht="29.1" customHeight="1" x14ac:dyDescent="0.2">
      <c r="A204" s="17"/>
      <c r="B204" s="226" t="s">
        <v>175</v>
      </c>
      <c r="C204" s="227"/>
      <c r="D204" s="86" t="s">
        <v>1006</v>
      </c>
      <c r="E204" s="20"/>
      <c r="F204" s="19"/>
      <c r="G204" s="19"/>
    </row>
    <row r="205" spans="1:15" ht="30" customHeight="1" x14ac:dyDescent="0.2">
      <c r="A205" s="17"/>
      <c r="B205" s="226" t="s">
        <v>1166</v>
      </c>
      <c r="C205" s="227"/>
      <c r="D205" s="2" t="s">
        <v>1164</v>
      </c>
      <c r="E205" s="20"/>
      <c r="F205" s="19"/>
      <c r="G205" s="19"/>
    </row>
    <row r="206" spans="1:15" ht="17.100000000000001" customHeight="1" x14ac:dyDescent="0.2">
      <c r="A206" s="17"/>
      <c r="B206" s="226" t="s">
        <v>178</v>
      </c>
      <c r="C206" s="227"/>
      <c r="D206" s="12" t="s">
        <v>145</v>
      </c>
      <c r="E206" s="20"/>
      <c r="F206" s="19"/>
      <c r="G206" s="19"/>
    </row>
    <row r="207" spans="1:15" ht="24" customHeight="1" x14ac:dyDescent="0.2">
      <c r="A207" s="21"/>
      <c r="B207" s="22" t="s">
        <v>145</v>
      </c>
      <c r="C207" s="22" t="s">
        <v>179</v>
      </c>
      <c r="D207" s="22" t="s">
        <v>180</v>
      </c>
      <c r="E207" s="21"/>
      <c r="F207" s="21"/>
      <c r="G207" s="21"/>
    </row>
    <row r="208" spans="1:15" ht="17.100000000000001" customHeight="1" x14ac:dyDescent="0.2">
      <c r="A208" s="21"/>
      <c r="B208" s="23" t="s">
        <v>181</v>
      </c>
      <c r="C208" s="22" t="s">
        <v>182</v>
      </c>
      <c r="D208" s="22" t="s">
        <v>183</v>
      </c>
      <c r="E208" s="21"/>
      <c r="F208" s="21"/>
      <c r="G208" s="21"/>
    </row>
    <row r="209" spans="1:15" ht="17.100000000000001" customHeight="1" x14ac:dyDescent="0.2">
      <c r="A209" s="21"/>
      <c r="B209" s="4" t="s">
        <v>184</v>
      </c>
      <c r="C209" s="24">
        <v>138.78210000000001</v>
      </c>
      <c r="D209" s="24">
        <v>138.78659999999999</v>
      </c>
      <c r="E209" s="21"/>
      <c r="F209" s="18"/>
      <c r="G209" s="25"/>
    </row>
    <row r="210" spans="1:15" ht="29.1" customHeight="1" x14ac:dyDescent="0.2">
      <c r="A210" s="21"/>
      <c r="B210" s="4" t="s">
        <v>1014</v>
      </c>
      <c r="C210" s="24">
        <v>39.273099999999999</v>
      </c>
      <c r="D210" s="24">
        <v>38.921599999999998</v>
      </c>
      <c r="E210" s="21"/>
      <c r="F210" s="18"/>
      <c r="G210" s="25"/>
    </row>
    <row r="211" spans="1:15" ht="17.100000000000001" customHeight="1" x14ac:dyDescent="0.2">
      <c r="A211" s="21"/>
      <c r="B211" s="4" t="s">
        <v>185</v>
      </c>
      <c r="C211" s="24">
        <v>123.79470000000001</v>
      </c>
      <c r="D211" s="24">
        <v>123.67659999999999</v>
      </c>
      <c r="E211" s="21"/>
      <c r="F211" s="18"/>
      <c r="G211" s="25"/>
    </row>
    <row r="212" spans="1:15" ht="29.1" customHeight="1" x14ac:dyDescent="0.2">
      <c r="A212" s="21"/>
      <c r="B212" s="4" t="s">
        <v>1016</v>
      </c>
      <c r="C212" s="24">
        <v>26.503</v>
      </c>
      <c r="D212" s="24">
        <v>26.2258</v>
      </c>
      <c r="E212" s="21"/>
      <c r="F212" s="18"/>
      <c r="G212" s="25"/>
    </row>
    <row r="213" spans="1:15" ht="14.1" customHeight="1" x14ac:dyDescent="0.2">
      <c r="A213" s="21"/>
      <c r="B213" s="21"/>
      <c r="C213" s="21"/>
      <c r="D213" s="21"/>
      <c r="E213" s="21"/>
      <c r="F213" s="21"/>
      <c r="G213" s="21"/>
    </row>
    <row r="214" spans="1:15" ht="17.100000000000001" customHeight="1" x14ac:dyDescent="0.2">
      <c r="A214" s="21"/>
      <c r="B214" s="226" t="s">
        <v>1011</v>
      </c>
      <c r="C214" s="227"/>
      <c r="D214" s="2" t="s">
        <v>145</v>
      </c>
      <c r="E214" s="21"/>
      <c r="F214" s="21"/>
      <c r="G214" s="21"/>
    </row>
    <row r="215" spans="1:15" ht="18" customHeight="1" x14ac:dyDescent="0.2">
      <c r="A215" s="21"/>
      <c r="B215" s="29" t="s">
        <v>181</v>
      </c>
      <c r="C215" s="30" t="s">
        <v>659</v>
      </c>
      <c r="D215" s="30" t="s">
        <v>660</v>
      </c>
      <c r="E215" s="21"/>
      <c r="F215" s="21"/>
      <c r="G215" s="21"/>
    </row>
    <row r="216" spans="1:15" ht="29.1" customHeight="1" x14ac:dyDescent="0.2">
      <c r="A216" s="21"/>
      <c r="B216" s="4" t="s">
        <v>1014</v>
      </c>
      <c r="C216" s="31">
        <v>0.35</v>
      </c>
      <c r="D216" s="31">
        <v>0.35</v>
      </c>
      <c r="E216" s="21"/>
      <c r="F216" s="18"/>
      <c r="G216" s="25"/>
    </row>
    <row r="217" spans="1:15" ht="29.1" customHeight="1" x14ac:dyDescent="0.2">
      <c r="A217" s="21"/>
      <c r="B217" s="4" t="s">
        <v>1016</v>
      </c>
      <c r="C217" s="31">
        <v>0.25</v>
      </c>
      <c r="D217" s="31">
        <v>0.25</v>
      </c>
      <c r="E217" s="21"/>
      <c r="F217" s="18"/>
      <c r="G217" s="25"/>
    </row>
    <row r="218" spans="1:15" ht="14.1" customHeight="1" x14ac:dyDescent="0.2">
      <c r="A218" s="21"/>
      <c r="B218" s="18"/>
      <c r="C218" s="18"/>
      <c r="D218" s="21"/>
      <c r="E218" s="21"/>
      <c r="F218" s="21"/>
      <c r="G218" s="21"/>
    </row>
    <row r="219" spans="1:15" ht="29.1" customHeight="1" x14ac:dyDescent="0.2">
      <c r="A219" s="21"/>
      <c r="B219" s="226" t="s">
        <v>186</v>
      </c>
      <c r="C219" s="227"/>
      <c r="D219" s="2" t="s">
        <v>176</v>
      </c>
      <c r="E219" s="27"/>
      <c r="F219" s="21"/>
      <c r="G219" s="21"/>
    </row>
    <row r="220" spans="1:15" ht="29.1" customHeight="1" x14ac:dyDescent="0.2">
      <c r="A220" s="21"/>
      <c r="B220" s="226" t="s">
        <v>187</v>
      </c>
      <c r="C220" s="227"/>
      <c r="D220" s="2" t="s">
        <v>176</v>
      </c>
      <c r="E220" s="27"/>
      <c r="F220" s="21"/>
      <c r="G220" s="21"/>
    </row>
    <row r="221" spans="1:15" ht="17.100000000000001" customHeight="1" x14ac:dyDescent="0.2">
      <c r="A221" s="21"/>
      <c r="B221" s="226" t="s">
        <v>188</v>
      </c>
      <c r="C221" s="227"/>
      <c r="D221" s="2" t="s">
        <v>176</v>
      </c>
      <c r="E221" s="27"/>
      <c r="F221" s="21"/>
      <c r="G221" s="21"/>
    </row>
    <row r="222" spans="1:15" ht="17.100000000000001" customHeight="1" x14ac:dyDescent="0.2">
      <c r="A222" s="21"/>
      <c r="B222" s="226" t="s">
        <v>189</v>
      </c>
      <c r="C222" s="227"/>
      <c r="D222" s="57">
        <v>0.68033321915092293</v>
      </c>
      <c r="E222" s="21"/>
      <c r="F222" s="18"/>
      <c r="G222" s="25"/>
    </row>
    <row r="224" spans="1:15" s="88" customFormat="1" x14ac:dyDescent="0.2">
      <c r="B224" s="89" t="s">
        <v>1004</v>
      </c>
      <c r="J224" s="54"/>
      <c r="K224"/>
      <c r="L224"/>
      <c r="M224"/>
      <c r="N224"/>
      <c r="O224"/>
    </row>
    <row r="225" spans="2:15" s="88" customFormat="1" ht="38.25" x14ac:dyDescent="0.2">
      <c r="B225" s="90" t="s">
        <v>972</v>
      </c>
      <c r="C225" s="90" t="s">
        <v>973</v>
      </c>
      <c r="D225" s="90" t="s">
        <v>974</v>
      </c>
      <c r="E225" s="90" t="s">
        <v>975</v>
      </c>
      <c r="F225" s="90" t="s">
        <v>976</v>
      </c>
      <c r="J225" s="54"/>
      <c r="K225"/>
      <c r="L225"/>
      <c r="M225"/>
      <c r="N225"/>
      <c r="O225"/>
    </row>
    <row r="226" spans="2:15" s="88" customFormat="1" ht="25.5" x14ac:dyDescent="0.2">
      <c r="B226" s="91" t="s">
        <v>977</v>
      </c>
      <c r="C226" s="92" t="s">
        <v>978</v>
      </c>
      <c r="D226" s="93">
        <v>0</v>
      </c>
      <c r="E226" s="94">
        <v>0</v>
      </c>
      <c r="F226" s="95">
        <v>1000</v>
      </c>
      <c r="J226" s="54"/>
      <c r="K226"/>
      <c r="L226"/>
      <c r="M226"/>
      <c r="N226"/>
      <c r="O226"/>
    </row>
    <row r="227" spans="2:15" s="88" customFormat="1" x14ac:dyDescent="0.2">
      <c r="B227" s="89"/>
      <c r="J227" s="54"/>
      <c r="K227"/>
      <c r="L227"/>
      <c r="M227"/>
      <c r="N227"/>
      <c r="O227"/>
    </row>
    <row r="228" spans="2:15" s="88" customFormat="1" ht="29.25" customHeight="1" x14ac:dyDescent="0.2">
      <c r="B228" s="96" t="s">
        <v>979</v>
      </c>
      <c r="C228" s="96" t="s">
        <v>980</v>
      </c>
      <c r="D228" s="253" t="s">
        <v>981</v>
      </c>
      <c r="E228" s="254"/>
      <c r="F228" s="243" t="s">
        <v>982</v>
      </c>
      <c r="G228" s="243"/>
      <c r="H228" s="97"/>
      <c r="I228" s="98"/>
      <c r="J228" s="54"/>
      <c r="K228"/>
      <c r="L228"/>
      <c r="M228"/>
      <c r="N228"/>
      <c r="O228"/>
    </row>
    <row r="229" spans="2:15" s="88" customFormat="1" ht="25.5" x14ac:dyDescent="0.2">
      <c r="B229" s="99" t="s">
        <v>983</v>
      </c>
      <c r="C229" s="100" t="s">
        <v>984</v>
      </c>
      <c r="D229" s="255">
        <v>0</v>
      </c>
      <c r="E229" s="256"/>
      <c r="F229" s="255">
        <v>0</v>
      </c>
      <c r="G229" s="256"/>
      <c r="H229" s="101"/>
      <c r="I229" s="98"/>
      <c r="J229" s="54"/>
      <c r="K229"/>
      <c r="L229"/>
      <c r="M229"/>
      <c r="N229"/>
      <c r="O229"/>
    </row>
    <row r="230" spans="2:15" s="88" customFormat="1" x14ac:dyDescent="0.2">
      <c r="B230" s="244" t="s">
        <v>985</v>
      </c>
      <c r="C230" s="245"/>
      <c r="D230" s="245"/>
      <c r="E230" s="245"/>
      <c r="F230" s="245"/>
      <c r="G230" s="246"/>
      <c r="H230" s="101"/>
      <c r="I230" s="98"/>
      <c r="J230" s="54"/>
      <c r="K230"/>
      <c r="L230"/>
      <c r="M230"/>
      <c r="N230"/>
      <c r="O230"/>
    </row>
    <row r="231" spans="2:15" s="88" customFormat="1" x14ac:dyDescent="0.2">
      <c r="B231" s="243" t="s">
        <v>979</v>
      </c>
      <c r="C231" s="243" t="s">
        <v>980</v>
      </c>
      <c r="D231" s="244" t="s">
        <v>986</v>
      </c>
      <c r="E231" s="245"/>
      <c r="F231" s="246"/>
      <c r="G231" s="99"/>
      <c r="H231" s="101"/>
      <c r="I231" s="98"/>
      <c r="J231" s="54"/>
      <c r="K231"/>
      <c r="L231"/>
      <c r="M231"/>
      <c r="N231"/>
      <c r="O231"/>
    </row>
    <row r="232" spans="2:15" s="88" customFormat="1" ht="38.25" x14ac:dyDescent="0.2">
      <c r="B232" s="243"/>
      <c r="C232" s="243"/>
      <c r="D232" s="102" t="s">
        <v>987</v>
      </c>
      <c r="E232" s="102" t="s">
        <v>988</v>
      </c>
      <c r="F232" s="102" t="s">
        <v>989</v>
      </c>
      <c r="G232" s="102" t="s">
        <v>1005</v>
      </c>
      <c r="H232" s="101"/>
      <c r="I232" s="98"/>
      <c r="J232" s="54"/>
      <c r="K232"/>
      <c r="L232"/>
      <c r="M232"/>
      <c r="N232"/>
      <c r="O232"/>
    </row>
    <row r="233" spans="2:15" s="88" customFormat="1" ht="25.5" x14ac:dyDescent="0.2">
      <c r="B233" s="103" t="s">
        <v>983</v>
      </c>
      <c r="C233" s="100" t="s">
        <v>984</v>
      </c>
      <c r="D233" s="104">
        <v>700</v>
      </c>
      <c r="E233" s="104">
        <v>24.098357999999998</v>
      </c>
      <c r="F233" s="105">
        <v>724.09835799999996</v>
      </c>
      <c r="G233" s="106">
        <v>2.05482371732299E-3</v>
      </c>
      <c r="H233" s="101"/>
      <c r="I233" s="98"/>
      <c r="J233" s="54"/>
      <c r="K233"/>
      <c r="L233"/>
      <c r="M233"/>
      <c r="N233"/>
      <c r="O233"/>
    </row>
    <row r="234" spans="2:15" s="88" customFormat="1" ht="27.75" customHeight="1" x14ac:dyDescent="0.2">
      <c r="B234" s="247" t="s">
        <v>990</v>
      </c>
      <c r="C234" s="248"/>
      <c r="D234" s="248"/>
      <c r="E234" s="248"/>
      <c r="F234" s="248"/>
      <c r="G234" s="249"/>
      <c r="H234" s="101"/>
      <c r="I234" s="98"/>
      <c r="J234" s="54"/>
      <c r="K234"/>
      <c r="L234"/>
      <c r="M234"/>
      <c r="N234"/>
      <c r="O234"/>
    </row>
    <row r="236" spans="2:15" x14ac:dyDescent="0.2">
      <c r="B236" s="250" t="s">
        <v>991</v>
      </c>
      <c r="C236" s="251"/>
      <c r="D236" s="252"/>
    </row>
    <row r="237" spans="2:15" ht="38.25" x14ac:dyDescent="0.2">
      <c r="B237" s="240" t="s">
        <v>992</v>
      </c>
      <c r="C237" s="240"/>
      <c r="D237" s="107" t="s">
        <v>545</v>
      </c>
    </row>
    <row r="238" spans="2:15" x14ac:dyDescent="0.2">
      <c r="B238" s="240" t="s">
        <v>993</v>
      </c>
      <c r="C238" s="240"/>
      <c r="D238" s="107"/>
    </row>
    <row r="239" spans="2:15" x14ac:dyDescent="0.2">
      <c r="B239" s="241"/>
      <c r="C239" s="242"/>
      <c r="D239" s="108"/>
    </row>
    <row r="240" spans="2:15" x14ac:dyDescent="0.2">
      <c r="B240" s="240" t="s">
        <v>994</v>
      </c>
      <c r="C240" s="240"/>
      <c r="D240" s="109">
        <v>7.2906149453301934</v>
      </c>
    </row>
    <row r="241" spans="2:4" x14ac:dyDescent="0.2">
      <c r="B241" s="241"/>
      <c r="C241" s="242"/>
      <c r="D241" s="110"/>
    </row>
    <row r="242" spans="2:4" x14ac:dyDescent="0.2">
      <c r="B242" s="240" t="s">
        <v>995</v>
      </c>
      <c r="C242" s="240"/>
      <c r="D242" s="109">
        <v>3.4365174416512119</v>
      </c>
    </row>
    <row r="243" spans="2:4" x14ac:dyDescent="0.2">
      <c r="B243" s="240" t="s">
        <v>996</v>
      </c>
      <c r="C243" s="240"/>
      <c r="D243" s="109">
        <v>4.7337327021197027</v>
      </c>
    </row>
    <row r="244" spans="2:4" x14ac:dyDescent="0.2">
      <c r="B244" s="241"/>
      <c r="C244" s="242"/>
      <c r="D244" s="108"/>
    </row>
    <row r="245" spans="2:4" x14ac:dyDescent="0.2">
      <c r="B245" s="240" t="s">
        <v>997</v>
      </c>
      <c r="C245" s="240"/>
      <c r="D245" s="111">
        <v>45169</v>
      </c>
    </row>
    <row r="246" spans="2:4" ht="12.75" customHeight="1" x14ac:dyDescent="0.2">
      <c r="B246" s="241" t="s">
        <v>998</v>
      </c>
      <c r="C246" s="257"/>
      <c r="D246" s="242"/>
    </row>
  </sheetData>
  <mergeCells count="37">
    <mergeCell ref="B221:C221"/>
    <mergeCell ref="A1:I1"/>
    <mergeCell ref="A2:I2"/>
    <mergeCell ref="A3:I3"/>
    <mergeCell ref="B204:C204"/>
    <mergeCell ref="B201:F201"/>
    <mergeCell ref="B198:F198"/>
    <mergeCell ref="B200:F200"/>
    <mergeCell ref="B203:D203"/>
    <mergeCell ref="B199:F199"/>
    <mergeCell ref="B205:C205"/>
    <mergeCell ref="B206:C206"/>
    <mergeCell ref="B214:C214"/>
    <mergeCell ref="B219:C219"/>
    <mergeCell ref="B220:C220"/>
    <mergeCell ref="B246:D246"/>
    <mergeCell ref="B237:C237"/>
    <mergeCell ref="B238:C238"/>
    <mergeCell ref="B239:C239"/>
    <mergeCell ref="B240:C240"/>
    <mergeCell ref="B241:C241"/>
    <mergeCell ref="K2:O2"/>
    <mergeCell ref="B242:C242"/>
    <mergeCell ref="B243:C243"/>
    <mergeCell ref="B244:C244"/>
    <mergeCell ref="B245:C245"/>
    <mergeCell ref="B231:B232"/>
    <mergeCell ref="C231:C232"/>
    <mergeCell ref="D231:F231"/>
    <mergeCell ref="B234:G234"/>
    <mergeCell ref="B236:D236"/>
    <mergeCell ref="D228:E228"/>
    <mergeCell ref="F228:G228"/>
    <mergeCell ref="D229:E229"/>
    <mergeCell ref="F229:G229"/>
    <mergeCell ref="B230:G230"/>
    <mergeCell ref="B222:C222"/>
  </mergeCells>
  <hyperlinks>
    <hyperlink ref="J1" location="Index!B17" display="Index" xr:uid="{A648DFB0-8C7C-4AC7-BA5A-265D8B5B7F80}"/>
  </hyperlinks>
  <pageMargins left="5.000000074505806E-2" right="5.000000074505806E-2" top="0.30000001192092896" bottom="0.20000000298023224" header="0" footer="0"/>
  <pageSetup paperSize="9"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N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8.42578125" bestFit="1"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661</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262</v>
      </c>
      <c r="C7" s="4" t="s">
        <v>263</v>
      </c>
      <c r="D7" s="4" t="s">
        <v>264</v>
      </c>
      <c r="E7" s="5">
        <v>333000</v>
      </c>
      <c r="F7" s="6">
        <v>873.12599999999998</v>
      </c>
      <c r="G7" s="7">
        <v>9.6006880000000003E-2</v>
      </c>
      <c r="H7" s="53"/>
    </row>
    <row r="8" spans="1:14" ht="17.100000000000001" customHeight="1" x14ac:dyDescent="0.2">
      <c r="A8" s="3">
        <v>2</v>
      </c>
      <c r="B8" s="4" t="s">
        <v>26</v>
      </c>
      <c r="C8" s="4" t="s">
        <v>27</v>
      </c>
      <c r="D8" s="4" t="s">
        <v>28</v>
      </c>
      <c r="E8" s="5">
        <v>77700</v>
      </c>
      <c r="F8" s="6">
        <v>744.94875000000002</v>
      </c>
      <c r="G8" s="7">
        <v>8.1912810000000003E-2</v>
      </c>
      <c r="H8" s="53"/>
    </row>
    <row r="9" spans="1:14" ht="17.100000000000001" customHeight="1" x14ac:dyDescent="0.2">
      <c r="A9" s="3">
        <v>3</v>
      </c>
      <c r="B9" s="4" t="s">
        <v>662</v>
      </c>
      <c r="C9" s="4" t="s">
        <v>663</v>
      </c>
      <c r="D9" s="4" t="s">
        <v>16</v>
      </c>
      <c r="E9" s="5">
        <v>329800</v>
      </c>
      <c r="F9" s="6">
        <v>577.80960000000005</v>
      </c>
      <c r="G9" s="7">
        <v>6.3534590000000002E-2</v>
      </c>
      <c r="H9" s="53"/>
    </row>
    <row r="10" spans="1:14" ht="17.100000000000001" customHeight="1" x14ac:dyDescent="0.2">
      <c r="A10" s="3">
        <v>4</v>
      </c>
      <c r="B10" s="4" t="s">
        <v>342</v>
      </c>
      <c r="C10" s="4" t="s">
        <v>343</v>
      </c>
      <c r="D10" s="4" t="s">
        <v>130</v>
      </c>
      <c r="E10" s="5">
        <v>7125</v>
      </c>
      <c r="F10" s="6">
        <v>510.36374999999998</v>
      </c>
      <c r="G10" s="7">
        <v>5.6118399999999999E-2</v>
      </c>
      <c r="H10" s="53"/>
    </row>
    <row r="11" spans="1:14" ht="17.100000000000001" customHeight="1" x14ac:dyDescent="0.2">
      <c r="A11" s="3">
        <v>5</v>
      </c>
      <c r="B11" s="4" t="s">
        <v>106</v>
      </c>
      <c r="C11" s="4" t="s">
        <v>107</v>
      </c>
      <c r="D11" s="4" t="s">
        <v>108</v>
      </c>
      <c r="E11" s="5">
        <v>5100</v>
      </c>
      <c r="F11" s="6">
        <v>510.19380000000001</v>
      </c>
      <c r="G11" s="7">
        <v>5.6099709999999997E-2</v>
      </c>
      <c r="H11" s="53"/>
    </row>
    <row r="12" spans="1:14" ht="17.100000000000001" customHeight="1" x14ac:dyDescent="0.2">
      <c r="A12" s="3">
        <v>6</v>
      </c>
      <c r="B12" s="4" t="s">
        <v>310</v>
      </c>
      <c r="C12" s="4" t="s">
        <v>311</v>
      </c>
      <c r="D12" s="4" t="s">
        <v>28</v>
      </c>
      <c r="E12" s="5">
        <v>29150</v>
      </c>
      <c r="F12" s="6">
        <v>458.077675</v>
      </c>
      <c r="G12" s="7">
        <v>5.036914E-2</v>
      </c>
      <c r="H12" s="53"/>
      <c r="J12" s="142"/>
    </row>
    <row r="13" spans="1:14" ht="17.100000000000001" customHeight="1" x14ac:dyDescent="0.2">
      <c r="A13" s="3">
        <v>7</v>
      </c>
      <c r="B13" s="4" t="s">
        <v>664</v>
      </c>
      <c r="C13" s="4" t="s">
        <v>665</v>
      </c>
      <c r="D13" s="4" t="s">
        <v>92</v>
      </c>
      <c r="E13" s="5">
        <v>85800</v>
      </c>
      <c r="F13" s="6">
        <v>432.51780000000002</v>
      </c>
      <c r="G13" s="7">
        <v>4.7558639999999999E-2</v>
      </c>
      <c r="H13" s="53"/>
    </row>
    <row r="14" spans="1:14" ht="17.100000000000001" customHeight="1" x14ac:dyDescent="0.2">
      <c r="A14" s="3">
        <v>8</v>
      </c>
      <c r="B14" s="4" t="s">
        <v>666</v>
      </c>
      <c r="C14" s="4" t="s">
        <v>667</v>
      </c>
      <c r="D14" s="4" t="s">
        <v>130</v>
      </c>
      <c r="E14" s="5">
        <v>252000</v>
      </c>
      <c r="F14" s="6">
        <v>389.59199999999998</v>
      </c>
      <c r="G14" s="7">
        <v>4.2838620000000001E-2</v>
      </c>
      <c r="H14" s="53"/>
      <c r="J14" s="142" t="s">
        <v>1043</v>
      </c>
    </row>
    <row r="15" spans="1:14" ht="17.100000000000001" customHeight="1" x14ac:dyDescent="0.2">
      <c r="A15" s="3">
        <v>9</v>
      </c>
      <c r="B15" s="4" t="s">
        <v>336</v>
      </c>
      <c r="C15" s="4" t="s">
        <v>337</v>
      </c>
      <c r="D15" s="4" t="s">
        <v>331</v>
      </c>
      <c r="E15" s="5">
        <v>13500</v>
      </c>
      <c r="F15" s="6">
        <v>338.18175000000002</v>
      </c>
      <c r="G15" s="7">
        <v>3.7185669999999997E-2</v>
      </c>
      <c r="H15" s="53"/>
    </row>
    <row r="16" spans="1:14" ht="29.1" customHeight="1" x14ac:dyDescent="0.2">
      <c r="A16" s="3">
        <v>10</v>
      </c>
      <c r="B16" s="4" t="s">
        <v>668</v>
      </c>
      <c r="C16" s="4" t="s">
        <v>669</v>
      </c>
      <c r="D16" s="4" t="s">
        <v>25</v>
      </c>
      <c r="E16" s="5">
        <v>75600</v>
      </c>
      <c r="F16" s="6">
        <v>323.87040000000002</v>
      </c>
      <c r="G16" s="7">
        <v>3.5612030000000003E-2</v>
      </c>
      <c r="H16" s="53"/>
    </row>
    <row r="17" spans="1:8" ht="17.100000000000001" customHeight="1" x14ac:dyDescent="0.2">
      <c r="A17" s="3">
        <v>11</v>
      </c>
      <c r="B17" s="4" t="s">
        <v>670</v>
      </c>
      <c r="C17" s="4" t="s">
        <v>671</v>
      </c>
      <c r="D17" s="4" t="s">
        <v>286</v>
      </c>
      <c r="E17" s="5">
        <v>53750</v>
      </c>
      <c r="F17" s="6">
        <v>297.29124999999999</v>
      </c>
      <c r="G17" s="7">
        <v>3.2689450000000002E-2</v>
      </c>
      <c r="H17" s="53"/>
    </row>
    <row r="18" spans="1:8" ht="29.1" customHeight="1" x14ac:dyDescent="0.2">
      <c r="A18" s="3">
        <v>12</v>
      </c>
      <c r="B18" s="4" t="s">
        <v>672</v>
      </c>
      <c r="C18" s="4" t="s">
        <v>673</v>
      </c>
      <c r="D18" s="4" t="s">
        <v>25</v>
      </c>
      <c r="E18" s="5">
        <v>12000</v>
      </c>
      <c r="F18" s="6">
        <v>240.69</v>
      </c>
      <c r="G18" s="7">
        <v>2.646571E-2</v>
      </c>
      <c r="H18" s="53"/>
    </row>
    <row r="19" spans="1:8" ht="17.100000000000001" customHeight="1" x14ac:dyDescent="0.2">
      <c r="A19" s="3">
        <v>13</v>
      </c>
      <c r="B19" s="4" t="s">
        <v>20</v>
      </c>
      <c r="C19" s="4" t="s">
        <v>21</v>
      </c>
      <c r="D19" s="4" t="s">
        <v>22</v>
      </c>
      <c r="E19" s="5">
        <v>7250</v>
      </c>
      <c r="F19" s="6">
        <v>174.50749999999999</v>
      </c>
      <c r="G19" s="7">
        <v>1.9188429999999999E-2</v>
      </c>
      <c r="H19" s="53"/>
    </row>
    <row r="20" spans="1:8" ht="17.100000000000001" customHeight="1" x14ac:dyDescent="0.2">
      <c r="A20" s="3">
        <v>14</v>
      </c>
      <c r="B20" s="4" t="s">
        <v>354</v>
      </c>
      <c r="C20" s="4" t="s">
        <v>355</v>
      </c>
      <c r="D20" s="4" t="s">
        <v>73</v>
      </c>
      <c r="E20" s="5">
        <v>4600</v>
      </c>
      <c r="F20" s="6">
        <v>149.78059999999999</v>
      </c>
      <c r="G20" s="7">
        <v>1.6469520000000001E-2</v>
      </c>
      <c r="H20" s="53"/>
    </row>
    <row r="21" spans="1:8" ht="17.100000000000001" customHeight="1" x14ac:dyDescent="0.2">
      <c r="A21" s="3">
        <v>15</v>
      </c>
      <c r="B21" s="4" t="s">
        <v>674</v>
      </c>
      <c r="C21" s="4" t="s">
        <v>675</v>
      </c>
      <c r="D21" s="4" t="s">
        <v>16</v>
      </c>
      <c r="E21" s="5">
        <v>7500</v>
      </c>
      <c r="F21" s="6">
        <v>134.1825</v>
      </c>
      <c r="G21" s="7">
        <v>1.4754389999999999E-2</v>
      </c>
      <c r="H21" s="53"/>
    </row>
    <row r="22" spans="1:8" ht="17.100000000000001" customHeight="1" x14ac:dyDescent="0.2">
      <c r="A22" s="3">
        <v>16</v>
      </c>
      <c r="B22" s="4" t="s">
        <v>204</v>
      </c>
      <c r="C22" s="4" t="s">
        <v>205</v>
      </c>
      <c r="D22" s="4" t="s">
        <v>206</v>
      </c>
      <c r="E22" s="5">
        <v>4800</v>
      </c>
      <c r="F22" s="6">
        <v>98.332800000000006</v>
      </c>
      <c r="G22" s="7">
        <v>1.081244E-2</v>
      </c>
      <c r="H22" s="53"/>
    </row>
    <row r="23" spans="1:8" ht="29.1" customHeight="1" x14ac:dyDescent="0.2">
      <c r="A23" s="3">
        <v>17</v>
      </c>
      <c r="B23" s="4" t="s">
        <v>467</v>
      </c>
      <c r="C23" s="4" t="s">
        <v>468</v>
      </c>
      <c r="D23" s="4" t="s">
        <v>469</v>
      </c>
      <c r="E23" s="5">
        <v>9000</v>
      </c>
      <c r="F23" s="6">
        <v>75.091499999999996</v>
      </c>
      <c r="G23" s="7">
        <v>8.2568899999999994E-3</v>
      </c>
      <c r="H23" s="53"/>
    </row>
    <row r="24" spans="1:8" ht="29.1" customHeight="1" x14ac:dyDescent="0.2">
      <c r="A24" s="3">
        <v>18</v>
      </c>
      <c r="B24" s="4" t="s">
        <v>222</v>
      </c>
      <c r="C24" s="4" t="s">
        <v>223</v>
      </c>
      <c r="D24" s="4" t="s">
        <v>224</v>
      </c>
      <c r="E24" s="5">
        <v>10800</v>
      </c>
      <c r="F24" s="6">
        <v>67.591800000000006</v>
      </c>
      <c r="G24" s="7">
        <v>7.4322399999999997E-3</v>
      </c>
      <c r="H24" s="53"/>
    </row>
    <row r="25" spans="1:8" ht="17.100000000000001" customHeight="1" x14ac:dyDescent="0.2">
      <c r="A25" s="3">
        <v>19</v>
      </c>
      <c r="B25" s="4" t="s">
        <v>62</v>
      </c>
      <c r="C25" s="4" t="s">
        <v>63</v>
      </c>
      <c r="D25" s="4" t="s">
        <v>41</v>
      </c>
      <c r="E25" s="5">
        <v>1100</v>
      </c>
      <c r="F25" s="6">
        <v>43.143099999999997</v>
      </c>
      <c r="G25" s="7">
        <v>4.7439099999999996E-3</v>
      </c>
      <c r="H25" s="53"/>
    </row>
    <row r="26" spans="1:8" ht="17.100000000000001" customHeight="1" x14ac:dyDescent="0.2">
      <c r="A26" s="3">
        <v>20</v>
      </c>
      <c r="B26" s="4" t="s">
        <v>329</v>
      </c>
      <c r="C26" s="4" t="s">
        <v>330</v>
      </c>
      <c r="D26" s="4" t="s">
        <v>331</v>
      </c>
      <c r="E26" s="5">
        <v>9600</v>
      </c>
      <c r="F26" s="6">
        <v>42.211199999999998</v>
      </c>
      <c r="G26" s="7">
        <v>4.6414400000000001E-3</v>
      </c>
      <c r="H26" s="53"/>
    </row>
    <row r="27" spans="1:8" ht="17.100000000000001" customHeight="1" x14ac:dyDescent="0.2">
      <c r="A27" s="3">
        <v>21</v>
      </c>
      <c r="B27" s="4" t="s">
        <v>318</v>
      </c>
      <c r="C27" s="4" t="s">
        <v>319</v>
      </c>
      <c r="D27" s="4" t="s">
        <v>905</v>
      </c>
      <c r="E27" s="5">
        <v>875</v>
      </c>
      <c r="F27" s="6">
        <v>29.372</v>
      </c>
      <c r="G27" s="7">
        <v>3.22968E-3</v>
      </c>
      <c r="H27" s="53"/>
    </row>
    <row r="28" spans="1:8" ht="14.1" customHeight="1" x14ac:dyDescent="0.2">
      <c r="A28" s="1"/>
      <c r="B28" s="1"/>
      <c r="C28" s="2" t="s">
        <v>144</v>
      </c>
      <c r="D28" s="1"/>
      <c r="E28" s="1" t="s">
        <v>145</v>
      </c>
      <c r="F28" s="9">
        <v>6510.8757750000004</v>
      </c>
      <c r="G28" s="10">
        <v>0.71592058999999997</v>
      </c>
      <c r="H28" s="53"/>
    </row>
    <row r="29" spans="1:8" ht="14.1" customHeight="1" x14ac:dyDescent="0.2">
      <c r="A29" s="1"/>
      <c r="B29" s="1"/>
      <c r="C29" s="11"/>
      <c r="D29" s="1"/>
      <c r="E29" s="1"/>
      <c r="F29" s="12"/>
      <c r="G29" s="12"/>
      <c r="H29" s="53"/>
    </row>
    <row r="30" spans="1:8" ht="14.1" customHeight="1" x14ac:dyDescent="0.2">
      <c r="A30" s="1"/>
      <c r="B30" s="1"/>
      <c r="C30" s="2" t="s">
        <v>146</v>
      </c>
      <c r="D30" s="1"/>
      <c r="E30" s="1"/>
      <c r="F30" s="1"/>
      <c r="G30" s="1"/>
      <c r="H30" s="53"/>
    </row>
    <row r="31" spans="1:8" ht="14.1" customHeight="1" x14ac:dyDescent="0.2">
      <c r="A31" s="1"/>
      <c r="B31" s="1"/>
      <c r="C31" s="2" t="s">
        <v>144</v>
      </c>
      <c r="D31" s="1"/>
      <c r="E31" s="1" t="s">
        <v>145</v>
      </c>
      <c r="F31" s="13" t="s">
        <v>147</v>
      </c>
      <c r="G31" s="10">
        <v>0</v>
      </c>
      <c r="H31" s="53"/>
    </row>
    <row r="32" spans="1:8" ht="14.1" customHeight="1" x14ac:dyDescent="0.2">
      <c r="A32" s="1"/>
      <c r="B32" s="1"/>
      <c r="C32" s="11"/>
      <c r="D32" s="1"/>
      <c r="E32" s="1"/>
      <c r="F32" s="12"/>
      <c r="G32" s="12"/>
      <c r="H32" s="53"/>
    </row>
    <row r="33" spans="1:8" ht="14.1" customHeight="1" x14ac:dyDescent="0.2">
      <c r="A33" s="1"/>
      <c r="B33" s="1"/>
      <c r="C33" s="2" t="s">
        <v>148</v>
      </c>
      <c r="D33" s="1"/>
      <c r="E33" s="1"/>
      <c r="F33" s="1"/>
      <c r="G33" s="1"/>
      <c r="H33" s="53"/>
    </row>
    <row r="34" spans="1:8" ht="14.1" customHeight="1" x14ac:dyDescent="0.2">
      <c r="A34" s="1"/>
      <c r="B34" s="1"/>
      <c r="C34" s="2" t="s">
        <v>144</v>
      </c>
      <c r="D34" s="1"/>
      <c r="E34" s="1" t="s">
        <v>145</v>
      </c>
      <c r="F34" s="13" t="s">
        <v>147</v>
      </c>
      <c r="G34" s="10">
        <v>0</v>
      </c>
      <c r="H34" s="53"/>
    </row>
    <row r="35" spans="1:8" ht="14.1" customHeight="1" x14ac:dyDescent="0.2">
      <c r="A35" s="1"/>
      <c r="B35" s="1"/>
      <c r="C35" s="11"/>
      <c r="D35" s="1"/>
      <c r="E35" s="1"/>
      <c r="F35" s="12"/>
      <c r="G35" s="12"/>
      <c r="H35" s="53"/>
    </row>
    <row r="36" spans="1:8" ht="14.1" customHeight="1" x14ac:dyDescent="0.2">
      <c r="A36" s="1"/>
      <c r="B36" s="1"/>
      <c r="C36" s="2" t="s">
        <v>149</v>
      </c>
      <c r="D36" s="1"/>
      <c r="E36" s="1"/>
      <c r="F36" s="1"/>
      <c r="G36" s="1"/>
      <c r="H36" s="53"/>
    </row>
    <row r="37" spans="1:8" ht="14.1" customHeight="1" x14ac:dyDescent="0.2">
      <c r="A37" s="1"/>
      <c r="B37" s="1"/>
      <c r="C37" s="2" t="s">
        <v>144</v>
      </c>
      <c r="D37" s="1"/>
      <c r="E37" s="1" t="s">
        <v>145</v>
      </c>
      <c r="F37" s="13" t="s">
        <v>147</v>
      </c>
      <c r="G37" s="10">
        <v>0</v>
      </c>
      <c r="H37" s="53"/>
    </row>
    <row r="38" spans="1:8" ht="14.1" customHeight="1" x14ac:dyDescent="0.2">
      <c r="A38" s="1"/>
      <c r="B38" s="1"/>
      <c r="C38" s="11"/>
      <c r="D38" s="1"/>
      <c r="E38" s="1"/>
      <c r="F38" s="12"/>
      <c r="G38" s="12"/>
      <c r="H38" s="53"/>
    </row>
    <row r="39" spans="1:8" ht="14.1" customHeight="1" x14ac:dyDescent="0.2">
      <c r="A39" s="1"/>
      <c r="B39" s="1"/>
      <c r="C39" s="2" t="s">
        <v>150</v>
      </c>
      <c r="D39" s="1"/>
      <c r="E39" s="1"/>
      <c r="F39" s="12"/>
      <c r="G39" s="12"/>
      <c r="H39" s="53"/>
    </row>
    <row r="40" spans="1:8" ht="14.1" customHeight="1" x14ac:dyDescent="0.2">
      <c r="A40" s="1"/>
      <c r="B40" s="1"/>
      <c r="C40" s="2" t="s">
        <v>144</v>
      </c>
      <c r="D40" s="1"/>
      <c r="E40" s="1" t="s">
        <v>145</v>
      </c>
      <c r="F40" s="13" t="s">
        <v>147</v>
      </c>
      <c r="G40" s="10">
        <v>0</v>
      </c>
      <c r="H40" s="53"/>
    </row>
    <row r="41" spans="1:8" ht="14.1" customHeight="1" x14ac:dyDescent="0.2">
      <c r="A41" s="1"/>
      <c r="B41" s="1"/>
      <c r="C41" s="11"/>
      <c r="D41" s="1"/>
      <c r="E41" s="1"/>
      <c r="F41" s="12"/>
      <c r="G41" s="12"/>
      <c r="H41" s="53"/>
    </row>
    <row r="42" spans="1:8" ht="14.1" customHeight="1" x14ac:dyDescent="0.2">
      <c r="A42" s="1"/>
      <c r="B42" s="1"/>
      <c r="C42" s="2" t="s">
        <v>151</v>
      </c>
      <c r="D42" s="1"/>
      <c r="E42" s="1"/>
      <c r="F42" s="12"/>
      <c r="G42" s="12"/>
      <c r="H42" s="53"/>
    </row>
    <row r="43" spans="1:8" ht="29.1" customHeight="1" x14ac:dyDescent="0.2">
      <c r="A43" s="3">
        <v>1</v>
      </c>
      <c r="B43" s="4"/>
      <c r="C43" s="4" t="s">
        <v>908</v>
      </c>
      <c r="D43" s="4" t="s">
        <v>676</v>
      </c>
      <c r="E43" s="5">
        <v>-875</v>
      </c>
      <c r="F43" s="6">
        <v>-29.578937499999999</v>
      </c>
      <c r="G43" s="7">
        <v>-3.2524300000000002E-3</v>
      </c>
      <c r="H43" s="53"/>
    </row>
    <row r="44" spans="1:8" ht="17.100000000000001" customHeight="1" x14ac:dyDescent="0.2">
      <c r="A44" s="3">
        <v>2</v>
      </c>
      <c r="B44" s="4"/>
      <c r="C44" s="4" t="s">
        <v>909</v>
      </c>
      <c r="D44" s="4" t="s">
        <v>676</v>
      </c>
      <c r="E44" s="5">
        <v>-9600</v>
      </c>
      <c r="F44" s="6">
        <v>-42.364800000000002</v>
      </c>
      <c r="G44" s="7">
        <v>-4.6583299999999996E-3</v>
      </c>
      <c r="H44" s="53"/>
    </row>
    <row r="45" spans="1:8" ht="17.100000000000001" customHeight="1" x14ac:dyDescent="0.2">
      <c r="A45" s="3">
        <v>3</v>
      </c>
      <c r="B45" s="4"/>
      <c r="C45" s="4" t="s">
        <v>910</v>
      </c>
      <c r="D45" s="4" t="s">
        <v>676</v>
      </c>
      <c r="E45" s="5">
        <v>-1100</v>
      </c>
      <c r="F45" s="6">
        <v>-43.501150000000003</v>
      </c>
      <c r="G45" s="7">
        <v>-4.7832899999999999E-3</v>
      </c>
      <c r="H45" s="53"/>
    </row>
    <row r="46" spans="1:8" ht="17.100000000000001" customHeight="1" x14ac:dyDescent="0.2">
      <c r="A46" s="3">
        <v>4</v>
      </c>
      <c r="B46" s="4"/>
      <c r="C46" s="4" t="s">
        <v>911</v>
      </c>
      <c r="D46" s="4" t="s">
        <v>676</v>
      </c>
      <c r="E46" s="5">
        <v>-10800</v>
      </c>
      <c r="F46" s="6">
        <v>-67.986000000000004</v>
      </c>
      <c r="G46" s="7">
        <v>-7.475579999999999E-3</v>
      </c>
      <c r="H46" s="53"/>
    </row>
    <row r="47" spans="1:8" ht="29.1" customHeight="1" x14ac:dyDescent="0.2">
      <c r="A47" s="3">
        <v>5</v>
      </c>
      <c r="B47" s="4"/>
      <c r="C47" s="4" t="s">
        <v>912</v>
      </c>
      <c r="D47" s="4" t="s">
        <v>676</v>
      </c>
      <c r="E47" s="5">
        <v>-9000</v>
      </c>
      <c r="F47" s="6">
        <v>-75.5505</v>
      </c>
      <c r="G47" s="7">
        <v>-8.3073599999999997E-3</v>
      </c>
      <c r="H47" s="53"/>
    </row>
    <row r="48" spans="1:8" ht="17.100000000000001" customHeight="1" x14ac:dyDescent="0.2">
      <c r="A48" s="3">
        <v>6</v>
      </c>
      <c r="B48" s="4"/>
      <c r="C48" s="4" t="s">
        <v>913</v>
      </c>
      <c r="D48" s="4" t="s">
        <v>676</v>
      </c>
      <c r="E48" s="5">
        <v>-4800</v>
      </c>
      <c r="F48" s="6">
        <v>-99.108000000000004</v>
      </c>
      <c r="G48" s="7">
        <v>-1.089768E-2</v>
      </c>
      <c r="H48" s="53"/>
    </row>
    <row r="49" spans="1:8" ht="29.1" customHeight="1" x14ac:dyDescent="0.2">
      <c r="A49" s="3">
        <v>7</v>
      </c>
      <c r="B49" s="4"/>
      <c r="C49" s="4" t="s">
        <v>914</v>
      </c>
      <c r="D49" s="4" t="s">
        <v>676</v>
      </c>
      <c r="E49" s="5">
        <v>-7500</v>
      </c>
      <c r="F49" s="6">
        <v>-135.26625000000001</v>
      </c>
      <c r="G49" s="7">
        <v>-1.4873559999999999E-2</v>
      </c>
      <c r="H49" s="53"/>
    </row>
    <row r="50" spans="1:8" ht="17.100000000000001" customHeight="1" x14ac:dyDescent="0.2">
      <c r="A50" s="3">
        <v>8</v>
      </c>
      <c r="B50" s="4"/>
      <c r="C50" s="4" t="s">
        <v>915</v>
      </c>
      <c r="D50" s="4" t="s">
        <v>676</v>
      </c>
      <c r="E50" s="5">
        <v>-4600</v>
      </c>
      <c r="F50" s="6">
        <v>-150.4614</v>
      </c>
      <c r="G50" s="7">
        <v>-1.6544380000000001E-2</v>
      </c>
      <c r="H50" s="53"/>
    </row>
    <row r="51" spans="1:8" ht="29.1" customHeight="1" x14ac:dyDescent="0.2">
      <c r="A51" s="3">
        <v>9</v>
      </c>
      <c r="B51" s="4"/>
      <c r="C51" s="4" t="s">
        <v>916</v>
      </c>
      <c r="D51" s="4" t="s">
        <v>676</v>
      </c>
      <c r="E51" s="5">
        <v>-7250</v>
      </c>
      <c r="F51" s="6">
        <v>-175.53337500000001</v>
      </c>
      <c r="G51" s="7">
        <v>-1.9301240000000001E-2</v>
      </c>
      <c r="H51" s="53"/>
    </row>
    <row r="52" spans="1:8" ht="17.100000000000001" customHeight="1" x14ac:dyDescent="0.2">
      <c r="A52" s="3">
        <v>10</v>
      </c>
      <c r="B52" s="4"/>
      <c r="C52" s="4" t="s">
        <v>917</v>
      </c>
      <c r="D52" s="4" t="s">
        <v>676</v>
      </c>
      <c r="E52" s="5">
        <v>-12000</v>
      </c>
      <c r="F52" s="6">
        <v>-242.62200000000001</v>
      </c>
      <c r="G52" s="7">
        <v>-2.6678139999999999E-2</v>
      </c>
      <c r="H52" s="53"/>
    </row>
    <row r="53" spans="1:8" ht="17.100000000000001" customHeight="1" x14ac:dyDescent="0.2">
      <c r="A53" s="3">
        <v>11</v>
      </c>
      <c r="B53" s="4"/>
      <c r="C53" s="4" t="s">
        <v>918</v>
      </c>
      <c r="D53" s="4" t="s">
        <v>676</v>
      </c>
      <c r="E53" s="5">
        <v>-53750</v>
      </c>
      <c r="F53" s="6">
        <v>-299.52187500000002</v>
      </c>
      <c r="G53" s="7">
        <v>-3.2934720000000001E-2</v>
      </c>
      <c r="H53" s="53"/>
    </row>
    <row r="54" spans="1:8" ht="17.100000000000001" customHeight="1" x14ac:dyDescent="0.2">
      <c r="A54" s="3">
        <v>12</v>
      </c>
      <c r="B54" s="4"/>
      <c r="C54" s="4" t="s">
        <v>919</v>
      </c>
      <c r="D54" s="4" t="s">
        <v>676</v>
      </c>
      <c r="E54" s="5">
        <v>-75600</v>
      </c>
      <c r="F54" s="6">
        <v>-326.32740000000001</v>
      </c>
      <c r="G54" s="7">
        <v>-3.5882190000000001E-2</v>
      </c>
      <c r="H54" s="53"/>
    </row>
    <row r="55" spans="1:8" ht="29.1" customHeight="1" x14ac:dyDescent="0.2">
      <c r="A55" s="3">
        <v>13</v>
      </c>
      <c r="B55" s="4"/>
      <c r="C55" s="4" t="s">
        <v>920</v>
      </c>
      <c r="D55" s="4" t="s">
        <v>676</v>
      </c>
      <c r="E55" s="5">
        <v>-13500</v>
      </c>
      <c r="F55" s="6">
        <v>-339.59249999999997</v>
      </c>
      <c r="G55" s="7">
        <v>-3.7340789999999999E-2</v>
      </c>
      <c r="H55" s="53"/>
    </row>
    <row r="56" spans="1:8" ht="29.1" customHeight="1" x14ac:dyDescent="0.2">
      <c r="A56" s="3">
        <v>14</v>
      </c>
      <c r="B56" s="4"/>
      <c r="C56" s="4" t="s">
        <v>921</v>
      </c>
      <c r="D56" s="4" t="s">
        <v>676</v>
      </c>
      <c r="E56" s="5">
        <v>-252000</v>
      </c>
      <c r="F56" s="6">
        <v>-392.11200000000002</v>
      </c>
      <c r="G56" s="7">
        <v>-4.3115710000000002E-2</v>
      </c>
      <c r="H56" s="53"/>
    </row>
    <row r="57" spans="1:8" ht="17.100000000000001" customHeight="1" x14ac:dyDescent="0.2">
      <c r="A57" s="3">
        <v>15</v>
      </c>
      <c r="B57" s="4"/>
      <c r="C57" s="4" t="s">
        <v>922</v>
      </c>
      <c r="D57" s="4" t="s">
        <v>676</v>
      </c>
      <c r="E57" s="5">
        <v>-85800</v>
      </c>
      <c r="F57" s="6">
        <v>-435.30630000000002</v>
      </c>
      <c r="G57" s="7">
        <v>-4.786526E-2</v>
      </c>
      <c r="H57" s="53"/>
    </row>
    <row r="58" spans="1:8" ht="17.100000000000001" customHeight="1" x14ac:dyDescent="0.2">
      <c r="A58" s="3">
        <v>16</v>
      </c>
      <c r="B58" s="4"/>
      <c r="C58" s="4" t="s">
        <v>923</v>
      </c>
      <c r="D58" s="4" t="s">
        <v>676</v>
      </c>
      <c r="E58" s="5">
        <v>-29150</v>
      </c>
      <c r="F58" s="6">
        <v>-461.12385</v>
      </c>
      <c r="G58" s="7">
        <v>-5.0704100000000002E-2</v>
      </c>
      <c r="H58" s="53"/>
    </row>
    <row r="59" spans="1:8" ht="17.100000000000001" customHeight="1" x14ac:dyDescent="0.2">
      <c r="A59" s="3">
        <v>17</v>
      </c>
      <c r="B59" s="4"/>
      <c r="C59" s="4" t="s">
        <v>924</v>
      </c>
      <c r="D59" s="4" t="s">
        <v>676</v>
      </c>
      <c r="E59" s="5">
        <v>-7125</v>
      </c>
      <c r="F59" s="6">
        <v>-513.55218749999995</v>
      </c>
      <c r="G59" s="7">
        <v>-5.6468990000000004E-2</v>
      </c>
      <c r="H59" s="53"/>
    </row>
    <row r="60" spans="1:8" ht="29.1" customHeight="1" x14ac:dyDescent="0.2">
      <c r="A60" s="3">
        <v>18</v>
      </c>
      <c r="B60" s="4"/>
      <c r="C60" s="4" t="s">
        <v>925</v>
      </c>
      <c r="D60" s="4" t="s">
        <v>676</v>
      </c>
      <c r="E60" s="5">
        <v>-5100</v>
      </c>
      <c r="F60" s="6">
        <v>-513.80970000000002</v>
      </c>
      <c r="G60" s="7">
        <v>-5.6497310000000002E-2</v>
      </c>
      <c r="H60" s="53"/>
    </row>
    <row r="61" spans="1:8" ht="17.100000000000001" customHeight="1" x14ac:dyDescent="0.2">
      <c r="A61" s="3">
        <v>19</v>
      </c>
      <c r="B61" s="4"/>
      <c r="C61" s="4" t="s">
        <v>926</v>
      </c>
      <c r="D61" s="4" t="s">
        <v>676</v>
      </c>
      <c r="E61" s="5">
        <v>-329800</v>
      </c>
      <c r="F61" s="6">
        <v>-580.61289999999997</v>
      </c>
      <c r="G61" s="7">
        <v>-6.3842830000000003E-2</v>
      </c>
      <c r="H61" s="53"/>
    </row>
    <row r="62" spans="1:8" ht="17.100000000000001" customHeight="1" x14ac:dyDescent="0.2">
      <c r="A62" s="3">
        <v>20</v>
      </c>
      <c r="B62" s="4"/>
      <c r="C62" s="4" t="s">
        <v>927</v>
      </c>
      <c r="D62" s="4" t="s">
        <v>676</v>
      </c>
      <c r="E62" s="5">
        <v>-77700</v>
      </c>
      <c r="F62" s="6">
        <v>-750.62085000000002</v>
      </c>
      <c r="G62" s="7">
        <v>-8.2536509999999993E-2</v>
      </c>
      <c r="H62" s="53"/>
    </row>
    <row r="63" spans="1:8" ht="29.1" customHeight="1" x14ac:dyDescent="0.2">
      <c r="A63" s="3">
        <v>21</v>
      </c>
      <c r="B63" s="4"/>
      <c r="C63" s="4" t="s">
        <v>928</v>
      </c>
      <c r="D63" s="4" t="s">
        <v>676</v>
      </c>
      <c r="E63" s="5">
        <v>-333000</v>
      </c>
      <c r="F63" s="6">
        <v>-878.62049999999999</v>
      </c>
      <c r="G63" s="7">
        <v>-9.6611039999999995E-2</v>
      </c>
      <c r="H63" s="53"/>
    </row>
    <row r="64" spans="1:8" ht="14.1" customHeight="1" x14ac:dyDescent="0.2">
      <c r="A64" s="1"/>
      <c r="B64" s="1"/>
      <c r="C64" s="2" t="s">
        <v>144</v>
      </c>
      <c r="D64" s="1"/>
      <c r="E64" s="1" t="s">
        <v>145</v>
      </c>
      <c r="F64" s="9">
        <v>-6553.1724750000003</v>
      </c>
      <c r="G64" s="10">
        <v>-0.72057143000000001</v>
      </c>
      <c r="H64" s="53"/>
    </row>
    <row r="65" spans="1:8" ht="14.1" customHeight="1" x14ac:dyDescent="0.2">
      <c r="A65" s="1"/>
      <c r="B65" s="1"/>
      <c r="C65" s="11"/>
      <c r="D65" s="1"/>
      <c r="E65" s="1"/>
      <c r="F65" s="12"/>
      <c r="G65" s="12"/>
      <c r="H65" s="53"/>
    </row>
    <row r="66" spans="1:8" ht="18" customHeight="1" x14ac:dyDescent="0.2">
      <c r="A66" s="1"/>
      <c r="B66" s="1"/>
      <c r="C66" s="2" t="s">
        <v>152</v>
      </c>
      <c r="D66" s="1"/>
      <c r="E66" s="1"/>
      <c r="F66" s="9">
        <v>6510.8757750000004</v>
      </c>
      <c r="G66" s="10">
        <v>0.71592058999999997</v>
      </c>
      <c r="H66" s="53"/>
    </row>
    <row r="67" spans="1:8" ht="14.1" customHeight="1" x14ac:dyDescent="0.2">
      <c r="A67" s="1"/>
      <c r="B67" s="1"/>
      <c r="C67" s="11"/>
      <c r="D67" s="1"/>
      <c r="E67" s="1"/>
      <c r="F67" s="12"/>
      <c r="G67" s="12"/>
      <c r="H67" s="53"/>
    </row>
    <row r="68" spans="1:8" ht="14.1" customHeight="1" x14ac:dyDescent="0.2">
      <c r="A68" s="1"/>
      <c r="B68" s="1"/>
      <c r="C68" s="2" t="s">
        <v>153</v>
      </c>
      <c r="D68" s="1"/>
      <c r="E68" s="1"/>
      <c r="F68" s="12"/>
      <c r="G68" s="12"/>
      <c r="H68" s="53"/>
    </row>
    <row r="69" spans="1:8" ht="24" customHeight="1" x14ac:dyDescent="0.2">
      <c r="A69" s="1"/>
      <c r="B69" s="1"/>
      <c r="C69" s="2" t="s">
        <v>10</v>
      </c>
      <c r="D69" s="1"/>
      <c r="E69" s="1"/>
      <c r="F69" s="12"/>
      <c r="G69" s="12"/>
      <c r="H69" s="53"/>
    </row>
    <row r="70" spans="1:8" ht="14.1" customHeight="1" x14ac:dyDescent="0.2">
      <c r="A70" s="1"/>
      <c r="B70" s="1"/>
      <c r="C70" s="2" t="s">
        <v>144</v>
      </c>
      <c r="D70" s="1"/>
      <c r="E70" s="1" t="s">
        <v>145</v>
      </c>
      <c r="F70" s="13" t="s">
        <v>147</v>
      </c>
      <c r="G70" s="10">
        <v>0</v>
      </c>
      <c r="H70" s="53"/>
    </row>
    <row r="71" spans="1:8" ht="14.1" customHeight="1" x14ac:dyDescent="0.2">
      <c r="A71" s="1"/>
      <c r="B71" s="1"/>
      <c r="C71" s="11"/>
      <c r="D71" s="1"/>
      <c r="E71" s="1"/>
      <c r="F71" s="12"/>
      <c r="G71" s="12"/>
      <c r="H71" s="53"/>
    </row>
    <row r="72" spans="1:8" ht="14.1" customHeight="1" x14ac:dyDescent="0.2">
      <c r="A72" s="1"/>
      <c r="B72" s="1"/>
      <c r="C72" s="2" t="s">
        <v>154</v>
      </c>
      <c r="D72" s="1"/>
      <c r="E72" s="1"/>
      <c r="F72" s="1"/>
      <c r="G72" s="1"/>
      <c r="H72" s="53"/>
    </row>
    <row r="73" spans="1:8" ht="14.1" customHeight="1" x14ac:dyDescent="0.2">
      <c r="A73" s="1"/>
      <c r="B73" s="1"/>
      <c r="C73" s="2" t="s">
        <v>144</v>
      </c>
      <c r="D73" s="1"/>
      <c r="E73" s="1" t="s">
        <v>145</v>
      </c>
      <c r="F73" s="13" t="s">
        <v>147</v>
      </c>
      <c r="G73" s="10">
        <v>0</v>
      </c>
      <c r="H73" s="53"/>
    </row>
    <row r="74" spans="1:8" ht="14.1" customHeight="1" x14ac:dyDescent="0.2">
      <c r="A74" s="1"/>
      <c r="B74" s="1"/>
      <c r="C74" s="11"/>
      <c r="D74" s="1"/>
      <c r="E74" s="1"/>
      <c r="F74" s="12"/>
      <c r="G74" s="12"/>
      <c r="H74" s="53"/>
    </row>
    <row r="75" spans="1:8" ht="14.1" customHeight="1" x14ac:dyDescent="0.2">
      <c r="A75" s="1"/>
      <c r="B75" s="1"/>
      <c r="C75" s="2" t="s">
        <v>155</v>
      </c>
      <c r="D75" s="1"/>
      <c r="E75" s="1"/>
      <c r="F75" s="1"/>
      <c r="G75" s="1"/>
      <c r="H75" s="53"/>
    </row>
    <row r="76" spans="1:8" ht="14.1" customHeight="1" x14ac:dyDescent="0.2">
      <c r="A76" s="1"/>
      <c r="B76" s="1"/>
      <c r="C76" s="2" t="s">
        <v>144</v>
      </c>
      <c r="D76" s="1"/>
      <c r="E76" s="1" t="s">
        <v>145</v>
      </c>
      <c r="F76" s="13" t="s">
        <v>147</v>
      </c>
      <c r="G76" s="10">
        <v>0</v>
      </c>
      <c r="H76" s="53"/>
    </row>
    <row r="77" spans="1:8" ht="14.1" customHeight="1" x14ac:dyDescent="0.2">
      <c r="A77" s="1"/>
      <c r="B77" s="1"/>
      <c r="C77" s="11"/>
      <c r="D77" s="1"/>
      <c r="E77" s="1"/>
      <c r="F77" s="12"/>
      <c r="G77" s="12"/>
      <c r="H77" s="53"/>
    </row>
    <row r="78" spans="1:8" ht="14.1" customHeight="1" x14ac:dyDescent="0.2">
      <c r="A78" s="1"/>
      <c r="B78" s="1"/>
      <c r="C78" s="2" t="s">
        <v>156</v>
      </c>
      <c r="D78" s="1"/>
      <c r="E78" s="1"/>
      <c r="F78" s="12"/>
      <c r="G78" s="12"/>
      <c r="H78" s="53"/>
    </row>
    <row r="79" spans="1:8" ht="14.1" customHeight="1" x14ac:dyDescent="0.2">
      <c r="A79" s="1"/>
      <c r="B79" s="1"/>
      <c r="C79" s="2" t="s">
        <v>144</v>
      </c>
      <c r="D79" s="1"/>
      <c r="E79" s="1" t="s">
        <v>145</v>
      </c>
      <c r="F79" s="13" t="s">
        <v>147</v>
      </c>
      <c r="G79" s="10">
        <v>0</v>
      </c>
      <c r="H79" s="53"/>
    </row>
    <row r="80" spans="1:8" ht="14.1" customHeight="1" x14ac:dyDescent="0.2">
      <c r="A80" s="1"/>
      <c r="B80" s="1"/>
      <c r="C80" s="11"/>
      <c r="D80" s="1"/>
      <c r="E80" s="1"/>
      <c r="F80" s="12"/>
      <c r="G80" s="12"/>
      <c r="H80" s="53"/>
    </row>
    <row r="81" spans="1:8" ht="14.1" customHeight="1" x14ac:dyDescent="0.2">
      <c r="A81" s="1"/>
      <c r="B81" s="1"/>
      <c r="C81" s="2" t="s">
        <v>157</v>
      </c>
      <c r="D81" s="1"/>
      <c r="E81" s="1"/>
      <c r="F81" s="9">
        <v>0</v>
      </c>
      <c r="G81" s="10">
        <v>0</v>
      </c>
      <c r="H81" s="53"/>
    </row>
    <row r="82" spans="1:8" ht="14.1" customHeight="1" x14ac:dyDescent="0.2">
      <c r="A82" s="1"/>
      <c r="B82" s="1"/>
      <c r="C82" s="11"/>
      <c r="D82" s="1"/>
      <c r="E82" s="1"/>
      <c r="F82" s="12"/>
      <c r="G82" s="12"/>
      <c r="H82" s="53"/>
    </row>
    <row r="83" spans="1:8" ht="14.1" customHeight="1" x14ac:dyDescent="0.2">
      <c r="A83" s="1"/>
      <c r="B83" s="1"/>
      <c r="C83" s="2" t="s">
        <v>158</v>
      </c>
      <c r="D83" s="1"/>
      <c r="E83" s="1"/>
      <c r="F83" s="12"/>
      <c r="G83" s="12"/>
      <c r="H83" s="53"/>
    </row>
    <row r="84" spans="1:8" ht="14.1" customHeight="1" x14ac:dyDescent="0.2">
      <c r="A84" s="1"/>
      <c r="B84" s="1"/>
      <c r="C84" s="2" t="s">
        <v>159</v>
      </c>
      <c r="D84" s="1"/>
      <c r="E84" s="1"/>
      <c r="F84" s="12"/>
      <c r="G84" s="12"/>
      <c r="H84" s="53"/>
    </row>
    <row r="85" spans="1:8" ht="14.1" customHeight="1" x14ac:dyDescent="0.2">
      <c r="A85" s="1"/>
      <c r="B85" s="1"/>
      <c r="C85" s="2" t="s">
        <v>144</v>
      </c>
      <c r="D85" s="1"/>
      <c r="E85" s="1" t="s">
        <v>145</v>
      </c>
      <c r="F85" s="13" t="s">
        <v>147</v>
      </c>
      <c r="G85" s="10">
        <v>0</v>
      </c>
      <c r="H85" s="53"/>
    </row>
    <row r="86" spans="1:8" ht="14.1" customHeight="1" x14ac:dyDescent="0.2">
      <c r="A86" s="1"/>
      <c r="B86" s="1"/>
      <c r="C86" s="11"/>
      <c r="D86" s="1"/>
      <c r="E86" s="1"/>
      <c r="F86" s="12"/>
      <c r="G86" s="12"/>
      <c r="H86" s="53"/>
    </row>
    <row r="87" spans="1:8" ht="14.1" customHeight="1" x14ac:dyDescent="0.2">
      <c r="A87" s="1"/>
      <c r="B87" s="1"/>
      <c r="C87" s="2" t="s">
        <v>160</v>
      </c>
      <c r="D87" s="1"/>
      <c r="E87" s="1"/>
      <c r="F87" s="12"/>
      <c r="G87" s="12"/>
      <c r="H87" s="53"/>
    </row>
    <row r="88" spans="1:8" ht="14.1" customHeight="1" x14ac:dyDescent="0.2">
      <c r="A88" s="1"/>
      <c r="B88" s="1"/>
      <c r="C88" s="2" t="s">
        <v>144</v>
      </c>
      <c r="D88" s="1"/>
      <c r="E88" s="1" t="s">
        <v>145</v>
      </c>
      <c r="F88" s="13" t="s">
        <v>147</v>
      </c>
      <c r="G88" s="10">
        <v>0</v>
      </c>
      <c r="H88" s="53"/>
    </row>
    <row r="89" spans="1:8" ht="14.1" customHeight="1" x14ac:dyDescent="0.2">
      <c r="A89" s="1"/>
      <c r="B89" s="1"/>
      <c r="C89" s="11"/>
      <c r="D89" s="1"/>
      <c r="E89" s="1"/>
      <c r="F89" s="12"/>
      <c r="G89" s="12"/>
      <c r="H89" s="53"/>
    </row>
    <row r="90" spans="1:8" ht="14.1" customHeight="1" x14ac:dyDescent="0.2">
      <c r="A90" s="1"/>
      <c r="B90" s="1"/>
      <c r="C90" s="2" t="s">
        <v>161</v>
      </c>
      <c r="D90" s="1"/>
      <c r="E90" s="1"/>
      <c r="F90" s="12"/>
      <c r="G90" s="12"/>
      <c r="H90" s="53"/>
    </row>
    <row r="91" spans="1:8" ht="17.100000000000001" customHeight="1" x14ac:dyDescent="0.2">
      <c r="A91" s="3">
        <v>1</v>
      </c>
      <c r="B91" s="4" t="s">
        <v>677</v>
      </c>
      <c r="C91" s="40" t="s">
        <v>967</v>
      </c>
      <c r="D91" s="4" t="s">
        <v>632</v>
      </c>
      <c r="E91" s="5">
        <v>1000000</v>
      </c>
      <c r="F91" s="6">
        <v>963.96100000000001</v>
      </c>
      <c r="G91" s="7">
        <v>0.10599488999999999</v>
      </c>
      <c r="H91" s="53">
        <v>6.9980000000000002</v>
      </c>
    </row>
    <row r="92" spans="1:8" ht="17.100000000000001" customHeight="1" x14ac:dyDescent="0.2">
      <c r="A92" s="3">
        <v>2</v>
      </c>
      <c r="B92" s="4" t="s">
        <v>678</v>
      </c>
      <c r="C92" s="40" t="s">
        <v>965</v>
      </c>
      <c r="D92" s="4" t="s">
        <v>632</v>
      </c>
      <c r="E92" s="5">
        <v>500000</v>
      </c>
      <c r="F92" s="6">
        <v>493.05</v>
      </c>
      <c r="G92" s="7">
        <v>5.4214619999999998E-2</v>
      </c>
      <c r="H92" s="53">
        <v>6.77</v>
      </c>
    </row>
    <row r="93" spans="1:8" ht="17.100000000000001" customHeight="1" x14ac:dyDescent="0.2">
      <c r="A93" s="3">
        <v>3</v>
      </c>
      <c r="B93" s="4" t="s">
        <v>679</v>
      </c>
      <c r="C93" s="40" t="s">
        <v>966</v>
      </c>
      <c r="D93" s="4" t="s">
        <v>632</v>
      </c>
      <c r="E93" s="5">
        <v>500000</v>
      </c>
      <c r="F93" s="6">
        <v>492.43049999999999</v>
      </c>
      <c r="G93" s="7">
        <v>5.41465E-2</v>
      </c>
      <c r="H93" s="53">
        <v>6.76</v>
      </c>
    </row>
    <row r="94" spans="1:8" ht="14.1" customHeight="1" x14ac:dyDescent="0.2">
      <c r="A94" s="1"/>
      <c r="B94" s="1"/>
      <c r="C94" s="2" t="s">
        <v>144</v>
      </c>
      <c r="D94" s="1"/>
      <c r="E94" s="1" t="s">
        <v>145</v>
      </c>
      <c r="F94" s="9">
        <v>1949.4414999999999</v>
      </c>
      <c r="G94" s="10">
        <v>0.21435601000000001</v>
      </c>
      <c r="H94" s="53"/>
    </row>
    <row r="95" spans="1:8" ht="14.1" customHeight="1" x14ac:dyDescent="0.2">
      <c r="A95" s="1"/>
      <c r="B95" s="1"/>
      <c r="C95" s="11"/>
      <c r="D95" s="1"/>
      <c r="E95" s="1"/>
      <c r="F95" s="12"/>
      <c r="G95" s="12"/>
      <c r="H95" s="53"/>
    </row>
    <row r="96" spans="1:8" ht="14.1" customHeight="1" x14ac:dyDescent="0.2">
      <c r="A96" s="1"/>
      <c r="B96" s="1"/>
      <c r="C96" s="2" t="s">
        <v>162</v>
      </c>
      <c r="D96" s="1"/>
      <c r="E96" s="1"/>
      <c r="F96" s="12"/>
      <c r="G96" s="12"/>
      <c r="H96" s="53"/>
    </row>
    <row r="97" spans="1:8" ht="17.100000000000001" customHeight="1" x14ac:dyDescent="0.2">
      <c r="A97" s="3">
        <v>1</v>
      </c>
      <c r="B97" s="4"/>
      <c r="C97" s="4" t="s">
        <v>163</v>
      </c>
      <c r="D97" s="4"/>
      <c r="E97" s="8"/>
      <c r="F97" s="6">
        <v>296.29561900099998</v>
      </c>
      <c r="G97" s="7">
        <v>3.257997E-2</v>
      </c>
      <c r="H97" s="51">
        <v>6.6602331647804478</v>
      </c>
    </row>
    <row r="98" spans="1:8" ht="17.100000000000001" customHeight="1" x14ac:dyDescent="0.2">
      <c r="A98" s="3">
        <v>2</v>
      </c>
      <c r="B98" s="4"/>
      <c r="C98" s="4" t="s">
        <v>164</v>
      </c>
      <c r="D98" s="4"/>
      <c r="E98" s="8"/>
      <c r="F98" s="6">
        <v>226.526329</v>
      </c>
      <c r="G98" s="7">
        <v>2.4908300000000001E-2</v>
      </c>
      <c r="H98" s="51">
        <v>6.6588225936582406</v>
      </c>
    </row>
    <row r="99" spans="1:8" ht="14.1" customHeight="1" x14ac:dyDescent="0.2">
      <c r="A99" s="1"/>
      <c r="B99" s="1"/>
      <c r="C99" s="2" t="s">
        <v>144</v>
      </c>
      <c r="D99" s="1"/>
      <c r="E99" s="1" t="s">
        <v>145</v>
      </c>
      <c r="F99" s="9">
        <v>522.82194800100001</v>
      </c>
      <c r="G99" s="10">
        <v>5.7488270000000001E-2</v>
      </c>
      <c r="H99" s="53"/>
    </row>
    <row r="100" spans="1:8" ht="14.1" customHeight="1" x14ac:dyDescent="0.2">
      <c r="A100" s="1"/>
      <c r="B100" s="1"/>
      <c r="C100" s="11"/>
      <c r="D100" s="1"/>
      <c r="E100" s="1"/>
      <c r="F100" s="12"/>
      <c r="G100" s="12"/>
      <c r="H100" s="53"/>
    </row>
    <row r="101" spans="1:8" ht="14.1" customHeight="1" x14ac:dyDescent="0.2">
      <c r="A101" s="1"/>
      <c r="B101" s="1"/>
      <c r="C101" s="2" t="s">
        <v>165</v>
      </c>
      <c r="D101" s="1"/>
      <c r="E101" s="1"/>
      <c r="F101" s="9">
        <v>2472.2634480010001</v>
      </c>
      <c r="G101" s="10">
        <v>0.27184427999999999</v>
      </c>
      <c r="H101" s="53"/>
    </row>
    <row r="102" spans="1:8" ht="14.1" customHeight="1" x14ac:dyDescent="0.2">
      <c r="A102" s="1"/>
      <c r="B102" s="1"/>
      <c r="C102" s="12"/>
      <c r="D102" s="1"/>
      <c r="E102" s="1"/>
      <c r="F102" s="1"/>
      <c r="G102" s="1"/>
      <c r="H102" s="53"/>
    </row>
    <row r="103" spans="1:8" ht="14.1" customHeight="1" x14ac:dyDescent="0.2">
      <c r="A103" s="1"/>
      <c r="B103" s="1"/>
      <c r="C103" s="2" t="s">
        <v>166</v>
      </c>
      <c r="D103" s="1"/>
      <c r="E103" s="1"/>
      <c r="F103" s="1"/>
      <c r="G103" s="1"/>
      <c r="H103" s="53"/>
    </row>
    <row r="104" spans="1:8" ht="14.1" customHeight="1" x14ac:dyDescent="0.2">
      <c r="A104" s="1"/>
      <c r="B104" s="1"/>
      <c r="C104" s="2" t="s">
        <v>167</v>
      </c>
      <c r="D104" s="1"/>
      <c r="E104" s="1"/>
      <c r="F104" s="1"/>
      <c r="G104" s="1"/>
      <c r="H104" s="53"/>
    </row>
    <row r="105" spans="1:8" ht="28.5" customHeight="1" x14ac:dyDescent="0.2">
      <c r="A105" s="3">
        <v>1</v>
      </c>
      <c r="B105" s="4" t="s">
        <v>680</v>
      </c>
      <c r="C105" s="49" t="s">
        <v>948</v>
      </c>
      <c r="D105" s="4"/>
      <c r="E105" s="5">
        <v>9480.7900000000009</v>
      </c>
      <c r="F105" s="6">
        <v>193.91575542000001</v>
      </c>
      <c r="G105" s="7">
        <v>2.1322520000000001E-2</v>
      </c>
      <c r="H105" s="53"/>
    </row>
    <row r="106" spans="1:8" ht="14.1" customHeight="1" x14ac:dyDescent="0.2">
      <c r="A106" s="1"/>
      <c r="B106" s="1"/>
      <c r="C106" s="2" t="s">
        <v>144</v>
      </c>
      <c r="D106" s="1"/>
      <c r="E106" s="1" t="s">
        <v>145</v>
      </c>
      <c r="F106" s="9">
        <v>193.91575542000001</v>
      </c>
      <c r="G106" s="10">
        <v>2.1322520000000001E-2</v>
      </c>
      <c r="H106" s="53"/>
    </row>
    <row r="107" spans="1:8" ht="14.1" customHeight="1" x14ac:dyDescent="0.2">
      <c r="A107" s="1"/>
      <c r="B107" s="1"/>
      <c r="C107" s="11"/>
      <c r="D107" s="1"/>
      <c r="E107" s="1"/>
      <c r="F107" s="12"/>
      <c r="G107" s="12"/>
      <c r="H107" s="53"/>
    </row>
    <row r="108" spans="1:8" ht="14.1" customHeight="1" x14ac:dyDescent="0.2">
      <c r="A108" s="1"/>
      <c r="B108" s="1"/>
      <c r="C108" s="2" t="s">
        <v>168</v>
      </c>
      <c r="D108" s="1"/>
      <c r="E108" s="1"/>
      <c r="F108" s="1"/>
      <c r="G108" s="1"/>
      <c r="H108" s="53"/>
    </row>
    <row r="109" spans="1:8" ht="14.1" customHeight="1" x14ac:dyDescent="0.2">
      <c r="A109" s="1"/>
      <c r="B109" s="1"/>
      <c r="C109" s="2" t="s">
        <v>169</v>
      </c>
      <c r="D109" s="1"/>
      <c r="E109" s="1"/>
      <c r="F109" s="1"/>
      <c r="G109" s="1"/>
      <c r="H109" s="53"/>
    </row>
    <row r="110" spans="1:8" ht="14.1" customHeight="1" x14ac:dyDescent="0.2">
      <c r="A110" s="1"/>
      <c r="B110" s="1"/>
      <c r="C110" s="2" t="s">
        <v>144</v>
      </c>
      <c r="D110" s="1"/>
      <c r="E110" s="1" t="s">
        <v>145</v>
      </c>
      <c r="F110" s="13" t="s">
        <v>147</v>
      </c>
      <c r="G110" s="10">
        <v>0</v>
      </c>
      <c r="H110" s="53"/>
    </row>
    <row r="111" spans="1:8" ht="14.1" customHeight="1" x14ac:dyDescent="0.2">
      <c r="A111" s="1"/>
      <c r="B111" s="1"/>
      <c r="C111" s="11"/>
      <c r="D111" s="1"/>
      <c r="E111" s="1"/>
      <c r="F111" s="12"/>
      <c r="G111" s="12"/>
      <c r="H111" s="53"/>
    </row>
    <row r="112" spans="1:8" ht="24" customHeight="1" x14ac:dyDescent="0.2">
      <c r="A112" s="1"/>
      <c r="B112" s="1"/>
      <c r="C112" s="2" t="s">
        <v>170</v>
      </c>
      <c r="D112" s="1"/>
      <c r="E112" s="1"/>
      <c r="F112" s="12"/>
      <c r="G112" s="12"/>
      <c r="H112" s="53"/>
    </row>
    <row r="113" spans="1:14" ht="14.1" customHeight="1" x14ac:dyDescent="0.2">
      <c r="A113" s="1"/>
      <c r="B113" s="1"/>
      <c r="C113" s="2" t="s">
        <v>144</v>
      </c>
      <c r="D113" s="1"/>
      <c r="E113" s="1" t="s">
        <v>145</v>
      </c>
      <c r="F113" s="13" t="s">
        <v>147</v>
      </c>
      <c r="G113" s="10">
        <v>0</v>
      </c>
      <c r="H113" s="53"/>
    </row>
    <row r="114" spans="1:14" ht="14.1" customHeight="1" x14ac:dyDescent="0.2">
      <c r="A114" s="1"/>
      <c r="B114" s="1"/>
      <c r="C114" s="11"/>
      <c r="D114" s="1"/>
      <c r="E114" s="1"/>
      <c r="F114" s="12"/>
      <c r="G114" s="12"/>
      <c r="H114" s="53"/>
    </row>
    <row r="115" spans="1:14" ht="18" customHeight="1" x14ac:dyDescent="0.2">
      <c r="A115" s="8"/>
      <c r="B115" s="4"/>
      <c r="C115" s="4" t="s">
        <v>308</v>
      </c>
      <c r="D115" s="4"/>
      <c r="E115" s="8"/>
      <c r="F115" s="6">
        <v>100.30385080000001</v>
      </c>
      <c r="G115" s="7">
        <v>1.1029175629129195E-2</v>
      </c>
      <c r="H115" s="53"/>
    </row>
    <row r="116" spans="1:14" ht="18" customHeight="1" x14ac:dyDescent="0.2">
      <c r="A116" s="8"/>
      <c r="B116" s="4"/>
      <c r="C116" s="40" t="s">
        <v>961</v>
      </c>
      <c r="D116" s="4"/>
      <c r="E116" s="8"/>
      <c r="F116" s="6">
        <v>-182.948315430001</v>
      </c>
      <c r="G116" s="7">
        <v>-2.0116566670547086E-2</v>
      </c>
      <c r="H116" s="53"/>
    </row>
    <row r="117" spans="1:14" ht="14.1" customHeight="1" x14ac:dyDescent="0.2">
      <c r="A117" s="11"/>
      <c r="B117" s="11"/>
      <c r="C117" s="2" t="s">
        <v>172</v>
      </c>
      <c r="D117" s="12"/>
      <c r="E117" s="12"/>
      <c r="F117" s="9">
        <v>9094.4105137909992</v>
      </c>
      <c r="G117" s="14">
        <v>1.0000000099999999</v>
      </c>
      <c r="H117" s="53"/>
      <c r="J117" s="54"/>
      <c r="K117" s="54"/>
      <c r="L117" s="54"/>
      <c r="M117" s="54"/>
      <c r="N117" s="54"/>
    </row>
    <row r="118" spans="1:14" ht="14.1" customHeight="1" x14ac:dyDescent="0.2">
      <c r="A118" s="15"/>
      <c r="B118" s="15"/>
      <c r="C118" s="15"/>
      <c r="D118" s="16"/>
      <c r="E118" s="16"/>
      <c r="F118" s="16"/>
      <c r="G118" s="16"/>
      <c r="J118" s="144"/>
      <c r="K118" s="144"/>
      <c r="L118" s="144"/>
      <c r="M118" s="144"/>
      <c r="N118" s="144"/>
    </row>
    <row r="119" spans="1:14" ht="14.1" customHeight="1" x14ac:dyDescent="0.2">
      <c r="A119" s="41"/>
      <c r="B119" s="259" t="s">
        <v>949</v>
      </c>
      <c r="C119" s="259"/>
      <c r="D119" s="259"/>
      <c r="E119" s="259"/>
      <c r="F119" s="259"/>
      <c r="G119" s="45"/>
    </row>
    <row r="120" spans="1:14" ht="17.100000000000001" customHeight="1" x14ac:dyDescent="0.2">
      <c r="A120" s="41"/>
      <c r="B120" s="239" t="s">
        <v>962</v>
      </c>
      <c r="C120" s="239"/>
      <c r="D120" s="239"/>
      <c r="E120" s="239"/>
      <c r="F120" s="239"/>
      <c r="G120" s="45"/>
    </row>
    <row r="121" spans="1:14" ht="14.1" customHeight="1" x14ac:dyDescent="0.2">
      <c r="A121" s="41"/>
      <c r="B121" s="260" t="s">
        <v>970</v>
      </c>
      <c r="C121" s="260"/>
      <c r="D121" s="260"/>
      <c r="E121" s="260"/>
      <c r="F121" s="260"/>
      <c r="G121" s="45"/>
    </row>
    <row r="122" spans="1:14" ht="14.1" customHeight="1" x14ac:dyDescent="0.2">
      <c r="A122" s="17"/>
      <c r="B122" s="17"/>
      <c r="C122" s="17"/>
      <c r="D122" s="19"/>
      <c r="E122" s="19"/>
      <c r="F122" s="19"/>
      <c r="G122" s="19"/>
    </row>
    <row r="123" spans="1:14" ht="14.1" customHeight="1" x14ac:dyDescent="0.2">
      <c r="A123" s="17"/>
      <c r="B123" s="231" t="s">
        <v>174</v>
      </c>
      <c r="C123" s="232"/>
      <c r="D123" s="233"/>
      <c r="E123" s="20"/>
      <c r="F123" s="19"/>
      <c r="G123" s="19"/>
    </row>
    <row r="124" spans="1:14" ht="29.1" customHeight="1" x14ac:dyDescent="0.2">
      <c r="A124" s="17"/>
      <c r="B124" s="226" t="s">
        <v>175</v>
      </c>
      <c r="C124" s="227"/>
      <c r="D124" s="86" t="s">
        <v>1006</v>
      </c>
      <c r="E124" s="20"/>
      <c r="F124" s="19"/>
      <c r="G124" s="19"/>
    </row>
    <row r="125" spans="1:14" ht="17.100000000000001" customHeight="1" x14ac:dyDescent="0.2">
      <c r="A125" s="17"/>
      <c r="B125" s="226" t="s">
        <v>177</v>
      </c>
      <c r="C125" s="227"/>
      <c r="D125" s="2" t="s">
        <v>176</v>
      </c>
      <c r="E125" s="20"/>
      <c r="F125" s="19"/>
      <c r="G125" s="19"/>
    </row>
    <row r="126" spans="1:14" ht="17.100000000000001" customHeight="1" x14ac:dyDescent="0.2">
      <c r="A126" s="17"/>
      <c r="B126" s="226" t="s">
        <v>178</v>
      </c>
      <c r="C126" s="227"/>
      <c r="D126" s="12" t="s">
        <v>145</v>
      </c>
      <c r="E126" s="20"/>
      <c r="F126" s="19"/>
      <c r="G126" s="19"/>
    </row>
    <row r="127" spans="1:14" ht="24" customHeight="1" x14ac:dyDescent="0.2">
      <c r="A127" s="21"/>
      <c r="B127" s="22" t="s">
        <v>145</v>
      </c>
      <c r="C127" s="22" t="s">
        <v>179</v>
      </c>
      <c r="D127" s="22" t="s">
        <v>180</v>
      </c>
      <c r="E127" s="21"/>
      <c r="F127" s="21"/>
      <c r="G127" s="21"/>
    </row>
    <row r="128" spans="1:14" ht="18" customHeight="1" x14ac:dyDescent="0.2">
      <c r="A128" s="21"/>
      <c r="B128" s="23" t="s">
        <v>181</v>
      </c>
      <c r="C128" s="22" t="s">
        <v>182</v>
      </c>
      <c r="D128" s="22" t="s">
        <v>183</v>
      </c>
      <c r="E128" s="21"/>
      <c r="F128" s="21"/>
      <c r="G128" s="21"/>
    </row>
    <row r="129" spans="1:14" ht="17.100000000000001" customHeight="1" x14ac:dyDescent="0.2">
      <c r="A129" s="21"/>
      <c r="B129" s="4" t="s">
        <v>184</v>
      </c>
      <c r="C129" s="24">
        <v>13.197900000000001</v>
      </c>
      <c r="D129" s="24">
        <v>13.2944</v>
      </c>
      <c r="E129" s="21"/>
      <c r="F129" s="18"/>
      <c r="G129" s="25"/>
    </row>
    <row r="130" spans="1:14" ht="25.5" x14ac:dyDescent="0.2">
      <c r="A130" s="21"/>
      <c r="B130" s="4" t="s">
        <v>1014</v>
      </c>
      <c r="C130" s="24">
        <v>11.412800000000001</v>
      </c>
      <c r="D130" s="24">
        <v>11.4962</v>
      </c>
      <c r="E130" s="21"/>
      <c r="F130" s="18"/>
      <c r="G130" s="25"/>
    </row>
    <row r="131" spans="1:14" ht="17.100000000000001" customHeight="1" x14ac:dyDescent="0.2">
      <c r="A131" s="21"/>
      <c r="B131" s="4" t="s">
        <v>185</v>
      </c>
      <c r="C131" s="24">
        <v>12.6812</v>
      </c>
      <c r="D131" s="24">
        <v>12.7674</v>
      </c>
      <c r="E131" s="21"/>
      <c r="F131" s="18"/>
      <c r="G131" s="25"/>
    </row>
    <row r="132" spans="1:14" ht="25.5" x14ac:dyDescent="0.2">
      <c r="A132" s="21"/>
      <c r="B132" s="4" t="s">
        <v>1016</v>
      </c>
      <c r="C132" s="24">
        <v>11.1493</v>
      </c>
      <c r="D132" s="24">
        <v>11.225199999999999</v>
      </c>
      <c r="E132" s="21"/>
      <c r="F132" s="18"/>
      <c r="G132" s="25"/>
    </row>
    <row r="133" spans="1:14" ht="14.1" customHeight="1" x14ac:dyDescent="0.2">
      <c r="A133" s="21"/>
      <c r="B133" s="21"/>
      <c r="C133" s="21"/>
      <c r="D133" s="21"/>
      <c r="E133" s="21"/>
      <c r="F133" s="21"/>
      <c r="G133" s="21"/>
    </row>
    <row r="134" spans="1:14" ht="17.100000000000001" customHeight="1" x14ac:dyDescent="0.2">
      <c r="A134" s="21"/>
      <c r="B134" s="226" t="s">
        <v>1011</v>
      </c>
      <c r="C134" s="227"/>
      <c r="D134" s="2" t="s">
        <v>176</v>
      </c>
      <c r="E134" s="21"/>
      <c r="F134" s="21"/>
      <c r="G134" s="21"/>
    </row>
    <row r="135" spans="1:14" ht="18" customHeight="1" x14ac:dyDescent="0.2">
      <c r="A135" s="21"/>
      <c r="B135" s="26"/>
      <c r="C135" s="26"/>
      <c r="D135" s="26"/>
      <c r="E135" s="21"/>
      <c r="F135" s="21"/>
      <c r="G135" s="21"/>
    </row>
    <row r="136" spans="1:14" ht="29.1" customHeight="1" x14ac:dyDescent="0.2">
      <c r="A136" s="21"/>
      <c r="B136" s="226" t="s">
        <v>186</v>
      </c>
      <c r="C136" s="227"/>
      <c r="D136" s="42" t="s">
        <v>958</v>
      </c>
      <c r="E136" s="27"/>
      <c r="F136" s="21"/>
      <c r="G136" s="21"/>
    </row>
    <row r="137" spans="1:14" ht="29.1" customHeight="1" x14ac:dyDescent="0.2">
      <c r="A137" s="21"/>
      <c r="B137" s="226" t="s">
        <v>187</v>
      </c>
      <c r="C137" s="227"/>
      <c r="D137" s="2" t="s">
        <v>176</v>
      </c>
      <c r="E137" s="27"/>
      <c r="F137" s="21"/>
      <c r="G137" s="21"/>
    </row>
    <row r="138" spans="1:14" ht="17.100000000000001" customHeight="1" x14ac:dyDescent="0.2">
      <c r="A138" s="21"/>
      <c r="B138" s="226" t="s">
        <v>188</v>
      </c>
      <c r="C138" s="227"/>
      <c r="D138" s="2" t="s">
        <v>176</v>
      </c>
      <c r="E138" s="27"/>
      <c r="F138" s="21"/>
      <c r="G138" s="21"/>
    </row>
    <row r="139" spans="1:14" ht="17.100000000000001" customHeight="1" x14ac:dyDescent="0.2">
      <c r="A139" s="21"/>
      <c r="B139" s="226" t="s">
        <v>189</v>
      </c>
      <c r="C139" s="227"/>
      <c r="D139" s="57">
        <v>10.58655752808653</v>
      </c>
      <c r="E139" s="21"/>
      <c r="F139" s="18"/>
      <c r="G139" s="25"/>
    </row>
    <row r="141" spans="1:14" x14ac:dyDescent="0.2">
      <c r="B141" s="112" t="s">
        <v>1004</v>
      </c>
      <c r="C141" s="112"/>
      <c r="D141" s="112"/>
      <c r="E141" s="113"/>
      <c r="F141" s="114"/>
      <c r="J141" s="88"/>
      <c r="K141" s="88"/>
      <c r="L141" s="88"/>
      <c r="M141" s="88"/>
      <c r="N141" s="88"/>
    </row>
    <row r="142" spans="1:14" ht="38.25" x14ac:dyDescent="0.2">
      <c r="B142" s="90" t="s">
        <v>972</v>
      </c>
      <c r="C142" s="90" t="s">
        <v>973</v>
      </c>
      <c r="D142" s="90" t="s">
        <v>974</v>
      </c>
      <c r="E142" s="90" t="s">
        <v>975</v>
      </c>
      <c r="F142" s="90" t="s">
        <v>976</v>
      </c>
    </row>
    <row r="143" spans="1:14" s="88" customFormat="1" ht="25.5" x14ac:dyDescent="0.2">
      <c r="B143" s="91" t="s">
        <v>977</v>
      </c>
      <c r="C143" s="92" t="s">
        <v>978</v>
      </c>
      <c r="D143" s="93">
        <v>0</v>
      </c>
      <c r="E143" s="94">
        <v>0</v>
      </c>
      <c r="F143" s="95">
        <v>50</v>
      </c>
      <c r="I143"/>
      <c r="J143"/>
      <c r="K143"/>
      <c r="L143"/>
      <c r="M143"/>
      <c r="N143"/>
    </row>
    <row r="145" spans="2:4" x14ac:dyDescent="0.2">
      <c r="B145" s="250" t="s">
        <v>991</v>
      </c>
      <c r="C145" s="251"/>
      <c r="D145" s="252"/>
    </row>
    <row r="146" spans="2:4" ht="25.5" x14ac:dyDescent="0.2">
      <c r="B146" s="240" t="s">
        <v>992</v>
      </c>
      <c r="C146" s="240"/>
      <c r="D146" s="107" t="s">
        <v>661</v>
      </c>
    </row>
    <row r="147" spans="2:4" x14ac:dyDescent="0.2">
      <c r="B147" s="240" t="s">
        <v>993</v>
      </c>
      <c r="C147" s="240"/>
      <c r="D147" s="115"/>
    </row>
    <row r="148" spans="2:4" x14ac:dyDescent="0.2">
      <c r="B148" s="241"/>
      <c r="C148" s="242"/>
      <c r="D148" s="108"/>
    </row>
    <row r="149" spans="2:4" x14ac:dyDescent="0.2">
      <c r="B149" s="240" t="s">
        <v>994</v>
      </c>
      <c r="C149" s="240"/>
      <c r="D149" s="109">
        <v>6.7507330682659532</v>
      </c>
    </row>
    <row r="150" spans="2:4" x14ac:dyDescent="0.2">
      <c r="B150" s="241"/>
      <c r="C150" s="242"/>
      <c r="D150" s="108"/>
    </row>
    <row r="151" spans="2:4" x14ac:dyDescent="0.2">
      <c r="B151" s="240" t="s">
        <v>995</v>
      </c>
      <c r="C151" s="240"/>
      <c r="D151" s="109">
        <v>0.28539908673435488</v>
      </c>
    </row>
    <row r="152" spans="2:4" x14ac:dyDescent="0.2">
      <c r="B152" s="240" t="s">
        <v>996</v>
      </c>
      <c r="C152" s="240"/>
      <c r="D152" s="109">
        <v>0.28539908673435488</v>
      </c>
    </row>
    <row r="153" spans="2:4" x14ac:dyDescent="0.2">
      <c r="B153" s="241"/>
      <c r="C153" s="242"/>
      <c r="D153" s="108"/>
    </row>
    <row r="154" spans="2:4" x14ac:dyDescent="0.2">
      <c r="B154" s="240" t="s">
        <v>997</v>
      </c>
      <c r="C154" s="240"/>
      <c r="D154" s="111">
        <v>45169</v>
      </c>
    </row>
    <row r="155" spans="2:4" ht="12.75" customHeight="1" x14ac:dyDescent="0.2">
      <c r="B155" s="241" t="s">
        <v>998</v>
      </c>
      <c r="C155" s="257"/>
      <c r="D155" s="242"/>
    </row>
  </sheetData>
  <mergeCells count="27">
    <mergeCell ref="B136:C136"/>
    <mergeCell ref="B137:C137"/>
    <mergeCell ref="B138:C138"/>
    <mergeCell ref="A1:H1"/>
    <mergeCell ref="A2:H2"/>
    <mergeCell ref="A3:H3"/>
    <mergeCell ref="B124:C124"/>
    <mergeCell ref="B119:F119"/>
    <mergeCell ref="B120:F120"/>
    <mergeCell ref="B123:D123"/>
    <mergeCell ref="B121:F121"/>
    <mergeCell ref="J2:N2"/>
    <mergeCell ref="B155:D155"/>
    <mergeCell ref="B150:C150"/>
    <mergeCell ref="B151:C151"/>
    <mergeCell ref="B152:C152"/>
    <mergeCell ref="B153:C153"/>
    <mergeCell ref="B154:C154"/>
    <mergeCell ref="B145:D145"/>
    <mergeCell ref="B146:C146"/>
    <mergeCell ref="B147:C147"/>
    <mergeCell ref="B148:C148"/>
    <mergeCell ref="B149:C149"/>
    <mergeCell ref="B139:C139"/>
    <mergeCell ref="B125:C125"/>
    <mergeCell ref="B126:C126"/>
    <mergeCell ref="B134:C134"/>
  </mergeCells>
  <hyperlinks>
    <hyperlink ref="I1" location="Index!B18" display="Index" xr:uid="{EDD39029-7164-40AD-A650-5D9B22D3006A}"/>
  </hyperlinks>
  <pageMargins left="5.000000074505806E-2" right="5.000000074505806E-2" top="0.30000001192092896" bottom="0.20000000298023224" header="0" footer="0"/>
  <pageSetup paperSize="9"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O215"/>
  <sheetViews>
    <sheetView showGridLines="0" workbookViewId="0">
      <selection sqref="A1:H1"/>
    </sheetView>
  </sheetViews>
  <sheetFormatPr defaultRowHeight="12.75" x14ac:dyDescent="0.2"/>
  <cols>
    <col min="1" max="1" width="6.85546875" customWidth="1"/>
    <col min="2" max="2" width="20.5703125" customWidth="1"/>
    <col min="3" max="3" width="35" customWidth="1"/>
    <col min="4" max="4" width="17.85546875" customWidth="1"/>
    <col min="5" max="6" width="19.140625" customWidth="1"/>
    <col min="7" max="7" width="16.42578125" customWidth="1"/>
    <col min="8" max="8" width="11.42578125" bestFit="1" customWidth="1"/>
    <col min="9" max="9" width="17.140625" bestFit="1" customWidth="1"/>
  </cols>
  <sheetData>
    <row r="1" spans="1:14" ht="18" customHeight="1" x14ac:dyDescent="0.2">
      <c r="A1" s="221" t="s">
        <v>0</v>
      </c>
      <c r="B1" s="221"/>
      <c r="C1" s="221"/>
      <c r="D1" s="221"/>
      <c r="E1" s="221"/>
      <c r="F1" s="221"/>
      <c r="G1" s="221"/>
      <c r="H1" s="221"/>
      <c r="I1" s="138" t="s">
        <v>1024</v>
      </c>
      <c r="J1" s="54"/>
      <c r="K1" s="54"/>
      <c r="L1" s="54"/>
      <c r="M1" s="54"/>
      <c r="N1" s="54"/>
    </row>
    <row r="2" spans="1:14" ht="17.100000000000001" customHeight="1" x14ac:dyDescent="0.2">
      <c r="A2" s="222" t="s">
        <v>681</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c r="J3" s="54"/>
      <c r="K3" s="54"/>
      <c r="L3" s="54"/>
      <c r="M3" s="54"/>
      <c r="N3" s="54"/>
    </row>
    <row r="4" spans="1:14" s="135" customFormat="1" ht="30" x14ac:dyDescent="0.2">
      <c r="A4" s="134" t="s">
        <v>2</v>
      </c>
      <c r="B4" s="134" t="s">
        <v>3</v>
      </c>
      <c r="C4" s="134" t="s">
        <v>4</v>
      </c>
      <c r="D4" s="134" t="s">
        <v>5</v>
      </c>
      <c r="E4" s="134" t="s">
        <v>6</v>
      </c>
      <c r="F4" s="134" t="s">
        <v>7</v>
      </c>
      <c r="G4" s="134" t="s">
        <v>8</v>
      </c>
      <c r="H4" s="131" t="s">
        <v>1023</v>
      </c>
      <c r="J4" s="137"/>
      <c r="K4" s="137"/>
      <c r="L4" s="137"/>
      <c r="M4" s="137"/>
      <c r="N4" s="137"/>
    </row>
    <row r="5" spans="1:14" ht="14.1" customHeight="1" x14ac:dyDescent="0.2">
      <c r="A5" s="1"/>
      <c r="B5" s="1"/>
      <c r="C5" s="2" t="s">
        <v>9</v>
      </c>
      <c r="D5" s="1"/>
      <c r="E5" s="1"/>
      <c r="F5" s="1"/>
      <c r="G5" s="1"/>
      <c r="H5" s="53"/>
      <c r="J5" s="54"/>
      <c r="K5" s="54"/>
      <c r="L5" s="54"/>
      <c r="M5" s="54"/>
      <c r="N5" s="54"/>
    </row>
    <row r="6" spans="1:14" ht="24" customHeight="1" x14ac:dyDescent="0.2">
      <c r="A6" s="1"/>
      <c r="B6" s="1"/>
      <c r="C6" s="2" t="s">
        <v>10</v>
      </c>
      <c r="D6" s="1"/>
      <c r="E6" s="1"/>
      <c r="F6" s="1"/>
      <c r="G6" s="1"/>
      <c r="H6" s="53"/>
      <c r="J6" s="54"/>
      <c r="K6" s="54"/>
      <c r="L6" s="54"/>
      <c r="M6" s="54"/>
      <c r="N6" s="54"/>
    </row>
    <row r="7" spans="1:14" ht="17.100000000000001" customHeight="1" x14ac:dyDescent="0.2">
      <c r="A7" s="3">
        <v>1</v>
      </c>
      <c r="B7" s="4" t="s">
        <v>310</v>
      </c>
      <c r="C7" s="4" t="s">
        <v>311</v>
      </c>
      <c r="D7" s="4" t="s">
        <v>28</v>
      </c>
      <c r="E7" s="5">
        <v>694250</v>
      </c>
      <c r="F7" s="6">
        <v>10909.791625</v>
      </c>
      <c r="G7" s="7">
        <v>7.1166960000000001E-2</v>
      </c>
      <c r="H7" s="53"/>
      <c r="J7" s="54"/>
      <c r="K7" s="54"/>
      <c r="L7" s="54"/>
      <c r="M7" s="54"/>
      <c r="N7" s="54"/>
    </row>
    <row r="8" spans="1:14" ht="17.100000000000001" customHeight="1" x14ac:dyDescent="0.2">
      <c r="A8" s="3">
        <v>2</v>
      </c>
      <c r="B8" s="4" t="s">
        <v>26</v>
      </c>
      <c r="C8" s="4" t="s">
        <v>27</v>
      </c>
      <c r="D8" s="4" t="s">
        <v>28</v>
      </c>
      <c r="E8" s="5">
        <v>1025500</v>
      </c>
      <c r="F8" s="6">
        <v>9831.9812500000007</v>
      </c>
      <c r="G8" s="7">
        <v>6.4136170000000006E-2</v>
      </c>
      <c r="H8" s="53"/>
      <c r="J8" s="54"/>
      <c r="K8" s="54"/>
      <c r="L8" s="54"/>
      <c r="M8" s="54"/>
      <c r="N8" s="54"/>
    </row>
    <row r="9" spans="1:14" ht="17.100000000000001" customHeight="1" x14ac:dyDescent="0.2">
      <c r="A9" s="3">
        <v>3</v>
      </c>
      <c r="B9" s="4" t="s">
        <v>20</v>
      </c>
      <c r="C9" s="4" t="s">
        <v>21</v>
      </c>
      <c r="D9" s="4" t="s">
        <v>22</v>
      </c>
      <c r="E9" s="5">
        <v>326000</v>
      </c>
      <c r="F9" s="6">
        <v>7846.82</v>
      </c>
      <c r="G9" s="7">
        <v>5.1186530000000001E-2</v>
      </c>
      <c r="H9" s="53"/>
      <c r="J9" s="54"/>
      <c r="K9" s="54"/>
      <c r="L9" s="54"/>
      <c r="M9" s="54"/>
      <c r="N9" s="54"/>
    </row>
    <row r="10" spans="1:14" ht="17.100000000000001" customHeight="1" x14ac:dyDescent="0.2">
      <c r="A10" s="3">
        <v>4</v>
      </c>
      <c r="B10" s="4" t="s">
        <v>312</v>
      </c>
      <c r="C10" s="4" t="s">
        <v>313</v>
      </c>
      <c r="D10" s="4" t="s">
        <v>905</v>
      </c>
      <c r="E10" s="5">
        <v>460000</v>
      </c>
      <c r="F10" s="6">
        <v>6603.07</v>
      </c>
      <c r="G10" s="7">
        <v>4.3073269999999997E-2</v>
      </c>
      <c r="H10" s="53"/>
      <c r="J10" s="54"/>
      <c r="K10" s="54"/>
      <c r="L10" s="54"/>
      <c r="M10" s="54"/>
      <c r="N10" s="54"/>
    </row>
    <row r="11" spans="1:14" ht="17.100000000000001" customHeight="1" x14ac:dyDescent="0.2">
      <c r="A11" s="3">
        <v>5</v>
      </c>
      <c r="B11" s="4" t="s">
        <v>106</v>
      </c>
      <c r="C11" s="4" t="s">
        <v>107</v>
      </c>
      <c r="D11" s="4" t="s">
        <v>108</v>
      </c>
      <c r="E11" s="5">
        <v>33800</v>
      </c>
      <c r="F11" s="6">
        <v>3381.2844</v>
      </c>
      <c r="G11" s="7">
        <v>2.2056860000000001E-2</v>
      </c>
      <c r="H11" s="53"/>
      <c r="J11" s="145"/>
      <c r="K11" s="145"/>
      <c r="L11" s="145"/>
      <c r="M11" s="145"/>
      <c r="N11" s="145"/>
    </row>
    <row r="12" spans="1:14" ht="17.100000000000001" customHeight="1" x14ac:dyDescent="0.2">
      <c r="A12" s="3">
        <v>6</v>
      </c>
      <c r="B12" s="4" t="s">
        <v>11</v>
      </c>
      <c r="C12" s="4" t="s">
        <v>12</v>
      </c>
      <c r="D12" s="4" t="s">
        <v>13</v>
      </c>
      <c r="E12" s="5">
        <v>113000</v>
      </c>
      <c r="F12" s="6">
        <v>3054.0509999999999</v>
      </c>
      <c r="G12" s="7">
        <v>1.9922249999999999E-2</v>
      </c>
      <c r="H12" s="53"/>
      <c r="N12" s="54"/>
    </row>
    <row r="13" spans="1:14" ht="17.100000000000001" customHeight="1" x14ac:dyDescent="0.2">
      <c r="A13" s="3">
        <v>7</v>
      </c>
      <c r="B13" s="40" t="s">
        <v>950</v>
      </c>
      <c r="C13" s="40" t="s">
        <v>951</v>
      </c>
      <c r="D13" s="40" t="s">
        <v>92</v>
      </c>
      <c r="E13" s="50">
        <v>1000000</v>
      </c>
      <c r="F13" s="51">
        <v>3051.7</v>
      </c>
      <c r="G13" s="52">
        <v>1.990691E-2</v>
      </c>
      <c r="H13" s="53"/>
      <c r="J13" s="142" t="s">
        <v>1044</v>
      </c>
      <c r="K13" s="54"/>
      <c r="L13" s="54"/>
      <c r="M13" s="54"/>
      <c r="N13" s="54"/>
    </row>
    <row r="14" spans="1:14" ht="17.100000000000001" customHeight="1" x14ac:dyDescent="0.2">
      <c r="A14" s="3">
        <v>8</v>
      </c>
      <c r="B14" s="4" t="s">
        <v>32</v>
      </c>
      <c r="C14" s="4" t="s">
        <v>33</v>
      </c>
      <c r="D14" s="4" t="s">
        <v>28</v>
      </c>
      <c r="E14" s="5">
        <v>540000</v>
      </c>
      <c r="F14" s="6">
        <v>3031.29</v>
      </c>
      <c r="G14" s="7">
        <v>1.977377E-2</v>
      </c>
      <c r="H14" s="53"/>
      <c r="J14" s="54"/>
      <c r="K14" s="54"/>
      <c r="L14" s="54"/>
      <c r="M14" s="54"/>
      <c r="N14" s="54"/>
    </row>
    <row r="15" spans="1:14" ht="17.100000000000001" customHeight="1" x14ac:dyDescent="0.2">
      <c r="A15" s="3">
        <v>9</v>
      </c>
      <c r="B15" s="4" t="s">
        <v>195</v>
      </c>
      <c r="C15" s="4" t="s">
        <v>196</v>
      </c>
      <c r="D15" s="4" t="s">
        <v>73</v>
      </c>
      <c r="E15" s="5">
        <v>1050000</v>
      </c>
      <c r="F15" s="6">
        <v>2643.9</v>
      </c>
      <c r="G15" s="7">
        <v>1.724674E-2</v>
      </c>
      <c r="H15" s="53"/>
      <c r="J15" s="54"/>
      <c r="K15" s="54"/>
      <c r="L15" s="54"/>
      <c r="M15" s="54"/>
      <c r="N15" s="54"/>
    </row>
    <row r="16" spans="1:14" ht="17.100000000000001" customHeight="1" x14ac:dyDescent="0.2">
      <c r="A16" s="3">
        <v>10</v>
      </c>
      <c r="B16" s="4" t="s">
        <v>465</v>
      </c>
      <c r="C16" s="4" t="s">
        <v>466</v>
      </c>
      <c r="D16" s="4" t="s">
        <v>28</v>
      </c>
      <c r="E16" s="5">
        <v>146600</v>
      </c>
      <c r="F16" s="6">
        <v>2578.3274999999999</v>
      </c>
      <c r="G16" s="7">
        <v>1.6819000000000001E-2</v>
      </c>
      <c r="H16" s="53"/>
      <c r="J16" s="54"/>
      <c r="K16" s="54"/>
      <c r="L16" s="54"/>
      <c r="M16" s="54"/>
      <c r="N16" s="145"/>
    </row>
    <row r="17" spans="1:14" ht="17.100000000000001" customHeight="1" x14ac:dyDescent="0.2">
      <c r="A17" s="3">
        <v>11</v>
      </c>
      <c r="B17" s="4" t="s">
        <v>14</v>
      </c>
      <c r="C17" s="4" t="s">
        <v>15</v>
      </c>
      <c r="D17" s="4" t="s">
        <v>16</v>
      </c>
      <c r="E17" s="5">
        <v>300000</v>
      </c>
      <c r="F17" s="6">
        <v>2569.1999999999998</v>
      </c>
      <c r="G17" s="7">
        <v>1.675946E-2</v>
      </c>
      <c r="H17" s="53"/>
      <c r="J17" s="145"/>
      <c r="K17" s="145"/>
      <c r="L17" s="145"/>
      <c r="M17" s="145"/>
      <c r="N17" s="54"/>
    </row>
    <row r="18" spans="1:14" ht="17.100000000000001" customHeight="1" x14ac:dyDescent="0.2">
      <c r="A18" s="3">
        <v>12</v>
      </c>
      <c r="B18" s="4" t="s">
        <v>314</v>
      </c>
      <c r="C18" s="4" t="s">
        <v>315</v>
      </c>
      <c r="D18" s="4" t="s">
        <v>28</v>
      </c>
      <c r="E18" s="5">
        <v>255000</v>
      </c>
      <c r="F18" s="6">
        <v>2482.4250000000002</v>
      </c>
      <c r="G18" s="7">
        <v>1.61934E-2</v>
      </c>
      <c r="H18" s="53"/>
      <c r="J18" s="54"/>
      <c r="K18" s="54"/>
      <c r="L18" s="54"/>
      <c r="M18" s="54"/>
      <c r="N18" s="54"/>
    </row>
    <row r="19" spans="1:14" ht="17.100000000000001" customHeight="1" x14ac:dyDescent="0.2">
      <c r="A19" s="3">
        <v>13</v>
      </c>
      <c r="B19" s="4" t="s">
        <v>318</v>
      </c>
      <c r="C19" s="4" t="s">
        <v>319</v>
      </c>
      <c r="D19" s="4" t="s">
        <v>905</v>
      </c>
      <c r="E19" s="5">
        <v>66000</v>
      </c>
      <c r="F19" s="6">
        <v>2215.4879999999998</v>
      </c>
      <c r="G19" s="7">
        <v>1.4452110000000001E-2</v>
      </c>
      <c r="H19" s="53"/>
      <c r="J19" s="54"/>
      <c r="K19" s="54"/>
      <c r="L19" s="54"/>
      <c r="M19" s="54"/>
      <c r="N19" s="54"/>
    </row>
    <row r="20" spans="1:14" ht="17.100000000000001" customHeight="1" x14ac:dyDescent="0.2">
      <c r="A20" s="3">
        <v>14</v>
      </c>
      <c r="B20" s="4" t="s">
        <v>336</v>
      </c>
      <c r="C20" s="4" t="s">
        <v>337</v>
      </c>
      <c r="D20" s="4" t="s">
        <v>331</v>
      </c>
      <c r="E20" s="5">
        <v>79718</v>
      </c>
      <c r="F20" s="6">
        <v>1996.9757589999999</v>
      </c>
      <c r="G20" s="7">
        <v>1.302671E-2</v>
      </c>
      <c r="H20" s="53"/>
      <c r="J20" s="54"/>
      <c r="K20" s="54"/>
      <c r="L20" s="54"/>
      <c r="M20" s="54"/>
      <c r="N20" s="54"/>
    </row>
    <row r="21" spans="1:14" ht="17.100000000000001" customHeight="1" x14ac:dyDescent="0.2">
      <c r="A21" s="3">
        <v>15</v>
      </c>
      <c r="B21" s="4" t="s">
        <v>346</v>
      </c>
      <c r="C21" s="4" t="s">
        <v>347</v>
      </c>
      <c r="D21" s="4" t="s">
        <v>108</v>
      </c>
      <c r="E21" s="5">
        <v>327500</v>
      </c>
      <c r="F21" s="6">
        <v>1968.2750000000001</v>
      </c>
      <c r="G21" s="7">
        <v>1.283949E-2</v>
      </c>
      <c r="H21" s="53"/>
      <c r="J21" s="54"/>
      <c r="K21" s="54"/>
      <c r="L21" s="54"/>
      <c r="M21" s="54"/>
      <c r="N21" s="54"/>
    </row>
    <row r="22" spans="1:14" ht="17.100000000000001" customHeight="1" x14ac:dyDescent="0.2">
      <c r="A22" s="3">
        <v>16</v>
      </c>
      <c r="B22" s="4" t="s">
        <v>550</v>
      </c>
      <c r="C22" s="4" t="s">
        <v>551</v>
      </c>
      <c r="D22" s="4" t="s">
        <v>108</v>
      </c>
      <c r="E22" s="5">
        <v>121100</v>
      </c>
      <c r="F22" s="6">
        <v>1907.8094000000001</v>
      </c>
      <c r="G22" s="7">
        <v>1.2445060000000001E-2</v>
      </c>
      <c r="H22" s="53"/>
      <c r="J22" s="54"/>
      <c r="K22" s="54"/>
      <c r="L22" s="54"/>
      <c r="M22" s="54"/>
    </row>
    <row r="23" spans="1:14" ht="17.100000000000001" customHeight="1" x14ac:dyDescent="0.2">
      <c r="A23" s="3">
        <v>17</v>
      </c>
      <c r="B23" s="4" t="s">
        <v>193</v>
      </c>
      <c r="C23" s="4" t="s">
        <v>194</v>
      </c>
      <c r="D23" s="4" t="s">
        <v>130</v>
      </c>
      <c r="E23" s="5">
        <v>98326</v>
      </c>
      <c r="F23" s="6">
        <v>1896.020258</v>
      </c>
      <c r="G23" s="7">
        <v>1.236816E-2</v>
      </c>
      <c r="H23" s="53"/>
    </row>
    <row r="24" spans="1:14" ht="17.100000000000001" customHeight="1" x14ac:dyDescent="0.2">
      <c r="A24" s="3">
        <v>18</v>
      </c>
      <c r="B24" s="4" t="s">
        <v>197</v>
      </c>
      <c r="C24" s="4" t="s">
        <v>198</v>
      </c>
      <c r="D24" s="4" t="s">
        <v>87</v>
      </c>
      <c r="E24" s="5">
        <v>65000</v>
      </c>
      <c r="F24" s="6">
        <v>1885.325</v>
      </c>
      <c r="G24" s="7">
        <v>1.2298389999999999E-2</v>
      </c>
      <c r="H24" s="53"/>
      <c r="J24" s="54"/>
      <c r="K24" s="54"/>
      <c r="L24" s="54"/>
      <c r="M24" s="54"/>
      <c r="N24" s="54"/>
    </row>
    <row r="25" spans="1:14" ht="29.1" customHeight="1" x14ac:dyDescent="0.2">
      <c r="A25" s="3">
        <v>19</v>
      </c>
      <c r="B25" s="4" t="s">
        <v>374</v>
      </c>
      <c r="C25" s="4" t="s">
        <v>375</v>
      </c>
      <c r="D25" s="4" t="s">
        <v>224</v>
      </c>
      <c r="E25" s="5">
        <v>142000</v>
      </c>
      <c r="F25" s="6">
        <v>1785.7919999999999</v>
      </c>
      <c r="G25" s="7">
        <v>1.1649110000000001E-2</v>
      </c>
      <c r="H25" s="53"/>
      <c r="J25" s="54"/>
      <c r="K25" s="54"/>
      <c r="L25" s="54"/>
      <c r="M25" s="54"/>
      <c r="N25" s="54"/>
    </row>
    <row r="26" spans="1:14" ht="17.100000000000001" customHeight="1" x14ac:dyDescent="0.2">
      <c r="A26" s="3">
        <v>20</v>
      </c>
      <c r="B26" s="4" t="s">
        <v>17</v>
      </c>
      <c r="C26" s="4" t="s">
        <v>18</v>
      </c>
      <c r="D26" s="4" t="s">
        <v>19</v>
      </c>
      <c r="E26" s="5">
        <v>800000</v>
      </c>
      <c r="F26" s="6">
        <v>1762.4</v>
      </c>
      <c r="G26" s="7">
        <v>1.149652E-2</v>
      </c>
      <c r="H26" s="53"/>
      <c r="J26" s="54"/>
      <c r="K26" s="54"/>
      <c r="L26" s="54"/>
      <c r="M26" s="54"/>
      <c r="N26" s="54"/>
    </row>
    <row r="27" spans="1:14" ht="17.100000000000001" customHeight="1" x14ac:dyDescent="0.2">
      <c r="A27" s="3">
        <v>21</v>
      </c>
      <c r="B27" s="4" t="s">
        <v>85</v>
      </c>
      <c r="C27" s="4" t="s">
        <v>86</v>
      </c>
      <c r="D27" s="4" t="s">
        <v>87</v>
      </c>
      <c r="E27" s="5">
        <v>55000</v>
      </c>
      <c r="F27" s="6">
        <v>1678.7650000000001</v>
      </c>
      <c r="G27" s="7">
        <v>1.0950949999999999E-2</v>
      </c>
      <c r="H27" s="53"/>
      <c r="J27" s="54"/>
      <c r="K27" s="54"/>
      <c r="L27" s="54"/>
      <c r="M27" s="54"/>
      <c r="N27" s="54"/>
    </row>
    <row r="28" spans="1:14" ht="17.100000000000001" customHeight="1" x14ac:dyDescent="0.2">
      <c r="A28" s="3">
        <v>22</v>
      </c>
      <c r="B28" s="4" t="s">
        <v>546</v>
      </c>
      <c r="C28" s="4" t="s">
        <v>547</v>
      </c>
      <c r="D28" s="4" t="s">
        <v>281</v>
      </c>
      <c r="E28" s="5">
        <v>165000</v>
      </c>
      <c r="F28" s="6">
        <v>1662.4575</v>
      </c>
      <c r="G28" s="7">
        <v>1.0844579999999999E-2</v>
      </c>
      <c r="H28" s="53"/>
      <c r="J28" s="54"/>
      <c r="K28" s="54"/>
      <c r="L28" s="54"/>
      <c r="M28" s="54"/>
      <c r="N28" s="54"/>
    </row>
    <row r="29" spans="1:14" ht="29.1" customHeight="1" x14ac:dyDescent="0.2">
      <c r="A29" s="3">
        <v>23</v>
      </c>
      <c r="B29" s="4" t="s">
        <v>316</v>
      </c>
      <c r="C29" s="4" t="s">
        <v>317</v>
      </c>
      <c r="D29" s="4" t="s">
        <v>224</v>
      </c>
      <c r="E29" s="5">
        <v>149000</v>
      </c>
      <c r="F29" s="6">
        <v>1656.2840000000001</v>
      </c>
      <c r="G29" s="7">
        <v>1.0804299999999999E-2</v>
      </c>
      <c r="H29" s="53"/>
      <c r="J29" s="54"/>
      <c r="K29" s="54"/>
      <c r="L29" s="54"/>
      <c r="M29" s="54"/>
      <c r="N29" s="54"/>
    </row>
    <row r="30" spans="1:14" ht="17.100000000000001" customHeight="1" x14ac:dyDescent="0.2">
      <c r="A30" s="3">
        <v>24</v>
      </c>
      <c r="B30" s="4" t="s">
        <v>366</v>
      </c>
      <c r="C30" s="4" t="s">
        <v>367</v>
      </c>
      <c r="D30" s="4" t="s">
        <v>130</v>
      </c>
      <c r="E30" s="5">
        <v>103000</v>
      </c>
      <c r="F30" s="6">
        <v>1533.567</v>
      </c>
      <c r="G30" s="7">
        <v>1.000379E-2</v>
      </c>
      <c r="H30" s="53"/>
      <c r="J30" s="54"/>
      <c r="K30" s="54"/>
      <c r="L30" s="54"/>
      <c r="M30" s="54"/>
      <c r="N30" s="54"/>
    </row>
    <row r="31" spans="1:14" ht="29.1" customHeight="1" x14ac:dyDescent="0.2">
      <c r="A31" s="3">
        <v>25</v>
      </c>
      <c r="B31" s="4" t="s">
        <v>212</v>
      </c>
      <c r="C31" s="4" t="s">
        <v>213</v>
      </c>
      <c r="D31" s="4" t="s">
        <v>214</v>
      </c>
      <c r="E31" s="5">
        <v>135000</v>
      </c>
      <c r="F31" s="6">
        <v>1472.7825</v>
      </c>
      <c r="G31" s="7">
        <v>9.6072799999999993E-3</v>
      </c>
      <c r="H31" s="53"/>
      <c r="J31" s="54"/>
      <c r="K31" s="54"/>
      <c r="L31" s="54"/>
      <c r="M31" s="54"/>
      <c r="N31" s="54"/>
    </row>
    <row r="32" spans="1:14" ht="17.100000000000001" customHeight="1" x14ac:dyDescent="0.2">
      <c r="A32" s="3">
        <v>26</v>
      </c>
      <c r="B32" s="4" t="s">
        <v>42</v>
      </c>
      <c r="C32" s="4" t="s">
        <v>43</v>
      </c>
      <c r="D32" s="4" t="s">
        <v>31</v>
      </c>
      <c r="E32" s="5">
        <v>60000</v>
      </c>
      <c r="F32" s="6">
        <v>1365.66</v>
      </c>
      <c r="G32" s="7">
        <v>8.9084999999999998E-3</v>
      </c>
      <c r="H32" s="53"/>
      <c r="J32" s="54"/>
      <c r="K32" s="54"/>
      <c r="L32" s="54"/>
      <c r="M32" s="54"/>
      <c r="N32" s="54"/>
    </row>
    <row r="33" spans="1:14" ht="17.100000000000001" customHeight="1" x14ac:dyDescent="0.2">
      <c r="A33" s="3">
        <v>27</v>
      </c>
      <c r="B33" s="4" t="s">
        <v>329</v>
      </c>
      <c r="C33" s="4" t="s">
        <v>330</v>
      </c>
      <c r="D33" s="4" t="s">
        <v>331</v>
      </c>
      <c r="E33" s="5">
        <v>292000</v>
      </c>
      <c r="F33" s="6">
        <v>1283.924</v>
      </c>
      <c r="G33" s="7">
        <v>8.3753200000000003E-3</v>
      </c>
      <c r="H33" s="53"/>
      <c r="J33" s="54"/>
      <c r="K33" s="54"/>
      <c r="L33" s="54"/>
      <c r="M33" s="54"/>
      <c r="N33" s="54"/>
    </row>
    <row r="34" spans="1:14" ht="29.1" customHeight="1" x14ac:dyDescent="0.2">
      <c r="A34" s="3">
        <v>28</v>
      </c>
      <c r="B34" s="4" t="s">
        <v>222</v>
      </c>
      <c r="C34" s="4" t="s">
        <v>223</v>
      </c>
      <c r="D34" s="4" t="s">
        <v>224</v>
      </c>
      <c r="E34" s="5">
        <v>205000</v>
      </c>
      <c r="F34" s="6">
        <v>1282.9925000000001</v>
      </c>
      <c r="G34" s="7">
        <v>8.36924E-3</v>
      </c>
      <c r="H34" s="53"/>
      <c r="J34" s="54"/>
      <c r="K34" s="54"/>
      <c r="L34" s="54"/>
      <c r="M34" s="54"/>
      <c r="N34" s="54"/>
    </row>
    <row r="35" spans="1:14" ht="17.100000000000001" customHeight="1" x14ac:dyDescent="0.2">
      <c r="A35" s="3">
        <v>29</v>
      </c>
      <c r="B35" s="4" t="s">
        <v>358</v>
      </c>
      <c r="C35" s="4" t="s">
        <v>359</v>
      </c>
      <c r="D35" s="4" t="s">
        <v>28</v>
      </c>
      <c r="E35" s="5">
        <v>640000</v>
      </c>
      <c r="F35" s="6">
        <v>1197.76</v>
      </c>
      <c r="G35" s="7">
        <v>7.8132500000000008E-3</v>
      </c>
      <c r="H35" s="53"/>
    </row>
    <row r="36" spans="1:14" ht="29.1" customHeight="1" x14ac:dyDescent="0.2">
      <c r="A36" s="3">
        <v>30</v>
      </c>
      <c r="B36" s="4" t="s">
        <v>682</v>
      </c>
      <c r="C36" s="4" t="s">
        <v>683</v>
      </c>
      <c r="D36" s="4" t="s">
        <v>201</v>
      </c>
      <c r="E36" s="5">
        <v>230000</v>
      </c>
      <c r="F36" s="6">
        <v>1195.655</v>
      </c>
      <c r="G36" s="7">
        <v>7.7995199999999999E-3</v>
      </c>
      <c r="H36" s="53"/>
    </row>
    <row r="37" spans="1:14" ht="17.100000000000001" customHeight="1" x14ac:dyDescent="0.2">
      <c r="A37" s="3">
        <v>31</v>
      </c>
      <c r="B37" s="4" t="s">
        <v>342</v>
      </c>
      <c r="C37" s="4" t="s">
        <v>343</v>
      </c>
      <c r="D37" s="4" t="s">
        <v>130</v>
      </c>
      <c r="E37" s="5">
        <v>16250</v>
      </c>
      <c r="F37" s="6">
        <v>1163.9875</v>
      </c>
      <c r="G37" s="7">
        <v>7.5929500000000002E-3</v>
      </c>
      <c r="H37" s="53"/>
    </row>
    <row r="38" spans="1:14" ht="17.100000000000001" customHeight="1" x14ac:dyDescent="0.2">
      <c r="A38" s="3">
        <v>32</v>
      </c>
      <c r="B38" s="4" t="s">
        <v>340</v>
      </c>
      <c r="C38" s="4" t="s">
        <v>341</v>
      </c>
      <c r="D38" s="4" t="s">
        <v>905</v>
      </c>
      <c r="E38" s="5">
        <v>22000</v>
      </c>
      <c r="F38" s="6">
        <v>1142.548</v>
      </c>
      <c r="G38" s="7">
        <v>7.4530899999999999E-3</v>
      </c>
      <c r="H38" s="53"/>
    </row>
    <row r="39" spans="1:14" ht="17.100000000000001" customHeight="1" x14ac:dyDescent="0.2">
      <c r="A39" s="3">
        <v>33</v>
      </c>
      <c r="B39" s="4" t="s">
        <v>93</v>
      </c>
      <c r="C39" s="4" t="s">
        <v>94</v>
      </c>
      <c r="D39" s="4" t="s">
        <v>95</v>
      </c>
      <c r="E39" s="5">
        <v>166250</v>
      </c>
      <c r="F39" s="6">
        <v>1137.98125</v>
      </c>
      <c r="G39" s="7">
        <v>7.4232999999999999E-3</v>
      </c>
      <c r="H39" s="53"/>
    </row>
    <row r="40" spans="1:14" ht="17.100000000000001" customHeight="1" x14ac:dyDescent="0.2">
      <c r="A40" s="3">
        <v>34</v>
      </c>
      <c r="B40" s="4" t="s">
        <v>295</v>
      </c>
      <c r="C40" s="4" t="s">
        <v>296</v>
      </c>
      <c r="D40" s="4" t="s">
        <v>281</v>
      </c>
      <c r="E40" s="5">
        <v>125000</v>
      </c>
      <c r="F40" s="6">
        <v>1124.375</v>
      </c>
      <c r="G40" s="7">
        <v>7.3345499999999996E-3</v>
      </c>
      <c r="H40" s="53"/>
    </row>
    <row r="41" spans="1:14" ht="25.5" x14ac:dyDescent="0.2">
      <c r="A41" s="3">
        <v>35</v>
      </c>
      <c r="B41" s="40" t="s">
        <v>952</v>
      </c>
      <c r="C41" s="40" t="s">
        <v>953</v>
      </c>
      <c r="D41" s="40" t="s">
        <v>19</v>
      </c>
      <c r="E41" s="50">
        <v>1000916</v>
      </c>
      <c r="F41" s="51">
        <v>1104.4107000000001</v>
      </c>
      <c r="G41" s="52">
        <v>7.2043100000000002E-3</v>
      </c>
      <c r="H41" s="53"/>
    </row>
    <row r="42" spans="1:14" ht="29.1" customHeight="1" x14ac:dyDescent="0.2">
      <c r="A42" s="3">
        <v>36</v>
      </c>
      <c r="B42" s="4" t="s">
        <v>23</v>
      </c>
      <c r="C42" s="4" t="s">
        <v>24</v>
      </c>
      <c r="D42" s="4" t="s">
        <v>25</v>
      </c>
      <c r="E42" s="5">
        <v>13250</v>
      </c>
      <c r="F42" s="6">
        <v>1099.4121250000001</v>
      </c>
      <c r="G42" s="7">
        <v>7.1717100000000004E-3</v>
      </c>
      <c r="H42" s="53"/>
    </row>
    <row r="43" spans="1:14" ht="29.1" customHeight="1" x14ac:dyDescent="0.2">
      <c r="A43" s="3">
        <v>37</v>
      </c>
      <c r="B43" s="4" t="s">
        <v>64</v>
      </c>
      <c r="C43" s="4" t="s">
        <v>65</v>
      </c>
      <c r="D43" s="4" t="s">
        <v>25</v>
      </c>
      <c r="E43" s="5">
        <v>50000</v>
      </c>
      <c r="F43" s="6">
        <v>1042.5250000000001</v>
      </c>
      <c r="G43" s="7">
        <v>6.8006200000000003E-3</v>
      </c>
      <c r="H43" s="53"/>
    </row>
    <row r="44" spans="1:14" ht="17.100000000000001" customHeight="1" x14ac:dyDescent="0.2">
      <c r="A44" s="3">
        <v>38</v>
      </c>
      <c r="B44" s="4" t="s">
        <v>46</v>
      </c>
      <c r="C44" s="4" t="s">
        <v>47</v>
      </c>
      <c r="D44" s="4" t="s">
        <v>31</v>
      </c>
      <c r="E44" s="5">
        <v>20000</v>
      </c>
      <c r="F44" s="6">
        <v>1024.6099999999999</v>
      </c>
      <c r="G44" s="7">
        <v>6.6837600000000004E-3</v>
      </c>
      <c r="H44" s="53"/>
    </row>
    <row r="45" spans="1:14" ht="17.100000000000001" customHeight="1" x14ac:dyDescent="0.2">
      <c r="A45" s="3">
        <v>39</v>
      </c>
      <c r="B45" s="4" t="s">
        <v>232</v>
      </c>
      <c r="C45" s="4" t="s">
        <v>233</v>
      </c>
      <c r="D45" s="4" t="s">
        <v>130</v>
      </c>
      <c r="E45" s="5">
        <v>100000</v>
      </c>
      <c r="F45" s="6">
        <v>984.1</v>
      </c>
      <c r="G45" s="7">
        <v>6.4194999999999999E-3</v>
      </c>
      <c r="H45" s="53"/>
    </row>
    <row r="46" spans="1:14" ht="17.100000000000001" customHeight="1" x14ac:dyDescent="0.2">
      <c r="A46" s="3">
        <v>40</v>
      </c>
      <c r="B46" s="4" t="s">
        <v>461</v>
      </c>
      <c r="C46" s="4" t="s">
        <v>462</v>
      </c>
      <c r="D46" s="4" t="s">
        <v>221</v>
      </c>
      <c r="E46" s="5">
        <v>75000</v>
      </c>
      <c r="F46" s="6">
        <v>969.41250000000002</v>
      </c>
      <c r="G46" s="7">
        <v>6.3236899999999999E-3</v>
      </c>
      <c r="H46" s="53"/>
    </row>
    <row r="47" spans="1:14" ht="17.100000000000001" customHeight="1" x14ac:dyDescent="0.2">
      <c r="A47" s="3">
        <v>41</v>
      </c>
      <c r="B47" s="4" t="s">
        <v>548</v>
      </c>
      <c r="C47" s="4" t="s">
        <v>549</v>
      </c>
      <c r="D47" s="4" t="s">
        <v>286</v>
      </c>
      <c r="E47" s="5">
        <v>95000</v>
      </c>
      <c r="F47" s="6">
        <v>954.89250000000004</v>
      </c>
      <c r="G47" s="7">
        <v>6.2289700000000003E-3</v>
      </c>
      <c r="H47" s="53"/>
    </row>
    <row r="48" spans="1:14" ht="17.100000000000001" customHeight="1" x14ac:dyDescent="0.2">
      <c r="A48" s="3">
        <v>42</v>
      </c>
      <c r="B48" s="4" t="s">
        <v>463</v>
      </c>
      <c r="C48" s="4" t="s">
        <v>464</v>
      </c>
      <c r="D48" s="4" t="s">
        <v>905</v>
      </c>
      <c r="E48" s="5">
        <v>80000</v>
      </c>
      <c r="F48" s="6">
        <v>937.72</v>
      </c>
      <c r="G48" s="7">
        <v>6.1169500000000003E-3</v>
      </c>
      <c r="H48" s="53"/>
    </row>
    <row r="49" spans="1:8" ht="17.100000000000001" customHeight="1" x14ac:dyDescent="0.2">
      <c r="A49" s="3">
        <v>43</v>
      </c>
      <c r="B49" s="4" t="s">
        <v>552</v>
      </c>
      <c r="C49" s="4" t="s">
        <v>553</v>
      </c>
      <c r="D49" s="4" t="s">
        <v>108</v>
      </c>
      <c r="E49" s="5">
        <v>28000</v>
      </c>
      <c r="F49" s="6">
        <v>934.24800000000005</v>
      </c>
      <c r="G49" s="7">
        <v>6.0943100000000004E-3</v>
      </c>
      <c r="H49" s="53"/>
    </row>
    <row r="50" spans="1:8" ht="17.100000000000001" customHeight="1" x14ac:dyDescent="0.2">
      <c r="A50" s="3">
        <v>44</v>
      </c>
      <c r="B50" s="4" t="s">
        <v>352</v>
      </c>
      <c r="C50" s="4" t="s">
        <v>353</v>
      </c>
      <c r="D50" s="4" t="s">
        <v>95</v>
      </c>
      <c r="E50" s="5">
        <v>750000</v>
      </c>
      <c r="F50" s="6">
        <v>921.75</v>
      </c>
      <c r="G50" s="7">
        <v>6.0127799999999997E-3</v>
      </c>
      <c r="H50" s="53"/>
    </row>
    <row r="51" spans="1:8" ht="17.100000000000001" customHeight="1" x14ac:dyDescent="0.2">
      <c r="A51" s="3">
        <v>45</v>
      </c>
      <c r="B51" s="4" t="s">
        <v>451</v>
      </c>
      <c r="C51" s="4" t="s">
        <v>452</v>
      </c>
      <c r="D51" s="4" t="s">
        <v>92</v>
      </c>
      <c r="E51" s="5">
        <v>989100</v>
      </c>
      <c r="F51" s="6">
        <v>912.44475</v>
      </c>
      <c r="G51" s="7">
        <v>5.9520800000000002E-3</v>
      </c>
      <c r="H51" s="53"/>
    </row>
    <row r="52" spans="1:8" ht="29.1" customHeight="1" x14ac:dyDescent="0.2">
      <c r="A52" s="3">
        <v>46</v>
      </c>
      <c r="B52" s="4" t="s">
        <v>273</v>
      </c>
      <c r="C52" s="4" t="s">
        <v>274</v>
      </c>
      <c r="D52" s="4" t="s">
        <v>214</v>
      </c>
      <c r="E52" s="5">
        <v>25000</v>
      </c>
      <c r="F52" s="6">
        <v>907.07500000000005</v>
      </c>
      <c r="G52" s="7">
        <v>5.9170500000000001E-3</v>
      </c>
      <c r="H52" s="53"/>
    </row>
    <row r="53" spans="1:8" ht="17.100000000000001" customHeight="1" x14ac:dyDescent="0.2">
      <c r="A53" s="3">
        <v>47</v>
      </c>
      <c r="B53" s="4" t="s">
        <v>236</v>
      </c>
      <c r="C53" s="4" t="s">
        <v>237</v>
      </c>
      <c r="D53" s="4" t="s">
        <v>238</v>
      </c>
      <c r="E53" s="5">
        <v>65100</v>
      </c>
      <c r="F53" s="6">
        <v>780.87450000000001</v>
      </c>
      <c r="G53" s="7">
        <v>5.0938199999999998E-3</v>
      </c>
      <c r="H53" s="53"/>
    </row>
    <row r="54" spans="1:8" ht="17.100000000000001" customHeight="1" x14ac:dyDescent="0.2">
      <c r="A54" s="3">
        <v>48</v>
      </c>
      <c r="B54" s="4" t="s">
        <v>88</v>
      </c>
      <c r="C54" s="4" t="s">
        <v>89</v>
      </c>
      <c r="D54" s="4" t="s">
        <v>87</v>
      </c>
      <c r="E54" s="5">
        <v>130000</v>
      </c>
      <c r="F54" s="6">
        <v>774.28</v>
      </c>
      <c r="G54" s="7">
        <v>5.0508000000000003E-3</v>
      </c>
      <c r="H54" s="53"/>
    </row>
    <row r="55" spans="1:8" ht="17.100000000000001" customHeight="1" x14ac:dyDescent="0.2">
      <c r="A55" s="3">
        <v>49</v>
      </c>
      <c r="B55" s="4" t="s">
        <v>135</v>
      </c>
      <c r="C55" s="4" t="s">
        <v>136</v>
      </c>
      <c r="D55" s="4" t="s">
        <v>130</v>
      </c>
      <c r="E55" s="5">
        <v>320000</v>
      </c>
      <c r="F55" s="6">
        <v>747.2</v>
      </c>
      <c r="G55" s="7">
        <v>4.8741499999999998E-3</v>
      </c>
      <c r="H55" s="53"/>
    </row>
    <row r="56" spans="1:8" ht="17.100000000000001" customHeight="1" x14ac:dyDescent="0.2">
      <c r="A56" s="3">
        <v>50</v>
      </c>
      <c r="B56" s="4" t="s">
        <v>257</v>
      </c>
      <c r="C56" s="4" t="s">
        <v>258</v>
      </c>
      <c r="D56" s="4" t="s">
        <v>73</v>
      </c>
      <c r="E56" s="5">
        <v>70000</v>
      </c>
      <c r="F56" s="6">
        <v>733.56500000000005</v>
      </c>
      <c r="G56" s="7">
        <v>4.7852099999999998E-3</v>
      </c>
      <c r="H56" s="53"/>
    </row>
    <row r="57" spans="1:8" ht="17.100000000000001" customHeight="1" x14ac:dyDescent="0.2">
      <c r="A57" s="3">
        <v>51</v>
      </c>
      <c r="B57" s="4" t="s">
        <v>78</v>
      </c>
      <c r="C57" s="4" t="s">
        <v>79</v>
      </c>
      <c r="D57" s="4" t="s">
        <v>80</v>
      </c>
      <c r="E57" s="5">
        <v>600000</v>
      </c>
      <c r="F57" s="6">
        <v>690</v>
      </c>
      <c r="G57" s="7">
        <v>4.5010199999999997E-3</v>
      </c>
      <c r="H57" s="53"/>
    </row>
    <row r="58" spans="1:8" ht="17.100000000000001" customHeight="1" x14ac:dyDescent="0.2">
      <c r="A58" s="3">
        <v>52</v>
      </c>
      <c r="B58" s="4" t="s">
        <v>245</v>
      </c>
      <c r="C58" s="4" t="s">
        <v>246</v>
      </c>
      <c r="D58" s="4" t="s">
        <v>73</v>
      </c>
      <c r="E58" s="5">
        <v>75000</v>
      </c>
      <c r="F58" s="6">
        <v>652.42499999999995</v>
      </c>
      <c r="G58" s="7">
        <v>4.2559099999999999E-3</v>
      </c>
      <c r="H58" s="53"/>
    </row>
    <row r="59" spans="1:8" ht="17.100000000000001" customHeight="1" x14ac:dyDescent="0.2">
      <c r="A59" s="3">
        <v>53</v>
      </c>
      <c r="B59" s="4" t="s">
        <v>324</v>
      </c>
      <c r="C59" s="4" t="s">
        <v>325</v>
      </c>
      <c r="D59" s="4" t="s">
        <v>229</v>
      </c>
      <c r="E59" s="5">
        <v>140000</v>
      </c>
      <c r="F59" s="6">
        <v>589.26</v>
      </c>
      <c r="G59" s="7">
        <v>3.8438700000000001E-3</v>
      </c>
      <c r="H59" s="53"/>
    </row>
    <row r="60" spans="1:8" ht="17.100000000000001" customHeight="1" x14ac:dyDescent="0.2">
      <c r="A60" s="3">
        <v>54</v>
      </c>
      <c r="B60" s="4" t="s">
        <v>207</v>
      </c>
      <c r="C60" s="4" t="s">
        <v>208</v>
      </c>
      <c r="D60" s="4" t="s">
        <v>209</v>
      </c>
      <c r="E60" s="5">
        <v>175000</v>
      </c>
      <c r="F60" s="6">
        <v>580.38750000000005</v>
      </c>
      <c r="G60" s="7">
        <v>3.7859999999999999E-3</v>
      </c>
      <c r="H60" s="53"/>
    </row>
    <row r="61" spans="1:8" ht="29.1" customHeight="1" x14ac:dyDescent="0.2">
      <c r="A61" s="3">
        <v>55</v>
      </c>
      <c r="B61" s="4" t="s">
        <v>554</v>
      </c>
      <c r="C61" s="4" t="s">
        <v>555</v>
      </c>
      <c r="D61" s="4" t="s">
        <v>469</v>
      </c>
      <c r="E61" s="5">
        <v>90000</v>
      </c>
      <c r="F61" s="6">
        <v>513.04499999999996</v>
      </c>
      <c r="G61" s="7">
        <v>3.3467100000000001E-3</v>
      </c>
      <c r="H61" s="53"/>
    </row>
    <row r="62" spans="1:8" ht="17.100000000000001" customHeight="1" x14ac:dyDescent="0.2">
      <c r="A62" s="3">
        <v>56</v>
      </c>
      <c r="B62" s="4" t="s">
        <v>322</v>
      </c>
      <c r="C62" s="4" t="s">
        <v>323</v>
      </c>
      <c r="D62" s="4" t="s">
        <v>28</v>
      </c>
      <c r="E62" s="5">
        <v>36000</v>
      </c>
      <c r="F62" s="6">
        <v>496.13400000000001</v>
      </c>
      <c r="G62" s="7">
        <v>3.23639E-3</v>
      </c>
      <c r="H62" s="53"/>
    </row>
    <row r="63" spans="1:8" ht="29.1" customHeight="1" x14ac:dyDescent="0.2">
      <c r="A63" s="3">
        <v>57</v>
      </c>
      <c r="B63" s="4" t="s">
        <v>467</v>
      </c>
      <c r="C63" s="4" t="s">
        <v>468</v>
      </c>
      <c r="D63" s="4" t="s">
        <v>469</v>
      </c>
      <c r="E63" s="5">
        <v>58000</v>
      </c>
      <c r="F63" s="6">
        <v>483.923</v>
      </c>
      <c r="G63" s="7">
        <v>3.1567399999999999E-3</v>
      </c>
      <c r="H63" s="53"/>
    </row>
    <row r="64" spans="1:8" ht="17.100000000000001" customHeight="1" x14ac:dyDescent="0.2">
      <c r="A64" s="3">
        <v>58</v>
      </c>
      <c r="B64" s="4" t="s">
        <v>565</v>
      </c>
      <c r="C64" s="4" t="s">
        <v>566</v>
      </c>
      <c r="D64" s="4" t="s">
        <v>905</v>
      </c>
      <c r="E64" s="5">
        <v>39000</v>
      </c>
      <c r="F64" s="6">
        <v>468.76049999999998</v>
      </c>
      <c r="G64" s="7">
        <v>3.0578300000000001E-3</v>
      </c>
      <c r="H64" s="53"/>
    </row>
    <row r="65" spans="1:8" ht="17.100000000000001" customHeight="1" x14ac:dyDescent="0.2">
      <c r="A65" s="3">
        <v>59</v>
      </c>
      <c r="B65" s="4" t="s">
        <v>354</v>
      </c>
      <c r="C65" s="4" t="s">
        <v>355</v>
      </c>
      <c r="D65" s="4" t="s">
        <v>73</v>
      </c>
      <c r="E65" s="5">
        <v>14000</v>
      </c>
      <c r="F65" s="6">
        <v>455.85399999999998</v>
      </c>
      <c r="G65" s="7">
        <v>2.9736400000000001E-3</v>
      </c>
      <c r="H65" s="53"/>
    </row>
    <row r="66" spans="1:8" ht="17.100000000000001" customHeight="1" x14ac:dyDescent="0.2">
      <c r="A66" s="3">
        <v>60</v>
      </c>
      <c r="B66" s="4" t="s">
        <v>255</v>
      </c>
      <c r="C66" s="4" t="s">
        <v>256</v>
      </c>
      <c r="D66" s="4" t="s">
        <v>206</v>
      </c>
      <c r="E66" s="5">
        <v>10500</v>
      </c>
      <c r="F66" s="6">
        <v>454.8075</v>
      </c>
      <c r="G66" s="7">
        <v>2.9668099999999998E-3</v>
      </c>
      <c r="H66" s="53"/>
    </row>
    <row r="67" spans="1:8" ht="17.100000000000001" customHeight="1" x14ac:dyDescent="0.2">
      <c r="A67" s="3">
        <v>61</v>
      </c>
      <c r="B67" s="4" t="s">
        <v>287</v>
      </c>
      <c r="C67" s="4" t="s">
        <v>288</v>
      </c>
      <c r="D67" s="4" t="s">
        <v>22</v>
      </c>
      <c r="E67" s="5">
        <v>175000</v>
      </c>
      <c r="F67" s="6">
        <v>434.17500000000001</v>
      </c>
      <c r="G67" s="7">
        <v>2.8322199999999999E-3</v>
      </c>
      <c r="H67" s="53"/>
    </row>
    <row r="68" spans="1:8" ht="17.100000000000001" customHeight="1" x14ac:dyDescent="0.2">
      <c r="A68" s="3">
        <v>62</v>
      </c>
      <c r="B68" s="4" t="s">
        <v>133</v>
      </c>
      <c r="C68" s="4" t="s">
        <v>134</v>
      </c>
      <c r="D68" s="4" t="s">
        <v>59</v>
      </c>
      <c r="E68" s="5">
        <v>203072</v>
      </c>
      <c r="F68" s="6">
        <v>406.44860799999998</v>
      </c>
      <c r="G68" s="7">
        <v>2.6513499999999998E-3</v>
      </c>
      <c r="H68" s="53"/>
    </row>
    <row r="69" spans="1:8" ht="17.100000000000001" customHeight="1" x14ac:dyDescent="0.2">
      <c r="A69" s="3">
        <v>63</v>
      </c>
      <c r="B69" s="4" t="s">
        <v>104</v>
      </c>
      <c r="C69" s="4" t="s">
        <v>105</v>
      </c>
      <c r="D69" s="4" t="s">
        <v>31</v>
      </c>
      <c r="E69" s="5">
        <v>20000</v>
      </c>
      <c r="F69" s="6">
        <v>341.55</v>
      </c>
      <c r="G69" s="7">
        <v>2.2280099999999999E-3</v>
      </c>
      <c r="H69" s="53"/>
    </row>
    <row r="70" spans="1:8" ht="17.100000000000001" customHeight="1" x14ac:dyDescent="0.2">
      <c r="A70" s="3">
        <v>64</v>
      </c>
      <c r="B70" s="4" t="s">
        <v>265</v>
      </c>
      <c r="C70" s="4" t="s">
        <v>266</v>
      </c>
      <c r="D70" s="4" t="s">
        <v>108</v>
      </c>
      <c r="E70" s="5">
        <v>20000</v>
      </c>
      <c r="F70" s="6">
        <v>283.98</v>
      </c>
      <c r="G70" s="7">
        <v>1.85246E-3</v>
      </c>
      <c r="H70" s="53"/>
    </row>
    <row r="71" spans="1:8" ht="29.1" customHeight="1" x14ac:dyDescent="0.2">
      <c r="A71" s="3">
        <v>65</v>
      </c>
      <c r="B71" s="4" t="s">
        <v>558</v>
      </c>
      <c r="C71" s="4" t="s">
        <v>559</v>
      </c>
      <c r="D71" s="4" t="s">
        <v>560</v>
      </c>
      <c r="E71" s="5">
        <v>29500</v>
      </c>
      <c r="F71" s="6">
        <v>233.69900000000001</v>
      </c>
      <c r="G71" s="7">
        <v>1.52447E-3</v>
      </c>
      <c r="H71" s="53"/>
    </row>
    <row r="72" spans="1:8" ht="17.100000000000001" customHeight="1" x14ac:dyDescent="0.2">
      <c r="A72" s="3">
        <v>66</v>
      </c>
      <c r="B72" s="4" t="s">
        <v>561</v>
      </c>
      <c r="C72" s="4" t="s">
        <v>562</v>
      </c>
      <c r="D72" s="4" t="s">
        <v>238</v>
      </c>
      <c r="E72" s="5">
        <v>3800</v>
      </c>
      <c r="F72" s="6">
        <v>169.77449999999999</v>
      </c>
      <c r="G72" s="7">
        <v>1.1074800000000001E-3</v>
      </c>
      <c r="H72" s="53"/>
    </row>
    <row r="73" spans="1:8" ht="17.100000000000001" customHeight="1" x14ac:dyDescent="0.2">
      <c r="A73" s="3">
        <v>67</v>
      </c>
      <c r="B73" s="4" t="s">
        <v>348</v>
      </c>
      <c r="C73" s="4" t="s">
        <v>349</v>
      </c>
      <c r="D73" s="4" t="s">
        <v>206</v>
      </c>
      <c r="E73" s="5">
        <v>12500</v>
      </c>
      <c r="F73" s="6">
        <v>157.55625000000001</v>
      </c>
      <c r="G73" s="7">
        <v>1.0277699999999999E-3</v>
      </c>
      <c r="H73" s="53"/>
    </row>
    <row r="74" spans="1:8" ht="14.1" customHeight="1" x14ac:dyDescent="0.2">
      <c r="A74" s="1"/>
      <c r="B74" s="1"/>
      <c r="C74" s="2" t="s">
        <v>144</v>
      </c>
      <c r="D74" s="1"/>
      <c r="E74" s="1" t="s">
        <v>145</v>
      </c>
      <c r="F74" s="9">
        <v>114540.96537499999</v>
      </c>
      <c r="G74" s="10">
        <v>0.74717588000000046</v>
      </c>
      <c r="H74" s="53"/>
    </row>
    <row r="75" spans="1:8" ht="14.1" customHeight="1" x14ac:dyDescent="0.2">
      <c r="A75" s="1"/>
      <c r="B75" s="1"/>
      <c r="C75" s="11"/>
      <c r="D75" s="1"/>
      <c r="E75" s="1"/>
      <c r="F75" s="12"/>
      <c r="G75" s="12"/>
      <c r="H75" s="53"/>
    </row>
    <row r="76" spans="1:8" ht="14.1" customHeight="1" x14ac:dyDescent="0.2">
      <c r="A76" s="1"/>
      <c r="B76" s="1"/>
      <c r="C76" s="2" t="s">
        <v>146</v>
      </c>
      <c r="D76" s="1"/>
      <c r="E76" s="1"/>
      <c r="F76" s="1"/>
      <c r="G76" s="1"/>
      <c r="H76" s="53"/>
    </row>
    <row r="77" spans="1:8" ht="14.1" customHeight="1" x14ac:dyDescent="0.2">
      <c r="A77" s="1"/>
      <c r="B77" s="1"/>
      <c r="C77" s="2" t="s">
        <v>144</v>
      </c>
      <c r="D77" s="1"/>
      <c r="E77" s="1" t="s">
        <v>145</v>
      </c>
      <c r="F77" s="13" t="s">
        <v>147</v>
      </c>
      <c r="G77" s="10">
        <v>0</v>
      </c>
      <c r="H77" s="53"/>
    </row>
    <row r="78" spans="1:8" ht="14.1" customHeight="1" x14ac:dyDescent="0.2">
      <c r="A78" s="1"/>
      <c r="B78" s="1"/>
      <c r="C78" s="11"/>
      <c r="D78" s="1"/>
      <c r="E78" s="1"/>
      <c r="F78" s="12"/>
      <c r="G78" s="12"/>
      <c r="H78" s="53"/>
    </row>
    <row r="79" spans="1:8" ht="14.1" customHeight="1" x14ac:dyDescent="0.2">
      <c r="A79" s="1"/>
      <c r="B79" s="1"/>
      <c r="C79" s="2" t="s">
        <v>148</v>
      </c>
      <c r="D79" s="1"/>
      <c r="E79" s="1"/>
      <c r="F79" s="1"/>
      <c r="G79" s="1"/>
      <c r="H79" s="53"/>
    </row>
    <row r="80" spans="1:8" ht="14.1" customHeight="1" x14ac:dyDescent="0.2">
      <c r="A80" s="1"/>
      <c r="B80" s="1"/>
      <c r="C80" s="2" t="s">
        <v>144</v>
      </c>
      <c r="D80" s="1"/>
      <c r="E80" s="1" t="s">
        <v>145</v>
      </c>
      <c r="F80" s="13" t="s">
        <v>147</v>
      </c>
      <c r="G80" s="10">
        <v>0</v>
      </c>
      <c r="H80" s="53"/>
    </row>
    <row r="81" spans="1:8" ht="14.1" customHeight="1" x14ac:dyDescent="0.2">
      <c r="A81" s="1"/>
      <c r="B81" s="1"/>
      <c r="C81" s="11"/>
      <c r="D81" s="1"/>
      <c r="E81" s="1"/>
      <c r="F81" s="12"/>
      <c r="G81" s="12"/>
      <c r="H81" s="53"/>
    </row>
    <row r="82" spans="1:8" ht="14.1" customHeight="1" x14ac:dyDescent="0.2">
      <c r="A82" s="1"/>
      <c r="B82" s="1"/>
      <c r="C82" s="2" t="s">
        <v>149</v>
      </c>
      <c r="D82" s="1"/>
      <c r="E82" s="1"/>
      <c r="F82" s="1"/>
      <c r="G82" s="1"/>
      <c r="H82" s="53"/>
    </row>
    <row r="83" spans="1:8" ht="14.1" customHeight="1" x14ac:dyDescent="0.2">
      <c r="A83" s="1"/>
      <c r="B83" s="1"/>
      <c r="C83" s="2" t="s">
        <v>144</v>
      </c>
      <c r="D83" s="1"/>
      <c r="E83" s="1" t="s">
        <v>145</v>
      </c>
      <c r="F83" s="13" t="s">
        <v>147</v>
      </c>
      <c r="G83" s="10">
        <v>0</v>
      </c>
      <c r="H83" s="53"/>
    </row>
    <row r="84" spans="1:8" ht="14.1" customHeight="1" x14ac:dyDescent="0.2">
      <c r="A84" s="1"/>
      <c r="B84" s="1"/>
      <c r="C84" s="11"/>
      <c r="D84" s="1"/>
      <c r="E84" s="1"/>
      <c r="F84" s="12"/>
      <c r="G84" s="12"/>
      <c r="H84" s="53"/>
    </row>
    <row r="85" spans="1:8" ht="14.1" customHeight="1" x14ac:dyDescent="0.2">
      <c r="A85" s="1"/>
      <c r="B85" s="1"/>
      <c r="C85" s="2" t="s">
        <v>150</v>
      </c>
      <c r="D85" s="1"/>
      <c r="E85" s="1"/>
      <c r="F85" s="12"/>
      <c r="G85" s="12"/>
      <c r="H85" s="53"/>
    </row>
    <row r="86" spans="1:8" ht="14.1" customHeight="1" x14ac:dyDescent="0.2">
      <c r="A86" s="1"/>
      <c r="B86" s="1"/>
      <c r="C86" s="2" t="s">
        <v>144</v>
      </c>
      <c r="D86" s="1"/>
      <c r="E86" s="1" t="s">
        <v>145</v>
      </c>
      <c r="F86" s="13" t="s">
        <v>147</v>
      </c>
      <c r="G86" s="10">
        <v>0</v>
      </c>
      <c r="H86" s="53"/>
    </row>
    <row r="87" spans="1:8" ht="14.1" customHeight="1" x14ac:dyDescent="0.2">
      <c r="A87" s="1"/>
      <c r="B87" s="1"/>
      <c r="C87" s="11"/>
      <c r="D87" s="1"/>
      <c r="E87" s="1"/>
      <c r="F87" s="12"/>
      <c r="G87" s="12"/>
      <c r="H87" s="53"/>
    </row>
    <row r="88" spans="1:8" ht="14.1" customHeight="1" x14ac:dyDescent="0.2">
      <c r="A88" s="1"/>
      <c r="B88" s="1"/>
      <c r="C88" s="2" t="s">
        <v>151</v>
      </c>
      <c r="D88" s="1"/>
      <c r="E88" s="1"/>
      <c r="F88" s="12"/>
      <c r="G88" s="12"/>
      <c r="H88" s="53"/>
    </row>
    <row r="89" spans="1:8" ht="17.100000000000001" customHeight="1" x14ac:dyDescent="0.2">
      <c r="A89" s="3">
        <v>1</v>
      </c>
      <c r="B89" s="4"/>
      <c r="C89" s="4" t="s">
        <v>916</v>
      </c>
      <c r="D89" s="4" t="s">
        <v>676</v>
      </c>
      <c r="E89" s="5">
        <v>-6000</v>
      </c>
      <c r="F89" s="6">
        <v>-145.26900000000001</v>
      </c>
      <c r="G89" s="7">
        <v>-9.4762000000000004E-4</v>
      </c>
      <c r="H89" s="53"/>
    </row>
    <row r="90" spans="1:8" ht="17.100000000000001" customHeight="1" x14ac:dyDescent="0.2">
      <c r="A90" s="3">
        <v>2</v>
      </c>
      <c r="B90" s="4"/>
      <c r="C90" s="4" t="s">
        <v>929</v>
      </c>
      <c r="D90" s="4" t="s">
        <v>676</v>
      </c>
      <c r="E90" s="5">
        <v>-13000</v>
      </c>
      <c r="F90" s="6">
        <v>-194.8245</v>
      </c>
      <c r="G90" s="7">
        <v>-1.2708800000000001E-3</v>
      </c>
      <c r="H90" s="53"/>
    </row>
    <row r="91" spans="1:8" ht="17.100000000000001" customHeight="1" x14ac:dyDescent="0.2">
      <c r="A91" s="3">
        <v>3</v>
      </c>
      <c r="B91" s="4"/>
      <c r="C91" s="4" t="s">
        <v>930</v>
      </c>
      <c r="D91" s="4" t="s">
        <v>676</v>
      </c>
      <c r="E91" s="5">
        <v>-140400</v>
      </c>
      <c r="F91" s="6">
        <v>-264.4434</v>
      </c>
      <c r="G91" s="7">
        <v>-1.7250199999999999E-3</v>
      </c>
      <c r="H91" s="53"/>
    </row>
    <row r="92" spans="1:8" ht="17.100000000000001" customHeight="1" x14ac:dyDescent="0.2">
      <c r="A92" s="3">
        <v>4</v>
      </c>
      <c r="B92" s="4"/>
      <c r="C92" s="4" t="s">
        <v>923</v>
      </c>
      <c r="D92" s="4" t="s">
        <v>676</v>
      </c>
      <c r="E92" s="5">
        <v>-19250</v>
      </c>
      <c r="F92" s="6">
        <v>-304.51575000000003</v>
      </c>
      <c r="G92" s="7">
        <v>-1.98642E-3</v>
      </c>
      <c r="H92" s="53"/>
    </row>
    <row r="93" spans="1:8" ht="17.100000000000001" customHeight="1" x14ac:dyDescent="0.2">
      <c r="A93" s="3">
        <v>5</v>
      </c>
      <c r="B93" s="4"/>
      <c r="C93" s="4" t="s">
        <v>931</v>
      </c>
      <c r="D93" s="4" t="s">
        <v>676</v>
      </c>
      <c r="E93" s="5">
        <v>-77000</v>
      </c>
      <c r="F93" s="6">
        <v>-780.51049999999998</v>
      </c>
      <c r="G93" s="7">
        <v>-5.09144E-3</v>
      </c>
      <c r="H93" s="53"/>
    </row>
    <row r="94" spans="1:8" ht="29.1" customHeight="1" x14ac:dyDescent="0.2">
      <c r="A94" s="3">
        <v>6</v>
      </c>
      <c r="B94" s="4"/>
      <c r="C94" s="4" t="s">
        <v>932</v>
      </c>
      <c r="D94" s="4" t="s">
        <v>676</v>
      </c>
      <c r="E94" s="5">
        <v>-51100</v>
      </c>
      <c r="F94" s="6">
        <v>-809.44955000000004</v>
      </c>
      <c r="G94" s="7">
        <v>-5.2802199999999995E-3</v>
      </c>
      <c r="H94" s="53"/>
    </row>
    <row r="95" spans="1:8" ht="17.100000000000001" customHeight="1" x14ac:dyDescent="0.2">
      <c r="A95" s="3">
        <v>7</v>
      </c>
      <c r="B95" s="4"/>
      <c r="C95" s="4" t="s">
        <v>933</v>
      </c>
      <c r="D95" s="4" t="s">
        <v>676</v>
      </c>
      <c r="E95" s="5">
        <v>-142500</v>
      </c>
      <c r="F95" s="6">
        <v>-862.76625000000001</v>
      </c>
      <c r="G95" s="7">
        <v>-5.6280100000000001E-3</v>
      </c>
      <c r="H95" s="53"/>
    </row>
    <row r="96" spans="1:8" ht="17.100000000000001" customHeight="1" x14ac:dyDescent="0.2">
      <c r="A96" s="3">
        <v>8</v>
      </c>
      <c r="B96" s="4"/>
      <c r="C96" s="4" t="s">
        <v>934</v>
      </c>
      <c r="D96" s="4" t="s">
        <v>676</v>
      </c>
      <c r="E96" s="5">
        <v>-78000</v>
      </c>
      <c r="F96" s="6">
        <v>-980.42100000000005</v>
      </c>
      <c r="G96" s="7">
        <v>-6.3954999999999993E-3</v>
      </c>
      <c r="H96" s="53"/>
    </row>
    <row r="97" spans="1:8" ht="29.1" customHeight="1" x14ac:dyDescent="0.2">
      <c r="A97" s="3">
        <v>9</v>
      </c>
      <c r="B97" s="4"/>
      <c r="C97" s="4" t="s">
        <v>935</v>
      </c>
      <c r="D97" s="4" t="s">
        <v>676</v>
      </c>
      <c r="E97" s="5">
        <v>-166250</v>
      </c>
      <c r="F97" s="6">
        <v>-1144.215625</v>
      </c>
      <c r="G97" s="7">
        <v>-7.4639699999999995E-3</v>
      </c>
      <c r="H97" s="53"/>
    </row>
    <row r="98" spans="1:8" ht="17.100000000000001" customHeight="1" x14ac:dyDescent="0.2">
      <c r="A98" s="3">
        <v>10</v>
      </c>
      <c r="B98" s="4"/>
      <c r="C98" s="4" t="s">
        <v>924</v>
      </c>
      <c r="D98" s="4" t="s">
        <v>676</v>
      </c>
      <c r="E98" s="5">
        <v>-16250</v>
      </c>
      <c r="F98" s="6">
        <v>-1171.2593750000001</v>
      </c>
      <c r="G98" s="7">
        <v>-7.6403799999999996E-3</v>
      </c>
      <c r="H98" s="53"/>
    </row>
    <row r="99" spans="1:8" ht="17.100000000000001" customHeight="1" x14ac:dyDescent="0.2">
      <c r="A99" s="3">
        <v>11</v>
      </c>
      <c r="B99" s="4"/>
      <c r="C99" s="4" t="s">
        <v>936</v>
      </c>
      <c r="D99" s="4" t="s">
        <v>676</v>
      </c>
      <c r="E99" s="5">
        <v>-100000</v>
      </c>
      <c r="F99" s="6">
        <v>-1445.2</v>
      </c>
      <c r="G99" s="7">
        <v>-9.4273600000000009E-3</v>
      </c>
      <c r="H99" s="53"/>
    </row>
    <row r="100" spans="1:8" ht="29.1" customHeight="1" x14ac:dyDescent="0.2">
      <c r="A100" s="3">
        <v>12</v>
      </c>
      <c r="B100" s="4"/>
      <c r="C100" s="4" t="s">
        <v>937</v>
      </c>
      <c r="D100" s="4" t="s">
        <v>676</v>
      </c>
      <c r="E100" s="5">
        <v>-91600</v>
      </c>
      <c r="F100" s="6">
        <v>-1622.923</v>
      </c>
      <c r="G100" s="7">
        <v>-1.0586679999999999E-2</v>
      </c>
      <c r="H100" s="53"/>
    </row>
    <row r="101" spans="1:8" ht="17.100000000000001" customHeight="1" x14ac:dyDescent="0.2">
      <c r="A101" s="3">
        <v>13</v>
      </c>
      <c r="B101" s="4"/>
      <c r="C101" s="4" t="s">
        <v>927</v>
      </c>
      <c r="D101" s="4" t="s">
        <v>676</v>
      </c>
      <c r="E101" s="5">
        <v>-185500</v>
      </c>
      <c r="F101" s="6">
        <v>-1792.0227500000001</v>
      </c>
      <c r="G101" s="7">
        <v>-1.168976E-2</v>
      </c>
      <c r="H101" s="53"/>
    </row>
    <row r="102" spans="1:8" ht="29.1" customHeight="1" x14ac:dyDescent="0.2">
      <c r="A102" s="3">
        <v>14</v>
      </c>
      <c r="B102" s="4"/>
      <c r="C102" s="4" t="s">
        <v>925</v>
      </c>
      <c r="D102" s="4" t="s">
        <v>676</v>
      </c>
      <c r="E102" s="5">
        <v>-18100</v>
      </c>
      <c r="F102" s="6">
        <v>-1823.5207</v>
      </c>
      <c r="G102" s="7">
        <v>-1.1895230000000001E-2</v>
      </c>
      <c r="H102" s="53"/>
    </row>
    <row r="103" spans="1:8" ht="17.100000000000001" customHeight="1" x14ac:dyDescent="0.2">
      <c r="A103" s="3">
        <v>15</v>
      </c>
      <c r="B103" s="4"/>
      <c r="C103" s="4" t="s">
        <v>938</v>
      </c>
      <c r="D103" s="4" t="s">
        <v>684</v>
      </c>
      <c r="E103" s="5">
        <v>-51000</v>
      </c>
      <c r="F103" s="6">
        <v>-9901.2674999999999</v>
      </c>
      <c r="G103" s="7">
        <v>-6.4588140000000002E-2</v>
      </c>
      <c r="H103" s="53"/>
    </row>
    <row r="104" spans="1:8" ht="14.1" customHeight="1" x14ac:dyDescent="0.2">
      <c r="A104" s="1"/>
      <c r="B104" s="1"/>
      <c r="C104" s="2" t="s">
        <v>144</v>
      </c>
      <c r="D104" s="1"/>
      <c r="E104" s="1" t="s">
        <v>145</v>
      </c>
      <c r="F104" s="9">
        <v>-23242.608899999999</v>
      </c>
      <c r="G104" s="10">
        <v>-0.15161663</v>
      </c>
      <c r="H104" s="53"/>
    </row>
    <row r="105" spans="1:8" ht="14.1" customHeight="1" x14ac:dyDescent="0.2">
      <c r="A105" s="1"/>
      <c r="B105" s="1"/>
      <c r="C105" s="11"/>
      <c r="D105" s="1"/>
      <c r="E105" s="1"/>
      <c r="F105" s="12"/>
      <c r="G105" s="12"/>
      <c r="H105" s="53"/>
    </row>
    <row r="106" spans="1:8" ht="18" customHeight="1" x14ac:dyDescent="0.2">
      <c r="A106" s="1"/>
      <c r="B106" s="1"/>
      <c r="C106" s="2" t="s">
        <v>152</v>
      </c>
      <c r="D106" s="1"/>
      <c r="E106" s="1"/>
      <c r="F106" s="9">
        <v>114540.96537499999</v>
      </c>
      <c r="G106" s="10">
        <v>0.74717588000000046</v>
      </c>
      <c r="H106" s="53"/>
    </row>
    <row r="107" spans="1:8" ht="14.1" customHeight="1" x14ac:dyDescent="0.2">
      <c r="A107" s="1"/>
      <c r="B107" s="1"/>
      <c r="C107" s="11"/>
      <c r="D107" s="1"/>
      <c r="E107" s="1"/>
      <c r="F107" s="12"/>
      <c r="G107" s="12"/>
      <c r="H107" s="53"/>
    </row>
    <row r="108" spans="1:8" ht="14.1" customHeight="1" x14ac:dyDescent="0.2">
      <c r="A108" s="1"/>
      <c r="B108" s="1"/>
      <c r="C108" s="2" t="s">
        <v>153</v>
      </c>
      <c r="D108" s="1"/>
      <c r="E108" s="1"/>
      <c r="F108" s="12"/>
      <c r="G108" s="12"/>
      <c r="H108" s="53"/>
    </row>
    <row r="109" spans="1:8" ht="24" customHeight="1" x14ac:dyDescent="0.2">
      <c r="A109" s="1"/>
      <c r="B109" s="1"/>
      <c r="C109" s="2" t="s">
        <v>10</v>
      </c>
      <c r="D109" s="1"/>
      <c r="E109" s="1"/>
      <c r="F109" s="12"/>
      <c r="G109" s="12"/>
      <c r="H109" s="53"/>
    </row>
    <row r="110" spans="1:8" ht="29.1" customHeight="1" x14ac:dyDescent="0.2">
      <c r="A110" s="3">
        <v>1</v>
      </c>
      <c r="B110" s="4" t="s">
        <v>685</v>
      </c>
      <c r="C110" s="4" t="s">
        <v>686</v>
      </c>
      <c r="D110" s="4" t="s">
        <v>573</v>
      </c>
      <c r="E110" s="5">
        <v>250</v>
      </c>
      <c r="F110" s="6">
        <v>2482.6125000000002</v>
      </c>
      <c r="G110" s="7">
        <v>1.6194630000000002E-2</v>
      </c>
      <c r="H110" s="53">
        <v>7.8075000000000001</v>
      </c>
    </row>
    <row r="111" spans="1:8" ht="29.1" customHeight="1" x14ac:dyDescent="0.2">
      <c r="A111" s="3">
        <v>2</v>
      </c>
      <c r="B111" s="4" t="s">
        <v>576</v>
      </c>
      <c r="C111" s="4" t="s">
        <v>577</v>
      </c>
      <c r="D111" s="4" t="s">
        <v>570</v>
      </c>
      <c r="E111" s="5">
        <v>200</v>
      </c>
      <c r="F111" s="6">
        <v>2042.7439999999999</v>
      </c>
      <c r="G111" s="7">
        <v>1.332527E-2</v>
      </c>
      <c r="H111" s="53">
        <v>7.69</v>
      </c>
    </row>
    <row r="112" spans="1:8" ht="29.1" customHeight="1" x14ac:dyDescent="0.2">
      <c r="A112" s="3">
        <v>3</v>
      </c>
      <c r="B112" s="4" t="s">
        <v>578</v>
      </c>
      <c r="C112" s="4" t="s">
        <v>579</v>
      </c>
      <c r="D112" s="4" t="s">
        <v>573</v>
      </c>
      <c r="E112" s="5">
        <v>1500</v>
      </c>
      <c r="F112" s="6">
        <v>1497.8865000000001</v>
      </c>
      <c r="G112" s="7">
        <v>9.7710399999999999E-3</v>
      </c>
      <c r="H112" s="53">
        <v>7.6382000000000003</v>
      </c>
    </row>
    <row r="113" spans="1:8" ht="29.1" customHeight="1" x14ac:dyDescent="0.2">
      <c r="A113" s="3">
        <v>4</v>
      </c>
      <c r="B113" s="4" t="s">
        <v>580</v>
      </c>
      <c r="C113" s="4" t="s">
        <v>581</v>
      </c>
      <c r="D113" s="4" t="s">
        <v>570</v>
      </c>
      <c r="E113" s="5">
        <v>1500</v>
      </c>
      <c r="F113" s="6">
        <v>1497.2070000000001</v>
      </c>
      <c r="G113" s="7">
        <v>9.7666100000000002E-3</v>
      </c>
      <c r="H113" s="53">
        <v>7.6449999999999996</v>
      </c>
    </row>
    <row r="114" spans="1:8" ht="29.1" customHeight="1" x14ac:dyDescent="0.2">
      <c r="A114" s="3">
        <v>5</v>
      </c>
      <c r="B114" s="4" t="s">
        <v>588</v>
      </c>
      <c r="C114" s="4" t="s">
        <v>589</v>
      </c>
      <c r="D114" s="4" t="s">
        <v>570</v>
      </c>
      <c r="E114" s="5">
        <v>1000</v>
      </c>
      <c r="F114" s="6">
        <v>1018.905</v>
      </c>
      <c r="G114" s="7">
        <v>6.6465400000000003E-3</v>
      </c>
      <c r="H114" s="53">
        <v>7.5250000000000004</v>
      </c>
    </row>
    <row r="115" spans="1:8" ht="29.1" customHeight="1" x14ac:dyDescent="0.2">
      <c r="A115" s="3">
        <v>6</v>
      </c>
      <c r="B115" s="4" t="s">
        <v>568</v>
      </c>
      <c r="C115" s="4" t="s">
        <v>569</v>
      </c>
      <c r="D115" s="4" t="s">
        <v>570</v>
      </c>
      <c r="E115" s="5">
        <v>100</v>
      </c>
      <c r="F115" s="6">
        <v>1000.67</v>
      </c>
      <c r="G115" s="7">
        <v>6.5275899999999998E-3</v>
      </c>
      <c r="H115" s="53">
        <v>7.7649999999999997</v>
      </c>
    </row>
    <row r="116" spans="1:8" ht="29.1" customHeight="1" x14ac:dyDescent="0.2">
      <c r="A116" s="3">
        <v>7</v>
      </c>
      <c r="B116" s="4" t="s">
        <v>600</v>
      </c>
      <c r="C116" s="4" t="s">
        <v>601</v>
      </c>
      <c r="D116" s="4" t="s">
        <v>570</v>
      </c>
      <c r="E116" s="5">
        <v>1000</v>
      </c>
      <c r="F116" s="6">
        <v>998.69200000000001</v>
      </c>
      <c r="G116" s="7">
        <v>6.5146900000000001E-3</v>
      </c>
      <c r="H116" s="53">
        <v>7.81</v>
      </c>
    </row>
    <row r="117" spans="1:8" ht="17.100000000000001" customHeight="1" x14ac:dyDescent="0.2">
      <c r="A117" s="3">
        <v>8</v>
      </c>
      <c r="B117" s="4" t="s">
        <v>616</v>
      </c>
      <c r="C117" s="4" t="s">
        <v>617</v>
      </c>
      <c r="D117" s="4" t="s">
        <v>570</v>
      </c>
      <c r="E117" s="5">
        <v>1000</v>
      </c>
      <c r="F117" s="6">
        <v>997.12900000000002</v>
      </c>
      <c r="G117" s="7">
        <v>6.5044899999999999E-3</v>
      </c>
      <c r="H117" s="53">
        <v>7.6150000000000002</v>
      </c>
    </row>
    <row r="118" spans="1:8" ht="29.1" customHeight="1" x14ac:dyDescent="0.2">
      <c r="A118" s="3">
        <v>9</v>
      </c>
      <c r="B118" s="4" t="s">
        <v>687</v>
      </c>
      <c r="C118" s="4" t="s">
        <v>688</v>
      </c>
      <c r="D118" s="4" t="s">
        <v>573</v>
      </c>
      <c r="E118" s="5">
        <v>100</v>
      </c>
      <c r="F118" s="6">
        <v>996.07399999999996</v>
      </c>
      <c r="G118" s="7">
        <v>6.49761E-3</v>
      </c>
      <c r="H118" s="53">
        <v>7.875</v>
      </c>
    </row>
    <row r="119" spans="1:8" ht="29.1" customHeight="1" x14ac:dyDescent="0.2">
      <c r="A119" s="3">
        <v>10</v>
      </c>
      <c r="B119" s="4" t="s">
        <v>689</v>
      </c>
      <c r="C119" s="4" t="s">
        <v>690</v>
      </c>
      <c r="D119" s="4" t="s">
        <v>570</v>
      </c>
      <c r="E119" s="5">
        <v>100</v>
      </c>
      <c r="F119" s="6">
        <v>993.70799999999997</v>
      </c>
      <c r="G119" s="7">
        <v>6.4821799999999997E-3</v>
      </c>
      <c r="H119" s="53">
        <v>7.54</v>
      </c>
    </row>
    <row r="120" spans="1:8" ht="17.100000000000001" customHeight="1" x14ac:dyDescent="0.2">
      <c r="A120" s="3">
        <v>11</v>
      </c>
      <c r="B120" s="4" t="s">
        <v>586</v>
      </c>
      <c r="C120" s="4" t="s">
        <v>587</v>
      </c>
      <c r="D120" s="4" t="s">
        <v>573</v>
      </c>
      <c r="E120" s="5">
        <v>50</v>
      </c>
      <c r="F120" s="6">
        <v>505.04450000000003</v>
      </c>
      <c r="G120" s="7">
        <v>3.29452E-3</v>
      </c>
      <c r="H120" s="53">
        <v>7.4950000000000001</v>
      </c>
    </row>
    <row r="121" spans="1:8" ht="29.1" customHeight="1" x14ac:dyDescent="0.2">
      <c r="A121" s="3">
        <v>12</v>
      </c>
      <c r="B121" s="4" t="s">
        <v>628</v>
      </c>
      <c r="C121" s="4" t="s">
        <v>629</v>
      </c>
      <c r="D121" s="4" t="s">
        <v>570</v>
      </c>
      <c r="E121" s="5">
        <v>30</v>
      </c>
      <c r="F121" s="6">
        <v>294.26909999999998</v>
      </c>
      <c r="G121" s="7">
        <v>1.9195799999999999E-3</v>
      </c>
      <c r="H121" s="53">
        <v>7.5149999999999997</v>
      </c>
    </row>
    <row r="122" spans="1:8" ht="29.1" customHeight="1" x14ac:dyDescent="0.2">
      <c r="A122" s="3">
        <v>13</v>
      </c>
      <c r="B122" s="4" t="s">
        <v>691</v>
      </c>
      <c r="C122" s="4" t="s">
        <v>692</v>
      </c>
      <c r="D122" s="4" t="s">
        <v>573</v>
      </c>
      <c r="E122" s="5">
        <v>10</v>
      </c>
      <c r="F122" s="6">
        <v>100.5068</v>
      </c>
      <c r="G122" s="7">
        <v>6.5563000000000004E-4</v>
      </c>
      <c r="H122" s="53">
        <v>7.24</v>
      </c>
    </row>
    <row r="123" spans="1:8" ht="14.1" customHeight="1" x14ac:dyDescent="0.2">
      <c r="A123" s="1"/>
      <c r="B123" s="1"/>
      <c r="C123" s="2" t="s">
        <v>144</v>
      </c>
      <c r="D123" s="1"/>
      <c r="E123" s="1" t="s">
        <v>145</v>
      </c>
      <c r="F123" s="9">
        <v>14425.448400000001</v>
      </c>
      <c r="G123" s="10">
        <v>9.4100380000000011E-2</v>
      </c>
      <c r="H123" s="53"/>
    </row>
    <row r="124" spans="1:8" ht="14.1" customHeight="1" x14ac:dyDescent="0.2">
      <c r="A124" s="1"/>
      <c r="B124" s="1"/>
      <c r="C124" s="11"/>
      <c r="D124" s="1"/>
      <c r="E124" s="1"/>
      <c r="F124" s="12"/>
      <c r="G124" s="12"/>
      <c r="H124" s="53"/>
    </row>
    <row r="125" spans="1:8" ht="14.1" customHeight="1" x14ac:dyDescent="0.2">
      <c r="A125" s="1"/>
      <c r="B125" s="1"/>
      <c r="C125" s="2" t="s">
        <v>154</v>
      </c>
      <c r="D125" s="1"/>
      <c r="E125" s="1"/>
      <c r="F125" s="1"/>
      <c r="G125" s="1"/>
      <c r="H125" s="53"/>
    </row>
    <row r="126" spans="1:8" ht="14.1" customHeight="1" x14ac:dyDescent="0.2">
      <c r="A126" s="1"/>
      <c r="B126" s="1"/>
      <c r="C126" s="2" t="s">
        <v>144</v>
      </c>
      <c r="D126" s="1"/>
      <c r="E126" s="1" t="s">
        <v>145</v>
      </c>
      <c r="F126" s="13" t="s">
        <v>147</v>
      </c>
      <c r="G126" s="10">
        <v>0</v>
      </c>
      <c r="H126" s="53"/>
    </row>
    <row r="127" spans="1:8" ht="14.1" customHeight="1" x14ac:dyDescent="0.2">
      <c r="A127" s="1"/>
      <c r="B127" s="1"/>
      <c r="C127" s="11"/>
      <c r="D127" s="1"/>
      <c r="E127" s="1"/>
      <c r="F127" s="12"/>
      <c r="G127" s="12"/>
      <c r="H127" s="53"/>
    </row>
    <row r="128" spans="1:8" ht="14.1" customHeight="1" x14ac:dyDescent="0.2">
      <c r="A128" s="1"/>
      <c r="B128" s="1"/>
      <c r="C128" s="2" t="s">
        <v>155</v>
      </c>
      <c r="D128" s="1"/>
      <c r="E128" s="1"/>
      <c r="F128" s="1"/>
      <c r="G128" s="1"/>
      <c r="H128" s="53"/>
    </row>
    <row r="129" spans="1:8" ht="29.1" customHeight="1" x14ac:dyDescent="0.2">
      <c r="A129" s="3">
        <v>1</v>
      </c>
      <c r="B129" s="4" t="s">
        <v>635</v>
      </c>
      <c r="C129" s="4" t="s">
        <v>636</v>
      </c>
      <c r="D129" s="4" t="s">
        <v>632</v>
      </c>
      <c r="E129" s="5">
        <v>4000000</v>
      </c>
      <c r="F129" s="6">
        <v>4027.8240000000001</v>
      </c>
      <c r="G129" s="7">
        <v>2.627438E-2</v>
      </c>
      <c r="H129" s="53">
        <v>7.2914000000000003</v>
      </c>
    </row>
    <row r="130" spans="1:8" ht="29.1" customHeight="1" x14ac:dyDescent="0.2">
      <c r="A130" s="3">
        <v>2</v>
      </c>
      <c r="B130" s="4" t="s">
        <v>630</v>
      </c>
      <c r="C130" s="4" t="s">
        <v>631</v>
      </c>
      <c r="D130" s="4" t="s">
        <v>632</v>
      </c>
      <c r="E130" s="5">
        <v>3500000</v>
      </c>
      <c r="F130" s="6">
        <v>3521.9625000000001</v>
      </c>
      <c r="G130" s="7">
        <v>2.297453E-2</v>
      </c>
      <c r="H130" s="53">
        <v>7.2946</v>
      </c>
    </row>
    <row r="131" spans="1:8" ht="29.1" customHeight="1" x14ac:dyDescent="0.2">
      <c r="A131" s="3">
        <v>3</v>
      </c>
      <c r="B131" s="4" t="s">
        <v>639</v>
      </c>
      <c r="C131" s="4" t="s">
        <v>968</v>
      </c>
      <c r="D131" s="4" t="s">
        <v>632</v>
      </c>
      <c r="E131" s="5">
        <v>3500000</v>
      </c>
      <c r="F131" s="6">
        <v>3390.576</v>
      </c>
      <c r="G131" s="7">
        <v>2.211747E-2</v>
      </c>
      <c r="H131" s="53">
        <v>7.2313999999999998</v>
      </c>
    </row>
    <row r="132" spans="1:8" ht="29.1" customHeight="1" x14ac:dyDescent="0.2">
      <c r="A132" s="3">
        <v>4</v>
      </c>
      <c r="B132" s="4" t="s">
        <v>633</v>
      </c>
      <c r="C132" s="40" t="s">
        <v>634</v>
      </c>
      <c r="D132" s="4" t="s">
        <v>632</v>
      </c>
      <c r="E132" s="5">
        <v>3000000</v>
      </c>
      <c r="F132" s="6">
        <v>3045.279</v>
      </c>
      <c r="G132" s="7">
        <v>1.9865020000000001E-2</v>
      </c>
      <c r="H132" s="53">
        <v>7.3602999999999996</v>
      </c>
    </row>
    <row r="133" spans="1:8" ht="29.1" customHeight="1" x14ac:dyDescent="0.2">
      <c r="A133" s="3">
        <v>5</v>
      </c>
      <c r="B133" s="4" t="s">
        <v>693</v>
      </c>
      <c r="C133" s="40" t="s">
        <v>903</v>
      </c>
      <c r="D133" s="4" t="s">
        <v>632</v>
      </c>
      <c r="E133" s="5">
        <v>1000000</v>
      </c>
      <c r="F133" s="6">
        <v>999.80100000000004</v>
      </c>
      <c r="G133" s="7">
        <v>6.5219199999999996E-3</v>
      </c>
      <c r="H133" s="53">
        <v>7.3000999999999996</v>
      </c>
    </row>
    <row r="134" spans="1:8" ht="29.1" customHeight="1" x14ac:dyDescent="0.2">
      <c r="A134" s="3">
        <v>6</v>
      </c>
      <c r="B134" s="4" t="s">
        <v>641</v>
      </c>
      <c r="C134" s="4" t="s">
        <v>642</v>
      </c>
      <c r="D134" s="4" t="s">
        <v>632</v>
      </c>
      <c r="E134" s="5">
        <v>1000000</v>
      </c>
      <c r="F134" s="6">
        <v>959.55</v>
      </c>
      <c r="G134" s="7">
        <v>6.2593600000000003E-3</v>
      </c>
      <c r="H134" s="53">
        <v>7.2990000000000004</v>
      </c>
    </row>
    <row r="135" spans="1:8" ht="29.1" customHeight="1" x14ac:dyDescent="0.2">
      <c r="A135" s="3">
        <v>7</v>
      </c>
      <c r="B135" s="4" t="s">
        <v>644</v>
      </c>
      <c r="C135" s="40" t="s">
        <v>904</v>
      </c>
      <c r="D135" s="4" t="s">
        <v>632</v>
      </c>
      <c r="E135" s="5">
        <v>500000</v>
      </c>
      <c r="F135" s="6">
        <v>501.65249999999997</v>
      </c>
      <c r="G135" s="7">
        <v>3.27239E-3</v>
      </c>
      <c r="H135" s="53">
        <v>7.2595000000000001</v>
      </c>
    </row>
    <row r="136" spans="1:8" ht="27.6" customHeight="1" x14ac:dyDescent="0.2">
      <c r="A136" s="3">
        <v>8</v>
      </c>
      <c r="B136" s="4" t="s">
        <v>643</v>
      </c>
      <c r="C136" s="40" t="s">
        <v>901</v>
      </c>
      <c r="D136" s="4" t="s">
        <v>632</v>
      </c>
      <c r="E136" s="5">
        <v>500000</v>
      </c>
      <c r="F136" s="6">
        <v>498.2</v>
      </c>
      <c r="G136" s="7">
        <v>3.2498700000000002E-3</v>
      </c>
      <c r="H136" s="53">
        <v>7.6610720963921022</v>
      </c>
    </row>
    <row r="137" spans="1:8" ht="29.1" customHeight="1" x14ac:dyDescent="0.2">
      <c r="A137" s="3">
        <v>9</v>
      </c>
      <c r="B137" s="4" t="s">
        <v>645</v>
      </c>
      <c r="C137" s="4" t="s">
        <v>646</v>
      </c>
      <c r="D137" s="4" t="s">
        <v>632</v>
      </c>
      <c r="E137" s="5">
        <v>100000</v>
      </c>
      <c r="F137" s="6">
        <v>101.5925</v>
      </c>
      <c r="G137" s="7">
        <v>6.6270999999999995E-4</v>
      </c>
      <c r="H137" s="53">
        <v>7.3985000000000003</v>
      </c>
    </row>
    <row r="138" spans="1:8" ht="29.1" customHeight="1" x14ac:dyDescent="0.2">
      <c r="A138" s="3">
        <v>10</v>
      </c>
      <c r="B138" s="4" t="s">
        <v>647</v>
      </c>
      <c r="C138" s="4" t="s">
        <v>648</v>
      </c>
      <c r="D138" s="4" t="s">
        <v>632</v>
      </c>
      <c r="E138" s="5">
        <v>100000</v>
      </c>
      <c r="F138" s="6">
        <v>101.1867</v>
      </c>
      <c r="G138" s="7">
        <v>6.6005999999999997E-4</v>
      </c>
      <c r="H138" s="53">
        <v>7.3739999999999997</v>
      </c>
    </row>
    <row r="139" spans="1:8" ht="29.1" customHeight="1" x14ac:dyDescent="0.2">
      <c r="A139" s="3">
        <v>11</v>
      </c>
      <c r="B139" s="4" t="s">
        <v>649</v>
      </c>
      <c r="C139" s="4" t="s">
        <v>650</v>
      </c>
      <c r="D139" s="4" t="s">
        <v>632</v>
      </c>
      <c r="E139" s="5">
        <v>100000</v>
      </c>
      <c r="F139" s="6">
        <v>101.0783</v>
      </c>
      <c r="G139" s="7">
        <v>6.5936E-4</v>
      </c>
      <c r="H139" s="53">
        <v>7.3865999999999996</v>
      </c>
    </row>
    <row r="140" spans="1:8" ht="14.1" customHeight="1" x14ac:dyDescent="0.2">
      <c r="A140" s="1"/>
      <c r="B140" s="1"/>
      <c r="C140" s="2" t="s">
        <v>144</v>
      </c>
      <c r="D140" s="1"/>
      <c r="E140" s="1" t="s">
        <v>145</v>
      </c>
      <c r="F140" s="9">
        <v>17248.702499999996</v>
      </c>
      <c r="G140" s="10">
        <v>0.11251707000000001</v>
      </c>
      <c r="H140" s="53"/>
    </row>
    <row r="141" spans="1:8" ht="14.1" customHeight="1" x14ac:dyDescent="0.2">
      <c r="A141" s="1"/>
      <c r="B141" s="1"/>
      <c r="C141" s="11"/>
      <c r="D141" s="1"/>
      <c r="E141" s="1"/>
      <c r="F141" s="12"/>
      <c r="G141" s="12"/>
      <c r="H141" s="53"/>
    </row>
    <row r="142" spans="1:8" ht="14.1" customHeight="1" x14ac:dyDescent="0.2">
      <c r="A142" s="1"/>
      <c r="B142" s="1"/>
      <c r="C142" s="2" t="s">
        <v>156</v>
      </c>
      <c r="D142" s="1"/>
      <c r="E142" s="1"/>
      <c r="F142" s="12"/>
      <c r="G142" s="12"/>
      <c r="H142" s="53"/>
    </row>
    <row r="143" spans="1:8" ht="14.1" customHeight="1" x14ac:dyDescent="0.2">
      <c r="A143" s="1"/>
      <c r="B143" s="1"/>
      <c r="C143" s="2" t="s">
        <v>144</v>
      </c>
      <c r="D143" s="1"/>
      <c r="E143" s="1" t="s">
        <v>145</v>
      </c>
      <c r="F143" s="13" t="s">
        <v>147</v>
      </c>
      <c r="G143" s="10">
        <v>0</v>
      </c>
      <c r="H143" s="53"/>
    </row>
    <row r="144" spans="1:8" ht="14.1" customHeight="1" x14ac:dyDescent="0.2">
      <c r="A144" s="1"/>
      <c r="B144" s="1"/>
      <c r="C144" s="11"/>
      <c r="D144" s="1"/>
      <c r="E144" s="1"/>
      <c r="F144" s="12"/>
      <c r="G144" s="12"/>
      <c r="H144" s="53"/>
    </row>
    <row r="145" spans="1:8" ht="14.1" customHeight="1" x14ac:dyDescent="0.2">
      <c r="A145" s="1"/>
      <c r="B145" s="1"/>
      <c r="C145" s="2" t="s">
        <v>157</v>
      </c>
      <c r="D145" s="1"/>
      <c r="E145" s="1"/>
      <c r="F145" s="9">
        <f>F140+F123</f>
        <v>31674.150899999997</v>
      </c>
      <c r="G145" s="10">
        <f>G140+G123</f>
        <v>0.20661745000000004</v>
      </c>
      <c r="H145" s="53"/>
    </row>
    <row r="146" spans="1:8" ht="14.1" customHeight="1" x14ac:dyDescent="0.2">
      <c r="A146" s="1"/>
      <c r="B146" s="1"/>
      <c r="C146" s="11"/>
      <c r="D146" s="1"/>
      <c r="E146" s="1"/>
      <c r="F146" s="12"/>
      <c r="G146" s="12"/>
      <c r="H146" s="53"/>
    </row>
    <row r="147" spans="1:8" ht="14.1" customHeight="1" x14ac:dyDescent="0.2">
      <c r="A147" s="1"/>
      <c r="B147" s="1"/>
      <c r="C147" s="2" t="s">
        <v>158</v>
      </c>
      <c r="D147" s="1"/>
      <c r="E147" s="1"/>
      <c r="F147" s="12"/>
      <c r="G147" s="12"/>
      <c r="H147" s="53"/>
    </row>
    <row r="148" spans="1:8" ht="14.1" customHeight="1" x14ac:dyDescent="0.2">
      <c r="A148" s="1"/>
      <c r="B148" s="1"/>
      <c r="C148" s="2" t="s">
        <v>159</v>
      </c>
      <c r="D148" s="1"/>
      <c r="E148" s="1"/>
      <c r="F148" s="12"/>
      <c r="G148" s="12"/>
      <c r="H148" s="53"/>
    </row>
    <row r="149" spans="1:8" ht="14.1" customHeight="1" x14ac:dyDescent="0.2">
      <c r="A149" s="1"/>
      <c r="B149" s="1"/>
      <c r="C149" s="2" t="s">
        <v>144</v>
      </c>
      <c r="D149" s="1"/>
      <c r="E149" s="1" t="s">
        <v>145</v>
      </c>
      <c r="F149" s="13" t="s">
        <v>147</v>
      </c>
      <c r="G149" s="10">
        <v>0</v>
      </c>
      <c r="H149" s="53"/>
    </row>
    <row r="150" spans="1:8" ht="14.1" customHeight="1" x14ac:dyDescent="0.2">
      <c r="A150" s="1"/>
      <c r="B150" s="1"/>
      <c r="C150" s="11"/>
      <c r="D150" s="1"/>
      <c r="E150" s="1"/>
      <c r="F150" s="12"/>
      <c r="G150" s="12"/>
      <c r="H150" s="53"/>
    </row>
    <row r="151" spans="1:8" ht="14.1" customHeight="1" x14ac:dyDescent="0.2">
      <c r="A151" s="1"/>
      <c r="B151" s="1"/>
      <c r="C151" s="2" t="s">
        <v>160</v>
      </c>
      <c r="D151" s="1"/>
      <c r="E151" s="1"/>
      <c r="F151" s="12"/>
      <c r="G151" s="12"/>
      <c r="H151" s="53"/>
    </row>
    <row r="152" spans="1:8" ht="14.1" customHeight="1" x14ac:dyDescent="0.2">
      <c r="A152" s="1"/>
      <c r="B152" s="1"/>
      <c r="C152" s="2" t="s">
        <v>144</v>
      </c>
      <c r="D152" s="1"/>
      <c r="E152" s="1" t="s">
        <v>145</v>
      </c>
      <c r="F152" s="13" t="s">
        <v>147</v>
      </c>
      <c r="G152" s="10">
        <v>0</v>
      </c>
      <c r="H152" s="53"/>
    </row>
    <row r="153" spans="1:8" ht="14.1" customHeight="1" x14ac:dyDescent="0.2">
      <c r="A153" s="1"/>
      <c r="B153" s="1"/>
      <c r="C153" s="11"/>
      <c r="D153" s="1"/>
      <c r="E153" s="1"/>
      <c r="F153" s="12"/>
      <c r="G153" s="12"/>
      <c r="H153" s="53"/>
    </row>
    <row r="154" spans="1:8" ht="14.1" customHeight="1" x14ac:dyDescent="0.2">
      <c r="A154" s="1"/>
      <c r="B154" s="1"/>
      <c r="C154" s="2" t="s">
        <v>161</v>
      </c>
      <c r="D154" s="1"/>
      <c r="E154" s="1"/>
      <c r="F154" s="12"/>
      <c r="G154" s="12"/>
      <c r="H154" s="53"/>
    </row>
    <row r="155" spans="1:8" ht="14.1" customHeight="1" x14ac:dyDescent="0.2">
      <c r="A155" s="1"/>
      <c r="B155" s="1"/>
      <c r="C155" s="2" t="s">
        <v>144</v>
      </c>
      <c r="D155" s="1"/>
      <c r="E155" s="1" t="s">
        <v>145</v>
      </c>
      <c r="F155" s="13" t="s">
        <v>147</v>
      </c>
      <c r="G155" s="10">
        <v>0</v>
      </c>
      <c r="H155" s="53"/>
    </row>
    <row r="156" spans="1:8" ht="14.1" customHeight="1" x14ac:dyDescent="0.2">
      <c r="A156" s="1"/>
      <c r="B156" s="1"/>
      <c r="C156" s="11"/>
      <c r="D156" s="1"/>
      <c r="E156" s="1"/>
      <c r="F156" s="12"/>
      <c r="G156" s="12"/>
      <c r="H156" s="53"/>
    </row>
    <row r="157" spans="1:8" ht="14.1" customHeight="1" x14ac:dyDescent="0.2">
      <c r="A157" s="1"/>
      <c r="B157" s="1"/>
      <c r="C157" s="2" t="s">
        <v>162</v>
      </c>
      <c r="D157" s="1"/>
      <c r="E157" s="1"/>
      <c r="F157" s="12"/>
      <c r="G157" s="12"/>
      <c r="H157" s="53"/>
    </row>
    <row r="158" spans="1:8" ht="17.100000000000001" customHeight="1" x14ac:dyDescent="0.2">
      <c r="A158" s="3">
        <v>1</v>
      </c>
      <c r="B158" s="4"/>
      <c r="C158" s="4" t="s">
        <v>163</v>
      </c>
      <c r="D158" s="4"/>
      <c r="E158" s="8"/>
      <c r="F158" s="6">
        <v>299.42637100100001</v>
      </c>
      <c r="G158" s="7">
        <v>1.9532199999999999E-3</v>
      </c>
      <c r="H158" s="51">
        <v>6.6602331647804478</v>
      </c>
    </row>
    <row r="159" spans="1:8" ht="17.100000000000001" customHeight="1" x14ac:dyDescent="0.2">
      <c r="A159" s="3">
        <v>2</v>
      </c>
      <c r="B159" s="4"/>
      <c r="C159" s="4" t="s">
        <v>164</v>
      </c>
      <c r="D159" s="4"/>
      <c r="E159" s="8"/>
      <c r="F159" s="6">
        <v>228.91987639999999</v>
      </c>
      <c r="G159" s="7">
        <v>1.4932999999999999E-3</v>
      </c>
      <c r="H159" s="51">
        <v>6.6588225936582406</v>
      </c>
    </row>
    <row r="160" spans="1:8" ht="14.1" customHeight="1" x14ac:dyDescent="0.2">
      <c r="A160" s="1"/>
      <c r="B160" s="1"/>
      <c r="C160" s="2" t="s">
        <v>144</v>
      </c>
      <c r="D160" s="1"/>
      <c r="E160" s="1" t="s">
        <v>145</v>
      </c>
      <c r="F160" s="9">
        <v>528.34624740100003</v>
      </c>
      <c r="G160" s="10">
        <v>3.4465199999999998E-3</v>
      </c>
      <c r="H160" s="53"/>
    </row>
    <row r="161" spans="1:8" ht="14.1" customHeight="1" x14ac:dyDescent="0.2">
      <c r="A161" s="1"/>
      <c r="B161" s="1"/>
      <c r="C161" s="11"/>
      <c r="D161" s="1"/>
      <c r="E161" s="1"/>
      <c r="F161" s="12"/>
      <c r="G161" s="12"/>
      <c r="H161" s="53"/>
    </row>
    <row r="162" spans="1:8" ht="14.1" customHeight="1" x14ac:dyDescent="0.2">
      <c r="A162" s="1"/>
      <c r="B162" s="1"/>
      <c r="C162" s="2" t="s">
        <v>165</v>
      </c>
      <c r="D162" s="1"/>
      <c r="E162" s="1"/>
      <c r="F162" s="9">
        <v>528.34624740100003</v>
      </c>
      <c r="G162" s="10">
        <v>3.4465199999999998E-3</v>
      </c>
      <c r="H162" s="53"/>
    </row>
    <row r="163" spans="1:8" ht="14.1" customHeight="1" x14ac:dyDescent="0.2">
      <c r="A163" s="1"/>
      <c r="B163" s="1"/>
      <c r="C163" s="12"/>
      <c r="D163" s="1"/>
      <c r="E163" s="1"/>
      <c r="F163" s="1"/>
      <c r="G163" s="1"/>
      <c r="H163" s="53"/>
    </row>
    <row r="164" spans="1:8" ht="14.1" customHeight="1" x14ac:dyDescent="0.2">
      <c r="A164" s="1"/>
      <c r="B164" s="1"/>
      <c r="C164" s="2" t="s">
        <v>166</v>
      </c>
      <c r="D164" s="1"/>
      <c r="E164" s="1"/>
      <c r="F164" s="1"/>
      <c r="G164" s="1"/>
      <c r="H164" s="53"/>
    </row>
    <row r="165" spans="1:8" ht="14.1" customHeight="1" x14ac:dyDescent="0.2">
      <c r="A165" s="1"/>
      <c r="B165" s="1"/>
      <c r="C165" s="2" t="s">
        <v>167</v>
      </c>
      <c r="D165" s="1"/>
      <c r="E165" s="1"/>
      <c r="F165" s="1"/>
      <c r="G165" s="1"/>
      <c r="H165" s="53"/>
    </row>
    <row r="166" spans="1:8" ht="14.1" customHeight="1" x14ac:dyDescent="0.2">
      <c r="A166" s="1"/>
      <c r="B166" s="1"/>
      <c r="C166" s="2" t="s">
        <v>144</v>
      </c>
      <c r="D166" s="1"/>
      <c r="E166" s="1" t="s">
        <v>145</v>
      </c>
      <c r="F166" s="13" t="s">
        <v>147</v>
      </c>
      <c r="G166" s="10">
        <v>0</v>
      </c>
      <c r="H166" s="53"/>
    </row>
    <row r="167" spans="1:8" ht="14.1" customHeight="1" x14ac:dyDescent="0.2">
      <c r="A167" s="1"/>
      <c r="B167" s="1"/>
      <c r="C167" s="11"/>
      <c r="D167" s="1"/>
      <c r="E167" s="1"/>
      <c r="F167" s="12"/>
      <c r="G167" s="12"/>
      <c r="H167" s="53"/>
    </row>
    <row r="168" spans="1:8" ht="14.1" customHeight="1" x14ac:dyDescent="0.2">
      <c r="A168" s="1"/>
      <c r="B168" s="1"/>
      <c r="C168" s="2" t="s">
        <v>168</v>
      </c>
      <c r="D168" s="1"/>
      <c r="E168" s="1"/>
      <c r="F168" s="1"/>
      <c r="G168" s="1"/>
      <c r="H168" s="53"/>
    </row>
    <row r="169" spans="1:8" ht="14.1" customHeight="1" x14ac:dyDescent="0.2">
      <c r="A169" s="1"/>
      <c r="B169" s="1"/>
      <c r="C169" s="2" t="s">
        <v>169</v>
      </c>
      <c r="D169" s="1"/>
      <c r="E169" s="1"/>
      <c r="F169" s="1"/>
      <c r="G169" s="1"/>
      <c r="H169" s="53"/>
    </row>
    <row r="170" spans="1:8" ht="14.1" customHeight="1" x14ac:dyDescent="0.2">
      <c r="A170" s="1"/>
      <c r="B170" s="1"/>
      <c r="C170" s="2" t="s">
        <v>144</v>
      </c>
      <c r="D170" s="1"/>
      <c r="E170" s="1" t="s">
        <v>145</v>
      </c>
      <c r="F170" s="13" t="s">
        <v>147</v>
      </c>
      <c r="G170" s="10">
        <v>0</v>
      </c>
      <c r="H170" s="53"/>
    </row>
    <row r="171" spans="1:8" ht="14.1" customHeight="1" x14ac:dyDescent="0.2">
      <c r="A171" s="1"/>
      <c r="B171" s="1"/>
      <c r="C171" s="11"/>
      <c r="D171" s="1"/>
      <c r="E171" s="1"/>
      <c r="F171" s="12"/>
      <c r="G171" s="12"/>
      <c r="H171" s="53"/>
    </row>
    <row r="172" spans="1:8" ht="24" customHeight="1" x14ac:dyDescent="0.2">
      <c r="A172" s="1"/>
      <c r="B172" s="1"/>
      <c r="C172" s="2" t="s">
        <v>170</v>
      </c>
      <c r="D172" s="1"/>
      <c r="E172" s="1"/>
      <c r="F172" s="12"/>
      <c r="G172" s="12"/>
      <c r="H172" s="53"/>
    </row>
    <row r="173" spans="1:8" ht="14.1" customHeight="1" x14ac:dyDescent="0.2">
      <c r="A173" s="1"/>
      <c r="B173" s="1"/>
      <c r="C173" s="2" t="s">
        <v>144</v>
      </c>
      <c r="D173" s="1"/>
      <c r="E173" s="1" t="s">
        <v>145</v>
      </c>
      <c r="F173" s="13" t="s">
        <v>147</v>
      </c>
      <c r="G173" s="10">
        <v>0</v>
      </c>
      <c r="H173" s="53"/>
    </row>
    <row r="174" spans="1:8" ht="14.1" customHeight="1" x14ac:dyDescent="0.2">
      <c r="A174" s="1"/>
      <c r="B174" s="1"/>
      <c r="C174" s="11"/>
      <c r="D174" s="1"/>
      <c r="E174" s="1"/>
      <c r="F174" s="12"/>
      <c r="G174" s="12"/>
      <c r="H174" s="53"/>
    </row>
    <row r="175" spans="1:8" ht="18" customHeight="1" x14ac:dyDescent="0.2">
      <c r="A175" s="8"/>
      <c r="B175" s="4"/>
      <c r="C175" s="4" t="s">
        <v>308</v>
      </c>
      <c r="D175" s="4"/>
      <c r="E175" s="8"/>
      <c r="F175" s="6">
        <v>2479.7215867999998</v>
      </c>
      <c r="G175" s="7">
        <v>1.6175767773978018E-2</v>
      </c>
      <c r="H175" s="53"/>
    </row>
    <row r="176" spans="1:8" ht="18" customHeight="1" x14ac:dyDescent="0.2">
      <c r="A176" s="8"/>
      <c r="B176" s="4"/>
      <c r="C176" s="40" t="s">
        <v>961</v>
      </c>
      <c r="D176" s="4"/>
      <c r="E176" s="8"/>
      <c r="F176" s="6">
        <v>4075.3561176889898</v>
      </c>
      <c r="G176" s="7">
        <v>2.6584441780445178E-2</v>
      </c>
      <c r="H176" s="53"/>
    </row>
    <row r="177" spans="1:15" ht="14.1" customHeight="1" x14ac:dyDescent="0.2">
      <c r="A177" s="11"/>
      <c r="B177" s="11"/>
      <c r="C177" s="2" t="s">
        <v>172</v>
      </c>
      <c r="D177" s="12"/>
      <c r="E177" s="12"/>
      <c r="F177" s="9">
        <v>153298.54022688998</v>
      </c>
      <c r="G177" s="10">
        <v>1.0000000595544238</v>
      </c>
      <c r="H177" s="53"/>
    </row>
    <row r="178" spans="1:15" ht="14.1" customHeight="1" x14ac:dyDescent="0.2">
      <c r="A178" s="15"/>
      <c r="B178" s="15"/>
      <c r="C178" s="15"/>
      <c r="D178" s="16"/>
      <c r="E178" s="16"/>
      <c r="F178" s="16"/>
      <c r="G178" s="16"/>
    </row>
    <row r="179" spans="1:15" ht="14.1" customHeight="1" x14ac:dyDescent="0.2">
      <c r="A179" s="17"/>
      <c r="B179" s="239" t="s">
        <v>907</v>
      </c>
      <c r="C179" s="239"/>
      <c r="D179" s="239"/>
      <c r="E179" s="239"/>
      <c r="F179" s="239"/>
      <c r="G179" s="19"/>
    </row>
    <row r="180" spans="1:15" ht="17.100000000000001" customHeight="1" x14ac:dyDescent="0.2">
      <c r="A180" s="41"/>
      <c r="B180" s="239" t="s">
        <v>962</v>
      </c>
      <c r="C180" s="239"/>
      <c r="D180" s="239"/>
      <c r="E180" s="239"/>
      <c r="F180" s="239"/>
      <c r="G180" s="45"/>
    </row>
    <row r="181" spans="1:15" s="48" customFormat="1" ht="69.75" customHeight="1" x14ac:dyDescent="0.25">
      <c r="A181" s="46"/>
      <c r="B181" s="259" t="s">
        <v>902</v>
      </c>
      <c r="C181" s="259"/>
      <c r="D181" s="259"/>
      <c r="E181" s="259"/>
      <c r="F181" s="259"/>
      <c r="G181" s="47"/>
      <c r="H181"/>
      <c r="J181"/>
      <c r="K181"/>
      <c r="L181"/>
      <c r="M181"/>
      <c r="N181"/>
      <c r="O181"/>
    </row>
    <row r="182" spans="1:15" ht="14.1" customHeight="1" x14ac:dyDescent="0.2">
      <c r="A182" s="41"/>
      <c r="B182" s="260" t="s">
        <v>970</v>
      </c>
      <c r="C182" s="260"/>
      <c r="D182" s="260"/>
      <c r="E182" s="260"/>
      <c r="F182" s="260"/>
      <c r="G182" s="45"/>
    </row>
    <row r="183" spans="1:15" ht="14.1" customHeight="1" x14ac:dyDescent="0.2">
      <c r="A183" s="17"/>
      <c r="B183" s="17"/>
      <c r="C183" s="17"/>
      <c r="D183" s="19"/>
      <c r="E183" s="19"/>
      <c r="F183" s="19"/>
      <c r="G183" s="19"/>
    </row>
    <row r="184" spans="1:15" ht="14.1" customHeight="1" x14ac:dyDescent="0.2">
      <c r="A184" s="17"/>
      <c r="B184" s="231" t="s">
        <v>174</v>
      </c>
      <c r="C184" s="232"/>
      <c r="D184" s="233"/>
      <c r="E184" s="20"/>
      <c r="F184" s="19"/>
      <c r="G184" s="19"/>
    </row>
    <row r="185" spans="1:15" ht="29.1" customHeight="1" x14ac:dyDescent="0.2">
      <c r="A185" s="17"/>
      <c r="B185" s="226" t="s">
        <v>175</v>
      </c>
      <c r="C185" s="227"/>
      <c r="D185" s="2" t="s">
        <v>176</v>
      </c>
      <c r="E185" s="20"/>
      <c r="F185" s="19"/>
      <c r="G185" s="19"/>
    </row>
    <row r="186" spans="1:15" ht="17.100000000000001" customHeight="1" x14ac:dyDescent="0.2">
      <c r="A186" s="17"/>
      <c r="B186" s="226" t="s">
        <v>177</v>
      </c>
      <c r="C186" s="227"/>
      <c r="D186" s="2" t="s">
        <v>176</v>
      </c>
      <c r="E186" s="20"/>
      <c r="F186" s="19"/>
      <c r="G186" s="19"/>
    </row>
    <row r="187" spans="1:15" ht="17.100000000000001" customHeight="1" x14ac:dyDescent="0.2">
      <c r="A187" s="17"/>
      <c r="B187" s="226" t="s">
        <v>178</v>
      </c>
      <c r="C187" s="227"/>
      <c r="D187" s="12" t="s">
        <v>145</v>
      </c>
      <c r="E187" s="20"/>
      <c r="F187" s="19"/>
      <c r="G187" s="19"/>
    </row>
    <row r="188" spans="1:15" ht="24" customHeight="1" x14ac:dyDescent="0.2">
      <c r="A188" s="21"/>
      <c r="B188" s="22" t="s">
        <v>145</v>
      </c>
      <c r="C188" s="22" t="s">
        <v>179</v>
      </c>
      <c r="D188" s="22" t="s">
        <v>180</v>
      </c>
      <c r="E188" s="21"/>
      <c r="F188" s="21"/>
      <c r="G188" s="21"/>
    </row>
    <row r="189" spans="1:15" ht="18" customHeight="1" x14ac:dyDescent="0.2">
      <c r="A189" s="21"/>
      <c r="B189" s="23" t="s">
        <v>181</v>
      </c>
      <c r="C189" s="22" t="s">
        <v>182</v>
      </c>
      <c r="D189" s="22" t="s">
        <v>183</v>
      </c>
      <c r="E189" s="21"/>
      <c r="F189" s="21"/>
      <c r="G189" s="21"/>
    </row>
    <row r="190" spans="1:15" ht="17.100000000000001" customHeight="1" x14ac:dyDescent="0.2">
      <c r="A190" s="21"/>
      <c r="B190" s="4" t="s">
        <v>184</v>
      </c>
      <c r="C190" s="24">
        <v>32.133099999999999</v>
      </c>
      <c r="D190" s="24">
        <v>32.178800000000003</v>
      </c>
      <c r="E190" s="21"/>
      <c r="F190" s="18"/>
      <c r="G190" s="25"/>
    </row>
    <row r="191" spans="1:15" ht="29.1" customHeight="1" x14ac:dyDescent="0.2">
      <c r="A191" s="21"/>
      <c r="B191" s="4" t="s">
        <v>1014</v>
      </c>
      <c r="C191" s="24">
        <v>17.193100000000001</v>
      </c>
      <c r="D191" s="24">
        <v>17.1218</v>
      </c>
      <c r="E191" s="21"/>
      <c r="F191" s="18"/>
      <c r="G191" s="25"/>
    </row>
    <row r="192" spans="1:15" ht="17.100000000000001" customHeight="1" x14ac:dyDescent="0.2">
      <c r="A192" s="21"/>
      <c r="B192" s="4" t="s">
        <v>185</v>
      </c>
      <c r="C192" s="24">
        <v>28.180299999999999</v>
      </c>
      <c r="D192" s="24">
        <v>28.1846</v>
      </c>
      <c r="E192" s="21"/>
      <c r="F192" s="18"/>
      <c r="G192" s="25"/>
    </row>
    <row r="193" spans="1:7" ht="29.1" customHeight="1" x14ac:dyDescent="0.2">
      <c r="A193" s="21"/>
      <c r="B193" s="4" t="s">
        <v>1016</v>
      </c>
      <c r="C193" s="24">
        <v>14.476599999999999</v>
      </c>
      <c r="D193" s="24">
        <v>14.398300000000001</v>
      </c>
      <c r="E193" s="21"/>
      <c r="F193" s="18"/>
      <c r="G193" s="25"/>
    </row>
    <row r="194" spans="1:7" ht="14.1" customHeight="1" x14ac:dyDescent="0.2">
      <c r="A194" s="21"/>
      <c r="B194" s="21"/>
      <c r="C194" s="21"/>
      <c r="D194" s="21"/>
      <c r="E194" s="21"/>
      <c r="F194" s="21"/>
      <c r="G194" s="21"/>
    </row>
    <row r="195" spans="1:7" ht="17.100000000000001" customHeight="1" x14ac:dyDescent="0.2">
      <c r="A195" s="21"/>
      <c r="B195" s="226" t="s">
        <v>1011</v>
      </c>
      <c r="C195" s="227"/>
      <c r="D195" s="2" t="s">
        <v>145</v>
      </c>
      <c r="E195" s="21"/>
      <c r="F195" s="21"/>
      <c r="G195" s="21"/>
    </row>
    <row r="196" spans="1:7" ht="18" customHeight="1" x14ac:dyDescent="0.2">
      <c r="A196" s="21"/>
      <c r="B196" s="29" t="s">
        <v>181</v>
      </c>
      <c r="C196" s="30" t="s">
        <v>659</v>
      </c>
      <c r="D196" s="30" t="s">
        <v>660</v>
      </c>
      <c r="E196" s="21"/>
      <c r="F196" s="21"/>
      <c r="G196" s="21"/>
    </row>
    <row r="197" spans="1:7" ht="29.1" customHeight="1" x14ac:dyDescent="0.2">
      <c r="A197" s="21"/>
      <c r="B197" s="4" t="s">
        <v>1014</v>
      </c>
      <c r="C197" s="31">
        <v>9.5000000000000001E-2</v>
      </c>
      <c r="D197" s="8" t="s">
        <v>694</v>
      </c>
      <c r="E197" s="21"/>
      <c r="F197" s="18"/>
      <c r="G197" s="25"/>
    </row>
    <row r="198" spans="1:7" ht="29.1" customHeight="1" x14ac:dyDescent="0.2">
      <c r="A198" s="21"/>
      <c r="B198" s="4" t="s">
        <v>1016</v>
      </c>
      <c r="C198" s="31">
        <v>0.08</v>
      </c>
      <c r="D198" s="31">
        <v>0.08</v>
      </c>
      <c r="E198" s="21"/>
      <c r="F198" s="18"/>
      <c r="G198" s="25"/>
    </row>
    <row r="199" spans="1:7" ht="14.1" customHeight="1" x14ac:dyDescent="0.2">
      <c r="A199" s="21"/>
      <c r="B199" s="32"/>
      <c r="C199" s="32"/>
      <c r="D199" s="33"/>
      <c r="E199" s="21"/>
      <c r="F199" s="18"/>
      <c r="G199" s="25"/>
    </row>
    <row r="200" spans="1:7" ht="29.1" customHeight="1" x14ac:dyDescent="0.2">
      <c r="A200" s="21"/>
      <c r="B200" s="226" t="s">
        <v>186</v>
      </c>
      <c r="C200" s="227"/>
      <c r="D200" s="42" t="s">
        <v>958</v>
      </c>
      <c r="E200" s="27"/>
      <c r="F200" s="21"/>
      <c r="G200" s="21"/>
    </row>
    <row r="201" spans="1:7" ht="29.1" customHeight="1" x14ac:dyDescent="0.2">
      <c r="A201" s="21"/>
      <c r="B201" s="226" t="s">
        <v>187</v>
      </c>
      <c r="C201" s="227"/>
      <c r="D201" s="2" t="s">
        <v>176</v>
      </c>
      <c r="E201" s="27"/>
      <c r="F201" s="21"/>
      <c r="G201" s="21"/>
    </row>
    <row r="202" spans="1:7" ht="17.100000000000001" customHeight="1" x14ac:dyDescent="0.2">
      <c r="A202" s="21"/>
      <c r="B202" s="226" t="s">
        <v>188</v>
      </c>
      <c r="C202" s="227"/>
      <c r="D202" s="2" t="s">
        <v>176</v>
      </c>
      <c r="E202" s="27"/>
      <c r="F202" s="21"/>
      <c r="G202" s="21"/>
    </row>
    <row r="203" spans="1:7" ht="17.100000000000001" customHeight="1" x14ac:dyDescent="0.2">
      <c r="A203" s="21"/>
      <c r="B203" s="226" t="s">
        <v>189</v>
      </c>
      <c r="C203" s="227"/>
      <c r="D203" s="57">
        <v>2.6605733084069194</v>
      </c>
      <c r="E203" s="21"/>
      <c r="F203" s="18"/>
      <c r="G203" s="25"/>
    </row>
    <row r="205" spans="1:7" x14ac:dyDescent="0.2">
      <c r="B205" s="250" t="s">
        <v>991</v>
      </c>
      <c r="C205" s="251"/>
      <c r="D205" s="252"/>
    </row>
    <row r="206" spans="1:7" ht="25.5" x14ac:dyDescent="0.2">
      <c r="B206" s="240" t="s">
        <v>992</v>
      </c>
      <c r="C206" s="240"/>
      <c r="D206" s="107" t="s">
        <v>681</v>
      </c>
    </row>
    <row r="207" spans="1:7" x14ac:dyDescent="0.2">
      <c r="B207" s="240" t="s">
        <v>993</v>
      </c>
      <c r="C207" s="240"/>
      <c r="D207" s="115"/>
    </row>
    <row r="208" spans="1:7" x14ac:dyDescent="0.2">
      <c r="B208" s="241"/>
      <c r="C208" s="242"/>
      <c r="D208" s="108"/>
    </row>
    <row r="209" spans="2:4" x14ac:dyDescent="0.2">
      <c r="B209" s="240" t="s">
        <v>994</v>
      </c>
      <c r="C209" s="240"/>
      <c r="D209" s="109">
        <v>7.2432410834707674</v>
      </c>
    </row>
    <row r="210" spans="2:4" x14ac:dyDescent="0.2">
      <c r="B210" s="241"/>
      <c r="C210" s="242"/>
      <c r="D210" s="108"/>
    </row>
    <row r="211" spans="2:4" x14ac:dyDescent="0.2">
      <c r="B211" s="240" t="s">
        <v>995</v>
      </c>
      <c r="C211" s="240"/>
      <c r="D211" s="109">
        <v>3.5623850439296798</v>
      </c>
    </row>
    <row r="212" spans="2:4" x14ac:dyDescent="0.2">
      <c r="B212" s="240" t="s">
        <v>996</v>
      </c>
      <c r="C212" s="240"/>
      <c r="D212" s="109">
        <v>4.8026667832165293</v>
      </c>
    </row>
    <row r="213" spans="2:4" x14ac:dyDescent="0.2">
      <c r="B213" s="241"/>
      <c r="C213" s="242"/>
      <c r="D213" s="108"/>
    </row>
    <row r="214" spans="2:4" x14ac:dyDescent="0.2">
      <c r="B214" s="240" t="s">
        <v>997</v>
      </c>
      <c r="C214" s="240"/>
      <c r="D214" s="111">
        <v>45169</v>
      </c>
    </row>
    <row r="215" spans="2:4" x14ac:dyDescent="0.2">
      <c r="B215" s="241" t="s">
        <v>998</v>
      </c>
      <c r="C215" s="257"/>
      <c r="D215" s="242"/>
    </row>
  </sheetData>
  <mergeCells count="28">
    <mergeCell ref="B200:C200"/>
    <mergeCell ref="B201:C201"/>
    <mergeCell ref="B202:C202"/>
    <mergeCell ref="A1:H1"/>
    <mergeCell ref="A2:H2"/>
    <mergeCell ref="A3:H3"/>
    <mergeCell ref="B185:C185"/>
    <mergeCell ref="B181:F181"/>
    <mergeCell ref="B179:F179"/>
    <mergeCell ref="B180:F180"/>
    <mergeCell ref="B184:D184"/>
    <mergeCell ref="B182:F182"/>
    <mergeCell ref="J2:N2"/>
    <mergeCell ref="B215:D215"/>
    <mergeCell ref="B210:C210"/>
    <mergeCell ref="B211:C211"/>
    <mergeCell ref="B212:C212"/>
    <mergeCell ref="B213:C213"/>
    <mergeCell ref="B214:C214"/>
    <mergeCell ref="B205:D205"/>
    <mergeCell ref="B206:C206"/>
    <mergeCell ref="B207:C207"/>
    <mergeCell ref="B208:C208"/>
    <mergeCell ref="B209:C209"/>
    <mergeCell ref="B203:C203"/>
    <mergeCell ref="B186:C186"/>
    <mergeCell ref="B187:C187"/>
    <mergeCell ref="B195:C195"/>
  </mergeCells>
  <hyperlinks>
    <hyperlink ref="I1" location="Index!B19" display="Index" xr:uid="{A5D274A4-5CFF-4521-80A1-08751C0630B7}"/>
  </hyperlinks>
  <pageMargins left="5.000000074505806E-2" right="5.000000074505806E-2" top="0.30000001192092896" bottom="0.20000000298023224" header="0" footer="0"/>
  <pageSetup paperSize="9"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N174"/>
  <sheetViews>
    <sheetView showGridLines="0" workbookViewId="0">
      <selection activeCell="K80" sqref="K80"/>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695</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310</v>
      </c>
      <c r="C7" s="4" t="s">
        <v>311</v>
      </c>
      <c r="D7" s="4" t="s">
        <v>28</v>
      </c>
      <c r="E7" s="5">
        <v>187000</v>
      </c>
      <c r="F7" s="6">
        <v>2938.6115</v>
      </c>
      <c r="G7" s="7">
        <v>5.178108E-2</v>
      </c>
      <c r="H7" s="53"/>
    </row>
    <row r="8" spans="1:14" ht="17.100000000000001" customHeight="1" x14ac:dyDescent="0.2">
      <c r="A8" s="3">
        <v>2</v>
      </c>
      <c r="B8" s="4" t="s">
        <v>17</v>
      </c>
      <c r="C8" s="4" t="s">
        <v>18</v>
      </c>
      <c r="D8" s="4" t="s">
        <v>19</v>
      </c>
      <c r="E8" s="5">
        <v>1200000</v>
      </c>
      <c r="F8" s="6">
        <v>2643.6</v>
      </c>
      <c r="G8" s="7">
        <v>4.6582709999999999E-2</v>
      </c>
      <c r="H8" s="53"/>
    </row>
    <row r="9" spans="1:14" ht="17.100000000000001" customHeight="1" x14ac:dyDescent="0.2">
      <c r="A9" s="3">
        <v>3</v>
      </c>
      <c r="B9" s="4" t="s">
        <v>312</v>
      </c>
      <c r="C9" s="4" t="s">
        <v>313</v>
      </c>
      <c r="D9" s="4" t="s">
        <v>905</v>
      </c>
      <c r="E9" s="5">
        <v>170000</v>
      </c>
      <c r="F9" s="6">
        <v>2440.2649999999999</v>
      </c>
      <c r="G9" s="7">
        <v>4.2999750000000003E-2</v>
      </c>
      <c r="H9" s="53"/>
    </row>
    <row r="10" spans="1:14" ht="17.100000000000001" customHeight="1" x14ac:dyDescent="0.2">
      <c r="A10" s="3">
        <v>4</v>
      </c>
      <c r="B10" s="4" t="s">
        <v>20</v>
      </c>
      <c r="C10" s="4" t="s">
        <v>21</v>
      </c>
      <c r="D10" s="4" t="s">
        <v>22</v>
      </c>
      <c r="E10" s="5">
        <v>94000</v>
      </c>
      <c r="F10" s="6">
        <v>2262.58</v>
      </c>
      <c r="G10" s="7">
        <v>3.9868779999999999E-2</v>
      </c>
      <c r="H10" s="53"/>
    </row>
    <row r="11" spans="1:14" ht="17.100000000000001" customHeight="1" x14ac:dyDescent="0.2">
      <c r="A11" s="3">
        <v>5</v>
      </c>
      <c r="B11" s="4" t="s">
        <v>26</v>
      </c>
      <c r="C11" s="4" t="s">
        <v>27</v>
      </c>
      <c r="D11" s="4" t="s">
        <v>28</v>
      </c>
      <c r="E11" s="5">
        <v>200000</v>
      </c>
      <c r="F11" s="6">
        <v>1917.5</v>
      </c>
      <c r="G11" s="7">
        <v>3.3788140000000001E-2</v>
      </c>
      <c r="H11" s="53"/>
    </row>
    <row r="12" spans="1:14" ht="17.100000000000001" customHeight="1" x14ac:dyDescent="0.2">
      <c r="A12" s="3">
        <v>6</v>
      </c>
      <c r="B12" s="4" t="s">
        <v>329</v>
      </c>
      <c r="C12" s="4" t="s">
        <v>330</v>
      </c>
      <c r="D12" s="4" t="s">
        <v>331</v>
      </c>
      <c r="E12" s="5">
        <v>433000</v>
      </c>
      <c r="F12" s="6">
        <v>1903.9010000000001</v>
      </c>
      <c r="G12" s="7">
        <v>3.3548519999999998E-2</v>
      </c>
      <c r="H12" s="53"/>
    </row>
    <row r="13" spans="1:14" ht="17.100000000000001" customHeight="1" x14ac:dyDescent="0.2">
      <c r="A13" s="3">
        <v>7</v>
      </c>
      <c r="B13" s="4" t="s">
        <v>318</v>
      </c>
      <c r="C13" s="4" t="s">
        <v>319</v>
      </c>
      <c r="D13" s="4" t="s">
        <v>905</v>
      </c>
      <c r="E13" s="5">
        <v>39000</v>
      </c>
      <c r="F13" s="6">
        <v>1309.152</v>
      </c>
      <c r="G13" s="7">
        <v>2.3068479999999999E-2</v>
      </c>
      <c r="H13" s="53"/>
    </row>
    <row r="14" spans="1:14" ht="17.100000000000001" customHeight="1" x14ac:dyDescent="0.2">
      <c r="A14" s="3">
        <v>8</v>
      </c>
      <c r="B14" s="4" t="s">
        <v>32</v>
      </c>
      <c r="C14" s="4" t="s">
        <v>33</v>
      </c>
      <c r="D14" s="4" t="s">
        <v>28</v>
      </c>
      <c r="E14" s="5">
        <v>231000</v>
      </c>
      <c r="F14" s="6">
        <v>1296.7184999999999</v>
      </c>
      <c r="G14" s="7">
        <v>2.2849390000000001E-2</v>
      </c>
      <c r="H14" s="53"/>
      <c r="J14" s="146" t="s">
        <v>1045</v>
      </c>
    </row>
    <row r="15" spans="1:14" ht="17.100000000000001" customHeight="1" x14ac:dyDescent="0.2">
      <c r="A15" s="3">
        <v>9</v>
      </c>
      <c r="B15" s="4" t="s">
        <v>11</v>
      </c>
      <c r="C15" s="4" t="s">
        <v>12</v>
      </c>
      <c r="D15" s="4" t="s">
        <v>13</v>
      </c>
      <c r="E15" s="5">
        <v>47000</v>
      </c>
      <c r="F15" s="6">
        <v>1270.269</v>
      </c>
      <c r="G15" s="7">
        <v>2.238333E-2</v>
      </c>
      <c r="H15" s="53"/>
    </row>
    <row r="16" spans="1:14" ht="29.1" customHeight="1" x14ac:dyDescent="0.2">
      <c r="A16" s="3">
        <v>10</v>
      </c>
      <c r="B16" s="4" t="s">
        <v>36</v>
      </c>
      <c r="C16" s="4" t="s">
        <v>37</v>
      </c>
      <c r="D16" s="4" t="s">
        <v>38</v>
      </c>
      <c r="E16" s="5">
        <v>940000</v>
      </c>
      <c r="F16" s="6">
        <v>1252.08</v>
      </c>
      <c r="G16" s="7">
        <v>2.206282E-2</v>
      </c>
      <c r="H16" s="53"/>
    </row>
    <row r="17" spans="1:10" ht="17.100000000000001" customHeight="1" x14ac:dyDescent="0.2">
      <c r="A17" s="3">
        <v>11</v>
      </c>
      <c r="B17" s="4" t="s">
        <v>336</v>
      </c>
      <c r="C17" s="4" t="s">
        <v>337</v>
      </c>
      <c r="D17" s="4" t="s">
        <v>331</v>
      </c>
      <c r="E17" s="5">
        <v>48000</v>
      </c>
      <c r="F17" s="6">
        <v>1202.424</v>
      </c>
      <c r="G17" s="7">
        <v>2.1187839999999999E-2</v>
      </c>
      <c r="H17" s="53"/>
    </row>
    <row r="18" spans="1:10" ht="29.1" customHeight="1" x14ac:dyDescent="0.2">
      <c r="A18" s="3">
        <v>12</v>
      </c>
      <c r="B18" s="4" t="s">
        <v>316</v>
      </c>
      <c r="C18" s="4" t="s">
        <v>317</v>
      </c>
      <c r="D18" s="4" t="s">
        <v>224</v>
      </c>
      <c r="E18" s="5">
        <v>100000</v>
      </c>
      <c r="F18" s="6">
        <v>1111.5999999999999</v>
      </c>
      <c r="G18" s="7">
        <v>1.9587429999999999E-2</v>
      </c>
      <c r="H18" s="53"/>
    </row>
    <row r="19" spans="1:10" ht="17.100000000000001" customHeight="1" x14ac:dyDescent="0.2">
      <c r="A19" s="3">
        <v>13</v>
      </c>
      <c r="B19" s="4" t="s">
        <v>463</v>
      </c>
      <c r="C19" s="4" t="s">
        <v>464</v>
      </c>
      <c r="D19" s="4" t="s">
        <v>905</v>
      </c>
      <c r="E19" s="5">
        <v>87000</v>
      </c>
      <c r="F19" s="6">
        <v>1019.7705</v>
      </c>
      <c r="G19" s="7">
        <v>1.7969309999999999E-2</v>
      </c>
      <c r="H19" s="53"/>
    </row>
    <row r="20" spans="1:10" ht="29.1" customHeight="1" x14ac:dyDescent="0.2">
      <c r="A20" s="3">
        <v>14</v>
      </c>
      <c r="B20" s="4" t="s">
        <v>23</v>
      </c>
      <c r="C20" s="4" t="s">
        <v>24</v>
      </c>
      <c r="D20" s="4" t="s">
        <v>25</v>
      </c>
      <c r="E20" s="5">
        <v>12000</v>
      </c>
      <c r="F20" s="6">
        <v>995.69399999999996</v>
      </c>
      <c r="G20" s="7">
        <v>1.7545060000000001E-2</v>
      </c>
      <c r="H20" s="53"/>
    </row>
    <row r="21" spans="1:10" ht="17.100000000000001" customHeight="1" x14ac:dyDescent="0.2">
      <c r="A21" s="3">
        <v>15</v>
      </c>
      <c r="B21" s="4" t="s">
        <v>202</v>
      </c>
      <c r="C21" s="4" t="s">
        <v>203</v>
      </c>
      <c r="D21" s="4" t="s">
        <v>130</v>
      </c>
      <c r="E21" s="5">
        <v>370000</v>
      </c>
      <c r="F21" s="6">
        <v>962.74</v>
      </c>
      <c r="G21" s="7">
        <v>1.6964380000000001E-2</v>
      </c>
      <c r="H21" s="53"/>
    </row>
    <row r="22" spans="1:10" ht="17.100000000000001" customHeight="1" x14ac:dyDescent="0.2">
      <c r="A22" s="3">
        <v>16</v>
      </c>
      <c r="B22" s="4" t="s">
        <v>128</v>
      </c>
      <c r="C22" s="4" t="s">
        <v>129</v>
      </c>
      <c r="D22" s="4" t="s">
        <v>130</v>
      </c>
      <c r="E22" s="5">
        <v>340000</v>
      </c>
      <c r="F22" s="6">
        <v>811.41</v>
      </c>
      <c r="G22" s="7">
        <v>1.4297799999999999E-2</v>
      </c>
      <c r="H22" s="53"/>
    </row>
    <row r="23" spans="1:10" ht="17.100000000000001" customHeight="1" x14ac:dyDescent="0.2">
      <c r="A23" s="3">
        <v>17</v>
      </c>
      <c r="B23" s="4" t="s">
        <v>696</v>
      </c>
      <c r="C23" s="4" t="s">
        <v>697</v>
      </c>
      <c r="D23" s="4" t="s">
        <v>19</v>
      </c>
      <c r="E23" s="5">
        <v>1600000</v>
      </c>
      <c r="F23" s="6">
        <v>803.2</v>
      </c>
      <c r="G23" s="7">
        <v>1.415314E-2</v>
      </c>
      <c r="H23" s="53"/>
      <c r="J23" s="142" t="s">
        <v>1046</v>
      </c>
    </row>
    <row r="24" spans="1:10" ht="17.100000000000001" customHeight="1" x14ac:dyDescent="0.2">
      <c r="A24" s="3">
        <v>18</v>
      </c>
      <c r="B24" s="4" t="s">
        <v>44</v>
      </c>
      <c r="C24" s="4" t="s">
        <v>45</v>
      </c>
      <c r="D24" s="4" t="s">
        <v>19</v>
      </c>
      <c r="E24" s="5">
        <v>328000</v>
      </c>
      <c r="F24" s="6">
        <v>802.12400000000002</v>
      </c>
      <c r="G24" s="7">
        <v>1.413418E-2</v>
      </c>
      <c r="H24" s="53"/>
    </row>
    <row r="25" spans="1:10" ht="17.100000000000001" customHeight="1" x14ac:dyDescent="0.2">
      <c r="A25" s="3">
        <v>19</v>
      </c>
      <c r="B25" s="4" t="s">
        <v>565</v>
      </c>
      <c r="C25" s="4" t="s">
        <v>566</v>
      </c>
      <c r="D25" s="4" t="s">
        <v>905</v>
      </c>
      <c r="E25" s="5">
        <v>65000</v>
      </c>
      <c r="F25" s="6">
        <v>781.26750000000004</v>
      </c>
      <c r="G25" s="7">
        <v>1.376666E-2</v>
      </c>
      <c r="H25" s="53"/>
    </row>
    <row r="26" spans="1:10" ht="17.100000000000001" customHeight="1" x14ac:dyDescent="0.2">
      <c r="A26" s="3">
        <v>20</v>
      </c>
      <c r="B26" s="4" t="s">
        <v>698</v>
      </c>
      <c r="C26" s="4" t="s">
        <v>699</v>
      </c>
      <c r="D26" s="4" t="s">
        <v>31</v>
      </c>
      <c r="E26" s="5">
        <v>20500</v>
      </c>
      <c r="F26" s="6">
        <v>757.50575000000003</v>
      </c>
      <c r="G26" s="7">
        <v>1.3347960000000001E-2</v>
      </c>
      <c r="H26" s="53"/>
    </row>
    <row r="27" spans="1:10" ht="17.100000000000001" customHeight="1" x14ac:dyDescent="0.2">
      <c r="A27" s="3">
        <v>21</v>
      </c>
      <c r="B27" s="4" t="s">
        <v>338</v>
      </c>
      <c r="C27" s="4" t="s">
        <v>339</v>
      </c>
      <c r="D27" s="4" t="s">
        <v>28</v>
      </c>
      <c r="E27" s="5">
        <v>235822</v>
      </c>
      <c r="F27" s="6">
        <v>755.57368799999995</v>
      </c>
      <c r="G27" s="7">
        <v>1.331392E-2</v>
      </c>
      <c r="H27" s="53"/>
    </row>
    <row r="28" spans="1:10" ht="17.100000000000001" customHeight="1" x14ac:dyDescent="0.2">
      <c r="A28" s="3">
        <v>22</v>
      </c>
      <c r="B28" s="4" t="s">
        <v>322</v>
      </c>
      <c r="C28" s="4" t="s">
        <v>323</v>
      </c>
      <c r="D28" s="4" t="s">
        <v>28</v>
      </c>
      <c r="E28" s="5">
        <v>54000</v>
      </c>
      <c r="F28" s="6">
        <v>744.20100000000002</v>
      </c>
      <c r="G28" s="7">
        <v>1.311352E-2</v>
      </c>
      <c r="H28" s="53"/>
    </row>
    <row r="29" spans="1:10" ht="17.100000000000001" customHeight="1" x14ac:dyDescent="0.2">
      <c r="A29" s="3">
        <v>23</v>
      </c>
      <c r="B29" s="4" t="s">
        <v>352</v>
      </c>
      <c r="C29" s="4" t="s">
        <v>353</v>
      </c>
      <c r="D29" s="4" t="s">
        <v>95</v>
      </c>
      <c r="E29" s="5">
        <v>600000</v>
      </c>
      <c r="F29" s="6">
        <v>737.4</v>
      </c>
      <c r="G29" s="7">
        <v>1.2993680000000001E-2</v>
      </c>
      <c r="H29" s="53"/>
    </row>
    <row r="30" spans="1:10" ht="29.1" customHeight="1" x14ac:dyDescent="0.2">
      <c r="A30" s="3">
        <v>24</v>
      </c>
      <c r="B30" s="4" t="s">
        <v>542</v>
      </c>
      <c r="C30" s="4" t="s">
        <v>543</v>
      </c>
      <c r="D30" s="4" t="s">
        <v>544</v>
      </c>
      <c r="E30" s="5">
        <v>189000</v>
      </c>
      <c r="F30" s="6">
        <v>721.31849999999997</v>
      </c>
      <c r="G30" s="7">
        <v>1.2710310000000001E-2</v>
      </c>
      <c r="H30" s="53"/>
    </row>
    <row r="31" spans="1:10" ht="17.100000000000001" customHeight="1" x14ac:dyDescent="0.2">
      <c r="A31" s="3">
        <v>25</v>
      </c>
      <c r="B31" s="4" t="s">
        <v>191</v>
      </c>
      <c r="C31" s="4" t="s">
        <v>192</v>
      </c>
      <c r="D31" s="4" t="s">
        <v>28</v>
      </c>
      <c r="E31" s="5">
        <v>500000</v>
      </c>
      <c r="F31" s="6">
        <v>719.75</v>
      </c>
      <c r="G31" s="7">
        <v>1.268267E-2</v>
      </c>
      <c r="H31" s="53"/>
    </row>
    <row r="32" spans="1:10" ht="17.100000000000001" customHeight="1" x14ac:dyDescent="0.2">
      <c r="A32" s="3">
        <v>26</v>
      </c>
      <c r="B32" s="4" t="s">
        <v>443</v>
      </c>
      <c r="C32" s="4" t="s">
        <v>444</v>
      </c>
      <c r="D32" s="4" t="s">
        <v>31</v>
      </c>
      <c r="E32" s="5">
        <v>63000</v>
      </c>
      <c r="F32" s="6">
        <v>715.83749999999998</v>
      </c>
      <c r="G32" s="7">
        <v>1.261373E-2</v>
      </c>
      <c r="H32" s="53"/>
    </row>
    <row r="33" spans="1:8" ht="17.100000000000001" customHeight="1" x14ac:dyDescent="0.2">
      <c r="A33" s="3">
        <v>27</v>
      </c>
      <c r="B33" s="4" t="s">
        <v>14</v>
      </c>
      <c r="C33" s="4" t="s">
        <v>15</v>
      </c>
      <c r="D33" s="4" t="s">
        <v>16</v>
      </c>
      <c r="E33" s="5">
        <v>83000</v>
      </c>
      <c r="F33" s="6">
        <v>710.81200000000001</v>
      </c>
      <c r="G33" s="7">
        <v>1.252517E-2</v>
      </c>
      <c r="H33" s="53"/>
    </row>
    <row r="34" spans="1:8" ht="53.1" customHeight="1" x14ac:dyDescent="0.2">
      <c r="A34" s="3">
        <v>28</v>
      </c>
      <c r="B34" s="4" t="s">
        <v>66</v>
      </c>
      <c r="C34" s="4" t="s">
        <v>67</v>
      </c>
      <c r="D34" s="4" t="s">
        <v>68</v>
      </c>
      <c r="E34" s="5">
        <v>370000</v>
      </c>
      <c r="F34" s="6">
        <v>680.245</v>
      </c>
      <c r="G34" s="7">
        <v>1.198655E-2</v>
      </c>
      <c r="H34" s="53"/>
    </row>
    <row r="35" spans="1:8" ht="29.1" customHeight="1" x14ac:dyDescent="0.2">
      <c r="A35" s="3">
        <v>29</v>
      </c>
      <c r="B35" s="4" t="s">
        <v>320</v>
      </c>
      <c r="C35" s="4" t="s">
        <v>321</v>
      </c>
      <c r="D35" s="4" t="s">
        <v>224</v>
      </c>
      <c r="E35" s="5">
        <v>12000</v>
      </c>
      <c r="F35" s="6">
        <v>672.94200000000001</v>
      </c>
      <c r="G35" s="7">
        <v>1.185787E-2</v>
      </c>
      <c r="H35" s="53"/>
    </row>
    <row r="36" spans="1:8" ht="17.100000000000001" customHeight="1" x14ac:dyDescent="0.2">
      <c r="A36" s="3">
        <v>30</v>
      </c>
      <c r="B36" s="4" t="s">
        <v>78</v>
      </c>
      <c r="C36" s="4" t="s">
        <v>79</v>
      </c>
      <c r="D36" s="4" t="s">
        <v>80</v>
      </c>
      <c r="E36" s="5">
        <v>575000</v>
      </c>
      <c r="F36" s="6">
        <v>661.25</v>
      </c>
      <c r="G36" s="7">
        <v>1.165184E-2</v>
      </c>
      <c r="H36" s="53"/>
    </row>
    <row r="37" spans="1:8" ht="17.100000000000001" customHeight="1" x14ac:dyDescent="0.2">
      <c r="A37" s="3">
        <v>31</v>
      </c>
      <c r="B37" s="4" t="s">
        <v>234</v>
      </c>
      <c r="C37" s="4" t="s">
        <v>235</v>
      </c>
      <c r="D37" s="4" t="s">
        <v>905</v>
      </c>
      <c r="E37" s="5">
        <v>12000</v>
      </c>
      <c r="F37" s="6">
        <v>655.97400000000005</v>
      </c>
      <c r="G37" s="7">
        <v>1.1558880000000001E-2</v>
      </c>
      <c r="H37" s="53"/>
    </row>
    <row r="38" spans="1:8" ht="17.100000000000001" customHeight="1" x14ac:dyDescent="0.2">
      <c r="A38" s="3">
        <v>32</v>
      </c>
      <c r="B38" s="4" t="s">
        <v>700</v>
      </c>
      <c r="C38" s="4" t="s">
        <v>701</v>
      </c>
      <c r="D38" s="4" t="s">
        <v>702</v>
      </c>
      <c r="E38" s="5">
        <v>270000</v>
      </c>
      <c r="F38" s="6">
        <v>621.13499999999999</v>
      </c>
      <c r="G38" s="7">
        <v>1.094498E-2</v>
      </c>
      <c r="H38" s="53"/>
    </row>
    <row r="39" spans="1:8" ht="17.100000000000001" customHeight="1" x14ac:dyDescent="0.2">
      <c r="A39" s="3">
        <v>33</v>
      </c>
      <c r="B39" s="4" t="s">
        <v>100</v>
      </c>
      <c r="C39" s="4" t="s">
        <v>101</v>
      </c>
      <c r="D39" s="4" t="s">
        <v>41</v>
      </c>
      <c r="E39" s="5">
        <v>229000</v>
      </c>
      <c r="F39" s="6">
        <v>606.85</v>
      </c>
      <c r="G39" s="7">
        <v>1.069327E-2</v>
      </c>
      <c r="H39" s="53"/>
    </row>
    <row r="40" spans="1:8" ht="29.1" customHeight="1" x14ac:dyDescent="0.2">
      <c r="A40" s="3">
        <v>34</v>
      </c>
      <c r="B40" s="4" t="s">
        <v>199</v>
      </c>
      <c r="C40" s="4" t="s">
        <v>200</v>
      </c>
      <c r="D40" s="4" t="s">
        <v>201</v>
      </c>
      <c r="E40" s="5">
        <v>12675</v>
      </c>
      <c r="F40" s="6">
        <v>583.6647375</v>
      </c>
      <c r="G40" s="7">
        <v>1.0284720000000001E-2</v>
      </c>
      <c r="H40" s="53"/>
    </row>
    <row r="41" spans="1:8" ht="17.100000000000001" customHeight="1" x14ac:dyDescent="0.2">
      <c r="A41" s="3">
        <v>35</v>
      </c>
      <c r="B41" s="4" t="s">
        <v>193</v>
      </c>
      <c r="C41" s="4" t="s">
        <v>194</v>
      </c>
      <c r="D41" s="4" t="s">
        <v>130</v>
      </c>
      <c r="E41" s="5">
        <v>30000</v>
      </c>
      <c r="F41" s="6">
        <v>578.49</v>
      </c>
      <c r="G41" s="7">
        <v>1.0193539999999999E-2</v>
      </c>
      <c r="H41" s="53"/>
    </row>
    <row r="42" spans="1:8" ht="17.100000000000001" customHeight="1" x14ac:dyDescent="0.2">
      <c r="A42" s="3">
        <v>36</v>
      </c>
      <c r="B42" s="4" t="s">
        <v>340</v>
      </c>
      <c r="C42" s="4" t="s">
        <v>341</v>
      </c>
      <c r="D42" s="4" t="s">
        <v>905</v>
      </c>
      <c r="E42" s="5">
        <v>11000</v>
      </c>
      <c r="F42" s="6">
        <v>571.274</v>
      </c>
      <c r="G42" s="7">
        <v>1.006638E-2</v>
      </c>
      <c r="H42" s="53"/>
    </row>
    <row r="43" spans="1:8" ht="17.100000000000001" customHeight="1" x14ac:dyDescent="0.2">
      <c r="A43" s="3">
        <v>37</v>
      </c>
      <c r="B43" s="4" t="s">
        <v>703</v>
      </c>
      <c r="C43" s="4" t="s">
        <v>704</v>
      </c>
      <c r="D43" s="4" t="s">
        <v>108</v>
      </c>
      <c r="E43" s="5">
        <v>12160</v>
      </c>
      <c r="F43" s="6">
        <v>561.03808000000004</v>
      </c>
      <c r="G43" s="7">
        <v>9.8860200000000006E-3</v>
      </c>
      <c r="H43" s="53"/>
    </row>
    <row r="44" spans="1:8" ht="17.100000000000001" customHeight="1" x14ac:dyDescent="0.2">
      <c r="A44" s="3">
        <v>38</v>
      </c>
      <c r="B44" s="4" t="s">
        <v>431</v>
      </c>
      <c r="C44" s="4" t="s">
        <v>432</v>
      </c>
      <c r="D44" s="4" t="s">
        <v>906</v>
      </c>
      <c r="E44" s="5">
        <v>34000</v>
      </c>
      <c r="F44" s="6">
        <v>556.69899999999996</v>
      </c>
      <c r="G44" s="7">
        <v>9.8095600000000002E-3</v>
      </c>
      <c r="H44" s="53"/>
    </row>
    <row r="45" spans="1:8" ht="17.100000000000001" customHeight="1" x14ac:dyDescent="0.2">
      <c r="A45" s="3">
        <v>39</v>
      </c>
      <c r="B45" s="4" t="s">
        <v>314</v>
      </c>
      <c r="C45" s="4" t="s">
        <v>315</v>
      </c>
      <c r="D45" s="4" t="s">
        <v>28</v>
      </c>
      <c r="E45" s="5">
        <v>57000</v>
      </c>
      <c r="F45" s="6">
        <v>554.89499999999998</v>
      </c>
      <c r="G45" s="7">
        <v>9.7777699999999999E-3</v>
      </c>
      <c r="H45" s="53"/>
    </row>
    <row r="46" spans="1:8" ht="17.100000000000001" customHeight="1" x14ac:dyDescent="0.2">
      <c r="A46" s="3">
        <v>40</v>
      </c>
      <c r="B46" s="4" t="s">
        <v>225</v>
      </c>
      <c r="C46" s="4" t="s">
        <v>226</v>
      </c>
      <c r="D46" s="4" t="s">
        <v>80</v>
      </c>
      <c r="E46" s="5">
        <v>200000</v>
      </c>
      <c r="F46" s="6">
        <v>552.29999999999995</v>
      </c>
      <c r="G46" s="7">
        <v>9.7320400000000008E-3</v>
      </c>
      <c r="H46" s="53"/>
    </row>
    <row r="47" spans="1:8" ht="17.100000000000001" customHeight="1" x14ac:dyDescent="0.2">
      <c r="A47" s="3">
        <v>41</v>
      </c>
      <c r="B47" s="4" t="s">
        <v>550</v>
      </c>
      <c r="C47" s="4" t="s">
        <v>551</v>
      </c>
      <c r="D47" s="4" t="s">
        <v>108</v>
      </c>
      <c r="E47" s="5">
        <v>35000</v>
      </c>
      <c r="F47" s="6">
        <v>551.39</v>
      </c>
      <c r="G47" s="7">
        <v>9.7160100000000006E-3</v>
      </c>
      <c r="H47" s="53"/>
    </row>
    <row r="48" spans="1:8" ht="29.1" customHeight="1" x14ac:dyDescent="0.2">
      <c r="A48" s="3">
        <v>42</v>
      </c>
      <c r="B48" s="4" t="s">
        <v>212</v>
      </c>
      <c r="C48" s="4" t="s">
        <v>213</v>
      </c>
      <c r="D48" s="4" t="s">
        <v>214</v>
      </c>
      <c r="E48" s="5">
        <v>50363</v>
      </c>
      <c r="F48" s="6">
        <v>549.43514849999997</v>
      </c>
      <c r="G48" s="7">
        <v>9.6815600000000005E-3</v>
      </c>
      <c r="H48" s="53"/>
    </row>
    <row r="49" spans="1:8" ht="17.100000000000001" customHeight="1" x14ac:dyDescent="0.2">
      <c r="A49" s="3">
        <v>43</v>
      </c>
      <c r="B49" s="4" t="s">
        <v>106</v>
      </c>
      <c r="C49" s="4" t="s">
        <v>107</v>
      </c>
      <c r="D49" s="4" t="s">
        <v>108</v>
      </c>
      <c r="E49" s="5">
        <v>5400</v>
      </c>
      <c r="F49" s="6">
        <v>540.20519999999999</v>
      </c>
      <c r="G49" s="7">
        <v>9.5189200000000002E-3</v>
      </c>
      <c r="H49" s="53"/>
    </row>
    <row r="50" spans="1:8" ht="29.1" customHeight="1" x14ac:dyDescent="0.2">
      <c r="A50" s="3">
        <v>44</v>
      </c>
      <c r="B50" s="4" t="s">
        <v>241</v>
      </c>
      <c r="C50" s="4" t="s">
        <v>242</v>
      </c>
      <c r="D50" s="4" t="s">
        <v>224</v>
      </c>
      <c r="E50" s="5">
        <v>14700</v>
      </c>
      <c r="F50" s="6">
        <v>535.49895000000004</v>
      </c>
      <c r="G50" s="7">
        <v>9.43599E-3</v>
      </c>
      <c r="H50" s="53"/>
    </row>
    <row r="51" spans="1:8" ht="17.100000000000001" customHeight="1" x14ac:dyDescent="0.2">
      <c r="A51" s="3">
        <v>45</v>
      </c>
      <c r="B51" s="4" t="s">
        <v>461</v>
      </c>
      <c r="C51" s="4" t="s">
        <v>462</v>
      </c>
      <c r="D51" s="4" t="s">
        <v>221</v>
      </c>
      <c r="E51" s="5">
        <v>41000</v>
      </c>
      <c r="F51" s="6">
        <v>529.94550000000004</v>
      </c>
      <c r="G51" s="7">
        <v>9.33814E-3</v>
      </c>
      <c r="H51" s="53"/>
    </row>
    <row r="52" spans="1:8" ht="17.100000000000001" customHeight="1" x14ac:dyDescent="0.2">
      <c r="A52" s="3">
        <v>46</v>
      </c>
      <c r="B52" s="4" t="s">
        <v>427</v>
      </c>
      <c r="C52" s="4" t="s">
        <v>428</v>
      </c>
      <c r="D52" s="4" t="s">
        <v>905</v>
      </c>
      <c r="E52" s="5">
        <v>45000</v>
      </c>
      <c r="F52" s="6">
        <v>529.15499999999997</v>
      </c>
      <c r="G52" s="7">
        <v>9.3242099999999994E-3</v>
      </c>
      <c r="H52" s="53"/>
    </row>
    <row r="53" spans="1:8" ht="17.100000000000001" customHeight="1" x14ac:dyDescent="0.2">
      <c r="A53" s="3">
        <v>47</v>
      </c>
      <c r="B53" s="4" t="s">
        <v>334</v>
      </c>
      <c r="C53" s="4" t="s">
        <v>335</v>
      </c>
      <c r="D53" s="4" t="s">
        <v>73</v>
      </c>
      <c r="E53" s="5">
        <v>17000</v>
      </c>
      <c r="F53" s="6">
        <v>527.75649999999996</v>
      </c>
      <c r="G53" s="7">
        <v>9.2995600000000001E-3</v>
      </c>
      <c r="H53" s="53"/>
    </row>
    <row r="54" spans="1:8" ht="17.100000000000001" customHeight="1" x14ac:dyDescent="0.2">
      <c r="A54" s="3">
        <v>48</v>
      </c>
      <c r="B54" s="4" t="s">
        <v>111</v>
      </c>
      <c r="C54" s="4" t="s">
        <v>112</v>
      </c>
      <c r="D54" s="4" t="s">
        <v>113</v>
      </c>
      <c r="E54" s="5">
        <v>295000</v>
      </c>
      <c r="F54" s="6">
        <v>513.74249999999995</v>
      </c>
      <c r="G54" s="7">
        <v>9.0526200000000008E-3</v>
      </c>
      <c r="H54" s="53"/>
    </row>
    <row r="55" spans="1:8" ht="29.1" customHeight="1" x14ac:dyDescent="0.2">
      <c r="A55" s="3">
        <v>49</v>
      </c>
      <c r="B55" s="4" t="s">
        <v>374</v>
      </c>
      <c r="C55" s="4" t="s">
        <v>375</v>
      </c>
      <c r="D55" s="4" t="s">
        <v>224</v>
      </c>
      <c r="E55" s="5">
        <v>40000</v>
      </c>
      <c r="F55" s="6">
        <v>503.04</v>
      </c>
      <c r="G55" s="7">
        <v>8.8640400000000001E-3</v>
      </c>
      <c r="H55" s="53"/>
    </row>
    <row r="56" spans="1:8" ht="17.100000000000001" customHeight="1" x14ac:dyDescent="0.2">
      <c r="A56" s="3">
        <v>50</v>
      </c>
      <c r="B56" s="4" t="s">
        <v>104</v>
      </c>
      <c r="C56" s="4" t="s">
        <v>105</v>
      </c>
      <c r="D56" s="4" t="s">
        <v>31</v>
      </c>
      <c r="E56" s="5">
        <v>29000</v>
      </c>
      <c r="F56" s="6">
        <v>495.2475</v>
      </c>
      <c r="G56" s="7">
        <v>8.7267200000000003E-3</v>
      </c>
      <c r="H56" s="53"/>
    </row>
    <row r="57" spans="1:8" ht="17.100000000000001" customHeight="1" x14ac:dyDescent="0.2">
      <c r="A57" s="3">
        <v>51</v>
      </c>
      <c r="B57" s="4" t="s">
        <v>366</v>
      </c>
      <c r="C57" s="4" t="s">
        <v>367</v>
      </c>
      <c r="D57" s="4" t="s">
        <v>130</v>
      </c>
      <c r="E57" s="5">
        <v>33000</v>
      </c>
      <c r="F57" s="6">
        <v>491.33699999999999</v>
      </c>
      <c r="G57" s="7">
        <v>8.6578200000000001E-3</v>
      </c>
      <c r="H57" s="53"/>
    </row>
    <row r="58" spans="1:8" ht="17.100000000000001" customHeight="1" x14ac:dyDescent="0.2">
      <c r="A58" s="3">
        <v>52</v>
      </c>
      <c r="B58" s="4" t="s">
        <v>81</v>
      </c>
      <c r="C58" s="4" t="s">
        <v>82</v>
      </c>
      <c r="D58" s="4" t="s">
        <v>59</v>
      </c>
      <c r="E58" s="5">
        <v>19000</v>
      </c>
      <c r="F58" s="6">
        <v>462.65</v>
      </c>
      <c r="G58" s="7">
        <v>8.1523299999999993E-3</v>
      </c>
      <c r="H58" s="53"/>
    </row>
    <row r="59" spans="1:8" ht="17.100000000000001" customHeight="1" x14ac:dyDescent="0.2">
      <c r="A59" s="3">
        <v>53</v>
      </c>
      <c r="B59" s="4" t="s">
        <v>57</v>
      </c>
      <c r="C59" s="4" t="s">
        <v>58</v>
      </c>
      <c r="D59" s="4" t="s">
        <v>59</v>
      </c>
      <c r="E59" s="5">
        <v>68282</v>
      </c>
      <c r="F59" s="6">
        <v>459.12816800000002</v>
      </c>
      <c r="G59" s="7">
        <v>8.0902700000000001E-3</v>
      </c>
      <c r="H59" s="53"/>
    </row>
    <row r="60" spans="1:8" ht="17.100000000000001" customHeight="1" x14ac:dyDescent="0.2">
      <c r="A60" s="3">
        <v>54</v>
      </c>
      <c r="B60" s="4" t="s">
        <v>395</v>
      </c>
      <c r="C60" s="4" t="s">
        <v>396</v>
      </c>
      <c r="D60" s="4" t="s">
        <v>397</v>
      </c>
      <c r="E60" s="5">
        <v>27000</v>
      </c>
      <c r="F60" s="6">
        <v>455.82749999999999</v>
      </c>
      <c r="G60" s="7">
        <v>8.0321100000000003E-3</v>
      </c>
      <c r="H60" s="53"/>
    </row>
    <row r="61" spans="1:8" ht="17.100000000000001" customHeight="1" x14ac:dyDescent="0.2">
      <c r="A61" s="3">
        <v>55</v>
      </c>
      <c r="B61" s="4" t="s">
        <v>348</v>
      </c>
      <c r="C61" s="4" t="s">
        <v>349</v>
      </c>
      <c r="D61" s="4" t="s">
        <v>206</v>
      </c>
      <c r="E61" s="5">
        <v>36000</v>
      </c>
      <c r="F61" s="6">
        <v>453.762</v>
      </c>
      <c r="G61" s="7">
        <v>7.9957099999999996E-3</v>
      </c>
      <c r="H61" s="53"/>
    </row>
    <row r="62" spans="1:8" ht="17.100000000000001" customHeight="1" x14ac:dyDescent="0.2">
      <c r="A62" s="3">
        <v>56</v>
      </c>
      <c r="B62" s="4" t="s">
        <v>561</v>
      </c>
      <c r="C62" s="4" t="s">
        <v>562</v>
      </c>
      <c r="D62" s="4" t="s">
        <v>238</v>
      </c>
      <c r="E62" s="5">
        <v>9850</v>
      </c>
      <c r="F62" s="6">
        <v>440.073375</v>
      </c>
      <c r="G62" s="7">
        <v>7.75451E-3</v>
      </c>
      <c r="H62" s="53"/>
    </row>
    <row r="63" spans="1:8" ht="17.100000000000001" customHeight="1" x14ac:dyDescent="0.2">
      <c r="A63" s="3">
        <v>57</v>
      </c>
      <c r="B63" s="4" t="s">
        <v>507</v>
      </c>
      <c r="C63" s="40" t="s">
        <v>963</v>
      </c>
      <c r="D63" s="4" t="s">
        <v>108</v>
      </c>
      <c r="E63" s="5">
        <v>110000</v>
      </c>
      <c r="F63" s="6">
        <v>439.45</v>
      </c>
      <c r="G63" s="7">
        <v>7.7435200000000003E-3</v>
      </c>
      <c r="H63" s="53"/>
    </row>
    <row r="64" spans="1:8" ht="17.100000000000001" customHeight="1" x14ac:dyDescent="0.2">
      <c r="A64" s="3">
        <v>58</v>
      </c>
      <c r="B64" s="4" t="s">
        <v>400</v>
      </c>
      <c r="C64" s="4" t="s">
        <v>401</v>
      </c>
      <c r="D64" s="4" t="s">
        <v>73</v>
      </c>
      <c r="E64" s="5">
        <v>36064</v>
      </c>
      <c r="F64" s="6">
        <v>437.20387199999999</v>
      </c>
      <c r="G64" s="7">
        <v>7.7039400000000003E-3</v>
      </c>
      <c r="H64" s="53"/>
    </row>
    <row r="65" spans="1:8" ht="17.100000000000001" customHeight="1" x14ac:dyDescent="0.2">
      <c r="A65" s="3">
        <v>59</v>
      </c>
      <c r="B65" s="4" t="s">
        <v>287</v>
      </c>
      <c r="C65" s="4" t="s">
        <v>288</v>
      </c>
      <c r="D65" s="4" t="s">
        <v>22</v>
      </c>
      <c r="E65" s="5">
        <v>165000</v>
      </c>
      <c r="F65" s="6">
        <v>409.36500000000001</v>
      </c>
      <c r="G65" s="7">
        <v>7.2133900000000001E-3</v>
      </c>
      <c r="H65" s="53"/>
    </row>
    <row r="66" spans="1:8" ht="17.100000000000001" customHeight="1" x14ac:dyDescent="0.2">
      <c r="A66" s="3">
        <v>60</v>
      </c>
      <c r="B66" s="4" t="s">
        <v>546</v>
      </c>
      <c r="C66" s="4" t="s">
        <v>547</v>
      </c>
      <c r="D66" s="4" t="s">
        <v>281</v>
      </c>
      <c r="E66" s="5">
        <v>40000</v>
      </c>
      <c r="F66" s="6">
        <v>403.02</v>
      </c>
      <c r="G66" s="7">
        <v>7.1015899999999996E-3</v>
      </c>
      <c r="H66" s="53"/>
    </row>
    <row r="67" spans="1:8" ht="29.1" customHeight="1" x14ac:dyDescent="0.2">
      <c r="A67" s="3">
        <v>61</v>
      </c>
      <c r="B67" s="4" t="s">
        <v>705</v>
      </c>
      <c r="C67" s="4" t="s">
        <v>706</v>
      </c>
      <c r="D67" s="4" t="s">
        <v>707</v>
      </c>
      <c r="E67" s="5">
        <v>10516</v>
      </c>
      <c r="F67" s="6">
        <v>384.47021799999999</v>
      </c>
      <c r="G67" s="7">
        <v>6.7747299999999996E-3</v>
      </c>
      <c r="H67" s="53"/>
    </row>
    <row r="68" spans="1:8" ht="17.100000000000001" customHeight="1" x14ac:dyDescent="0.2">
      <c r="A68" s="3">
        <v>62</v>
      </c>
      <c r="B68" s="4" t="s">
        <v>465</v>
      </c>
      <c r="C68" s="4" t="s">
        <v>466</v>
      </c>
      <c r="D68" s="4" t="s">
        <v>28</v>
      </c>
      <c r="E68" s="5">
        <v>20000</v>
      </c>
      <c r="F68" s="6">
        <v>351.75</v>
      </c>
      <c r="G68" s="7">
        <v>6.1981600000000003E-3</v>
      </c>
      <c r="H68" s="53"/>
    </row>
    <row r="69" spans="1:8" ht="29.1" customHeight="1" x14ac:dyDescent="0.2">
      <c r="A69" s="3">
        <v>63</v>
      </c>
      <c r="B69" s="4" t="s">
        <v>293</v>
      </c>
      <c r="C69" s="4" t="s">
        <v>294</v>
      </c>
      <c r="D69" s="4" t="s">
        <v>224</v>
      </c>
      <c r="E69" s="5">
        <v>4400</v>
      </c>
      <c r="F69" s="6">
        <v>312.61559999999997</v>
      </c>
      <c r="G69" s="7">
        <v>5.5085799999999999E-3</v>
      </c>
      <c r="H69" s="53"/>
    </row>
    <row r="70" spans="1:8" ht="17.100000000000001" customHeight="1" x14ac:dyDescent="0.2">
      <c r="A70" s="3">
        <v>64</v>
      </c>
      <c r="B70" s="4" t="s">
        <v>247</v>
      </c>
      <c r="C70" s="4" t="s">
        <v>248</v>
      </c>
      <c r="D70" s="4" t="s">
        <v>87</v>
      </c>
      <c r="E70" s="5">
        <v>6010</v>
      </c>
      <c r="F70" s="6">
        <v>311.393125</v>
      </c>
      <c r="G70" s="7">
        <v>5.4870400000000003E-3</v>
      </c>
      <c r="H70" s="53"/>
    </row>
    <row r="71" spans="1:8" ht="17.100000000000001" customHeight="1" x14ac:dyDescent="0.2">
      <c r="A71" s="3">
        <v>65</v>
      </c>
      <c r="B71" s="4" t="s">
        <v>497</v>
      </c>
      <c r="C71" s="4" t="s">
        <v>498</v>
      </c>
      <c r="D71" s="4" t="s">
        <v>397</v>
      </c>
      <c r="E71" s="5">
        <v>45000</v>
      </c>
      <c r="F71" s="6">
        <v>281.1825</v>
      </c>
      <c r="G71" s="7">
        <v>4.9547000000000002E-3</v>
      </c>
      <c r="H71" s="53"/>
    </row>
    <row r="72" spans="1:8" ht="17.100000000000001" customHeight="1" x14ac:dyDescent="0.2">
      <c r="A72" s="3">
        <v>66</v>
      </c>
      <c r="B72" s="4" t="s">
        <v>135</v>
      </c>
      <c r="C72" s="4" t="s">
        <v>136</v>
      </c>
      <c r="D72" s="4" t="s">
        <v>130</v>
      </c>
      <c r="E72" s="5">
        <v>94000</v>
      </c>
      <c r="F72" s="6">
        <v>219.49</v>
      </c>
      <c r="G72" s="7">
        <v>3.86762E-3</v>
      </c>
      <c r="H72" s="53"/>
    </row>
    <row r="73" spans="1:8" ht="17.100000000000001" customHeight="1" x14ac:dyDescent="0.2">
      <c r="A73" s="3">
        <v>67</v>
      </c>
      <c r="B73" s="4" t="s">
        <v>708</v>
      </c>
      <c r="C73" s="4" t="s">
        <v>709</v>
      </c>
      <c r="D73" s="4" t="s">
        <v>73</v>
      </c>
      <c r="E73" s="5">
        <v>46000</v>
      </c>
      <c r="F73" s="6">
        <v>187.26599999999999</v>
      </c>
      <c r="G73" s="7">
        <v>3.2997999999999999E-3</v>
      </c>
      <c r="H73" s="53"/>
    </row>
    <row r="74" spans="1:8" ht="17.100000000000001" customHeight="1" x14ac:dyDescent="0.2">
      <c r="A74" s="3">
        <v>68</v>
      </c>
      <c r="B74" s="4" t="s">
        <v>710</v>
      </c>
      <c r="C74" s="4" t="s">
        <v>711</v>
      </c>
      <c r="D74" s="4" t="s">
        <v>73</v>
      </c>
      <c r="E74" s="5">
        <v>13550</v>
      </c>
      <c r="F74" s="6">
        <v>151.942925</v>
      </c>
      <c r="G74" s="7">
        <v>2.67738E-3</v>
      </c>
      <c r="H74" s="53"/>
    </row>
    <row r="75" spans="1:8" ht="17.100000000000001" customHeight="1" x14ac:dyDescent="0.2">
      <c r="A75" s="3">
        <v>69</v>
      </c>
      <c r="B75" s="4" t="s">
        <v>954</v>
      </c>
      <c r="C75" s="4" t="s">
        <v>299</v>
      </c>
      <c r="D75" s="4" t="s">
        <v>130</v>
      </c>
      <c r="E75" s="5">
        <v>6010</v>
      </c>
      <c r="F75" s="6">
        <v>61.380130000000001</v>
      </c>
      <c r="G75" s="7">
        <v>1.08158E-3</v>
      </c>
      <c r="H75" s="53"/>
    </row>
    <row r="76" spans="1:8" ht="14.1" customHeight="1" x14ac:dyDescent="0.2">
      <c r="A76" s="1"/>
      <c r="B76" s="1"/>
      <c r="C76" s="2" t="s">
        <v>144</v>
      </c>
      <c r="D76" s="1"/>
      <c r="E76" s="1" t="s">
        <v>145</v>
      </c>
      <c r="F76" s="9">
        <v>53432.785967000003</v>
      </c>
      <c r="G76" s="10">
        <v>0.94153572999999968</v>
      </c>
      <c r="H76" s="53"/>
    </row>
    <row r="77" spans="1:8" ht="14.1" customHeight="1" x14ac:dyDescent="0.2">
      <c r="A77" s="1"/>
      <c r="B77" s="1"/>
      <c r="C77" s="11"/>
      <c r="D77" s="1"/>
      <c r="E77" s="1"/>
      <c r="F77" s="12"/>
      <c r="G77" s="12"/>
      <c r="H77" s="53"/>
    </row>
    <row r="78" spans="1:8" ht="14.1" customHeight="1" x14ac:dyDescent="0.2">
      <c r="A78" s="1"/>
      <c r="B78" s="1"/>
      <c r="C78" s="2" t="s">
        <v>146</v>
      </c>
      <c r="D78" s="1"/>
      <c r="E78" s="1"/>
      <c r="F78" s="1"/>
      <c r="G78" s="1"/>
      <c r="H78" s="53"/>
    </row>
    <row r="79" spans="1:8" ht="14.1" customHeight="1" x14ac:dyDescent="0.2">
      <c r="A79" s="1"/>
      <c r="B79" s="1"/>
      <c r="C79" s="2" t="s">
        <v>144</v>
      </c>
      <c r="D79" s="1"/>
      <c r="E79" s="1" t="s">
        <v>145</v>
      </c>
      <c r="F79" s="13" t="s">
        <v>147</v>
      </c>
      <c r="G79" s="10">
        <v>0</v>
      </c>
      <c r="H79" s="53"/>
    </row>
    <row r="80" spans="1:8" ht="14.1" customHeight="1" x14ac:dyDescent="0.2">
      <c r="A80" s="1"/>
      <c r="B80" s="1"/>
      <c r="C80" s="11"/>
      <c r="D80" s="1"/>
      <c r="E80" s="1"/>
      <c r="F80" s="12"/>
      <c r="G80" s="12"/>
      <c r="H80" s="53"/>
    </row>
    <row r="81" spans="1:8" ht="14.1" customHeight="1" x14ac:dyDescent="0.2">
      <c r="A81" s="1"/>
      <c r="B81" s="1"/>
      <c r="C81" s="2" t="s">
        <v>148</v>
      </c>
      <c r="D81" s="1"/>
      <c r="E81" s="1"/>
      <c r="F81" s="1"/>
      <c r="G81" s="1"/>
      <c r="H81" s="53"/>
    </row>
    <row r="82" spans="1:8" ht="17.100000000000001" customHeight="1" x14ac:dyDescent="0.2">
      <c r="A82" s="3">
        <v>1</v>
      </c>
      <c r="B82" s="4" t="s">
        <v>712</v>
      </c>
      <c r="C82" s="40" t="s">
        <v>887</v>
      </c>
      <c r="D82" s="4"/>
      <c r="E82" s="5">
        <v>50000</v>
      </c>
      <c r="F82" s="6">
        <v>5.72</v>
      </c>
      <c r="G82" s="7">
        <v>1.0079E-4</v>
      </c>
      <c r="H82" s="53"/>
    </row>
    <row r="83" spans="1:8" ht="17.100000000000001" customHeight="1" x14ac:dyDescent="0.2">
      <c r="A83" s="3">
        <v>2</v>
      </c>
      <c r="B83" s="4" t="s">
        <v>713</v>
      </c>
      <c r="C83" s="40" t="s">
        <v>889</v>
      </c>
      <c r="D83" s="4"/>
      <c r="E83" s="5">
        <v>50000</v>
      </c>
      <c r="F83" s="6">
        <v>4.9999999999999998E-7</v>
      </c>
      <c r="G83" s="8" t="s">
        <v>143</v>
      </c>
      <c r="H83" s="53"/>
    </row>
    <row r="84" spans="1:8" ht="17.100000000000001" customHeight="1" x14ac:dyDescent="0.2">
      <c r="A84" s="3">
        <v>3</v>
      </c>
      <c r="B84" s="4" t="s">
        <v>714</v>
      </c>
      <c r="C84" s="40" t="s">
        <v>888</v>
      </c>
      <c r="D84" s="4"/>
      <c r="E84" s="5">
        <v>200000</v>
      </c>
      <c r="F84" s="6">
        <v>1.9999999999999999E-6</v>
      </c>
      <c r="G84" s="8" t="s">
        <v>143</v>
      </c>
      <c r="H84" s="53"/>
    </row>
    <row r="85" spans="1:8" ht="17.100000000000001" customHeight="1" x14ac:dyDescent="0.2">
      <c r="A85" s="3">
        <v>4</v>
      </c>
      <c r="B85" s="4" t="s">
        <v>715</v>
      </c>
      <c r="C85" s="40" t="s">
        <v>890</v>
      </c>
      <c r="D85" s="4"/>
      <c r="E85" s="5">
        <v>20</v>
      </c>
      <c r="F85" s="6">
        <v>0</v>
      </c>
      <c r="G85" s="8" t="s">
        <v>143</v>
      </c>
      <c r="H85" s="53"/>
    </row>
    <row r="86" spans="1:8" ht="14.1" customHeight="1" x14ac:dyDescent="0.2">
      <c r="A86" s="1"/>
      <c r="B86" s="1"/>
      <c r="C86" s="2" t="s">
        <v>144</v>
      </c>
      <c r="D86" s="1"/>
      <c r="E86" s="1" t="s">
        <v>145</v>
      </c>
      <c r="F86" s="9">
        <v>5.7200024999999997</v>
      </c>
      <c r="G86" s="10">
        <v>1.0079E-4</v>
      </c>
      <c r="H86" s="53"/>
    </row>
    <row r="87" spans="1:8" ht="14.1" customHeight="1" x14ac:dyDescent="0.2">
      <c r="A87" s="1"/>
      <c r="B87" s="1"/>
      <c r="C87" s="11"/>
      <c r="D87" s="1"/>
      <c r="E87" s="1"/>
      <c r="F87" s="12"/>
      <c r="G87" s="12"/>
      <c r="H87" s="53"/>
    </row>
    <row r="88" spans="1:8" ht="14.1" customHeight="1" x14ac:dyDescent="0.2">
      <c r="A88" s="1"/>
      <c r="B88" s="1"/>
      <c r="C88" s="2" t="s">
        <v>149</v>
      </c>
      <c r="D88" s="1"/>
      <c r="E88" s="1"/>
      <c r="F88" s="1"/>
      <c r="G88" s="1"/>
      <c r="H88" s="53"/>
    </row>
    <row r="89" spans="1:8" ht="29.1" customHeight="1" x14ac:dyDescent="0.2">
      <c r="A89" s="3">
        <v>1</v>
      </c>
      <c r="B89" s="4" t="s">
        <v>307</v>
      </c>
      <c r="C89" s="4" t="s">
        <v>964</v>
      </c>
      <c r="D89" s="4" t="s">
        <v>87</v>
      </c>
      <c r="E89" s="5">
        <v>697160</v>
      </c>
      <c r="F89" s="6">
        <v>71.807479999999998</v>
      </c>
      <c r="G89" s="7">
        <v>1.2653199999999999E-3</v>
      </c>
      <c r="H89" s="53"/>
    </row>
    <row r="90" spans="1:8" ht="36.75" customHeight="1" x14ac:dyDescent="0.2">
      <c r="A90" s="3">
        <v>2</v>
      </c>
      <c r="B90" s="4" t="s">
        <v>955</v>
      </c>
      <c r="C90" s="4" t="s">
        <v>1165</v>
      </c>
      <c r="D90" s="4" t="s">
        <v>130</v>
      </c>
      <c r="E90" s="5">
        <v>697</v>
      </c>
      <c r="F90" s="6">
        <v>6.9700697000000006E-2</v>
      </c>
      <c r="G90" s="7" t="s">
        <v>143</v>
      </c>
      <c r="H90" s="53"/>
    </row>
    <row r="91" spans="1:8" ht="14.1" customHeight="1" x14ac:dyDescent="0.2">
      <c r="A91" s="1"/>
      <c r="B91" s="1"/>
      <c r="C91" s="2" t="s">
        <v>144</v>
      </c>
      <c r="D91" s="1"/>
      <c r="E91" s="1" t="s">
        <v>145</v>
      </c>
      <c r="F91" s="9">
        <v>71.877180697</v>
      </c>
      <c r="G91" s="10">
        <v>1.26655E-3</v>
      </c>
      <c r="H91" s="53"/>
    </row>
    <row r="92" spans="1:8" ht="14.1" customHeight="1" x14ac:dyDescent="0.2">
      <c r="A92" s="1"/>
      <c r="B92" s="1"/>
      <c r="C92" s="11"/>
      <c r="D92" s="1"/>
      <c r="E92" s="1"/>
      <c r="F92" s="12"/>
      <c r="G92" s="12"/>
      <c r="H92" s="53"/>
    </row>
    <row r="93" spans="1:8" ht="14.1" customHeight="1" x14ac:dyDescent="0.2">
      <c r="A93" s="1"/>
      <c r="B93" s="1"/>
      <c r="C93" s="2" t="s">
        <v>150</v>
      </c>
      <c r="D93" s="1"/>
      <c r="E93" s="1"/>
      <c r="F93" s="12"/>
      <c r="G93" s="12"/>
      <c r="H93" s="53"/>
    </row>
    <row r="94" spans="1:8" ht="14.1" customHeight="1" x14ac:dyDescent="0.2">
      <c r="A94" s="1"/>
      <c r="B94" s="1"/>
      <c r="C94" s="2" t="s">
        <v>144</v>
      </c>
      <c r="D94" s="1"/>
      <c r="E94" s="1" t="s">
        <v>145</v>
      </c>
      <c r="F94" s="13" t="s">
        <v>147</v>
      </c>
      <c r="G94" s="10">
        <v>0</v>
      </c>
      <c r="H94" s="53"/>
    </row>
    <row r="95" spans="1:8" ht="14.1" customHeight="1" x14ac:dyDescent="0.2">
      <c r="A95" s="1"/>
      <c r="B95" s="1"/>
      <c r="C95" s="11"/>
      <c r="D95" s="1"/>
      <c r="E95" s="1"/>
      <c r="F95" s="12"/>
      <c r="G95" s="12"/>
      <c r="H95" s="53"/>
    </row>
    <row r="96" spans="1:8" ht="14.1" customHeight="1" x14ac:dyDescent="0.2">
      <c r="A96" s="1"/>
      <c r="B96" s="1"/>
      <c r="C96" s="2" t="s">
        <v>151</v>
      </c>
      <c r="D96" s="1"/>
      <c r="E96" s="1"/>
      <c r="F96" s="12"/>
      <c r="G96" s="12"/>
      <c r="H96" s="53"/>
    </row>
    <row r="97" spans="1:8" ht="14.1" customHeight="1" x14ac:dyDescent="0.2">
      <c r="A97" s="1"/>
      <c r="B97" s="1"/>
      <c r="C97" s="2" t="s">
        <v>144</v>
      </c>
      <c r="D97" s="1"/>
      <c r="E97" s="1" t="s">
        <v>145</v>
      </c>
      <c r="F97" s="13" t="s">
        <v>147</v>
      </c>
      <c r="G97" s="10">
        <v>0</v>
      </c>
      <c r="H97" s="53"/>
    </row>
    <row r="98" spans="1:8" ht="14.1" customHeight="1" x14ac:dyDescent="0.2">
      <c r="A98" s="1"/>
      <c r="B98" s="1"/>
      <c r="C98" s="11"/>
      <c r="D98" s="1"/>
      <c r="E98" s="1"/>
      <c r="F98" s="12"/>
      <c r="G98" s="12"/>
      <c r="H98" s="53"/>
    </row>
    <row r="99" spans="1:8" ht="18" customHeight="1" x14ac:dyDescent="0.2">
      <c r="A99" s="1"/>
      <c r="B99" s="1"/>
      <c r="C99" s="2" t="s">
        <v>152</v>
      </c>
      <c r="D99" s="1"/>
      <c r="E99" s="1"/>
      <c r="F99" s="9">
        <v>53510.383150196998</v>
      </c>
      <c r="G99" s="10">
        <v>0.94290306999999995</v>
      </c>
      <c r="H99" s="53"/>
    </row>
    <row r="100" spans="1:8" ht="14.1" customHeight="1" x14ac:dyDescent="0.2">
      <c r="A100" s="1"/>
      <c r="B100" s="1"/>
      <c r="C100" s="11"/>
      <c r="D100" s="1"/>
      <c r="E100" s="1"/>
      <c r="F100" s="12"/>
      <c r="G100" s="12"/>
      <c r="H100" s="53"/>
    </row>
    <row r="101" spans="1:8" ht="14.1" customHeight="1" x14ac:dyDescent="0.2">
      <c r="A101" s="1"/>
      <c r="B101" s="1"/>
      <c r="C101" s="2" t="s">
        <v>153</v>
      </c>
      <c r="D101" s="1"/>
      <c r="E101" s="1"/>
      <c r="F101" s="12"/>
      <c r="G101" s="12"/>
      <c r="H101" s="53"/>
    </row>
    <row r="102" spans="1:8" ht="24" customHeight="1" x14ac:dyDescent="0.2">
      <c r="A102" s="1"/>
      <c r="B102" s="1"/>
      <c r="C102" s="2" t="s">
        <v>10</v>
      </c>
      <c r="D102" s="1"/>
      <c r="E102" s="1"/>
      <c r="F102" s="12"/>
      <c r="G102" s="12"/>
      <c r="H102" s="53"/>
    </row>
    <row r="103" spans="1:8" ht="29.1" customHeight="1" x14ac:dyDescent="0.2">
      <c r="A103" s="3">
        <v>1</v>
      </c>
      <c r="B103" s="4" t="s">
        <v>716</v>
      </c>
      <c r="C103" s="4" t="s">
        <v>717</v>
      </c>
      <c r="D103" s="4" t="s">
        <v>573</v>
      </c>
      <c r="E103" s="5">
        <v>4200</v>
      </c>
      <c r="F103" s="6">
        <v>1.1995753140000001</v>
      </c>
      <c r="G103" s="7" t="s">
        <v>143</v>
      </c>
      <c r="H103" s="53">
        <v>7.5179999999999998</v>
      </c>
    </row>
    <row r="104" spans="1:8" ht="14.1" customHeight="1" x14ac:dyDescent="0.2">
      <c r="A104" s="1"/>
      <c r="B104" s="1"/>
      <c r="C104" s="2" t="s">
        <v>144</v>
      </c>
      <c r="D104" s="1"/>
      <c r="E104" s="1" t="s">
        <v>145</v>
      </c>
      <c r="F104" s="9">
        <v>1.1995753140000001</v>
      </c>
      <c r="G104" s="10">
        <v>2.1140000000000001E-5</v>
      </c>
      <c r="H104" s="53"/>
    </row>
    <row r="105" spans="1:8" ht="14.1" customHeight="1" x14ac:dyDescent="0.2">
      <c r="A105" s="1"/>
      <c r="B105" s="1"/>
      <c r="C105" s="11"/>
      <c r="D105" s="1"/>
      <c r="E105" s="1"/>
      <c r="F105" s="12"/>
      <c r="G105" s="12"/>
      <c r="H105" s="53"/>
    </row>
    <row r="106" spans="1:8" ht="14.1" customHeight="1" x14ac:dyDescent="0.2">
      <c r="A106" s="1"/>
      <c r="B106" s="1"/>
      <c r="C106" s="2" t="s">
        <v>154</v>
      </c>
      <c r="D106" s="1"/>
      <c r="E106" s="1"/>
      <c r="F106" s="1"/>
      <c r="G106" s="1"/>
      <c r="H106" s="53"/>
    </row>
    <row r="107" spans="1:8" ht="14.1" customHeight="1" x14ac:dyDescent="0.2">
      <c r="A107" s="1"/>
      <c r="B107" s="1"/>
      <c r="C107" s="2" t="s">
        <v>144</v>
      </c>
      <c r="D107" s="1"/>
      <c r="E107" s="1" t="s">
        <v>145</v>
      </c>
      <c r="F107" s="13" t="s">
        <v>147</v>
      </c>
      <c r="G107" s="10">
        <v>0</v>
      </c>
      <c r="H107" s="53"/>
    </row>
    <row r="108" spans="1:8" ht="14.1" customHeight="1" x14ac:dyDescent="0.2">
      <c r="A108" s="1"/>
      <c r="B108" s="1"/>
      <c r="C108" s="11"/>
      <c r="D108" s="1"/>
      <c r="E108" s="1"/>
      <c r="F108" s="12"/>
      <c r="G108" s="12"/>
      <c r="H108" s="53"/>
    </row>
    <row r="109" spans="1:8" ht="14.1" customHeight="1" x14ac:dyDescent="0.2">
      <c r="A109" s="1"/>
      <c r="B109" s="1"/>
      <c r="C109" s="2" t="s">
        <v>155</v>
      </c>
      <c r="D109" s="1"/>
      <c r="E109" s="1"/>
      <c r="F109" s="1"/>
      <c r="G109" s="1"/>
      <c r="H109" s="53"/>
    </row>
    <row r="110" spans="1:8" ht="14.1" customHeight="1" x14ac:dyDescent="0.2">
      <c r="A110" s="1"/>
      <c r="B110" s="1"/>
      <c r="C110" s="2" t="s">
        <v>144</v>
      </c>
      <c r="D110" s="1"/>
      <c r="E110" s="1" t="s">
        <v>145</v>
      </c>
      <c r="F110" s="13" t="s">
        <v>147</v>
      </c>
      <c r="G110" s="10">
        <v>0</v>
      </c>
      <c r="H110" s="53"/>
    </row>
    <row r="111" spans="1:8" ht="14.1" customHeight="1" x14ac:dyDescent="0.2">
      <c r="A111" s="1"/>
      <c r="B111" s="1"/>
      <c r="C111" s="11"/>
      <c r="D111" s="1"/>
      <c r="E111" s="1"/>
      <c r="F111" s="12"/>
      <c r="G111" s="12"/>
      <c r="H111" s="53"/>
    </row>
    <row r="112" spans="1:8" ht="14.1" customHeight="1" x14ac:dyDescent="0.2">
      <c r="A112" s="1"/>
      <c r="B112" s="1"/>
      <c r="C112" s="2" t="s">
        <v>156</v>
      </c>
      <c r="D112" s="1"/>
      <c r="E112" s="1"/>
      <c r="F112" s="12"/>
      <c r="G112" s="12"/>
      <c r="H112" s="53"/>
    </row>
    <row r="113" spans="1:14" ht="14.1" customHeight="1" x14ac:dyDescent="0.2">
      <c r="A113" s="1"/>
      <c r="B113" s="1"/>
      <c r="C113" s="2" t="s">
        <v>144</v>
      </c>
      <c r="D113" s="1"/>
      <c r="E113" s="1" t="s">
        <v>145</v>
      </c>
      <c r="F113" s="13" t="s">
        <v>147</v>
      </c>
      <c r="G113" s="10">
        <v>0</v>
      </c>
      <c r="H113" s="53"/>
    </row>
    <row r="114" spans="1:14" ht="14.1" customHeight="1" x14ac:dyDescent="0.2">
      <c r="A114" s="1"/>
      <c r="B114" s="1"/>
      <c r="C114" s="11"/>
      <c r="D114" s="1"/>
      <c r="E114" s="1"/>
      <c r="F114" s="12"/>
      <c r="G114" s="12"/>
      <c r="H114" s="53"/>
    </row>
    <row r="115" spans="1:14" ht="14.1" customHeight="1" x14ac:dyDescent="0.2">
      <c r="A115" s="1"/>
      <c r="B115" s="1"/>
      <c r="C115" s="2" t="s">
        <v>157</v>
      </c>
      <c r="D115" s="1"/>
      <c r="E115" s="1"/>
      <c r="F115" s="9">
        <v>1.1995753140000001</v>
      </c>
      <c r="G115" s="10">
        <v>2.1140000000000001E-5</v>
      </c>
      <c r="H115" s="53"/>
    </row>
    <row r="116" spans="1:14" ht="14.1" customHeight="1" x14ac:dyDescent="0.2">
      <c r="A116" s="1"/>
      <c r="B116" s="1"/>
      <c r="C116" s="11"/>
      <c r="D116" s="1"/>
      <c r="E116" s="1"/>
      <c r="F116" s="12"/>
      <c r="G116" s="12"/>
      <c r="H116" s="53"/>
    </row>
    <row r="117" spans="1:14" ht="14.1" customHeight="1" x14ac:dyDescent="0.2">
      <c r="A117" s="1"/>
      <c r="B117" s="1"/>
      <c r="C117" s="2" t="s">
        <v>158</v>
      </c>
      <c r="D117" s="1"/>
      <c r="E117" s="1"/>
      <c r="F117" s="12"/>
      <c r="G117" s="12"/>
      <c r="H117" s="53"/>
    </row>
    <row r="118" spans="1:14" ht="14.1" customHeight="1" x14ac:dyDescent="0.2">
      <c r="A118" s="1"/>
      <c r="B118" s="1"/>
      <c r="C118" s="2" t="s">
        <v>159</v>
      </c>
      <c r="D118" s="1"/>
      <c r="E118" s="1"/>
      <c r="F118" s="12"/>
      <c r="G118" s="12"/>
      <c r="H118" s="53"/>
    </row>
    <row r="119" spans="1:14" ht="14.1" customHeight="1" x14ac:dyDescent="0.2">
      <c r="A119" s="1"/>
      <c r="B119" s="1"/>
      <c r="C119" s="2" t="s">
        <v>144</v>
      </c>
      <c r="D119" s="1"/>
      <c r="E119" s="1" t="s">
        <v>145</v>
      </c>
      <c r="F119" s="13" t="s">
        <v>147</v>
      </c>
      <c r="G119" s="10">
        <v>0</v>
      </c>
      <c r="H119" s="53"/>
    </row>
    <row r="120" spans="1:14" ht="14.1" customHeight="1" x14ac:dyDescent="0.2">
      <c r="A120" s="1"/>
      <c r="B120" s="1"/>
      <c r="C120" s="11"/>
      <c r="D120" s="1"/>
      <c r="E120" s="1"/>
      <c r="F120" s="12"/>
      <c r="G120" s="12"/>
      <c r="H120" s="53"/>
    </row>
    <row r="121" spans="1:14" ht="14.1" customHeight="1" x14ac:dyDescent="0.2">
      <c r="A121" s="1"/>
      <c r="B121" s="1"/>
      <c r="C121" s="2" t="s">
        <v>160</v>
      </c>
      <c r="D121" s="1"/>
      <c r="E121" s="1"/>
      <c r="F121" s="12"/>
      <c r="G121" s="12"/>
      <c r="H121" s="53"/>
      <c r="J121" s="54"/>
      <c r="K121" s="54"/>
      <c r="L121" s="54"/>
      <c r="M121" s="54"/>
      <c r="N121" s="54"/>
    </row>
    <row r="122" spans="1:14" ht="14.1" customHeight="1" x14ac:dyDescent="0.2">
      <c r="A122" s="1"/>
      <c r="B122" s="1"/>
      <c r="C122" s="2" t="s">
        <v>144</v>
      </c>
      <c r="D122" s="1"/>
      <c r="E122" s="1" t="s">
        <v>145</v>
      </c>
      <c r="F122" s="13" t="s">
        <v>147</v>
      </c>
      <c r="G122" s="10">
        <v>0</v>
      </c>
      <c r="H122" s="53"/>
    </row>
    <row r="123" spans="1:14" ht="14.1" customHeight="1" x14ac:dyDescent="0.2">
      <c r="A123" s="1"/>
      <c r="B123" s="1"/>
      <c r="C123" s="11"/>
      <c r="D123" s="1"/>
      <c r="E123" s="1"/>
      <c r="F123" s="12"/>
      <c r="G123" s="12"/>
      <c r="H123" s="53"/>
    </row>
    <row r="124" spans="1:14" ht="14.1" customHeight="1" x14ac:dyDescent="0.2">
      <c r="A124" s="1"/>
      <c r="B124" s="1"/>
      <c r="C124" s="2" t="s">
        <v>161</v>
      </c>
      <c r="D124" s="1"/>
      <c r="E124" s="1"/>
      <c r="F124" s="12"/>
      <c r="G124" s="12"/>
      <c r="H124" s="53"/>
    </row>
    <row r="125" spans="1:14" ht="14.1" customHeight="1" x14ac:dyDescent="0.2">
      <c r="A125" s="1"/>
      <c r="B125" s="1"/>
      <c r="C125" s="2" t="s">
        <v>144</v>
      </c>
      <c r="D125" s="1"/>
      <c r="E125" s="1" t="s">
        <v>145</v>
      </c>
      <c r="F125" s="13" t="s">
        <v>147</v>
      </c>
      <c r="G125" s="10">
        <v>0</v>
      </c>
      <c r="H125" s="53"/>
    </row>
    <row r="126" spans="1:14" ht="14.1" customHeight="1" x14ac:dyDescent="0.2">
      <c r="A126" s="1"/>
      <c r="B126" s="1"/>
      <c r="C126" s="11"/>
      <c r="D126" s="1"/>
      <c r="E126" s="1"/>
      <c r="F126" s="12"/>
      <c r="G126" s="12"/>
      <c r="H126" s="53"/>
    </row>
    <row r="127" spans="1:14" ht="14.1" customHeight="1" x14ac:dyDescent="0.2">
      <c r="A127" s="1"/>
      <c r="B127" s="1"/>
      <c r="C127" s="2" t="s">
        <v>162</v>
      </c>
      <c r="D127" s="1"/>
      <c r="E127" s="1"/>
      <c r="F127" s="12"/>
      <c r="G127" s="12"/>
      <c r="H127" s="53"/>
    </row>
    <row r="128" spans="1:14" ht="17.100000000000001" customHeight="1" x14ac:dyDescent="0.2">
      <c r="A128" s="3">
        <v>1</v>
      </c>
      <c r="B128" s="4"/>
      <c r="C128" s="4" t="s">
        <v>163</v>
      </c>
      <c r="D128" s="4"/>
      <c r="E128" s="8"/>
      <c r="F128" s="6">
        <v>1850.0841679939999</v>
      </c>
      <c r="G128" s="7">
        <v>3.2600209999999998E-2</v>
      </c>
      <c r="H128" s="51">
        <v>6.6602331647804478</v>
      </c>
    </row>
    <row r="129" spans="1:8" ht="17.100000000000001" customHeight="1" x14ac:dyDescent="0.2">
      <c r="A129" s="3">
        <v>2</v>
      </c>
      <c r="B129" s="4"/>
      <c r="C129" s="4" t="s">
        <v>164</v>
      </c>
      <c r="D129" s="4"/>
      <c r="E129" s="8"/>
      <c r="F129" s="6">
        <v>1414.4413658999999</v>
      </c>
      <c r="G129" s="7">
        <v>2.492378E-2</v>
      </c>
      <c r="H129" s="51">
        <v>6.6588225936582406</v>
      </c>
    </row>
    <row r="130" spans="1:8" ht="14.1" customHeight="1" x14ac:dyDescent="0.2">
      <c r="A130" s="1"/>
      <c r="B130" s="1"/>
      <c r="C130" s="2" t="s">
        <v>144</v>
      </c>
      <c r="D130" s="1"/>
      <c r="E130" s="1" t="s">
        <v>145</v>
      </c>
      <c r="F130" s="9">
        <v>3264.5255338940001</v>
      </c>
      <c r="G130" s="10">
        <v>5.7523989999999997E-2</v>
      </c>
      <c r="H130" s="53"/>
    </row>
    <row r="131" spans="1:8" ht="14.1" customHeight="1" x14ac:dyDescent="0.2">
      <c r="A131" s="1"/>
      <c r="B131" s="1"/>
      <c r="C131" s="11"/>
      <c r="D131" s="1"/>
      <c r="E131" s="1"/>
      <c r="F131" s="12"/>
      <c r="G131" s="12"/>
      <c r="H131" s="53"/>
    </row>
    <row r="132" spans="1:8" ht="14.1" customHeight="1" x14ac:dyDescent="0.2">
      <c r="A132" s="1"/>
      <c r="B132" s="1"/>
      <c r="C132" s="2" t="s">
        <v>165</v>
      </c>
      <c r="D132" s="1"/>
      <c r="E132" s="1"/>
      <c r="F132" s="9">
        <v>3264.5255338940001</v>
      </c>
      <c r="G132" s="10">
        <v>5.7523989999999997E-2</v>
      </c>
      <c r="H132" s="53"/>
    </row>
    <row r="133" spans="1:8" ht="14.1" customHeight="1" x14ac:dyDescent="0.2">
      <c r="A133" s="1"/>
      <c r="B133" s="1"/>
      <c r="C133" s="12"/>
      <c r="D133" s="1"/>
      <c r="E133" s="1"/>
      <c r="F133" s="1"/>
      <c r="G133" s="1"/>
      <c r="H133" s="53"/>
    </row>
    <row r="134" spans="1:8" ht="14.1" customHeight="1" x14ac:dyDescent="0.2">
      <c r="A134" s="1"/>
      <c r="B134" s="1"/>
      <c r="C134" s="2" t="s">
        <v>166</v>
      </c>
      <c r="D134" s="1"/>
      <c r="E134" s="1"/>
      <c r="F134" s="1"/>
      <c r="G134" s="1"/>
      <c r="H134" s="53"/>
    </row>
    <row r="135" spans="1:8" ht="14.1" customHeight="1" x14ac:dyDescent="0.2">
      <c r="A135" s="1"/>
      <c r="B135" s="1"/>
      <c r="C135" s="2" t="s">
        <v>167</v>
      </c>
      <c r="D135" s="1"/>
      <c r="E135" s="1"/>
      <c r="F135" s="1"/>
      <c r="G135" s="1"/>
      <c r="H135" s="53"/>
    </row>
    <row r="136" spans="1:8" ht="14.1" customHeight="1" x14ac:dyDescent="0.2">
      <c r="A136" s="1"/>
      <c r="B136" s="1"/>
      <c r="C136" s="2" t="s">
        <v>144</v>
      </c>
      <c r="D136" s="1"/>
      <c r="E136" s="1" t="s">
        <v>145</v>
      </c>
      <c r="F136" s="13" t="s">
        <v>147</v>
      </c>
      <c r="G136" s="10">
        <v>0</v>
      </c>
      <c r="H136" s="53"/>
    </row>
    <row r="137" spans="1:8" ht="14.1" customHeight="1" x14ac:dyDescent="0.2">
      <c r="A137" s="1"/>
      <c r="B137" s="1"/>
      <c r="C137" s="11"/>
      <c r="D137" s="1"/>
      <c r="E137" s="1"/>
      <c r="F137" s="12"/>
      <c r="G137" s="12"/>
      <c r="H137" s="53"/>
    </row>
    <row r="138" spans="1:8" ht="14.1" customHeight="1" x14ac:dyDescent="0.2">
      <c r="A138" s="1"/>
      <c r="B138" s="1"/>
      <c r="C138" s="2" t="s">
        <v>168</v>
      </c>
      <c r="D138" s="1"/>
      <c r="E138" s="1"/>
      <c r="F138" s="1"/>
      <c r="G138" s="1"/>
      <c r="H138" s="53"/>
    </row>
    <row r="139" spans="1:8" ht="14.1" customHeight="1" x14ac:dyDescent="0.2">
      <c r="A139" s="1"/>
      <c r="B139" s="1"/>
      <c r="C139" s="2" t="s">
        <v>169</v>
      </c>
      <c r="D139" s="1"/>
      <c r="E139" s="1"/>
      <c r="F139" s="1"/>
      <c r="G139" s="1"/>
      <c r="H139" s="53"/>
    </row>
    <row r="140" spans="1:8" ht="14.1" customHeight="1" x14ac:dyDescent="0.2">
      <c r="A140" s="1"/>
      <c r="B140" s="1"/>
      <c r="C140" s="2" t="s">
        <v>144</v>
      </c>
      <c r="D140" s="1"/>
      <c r="E140" s="1" t="s">
        <v>145</v>
      </c>
      <c r="F140" s="13" t="s">
        <v>147</v>
      </c>
      <c r="G140" s="10">
        <v>0</v>
      </c>
      <c r="H140" s="53"/>
    </row>
    <row r="141" spans="1:8" ht="14.1" customHeight="1" x14ac:dyDescent="0.2">
      <c r="A141" s="1"/>
      <c r="B141" s="1"/>
      <c r="C141" s="11"/>
      <c r="D141" s="1"/>
      <c r="E141" s="1"/>
      <c r="F141" s="12"/>
      <c r="G141" s="12"/>
      <c r="H141" s="53"/>
    </row>
    <row r="142" spans="1:8" ht="24" customHeight="1" x14ac:dyDescent="0.2">
      <c r="A142" s="1"/>
      <c r="B142" s="1"/>
      <c r="C142" s="2" t="s">
        <v>170</v>
      </c>
      <c r="D142" s="1"/>
      <c r="E142" s="1"/>
      <c r="F142" s="12"/>
      <c r="G142" s="12"/>
      <c r="H142" s="53"/>
    </row>
    <row r="143" spans="1:8" ht="14.1" customHeight="1" x14ac:dyDescent="0.2">
      <c r="A143" s="1"/>
      <c r="B143" s="1"/>
      <c r="C143" s="2" t="s">
        <v>144</v>
      </c>
      <c r="D143" s="1"/>
      <c r="E143" s="1" t="s">
        <v>145</v>
      </c>
      <c r="F143" s="13" t="s">
        <v>147</v>
      </c>
      <c r="G143" s="10">
        <v>0</v>
      </c>
      <c r="H143" s="53"/>
    </row>
    <row r="144" spans="1:8" ht="14.1" customHeight="1" x14ac:dyDescent="0.2">
      <c r="A144" s="1"/>
      <c r="B144" s="1"/>
      <c r="C144" s="11"/>
      <c r="D144" s="1"/>
      <c r="E144" s="1"/>
      <c r="F144" s="12"/>
      <c r="G144" s="12"/>
      <c r="H144" s="53"/>
    </row>
    <row r="145" spans="1:8" ht="14.1" customHeight="1" x14ac:dyDescent="0.2">
      <c r="A145" s="1"/>
      <c r="B145" s="4"/>
      <c r="C145" s="4"/>
      <c r="D145" s="2"/>
      <c r="E145" s="1"/>
      <c r="F145" s="4"/>
      <c r="G145" s="8"/>
      <c r="H145" s="53"/>
    </row>
    <row r="146" spans="1:8" ht="18" customHeight="1" x14ac:dyDescent="0.2">
      <c r="A146" s="8"/>
      <c r="B146" s="4"/>
      <c r="C146" s="40" t="s">
        <v>961</v>
      </c>
      <c r="D146" s="4"/>
      <c r="E146" s="8"/>
      <c r="F146" s="6">
        <v>-25.432544020000002</v>
      </c>
      <c r="G146" s="7">
        <v>-4.4815000000000002E-4</v>
      </c>
      <c r="H146" s="53"/>
    </row>
    <row r="147" spans="1:8" ht="14.1" customHeight="1" x14ac:dyDescent="0.2">
      <c r="A147" s="11"/>
      <c r="B147" s="11"/>
      <c r="C147" s="2" t="s">
        <v>172</v>
      </c>
      <c r="D147" s="12"/>
      <c r="E147" s="12"/>
      <c r="F147" s="9">
        <v>56750.675715384998</v>
      </c>
      <c r="G147" s="14">
        <v>1.0000000499999999</v>
      </c>
      <c r="H147" s="53"/>
    </row>
    <row r="148" spans="1:8" ht="14.1" customHeight="1" x14ac:dyDescent="0.2">
      <c r="A148" s="15"/>
      <c r="B148" s="15"/>
      <c r="C148" s="15"/>
      <c r="D148" s="16"/>
      <c r="E148" s="16"/>
      <c r="F148" s="16"/>
      <c r="G148" s="16"/>
    </row>
    <row r="149" spans="1:8" ht="17.100000000000001" customHeight="1" x14ac:dyDescent="0.2">
      <c r="A149" s="41"/>
      <c r="B149" s="239" t="s">
        <v>907</v>
      </c>
      <c r="C149" s="239"/>
      <c r="D149" s="239"/>
      <c r="E149" s="239"/>
      <c r="F149" s="239"/>
      <c r="G149" s="45"/>
    </row>
    <row r="150" spans="1:8" ht="17.100000000000001" customHeight="1" x14ac:dyDescent="0.2">
      <c r="A150" s="17"/>
      <c r="B150" s="230" t="s">
        <v>173</v>
      </c>
      <c r="C150" s="230"/>
      <c r="D150" s="230"/>
      <c r="E150" s="230"/>
      <c r="F150" s="230"/>
      <c r="G150" s="19"/>
    </row>
    <row r="151" spans="1:8" ht="17.100000000000001" customHeight="1" x14ac:dyDescent="0.2">
      <c r="A151" s="41"/>
      <c r="B151" s="239" t="s">
        <v>962</v>
      </c>
      <c r="C151" s="239"/>
      <c r="D151" s="239"/>
      <c r="E151" s="239"/>
      <c r="F151" s="239"/>
      <c r="G151" s="45"/>
    </row>
    <row r="152" spans="1:8" ht="14.1" customHeight="1" x14ac:dyDescent="0.2">
      <c r="A152" s="17"/>
      <c r="B152" s="17"/>
      <c r="C152" s="17"/>
      <c r="D152" s="19"/>
      <c r="E152" s="19"/>
      <c r="F152" s="19"/>
      <c r="G152" s="19"/>
    </row>
    <row r="153" spans="1:8" ht="14.1" customHeight="1" x14ac:dyDescent="0.2">
      <c r="A153" s="17"/>
      <c r="B153" s="231" t="s">
        <v>174</v>
      </c>
      <c r="C153" s="232"/>
      <c r="D153" s="233"/>
      <c r="E153" s="20"/>
      <c r="F153" s="19"/>
      <c r="G153" s="19"/>
    </row>
    <row r="154" spans="1:8" ht="29.1" customHeight="1" x14ac:dyDescent="0.2">
      <c r="A154" s="17"/>
      <c r="B154" s="226" t="s">
        <v>175</v>
      </c>
      <c r="C154" s="227"/>
      <c r="D154" s="42" t="s">
        <v>1006</v>
      </c>
      <c r="E154" s="20"/>
      <c r="F154" s="19"/>
      <c r="G154" s="19"/>
    </row>
    <row r="155" spans="1:8" ht="42" customHeight="1" x14ac:dyDescent="0.2">
      <c r="A155" s="17"/>
      <c r="B155" s="226" t="s">
        <v>1166</v>
      </c>
      <c r="C155" s="227"/>
      <c r="D155" s="2" t="s">
        <v>1163</v>
      </c>
      <c r="E155" s="20"/>
      <c r="F155" s="19"/>
      <c r="G155" s="19"/>
    </row>
    <row r="156" spans="1:8" ht="17.100000000000001" customHeight="1" x14ac:dyDescent="0.2">
      <c r="A156" s="17"/>
      <c r="B156" s="226" t="s">
        <v>178</v>
      </c>
      <c r="C156" s="227"/>
      <c r="D156" s="12" t="s">
        <v>145</v>
      </c>
      <c r="E156" s="20"/>
      <c r="F156" s="19"/>
      <c r="G156" s="19"/>
    </row>
    <row r="157" spans="1:8" ht="24" customHeight="1" x14ac:dyDescent="0.2">
      <c r="A157" s="21"/>
      <c r="B157" s="22" t="s">
        <v>145</v>
      </c>
      <c r="C157" s="22" t="s">
        <v>179</v>
      </c>
      <c r="D157" s="22" t="s">
        <v>180</v>
      </c>
      <c r="E157" s="21"/>
      <c r="F157" s="21"/>
      <c r="G157" s="21"/>
    </row>
    <row r="158" spans="1:8" ht="18" customHeight="1" x14ac:dyDescent="0.2">
      <c r="A158" s="21"/>
      <c r="B158" s="23" t="s">
        <v>181</v>
      </c>
      <c r="C158" s="22" t="s">
        <v>182</v>
      </c>
      <c r="D158" s="22" t="s">
        <v>183</v>
      </c>
      <c r="E158" s="21"/>
      <c r="F158" s="21"/>
      <c r="G158" s="21"/>
    </row>
    <row r="159" spans="1:8" ht="17.100000000000001" customHeight="1" x14ac:dyDescent="0.2">
      <c r="A159" s="21"/>
      <c r="B159" s="4" t="s">
        <v>184</v>
      </c>
      <c r="C159" s="24">
        <v>105.2436</v>
      </c>
      <c r="D159" s="24">
        <v>104.7302</v>
      </c>
      <c r="E159" s="21"/>
      <c r="F159" s="18"/>
      <c r="G159" s="25"/>
    </row>
    <row r="160" spans="1:8" ht="29.1" customHeight="1" x14ac:dyDescent="0.2">
      <c r="A160" s="21"/>
      <c r="B160" s="4" t="s">
        <v>1012</v>
      </c>
      <c r="C160" s="24">
        <v>54.227899999999998</v>
      </c>
      <c r="D160" s="24">
        <v>53.9634</v>
      </c>
      <c r="E160" s="21"/>
      <c r="F160" s="18"/>
      <c r="G160" s="25"/>
    </row>
    <row r="161" spans="1:7" ht="17.100000000000001" customHeight="1" x14ac:dyDescent="0.2">
      <c r="A161" s="21"/>
      <c r="B161" s="4" t="s">
        <v>185</v>
      </c>
      <c r="C161" s="24">
        <v>98.853700000000003</v>
      </c>
      <c r="D161" s="24">
        <v>98.286699999999996</v>
      </c>
      <c r="E161" s="21"/>
      <c r="F161" s="18"/>
      <c r="G161" s="25"/>
    </row>
    <row r="162" spans="1:7" ht="29.1" customHeight="1" x14ac:dyDescent="0.2">
      <c r="A162" s="21"/>
      <c r="B162" s="4" t="s">
        <v>1013</v>
      </c>
      <c r="C162" s="24">
        <v>33.209099999999999</v>
      </c>
      <c r="D162" s="24">
        <v>33.018599999999999</v>
      </c>
      <c r="E162" s="21"/>
      <c r="F162" s="18"/>
      <c r="G162" s="25"/>
    </row>
    <row r="163" spans="1:7" ht="14.1" customHeight="1" x14ac:dyDescent="0.2">
      <c r="A163" s="21"/>
      <c r="B163" s="21"/>
      <c r="C163" s="21"/>
      <c r="D163" s="21"/>
      <c r="E163" s="21"/>
      <c r="F163" s="21"/>
      <c r="G163" s="21"/>
    </row>
    <row r="164" spans="1:7" ht="17.100000000000001" customHeight="1" x14ac:dyDescent="0.2">
      <c r="A164" s="21"/>
      <c r="B164" s="226" t="s">
        <v>1011</v>
      </c>
      <c r="C164" s="227"/>
      <c r="D164" s="2" t="s">
        <v>176</v>
      </c>
      <c r="E164" s="21"/>
      <c r="F164" s="21"/>
      <c r="G164" s="21"/>
    </row>
    <row r="165" spans="1:7" ht="18" customHeight="1" x14ac:dyDescent="0.2">
      <c r="A165" s="21"/>
      <c r="B165" s="26"/>
      <c r="C165" s="26"/>
      <c r="D165" s="26"/>
      <c r="E165" s="21"/>
      <c r="F165" s="21"/>
      <c r="G165" s="21"/>
    </row>
    <row r="166" spans="1:7" ht="29.1" customHeight="1" x14ac:dyDescent="0.2">
      <c r="A166" s="21"/>
      <c r="B166" s="226" t="s">
        <v>186</v>
      </c>
      <c r="C166" s="227"/>
      <c r="D166" s="2" t="s">
        <v>176</v>
      </c>
      <c r="E166" s="27"/>
      <c r="F166" s="21"/>
      <c r="G166" s="21"/>
    </row>
    <row r="167" spans="1:7" ht="29.1" customHeight="1" x14ac:dyDescent="0.2">
      <c r="A167" s="21"/>
      <c r="B167" s="226" t="s">
        <v>187</v>
      </c>
      <c r="C167" s="227"/>
      <c r="D167" s="2" t="s">
        <v>176</v>
      </c>
      <c r="E167" s="27"/>
      <c r="F167" s="21"/>
      <c r="G167" s="21"/>
    </row>
    <row r="168" spans="1:7" ht="17.100000000000001" customHeight="1" x14ac:dyDescent="0.2">
      <c r="A168" s="21"/>
      <c r="B168" s="226" t="s">
        <v>188</v>
      </c>
      <c r="C168" s="227"/>
      <c r="D168" s="2" t="s">
        <v>176</v>
      </c>
      <c r="E168" s="27"/>
      <c r="F168" s="21"/>
      <c r="G168" s="21"/>
    </row>
    <row r="169" spans="1:7" ht="17.100000000000001" customHeight="1" x14ac:dyDescent="0.2">
      <c r="A169" s="21"/>
      <c r="B169" s="226" t="s">
        <v>189</v>
      </c>
      <c r="C169" s="227"/>
      <c r="D169" s="57">
        <v>0.27119364736978691</v>
      </c>
      <c r="E169" s="21"/>
      <c r="F169" s="18"/>
      <c r="G169" s="25"/>
    </row>
    <row r="171" spans="1:7" x14ac:dyDescent="0.2">
      <c r="B171" s="112" t="s">
        <v>1004</v>
      </c>
      <c r="C171" s="112"/>
      <c r="D171" s="112"/>
      <c r="E171" s="116"/>
      <c r="F171" s="117"/>
    </row>
    <row r="172" spans="1:7" ht="38.25" x14ac:dyDescent="0.2">
      <c r="B172" s="118" t="s">
        <v>972</v>
      </c>
      <c r="C172" s="119" t="s">
        <v>973</v>
      </c>
      <c r="D172" s="119" t="s">
        <v>974</v>
      </c>
      <c r="E172" s="119" t="s">
        <v>975</v>
      </c>
      <c r="F172" s="119" t="s">
        <v>976</v>
      </c>
    </row>
    <row r="173" spans="1:7" ht="25.5" x14ac:dyDescent="0.2">
      <c r="B173" s="120" t="s">
        <v>999</v>
      </c>
      <c r="C173" s="121" t="s">
        <v>1000</v>
      </c>
      <c r="D173" s="122">
        <v>0</v>
      </c>
      <c r="E173" s="123">
        <v>0</v>
      </c>
      <c r="F173" s="124">
        <v>241.97234</v>
      </c>
    </row>
    <row r="174" spans="1:7" ht="25.5" x14ac:dyDescent="0.2">
      <c r="B174" s="120" t="s">
        <v>1001</v>
      </c>
      <c r="C174" s="121" t="s">
        <v>1000</v>
      </c>
      <c r="D174" s="122">
        <v>0</v>
      </c>
      <c r="E174" s="123">
        <v>0</v>
      </c>
      <c r="F174" s="124">
        <v>23.186299999999999</v>
      </c>
    </row>
  </sheetData>
  <mergeCells count="16">
    <mergeCell ref="A1:H1"/>
    <mergeCell ref="A2:H2"/>
    <mergeCell ref="A3:H3"/>
    <mergeCell ref="B154:C154"/>
    <mergeCell ref="B149:F149"/>
    <mergeCell ref="B150:F150"/>
    <mergeCell ref="B153:D153"/>
    <mergeCell ref="B151:F151"/>
    <mergeCell ref="J2:N2"/>
    <mergeCell ref="B169:C169"/>
    <mergeCell ref="B155:C155"/>
    <mergeCell ref="B156:C156"/>
    <mergeCell ref="B164:C164"/>
    <mergeCell ref="B166:C166"/>
    <mergeCell ref="B167:C167"/>
    <mergeCell ref="B168:C168"/>
  </mergeCells>
  <hyperlinks>
    <hyperlink ref="I1" location="Index!B20" display="Index" xr:uid="{34E5595F-C389-470D-8016-6BD21097DC3D}"/>
  </hyperlinks>
  <pageMargins left="5.000000074505806E-2" right="5.000000074505806E-2" top="0.30000001192092896" bottom="0.20000000298023224" header="0" footer="0"/>
  <pageSetup paperSize="9"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N20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9" width="11.42578125" bestFit="1"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718</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131" t="s">
        <v>1023</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310</v>
      </c>
      <c r="C7" s="4" t="s">
        <v>311</v>
      </c>
      <c r="D7" s="4" t="s">
        <v>28</v>
      </c>
      <c r="E7" s="5">
        <v>280663</v>
      </c>
      <c r="F7" s="6">
        <v>4410.4787134999997</v>
      </c>
      <c r="G7" s="7">
        <v>7.5059479999999998E-2</v>
      </c>
      <c r="H7" s="53"/>
    </row>
    <row r="8" spans="1:14" ht="17.100000000000001" customHeight="1" x14ac:dyDescent="0.2">
      <c r="A8" s="3">
        <v>2</v>
      </c>
      <c r="B8" s="4" t="s">
        <v>26</v>
      </c>
      <c r="C8" s="4" t="s">
        <v>27</v>
      </c>
      <c r="D8" s="4" t="s">
        <v>28</v>
      </c>
      <c r="E8" s="5">
        <v>302700</v>
      </c>
      <c r="F8" s="6">
        <v>2902.13625</v>
      </c>
      <c r="G8" s="7">
        <v>4.9389839999999997E-2</v>
      </c>
      <c r="H8" s="53"/>
    </row>
    <row r="9" spans="1:14" ht="17.100000000000001" customHeight="1" x14ac:dyDescent="0.2">
      <c r="A9" s="3">
        <v>3</v>
      </c>
      <c r="B9" s="4" t="s">
        <v>312</v>
      </c>
      <c r="C9" s="4" t="s">
        <v>313</v>
      </c>
      <c r="D9" s="40" t="s">
        <v>905</v>
      </c>
      <c r="E9" s="5">
        <v>165900</v>
      </c>
      <c r="F9" s="6">
        <v>2381.4115499999998</v>
      </c>
      <c r="G9" s="7">
        <v>4.0527920000000002E-2</v>
      </c>
      <c r="H9" s="53"/>
    </row>
    <row r="10" spans="1:14" ht="17.100000000000001" customHeight="1" x14ac:dyDescent="0.2">
      <c r="A10" s="3">
        <v>4</v>
      </c>
      <c r="B10" s="4" t="s">
        <v>565</v>
      </c>
      <c r="C10" s="4" t="s">
        <v>566</v>
      </c>
      <c r="D10" s="4" t="s">
        <v>905</v>
      </c>
      <c r="E10" s="5">
        <v>160600</v>
      </c>
      <c r="F10" s="6">
        <v>1930.3317</v>
      </c>
      <c r="G10" s="7">
        <v>3.2851239999999997E-2</v>
      </c>
      <c r="H10" s="53"/>
    </row>
    <row r="11" spans="1:14" ht="17.100000000000001" customHeight="1" x14ac:dyDescent="0.2">
      <c r="A11" s="3">
        <v>5</v>
      </c>
      <c r="B11" s="4" t="s">
        <v>336</v>
      </c>
      <c r="C11" s="4" t="s">
        <v>337</v>
      </c>
      <c r="D11" s="4" t="s">
        <v>331</v>
      </c>
      <c r="E11" s="5">
        <v>72000</v>
      </c>
      <c r="F11" s="6">
        <v>1803.636</v>
      </c>
      <c r="G11" s="7">
        <v>3.069508E-2</v>
      </c>
      <c r="H11" s="53"/>
      <c r="K11" s="147"/>
      <c r="L11" s="147"/>
      <c r="M11" s="147"/>
      <c r="N11" s="147"/>
    </row>
    <row r="12" spans="1:14" ht="17.100000000000001" customHeight="1" x14ac:dyDescent="0.2">
      <c r="A12" s="3">
        <v>6</v>
      </c>
      <c r="B12" s="4" t="s">
        <v>20</v>
      </c>
      <c r="C12" s="4" t="s">
        <v>21</v>
      </c>
      <c r="D12" s="4" t="s">
        <v>22</v>
      </c>
      <c r="E12" s="5">
        <v>69250</v>
      </c>
      <c r="F12" s="6">
        <v>1666.8475000000001</v>
      </c>
      <c r="G12" s="7">
        <v>2.8367150000000001E-2</v>
      </c>
      <c r="H12" s="53"/>
    </row>
    <row r="13" spans="1:14" ht="17.100000000000001" customHeight="1" x14ac:dyDescent="0.2">
      <c r="A13" s="3">
        <v>7</v>
      </c>
      <c r="B13" s="4" t="s">
        <v>32</v>
      </c>
      <c r="C13" s="4" t="s">
        <v>33</v>
      </c>
      <c r="D13" s="4" t="s">
        <v>28</v>
      </c>
      <c r="E13" s="5">
        <v>293500</v>
      </c>
      <c r="F13" s="6">
        <v>1647.5622499999999</v>
      </c>
      <c r="G13" s="7">
        <v>2.8038939999999998E-2</v>
      </c>
      <c r="H13" s="53"/>
      <c r="J13" s="142" t="s">
        <v>1047</v>
      </c>
    </row>
    <row r="14" spans="1:14" ht="17.100000000000001" customHeight="1" x14ac:dyDescent="0.2">
      <c r="A14" s="3">
        <v>8</v>
      </c>
      <c r="B14" s="4" t="s">
        <v>346</v>
      </c>
      <c r="C14" s="4" t="s">
        <v>347</v>
      </c>
      <c r="D14" s="4" t="s">
        <v>108</v>
      </c>
      <c r="E14" s="5">
        <v>213750</v>
      </c>
      <c r="F14" s="6">
        <v>1284.6375</v>
      </c>
      <c r="G14" s="7">
        <v>2.1862530000000002E-2</v>
      </c>
      <c r="H14" s="53"/>
    </row>
    <row r="15" spans="1:14" ht="29.1" customHeight="1" x14ac:dyDescent="0.2">
      <c r="A15" s="3">
        <v>9</v>
      </c>
      <c r="B15" s="4" t="s">
        <v>320</v>
      </c>
      <c r="C15" s="4" t="s">
        <v>321</v>
      </c>
      <c r="D15" s="4" t="s">
        <v>224</v>
      </c>
      <c r="E15" s="5">
        <v>19000</v>
      </c>
      <c r="F15" s="6">
        <v>1065.4915000000001</v>
      </c>
      <c r="G15" s="7">
        <v>1.8133010000000001E-2</v>
      </c>
      <c r="H15" s="53"/>
    </row>
    <row r="16" spans="1:14" ht="17.100000000000001" customHeight="1" x14ac:dyDescent="0.2">
      <c r="A16" s="3">
        <v>10</v>
      </c>
      <c r="B16" s="4" t="s">
        <v>352</v>
      </c>
      <c r="C16" s="4" t="s">
        <v>353</v>
      </c>
      <c r="D16" s="4" t="s">
        <v>95</v>
      </c>
      <c r="E16" s="5">
        <v>814000</v>
      </c>
      <c r="F16" s="6">
        <v>1000.4059999999999</v>
      </c>
      <c r="G16" s="7">
        <v>1.7025350000000002E-2</v>
      </c>
      <c r="H16" s="53"/>
    </row>
    <row r="17" spans="1:14" ht="17.100000000000001" customHeight="1" x14ac:dyDescent="0.2">
      <c r="A17" s="3">
        <v>11</v>
      </c>
      <c r="B17" s="4" t="s">
        <v>100</v>
      </c>
      <c r="C17" s="4" t="s">
        <v>101</v>
      </c>
      <c r="D17" s="4" t="s">
        <v>41</v>
      </c>
      <c r="E17" s="5">
        <v>375418</v>
      </c>
      <c r="F17" s="6">
        <v>994.85770000000002</v>
      </c>
      <c r="G17" s="7">
        <v>1.693093E-2</v>
      </c>
      <c r="H17" s="53"/>
    </row>
    <row r="18" spans="1:14" ht="17.100000000000001" customHeight="1" x14ac:dyDescent="0.2">
      <c r="A18" s="3">
        <v>12</v>
      </c>
      <c r="B18" s="4" t="s">
        <v>106</v>
      </c>
      <c r="C18" s="4" t="s">
        <v>107</v>
      </c>
      <c r="D18" s="4" t="s">
        <v>108</v>
      </c>
      <c r="E18" s="5">
        <v>9000</v>
      </c>
      <c r="F18" s="6">
        <v>900.34199999999998</v>
      </c>
      <c r="G18" s="7">
        <v>1.532242E-2</v>
      </c>
      <c r="H18" s="53"/>
    </row>
    <row r="19" spans="1:14" ht="29.1" customHeight="1" x14ac:dyDescent="0.2">
      <c r="A19" s="3">
        <v>13</v>
      </c>
      <c r="B19" s="4" t="s">
        <v>487</v>
      </c>
      <c r="C19" s="4" t="s">
        <v>488</v>
      </c>
      <c r="D19" s="4" t="s">
        <v>73</v>
      </c>
      <c r="E19" s="5">
        <v>70000</v>
      </c>
      <c r="F19" s="6">
        <v>881.65</v>
      </c>
      <c r="G19" s="7">
        <v>1.500431E-2</v>
      </c>
      <c r="H19" s="53"/>
    </row>
    <row r="20" spans="1:14" ht="17.100000000000001" customHeight="1" x14ac:dyDescent="0.2">
      <c r="A20" s="3">
        <v>14</v>
      </c>
      <c r="B20" s="4" t="s">
        <v>501</v>
      </c>
      <c r="C20" s="4" t="s">
        <v>502</v>
      </c>
      <c r="D20" s="4" t="s">
        <v>397</v>
      </c>
      <c r="E20" s="5">
        <v>15000</v>
      </c>
      <c r="F20" s="6">
        <v>877.5675</v>
      </c>
      <c r="G20" s="7">
        <v>1.493483E-2</v>
      </c>
      <c r="H20" s="53"/>
    </row>
    <row r="21" spans="1:14" ht="29.1" customHeight="1" x14ac:dyDescent="0.2">
      <c r="A21" s="3">
        <v>15</v>
      </c>
      <c r="B21" s="4" t="s">
        <v>374</v>
      </c>
      <c r="C21" s="4" t="s">
        <v>375</v>
      </c>
      <c r="D21" s="4" t="s">
        <v>224</v>
      </c>
      <c r="E21" s="5">
        <v>65750</v>
      </c>
      <c r="F21" s="6">
        <v>826.87199999999996</v>
      </c>
      <c r="G21" s="7">
        <v>1.4072070000000001E-2</v>
      </c>
      <c r="H21" s="53"/>
    </row>
    <row r="22" spans="1:14" ht="17.100000000000001" customHeight="1" x14ac:dyDescent="0.2">
      <c r="A22" s="3">
        <v>16</v>
      </c>
      <c r="B22" s="4" t="s">
        <v>46</v>
      </c>
      <c r="C22" s="4" t="s">
        <v>47</v>
      </c>
      <c r="D22" s="4" t="s">
        <v>31</v>
      </c>
      <c r="E22" s="5">
        <v>16000</v>
      </c>
      <c r="F22" s="6">
        <v>819.68799999999999</v>
      </c>
      <c r="G22" s="7">
        <v>1.394981E-2</v>
      </c>
      <c r="H22" s="53"/>
    </row>
    <row r="23" spans="1:14" ht="17.100000000000001" customHeight="1" x14ac:dyDescent="0.2">
      <c r="A23" s="3">
        <v>17</v>
      </c>
      <c r="B23" s="4" t="s">
        <v>507</v>
      </c>
      <c r="C23" s="40" t="s">
        <v>963</v>
      </c>
      <c r="D23" s="4" t="s">
        <v>108</v>
      </c>
      <c r="E23" s="5">
        <v>193000</v>
      </c>
      <c r="F23" s="6">
        <v>771.03499999999997</v>
      </c>
      <c r="G23" s="7">
        <v>1.3121819999999999E-2</v>
      </c>
      <c r="H23" s="53"/>
    </row>
    <row r="24" spans="1:14" ht="29.1" customHeight="1" x14ac:dyDescent="0.2">
      <c r="A24" s="3">
        <v>18</v>
      </c>
      <c r="B24" s="4" t="s">
        <v>316</v>
      </c>
      <c r="C24" s="4" t="s">
        <v>317</v>
      </c>
      <c r="D24" s="4" t="s">
        <v>224</v>
      </c>
      <c r="E24" s="5">
        <v>66000</v>
      </c>
      <c r="F24" s="6">
        <v>733.65599999999995</v>
      </c>
      <c r="G24" s="7">
        <v>1.2485680000000001E-2</v>
      </c>
      <c r="H24" s="53"/>
    </row>
    <row r="25" spans="1:14" ht="17.100000000000001" customHeight="1" x14ac:dyDescent="0.2">
      <c r="A25" s="3">
        <v>19</v>
      </c>
      <c r="B25" s="4" t="s">
        <v>191</v>
      </c>
      <c r="C25" s="4" t="s">
        <v>192</v>
      </c>
      <c r="D25" s="4" t="s">
        <v>28</v>
      </c>
      <c r="E25" s="5">
        <v>507794</v>
      </c>
      <c r="F25" s="6">
        <v>730.96946300000002</v>
      </c>
      <c r="G25" s="7">
        <v>1.243996E-2</v>
      </c>
      <c r="H25" s="53"/>
    </row>
    <row r="26" spans="1:14" ht="17.100000000000001" customHeight="1" x14ac:dyDescent="0.2">
      <c r="A26" s="3">
        <v>20</v>
      </c>
      <c r="B26" s="4" t="s">
        <v>322</v>
      </c>
      <c r="C26" s="4" t="s">
        <v>323</v>
      </c>
      <c r="D26" s="4" t="s">
        <v>28</v>
      </c>
      <c r="E26" s="5">
        <v>53000</v>
      </c>
      <c r="F26" s="6">
        <v>730.41949999999997</v>
      </c>
      <c r="G26" s="7">
        <v>1.24306E-2</v>
      </c>
      <c r="H26" s="53"/>
    </row>
    <row r="27" spans="1:14" ht="17.100000000000001" customHeight="1" x14ac:dyDescent="0.2">
      <c r="A27" s="3">
        <v>21</v>
      </c>
      <c r="B27" s="4" t="s">
        <v>314</v>
      </c>
      <c r="C27" s="4" t="s">
        <v>315</v>
      </c>
      <c r="D27" s="4" t="s">
        <v>28</v>
      </c>
      <c r="E27" s="5">
        <v>74000</v>
      </c>
      <c r="F27" s="6">
        <v>720.39</v>
      </c>
      <c r="G27" s="7">
        <v>1.2259920000000001E-2</v>
      </c>
      <c r="H27" s="53"/>
    </row>
    <row r="28" spans="1:14" ht="17.100000000000001" customHeight="1" x14ac:dyDescent="0.2">
      <c r="A28" s="3">
        <v>22</v>
      </c>
      <c r="B28" s="4" t="s">
        <v>74</v>
      </c>
      <c r="C28" s="4" t="s">
        <v>75</v>
      </c>
      <c r="D28" s="4" t="s">
        <v>41</v>
      </c>
      <c r="E28" s="5">
        <v>184000</v>
      </c>
      <c r="F28" s="6">
        <v>720.26800000000003</v>
      </c>
      <c r="G28" s="7">
        <v>1.2257840000000001E-2</v>
      </c>
      <c r="H28" s="53"/>
    </row>
    <row r="29" spans="1:14" ht="17.100000000000001" customHeight="1" x14ac:dyDescent="0.2">
      <c r="A29" s="3">
        <v>23</v>
      </c>
      <c r="B29" s="4" t="s">
        <v>395</v>
      </c>
      <c r="C29" s="4" t="s">
        <v>396</v>
      </c>
      <c r="D29" s="4" t="s">
        <v>397</v>
      </c>
      <c r="E29" s="5">
        <v>42278</v>
      </c>
      <c r="F29" s="6">
        <v>713.75833499999999</v>
      </c>
      <c r="G29" s="7">
        <v>1.2147059999999999E-2</v>
      </c>
      <c r="H29" s="53"/>
    </row>
    <row r="30" spans="1:14" ht="53.1" customHeight="1" x14ac:dyDescent="0.2">
      <c r="A30" s="3">
        <v>24</v>
      </c>
      <c r="B30" s="4" t="s">
        <v>66</v>
      </c>
      <c r="C30" s="4" t="s">
        <v>67</v>
      </c>
      <c r="D30" s="4" t="s">
        <v>68</v>
      </c>
      <c r="E30" s="5">
        <v>362000</v>
      </c>
      <c r="F30" s="6">
        <v>665.53700000000003</v>
      </c>
      <c r="G30" s="7">
        <v>1.13264E-2</v>
      </c>
      <c r="H30" s="53"/>
    </row>
    <row r="31" spans="1:14" ht="29.1" customHeight="1" x14ac:dyDescent="0.2">
      <c r="A31" s="3">
        <v>25</v>
      </c>
      <c r="B31" s="4" t="s">
        <v>241</v>
      </c>
      <c r="C31" s="4" t="s">
        <v>242</v>
      </c>
      <c r="D31" s="4" t="s">
        <v>224</v>
      </c>
      <c r="E31" s="5">
        <v>18000</v>
      </c>
      <c r="F31" s="6">
        <v>655.71299999999997</v>
      </c>
      <c r="G31" s="7">
        <v>1.1159209999999999E-2</v>
      </c>
      <c r="H31" s="53"/>
      <c r="J31" s="147"/>
      <c r="K31" s="147"/>
      <c r="L31" s="147"/>
      <c r="M31" s="147"/>
      <c r="N31" s="147"/>
    </row>
    <row r="32" spans="1:14" ht="17.100000000000001" customHeight="1" x14ac:dyDescent="0.2">
      <c r="A32" s="3">
        <v>26</v>
      </c>
      <c r="B32" s="4" t="s">
        <v>334</v>
      </c>
      <c r="C32" s="4" t="s">
        <v>335</v>
      </c>
      <c r="D32" s="4" t="s">
        <v>73</v>
      </c>
      <c r="E32" s="5">
        <v>19125</v>
      </c>
      <c r="F32" s="6">
        <v>593.72606250000001</v>
      </c>
      <c r="G32" s="7">
        <v>1.010429E-2</v>
      </c>
      <c r="H32" s="53"/>
    </row>
    <row r="33" spans="1:8" ht="17.100000000000001" customHeight="1" x14ac:dyDescent="0.2">
      <c r="A33" s="3">
        <v>27</v>
      </c>
      <c r="B33" s="4" t="s">
        <v>342</v>
      </c>
      <c r="C33" s="4" t="s">
        <v>343</v>
      </c>
      <c r="D33" s="4" t="s">
        <v>130</v>
      </c>
      <c r="E33" s="5">
        <v>8000</v>
      </c>
      <c r="F33" s="6">
        <v>573.04</v>
      </c>
      <c r="G33" s="7">
        <v>9.7522500000000005E-3</v>
      </c>
      <c r="H33" s="53"/>
    </row>
    <row r="34" spans="1:8" ht="29.1" customHeight="1" x14ac:dyDescent="0.2">
      <c r="A34" s="3">
        <v>28</v>
      </c>
      <c r="B34" s="4" t="s">
        <v>64</v>
      </c>
      <c r="C34" s="4" t="s">
        <v>65</v>
      </c>
      <c r="D34" s="4" t="s">
        <v>25</v>
      </c>
      <c r="E34" s="5">
        <v>25869</v>
      </c>
      <c r="F34" s="6">
        <v>539.38158450000003</v>
      </c>
      <c r="G34" s="7">
        <v>9.1794300000000006E-3</v>
      </c>
      <c r="H34" s="53"/>
    </row>
    <row r="35" spans="1:8" ht="29.1" customHeight="1" x14ac:dyDescent="0.2">
      <c r="A35" s="3">
        <v>29</v>
      </c>
      <c r="B35" s="4" t="s">
        <v>210</v>
      </c>
      <c r="C35" s="4" t="s">
        <v>211</v>
      </c>
      <c r="D35" s="4" t="s">
        <v>130</v>
      </c>
      <c r="E35" s="5">
        <v>48000</v>
      </c>
      <c r="F35" s="6">
        <v>538.48800000000006</v>
      </c>
      <c r="G35" s="7">
        <v>9.1642300000000006E-3</v>
      </c>
      <c r="H35" s="53"/>
    </row>
    <row r="36" spans="1:8" ht="17.100000000000001" customHeight="1" x14ac:dyDescent="0.2">
      <c r="A36" s="3">
        <v>30</v>
      </c>
      <c r="B36" s="4" t="s">
        <v>532</v>
      </c>
      <c r="C36" s="4" t="s">
        <v>533</v>
      </c>
      <c r="D36" s="4" t="s">
        <v>108</v>
      </c>
      <c r="E36" s="5">
        <v>14930</v>
      </c>
      <c r="F36" s="6">
        <v>512.38266999999996</v>
      </c>
      <c r="G36" s="7">
        <v>8.7199600000000006E-3</v>
      </c>
      <c r="H36" s="53"/>
    </row>
    <row r="37" spans="1:8" ht="17.100000000000001" customHeight="1" x14ac:dyDescent="0.2">
      <c r="A37" s="3">
        <v>31</v>
      </c>
      <c r="B37" s="4" t="s">
        <v>318</v>
      </c>
      <c r="C37" s="4" t="s">
        <v>319</v>
      </c>
      <c r="D37" s="4" t="s">
        <v>905</v>
      </c>
      <c r="E37" s="5">
        <v>14050</v>
      </c>
      <c r="F37" s="6">
        <v>471.63040000000001</v>
      </c>
      <c r="G37" s="7">
        <v>8.0264199999999994E-3</v>
      </c>
      <c r="H37" s="53"/>
    </row>
    <row r="38" spans="1:8" ht="17.100000000000001" customHeight="1" x14ac:dyDescent="0.2">
      <c r="A38" s="3">
        <v>32</v>
      </c>
      <c r="B38" s="4" t="s">
        <v>719</v>
      </c>
      <c r="C38" s="4" t="s">
        <v>720</v>
      </c>
      <c r="D38" s="4" t="s">
        <v>286</v>
      </c>
      <c r="E38" s="5">
        <v>21711</v>
      </c>
      <c r="F38" s="6">
        <v>421.63847550000003</v>
      </c>
      <c r="G38" s="7">
        <v>7.1756299999999997E-3</v>
      </c>
      <c r="H38" s="53"/>
    </row>
    <row r="39" spans="1:8" ht="17.100000000000001" customHeight="1" x14ac:dyDescent="0.2">
      <c r="A39" s="3">
        <v>33</v>
      </c>
      <c r="B39" s="4" t="s">
        <v>340</v>
      </c>
      <c r="C39" s="4" t="s">
        <v>341</v>
      </c>
      <c r="D39" s="4" t="s">
        <v>905</v>
      </c>
      <c r="E39" s="5">
        <v>8000</v>
      </c>
      <c r="F39" s="6">
        <v>415.47199999999998</v>
      </c>
      <c r="G39" s="7">
        <v>7.0706900000000001E-3</v>
      </c>
      <c r="H39" s="53"/>
    </row>
    <row r="40" spans="1:8" ht="17.100000000000001" customHeight="1" x14ac:dyDescent="0.2">
      <c r="A40" s="3">
        <v>34</v>
      </c>
      <c r="B40" s="4" t="s">
        <v>81</v>
      </c>
      <c r="C40" s="4" t="s">
        <v>82</v>
      </c>
      <c r="D40" s="4" t="s">
        <v>59</v>
      </c>
      <c r="E40" s="5">
        <v>17000</v>
      </c>
      <c r="F40" s="6">
        <v>413.95</v>
      </c>
      <c r="G40" s="7">
        <v>7.0447799999999996E-3</v>
      </c>
      <c r="H40" s="53"/>
    </row>
    <row r="41" spans="1:8" ht="17.100000000000001" customHeight="1" x14ac:dyDescent="0.2">
      <c r="A41" s="3">
        <v>35</v>
      </c>
      <c r="B41" s="4" t="s">
        <v>546</v>
      </c>
      <c r="C41" s="4" t="s">
        <v>547</v>
      </c>
      <c r="D41" s="4" t="s">
        <v>281</v>
      </c>
      <c r="E41" s="5">
        <v>40600</v>
      </c>
      <c r="F41" s="6">
        <v>409.06529999999998</v>
      </c>
      <c r="G41" s="7">
        <v>6.9616499999999998E-3</v>
      </c>
      <c r="H41" s="53"/>
    </row>
    <row r="42" spans="1:8" ht="17.100000000000001" customHeight="1" x14ac:dyDescent="0.2">
      <c r="A42" s="3">
        <v>36</v>
      </c>
      <c r="B42" s="4" t="s">
        <v>11</v>
      </c>
      <c r="C42" s="4" t="s">
        <v>12</v>
      </c>
      <c r="D42" s="4" t="s">
        <v>13</v>
      </c>
      <c r="E42" s="5">
        <v>13950</v>
      </c>
      <c r="F42" s="6">
        <v>377.02665000000002</v>
      </c>
      <c r="G42" s="7">
        <v>6.41641E-3</v>
      </c>
      <c r="H42" s="53"/>
    </row>
    <row r="43" spans="1:8" ht="17.100000000000001" customHeight="1" x14ac:dyDescent="0.2">
      <c r="A43" s="3">
        <v>37</v>
      </c>
      <c r="B43" s="4" t="s">
        <v>234</v>
      </c>
      <c r="C43" s="4" t="s">
        <v>235</v>
      </c>
      <c r="D43" s="4" t="s">
        <v>905</v>
      </c>
      <c r="E43" s="5">
        <v>6363</v>
      </c>
      <c r="F43" s="6">
        <v>347.83021350000001</v>
      </c>
      <c r="G43" s="7">
        <v>5.9195300000000001E-3</v>
      </c>
      <c r="H43" s="53"/>
    </row>
    <row r="44" spans="1:8" ht="17.100000000000001" customHeight="1" x14ac:dyDescent="0.2">
      <c r="A44" s="3">
        <v>38</v>
      </c>
      <c r="B44" s="4" t="s">
        <v>255</v>
      </c>
      <c r="C44" s="4" t="s">
        <v>256</v>
      </c>
      <c r="D44" s="4" t="s">
        <v>206</v>
      </c>
      <c r="E44" s="5">
        <v>8000</v>
      </c>
      <c r="F44" s="6">
        <v>346.52</v>
      </c>
      <c r="G44" s="7">
        <v>5.8972299999999998E-3</v>
      </c>
      <c r="H44" s="53"/>
    </row>
    <row r="45" spans="1:8" ht="17.100000000000001" customHeight="1" x14ac:dyDescent="0.2">
      <c r="A45" s="3">
        <v>39</v>
      </c>
      <c r="B45" s="4" t="s">
        <v>338</v>
      </c>
      <c r="C45" s="4" t="s">
        <v>339</v>
      </c>
      <c r="D45" s="4" t="s">
        <v>28</v>
      </c>
      <c r="E45" s="5">
        <v>95000</v>
      </c>
      <c r="F45" s="6">
        <v>304.38</v>
      </c>
      <c r="G45" s="7">
        <v>5.1800700000000002E-3</v>
      </c>
      <c r="H45" s="53"/>
    </row>
    <row r="46" spans="1:8" ht="17.100000000000001" customHeight="1" x14ac:dyDescent="0.2">
      <c r="A46" s="3">
        <v>40</v>
      </c>
      <c r="B46" s="4" t="s">
        <v>354</v>
      </c>
      <c r="C46" s="4" t="s">
        <v>355</v>
      </c>
      <c r="D46" s="4" t="s">
        <v>73</v>
      </c>
      <c r="E46" s="5">
        <v>9000</v>
      </c>
      <c r="F46" s="6">
        <v>293.04899999999998</v>
      </c>
      <c r="G46" s="7">
        <v>4.9872400000000004E-3</v>
      </c>
      <c r="H46" s="53"/>
    </row>
    <row r="47" spans="1:8" ht="17.100000000000001" customHeight="1" x14ac:dyDescent="0.2">
      <c r="A47" s="3">
        <v>41</v>
      </c>
      <c r="B47" s="4" t="s">
        <v>721</v>
      </c>
      <c r="C47" s="4" t="s">
        <v>722</v>
      </c>
      <c r="D47" s="4" t="s">
        <v>41</v>
      </c>
      <c r="E47" s="5">
        <v>66232</v>
      </c>
      <c r="F47" s="6">
        <v>292.08312000000001</v>
      </c>
      <c r="G47" s="7">
        <v>4.9708E-3</v>
      </c>
      <c r="H47" s="53"/>
    </row>
    <row r="48" spans="1:8" ht="29.1" customHeight="1" x14ac:dyDescent="0.2">
      <c r="A48" s="3">
        <v>42</v>
      </c>
      <c r="B48" s="4" t="s">
        <v>723</v>
      </c>
      <c r="C48" s="4" t="s">
        <v>724</v>
      </c>
      <c r="D48" s="4" t="s">
        <v>201</v>
      </c>
      <c r="E48" s="5">
        <v>20000</v>
      </c>
      <c r="F48" s="6">
        <v>283.55</v>
      </c>
      <c r="G48" s="7">
        <v>4.8255800000000003E-3</v>
      </c>
      <c r="H48" s="53"/>
    </row>
    <row r="49" spans="1:8" ht="17.100000000000001" customHeight="1" x14ac:dyDescent="0.2">
      <c r="A49" s="3">
        <v>43</v>
      </c>
      <c r="B49" s="4" t="s">
        <v>39</v>
      </c>
      <c r="C49" s="4" t="s">
        <v>40</v>
      </c>
      <c r="D49" s="4" t="s">
        <v>41</v>
      </c>
      <c r="E49" s="5">
        <v>5785</v>
      </c>
      <c r="F49" s="6">
        <v>253.4726675</v>
      </c>
      <c r="G49" s="7">
        <v>4.3137100000000001E-3</v>
      </c>
      <c r="H49" s="53"/>
    </row>
    <row r="50" spans="1:8" ht="17.100000000000001" customHeight="1" x14ac:dyDescent="0.2">
      <c r="A50" s="3">
        <v>44</v>
      </c>
      <c r="B50" s="4" t="s">
        <v>510</v>
      </c>
      <c r="C50" s="4" t="s">
        <v>511</v>
      </c>
      <c r="D50" s="4" t="s">
        <v>905</v>
      </c>
      <c r="E50" s="5">
        <v>14000</v>
      </c>
      <c r="F50" s="6">
        <v>244.81800000000001</v>
      </c>
      <c r="G50" s="7">
        <v>4.1664199999999997E-3</v>
      </c>
      <c r="H50" s="53"/>
    </row>
    <row r="51" spans="1:8" ht="17.100000000000001" customHeight="1" x14ac:dyDescent="0.2">
      <c r="A51" s="3">
        <v>45</v>
      </c>
      <c r="B51" s="4" t="s">
        <v>358</v>
      </c>
      <c r="C51" s="4" t="s">
        <v>359</v>
      </c>
      <c r="D51" s="4" t="s">
        <v>28</v>
      </c>
      <c r="E51" s="5">
        <v>128700</v>
      </c>
      <c r="F51" s="6">
        <v>240.86205000000001</v>
      </c>
      <c r="G51" s="7">
        <v>4.0990999999999996E-3</v>
      </c>
      <c r="H51" s="53"/>
    </row>
    <row r="52" spans="1:8" ht="17.100000000000001" customHeight="1" x14ac:dyDescent="0.2">
      <c r="A52" s="3">
        <v>46</v>
      </c>
      <c r="B52" s="4" t="s">
        <v>257</v>
      </c>
      <c r="C52" s="4" t="s">
        <v>258</v>
      </c>
      <c r="D52" s="4" t="s">
        <v>73</v>
      </c>
      <c r="E52" s="5">
        <v>21793</v>
      </c>
      <c r="F52" s="6">
        <v>228.37974349999999</v>
      </c>
      <c r="G52" s="7">
        <v>3.8866700000000001E-3</v>
      </c>
      <c r="H52" s="53"/>
    </row>
    <row r="53" spans="1:8" ht="29.1" customHeight="1" x14ac:dyDescent="0.2">
      <c r="A53" s="3">
        <v>47</v>
      </c>
      <c r="B53" s="4" t="s">
        <v>542</v>
      </c>
      <c r="C53" s="4" t="s">
        <v>543</v>
      </c>
      <c r="D53" s="4" t="s">
        <v>544</v>
      </c>
      <c r="E53" s="5">
        <v>52361</v>
      </c>
      <c r="F53" s="6">
        <v>199.8357565</v>
      </c>
      <c r="G53" s="7">
        <v>3.4008900000000002E-3</v>
      </c>
      <c r="H53" s="53"/>
    </row>
    <row r="54" spans="1:8" ht="29.1" customHeight="1" x14ac:dyDescent="0.2">
      <c r="A54" s="3">
        <v>48</v>
      </c>
      <c r="B54" s="4" t="s">
        <v>467</v>
      </c>
      <c r="C54" s="4" t="s">
        <v>468</v>
      </c>
      <c r="D54" s="4" t="s">
        <v>469</v>
      </c>
      <c r="E54" s="5">
        <v>21600</v>
      </c>
      <c r="F54" s="6">
        <v>180.21960000000001</v>
      </c>
      <c r="G54" s="7">
        <v>3.0670599999999999E-3</v>
      </c>
      <c r="H54" s="53"/>
    </row>
    <row r="55" spans="1:8" ht="29.1" customHeight="1" x14ac:dyDescent="0.2">
      <c r="A55" s="3">
        <v>49</v>
      </c>
      <c r="B55" s="4" t="s">
        <v>672</v>
      </c>
      <c r="C55" s="4" t="s">
        <v>673</v>
      </c>
      <c r="D55" s="4" t="s">
        <v>25</v>
      </c>
      <c r="E55" s="5">
        <v>8700</v>
      </c>
      <c r="F55" s="6">
        <v>174.50024999999999</v>
      </c>
      <c r="G55" s="7">
        <v>2.9697199999999999E-3</v>
      </c>
      <c r="H55" s="53"/>
    </row>
    <row r="56" spans="1:8" ht="17.100000000000001" customHeight="1" x14ac:dyDescent="0.2">
      <c r="A56" s="3">
        <v>50</v>
      </c>
      <c r="B56" s="4" t="s">
        <v>725</v>
      </c>
      <c r="C56" s="4" t="s">
        <v>726</v>
      </c>
      <c r="D56" s="4" t="s">
        <v>221</v>
      </c>
      <c r="E56" s="5">
        <v>26400</v>
      </c>
      <c r="F56" s="6">
        <v>170.214</v>
      </c>
      <c r="G56" s="7">
        <v>2.8967799999999998E-3</v>
      </c>
      <c r="H56" s="53"/>
    </row>
    <row r="57" spans="1:8" ht="17.100000000000001" customHeight="1" x14ac:dyDescent="0.2">
      <c r="A57" s="3">
        <v>51</v>
      </c>
      <c r="B57" s="4" t="s">
        <v>550</v>
      </c>
      <c r="C57" s="4" t="s">
        <v>551</v>
      </c>
      <c r="D57" s="4" t="s">
        <v>108</v>
      </c>
      <c r="E57" s="5">
        <v>8400</v>
      </c>
      <c r="F57" s="6">
        <v>132.33359999999999</v>
      </c>
      <c r="G57" s="7">
        <v>2.2521099999999999E-3</v>
      </c>
      <c r="H57" s="53"/>
    </row>
    <row r="58" spans="1:8" ht="17.100000000000001" customHeight="1" x14ac:dyDescent="0.2">
      <c r="A58" s="3">
        <v>52</v>
      </c>
      <c r="B58" s="4" t="s">
        <v>348</v>
      </c>
      <c r="C58" s="4" t="s">
        <v>349</v>
      </c>
      <c r="D58" s="4" t="s">
        <v>206</v>
      </c>
      <c r="E58" s="5">
        <v>9417</v>
      </c>
      <c r="F58" s="6">
        <v>118.69657650000001</v>
      </c>
      <c r="G58" s="7">
        <v>2.0200299999999999E-3</v>
      </c>
      <c r="H58" s="53"/>
    </row>
    <row r="59" spans="1:8" ht="17.100000000000001" customHeight="1" x14ac:dyDescent="0.2">
      <c r="A59" s="3">
        <v>53</v>
      </c>
      <c r="B59" s="4" t="s">
        <v>135</v>
      </c>
      <c r="C59" s="4" t="s">
        <v>136</v>
      </c>
      <c r="D59" s="4" t="s">
        <v>130</v>
      </c>
      <c r="E59" s="5">
        <v>36000</v>
      </c>
      <c r="F59" s="6">
        <v>84.06</v>
      </c>
      <c r="G59" s="7">
        <v>1.4305699999999999E-3</v>
      </c>
      <c r="H59" s="53"/>
    </row>
    <row r="60" spans="1:8" ht="29.1" customHeight="1" x14ac:dyDescent="0.2">
      <c r="A60" s="3">
        <v>54</v>
      </c>
      <c r="B60" s="4" t="s">
        <v>368</v>
      </c>
      <c r="C60" s="4" t="s">
        <v>369</v>
      </c>
      <c r="D60" s="4" t="s">
        <v>201</v>
      </c>
      <c r="E60" s="5">
        <v>3000</v>
      </c>
      <c r="F60" s="6">
        <v>70.694999999999993</v>
      </c>
      <c r="G60" s="7">
        <v>1.20312E-3</v>
      </c>
      <c r="H60" s="53"/>
    </row>
    <row r="61" spans="1:8" ht="17.100000000000001" customHeight="1" x14ac:dyDescent="0.2">
      <c r="A61" s="3">
        <v>55</v>
      </c>
      <c r="B61" s="4" t="s">
        <v>708</v>
      </c>
      <c r="C61" s="4" t="s">
        <v>709</v>
      </c>
      <c r="D61" s="4" t="s">
        <v>73</v>
      </c>
      <c r="E61" s="5">
        <v>16111</v>
      </c>
      <c r="F61" s="6">
        <v>65.587880999999996</v>
      </c>
      <c r="G61" s="7">
        <v>1.1161999999999999E-3</v>
      </c>
      <c r="H61" s="53"/>
    </row>
    <row r="62" spans="1:8" ht="29.1" customHeight="1" x14ac:dyDescent="0.2">
      <c r="A62" s="3">
        <v>56</v>
      </c>
      <c r="B62" s="4" t="s">
        <v>668</v>
      </c>
      <c r="C62" s="4" t="s">
        <v>669</v>
      </c>
      <c r="D62" s="4" t="s">
        <v>25</v>
      </c>
      <c r="E62" s="5">
        <v>9000</v>
      </c>
      <c r="F62" s="6">
        <v>38.555999999999997</v>
      </c>
      <c r="G62" s="7">
        <v>6.5616000000000003E-4</v>
      </c>
      <c r="H62" s="53"/>
    </row>
    <row r="63" spans="1:8" ht="17.100000000000001" customHeight="1" x14ac:dyDescent="0.2">
      <c r="A63" s="3">
        <v>57</v>
      </c>
      <c r="B63" s="4" t="s">
        <v>287</v>
      </c>
      <c r="C63" s="4" t="s">
        <v>288</v>
      </c>
      <c r="D63" s="4" t="s">
        <v>22</v>
      </c>
      <c r="E63" s="5">
        <v>10800</v>
      </c>
      <c r="F63" s="6">
        <v>26.794799999999999</v>
      </c>
      <c r="G63" s="7">
        <v>4.5601000000000002E-4</v>
      </c>
      <c r="H63" s="53"/>
    </row>
    <row r="64" spans="1:8" ht="17.100000000000001" customHeight="1" x14ac:dyDescent="0.2">
      <c r="A64" s="3">
        <v>58</v>
      </c>
      <c r="B64" s="4" t="s">
        <v>727</v>
      </c>
      <c r="C64" s="4" t="s">
        <v>728</v>
      </c>
      <c r="D64" s="4" t="s">
        <v>130</v>
      </c>
      <c r="E64" s="5">
        <v>6120</v>
      </c>
      <c r="F64" s="6">
        <v>10.94256</v>
      </c>
      <c r="G64" s="7">
        <v>1.8623000000000001E-4</v>
      </c>
      <c r="H64" s="53"/>
    </row>
    <row r="65" spans="1:8" ht="14.1" customHeight="1" x14ac:dyDescent="0.2">
      <c r="A65" s="1"/>
      <c r="B65" s="1"/>
      <c r="C65" s="2" t="s">
        <v>144</v>
      </c>
      <c r="D65" s="1"/>
      <c r="E65" s="1" t="s">
        <v>145</v>
      </c>
      <c r="F65" s="9">
        <v>41208.844422499998</v>
      </c>
      <c r="G65" s="10">
        <v>0.70131036999999996</v>
      </c>
      <c r="H65" s="53"/>
    </row>
    <row r="66" spans="1:8" ht="14.1" customHeight="1" x14ac:dyDescent="0.2">
      <c r="A66" s="1"/>
      <c r="B66" s="1"/>
      <c r="C66" s="11"/>
      <c r="D66" s="1"/>
      <c r="E66" s="1"/>
      <c r="F66" s="12"/>
      <c r="G66" s="12"/>
      <c r="H66" s="53"/>
    </row>
    <row r="67" spans="1:8" ht="14.1" customHeight="1" x14ac:dyDescent="0.2">
      <c r="A67" s="1"/>
      <c r="B67" s="1"/>
      <c r="C67" s="2" t="s">
        <v>146</v>
      </c>
      <c r="D67" s="1"/>
      <c r="E67" s="1"/>
      <c r="F67" s="1"/>
      <c r="G67" s="1"/>
      <c r="H67" s="53"/>
    </row>
    <row r="68" spans="1:8" ht="14.1" customHeight="1" x14ac:dyDescent="0.2">
      <c r="A68" s="1"/>
      <c r="B68" s="1"/>
      <c r="C68" s="2" t="s">
        <v>144</v>
      </c>
      <c r="D68" s="1"/>
      <c r="E68" s="1" t="s">
        <v>145</v>
      </c>
      <c r="F68" s="13" t="s">
        <v>147</v>
      </c>
      <c r="G68" s="10">
        <v>0</v>
      </c>
      <c r="H68" s="53"/>
    </row>
    <row r="69" spans="1:8" ht="14.1" customHeight="1" x14ac:dyDescent="0.2">
      <c r="A69" s="1"/>
      <c r="B69" s="1"/>
      <c r="C69" s="11"/>
      <c r="D69" s="1"/>
      <c r="E69" s="1"/>
      <c r="F69" s="12"/>
      <c r="G69" s="12"/>
      <c r="H69" s="53"/>
    </row>
    <row r="70" spans="1:8" ht="14.1" customHeight="1" x14ac:dyDescent="0.2">
      <c r="A70" s="1"/>
      <c r="B70" s="1"/>
      <c r="C70" s="2" t="s">
        <v>148</v>
      </c>
      <c r="D70" s="1"/>
      <c r="E70" s="1"/>
      <c r="F70" s="1"/>
      <c r="G70" s="1"/>
      <c r="H70" s="53"/>
    </row>
    <row r="71" spans="1:8" ht="14.1" customHeight="1" x14ac:dyDescent="0.2">
      <c r="A71" s="1"/>
      <c r="B71" s="1"/>
      <c r="C71" s="2" t="s">
        <v>144</v>
      </c>
      <c r="D71" s="1"/>
      <c r="E71" s="1" t="s">
        <v>145</v>
      </c>
      <c r="F71" s="13" t="s">
        <v>147</v>
      </c>
      <c r="G71" s="10">
        <v>0</v>
      </c>
      <c r="H71" s="53"/>
    </row>
    <row r="72" spans="1:8" ht="14.1" customHeight="1" x14ac:dyDescent="0.2">
      <c r="A72" s="1"/>
      <c r="B72" s="1"/>
      <c r="C72" s="11"/>
      <c r="D72" s="1"/>
      <c r="E72" s="1"/>
      <c r="F72" s="12"/>
      <c r="G72" s="12"/>
      <c r="H72" s="53"/>
    </row>
    <row r="73" spans="1:8" ht="14.1" customHeight="1" x14ac:dyDescent="0.2">
      <c r="A73" s="1"/>
      <c r="B73" s="1"/>
      <c r="C73" s="2" t="s">
        <v>149</v>
      </c>
      <c r="D73" s="1"/>
      <c r="E73" s="1"/>
      <c r="F73" s="1"/>
      <c r="G73" s="1"/>
      <c r="H73" s="53"/>
    </row>
    <row r="74" spans="1:8" ht="14.1" customHeight="1" x14ac:dyDescent="0.2">
      <c r="A74" s="1"/>
      <c r="B74" s="1"/>
      <c r="C74" s="2" t="s">
        <v>144</v>
      </c>
      <c r="D74" s="1"/>
      <c r="E74" s="1" t="s">
        <v>145</v>
      </c>
      <c r="F74" s="13" t="s">
        <v>147</v>
      </c>
      <c r="G74" s="10">
        <v>0</v>
      </c>
      <c r="H74" s="53"/>
    </row>
    <row r="75" spans="1:8" ht="14.1" customHeight="1" x14ac:dyDescent="0.2">
      <c r="A75" s="1"/>
      <c r="B75" s="1"/>
      <c r="C75" s="11"/>
      <c r="D75" s="1"/>
      <c r="E75" s="1"/>
      <c r="F75" s="12"/>
      <c r="G75" s="12"/>
      <c r="H75" s="53"/>
    </row>
    <row r="76" spans="1:8" ht="14.1" customHeight="1" x14ac:dyDescent="0.2">
      <c r="A76" s="1"/>
      <c r="B76" s="1"/>
      <c r="C76" s="2" t="s">
        <v>150</v>
      </c>
      <c r="D76" s="1"/>
      <c r="E76" s="1"/>
      <c r="F76" s="12"/>
      <c r="G76" s="12"/>
      <c r="H76" s="53"/>
    </row>
    <row r="77" spans="1:8" ht="14.1" customHeight="1" x14ac:dyDescent="0.2">
      <c r="A77" s="1"/>
      <c r="B77" s="1"/>
      <c r="C77" s="2" t="s">
        <v>144</v>
      </c>
      <c r="D77" s="1"/>
      <c r="E77" s="1" t="s">
        <v>145</v>
      </c>
      <c r="F77" s="13" t="s">
        <v>147</v>
      </c>
      <c r="G77" s="10">
        <v>0</v>
      </c>
      <c r="H77" s="53"/>
    </row>
    <row r="78" spans="1:8" ht="14.1" customHeight="1" x14ac:dyDescent="0.2">
      <c r="A78" s="1"/>
      <c r="B78" s="1"/>
      <c r="C78" s="11"/>
      <c r="D78" s="1"/>
      <c r="E78" s="1"/>
      <c r="F78" s="12"/>
      <c r="G78" s="12"/>
      <c r="H78" s="53"/>
    </row>
    <row r="79" spans="1:8" ht="14.1" customHeight="1" x14ac:dyDescent="0.2">
      <c r="A79" s="1"/>
      <c r="B79" s="1"/>
      <c r="C79" s="2" t="s">
        <v>151</v>
      </c>
      <c r="D79" s="1"/>
      <c r="E79" s="1"/>
      <c r="F79" s="12"/>
      <c r="G79" s="12"/>
      <c r="H79" s="53"/>
    </row>
    <row r="80" spans="1:8" ht="29.1" customHeight="1" x14ac:dyDescent="0.2">
      <c r="A80" s="3">
        <v>1</v>
      </c>
      <c r="B80" s="4"/>
      <c r="C80" s="4" t="s">
        <v>939</v>
      </c>
      <c r="D80" s="4" t="s">
        <v>676</v>
      </c>
      <c r="E80" s="5">
        <v>-10800</v>
      </c>
      <c r="F80" s="6">
        <v>-26.962199999999999</v>
      </c>
      <c r="G80" s="7">
        <v>-4.5885000000000001E-4</v>
      </c>
      <c r="H80" s="53"/>
    </row>
    <row r="81" spans="1:8" ht="17.100000000000001" customHeight="1" x14ac:dyDescent="0.2">
      <c r="A81" s="3">
        <v>2</v>
      </c>
      <c r="B81" s="4"/>
      <c r="C81" s="4" t="s">
        <v>919</v>
      </c>
      <c r="D81" s="4" t="s">
        <v>676</v>
      </c>
      <c r="E81" s="5">
        <v>-9000</v>
      </c>
      <c r="F81" s="6">
        <v>-38.848500000000001</v>
      </c>
      <c r="G81" s="7">
        <v>-6.6114000000000006E-4</v>
      </c>
      <c r="H81" s="53"/>
    </row>
    <row r="82" spans="1:8" ht="17.100000000000001" customHeight="1" x14ac:dyDescent="0.2">
      <c r="A82" s="3">
        <v>3</v>
      </c>
      <c r="B82" s="4"/>
      <c r="C82" s="4" t="s">
        <v>940</v>
      </c>
      <c r="D82" s="4" t="s">
        <v>676</v>
      </c>
      <c r="E82" s="5">
        <v>-3000</v>
      </c>
      <c r="F82" s="6">
        <v>-71.158500000000004</v>
      </c>
      <c r="G82" s="7">
        <v>-1.21101E-3</v>
      </c>
      <c r="H82" s="53"/>
    </row>
    <row r="83" spans="1:8" ht="29.1" customHeight="1" x14ac:dyDescent="0.2">
      <c r="A83" s="3">
        <v>4</v>
      </c>
      <c r="B83" s="4"/>
      <c r="C83" s="4" t="s">
        <v>932</v>
      </c>
      <c r="D83" s="4" t="s">
        <v>676</v>
      </c>
      <c r="E83" s="5">
        <v>-8400</v>
      </c>
      <c r="F83" s="6">
        <v>-133.06020000000001</v>
      </c>
      <c r="G83" s="7">
        <v>-2.2644800000000001E-3</v>
      </c>
      <c r="H83" s="53"/>
    </row>
    <row r="84" spans="1:8" ht="29.1" customHeight="1" x14ac:dyDescent="0.2">
      <c r="A84" s="3">
        <v>5</v>
      </c>
      <c r="B84" s="4"/>
      <c r="C84" s="4" t="s">
        <v>941</v>
      </c>
      <c r="D84" s="4" t="s">
        <v>676</v>
      </c>
      <c r="E84" s="5">
        <v>-26400</v>
      </c>
      <c r="F84" s="6">
        <v>-171.01920000000001</v>
      </c>
      <c r="G84" s="7">
        <v>-2.9104799999999996E-3</v>
      </c>
      <c r="H84" s="53"/>
    </row>
    <row r="85" spans="1:8" ht="17.100000000000001" customHeight="1" x14ac:dyDescent="0.2">
      <c r="A85" s="3">
        <v>6</v>
      </c>
      <c r="B85" s="4"/>
      <c r="C85" s="4" t="s">
        <v>917</v>
      </c>
      <c r="D85" s="4" t="s">
        <v>676</v>
      </c>
      <c r="E85" s="5">
        <v>-8700</v>
      </c>
      <c r="F85" s="6">
        <v>-175.90094999999999</v>
      </c>
      <c r="G85" s="7">
        <v>-2.9935600000000001E-3</v>
      </c>
      <c r="H85" s="53"/>
    </row>
    <row r="86" spans="1:8" ht="29.1" customHeight="1" x14ac:dyDescent="0.2">
      <c r="A86" s="3">
        <v>7</v>
      </c>
      <c r="B86" s="4"/>
      <c r="C86" s="4" t="s">
        <v>912</v>
      </c>
      <c r="D86" s="4" t="s">
        <v>676</v>
      </c>
      <c r="E86" s="5">
        <v>-21600</v>
      </c>
      <c r="F86" s="6">
        <v>-181.3212</v>
      </c>
      <c r="G86" s="7">
        <v>-3.0858000000000001E-3</v>
      </c>
      <c r="H86" s="53"/>
    </row>
    <row r="87" spans="1:8" ht="29.1" customHeight="1" x14ac:dyDescent="0.2">
      <c r="A87" s="3">
        <v>8</v>
      </c>
      <c r="B87" s="4"/>
      <c r="C87" s="4" t="s">
        <v>942</v>
      </c>
      <c r="D87" s="4" t="s">
        <v>676</v>
      </c>
      <c r="E87" s="5">
        <v>-37500</v>
      </c>
      <c r="F87" s="6">
        <v>-212.00624999999999</v>
      </c>
      <c r="G87" s="7">
        <v>-3.60802E-3</v>
      </c>
      <c r="H87" s="53"/>
    </row>
    <row r="88" spans="1:8" ht="17.100000000000001" customHeight="1" x14ac:dyDescent="0.2">
      <c r="A88" s="3">
        <v>9</v>
      </c>
      <c r="B88" s="4"/>
      <c r="C88" s="4" t="s">
        <v>943</v>
      </c>
      <c r="D88" s="4" t="s">
        <v>676</v>
      </c>
      <c r="E88" s="5">
        <v>-7125</v>
      </c>
      <c r="F88" s="6">
        <v>-222.73818750000001</v>
      </c>
      <c r="G88" s="7">
        <v>-3.7906599999999999E-3</v>
      </c>
      <c r="H88" s="53"/>
    </row>
    <row r="89" spans="1:8" ht="17.100000000000001" customHeight="1" x14ac:dyDescent="0.2">
      <c r="A89" s="3">
        <v>10</v>
      </c>
      <c r="B89" s="4"/>
      <c r="C89" s="4" t="s">
        <v>930</v>
      </c>
      <c r="D89" s="4" t="s">
        <v>676</v>
      </c>
      <c r="E89" s="5">
        <v>-128700</v>
      </c>
      <c r="F89" s="6">
        <v>-242.40645000000001</v>
      </c>
      <c r="G89" s="7">
        <v>-4.1253800000000005E-3</v>
      </c>
      <c r="H89" s="53"/>
    </row>
    <row r="90" spans="1:8" ht="17.100000000000001" customHeight="1" x14ac:dyDescent="0.2">
      <c r="A90" s="3">
        <v>11</v>
      </c>
      <c r="B90" s="4"/>
      <c r="C90" s="4" t="s">
        <v>915</v>
      </c>
      <c r="D90" s="4" t="s">
        <v>676</v>
      </c>
      <c r="E90" s="5">
        <v>-7800</v>
      </c>
      <c r="F90" s="6">
        <v>-255.1302</v>
      </c>
      <c r="G90" s="7">
        <v>-4.34192E-3</v>
      </c>
      <c r="H90" s="53"/>
    </row>
    <row r="91" spans="1:8" ht="17.100000000000001" customHeight="1" x14ac:dyDescent="0.2">
      <c r="A91" s="3">
        <v>12</v>
      </c>
      <c r="B91" s="4"/>
      <c r="C91" s="4" t="s">
        <v>944</v>
      </c>
      <c r="D91" s="4" t="s">
        <v>676</v>
      </c>
      <c r="E91" s="5">
        <v>-19000</v>
      </c>
      <c r="F91" s="6">
        <v>-263.05500000000001</v>
      </c>
      <c r="G91" s="7">
        <v>-4.4767899999999996E-3</v>
      </c>
      <c r="H91" s="53"/>
    </row>
    <row r="92" spans="1:8" ht="29.1" customHeight="1" x14ac:dyDescent="0.2">
      <c r="A92" s="3">
        <v>13</v>
      </c>
      <c r="B92" s="4"/>
      <c r="C92" s="4" t="s">
        <v>908</v>
      </c>
      <c r="D92" s="4" t="s">
        <v>676</v>
      </c>
      <c r="E92" s="5">
        <v>-8050</v>
      </c>
      <c r="F92" s="6">
        <v>-272.12622499999998</v>
      </c>
      <c r="G92" s="7">
        <v>-4.6311600000000005E-3</v>
      </c>
      <c r="H92" s="53"/>
    </row>
    <row r="93" spans="1:8" ht="17.100000000000001" customHeight="1" x14ac:dyDescent="0.2">
      <c r="A93" s="3">
        <v>14</v>
      </c>
      <c r="B93" s="4"/>
      <c r="C93" s="4" t="s">
        <v>945</v>
      </c>
      <c r="D93" s="4" t="s">
        <v>676</v>
      </c>
      <c r="E93" s="5">
        <v>-35000</v>
      </c>
      <c r="F93" s="6">
        <v>-343</v>
      </c>
      <c r="G93" s="7">
        <v>-5.8373299999999991E-3</v>
      </c>
      <c r="H93" s="53"/>
    </row>
    <row r="94" spans="1:8" ht="17.100000000000001" customHeight="1" x14ac:dyDescent="0.2">
      <c r="A94" s="3">
        <v>15</v>
      </c>
      <c r="B94" s="4"/>
      <c r="C94" s="4" t="s">
        <v>924</v>
      </c>
      <c r="D94" s="4" t="s">
        <v>676</v>
      </c>
      <c r="E94" s="5">
        <v>-5000</v>
      </c>
      <c r="F94" s="6">
        <v>-360.38749999999999</v>
      </c>
      <c r="G94" s="7">
        <v>-6.1332299999999999E-3</v>
      </c>
      <c r="H94" s="53"/>
    </row>
    <row r="95" spans="1:8" ht="17.100000000000001" customHeight="1" x14ac:dyDescent="0.2">
      <c r="A95" s="3">
        <v>16</v>
      </c>
      <c r="B95" s="4"/>
      <c r="C95" s="4" t="s">
        <v>931</v>
      </c>
      <c r="D95" s="4" t="s">
        <v>676</v>
      </c>
      <c r="E95" s="5">
        <v>-40600</v>
      </c>
      <c r="F95" s="6">
        <v>-411.5419</v>
      </c>
      <c r="G95" s="7">
        <v>-7.0038000000000001E-3</v>
      </c>
      <c r="H95" s="53"/>
    </row>
    <row r="96" spans="1:8" ht="17.100000000000001" customHeight="1" x14ac:dyDescent="0.2">
      <c r="A96" s="3">
        <v>17</v>
      </c>
      <c r="B96" s="4"/>
      <c r="C96" s="4" t="s">
        <v>934</v>
      </c>
      <c r="D96" s="4" t="s">
        <v>676</v>
      </c>
      <c r="E96" s="5">
        <v>-35750</v>
      </c>
      <c r="F96" s="6">
        <v>-449.35962499999999</v>
      </c>
      <c r="G96" s="7">
        <v>-7.6473999999999995E-3</v>
      </c>
      <c r="H96" s="53"/>
    </row>
    <row r="97" spans="1:8" ht="29.1" customHeight="1" x14ac:dyDescent="0.2">
      <c r="A97" s="3">
        <v>18</v>
      </c>
      <c r="B97" s="4"/>
      <c r="C97" s="4" t="s">
        <v>916</v>
      </c>
      <c r="D97" s="4" t="s">
        <v>676</v>
      </c>
      <c r="E97" s="5">
        <v>-33250</v>
      </c>
      <c r="F97" s="6">
        <v>-805.032375</v>
      </c>
      <c r="G97" s="7">
        <v>-1.37004E-2</v>
      </c>
      <c r="H97" s="53"/>
    </row>
    <row r="98" spans="1:8" ht="17.100000000000001" customHeight="1" x14ac:dyDescent="0.2">
      <c r="A98" s="3">
        <v>19</v>
      </c>
      <c r="B98" s="4"/>
      <c r="C98" s="4" t="s">
        <v>946</v>
      </c>
      <c r="D98" s="4" t="s">
        <v>676</v>
      </c>
      <c r="E98" s="5">
        <v>-814000</v>
      </c>
      <c r="F98" s="6">
        <v>-1006.104</v>
      </c>
      <c r="G98" s="7">
        <v>-1.712232E-2</v>
      </c>
      <c r="H98" s="53"/>
    </row>
    <row r="99" spans="1:8" ht="29.1" customHeight="1" x14ac:dyDescent="0.2">
      <c r="A99" s="3">
        <v>20</v>
      </c>
      <c r="B99" s="4"/>
      <c r="C99" s="4" t="s">
        <v>920</v>
      </c>
      <c r="D99" s="4" t="s">
        <v>676</v>
      </c>
      <c r="E99" s="5">
        <v>-42600</v>
      </c>
      <c r="F99" s="6">
        <v>-1071.6030000000001</v>
      </c>
      <c r="G99" s="7">
        <v>-1.8237010000000001E-2</v>
      </c>
      <c r="H99" s="53"/>
    </row>
    <row r="100" spans="1:8" ht="17.100000000000001" customHeight="1" x14ac:dyDescent="0.2">
      <c r="A100" s="3">
        <v>21</v>
      </c>
      <c r="B100" s="4"/>
      <c r="C100" s="4" t="s">
        <v>933</v>
      </c>
      <c r="D100" s="4" t="s">
        <v>676</v>
      </c>
      <c r="E100" s="5">
        <v>-213750</v>
      </c>
      <c r="F100" s="6">
        <v>-1294.149375</v>
      </c>
      <c r="G100" s="7">
        <v>-2.2024409999999998E-2</v>
      </c>
      <c r="H100" s="53"/>
    </row>
    <row r="101" spans="1:8" ht="17.100000000000001" customHeight="1" x14ac:dyDescent="0.2">
      <c r="A101" s="3">
        <v>22</v>
      </c>
      <c r="B101" s="4"/>
      <c r="C101" s="4" t="s">
        <v>947</v>
      </c>
      <c r="D101" s="4" t="s">
        <v>676</v>
      </c>
      <c r="E101" s="5">
        <v>-132600</v>
      </c>
      <c r="F101" s="6">
        <v>-1605.3218999999999</v>
      </c>
      <c r="G101" s="7">
        <v>-2.732008E-2</v>
      </c>
      <c r="H101" s="53"/>
    </row>
    <row r="102" spans="1:8" ht="17.100000000000001" customHeight="1" x14ac:dyDescent="0.2">
      <c r="A102" s="3">
        <v>23</v>
      </c>
      <c r="B102" s="4"/>
      <c r="C102" s="4" t="s">
        <v>936</v>
      </c>
      <c r="D102" s="4" t="s">
        <v>676</v>
      </c>
      <c r="E102" s="5">
        <v>-127600</v>
      </c>
      <c r="F102" s="6">
        <v>-1844.0752</v>
      </c>
      <c r="G102" s="7">
        <v>-3.1383290000000001E-2</v>
      </c>
      <c r="H102" s="53"/>
    </row>
    <row r="103" spans="1:8" ht="17.100000000000001" customHeight="1" x14ac:dyDescent="0.2">
      <c r="A103" s="3">
        <v>24</v>
      </c>
      <c r="B103" s="4"/>
      <c r="C103" s="4" t="s">
        <v>927</v>
      </c>
      <c r="D103" s="4" t="s">
        <v>676</v>
      </c>
      <c r="E103" s="5">
        <v>-196700</v>
      </c>
      <c r="F103" s="6">
        <v>-1900.2203500000001</v>
      </c>
      <c r="G103" s="7">
        <v>-3.2338789999999999E-2</v>
      </c>
      <c r="H103" s="53"/>
    </row>
    <row r="104" spans="1:8" ht="17.100000000000001" customHeight="1" x14ac:dyDescent="0.2">
      <c r="A104" s="3">
        <v>25</v>
      </c>
      <c r="B104" s="4"/>
      <c r="C104" s="4" t="s">
        <v>923</v>
      </c>
      <c r="D104" s="4" t="s">
        <v>676</v>
      </c>
      <c r="E104" s="5">
        <v>-156200</v>
      </c>
      <c r="F104" s="6">
        <v>-2470.9277999999999</v>
      </c>
      <c r="G104" s="7">
        <v>-4.205134E-2</v>
      </c>
      <c r="H104" s="53"/>
    </row>
    <row r="105" spans="1:8" ht="14.1" customHeight="1" x14ac:dyDescent="0.2">
      <c r="A105" s="1"/>
      <c r="B105" s="1"/>
      <c r="C105" s="2" t="s">
        <v>144</v>
      </c>
      <c r="D105" s="1"/>
      <c r="E105" s="1" t="s">
        <v>145</v>
      </c>
      <c r="F105" s="9">
        <v>-15827.456087500001</v>
      </c>
      <c r="G105" s="10">
        <v>-0.26935866000000003</v>
      </c>
      <c r="H105" s="53"/>
    </row>
    <row r="106" spans="1:8" ht="14.1" customHeight="1" x14ac:dyDescent="0.2">
      <c r="A106" s="1"/>
      <c r="B106" s="1"/>
      <c r="C106" s="11"/>
      <c r="D106" s="1"/>
      <c r="E106" s="1"/>
      <c r="F106" s="12"/>
      <c r="G106" s="12"/>
      <c r="H106" s="53"/>
    </row>
    <row r="107" spans="1:8" ht="18" customHeight="1" x14ac:dyDescent="0.2">
      <c r="A107" s="1"/>
      <c r="B107" s="1"/>
      <c r="C107" s="2" t="s">
        <v>152</v>
      </c>
      <c r="D107" s="1"/>
      <c r="E107" s="1"/>
      <c r="F107" s="9">
        <v>41208.844422499998</v>
      </c>
      <c r="G107" s="10">
        <v>0.70131036999999996</v>
      </c>
      <c r="H107" s="53"/>
    </row>
    <row r="108" spans="1:8" ht="14.1" customHeight="1" x14ac:dyDescent="0.2">
      <c r="A108" s="1"/>
      <c r="B108" s="1"/>
      <c r="C108" s="11"/>
      <c r="D108" s="1"/>
      <c r="E108" s="1"/>
      <c r="F108" s="12"/>
      <c r="G108" s="12"/>
      <c r="H108" s="53"/>
    </row>
    <row r="109" spans="1:8" ht="14.1" customHeight="1" x14ac:dyDescent="0.2">
      <c r="A109" s="1"/>
      <c r="B109" s="1"/>
      <c r="C109" s="2" t="s">
        <v>153</v>
      </c>
      <c r="D109" s="1"/>
      <c r="E109" s="1"/>
      <c r="F109" s="12"/>
      <c r="G109" s="12"/>
      <c r="H109" s="53"/>
    </row>
    <row r="110" spans="1:8" ht="24" customHeight="1" x14ac:dyDescent="0.2">
      <c r="A110" s="1"/>
      <c r="B110" s="1"/>
      <c r="C110" s="2" t="s">
        <v>10</v>
      </c>
      <c r="D110" s="1"/>
      <c r="E110" s="1"/>
      <c r="F110" s="12"/>
      <c r="G110" s="12"/>
      <c r="H110" s="53"/>
    </row>
    <row r="111" spans="1:8" ht="29.1" customHeight="1" x14ac:dyDescent="0.2">
      <c r="A111" s="3">
        <v>1</v>
      </c>
      <c r="B111" s="4" t="s">
        <v>582</v>
      </c>
      <c r="C111" s="4" t="s">
        <v>583</v>
      </c>
      <c r="D111" s="4" t="s">
        <v>570</v>
      </c>
      <c r="E111" s="5">
        <v>1500</v>
      </c>
      <c r="F111" s="6">
        <v>1491.4380000000001</v>
      </c>
      <c r="G111" s="7">
        <v>2.538195E-2</v>
      </c>
      <c r="H111" s="53">
        <v>7.65</v>
      </c>
    </row>
    <row r="112" spans="1:8" ht="29.1" customHeight="1" x14ac:dyDescent="0.2">
      <c r="A112" s="3">
        <v>2</v>
      </c>
      <c r="B112" s="4" t="s">
        <v>729</v>
      </c>
      <c r="C112" s="4" t="s">
        <v>730</v>
      </c>
      <c r="D112" s="4" t="s">
        <v>570</v>
      </c>
      <c r="E112" s="5">
        <v>1000</v>
      </c>
      <c r="F112" s="6">
        <v>996.23500000000001</v>
      </c>
      <c r="G112" s="7">
        <v>1.695437E-2</v>
      </c>
      <c r="H112" s="53">
        <v>7.6449999999999996</v>
      </c>
    </row>
    <row r="113" spans="1:8" ht="29.1" customHeight="1" x14ac:dyDescent="0.2">
      <c r="A113" s="3">
        <v>3</v>
      </c>
      <c r="B113" s="4" t="s">
        <v>608</v>
      </c>
      <c r="C113" s="4" t="s">
        <v>609</v>
      </c>
      <c r="D113" s="4" t="s">
        <v>570</v>
      </c>
      <c r="E113" s="5">
        <v>100</v>
      </c>
      <c r="F113" s="6">
        <v>992.30200000000002</v>
      </c>
      <c r="G113" s="7">
        <v>1.6887429999999998E-2</v>
      </c>
      <c r="H113" s="53">
        <v>7.5650000000000004</v>
      </c>
    </row>
    <row r="114" spans="1:8" ht="29.1" customHeight="1" x14ac:dyDescent="0.2">
      <c r="A114" s="3">
        <v>4</v>
      </c>
      <c r="B114" s="4" t="s">
        <v>691</v>
      </c>
      <c r="C114" s="4" t="s">
        <v>692</v>
      </c>
      <c r="D114" s="4" t="s">
        <v>573</v>
      </c>
      <c r="E114" s="5">
        <v>5</v>
      </c>
      <c r="F114" s="6">
        <v>50.253399999999999</v>
      </c>
      <c r="G114" s="7">
        <v>8.5523999999999995E-4</v>
      </c>
      <c r="H114" s="53">
        <v>7.24</v>
      </c>
    </row>
    <row r="115" spans="1:8" ht="29.1" customHeight="1" x14ac:dyDescent="0.2">
      <c r="A115" s="3">
        <v>5</v>
      </c>
      <c r="B115" s="4" t="s">
        <v>716</v>
      </c>
      <c r="C115" s="4" t="s">
        <v>717</v>
      </c>
      <c r="D115" s="4" t="s">
        <v>573</v>
      </c>
      <c r="E115" s="5">
        <v>1640</v>
      </c>
      <c r="F115" s="6">
        <v>0.46840559900000001</v>
      </c>
      <c r="G115" s="52" t="s">
        <v>143</v>
      </c>
      <c r="H115" s="53">
        <v>7.5179999999999998</v>
      </c>
    </row>
    <row r="116" spans="1:8" ht="14.1" customHeight="1" x14ac:dyDescent="0.2">
      <c r="A116" s="1"/>
      <c r="B116" s="1"/>
      <c r="C116" s="2" t="s">
        <v>144</v>
      </c>
      <c r="D116" s="1"/>
      <c r="E116" s="1" t="s">
        <v>145</v>
      </c>
      <c r="F116" s="9">
        <v>3530.6968055990001</v>
      </c>
      <c r="G116" s="10">
        <v>6.0086960000000002E-2</v>
      </c>
      <c r="H116" s="53"/>
    </row>
    <row r="117" spans="1:8" ht="14.1" customHeight="1" x14ac:dyDescent="0.2">
      <c r="A117" s="1"/>
      <c r="B117" s="1"/>
      <c r="C117" s="11"/>
      <c r="D117" s="1"/>
      <c r="E117" s="1"/>
      <c r="F117" s="12"/>
      <c r="G117" s="12"/>
      <c r="H117" s="53"/>
    </row>
    <row r="118" spans="1:8" ht="14.1" customHeight="1" x14ac:dyDescent="0.2">
      <c r="A118" s="1"/>
      <c r="B118" s="1"/>
      <c r="C118" s="2" t="s">
        <v>154</v>
      </c>
      <c r="D118" s="1"/>
      <c r="E118" s="1"/>
      <c r="F118" s="1"/>
      <c r="G118" s="1"/>
      <c r="H118" s="53"/>
    </row>
    <row r="119" spans="1:8" ht="14.1" customHeight="1" x14ac:dyDescent="0.2">
      <c r="A119" s="1"/>
      <c r="B119" s="1"/>
      <c r="C119" s="2" t="s">
        <v>144</v>
      </c>
      <c r="D119" s="1"/>
      <c r="E119" s="1" t="s">
        <v>145</v>
      </c>
      <c r="F119" s="13" t="s">
        <v>147</v>
      </c>
      <c r="G119" s="10">
        <v>0</v>
      </c>
      <c r="H119" s="53"/>
    </row>
    <row r="120" spans="1:8" ht="14.1" customHeight="1" x14ac:dyDescent="0.2">
      <c r="A120" s="1"/>
      <c r="B120" s="1"/>
      <c r="C120" s="11"/>
      <c r="D120" s="1"/>
      <c r="E120" s="1"/>
      <c r="F120" s="12"/>
      <c r="G120" s="12"/>
      <c r="H120" s="53"/>
    </row>
    <row r="121" spans="1:8" ht="14.1" customHeight="1" x14ac:dyDescent="0.2">
      <c r="A121" s="1"/>
      <c r="B121" s="1"/>
      <c r="C121" s="2" t="s">
        <v>155</v>
      </c>
      <c r="D121" s="1"/>
      <c r="E121" s="1"/>
      <c r="F121" s="1"/>
      <c r="G121" s="1"/>
      <c r="H121" s="53"/>
    </row>
    <row r="122" spans="1:8" ht="29.1" customHeight="1" x14ac:dyDescent="0.2">
      <c r="A122" s="3">
        <v>1</v>
      </c>
      <c r="B122" s="4" t="s">
        <v>639</v>
      </c>
      <c r="C122" s="4" t="s">
        <v>968</v>
      </c>
      <c r="D122" s="4" t="s">
        <v>632</v>
      </c>
      <c r="E122" s="5">
        <v>1500000</v>
      </c>
      <c r="F122" s="6">
        <v>1453.104</v>
      </c>
      <c r="G122" s="7">
        <v>2.4729569999999999E-2</v>
      </c>
      <c r="H122" s="53">
        <v>7.2313999999999998</v>
      </c>
    </row>
    <row r="123" spans="1:8" ht="29.1" customHeight="1" x14ac:dyDescent="0.2">
      <c r="A123" s="3">
        <v>2</v>
      </c>
      <c r="B123" s="4" t="s">
        <v>731</v>
      </c>
      <c r="C123" s="4" t="s">
        <v>732</v>
      </c>
      <c r="D123" s="4" t="s">
        <v>632</v>
      </c>
      <c r="E123" s="5">
        <v>500000</v>
      </c>
      <c r="F123" s="6">
        <v>480.1035</v>
      </c>
      <c r="G123" s="7">
        <v>8.17061E-3</v>
      </c>
      <c r="H123" s="53">
        <v>7.2680999999999996</v>
      </c>
    </row>
    <row r="124" spans="1:8" ht="29.1" customHeight="1" x14ac:dyDescent="0.2">
      <c r="A124" s="3">
        <v>3</v>
      </c>
      <c r="B124" s="4" t="s">
        <v>733</v>
      </c>
      <c r="C124" s="4" t="s">
        <v>734</v>
      </c>
      <c r="D124" s="4" t="s">
        <v>632</v>
      </c>
      <c r="E124" s="5">
        <v>100000</v>
      </c>
      <c r="F124" s="6">
        <v>101.38509999999999</v>
      </c>
      <c r="G124" s="7">
        <v>1.7254200000000001E-3</v>
      </c>
      <c r="H124" s="53">
        <v>7.3985000000000003</v>
      </c>
    </row>
    <row r="125" spans="1:8" ht="14.1" customHeight="1" x14ac:dyDescent="0.2">
      <c r="A125" s="1"/>
      <c r="B125" s="1"/>
      <c r="C125" s="2" t="s">
        <v>144</v>
      </c>
      <c r="D125" s="1"/>
      <c r="E125" s="1" t="s">
        <v>145</v>
      </c>
      <c r="F125" s="9">
        <v>2034.5925999999999</v>
      </c>
      <c r="G125" s="10">
        <v>3.4625599999999999E-2</v>
      </c>
      <c r="H125" s="53"/>
    </row>
    <row r="126" spans="1:8" ht="14.1" customHeight="1" x14ac:dyDescent="0.2">
      <c r="A126" s="1"/>
      <c r="B126" s="1"/>
      <c r="C126" s="11"/>
      <c r="D126" s="1"/>
      <c r="E126" s="1"/>
      <c r="F126" s="12"/>
      <c r="G126" s="12"/>
      <c r="H126" s="53"/>
    </row>
    <row r="127" spans="1:8" ht="14.1" customHeight="1" x14ac:dyDescent="0.2">
      <c r="A127" s="1"/>
      <c r="B127" s="1"/>
      <c r="C127" s="2" t="s">
        <v>156</v>
      </c>
      <c r="D127" s="1"/>
      <c r="E127" s="1"/>
      <c r="F127" s="12"/>
      <c r="G127" s="12"/>
      <c r="H127" s="53"/>
    </row>
    <row r="128" spans="1:8" ht="14.1" customHeight="1" x14ac:dyDescent="0.2">
      <c r="A128" s="1"/>
      <c r="B128" s="1"/>
      <c r="C128" s="2" t="s">
        <v>144</v>
      </c>
      <c r="D128" s="1"/>
      <c r="E128" s="1" t="s">
        <v>145</v>
      </c>
      <c r="F128" s="13" t="s">
        <v>147</v>
      </c>
      <c r="G128" s="10">
        <v>0</v>
      </c>
      <c r="H128" s="53"/>
    </row>
    <row r="129" spans="1:8" ht="14.1" customHeight="1" x14ac:dyDescent="0.2">
      <c r="A129" s="1"/>
      <c r="B129" s="1"/>
      <c r="C129" s="11"/>
      <c r="D129" s="1"/>
      <c r="E129" s="1"/>
      <c r="F129" s="12"/>
      <c r="G129" s="12"/>
      <c r="H129" s="53"/>
    </row>
    <row r="130" spans="1:8" ht="14.1" customHeight="1" x14ac:dyDescent="0.2">
      <c r="A130" s="1"/>
      <c r="B130" s="1"/>
      <c r="C130" s="2" t="s">
        <v>157</v>
      </c>
      <c r="D130" s="1"/>
      <c r="E130" s="1"/>
      <c r="F130" s="9">
        <v>5565.289405599</v>
      </c>
      <c r="G130" s="10">
        <v>9.4712560000000001E-2</v>
      </c>
      <c r="H130" s="53"/>
    </row>
    <row r="131" spans="1:8" ht="14.1" customHeight="1" x14ac:dyDescent="0.2">
      <c r="A131" s="1"/>
      <c r="B131" s="1"/>
      <c r="C131" s="11"/>
      <c r="D131" s="1"/>
      <c r="E131" s="1"/>
      <c r="F131" s="12"/>
      <c r="G131" s="12"/>
      <c r="H131" s="53"/>
    </row>
    <row r="132" spans="1:8" ht="14.1" customHeight="1" x14ac:dyDescent="0.2">
      <c r="A132" s="1"/>
      <c r="B132" s="1"/>
      <c r="C132" s="2" t="s">
        <v>158</v>
      </c>
      <c r="D132" s="1"/>
      <c r="E132" s="1"/>
      <c r="F132" s="12"/>
      <c r="G132" s="12"/>
      <c r="H132" s="53"/>
    </row>
    <row r="133" spans="1:8" ht="14.1" customHeight="1" x14ac:dyDescent="0.2">
      <c r="A133" s="1"/>
      <c r="B133" s="1"/>
      <c r="C133" s="2" t="s">
        <v>159</v>
      </c>
      <c r="D133" s="1"/>
      <c r="E133" s="1"/>
      <c r="F133" s="12"/>
      <c r="G133" s="12"/>
      <c r="H133" s="53"/>
    </row>
    <row r="134" spans="1:8" ht="14.1" customHeight="1" x14ac:dyDescent="0.2">
      <c r="A134" s="1"/>
      <c r="B134" s="1"/>
      <c r="C134" s="2" t="s">
        <v>144</v>
      </c>
      <c r="D134" s="1"/>
      <c r="E134" s="1" t="s">
        <v>145</v>
      </c>
      <c r="F134" s="13" t="s">
        <v>147</v>
      </c>
      <c r="G134" s="10">
        <v>0</v>
      </c>
      <c r="H134" s="53"/>
    </row>
    <row r="135" spans="1:8" ht="14.1" customHeight="1" x14ac:dyDescent="0.2">
      <c r="A135" s="1"/>
      <c r="B135" s="1"/>
      <c r="C135" s="11"/>
      <c r="D135" s="1"/>
      <c r="E135" s="1"/>
      <c r="F135" s="12"/>
      <c r="G135" s="12"/>
      <c r="H135" s="53"/>
    </row>
    <row r="136" spans="1:8" ht="14.1" customHeight="1" x14ac:dyDescent="0.2">
      <c r="A136" s="1"/>
      <c r="B136" s="1"/>
      <c r="C136" s="2" t="s">
        <v>160</v>
      </c>
      <c r="D136" s="1"/>
      <c r="E136" s="1"/>
      <c r="F136" s="12"/>
      <c r="G136" s="12"/>
      <c r="H136" s="53"/>
    </row>
    <row r="137" spans="1:8" ht="14.1" customHeight="1" x14ac:dyDescent="0.2">
      <c r="A137" s="1"/>
      <c r="B137" s="1"/>
      <c r="C137" s="2" t="s">
        <v>144</v>
      </c>
      <c r="D137" s="1"/>
      <c r="E137" s="1" t="s">
        <v>145</v>
      </c>
      <c r="F137" s="13" t="s">
        <v>147</v>
      </c>
      <c r="G137" s="10">
        <v>0</v>
      </c>
      <c r="H137" s="53"/>
    </row>
    <row r="138" spans="1:8" ht="14.1" customHeight="1" x14ac:dyDescent="0.2">
      <c r="A138" s="1"/>
      <c r="B138" s="1"/>
      <c r="C138" s="11"/>
      <c r="D138" s="1"/>
      <c r="E138" s="1"/>
      <c r="F138" s="12"/>
      <c r="G138" s="12"/>
      <c r="H138" s="53"/>
    </row>
    <row r="139" spans="1:8" ht="14.1" customHeight="1" x14ac:dyDescent="0.2">
      <c r="A139" s="1"/>
      <c r="B139" s="1"/>
      <c r="C139" s="2" t="s">
        <v>161</v>
      </c>
      <c r="D139" s="1"/>
      <c r="E139" s="1"/>
      <c r="F139" s="12"/>
      <c r="G139" s="12"/>
      <c r="H139" s="53"/>
    </row>
    <row r="140" spans="1:8" ht="17.100000000000001" customHeight="1" x14ac:dyDescent="0.2">
      <c r="A140" s="3">
        <v>1</v>
      </c>
      <c r="B140" s="4" t="s">
        <v>657</v>
      </c>
      <c r="C140" s="4" t="s">
        <v>969</v>
      </c>
      <c r="D140" s="4" t="s">
        <v>632</v>
      </c>
      <c r="E140" s="5">
        <v>1000000</v>
      </c>
      <c r="F140" s="6">
        <v>962.57899999999995</v>
      </c>
      <c r="G140" s="7">
        <v>1.63816E-2</v>
      </c>
      <c r="H140" s="53">
        <v>6.99</v>
      </c>
    </row>
    <row r="141" spans="1:8" ht="14.1" customHeight="1" x14ac:dyDescent="0.2">
      <c r="A141" s="1"/>
      <c r="B141" s="1"/>
      <c r="C141" s="2" t="s">
        <v>144</v>
      </c>
      <c r="D141" s="1"/>
      <c r="E141" s="1" t="s">
        <v>145</v>
      </c>
      <c r="F141" s="9">
        <v>962.57899999999995</v>
      </c>
      <c r="G141" s="10">
        <v>1.63816E-2</v>
      </c>
      <c r="H141" s="53"/>
    </row>
    <row r="142" spans="1:8" ht="14.1" customHeight="1" x14ac:dyDescent="0.2">
      <c r="A142" s="1"/>
      <c r="B142" s="1"/>
      <c r="C142" s="11"/>
      <c r="D142" s="1"/>
      <c r="E142" s="1"/>
      <c r="F142" s="12"/>
      <c r="G142" s="12"/>
      <c r="H142" s="53"/>
    </row>
    <row r="143" spans="1:8" ht="14.1" customHeight="1" x14ac:dyDescent="0.2">
      <c r="A143" s="1"/>
      <c r="B143" s="1"/>
      <c r="C143" s="2" t="s">
        <v>162</v>
      </c>
      <c r="D143" s="1"/>
      <c r="E143" s="1"/>
      <c r="F143" s="12"/>
      <c r="G143" s="12"/>
      <c r="H143" s="53"/>
    </row>
    <row r="144" spans="1:8" ht="17.100000000000001" customHeight="1" x14ac:dyDescent="0.2">
      <c r="A144" s="3">
        <v>1</v>
      </c>
      <c r="B144" s="4"/>
      <c r="C144" s="4" t="s">
        <v>163</v>
      </c>
      <c r="D144" s="4"/>
      <c r="E144" s="8"/>
      <c r="F144" s="6">
        <v>5179.2267559769998</v>
      </c>
      <c r="G144" s="7">
        <v>8.8142369999999998E-2</v>
      </c>
      <c r="H144" s="51">
        <v>6.6602331647804478</v>
      </c>
    </row>
    <row r="145" spans="1:8" ht="17.100000000000001" customHeight="1" x14ac:dyDescent="0.2">
      <c r="A145" s="3">
        <v>2</v>
      </c>
      <c r="B145" s="4"/>
      <c r="C145" s="4" t="s">
        <v>164</v>
      </c>
      <c r="D145" s="4"/>
      <c r="E145" s="8"/>
      <c r="F145" s="6">
        <v>3959.6644746000002</v>
      </c>
      <c r="G145" s="7">
        <v>6.7387320000000001E-2</v>
      </c>
      <c r="H145" s="51">
        <v>6.6588225936582406</v>
      </c>
    </row>
    <row r="146" spans="1:8" ht="14.1" customHeight="1" x14ac:dyDescent="0.2">
      <c r="A146" s="1"/>
      <c r="B146" s="1"/>
      <c r="C146" s="2" t="s">
        <v>144</v>
      </c>
      <c r="D146" s="1"/>
      <c r="E146" s="1" t="s">
        <v>145</v>
      </c>
      <c r="F146" s="9">
        <v>9138.8912305770009</v>
      </c>
      <c r="G146" s="10">
        <v>0.15552969</v>
      </c>
      <c r="H146" s="53"/>
    </row>
    <row r="147" spans="1:8" ht="14.1" customHeight="1" x14ac:dyDescent="0.2">
      <c r="A147" s="1"/>
      <c r="B147" s="1"/>
      <c r="C147" s="11"/>
      <c r="D147" s="1"/>
      <c r="E147" s="1"/>
      <c r="F147" s="12"/>
      <c r="G147" s="12"/>
      <c r="H147" s="53"/>
    </row>
    <row r="148" spans="1:8" ht="14.1" customHeight="1" x14ac:dyDescent="0.2">
      <c r="A148" s="1"/>
      <c r="B148" s="1"/>
      <c r="C148" s="2" t="s">
        <v>165</v>
      </c>
      <c r="D148" s="1"/>
      <c r="E148" s="1"/>
      <c r="F148" s="9">
        <v>10101.470230577001</v>
      </c>
      <c r="G148" s="10">
        <v>0.17191128999999999</v>
      </c>
      <c r="H148" s="53"/>
    </row>
    <row r="149" spans="1:8" ht="14.1" customHeight="1" x14ac:dyDescent="0.2">
      <c r="A149" s="1"/>
      <c r="B149" s="1"/>
      <c r="C149" s="12"/>
      <c r="D149" s="1"/>
      <c r="E149" s="1"/>
      <c r="F149" s="1"/>
      <c r="G149" s="1"/>
      <c r="H149" s="53"/>
    </row>
    <row r="150" spans="1:8" ht="14.1" customHeight="1" x14ac:dyDescent="0.2">
      <c r="A150" s="1"/>
      <c r="B150" s="1"/>
      <c r="C150" s="2" t="s">
        <v>166</v>
      </c>
      <c r="D150" s="1"/>
      <c r="E150" s="1"/>
      <c r="F150" s="1"/>
      <c r="G150" s="1"/>
      <c r="H150" s="53"/>
    </row>
    <row r="151" spans="1:8" ht="14.1" customHeight="1" x14ac:dyDescent="0.2">
      <c r="A151" s="1"/>
      <c r="B151" s="1"/>
      <c r="C151" s="2" t="s">
        <v>167</v>
      </c>
      <c r="D151" s="1"/>
      <c r="E151" s="1"/>
      <c r="F151" s="1"/>
      <c r="G151" s="1"/>
      <c r="H151" s="53"/>
    </row>
    <row r="152" spans="1:8" ht="14.1" customHeight="1" x14ac:dyDescent="0.2">
      <c r="A152" s="1"/>
      <c r="B152" s="1"/>
      <c r="C152" s="2" t="s">
        <v>144</v>
      </c>
      <c r="D152" s="1"/>
      <c r="E152" s="1" t="s">
        <v>145</v>
      </c>
      <c r="F152" s="13" t="s">
        <v>147</v>
      </c>
      <c r="G152" s="10">
        <v>0</v>
      </c>
      <c r="H152" s="53"/>
    </row>
    <row r="153" spans="1:8" ht="14.1" customHeight="1" x14ac:dyDescent="0.2">
      <c r="A153" s="1"/>
      <c r="B153" s="1"/>
      <c r="C153" s="11"/>
      <c r="D153" s="1"/>
      <c r="E153" s="1"/>
      <c r="F153" s="12"/>
      <c r="G153" s="12"/>
      <c r="H153" s="53"/>
    </row>
    <row r="154" spans="1:8" ht="14.1" customHeight="1" x14ac:dyDescent="0.2">
      <c r="A154" s="1"/>
      <c r="B154" s="1"/>
      <c r="C154" s="2" t="s">
        <v>168</v>
      </c>
      <c r="D154" s="1"/>
      <c r="E154" s="1"/>
      <c r="F154" s="1"/>
      <c r="G154" s="1"/>
      <c r="H154" s="53"/>
    </row>
    <row r="155" spans="1:8" ht="14.1" customHeight="1" x14ac:dyDescent="0.2">
      <c r="A155" s="1"/>
      <c r="B155" s="1"/>
      <c r="C155" s="2" t="s">
        <v>169</v>
      </c>
      <c r="D155" s="1"/>
      <c r="E155" s="1"/>
      <c r="F155" s="1"/>
      <c r="G155" s="1"/>
      <c r="H155" s="53"/>
    </row>
    <row r="156" spans="1:8" ht="14.1" customHeight="1" x14ac:dyDescent="0.2">
      <c r="A156" s="1"/>
      <c r="B156" s="1"/>
      <c r="C156" s="2" t="s">
        <v>144</v>
      </c>
      <c r="D156" s="1"/>
      <c r="E156" s="1" t="s">
        <v>145</v>
      </c>
      <c r="F156" s="13" t="s">
        <v>147</v>
      </c>
      <c r="G156" s="10">
        <v>0</v>
      </c>
      <c r="H156" s="53"/>
    </row>
    <row r="157" spans="1:8" ht="14.1" customHeight="1" x14ac:dyDescent="0.2">
      <c r="A157" s="1"/>
      <c r="B157" s="1"/>
      <c r="C157" s="11"/>
      <c r="D157" s="1"/>
      <c r="E157" s="1"/>
      <c r="F157" s="12"/>
      <c r="G157" s="12"/>
      <c r="H157" s="53"/>
    </row>
    <row r="158" spans="1:8" ht="24" customHeight="1" x14ac:dyDescent="0.2">
      <c r="A158" s="1"/>
      <c r="B158" s="1"/>
      <c r="C158" s="2" t="s">
        <v>170</v>
      </c>
      <c r="D158" s="1"/>
      <c r="E158" s="1"/>
      <c r="F158" s="12"/>
      <c r="G158" s="12"/>
      <c r="H158" s="53"/>
    </row>
    <row r="159" spans="1:8" ht="14.1" customHeight="1" x14ac:dyDescent="0.2">
      <c r="A159" s="1"/>
      <c r="B159" s="1"/>
      <c r="C159" s="2" t="s">
        <v>144</v>
      </c>
      <c r="D159" s="1"/>
      <c r="E159" s="1" t="s">
        <v>145</v>
      </c>
      <c r="F159" s="13" t="s">
        <v>147</v>
      </c>
      <c r="G159" s="10">
        <v>0</v>
      </c>
      <c r="H159" s="53"/>
    </row>
    <row r="160" spans="1:8" ht="14.1" customHeight="1" x14ac:dyDescent="0.2">
      <c r="A160" s="1"/>
      <c r="B160" s="1"/>
      <c r="C160" s="11"/>
      <c r="D160" s="1"/>
      <c r="E160" s="1"/>
      <c r="F160" s="12"/>
      <c r="G160" s="12"/>
      <c r="H160" s="53"/>
    </row>
    <row r="161" spans="1:9" ht="18" customHeight="1" x14ac:dyDescent="0.2">
      <c r="A161" s="8"/>
      <c r="B161" s="4"/>
      <c r="C161" s="4" t="s">
        <v>308</v>
      </c>
      <c r="D161" s="4"/>
      <c r="E161" s="8"/>
      <c r="F161" s="6">
        <v>1941.8380658999999</v>
      </c>
      <c r="G161" s="7">
        <v>3.3047059220634736E-2</v>
      </c>
      <c r="H161" s="53"/>
    </row>
    <row r="162" spans="1:9" ht="18" customHeight="1" x14ac:dyDescent="0.2">
      <c r="A162" s="8"/>
      <c r="B162" s="4"/>
      <c r="C162" s="40" t="s">
        <v>961</v>
      </c>
      <c r="D162" s="4"/>
      <c r="E162" s="8"/>
      <c r="F162" s="6">
        <v>-57.657995660000097</v>
      </c>
      <c r="G162" s="7">
        <v>-9.8124927643541645E-4</v>
      </c>
      <c r="H162" s="53"/>
    </row>
    <row r="163" spans="1:9" ht="14.1" customHeight="1" x14ac:dyDescent="0.2">
      <c r="A163" s="11"/>
      <c r="B163" s="11"/>
      <c r="C163" s="2" t="s">
        <v>172</v>
      </c>
      <c r="D163" s="12"/>
      <c r="E163" s="12"/>
      <c r="F163" s="9">
        <v>58759.784128915999</v>
      </c>
      <c r="G163" s="14">
        <v>1.0000000200000001</v>
      </c>
      <c r="H163" s="53"/>
      <c r="I163" s="55"/>
    </row>
    <row r="164" spans="1:9" ht="14.1" customHeight="1" x14ac:dyDescent="0.2">
      <c r="A164" s="15"/>
      <c r="B164" s="15"/>
      <c r="C164" s="15"/>
      <c r="D164" s="16"/>
      <c r="E164" s="16"/>
      <c r="F164" s="16"/>
      <c r="G164" s="16"/>
    </row>
    <row r="165" spans="1:9" ht="17.100000000000001" customHeight="1" x14ac:dyDescent="0.2">
      <c r="A165" s="41"/>
      <c r="B165" s="239" t="s">
        <v>907</v>
      </c>
      <c r="C165" s="239"/>
      <c r="D165" s="239"/>
      <c r="E165" s="239"/>
      <c r="F165" s="239"/>
      <c r="G165" s="45"/>
    </row>
    <row r="166" spans="1:9" ht="17.100000000000001" customHeight="1" x14ac:dyDescent="0.2">
      <c r="A166" s="41"/>
      <c r="B166" s="239" t="s">
        <v>173</v>
      </c>
      <c r="C166" s="239"/>
      <c r="D166" s="239"/>
      <c r="E166" s="239"/>
      <c r="F166" s="239"/>
      <c r="G166" s="45"/>
    </row>
    <row r="167" spans="1:9" ht="17.100000000000001" customHeight="1" x14ac:dyDescent="0.2">
      <c r="A167" s="41"/>
      <c r="B167" s="239" t="s">
        <v>962</v>
      </c>
      <c r="C167" s="239"/>
      <c r="D167" s="239"/>
      <c r="E167" s="239"/>
      <c r="F167" s="239"/>
      <c r="G167" s="45"/>
    </row>
    <row r="168" spans="1:9" ht="17.100000000000001" customHeight="1" x14ac:dyDescent="0.2">
      <c r="A168" s="41"/>
      <c r="B168" s="239" t="s">
        <v>970</v>
      </c>
      <c r="C168" s="239"/>
      <c r="D168" s="239"/>
      <c r="E168" s="239"/>
      <c r="F168" s="239"/>
      <c r="G168" s="45"/>
    </row>
    <row r="169" spans="1:9" ht="14.1" customHeight="1" x14ac:dyDescent="0.2">
      <c r="A169" s="17"/>
      <c r="B169" s="17"/>
      <c r="C169" s="17"/>
      <c r="D169" s="19"/>
      <c r="E169" s="19"/>
      <c r="F169" s="19"/>
      <c r="G169" s="19"/>
    </row>
    <row r="170" spans="1:9" ht="14.1" customHeight="1" x14ac:dyDescent="0.2">
      <c r="A170" s="17"/>
      <c r="B170" s="231" t="s">
        <v>174</v>
      </c>
      <c r="C170" s="232"/>
      <c r="D170" s="233"/>
      <c r="E170" s="20"/>
      <c r="F170" s="19"/>
      <c r="G170" s="19"/>
    </row>
    <row r="171" spans="1:9" ht="29.1" customHeight="1" x14ac:dyDescent="0.2">
      <c r="A171" s="17"/>
      <c r="B171" s="226" t="s">
        <v>175</v>
      </c>
      <c r="C171" s="227"/>
      <c r="D171" s="2" t="s">
        <v>176</v>
      </c>
      <c r="E171" s="20"/>
      <c r="F171" s="19"/>
      <c r="G171" s="19"/>
    </row>
    <row r="172" spans="1:9" ht="17.100000000000001" customHeight="1" x14ac:dyDescent="0.2">
      <c r="A172" s="17"/>
      <c r="B172" s="226" t="s">
        <v>177</v>
      </c>
      <c r="C172" s="227"/>
      <c r="D172" s="2" t="s">
        <v>176</v>
      </c>
      <c r="E172" s="20"/>
      <c r="F172" s="19"/>
      <c r="G172" s="19"/>
    </row>
    <row r="173" spans="1:9" ht="17.100000000000001" customHeight="1" x14ac:dyDescent="0.2">
      <c r="A173" s="17"/>
      <c r="B173" s="226" t="s">
        <v>178</v>
      </c>
      <c r="C173" s="227"/>
      <c r="D173" s="12" t="s">
        <v>145</v>
      </c>
      <c r="E173" s="20"/>
      <c r="F173" s="19"/>
      <c r="G173" s="19"/>
    </row>
    <row r="174" spans="1:9" ht="24" customHeight="1" x14ac:dyDescent="0.2">
      <c r="A174" s="21"/>
      <c r="B174" s="22" t="s">
        <v>145</v>
      </c>
      <c r="C174" s="22" t="s">
        <v>179</v>
      </c>
      <c r="D174" s="22" t="s">
        <v>180</v>
      </c>
      <c r="E174" s="21"/>
      <c r="F174" s="21"/>
      <c r="G174" s="21"/>
    </row>
    <row r="175" spans="1:9" ht="18" customHeight="1" x14ac:dyDescent="0.2">
      <c r="A175" s="21"/>
      <c r="B175" s="23" t="s">
        <v>181</v>
      </c>
      <c r="C175" s="22" t="s">
        <v>182</v>
      </c>
      <c r="D175" s="22" t="s">
        <v>183</v>
      </c>
      <c r="E175" s="21"/>
      <c r="F175" s="21"/>
      <c r="G175" s="21"/>
    </row>
    <row r="176" spans="1:9" ht="17.100000000000001" customHeight="1" x14ac:dyDescent="0.2">
      <c r="A176" s="21"/>
      <c r="B176" s="4" t="s">
        <v>184</v>
      </c>
      <c r="C176" s="24">
        <v>63.669899999999998</v>
      </c>
      <c r="D176" s="24">
        <v>63.908000000000001</v>
      </c>
      <c r="E176" s="21"/>
      <c r="F176" s="18"/>
      <c r="G176" s="25"/>
    </row>
    <row r="177" spans="1:14" ht="29.1" customHeight="1" x14ac:dyDescent="0.2">
      <c r="A177" s="21"/>
      <c r="B177" s="4" t="s">
        <v>1021</v>
      </c>
      <c r="C177" s="24">
        <v>15.162800000000001</v>
      </c>
      <c r="D177" s="24">
        <v>15.2195</v>
      </c>
      <c r="E177" s="21"/>
      <c r="F177" s="18"/>
      <c r="G177" s="25"/>
    </row>
    <row r="178" spans="1:14" ht="29.1" customHeight="1" x14ac:dyDescent="0.2">
      <c r="A178" s="21"/>
      <c r="B178" s="4" t="s">
        <v>1015</v>
      </c>
      <c r="C178" s="24">
        <v>22.108499999999999</v>
      </c>
      <c r="D178" s="24">
        <v>22.191199999999998</v>
      </c>
      <c r="E178" s="21"/>
      <c r="F178" s="18"/>
      <c r="G178" s="25"/>
      <c r="J178" s="54"/>
      <c r="K178" s="54"/>
      <c r="L178" s="54"/>
      <c r="M178" s="54"/>
      <c r="N178" s="54"/>
    </row>
    <row r="179" spans="1:14" ht="17.100000000000001" customHeight="1" x14ac:dyDescent="0.2">
      <c r="A179" s="21"/>
      <c r="B179" s="4" t="s">
        <v>185</v>
      </c>
      <c r="C179" s="24">
        <v>56.608600000000003</v>
      </c>
      <c r="D179" s="24">
        <v>56.739600000000003</v>
      </c>
      <c r="E179" s="21"/>
      <c r="F179" s="18"/>
      <c r="G179" s="25"/>
    </row>
    <row r="180" spans="1:14" ht="29.1" customHeight="1" x14ac:dyDescent="0.2">
      <c r="A180" s="21"/>
      <c r="B180" s="4" t="s">
        <v>1022</v>
      </c>
      <c r="C180" s="24">
        <v>14.5898</v>
      </c>
      <c r="D180" s="24">
        <v>14.623699999999999</v>
      </c>
      <c r="E180" s="21"/>
      <c r="F180" s="18"/>
      <c r="G180" s="25"/>
    </row>
    <row r="181" spans="1:14" ht="29.1" customHeight="1" x14ac:dyDescent="0.2">
      <c r="A181" s="21"/>
      <c r="B181" s="4" t="s">
        <v>1017</v>
      </c>
      <c r="C181" s="24">
        <v>15.714499999999999</v>
      </c>
      <c r="D181" s="24">
        <v>15.7508</v>
      </c>
      <c r="E181" s="21"/>
      <c r="F181" s="18"/>
      <c r="G181" s="25"/>
    </row>
    <row r="182" spans="1:14" ht="14.1" customHeight="1" x14ac:dyDescent="0.2">
      <c r="A182" s="21"/>
      <c r="B182" s="21"/>
      <c r="C182" s="21"/>
      <c r="D182" s="21"/>
      <c r="E182" s="21"/>
      <c r="F182" s="21"/>
      <c r="G182" s="21"/>
    </row>
    <row r="183" spans="1:14" ht="17.100000000000001" customHeight="1" x14ac:dyDescent="0.2">
      <c r="A183" s="21"/>
      <c r="B183" s="226" t="s">
        <v>1011</v>
      </c>
      <c r="C183" s="227"/>
      <c r="D183" s="2" t="s">
        <v>176</v>
      </c>
      <c r="E183" s="21"/>
      <c r="F183" s="21"/>
      <c r="G183" s="21"/>
    </row>
    <row r="184" spans="1:14" ht="18" customHeight="1" x14ac:dyDescent="0.2">
      <c r="A184" s="21"/>
      <c r="B184" s="26"/>
      <c r="C184" s="26"/>
      <c r="D184" s="26"/>
      <c r="E184" s="21"/>
      <c r="F184" s="21"/>
      <c r="G184" s="21"/>
    </row>
    <row r="185" spans="1:14" ht="29.1" customHeight="1" x14ac:dyDescent="0.2">
      <c r="A185" s="21"/>
      <c r="B185" s="226" t="s">
        <v>186</v>
      </c>
      <c r="C185" s="227"/>
      <c r="D185" s="42" t="s">
        <v>958</v>
      </c>
      <c r="E185" s="27"/>
      <c r="F185" s="21"/>
      <c r="G185" s="21"/>
    </row>
    <row r="186" spans="1:14" ht="29.1" customHeight="1" x14ac:dyDescent="0.2">
      <c r="A186" s="21"/>
      <c r="B186" s="226" t="s">
        <v>187</v>
      </c>
      <c r="C186" s="227"/>
      <c r="D186" s="2" t="s">
        <v>176</v>
      </c>
      <c r="E186" s="27"/>
      <c r="F186" s="21"/>
      <c r="G186" s="21"/>
    </row>
    <row r="187" spans="1:14" ht="17.100000000000001" customHeight="1" x14ac:dyDescent="0.2">
      <c r="A187" s="21"/>
      <c r="B187" s="226" t="s">
        <v>188</v>
      </c>
      <c r="C187" s="227"/>
      <c r="D187" s="2" t="s">
        <v>176</v>
      </c>
      <c r="E187" s="27"/>
      <c r="F187" s="21"/>
      <c r="G187" s="21"/>
    </row>
    <row r="188" spans="1:14" ht="17.100000000000001" customHeight="1" x14ac:dyDescent="0.2">
      <c r="A188" s="21"/>
      <c r="B188" s="226" t="s">
        <v>189</v>
      </c>
      <c r="C188" s="227"/>
      <c r="D188" s="57">
        <v>3.9435861727919264</v>
      </c>
      <c r="E188" s="21"/>
      <c r="F188" s="18"/>
      <c r="G188" s="25"/>
    </row>
    <row r="190" spans="1:14" x14ac:dyDescent="0.2">
      <c r="B190" s="250" t="s">
        <v>991</v>
      </c>
      <c r="C190" s="251"/>
      <c r="D190" s="252"/>
    </row>
    <row r="191" spans="1:14" ht="25.5" x14ac:dyDescent="0.2">
      <c r="B191" s="240" t="s">
        <v>992</v>
      </c>
      <c r="C191" s="240"/>
      <c r="D191" s="107" t="s">
        <v>718</v>
      </c>
    </row>
    <row r="192" spans="1:14" x14ac:dyDescent="0.2">
      <c r="B192" s="240" t="s">
        <v>993</v>
      </c>
      <c r="C192" s="240"/>
      <c r="D192" s="115"/>
    </row>
    <row r="193" spans="2:4" x14ac:dyDescent="0.2">
      <c r="B193" s="241"/>
      <c r="C193" s="242"/>
      <c r="D193" s="108"/>
    </row>
    <row r="194" spans="2:4" x14ac:dyDescent="0.2">
      <c r="B194" s="240" t="s">
        <v>994</v>
      </c>
      <c r="C194" s="240"/>
      <c r="D194" s="109">
        <v>6.9404390516132484</v>
      </c>
    </row>
    <row r="195" spans="2:4" x14ac:dyDescent="0.2">
      <c r="B195" s="241"/>
      <c r="C195" s="242"/>
      <c r="D195" s="108"/>
    </row>
    <row r="196" spans="2:4" x14ac:dyDescent="0.2">
      <c r="B196" s="240" t="s">
        <v>995</v>
      </c>
      <c r="C196" s="240"/>
      <c r="D196" s="109">
        <v>0.7445398381631354</v>
      </c>
    </row>
    <row r="197" spans="2:4" x14ac:dyDescent="0.2">
      <c r="B197" s="240" t="s">
        <v>996</v>
      </c>
      <c r="C197" s="240"/>
      <c r="D197" s="109">
        <v>0.78878953033111654</v>
      </c>
    </row>
    <row r="198" spans="2:4" x14ac:dyDescent="0.2">
      <c r="B198" s="241"/>
      <c r="C198" s="242"/>
      <c r="D198" s="108"/>
    </row>
    <row r="199" spans="2:4" x14ac:dyDescent="0.2">
      <c r="B199" s="240" t="s">
        <v>997</v>
      </c>
      <c r="C199" s="240"/>
      <c r="D199" s="111">
        <v>45169</v>
      </c>
    </row>
    <row r="200" spans="2:4" ht="12.75" customHeight="1" x14ac:dyDescent="0.2">
      <c r="B200" s="241" t="s">
        <v>998</v>
      </c>
      <c r="C200" s="257"/>
      <c r="D200" s="242"/>
    </row>
  </sheetData>
  <mergeCells count="28">
    <mergeCell ref="B185:C185"/>
    <mergeCell ref="B186:C186"/>
    <mergeCell ref="B187:C187"/>
    <mergeCell ref="A1:H1"/>
    <mergeCell ref="A2:H2"/>
    <mergeCell ref="A3:H3"/>
    <mergeCell ref="B171:C171"/>
    <mergeCell ref="B165:F165"/>
    <mergeCell ref="B167:F167"/>
    <mergeCell ref="B170:D170"/>
    <mergeCell ref="B166:F166"/>
    <mergeCell ref="B168:F168"/>
    <mergeCell ref="J2:N2"/>
    <mergeCell ref="B200:D200"/>
    <mergeCell ref="B195:C195"/>
    <mergeCell ref="B196:C196"/>
    <mergeCell ref="B197:C197"/>
    <mergeCell ref="B198:C198"/>
    <mergeCell ref="B199:C199"/>
    <mergeCell ref="B190:D190"/>
    <mergeCell ref="B191:C191"/>
    <mergeCell ref="B192:C192"/>
    <mergeCell ref="B193:C193"/>
    <mergeCell ref="B194:C194"/>
    <mergeCell ref="B188:C188"/>
    <mergeCell ref="B172:C172"/>
    <mergeCell ref="B173:C173"/>
    <mergeCell ref="B183:C183"/>
  </mergeCells>
  <hyperlinks>
    <hyperlink ref="I1" location="Index!B21" display="Index" xr:uid="{5F3710B6-EF1F-4470-AD50-0B3A5D8C2C1B}"/>
  </hyperlinks>
  <pageMargins left="5.000000074505806E-2" right="5.000000074505806E-2" top="0.30000001192092896" bottom="0.20000000298023224" header="0" footer="0"/>
  <pageSetup paperSize="9"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N12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735</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310</v>
      </c>
      <c r="C7" s="4" t="s">
        <v>311</v>
      </c>
      <c r="D7" s="4" t="s">
        <v>28</v>
      </c>
      <c r="E7" s="5">
        <v>514000</v>
      </c>
      <c r="F7" s="6">
        <v>8077.2529999999997</v>
      </c>
      <c r="G7" s="7">
        <v>8.8873679999999997E-2</v>
      </c>
      <c r="H7" s="53"/>
    </row>
    <row r="8" spans="1:14" ht="17.100000000000001" customHeight="1" x14ac:dyDescent="0.2">
      <c r="A8" s="3">
        <v>2</v>
      </c>
      <c r="B8" s="4" t="s">
        <v>20</v>
      </c>
      <c r="C8" s="4" t="s">
        <v>21</v>
      </c>
      <c r="D8" s="4" t="s">
        <v>22</v>
      </c>
      <c r="E8" s="5">
        <v>268000</v>
      </c>
      <c r="F8" s="6">
        <v>6450.76</v>
      </c>
      <c r="G8" s="7">
        <v>7.0977449999999997E-2</v>
      </c>
      <c r="H8" s="53"/>
    </row>
    <row r="9" spans="1:14" ht="17.100000000000001" customHeight="1" x14ac:dyDescent="0.2">
      <c r="A9" s="3">
        <v>3</v>
      </c>
      <c r="B9" s="4" t="s">
        <v>312</v>
      </c>
      <c r="C9" s="4" t="s">
        <v>313</v>
      </c>
      <c r="D9" s="4" t="s">
        <v>905</v>
      </c>
      <c r="E9" s="5">
        <v>407000</v>
      </c>
      <c r="F9" s="6">
        <v>5842.2815000000001</v>
      </c>
      <c r="G9" s="7">
        <v>6.428238E-2</v>
      </c>
      <c r="H9" s="53"/>
    </row>
    <row r="10" spans="1:14" ht="17.100000000000001" customHeight="1" x14ac:dyDescent="0.2">
      <c r="A10" s="3">
        <v>4</v>
      </c>
      <c r="B10" s="4" t="s">
        <v>26</v>
      </c>
      <c r="C10" s="4" t="s">
        <v>27</v>
      </c>
      <c r="D10" s="4" t="s">
        <v>28</v>
      </c>
      <c r="E10" s="5">
        <v>562000</v>
      </c>
      <c r="F10" s="6">
        <v>5388.1750000000002</v>
      </c>
      <c r="G10" s="7">
        <v>5.9285869999999997E-2</v>
      </c>
      <c r="H10" s="53"/>
    </row>
    <row r="11" spans="1:14" ht="17.100000000000001" customHeight="1" x14ac:dyDescent="0.2">
      <c r="A11" s="3">
        <v>5</v>
      </c>
      <c r="B11" s="4" t="s">
        <v>11</v>
      </c>
      <c r="C11" s="4" t="s">
        <v>12</v>
      </c>
      <c r="D11" s="4" t="s">
        <v>13</v>
      </c>
      <c r="E11" s="5">
        <v>156000</v>
      </c>
      <c r="F11" s="6">
        <v>4216.2120000000004</v>
      </c>
      <c r="G11" s="7">
        <v>4.6390809999999998E-2</v>
      </c>
      <c r="H11" s="53"/>
    </row>
    <row r="12" spans="1:14" ht="17.100000000000001" customHeight="1" x14ac:dyDescent="0.2">
      <c r="A12" s="3">
        <v>6</v>
      </c>
      <c r="B12" s="4" t="s">
        <v>32</v>
      </c>
      <c r="C12" s="4" t="s">
        <v>33</v>
      </c>
      <c r="D12" s="4" t="s">
        <v>28</v>
      </c>
      <c r="E12" s="5">
        <v>715000</v>
      </c>
      <c r="F12" s="6">
        <v>4013.6525000000001</v>
      </c>
      <c r="G12" s="7">
        <v>4.4162050000000001E-2</v>
      </c>
      <c r="H12" s="53"/>
    </row>
    <row r="13" spans="1:14" ht="17.100000000000001" customHeight="1" x14ac:dyDescent="0.2">
      <c r="A13" s="3">
        <v>7</v>
      </c>
      <c r="B13" s="4" t="s">
        <v>736</v>
      </c>
      <c r="C13" s="4" t="s">
        <v>737</v>
      </c>
      <c r="D13" s="4" t="s">
        <v>238</v>
      </c>
      <c r="E13" s="5">
        <v>14500</v>
      </c>
      <c r="F13" s="6">
        <v>3188.0279999999998</v>
      </c>
      <c r="G13" s="7">
        <v>3.5077740000000003E-2</v>
      </c>
      <c r="H13" s="53"/>
    </row>
    <row r="14" spans="1:14" ht="17.100000000000001" customHeight="1" x14ac:dyDescent="0.2">
      <c r="A14" s="3">
        <v>8</v>
      </c>
      <c r="B14" s="4" t="s">
        <v>350</v>
      </c>
      <c r="C14" s="4" t="s">
        <v>351</v>
      </c>
      <c r="D14" s="4" t="s">
        <v>206</v>
      </c>
      <c r="E14" s="5">
        <v>78000</v>
      </c>
      <c r="F14" s="6">
        <v>2901.9119999999998</v>
      </c>
      <c r="G14" s="7">
        <v>3.1929619999999999E-2</v>
      </c>
      <c r="H14" s="53"/>
      <c r="J14" s="142" t="s">
        <v>1048</v>
      </c>
    </row>
    <row r="15" spans="1:14" ht="17.100000000000001" customHeight="1" x14ac:dyDescent="0.2">
      <c r="A15" s="3">
        <v>9</v>
      </c>
      <c r="B15" s="4" t="s">
        <v>342</v>
      </c>
      <c r="C15" s="4" t="s">
        <v>343</v>
      </c>
      <c r="D15" s="4" t="s">
        <v>130</v>
      </c>
      <c r="E15" s="5">
        <v>37000</v>
      </c>
      <c r="F15" s="6">
        <v>2650.31</v>
      </c>
      <c r="G15" s="7">
        <v>2.916125E-2</v>
      </c>
      <c r="H15" s="53"/>
    </row>
    <row r="16" spans="1:14" ht="17.100000000000001" customHeight="1" x14ac:dyDescent="0.2">
      <c r="A16" s="3">
        <v>10</v>
      </c>
      <c r="B16" s="4" t="s">
        <v>501</v>
      </c>
      <c r="C16" s="4" t="s">
        <v>502</v>
      </c>
      <c r="D16" s="4" t="s">
        <v>397</v>
      </c>
      <c r="E16" s="5">
        <v>45000</v>
      </c>
      <c r="F16" s="6">
        <v>2632.7024999999999</v>
      </c>
      <c r="G16" s="7">
        <v>2.896752E-2</v>
      </c>
      <c r="H16" s="53"/>
    </row>
    <row r="17" spans="1:10" ht="53.1" customHeight="1" x14ac:dyDescent="0.2">
      <c r="A17" s="3">
        <v>11</v>
      </c>
      <c r="B17" s="4" t="s">
        <v>66</v>
      </c>
      <c r="C17" s="4" t="s">
        <v>67</v>
      </c>
      <c r="D17" s="4" t="s">
        <v>68</v>
      </c>
      <c r="E17" s="5">
        <v>1425000</v>
      </c>
      <c r="F17" s="6">
        <v>2619.8625000000002</v>
      </c>
      <c r="G17" s="7">
        <v>2.882624E-2</v>
      </c>
      <c r="H17" s="53"/>
    </row>
    <row r="18" spans="1:10" ht="17.100000000000001" customHeight="1" x14ac:dyDescent="0.2">
      <c r="A18" s="3">
        <v>12</v>
      </c>
      <c r="B18" s="4" t="s">
        <v>338</v>
      </c>
      <c r="C18" s="4" t="s">
        <v>339</v>
      </c>
      <c r="D18" s="4" t="s">
        <v>28</v>
      </c>
      <c r="E18" s="5">
        <v>790000</v>
      </c>
      <c r="F18" s="6">
        <v>2531.16</v>
      </c>
      <c r="G18" s="7">
        <v>2.785025E-2</v>
      </c>
      <c r="H18" s="53"/>
    </row>
    <row r="19" spans="1:10" ht="17.100000000000001" customHeight="1" x14ac:dyDescent="0.2">
      <c r="A19" s="3">
        <v>13</v>
      </c>
      <c r="B19" s="4" t="s">
        <v>346</v>
      </c>
      <c r="C19" s="4" t="s">
        <v>347</v>
      </c>
      <c r="D19" s="4" t="s">
        <v>108</v>
      </c>
      <c r="E19" s="5">
        <v>420000</v>
      </c>
      <c r="F19" s="6">
        <v>2524.1999999999998</v>
      </c>
      <c r="G19" s="7">
        <v>2.777367E-2</v>
      </c>
      <c r="H19" s="53"/>
    </row>
    <row r="20" spans="1:10" ht="29.1" customHeight="1" x14ac:dyDescent="0.2">
      <c r="A20" s="3">
        <v>14</v>
      </c>
      <c r="B20" s="4" t="s">
        <v>210</v>
      </c>
      <c r="C20" s="4" t="s">
        <v>211</v>
      </c>
      <c r="D20" s="4" t="s">
        <v>130</v>
      </c>
      <c r="E20" s="5">
        <v>225000</v>
      </c>
      <c r="F20" s="6">
        <v>2524.1624999999999</v>
      </c>
      <c r="G20" s="7">
        <v>2.7773260000000001E-2</v>
      </c>
      <c r="H20" s="53"/>
    </row>
    <row r="21" spans="1:10" ht="29.1" customHeight="1" x14ac:dyDescent="0.2">
      <c r="A21" s="3">
        <v>15</v>
      </c>
      <c r="B21" s="4" t="s">
        <v>320</v>
      </c>
      <c r="C21" s="4" t="s">
        <v>321</v>
      </c>
      <c r="D21" s="4" t="s">
        <v>224</v>
      </c>
      <c r="E21" s="5">
        <v>43000</v>
      </c>
      <c r="F21" s="6">
        <v>2411.3755000000001</v>
      </c>
      <c r="G21" s="7">
        <v>2.653227E-2</v>
      </c>
      <c r="H21" s="53"/>
    </row>
    <row r="22" spans="1:10" ht="29.1" customHeight="1" x14ac:dyDescent="0.2">
      <c r="A22" s="3">
        <v>16</v>
      </c>
      <c r="B22" s="4" t="s">
        <v>316</v>
      </c>
      <c r="C22" s="4" t="s">
        <v>317</v>
      </c>
      <c r="D22" s="4" t="s">
        <v>224</v>
      </c>
      <c r="E22" s="5">
        <v>209000</v>
      </c>
      <c r="F22" s="6">
        <v>2323.2440000000001</v>
      </c>
      <c r="G22" s="7">
        <v>2.5562560000000002E-2</v>
      </c>
      <c r="H22" s="53"/>
      <c r="J22" s="142" t="s">
        <v>1049</v>
      </c>
    </row>
    <row r="23" spans="1:10" ht="17.100000000000001" customHeight="1" x14ac:dyDescent="0.2">
      <c r="A23" s="3">
        <v>17</v>
      </c>
      <c r="B23" s="4" t="s">
        <v>340</v>
      </c>
      <c r="C23" s="4" t="s">
        <v>341</v>
      </c>
      <c r="D23" s="4" t="s">
        <v>905</v>
      </c>
      <c r="E23" s="5">
        <v>43000</v>
      </c>
      <c r="F23" s="6">
        <v>2233.1619999999998</v>
      </c>
      <c r="G23" s="7">
        <v>2.4571389999999999E-2</v>
      </c>
      <c r="H23" s="53"/>
    </row>
    <row r="24" spans="1:10" ht="17.100000000000001" customHeight="1" x14ac:dyDescent="0.2">
      <c r="A24" s="3">
        <v>18</v>
      </c>
      <c r="B24" s="4" t="s">
        <v>74</v>
      </c>
      <c r="C24" s="4" t="s">
        <v>75</v>
      </c>
      <c r="D24" s="4" t="s">
        <v>41</v>
      </c>
      <c r="E24" s="5">
        <v>568000</v>
      </c>
      <c r="F24" s="6">
        <v>2223.4360000000001</v>
      </c>
      <c r="G24" s="7">
        <v>2.4464369999999999E-2</v>
      </c>
      <c r="H24" s="53"/>
    </row>
    <row r="25" spans="1:10" ht="17.100000000000001" customHeight="1" x14ac:dyDescent="0.2">
      <c r="A25" s="3">
        <v>19</v>
      </c>
      <c r="B25" s="4" t="s">
        <v>90</v>
      </c>
      <c r="C25" s="4" t="s">
        <v>91</v>
      </c>
      <c r="D25" s="4" t="s">
        <v>92</v>
      </c>
      <c r="E25" s="5">
        <v>193000</v>
      </c>
      <c r="F25" s="6">
        <v>2163.2404999999999</v>
      </c>
      <c r="G25" s="7">
        <v>2.3802050000000002E-2</v>
      </c>
      <c r="H25" s="53"/>
    </row>
    <row r="26" spans="1:10" ht="29.1" customHeight="1" x14ac:dyDescent="0.2">
      <c r="A26" s="3">
        <v>20</v>
      </c>
      <c r="B26" s="4" t="s">
        <v>36</v>
      </c>
      <c r="C26" s="4" t="s">
        <v>37</v>
      </c>
      <c r="D26" s="4" t="s">
        <v>38</v>
      </c>
      <c r="E26" s="5">
        <v>1600000</v>
      </c>
      <c r="F26" s="6">
        <v>2131.1999999999998</v>
      </c>
      <c r="G26" s="7">
        <v>2.344951E-2</v>
      </c>
      <c r="H26" s="53"/>
    </row>
    <row r="27" spans="1:10" ht="17.100000000000001" customHeight="1" x14ac:dyDescent="0.2">
      <c r="A27" s="3">
        <v>21</v>
      </c>
      <c r="B27" s="4" t="s">
        <v>39</v>
      </c>
      <c r="C27" s="4" t="s">
        <v>40</v>
      </c>
      <c r="D27" s="4" t="s">
        <v>41</v>
      </c>
      <c r="E27" s="5">
        <v>48000</v>
      </c>
      <c r="F27" s="6">
        <v>2103.1439999999998</v>
      </c>
      <c r="G27" s="7">
        <v>2.3140810000000001E-2</v>
      </c>
      <c r="H27" s="53"/>
    </row>
    <row r="28" spans="1:10" ht="17.100000000000001" customHeight="1" x14ac:dyDescent="0.2">
      <c r="A28" s="3">
        <v>22</v>
      </c>
      <c r="B28" s="4" t="s">
        <v>255</v>
      </c>
      <c r="C28" s="4" t="s">
        <v>256</v>
      </c>
      <c r="D28" s="4" t="s">
        <v>206</v>
      </c>
      <c r="E28" s="5">
        <v>46000</v>
      </c>
      <c r="F28" s="6">
        <v>1992.49</v>
      </c>
      <c r="G28" s="7">
        <v>2.1923290000000002E-2</v>
      </c>
      <c r="H28" s="53"/>
    </row>
    <row r="29" spans="1:10" ht="17.100000000000001" customHeight="1" x14ac:dyDescent="0.2">
      <c r="A29" s="3">
        <v>23</v>
      </c>
      <c r="B29" s="4" t="s">
        <v>71</v>
      </c>
      <c r="C29" s="4" t="s">
        <v>72</v>
      </c>
      <c r="D29" s="4" t="s">
        <v>73</v>
      </c>
      <c r="E29" s="5">
        <v>39000</v>
      </c>
      <c r="F29" s="6">
        <v>1951.5015000000001</v>
      </c>
      <c r="G29" s="7">
        <v>2.1472290000000002E-2</v>
      </c>
      <c r="H29" s="53"/>
    </row>
    <row r="30" spans="1:10" ht="29.1" customHeight="1" x14ac:dyDescent="0.2">
      <c r="A30" s="3">
        <v>24</v>
      </c>
      <c r="B30" s="4" t="s">
        <v>738</v>
      </c>
      <c r="C30" s="4" t="s">
        <v>739</v>
      </c>
      <c r="D30" s="4" t="s">
        <v>224</v>
      </c>
      <c r="E30" s="5">
        <v>233000</v>
      </c>
      <c r="F30" s="6">
        <v>1933.9</v>
      </c>
      <c r="G30" s="7">
        <v>2.1278620000000002E-2</v>
      </c>
      <c r="H30" s="53"/>
    </row>
    <row r="31" spans="1:10" ht="17.100000000000001" customHeight="1" x14ac:dyDescent="0.2">
      <c r="A31" s="3">
        <v>25</v>
      </c>
      <c r="B31" s="4" t="s">
        <v>88</v>
      </c>
      <c r="C31" s="4" t="s">
        <v>89</v>
      </c>
      <c r="D31" s="4" t="s">
        <v>87</v>
      </c>
      <c r="E31" s="5">
        <v>319788</v>
      </c>
      <c r="F31" s="6">
        <v>1904.657328</v>
      </c>
      <c r="G31" s="7">
        <v>2.0956869999999999E-2</v>
      </c>
      <c r="H31" s="53"/>
    </row>
    <row r="32" spans="1:10" ht="17.100000000000001" customHeight="1" x14ac:dyDescent="0.2">
      <c r="A32" s="3">
        <v>26</v>
      </c>
      <c r="B32" s="4" t="s">
        <v>279</v>
      </c>
      <c r="C32" s="4" t="s">
        <v>280</v>
      </c>
      <c r="D32" s="4" t="s">
        <v>281</v>
      </c>
      <c r="E32" s="5">
        <v>119000</v>
      </c>
      <c r="F32" s="6">
        <v>1804.7539999999999</v>
      </c>
      <c r="G32" s="7">
        <v>1.9857630000000001E-2</v>
      </c>
      <c r="H32" s="53"/>
    </row>
    <row r="33" spans="1:8" ht="17.100000000000001" customHeight="1" x14ac:dyDescent="0.2">
      <c r="A33" s="3">
        <v>27</v>
      </c>
      <c r="B33" s="4" t="s">
        <v>100</v>
      </c>
      <c r="C33" s="4" t="s">
        <v>101</v>
      </c>
      <c r="D33" s="4" t="s">
        <v>41</v>
      </c>
      <c r="E33" s="5">
        <v>663000</v>
      </c>
      <c r="F33" s="6">
        <v>1756.95</v>
      </c>
      <c r="G33" s="7">
        <v>1.9331649999999999E-2</v>
      </c>
      <c r="H33" s="53"/>
    </row>
    <row r="34" spans="1:8" ht="17.100000000000001" customHeight="1" x14ac:dyDescent="0.2">
      <c r="A34" s="3">
        <v>28</v>
      </c>
      <c r="B34" s="4" t="s">
        <v>348</v>
      </c>
      <c r="C34" s="4" t="s">
        <v>349</v>
      </c>
      <c r="D34" s="4" t="s">
        <v>206</v>
      </c>
      <c r="E34" s="5">
        <v>125000</v>
      </c>
      <c r="F34" s="6">
        <v>1575.5625</v>
      </c>
      <c r="G34" s="7">
        <v>1.733585E-2</v>
      </c>
      <c r="H34" s="53"/>
    </row>
    <row r="35" spans="1:8" ht="29.1" customHeight="1" x14ac:dyDescent="0.2">
      <c r="A35" s="3">
        <v>29</v>
      </c>
      <c r="B35" s="4" t="s">
        <v>542</v>
      </c>
      <c r="C35" s="4" t="s">
        <v>543</v>
      </c>
      <c r="D35" s="4" t="s">
        <v>544</v>
      </c>
      <c r="E35" s="5">
        <v>375000</v>
      </c>
      <c r="F35" s="6">
        <v>1431.1875</v>
      </c>
      <c r="G35" s="7">
        <v>1.5747299999999999E-2</v>
      </c>
      <c r="H35" s="53"/>
    </row>
    <row r="36" spans="1:8" ht="17.100000000000001" customHeight="1" x14ac:dyDescent="0.2">
      <c r="A36" s="3">
        <v>30</v>
      </c>
      <c r="B36" s="4" t="s">
        <v>234</v>
      </c>
      <c r="C36" s="4" t="s">
        <v>235</v>
      </c>
      <c r="D36" s="4" t="s">
        <v>905</v>
      </c>
      <c r="E36" s="5">
        <v>21210</v>
      </c>
      <c r="F36" s="6">
        <v>1159.434045</v>
      </c>
      <c r="G36" s="7">
        <v>1.275721E-2</v>
      </c>
      <c r="H36" s="53"/>
    </row>
    <row r="37" spans="1:8" ht="14.1" customHeight="1" x14ac:dyDescent="0.2">
      <c r="A37" s="1"/>
      <c r="B37" s="1"/>
      <c r="C37" s="2" t="s">
        <v>144</v>
      </c>
      <c r="D37" s="1"/>
      <c r="E37" s="1" t="s">
        <v>145</v>
      </c>
      <c r="F37" s="9">
        <v>86659.910373000006</v>
      </c>
      <c r="G37" s="10">
        <v>0.95351545999999998</v>
      </c>
      <c r="H37" s="53"/>
    </row>
    <row r="38" spans="1:8" ht="14.1" customHeight="1" x14ac:dyDescent="0.2">
      <c r="A38" s="1"/>
      <c r="B38" s="1"/>
      <c r="C38" s="11"/>
      <c r="D38" s="1"/>
      <c r="E38" s="1"/>
      <c r="F38" s="12"/>
      <c r="G38" s="12"/>
      <c r="H38" s="53"/>
    </row>
    <row r="39" spans="1:8" ht="14.1" customHeight="1" x14ac:dyDescent="0.2">
      <c r="A39" s="1"/>
      <c r="B39" s="1"/>
      <c r="C39" s="2" t="s">
        <v>146</v>
      </c>
      <c r="D39" s="1"/>
      <c r="E39" s="1"/>
      <c r="F39" s="1"/>
      <c r="G39" s="1"/>
      <c r="H39" s="53"/>
    </row>
    <row r="40" spans="1:8" ht="14.1" customHeight="1" x14ac:dyDescent="0.2">
      <c r="A40" s="1"/>
      <c r="B40" s="1"/>
      <c r="C40" s="2" t="s">
        <v>144</v>
      </c>
      <c r="D40" s="1"/>
      <c r="E40" s="1" t="s">
        <v>145</v>
      </c>
      <c r="F40" s="13" t="s">
        <v>147</v>
      </c>
      <c r="G40" s="10">
        <v>0</v>
      </c>
      <c r="H40" s="53"/>
    </row>
    <row r="41" spans="1:8" ht="14.1" customHeight="1" x14ac:dyDescent="0.2">
      <c r="A41" s="1"/>
      <c r="B41" s="1"/>
      <c r="C41" s="11"/>
      <c r="D41" s="1"/>
      <c r="E41" s="1"/>
      <c r="F41" s="12"/>
      <c r="G41" s="12"/>
      <c r="H41" s="53"/>
    </row>
    <row r="42" spans="1:8" ht="14.1" customHeight="1" x14ac:dyDescent="0.2">
      <c r="A42" s="1"/>
      <c r="B42" s="1"/>
      <c r="C42" s="2" t="s">
        <v>148</v>
      </c>
      <c r="D42" s="1"/>
      <c r="E42" s="1"/>
      <c r="F42" s="1"/>
      <c r="G42" s="1"/>
      <c r="H42" s="53"/>
    </row>
    <row r="43" spans="1:8" ht="14.1" customHeight="1" x14ac:dyDescent="0.2">
      <c r="A43" s="1"/>
      <c r="B43" s="1"/>
      <c r="C43" s="2" t="s">
        <v>144</v>
      </c>
      <c r="D43" s="1"/>
      <c r="E43" s="1" t="s">
        <v>145</v>
      </c>
      <c r="F43" s="13" t="s">
        <v>147</v>
      </c>
      <c r="G43" s="10">
        <v>0</v>
      </c>
      <c r="H43" s="53"/>
    </row>
    <row r="44" spans="1:8" ht="14.1" customHeight="1" x14ac:dyDescent="0.2">
      <c r="A44" s="1"/>
      <c r="B44" s="1"/>
      <c r="C44" s="11"/>
      <c r="D44" s="1"/>
      <c r="E44" s="1"/>
      <c r="F44" s="12"/>
      <c r="G44" s="12"/>
      <c r="H44" s="53"/>
    </row>
    <row r="45" spans="1:8" ht="14.1" customHeight="1" x14ac:dyDescent="0.2">
      <c r="A45" s="1"/>
      <c r="B45" s="1"/>
      <c r="C45" s="2" t="s">
        <v>149</v>
      </c>
      <c r="D45" s="1"/>
      <c r="E45" s="1"/>
      <c r="F45" s="1"/>
      <c r="G45" s="1"/>
      <c r="H45" s="53"/>
    </row>
    <row r="46" spans="1:8" ht="14.1" customHeight="1" x14ac:dyDescent="0.2">
      <c r="A46" s="1"/>
      <c r="B46" s="1"/>
      <c r="C46" s="2" t="s">
        <v>144</v>
      </c>
      <c r="D46" s="1"/>
      <c r="E46" s="1" t="s">
        <v>145</v>
      </c>
      <c r="F46" s="13" t="s">
        <v>147</v>
      </c>
      <c r="G46" s="10">
        <v>0</v>
      </c>
      <c r="H46" s="53"/>
    </row>
    <row r="47" spans="1:8" ht="14.1" customHeight="1" x14ac:dyDescent="0.2">
      <c r="A47" s="1"/>
      <c r="B47" s="1"/>
      <c r="C47" s="11"/>
      <c r="D47" s="1"/>
      <c r="E47" s="1"/>
      <c r="F47" s="12"/>
      <c r="G47" s="12"/>
      <c r="H47" s="53"/>
    </row>
    <row r="48" spans="1:8" ht="14.1" customHeight="1" x14ac:dyDescent="0.2">
      <c r="A48" s="1"/>
      <c r="B48" s="1"/>
      <c r="C48" s="2" t="s">
        <v>150</v>
      </c>
      <c r="D48" s="1"/>
      <c r="E48" s="1"/>
      <c r="F48" s="12"/>
      <c r="G48" s="12"/>
      <c r="H48" s="53"/>
    </row>
    <row r="49" spans="1:8" ht="14.1" customHeight="1" x14ac:dyDescent="0.2">
      <c r="A49" s="1"/>
      <c r="B49" s="1"/>
      <c r="C49" s="2" t="s">
        <v>144</v>
      </c>
      <c r="D49" s="1"/>
      <c r="E49" s="1" t="s">
        <v>145</v>
      </c>
      <c r="F49" s="13" t="s">
        <v>147</v>
      </c>
      <c r="G49" s="10">
        <v>0</v>
      </c>
      <c r="H49" s="53"/>
    </row>
    <row r="50" spans="1:8" ht="14.1" customHeight="1" x14ac:dyDescent="0.2">
      <c r="A50" s="1"/>
      <c r="B50" s="1"/>
      <c r="C50" s="11"/>
      <c r="D50" s="1"/>
      <c r="E50" s="1"/>
      <c r="F50" s="12"/>
      <c r="G50" s="12"/>
      <c r="H50" s="53"/>
    </row>
    <row r="51" spans="1:8" ht="14.1" customHeight="1" x14ac:dyDescent="0.2">
      <c r="A51" s="1"/>
      <c r="B51" s="1"/>
      <c r="C51" s="2" t="s">
        <v>151</v>
      </c>
      <c r="D51" s="1"/>
      <c r="E51" s="1"/>
      <c r="F51" s="12"/>
      <c r="G51" s="12"/>
      <c r="H51" s="53"/>
    </row>
    <row r="52" spans="1:8" ht="14.1" customHeight="1" x14ac:dyDescent="0.2">
      <c r="A52" s="1"/>
      <c r="B52" s="1"/>
      <c r="C52" s="2" t="s">
        <v>144</v>
      </c>
      <c r="D52" s="1"/>
      <c r="E52" s="1" t="s">
        <v>145</v>
      </c>
      <c r="F52" s="13" t="s">
        <v>147</v>
      </c>
      <c r="G52" s="10">
        <v>0</v>
      </c>
      <c r="H52" s="53"/>
    </row>
    <row r="53" spans="1:8" ht="14.1" customHeight="1" x14ac:dyDescent="0.2">
      <c r="A53" s="1"/>
      <c r="B53" s="1"/>
      <c r="C53" s="11"/>
      <c r="D53" s="1"/>
      <c r="E53" s="1"/>
      <c r="F53" s="12"/>
      <c r="G53" s="12"/>
      <c r="H53" s="53"/>
    </row>
    <row r="54" spans="1:8" ht="18" customHeight="1" x14ac:dyDescent="0.2">
      <c r="A54" s="1"/>
      <c r="B54" s="1"/>
      <c r="C54" s="2" t="s">
        <v>152</v>
      </c>
      <c r="D54" s="1"/>
      <c r="E54" s="1"/>
      <c r="F54" s="9">
        <v>86659.910373000006</v>
      </c>
      <c r="G54" s="10">
        <v>0.95351545999999998</v>
      </c>
      <c r="H54" s="53"/>
    </row>
    <row r="55" spans="1:8" ht="14.1" customHeight="1" x14ac:dyDescent="0.2">
      <c r="A55" s="1"/>
      <c r="B55" s="1"/>
      <c r="C55" s="11"/>
      <c r="D55" s="1"/>
      <c r="E55" s="1"/>
      <c r="F55" s="12"/>
      <c r="G55" s="12"/>
      <c r="H55" s="53"/>
    </row>
    <row r="56" spans="1:8" ht="14.1" customHeight="1" x14ac:dyDescent="0.2">
      <c r="A56" s="1"/>
      <c r="B56" s="1"/>
      <c r="C56" s="2" t="s">
        <v>153</v>
      </c>
      <c r="D56" s="1"/>
      <c r="E56" s="1"/>
      <c r="F56" s="12"/>
      <c r="G56" s="12"/>
      <c r="H56" s="53"/>
    </row>
    <row r="57" spans="1:8" ht="24" customHeight="1" x14ac:dyDescent="0.2">
      <c r="A57" s="1"/>
      <c r="B57" s="1"/>
      <c r="C57" s="2" t="s">
        <v>10</v>
      </c>
      <c r="D57" s="1"/>
      <c r="E57" s="1"/>
      <c r="F57" s="12"/>
      <c r="G57" s="12"/>
      <c r="H57" s="53"/>
    </row>
    <row r="58" spans="1:8" ht="14.1" customHeight="1" x14ac:dyDescent="0.2">
      <c r="A58" s="1"/>
      <c r="B58" s="1"/>
      <c r="C58" s="2" t="s">
        <v>144</v>
      </c>
      <c r="D58" s="1"/>
      <c r="E58" s="1" t="s">
        <v>145</v>
      </c>
      <c r="F58" s="13" t="s">
        <v>147</v>
      </c>
      <c r="G58" s="10">
        <v>0</v>
      </c>
      <c r="H58" s="53"/>
    </row>
    <row r="59" spans="1:8" ht="14.1" customHeight="1" x14ac:dyDescent="0.2">
      <c r="A59" s="1"/>
      <c r="B59" s="1"/>
      <c r="C59" s="11"/>
      <c r="D59" s="1"/>
      <c r="E59" s="1"/>
      <c r="F59" s="12"/>
      <c r="G59" s="12"/>
      <c r="H59" s="53"/>
    </row>
    <row r="60" spans="1:8" ht="14.1" customHeight="1" x14ac:dyDescent="0.2">
      <c r="A60" s="1"/>
      <c r="B60" s="1"/>
      <c r="C60" s="2" t="s">
        <v>154</v>
      </c>
      <c r="D60" s="1"/>
      <c r="E60" s="1"/>
      <c r="F60" s="1"/>
      <c r="G60" s="1"/>
      <c r="H60" s="53"/>
    </row>
    <row r="61" spans="1:8" ht="14.1" customHeight="1" x14ac:dyDescent="0.2">
      <c r="A61" s="1"/>
      <c r="B61" s="1"/>
      <c r="C61" s="2" t="s">
        <v>144</v>
      </c>
      <c r="D61" s="1"/>
      <c r="E61" s="1" t="s">
        <v>145</v>
      </c>
      <c r="F61" s="13" t="s">
        <v>147</v>
      </c>
      <c r="G61" s="10">
        <v>0</v>
      </c>
      <c r="H61" s="53"/>
    </row>
    <row r="62" spans="1:8" ht="14.1" customHeight="1" x14ac:dyDescent="0.2">
      <c r="A62" s="1"/>
      <c r="B62" s="1"/>
      <c r="C62" s="11"/>
      <c r="D62" s="1"/>
      <c r="E62" s="1"/>
      <c r="F62" s="12"/>
      <c r="G62" s="12"/>
      <c r="H62" s="53"/>
    </row>
    <row r="63" spans="1:8" ht="14.1" customHeight="1" x14ac:dyDescent="0.2">
      <c r="A63" s="1"/>
      <c r="B63" s="1"/>
      <c r="C63" s="2" t="s">
        <v>155</v>
      </c>
      <c r="D63" s="1"/>
      <c r="E63" s="1"/>
      <c r="F63" s="1"/>
      <c r="G63" s="1"/>
      <c r="H63" s="53"/>
    </row>
    <row r="64" spans="1:8" ht="14.1" customHeight="1" x14ac:dyDescent="0.2">
      <c r="A64" s="1"/>
      <c r="B64" s="1"/>
      <c r="C64" s="2" t="s">
        <v>144</v>
      </c>
      <c r="D64" s="1"/>
      <c r="E64" s="1" t="s">
        <v>145</v>
      </c>
      <c r="F64" s="13" t="s">
        <v>147</v>
      </c>
      <c r="G64" s="10">
        <v>0</v>
      </c>
      <c r="H64" s="53"/>
    </row>
    <row r="65" spans="1:8" ht="14.1" customHeight="1" x14ac:dyDescent="0.2">
      <c r="A65" s="1"/>
      <c r="B65" s="1"/>
      <c r="C65" s="11"/>
      <c r="D65" s="1"/>
      <c r="E65" s="1"/>
      <c r="F65" s="12"/>
      <c r="G65" s="12"/>
      <c r="H65" s="53"/>
    </row>
    <row r="66" spans="1:8" ht="14.1" customHeight="1" x14ac:dyDescent="0.2">
      <c r="A66" s="1"/>
      <c r="B66" s="1"/>
      <c r="C66" s="2" t="s">
        <v>156</v>
      </c>
      <c r="D66" s="1"/>
      <c r="E66" s="1"/>
      <c r="F66" s="12"/>
      <c r="G66" s="12"/>
      <c r="H66" s="53"/>
    </row>
    <row r="67" spans="1:8" ht="14.1" customHeight="1" x14ac:dyDescent="0.2">
      <c r="A67" s="1"/>
      <c r="B67" s="1"/>
      <c r="C67" s="2" t="s">
        <v>144</v>
      </c>
      <c r="D67" s="1"/>
      <c r="E67" s="1" t="s">
        <v>145</v>
      </c>
      <c r="F67" s="13" t="s">
        <v>147</v>
      </c>
      <c r="G67" s="10">
        <v>0</v>
      </c>
      <c r="H67" s="53"/>
    </row>
    <row r="68" spans="1:8" ht="14.1" customHeight="1" x14ac:dyDescent="0.2">
      <c r="A68" s="1"/>
      <c r="B68" s="1"/>
      <c r="C68" s="11"/>
      <c r="D68" s="1"/>
      <c r="E68" s="1"/>
      <c r="F68" s="12"/>
      <c r="G68" s="12"/>
      <c r="H68" s="53"/>
    </row>
    <row r="69" spans="1:8" ht="14.1" customHeight="1" x14ac:dyDescent="0.2">
      <c r="A69" s="1"/>
      <c r="B69" s="1"/>
      <c r="C69" s="2" t="s">
        <v>157</v>
      </c>
      <c r="D69" s="1"/>
      <c r="E69" s="1"/>
      <c r="F69" s="9">
        <v>0</v>
      </c>
      <c r="G69" s="10">
        <v>0</v>
      </c>
      <c r="H69" s="53"/>
    </row>
    <row r="70" spans="1:8" ht="14.1" customHeight="1" x14ac:dyDescent="0.2">
      <c r="A70" s="1"/>
      <c r="B70" s="1"/>
      <c r="C70" s="11"/>
      <c r="D70" s="1"/>
      <c r="E70" s="1"/>
      <c r="F70" s="12"/>
      <c r="G70" s="12"/>
      <c r="H70" s="53"/>
    </row>
    <row r="71" spans="1:8" ht="14.1" customHeight="1" x14ac:dyDescent="0.2">
      <c r="A71" s="1"/>
      <c r="B71" s="1"/>
      <c r="C71" s="2" t="s">
        <v>158</v>
      </c>
      <c r="D71" s="1"/>
      <c r="E71" s="1"/>
      <c r="F71" s="12"/>
      <c r="G71" s="12"/>
      <c r="H71" s="53"/>
    </row>
    <row r="72" spans="1:8" ht="14.1" customHeight="1" x14ac:dyDescent="0.2">
      <c r="A72" s="1"/>
      <c r="B72" s="1"/>
      <c r="C72" s="2" t="s">
        <v>159</v>
      </c>
      <c r="D72" s="1"/>
      <c r="E72" s="1"/>
      <c r="F72" s="12"/>
      <c r="G72" s="12"/>
      <c r="H72" s="53"/>
    </row>
    <row r="73" spans="1:8" ht="14.1" customHeight="1" x14ac:dyDescent="0.2">
      <c r="A73" s="1"/>
      <c r="B73" s="1"/>
      <c r="C73" s="2" t="s">
        <v>144</v>
      </c>
      <c r="D73" s="1"/>
      <c r="E73" s="1" t="s">
        <v>145</v>
      </c>
      <c r="F73" s="13" t="s">
        <v>147</v>
      </c>
      <c r="G73" s="10">
        <v>0</v>
      </c>
      <c r="H73" s="53"/>
    </row>
    <row r="74" spans="1:8" ht="14.1" customHeight="1" x14ac:dyDescent="0.2">
      <c r="A74" s="1"/>
      <c r="B74" s="1"/>
      <c r="C74" s="11"/>
      <c r="D74" s="1"/>
      <c r="E74" s="1"/>
      <c r="F74" s="12"/>
      <c r="G74" s="12"/>
      <c r="H74" s="53"/>
    </row>
    <row r="75" spans="1:8" ht="14.1" customHeight="1" x14ac:dyDescent="0.2">
      <c r="A75" s="1"/>
      <c r="B75" s="1"/>
      <c r="C75" s="2" t="s">
        <v>160</v>
      </c>
      <c r="D75" s="1"/>
      <c r="E75" s="1"/>
      <c r="F75" s="12"/>
      <c r="G75" s="12"/>
      <c r="H75" s="53"/>
    </row>
    <row r="76" spans="1:8" ht="14.1" customHeight="1" x14ac:dyDescent="0.2">
      <c r="A76" s="1"/>
      <c r="B76" s="1"/>
      <c r="C76" s="2" t="s">
        <v>144</v>
      </c>
      <c r="D76" s="1"/>
      <c r="E76" s="1" t="s">
        <v>145</v>
      </c>
      <c r="F76" s="13" t="s">
        <v>147</v>
      </c>
      <c r="G76" s="10">
        <v>0</v>
      </c>
      <c r="H76" s="53"/>
    </row>
    <row r="77" spans="1:8" ht="14.1" customHeight="1" x14ac:dyDescent="0.2">
      <c r="A77" s="1"/>
      <c r="B77" s="1"/>
      <c r="C77" s="11"/>
      <c r="D77" s="1"/>
      <c r="E77" s="1"/>
      <c r="F77" s="12"/>
      <c r="G77" s="12"/>
      <c r="H77" s="53"/>
    </row>
    <row r="78" spans="1:8" ht="14.1" customHeight="1" x14ac:dyDescent="0.2">
      <c r="A78" s="1"/>
      <c r="B78" s="1"/>
      <c r="C78" s="2" t="s">
        <v>161</v>
      </c>
      <c r="D78" s="1"/>
      <c r="E78" s="1"/>
      <c r="F78" s="12"/>
      <c r="G78" s="12"/>
      <c r="H78" s="53"/>
    </row>
    <row r="79" spans="1:8" ht="14.1" customHeight="1" x14ac:dyDescent="0.2">
      <c r="A79" s="1"/>
      <c r="B79" s="1"/>
      <c r="C79" s="2" t="s">
        <v>144</v>
      </c>
      <c r="D79" s="1"/>
      <c r="E79" s="1" t="s">
        <v>145</v>
      </c>
      <c r="F79" s="13" t="s">
        <v>147</v>
      </c>
      <c r="G79" s="10">
        <v>0</v>
      </c>
      <c r="H79" s="53"/>
    </row>
    <row r="80" spans="1:8" ht="14.1" customHeight="1" x14ac:dyDescent="0.2">
      <c r="A80" s="1"/>
      <c r="B80" s="1"/>
      <c r="C80" s="11"/>
      <c r="D80" s="1"/>
      <c r="E80" s="1"/>
      <c r="F80" s="12"/>
      <c r="G80" s="12"/>
      <c r="H80" s="53"/>
    </row>
    <row r="81" spans="1:8" ht="14.1" customHeight="1" x14ac:dyDescent="0.2">
      <c r="A81" s="1"/>
      <c r="B81" s="1"/>
      <c r="C81" s="2" t="s">
        <v>162</v>
      </c>
      <c r="D81" s="1"/>
      <c r="E81" s="1"/>
      <c r="F81" s="12"/>
      <c r="G81" s="12"/>
      <c r="H81" s="53"/>
    </row>
    <row r="82" spans="1:8" ht="17.100000000000001" customHeight="1" x14ac:dyDescent="0.2">
      <c r="A82" s="3">
        <v>1</v>
      </c>
      <c r="B82" s="4"/>
      <c r="C82" s="4" t="s">
        <v>163</v>
      </c>
      <c r="D82" s="4"/>
      <c r="E82" s="8"/>
      <c r="F82" s="6">
        <v>2872.1573240110001</v>
      </c>
      <c r="G82" s="7">
        <v>3.1602230000000002E-2</v>
      </c>
      <c r="H82" s="51">
        <v>6.6602331647804478</v>
      </c>
    </row>
    <row r="83" spans="1:8" ht="17.100000000000001" customHeight="1" x14ac:dyDescent="0.2">
      <c r="A83" s="3">
        <v>2</v>
      </c>
      <c r="B83" s="4"/>
      <c r="C83" s="4" t="s">
        <v>164</v>
      </c>
      <c r="D83" s="4"/>
      <c r="E83" s="8"/>
      <c r="F83" s="6">
        <v>2195.8450243000002</v>
      </c>
      <c r="G83" s="7">
        <v>2.4160790000000001E-2</v>
      </c>
      <c r="H83" s="51">
        <v>6.6588225936582406</v>
      </c>
    </row>
    <row r="84" spans="1:8" ht="14.1" customHeight="1" x14ac:dyDescent="0.2">
      <c r="A84" s="1"/>
      <c r="B84" s="1"/>
      <c r="C84" s="2" t="s">
        <v>144</v>
      </c>
      <c r="D84" s="1"/>
      <c r="E84" s="1" t="s">
        <v>145</v>
      </c>
      <c r="F84" s="9">
        <v>5068.0023483109999</v>
      </c>
      <c r="G84" s="10">
        <v>5.5763020000000003E-2</v>
      </c>
      <c r="H84" s="53"/>
    </row>
    <row r="85" spans="1:8" ht="14.1" customHeight="1" x14ac:dyDescent="0.2">
      <c r="A85" s="1"/>
      <c r="B85" s="1"/>
      <c r="C85" s="11"/>
      <c r="D85" s="1"/>
      <c r="E85" s="1"/>
      <c r="F85" s="12"/>
      <c r="G85" s="12"/>
      <c r="H85" s="53"/>
    </row>
    <row r="86" spans="1:8" ht="14.1" customHeight="1" x14ac:dyDescent="0.2">
      <c r="A86" s="1"/>
      <c r="B86" s="1"/>
      <c r="C86" s="2" t="s">
        <v>165</v>
      </c>
      <c r="D86" s="1"/>
      <c r="E86" s="1"/>
      <c r="F86" s="9">
        <v>5068.0023483109999</v>
      </c>
      <c r="G86" s="10">
        <v>5.5763020000000003E-2</v>
      </c>
      <c r="H86" s="53"/>
    </row>
    <row r="87" spans="1:8" ht="14.1" customHeight="1" x14ac:dyDescent="0.2">
      <c r="A87" s="1"/>
      <c r="B87" s="1"/>
      <c r="C87" s="12"/>
      <c r="D87" s="1"/>
      <c r="E87" s="1"/>
      <c r="F87" s="1"/>
      <c r="G87" s="1"/>
      <c r="H87" s="53"/>
    </row>
    <row r="88" spans="1:8" ht="14.1" customHeight="1" x14ac:dyDescent="0.2">
      <c r="A88" s="1"/>
      <c r="B88" s="1"/>
      <c r="C88" s="2" t="s">
        <v>166</v>
      </c>
      <c r="D88" s="1"/>
      <c r="E88" s="1"/>
      <c r="F88" s="1"/>
      <c r="G88" s="1"/>
      <c r="H88" s="53"/>
    </row>
    <row r="89" spans="1:8" ht="14.1" customHeight="1" x14ac:dyDescent="0.2">
      <c r="A89" s="1"/>
      <c r="B89" s="1"/>
      <c r="C89" s="2" t="s">
        <v>167</v>
      </c>
      <c r="D89" s="1"/>
      <c r="E89" s="1"/>
      <c r="F89" s="1"/>
      <c r="G89" s="1"/>
      <c r="H89" s="53"/>
    </row>
    <row r="90" spans="1:8" ht="14.1" customHeight="1" x14ac:dyDescent="0.2">
      <c r="A90" s="1"/>
      <c r="B90" s="1"/>
      <c r="C90" s="2" t="s">
        <v>144</v>
      </c>
      <c r="D90" s="1"/>
      <c r="E90" s="1" t="s">
        <v>145</v>
      </c>
      <c r="F90" s="13" t="s">
        <v>147</v>
      </c>
      <c r="G90" s="10">
        <v>0</v>
      </c>
      <c r="H90" s="53"/>
    </row>
    <row r="91" spans="1:8" ht="14.1" customHeight="1" x14ac:dyDescent="0.2">
      <c r="A91" s="1"/>
      <c r="B91" s="1"/>
      <c r="C91" s="11"/>
      <c r="D91" s="1"/>
      <c r="E91" s="1"/>
      <c r="F91" s="12"/>
      <c r="G91" s="12"/>
      <c r="H91" s="53"/>
    </row>
    <row r="92" spans="1:8" ht="14.1" customHeight="1" x14ac:dyDescent="0.2">
      <c r="A92" s="1"/>
      <c r="B92" s="1"/>
      <c r="C92" s="2" t="s">
        <v>168</v>
      </c>
      <c r="D92" s="1"/>
      <c r="E92" s="1"/>
      <c r="F92" s="1"/>
      <c r="G92" s="1"/>
      <c r="H92" s="53"/>
    </row>
    <row r="93" spans="1:8" ht="14.1" customHeight="1" x14ac:dyDescent="0.2">
      <c r="A93" s="1"/>
      <c r="B93" s="1"/>
      <c r="C93" s="2" t="s">
        <v>169</v>
      </c>
      <c r="D93" s="1"/>
      <c r="E93" s="1"/>
      <c r="F93" s="1"/>
      <c r="G93" s="1"/>
      <c r="H93" s="53"/>
    </row>
    <row r="94" spans="1:8" ht="14.1" customHeight="1" x14ac:dyDescent="0.2">
      <c r="A94" s="1"/>
      <c r="B94" s="1"/>
      <c r="C94" s="2" t="s">
        <v>144</v>
      </c>
      <c r="D94" s="1"/>
      <c r="E94" s="1" t="s">
        <v>145</v>
      </c>
      <c r="F94" s="13" t="s">
        <v>147</v>
      </c>
      <c r="G94" s="10">
        <v>0</v>
      </c>
      <c r="H94" s="53"/>
    </row>
    <row r="95" spans="1:8" ht="14.1" customHeight="1" x14ac:dyDescent="0.2">
      <c r="A95" s="1"/>
      <c r="B95" s="1"/>
      <c r="C95" s="11"/>
      <c r="D95" s="1"/>
      <c r="E95" s="1"/>
      <c r="F95" s="12"/>
      <c r="G95" s="12"/>
      <c r="H95" s="53"/>
    </row>
    <row r="96" spans="1:8" ht="24" customHeight="1" x14ac:dyDescent="0.2">
      <c r="A96" s="1"/>
      <c r="B96" s="1"/>
      <c r="C96" s="2" t="s">
        <v>170</v>
      </c>
      <c r="D96" s="1"/>
      <c r="E96" s="1"/>
      <c r="F96" s="12"/>
      <c r="G96" s="12"/>
      <c r="H96" s="53"/>
    </row>
    <row r="97" spans="1:8" ht="14.1" customHeight="1" x14ac:dyDescent="0.2">
      <c r="A97" s="1"/>
      <c r="B97" s="1"/>
      <c r="C97" s="2" t="s">
        <v>144</v>
      </c>
      <c r="D97" s="1"/>
      <c r="E97" s="1" t="s">
        <v>145</v>
      </c>
      <c r="F97" s="13" t="s">
        <v>147</v>
      </c>
      <c r="G97" s="10">
        <v>0</v>
      </c>
      <c r="H97" s="53"/>
    </row>
    <row r="98" spans="1:8" ht="14.1" customHeight="1" x14ac:dyDescent="0.2">
      <c r="A98" s="1"/>
      <c r="B98" s="1"/>
      <c r="C98" s="11"/>
      <c r="D98" s="1"/>
      <c r="E98" s="1"/>
      <c r="F98" s="12"/>
      <c r="G98" s="12"/>
      <c r="H98" s="53"/>
    </row>
    <row r="99" spans="1:8" ht="14.1" customHeight="1" x14ac:dyDescent="0.2">
      <c r="A99" s="1"/>
      <c r="B99" s="4"/>
      <c r="C99" s="4"/>
      <c r="D99" s="2"/>
      <c r="E99" s="1"/>
      <c r="F99" s="4"/>
      <c r="G99" s="8"/>
      <c r="H99" s="53"/>
    </row>
    <row r="100" spans="1:8" ht="18" customHeight="1" x14ac:dyDescent="0.2">
      <c r="A100" s="8"/>
      <c r="B100" s="4"/>
      <c r="C100" s="4" t="s">
        <v>171</v>
      </c>
      <c r="D100" s="4"/>
      <c r="E100" s="8"/>
      <c r="F100" s="6">
        <v>-843.26570977999995</v>
      </c>
      <c r="G100" s="7">
        <v>-9.2784200000000008E-3</v>
      </c>
      <c r="H100" s="53"/>
    </row>
    <row r="101" spans="1:8" ht="14.1" customHeight="1" x14ac:dyDescent="0.2">
      <c r="A101" s="11"/>
      <c r="B101" s="11"/>
      <c r="C101" s="2" t="s">
        <v>172</v>
      </c>
      <c r="D101" s="12"/>
      <c r="E101" s="12"/>
      <c r="F101" s="9">
        <v>90884.647011530993</v>
      </c>
      <c r="G101" s="14">
        <v>1.0000000600000001</v>
      </c>
      <c r="H101" s="53"/>
    </row>
    <row r="102" spans="1:8" ht="14.1" customHeight="1" x14ac:dyDescent="0.2">
      <c r="A102" s="15"/>
      <c r="B102" s="15"/>
      <c r="C102" s="15"/>
      <c r="D102" s="16"/>
      <c r="E102" s="16"/>
      <c r="F102" s="16"/>
      <c r="G102" s="16"/>
    </row>
    <row r="103" spans="1:8" ht="14.1" customHeight="1" x14ac:dyDescent="0.2">
      <c r="A103" s="17"/>
      <c r="B103" s="17"/>
      <c r="C103" s="17"/>
      <c r="D103" s="19"/>
      <c r="E103" s="19"/>
      <c r="F103" s="19"/>
      <c r="G103" s="19"/>
    </row>
    <row r="104" spans="1:8" ht="14.1" customHeight="1" x14ac:dyDescent="0.2">
      <c r="A104" s="17"/>
      <c r="B104" s="231" t="s">
        <v>174</v>
      </c>
      <c r="C104" s="232"/>
      <c r="D104" s="233"/>
      <c r="E104" s="20"/>
      <c r="F104" s="19"/>
      <c r="G104" s="19"/>
    </row>
    <row r="105" spans="1:8" ht="29.1" customHeight="1" x14ac:dyDescent="0.2">
      <c r="A105" s="17"/>
      <c r="B105" s="226" t="s">
        <v>175</v>
      </c>
      <c r="C105" s="227"/>
      <c r="D105" s="2" t="s">
        <v>176</v>
      </c>
      <c r="E105" s="20"/>
      <c r="F105" s="19"/>
      <c r="G105" s="19"/>
    </row>
    <row r="106" spans="1:8" ht="17.100000000000001" customHeight="1" x14ac:dyDescent="0.2">
      <c r="A106" s="17"/>
      <c r="B106" s="226" t="s">
        <v>177</v>
      </c>
      <c r="C106" s="227"/>
      <c r="D106" s="2" t="s">
        <v>176</v>
      </c>
      <c r="E106" s="20"/>
      <c r="F106" s="19"/>
      <c r="G106" s="19"/>
    </row>
    <row r="107" spans="1:8" ht="17.100000000000001" customHeight="1" x14ac:dyDescent="0.2">
      <c r="A107" s="17"/>
      <c r="B107" s="226" t="s">
        <v>178</v>
      </c>
      <c r="C107" s="227"/>
      <c r="D107" s="12" t="s">
        <v>145</v>
      </c>
      <c r="E107" s="20"/>
      <c r="F107" s="19"/>
      <c r="G107" s="19"/>
    </row>
    <row r="108" spans="1:8" ht="24" customHeight="1" x14ac:dyDescent="0.2">
      <c r="A108" s="21"/>
      <c r="B108" s="22" t="s">
        <v>145</v>
      </c>
      <c r="C108" s="22" t="s">
        <v>179</v>
      </c>
      <c r="D108" s="22" t="s">
        <v>180</v>
      </c>
      <c r="E108" s="21"/>
      <c r="F108" s="21"/>
      <c r="G108" s="21"/>
    </row>
    <row r="109" spans="1:8" ht="18" customHeight="1" x14ac:dyDescent="0.2">
      <c r="A109" s="21"/>
      <c r="B109" s="23" t="s">
        <v>181</v>
      </c>
      <c r="C109" s="22" t="s">
        <v>182</v>
      </c>
      <c r="D109" s="22" t="s">
        <v>183</v>
      </c>
      <c r="E109" s="21"/>
      <c r="F109" s="21"/>
      <c r="G109" s="21"/>
    </row>
    <row r="110" spans="1:8" ht="17.100000000000001" customHeight="1" x14ac:dyDescent="0.2">
      <c r="A110" s="21"/>
      <c r="B110" s="4" t="s">
        <v>184</v>
      </c>
      <c r="C110" s="24">
        <v>135.20169999999999</v>
      </c>
      <c r="D110" s="24">
        <v>133.69720000000001</v>
      </c>
      <c r="E110" s="21"/>
      <c r="F110" s="18"/>
      <c r="G110" s="25"/>
    </row>
    <row r="111" spans="1:8" ht="29.1" customHeight="1" x14ac:dyDescent="0.2">
      <c r="A111" s="21"/>
      <c r="B111" s="4" t="s">
        <v>1012</v>
      </c>
      <c r="C111" s="24">
        <v>39.8005</v>
      </c>
      <c r="D111" s="24">
        <v>39.357599999999998</v>
      </c>
      <c r="E111" s="21"/>
      <c r="F111" s="18"/>
      <c r="G111" s="25"/>
    </row>
    <row r="112" spans="1:8" ht="17.100000000000001" customHeight="1" x14ac:dyDescent="0.2">
      <c r="A112" s="21"/>
      <c r="B112" s="4" t="s">
        <v>185</v>
      </c>
      <c r="C112" s="24">
        <v>124.5347</v>
      </c>
      <c r="D112" s="24">
        <v>123.042</v>
      </c>
      <c r="E112" s="21"/>
      <c r="F112" s="18"/>
      <c r="G112" s="25"/>
    </row>
    <row r="113" spans="1:7" ht="29.1" customHeight="1" x14ac:dyDescent="0.2">
      <c r="A113" s="21"/>
      <c r="B113" s="4" t="s">
        <v>1013</v>
      </c>
      <c r="C113" s="24">
        <v>37.339399999999998</v>
      </c>
      <c r="D113" s="24">
        <v>36.8919</v>
      </c>
      <c r="E113" s="21"/>
      <c r="F113" s="18"/>
      <c r="G113" s="25"/>
    </row>
    <row r="114" spans="1:7" ht="14.1" customHeight="1" x14ac:dyDescent="0.2">
      <c r="A114" s="21"/>
      <c r="B114" s="21"/>
      <c r="C114" s="21"/>
      <c r="D114" s="21"/>
      <c r="E114" s="21"/>
      <c r="F114" s="21"/>
      <c r="G114" s="21"/>
    </row>
    <row r="115" spans="1:7" ht="17.100000000000001" customHeight="1" x14ac:dyDescent="0.2">
      <c r="A115" s="21"/>
      <c r="B115" s="226" t="s">
        <v>1011</v>
      </c>
      <c r="C115" s="227"/>
      <c r="D115" s="2" t="s">
        <v>176</v>
      </c>
      <c r="E115" s="21"/>
      <c r="F115" s="21"/>
      <c r="G115" s="21"/>
    </row>
    <row r="116" spans="1:7" ht="18" customHeight="1" x14ac:dyDescent="0.2">
      <c r="A116" s="21"/>
      <c r="B116" s="26"/>
      <c r="C116" s="26"/>
      <c r="D116" s="26"/>
      <c r="E116" s="21"/>
      <c r="F116" s="21"/>
      <c r="G116" s="21"/>
    </row>
    <row r="117" spans="1:7" ht="29.1" customHeight="1" x14ac:dyDescent="0.2">
      <c r="A117" s="21"/>
      <c r="B117" s="226" t="s">
        <v>186</v>
      </c>
      <c r="C117" s="227"/>
      <c r="D117" s="2" t="s">
        <v>176</v>
      </c>
      <c r="E117" s="27"/>
      <c r="F117" s="21"/>
      <c r="G117" s="21"/>
    </row>
    <row r="118" spans="1:7" ht="29.1" customHeight="1" x14ac:dyDescent="0.2">
      <c r="A118" s="21"/>
      <c r="B118" s="226" t="s">
        <v>187</v>
      </c>
      <c r="C118" s="227"/>
      <c r="D118" s="2" t="s">
        <v>176</v>
      </c>
      <c r="E118" s="27"/>
      <c r="F118" s="21"/>
      <c r="G118" s="21"/>
    </row>
    <row r="119" spans="1:7" ht="17.100000000000001" customHeight="1" x14ac:dyDescent="0.2">
      <c r="A119" s="21"/>
      <c r="B119" s="226" t="s">
        <v>188</v>
      </c>
      <c r="C119" s="227"/>
      <c r="D119" s="2" t="s">
        <v>176</v>
      </c>
      <c r="E119" s="27"/>
      <c r="F119" s="21"/>
      <c r="G119" s="21"/>
    </row>
    <row r="120" spans="1:7" ht="17.100000000000001" customHeight="1" x14ac:dyDescent="0.2">
      <c r="A120" s="21"/>
      <c r="B120" s="226" t="s">
        <v>189</v>
      </c>
      <c r="C120" s="227"/>
      <c r="D120" s="57">
        <v>0.4385359057886441</v>
      </c>
      <c r="E120" s="21"/>
      <c r="F120" s="18"/>
      <c r="G120" s="25"/>
    </row>
  </sheetData>
  <mergeCells count="13">
    <mergeCell ref="A1:H1"/>
    <mergeCell ref="A2:H2"/>
    <mergeCell ref="A3:H3"/>
    <mergeCell ref="J2:N2"/>
    <mergeCell ref="B120:C120"/>
    <mergeCell ref="B106:C106"/>
    <mergeCell ref="B107:C107"/>
    <mergeCell ref="B115:C115"/>
    <mergeCell ref="B117:C117"/>
    <mergeCell ref="B118:C118"/>
    <mergeCell ref="B119:C119"/>
    <mergeCell ref="B105:C105"/>
    <mergeCell ref="B104:D104"/>
  </mergeCells>
  <hyperlinks>
    <hyperlink ref="I1" location="Index!B22" display="Index" xr:uid="{D039EDE5-90A8-4EC2-9EE0-32B202DF1119}"/>
  </hyperlinks>
  <pageMargins left="5.000000074505806E-2" right="5.000000074505806E-2" top="0.30000001192092896" bottom="0.20000000298023224" header="0" footer="0"/>
  <pageSetup paperSize="9" orientation="landscape"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N16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1.140625" bestFit="1"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740</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310</v>
      </c>
      <c r="C7" s="4" t="s">
        <v>311</v>
      </c>
      <c r="D7" s="4" t="s">
        <v>28</v>
      </c>
      <c r="E7" s="5">
        <v>748743</v>
      </c>
      <c r="F7" s="6">
        <v>11766.1218735</v>
      </c>
      <c r="G7" s="7">
        <v>5.606382E-2</v>
      </c>
      <c r="H7" s="53"/>
    </row>
    <row r="8" spans="1:14" ht="17.100000000000001" customHeight="1" x14ac:dyDescent="0.2">
      <c r="A8" s="3">
        <v>2</v>
      </c>
      <c r="B8" s="4" t="s">
        <v>26</v>
      </c>
      <c r="C8" s="4" t="s">
        <v>27</v>
      </c>
      <c r="D8" s="4" t="s">
        <v>28</v>
      </c>
      <c r="E8" s="5">
        <v>1174228</v>
      </c>
      <c r="F8" s="6">
        <v>11257.91095</v>
      </c>
      <c r="G8" s="7">
        <v>5.3642269999999999E-2</v>
      </c>
      <c r="H8" s="53"/>
    </row>
    <row r="9" spans="1:14" ht="17.100000000000001" customHeight="1" x14ac:dyDescent="0.2">
      <c r="A9" s="3">
        <v>3</v>
      </c>
      <c r="B9" s="4" t="s">
        <v>32</v>
      </c>
      <c r="C9" s="4" t="s">
        <v>33</v>
      </c>
      <c r="D9" s="4" t="s">
        <v>28</v>
      </c>
      <c r="E9" s="5">
        <v>1332380</v>
      </c>
      <c r="F9" s="6">
        <v>7479.31513</v>
      </c>
      <c r="G9" s="7">
        <v>3.5637820000000001E-2</v>
      </c>
      <c r="H9" s="53"/>
    </row>
    <row r="10" spans="1:14" ht="17.100000000000001" customHeight="1" x14ac:dyDescent="0.2">
      <c r="A10" s="3">
        <v>4</v>
      </c>
      <c r="B10" s="4" t="s">
        <v>20</v>
      </c>
      <c r="C10" s="4" t="s">
        <v>21</v>
      </c>
      <c r="D10" s="4" t="s">
        <v>22</v>
      </c>
      <c r="E10" s="5">
        <v>308999</v>
      </c>
      <c r="F10" s="6">
        <v>7437.6059299999997</v>
      </c>
      <c r="G10" s="7">
        <v>3.5439089999999999E-2</v>
      </c>
      <c r="H10" s="53"/>
    </row>
    <row r="11" spans="1:14" ht="17.100000000000001" customHeight="1" x14ac:dyDescent="0.2">
      <c r="A11" s="3">
        <v>5</v>
      </c>
      <c r="B11" s="4" t="s">
        <v>34</v>
      </c>
      <c r="C11" s="4" t="s">
        <v>35</v>
      </c>
      <c r="D11" s="4" t="s">
        <v>31</v>
      </c>
      <c r="E11" s="5">
        <v>203234</v>
      </c>
      <c r="F11" s="6">
        <v>5674.0900460000003</v>
      </c>
      <c r="G11" s="7">
        <v>2.70362E-2</v>
      </c>
      <c r="H11" s="53"/>
    </row>
    <row r="12" spans="1:14" ht="17.100000000000001" customHeight="1" x14ac:dyDescent="0.2">
      <c r="A12" s="3">
        <v>6</v>
      </c>
      <c r="B12" s="4" t="s">
        <v>46</v>
      </c>
      <c r="C12" s="4" t="s">
        <v>47</v>
      </c>
      <c r="D12" s="4" t="s">
        <v>31</v>
      </c>
      <c r="E12" s="5">
        <v>105415</v>
      </c>
      <c r="F12" s="6">
        <v>5400.4631575000003</v>
      </c>
      <c r="G12" s="7">
        <v>2.5732399999999999E-2</v>
      </c>
      <c r="H12" s="53"/>
    </row>
    <row r="13" spans="1:14" ht="17.100000000000001" customHeight="1" x14ac:dyDescent="0.2">
      <c r="A13" s="3">
        <v>7</v>
      </c>
      <c r="B13" s="4" t="s">
        <v>17</v>
      </c>
      <c r="C13" s="4" t="s">
        <v>18</v>
      </c>
      <c r="D13" s="4" t="s">
        <v>19</v>
      </c>
      <c r="E13" s="5">
        <v>2433441</v>
      </c>
      <c r="F13" s="6">
        <v>5360.8705229999996</v>
      </c>
      <c r="G13" s="7">
        <v>2.554375E-2</v>
      </c>
      <c r="H13" s="53"/>
    </row>
    <row r="14" spans="1:14" ht="17.100000000000001" customHeight="1" x14ac:dyDescent="0.2">
      <c r="A14" s="3">
        <v>8</v>
      </c>
      <c r="B14" s="4" t="s">
        <v>50</v>
      </c>
      <c r="C14" s="4" t="s">
        <v>51</v>
      </c>
      <c r="D14" s="4" t="s">
        <v>31</v>
      </c>
      <c r="E14" s="5">
        <v>190288</v>
      </c>
      <c r="F14" s="6">
        <v>5152.0475999999999</v>
      </c>
      <c r="G14" s="7">
        <v>2.4548739999999999E-2</v>
      </c>
      <c r="H14" s="53"/>
      <c r="J14" s="142" t="s">
        <v>1050</v>
      </c>
    </row>
    <row r="15" spans="1:14" ht="17.100000000000001" customHeight="1" x14ac:dyDescent="0.2">
      <c r="A15" s="3">
        <v>9</v>
      </c>
      <c r="B15" s="4" t="s">
        <v>312</v>
      </c>
      <c r="C15" s="4" t="s">
        <v>313</v>
      </c>
      <c r="D15" s="4" t="s">
        <v>905</v>
      </c>
      <c r="E15" s="5">
        <v>344069</v>
      </c>
      <c r="F15" s="6">
        <v>4938.9384604999996</v>
      </c>
      <c r="G15" s="7">
        <v>2.3533310000000002E-2</v>
      </c>
      <c r="H15" s="53"/>
    </row>
    <row r="16" spans="1:14" ht="17.100000000000001" customHeight="1" x14ac:dyDescent="0.2">
      <c r="A16" s="3">
        <v>10</v>
      </c>
      <c r="B16" s="4" t="s">
        <v>243</v>
      </c>
      <c r="C16" s="4" t="s">
        <v>244</v>
      </c>
      <c r="D16" s="4" t="s">
        <v>130</v>
      </c>
      <c r="E16" s="5">
        <v>288041</v>
      </c>
      <c r="F16" s="6">
        <v>4701.9812840000004</v>
      </c>
      <c r="G16" s="7">
        <v>2.2404239999999999E-2</v>
      </c>
      <c r="H16" s="53"/>
    </row>
    <row r="17" spans="1:10" ht="17.100000000000001" customHeight="1" x14ac:dyDescent="0.2">
      <c r="A17" s="3">
        <v>11</v>
      </c>
      <c r="B17" s="4" t="s">
        <v>207</v>
      </c>
      <c r="C17" s="4" t="s">
        <v>208</v>
      </c>
      <c r="D17" s="4" t="s">
        <v>209</v>
      </c>
      <c r="E17" s="5">
        <v>1393335</v>
      </c>
      <c r="F17" s="6">
        <v>4620.9955275000002</v>
      </c>
      <c r="G17" s="7">
        <v>2.2018360000000001E-2</v>
      </c>
      <c r="H17" s="53"/>
    </row>
    <row r="18" spans="1:10" ht="29.1" customHeight="1" x14ac:dyDescent="0.2">
      <c r="A18" s="3">
        <v>12</v>
      </c>
      <c r="B18" s="4" t="s">
        <v>495</v>
      </c>
      <c r="C18" s="4" t="s">
        <v>496</v>
      </c>
      <c r="D18" s="4" t="s">
        <v>224</v>
      </c>
      <c r="E18" s="5">
        <v>893033</v>
      </c>
      <c r="F18" s="6">
        <v>4578.1336744999999</v>
      </c>
      <c r="G18" s="7">
        <v>2.1814130000000001E-2</v>
      </c>
      <c r="H18" s="53"/>
    </row>
    <row r="19" spans="1:10" ht="29.1" customHeight="1" x14ac:dyDescent="0.2">
      <c r="A19" s="3">
        <v>13</v>
      </c>
      <c r="B19" s="4" t="s">
        <v>199</v>
      </c>
      <c r="C19" s="4" t="s">
        <v>200</v>
      </c>
      <c r="D19" s="4" t="s">
        <v>201</v>
      </c>
      <c r="E19" s="5">
        <v>96695</v>
      </c>
      <c r="F19" s="6">
        <v>4452.6597075</v>
      </c>
      <c r="G19" s="7">
        <v>2.1216260000000001E-2</v>
      </c>
      <c r="H19" s="53"/>
    </row>
    <row r="20" spans="1:10" ht="29.1" customHeight="1" x14ac:dyDescent="0.2">
      <c r="A20" s="3">
        <v>14</v>
      </c>
      <c r="B20" s="4" t="s">
        <v>210</v>
      </c>
      <c r="C20" s="4" t="s">
        <v>211</v>
      </c>
      <c r="D20" s="4" t="s">
        <v>130</v>
      </c>
      <c r="E20" s="5">
        <v>388492</v>
      </c>
      <c r="F20" s="6">
        <v>4358.2975020000003</v>
      </c>
      <c r="G20" s="7">
        <v>2.0766639999999999E-2</v>
      </c>
      <c r="H20" s="53"/>
    </row>
    <row r="21" spans="1:10" ht="17.100000000000001" customHeight="1" x14ac:dyDescent="0.2">
      <c r="A21" s="3">
        <v>15</v>
      </c>
      <c r="B21" s="4" t="s">
        <v>106</v>
      </c>
      <c r="C21" s="4" t="s">
        <v>107</v>
      </c>
      <c r="D21" s="4" t="s">
        <v>108</v>
      </c>
      <c r="E21" s="5">
        <v>39000</v>
      </c>
      <c r="F21" s="6">
        <v>3901.482</v>
      </c>
      <c r="G21" s="7">
        <v>1.8589979999999999E-2</v>
      </c>
      <c r="H21" s="53"/>
    </row>
    <row r="22" spans="1:10" ht="17.100000000000001" customHeight="1" x14ac:dyDescent="0.2">
      <c r="A22" s="3">
        <v>16</v>
      </c>
      <c r="B22" s="4" t="s">
        <v>352</v>
      </c>
      <c r="C22" s="4" t="s">
        <v>353</v>
      </c>
      <c r="D22" s="4" t="s">
        <v>95</v>
      </c>
      <c r="E22" s="5">
        <v>3019568</v>
      </c>
      <c r="F22" s="6">
        <v>3711.0490719999998</v>
      </c>
      <c r="G22" s="7">
        <v>1.76826E-2</v>
      </c>
      <c r="H22" s="53"/>
    </row>
    <row r="23" spans="1:10" ht="17.100000000000001" customHeight="1" x14ac:dyDescent="0.2">
      <c r="A23" s="3">
        <v>17</v>
      </c>
      <c r="B23" s="4" t="s">
        <v>336</v>
      </c>
      <c r="C23" s="4" t="s">
        <v>337</v>
      </c>
      <c r="D23" s="4" t="s">
        <v>331</v>
      </c>
      <c r="E23" s="5">
        <v>147869</v>
      </c>
      <c r="F23" s="6">
        <v>3704.1923845000001</v>
      </c>
      <c r="G23" s="7">
        <v>1.7649930000000001E-2</v>
      </c>
      <c r="H23" s="53"/>
    </row>
    <row r="24" spans="1:10" ht="29.1" customHeight="1" x14ac:dyDescent="0.2">
      <c r="A24" s="3">
        <v>18</v>
      </c>
      <c r="B24" s="4" t="s">
        <v>402</v>
      </c>
      <c r="C24" s="4" t="s">
        <v>403</v>
      </c>
      <c r="D24" s="4" t="s">
        <v>224</v>
      </c>
      <c r="E24" s="5">
        <v>130672</v>
      </c>
      <c r="F24" s="6">
        <v>3617.6543200000001</v>
      </c>
      <c r="G24" s="7">
        <v>1.7237579999999999E-2</v>
      </c>
      <c r="H24" s="53"/>
      <c r="J24" s="142" t="s">
        <v>1051</v>
      </c>
    </row>
    <row r="25" spans="1:10" ht="17.100000000000001" customHeight="1" x14ac:dyDescent="0.2">
      <c r="A25" s="3">
        <v>19</v>
      </c>
      <c r="B25" s="4" t="s">
        <v>85</v>
      </c>
      <c r="C25" s="4" t="s">
        <v>86</v>
      </c>
      <c r="D25" s="4" t="s">
        <v>87</v>
      </c>
      <c r="E25" s="5">
        <v>116816</v>
      </c>
      <c r="F25" s="6">
        <v>3565.5747679999999</v>
      </c>
      <c r="G25" s="7">
        <v>1.698943E-2</v>
      </c>
      <c r="H25" s="53"/>
    </row>
    <row r="26" spans="1:10" ht="17.100000000000001" customHeight="1" x14ac:dyDescent="0.2">
      <c r="A26" s="3">
        <v>20</v>
      </c>
      <c r="B26" s="4" t="s">
        <v>234</v>
      </c>
      <c r="C26" s="4" t="s">
        <v>235</v>
      </c>
      <c r="D26" s="4" t="s">
        <v>905</v>
      </c>
      <c r="E26" s="5">
        <v>64009</v>
      </c>
      <c r="F26" s="6">
        <v>3499.0199805000002</v>
      </c>
      <c r="G26" s="7">
        <v>1.6672309999999999E-2</v>
      </c>
      <c r="H26" s="53"/>
    </row>
    <row r="27" spans="1:10" ht="17.100000000000001" customHeight="1" x14ac:dyDescent="0.2">
      <c r="A27" s="3">
        <v>21</v>
      </c>
      <c r="B27" s="4" t="s">
        <v>318</v>
      </c>
      <c r="C27" s="4" t="s">
        <v>319</v>
      </c>
      <c r="D27" s="4" t="s">
        <v>905</v>
      </c>
      <c r="E27" s="5">
        <v>101500</v>
      </c>
      <c r="F27" s="6">
        <v>3407.152</v>
      </c>
      <c r="G27" s="7">
        <v>1.623457E-2</v>
      </c>
      <c r="H27" s="53"/>
    </row>
    <row r="28" spans="1:10" ht="17.100000000000001" customHeight="1" x14ac:dyDescent="0.2">
      <c r="A28" s="3">
        <v>22</v>
      </c>
      <c r="B28" s="4" t="s">
        <v>741</v>
      </c>
      <c r="C28" s="4" t="s">
        <v>742</v>
      </c>
      <c r="D28" s="4" t="s">
        <v>743</v>
      </c>
      <c r="E28" s="5">
        <v>10900</v>
      </c>
      <c r="F28" s="6">
        <v>3395.73695</v>
      </c>
      <c r="G28" s="7">
        <v>1.6180179999999999E-2</v>
      </c>
      <c r="H28" s="53"/>
    </row>
    <row r="29" spans="1:10" ht="17.100000000000001" customHeight="1" x14ac:dyDescent="0.2">
      <c r="A29" s="3">
        <v>23</v>
      </c>
      <c r="B29" s="4" t="s">
        <v>329</v>
      </c>
      <c r="C29" s="4" t="s">
        <v>330</v>
      </c>
      <c r="D29" s="4" t="s">
        <v>331</v>
      </c>
      <c r="E29" s="5">
        <v>755200</v>
      </c>
      <c r="F29" s="6">
        <v>3320.6143999999999</v>
      </c>
      <c r="G29" s="7">
        <v>1.582223E-2</v>
      </c>
      <c r="H29" s="53"/>
    </row>
    <row r="30" spans="1:10" ht="17.100000000000001" customHeight="1" x14ac:dyDescent="0.2">
      <c r="A30" s="3">
        <v>24</v>
      </c>
      <c r="B30" s="4" t="s">
        <v>501</v>
      </c>
      <c r="C30" s="4" t="s">
        <v>502</v>
      </c>
      <c r="D30" s="4" t="s">
        <v>397</v>
      </c>
      <c r="E30" s="5">
        <v>56327</v>
      </c>
      <c r="F30" s="6">
        <v>3295.3829715000002</v>
      </c>
      <c r="G30" s="7">
        <v>1.5702009999999999E-2</v>
      </c>
      <c r="H30" s="53"/>
    </row>
    <row r="31" spans="1:10" ht="17.100000000000001" customHeight="1" x14ac:dyDescent="0.2">
      <c r="A31" s="3">
        <v>25</v>
      </c>
      <c r="B31" s="4" t="s">
        <v>257</v>
      </c>
      <c r="C31" s="4" t="s">
        <v>258</v>
      </c>
      <c r="D31" s="4" t="s">
        <v>73</v>
      </c>
      <c r="E31" s="5">
        <v>314277</v>
      </c>
      <c r="F31" s="6">
        <v>3293.4658214999999</v>
      </c>
      <c r="G31" s="7">
        <v>1.5692870000000001E-2</v>
      </c>
      <c r="H31" s="53"/>
    </row>
    <row r="32" spans="1:10" ht="29.1" customHeight="1" x14ac:dyDescent="0.2">
      <c r="A32" s="3">
        <v>26</v>
      </c>
      <c r="B32" s="4" t="s">
        <v>230</v>
      </c>
      <c r="C32" s="4" t="s">
        <v>231</v>
      </c>
      <c r="D32" s="4" t="s">
        <v>87</v>
      </c>
      <c r="E32" s="5">
        <v>23034</v>
      </c>
      <c r="F32" s="6">
        <v>3183.3448680000001</v>
      </c>
      <c r="G32" s="7">
        <v>1.516817E-2</v>
      </c>
      <c r="H32" s="53"/>
    </row>
    <row r="33" spans="1:8" ht="29.1" customHeight="1" x14ac:dyDescent="0.2">
      <c r="A33" s="3">
        <v>27</v>
      </c>
      <c r="B33" s="4" t="s">
        <v>126</v>
      </c>
      <c r="C33" s="4" t="s">
        <v>127</v>
      </c>
      <c r="D33" s="4" t="s">
        <v>25</v>
      </c>
      <c r="E33" s="5">
        <v>267107</v>
      </c>
      <c r="F33" s="6">
        <v>3069.9943045</v>
      </c>
      <c r="G33" s="7">
        <v>1.462807E-2</v>
      </c>
      <c r="H33" s="53"/>
    </row>
    <row r="34" spans="1:8" ht="17.100000000000001" customHeight="1" x14ac:dyDescent="0.2">
      <c r="A34" s="3">
        <v>28</v>
      </c>
      <c r="B34" s="4" t="s">
        <v>98</v>
      </c>
      <c r="C34" s="4" t="s">
        <v>99</v>
      </c>
      <c r="D34" s="4" t="s">
        <v>92</v>
      </c>
      <c r="E34" s="5">
        <v>489157</v>
      </c>
      <c r="F34" s="6">
        <v>2899.7226959999998</v>
      </c>
      <c r="G34" s="7">
        <v>1.3816749999999999E-2</v>
      </c>
      <c r="H34" s="53"/>
    </row>
    <row r="35" spans="1:8" ht="17.100000000000001" customHeight="1" x14ac:dyDescent="0.2">
      <c r="A35" s="3">
        <v>29</v>
      </c>
      <c r="B35" s="4" t="s">
        <v>227</v>
      </c>
      <c r="C35" s="4" t="s">
        <v>228</v>
      </c>
      <c r="D35" s="4" t="s">
        <v>229</v>
      </c>
      <c r="E35" s="5">
        <v>558688</v>
      </c>
      <c r="F35" s="6">
        <v>2860.761904</v>
      </c>
      <c r="G35" s="7">
        <v>1.363111E-2</v>
      </c>
      <c r="H35" s="53"/>
    </row>
    <row r="36" spans="1:8" ht="17.100000000000001" customHeight="1" x14ac:dyDescent="0.2">
      <c r="A36" s="3">
        <v>30</v>
      </c>
      <c r="B36" s="4" t="s">
        <v>88</v>
      </c>
      <c r="C36" s="4" t="s">
        <v>89</v>
      </c>
      <c r="D36" s="4" t="s">
        <v>87</v>
      </c>
      <c r="E36" s="5">
        <v>479629</v>
      </c>
      <c r="F36" s="6">
        <v>2856.6703240000002</v>
      </c>
      <c r="G36" s="7">
        <v>1.361161E-2</v>
      </c>
      <c r="H36" s="53"/>
    </row>
    <row r="37" spans="1:8" ht="17.100000000000001" customHeight="1" x14ac:dyDescent="0.2">
      <c r="A37" s="3">
        <v>31</v>
      </c>
      <c r="B37" s="4" t="s">
        <v>322</v>
      </c>
      <c r="C37" s="4" t="s">
        <v>323</v>
      </c>
      <c r="D37" s="4" t="s">
        <v>28</v>
      </c>
      <c r="E37" s="5">
        <v>195000</v>
      </c>
      <c r="F37" s="6">
        <v>2687.3924999999999</v>
      </c>
      <c r="G37" s="7">
        <v>1.280503E-2</v>
      </c>
      <c r="H37" s="53"/>
    </row>
    <row r="38" spans="1:8" ht="17.100000000000001" customHeight="1" x14ac:dyDescent="0.2">
      <c r="A38" s="3">
        <v>32</v>
      </c>
      <c r="B38" s="4" t="s">
        <v>385</v>
      </c>
      <c r="C38" s="4" t="s">
        <v>386</v>
      </c>
      <c r="D38" s="4" t="s">
        <v>264</v>
      </c>
      <c r="E38" s="5">
        <v>146195</v>
      </c>
      <c r="F38" s="6">
        <v>2618.2793525000002</v>
      </c>
      <c r="G38" s="7">
        <v>1.2475709999999999E-2</v>
      </c>
      <c r="H38" s="53"/>
    </row>
    <row r="39" spans="1:8" ht="29.1" customHeight="1" x14ac:dyDescent="0.2">
      <c r="A39" s="3">
        <v>33</v>
      </c>
      <c r="B39" s="4" t="s">
        <v>503</v>
      </c>
      <c r="C39" s="4" t="s">
        <v>504</v>
      </c>
      <c r="D39" s="4" t="s">
        <v>201</v>
      </c>
      <c r="E39" s="5">
        <v>152819</v>
      </c>
      <c r="F39" s="6">
        <v>2609.9192914999999</v>
      </c>
      <c r="G39" s="7">
        <v>1.243588E-2</v>
      </c>
      <c r="H39" s="53"/>
    </row>
    <row r="40" spans="1:8" ht="17.100000000000001" customHeight="1" x14ac:dyDescent="0.2">
      <c r="A40" s="3">
        <v>34</v>
      </c>
      <c r="B40" s="4" t="s">
        <v>489</v>
      </c>
      <c r="C40" s="4" t="s">
        <v>490</v>
      </c>
      <c r="D40" s="4" t="s">
        <v>73</v>
      </c>
      <c r="E40" s="5">
        <v>90000</v>
      </c>
      <c r="F40" s="6">
        <v>2609.7750000000001</v>
      </c>
      <c r="G40" s="7">
        <v>1.243519E-2</v>
      </c>
      <c r="H40" s="53"/>
    </row>
    <row r="41" spans="1:8" ht="17.100000000000001" customHeight="1" x14ac:dyDescent="0.2">
      <c r="A41" s="3">
        <v>35</v>
      </c>
      <c r="B41" s="4" t="s">
        <v>202</v>
      </c>
      <c r="C41" s="4" t="s">
        <v>203</v>
      </c>
      <c r="D41" s="4" t="s">
        <v>130</v>
      </c>
      <c r="E41" s="5">
        <v>985000</v>
      </c>
      <c r="F41" s="6">
        <v>2562.9699999999998</v>
      </c>
      <c r="G41" s="7">
        <v>1.221217E-2</v>
      </c>
      <c r="H41" s="53"/>
    </row>
    <row r="42" spans="1:8" ht="17.100000000000001" customHeight="1" x14ac:dyDescent="0.2">
      <c r="A42" s="3">
        <v>36</v>
      </c>
      <c r="B42" s="4" t="s">
        <v>271</v>
      </c>
      <c r="C42" s="4" t="s">
        <v>272</v>
      </c>
      <c r="D42" s="4" t="s">
        <v>73</v>
      </c>
      <c r="E42" s="5">
        <v>170074</v>
      </c>
      <c r="F42" s="6">
        <v>2501.363355</v>
      </c>
      <c r="G42" s="7">
        <v>1.191862E-2</v>
      </c>
      <c r="H42" s="53"/>
    </row>
    <row r="43" spans="1:8" ht="17.100000000000001" customHeight="1" x14ac:dyDescent="0.2">
      <c r="A43" s="3">
        <v>37</v>
      </c>
      <c r="B43" s="4" t="s">
        <v>42</v>
      </c>
      <c r="C43" s="4" t="s">
        <v>43</v>
      </c>
      <c r="D43" s="4" t="s">
        <v>31</v>
      </c>
      <c r="E43" s="5">
        <v>109387</v>
      </c>
      <c r="F43" s="6">
        <v>2489.7575069999998</v>
      </c>
      <c r="G43" s="7">
        <v>1.186332E-2</v>
      </c>
      <c r="H43" s="53"/>
    </row>
    <row r="44" spans="1:8" ht="17.100000000000001" customHeight="1" x14ac:dyDescent="0.2">
      <c r="A44" s="3">
        <v>38</v>
      </c>
      <c r="B44" s="4" t="s">
        <v>236</v>
      </c>
      <c r="C44" s="4" t="s">
        <v>237</v>
      </c>
      <c r="D44" s="4" t="s">
        <v>238</v>
      </c>
      <c r="E44" s="5">
        <v>199432</v>
      </c>
      <c r="F44" s="6">
        <v>2392.1868399999998</v>
      </c>
      <c r="G44" s="7">
        <v>1.1398409999999999E-2</v>
      </c>
      <c r="H44" s="53"/>
    </row>
    <row r="45" spans="1:8" ht="17.100000000000001" customHeight="1" x14ac:dyDescent="0.2">
      <c r="A45" s="3">
        <v>39</v>
      </c>
      <c r="B45" s="4" t="s">
        <v>744</v>
      </c>
      <c r="C45" s="4" t="s">
        <v>745</v>
      </c>
      <c r="D45" s="4" t="s">
        <v>73</v>
      </c>
      <c r="E45" s="5">
        <v>312000</v>
      </c>
      <c r="F45" s="6">
        <v>2310.2040000000002</v>
      </c>
      <c r="G45" s="7">
        <v>1.100778E-2</v>
      </c>
      <c r="H45" s="53"/>
    </row>
    <row r="46" spans="1:8" ht="17.100000000000001" customHeight="1" x14ac:dyDescent="0.2">
      <c r="A46" s="3">
        <v>40</v>
      </c>
      <c r="B46" s="4" t="s">
        <v>193</v>
      </c>
      <c r="C46" s="4" t="s">
        <v>194</v>
      </c>
      <c r="D46" s="4" t="s">
        <v>130</v>
      </c>
      <c r="E46" s="5">
        <v>111050</v>
      </c>
      <c r="F46" s="6">
        <v>2141.3771499999998</v>
      </c>
      <c r="G46" s="7">
        <v>1.020334E-2</v>
      </c>
      <c r="H46" s="53"/>
    </row>
    <row r="47" spans="1:8" ht="17.100000000000001" customHeight="1" x14ac:dyDescent="0.2">
      <c r="A47" s="3">
        <v>41</v>
      </c>
      <c r="B47" s="4" t="s">
        <v>128</v>
      </c>
      <c r="C47" s="4" t="s">
        <v>129</v>
      </c>
      <c r="D47" s="4" t="s">
        <v>130</v>
      </c>
      <c r="E47" s="5">
        <v>884450</v>
      </c>
      <c r="F47" s="6">
        <v>2110.7399249999999</v>
      </c>
      <c r="G47" s="7">
        <v>1.005736E-2</v>
      </c>
      <c r="H47" s="53"/>
    </row>
    <row r="48" spans="1:8" ht="29.1" customHeight="1" x14ac:dyDescent="0.2">
      <c r="A48" s="3">
        <v>42</v>
      </c>
      <c r="B48" s="4" t="s">
        <v>320</v>
      </c>
      <c r="C48" s="4" t="s">
        <v>321</v>
      </c>
      <c r="D48" s="4" t="s">
        <v>224</v>
      </c>
      <c r="E48" s="5">
        <v>37125</v>
      </c>
      <c r="F48" s="6">
        <v>2081.9143125000001</v>
      </c>
      <c r="G48" s="7">
        <v>9.9200099999999999E-3</v>
      </c>
      <c r="H48" s="53"/>
    </row>
    <row r="49" spans="1:8" ht="17.100000000000001" customHeight="1" x14ac:dyDescent="0.2">
      <c r="A49" s="3">
        <v>43</v>
      </c>
      <c r="B49" s="4" t="s">
        <v>197</v>
      </c>
      <c r="C49" s="4" t="s">
        <v>198</v>
      </c>
      <c r="D49" s="4" t="s">
        <v>87</v>
      </c>
      <c r="E49" s="5">
        <v>69445</v>
      </c>
      <c r="F49" s="6">
        <v>2014.252225</v>
      </c>
      <c r="G49" s="7">
        <v>9.5976099999999995E-3</v>
      </c>
      <c r="H49" s="53"/>
    </row>
    <row r="50" spans="1:8" ht="17.100000000000001" customHeight="1" x14ac:dyDescent="0.2">
      <c r="A50" s="3">
        <v>44</v>
      </c>
      <c r="B50" s="4" t="s">
        <v>14</v>
      </c>
      <c r="C50" s="4" t="s">
        <v>15</v>
      </c>
      <c r="D50" s="4" t="s">
        <v>16</v>
      </c>
      <c r="E50" s="5">
        <v>234818</v>
      </c>
      <c r="F50" s="6">
        <v>2010.981352</v>
      </c>
      <c r="G50" s="7">
        <v>9.5820300000000001E-3</v>
      </c>
      <c r="H50" s="53"/>
    </row>
    <row r="51" spans="1:8" ht="17.100000000000001" customHeight="1" x14ac:dyDescent="0.2">
      <c r="A51" s="3">
        <v>45</v>
      </c>
      <c r="B51" s="4" t="s">
        <v>255</v>
      </c>
      <c r="C51" s="4" t="s">
        <v>256</v>
      </c>
      <c r="D51" s="4" t="s">
        <v>206</v>
      </c>
      <c r="E51" s="5">
        <v>45877</v>
      </c>
      <c r="F51" s="6">
        <v>1987.162255</v>
      </c>
      <c r="G51" s="7">
        <v>9.4685299999999993E-3</v>
      </c>
      <c r="H51" s="53"/>
    </row>
    <row r="52" spans="1:8" ht="29.1" customHeight="1" x14ac:dyDescent="0.2">
      <c r="A52" s="3">
        <v>46</v>
      </c>
      <c r="B52" s="4" t="s">
        <v>273</v>
      </c>
      <c r="C52" s="4" t="s">
        <v>274</v>
      </c>
      <c r="D52" s="4" t="s">
        <v>214</v>
      </c>
      <c r="E52" s="5">
        <v>54319</v>
      </c>
      <c r="F52" s="6">
        <v>1970.8562770000001</v>
      </c>
      <c r="G52" s="7">
        <v>9.3908399999999993E-3</v>
      </c>
      <c r="H52" s="53"/>
    </row>
    <row r="53" spans="1:8" ht="29.1" customHeight="1" x14ac:dyDescent="0.2">
      <c r="A53" s="3">
        <v>47</v>
      </c>
      <c r="B53" s="4" t="s">
        <v>542</v>
      </c>
      <c r="C53" s="4" t="s">
        <v>543</v>
      </c>
      <c r="D53" s="4" t="s">
        <v>544</v>
      </c>
      <c r="E53" s="5">
        <v>512786</v>
      </c>
      <c r="F53" s="6">
        <v>1957.047769</v>
      </c>
      <c r="G53" s="7">
        <v>9.3250399999999997E-3</v>
      </c>
      <c r="H53" s="53"/>
    </row>
    <row r="54" spans="1:8" ht="29.1" customHeight="1" x14ac:dyDescent="0.2">
      <c r="A54" s="3">
        <v>48</v>
      </c>
      <c r="B54" s="4" t="s">
        <v>36</v>
      </c>
      <c r="C54" s="4" t="s">
        <v>37</v>
      </c>
      <c r="D54" s="4" t="s">
        <v>38</v>
      </c>
      <c r="E54" s="5">
        <v>1468484</v>
      </c>
      <c r="F54" s="6">
        <v>1956.0206880000001</v>
      </c>
      <c r="G54" s="7">
        <v>9.3201499999999993E-3</v>
      </c>
      <c r="H54" s="53"/>
    </row>
    <row r="55" spans="1:8" ht="29.1" customHeight="1" x14ac:dyDescent="0.2">
      <c r="A55" s="3">
        <v>49</v>
      </c>
      <c r="B55" s="4" t="s">
        <v>316</v>
      </c>
      <c r="C55" s="4" t="s">
        <v>317</v>
      </c>
      <c r="D55" s="4" t="s">
        <v>224</v>
      </c>
      <c r="E55" s="5">
        <v>175000</v>
      </c>
      <c r="F55" s="6">
        <v>1945.3</v>
      </c>
      <c r="G55" s="7">
        <v>9.2690700000000008E-3</v>
      </c>
      <c r="H55" s="53"/>
    </row>
    <row r="56" spans="1:8" ht="17.100000000000001" customHeight="1" x14ac:dyDescent="0.2">
      <c r="A56" s="3">
        <v>50</v>
      </c>
      <c r="B56" s="4" t="s">
        <v>356</v>
      </c>
      <c r="C56" s="4" t="s">
        <v>357</v>
      </c>
      <c r="D56" s="4" t="s">
        <v>59</v>
      </c>
      <c r="E56" s="5">
        <v>130737</v>
      </c>
      <c r="F56" s="6">
        <v>1836.593376</v>
      </c>
      <c r="G56" s="7">
        <v>8.7510899999999996E-3</v>
      </c>
      <c r="H56" s="53"/>
    </row>
    <row r="57" spans="1:8" ht="17.100000000000001" customHeight="1" x14ac:dyDescent="0.2">
      <c r="A57" s="3">
        <v>51</v>
      </c>
      <c r="B57" s="4" t="s">
        <v>232</v>
      </c>
      <c r="C57" s="4" t="s">
        <v>233</v>
      </c>
      <c r="D57" s="4" t="s">
        <v>130</v>
      </c>
      <c r="E57" s="5">
        <v>172164</v>
      </c>
      <c r="F57" s="6">
        <v>1694.265924</v>
      </c>
      <c r="G57" s="7">
        <v>8.0729300000000007E-3</v>
      </c>
      <c r="H57" s="53"/>
    </row>
    <row r="58" spans="1:8" ht="17.100000000000001" customHeight="1" x14ac:dyDescent="0.2">
      <c r="A58" s="3">
        <v>52</v>
      </c>
      <c r="B58" s="4" t="s">
        <v>251</v>
      </c>
      <c r="C58" s="4" t="s">
        <v>252</v>
      </c>
      <c r="D58" s="4" t="s">
        <v>229</v>
      </c>
      <c r="E58" s="5">
        <v>292443</v>
      </c>
      <c r="F58" s="6">
        <v>1611.9458159999999</v>
      </c>
      <c r="G58" s="7">
        <v>7.6806799999999996E-3</v>
      </c>
      <c r="H58" s="53"/>
    </row>
    <row r="59" spans="1:8" ht="17.100000000000001" customHeight="1" x14ac:dyDescent="0.2">
      <c r="A59" s="3">
        <v>53</v>
      </c>
      <c r="B59" s="4" t="s">
        <v>550</v>
      </c>
      <c r="C59" s="4" t="s">
        <v>551</v>
      </c>
      <c r="D59" s="4" t="s">
        <v>108</v>
      </c>
      <c r="E59" s="5">
        <v>100000</v>
      </c>
      <c r="F59" s="6">
        <v>1575.4</v>
      </c>
      <c r="G59" s="7">
        <v>7.5065499999999999E-3</v>
      </c>
      <c r="H59" s="53"/>
    </row>
    <row r="60" spans="1:8" ht="29.1" customHeight="1" x14ac:dyDescent="0.2">
      <c r="A60" s="3">
        <v>54</v>
      </c>
      <c r="B60" s="4" t="s">
        <v>102</v>
      </c>
      <c r="C60" s="4" t="s">
        <v>103</v>
      </c>
      <c r="D60" s="4" t="s">
        <v>25</v>
      </c>
      <c r="E60" s="5">
        <v>43908</v>
      </c>
      <c r="F60" s="6">
        <v>1447.0759559999999</v>
      </c>
      <c r="G60" s="7">
        <v>6.8951000000000004E-3</v>
      </c>
      <c r="H60" s="53"/>
    </row>
    <row r="61" spans="1:8" ht="17.100000000000001" customHeight="1" x14ac:dyDescent="0.2">
      <c r="A61" s="3">
        <v>55</v>
      </c>
      <c r="B61" s="4" t="s">
        <v>60</v>
      </c>
      <c r="C61" s="4" t="s">
        <v>61</v>
      </c>
      <c r="D61" s="4" t="s">
        <v>31</v>
      </c>
      <c r="E61" s="5">
        <v>85238</v>
      </c>
      <c r="F61" s="6">
        <v>1428.3331659999999</v>
      </c>
      <c r="G61" s="7">
        <v>6.8057999999999999E-3</v>
      </c>
      <c r="H61" s="53"/>
    </row>
    <row r="62" spans="1:8" ht="17.100000000000001" customHeight="1" x14ac:dyDescent="0.2">
      <c r="A62" s="3">
        <v>56</v>
      </c>
      <c r="B62" s="4" t="s">
        <v>44</v>
      </c>
      <c r="C62" s="4" t="s">
        <v>45</v>
      </c>
      <c r="D62" s="4" t="s">
        <v>19</v>
      </c>
      <c r="E62" s="5">
        <v>540000</v>
      </c>
      <c r="F62" s="6">
        <v>1320.57</v>
      </c>
      <c r="G62" s="7">
        <v>6.2923199999999997E-3</v>
      </c>
      <c r="H62" s="53"/>
    </row>
    <row r="63" spans="1:8" ht="17.100000000000001" customHeight="1" x14ac:dyDescent="0.2">
      <c r="A63" s="3">
        <v>57</v>
      </c>
      <c r="B63" s="4" t="s">
        <v>120</v>
      </c>
      <c r="C63" s="4" t="s">
        <v>121</v>
      </c>
      <c r="D63" s="4" t="s">
        <v>31</v>
      </c>
      <c r="E63" s="5">
        <v>66435</v>
      </c>
      <c r="F63" s="6">
        <v>1298.1731175</v>
      </c>
      <c r="G63" s="7">
        <v>6.1856000000000003E-3</v>
      </c>
      <c r="H63" s="53"/>
    </row>
    <row r="64" spans="1:8" ht="17.100000000000001" customHeight="1" x14ac:dyDescent="0.2">
      <c r="A64" s="3">
        <v>58</v>
      </c>
      <c r="B64" s="4" t="s">
        <v>412</v>
      </c>
      <c r="C64" s="4" t="s">
        <v>413</v>
      </c>
      <c r="D64" s="4" t="s">
        <v>130</v>
      </c>
      <c r="E64" s="5">
        <v>75000</v>
      </c>
      <c r="F64" s="6">
        <v>1061.6624999999999</v>
      </c>
      <c r="G64" s="7">
        <v>5.0586600000000004E-3</v>
      </c>
      <c r="H64" s="53"/>
    </row>
    <row r="65" spans="1:8" ht="17.100000000000001" customHeight="1" x14ac:dyDescent="0.2">
      <c r="A65" s="3">
        <v>59</v>
      </c>
      <c r="B65" s="4" t="s">
        <v>746</v>
      </c>
      <c r="C65" s="4" t="s">
        <v>747</v>
      </c>
      <c r="D65" s="4" t="s">
        <v>209</v>
      </c>
      <c r="E65" s="5">
        <v>74997</v>
      </c>
      <c r="F65" s="6">
        <v>1005.8222655</v>
      </c>
      <c r="G65" s="7">
        <v>4.7925900000000002E-3</v>
      </c>
      <c r="H65" s="53"/>
    </row>
    <row r="66" spans="1:8" ht="17.100000000000001" customHeight="1" x14ac:dyDescent="0.2">
      <c r="A66" s="3">
        <v>60</v>
      </c>
      <c r="B66" s="4" t="s">
        <v>540</v>
      </c>
      <c r="C66" s="4" t="s">
        <v>541</v>
      </c>
      <c r="D66" s="4" t="s">
        <v>130</v>
      </c>
      <c r="E66" s="5">
        <v>1138540</v>
      </c>
      <c r="F66" s="6">
        <v>1001.9152</v>
      </c>
      <c r="G66" s="7">
        <v>4.7739799999999997E-3</v>
      </c>
      <c r="H66" s="53"/>
    </row>
    <row r="67" spans="1:8" ht="17.100000000000001" customHeight="1" x14ac:dyDescent="0.2">
      <c r="A67" s="3">
        <v>61</v>
      </c>
      <c r="B67" s="4" t="s">
        <v>11</v>
      </c>
      <c r="C67" s="4" t="s">
        <v>12</v>
      </c>
      <c r="D67" s="4" t="s">
        <v>13</v>
      </c>
      <c r="E67" s="5">
        <v>30000</v>
      </c>
      <c r="F67" s="6">
        <v>810.81</v>
      </c>
      <c r="G67" s="7">
        <v>3.86339E-3</v>
      </c>
      <c r="H67" s="53"/>
    </row>
    <row r="68" spans="1:8" ht="17.100000000000001" customHeight="1" x14ac:dyDescent="0.2">
      <c r="A68" s="3">
        <v>62</v>
      </c>
      <c r="B68" s="4" t="s">
        <v>423</v>
      </c>
      <c r="C68" s="4" t="s">
        <v>424</v>
      </c>
      <c r="D68" s="4" t="s">
        <v>906</v>
      </c>
      <c r="E68" s="5">
        <v>74355</v>
      </c>
      <c r="F68" s="6">
        <v>801.73278749999997</v>
      </c>
      <c r="G68" s="7">
        <v>3.8201400000000001E-3</v>
      </c>
      <c r="H68" s="53"/>
    </row>
    <row r="69" spans="1:8" ht="17.100000000000001" customHeight="1" x14ac:dyDescent="0.2">
      <c r="A69" s="3">
        <v>63</v>
      </c>
      <c r="B69" s="4" t="s">
        <v>727</v>
      </c>
      <c r="C69" s="4" t="s">
        <v>728</v>
      </c>
      <c r="D69" s="4" t="s">
        <v>130</v>
      </c>
      <c r="E69" s="5">
        <v>177729</v>
      </c>
      <c r="F69" s="6">
        <v>317.77945199999999</v>
      </c>
      <c r="G69" s="7">
        <v>1.51417E-3</v>
      </c>
      <c r="H69" s="53"/>
    </row>
    <row r="70" spans="1:8" ht="17.100000000000001" customHeight="1" x14ac:dyDescent="0.2">
      <c r="A70" s="3">
        <v>64</v>
      </c>
      <c r="B70" s="4" t="s">
        <v>563</v>
      </c>
      <c r="C70" s="4" t="s">
        <v>564</v>
      </c>
      <c r="D70" s="4" t="s">
        <v>31</v>
      </c>
      <c r="E70" s="5">
        <v>128467</v>
      </c>
      <c r="F70" s="6">
        <v>307.74269850000002</v>
      </c>
      <c r="G70" s="7">
        <v>1.4663499999999999E-3</v>
      </c>
      <c r="H70" s="53"/>
    </row>
    <row r="71" spans="1:8" ht="17.100000000000001" customHeight="1" x14ac:dyDescent="0.2">
      <c r="A71" s="3">
        <v>65</v>
      </c>
      <c r="B71" s="4" t="s">
        <v>334</v>
      </c>
      <c r="C71" s="4" t="s">
        <v>335</v>
      </c>
      <c r="D71" s="4" t="s">
        <v>73</v>
      </c>
      <c r="E71" s="5">
        <v>1654</v>
      </c>
      <c r="F71" s="6">
        <v>51.347602999999999</v>
      </c>
      <c r="G71" s="7">
        <v>2.4466000000000001E-4</v>
      </c>
      <c r="H71" s="53"/>
    </row>
    <row r="72" spans="1:8" ht="14.1" customHeight="1" x14ac:dyDescent="0.2">
      <c r="A72" s="1"/>
      <c r="B72" s="1"/>
      <c r="C72" s="2" t="s">
        <v>144</v>
      </c>
      <c r="D72" s="1"/>
      <c r="E72" s="1" t="s">
        <v>145</v>
      </c>
      <c r="F72" s="9">
        <v>201289.91979199997</v>
      </c>
      <c r="G72" s="10">
        <v>0.95911652999999997</v>
      </c>
      <c r="H72" s="53"/>
    </row>
    <row r="73" spans="1:8" ht="14.1" customHeight="1" x14ac:dyDescent="0.2">
      <c r="A73" s="1"/>
      <c r="B73" s="1"/>
      <c r="C73" s="11"/>
      <c r="D73" s="1"/>
      <c r="E73" s="1"/>
      <c r="F73" s="12"/>
      <c r="G73" s="12"/>
      <c r="H73" s="53"/>
    </row>
    <row r="74" spans="1:8" ht="14.1" customHeight="1" x14ac:dyDescent="0.2">
      <c r="A74" s="1"/>
      <c r="B74" s="1"/>
      <c r="C74" s="2" t="s">
        <v>146</v>
      </c>
      <c r="D74" s="1"/>
      <c r="E74" s="1"/>
      <c r="F74" s="1"/>
      <c r="G74" s="1"/>
      <c r="H74" s="53"/>
    </row>
    <row r="75" spans="1:8" ht="14.1" customHeight="1" x14ac:dyDescent="0.2">
      <c r="A75" s="1"/>
      <c r="B75" s="1"/>
      <c r="C75" s="2" t="s">
        <v>144</v>
      </c>
      <c r="D75" s="1"/>
      <c r="E75" s="1" t="s">
        <v>145</v>
      </c>
      <c r="F75" s="13" t="s">
        <v>147</v>
      </c>
      <c r="G75" s="10">
        <v>0</v>
      </c>
      <c r="H75" s="53"/>
    </row>
    <row r="76" spans="1:8" ht="14.1" customHeight="1" x14ac:dyDescent="0.2">
      <c r="A76" s="1"/>
      <c r="B76" s="1"/>
      <c r="C76" s="11"/>
      <c r="D76" s="1"/>
      <c r="E76" s="1"/>
      <c r="F76" s="12"/>
      <c r="G76" s="12"/>
      <c r="H76" s="53"/>
    </row>
    <row r="77" spans="1:8" ht="14.1" customHeight="1" x14ac:dyDescent="0.2">
      <c r="A77" s="1"/>
      <c r="B77" s="1"/>
      <c r="C77" s="2" t="s">
        <v>148</v>
      </c>
      <c r="D77" s="1"/>
      <c r="E77" s="1"/>
      <c r="F77" s="1"/>
      <c r="G77" s="1"/>
      <c r="H77" s="53"/>
    </row>
    <row r="78" spans="1:8" ht="17.100000000000001" customHeight="1" x14ac:dyDescent="0.2">
      <c r="A78" s="3">
        <v>1</v>
      </c>
      <c r="B78" s="40" t="s">
        <v>567</v>
      </c>
      <c r="C78" s="40" t="s">
        <v>886</v>
      </c>
      <c r="D78" s="4" t="s">
        <v>229</v>
      </c>
      <c r="E78" s="5">
        <v>511578</v>
      </c>
      <c r="F78" s="6">
        <v>24.555744000000001</v>
      </c>
      <c r="G78" s="7">
        <v>1.17E-4</v>
      </c>
      <c r="H78" s="53"/>
    </row>
    <row r="79" spans="1:8" ht="17.100000000000001" customHeight="1" x14ac:dyDescent="0.2">
      <c r="A79" s="3">
        <v>2</v>
      </c>
      <c r="B79" s="40" t="s">
        <v>748</v>
      </c>
      <c r="C79" s="40" t="s">
        <v>892</v>
      </c>
      <c r="D79" s="4" t="s">
        <v>397</v>
      </c>
      <c r="E79" s="5">
        <v>39500</v>
      </c>
      <c r="F79" s="6">
        <v>22.104199999999999</v>
      </c>
      <c r="G79" s="7">
        <v>1.0532E-4</v>
      </c>
      <c r="H79" s="53"/>
    </row>
    <row r="80" spans="1:8" ht="29.1" customHeight="1" x14ac:dyDescent="0.2">
      <c r="A80" s="3">
        <v>3</v>
      </c>
      <c r="B80" s="40" t="s">
        <v>749</v>
      </c>
      <c r="C80" s="40" t="s">
        <v>893</v>
      </c>
      <c r="D80" s="4" t="s">
        <v>486</v>
      </c>
      <c r="E80" s="5">
        <v>50800</v>
      </c>
      <c r="F80" s="6">
        <v>5.0800000000000003E-3</v>
      </c>
      <c r="G80" s="7" t="s">
        <v>143</v>
      </c>
      <c r="H80" s="53"/>
    </row>
    <row r="81" spans="1:8" ht="17.100000000000001" customHeight="1" x14ac:dyDescent="0.2">
      <c r="A81" s="3">
        <v>4</v>
      </c>
      <c r="B81" s="40" t="s">
        <v>750</v>
      </c>
      <c r="C81" s="40" t="s">
        <v>894</v>
      </c>
      <c r="D81" s="4"/>
      <c r="E81" s="5">
        <v>176305</v>
      </c>
      <c r="F81" s="6">
        <v>1.7630000000000001E-6</v>
      </c>
      <c r="G81" s="8" t="s">
        <v>143</v>
      </c>
      <c r="H81" s="53"/>
    </row>
    <row r="82" spans="1:8" ht="41.1" customHeight="1" x14ac:dyDescent="0.2">
      <c r="A82" s="3">
        <v>5</v>
      </c>
      <c r="B82" s="40" t="s">
        <v>751</v>
      </c>
      <c r="C82" s="40" t="s">
        <v>895</v>
      </c>
      <c r="D82" s="4" t="s">
        <v>752</v>
      </c>
      <c r="E82" s="5">
        <v>200000</v>
      </c>
      <c r="F82" s="6">
        <v>1.9999999999999999E-6</v>
      </c>
      <c r="G82" s="8" t="s">
        <v>143</v>
      </c>
      <c r="H82" s="53"/>
    </row>
    <row r="83" spans="1:8" ht="29.1" customHeight="1" x14ac:dyDescent="0.2">
      <c r="A83" s="3">
        <v>6</v>
      </c>
      <c r="B83" s="40" t="s">
        <v>753</v>
      </c>
      <c r="C83" s="40" t="s">
        <v>896</v>
      </c>
      <c r="D83" s="4"/>
      <c r="E83" s="5">
        <v>54000</v>
      </c>
      <c r="F83" s="6">
        <v>5.4000000000000002E-7</v>
      </c>
      <c r="G83" s="8" t="s">
        <v>143</v>
      </c>
      <c r="H83" s="53"/>
    </row>
    <row r="84" spans="1:8" ht="17.100000000000001" customHeight="1" x14ac:dyDescent="0.2">
      <c r="A84" s="3">
        <v>7</v>
      </c>
      <c r="B84" s="40" t="s">
        <v>754</v>
      </c>
      <c r="C84" s="40" t="s">
        <v>897</v>
      </c>
      <c r="D84" s="4"/>
      <c r="E84" s="5">
        <v>93200</v>
      </c>
      <c r="F84" s="6">
        <v>9.3200000000000003E-7</v>
      </c>
      <c r="G84" s="8" t="s">
        <v>143</v>
      </c>
      <c r="H84" s="53"/>
    </row>
    <row r="85" spans="1:8" ht="17.100000000000001" customHeight="1" x14ac:dyDescent="0.2">
      <c r="A85" s="3">
        <v>8</v>
      </c>
      <c r="B85" s="40" t="s">
        <v>755</v>
      </c>
      <c r="C85" s="40" t="s">
        <v>898</v>
      </c>
      <c r="D85" s="4"/>
      <c r="E85" s="5">
        <v>200</v>
      </c>
      <c r="F85" s="6">
        <v>2.0000000000000001E-9</v>
      </c>
      <c r="G85" s="8" t="s">
        <v>143</v>
      </c>
      <c r="H85" s="53"/>
    </row>
    <row r="86" spans="1:8" ht="14.1" customHeight="1" x14ac:dyDescent="0.2">
      <c r="A86" s="1"/>
      <c r="B86" s="1"/>
      <c r="C86" s="2" t="s">
        <v>144</v>
      </c>
      <c r="D86" s="1"/>
      <c r="E86" s="1" t="s">
        <v>145</v>
      </c>
      <c r="F86" s="9">
        <v>46.665029236999999</v>
      </c>
      <c r="G86" s="10">
        <v>2.2233999999999999E-4</v>
      </c>
      <c r="H86" s="53"/>
    </row>
    <row r="87" spans="1:8" ht="14.1" customHeight="1" x14ac:dyDescent="0.2">
      <c r="A87" s="1"/>
      <c r="B87" s="1"/>
      <c r="C87" s="11"/>
      <c r="D87" s="1"/>
      <c r="E87" s="1"/>
      <c r="F87" s="12"/>
      <c r="G87" s="12"/>
      <c r="H87" s="53"/>
    </row>
    <row r="88" spans="1:8" ht="14.1" customHeight="1" x14ac:dyDescent="0.2">
      <c r="A88" s="1"/>
      <c r="B88" s="1"/>
      <c r="C88" s="2" t="s">
        <v>149</v>
      </c>
      <c r="D88" s="1"/>
      <c r="E88" s="1"/>
      <c r="F88" s="1"/>
      <c r="G88" s="1"/>
      <c r="H88" s="53"/>
    </row>
    <row r="89" spans="1:8" ht="14.1" customHeight="1" x14ac:dyDescent="0.2">
      <c r="A89" s="1"/>
      <c r="B89" s="1"/>
      <c r="C89" s="2" t="s">
        <v>144</v>
      </c>
      <c r="D89" s="1"/>
      <c r="E89" s="1" t="s">
        <v>145</v>
      </c>
      <c r="F89" s="13" t="s">
        <v>147</v>
      </c>
      <c r="G89" s="10">
        <v>0</v>
      </c>
      <c r="H89" s="53"/>
    </row>
    <row r="90" spans="1:8" ht="14.1" customHeight="1" x14ac:dyDescent="0.2">
      <c r="A90" s="1"/>
      <c r="B90" s="1"/>
      <c r="C90" s="11"/>
      <c r="D90" s="1"/>
      <c r="E90" s="1"/>
      <c r="F90" s="12"/>
      <c r="G90" s="12"/>
      <c r="H90" s="53"/>
    </row>
    <row r="91" spans="1:8" ht="14.1" customHeight="1" x14ac:dyDescent="0.2">
      <c r="A91" s="1"/>
      <c r="B91" s="1"/>
      <c r="C91" s="2" t="s">
        <v>150</v>
      </c>
      <c r="D91" s="1"/>
      <c r="E91" s="1"/>
      <c r="F91" s="12"/>
      <c r="G91" s="12"/>
      <c r="H91" s="53"/>
    </row>
    <row r="92" spans="1:8" ht="14.1" customHeight="1" x14ac:dyDescent="0.2">
      <c r="A92" s="1"/>
      <c r="B92" s="1"/>
      <c r="C92" s="2" t="s">
        <v>144</v>
      </c>
      <c r="D92" s="1"/>
      <c r="E92" s="1" t="s">
        <v>145</v>
      </c>
      <c r="F92" s="13" t="s">
        <v>147</v>
      </c>
      <c r="G92" s="10">
        <v>0</v>
      </c>
      <c r="H92" s="53"/>
    </row>
    <row r="93" spans="1:8" ht="14.1" customHeight="1" x14ac:dyDescent="0.2">
      <c r="A93" s="1"/>
      <c r="B93" s="1"/>
      <c r="C93" s="11"/>
      <c r="D93" s="1"/>
      <c r="E93" s="1"/>
      <c r="F93" s="12"/>
      <c r="G93" s="12"/>
      <c r="H93" s="53"/>
    </row>
    <row r="94" spans="1:8" ht="14.1" customHeight="1" x14ac:dyDescent="0.2">
      <c r="A94" s="1"/>
      <c r="B94" s="1"/>
      <c r="C94" s="2" t="s">
        <v>151</v>
      </c>
      <c r="D94" s="1"/>
      <c r="E94" s="1"/>
      <c r="F94" s="12"/>
      <c r="G94" s="12"/>
      <c r="H94" s="53"/>
    </row>
    <row r="95" spans="1:8" ht="14.1" customHeight="1" x14ac:dyDescent="0.2">
      <c r="A95" s="1"/>
      <c r="B95" s="1"/>
      <c r="C95" s="2" t="s">
        <v>144</v>
      </c>
      <c r="D95" s="1"/>
      <c r="E95" s="1" t="s">
        <v>145</v>
      </c>
      <c r="F95" s="13" t="s">
        <v>147</v>
      </c>
      <c r="G95" s="10">
        <v>0</v>
      </c>
      <c r="H95" s="53"/>
    </row>
    <row r="96" spans="1:8" ht="14.1" customHeight="1" x14ac:dyDescent="0.2">
      <c r="A96" s="1"/>
      <c r="B96" s="1"/>
      <c r="C96" s="11"/>
      <c r="D96" s="1"/>
      <c r="E96" s="1"/>
      <c r="F96" s="12"/>
      <c r="G96" s="12"/>
      <c r="H96" s="53"/>
    </row>
    <row r="97" spans="1:8" ht="18" customHeight="1" x14ac:dyDescent="0.2">
      <c r="A97" s="1"/>
      <c r="B97" s="1"/>
      <c r="C97" s="2" t="s">
        <v>152</v>
      </c>
      <c r="D97" s="1"/>
      <c r="E97" s="1"/>
      <c r="F97" s="9">
        <v>201336.58482123699</v>
      </c>
      <c r="G97" s="10">
        <v>0.95933886999999995</v>
      </c>
      <c r="H97" s="53"/>
    </row>
    <row r="98" spans="1:8" ht="14.1" customHeight="1" x14ac:dyDescent="0.2">
      <c r="A98" s="1"/>
      <c r="B98" s="1"/>
      <c r="C98" s="11"/>
      <c r="D98" s="1"/>
      <c r="E98" s="1"/>
      <c r="F98" s="12"/>
      <c r="G98" s="12"/>
      <c r="H98" s="53"/>
    </row>
    <row r="99" spans="1:8" ht="14.1" customHeight="1" x14ac:dyDescent="0.2">
      <c r="A99" s="1"/>
      <c r="B99" s="1"/>
      <c r="C99" s="2" t="s">
        <v>153</v>
      </c>
      <c r="D99" s="1"/>
      <c r="E99" s="1"/>
      <c r="F99" s="12"/>
      <c r="G99" s="12"/>
      <c r="H99" s="53"/>
    </row>
    <row r="100" spans="1:8" ht="24" customHeight="1" x14ac:dyDescent="0.2">
      <c r="A100" s="1"/>
      <c r="B100" s="1"/>
      <c r="C100" s="2" t="s">
        <v>10</v>
      </c>
      <c r="D100" s="1"/>
      <c r="E100" s="1"/>
      <c r="F100" s="12"/>
      <c r="G100" s="12"/>
      <c r="H100" s="53"/>
    </row>
    <row r="101" spans="1:8" ht="14.1" customHeight="1" x14ac:dyDescent="0.2">
      <c r="A101" s="1"/>
      <c r="B101" s="1"/>
      <c r="C101" s="2" t="s">
        <v>144</v>
      </c>
      <c r="D101" s="1"/>
      <c r="E101" s="1" t="s">
        <v>145</v>
      </c>
      <c r="F101" s="13" t="s">
        <v>147</v>
      </c>
      <c r="G101" s="10">
        <v>0</v>
      </c>
      <c r="H101" s="53"/>
    </row>
    <row r="102" spans="1:8" ht="14.1" customHeight="1" x14ac:dyDescent="0.2">
      <c r="A102" s="1"/>
      <c r="B102" s="1"/>
      <c r="C102" s="11"/>
      <c r="D102" s="1"/>
      <c r="E102" s="1"/>
      <c r="F102" s="12"/>
      <c r="G102" s="12"/>
      <c r="H102" s="53"/>
    </row>
    <row r="103" spans="1:8" ht="14.1" customHeight="1" x14ac:dyDescent="0.2">
      <c r="A103" s="1"/>
      <c r="B103" s="1"/>
      <c r="C103" s="2" t="s">
        <v>154</v>
      </c>
      <c r="D103" s="1"/>
      <c r="E103" s="1"/>
      <c r="F103" s="1"/>
      <c r="G103" s="1"/>
      <c r="H103" s="53"/>
    </row>
    <row r="104" spans="1:8" ht="14.1" customHeight="1" x14ac:dyDescent="0.2">
      <c r="A104" s="1"/>
      <c r="B104" s="1"/>
      <c r="C104" s="2" t="s">
        <v>144</v>
      </c>
      <c r="D104" s="1"/>
      <c r="E104" s="1" t="s">
        <v>145</v>
      </c>
      <c r="F104" s="13" t="s">
        <v>147</v>
      </c>
      <c r="G104" s="10">
        <v>0</v>
      </c>
      <c r="H104" s="53"/>
    </row>
    <row r="105" spans="1:8" ht="14.1" customHeight="1" x14ac:dyDescent="0.2">
      <c r="A105" s="1"/>
      <c r="B105" s="1"/>
      <c r="C105" s="11"/>
      <c r="D105" s="1"/>
      <c r="E105" s="1"/>
      <c r="F105" s="12"/>
      <c r="G105" s="12"/>
      <c r="H105" s="53"/>
    </row>
    <row r="106" spans="1:8" ht="14.1" customHeight="1" x14ac:dyDescent="0.2">
      <c r="A106" s="1"/>
      <c r="B106" s="1"/>
      <c r="C106" s="2" t="s">
        <v>155</v>
      </c>
      <c r="D106" s="1"/>
      <c r="E106" s="1"/>
      <c r="F106" s="1"/>
      <c r="G106" s="1"/>
      <c r="H106" s="53"/>
    </row>
    <row r="107" spans="1:8" ht="14.1" customHeight="1" x14ac:dyDescent="0.2">
      <c r="A107" s="1"/>
      <c r="B107" s="1"/>
      <c r="C107" s="2" t="s">
        <v>144</v>
      </c>
      <c r="D107" s="1"/>
      <c r="E107" s="1" t="s">
        <v>145</v>
      </c>
      <c r="F107" s="13" t="s">
        <v>147</v>
      </c>
      <c r="G107" s="10">
        <v>0</v>
      </c>
      <c r="H107" s="53"/>
    </row>
    <row r="108" spans="1:8" ht="14.1" customHeight="1" x14ac:dyDescent="0.2">
      <c r="A108" s="1"/>
      <c r="B108" s="1"/>
      <c r="C108" s="11"/>
      <c r="D108" s="1"/>
      <c r="E108" s="1"/>
      <c r="F108" s="12"/>
      <c r="G108" s="12"/>
      <c r="H108" s="53"/>
    </row>
    <row r="109" spans="1:8" ht="14.1" customHeight="1" x14ac:dyDescent="0.2">
      <c r="A109" s="1"/>
      <c r="B109" s="1"/>
      <c r="C109" s="2" t="s">
        <v>156</v>
      </c>
      <c r="D109" s="1"/>
      <c r="E109" s="1"/>
      <c r="F109" s="12"/>
      <c r="G109" s="12"/>
      <c r="H109" s="53"/>
    </row>
    <row r="110" spans="1:8" ht="14.1" customHeight="1" x14ac:dyDescent="0.2">
      <c r="A110" s="1"/>
      <c r="B110" s="1"/>
      <c r="C110" s="2" t="s">
        <v>144</v>
      </c>
      <c r="D110" s="1"/>
      <c r="E110" s="1" t="s">
        <v>145</v>
      </c>
      <c r="F110" s="13" t="s">
        <v>147</v>
      </c>
      <c r="G110" s="10">
        <v>0</v>
      </c>
      <c r="H110" s="53"/>
    </row>
    <row r="111" spans="1:8" ht="14.1" customHeight="1" x14ac:dyDescent="0.2">
      <c r="A111" s="1"/>
      <c r="B111" s="1"/>
      <c r="C111" s="11"/>
      <c r="D111" s="1"/>
      <c r="E111" s="1"/>
      <c r="F111" s="12"/>
      <c r="G111" s="12"/>
      <c r="H111" s="53"/>
    </row>
    <row r="112" spans="1:8" ht="14.1" customHeight="1" x14ac:dyDescent="0.2">
      <c r="A112" s="1"/>
      <c r="B112" s="1"/>
      <c r="C112" s="2" t="s">
        <v>157</v>
      </c>
      <c r="D112" s="1"/>
      <c r="E112" s="1"/>
      <c r="F112" s="9">
        <v>0</v>
      </c>
      <c r="G112" s="10">
        <v>0</v>
      </c>
      <c r="H112" s="53"/>
    </row>
    <row r="113" spans="1:8" ht="14.1" customHeight="1" x14ac:dyDescent="0.2">
      <c r="A113" s="1"/>
      <c r="B113" s="1"/>
      <c r="C113" s="11"/>
      <c r="D113" s="1"/>
      <c r="E113" s="1"/>
      <c r="F113" s="12"/>
      <c r="G113" s="12"/>
      <c r="H113" s="53"/>
    </row>
    <row r="114" spans="1:8" ht="14.1" customHeight="1" x14ac:dyDescent="0.2">
      <c r="A114" s="1"/>
      <c r="B114" s="1"/>
      <c r="C114" s="2" t="s">
        <v>158</v>
      </c>
      <c r="D114" s="1"/>
      <c r="E114" s="1"/>
      <c r="F114" s="12"/>
      <c r="G114" s="12"/>
      <c r="H114" s="53"/>
    </row>
    <row r="115" spans="1:8" ht="14.1" customHeight="1" x14ac:dyDescent="0.2">
      <c r="A115" s="1"/>
      <c r="B115" s="1"/>
      <c r="C115" s="2" t="s">
        <v>159</v>
      </c>
      <c r="D115" s="1"/>
      <c r="E115" s="1"/>
      <c r="F115" s="12"/>
      <c r="G115" s="12"/>
      <c r="H115" s="53"/>
    </row>
    <row r="116" spans="1:8" ht="14.1" customHeight="1" x14ac:dyDescent="0.2">
      <c r="A116" s="1"/>
      <c r="B116" s="1"/>
      <c r="C116" s="2" t="s">
        <v>144</v>
      </c>
      <c r="D116" s="1"/>
      <c r="E116" s="1" t="s">
        <v>145</v>
      </c>
      <c r="F116" s="13" t="s">
        <v>147</v>
      </c>
      <c r="G116" s="10">
        <v>0</v>
      </c>
      <c r="H116" s="53"/>
    </row>
    <row r="117" spans="1:8" ht="14.1" customHeight="1" x14ac:dyDescent="0.2">
      <c r="A117" s="1"/>
      <c r="B117" s="1"/>
      <c r="C117" s="11"/>
      <c r="D117" s="1"/>
      <c r="E117" s="1"/>
      <c r="F117" s="12"/>
      <c r="G117" s="12"/>
      <c r="H117" s="53"/>
    </row>
    <row r="118" spans="1:8" ht="14.1" customHeight="1" x14ac:dyDescent="0.2">
      <c r="A118" s="1"/>
      <c r="B118" s="1"/>
      <c r="C118" s="2" t="s">
        <v>160</v>
      </c>
      <c r="D118" s="1"/>
      <c r="E118" s="1"/>
      <c r="F118" s="12"/>
      <c r="G118" s="12"/>
      <c r="H118" s="53"/>
    </row>
    <row r="119" spans="1:8" ht="14.1" customHeight="1" x14ac:dyDescent="0.2">
      <c r="A119" s="1"/>
      <c r="B119" s="1"/>
      <c r="C119" s="2" t="s">
        <v>144</v>
      </c>
      <c r="D119" s="1"/>
      <c r="E119" s="1" t="s">
        <v>145</v>
      </c>
      <c r="F119" s="13" t="s">
        <v>147</v>
      </c>
      <c r="G119" s="10">
        <v>0</v>
      </c>
      <c r="H119" s="53"/>
    </row>
    <row r="120" spans="1:8" ht="14.1" customHeight="1" x14ac:dyDescent="0.2">
      <c r="A120" s="1"/>
      <c r="B120" s="1"/>
      <c r="C120" s="11"/>
      <c r="D120" s="1"/>
      <c r="E120" s="1"/>
      <c r="F120" s="12"/>
      <c r="G120" s="12"/>
      <c r="H120" s="53"/>
    </row>
    <row r="121" spans="1:8" ht="14.1" customHeight="1" x14ac:dyDescent="0.2">
      <c r="A121" s="1"/>
      <c r="B121" s="1"/>
      <c r="C121" s="2" t="s">
        <v>161</v>
      </c>
      <c r="D121" s="1"/>
      <c r="E121" s="1"/>
      <c r="F121" s="12"/>
      <c r="G121" s="12"/>
      <c r="H121" s="53"/>
    </row>
    <row r="122" spans="1:8" ht="14.1" customHeight="1" x14ac:dyDescent="0.2">
      <c r="A122" s="1"/>
      <c r="B122" s="1"/>
      <c r="C122" s="2" t="s">
        <v>144</v>
      </c>
      <c r="D122" s="1"/>
      <c r="E122" s="1" t="s">
        <v>145</v>
      </c>
      <c r="F122" s="13" t="s">
        <v>147</v>
      </c>
      <c r="G122" s="10">
        <v>0</v>
      </c>
      <c r="H122" s="53"/>
    </row>
    <row r="123" spans="1:8" ht="14.1" customHeight="1" x14ac:dyDescent="0.2">
      <c r="A123" s="1"/>
      <c r="B123" s="1"/>
      <c r="C123" s="11"/>
      <c r="D123" s="1"/>
      <c r="E123" s="1"/>
      <c r="F123" s="12"/>
      <c r="G123" s="12"/>
      <c r="H123" s="53"/>
    </row>
    <row r="124" spans="1:8" ht="14.1" customHeight="1" x14ac:dyDescent="0.2">
      <c r="A124" s="1"/>
      <c r="B124" s="1"/>
      <c r="C124" s="2" t="s">
        <v>162</v>
      </c>
      <c r="D124" s="1"/>
      <c r="E124" s="1"/>
      <c r="F124" s="12"/>
      <c r="G124" s="12"/>
      <c r="H124" s="53"/>
    </row>
    <row r="125" spans="1:8" ht="17.100000000000001" customHeight="1" x14ac:dyDescent="0.2">
      <c r="A125" s="3">
        <v>1</v>
      </c>
      <c r="B125" s="4"/>
      <c r="C125" s="4" t="s">
        <v>163</v>
      </c>
      <c r="D125" s="4"/>
      <c r="E125" s="8"/>
      <c r="F125" s="6">
        <v>5919.0804269910004</v>
      </c>
      <c r="G125" s="7">
        <v>2.8203539999999999E-2</v>
      </c>
      <c r="H125" s="51">
        <v>6.6602331647804478</v>
      </c>
    </row>
    <row r="126" spans="1:8" ht="17.100000000000001" customHeight="1" x14ac:dyDescent="0.2">
      <c r="A126" s="3">
        <v>2</v>
      </c>
      <c r="B126" s="4"/>
      <c r="C126" s="4" t="s">
        <v>164</v>
      </c>
      <c r="D126" s="4"/>
      <c r="E126" s="8"/>
      <c r="F126" s="6">
        <v>4525.3034066</v>
      </c>
      <c r="G126" s="7">
        <v>2.1562399999999999E-2</v>
      </c>
      <c r="H126" s="51">
        <v>6.6588225936582406</v>
      </c>
    </row>
    <row r="127" spans="1:8" ht="14.1" customHeight="1" x14ac:dyDescent="0.2">
      <c r="A127" s="1"/>
      <c r="B127" s="1"/>
      <c r="C127" s="2" t="s">
        <v>144</v>
      </c>
      <c r="D127" s="1"/>
      <c r="E127" s="1" t="s">
        <v>145</v>
      </c>
      <c r="F127" s="9">
        <v>10444.383833591</v>
      </c>
      <c r="G127" s="10">
        <v>4.9765940000000002E-2</v>
      </c>
      <c r="H127" s="53"/>
    </row>
    <row r="128" spans="1:8" ht="14.1" customHeight="1" x14ac:dyDescent="0.2">
      <c r="A128" s="1"/>
      <c r="B128" s="1"/>
      <c r="C128" s="11"/>
      <c r="D128" s="1"/>
      <c r="E128" s="1"/>
      <c r="F128" s="12"/>
      <c r="G128" s="12"/>
      <c r="H128" s="53"/>
    </row>
    <row r="129" spans="1:8" ht="14.1" customHeight="1" x14ac:dyDescent="0.2">
      <c r="A129" s="1"/>
      <c r="B129" s="1"/>
      <c r="C129" s="2" t="s">
        <v>165</v>
      </c>
      <c r="D129" s="1"/>
      <c r="E129" s="1"/>
      <c r="F129" s="9">
        <v>10444.383833591</v>
      </c>
      <c r="G129" s="10">
        <v>4.9765940000000002E-2</v>
      </c>
      <c r="H129" s="53"/>
    </row>
    <row r="130" spans="1:8" ht="14.1" customHeight="1" x14ac:dyDescent="0.2">
      <c r="A130" s="1"/>
      <c r="B130" s="1"/>
      <c r="C130" s="12"/>
      <c r="D130" s="1"/>
      <c r="E130" s="1"/>
      <c r="F130" s="1"/>
      <c r="G130" s="1"/>
      <c r="H130" s="53"/>
    </row>
    <row r="131" spans="1:8" ht="14.1" customHeight="1" x14ac:dyDescent="0.2">
      <c r="A131" s="1"/>
      <c r="B131" s="1"/>
      <c r="C131" s="2" t="s">
        <v>166</v>
      </c>
      <c r="D131" s="1"/>
      <c r="E131" s="1"/>
      <c r="F131" s="1"/>
      <c r="G131" s="1"/>
      <c r="H131" s="53"/>
    </row>
    <row r="132" spans="1:8" ht="14.1" customHeight="1" x14ac:dyDescent="0.2">
      <c r="A132" s="1"/>
      <c r="B132" s="1"/>
      <c r="C132" s="2" t="s">
        <v>167</v>
      </c>
      <c r="D132" s="1"/>
      <c r="E132" s="1"/>
      <c r="F132" s="1"/>
      <c r="G132" s="1"/>
      <c r="H132" s="53"/>
    </row>
    <row r="133" spans="1:8" ht="14.1" customHeight="1" x14ac:dyDescent="0.2">
      <c r="A133" s="1"/>
      <c r="B133" s="1"/>
      <c r="C133" s="2" t="s">
        <v>144</v>
      </c>
      <c r="D133" s="1"/>
      <c r="E133" s="1" t="s">
        <v>145</v>
      </c>
      <c r="F133" s="13" t="s">
        <v>147</v>
      </c>
      <c r="G133" s="10">
        <v>0</v>
      </c>
      <c r="H133" s="53"/>
    </row>
    <row r="134" spans="1:8" ht="14.1" customHeight="1" x14ac:dyDescent="0.2">
      <c r="A134" s="1"/>
      <c r="B134" s="1"/>
      <c r="C134" s="11"/>
      <c r="D134" s="1"/>
      <c r="E134" s="1"/>
      <c r="F134" s="12"/>
      <c r="G134" s="12"/>
      <c r="H134" s="53"/>
    </row>
    <row r="135" spans="1:8" ht="14.1" customHeight="1" x14ac:dyDescent="0.2">
      <c r="A135" s="1"/>
      <c r="B135" s="1"/>
      <c r="C135" s="2" t="s">
        <v>168</v>
      </c>
      <c r="D135" s="1"/>
      <c r="E135" s="1"/>
      <c r="F135" s="1"/>
      <c r="G135" s="1"/>
      <c r="H135" s="53"/>
    </row>
    <row r="136" spans="1:8" ht="14.1" customHeight="1" x14ac:dyDescent="0.2">
      <c r="A136" s="1"/>
      <c r="B136" s="1"/>
      <c r="C136" s="2" t="s">
        <v>169</v>
      </c>
      <c r="D136" s="1"/>
      <c r="E136" s="1"/>
      <c r="F136" s="1"/>
      <c r="G136" s="1"/>
      <c r="H136" s="53"/>
    </row>
    <row r="137" spans="1:8" ht="14.1" customHeight="1" x14ac:dyDescent="0.2">
      <c r="A137" s="1"/>
      <c r="B137" s="1"/>
      <c r="C137" s="2" t="s">
        <v>144</v>
      </c>
      <c r="D137" s="1"/>
      <c r="E137" s="1" t="s">
        <v>145</v>
      </c>
      <c r="F137" s="13" t="s">
        <v>147</v>
      </c>
      <c r="G137" s="10">
        <v>0</v>
      </c>
      <c r="H137" s="53"/>
    </row>
    <row r="138" spans="1:8" ht="14.1" customHeight="1" x14ac:dyDescent="0.2">
      <c r="A138" s="1"/>
      <c r="B138" s="1"/>
      <c r="C138" s="11"/>
      <c r="D138" s="1"/>
      <c r="E138" s="1"/>
      <c r="F138" s="12"/>
      <c r="G138" s="12"/>
      <c r="H138" s="53"/>
    </row>
    <row r="139" spans="1:8" ht="24" customHeight="1" x14ac:dyDescent="0.2">
      <c r="A139" s="1"/>
      <c r="B139" s="1"/>
      <c r="C139" s="2" t="s">
        <v>170</v>
      </c>
      <c r="D139" s="1"/>
      <c r="E139" s="1"/>
      <c r="F139" s="12"/>
      <c r="G139" s="12"/>
      <c r="H139" s="53"/>
    </row>
    <row r="140" spans="1:8" ht="14.1" customHeight="1" x14ac:dyDescent="0.2">
      <c r="A140" s="1"/>
      <c r="B140" s="1"/>
      <c r="C140" s="2" t="s">
        <v>144</v>
      </c>
      <c r="D140" s="1"/>
      <c r="E140" s="1" t="s">
        <v>145</v>
      </c>
      <c r="F140" s="13" t="s">
        <v>147</v>
      </c>
      <c r="G140" s="10">
        <v>0</v>
      </c>
      <c r="H140" s="53"/>
    </row>
    <row r="141" spans="1:8" ht="14.1" customHeight="1" x14ac:dyDescent="0.2">
      <c r="A141" s="1"/>
      <c r="B141" s="1"/>
      <c r="C141" s="11"/>
      <c r="D141" s="1"/>
      <c r="E141" s="1"/>
      <c r="F141" s="12"/>
      <c r="G141" s="12"/>
      <c r="H141" s="53"/>
    </row>
    <row r="142" spans="1:8" ht="18" customHeight="1" x14ac:dyDescent="0.2">
      <c r="A142" s="8"/>
      <c r="B142" s="4"/>
      <c r="C142" s="4" t="s">
        <v>308</v>
      </c>
      <c r="D142" s="4"/>
      <c r="E142" s="8"/>
      <c r="F142" s="6">
        <v>2169.8233819000002</v>
      </c>
      <c r="G142" s="7">
        <v>1.033889E-2</v>
      </c>
      <c r="H142" s="53"/>
    </row>
    <row r="143" spans="1:8" ht="18" customHeight="1" x14ac:dyDescent="0.2">
      <c r="A143" s="8"/>
      <c r="B143" s="4"/>
      <c r="C143" s="4" t="s">
        <v>171</v>
      </c>
      <c r="D143" s="4"/>
      <c r="E143" s="8"/>
      <c r="F143" s="6">
        <v>-4080.6480776200001</v>
      </c>
      <c r="G143" s="7">
        <v>-1.9443680000000001E-2</v>
      </c>
      <c r="H143" s="53"/>
    </row>
    <row r="144" spans="1:8" ht="14.1" customHeight="1" x14ac:dyDescent="0.2">
      <c r="A144" s="11"/>
      <c r="B144" s="11"/>
      <c r="C144" s="2" t="s">
        <v>172</v>
      </c>
      <c r="D144" s="12"/>
      <c r="E144" s="12"/>
      <c r="F144" s="9">
        <v>209870.14395910801</v>
      </c>
      <c r="G144" s="14">
        <v>1.0000000200000001</v>
      </c>
      <c r="H144" s="53"/>
    </row>
    <row r="145" spans="1:7" ht="14.1" customHeight="1" x14ac:dyDescent="0.2">
      <c r="A145" s="15"/>
      <c r="B145" s="15"/>
      <c r="C145" s="15"/>
      <c r="D145" s="16"/>
      <c r="E145" s="16"/>
      <c r="F145" s="16"/>
      <c r="G145" s="16"/>
    </row>
    <row r="146" spans="1:7" ht="17.100000000000001" customHeight="1" x14ac:dyDescent="0.2">
      <c r="A146" s="17"/>
      <c r="B146" s="230" t="s">
        <v>173</v>
      </c>
      <c r="C146" s="230"/>
      <c r="D146" s="230"/>
      <c r="E146" s="230"/>
      <c r="F146" s="230"/>
      <c r="G146" s="19"/>
    </row>
    <row r="147" spans="1:7" ht="14.1" customHeight="1" x14ac:dyDescent="0.2">
      <c r="A147" s="17"/>
      <c r="B147" s="17"/>
      <c r="C147" s="17"/>
      <c r="D147" s="19"/>
      <c r="E147" s="19"/>
      <c r="F147" s="19"/>
      <c r="G147" s="19"/>
    </row>
    <row r="148" spans="1:7" ht="14.1" customHeight="1" x14ac:dyDescent="0.2">
      <c r="A148" s="17"/>
      <c r="B148" s="231" t="s">
        <v>174</v>
      </c>
      <c r="C148" s="232"/>
      <c r="D148" s="233"/>
      <c r="E148" s="20"/>
      <c r="F148" s="19"/>
      <c r="G148" s="19"/>
    </row>
    <row r="149" spans="1:7" ht="29.1" customHeight="1" x14ac:dyDescent="0.2">
      <c r="A149" s="17"/>
      <c r="B149" s="226" t="s">
        <v>175</v>
      </c>
      <c r="C149" s="227"/>
      <c r="D149" s="42" t="s">
        <v>1006</v>
      </c>
      <c r="E149" s="20"/>
      <c r="F149" s="19"/>
      <c r="G149" s="19"/>
    </row>
    <row r="150" spans="1:7" ht="17.100000000000001" customHeight="1" x14ac:dyDescent="0.2">
      <c r="A150" s="17"/>
      <c r="B150" s="228" t="s">
        <v>884</v>
      </c>
      <c r="C150" s="229"/>
      <c r="D150" s="42" t="s">
        <v>891</v>
      </c>
      <c r="E150" s="20"/>
      <c r="F150" s="19"/>
      <c r="G150" s="19"/>
    </row>
    <row r="151" spans="1:7" ht="17.100000000000001" customHeight="1" x14ac:dyDescent="0.2">
      <c r="A151" s="17"/>
      <c r="B151" s="226" t="s">
        <v>178</v>
      </c>
      <c r="C151" s="227"/>
      <c r="D151" s="12" t="s">
        <v>145</v>
      </c>
      <c r="E151" s="20"/>
      <c r="F151" s="19"/>
      <c r="G151" s="19"/>
    </row>
    <row r="152" spans="1:7" ht="24" customHeight="1" x14ac:dyDescent="0.2">
      <c r="A152" s="21"/>
      <c r="B152" s="22" t="s">
        <v>145</v>
      </c>
      <c r="C152" s="22" t="s">
        <v>179</v>
      </c>
      <c r="D152" s="22" t="s">
        <v>180</v>
      </c>
      <c r="E152" s="21"/>
      <c r="F152" s="21"/>
      <c r="G152" s="21"/>
    </row>
    <row r="153" spans="1:7" ht="18" customHeight="1" x14ac:dyDescent="0.2">
      <c r="A153" s="21"/>
      <c r="B153" s="23" t="s">
        <v>181</v>
      </c>
      <c r="C153" s="22" t="s">
        <v>182</v>
      </c>
      <c r="D153" s="22" t="s">
        <v>183</v>
      </c>
      <c r="E153" s="21"/>
      <c r="F153" s="21"/>
      <c r="G153" s="21"/>
    </row>
    <row r="154" spans="1:7" ht="17.100000000000001" customHeight="1" x14ac:dyDescent="0.2">
      <c r="A154" s="21"/>
      <c r="B154" s="4" t="s">
        <v>184</v>
      </c>
      <c r="C154" s="24">
        <v>291.86579999999998</v>
      </c>
      <c r="D154" s="24">
        <v>296.91390000000001</v>
      </c>
      <c r="E154" s="21"/>
      <c r="F154" s="18"/>
      <c r="G154" s="25"/>
    </row>
    <row r="155" spans="1:7" ht="29.1" customHeight="1" x14ac:dyDescent="0.2">
      <c r="A155" s="21"/>
      <c r="B155" s="4" t="s">
        <v>1012</v>
      </c>
      <c r="C155" s="24">
        <v>72.061400000000006</v>
      </c>
      <c r="D155" s="24">
        <v>73.3078</v>
      </c>
      <c r="E155" s="21"/>
      <c r="F155" s="18"/>
      <c r="G155" s="25"/>
    </row>
    <row r="156" spans="1:7" ht="17.100000000000001" customHeight="1" x14ac:dyDescent="0.2">
      <c r="A156" s="21"/>
      <c r="B156" s="4" t="s">
        <v>185</v>
      </c>
      <c r="C156" s="24">
        <v>267.85129999999998</v>
      </c>
      <c r="D156" s="24">
        <v>272.22629999999998</v>
      </c>
      <c r="E156" s="21"/>
      <c r="F156" s="18"/>
      <c r="G156" s="25"/>
    </row>
    <row r="157" spans="1:7" ht="29.1" customHeight="1" x14ac:dyDescent="0.2">
      <c r="A157" s="21"/>
      <c r="B157" s="4" t="s">
        <v>1013</v>
      </c>
      <c r="C157" s="24">
        <v>54.597700000000003</v>
      </c>
      <c r="D157" s="24">
        <v>55.4895</v>
      </c>
      <c r="E157" s="21"/>
      <c r="F157" s="18"/>
      <c r="G157" s="25"/>
    </row>
    <row r="158" spans="1:7" ht="14.1" customHeight="1" x14ac:dyDescent="0.2">
      <c r="A158" s="21"/>
      <c r="B158" s="21"/>
      <c r="C158" s="21"/>
      <c r="D158" s="21"/>
      <c r="E158" s="21"/>
      <c r="F158" s="21"/>
      <c r="G158" s="21"/>
    </row>
    <row r="159" spans="1:7" ht="17.100000000000001" customHeight="1" x14ac:dyDescent="0.2">
      <c r="A159" s="21"/>
      <c r="B159" s="226" t="s">
        <v>1011</v>
      </c>
      <c r="C159" s="227"/>
      <c r="D159" s="2" t="s">
        <v>176</v>
      </c>
      <c r="E159" s="21"/>
      <c r="F159" s="21"/>
      <c r="G159" s="21"/>
    </row>
    <row r="160" spans="1:7" ht="18" customHeight="1" x14ac:dyDescent="0.2">
      <c r="A160" s="21"/>
      <c r="B160" s="26"/>
      <c r="C160" s="26"/>
      <c r="D160" s="26"/>
      <c r="E160" s="21"/>
      <c r="F160" s="21"/>
      <c r="G160" s="21"/>
    </row>
    <row r="161" spans="1:7" ht="29.1" customHeight="1" x14ac:dyDescent="0.2">
      <c r="A161" s="21"/>
      <c r="B161" s="226" t="s">
        <v>186</v>
      </c>
      <c r="C161" s="227"/>
      <c r="D161" s="2" t="s">
        <v>176</v>
      </c>
      <c r="E161" s="27"/>
      <c r="F161" s="21"/>
      <c r="G161" s="21"/>
    </row>
    <row r="162" spans="1:7" ht="29.1" customHeight="1" x14ac:dyDescent="0.2">
      <c r="A162" s="21"/>
      <c r="B162" s="226" t="s">
        <v>187</v>
      </c>
      <c r="C162" s="227"/>
      <c r="D162" s="2" t="s">
        <v>176</v>
      </c>
      <c r="E162" s="27"/>
      <c r="F162" s="21"/>
      <c r="G162" s="21"/>
    </row>
    <row r="163" spans="1:7" ht="17.100000000000001" customHeight="1" x14ac:dyDescent="0.2">
      <c r="A163" s="21"/>
      <c r="B163" s="226" t="s">
        <v>188</v>
      </c>
      <c r="C163" s="227"/>
      <c r="D163" s="2" t="s">
        <v>176</v>
      </c>
      <c r="E163" s="27"/>
      <c r="F163" s="21"/>
      <c r="G163" s="21"/>
    </row>
    <row r="164" spans="1:7" ht="17.100000000000001" customHeight="1" x14ac:dyDescent="0.2">
      <c r="A164" s="21"/>
      <c r="B164" s="226" t="s">
        <v>189</v>
      </c>
      <c r="C164" s="227"/>
      <c r="D164" s="57">
        <v>0.6666208312453451</v>
      </c>
      <c r="E164" s="21"/>
      <c r="F164" s="18"/>
      <c r="G164" s="25"/>
    </row>
    <row r="166" spans="1:7" x14ac:dyDescent="0.2">
      <c r="B166" s="125" t="s">
        <v>1004</v>
      </c>
    </row>
    <row r="167" spans="1:7" ht="38.25" x14ac:dyDescent="0.2">
      <c r="B167" s="90" t="s">
        <v>972</v>
      </c>
      <c r="C167" s="90" t="s">
        <v>973</v>
      </c>
      <c r="D167" s="90" t="s">
        <v>974</v>
      </c>
      <c r="E167" s="90" t="s">
        <v>975</v>
      </c>
      <c r="F167" s="90" t="s">
        <v>976</v>
      </c>
    </row>
    <row r="168" spans="1:7" x14ac:dyDescent="0.2">
      <c r="B168" s="126" t="s">
        <v>1002</v>
      </c>
      <c r="C168" s="121" t="s">
        <v>1000</v>
      </c>
      <c r="D168" s="122">
        <v>0</v>
      </c>
      <c r="E168" s="123">
        <v>0</v>
      </c>
      <c r="F168" s="124">
        <v>29.407129999999999</v>
      </c>
    </row>
  </sheetData>
  <mergeCells count="14">
    <mergeCell ref="A1:H1"/>
    <mergeCell ref="A2:H2"/>
    <mergeCell ref="A3:H3"/>
    <mergeCell ref="J2:N2"/>
    <mergeCell ref="B164:C164"/>
    <mergeCell ref="B150:C150"/>
    <mergeCell ref="B151:C151"/>
    <mergeCell ref="B159:C159"/>
    <mergeCell ref="B161:C161"/>
    <mergeCell ref="B162:C162"/>
    <mergeCell ref="B163:C163"/>
    <mergeCell ref="B149:C149"/>
    <mergeCell ref="B146:F146"/>
    <mergeCell ref="B148:D148"/>
  </mergeCells>
  <hyperlinks>
    <hyperlink ref="I1" location="Index!B23" display="Index" xr:uid="{E73A4DE9-B386-42D9-ACC5-672C30B4844E}"/>
  </hyperlinks>
  <pageMargins left="5.000000074505806E-2" right="5.000000074505806E-2" top="0.30000001192092896" bottom="0.20000000298023224" header="0" footer="0"/>
  <pageSetup paperSize="9" orientation="landscape"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N19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756</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362</v>
      </c>
      <c r="C7" s="4" t="s">
        <v>363</v>
      </c>
      <c r="D7" s="4" t="s">
        <v>206</v>
      </c>
      <c r="E7" s="5">
        <v>80416</v>
      </c>
      <c r="F7" s="6">
        <v>78.486016000000006</v>
      </c>
      <c r="G7" s="7">
        <v>1.245134E-2</v>
      </c>
      <c r="H7" s="53"/>
    </row>
    <row r="8" spans="1:14" ht="29.1" customHeight="1" x14ac:dyDescent="0.2">
      <c r="A8" s="3">
        <v>2</v>
      </c>
      <c r="B8" s="4" t="s">
        <v>374</v>
      </c>
      <c r="C8" s="4" t="s">
        <v>375</v>
      </c>
      <c r="D8" s="4" t="s">
        <v>224</v>
      </c>
      <c r="E8" s="5">
        <v>5882</v>
      </c>
      <c r="F8" s="6">
        <v>73.972031999999999</v>
      </c>
      <c r="G8" s="7">
        <v>1.1735219999999999E-2</v>
      </c>
      <c r="H8" s="53"/>
    </row>
    <row r="9" spans="1:14" ht="17.100000000000001" customHeight="1" x14ac:dyDescent="0.2">
      <c r="A9" s="3">
        <v>3</v>
      </c>
      <c r="B9" s="4" t="s">
        <v>17</v>
      </c>
      <c r="C9" s="4" t="s">
        <v>18</v>
      </c>
      <c r="D9" s="4" t="s">
        <v>19</v>
      </c>
      <c r="E9" s="5">
        <v>31051</v>
      </c>
      <c r="F9" s="6">
        <v>68.405353000000005</v>
      </c>
      <c r="G9" s="7">
        <v>1.08521E-2</v>
      </c>
      <c r="H9" s="53"/>
    </row>
    <row r="10" spans="1:14" ht="29.1" customHeight="1" x14ac:dyDescent="0.2">
      <c r="A10" s="3">
        <v>4</v>
      </c>
      <c r="B10" s="4" t="s">
        <v>672</v>
      </c>
      <c r="C10" s="4" t="s">
        <v>673</v>
      </c>
      <c r="D10" s="4" t="s">
        <v>25</v>
      </c>
      <c r="E10" s="5">
        <v>3314</v>
      </c>
      <c r="F10" s="6">
        <v>66.470555000000004</v>
      </c>
      <c r="G10" s="7">
        <v>1.054516E-2</v>
      </c>
      <c r="H10" s="53"/>
    </row>
    <row r="11" spans="1:14" ht="17.100000000000001" customHeight="1" x14ac:dyDescent="0.2">
      <c r="A11" s="3">
        <v>5</v>
      </c>
      <c r="B11" s="4" t="s">
        <v>757</v>
      </c>
      <c r="C11" s="4" t="s">
        <v>758</v>
      </c>
      <c r="D11" s="4" t="s">
        <v>397</v>
      </c>
      <c r="E11" s="5">
        <v>2624</v>
      </c>
      <c r="F11" s="6">
        <v>66.235007999999993</v>
      </c>
      <c r="G11" s="7">
        <v>1.0507789999999999E-2</v>
      </c>
      <c r="H11" s="53"/>
    </row>
    <row r="12" spans="1:14" ht="17.100000000000001" customHeight="1" x14ac:dyDescent="0.2">
      <c r="A12" s="3">
        <v>6</v>
      </c>
      <c r="B12" s="4" t="s">
        <v>11</v>
      </c>
      <c r="C12" s="4" t="s">
        <v>12</v>
      </c>
      <c r="D12" s="4" t="s">
        <v>13</v>
      </c>
      <c r="E12" s="5">
        <v>2449</v>
      </c>
      <c r="F12" s="6">
        <v>66.189122999999995</v>
      </c>
      <c r="G12" s="7">
        <v>1.0500509999999999E-2</v>
      </c>
      <c r="H12" s="53"/>
    </row>
    <row r="13" spans="1:14" ht="17.100000000000001" customHeight="1" x14ac:dyDescent="0.2">
      <c r="A13" s="3">
        <v>7</v>
      </c>
      <c r="B13" s="4" t="s">
        <v>295</v>
      </c>
      <c r="C13" s="4" t="s">
        <v>296</v>
      </c>
      <c r="D13" s="4" t="s">
        <v>281</v>
      </c>
      <c r="E13" s="5">
        <v>7338</v>
      </c>
      <c r="F13" s="6">
        <v>66.005309999999994</v>
      </c>
      <c r="G13" s="7">
        <v>1.0471350000000001E-2</v>
      </c>
      <c r="H13" s="53"/>
      <c r="J13" s="142" t="s">
        <v>1052</v>
      </c>
    </row>
    <row r="14" spans="1:14" ht="17.100000000000001" customHeight="1" x14ac:dyDescent="0.2">
      <c r="A14" s="3">
        <v>8</v>
      </c>
      <c r="B14" s="4" t="s">
        <v>546</v>
      </c>
      <c r="C14" s="4" t="s">
        <v>547</v>
      </c>
      <c r="D14" s="4" t="s">
        <v>281</v>
      </c>
      <c r="E14" s="5">
        <v>6540</v>
      </c>
      <c r="F14" s="6">
        <v>65.893770000000004</v>
      </c>
      <c r="G14" s="7">
        <v>1.045366E-2</v>
      </c>
      <c r="H14" s="53"/>
    </row>
    <row r="15" spans="1:14" ht="29.1" customHeight="1" x14ac:dyDescent="0.2">
      <c r="A15" s="3">
        <v>9</v>
      </c>
      <c r="B15" s="4" t="s">
        <v>558</v>
      </c>
      <c r="C15" s="4" t="s">
        <v>559</v>
      </c>
      <c r="D15" s="4" t="s">
        <v>560</v>
      </c>
      <c r="E15" s="5">
        <v>8286</v>
      </c>
      <c r="F15" s="6">
        <v>65.641692000000006</v>
      </c>
      <c r="G15" s="7">
        <v>1.041367E-2</v>
      </c>
      <c r="H15" s="53"/>
    </row>
    <row r="16" spans="1:14" ht="17.100000000000001" customHeight="1" x14ac:dyDescent="0.2">
      <c r="A16" s="3">
        <v>10</v>
      </c>
      <c r="B16" s="4" t="s">
        <v>93</v>
      </c>
      <c r="C16" s="4" t="s">
        <v>94</v>
      </c>
      <c r="D16" s="4" t="s">
        <v>95</v>
      </c>
      <c r="E16" s="5">
        <v>9536</v>
      </c>
      <c r="F16" s="6">
        <v>65.273920000000004</v>
      </c>
      <c r="G16" s="7">
        <v>1.0355319999999999E-2</v>
      </c>
      <c r="H16" s="53"/>
    </row>
    <row r="17" spans="1:8" ht="17.100000000000001" customHeight="1" x14ac:dyDescent="0.2">
      <c r="A17" s="3">
        <v>11</v>
      </c>
      <c r="B17" s="4" t="s">
        <v>719</v>
      </c>
      <c r="C17" s="4" t="s">
        <v>720</v>
      </c>
      <c r="D17" s="4" t="s">
        <v>286</v>
      </c>
      <c r="E17" s="5">
        <v>3353</v>
      </c>
      <c r="F17" s="6">
        <v>65.116936499999994</v>
      </c>
      <c r="G17" s="7">
        <v>1.033042E-2</v>
      </c>
      <c r="H17" s="53"/>
    </row>
    <row r="18" spans="1:8" ht="29.1" customHeight="1" x14ac:dyDescent="0.2">
      <c r="A18" s="3">
        <v>12</v>
      </c>
      <c r="B18" s="4" t="s">
        <v>759</v>
      </c>
      <c r="C18" s="4" t="s">
        <v>760</v>
      </c>
      <c r="D18" s="4" t="s">
        <v>286</v>
      </c>
      <c r="E18" s="5">
        <v>408</v>
      </c>
      <c r="F18" s="6">
        <v>65.103539999999995</v>
      </c>
      <c r="G18" s="7">
        <v>1.032829E-2</v>
      </c>
      <c r="H18" s="53"/>
    </row>
    <row r="19" spans="1:8" ht="17.100000000000001" customHeight="1" x14ac:dyDescent="0.2">
      <c r="A19" s="3">
        <v>13</v>
      </c>
      <c r="B19" s="4" t="s">
        <v>370</v>
      </c>
      <c r="C19" s="4" t="s">
        <v>371</v>
      </c>
      <c r="D19" s="4" t="s">
        <v>304</v>
      </c>
      <c r="E19" s="5">
        <v>162</v>
      </c>
      <c r="F19" s="6">
        <v>65.048184000000006</v>
      </c>
      <c r="G19" s="7">
        <v>1.031951E-2</v>
      </c>
      <c r="H19" s="53"/>
    </row>
    <row r="20" spans="1:8" ht="17.100000000000001" customHeight="1" x14ac:dyDescent="0.2">
      <c r="A20" s="3">
        <v>14</v>
      </c>
      <c r="B20" s="4" t="s">
        <v>76</v>
      </c>
      <c r="C20" s="4" t="s">
        <v>77</v>
      </c>
      <c r="D20" s="4" t="s">
        <v>19</v>
      </c>
      <c r="E20" s="5">
        <v>26511</v>
      </c>
      <c r="F20" s="6">
        <v>64.978460999999996</v>
      </c>
      <c r="G20" s="7">
        <v>1.030845E-2</v>
      </c>
      <c r="H20" s="53"/>
    </row>
    <row r="21" spans="1:8" ht="29.1" customHeight="1" x14ac:dyDescent="0.2">
      <c r="A21" s="3">
        <v>15</v>
      </c>
      <c r="B21" s="4" t="s">
        <v>761</v>
      </c>
      <c r="C21" s="4" t="s">
        <v>762</v>
      </c>
      <c r="D21" s="4" t="s">
        <v>229</v>
      </c>
      <c r="E21" s="5">
        <v>9651</v>
      </c>
      <c r="F21" s="6">
        <v>64.85472</v>
      </c>
      <c r="G21" s="7">
        <v>1.0288820000000001E-2</v>
      </c>
      <c r="H21" s="53"/>
    </row>
    <row r="22" spans="1:8" ht="29.1" customHeight="1" x14ac:dyDescent="0.2">
      <c r="A22" s="3">
        <v>16</v>
      </c>
      <c r="B22" s="4" t="s">
        <v>320</v>
      </c>
      <c r="C22" s="4" t="s">
        <v>321</v>
      </c>
      <c r="D22" s="4" t="s">
        <v>224</v>
      </c>
      <c r="E22" s="5">
        <v>1155</v>
      </c>
      <c r="F22" s="6">
        <v>64.770667500000002</v>
      </c>
      <c r="G22" s="7">
        <v>1.027548E-2</v>
      </c>
      <c r="H22" s="53"/>
    </row>
    <row r="23" spans="1:8" ht="29.1" customHeight="1" x14ac:dyDescent="0.2">
      <c r="A23" s="3">
        <v>17</v>
      </c>
      <c r="B23" s="4" t="s">
        <v>36</v>
      </c>
      <c r="C23" s="4" t="s">
        <v>37</v>
      </c>
      <c r="D23" s="4" t="s">
        <v>38</v>
      </c>
      <c r="E23" s="5">
        <v>48603</v>
      </c>
      <c r="F23" s="6">
        <v>64.739196000000007</v>
      </c>
      <c r="G23" s="7">
        <v>1.027049E-2</v>
      </c>
      <c r="H23" s="53"/>
    </row>
    <row r="24" spans="1:8" ht="29.1" customHeight="1" x14ac:dyDescent="0.2">
      <c r="A24" s="3">
        <v>18</v>
      </c>
      <c r="B24" s="4" t="s">
        <v>554</v>
      </c>
      <c r="C24" s="4" t="s">
        <v>555</v>
      </c>
      <c r="D24" s="4" t="s">
        <v>469</v>
      </c>
      <c r="E24" s="5">
        <v>11335</v>
      </c>
      <c r="F24" s="6">
        <v>64.615167499999998</v>
      </c>
      <c r="G24" s="7">
        <v>1.0250810000000001E-2</v>
      </c>
      <c r="H24" s="53"/>
    </row>
    <row r="25" spans="1:8" ht="17.100000000000001" customHeight="1" x14ac:dyDescent="0.2">
      <c r="A25" s="3">
        <v>19</v>
      </c>
      <c r="B25" s="4" t="s">
        <v>763</v>
      </c>
      <c r="C25" s="4" t="s">
        <v>764</v>
      </c>
      <c r="D25" s="4" t="s">
        <v>19</v>
      </c>
      <c r="E25" s="5">
        <v>7950</v>
      </c>
      <c r="F25" s="6">
        <v>64.550025000000005</v>
      </c>
      <c r="G25" s="7">
        <v>1.024048E-2</v>
      </c>
      <c r="H25" s="53"/>
    </row>
    <row r="26" spans="1:8" ht="29.1" customHeight="1" x14ac:dyDescent="0.2">
      <c r="A26" s="3">
        <v>20</v>
      </c>
      <c r="B26" s="4" t="s">
        <v>368</v>
      </c>
      <c r="C26" s="4" t="s">
        <v>369</v>
      </c>
      <c r="D26" s="4" t="s">
        <v>201</v>
      </c>
      <c r="E26" s="5">
        <v>2736</v>
      </c>
      <c r="F26" s="6">
        <v>64.473839999999996</v>
      </c>
      <c r="G26" s="7">
        <v>1.022839E-2</v>
      </c>
      <c r="H26" s="53"/>
    </row>
    <row r="27" spans="1:8" ht="17.100000000000001" customHeight="1" x14ac:dyDescent="0.2">
      <c r="A27" s="3">
        <v>21</v>
      </c>
      <c r="B27" s="4" t="s">
        <v>662</v>
      </c>
      <c r="C27" s="4" t="s">
        <v>663</v>
      </c>
      <c r="D27" s="4" t="s">
        <v>16</v>
      </c>
      <c r="E27" s="5">
        <v>36792</v>
      </c>
      <c r="F27" s="6">
        <v>64.459584000000007</v>
      </c>
      <c r="G27" s="7">
        <v>1.022613E-2</v>
      </c>
      <c r="H27" s="53"/>
    </row>
    <row r="28" spans="1:8" ht="17.100000000000001" customHeight="1" x14ac:dyDescent="0.2">
      <c r="A28" s="3">
        <v>22</v>
      </c>
      <c r="B28" s="4" t="s">
        <v>62</v>
      </c>
      <c r="C28" s="4" t="s">
        <v>63</v>
      </c>
      <c r="D28" s="4" t="s">
        <v>41</v>
      </c>
      <c r="E28" s="5">
        <v>1641</v>
      </c>
      <c r="F28" s="6">
        <v>64.361660999999998</v>
      </c>
      <c r="G28" s="7">
        <v>1.02106E-2</v>
      </c>
      <c r="H28" s="53"/>
    </row>
    <row r="29" spans="1:8" ht="17.100000000000001" customHeight="1" x14ac:dyDescent="0.2">
      <c r="A29" s="3">
        <v>23</v>
      </c>
      <c r="B29" s="4" t="s">
        <v>765</v>
      </c>
      <c r="C29" s="4" t="s">
        <v>766</v>
      </c>
      <c r="D29" s="4" t="s">
        <v>73</v>
      </c>
      <c r="E29" s="5">
        <v>8943</v>
      </c>
      <c r="F29" s="6">
        <v>64.264398</v>
      </c>
      <c r="G29" s="7">
        <v>1.019517E-2</v>
      </c>
      <c r="H29" s="53"/>
    </row>
    <row r="30" spans="1:8" ht="17.100000000000001" customHeight="1" x14ac:dyDescent="0.2">
      <c r="A30" s="3">
        <v>24</v>
      </c>
      <c r="B30" s="4" t="s">
        <v>312</v>
      </c>
      <c r="C30" s="4" t="s">
        <v>313</v>
      </c>
      <c r="D30" s="4" t="s">
        <v>905</v>
      </c>
      <c r="E30" s="5">
        <v>4465</v>
      </c>
      <c r="F30" s="6">
        <v>64.092842500000003</v>
      </c>
      <c r="G30" s="7">
        <v>1.016795E-2</v>
      </c>
      <c r="H30" s="53"/>
    </row>
    <row r="31" spans="1:8" ht="17.100000000000001" customHeight="1" x14ac:dyDescent="0.2">
      <c r="A31" s="3">
        <v>25</v>
      </c>
      <c r="B31" s="4" t="s">
        <v>111</v>
      </c>
      <c r="C31" s="4" t="s">
        <v>112</v>
      </c>
      <c r="D31" s="4" t="s">
        <v>113</v>
      </c>
      <c r="E31" s="5">
        <v>36690</v>
      </c>
      <c r="F31" s="6">
        <v>63.895634999999999</v>
      </c>
      <c r="G31" s="7">
        <v>1.013666E-2</v>
      </c>
      <c r="H31" s="53"/>
    </row>
    <row r="32" spans="1:8" ht="17.100000000000001" customHeight="1" x14ac:dyDescent="0.2">
      <c r="A32" s="3">
        <v>26</v>
      </c>
      <c r="B32" s="4" t="s">
        <v>767</v>
      </c>
      <c r="C32" s="4" t="s">
        <v>768</v>
      </c>
      <c r="D32" s="4" t="s">
        <v>73</v>
      </c>
      <c r="E32" s="5">
        <v>4603</v>
      </c>
      <c r="F32" s="6">
        <v>63.730836500000002</v>
      </c>
      <c r="G32" s="7">
        <v>1.011052E-2</v>
      </c>
      <c r="H32" s="53"/>
    </row>
    <row r="33" spans="1:8" ht="17.100000000000001" customHeight="1" x14ac:dyDescent="0.2">
      <c r="A33" s="3">
        <v>27</v>
      </c>
      <c r="B33" s="4" t="s">
        <v>326</v>
      </c>
      <c r="C33" s="4" t="s">
        <v>327</v>
      </c>
      <c r="D33" s="4" t="s">
        <v>328</v>
      </c>
      <c r="E33" s="5">
        <v>13858</v>
      </c>
      <c r="F33" s="6">
        <v>63.726013000000002</v>
      </c>
      <c r="G33" s="7">
        <v>1.0109750000000001E-2</v>
      </c>
      <c r="H33" s="53"/>
    </row>
    <row r="34" spans="1:8" ht="17.100000000000001" customHeight="1" x14ac:dyDescent="0.2">
      <c r="A34" s="3">
        <v>28</v>
      </c>
      <c r="B34" s="4" t="s">
        <v>352</v>
      </c>
      <c r="C34" s="4" t="s">
        <v>353</v>
      </c>
      <c r="D34" s="4" t="s">
        <v>95</v>
      </c>
      <c r="E34" s="5">
        <v>51667</v>
      </c>
      <c r="F34" s="6">
        <v>63.498742999999997</v>
      </c>
      <c r="G34" s="7">
        <v>1.00737E-2</v>
      </c>
      <c r="H34" s="53"/>
    </row>
    <row r="35" spans="1:8" ht="17.100000000000001" customHeight="1" x14ac:dyDescent="0.2">
      <c r="A35" s="3">
        <v>29</v>
      </c>
      <c r="B35" s="4" t="s">
        <v>552</v>
      </c>
      <c r="C35" s="4" t="s">
        <v>553</v>
      </c>
      <c r="D35" s="4" t="s">
        <v>108</v>
      </c>
      <c r="E35" s="5">
        <v>1896</v>
      </c>
      <c r="F35" s="6">
        <v>63.261935999999999</v>
      </c>
      <c r="G35" s="7">
        <v>1.0036130000000001E-2</v>
      </c>
      <c r="H35" s="53"/>
    </row>
    <row r="36" spans="1:8" ht="29.1" customHeight="1" x14ac:dyDescent="0.2">
      <c r="A36" s="3">
        <v>30</v>
      </c>
      <c r="B36" s="4" t="s">
        <v>316</v>
      </c>
      <c r="C36" s="4" t="s">
        <v>317</v>
      </c>
      <c r="D36" s="4" t="s">
        <v>224</v>
      </c>
      <c r="E36" s="5">
        <v>5685</v>
      </c>
      <c r="F36" s="6">
        <v>63.194459999999999</v>
      </c>
      <c r="G36" s="7">
        <v>1.002543E-2</v>
      </c>
      <c r="H36" s="53"/>
    </row>
    <row r="37" spans="1:8" ht="17.100000000000001" customHeight="1" x14ac:dyDescent="0.2">
      <c r="A37" s="3">
        <v>31</v>
      </c>
      <c r="B37" s="4" t="s">
        <v>769</v>
      </c>
      <c r="C37" s="4" t="s">
        <v>770</v>
      </c>
      <c r="D37" s="4" t="s">
        <v>87</v>
      </c>
      <c r="E37" s="5">
        <v>65744</v>
      </c>
      <c r="F37" s="6">
        <v>62.982751999999998</v>
      </c>
      <c r="G37" s="7">
        <v>9.9918400000000001E-3</v>
      </c>
      <c r="H37" s="53"/>
    </row>
    <row r="38" spans="1:8" ht="17.100000000000001" customHeight="1" x14ac:dyDescent="0.2">
      <c r="A38" s="3">
        <v>32</v>
      </c>
      <c r="B38" s="4" t="s">
        <v>78</v>
      </c>
      <c r="C38" s="4" t="s">
        <v>79</v>
      </c>
      <c r="D38" s="4" t="s">
        <v>80</v>
      </c>
      <c r="E38" s="5">
        <v>54703</v>
      </c>
      <c r="F38" s="6">
        <v>62.908450000000002</v>
      </c>
      <c r="G38" s="7">
        <v>9.9800500000000007E-3</v>
      </c>
      <c r="H38" s="53"/>
    </row>
    <row r="39" spans="1:8" ht="17.100000000000001" customHeight="1" x14ac:dyDescent="0.2">
      <c r="A39" s="3">
        <v>33</v>
      </c>
      <c r="B39" s="4" t="s">
        <v>565</v>
      </c>
      <c r="C39" s="4" t="s">
        <v>566</v>
      </c>
      <c r="D39" s="4" t="s">
        <v>905</v>
      </c>
      <c r="E39" s="5">
        <v>5221</v>
      </c>
      <c r="F39" s="6">
        <v>62.753809500000003</v>
      </c>
      <c r="G39" s="7">
        <v>9.9555200000000007E-3</v>
      </c>
      <c r="H39" s="53"/>
    </row>
    <row r="40" spans="1:8" ht="17.100000000000001" customHeight="1" x14ac:dyDescent="0.2">
      <c r="A40" s="3">
        <v>34</v>
      </c>
      <c r="B40" s="4" t="s">
        <v>470</v>
      </c>
      <c r="C40" s="4" t="s">
        <v>471</v>
      </c>
      <c r="D40" s="4" t="s">
        <v>905</v>
      </c>
      <c r="E40" s="5">
        <v>15293</v>
      </c>
      <c r="F40" s="6">
        <v>62.456612</v>
      </c>
      <c r="G40" s="7">
        <v>9.9083699999999997E-3</v>
      </c>
      <c r="H40" s="53"/>
    </row>
    <row r="41" spans="1:8" ht="17.100000000000001" customHeight="1" x14ac:dyDescent="0.2">
      <c r="A41" s="3">
        <v>35</v>
      </c>
      <c r="B41" s="4" t="s">
        <v>340</v>
      </c>
      <c r="C41" s="4" t="s">
        <v>341</v>
      </c>
      <c r="D41" s="4" t="s">
        <v>905</v>
      </c>
      <c r="E41" s="5">
        <v>1199</v>
      </c>
      <c r="F41" s="6">
        <v>62.268866000000003</v>
      </c>
      <c r="G41" s="7">
        <v>9.8785899999999996E-3</v>
      </c>
      <c r="H41" s="53"/>
    </row>
    <row r="42" spans="1:8" ht="17.100000000000001" customHeight="1" x14ac:dyDescent="0.2">
      <c r="A42" s="3">
        <v>36</v>
      </c>
      <c r="B42" s="4" t="s">
        <v>771</v>
      </c>
      <c r="C42" s="4" t="s">
        <v>772</v>
      </c>
      <c r="D42" s="4" t="s">
        <v>221</v>
      </c>
      <c r="E42" s="5">
        <v>9629</v>
      </c>
      <c r="F42" s="6">
        <v>62.135936999999998</v>
      </c>
      <c r="G42" s="7">
        <v>9.8574999999999999E-3</v>
      </c>
      <c r="H42" s="53"/>
    </row>
    <row r="43" spans="1:8" ht="17.100000000000001" customHeight="1" x14ac:dyDescent="0.2">
      <c r="A43" s="3">
        <v>37</v>
      </c>
      <c r="B43" s="4" t="s">
        <v>463</v>
      </c>
      <c r="C43" s="4" t="s">
        <v>464</v>
      </c>
      <c r="D43" s="4" t="s">
        <v>905</v>
      </c>
      <c r="E43" s="5">
        <v>5290</v>
      </c>
      <c r="F43" s="6">
        <v>62.006734999999999</v>
      </c>
      <c r="G43" s="7">
        <v>9.8370000000000003E-3</v>
      </c>
      <c r="H43" s="53"/>
    </row>
    <row r="44" spans="1:8" ht="29.1" customHeight="1" x14ac:dyDescent="0.2">
      <c r="A44" s="3">
        <v>38</v>
      </c>
      <c r="B44" s="4" t="s">
        <v>83</v>
      </c>
      <c r="C44" s="4" t="s">
        <v>84</v>
      </c>
      <c r="D44" s="4" t="s">
        <v>38</v>
      </c>
      <c r="E44" s="5">
        <v>1586</v>
      </c>
      <c r="F44" s="6">
        <v>61.858758000000002</v>
      </c>
      <c r="G44" s="7">
        <v>9.8135300000000009E-3</v>
      </c>
      <c r="H44" s="53"/>
    </row>
    <row r="45" spans="1:8" ht="17.100000000000001" customHeight="1" x14ac:dyDescent="0.2">
      <c r="A45" s="3">
        <v>39</v>
      </c>
      <c r="B45" s="4" t="s">
        <v>773</v>
      </c>
      <c r="C45" s="4" t="s">
        <v>774</v>
      </c>
      <c r="D45" s="4" t="s">
        <v>130</v>
      </c>
      <c r="E45" s="5">
        <v>830</v>
      </c>
      <c r="F45" s="6">
        <v>61.732909999999997</v>
      </c>
      <c r="G45" s="7">
        <v>9.7935599999999998E-3</v>
      </c>
      <c r="H45" s="53"/>
    </row>
    <row r="46" spans="1:8" ht="17.100000000000001" customHeight="1" x14ac:dyDescent="0.2">
      <c r="A46" s="3">
        <v>40</v>
      </c>
      <c r="B46" s="4" t="s">
        <v>106</v>
      </c>
      <c r="C46" s="4" t="s">
        <v>107</v>
      </c>
      <c r="D46" s="4" t="s">
        <v>108</v>
      </c>
      <c r="E46" s="5">
        <v>614</v>
      </c>
      <c r="F46" s="6">
        <v>61.423332000000002</v>
      </c>
      <c r="G46" s="7">
        <v>9.74445E-3</v>
      </c>
      <c r="H46" s="53"/>
    </row>
    <row r="47" spans="1:8" ht="29.1" customHeight="1" x14ac:dyDescent="0.2">
      <c r="A47" s="3">
        <v>41</v>
      </c>
      <c r="B47" s="4" t="s">
        <v>775</v>
      </c>
      <c r="C47" s="4" t="s">
        <v>776</v>
      </c>
      <c r="D47" s="4" t="s">
        <v>25</v>
      </c>
      <c r="E47" s="5">
        <v>3412</v>
      </c>
      <c r="F47" s="6">
        <v>61.107213999999999</v>
      </c>
      <c r="G47" s="7">
        <v>9.6942999999999994E-3</v>
      </c>
      <c r="H47" s="53"/>
    </row>
    <row r="48" spans="1:8" ht="17.100000000000001" customHeight="1" x14ac:dyDescent="0.2">
      <c r="A48" s="3">
        <v>42</v>
      </c>
      <c r="B48" s="4" t="s">
        <v>318</v>
      </c>
      <c r="C48" s="4" t="s">
        <v>319</v>
      </c>
      <c r="D48" s="4" t="s">
        <v>905</v>
      </c>
      <c r="E48" s="5">
        <v>1820</v>
      </c>
      <c r="F48" s="6">
        <v>61.093760000000003</v>
      </c>
      <c r="G48" s="7">
        <v>9.69216E-3</v>
      </c>
      <c r="H48" s="53"/>
    </row>
    <row r="49" spans="1:8" ht="29.1" customHeight="1" x14ac:dyDescent="0.2">
      <c r="A49" s="3">
        <v>43</v>
      </c>
      <c r="B49" s="4" t="s">
        <v>668</v>
      </c>
      <c r="C49" s="4" t="s">
        <v>669</v>
      </c>
      <c r="D49" s="4" t="s">
        <v>25</v>
      </c>
      <c r="E49" s="5">
        <v>14205</v>
      </c>
      <c r="F49" s="6">
        <v>60.854219999999998</v>
      </c>
      <c r="G49" s="7">
        <v>9.6541600000000002E-3</v>
      </c>
      <c r="H49" s="53"/>
    </row>
    <row r="50" spans="1:8" ht="17.100000000000001" customHeight="1" x14ac:dyDescent="0.2">
      <c r="A50" s="3">
        <v>44</v>
      </c>
      <c r="B50" s="4" t="s">
        <v>550</v>
      </c>
      <c r="C50" s="4" t="s">
        <v>551</v>
      </c>
      <c r="D50" s="4" t="s">
        <v>108</v>
      </c>
      <c r="E50" s="5">
        <v>3859</v>
      </c>
      <c r="F50" s="6">
        <v>60.794685999999999</v>
      </c>
      <c r="G50" s="7">
        <v>9.6447200000000007E-3</v>
      </c>
      <c r="H50" s="53"/>
    </row>
    <row r="51" spans="1:8" ht="17.100000000000001" customHeight="1" x14ac:dyDescent="0.2">
      <c r="A51" s="3">
        <v>45</v>
      </c>
      <c r="B51" s="4" t="s">
        <v>334</v>
      </c>
      <c r="C51" s="4" t="s">
        <v>335</v>
      </c>
      <c r="D51" s="4" t="s">
        <v>73</v>
      </c>
      <c r="E51" s="5">
        <v>1954</v>
      </c>
      <c r="F51" s="6">
        <v>60.660952999999999</v>
      </c>
      <c r="G51" s="7">
        <v>9.6235000000000001E-3</v>
      </c>
      <c r="H51" s="53"/>
    </row>
    <row r="52" spans="1:8" ht="29.1" customHeight="1" x14ac:dyDescent="0.2">
      <c r="A52" s="3">
        <v>46</v>
      </c>
      <c r="B52" s="4" t="s">
        <v>467</v>
      </c>
      <c r="C52" s="4" t="s">
        <v>468</v>
      </c>
      <c r="D52" s="4" t="s">
        <v>469</v>
      </c>
      <c r="E52" s="5">
        <v>7215</v>
      </c>
      <c r="F52" s="6">
        <v>60.198352499999999</v>
      </c>
      <c r="G52" s="7">
        <v>9.5501100000000005E-3</v>
      </c>
      <c r="H52" s="53"/>
    </row>
    <row r="53" spans="1:8" ht="17.100000000000001" customHeight="1" x14ac:dyDescent="0.2">
      <c r="A53" s="3">
        <v>47</v>
      </c>
      <c r="B53" s="4" t="s">
        <v>39</v>
      </c>
      <c r="C53" s="4" t="s">
        <v>40</v>
      </c>
      <c r="D53" s="4" t="s">
        <v>41</v>
      </c>
      <c r="E53" s="5">
        <v>1371</v>
      </c>
      <c r="F53" s="6">
        <v>60.071050499999998</v>
      </c>
      <c r="G53" s="7">
        <v>9.5299200000000008E-3</v>
      </c>
      <c r="H53" s="53"/>
    </row>
    <row r="54" spans="1:8" ht="29.1" customHeight="1" x14ac:dyDescent="0.2">
      <c r="A54" s="3">
        <v>48</v>
      </c>
      <c r="B54" s="4" t="s">
        <v>777</v>
      </c>
      <c r="C54" s="4" t="s">
        <v>778</v>
      </c>
      <c r="D54" s="4" t="s">
        <v>779</v>
      </c>
      <c r="E54" s="5">
        <v>2482</v>
      </c>
      <c r="F54" s="6">
        <v>60.045785000000002</v>
      </c>
      <c r="G54" s="7">
        <v>9.5259100000000003E-3</v>
      </c>
      <c r="H54" s="53"/>
    </row>
    <row r="55" spans="1:8" ht="17.100000000000001" customHeight="1" x14ac:dyDescent="0.2">
      <c r="A55" s="3">
        <v>49</v>
      </c>
      <c r="B55" s="4" t="s">
        <v>322</v>
      </c>
      <c r="C55" s="4" t="s">
        <v>323</v>
      </c>
      <c r="D55" s="4" t="s">
        <v>28</v>
      </c>
      <c r="E55" s="5">
        <v>4352</v>
      </c>
      <c r="F55" s="6">
        <v>59.977088000000002</v>
      </c>
      <c r="G55" s="7">
        <v>9.5150100000000008E-3</v>
      </c>
      <c r="H55" s="53"/>
    </row>
    <row r="56" spans="1:8" ht="17.100000000000001" customHeight="1" x14ac:dyDescent="0.2">
      <c r="A56" s="3">
        <v>50</v>
      </c>
      <c r="B56" s="4" t="s">
        <v>664</v>
      </c>
      <c r="C56" s="4" t="s">
        <v>665</v>
      </c>
      <c r="D56" s="4" t="s">
        <v>92</v>
      </c>
      <c r="E56" s="5">
        <v>11891</v>
      </c>
      <c r="F56" s="6">
        <v>59.942531000000002</v>
      </c>
      <c r="G56" s="7">
        <v>9.5095300000000004E-3</v>
      </c>
      <c r="H56" s="53"/>
    </row>
    <row r="57" spans="1:8" ht="17.100000000000001" customHeight="1" x14ac:dyDescent="0.2">
      <c r="A57" s="3">
        <v>51</v>
      </c>
      <c r="B57" s="4" t="s">
        <v>314</v>
      </c>
      <c r="C57" s="4" t="s">
        <v>315</v>
      </c>
      <c r="D57" s="4" t="s">
        <v>28</v>
      </c>
      <c r="E57" s="5">
        <v>6155</v>
      </c>
      <c r="F57" s="6">
        <v>59.918925000000002</v>
      </c>
      <c r="G57" s="7">
        <v>9.5057800000000001E-3</v>
      </c>
      <c r="H57" s="53"/>
    </row>
    <row r="58" spans="1:8" ht="17.100000000000001" customHeight="1" x14ac:dyDescent="0.2">
      <c r="A58" s="3">
        <v>52</v>
      </c>
      <c r="B58" s="4" t="s">
        <v>26</v>
      </c>
      <c r="C58" s="4" t="s">
        <v>27</v>
      </c>
      <c r="D58" s="4" t="s">
        <v>28</v>
      </c>
      <c r="E58" s="5">
        <v>6221</v>
      </c>
      <c r="F58" s="6">
        <v>59.643837499999997</v>
      </c>
      <c r="G58" s="7">
        <v>9.4621400000000008E-3</v>
      </c>
      <c r="H58" s="53"/>
    </row>
    <row r="59" spans="1:8" ht="17.100000000000001" customHeight="1" x14ac:dyDescent="0.2">
      <c r="A59" s="3">
        <v>53</v>
      </c>
      <c r="B59" s="4" t="s">
        <v>780</v>
      </c>
      <c r="C59" s="4" t="s">
        <v>781</v>
      </c>
      <c r="D59" s="4" t="s">
        <v>130</v>
      </c>
      <c r="E59" s="5">
        <v>4712</v>
      </c>
      <c r="F59" s="6">
        <v>59.387692000000001</v>
      </c>
      <c r="G59" s="7">
        <v>9.4215099999999993E-3</v>
      </c>
      <c r="H59" s="53"/>
    </row>
    <row r="60" spans="1:8" ht="17.100000000000001" customHeight="1" x14ac:dyDescent="0.2">
      <c r="A60" s="3">
        <v>54</v>
      </c>
      <c r="B60" s="4" t="s">
        <v>255</v>
      </c>
      <c r="C60" s="4" t="s">
        <v>256</v>
      </c>
      <c r="D60" s="4" t="s">
        <v>206</v>
      </c>
      <c r="E60" s="5">
        <v>1369</v>
      </c>
      <c r="F60" s="6">
        <v>59.298234999999998</v>
      </c>
      <c r="G60" s="7">
        <v>9.4073100000000003E-3</v>
      </c>
      <c r="H60" s="53"/>
    </row>
    <row r="61" spans="1:8" ht="29.1" customHeight="1" x14ac:dyDescent="0.2">
      <c r="A61" s="3">
        <v>55</v>
      </c>
      <c r="B61" s="4" t="s">
        <v>273</v>
      </c>
      <c r="C61" s="4" t="s">
        <v>274</v>
      </c>
      <c r="D61" s="4" t="s">
        <v>214</v>
      </c>
      <c r="E61" s="5">
        <v>1631</v>
      </c>
      <c r="F61" s="6">
        <v>59.177573000000002</v>
      </c>
      <c r="G61" s="7">
        <v>9.3881699999999995E-3</v>
      </c>
      <c r="H61" s="53"/>
    </row>
    <row r="62" spans="1:8" ht="17.100000000000001" customHeight="1" x14ac:dyDescent="0.2">
      <c r="A62" s="3">
        <v>56</v>
      </c>
      <c r="B62" s="4" t="s">
        <v>782</v>
      </c>
      <c r="C62" s="4" t="s">
        <v>783</v>
      </c>
      <c r="D62" s="4" t="s">
        <v>80</v>
      </c>
      <c r="E62" s="5">
        <v>9305</v>
      </c>
      <c r="F62" s="6">
        <v>59.161189999999998</v>
      </c>
      <c r="G62" s="7">
        <v>9.3855699999999993E-3</v>
      </c>
      <c r="H62" s="53"/>
    </row>
    <row r="63" spans="1:8" ht="17.100000000000001" customHeight="1" x14ac:dyDescent="0.2">
      <c r="A63" s="3">
        <v>57</v>
      </c>
      <c r="B63" s="4" t="s">
        <v>700</v>
      </c>
      <c r="C63" s="4" t="s">
        <v>701</v>
      </c>
      <c r="D63" s="4" t="s">
        <v>702</v>
      </c>
      <c r="E63" s="5">
        <v>25689</v>
      </c>
      <c r="F63" s="6">
        <v>59.097544499999998</v>
      </c>
      <c r="G63" s="7">
        <v>9.3754800000000003E-3</v>
      </c>
      <c r="H63" s="53"/>
    </row>
    <row r="64" spans="1:8" ht="17.100000000000001" customHeight="1" x14ac:dyDescent="0.2">
      <c r="A64" s="3">
        <v>58</v>
      </c>
      <c r="B64" s="4" t="s">
        <v>461</v>
      </c>
      <c r="C64" s="4" t="s">
        <v>462</v>
      </c>
      <c r="D64" s="4" t="s">
        <v>221</v>
      </c>
      <c r="E64" s="5">
        <v>4565</v>
      </c>
      <c r="F64" s="6">
        <v>59.004907500000002</v>
      </c>
      <c r="G64" s="7">
        <v>9.3607800000000008E-3</v>
      </c>
      <c r="H64" s="53"/>
    </row>
    <row r="65" spans="1:8" ht="29.1" customHeight="1" x14ac:dyDescent="0.2">
      <c r="A65" s="3">
        <v>59</v>
      </c>
      <c r="B65" s="4" t="s">
        <v>344</v>
      </c>
      <c r="C65" s="4" t="s">
        <v>345</v>
      </c>
      <c r="D65" s="4" t="s">
        <v>224</v>
      </c>
      <c r="E65" s="5">
        <v>1640</v>
      </c>
      <c r="F65" s="6">
        <v>58.910440000000001</v>
      </c>
      <c r="G65" s="7">
        <v>9.3457899999999997E-3</v>
      </c>
      <c r="H65" s="53"/>
    </row>
    <row r="66" spans="1:8" ht="29.1" customHeight="1" x14ac:dyDescent="0.2">
      <c r="A66" s="3">
        <v>60</v>
      </c>
      <c r="B66" s="4" t="s">
        <v>23</v>
      </c>
      <c r="C66" s="4" t="s">
        <v>24</v>
      </c>
      <c r="D66" s="4" t="s">
        <v>25</v>
      </c>
      <c r="E66" s="5">
        <v>709</v>
      </c>
      <c r="F66" s="6">
        <v>58.828920500000002</v>
      </c>
      <c r="G66" s="7">
        <v>9.3328600000000001E-3</v>
      </c>
      <c r="H66" s="53"/>
    </row>
    <row r="67" spans="1:8" ht="29.1" customHeight="1" x14ac:dyDescent="0.2">
      <c r="A67" s="3">
        <v>61</v>
      </c>
      <c r="B67" s="4" t="s">
        <v>784</v>
      </c>
      <c r="C67" s="4" t="s">
        <v>785</v>
      </c>
      <c r="D67" s="4" t="s">
        <v>25</v>
      </c>
      <c r="E67" s="5">
        <v>247</v>
      </c>
      <c r="F67" s="6">
        <v>58.788840499999999</v>
      </c>
      <c r="G67" s="7">
        <v>9.3264999999999997E-3</v>
      </c>
      <c r="H67" s="53"/>
    </row>
    <row r="68" spans="1:8" ht="17.100000000000001" customHeight="1" x14ac:dyDescent="0.2">
      <c r="A68" s="3">
        <v>62</v>
      </c>
      <c r="B68" s="4" t="s">
        <v>350</v>
      </c>
      <c r="C68" s="4" t="s">
        <v>351</v>
      </c>
      <c r="D68" s="4" t="s">
        <v>206</v>
      </c>
      <c r="E68" s="5">
        <v>1576</v>
      </c>
      <c r="F68" s="6">
        <v>58.633504000000002</v>
      </c>
      <c r="G68" s="7">
        <v>9.3018600000000003E-3</v>
      </c>
      <c r="H68" s="53"/>
    </row>
    <row r="69" spans="1:8" ht="17.100000000000001" customHeight="1" x14ac:dyDescent="0.2">
      <c r="A69" s="3">
        <v>63</v>
      </c>
      <c r="B69" s="4" t="s">
        <v>44</v>
      </c>
      <c r="C69" s="4" t="s">
        <v>45</v>
      </c>
      <c r="D69" s="4" t="s">
        <v>19</v>
      </c>
      <c r="E69" s="5">
        <v>23964</v>
      </c>
      <c r="F69" s="6">
        <v>58.603962000000003</v>
      </c>
      <c r="G69" s="7">
        <v>9.2971700000000004E-3</v>
      </c>
      <c r="H69" s="53"/>
    </row>
    <row r="70" spans="1:8" ht="17.100000000000001" customHeight="1" x14ac:dyDescent="0.2">
      <c r="A70" s="3">
        <v>64</v>
      </c>
      <c r="B70" s="4" t="s">
        <v>736</v>
      </c>
      <c r="C70" s="4" t="s">
        <v>737</v>
      </c>
      <c r="D70" s="4" t="s">
        <v>238</v>
      </c>
      <c r="E70" s="5">
        <v>265</v>
      </c>
      <c r="F70" s="6">
        <v>58.263959999999997</v>
      </c>
      <c r="G70" s="7">
        <v>9.2432299999999998E-3</v>
      </c>
      <c r="H70" s="53"/>
    </row>
    <row r="71" spans="1:8" ht="17.100000000000001" customHeight="1" x14ac:dyDescent="0.2">
      <c r="A71" s="3">
        <v>65</v>
      </c>
      <c r="B71" s="4" t="s">
        <v>310</v>
      </c>
      <c r="C71" s="4" t="s">
        <v>311</v>
      </c>
      <c r="D71" s="4" t="s">
        <v>28</v>
      </c>
      <c r="E71" s="5">
        <v>3706</v>
      </c>
      <c r="F71" s="6">
        <v>58.237937000000002</v>
      </c>
      <c r="G71" s="7">
        <v>9.2391000000000001E-3</v>
      </c>
      <c r="H71" s="53"/>
    </row>
    <row r="72" spans="1:8" ht="17.100000000000001" customHeight="1" x14ac:dyDescent="0.2">
      <c r="A72" s="3">
        <v>66</v>
      </c>
      <c r="B72" s="4" t="s">
        <v>354</v>
      </c>
      <c r="C72" s="4" t="s">
        <v>355</v>
      </c>
      <c r="D72" s="4" t="s">
        <v>73</v>
      </c>
      <c r="E72" s="5">
        <v>1787</v>
      </c>
      <c r="F72" s="6">
        <v>58.186506999999999</v>
      </c>
      <c r="G72" s="7">
        <v>9.23094E-3</v>
      </c>
      <c r="H72" s="53"/>
    </row>
    <row r="73" spans="1:8" ht="17.100000000000001" customHeight="1" x14ac:dyDescent="0.2">
      <c r="A73" s="3">
        <v>67</v>
      </c>
      <c r="B73" s="4" t="s">
        <v>786</v>
      </c>
      <c r="C73" s="4" t="s">
        <v>787</v>
      </c>
      <c r="D73" s="4" t="s">
        <v>130</v>
      </c>
      <c r="E73" s="5">
        <v>7113</v>
      </c>
      <c r="F73" s="6">
        <v>58.081201499999999</v>
      </c>
      <c r="G73" s="7">
        <v>9.2142400000000003E-3</v>
      </c>
      <c r="H73" s="53"/>
    </row>
    <row r="74" spans="1:8" ht="29.1" customHeight="1" x14ac:dyDescent="0.2">
      <c r="A74" s="3">
        <v>68</v>
      </c>
      <c r="B74" s="4" t="s">
        <v>788</v>
      </c>
      <c r="C74" s="4" t="s">
        <v>789</v>
      </c>
      <c r="D74" s="4" t="s">
        <v>201</v>
      </c>
      <c r="E74" s="5">
        <v>2307</v>
      </c>
      <c r="F74" s="6">
        <v>58.021050000000002</v>
      </c>
      <c r="G74" s="7">
        <v>9.2046999999999997E-3</v>
      </c>
      <c r="H74" s="53"/>
    </row>
    <row r="75" spans="1:8" ht="29.1" customHeight="1" x14ac:dyDescent="0.2">
      <c r="A75" s="3">
        <v>69</v>
      </c>
      <c r="B75" s="4" t="s">
        <v>210</v>
      </c>
      <c r="C75" s="4" t="s">
        <v>211</v>
      </c>
      <c r="D75" s="4" t="s">
        <v>130</v>
      </c>
      <c r="E75" s="5">
        <v>5166</v>
      </c>
      <c r="F75" s="6">
        <v>57.954771000000001</v>
      </c>
      <c r="G75" s="7">
        <v>9.1941799999999997E-3</v>
      </c>
      <c r="H75" s="53"/>
    </row>
    <row r="76" spans="1:8" ht="17.100000000000001" customHeight="1" x14ac:dyDescent="0.2">
      <c r="A76" s="3">
        <v>70</v>
      </c>
      <c r="B76" s="4" t="s">
        <v>346</v>
      </c>
      <c r="C76" s="4" t="s">
        <v>347</v>
      </c>
      <c r="D76" s="4" t="s">
        <v>108</v>
      </c>
      <c r="E76" s="5">
        <v>9621</v>
      </c>
      <c r="F76" s="6">
        <v>57.822209999999998</v>
      </c>
      <c r="G76" s="7">
        <v>9.1731499999999997E-3</v>
      </c>
      <c r="H76" s="53"/>
    </row>
    <row r="77" spans="1:8" ht="29.1" customHeight="1" x14ac:dyDescent="0.2">
      <c r="A77" s="3">
        <v>71</v>
      </c>
      <c r="B77" s="4" t="s">
        <v>790</v>
      </c>
      <c r="C77" s="4" t="s">
        <v>791</v>
      </c>
      <c r="D77" s="4" t="s">
        <v>221</v>
      </c>
      <c r="E77" s="5">
        <v>4396</v>
      </c>
      <c r="F77" s="6">
        <v>57.750252000000003</v>
      </c>
      <c r="G77" s="7">
        <v>9.1617399999999998E-3</v>
      </c>
      <c r="H77" s="53"/>
    </row>
    <row r="78" spans="1:8" ht="17.100000000000001" customHeight="1" x14ac:dyDescent="0.2">
      <c r="A78" s="3">
        <v>72</v>
      </c>
      <c r="B78" s="4" t="s">
        <v>792</v>
      </c>
      <c r="C78" s="4" t="s">
        <v>793</v>
      </c>
      <c r="D78" s="4" t="s">
        <v>19</v>
      </c>
      <c r="E78" s="5">
        <v>6214</v>
      </c>
      <c r="F78" s="6">
        <v>57.706310999999999</v>
      </c>
      <c r="G78" s="7">
        <v>9.1547599999999996E-3</v>
      </c>
      <c r="H78" s="53"/>
    </row>
    <row r="79" spans="1:8" ht="17.100000000000001" customHeight="1" x14ac:dyDescent="0.2">
      <c r="A79" s="3">
        <v>73</v>
      </c>
      <c r="B79" s="4" t="s">
        <v>14</v>
      </c>
      <c r="C79" s="4" t="s">
        <v>15</v>
      </c>
      <c r="D79" s="4" t="s">
        <v>16</v>
      </c>
      <c r="E79" s="5">
        <v>6711</v>
      </c>
      <c r="F79" s="6">
        <v>57.473004000000003</v>
      </c>
      <c r="G79" s="7">
        <v>9.1177500000000009E-3</v>
      </c>
      <c r="H79" s="53"/>
    </row>
    <row r="80" spans="1:8" ht="17.100000000000001" customHeight="1" x14ac:dyDescent="0.2">
      <c r="A80" s="3">
        <v>74</v>
      </c>
      <c r="B80" s="4" t="s">
        <v>670</v>
      </c>
      <c r="C80" s="4" t="s">
        <v>671</v>
      </c>
      <c r="D80" s="4" t="s">
        <v>286</v>
      </c>
      <c r="E80" s="5">
        <v>10386</v>
      </c>
      <c r="F80" s="6">
        <v>57.444966000000001</v>
      </c>
      <c r="G80" s="7">
        <v>9.1132999999999995E-3</v>
      </c>
      <c r="H80" s="53"/>
    </row>
    <row r="81" spans="1:8" ht="17.100000000000001" customHeight="1" x14ac:dyDescent="0.2">
      <c r="A81" s="3">
        <v>75</v>
      </c>
      <c r="B81" s="4" t="s">
        <v>794</v>
      </c>
      <c r="C81" s="4" t="s">
        <v>795</v>
      </c>
      <c r="D81" s="4" t="s">
        <v>87</v>
      </c>
      <c r="E81" s="5">
        <v>309</v>
      </c>
      <c r="F81" s="6">
        <v>57.393196500000002</v>
      </c>
      <c r="G81" s="7">
        <v>9.1050899999999997E-3</v>
      </c>
      <c r="H81" s="53"/>
    </row>
    <row r="82" spans="1:8" ht="17.100000000000001" customHeight="1" x14ac:dyDescent="0.2">
      <c r="A82" s="3">
        <v>76</v>
      </c>
      <c r="B82" s="4" t="s">
        <v>796</v>
      </c>
      <c r="C82" s="4" t="s">
        <v>797</v>
      </c>
      <c r="D82" s="4" t="s">
        <v>95</v>
      </c>
      <c r="E82" s="5">
        <v>7352</v>
      </c>
      <c r="F82" s="6">
        <v>57.319868</v>
      </c>
      <c r="G82" s="7">
        <v>9.0934599999999994E-3</v>
      </c>
      <c r="H82" s="53"/>
    </row>
    <row r="83" spans="1:8" ht="29.1" customHeight="1" x14ac:dyDescent="0.2">
      <c r="A83" s="3">
        <v>77</v>
      </c>
      <c r="B83" s="4" t="s">
        <v>798</v>
      </c>
      <c r="C83" s="4" t="s">
        <v>799</v>
      </c>
      <c r="D83" s="4" t="s">
        <v>224</v>
      </c>
      <c r="E83" s="5">
        <v>3110</v>
      </c>
      <c r="F83" s="6">
        <v>57.301749999999998</v>
      </c>
      <c r="G83" s="7">
        <v>9.0905799999999991E-3</v>
      </c>
      <c r="H83" s="53"/>
    </row>
    <row r="84" spans="1:8" ht="17.100000000000001" customHeight="1" x14ac:dyDescent="0.2">
      <c r="A84" s="3">
        <v>78</v>
      </c>
      <c r="B84" s="4" t="s">
        <v>297</v>
      </c>
      <c r="C84" s="4" t="s">
        <v>298</v>
      </c>
      <c r="D84" s="4" t="s">
        <v>206</v>
      </c>
      <c r="E84" s="5">
        <v>42821</v>
      </c>
      <c r="F84" s="6">
        <v>57.187445500000003</v>
      </c>
      <c r="G84" s="7">
        <v>9.0724499999999993E-3</v>
      </c>
      <c r="H84" s="53"/>
    </row>
    <row r="85" spans="1:8" ht="17.100000000000001" customHeight="1" x14ac:dyDescent="0.2">
      <c r="A85" s="3">
        <v>79</v>
      </c>
      <c r="B85" s="4" t="s">
        <v>725</v>
      </c>
      <c r="C85" s="4" t="s">
        <v>726</v>
      </c>
      <c r="D85" s="4" t="s">
        <v>221</v>
      </c>
      <c r="E85" s="5">
        <v>8868</v>
      </c>
      <c r="F85" s="6">
        <v>57.176430000000003</v>
      </c>
      <c r="G85" s="7">
        <v>9.0706999999999992E-3</v>
      </c>
      <c r="H85" s="53"/>
    </row>
    <row r="86" spans="1:8" ht="17.100000000000001" customHeight="1" x14ac:dyDescent="0.2">
      <c r="A86" s="3">
        <v>80</v>
      </c>
      <c r="B86" s="4" t="s">
        <v>338</v>
      </c>
      <c r="C86" s="4" t="s">
        <v>339</v>
      </c>
      <c r="D86" s="4" t="s">
        <v>28</v>
      </c>
      <c r="E86" s="5">
        <v>17782</v>
      </c>
      <c r="F86" s="6">
        <v>56.973528000000002</v>
      </c>
      <c r="G86" s="7">
        <v>9.0385099999999996E-3</v>
      </c>
      <c r="H86" s="53"/>
    </row>
    <row r="87" spans="1:8" ht="17.100000000000001" customHeight="1" x14ac:dyDescent="0.2">
      <c r="A87" s="3">
        <v>81</v>
      </c>
      <c r="B87" s="4" t="s">
        <v>548</v>
      </c>
      <c r="C87" s="4" t="s">
        <v>549</v>
      </c>
      <c r="D87" s="4" t="s">
        <v>286</v>
      </c>
      <c r="E87" s="5">
        <v>5662</v>
      </c>
      <c r="F87" s="6">
        <v>56.911593000000003</v>
      </c>
      <c r="G87" s="7">
        <v>9.0286900000000007E-3</v>
      </c>
      <c r="H87" s="53"/>
    </row>
    <row r="88" spans="1:8" ht="17.100000000000001" customHeight="1" x14ac:dyDescent="0.2">
      <c r="A88" s="3">
        <v>82</v>
      </c>
      <c r="B88" s="4" t="s">
        <v>342</v>
      </c>
      <c r="C88" s="4" t="s">
        <v>343</v>
      </c>
      <c r="D88" s="4" t="s">
        <v>130</v>
      </c>
      <c r="E88" s="5">
        <v>791</v>
      </c>
      <c r="F88" s="6">
        <v>56.659329999999997</v>
      </c>
      <c r="G88" s="7">
        <v>8.9886700000000007E-3</v>
      </c>
      <c r="H88" s="53"/>
    </row>
    <row r="89" spans="1:8" ht="17.100000000000001" customHeight="1" x14ac:dyDescent="0.2">
      <c r="A89" s="3">
        <v>83</v>
      </c>
      <c r="B89" s="4" t="s">
        <v>703</v>
      </c>
      <c r="C89" s="4" t="s">
        <v>704</v>
      </c>
      <c r="D89" s="4" t="s">
        <v>108</v>
      </c>
      <c r="E89" s="5">
        <v>1226</v>
      </c>
      <c r="F89" s="6">
        <v>56.565187999999999</v>
      </c>
      <c r="G89" s="7">
        <v>8.9737299999999992E-3</v>
      </c>
      <c r="H89" s="53"/>
    </row>
    <row r="90" spans="1:8" ht="17.100000000000001" customHeight="1" x14ac:dyDescent="0.2">
      <c r="A90" s="3">
        <v>84</v>
      </c>
      <c r="B90" s="4" t="s">
        <v>32</v>
      </c>
      <c r="C90" s="4" t="s">
        <v>33</v>
      </c>
      <c r="D90" s="4" t="s">
        <v>28</v>
      </c>
      <c r="E90" s="5">
        <v>10054</v>
      </c>
      <c r="F90" s="6">
        <v>56.438129000000004</v>
      </c>
      <c r="G90" s="7">
        <v>8.9535699999999992E-3</v>
      </c>
      <c r="H90" s="53"/>
    </row>
    <row r="91" spans="1:8" ht="29.1" customHeight="1" x14ac:dyDescent="0.2">
      <c r="A91" s="3">
        <v>85</v>
      </c>
      <c r="B91" s="4" t="s">
        <v>556</v>
      </c>
      <c r="C91" s="4" t="s">
        <v>557</v>
      </c>
      <c r="D91" s="4" t="s">
        <v>221</v>
      </c>
      <c r="E91" s="5">
        <v>10007</v>
      </c>
      <c r="F91" s="6">
        <v>56.429473000000002</v>
      </c>
      <c r="G91" s="7">
        <v>8.9522000000000004E-3</v>
      </c>
      <c r="H91" s="53"/>
    </row>
    <row r="92" spans="1:8" ht="17.100000000000001" customHeight="1" x14ac:dyDescent="0.2">
      <c r="A92" s="3">
        <v>86</v>
      </c>
      <c r="B92" s="4" t="s">
        <v>336</v>
      </c>
      <c r="C92" s="4" t="s">
        <v>337</v>
      </c>
      <c r="D92" s="4" t="s">
        <v>331</v>
      </c>
      <c r="E92" s="5">
        <v>2249</v>
      </c>
      <c r="F92" s="6">
        <v>56.3385745</v>
      </c>
      <c r="G92" s="7">
        <v>8.9377799999999993E-3</v>
      </c>
      <c r="H92" s="53"/>
    </row>
    <row r="93" spans="1:8" ht="17.100000000000001" customHeight="1" x14ac:dyDescent="0.2">
      <c r="A93" s="3">
        <v>87</v>
      </c>
      <c r="B93" s="4" t="s">
        <v>329</v>
      </c>
      <c r="C93" s="4" t="s">
        <v>330</v>
      </c>
      <c r="D93" s="4" t="s">
        <v>331</v>
      </c>
      <c r="E93" s="5">
        <v>12801</v>
      </c>
      <c r="F93" s="6">
        <v>56.285997000000002</v>
      </c>
      <c r="G93" s="7">
        <v>8.9294400000000003E-3</v>
      </c>
      <c r="H93" s="53"/>
    </row>
    <row r="94" spans="1:8" ht="17.100000000000001" customHeight="1" x14ac:dyDescent="0.2">
      <c r="A94" s="3">
        <v>88</v>
      </c>
      <c r="B94" s="4" t="s">
        <v>465</v>
      </c>
      <c r="C94" s="4" t="s">
        <v>466</v>
      </c>
      <c r="D94" s="4" t="s">
        <v>28</v>
      </c>
      <c r="E94" s="5">
        <v>3190</v>
      </c>
      <c r="F94" s="6">
        <v>56.104125000000003</v>
      </c>
      <c r="G94" s="7">
        <v>8.9005899999999999E-3</v>
      </c>
      <c r="H94" s="53"/>
    </row>
    <row r="95" spans="1:8" ht="17.100000000000001" customHeight="1" x14ac:dyDescent="0.2">
      <c r="A95" s="3">
        <v>89</v>
      </c>
      <c r="B95" s="4" t="s">
        <v>275</v>
      </c>
      <c r="C95" s="4" t="s">
        <v>276</v>
      </c>
      <c r="D95" s="4" t="s">
        <v>209</v>
      </c>
      <c r="E95" s="5">
        <v>1158</v>
      </c>
      <c r="F95" s="6">
        <v>55.747278000000001</v>
      </c>
      <c r="G95" s="7">
        <v>8.8439799999999996E-3</v>
      </c>
      <c r="H95" s="53"/>
    </row>
    <row r="96" spans="1:8" ht="17.100000000000001" customHeight="1" x14ac:dyDescent="0.2">
      <c r="A96" s="3">
        <v>90</v>
      </c>
      <c r="B96" s="4" t="s">
        <v>800</v>
      </c>
      <c r="C96" s="4" t="s">
        <v>801</v>
      </c>
      <c r="D96" s="4" t="s">
        <v>108</v>
      </c>
      <c r="E96" s="5">
        <v>1900</v>
      </c>
      <c r="F96" s="6">
        <v>55.40305</v>
      </c>
      <c r="G96" s="7">
        <v>8.7893699999999995E-3</v>
      </c>
      <c r="H96" s="53"/>
    </row>
    <row r="97" spans="1:8" ht="17.100000000000001" customHeight="1" x14ac:dyDescent="0.2">
      <c r="A97" s="3">
        <v>91</v>
      </c>
      <c r="B97" s="4" t="s">
        <v>366</v>
      </c>
      <c r="C97" s="4" t="s">
        <v>367</v>
      </c>
      <c r="D97" s="4" t="s">
        <v>130</v>
      </c>
      <c r="E97" s="5">
        <v>3716</v>
      </c>
      <c r="F97" s="6">
        <v>55.327523999999997</v>
      </c>
      <c r="G97" s="7">
        <v>8.7773799999999996E-3</v>
      </c>
      <c r="H97" s="53"/>
    </row>
    <row r="98" spans="1:8" ht="17.100000000000001" customHeight="1" x14ac:dyDescent="0.2">
      <c r="A98" s="3">
        <v>92</v>
      </c>
      <c r="B98" s="4" t="s">
        <v>802</v>
      </c>
      <c r="C98" s="4" t="s">
        <v>803</v>
      </c>
      <c r="D98" s="4" t="s">
        <v>22</v>
      </c>
      <c r="E98" s="5">
        <v>61287</v>
      </c>
      <c r="F98" s="6">
        <v>54.606717000000003</v>
      </c>
      <c r="G98" s="7">
        <v>8.6630300000000004E-3</v>
      </c>
      <c r="H98" s="53"/>
    </row>
    <row r="99" spans="1:8" ht="17.100000000000001" customHeight="1" x14ac:dyDescent="0.2">
      <c r="A99" s="3">
        <v>93</v>
      </c>
      <c r="B99" s="4" t="s">
        <v>358</v>
      </c>
      <c r="C99" s="4" t="s">
        <v>359</v>
      </c>
      <c r="D99" s="4" t="s">
        <v>28</v>
      </c>
      <c r="E99" s="5">
        <v>29145</v>
      </c>
      <c r="F99" s="6">
        <v>54.544867500000002</v>
      </c>
      <c r="G99" s="7">
        <v>8.6532199999999997E-3</v>
      </c>
      <c r="H99" s="53"/>
    </row>
    <row r="100" spans="1:8" ht="17.100000000000001" customHeight="1" x14ac:dyDescent="0.2">
      <c r="A100" s="3">
        <v>94</v>
      </c>
      <c r="B100" s="4" t="s">
        <v>81</v>
      </c>
      <c r="C100" s="4" t="s">
        <v>82</v>
      </c>
      <c r="D100" s="4" t="s">
        <v>59</v>
      </c>
      <c r="E100" s="5">
        <v>2221</v>
      </c>
      <c r="F100" s="6">
        <v>54.08135</v>
      </c>
      <c r="G100" s="7">
        <v>8.5796899999999992E-3</v>
      </c>
      <c r="H100" s="53"/>
    </row>
    <row r="101" spans="1:8" ht="29.1" customHeight="1" x14ac:dyDescent="0.2">
      <c r="A101" s="3">
        <v>95</v>
      </c>
      <c r="B101" s="4" t="s">
        <v>804</v>
      </c>
      <c r="C101" s="4" t="s">
        <v>805</v>
      </c>
      <c r="D101" s="4" t="s">
        <v>469</v>
      </c>
      <c r="E101" s="5">
        <v>14892</v>
      </c>
      <c r="F101" s="6">
        <v>53.536740000000002</v>
      </c>
      <c r="G101" s="7">
        <v>8.4932900000000006E-3</v>
      </c>
      <c r="H101" s="53"/>
    </row>
    <row r="102" spans="1:8" ht="29.1" customHeight="1" x14ac:dyDescent="0.2">
      <c r="A102" s="3">
        <v>96</v>
      </c>
      <c r="B102" s="4" t="s">
        <v>806</v>
      </c>
      <c r="C102" s="4" t="s">
        <v>807</v>
      </c>
      <c r="D102" s="4" t="s">
        <v>214</v>
      </c>
      <c r="E102" s="5">
        <v>9023</v>
      </c>
      <c r="F102" s="6">
        <v>53.339464499999998</v>
      </c>
      <c r="G102" s="7">
        <v>8.4619900000000008E-3</v>
      </c>
      <c r="H102" s="53"/>
    </row>
    <row r="103" spans="1:8" ht="17.100000000000001" customHeight="1" x14ac:dyDescent="0.2">
      <c r="A103" s="3">
        <v>97</v>
      </c>
      <c r="B103" s="4" t="s">
        <v>561</v>
      </c>
      <c r="C103" s="4" t="s">
        <v>562</v>
      </c>
      <c r="D103" s="4" t="s">
        <v>238</v>
      </c>
      <c r="E103" s="5">
        <v>1188</v>
      </c>
      <c r="F103" s="6">
        <v>53.07687</v>
      </c>
      <c r="G103" s="7">
        <v>8.4203300000000002E-3</v>
      </c>
      <c r="H103" s="53"/>
    </row>
    <row r="104" spans="1:8" ht="17.100000000000001" customHeight="1" x14ac:dyDescent="0.2">
      <c r="A104" s="3">
        <v>98</v>
      </c>
      <c r="B104" s="4" t="s">
        <v>122</v>
      </c>
      <c r="C104" s="4" t="s">
        <v>123</v>
      </c>
      <c r="D104" s="4" t="s">
        <v>22</v>
      </c>
      <c r="E104" s="5">
        <v>15473</v>
      </c>
      <c r="F104" s="6">
        <v>52.693301499999997</v>
      </c>
      <c r="G104" s="7">
        <v>8.3594800000000007E-3</v>
      </c>
      <c r="H104" s="53"/>
    </row>
    <row r="105" spans="1:8" ht="17.100000000000001" customHeight="1" x14ac:dyDescent="0.2">
      <c r="A105" s="3">
        <v>99</v>
      </c>
      <c r="B105" s="4" t="s">
        <v>20</v>
      </c>
      <c r="C105" s="4" t="s">
        <v>21</v>
      </c>
      <c r="D105" s="4" t="s">
        <v>22</v>
      </c>
      <c r="E105" s="5">
        <v>2186</v>
      </c>
      <c r="F105" s="6">
        <v>52.617019999999997</v>
      </c>
      <c r="G105" s="7">
        <v>8.3473799999999997E-3</v>
      </c>
      <c r="H105" s="53"/>
    </row>
    <row r="106" spans="1:8" ht="17.100000000000001" customHeight="1" x14ac:dyDescent="0.2">
      <c r="A106" s="3">
        <v>100</v>
      </c>
      <c r="B106" s="4" t="s">
        <v>808</v>
      </c>
      <c r="C106" s="4" t="s">
        <v>809</v>
      </c>
      <c r="D106" s="4" t="s">
        <v>810</v>
      </c>
      <c r="E106" s="5">
        <v>21124</v>
      </c>
      <c r="F106" s="6">
        <v>49.071052000000002</v>
      </c>
      <c r="G106" s="7">
        <v>7.7848300000000004E-3</v>
      </c>
      <c r="H106" s="53"/>
    </row>
    <row r="107" spans="1:8" ht="14.1" customHeight="1" x14ac:dyDescent="0.2">
      <c r="A107" s="1"/>
      <c r="B107" s="1"/>
      <c r="C107" s="2" t="s">
        <v>144</v>
      </c>
      <c r="D107" s="1"/>
      <c r="E107" s="1" t="s">
        <v>145</v>
      </c>
      <c r="F107" s="9">
        <v>6041.11103</v>
      </c>
      <c r="G107" s="10">
        <v>0.95838646999999999</v>
      </c>
      <c r="H107" s="53"/>
    </row>
    <row r="108" spans="1:8" ht="14.1" customHeight="1" x14ac:dyDescent="0.2">
      <c r="A108" s="1"/>
      <c r="B108" s="1"/>
      <c r="C108" s="11"/>
      <c r="D108" s="1"/>
      <c r="E108" s="1"/>
      <c r="F108" s="12"/>
      <c r="G108" s="12"/>
      <c r="H108" s="53"/>
    </row>
    <row r="109" spans="1:8" ht="14.1" customHeight="1" x14ac:dyDescent="0.2">
      <c r="A109" s="1"/>
      <c r="B109" s="1"/>
      <c r="C109" s="2" t="s">
        <v>146</v>
      </c>
      <c r="D109" s="1"/>
      <c r="E109" s="1"/>
      <c r="F109" s="1"/>
      <c r="G109" s="1"/>
      <c r="H109" s="53"/>
    </row>
    <row r="110" spans="1:8" ht="14.1" customHeight="1" x14ac:dyDescent="0.2">
      <c r="A110" s="1"/>
      <c r="B110" s="1"/>
      <c r="C110" s="2" t="s">
        <v>144</v>
      </c>
      <c r="D110" s="1"/>
      <c r="E110" s="1" t="s">
        <v>145</v>
      </c>
      <c r="F110" s="13" t="s">
        <v>147</v>
      </c>
      <c r="G110" s="10">
        <v>0</v>
      </c>
      <c r="H110" s="53"/>
    </row>
    <row r="111" spans="1:8" ht="14.1" customHeight="1" x14ac:dyDescent="0.2">
      <c r="A111" s="1"/>
      <c r="B111" s="1"/>
      <c r="C111" s="11"/>
      <c r="D111" s="1"/>
      <c r="E111" s="1"/>
      <c r="F111" s="12"/>
      <c r="G111" s="12"/>
      <c r="H111" s="53"/>
    </row>
    <row r="112" spans="1:8" ht="14.1" customHeight="1" x14ac:dyDescent="0.2">
      <c r="A112" s="1"/>
      <c r="B112" s="1"/>
      <c r="C112" s="2" t="s">
        <v>148</v>
      </c>
      <c r="D112" s="1"/>
      <c r="E112" s="1"/>
      <c r="F112" s="1"/>
      <c r="G112" s="1"/>
      <c r="H112" s="53"/>
    </row>
    <row r="113" spans="1:8" ht="14.1" customHeight="1" x14ac:dyDescent="0.2">
      <c r="A113" s="1"/>
      <c r="B113" s="1"/>
      <c r="C113" s="2" t="s">
        <v>144</v>
      </c>
      <c r="D113" s="1"/>
      <c r="E113" s="1" t="s">
        <v>145</v>
      </c>
      <c r="F113" s="13" t="s">
        <v>147</v>
      </c>
      <c r="G113" s="10">
        <v>0</v>
      </c>
      <c r="H113" s="53"/>
    </row>
    <row r="114" spans="1:8" ht="14.1" customHeight="1" x14ac:dyDescent="0.2">
      <c r="A114" s="1"/>
      <c r="B114" s="1"/>
      <c r="C114" s="11"/>
      <c r="D114" s="1"/>
      <c r="E114" s="1"/>
      <c r="F114" s="12"/>
      <c r="G114" s="12"/>
      <c r="H114" s="53"/>
    </row>
    <row r="115" spans="1:8" ht="14.1" customHeight="1" x14ac:dyDescent="0.2">
      <c r="A115" s="1"/>
      <c r="B115" s="1"/>
      <c r="C115" s="2" t="s">
        <v>149</v>
      </c>
      <c r="D115" s="1"/>
      <c r="E115" s="1"/>
      <c r="F115" s="1"/>
      <c r="G115" s="1"/>
      <c r="H115" s="53"/>
    </row>
    <row r="116" spans="1:8" ht="14.1" customHeight="1" x14ac:dyDescent="0.2">
      <c r="A116" s="1"/>
      <c r="B116" s="1"/>
      <c r="C116" s="2" t="s">
        <v>144</v>
      </c>
      <c r="D116" s="1"/>
      <c r="E116" s="1" t="s">
        <v>145</v>
      </c>
      <c r="F116" s="13" t="s">
        <v>147</v>
      </c>
      <c r="G116" s="10">
        <v>0</v>
      </c>
      <c r="H116" s="53"/>
    </row>
    <row r="117" spans="1:8" ht="14.1" customHeight="1" x14ac:dyDescent="0.2">
      <c r="A117" s="1"/>
      <c r="B117" s="1"/>
      <c r="C117" s="11"/>
      <c r="D117" s="1"/>
      <c r="E117" s="1"/>
      <c r="F117" s="12"/>
      <c r="G117" s="12"/>
      <c r="H117" s="53"/>
    </row>
    <row r="118" spans="1:8" ht="14.1" customHeight="1" x14ac:dyDescent="0.2">
      <c r="A118" s="1"/>
      <c r="B118" s="1"/>
      <c r="C118" s="2" t="s">
        <v>150</v>
      </c>
      <c r="D118" s="1"/>
      <c r="E118" s="1"/>
      <c r="F118" s="12"/>
      <c r="G118" s="12"/>
      <c r="H118" s="53"/>
    </row>
    <row r="119" spans="1:8" ht="14.1" customHeight="1" x14ac:dyDescent="0.2">
      <c r="A119" s="1"/>
      <c r="B119" s="1"/>
      <c r="C119" s="2" t="s">
        <v>144</v>
      </c>
      <c r="D119" s="1"/>
      <c r="E119" s="1" t="s">
        <v>145</v>
      </c>
      <c r="F119" s="13" t="s">
        <v>147</v>
      </c>
      <c r="G119" s="10">
        <v>0</v>
      </c>
      <c r="H119" s="53"/>
    </row>
    <row r="120" spans="1:8" ht="14.1" customHeight="1" x14ac:dyDescent="0.2">
      <c r="A120" s="1"/>
      <c r="B120" s="1"/>
      <c r="C120" s="11"/>
      <c r="D120" s="1"/>
      <c r="E120" s="1"/>
      <c r="F120" s="12"/>
      <c r="G120" s="12"/>
      <c r="H120" s="53"/>
    </row>
    <row r="121" spans="1:8" ht="14.1" customHeight="1" x14ac:dyDescent="0.2">
      <c r="A121" s="1"/>
      <c r="B121" s="1"/>
      <c r="C121" s="2" t="s">
        <v>151</v>
      </c>
      <c r="D121" s="1"/>
      <c r="E121" s="1"/>
      <c r="F121" s="12"/>
      <c r="G121" s="12"/>
      <c r="H121" s="53"/>
    </row>
    <row r="122" spans="1:8" ht="14.1" customHeight="1" x14ac:dyDescent="0.2">
      <c r="A122" s="1"/>
      <c r="B122" s="1"/>
      <c r="C122" s="2" t="s">
        <v>144</v>
      </c>
      <c r="D122" s="1"/>
      <c r="E122" s="1" t="s">
        <v>145</v>
      </c>
      <c r="F122" s="13" t="s">
        <v>147</v>
      </c>
      <c r="G122" s="10">
        <v>0</v>
      </c>
      <c r="H122" s="53"/>
    </row>
    <row r="123" spans="1:8" ht="14.1" customHeight="1" x14ac:dyDescent="0.2">
      <c r="A123" s="1"/>
      <c r="B123" s="1"/>
      <c r="C123" s="11"/>
      <c r="D123" s="1"/>
      <c r="E123" s="1"/>
      <c r="F123" s="12"/>
      <c r="G123" s="12"/>
      <c r="H123" s="53"/>
    </row>
    <row r="124" spans="1:8" ht="18" customHeight="1" x14ac:dyDescent="0.2">
      <c r="A124" s="1"/>
      <c r="B124" s="1"/>
      <c r="C124" s="2" t="s">
        <v>152</v>
      </c>
      <c r="D124" s="1"/>
      <c r="E124" s="1"/>
      <c r="F124" s="9">
        <v>6041.11103</v>
      </c>
      <c r="G124" s="10">
        <v>0.95838646999999999</v>
      </c>
      <c r="H124" s="53"/>
    </row>
    <row r="125" spans="1:8" ht="14.1" customHeight="1" x14ac:dyDescent="0.2">
      <c r="A125" s="1"/>
      <c r="B125" s="1"/>
      <c r="C125" s="11"/>
      <c r="D125" s="1"/>
      <c r="E125" s="1"/>
      <c r="F125" s="12"/>
      <c r="G125" s="12"/>
      <c r="H125" s="53"/>
    </row>
    <row r="126" spans="1:8" ht="14.1" customHeight="1" x14ac:dyDescent="0.2">
      <c r="A126" s="1"/>
      <c r="B126" s="1"/>
      <c r="C126" s="2" t="s">
        <v>153</v>
      </c>
      <c r="D126" s="1"/>
      <c r="E126" s="1"/>
      <c r="F126" s="12"/>
      <c r="G126" s="12"/>
      <c r="H126" s="53"/>
    </row>
    <row r="127" spans="1:8" ht="24" customHeight="1" x14ac:dyDescent="0.2">
      <c r="A127" s="1"/>
      <c r="B127" s="1"/>
      <c r="C127" s="2" t="s">
        <v>10</v>
      </c>
      <c r="D127" s="1"/>
      <c r="E127" s="1"/>
      <c r="F127" s="12"/>
      <c r="G127" s="12"/>
      <c r="H127" s="53"/>
    </row>
    <row r="128" spans="1:8" ht="29.1" customHeight="1" x14ac:dyDescent="0.2">
      <c r="A128" s="3">
        <v>1</v>
      </c>
      <c r="B128" s="4" t="s">
        <v>716</v>
      </c>
      <c r="C128" s="4" t="s">
        <v>717</v>
      </c>
      <c r="D128" s="4" t="s">
        <v>573</v>
      </c>
      <c r="E128" s="5">
        <v>828</v>
      </c>
      <c r="F128" s="6">
        <v>0.23648770499999999</v>
      </c>
      <c r="G128" s="52" t="s">
        <v>143</v>
      </c>
      <c r="H128" s="53">
        <v>7.5179999999999998</v>
      </c>
    </row>
    <row r="129" spans="1:8" ht="14.1" customHeight="1" x14ac:dyDescent="0.2">
      <c r="A129" s="1"/>
      <c r="B129" s="1"/>
      <c r="C129" s="2" t="s">
        <v>144</v>
      </c>
      <c r="D129" s="1"/>
      <c r="E129" s="1" t="s">
        <v>145</v>
      </c>
      <c r="F129" s="9">
        <v>0.23648770499999999</v>
      </c>
      <c r="G129" s="56" t="s">
        <v>143</v>
      </c>
      <c r="H129" s="53"/>
    </row>
    <row r="130" spans="1:8" ht="14.1" customHeight="1" x14ac:dyDescent="0.2">
      <c r="A130" s="1"/>
      <c r="B130" s="1"/>
      <c r="C130" s="11"/>
      <c r="D130" s="1"/>
      <c r="E130" s="1"/>
      <c r="F130" s="12"/>
      <c r="G130" s="12"/>
      <c r="H130" s="53"/>
    </row>
    <row r="131" spans="1:8" ht="14.1" customHeight="1" x14ac:dyDescent="0.2">
      <c r="A131" s="1"/>
      <c r="B131" s="1"/>
      <c r="C131" s="2" t="s">
        <v>154</v>
      </c>
      <c r="D131" s="1"/>
      <c r="E131" s="1"/>
      <c r="F131" s="1"/>
      <c r="G131" s="1"/>
      <c r="H131" s="53"/>
    </row>
    <row r="132" spans="1:8" ht="14.1" customHeight="1" x14ac:dyDescent="0.2">
      <c r="A132" s="1"/>
      <c r="B132" s="1"/>
      <c r="C132" s="2" t="s">
        <v>144</v>
      </c>
      <c r="D132" s="1"/>
      <c r="E132" s="1" t="s">
        <v>145</v>
      </c>
      <c r="F132" s="13" t="s">
        <v>147</v>
      </c>
      <c r="G132" s="10">
        <v>0</v>
      </c>
      <c r="H132" s="53"/>
    </row>
    <row r="133" spans="1:8" ht="14.1" customHeight="1" x14ac:dyDescent="0.2">
      <c r="A133" s="1"/>
      <c r="B133" s="1"/>
      <c r="C133" s="11"/>
      <c r="D133" s="1"/>
      <c r="E133" s="1"/>
      <c r="F133" s="12"/>
      <c r="G133" s="12"/>
      <c r="H133" s="53"/>
    </row>
    <row r="134" spans="1:8" ht="14.1" customHeight="1" x14ac:dyDescent="0.2">
      <c r="A134" s="1"/>
      <c r="B134" s="1"/>
      <c r="C134" s="2" t="s">
        <v>155</v>
      </c>
      <c r="D134" s="1"/>
      <c r="E134" s="1"/>
      <c r="F134" s="1"/>
      <c r="G134" s="1"/>
      <c r="H134" s="53"/>
    </row>
    <row r="135" spans="1:8" ht="14.1" customHeight="1" x14ac:dyDescent="0.2">
      <c r="A135" s="1"/>
      <c r="B135" s="1"/>
      <c r="C135" s="2" t="s">
        <v>144</v>
      </c>
      <c r="D135" s="1"/>
      <c r="E135" s="1" t="s">
        <v>145</v>
      </c>
      <c r="F135" s="13" t="s">
        <v>147</v>
      </c>
      <c r="G135" s="10">
        <v>0</v>
      </c>
      <c r="H135" s="53"/>
    </row>
    <row r="136" spans="1:8" ht="14.1" customHeight="1" x14ac:dyDescent="0.2">
      <c r="A136" s="1"/>
      <c r="B136" s="1"/>
      <c r="C136" s="11"/>
      <c r="D136" s="1"/>
      <c r="E136" s="1"/>
      <c r="F136" s="12"/>
      <c r="G136" s="12"/>
      <c r="H136" s="53"/>
    </row>
    <row r="137" spans="1:8" ht="14.1" customHeight="1" x14ac:dyDescent="0.2">
      <c r="A137" s="1"/>
      <c r="B137" s="1"/>
      <c r="C137" s="2" t="s">
        <v>156</v>
      </c>
      <c r="D137" s="1"/>
      <c r="E137" s="1"/>
      <c r="F137" s="12"/>
      <c r="G137" s="12"/>
      <c r="H137" s="53"/>
    </row>
    <row r="138" spans="1:8" ht="14.1" customHeight="1" x14ac:dyDescent="0.2">
      <c r="A138" s="1"/>
      <c r="B138" s="1"/>
      <c r="C138" s="2" t="s">
        <v>144</v>
      </c>
      <c r="D138" s="1"/>
      <c r="E138" s="1" t="s">
        <v>145</v>
      </c>
      <c r="F138" s="13" t="s">
        <v>147</v>
      </c>
      <c r="G138" s="10">
        <v>0</v>
      </c>
      <c r="H138" s="53"/>
    </row>
    <row r="139" spans="1:8" ht="14.1" customHeight="1" x14ac:dyDescent="0.2">
      <c r="A139" s="1"/>
      <c r="B139" s="1"/>
      <c r="C139" s="11"/>
      <c r="D139" s="1"/>
      <c r="E139" s="1"/>
      <c r="F139" s="12"/>
      <c r="G139" s="12"/>
      <c r="H139" s="53"/>
    </row>
    <row r="140" spans="1:8" ht="14.1" customHeight="1" x14ac:dyDescent="0.2">
      <c r="A140" s="1"/>
      <c r="B140" s="1"/>
      <c r="C140" s="2" t="s">
        <v>157</v>
      </c>
      <c r="D140" s="1"/>
      <c r="E140" s="1"/>
      <c r="F140" s="9">
        <v>0.23648770499999999</v>
      </c>
      <c r="G140" s="10">
        <v>3.752E-5</v>
      </c>
      <c r="H140" s="53"/>
    </row>
    <row r="141" spans="1:8" ht="14.1" customHeight="1" x14ac:dyDescent="0.2">
      <c r="A141" s="1"/>
      <c r="B141" s="1"/>
      <c r="C141" s="11"/>
      <c r="D141" s="1"/>
      <c r="E141" s="1"/>
      <c r="F141" s="12"/>
      <c r="G141" s="12"/>
      <c r="H141" s="53"/>
    </row>
    <row r="142" spans="1:8" ht="14.1" customHeight="1" x14ac:dyDescent="0.2">
      <c r="A142" s="1"/>
      <c r="B142" s="1"/>
      <c r="C142" s="2" t="s">
        <v>158</v>
      </c>
      <c r="D142" s="1"/>
      <c r="E142" s="1"/>
      <c r="F142" s="12"/>
      <c r="G142" s="12"/>
      <c r="H142" s="53"/>
    </row>
    <row r="143" spans="1:8" ht="14.1" customHeight="1" x14ac:dyDescent="0.2">
      <c r="A143" s="1"/>
      <c r="B143" s="1"/>
      <c r="C143" s="2" t="s">
        <v>159</v>
      </c>
      <c r="D143" s="1"/>
      <c r="E143" s="1"/>
      <c r="F143" s="12"/>
      <c r="G143" s="12"/>
      <c r="H143" s="53"/>
    </row>
    <row r="144" spans="1:8" ht="14.1" customHeight="1" x14ac:dyDescent="0.2">
      <c r="A144" s="1"/>
      <c r="B144" s="1"/>
      <c r="C144" s="2" t="s">
        <v>144</v>
      </c>
      <c r="D144" s="1"/>
      <c r="E144" s="1" t="s">
        <v>145</v>
      </c>
      <c r="F144" s="13" t="s">
        <v>147</v>
      </c>
      <c r="G144" s="10">
        <v>0</v>
      </c>
      <c r="H144" s="53"/>
    </row>
    <row r="145" spans="1:8" ht="14.1" customHeight="1" x14ac:dyDescent="0.2">
      <c r="A145" s="1"/>
      <c r="B145" s="1"/>
      <c r="C145" s="11"/>
      <c r="D145" s="1"/>
      <c r="E145" s="1"/>
      <c r="F145" s="12"/>
      <c r="G145" s="12"/>
      <c r="H145" s="53"/>
    </row>
    <row r="146" spans="1:8" ht="14.1" customHeight="1" x14ac:dyDescent="0.2">
      <c r="A146" s="1"/>
      <c r="B146" s="1"/>
      <c r="C146" s="2" t="s">
        <v>160</v>
      </c>
      <c r="D146" s="1"/>
      <c r="E146" s="1"/>
      <c r="F146" s="12"/>
      <c r="G146" s="12"/>
      <c r="H146" s="53"/>
    </row>
    <row r="147" spans="1:8" ht="14.1" customHeight="1" x14ac:dyDescent="0.2">
      <c r="A147" s="1"/>
      <c r="B147" s="1"/>
      <c r="C147" s="2" t="s">
        <v>144</v>
      </c>
      <c r="D147" s="1"/>
      <c r="E147" s="1" t="s">
        <v>145</v>
      </c>
      <c r="F147" s="13" t="s">
        <v>147</v>
      </c>
      <c r="G147" s="10">
        <v>0</v>
      </c>
      <c r="H147" s="53"/>
    </row>
    <row r="148" spans="1:8" ht="14.1" customHeight="1" x14ac:dyDescent="0.2">
      <c r="A148" s="1"/>
      <c r="B148" s="1"/>
      <c r="C148" s="11"/>
      <c r="D148" s="1"/>
      <c r="E148" s="1"/>
      <c r="F148" s="12"/>
      <c r="G148" s="12"/>
      <c r="H148" s="53"/>
    </row>
    <row r="149" spans="1:8" ht="14.1" customHeight="1" x14ac:dyDescent="0.2">
      <c r="A149" s="1"/>
      <c r="B149" s="1"/>
      <c r="C149" s="2" t="s">
        <v>161</v>
      </c>
      <c r="D149" s="1"/>
      <c r="E149" s="1"/>
      <c r="F149" s="12"/>
      <c r="G149" s="12"/>
      <c r="H149" s="53"/>
    </row>
    <row r="150" spans="1:8" ht="14.1" customHeight="1" x14ac:dyDescent="0.2">
      <c r="A150" s="1"/>
      <c r="B150" s="1"/>
      <c r="C150" s="2" t="s">
        <v>144</v>
      </c>
      <c r="D150" s="1"/>
      <c r="E150" s="1" t="s">
        <v>145</v>
      </c>
      <c r="F150" s="13" t="s">
        <v>147</v>
      </c>
      <c r="G150" s="10">
        <v>0</v>
      </c>
      <c r="H150" s="53"/>
    </row>
    <row r="151" spans="1:8" ht="14.1" customHeight="1" x14ac:dyDescent="0.2">
      <c r="A151" s="1"/>
      <c r="B151" s="1"/>
      <c r="C151" s="11"/>
      <c r="D151" s="1"/>
      <c r="E151" s="1"/>
      <c r="F151" s="12"/>
      <c r="G151" s="12"/>
      <c r="H151" s="53"/>
    </row>
    <row r="152" spans="1:8" ht="14.1" customHeight="1" x14ac:dyDescent="0.2">
      <c r="A152" s="1"/>
      <c r="B152" s="1"/>
      <c r="C152" s="2" t="s">
        <v>162</v>
      </c>
      <c r="D152" s="1"/>
      <c r="E152" s="1"/>
      <c r="F152" s="12"/>
      <c r="G152" s="12"/>
      <c r="H152" s="53"/>
    </row>
    <row r="153" spans="1:8" ht="17.100000000000001" customHeight="1" x14ac:dyDescent="0.2">
      <c r="A153" s="3">
        <v>1</v>
      </c>
      <c r="B153" s="4"/>
      <c r="C153" s="4" t="s">
        <v>163</v>
      </c>
      <c r="D153" s="4"/>
      <c r="E153" s="8"/>
      <c r="F153" s="6">
        <v>145.53539900000001</v>
      </c>
      <c r="G153" s="7">
        <v>2.3088330000000001E-2</v>
      </c>
      <c r="H153" s="51">
        <v>6.6602331647804478</v>
      </c>
    </row>
    <row r="154" spans="1:8" ht="17.100000000000001" customHeight="1" x14ac:dyDescent="0.2">
      <c r="A154" s="3">
        <v>2</v>
      </c>
      <c r="B154" s="4"/>
      <c r="C154" s="4" t="s">
        <v>164</v>
      </c>
      <c r="D154" s="4"/>
      <c r="E154" s="8"/>
      <c r="F154" s="6">
        <v>111.2659014</v>
      </c>
      <c r="G154" s="7">
        <v>1.7651679999999999E-2</v>
      </c>
      <c r="H154" s="51">
        <v>6.6588225936582406</v>
      </c>
    </row>
    <row r="155" spans="1:8" ht="14.1" customHeight="1" x14ac:dyDescent="0.2">
      <c r="A155" s="1"/>
      <c r="B155" s="1"/>
      <c r="C155" s="2" t="s">
        <v>144</v>
      </c>
      <c r="D155" s="1"/>
      <c r="E155" s="1" t="s">
        <v>145</v>
      </c>
      <c r="F155" s="9">
        <v>256.8013004</v>
      </c>
      <c r="G155" s="10">
        <v>4.074001E-2</v>
      </c>
      <c r="H155" s="53"/>
    </row>
    <row r="156" spans="1:8" ht="14.1" customHeight="1" x14ac:dyDescent="0.2">
      <c r="A156" s="1"/>
      <c r="B156" s="1"/>
      <c r="C156" s="11"/>
      <c r="D156" s="1"/>
      <c r="E156" s="1"/>
      <c r="F156" s="12"/>
      <c r="G156" s="12"/>
      <c r="H156" s="53"/>
    </row>
    <row r="157" spans="1:8" ht="14.1" customHeight="1" x14ac:dyDescent="0.2">
      <c r="A157" s="1"/>
      <c r="B157" s="1"/>
      <c r="C157" s="2" t="s">
        <v>165</v>
      </c>
      <c r="D157" s="1"/>
      <c r="E157" s="1"/>
      <c r="F157" s="9">
        <v>256.8013004</v>
      </c>
      <c r="G157" s="10">
        <v>4.074001E-2</v>
      </c>
      <c r="H157" s="53"/>
    </row>
    <row r="158" spans="1:8" ht="14.1" customHeight="1" x14ac:dyDescent="0.2">
      <c r="A158" s="1"/>
      <c r="B158" s="1"/>
      <c r="C158" s="12"/>
      <c r="D158" s="1"/>
      <c r="E158" s="1"/>
      <c r="F158" s="1"/>
      <c r="G158" s="1"/>
      <c r="H158" s="53"/>
    </row>
    <row r="159" spans="1:8" ht="14.1" customHeight="1" x14ac:dyDescent="0.2">
      <c r="A159" s="1"/>
      <c r="B159" s="1"/>
      <c r="C159" s="2" t="s">
        <v>166</v>
      </c>
      <c r="D159" s="1"/>
      <c r="E159" s="1"/>
      <c r="F159" s="1"/>
      <c r="G159" s="1"/>
      <c r="H159" s="53"/>
    </row>
    <row r="160" spans="1:8" ht="14.1" customHeight="1" x14ac:dyDescent="0.2">
      <c r="A160" s="1"/>
      <c r="B160" s="1"/>
      <c r="C160" s="2" t="s">
        <v>167</v>
      </c>
      <c r="D160" s="1"/>
      <c r="E160" s="1"/>
      <c r="F160" s="1"/>
      <c r="G160" s="1"/>
      <c r="H160" s="53"/>
    </row>
    <row r="161" spans="1:14" ht="14.1" customHeight="1" x14ac:dyDescent="0.2">
      <c r="A161" s="1"/>
      <c r="B161" s="1"/>
      <c r="C161" s="2" t="s">
        <v>144</v>
      </c>
      <c r="D161" s="1"/>
      <c r="E161" s="1" t="s">
        <v>145</v>
      </c>
      <c r="F161" s="13" t="s">
        <v>147</v>
      </c>
      <c r="G161" s="10">
        <v>0</v>
      </c>
      <c r="H161" s="53"/>
    </row>
    <row r="162" spans="1:14" ht="14.1" customHeight="1" x14ac:dyDescent="0.2">
      <c r="A162" s="1"/>
      <c r="B162" s="1"/>
      <c r="C162" s="11"/>
      <c r="D162" s="1"/>
      <c r="E162" s="1"/>
      <c r="F162" s="12"/>
      <c r="G162" s="12"/>
      <c r="H162" s="53"/>
    </row>
    <row r="163" spans="1:14" ht="14.1" customHeight="1" x14ac:dyDescent="0.2">
      <c r="A163" s="1"/>
      <c r="B163" s="1"/>
      <c r="C163" s="2" t="s">
        <v>168</v>
      </c>
      <c r="D163" s="1"/>
      <c r="E163" s="1"/>
      <c r="F163" s="1"/>
      <c r="G163" s="1"/>
      <c r="H163" s="53"/>
    </row>
    <row r="164" spans="1:14" ht="14.1" customHeight="1" x14ac:dyDescent="0.2">
      <c r="A164" s="1"/>
      <c r="B164" s="1"/>
      <c r="C164" s="2" t="s">
        <v>169</v>
      </c>
      <c r="D164" s="1"/>
      <c r="E164" s="1"/>
      <c r="F164" s="1"/>
      <c r="G164" s="1"/>
      <c r="H164" s="53"/>
    </row>
    <row r="165" spans="1:14" ht="14.1" customHeight="1" x14ac:dyDescent="0.2">
      <c r="A165" s="1"/>
      <c r="B165" s="1"/>
      <c r="C165" s="2" t="s">
        <v>144</v>
      </c>
      <c r="D165" s="1"/>
      <c r="E165" s="1" t="s">
        <v>145</v>
      </c>
      <c r="F165" s="13" t="s">
        <v>147</v>
      </c>
      <c r="G165" s="10">
        <v>0</v>
      </c>
      <c r="H165" s="53"/>
    </row>
    <row r="166" spans="1:14" ht="14.1" customHeight="1" x14ac:dyDescent="0.2">
      <c r="A166" s="1"/>
      <c r="B166" s="1"/>
      <c r="C166" s="11"/>
      <c r="D166" s="1"/>
      <c r="E166" s="1"/>
      <c r="F166" s="12"/>
      <c r="G166" s="12"/>
      <c r="H166" s="53"/>
    </row>
    <row r="167" spans="1:14" ht="24" customHeight="1" x14ac:dyDescent="0.2">
      <c r="A167" s="1"/>
      <c r="B167" s="1"/>
      <c r="C167" s="2" t="s">
        <v>170</v>
      </c>
      <c r="D167" s="1"/>
      <c r="E167" s="1"/>
      <c r="F167" s="12"/>
      <c r="G167" s="12"/>
      <c r="H167" s="53"/>
    </row>
    <row r="168" spans="1:14" ht="14.1" customHeight="1" x14ac:dyDescent="0.2">
      <c r="A168" s="1"/>
      <c r="B168" s="1"/>
      <c r="C168" s="2" t="s">
        <v>144</v>
      </c>
      <c r="D168" s="1"/>
      <c r="E168" s="1" t="s">
        <v>145</v>
      </c>
      <c r="F168" s="13" t="s">
        <v>147</v>
      </c>
      <c r="G168" s="10">
        <v>0</v>
      </c>
      <c r="H168" s="53"/>
    </row>
    <row r="169" spans="1:14" ht="14.1" customHeight="1" x14ac:dyDescent="0.2">
      <c r="A169" s="1"/>
      <c r="B169" s="1"/>
      <c r="C169" s="11"/>
      <c r="D169" s="1"/>
      <c r="E169" s="1"/>
      <c r="F169" s="12"/>
      <c r="G169" s="12"/>
      <c r="H169" s="53"/>
    </row>
    <row r="170" spans="1:14" ht="14.1" customHeight="1" x14ac:dyDescent="0.2">
      <c r="A170" s="1"/>
      <c r="B170" s="4"/>
      <c r="C170" s="4"/>
      <c r="D170" s="2"/>
      <c r="E170" s="1"/>
      <c r="F170" s="4"/>
      <c r="G170" s="8"/>
      <c r="H170" s="53"/>
    </row>
    <row r="171" spans="1:14" ht="18" customHeight="1" x14ac:dyDescent="0.2">
      <c r="A171" s="8"/>
      <c r="B171" s="4"/>
      <c r="C171" s="40" t="s">
        <v>961</v>
      </c>
      <c r="D171" s="4"/>
      <c r="E171" s="8"/>
      <c r="F171" s="6">
        <v>5.2701124300000002</v>
      </c>
      <c r="G171" s="7">
        <v>8.3606999999999996E-4</v>
      </c>
      <c r="H171" s="53"/>
    </row>
    <row r="172" spans="1:14" ht="14.1" customHeight="1" x14ac:dyDescent="0.2">
      <c r="A172" s="11"/>
      <c r="B172" s="11"/>
      <c r="C172" s="2" t="s">
        <v>172</v>
      </c>
      <c r="D172" s="12"/>
      <c r="E172" s="12"/>
      <c r="F172" s="9">
        <v>6303.4189305350001</v>
      </c>
      <c r="G172" s="14">
        <v>1.00000007</v>
      </c>
      <c r="H172" s="53"/>
    </row>
    <row r="173" spans="1:14" ht="14.1" customHeight="1" x14ac:dyDescent="0.2">
      <c r="A173" s="15"/>
      <c r="B173" s="15"/>
      <c r="C173" s="15"/>
      <c r="D173" s="16"/>
      <c r="E173" s="16"/>
      <c r="F173" s="16"/>
      <c r="G173" s="16"/>
    </row>
    <row r="174" spans="1:14" ht="17.100000000000001" customHeight="1" x14ac:dyDescent="0.2">
      <c r="A174" s="41"/>
      <c r="B174" s="239" t="s">
        <v>907</v>
      </c>
      <c r="C174" s="239"/>
      <c r="D174" s="239"/>
      <c r="E174" s="239"/>
      <c r="F174" s="239"/>
      <c r="G174" s="45"/>
    </row>
    <row r="175" spans="1:14" ht="17.100000000000001" customHeight="1" x14ac:dyDescent="0.2">
      <c r="A175" s="41"/>
      <c r="B175" s="239" t="s">
        <v>173</v>
      </c>
      <c r="C175" s="239"/>
      <c r="D175" s="239"/>
      <c r="E175" s="239"/>
      <c r="F175" s="239"/>
      <c r="G175" s="45"/>
    </row>
    <row r="176" spans="1:14" ht="17.100000000000001" customHeight="1" x14ac:dyDescent="0.2">
      <c r="A176" s="41"/>
      <c r="B176" s="239" t="s">
        <v>962</v>
      </c>
      <c r="C176" s="239"/>
      <c r="D176" s="239"/>
      <c r="E176" s="239"/>
      <c r="F176" s="239"/>
      <c r="G176" s="45"/>
      <c r="J176" s="54"/>
      <c r="K176" s="54"/>
      <c r="L176" s="54"/>
      <c r="M176" s="54"/>
      <c r="N176" s="54"/>
    </row>
    <row r="177" spans="1:7" ht="14.1" customHeight="1" x14ac:dyDescent="0.2">
      <c r="A177" s="17"/>
      <c r="B177" s="17"/>
      <c r="C177" s="17"/>
      <c r="D177" s="19"/>
      <c r="E177" s="19"/>
      <c r="F177" s="19"/>
      <c r="G177" s="19"/>
    </row>
    <row r="178" spans="1:7" ht="14.1" customHeight="1" x14ac:dyDescent="0.2">
      <c r="A178" s="17"/>
      <c r="B178" s="231" t="s">
        <v>174</v>
      </c>
      <c r="C178" s="232"/>
      <c r="D178" s="233"/>
      <c r="E178" s="20"/>
      <c r="F178" s="19"/>
      <c r="G178" s="19"/>
    </row>
    <row r="179" spans="1:7" ht="29.1" customHeight="1" x14ac:dyDescent="0.2">
      <c r="A179" s="17"/>
      <c r="B179" s="226" t="s">
        <v>175</v>
      </c>
      <c r="C179" s="227"/>
      <c r="D179" s="2" t="s">
        <v>176</v>
      </c>
      <c r="E179" s="20"/>
      <c r="F179" s="19"/>
      <c r="G179" s="19"/>
    </row>
    <row r="180" spans="1:7" ht="17.100000000000001" customHeight="1" x14ac:dyDescent="0.2">
      <c r="A180" s="17"/>
      <c r="B180" s="226" t="s">
        <v>177</v>
      </c>
      <c r="C180" s="227"/>
      <c r="D180" s="2" t="s">
        <v>176</v>
      </c>
      <c r="E180" s="20"/>
      <c r="F180" s="19"/>
      <c r="G180" s="19"/>
    </row>
    <row r="181" spans="1:7" ht="17.100000000000001" customHeight="1" x14ac:dyDescent="0.2">
      <c r="A181" s="17"/>
      <c r="B181" s="226" t="s">
        <v>178</v>
      </c>
      <c r="C181" s="227"/>
      <c r="D181" s="12" t="s">
        <v>145</v>
      </c>
      <c r="E181" s="20"/>
      <c r="F181" s="19"/>
      <c r="G181" s="19"/>
    </row>
    <row r="182" spans="1:7" ht="24" customHeight="1" x14ac:dyDescent="0.2">
      <c r="A182" s="21"/>
      <c r="B182" s="22" t="s">
        <v>145</v>
      </c>
      <c r="C182" s="22" t="s">
        <v>179</v>
      </c>
      <c r="D182" s="22" t="s">
        <v>180</v>
      </c>
      <c r="E182" s="21"/>
      <c r="F182" s="21"/>
      <c r="G182" s="21"/>
    </row>
    <row r="183" spans="1:7" ht="18" customHeight="1" x14ac:dyDescent="0.2">
      <c r="A183" s="21"/>
      <c r="B183" s="23" t="s">
        <v>181</v>
      </c>
      <c r="C183" s="22" t="s">
        <v>182</v>
      </c>
      <c r="D183" s="22" t="s">
        <v>183</v>
      </c>
      <c r="E183" s="21"/>
      <c r="F183" s="21"/>
      <c r="G183" s="21"/>
    </row>
    <row r="184" spans="1:7" ht="17.100000000000001" customHeight="1" x14ac:dyDescent="0.2">
      <c r="A184" s="21"/>
      <c r="B184" s="4" t="s">
        <v>184</v>
      </c>
      <c r="C184" s="24">
        <v>128.41489999999999</v>
      </c>
      <c r="D184" s="24">
        <v>126.35760000000001</v>
      </c>
      <c r="E184" s="21"/>
      <c r="F184" s="18"/>
      <c r="G184" s="25"/>
    </row>
    <row r="185" spans="1:7" ht="17.100000000000001" customHeight="1" x14ac:dyDescent="0.2">
      <c r="A185" s="21"/>
      <c r="B185" s="4" t="s">
        <v>1009</v>
      </c>
      <c r="C185" s="24">
        <v>70.160899999999998</v>
      </c>
      <c r="D185" s="24">
        <v>69.036900000000003</v>
      </c>
      <c r="E185" s="21"/>
      <c r="F185" s="18"/>
      <c r="G185" s="25"/>
    </row>
    <row r="186" spans="1:7" ht="17.100000000000001" customHeight="1" x14ac:dyDescent="0.2">
      <c r="A186" s="21"/>
      <c r="B186" s="4" t="s">
        <v>185</v>
      </c>
      <c r="C186" s="24">
        <v>123.0611</v>
      </c>
      <c r="D186" s="24">
        <v>121.0424</v>
      </c>
      <c r="E186" s="21"/>
      <c r="F186" s="18"/>
      <c r="G186" s="25"/>
    </row>
    <row r="187" spans="1:7" ht="17.100000000000001" customHeight="1" x14ac:dyDescent="0.2">
      <c r="A187" s="21"/>
      <c r="B187" s="4" t="s">
        <v>1010</v>
      </c>
      <c r="C187" s="24">
        <v>67.2393</v>
      </c>
      <c r="D187" s="24">
        <v>66.136300000000006</v>
      </c>
      <c r="E187" s="21"/>
      <c r="F187" s="18"/>
      <c r="G187" s="25"/>
    </row>
    <row r="188" spans="1:7" ht="14.1" customHeight="1" x14ac:dyDescent="0.2">
      <c r="A188" s="21"/>
      <c r="B188" s="21"/>
      <c r="C188" s="21"/>
      <c r="D188" s="21"/>
      <c r="E188" s="21"/>
      <c r="F188" s="21"/>
      <c r="G188" s="21"/>
    </row>
    <row r="189" spans="1:7" ht="17.100000000000001" customHeight="1" x14ac:dyDescent="0.2">
      <c r="A189" s="21"/>
      <c r="B189" s="226" t="s">
        <v>1011</v>
      </c>
      <c r="C189" s="227"/>
      <c r="D189" s="2" t="s">
        <v>176</v>
      </c>
      <c r="E189" s="21"/>
      <c r="F189" s="21"/>
      <c r="G189" s="21"/>
    </row>
    <row r="190" spans="1:7" ht="18" customHeight="1" x14ac:dyDescent="0.2">
      <c r="A190" s="21"/>
      <c r="B190" s="26"/>
      <c r="C190" s="26"/>
      <c r="D190" s="26"/>
      <c r="E190" s="21"/>
      <c r="F190" s="21"/>
      <c r="G190" s="21"/>
    </row>
    <row r="191" spans="1:7" ht="29.1" customHeight="1" x14ac:dyDescent="0.2">
      <c r="A191" s="21"/>
      <c r="B191" s="226" t="s">
        <v>186</v>
      </c>
      <c r="C191" s="227"/>
      <c r="D191" s="2" t="s">
        <v>176</v>
      </c>
      <c r="E191" s="27"/>
      <c r="F191" s="21"/>
      <c r="G191" s="21"/>
    </row>
    <row r="192" spans="1:7" ht="29.1" customHeight="1" x14ac:dyDescent="0.2">
      <c r="A192" s="21"/>
      <c r="B192" s="226" t="s">
        <v>187</v>
      </c>
      <c r="C192" s="227"/>
      <c r="D192" s="2" t="s">
        <v>176</v>
      </c>
      <c r="E192" s="27"/>
      <c r="F192" s="21"/>
      <c r="G192" s="21"/>
    </row>
    <row r="193" spans="1:7" ht="17.100000000000001" customHeight="1" x14ac:dyDescent="0.2">
      <c r="A193" s="21"/>
      <c r="B193" s="226" t="s">
        <v>188</v>
      </c>
      <c r="C193" s="227"/>
      <c r="D193" s="2" t="s">
        <v>176</v>
      </c>
      <c r="E193" s="27"/>
      <c r="F193" s="21"/>
      <c r="G193" s="21"/>
    </row>
    <row r="194" spans="1:7" ht="17.100000000000001" customHeight="1" x14ac:dyDescent="0.2">
      <c r="A194" s="21"/>
      <c r="B194" s="226" t="s">
        <v>189</v>
      </c>
      <c r="C194" s="227"/>
      <c r="D194" s="57">
        <v>0.34784998576269754</v>
      </c>
      <c r="E194" s="21"/>
      <c r="F194" s="18"/>
      <c r="G194" s="25"/>
    </row>
  </sheetData>
  <mergeCells count="16">
    <mergeCell ref="J2:N2"/>
    <mergeCell ref="A1:H1"/>
    <mergeCell ref="A2:H2"/>
    <mergeCell ref="A3:H3"/>
    <mergeCell ref="B194:C194"/>
    <mergeCell ref="B180:C180"/>
    <mergeCell ref="B181:C181"/>
    <mergeCell ref="B189:C189"/>
    <mergeCell ref="B191:C191"/>
    <mergeCell ref="B192:C192"/>
    <mergeCell ref="B193:C193"/>
    <mergeCell ref="B179:C179"/>
    <mergeCell ref="B174:F174"/>
    <mergeCell ref="B178:D178"/>
    <mergeCell ref="B176:F176"/>
    <mergeCell ref="B175:F175"/>
  </mergeCells>
  <hyperlinks>
    <hyperlink ref="I1" location="Index!B24" display="Index" xr:uid="{55DDA1D0-5D0B-4000-AB59-4D290D5B380A}"/>
  </hyperlinks>
  <pageMargins left="5.000000074505806E-2" right="5.000000074505806E-2" top="0.30000001192092896" bottom="0.20000000298023224" header="0" footer="0"/>
  <pageSetup paperSize="9" orientation="landscape"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N16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811</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310</v>
      </c>
      <c r="C7" s="4" t="s">
        <v>311</v>
      </c>
      <c r="D7" s="4" t="s">
        <v>28</v>
      </c>
      <c r="E7" s="5">
        <v>606077</v>
      </c>
      <c r="F7" s="6">
        <v>9524.1970165000002</v>
      </c>
      <c r="G7" s="7">
        <v>8.7830710000000006E-2</v>
      </c>
      <c r="H7" s="53"/>
    </row>
    <row r="8" spans="1:14" ht="17.100000000000001" customHeight="1" x14ac:dyDescent="0.2">
      <c r="A8" s="3">
        <v>2</v>
      </c>
      <c r="B8" s="4" t="s">
        <v>20</v>
      </c>
      <c r="C8" s="4" t="s">
        <v>21</v>
      </c>
      <c r="D8" s="4" t="s">
        <v>22</v>
      </c>
      <c r="E8" s="5">
        <v>274000</v>
      </c>
      <c r="F8" s="6">
        <v>6595.18</v>
      </c>
      <c r="G8" s="7">
        <v>6.081976E-2</v>
      </c>
      <c r="H8" s="53"/>
    </row>
    <row r="9" spans="1:14" ht="17.100000000000001" customHeight="1" x14ac:dyDescent="0.2">
      <c r="A9" s="3">
        <v>3</v>
      </c>
      <c r="B9" s="4" t="s">
        <v>26</v>
      </c>
      <c r="C9" s="4" t="s">
        <v>27</v>
      </c>
      <c r="D9" s="4" t="s">
        <v>28</v>
      </c>
      <c r="E9" s="5">
        <v>661000</v>
      </c>
      <c r="F9" s="6">
        <v>6337.3374999999996</v>
      </c>
      <c r="G9" s="7">
        <v>5.8441970000000003E-2</v>
      </c>
      <c r="H9" s="53"/>
    </row>
    <row r="10" spans="1:14" ht="17.100000000000001" customHeight="1" x14ac:dyDescent="0.2">
      <c r="A10" s="3">
        <v>4</v>
      </c>
      <c r="B10" s="4" t="s">
        <v>312</v>
      </c>
      <c r="C10" s="4" t="s">
        <v>313</v>
      </c>
      <c r="D10" s="4" t="s">
        <v>905</v>
      </c>
      <c r="E10" s="5">
        <v>333000</v>
      </c>
      <c r="F10" s="6">
        <v>4780.0484999999999</v>
      </c>
      <c r="G10" s="7">
        <v>4.4080889999999998E-2</v>
      </c>
      <c r="H10" s="53"/>
    </row>
    <row r="11" spans="1:14" ht="17.100000000000001" customHeight="1" x14ac:dyDescent="0.2">
      <c r="A11" s="3">
        <v>5</v>
      </c>
      <c r="B11" s="4" t="s">
        <v>32</v>
      </c>
      <c r="C11" s="4" t="s">
        <v>33</v>
      </c>
      <c r="D11" s="4" t="s">
        <v>28</v>
      </c>
      <c r="E11" s="5">
        <v>823000</v>
      </c>
      <c r="F11" s="6">
        <v>4619.9105</v>
      </c>
      <c r="G11" s="7">
        <v>4.2604120000000002E-2</v>
      </c>
      <c r="H11" s="53"/>
    </row>
    <row r="12" spans="1:14" ht="17.100000000000001" customHeight="1" x14ac:dyDescent="0.2">
      <c r="A12" s="3">
        <v>6</v>
      </c>
      <c r="B12" s="4" t="s">
        <v>46</v>
      </c>
      <c r="C12" s="4" t="s">
        <v>47</v>
      </c>
      <c r="D12" s="4" t="s">
        <v>31</v>
      </c>
      <c r="E12" s="5">
        <v>67000</v>
      </c>
      <c r="F12" s="6">
        <v>3432.4434999999999</v>
      </c>
      <c r="G12" s="7">
        <v>3.1653479999999998E-2</v>
      </c>
      <c r="H12" s="53"/>
    </row>
    <row r="13" spans="1:14" ht="17.100000000000001" customHeight="1" x14ac:dyDescent="0.2">
      <c r="A13" s="3">
        <v>7</v>
      </c>
      <c r="B13" s="4" t="s">
        <v>314</v>
      </c>
      <c r="C13" s="4" t="s">
        <v>315</v>
      </c>
      <c r="D13" s="4" t="s">
        <v>28</v>
      </c>
      <c r="E13" s="5">
        <v>311000</v>
      </c>
      <c r="F13" s="6">
        <v>3027.585</v>
      </c>
      <c r="G13" s="7">
        <v>2.7919929999999999E-2</v>
      </c>
      <c r="H13" s="53"/>
      <c r="J13" s="142" t="s">
        <v>1053</v>
      </c>
    </row>
    <row r="14" spans="1:14" ht="29.1" customHeight="1" x14ac:dyDescent="0.2">
      <c r="A14" s="3">
        <v>8</v>
      </c>
      <c r="B14" s="4" t="s">
        <v>316</v>
      </c>
      <c r="C14" s="4" t="s">
        <v>317</v>
      </c>
      <c r="D14" s="4" t="s">
        <v>224</v>
      </c>
      <c r="E14" s="5">
        <v>233000</v>
      </c>
      <c r="F14" s="6">
        <v>2590.0279999999998</v>
      </c>
      <c r="G14" s="7">
        <v>2.3884849999999999E-2</v>
      </c>
      <c r="H14" s="53"/>
    </row>
    <row r="15" spans="1:14" ht="17.100000000000001" customHeight="1" x14ac:dyDescent="0.2">
      <c r="A15" s="3">
        <v>9</v>
      </c>
      <c r="B15" s="4" t="s">
        <v>336</v>
      </c>
      <c r="C15" s="4" t="s">
        <v>337</v>
      </c>
      <c r="D15" s="4" t="s">
        <v>331</v>
      </c>
      <c r="E15" s="5">
        <v>95000</v>
      </c>
      <c r="F15" s="6">
        <v>2379.7975000000001</v>
      </c>
      <c r="G15" s="7">
        <v>2.1946130000000001E-2</v>
      </c>
      <c r="H15" s="53"/>
    </row>
    <row r="16" spans="1:14" ht="17.100000000000001" customHeight="1" x14ac:dyDescent="0.2">
      <c r="A16" s="3">
        <v>10</v>
      </c>
      <c r="B16" s="4" t="s">
        <v>318</v>
      </c>
      <c r="C16" s="4" t="s">
        <v>319</v>
      </c>
      <c r="D16" s="4" t="s">
        <v>905</v>
      </c>
      <c r="E16" s="5">
        <v>62000</v>
      </c>
      <c r="F16" s="6">
        <v>2081.2159999999999</v>
      </c>
      <c r="G16" s="7">
        <v>1.919266E-2</v>
      </c>
      <c r="H16" s="53"/>
    </row>
    <row r="17" spans="1:10" ht="17.100000000000001" customHeight="1" x14ac:dyDescent="0.2">
      <c r="A17" s="3">
        <v>11</v>
      </c>
      <c r="B17" s="4" t="s">
        <v>532</v>
      </c>
      <c r="C17" s="4" t="s">
        <v>533</v>
      </c>
      <c r="D17" s="4" t="s">
        <v>108</v>
      </c>
      <c r="E17" s="5">
        <v>59013</v>
      </c>
      <c r="F17" s="6">
        <v>2025.267147</v>
      </c>
      <c r="G17" s="7">
        <v>1.8676709999999999E-2</v>
      </c>
      <c r="H17" s="53"/>
    </row>
    <row r="18" spans="1:10" ht="53.1" customHeight="1" x14ac:dyDescent="0.2">
      <c r="A18" s="3">
        <v>12</v>
      </c>
      <c r="B18" s="4" t="s">
        <v>66</v>
      </c>
      <c r="C18" s="4" t="s">
        <v>67</v>
      </c>
      <c r="D18" s="4" t="s">
        <v>68</v>
      </c>
      <c r="E18" s="5">
        <v>1077000</v>
      </c>
      <c r="F18" s="6">
        <v>1980.0645</v>
      </c>
      <c r="G18" s="7">
        <v>1.8259859999999999E-2</v>
      </c>
      <c r="H18" s="53"/>
    </row>
    <row r="19" spans="1:10" ht="17.100000000000001" customHeight="1" x14ac:dyDescent="0.2">
      <c r="A19" s="3">
        <v>13</v>
      </c>
      <c r="B19" s="4" t="s">
        <v>501</v>
      </c>
      <c r="C19" s="4" t="s">
        <v>502</v>
      </c>
      <c r="D19" s="4" t="s">
        <v>397</v>
      </c>
      <c r="E19" s="5">
        <v>33000</v>
      </c>
      <c r="F19" s="6">
        <v>1930.6485</v>
      </c>
      <c r="G19" s="7">
        <v>1.7804150000000001E-2</v>
      </c>
      <c r="H19" s="53"/>
    </row>
    <row r="20" spans="1:10" ht="17.100000000000001" customHeight="1" x14ac:dyDescent="0.2">
      <c r="A20" s="3">
        <v>14</v>
      </c>
      <c r="B20" s="4" t="s">
        <v>11</v>
      </c>
      <c r="C20" s="4" t="s">
        <v>12</v>
      </c>
      <c r="D20" s="4" t="s">
        <v>13</v>
      </c>
      <c r="E20" s="5">
        <v>70588</v>
      </c>
      <c r="F20" s="6">
        <v>1907.781876</v>
      </c>
      <c r="G20" s="7">
        <v>1.7593279999999999E-2</v>
      </c>
      <c r="H20" s="53"/>
    </row>
    <row r="21" spans="1:10" ht="17.100000000000001" customHeight="1" x14ac:dyDescent="0.2">
      <c r="A21" s="3">
        <v>15</v>
      </c>
      <c r="B21" s="4" t="s">
        <v>346</v>
      </c>
      <c r="C21" s="4" t="s">
        <v>347</v>
      </c>
      <c r="D21" s="4" t="s">
        <v>108</v>
      </c>
      <c r="E21" s="5">
        <v>305000</v>
      </c>
      <c r="F21" s="6">
        <v>1833.05</v>
      </c>
      <c r="G21" s="7">
        <v>1.690411E-2</v>
      </c>
      <c r="H21" s="53"/>
    </row>
    <row r="22" spans="1:10" ht="53.1" customHeight="1" x14ac:dyDescent="0.2">
      <c r="A22" s="3">
        <v>16</v>
      </c>
      <c r="B22" s="4" t="s">
        <v>114</v>
      </c>
      <c r="C22" s="4" t="s">
        <v>115</v>
      </c>
      <c r="D22" s="4" t="s">
        <v>68</v>
      </c>
      <c r="E22" s="5">
        <v>72000</v>
      </c>
      <c r="F22" s="6">
        <v>1776.06</v>
      </c>
      <c r="G22" s="7">
        <v>1.637856E-2</v>
      </c>
      <c r="H22" s="53"/>
      <c r="J22" s="142" t="s">
        <v>1054</v>
      </c>
    </row>
    <row r="23" spans="1:10" ht="17.100000000000001" customHeight="1" x14ac:dyDescent="0.2">
      <c r="A23" s="3">
        <v>17</v>
      </c>
      <c r="B23" s="4" t="s">
        <v>350</v>
      </c>
      <c r="C23" s="4" t="s">
        <v>351</v>
      </c>
      <c r="D23" s="4" t="s">
        <v>206</v>
      </c>
      <c r="E23" s="5">
        <v>47000</v>
      </c>
      <c r="F23" s="6">
        <v>1748.588</v>
      </c>
      <c r="G23" s="7">
        <v>1.6125219999999999E-2</v>
      </c>
      <c r="H23" s="53"/>
    </row>
    <row r="24" spans="1:10" ht="17.100000000000001" customHeight="1" x14ac:dyDescent="0.2">
      <c r="A24" s="3">
        <v>18</v>
      </c>
      <c r="B24" s="4" t="s">
        <v>358</v>
      </c>
      <c r="C24" s="4" t="s">
        <v>359</v>
      </c>
      <c r="D24" s="4" t="s">
        <v>28</v>
      </c>
      <c r="E24" s="5">
        <v>906000</v>
      </c>
      <c r="F24" s="6">
        <v>1695.579</v>
      </c>
      <c r="G24" s="7">
        <v>1.563637E-2</v>
      </c>
      <c r="H24" s="53"/>
    </row>
    <row r="25" spans="1:10" ht="17.100000000000001" customHeight="1" x14ac:dyDescent="0.2">
      <c r="A25" s="3">
        <v>19</v>
      </c>
      <c r="B25" s="4" t="s">
        <v>227</v>
      </c>
      <c r="C25" s="4" t="s">
        <v>228</v>
      </c>
      <c r="D25" s="4" t="s">
        <v>229</v>
      </c>
      <c r="E25" s="5">
        <v>317000</v>
      </c>
      <c r="F25" s="6">
        <v>1623.1985</v>
      </c>
      <c r="G25" s="7">
        <v>1.496889E-2</v>
      </c>
      <c r="H25" s="53"/>
    </row>
    <row r="26" spans="1:10" ht="17.100000000000001" customHeight="1" x14ac:dyDescent="0.2">
      <c r="A26" s="3">
        <v>20</v>
      </c>
      <c r="B26" s="4" t="s">
        <v>106</v>
      </c>
      <c r="C26" s="4" t="s">
        <v>107</v>
      </c>
      <c r="D26" s="4" t="s">
        <v>108</v>
      </c>
      <c r="E26" s="5">
        <v>16000</v>
      </c>
      <c r="F26" s="6">
        <v>1600.6079999999999</v>
      </c>
      <c r="G26" s="7">
        <v>1.4760570000000001E-2</v>
      </c>
      <c r="H26" s="53"/>
    </row>
    <row r="27" spans="1:10" ht="29.1" customHeight="1" x14ac:dyDescent="0.2">
      <c r="A27" s="3">
        <v>21</v>
      </c>
      <c r="B27" s="4" t="s">
        <v>210</v>
      </c>
      <c r="C27" s="4" t="s">
        <v>211</v>
      </c>
      <c r="D27" s="4" t="s">
        <v>130</v>
      </c>
      <c r="E27" s="5">
        <v>142000</v>
      </c>
      <c r="F27" s="6">
        <v>1593.027</v>
      </c>
      <c r="G27" s="7">
        <v>1.4690659999999999E-2</v>
      </c>
      <c r="H27" s="53"/>
    </row>
    <row r="28" spans="1:10" ht="17.100000000000001" customHeight="1" x14ac:dyDescent="0.2">
      <c r="A28" s="3">
        <v>22</v>
      </c>
      <c r="B28" s="4" t="s">
        <v>39</v>
      </c>
      <c r="C28" s="4" t="s">
        <v>40</v>
      </c>
      <c r="D28" s="4" t="s">
        <v>41</v>
      </c>
      <c r="E28" s="5">
        <v>36000</v>
      </c>
      <c r="F28" s="6">
        <v>1577.3579999999999</v>
      </c>
      <c r="G28" s="7">
        <v>1.4546160000000001E-2</v>
      </c>
      <c r="H28" s="53"/>
    </row>
    <row r="29" spans="1:10" ht="17.100000000000001" customHeight="1" x14ac:dyDescent="0.2">
      <c r="A29" s="3">
        <v>23</v>
      </c>
      <c r="B29" s="4" t="s">
        <v>81</v>
      </c>
      <c r="C29" s="4" t="s">
        <v>82</v>
      </c>
      <c r="D29" s="4" t="s">
        <v>59</v>
      </c>
      <c r="E29" s="5">
        <v>63000</v>
      </c>
      <c r="F29" s="6">
        <v>1534.05</v>
      </c>
      <c r="G29" s="7">
        <v>1.4146779999999999E-2</v>
      </c>
      <c r="H29" s="53"/>
    </row>
    <row r="30" spans="1:10" ht="17.100000000000001" customHeight="1" x14ac:dyDescent="0.2">
      <c r="A30" s="3">
        <v>24</v>
      </c>
      <c r="B30" s="4" t="s">
        <v>472</v>
      </c>
      <c r="C30" s="40" t="s">
        <v>900</v>
      </c>
      <c r="D30" s="4" t="s">
        <v>16</v>
      </c>
      <c r="E30" s="5">
        <v>283000</v>
      </c>
      <c r="F30" s="6">
        <v>1337.0335</v>
      </c>
      <c r="G30" s="7">
        <v>1.2329919999999999E-2</v>
      </c>
      <c r="H30" s="53"/>
    </row>
    <row r="31" spans="1:10" ht="17.100000000000001" customHeight="1" x14ac:dyDescent="0.2">
      <c r="A31" s="3">
        <v>25</v>
      </c>
      <c r="B31" s="4" t="s">
        <v>191</v>
      </c>
      <c r="C31" s="4" t="s">
        <v>192</v>
      </c>
      <c r="D31" s="4" t="s">
        <v>28</v>
      </c>
      <c r="E31" s="5">
        <v>911794</v>
      </c>
      <c r="F31" s="6">
        <v>1312.5274629999999</v>
      </c>
      <c r="G31" s="7">
        <v>1.2103930000000001E-2</v>
      </c>
      <c r="H31" s="53"/>
    </row>
    <row r="32" spans="1:10" ht="29.1" customHeight="1" x14ac:dyDescent="0.2">
      <c r="A32" s="3">
        <v>26</v>
      </c>
      <c r="B32" s="4" t="s">
        <v>320</v>
      </c>
      <c r="C32" s="4" t="s">
        <v>321</v>
      </c>
      <c r="D32" s="4" t="s">
        <v>224</v>
      </c>
      <c r="E32" s="5">
        <v>23000</v>
      </c>
      <c r="F32" s="6">
        <v>1289.8054999999999</v>
      </c>
      <c r="G32" s="7">
        <v>1.1894389999999999E-2</v>
      </c>
      <c r="H32" s="53"/>
    </row>
    <row r="33" spans="1:8" ht="17.100000000000001" customHeight="1" x14ac:dyDescent="0.2">
      <c r="A33" s="3">
        <v>27</v>
      </c>
      <c r="B33" s="4" t="s">
        <v>342</v>
      </c>
      <c r="C33" s="4" t="s">
        <v>343</v>
      </c>
      <c r="D33" s="4" t="s">
        <v>130</v>
      </c>
      <c r="E33" s="5">
        <v>18000</v>
      </c>
      <c r="F33" s="6">
        <v>1289.3399999999999</v>
      </c>
      <c r="G33" s="7">
        <v>1.1890100000000001E-2</v>
      </c>
      <c r="H33" s="53"/>
    </row>
    <row r="34" spans="1:8" ht="29.1" customHeight="1" x14ac:dyDescent="0.2">
      <c r="A34" s="3">
        <v>28</v>
      </c>
      <c r="B34" s="4" t="s">
        <v>374</v>
      </c>
      <c r="C34" s="4" t="s">
        <v>375</v>
      </c>
      <c r="D34" s="4" t="s">
        <v>224</v>
      </c>
      <c r="E34" s="5">
        <v>102000</v>
      </c>
      <c r="F34" s="6">
        <v>1282.752</v>
      </c>
      <c r="G34" s="7">
        <v>1.1829350000000001E-2</v>
      </c>
      <c r="H34" s="53"/>
    </row>
    <row r="35" spans="1:8" ht="17.100000000000001" customHeight="1" x14ac:dyDescent="0.2">
      <c r="A35" s="3">
        <v>29</v>
      </c>
      <c r="B35" s="4" t="s">
        <v>340</v>
      </c>
      <c r="C35" s="4" t="s">
        <v>341</v>
      </c>
      <c r="D35" s="4" t="s">
        <v>905</v>
      </c>
      <c r="E35" s="5">
        <v>24000</v>
      </c>
      <c r="F35" s="6">
        <v>1246.4159999999999</v>
      </c>
      <c r="G35" s="7">
        <v>1.1494259999999999E-2</v>
      </c>
      <c r="H35" s="53"/>
    </row>
    <row r="36" spans="1:8" ht="29.1" customHeight="1" x14ac:dyDescent="0.2">
      <c r="A36" s="3">
        <v>30</v>
      </c>
      <c r="B36" s="4" t="s">
        <v>23</v>
      </c>
      <c r="C36" s="4" t="s">
        <v>24</v>
      </c>
      <c r="D36" s="4" t="s">
        <v>25</v>
      </c>
      <c r="E36" s="5">
        <v>15000</v>
      </c>
      <c r="F36" s="6">
        <v>1244.6175000000001</v>
      </c>
      <c r="G36" s="7">
        <v>1.1477680000000001E-2</v>
      </c>
      <c r="H36" s="53"/>
    </row>
    <row r="37" spans="1:8" ht="17.100000000000001" customHeight="1" x14ac:dyDescent="0.2">
      <c r="A37" s="3">
        <v>31</v>
      </c>
      <c r="B37" s="4" t="s">
        <v>334</v>
      </c>
      <c r="C37" s="4" t="s">
        <v>335</v>
      </c>
      <c r="D37" s="4" t="s">
        <v>73</v>
      </c>
      <c r="E37" s="5">
        <v>40000</v>
      </c>
      <c r="F37" s="6">
        <v>1241.78</v>
      </c>
      <c r="G37" s="7">
        <v>1.145151E-2</v>
      </c>
      <c r="H37" s="53"/>
    </row>
    <row r="38" spans="1:8" ht="17.100000000000001" customHeight="1" x14ac:dyDescent="0.2">
      <c r="A38" s="3">
        <v>32</v>
      </c>
      <c r="B38" s="4" t="s">
        <v>234</v>
      </c>
      <c r="C38" s="4" t="s">
        <v>235</v>
      </c>
      <c r="D38" s="4" t="s">
        <v>905</v>
      </c>
      <c r="E38" s="5">
        <v>22302</v>
      </c>
      <c r="F38" s="6">
        <v>1219.1276789999999</v>
      </c>
      <c r="G38" s="7">
        <v>1.124261E-2</v>
      </c>
      <c r="H38" s="53"/>
    </row>
    <row r="39" spans="1:8" ht="17.100000000000001" customHeight="1" x14ac:dyDescent="0.2">
      <c r="A39" s="3">
        <v>33</v>
      </c>
      <c r="B39" s="4" t="s">
        <v>219</v>
      </c>
      <c r="C39" s="4" t="s">
        <v>220</v>
      </c>
      <c r="D39" s="4" t="s">
        <v>221</v>
      </c>
      <c r="E39" s="5">
        <v>130000</v>
      </c>
      <c r="F39" s="6">
        <v>1213.81</v>
      </c>
      <c r="G39" s="7">
        <v>1.119357E-2</v>
      </c>
      <c r="H39" s="53"/>
    </row>
    <row r="40" spans="1:8" ht="17.100000000000001" customHeight="1" x14ac:dyDescent="0.2">
      <c r="A40" s="3">
        <v>34</v>
      </c>
      <c r="B40" s="4" t="s">
        <v>279</v>
      </c>
      <c r="C40" s="4" t="s">
        <v>280</v>
      </c>
      <c r="D40" s="4" t="s">
        <v>281</v>
      </c>
      <c r="E40" s="5">
        <v>80000</v>
      </c>
      <c r="F40" s="6">
        <v>1213.28</v>
      </c>
      <c r="G40" s="7">
        <v>1.1188689999999999E-2</v>
      </c>
      <c r="H40" s="53"/>
    </row>
    <row r="41" spans="1:8" ht="17.100000000000001" customHeight="1" x14ac:dyDescent="0.2">
      <c r="A41" s="3">
        <v>35</v>
      </c>
      <c r="B41" s="4" t="s">
        <v>395</v>
      </c>
      <c r="C41" s="4" t="s">
        <v>396</v>
      </c>
      <c r="D41" s="4" t="s">
        <v>397</v>
      </c>
      <c r="E41" s="5">
        <v>67188</v>
      </c>
      <c r="F41" s="6">
        <v>1134.30141</v>
      </c>
      <c r="G41" s="7">
        <v>1.046036E-2</v>
      </c>
      <c r="H41" s="53"/>
    </row>
    <row r="42" spans="1:8" ht="17.100000000000001" customHeight="1" x14ac:dyDescent="0.2">
      <c r="A42" s="3">
        <v>36</v>
      </c>
      <c r="B42" s="4" t="s">
        <v>812</v>
      </c>
      <c r="C42" s="4" t="s">
        <v>813</v>
      </c>
      <c r="D42" s="4" t="s">
        <v>73</v>
      </c>
      <c r="E42" s="5">
        <v>65000</v>
      </c>
      <c r="F42" s="6">
        <v>1097.33</v>
      </c>
      <c r="G42" s="7">
        <v>1.0119410000000001E-2</v>
      </c>
      <c r="H42" s="53"/>
    </row>
    <row r="43" spans="1:8" ht="17.100000000000001" customHeight="1" x14ac:dyDescent="0.2">
      <c r="A43" s="3">
        <v>37</v>
      </c>
      <c r="B43" s="4" t="s">
        <v>814</v>
      </c>
      <c r="C43" s="4" t="s">
        <v>815</v>
      </c>
      <c r="D43" s="4" t="s">
        <v>87</v>
      </c>
      <c r="E43" s="5">
        <v>233622</v>
      </c>
      <c r="F43" s="6">
        <v>973.38606300000004</v>
      </c>
      <c r="G43" s="7">
        <v>8.9764200000000006E-3</v>
      </c>
      <c r="H43" s="53"/>
    </row>
    <row r="44" spans="1:8" ht="17.100000000000001" customHeight="1" x14ac:dyDescent="0.2">
      <c r="A44" s="3">
        <v>38</v>
      </c>
      <c r="B44" s="4" t="s">
        <v>255</v>
      </c>
      <c r="C44" s="4" t="s">
        <v>256</v>
      </c>
      <c r="D44" s="4" t="s">
        <v>206</v>
      </c>
      <c r="E44" s="5">
        <v>22000</v>
      </c>
      <c r="F44" s="6">
        <v>952.93</v>
      </c>
      <c r="G44" s="7">
        <v>8.7877800000000002E-3</v>
      </c>
      <c r="H44" s="53"/>
    </row>
    <row r="45" spans="1:8" ht="17.100000000000001" customHeight="1" x14ac:dyDescent="0.2">
      <c r="A45" s="3">
        <v>39</v>
      </c>
      <c r="B45" s="4" t="s">
        <v>391</v>
      </c>
      <c r="C45" s="4" t="s">
        <v>392</v>
      </c>
      <c r="D45" s="4" t="s">
        <v>130</v>
      </c>
      <c r="E45" s="5">
        <v>125000</v>
      </c>
      <c r="F45" s="6">
        <v>939.1875</v>
      </c>
      <c r="G45" s="7">
        <v>8.66105E-3</v>
      </c>
      <c r="H45" s="53"/>
    </row>
    <row r="46" spans="1:8" ht="17.100000000000001" customHeight="1" x14ac:dyDescent="0.2">
      <c r="A46" s="3">
        <v>40</v>
      </c>
      <c r="B46" s="4" t="s">
        <v>465</v>
      </c>
      <c r="C46" s="4" t="s">
        <v>466</v>
      </c>
      <c r="D46" s="4" t="s">
        <v>28</v>
      </c>
      <c r="E46" s="5">
        <v>50000</v>
      </c>
      <c r="F46" s="6">
        <v>879.375</v>
      </c>
      <c r="G46" s="7">
        <v>8.1094600000000006E-3</v>
      </c>
      <c r="H46" s="53"/>
    </row>
    <row r="47" spans="1:8" ht="17.100000000000001" customHeight="1" x14ac:dyDescent="0.2">
      <c r="A47" s="3">
        <v>41</v>
      </c>
      <c r="B47" s="4" t="s">
        <v>352</v>
      </c>
      <c r="C47" s="4" t="s">
        <v>353</v>
      </c>
      <c r="D47" s="4" t="s">
        <v>95</v>
      </c>
      <c r="E47" s="5">
        <v>690000</v>
      </c>
      <c r="F47" s="6">
        <v>848.01</v>
      </c>
      <c r="G47" s="7">
        <v>7.8202199999999993E-3</v>
      </c>
      <c r="H47" s="53"/>
    </row>
    <row r="48" spans="1:8" ht="17.100000000000001" customHeight="1" x14ac:dyDescent="0.2">
      <c r="A48" s="3">
        <v>42</v>
      </c>
      <c r="B48" s="4" t="s">
        <v>322</v>
      </c>
      <c r="C48" s="4" t="s">
        <v>323</v>
      </c>
      <c r="D48" s="4" t="s">
        <v>28</v>
      </c>
      <c r="E48" s="5">
        <v>60000</v>
      </c>
      <c r="F48" s="6">
        <v>826.89</v>
      </c>
      <c r="G48" s="7">
        <v>7.6254599999999997E-3</v>
      </c>
      <c r="H48" s="53"/>
    </row>
    <row r="49" spans="1:8" ht="29.1" customHeight="1" x14ac:dyDescent="0.2">
      <c r="A49" s="3">
        <v>43</v>
      </c>
      <c r="B49" s="4" t="s">
        <v>467</v>
      </c>
      <c r="C49" s="4" t="s">
        <v>468</v>
      </c>
      <c r="D49" s="4" t="s">
        <v>469</v>
      </c>
      <c r="E49" s="5">
        <v>92000</v>
      </c>
      <c r="F49" s="6">
        <v>767.60199999999998</v>
      </c>
      <c r="G49" s="7">
        <v>7.0787100000000002E-3</v>
      </c>
      <c r="H49" s="53"/>
    </row>
    <row r="50" spans="1:8" ht="29.1" customHeight="1" x14ac:dyDescent="0.2">
      <c r="A50" s="3">
        <v>44</v>
      </c>
      <c r="B50" s="4" t="s">
        <v>64</v>
      </c>
      <c r="C50" s="4" t="s">
        <v>65</v>
      </c>
      <c r="D50" s="4" t="s">
        <v>25</v>
      </c>
      <c r="E50" s="5">
        <v>36069</v>
      </c>
      <c r="F50" s="6">
        <v>752.05668449999996</v>
      </c>
      <c r="G50" s="7">
        <v>6.9353499999999998E-3</v>
      </c>
      <c r="H50" s="53"/>
    </row>
    <row r="51" spans="1:8" ht="17.100000000000001" customHeight="1" x14ac:dyDescent="0.2">
      <c r="A51" s="3">
        <v>45</v>
      </c>
      <c r="B51" s="4" t="s">
        <v>85</v>
      </c>
      <c r="C51" s="4" t="s">
        <v>86</v>
      </c>
      <c r="D51" s="4" t="s">
        <v>87</v>
      </c>
      <c r="E51" s="5">
        <v>24000</v>
      </c>
      <c r="F51" s="6">
        <v>732.55200000000002</v>
      </c>
      <c r="G51" s="7">
        <v>6.7554800000000003E-3</v>
      </c>
      <c r="H51" s="53"/>
    </row>
    <row r="52" spans="1:8" ht="29.1" customHeight="1" x14ac:dyDescent="0.2">
      <c r="A52" s="3">
        <v>46</v>
      </c>
      <c r="B52" s="4" t="s">
        <v>723</v>
      </c>
      <c r="C52" s="4" t="s">
        <v>724</v>
      </c>
      <c r="D52" s="4" t="s">
        <v>201</v>
      </c>
      <c r="E52" s="5">
        <v>50000</v>
      </c>
      <c r="F52" s="6">
        <v>708.875</v>
      </c>
      <c r="G52" s="7">
        <v>6.5371400000000003E-3</v>
      </c>
      <c r="H52" s="53"/>
    </row>
    <row r="53" spans="1:8" ht="17.100000000000001" customHeight="1" x14ac:dyDescent="0.2">
      <c r="A53" s="3">
        <v>47</v>
      </c>
      <c r="B53" s="4" t="s">
        <v>329</v>
      </c>
      <c r="C53" s="4" t="s">
        <v>330</v>
      </c>
      <c r="D53" s="4" t="s">
        <v>331</v>
      </c>
      <c r="E53" s="5">
        <v>159000</v>
      </c>
      <c r="F53" s="6">
        <v>699.12300000000005</v>
      </c>
      <c r="G53" s="7">
        <v>6.4472100000000001E-3</v>
      </c>
      <c r="H53" s="53"/>
    </row>
    <row r="54" spans="1:8" ht="29.1" customHeight="1" x14ac:dyDescent="0.2">
      <c r="A54" s="3">
        <v>48</v>
      </c>
      <c r="B54" s="4" t="s">
        <v>816</v>
      </c>
      <c r="C54" s="4" t="s">
        <v>817</v>
      </c>
      <c r="D54" s="4" t="s">
        <v>224</v>
      </c>
      <c r="E54" s="5">
        <v>79880</v>
      </c>
      <c r="F54" s="6">
        <v>697.71186</v>
      </c>
      <c r="G54" s="7">
        <v>6.4341900000000002E-3</v>
      </c>
      <c r="H54" s="53"/>
    </row>
    <row r="55" spans="1:8" ht="17.100000000000001" customHeight="1" x14ac:dyDescent="0.2">
      <c r="A55" s="3">
        <v>49</v>
      </c>
      <c r="B55" s="4" t="s">
        <v>565</v>
      </c>
      <c r="C55" s="4" t="s">
        <v>566</v>
      </c>
      <c r="D55" s="4" t="s">
        <v>905</v>
      </c>
      <c r="E55" s="5">
        <v>57000</v>
      </c>
      <c r="F55" s="6">
        <v>685.11149999999998</v>
      </c>
      <c r="G55" s="7">
        <v>6.3179999999999998E-3</v>
      </c>
      <c r="H55" s="53"/>
    </row>
    <row r="56" spans="1:8" ht="17.100000000000001" customHeight="1" x14ac:dyDescent="0.2">
      <c r="A56" s="3">
        <v>50</v>
      </c>
      <c r="B56" s="4" t="s">
        <v>736</v>
      </c>
      <c r="C56" s="4" t="s">
        <v>737</v>
      </c>
      <c r="D56" s="4" t="s">
        <v>238</v>
      </c>
      <c r="E56" s="5">
        <v>3000</v>
      </c>
      <c r="F56" s="6">
        <v>659.59199999999998</v>
      </c>
      <c r="G56" s="7">
        <v>6.0826600000000002E-3</v>
      </c>
      <c r="H56" s="53"/>
    </row>
    <row r="57" spans="1:8" ht="29.1" customHeight="1" x14ac:dyDescent="0.2">
      <c r="A57" s="3">
        <v>51</v>
      </c>
      <c r="B57" s="4" t="s">
        <v>241</v>
      </c>
      <c r="C57" s="4" t="s">
        <v>242</v>
      </c>
      <c r="D57" s="4" t="s">
        <v>224</v>
      </c>
      <c r="E57" s="5">
        <v>18000</v>
      </c>
      <c r="F57" s="6">
        <v>655.71299999999997</v>
      </c>
      <c r="G57" s="7">
        <v>6.0468900000000001E-3</v>
      </c>
      <c r="H57" s="53"/>
    </row>
    <row r="58" spans="1:8" ht="17.100000000000001" customHeight="1" x14ac:dyDescent="0.2">
      <c r="A58" s="3">
        <v>52</v>
      </c>
      <c r="B58" s="4" t="s">
        <v>135</v>
      </c>
      <c r="C58" s="4" t="s">
        <v>136</v>
      </c>
      <c r="D58" s="4" t="s">
        <v>130</v>
      </c>
      <c r="E58" s="5">
        <v>274000</v>
      </c>
      <c r="F58" s="6">
        <v>639.79</v>
      </c>
      <c r="G58" s="7">
        <v>5.9000500000000004E-3</v>
      </c>
      <c r="H58" s="53"/>
    </row>
    <row r="59" spans="1:8" ht="17.100000000000001" customHeight="1" x14ac:dyDescent="0.2">
      <c r="A59" s="3">
        <v>53</v>
      </c>
      <c r="B59" s="4" t="s">
        <v>561</v>
      </c>
      <c r="C59" s="4" t="s">
        <v>562</v>
      </c>
      <c r="D59" s="4" t="s">
        <v>238</v>
      </c>
      <c r="E59" s="5">
        <v>14000</v>
      </c>
      <c r="F59" s="6">
        <v>625.48500000000001</v>
      </c>
      <c r="G59" s="7">
        <v>5.7681299999999998E-3</v>
      </c>
      <c r="H59" s="53"/>
    </row>
    <row r="60" spans="1:8" ht="17.100000000000001" customHeight="1" x14ac:dyDescent="0.2">
      <c r="A60" s="3">
        <v>54</v>
      </c>
      <c r="B60" s="4" t="s">
        <v>338</v>
      </c>
      <c r="C60" s="4" t="s">
        <v>339</v>
      </c>
      <c r="D60" s="4" t="s">
        <v>28</v>
      </c>
      <c r="E60" s="5">
        <v>194000</v>
      </c>
      <c r="F60" s="6">
        <v>621.57600000000002</v>
      </c>
      <c r="G60" s="7">
        <v>5.7320799999999996E-3</v>
      </c>
      <c r="H60" s="53"/>
    </row>
    <row r="61" spans="1:8" ht="17.100000000000001" customHeight="1" x14ac:dyDescent="0.2">
      <c r="A61" s="3">
        <v>55</v>
      </c>
      <c r="B61" s="4" t="s">
        <v>719</v>
      </c>
      <c r="C61" s="4" t="s">
        <v>720</v>
      </c>
      <c r="D61" s="4" t="s">
        <v>286</v>
      </c>
      <c r="E61" s="5">
        <v>31421</v>
      </c>
      <c r="F61" s="6">
        <v>610.21153049999998</v>
      </c>
      <c r="G61" s="7">
        <v>5.6272800000000001E-3</v>
      </c>
      <c r="H61" s="53"/>
    </row>
    <row r="62" spans="1:8" ht="29.1" customHeight="1" x14ac:dyDescent="0.2">
      <c r="A62" s="3">
        <v>56</v>
      </c>
      <c r="B62" s="4" t="s">
        <v>738</v>
      </c>
      <c r="C62" s="4" t="s">
        <v>739</v>
      </c>
      <c r="D62" s="4" t="s">
        <v>224</v>
      </c>
      <c r="E62" s="5">
        <v>70000</v>
      </c>
      <c r="F62" s="6">
        <v>581</v>
      </c>
      <c r="G62" s="7">
        <v>5.3578999999999996E-3</v>
      </c>
      <c r="H62" s="53"/>
    </row>
    <row r="63" spans="1:8" ht="17.100000000000001" customHeight="1" x14ac:dyDescent="0.2">
      <c r="A63" s="3">
        <v>57</v>
      </c>
      <c r="B63" s="4" t="s">
        <v>510</v>
      </c>
      <c r="C63" s="4" t="s">
        <v>511</v>
      </c>
      <c r="D63" s="4" t="s">
        <v>905</v>
      </c>
      <c r="E63" s="5">
        <v>33000</v>
      </c>
      <c r="F63" s="6">
        <v>577.07100000000003</v>
      </c>
      <c r="G63" s="7">
        <v>5.3216599999999998E-3</v>
      </c>
      <c r="H63" s="53"/>
    </row>
    <row r="64" spans="1:8" ht="17.100000000000001" customHeight="1" x14ac:dyDescent="0.2">
      <c r="A64" s="3">
        <v>58</v>
      </c>
      <c r="B64" s="4" t="s">
        <v>818</v>
      </c>
      <c r="C64" s="4" t="s">
        <v>819</v>
      </c>
      <c r="D64" s="4" t="s">
        <v>238</v>
      </c>
      <c r="E64" s="5">
        <v>35000</v>
      </c>
      <c r="F64" s="6">
        <v>574.84</v>
      </c>
      <c r="G64" s="7">
        <v>5.3010899999999996E-3</v>
      </c>
      <c r="H64" s="53"/>
    </row>
    <row r="65" spans="1:8" ht="17.100000000000001" customHeight="1" x14ac:dyDescent="0.2">
      <c r="A65" s="3">
        <v>59</v>
      </c>
      <c r="B65" s="4" t="s">
        <v>354</v>
      </c>
      <c r="C65" s="4" t="s">
        <v>355</v>
      </c>
      <c r="D65" s="4" t="s">
        <v>73</v>
      </c>
      <c r="E65" s="5">
        <v>17000</v>
      </c>
      <c r="F65" s="6">
        <v>553.53700000000003</v>
      </c>
      <c r="G65" s="7">
        <v>5.1046399999999997E-3</v>
      </c>
      <c r="H65" s="53"/>
    </row>
    <row r="66" spans="1:8" ht="29.1" customHeight="1" x14ac:dyDescent="0.2">
      <c r="A66" s="3">
        <v>60</v>
      </c>
      <c r="B66" s="4" t="s">
        <v>344</v>
      </c>
      <c r="C66" s="4" t="s">
        <v>345</v>
      </c>
      <c r="D66" s="4" t="s">
        <v>224</v>
      </c>
      <c r="E66" s="5">
        <v>14839</v>
      </c>
      <c r="F66" s="6">
        <v>533.03171899999995</v>
      </c>
      <c r="G66" s="7">
        <v>4.9155400000000004E-3</v>
      </c>
      <c r="H66" s="53"/>
    </row>
    <row r="67" spans="1:8" ht="17.100000000000001" customHeight="1" x14ac:dyDescent="0.2">
      <c r="A67" s="3">
        <v>61</v>
      </c>
      <c r="B67" s="4" t="s">
        <v>262</v>
      </c>
      <c r="C67" s="4" t="s">
        <v>263</v>
      </c>
      <c r="D67" s="4" t="s">
        <v>264</v>
      </c>
      <c r="E67" s="5">
        <v>200000</v>
      </c>
      <c r="F67" s="6">
        <v>524.4</v>
      </c>
      <c r="G67" s="7">
        <v>4.8359400000000004E-3</v>
      </c>
      <c r="H67" s="53"/>
    </row>
    <row r="68" spans="1:8" ht="17.100000000000001" customHeight="1" x14ac:dyDescent="0.2">
      <c r="A68" s="3">
        <v>62</v>
      </c>
      <c r="B68" s="4" t="s">
        <v>546</v>
      </c>
      <c r="C68" s="4" t="s">
        <v>547</v>
      </c>
      <c r="D68" s="4" t="s">
        <v>281</v>
      </c>
      <c r="E68" s="5">
        <v>52000</v>
      </c>
      <c r="F68" s="6">
        <v>523.92600000000004</v>
      </c>
      <c r="G68" s="7">
        <v>4.8315700000000003E-3</v>
      </c>
      <c r="H68" s="53"/>
    </row>
    <row r="69" spans="1:8" ht="17.100000000000001" customHeight="1" x14ac:dyDescent="0.2">
      <c r="A69" s="3">
        <v>63</v>
      </c>
      <c r="B69" s="4" t="s">
        <v>90</v>
      </c>
      <c r="C69" s="4" t="s">
        <v>91</v>
      </c>
      <c r="D69" s="4" t="s">
        <v>92</v>
      </c>
      <c r="E69" s="5">
        <v>46000</v>
      </c>
      <c r="F69" s="6">
        <v>515.59100000000001</v>
      </c>
      <c r="G69" s="7">
        <v>4.7546999999999997E-3</v>
      </c>
      <c r="H69" s="53"/>
    </row>
    <row r="70" spans="1:8" ht="17.100000000000001" customHeight="1" x14ac:dyDescent="0.2">
      <c r="A70" s="3">
        <v>64</v>
      </c>
      <c r="B70" s="4" t="s">
        <v>393</v>
      </c>
      <c r="C70" s="4" t="s">
        <v>394</v>
      </c>
      <c r="D70" s="4" t="s">
        <v>229</v>
      </c>
      <c r="E70" s="5">
        <v>34000</v>
      </c>
      <c r="F70" s="6">
        <v>484.61900000000003</v>
      </c>
      <c r="G70" s="7">
        <v>4.4690800000000003E-3</v>
      </c>
      <c r="H70" s="53"/>
    </row>
    <row r="71" spans="1:8" ht="17.100000000000001" customHeight="1" x14ac:dyDescent="0.2">
      <c r="A71" s="3">
        <v>65</v>
      </c>
      <c r="B71" s="4" t="s">
        <v>362</v>
      </c>
      <c r="C71" s="4" t="s">
        <v>363</v>
      </c>
      <c r="D71" s="4" t="s">
        <v>206</v>
      </c>
      <c r="E71" s="5">
        <v>370890</v>
      </c>
      <c r="F71" s="6">
        <v>361.98863999999998</v>
      </c>
      <c r="G71" s="7">
        <v>3.3382099999999999E-3</v>
      </c>
      <c r="H71" s="53"/>
    </row>
    <row r="72" spans="1:8" ht="29.1" customHeight="1" x14ac:dyDescent="0.2">
      <c r="A72" s="3">
        <v>66</v>
      </c>
      <c r="B72" s="4" t="s">
        <v>199</v>
      </c>
      <c r="C72" s="4" t="s">
        <v>200</v>
      </c>
      <c r="D72" s="4" t="s">
        <v>201</v>
      </c>
      <c r="E72" s="5">
        <v>7000</v>
      </c>
      <c r="F72" s="6">
        <v>322.33949999999999</v>
      </c>
      <c r="G72" s="7">
        <v>2.9725699999999999E-3</v>
      </c>
      <c r="H72" s="53"/>
    </row>
    <row r="73" spans="1:8" ht="17.100000000000001" customHeight="1" x14ac:dyDescent="0.2">
      <c r="A73" s="3">
        <v>67</v>
      </c>
      <c r="B73" s="4" t="s">
        <v>744</v>
      </c>
      <c r="C73" s="4" t="s">
        <v>745</v>
      </c>
      <c r="D73" s="4" t="s">
        <v>73</v>
      </c>
      <c r="E73" s="5">
        <v>30000</v>
      </c>
      <c r="F73" s="6">
        <v>222.13499999999999</v>
      </c>
      <c r="G73" s="7">
        <v>2.0485E-3</v>
      </c>
      <c r="H73" s="53"/>
    </row>
    <row r="74" spans="1:8" ht="17.100000000000001" customHeight="1" x14ac:dyDescent="0.2">
      <c r="A74" s="3">
        <v>68</v>
      </c>
      <c r="B74" s="4" t="s">
        <v>727</v>
      </c>
      <c r="C74" s="4" t="s">
        <v>728</v>
      </c>
      <c r="D74" s="4" t="s">
        <v>130</v>
      </c>
      <c r="E74" s="5">
        <v>53206</v>
      </c>
      <c r="F74" s="6">
        <v>95.132328000000001</v>
      </c>
      <c r="G74" s="7">
        <v>8.7730000000000002E-4</v>
      </c>
      <c r="H74" s="53"/>
    </row>
    <row r="75" spans="1:8" ht="14.1" customHeight="1" x14ac:dyDescent="0.2">
      <c r="A75" s="1"/>
      <c r="B75" s="1"/>
      <c r="C75" s="2" t="s">
        <v>144</v>
      </c>
      <c r="D75" s="1"/>
      <c r="E75" s="1" t="s">
        <v>145</v>
      </c>
      <c r="F75" s="9">
        <v>104459.93441649998</v>
      </c>
      <c r="G75" s="10">
        <v>0.96331386000000052</v>
      </c>
      <c r="H75" s="53"/>
    </row>
    <row r="76" spans="1:8" ht="14.1" customHeight="1" x14ac:dyDescent="0.2">
      <c r="A76" s="1"/>
      <c r="B76" s="1"/>
      <c r="C76" s="11"/>
      <c r="D76" s="1"/>
      <c r="E76" s="1"/>
      <c r="F76" s="12"/>
      <c r="G76" s="12"/>
      <c r="H76" s="53"/>
    </row>
    <row r="77" spans="1:8" ht="14.1" customHeight="1" x14ac:dyDescent="0.2">
      <c r="A77" s="1"/>
      <c r="B77" s="1"/>
      <c r="C77" s="2" t="s">
        <v>146</v>
      </c>
      <c r="D77" s="1"/>
      <c r="E77" s="1"/>
      <c r="F77" s="1"/>
      <c r="G77" s="1"/>
      <c r="H77" s="53"/>
    </row>
    <row r="78" spans="1:8" ht="14.1" customHeight="1" x14ac:dyDescent="0.2">
      <c r="A78" s="1"/>
      <c r="B78" s="1"/>
      <c r="C78" s="2" t="s">
        <v>144</v>
      </c>
      <c r="D78" s="1"/>
      <c r="E78" s="1" t="s">
        <v>145</v>
      </c>
      <c r="F78" s="13" t="s">
        <v>147</v>
      </c>
      <c r="G78" s="10">
        <v>0</v>
      </c>
      <c r="H78" s="53"/>
    </row>
    <row r="79" spans="1:8" ht="14.1" customHeight="1" x14ac:dyDescent="0.2">
      <c r="A79" s="1"/>
      <c r="B79" s="1"/>
      <c r="C79" s="11"/>
      <c r="D79" s="1"/>
      <c r="E79" s="1"/>
      <c r="F79" s="12"/>
      <c r="G79" s="12"/>
      <c r="H79" s="53"/>
    </row>
    <row r="80" spans="1:8" ht="14.1" customHeight="1" x14ac:dyDescent="0.2">
      <c r="A80" s="1"/>
      <c r="B80" s="1"/>
      <c r="C80" s="2" t="s">
        <v>148</v>
      </c>
      <c r="D80" s="1"/>
      <c r="E80" s="1"/>
      <c r="F80" s="1"/>
      <c r="G80" s="1"/>
      <c r="H80" s="53"/>
    </row>
    <row r="81" spans="1:8" ht="17.100000000000001" customHeight="1" x14ac:dyDescent="0.2">
      <c r="A81" s="3">
        <v>1</v>
      </c>
      <c r="B81" s="4" t="s">
        <v>567</v>
      </c>
      <c r="C81" s="4" t="s">
        <v>1157</v>
      </c>
      <c r="D81" s="4" t="s">
        <v>229</v>
      </c>
      <c r="E81" s="5">
        <v>374002</v>
      </c>
      <c r="F81" s="6">
        <v>17.952096000000001</v>
      </c>
      <c r="G81" s="7">
        <v>1.6555000000000001E-4</v>
      </c>
      <c r="H81" s="53"/>
    </row>
    <row r="82" spans="1:8" ht="17.100000000000001" customHeight="1" x14ac:dyDescent="0.2">
      <c r="A82" s="3">
        <v>2</v>
      </c>
      <c r="B82" s="4" t="s">
        <v>750</v>
      </c>
      <c r="C82" s="4" t="s">
        <v>1158</v>
      </c>
      <c r="D82" s="4"/>
      <c r="E82" s="5">
        <v>200000</v>
      </c>
      <c r="F82" s="6">
        <v>1.9999999999999999E-6</v>
      </c>
      <c r="G82" s="8" t="s">
        <v>143</v>
      </c>
      <c r="H82" s="53"/>
    </row>
    <row r="83" spans="1:8" ht="14.1" customHeight="1" x14ac:dyDescent="0.2">
      <c r="A83" s="1"/>
      <c r="B83" s="1"/>
      <c r="C83" s="2" t="s">
        <v>144</v>
      </c>
      <c r="D83" s="1"/>
      <c r="E83" s="1" t="s">
        <v>145</v>
      </c>
      <c r="F83" s="9">
        <v>17.952097999999999</v>
      </c>
      <c r="G83" s="10">
        <v>1.6555000000000001E-4</v>
      </c>
      <c r="H83" s="53"/>
    </row>
    <row r="84" spans="1:8" ht="14.1" customHeight="1" x14ac:dyDescent="0.2">
      <c r="A84" s="1"/>
      <c r="B84" s="1"/>
      <c r="C84" s="11"/>
      <c r="D84" s="1"/>
      <c r="E84" s="1"/>
      <c r="F84" s="12"/>
      <c r="G84" s="12"/>
      <c r="H84" s="53"/>
    </row>
    <row r="85" spans="1:8" ht="14.1" customHeight="1" x14ac:dyDescent="0.2">
      <c r="A85" s="1"/>
      <c r="B85" s="1"/>
      <c r="C85" s="2" t="s">
        <v>149</v>
      </c>
      <c r="D85" s="1"/>
      <c r="E85" s="1"/>
      <c r="F85" s="1"/>
      <c r="G85" s="1"/>
      <c r="H85" s="53"/>
    </row>
    <row r="86" spans="1:8" ht="14.1" customHeight="1" x14ac:dyDescent="0.2">
      <c r="A86" s="1"/>
      <c r="B86" s="1"/>
      <c r="C86" s="2" t="s">
        <v>144</v>
      </c>
      <c r="D86" s="1"/>
      <c r="E86" s="1" t="s">
        <v>145</v>
      </c>
      <c r="F86" s="13" t="s">
        <v>147</v>
      </c>
      <c r="G86" s="10">
        <v>0</v>
      </c>
      <c r="H86" s="53"/>
    </row>
    <row r="87" spans="1:8" ht="14.1" customHeight="1" x14ac:dyDescent="0.2">
      <c r="A87" s="1"/>
      <c r="B87" s="1"/>
      <c r="C87" s="11"/>
      <c r="D87" s="1"/>
      <c r="E87" s="1"/>
      <c r="F87" s="12"/>
      <c r="G87" s="12"/>
      <c r="H87" s="53"/>
    </row>
    <row r="88" spans="1:8" ht="14.1" customHeight="1" x14ac:dyDescent="0.2">
      <c r="A88" s="1"/>
      <c r="B88" s="1"/>
      <c r="C88" s="2" t="s">
        <v>150</v>
      </c>
      <c r="D88" s="1"/>
      <c r="E88" s="1"/>
      <c r="F88" s="12"/>
      <c r="G88" s="12"/>
      <c r="H88" s="53"/>
    </row>
    <row r="89" spans="1:8" ht="14.1" customHeight="1" x14ac:dyDescent="0.2">
      <c r="A89" s="1"/>
      <c r="B89" s="1"/>
      <c r="C89" s="2" t="s">
        <v>144</v>
      </c>
      <c r="D89" s="1"/>
      <c r="E89" s="1" t="s">
        <v>145</v>
      </c>
      <c r="F89" s="13" t="s">
        <v>147</v>
      </c>
      <c r="G89" s="10">
        <v>0</v>
      </c>
      <c r="H89" s="53"/>
    </row>
    <row r="90" spans="1:8" ht="14.1" customHeight="1" x14ac:dyDescent="0.2">
      <c r="A90" s="1"/>
      <c r="B90" s="1"/>
      <c r="C90" s="11"/>
      <c r="D90" s="1"/>
      <c r="E90" s="1"/>
      <c r="F90" s="12"/>
      <c r="G90" s="12"/>
      <c r="H90" s="53"/>
    </row>
    <row r="91" spans="1:8" ht="14.1" customHeight="1" x14ac:dyDescent="0.2">
      <c r="A91" s="1"/>
      <c r="B91" s="1"/>
      <c r="C91" s="2" t="s">
        <v>151</v>
      </c>
      <c r="D91" s="1"/>
      <c r="E91" s="1"/>
      <c r="F91" s="12"/>
      <c r="G91" s="12"/>
      <c r="H91" s="53"/>
    </row>
    <row r="92" spans="1:8" ht="14.1" customHeight="1" x14ac:dyDescent="0.2">
      <c r="A92" s="1"/>
      <c r="B92" s="1"/>
      <c r="C92" s="2" t="s">
        <v>144</v>
      </c>
      <c r="D92" s="1"/>
      <c r="E92" s="1" t="s">
        <v>145</v>
      </c>
      <c r="F92" s="13" t="s">
        <v>147</v>
      </c>
      <c r="G92" s="10">
        <v>0</v>
      </c>
      <c r="H92" s="53"/>
    </row>
    <row r="93" spans="1:8" ht="14.1" customHeight="1" x14ac:dyDescent="0.2">
      <c r="A93" s="1"/>
      <c r="B93" s="1"/>
      <c r="C93" s="11"/>
      <c r="D93" s="1"/>
      <c r="E93" s="1"/>
      <c r="F93" s="12"/>
      <c r="G93" s="12"/>
      <c r="H93" s="53"/>
    </row>
    <row r="94" spans="1:8" ht="18" customHeight="1" x14ac:dyDescent="0.2">
      <c r="A94" s="1"/>
      <c r="B94" s="1"/>
      <c r="C94" s="2" t="s">
        <v>152</v>
      </c>
      <c r="D94" s="1"/>
      <c r="E94" s="1"/>
      <c r="F94" s="9">
        <v>104477.8865145</v>
      </c>
      <c r="G94" s="10">
        <v>0.96347941000000004</v>
      </c>
      <c r="H94" s="53"/>
    </row>
    <row r="95" spans="1:8" ht="14.1" customHeight="1" x14ac:dyDescent="0.2">
      <c r="A95" s="1"/>
      <c r="B95" s="1"/>
      <c r="C95" s="11"/>
      <c r="D95" s="1"/>
      <c r="E95" s="1"/>
      <c r="F95" s="12"/>
      <c r="G95" s="12"/>
      <c r="H95" s="53"/>
    </row>
    <row r="96" spans="1:8" ht="14.1" customHeight="1" x14ac:dyDescent="0.2">
      <c r="A96" s="1"/>
      <c r="B96" s="1"/>
      <c r="C96" s="2" t="s">
        <v>153</v>
      </c>
      <c r="D96" s="1"/>
      <c r="E96" s="1"/>
      <c r="F96" s="12"/>
      <c r="G96" s="12"/>
      <c r="H96" s="53"/>
    </row>
    <row r="97" spans="1:8" ht="24" customHeight="1" x14ac:dyDescent="0.2">
      <c r="A97" s="1"/>
      <c r="B97" s="1"/>
      <c r="C97" s="2" t="s">
        <v>10</v>
      </c>
      <c r="D97" s="1"/>
      <c r="E97" s="1"/>
      <c r="F97" s="12"/>
      <c r="G97" s="12"/>
      <c r="H97" s="53"/>
    </row>
    <row r="98" spans="1:8" ht="14.1" customHeight="1" x14ac:dyDescent="0.2">
      <c r="A98" s="1"/>
      <c r="B98" s="1"/>
      <c r="C98" s="2" t="s">
        <v>144</v>
      </c>
      <c r="D98" s="1"/>
      <c r="E98" s="1" t="s">
        <v>145</v>
      </c>
      <c r="F98" s="13" t="s">
        <v>147</v>
      </c>
      <c r="G98" s="10">
        <v>0</v>
      </c>
      <c r="H98" s="53"/>
    </row>
    <row r="99" spans="1:8" ht="14.1" customHeight="1" x14ac:dyDescent="0.2">
      <c r="A99" s="1"/>
      <c r="B99" s="1"/>
      <c r="C99" s="11"/>
      <c r="D99" s="1"/>
      <c r="E99" s="1"/>
      <c r="F99" s="12"/>
      <c r="G99" s="12"/>
      <c r="H99" s="53"/>
    </row>
    <row r="100" spans="1:8" ht="14.1" customHeight="1" x14ac:dyDescent="0.2">
      <c r="A100" s="1"/>
      <c r="B100" s="1"/>
      <c r="C100" s="2" t="s">
        <v>154</v>
      </c>
      <c r="D100" s="1"/>
      <c r="E100" s="1"/>
      <c r="F100" s="1"/>
      <c r="G100" s="1"/>
      <c r="H100" s="53"/>
    </row>
    <row r="101" spans="1:8" ht="14.1" customHeight="1" x14ac:dyDescent="0.2">
      <c r="A101" s="1"/>
      <c r="B101" s="1"/>
      <c r="C101" s="2" t="s">
        <v>144</v>
      </c>
      <c r="D101" s="1"/>
      <c r="E101" s="1" t="s">
        <v>145</v>
      </c>
      <c r="F101" s="13" t="s">
        <v>147</v>
      </c>
      <c r="G101" s="10">
        <v>0</v>
      </c>
      <c r="H101" s="53"/>
    </row>
    <row r="102" spans="1:8" ht="14.1" customHeight="1" x14ac:dyDescent="0.2">
      <c r="A102" s="1"/>
      <c r="B102" s="1"/>
      <c r="C102" s="11"/>
      <c r="D102" s="1"/>
      <c r="E102" s="1"/>
      <c r="F102" s="12"/>
      <c r="G102" s="12"/>
      <c r="H102" s="53"/>
    </row>
    <row r="103" spans="1:8" ht="14.1" customHeight="1" x14ac:dyDescent="0.2">
      <c r="A103" s="1"/>
      <c r="B103" s="1"/>
      <c r="C103" s="2" t="s">
        <v>155</v>
      </c>
      <c r="D103" s="1"/>
      <c r="E103" s="1"/>
      <c r="F103" s="1"/>
      <c r="G103" s="1"/>
      <c r="H103" s="53"/>
    </row>
    <row r="104" spans="1:8" ht="14.1" customHeight="1" x14ac:dyDescent="0.2">
      <c r="A104" s="1"/>
      <c r="B104" s="1"/>
      <c r="C104" s="2" t="s">
        <v>144</v>
      </c>
      <c r="D104" s="1"/>
      <c r="E104" s="1" t="s">
        <v>145</v>
      </c>
      <c r="F104" s="13" t="s">
        <v>147</v>
      </c>
      <c r="G104" s="10">
        <v>0</v>
      </c>
      <c r="H104" s="53"/>
    </row>
    <row r="105" spans="1:8" ht="14.1" customHeight="1" x14ac:dyDescent="0.2">
      <c r="A105" s="1"/>
      <c r="B105" s="1"/>
      <c r="C105" s="11"/>
      <c r="D105" s="1"/>
      <c r="E105" s="1"/>
      <c r="F105" s="12"/>
      <c r="G105" s="12"/>
      <c r="H105" s="53"/>
    </row>
    <row r="106" spans="1:8" ht="14.1" customHeight="1" x14ac:dyDescent="0.2">
      <c r="A106" s="1"/>
      <c r="B106" s="1"/>
      <c r="C106" s="2" t="s">
        <v>156</v>
      </c>
      <c r="D106" s="1"/>
      <c r="E106" s="1"/>
      <c r="F106" s="12"/>
      <c r="G106" s="12"/>
      <c r="H106" s="53"/>
    </row>
    <row r="107" spans="1:8" ht="14.1" customHeight="1" x14ac:dyDescent="0.2">
      <c r="A107" s="1"/>
      <c r="B107" s="1"/>
      <c r="C107" s="2" t="s">
        <v>144</v>
      </c>
      <c r="D107" s="1"/>
      <c r="E107" s="1" t="s">
        <v>145</v>
      </c>
      <c r="F107" s="13" t="s">
        <v>147</v>
      </c>
      <c r="G107" s="10">
        <v>0</v>
      </c>
      <c r="H107" s="53"/>
    </row>
    <row r="108" spans="1:8" ht="14.1" customHeight="1" x14ac:dyDescent="0.2">
      <c r="A108" s="1"/>
      <c r="B108" s="1"/>
      <c r="C108" s="11"/>
      <c r="D108" s="1"/>
      <c r="E108" s="1"/>
      <c r="F108" s="12"/>
      <c r="G108" s="12"/>
      <c r="H108" s="53"/>
    </row>
    <row r="109" spans="1:8" ht="14.1" customHeight="1" x14ac:dyDescent="0.2">
      <c r="A109" s="1"/>
      <c r="B109" s="1"/>
      <c r="C109" s="2" t="s">
        <v>157</v>
      </c>
      <c r="D109" s="1"/>
      <c r="E109" s="1"/>
      <c r="F109" s="9">
        <v>0</v>
      </c>
      <c r="G109" s="10">
        <v>0</v>
      </c>
      <c r="H109" s="53"/>
    </row>
    <row r="110" spans="1:8" ht="14.1" customHeight="1" x14ac:dyDescent="0.2">
      <c r="A110" s="1"/>
      <c r="B110" s="1"/>
      <c r="C110" s="11"/>
      <c r="D110" s="1"/>
      <c r="E110" s="1"/>
      <c r="F110" s="12"/>
      <c r="G110" s="12"/>
      <c r="H110" s="53"/>
    </row>
    <row r="111" spans="1:8" ht="14.1" customHeight="1" x14ac:dyDescent="0.2">
      <c r="A111" s="1"/>
      <c r="B111" s="1"/>
      <c r="C111" s="2" t="s">
        <v>158</v>
      </c>
      <c r="D111" s="1"/>
      <c r="E111" s="1"/>
      <c r="F111" s="12"/>
      <c r="G111" s="12"/>
      <c r="H111" s="53"/>
    </row>
    <row r="112" spans="1:8" ht="14.1" customHeight="1" x14ac:dyDescent="0.2">
      <c r="A112" s="1"/>
      <c r="B112" s="1"/>
      <c r="C112" s="2" t="s">
        <v>159</v>
      </c>
      <c r="D112" s="1"/>
      <c r="E112" s="1"/>
      <c r="F112" s="12"/>
      <c r="G112" s="12"/>
      <c r="H112" s="53"/>
    </row>
    <row r="113" spans="1:8" ht="14.1" customHeight="1" x14ac:dyDescent="0.2">
      <c r="A113" s="1"/>
      <c r="B113" s="1"/>
      <c r="C113" s="2" t="s">
        <v>144</v>
      </c>
      <c r="D113" s="1"/>
      <c r="E113" s="1" t="s">
        <v>145</v>
      </c>
      <c r="F113" s="13" t="s">
        <v>147</v>
      </c>
      <c r="G113" s="10">
        <v>0</v>
      </c>
      <c r="H113" s="53"/>
    </row>
    <row r="114" spans="1:8" ht="14.1" customHeight="1" x14ac:dyDescent="0.2">
      <c r="A114" s="1"/>
      <c r="B114" s="1"/>
      <c r="C114" s="11"/>
      <c r="D114" s="1"/>
      <c r="E114" s="1"/>
      <c r="F114" s="12"/>
      <c r="G114" s="12"/>
      <c r="H114" s="53"/>
    </row>
    <row r="115" spans="1:8" ht="14.1" customHeight="1" x14ac:dyDescent="0.2">
      <c r="A115" s="1"/>
      <c r="B115" s="1"/>
      <c r="C115" s="2" t="s">
        <v>160</v>
      </c>
      <c r="D115" s="1"/>
      <c r="E115" s="1"/>
      <c r="F115" s="12"/>
      <c r="G115" s="12"/>
      <c r="H115" s="53"/>
    </row>
    <row r="116" spans="1:8" ht="14.1" customHeight="1" x14ac:dyDescent="0.2">
      <c r="A116" s="1"/>
      <c r="B116" s="1"/>
      <c r="C116" s="2" t="s">
        <v>144</v>
      </c>
      <c r="D116" s="1"/>
      <c r="E116" s="1" t="s">
        <v>145</v>
      </c>
      <c r="F116" s="13" t="s">
        <v>147</v>
      </c>
      <c r="G116" s="10">
        <v>0</v>
      </c>
      <c r="H116" s="53"/>
    </row>
    <row r="117" spans="1:8" ht="14.1" customHeight="1" x14ac:dyDescent="0.2">
      <c r="A117" s="1"/>
      <c r="B117" s="1"/>
      <c r="C117" s="11"/>
      <c r="D117" s="1"/>
      <c r="E117" s="1"/>
      <c r="F117" s="12"/>
      <c r="G117" s="12"/>
      <c r="H117" s="53"/>
    </row>
    <row r="118" spans="1:8" ht="14.1" customHeight="1" x14ac:dyDescent="0.2">
      <c r="A118" s="1"/>
      <c r="B118" s="1"/>
      <c r="C118" s="2" t="s">
        <v>161</v>
      </c>
      <c r="D118" s="1"/>
      <c r="E118" s="1"/>
      <c r="F118" s="12"/>
      <c r="G118" s="12"/>
      <c r="H118" s="53"/>
    </row>
    <row r="119" spans="1:8" ht="14.1" customHeight="1" x14ac:dyDescent="0.2">
      <c r="A119" s="1"/>
      <c r="B119" s="1"/>
      <c r="C119" s="2" t="s">
        <v>144</v>
      </c>
      <c r="D119" s="1"/>
      <c r="E119" s="1" t="s">
        <v>145</v>
      </c>
      <c r="F119" s="13" t="s">
        <v>147</v>
      </c>
      <c r="G119" s="10">
        <v>0</v>
      </c>
      <c r="H119" s="53"/>
    </row>
    <row r="120" spans="1:8" ht="14.1" customHeight="1" x14ac:dyDescent="0.2">
      <c r="A120" s="1"/>
      <c r="B120" s="1"/>
      <c r="C120" s="11"/>
      <c r="D120" s="1"/>
      <c r="E120" s="1"/>
      <c r="F120" s="12"/>
      <c r="G120" s="12"/>
      <c r="H120" s="53"/>
    </row>
    <row r="121" spans="1:8" ht="14.1" customHeight="1" x14ac:dyDescent="0.2">
      <c r="A121" s="1"/>
      <c r="B121" s="1"/>
      <c r="C121" s="2" t="s">
        <v>162</v>
      </c>
      <c r="D121" s="1"/>
      <c r="E121" s="1"/>
      <c r="F121" s="12"/>
      <c r="G121" s="12"/>
      <c r="H121" s="53"/>
    </row>
    <row r="122" spans="1:8" ht="17.100000000000001" customHeight="1" x14ac:dyDescent="0.2">
      <c r="A122" s="3">
        <v>1</v>
      </c>
      <c r="B122" s="4"/>
      <c r="C122" s="4" t="s">
        <v>163</v>
      </c>
      <c r="D122" s="4"/>
      <c r="E122" s="8"/>
      <c r="F122" s="6">
        <v>2395.4275149949999</v>
      </c>
      <c r="G122" s="7">
        <v>2.2090269999999999E-2</v>
      </c>
      <c r="H122" s="51">
        <v>6.6602331647804478</v>
      </c>
    </row>
    <row r="123" spans="1:8" ht="17.100000000000001" customHeight="1" x14ac:dyDescent="0.2">
      <c r="A123" s="3">
        <v>2</v>
      </c>
      <c r="B123" s="4"/>
      <c r="C123" s="4" t="s">
        <v>164</v>
      </c>
      <c r="D123" s="4"/>
      <c r="E123" s="8"/>
      <c r="F123" s="6">
        <v>1831.3716856999999</v>
      </c>
      <c r="G123" s="7">
        <v>1.6888630000000002E-2</v>
      </c>
      <c r="H123" s="51">
        <v>6.6588225936582406</v>
      </c>
    </row>
    <row r="124" spans="1:8" ht="14.1" customHeight="1" x14ac:dyDescent="0.2">
      <c r="A124" s="1"/>
      <c r="B124" s="1"/>
      <c r="C124" s="2" t="s">
        <v>144</v>
      </c>
      <c r="D124" s="1"/>
      <c r="E124" s="1" t="s">
        <v>145</v>
      </c>
      <c r="F124" s="9">
        <v>4226.7992006949999</v>
      </c>
      <c r="G124" s="10">
        <v>3.8978899999999997E-2</v>
      </c>
      <c r="H124" s="53"/>
    </row>
    <row r="125" spans="1:8" ht="14.1" customHeight="1" x14ac:dyDescent="0.2">
      <c r="A125" s="1"/>
      <c r="B125" s="1"/>
      <c r="C125" s="11"/>
      <c r="D125" s="1"/>
      <c r="E125" s="1"/>
      <c r="F125" s="12"/>
      <c r="G125" s="12"/>
      <c r="H125" s="53"/>
    </row>
    <row r="126" spans="1:8" ht="14.1" customHeight="1" x14ac:dyDescent="0.2">
      <c r="A126" s="1"/>
      <c r="B126" s="1"/>
      <c r="C126" s="2" t="s">
        <v>165</v>
      </c>
      <c r="D126" s="1"/>
      <c r="E126" s="1"/>
      <c r="F126" s="9">
        <v>4226.7992006949999</v>
      </c>
      <c r="G126" s="10">
        <v>3.8978899999999997E-2</v>
      </c>
      <c r="H126" s="53"/>
    </row>
    <row r="127" spans="1:8" ht="14.1" customHeight="1" x14ac:dyDescent="0.2">
      <c r="A127" s="1"/>
      <c r="B127" s="1"/>
      <c r="C127" s="12"/>
      <c r="D127" s="1"/>
      <c r="E127" s="1"/>
      <c r="F127" s="1"/>
      <c r="G127" s="1"/>
      <c r="H127" s="53"/>
    </row>
    <row r="128" spans="1:8" ht="14.1" customHeight="1" x14ac:dyDescent="0.2">
      <c r="A128" s="1"/>
      <c r="B128" s="1"/>
      <c r="C128" s="2" t="s">
        <v>166</v>
      </c>
      <c r="D128" s="1"/>
      <c r="E128" s="1"/>
      <c r="F128" s="1"/>
      <c r="G128" s="1"/>
      <c r="H128" s="53"/>
    </row>
    <row r="129" spans="1:8" ht="14.1" customHeight="1" x14ac:dyDescent="0.2">
      <c r="A129" s="1"/>
      <c r="B129" s="1"/>
      <c r="C129" s="2" t="s">
        <v>167</v>
      </c>
      <c r="D129" s="1"/>
      <c r="E129" s="1"/>
      <c r="F129" s="1"/>
      <c r="G129" s="1"/>
      <c r="H129" s="53"/>
    </row>
    <row r="130" spans="1:8" ht="14.1" customHeight="1" x14ac:dyDescent="0.2">
      <c r="A130" s="1"/>
      <c r="B130" s="1"/>
      <c r="C130" s="2" t="s">
        <v>144</v>
      </c>
      <c r="D130" s="1"/>
      <c r="E130" s="1" t="s">
        <v>145</v>
      </c>
      <c r="F130" s="13" t="s">
        <v>147</v>
      </c>
      <c r="G130" s="10">
        <v>0</v>
      </c>
      <c r="H130" s="53"/>
    </row>
    <row r="131" spans="1:8" ht="14.1" customHeight="1" x14ac:dyDescent="0.2">
      <c r="A131" s="1"/>
      <c r="B131" s="1"/>
      <c r="C131" s="11"/>
      <c r="D131" s="1"/>
      <c r="E131" s="1"/>
      <c r="F131" s="12"/>
      <c r="G131" s="12"/>
      <c r="H131" s="53"/>
    </row>
    <row r="132" spans="1:8" ht="14.1" customHeight="1" x14ac:dyDescent="0.2">
      <c r="A132" s="1"/>
      <c r="B132" s="1"/>
      <c r="C132" s="2" t="s">
        <v>168</v>
      </c>
      <c r="D132" s="1"/>
      <c r="E132" s="1"/>
      <c r="F132" s="1"/>
      <c r="G132" s="1"/>
      <c r="H132" s="53"/>
    </row>
    <row r="133" spans="1:8" ht="14.1" customHeight="1" x14ac:dyDescent="0.2">
      <c r="A133" s="1"/>
      <c r="B133" s="1"/>
      <c r="C133" s="2" t="s">
        <v>169</v>
      </c>
      <c r="D133" s="1"/>
      <c r="E133" s="1"/>
      <c r="F133" s="1"/>
      <c r="G133" s="1"/>
      <c r="H133" s="53"/>
    </row>
    <row r="134" spans="1:8" ht="14.1" customHeight="1" x14ac:dyDescent="0.2">
      <c r="A134" s="1"/>
      <c r="B134" s="1"/>
      <c r="C134" s="2" t="s">
        <v>144</v>
      </c>
      <c r="D134" s="1"/>
      <c r="E134" s="1" t="s">
        <v>145</v>
      </c>
      <c r="F134" s="13" t="s">
        <v>147</v>
      </c>
      <c r="G134" s="10">
        <v>0</v>
      </c>
      <c r="H134" s="53"/>
    </row>
    <row r="135" spans="1:8" ht="14.1" customHeight="1" x14ac:dyDescent="0.2">
      <c r="A135" s="1"/>
      <c r="B135" s="1"/>
      <c r="C135" s="11"/>
      <c r="D135" s="1"/>
      <c r="E135" s="1"/>
      <c r="F135" s="12"/>
      <c r="G135" s="12"/>
      <c r="H135" s="53"/>
    </row>
    <row r="136" spans="1:8" ht="24" customHeight="1" x14ac:dyDescent="0.2">
      <c r="A136" s="1"/>
      <c r="B136" s="1"/>
      <c r="C136" s="2" t="s">
        <v>170</v>
      </c>
      <c r="D136" s="1"/>
      <c r="E136" s="1"/>
      <c r="F136" s="12"/>
      <c r="G136" s="12"/>
      <c r="H136" s="53"/>
    </row>
    <row r="137" spans="1:8" ht="14.1" customHeight="1" x14ac:dyDescent="0.2">
      <c r="A137" s="1"/>
      <c r="B137" s="1"/>
      <c r="C137" s="2" t="s">
        <v>144</v>
      </c>
      <c r="D137" s="1"/>
      <c r="E137" s="1" t="s">
        <v>145</v>
      </c>
      <c r="F137" s="13" t="s">
        <v>147</v>
      </c>
      <c r="G137" s="10">
        <v>0</v>
      </c>
      <c r="H137" s="53"/>
    </row>
    <row r="138" spans="1:8" ht="14.1" customHeight="1" x14ac:dyDescent="0.2">
      <c r="A138" s="1"/>
      <c r="B138" s="1"/>
      <c r="C138" s="11"/>
      <c r="D138" s="1"/>
      <c r="E138" s="1"/>
      <c r="F138" s="12"/>
      <c r="G138" s="12"/>
      <c r="H138" s="53"/>
    </row>
    <row r="139" spans="1:8" ht="14.1" customHeight="1" x14ac:dyDescent="0.2">
      <c r="A139" s="1"/>
      <c r="B139" s="4"/>
      <c r="C139" s="4"/>
      <c r="D139" s="2"/>
      <c r="E139" s="1"/>
      <c r="F139" s="4"/>
      <c r="G139" s="8"/>
      <c r="H139" s="53"/>
    </row>
    <row r="140" spans="1:8" ht="18" customHeight="1" x14ac:dyDescent="0.2">
      <c r="A140" s="8"/>
      <c r="B140" s="4"/>
      <c r="C140" s="4" t="s">
        <v>171</v>
      </c>
      <c r="D140" s="4"/>
      <c r="E140" s="8"/>
      <c r="F140" s="6">
        <v>-266.56807176000001</v>
      </c>
      <c r="G140" s="7">
        <v>-2.4582499999999999E-3</v>
      </c>
      <c r="H140" s="53"/>
    </row>
    <row r="141" spans="1:8" ht="14.1" customHeight="1" x14ac:dyDescent="0.2">
      <c r="A141" s="11"/>
      <c r="B141" s="11"/>
      <c r="C141" s="2" t="s">
        <v>172</v>
      </c>
      <c r="D141" s="12"/>
      <c r="E141" s="12"/>
      <c r="F141" s="9">
        <v>108438.11764343501</v>
      </c>
      <c r="G141" s="14">
        <v>1.0000000600000001</v>
      </c>
      <c r="H141" s="53"/>
    </row>
    <row r="142" spans="1:8" ht="14.1" customHeight="1" x14ac:dyDescent="0.2">
      <c r="A142" s="15"/>
      <c r="B142" s="15"/>
      <c r="C142" s="15"/>
      <c r="D142" s="16"/>
      <c r="E142" s="16"/>
      <c r="F142" s="16"/>
      <c r="G142" s="16"/>
    </row>
    <row r="143" spans="1:8" ht="17.100000000000001" customHeight="1" x14ac:dyDescent="0.2">
      <c r="A143" s="17"/>
      <c r="B143" s="230" t="s">
        <v>173</v>
      </c>
      <c r="C143" s="230"/>
      <c r="D143" s="230"/>
      <c r="E143" s="230"/>
      <c r="F143" s="230"/>
      <c r="G143" s="19"/>
    </row>
    <row r="144" spans="1:8" ht="14.1" customHeight="1" x14ac:dyDescent="0.2">
      <c r="A144" s="17"/>
      <c r="B144" s="17"/>
      <c r="C144" s="17"/>
      <c r="D144" s="19"/>
      <c r="E144" s="19"/>
      <c r="F144" s="19"/>
      <c r="G144" s="19"/>
    </row>
    <row r="145" spans="1:7" ht="14.1" customHeight="1" x14ac:dyDescent="0.2">
      <c r="A145" s="17"/>
      <c r="B145" s="231" t="s">
        <v>174</v>
      </c>
      <c r="C145" s="232"/>
      <c r="D145" s="233"/>
      <c r="E145" s="20"/>
      <c r="F145" s="19"/>
      <c r="G145" s="19"/>
    </row>
    <row r="146" spans="1:7" ht="29.1" customHeight="1" x14ac:dyDescent="0.2">
      <c r="A146" s="17"/>
      <c r="B146" s="226" t="s">
        <v>175</v>
      </c>
      <c r="C146" s="227"/>
      <c r="D146" s="42" t="s">
        <v>1006</v>
      </c>
      <c r="E146" s="20"/>
      <c r="F146" s="19"/>
      <c r="G146" s="19"/>
    </row>
    <row r="147" spans="1:7" ht="17.100000000000001" customHeight="1" x14ac:dyDescent="0.2">
      <c r="A147" s="17"/>
      <c r="B147" s="228" t="s">
        <v>884</v>
      </c>
      <c r="C147" s="229"/>
      <c r="D147" s="42" t="s">
        <v>899</v>
      </c>
      <c r="E147" s="20"/>
      <c r="F147" s="19"/>
      <c r="G147" s="19"/>
    </row>
    <row r="148" spans="1:7" ht="17.100000000000001" customHeight="1" x14ac:dyDescent="0.2">
      <c r="A148" s="17"/>
      <c r="B148" s="226" t="s">
        <v>178</v>
      </c>
      <c r="C148" s="227"/>
      <c r="D148" s="12" t="s">
        <v>145</v>
      </c>
      <c r="E148" s="20"/>
      <c r="F148" s="19"/>
      <c r="G148" s="19"/>
    </row>
    <row r="149" spans="1:7" ht="24" customHeight="1" x14ac:dyDescent="0.2">
      <c r="A149" s="21"/>
      <c r="B149" s="22" t="s">
        <v>145</v>
      </c>
      <c r="C149" s="22" t="s">
        <v>179</v>
      </c>
      <c r="D149" s="22" t="s">
        <v>180</v>
      </c>
      <c r="E149" s="21"/>
      <c r="F149" s="21"/>
      <c r="G149" s="21"/>
    </row>
    <row r="150" spans="1:7" ht="18" customHeight="1" x14ac:dyDescent="0.2">
      <c r="A150" s="21"/>
      <c r="B150" s="23" t="s">
        <v>181</v>
      </c>
      <c r="C150" s="22" t="s">
        <v>182</v>
      </c>
      <c r="D150" s="22" t="s">
        <v>183</v>
      </c>
      <c r="E150" s="21"/>
      <c r="F150" s="21"/>
      <c r="G150" s="21"/>
    </row>
    <row r="151" spans="1:7" ht="17.100000000000001" customHeight="1" x14ac:dyDescent="0.2">
      <c r="A151" s="21"/>
      <c r="B151" s="4" t="s">
        <v>184</v>
      </c>
      <c r="C151" s="24">
        <v>404.77140000000003</v>
      </c>
      <c r="D151" s="24">
        <v>403.55840000000001</v>
      </c>
      <c r="E151" s="21"/>
      <c r="F151" s="18"/>
      <c r="G151" s="25"/>
    </row>
    <row r="152" spans="1:7" ht="29.1" customHeight="1" x14ac:dyDescent="0.2">
      <c r="A152" s="21"/>
      <c r="B152" s="4" t="s">
        <v>1012</v>
      </c>
      <c r="C152" s="24">
        <v>404.38060000000002</v>
      </c>
      <c r="D152" s="24">
        <v>403.16879999999998</v>
      </c>
      <c r="E152" s="21"/>
      <c r="F152" s="18"/>
      <c r="G152" s="25"/>
    </row>
    <row r="153" spans="1:7" ht="17.100000000000001" customHeight="1" x14ac:dyDescent="0.2">
      <c r="A153" s="21"/>
      <c r="B153" s="4" t="s">
        <v>185</v>
      </c>
      <c r="C153" s="24">
        <v>382.69290000000001</v>
      </c>
      <c r="D153" s="24">
        <v>381.37810000000002</v>
      </c>
      <c r="E153" s="21"/>
      <c r="F153" s="18"/>
      <c r="G153" s="25"/>
    </row>
    <row r="154" spans="1:7" ht="29.1" customHeight="1" x14ac:dyDescent="0.2">
      <c r="A154" s="21"/>
      <c r="B154" s="4" t="s">
        <v>1013</v>
      </c>
      <c r="C154" s="24">
        <v>355.8596</v>
      </c>
      <c r="D154" s="24">
        <v>354.637</v>
      </c>
      <c r="E154" s="21"/>
      <c r="F154" s="18"/>
      <c r="G154" s="25"/>
    </row>
    <row r="155" spans="1:7" ht="14.1" customHeight="1" x14ac:dyDescent="0.2">
      <c r="A155" s="21"/>
      <c r="B155" s="21"/>
      <c r="C155" s="21"/>
      <c r="D155" s="21"/>
      <c r="E155" s="21"/>
      <c r="F155" s="21"/>
      <c r="G155" s="21"/>
    </row>
    <row r="156" spans="1:7" ht="17.100000000000001" customHeight="1" x14ac:dyDescent="0.2">
      <c r="A156" s="21"/>
      <c r="B156" s="226" t="s">
        <v>1011</v>
      </c>
      <c r="C156" s="227"/>
      <c r="D156" s="2" t="s">
        <v>176</v>
      </c>
      <c r="E156" s="21"/>
      <c r="F156" s="21"/>
      <c r="G156" s="21"/>
    </row>
    <row r="157" spans="1:7" ht="18" customHeight="1" x14ac:dyDescent="0.2">
      <c r="A157" s="21"/>
      <c r="B157" s="26"/>
      <c r="C157" s="26"/>
      <c r="D157" s="26"/>
      <c r="E157" s="21"/>
      <c r="F157" s="21"/>
      <c r="G157" s="21"/>
    </row>
    <row r="158" spans="1:7" ht="29.1" customHeight="1" x14ac:dyDescent="0.2">
      <c r="A158" s="21"/>
      <c r="B158" s="226" t="s">
        <v>186</v>
      </c>
      <c r="C158" s="227"/>
      <c r="D158" s="2" t="s">
        <v>176</v>
      </c>
      <c r="E158" s="27"/>
      <c r="F158" s="21"/>
      <c r="G158" s="21"/>
    </row>
    <row r="159" spans="1:7" ht="29.1" customHeight="1" x14ac:dyDescent="0.2">
      <c r="A159" s="21"/>
      <c r="B159" s="226" t="s">
        <v>187</v>
      </c>
      <c r="C159" s="227"/>
      <c r="D159" s="2" t="s">
        <v>176</v>
      </c>
      <c r="E159" s="27"/>
      <c r="F159" s="21"/>
      <c r="G159" s="21"/>
    </row>
    <row r="160" spans="1:7" ht="17.100000000000001" customHeight="1" x14ac:dyDescent="0.2">
      <c r="A160" s="21"/>
      <c r="B160" s="226" t="s">
        <v>188</v>
      </c>
      <c r="C160" s="227"/>
      <c r="D160" s="2" t="s">
        <v>176</v>
      </c>
      <c r="E160" s="27"/>
      <c r="F160" s="21"/>
      <c r="G160" s="21"/>
    </row>
    <row r="161" spans="1:7" ht="17.100000000000001" customHeight="1" x14ac:dyDescent="0.2">
      <c r="A161" s="21"/>
      <c r="B161" s="226" t="s">
        <v>189</v>
      </c>
      <c r="C161" s="227"/>
      <c r="D161" s="57">
        <v>0.33544978194621761</v>
      </c>
      <c r="E161" s="21"/>
      <c r="F161" s="18"/>
      <c r="G161" s="25"/>
    </row>
    <row r="163" spans="1:7" x14ac:dyDescent="0.2">
      <c r="B163" s="112" t="s">
        <v>1004</v>
      </c>
      <c r="C163" s="112"/>
      <c r="D163" s="112"/>
      <c r="E163" s="116"/>
      <c r="F163" s="117"/>
    </row>
    <row r="164" spans="1:7" ht="38.25" x14ac:dyDescent="0.2">
      <c r="B164" s="119" t="s">
        <v>972</v>
      </c>
      <c r="C164" s="119" t="s">
        <v>973</v>
      </c>
      <c r="D164" s="119" t="s">
        <v>974</v>
      </c>
      <c r="E164" s="119" t="s">
        <v>975</v>
      </c>
      <c r="F164" s="119" t="s">
        <v>976</v>
      </c>
    </row>
    <row r="165" spans="1:7" x14ac:dyDescent="0.2">
      <c r="B165" s="126" t="s">
        <v>1003</v>
      </c>
      <c r="C165" s="121" t="s">
        <v>1000</v>
      </c>
      <c r="D165" s="127">
        <v>0</v>
      </c>
      <c r="E165" s="128">
        <v>0</v>
      </c>
      <c r="F165" s="129">
        <v>0.54925000000000002</v>
      </c>
    </row>
  </sheetData>
  <mergeCells count="14">
    <mergeCell ref="A1:H1"/>
    <mergeCell ref="A2:H2"/>
    <mergeCell ref="A3:H3"/>
    <mergeCell ref="J2:N2"/>
    <mergeCell ref="B161:C161"/>
    <mergeCell ref="B147:C147"/>
    <mergeCell ref="B148:C148"/>
    <mergeCell ref="B156:C156"/>
    <mergeCell ref="B158:C158"/>
    <mergeCell ref="B159:C159"/>
    <mergeCell ref="B160:C160"/>
    <mergeCell ref="B146:C146"/>
    <mergeCell ref="B143:F143"/>
    <mergeCell ref="B145:D145"/>
  </mergeCells>
  <hyperlinks>
    <hyperlink ref="I1" location="Index!B25" display="Index" xr:uid="{D6184BB1-BA19-47D9-B755-CBBC58E7C0FD}"/>
  </hyperlinks>
  <pageMargins left="5.000000074505806E-2" right="5.000000074505806E-2" top="0.30000001192092896" bottom="0.20000000298023224" header="0" footer="0"/>
  <pageSetup paperSize="9" orientation="landscape"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N12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820</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336</v>
      </c>
      <c r="C7" s="4" t="s">
        <v>337</v>
      </c>
      <c r="D7" s="4" t="s">
        <v>331</v>
      </c>
      <c r="E7" s="5">
        <v>371782</v>
      </c>
      <c r="F7" s="6">
        <v>9313.3249909999995</v>
      </c>
      <c r="G7" s="7">
        <v>7.2924989999999995E-2</v>
      </c>
      <c r="H7" s="53"/>
    </row>
    <row r="8" spans="1:14" ht="17.100000000000001" customHeight="1" x14ac:dyDescent="0.2">
      <c r="A8" s="3">
        <v>2</v>
      </c>
      <c r="B8" s="4" t="s">
        <v>329</v>
      </c>
      <c r="C8" s="4" t="s">
        <v>330</v>
      </c>
      <c r="D8" s="4" t="s">
        <v>331</v>
      </c>
      <c r="E8" s="5">
        <v>2103660</v>
      </c>
      <c r="F8" s="6">
        <v>9249.7930199999992</v>
      </c>
      <c r="G8" s="7">
        <v>7.2427519999999995E-2</v>
      </c>
      <c r="H8" s="53"/>
    </row>
    <row r="9" spans="1:14" ht="17.100000000000001" customHeight="1" x14ac:dyDescent="0.2">
      <c r="A9" s="3">
        <v>3</v>
      </c>
      <c r="B9" s="4" t="s">
        <v>195</v>
      </c>
      <c r="C9" s="4" t="s">
        <v>196</v>
      </c>
      <c r="D9" s="4" t="s">
        <v>73</v>
      </c>
      <c r="E9" s="5">
        <v>3444054</v>
      </c>
      <c r="F9" s="6">
        <v>8672.1279720000002</v>
      </c>
      <c r="G9" s="7">
        <v>6.7904300000000001E-2</v>
      </c>
      <c r="H9" s="53"/>
    </row>
    <row r="10" spans="1:14" ht="17.100000000000001" customHeight="1" x14ac:dyDescent="0.2">
      <c r="A10" s="3">
        <v>4</v>
      </c>
      <c r="B10" s="4" t="s">
        <v>334</v>
      </c>
      <c r="C10" s="4" t="s">
        <v>335</v>
      </c>
      <c r="D10" s="4" t="s">
        <v>73</v>
      </c>
      <c r="E10" s="5">
        <v>255389</v>
      </c>
      <c r="F10" s="6">
        <v>7928.4238105000004</v>
      </c>
      <c r="G10" s="7">
        <v>6.2080969999999999E-2</v>
      </c>
      <c r="H10" s="53"/>
    </row>
    <row r="11" spans="1:14" ht="17.100000000000001" customHeight="1" x14ac:dyDescent="0.2">
      <c r="A11" s="3">
        <v>5</v>
      </c>
      <c r="B11" s="4" t="s">
        <v>14</v>
      </c>
      <c r="C11" s="4" t="s">
        <v>15</v>
      </c>
      <c r="D11" s="4" t="s">
        <v>16</v>
      </c>
      <c r="E11" s="5">
        <v>901929</v>
      </c>
      <c r="F11" s="6">
        <v>7724.1199559999995</v>
      </c>
      <c r="G11" s="7">
        <v>6.0481229999999997E-2</v>
      </c>
      <c r="H11" s="53"/>
    </row>
    <row r="12" spans="1:14" ht="17.100000000000001" customHeight="1" x14ac:dyDescent="0.2">
      <c r="A12" s="3">
        <v>6</v>
      </c>
      <c r="B12" s="4" t="s">
        <v>550</v>
      </c>
      <c r="C12" s="4" t="s">
        <v>551</v>
      </c>
      <c r="D12" s="4" t="s">
        <v>108</v>
      </c>
      <c r="E12" s="5">
        <v>405619</v>
      </c>
      <c r="F12" s="6">
        <v>6390.1217260000003</v>
      </c>
      <c r="G12" s="7">
        <v>5.0035789999999997E-2</v>
      </c>
      <c r="H12" s="53"/>
      <c r="J12" s="142"/>
    </row>
    <row r="13" spans="1:14" ht="17.100000000000001" customHeight="1" x14ac:dyDescent="0.2">
      <c r="A13" s="3">
        <v>7</v>
      </c>
      <c r="B13" s="4" t="s">
        <v>106</v>
      </c>
      <c r="C13" s="4" t="s">
        <v>107</v>
      </c>
      <c r="D13" s="4" t="s">
        <v>108</v>
      </c>
      <c r="E13" s="5">
        <v>63703</v>
      </c>
      <c r="F13" s="6">
        <v>6372.720714</v>
      </c>
      <c r="G13" s="7">
        <v>4.9899539999999999E-2</v>
      </c>
      <c r="H13" s="53"/>
    </row>
    <row r="14" spans="1:14" ht="17.100000000000001" customHeight="1" x14ac:dyDescent="0.2">
      <c r="A14" s="3">
        <v>8</v>
      </c>
      <c r="B14" s="4" t="s">
        <v>546</v>
      </c>
      <c r="C14" s="4" t="s">
        <v>547</v>
      </c>
      <c r="D14" s="4" t="s">
        <v>281</v>
      </c>
      <c r="E14" s="5">
        <v>564432</v>
      </c>
      <c r="F14" s="6">
        <v>5686.9346159999996</v>
      </c>
      <c r="G14" s="7">
        <v>4.452971E-2</v>
      </c>
      <c r="H14" s="53"/>
      <c r="J14" s="142" t="s">
        <v>1055</v>
      </c>
    </row>
    <row r="15" spans="1:14" ht="17.100000000000001" customHeight="1" x14ac:dyDescent="0.2">
      <c r="A15" s="3">
        <v>9</v>
      </c>
      <c r="B15" s="4" t="s">
        <v>381</v>
      </c>
      <c r="C15" s="4" t="s">
        <v>382</v>
      </c>
      <c r="D15" s="4" t="s">
        <v>73</v>
      </c>
      <c r="E15" s="5">
        <v>123246</v>
      </c>
      <c r="F15" s="6">
        <v>4541.1221159999996</v>
      </c>
      <c r="G15" s="7">
        <v>3.5557789999999999E-2</v>
      </c>
      <c r="H15" s="53"/>
    </row>
    <row r="16" spans="1:14" ht="17.100000000000001" customHeight="1" x14ac:dyDescent="0.2">
      <c r="A16" s="3">
        <v>10</v>
      </c>
      <c r="B16" s="4" t="s">
        <v>736</v>
      </c>
      <c r="C16" s="4" t="s">
        <v>737</v>
      </c>
      <c r="D16" s="4" t="s">
        <v>238</v>
      </c>
      <c r="E16" s="5">
        <v>19417</v>
      </c>
      <c r="F16" s="6">
        <v>4269.0992880000003</v>
      </c>
      <c r="G16" s="7">
        <v>3.3427810000000002E-2</v>
      </c>
      <c r="H16" s="53"/>
    </row>
    <row r="17" spans="1:8" ht="17.100000000000001" customHeight="1" x14ac:dyDescent="0.2">
      <c r="A17" s="3">
        <v>11</v>
      </c>
      <c r="B17" s="4" t="s">
        <v>354</v>
      </c>
      <c r="C17" s="4" t="s">
        <v>355</v>
      </c>
      <c r="D17" s="4" t="s">
        <v>73</v>
      </c>
      <c r="E17" s="5">
        <v>120508</v>
      </c>
      <c r="F17" s="6">
        <v>3923.8609879999999</v>
      </c>
      <c r="G17" s="7">
        <v>3.072453E-2</v>
      </c>
      <c r="H17" s="53"/>
    </row>
    <row r="18" spans="1:8" ht="17.100000000000001" customHeight="1" x14ac:dyDescent="0.2">
      <c r="A18" s="3">
        <v>12</v>
      </c>
      <c r="B18" s="4" t="s">
        <v>32</v>
      </c>
      <c r="C18" s="4" t="s">
        <v>33</v>
      </c>
      <c r="D18" s="4" t="s">
        <v>28</v>
      </c>
      <c r="E18" s="5">
        <v>662265</v>
      </c>
      <c r="F18" s="6">
        <v>3717.6245775000002</v>
      </c>
      <c r="G18" s="7">
        <v>2.9109659999999999E-2</v>
      </c>
      <c r="H18" s="53"/>
    </row>
    <row r="19" spans="1:8" ht="17.100000000000001" customHeight="1" x14ac:dyDescent="0.2">
      <c r="A19" s="3">
        <v>13</v>
      </c>
      <c r="B19" s="4" t="s">
        <v>821</v>
      </c>
      <c r="C19" s="4" t="s">
        <v>822</v>
      </c>
      <c r="D19" s="4" t="s">
        <v>206</v>
      </c>
      <c r="E19" s="5">
        <v>2260369</v>
      </c>
      <c r="F19" s="6">
        <v>3198.4221349999998</v>
      </c>
      <c r="G19" s="7">
        <v>2.5044210000000001E-2</v>
      </c>
      <c r="H19" s="53"/>
    </row>
    <row r="20" spans="1:8" ht="17.100000000000001" customHeight="1" x14ac:dyDescent="0.2">
      <c r="A20" s="3">
        <v>14</v>
      </c>
      <c r="B20" s="4" t="s">
        <v>284</v>
      </c>
      <c r="C20" s="4" t="s">
        <v>285</v>
      </c>
      <c r="D20" s="4" t="s">
        <v>286</v>
      </c>
      <c r="E20" s="5">
        <v>597381</v>
      </c>
      <c r="F20" s="6">
        <v>3133.5620355000001</v>
      </c>
      <c r="G20" s="7">
        <v>2.4536349999999998E-2</v>
      </c>
      <c r="H20" s="53"/>
    </row>
    <row r="21" spans="1:8" ht="17.100000000000001" customHeight="1" x14ac:dyDescent="0.2">
      <c r="A21" s="3">
        <v>15</v>
      </c>
      <c r="B21" s="4" t="s">
        <v>398</v>
      </c>
      <c r="C21" s="4" t="s">
        <v>399</v>
      </c>
      <c r="D21" s="4" t="s">
        <v>229</v>
      </c>
      <c r="E21" s="5">
        <v>295409</v>
      </c>
      <c r="F21" s="6">
        <v>2771.6749424999998</v>
      </c>
      <c r="G21" s="7">
        <v>2.170271E-2</v>
      </c>
      <c r="H21" s="53"/>
    </row>
    <row r="22" spans="1:8" ht="17.100000000000001" customHeight="1" x14ac:dyDescent="0.2">
      <c r="A22" s="3">
        <v>16</v>
      </c>
      <c r="B22" s="4" t="s">
        <v>297</v>
      </c>
      <c r="C22" s="4" t="s">
        <v>298</v>
      </c>
      <c r="D22" s="4" t="s">
        <v>206</v>
      </c>
      <c r="E22" s="5">
        <v>1884147</v>
      </c>
      <c r="F22" s="6">
        <v>2516.2783184999998</v>
      </c>
      <c r="G22" s="7">
        <v>1.9702910000000001E-2</v>
      </c>
      <c r="H22" s="53"/>
    </row>
    <row r="23" spans="1:8" ht="17.100000000000001" customHeight="1" x14ac:dyDescent="0.2">
      <c r="A23" s="3">
        <v>17</v>
      </c>
      <c r="B23" s="4" t="s">
        <v>823</v>
      </c>
      <c r="C23" s="4" t="s">
        <v>824</v>
      </c>
      <c r="D23" s="4" t="s">
        <v>229</v>
      </c>
      <c r="E23" s="5">
        <v>1245270</v>
      </c>
      <c r="F23" s="6">
        <v>2436.3707549999999</v>
      </c>
      <c r="G23" s="7">
        <v>1.9077219999999999E-2</v>
      </c>
      <c r="H23" s="53"/>
    </row>
    <row r="24" spans="1:8" ht="17.100000000000001" customHeight="1" x14ac:dyDescent="0.2">
      <c r="A24" s="3">
        <v>18</v>
      </c>
      <c r="B24" s="4" t="s">
        <v>255</v>
      </c>
      <c r="C24" s="4" t="s">
        <v>256</v>
      </c>
      <c r="D24" s="4" t="s">
        <v>206</v>
      </c>
      <c r="E24" s="5">
        <v>55782</v>
      </c>
      <c r="F24" s="6">
        <v>2416.19733</v>
      </c>
      <c r="G24" s="7">
        <v>1.891926E-2</v>
      </c>
      <c r="H24" s="53"/>
    </row>
    <row r="25" spans="1:8" ht="17.100000000000001" customHeight="1" x14ac:dyDescent="0.2">
      <c r="A25" s="3">
        <v>19</v>
      </c>
      <c r="B25" s="4" t="s">
        <v>275</v>
      </c>
      <c r="C25" s="4" t="s">
        <v>276</v>
      </c>
      <c r="D25" s="4" t="s">
        <v>209</v>
      </c>
      <c r="E25" s="5">
        <v>47999</v>
      </c>
      <c r="F25" s="6">
        <v>2310.7198589999998</v>
      </c>
      <c r="G25" s="7">
        <v>1.8093350000000001E-2</v>
      </c>
      <c r="H25" s="53"/>
    </row>
    <row r="26" spans="1:8" ht="17.100000000000001" customHeight="1" x14ac:dyDescent="0.2">
      <c r="A26" s="3">
        <v>20</v>
      </c>
      <c r="B26" s="4" t="s">
        <v>561</v>
      </c>
      <c r="C26" s="4" t="s">
        <v>562</v>
      </c>
      <c r="D26" s="4" t="s">
        <v>238</v>
      </c>
      <c r="E26" s="5">
        <v>50558</v>
      </c>
      <c r="F26" s="6">
        <v>2258.8050450000001</v>
      </c>
      <c r="G26" s="7">
        <v>1.768685E-2</v>
      </c>
      <c r="H26" s="53"/>
    </row>
    <row r="27" spans="1:8" ht="17.100000000000001" customHeight="1" x14ac:dyDescent="0.2">
      <c r="A27" s="3">
        <v>21</v>
      </c>
      <c r="B27" s="4" t="s">
        <v>370</v>
      </c>
      <c r="C27" s="4" t="s">
        <v>371</v>
      </c>
      <c r="D27" s="4" t="s">
        <v>304</v>
      </c>
      <c r="E27" s="5">
        <v>5467</v>
      </c>
      <c r="F27" s="6">
        <v>2195.175444</v>
      </c>
      <c r="G27" s="7">
        <v>1.718861E-2</v>
      </c>
      <c r="H27" s="53"/>
    </row>
    <row r="28" spans="1:8" ht="17.100000000000001" customHeight="1" x14ac:dyDescent="0.2">
      <c r="A28" s="3">
        <v>22</v>
      </c>
      <c r="B28" s="4" t="s">
        <v>295</v>
      </c>
      <c r="C28" s="4" t="s">
        <v>296</v>
      </c>
      <c r="D28" s="4" t="s">
        <v>281</v>
      </c>
      <c r="E28" s="5">
        <v>237937</v>
      </c>
      <c r="F28" s="6">
        <v>2140.2433150000002</v>
      </c>
      <c r="G28" s="7">
        <v>1.6758490000000001E-2</v>
      </c>
      <c r="H28" s="53"/>
    </row>
    <row r="29" spans="1:8" ht="17.100000000000001" customHeight="1" x14ac:dyDescent="0.2">
      <c r="A29" s="3">
        <v>23</v>
      </c>
      <c r="B29" s="4" t="s">
        <v>385</v>
      </c>
      <c r="C29" s="4" t="s">
        <v>386</v>
      </c>
      <c r="D29" s="4" t="s">
        <v>264</v>
      </c>
      <c r="E29" s="5">
        <v>119499</v>
      </c>
      <c r="F29" s="6">
        <v>2140.1673405000001</v>
      </c>
      <c r="G29" s="7">
        <v>1.6757890000000001E-2</v>
      </c>
      <c r="H29" s="53"/>
    </row>
    <row r="30" spans="1:8" ht="17.100000000000001" customHeight="1" x14ac:dyDescent="0.2">
      <c r="A30" s="3">
        <v>24</v>
      </c>
      <c r="B30" s="4" t="s">
        <v>400</v>
      </c>
      <c r="C30" s="4" t="s">
        <v>401</v>
      </c>
      <c r="D30" s="4" t="s">
        <v>73</v>
      </c>
      <c r="E30" s="5">
        <v>174506</v>
      </c>
      <c r="F30" s="6">
        <v>2115.5362380000001</v>
      </c>
      <c r="G30" s="7">
        <v>1.6565030000000001E-2</v>
      </c>
      <c r="H30" s="53"/>
    </row>
    <row r="31" spans="1:8" ht="17.100000000000001" customHeight="1" x14ac:dyDescent="0.2">
      <c r="A31" s="3">
        <v>25</v>
      </c>
      <c r="B31" s="4" t="s">
        <v>710</v>
      </c>
      <c r="C31" s="4" t="s">
        <v>711</v>
      </c>
      <c r="D31" s="4" t="s">
        <v>73</v>
      </c>
      <c r="E31" s="5">
        <v>182870</v>
      </c>
      <c r="F31" s="6">
        <v>2050.6127449999999</v>
      </c>
      <c r="G31" s="7">
        <v>1.605666E-2</v>
      </c>
      <c r="H31" s="53"/>
    </row>
    <row r="32" spans="1:8" ht="17.100000000000001" customHeight="1" x14ac:dyDescent="0.2">
      <c r="A32" s="3">
        <v>26</v>
      </c>
      <c r="B32" s="4" t="s">
        <v>350</v>
      </c>
      <c r="C32" s="4" t="s">
        <v>351</v>
      </c>
      <c r="D32" s="4" t="s">
        <v>206</v>
      </c>
      <c r="E32" s="5">
        <v>50167</v>
      </c>
      <c r="F32" s="6">
        <v>1866.4130680000001</v>
      </c>
      <c r="G32" s="7">
        <v>1.461435E-2</v>
      </c>
      <c r="H32" s="53"/>
    </row>
    <row r="33" spans="1:8" ht="17.100000000000001" customHeight="1" x14ac:dyDescent="0.2">
      <c r="A33" s="3">
        <v>27</v>
      </c>
      <c r="B33" s="4" t="s">
        <v>236</v>
      </c>
      <c r="C33" s="4" t="s">
        <v>237</v>
      </c>
      <c r="D33" s="4" t="s">
        <v>238</v>
      </c>
      <c r="E33" s="5">
        <v>149150</v>
      </c>
      <c r="F33" s="6">
        <v>1789.0542499999999</v>
      </c>
      <c r="G33" s="7">
        <v>1.4008609999999999E-2</v>
      </c>
      <c r="H33" s="53"/>
    </row>
    <row r="34" spans="1:8" ht="17.100000000000001" customHeight="1" x14ac:dyDescent="0.2">
      <c r="A34" s="3">
        <v>28</v>
      </c>
      <c r="B34" s="4" t="s">
        <v>109</v>
      </c>
      <c r="C34" s="4" t="s">
        <v>110</v>
      </c>
      <c r="D34" s="4" t="s">
        <v>87</v>
      </c>
      <c r="E34" s="5">
        <v>250000</v>
      </c>
      <c r="F34" s="6">
        <v>1712.75</v>
      </c>
      <c r="G34" s="7">
        <v>1.341114E-2</v>
      </c>
      <c r="H34" s="53"/>
    </row>
    <row r="35" spans="1:8" ht="17.100000000000001" customHeight="1" x14ac:dyDescent="0.2">
      <c r="A35" s="3">
        <v>29</v>
      </c>
      <c r="B35" s="4" t="s">
        <v>98</v>
      </c>
      <c r="C35" s="4" t="s">
        <v>99</v>
      </c>
      <c r="D35" s="4" t="s">
        <v>92</v>
      </c>
      <c r="E35" s="5">
        <v>262525</v>
      </c>
      <c r="F35" s="6">
        <v>1556.2482</v>
      </c>
      <c r="G35" s="7">
        <v>1.2185700000000001E-2</v>
      </c>
      <c r="H35" s="53"/>
    </row>
    <row r="36" spans="1:8" ht="17.100000000000001" customHeight="1" x14ac:dyDescent="0.2">
      <c r="A36" s="3">
        <v>30</v>
      </c>
      <c r="B36" s="4" t="s">
        <v>279</v>
      </c>
      <c r="C36" s="4" t="s">
        <v>280</v>
      </c>
      <c r="D36" s="4" t="s">
        <v>281</v>
      </c>
      <c r="E36" s="5">
        <v>81939</v>
      </c>
      <c r="F36" s="6">
        <v>1242.686874</v>
      </c>
      <c r="G36" s="7">
        <v>9.7304599999999998E-3</v>
      </c>
      <c r="H36" s="53"/>
    </row>
    <row r="37" spans="1:8" ht="17.100000000000001" customHeight="1" x14ac:dyDescent="0.2">
      <c r="A37" s="3">
        <v>31</v>
      </c>
      <c r="B37" s="4" t="s">
        <v>703</v>
      </c>
      <c r="C37" s="4" t="s">
        <v>704</v>
      </c>
      <c r="D37" s="4" t="s">
        <v>108</v>
      </c>
      <c r="E37" s="5">
        <v>26000</v>
      </c>
      <c r="F37" s="6">
        <v>1199.588</v>
      </c>
      <c r="G37" s="7">
        <v>9.3929900000000004E-3</v>
      </c>
      <c r="H37" s="53"/>
    </row>
    <row r="38" spans="1:8" ht="29.1" customHeight="1" x14ac:dyDescent="0.2">
      <c r="A38" s="3">
        <v>32</v>
      </c>
      <c r="B38" s="4" t="s">
        <v>487</v>
      </c>
      <c r="C38" s="4" t="s">
        <v>488</v>
      </c>
      <c r="D38" s="4" t="s">
        <v>73</v>
      </c>
      <c r="E38" s="5">
        <v>87115</v>
      </c>
      <c r="F38" s="6">
        <v>1097.2134249999999</v>
      </c>
      <c r="G38" s="7">
        <v>8.5913799999999992E-3</v>
      </c>
      <c r="H38" s="53"/>
    </row>
    <row r="39" spans="1:8" ht="17.100000000000001" customHeight="1" x14ac:dyDescent="0.2">
      <c r="A39" s="3">
        <v>33</v>
      </c>
      <c r="B39" s="4" t="s">
        <v>262</v>
      </c>
      <c r="C39" s="4" t="s">
        <v>263</v>
      </c>
      <c r="D39" s="4" t="s">
        <v>264</v>
      </c>
      <c r="E39" s="5">
        <v>408652</v>
      </c>
      <c r="F39" s="6">
        <v>1071.4855439999999</v>
      </c>
      <c r="G39" s="7">
        <v>8.3899200000000004E-3</v>
      </c>
      <c r="H39" s="53"/>
    </row>
    <row r="40" spans="1:8" ht="17.100000000000001" customHeight="1" x14ac:dyDescent="0.2">
      <c r="A40" s="3">
        <v>34</v>
      </c>
      <c r="B40" s="4" t="s">
        <v>812</v>
      </c>
      <c r="C40" s="4" t="s">
        <v>813</v>
      </c>
      <c r="D40" s="4" t="s">
        <v>73</v>
      </c>
      <c r="E40" s="5">
        <v>54014</v>
      </c>
      <c r="F40" s="6">
        <v>911.86434799999995</v>
      </c>
      <c r="G40" s="7">
        <v>7.1400600000000002E-3</v>
      </c>
      <c r="H40" s="53"/>
    </row>
    <row r="41" spans="1:8" ht="17.100000000000001" customHeight="1" x14ac:dyDescent="0.2">
      <c r="A41" s="3">
        <v>35</v>
      </c>
      <c r="B41" s="4" t="s">
        <v>708</v>
      </c>
      <c r="C41" s="4" t="s">
        <v>709</v>
      </c>
      <c r="D41" s="4" t="s">
        <v>73</v>
      </c>
      <c r="E41" s="5">
        <v>91066</v>
      </c>
      <c r="F41" s="6">
        <v>370.72968600000002</v>
      </c>
      <c r="G41" s="7">
        <v>2.90288E-3</v>
      </c>
      <c r="H41" s="53"/>
    </row>
    <row r="42" spans="1:8" ht="17.100000000000001" customHeight="1" x14ac:dyDescent="0.2">
      <c r="A42" s="3">
        <v>36</v>
      </c>
      <c r="B42" s="4" t="s">
        <v>825</v>
      </c>
      <c r="C42" s="4" t="s">
        <v>826</v>
      </c>
      <c r="D42" s="4" t="s">
        <v>827</v>
      </c>
      <c r="E42" s="5">
        <v>69739</v>
      </c>
      <c r="F42" s="6">
        <v>242.93580650000001</v>
      </c>
      <c r="G42" s="7">
        <v>1.90223E-3</v>
      </c>
      <c r="H42" s="53"/>
    </row>
    <row r="43" spans="1:8" ht="17.100000000000001" customHeight="1" x14ac:dyDescent="0.2">
      <c r="A43" s="3">
        <v>37</v>
      </c>
      <c r="B43" s="4" t="s">
        <v>251</v>
      </c>
      <c r="C43" s="4" t="s">
        <v>252</v>
      </c>
      <c r="D43" s="4" t="s">
        <v>229</v>
      </c>
      <c r="E43" s="5">
        <v>24600</v>
      </c>
      <c r="F43" s="6">
        <v>135.59520000000001</v>
      </c>
      <c r="G43" s="7">
        <v>1.06174E-3</v>
      </c>
      <c r="H43" s="53"/>
    </row>
    <row r="44" spans="1:8" ht="14.1" customHeight="1" x14ac:dyDescent="0.2">
      <c r="A44" s="1"/>
      <c r="B44" s="1"/>
      <c r="C44" s="2" t="s">
        <v>144</v>
      </c>
      <c r="D44" s="1"/>
      <c r="E44" s="1" t="s">
        <v>145</v>
      </c>
      <c r="F44" s="9">
        <v>122669.6036795</v>
      </c>
      <c r="G44" s="10">
        <v>0.96052484000000005</v>
      </c>
      <c r="H44" s="53"/>
    </row>
    <row r="45" spans="1:8" ht="14.1" customHeight="1" x14ac:dyDescent="0.2">
      <c r="A45" s="1"/>
      <c r="B45" s="1"/>
      <c r="C45" s="11"/>
      <c r="D45" s="1"/>
      <c r="E45" s="1"/>
      <c r="F45" s="12"/>
      <c r="G45" s="12"/>
      <c r="H45" s="53"/>
    </row>
    <row r="46" spans="1:8" ht="14.1" customHeight="1" x14ac:dyDescent="0.2">
      <c r="A46" s="1"/>
      <c r="B46" s="1"/>
      <c r="C46" s="2" t="s">
        <v>146</v>
      </c>
      <c r="D46" s="1"/>
      <c r="E46" s="1"/>
      <c r="F46" s="1"/>
      <c r="G46" s="1"/>
      <c r="H46" s="53"/>
    </row>
    <row r="47" spans="1:8" ht="14.1" customHeight="1" x14ac:dyDescent="0.2">
      <c r="A47" s="1"/>
      <c r="B47" s="1"/>
      <c r="C47" s="2" t="s">
        <v>144</v>
      </c>
      <c r="D47" s="1"/>
      <c r="E47" s="1" t="s">
        <v>145</v>
      </c>
      <c r="F47" s="13" t="s">
        <v>147</v>
      </c>
      <c r="G47" s="10">
        <v>0</v>
      </c>
      <c r="H47" s="53"/>
    </row>
    <row r="48" spans="1:8" ht="14.1" customHeight="1" x14ac:dyDescent="0.2">
      <c r="A48" s="1"/>
      <c r="B48" s="1"/>
      <c r="C48" s="11"/>
      <c r="D48" s="1"/>
      <c r="E48" s="1"/>
      <c r="F48" s="12"/>
      <c r="G48" s="12"/>
      <c r="H48" s="53"/>
    </row>
    <row r="49" spans="1:8" ht="14.1" customHeight="1" x14ac:dyDescent="0.2">
      <c r="A49" s="1"/>
      <c r="B49" s="1"/>
      <c r="C49" s="2" t="s">
        <v>148</v>
      </c>
      <c r="D49" s="1"/>
      <c r="E49" s="1"/>
      <c r="F49" s="1"/>
      <c r="G49" s="1"/>
      <c r="H49" s="53"/>
    </row>
    <row r="50" spans="1:8" ht="14.1" customHeight="1" x14ac:dyDescent="0.2">
      <c r="A50" s="1"/>
      <c r="B50" s="1"/>
      <c r="C50" s="2" t="s">
        <v>144</v>
      </c>
      <c r="D50" s="1"/>
      <c r="E50" s="1" t="s">
        <v>145</v>
      </c>
      <c r="F50" s="13" t="s">
        <v>147</v>
      </c>
      <c r="G50" s="10">
        <v>0</v>
      </c>
      <c r="H50" s="53"/>
    </row>
    <row r="51" spans="1:8" ht="14.1" customHeight="1" x14ac:dyDescent="0.2">
      <c r="A51" s="1"/>
      <c r="B51" s="1"/>
      <c r="C51" s="11"/>
      <c r="D51" s="1"/>
      <c r="E51" s="1"/>
      <c r="F51" s="12"/>
      <c r="G51" s="12"/>
      <c r="H51" s="53"/>
    </row>
    <row r="52" spans="1:8" ht="14.1" customHeight="1" x14ac:dyDescent="0.2">
      <c r="A52" s="1"/>
      <c r="B52" s="1"/>
      <c r="C52" s="2" t="s">
        <v>149</v>
      </c>
      <c r="D52" s="1"/>
      <c r="E52" s="1"/>
      <c r="F52" s="1"/>
      <c r="G52" s="1"/>
      <c r="H52" s="53"/>
    </row>
    <row r="53" spans="1:8" ht="14.1" customHeight="1" x14ac:dyDescent="0.2">
      <c r="A53" s="1"/>
      <c r="B53" s="1"/>
      <c r="C53" s="2" t="s">
        <v>144</v>
      </c>
      <c r="D53" s="1"/>
      <c r="E53" s="1" t="s">
        <v>145</v>
      </c>
      <c r="F53" s="13" t="s">
        <v>147</v>
      </c>
      <c r="G53" s="10">
        <v>0</v>
      </c>
      <c r="H53" s="53"/>
    </row>
    <row r="54" spans="1:8" ht="14.1" customHeight="1" x14ac:dyDescent="0.2">
      <c r="A54" s="1"/>
      <c r="B54" s="1"/>
      <c r="C54" s="11"/>
      <c r="D54" s="1"/>
      <c r="E54" s="1"/>
      <c r="F54" s="12"/>
      <c r="G54" s="12"/>
      <c r="H54" s="53"/>
    </row>
    <row r="55" spans="1:8" ht="14.1" customHeight="1" x14ac:dyDescent="0.2">
      <c r="A55" s="1"/>
      <c r="B55" s="1"/>
      <c r="C55" s="2" t="s">
        <v>150</v>
      </c>
      <c r="D55" s="1"/>
      <c r="E55" s="1"/>
      <c r="F55" s="12"/>
      <c r="G55" s="12"/>
      <c r="H55" s="53"/>
    </row>
    <row r="56" spans="1:8" ht="14.1" customHeight="1" x14ac:dyDescent="0.2">
      <c r="A56" s="1"/>
      <c r="B56" s="1"/>
      <c r="C56" s="2" t="s">
        <v>144</v>
      </c>
      <c r="D56" s="1"/>
      <c r="E56" s="1" t="s">
        <v>145</v>
      </c>
      <c r="F56" s="13" t="s">
        <v>147</v>
      </c>
      <c r="G56" s="10">
        <v>0</v>
      </c>
      <c r="H56" s="53"/>
    </row>
    <row r="57" spans="1:8" ht="14.1" customHeight="1" x14ac:dyDescent="0.2">
      <c r="A57" s="1"/>
      <c r="B57" s="1"/>
      <c r="C57" s="11"/>
      <c r="D57" s="1"/>
      <c r="E57" s="1"/>
      <c r="F57" s="12"/>
      <c r="G57" s="12"/>
      <c r="H57" s="53"/>
    </row>
    <row r="58" spans="1:8" ht="14.1" customHeight="1" x14ac:dyDescent="0.2">
      <c r="A58" s="1"/>
      <c r="B58" s="1"/>
      <c r="C58" s="2" t="s">
        <v>151</v>
      </c>
      <c r="D58" s="1"/>
      <c r="E58" s="1"/>
      <c r="F58" s="12"/>
      <c r="G58" s="12"/>
      <c r="H58" s="53"/>
    </row>
    <row r="59" spans="1:8" ht="14.1" customHeight="1" x14ac:dyDescent="0.2">
      <c r="A59" s="1"/>
      <c r="B59" s="1"/>
      <c r="C59" s="2" t="s">
        <v>144</v>
      </c>
      <c r="D59" s="1"/>
      <c r="E59" s="1" t="s">
        <v>145</v>
      </c>
      <c r="F59" s="13" t="s">
        <v>147</v>
      </c>
      <c r="G59" s="10">
        <v>0</v>
      </c>
      <c r="H59" s="53"/>
    </row>
    <row r="60" spans="1:8" ht="14.1" customHeight="1" x14ac:dyDescent="0.2">
      <c r="A60" s="1"/>
      <c r="B60" s="1"/>
      <c r="C60" s="11"/>
      <c r="D60" s="1"/>
      <c r="E60" s="1"/>
      <c r="F60" s="12"/>
      <c r="G60" s="12"/>
      <c r="H60" s="53"/>
    </row>
    <row r="61" spans="1:8" ht="18" customHeight="1" x14ac:dyDescent="0.2">
      <c r="A61" s="1"/>
      <c r="B61" s="1"/>
      <c r="C61" s="2" t="s">
        <v>152</v>
      </c>
      <c r="D61" s="1"/>
      <c r="E61" s="1"/>
      <c r="F61" s="9">
        <v>122669.6036795</v>
      </c>
      <c r="G61" s="10">
        <v>0.96052484000000005</v>
      </c>
      <c r="H61" s="53"/>
    </row>
    <row r="62" spans="1:8" ht="14.1" customHeight="1" x14ac:dyDescent="0.2">
      <c r="A62" s="1"/>
      <c r="B62" s="1"/>
      <c r="C62" s="11"/>
      <c r="D62" s="1"/>
      <c r="E62" s="1"/>
      <c r="F62" s="12"/>
      <c r="G62" s="12"/>
      <c r="H62" s="53"/>
    </row>
    <row r="63" spans="1:8" ht="14.1" customHeight="1" x14ac:dyDescent="0.2">
      <c r="A63" s="1"/>
      <c r="B63" s="1"/>
      <c r="C63" s="2" t="s">
        <v>153</v>
      </c>
      <c r="D63" s="1"/>
      <c r="E63" s="1"/>
      <c r="F63" s="12"/>
      <c r="G63" s="12"/>
      <c r="H63" s="53"/>
    </row>
    <row r="64" spans="1:8" ht="24" customHeight="1" x14ac:dyDescent="0.2">
      <c r="A64" s="1"/>
      <c r="B64" s="1"/>
      <c r="C64" s="2" t="s">
        <v>10</v>
      </c>
      <c r="D64" s="1"/>
      <c r="E64" s="1"/>
      <c r="F64" s="12"/>
      <c r="G64" s="12"/>
      <c r="H64" s="53"/>
    </row>
    <row r="65" spans="1:8" ht="14.1" customHeight="1" x14ac:dyDescent="0.2">
      <c r="A65" s="1"/>
      <c r="B65" s="1"/>
      <c r="C65" s="2" t="s">
        <v>144</v>
      </c>
      <c r="D65" s="1"/>
      <c r="E65" s="1" t="s">
        <v>145</v>
      </c>
      <c r="F65" s="13" t="s">
        <v>147</v>
      </c>
      <c r="G65" s="10">
        <v>0</v>
      </c>
      <c r="H65" s="53"/>
    </row>
    <row r="66" spans="1:8" ht="14.1" customHeight="1" x14ac:dyDescent="0.2">
      <c r="A66" s="1"/>
      <c r="B66" s="1"/>
      <c r="C66" s="11"/>
      <c r="D66" s="1"/>
      <c r="E66" s="1"/>
      <c r="F66" s="12"/>
      <c r="G66" s="12"/>
      <c r="H66" s="53"/>
    </row>
    <row r="67" spans="1:8" ht="14.1" customHeight="1" x14ac:dyDescent="0.2">
      <c r="A67" s="1"/>
      <c r="B67" s="1"/>
      <c r="C67" s="2" t="s">
        <v>154</v>
      </c>
      <c r="D67" s="1"/>
      <c r="E67" s="1"/>
      <c r="F67" s="1"/>
      <c r="G67" s="1"/>
      <c r="H67" s="53"/>
    </row>
    <row r="68" spans="1:8" ht="14.1" customHeight="1" x14ac:dyDescent="0.2">
      <c r="A68" s="1"/>
      <c r="B68" s="1"/>
      <c r="C68" s="2" t="s">
        <v>144</v>
      </c>
      <c r="D68" s="1"/>
      <c r="E68" s="1" t="s">
        <v>145</v>
      </c>
      <c r="F68" s="13" t="s">
        <v>147</v>
      </c>
      <c r="G68" s="10">
        <v>0</v>
      </c>
      <c r="H68" s="53"/>
    </row>
    <row r="69" spans="1:8" ht="14.1" customHeight="1" x14ac:dyDescent="0.2">
      <c r="A69" s="1"/>
      <c r="B69" s="1"/>
      <c r="C69" s="11"/>
      <c r="D69" s="1"/>
      <c r="E69" s="1"/>
      <c r="F69" s="12"/>
      <c r="G69" s="12"/>
      <c r="H69" s="53"/>
    </row>
    <row r="70" spans="1:8" ht="14.1" customHeight="1" x14ac:dyDescent="0.2">
      <c r="A70" s="1"/>
      <c r="B70" s="1"/>
      <c r="C70" s="2" t="s">
        <v>155</v>
      </c>
      <c r="D70" s="1"/>
      <c r="E70" s="1"/>
      <c r="F70" s="1"/>
      <c r="G70" s="1"/>
      <c r="H70" s="53"/>
    </row>
    <row r="71" spans="1:8" ht="14.1" customHeight="1" x14ac:dyDescent="0.2">
      <c r="A71" s="1"/>
      <c r="B71" s="1"/>
      <c r="C71" s="2" t="s">
        <v>144</v>
      </c>
      <c r="D71" s="1"/>
      <c r="E71" s="1" t="s">
        <v>145</v>
      </c>
      <c r="F71" s="13" t="s">
        <v>147</v>
      </c>
      <c r="G71" s="10">
        <v>0</v>
      </c>
      <c r="H71" s="53"/>
    </row>
    <row r="72" spans="1:8" ht="14.1" customHeight="1" x14ac:dyDescent="0.2">
      <c r="A72" s="1"/>
      <c r="B72" s="1"/>
      <c r="C72" s="11"/>
      <c r="D72" s="1"/>
      <c r="E72" s="1"/>
      <c r="F72" s="12"/>
      <c r="G72" s="12"/>
      <c r="H72" s="53"/>
    </row>
    <row r="73" spans="1:8" ht="14.1" customHeight="1" x14ac:dyDescent="0.2">
      <c r="A73" s="1"/>
      <c r="B73" s="1"/>
      <c r="C73" s="2" t="s">
        <v>156</v>
      </c>
      <c r="D73" s="1"/>
      <c r="E73" s="1"/>
      <c r="F73" s="12"/>
      <c r="G73" s="12"/>
      <c r="H73" s="53"/>
    </row>
    <row r="74" spans="1:8" ht="14.1" customHeight="1" x14ac:dyDescent="0.2">
      <c r="A74" s="1"/>
      <c r="B74" s="1"/>
      <c r="C74" s="2" t="s">
        <v>144</v>
      </c>
      <c r="D74" s="1"/>
      <c r="E74" s="1" t="s">
        <v>145</v>
      </c>
      <c r="F74" s="13" t="s">
        <v>147</v>
      </c>
      <c r="G74" s="10">
        <v>0</v>
      </c>
      <c r="H74" s="53"/>
    </row>
    <row r="75" spans="1:8" ht="14.1" customHeight="1" x14ac:dyDescent="0.2">
      <c r="A75" s="1"/>
      <c r="B75" s="1"/>
      <c r="C75" s="11"/>
      <c r="D75" s="1"/>
      <c r="E75" s="1"/>
      <c r="F75" s="12"/>
      <c r="G75" s="12"/>
      <c r="H75" s="53"/>
    </row>
    <row r="76" spans="1:8" ht="14.1" customHeight="1" x14ac:dyDescent="0.2">
      <c r="A76" s="1"/>
      <c r="B76" s="1"/>
      <c r="C76" s="2" t="s">
        <v>157</v>
      </c>
      <c r="D76" s="1"/>
      <c r="E76" s="1"/>
      <c r="F76" s="9">
        <v>0</v>
      </c>
      <c r="G76" s="10">
        <v>0</v>
      </c>
      <c r="H76" s="53"/>
    </row>
    <row r="77" spans="1:8" ht="14.1" customHeight="1" x14ac:dyDescent="0.2">
      <c r="A77" s="1"/>
      <c r="B77" s="1"/>
      <c r="C77" s="11"/>
      <c r="D77" s="1"/>
      <c r="E77" s="1"/>
      <c r="F77" s="12"/>
      <c r="G77" s="12"/>
      <c r="H77" s="53"/>
    </row>
    <row r="78" spans="1:8" ht="14.1" customHeight="1" x14ac:dyDescent="0.2">
      <c r="A78" s="1"/>
      <c r="B78" s="1"/>
      <c r="C78" s="2" t="s">
        <v>158</v>
      </c>
      <c r="D78" s="1"/>
      <c r="E78" s="1"/>
      <c r="F78" s="12"/>
      <c r="G78" s="12"/>
      <c r="H78" s="53"/>
    </row>
    <row r="79" spans="1:8" ht="14.1" customHeight="1" x14ac:dyDescent="0.2">
      <c r="A79" s="1"/>
      <c r="B79" s="1"/>
      <c r="C79" s="2" t="s">
        <v>159</v>
      </c>
      <c r="D79" s="1"/>
      <c r="E79" s="1"/>
      <c r="F79" s="12"/>
      <c r="G79" s="12"/>
      <c r="H79" s="53"/>
    </row>
    <row r="80" spans="1:8" ht="14.1" customHeight="1" x14ac:dyDescent="0.2">
      <c r="A80" s="1"/>
      <c r="B80" s="1"/>
      <c r="C80" s="2" t="s">
        <v>144</v>
      </c>
      <c r="D80" s="1"/>
      <c r="E80" s="1" t="s">
        <v>145</v>
      </c>
      <c r="F80" s="13" t="s">
        <v>147</v>
      </c>
      <c r="G80" s="10">
        <v>0</v>
      </c>
      <c r="H80" s="53"/>
    </row>
    <row r="81" spans="1:8" ht="14.1" customHeight="1" x14ac:dyDescent="0.2">
      <c r="A81" s="1"/>
      <c r="B81" s="1"/>
      <c r="C81" s="11"/>
      <c r="D81" s="1"/>
      <c r="E81" s="1"/>
      <c r="F81" s="12"/>
      <c r="G81" s="12"/>
      <c r="H81" s="53"/>
    </row>
    <row r="82" spans="1:8" ht="14.1" customHeight="1" x14ac:dyDescent="0.2">
      <c r="A82" s="1"/>
      <c r="B82" s="1"/>
      <c r="C82" s="2" t="s">
        <v>160</v>
      </c>
      <c r="D82" s="1"/>
      <c r="E82" s="1"/>
      <c r="F82" s="12"/>
      <c r="G82" s="12"/>
      <c r="H82" s="53"/>
    </row>
    <row r="83" spans="1:8" ht="14.1" customHeight="1" x14ac:dyDescent="0.2">
      <c r="A83" s="1"/>
      <c r="B83" s="1"/>
      <c r="C83" s="2" t="s">
        <v>144</v>
      </c>
      <c r="D83" s="1"/>
      <c r="E83" s="1" t="s">
        <v>145</v>
      </c>
      <c r="F83" s="13" t="s">
        <v>147</v>
      </c>
      <c r="G83" s="10">
        <v>0</v>
      </c>
      <c r="H83" s="53"/>
    </row>
    <row r="84" spans="1:8" ht="14.1" customHeight="1" x14ac:dyDescent="0.2">
      <c r="A84" s="1"/>
      <c r="B84" s="1"/>
      <c r="C84" s="11"/>
      <c r="D84" s="1"/>
      <c r="E84" s="1"/>
      <c r="F84" s="12"/>
      <c r="G84" s="12"/>
      <c r="H84" s="53"/>
    </row>
    <row r="85" spans="1:8" ht="14.1" customHeight="1" x14ac:dyDescent="0.2">
      <c r="A85" s="1"/>
      <c r="B85" s="1"/>
      <c r="C85" s="2" t="s">
        <v>161</v>
      </c>
      <c r="D85" s="1"/>
      <c r="E85" s="1"/>
      <c r="F85" s="12"/>
      <c r="G85" s="12"/>
      <c r="H85" s="53"/>
    </row>
    <row r="86" spans="1:8" ht="14.1" customHeight="1" x14ac:dyDescent="0.2">
      <c r="A86" s="1"/>
      <c r="B86" s="1"/>
      <c r="C86" s="2" t="s">
        <v>144</v>
      </c>
      <c r="D86" s="1"/>
      <c r="E86" s="1" t="s">
        <v>145</v>
      </c>
      <c r="F86" s="13" t="s">
        <v>147</v>
      </c>
      <c r="G86" s="10">
        <v>0</v>
      </c>
      <c r="H86" s="53"/>
    </row>
    <row r="87" spans="1:8" ht="14.1" customHeight="1" x14ac:dyDescent="0.2">
      <c r="A87" s="1"/>
      <c r="B87" s="1"/>
      <c r="C87" s="11"/>
      <c r="D87" s="1"/>
      <c r="E87" s="1"/>
      <c r="F87" s="12"/>
      <c r="G87" s="12"/>
      <c r="H87" s="53"/>
    </row>
    <row r="88" spans="1:8" ht="14.1" customHeight="1" x14ac:dyDescent="0.2">
      <c r="A88" s="1"/>
      <c r="B88" s="1"/>
      <c r="C88" s="2" t="s">
        <v>162</v>
      </c>
      <c r="D88" s="1"/>
      <c r="E88" s="1"/>
      <c r="F88" s="12"/>
      <c r="G88" s="12"/>
      <c r="H88" s="53"/>
    </row>
    <row r="89" spans="1:8" ht="17.100000000000001" customHeight="1" x14ac:dyDescent="0.2">
      <c r="A89" s="3">
        <v>1</v>
      </c>
      <c r="B89" s="4"/>
      <c r="C89" s="4" t="s">
        <v>163</v>
      </c>
      <c r="D89" s="4"/>
      <c r="E89" s="8"/>
      <c r="F89" s="6">
        <v>2819.8556670080002</v>
      </c>
      <c r="G89" s="7">
        <v>2.2079970000000001E-2</v>
      </c>
      <c r="H89" s="51">
        <v>6.6602331647804478</v>
      </c>
    </row>
    <row r="90" spans="1:8" ht="17.100000000000001" customHeight="1" x14ac:dyDescent="0.2">
      <c r="A90" s="3">
        <v>2</v>
      </c>
      <c r="B90" s="4"/>
      <c r="C90" s="4" t="s">
        <v>164</v>
      </c>
      <c r="D90" s="4"/>
      <c r="E90" s="8"/>
      <c r="F90" s="6">
        <v>2155.8589403000001</v>
      </c>
      <c r="G90" s="7">
        <v>1.6880760000000002E-2</v>
      </c>
      <c r="H90" s="51">
        <v>6.6588225936582406</v>
      </c>
    </row>
    <row r="91" spans="1:8" ht="14.1" customHeight="1" x14ac:dyDescent="0.2">
      <c r="A91" s="1"/>
      <c r="B91" s="1"/>
      <c r="C91" s="2" t="s">
        <v>144</v>
      </c>
      <c r="D91" s="1"/>
      <c r="E91" s="1" t="s">
        <v>145</v>
      </c>
      <c r="F91" s="9">
        <v>4975.7146073080003</v>
      </c>
      <c r="G91" s="10">
        <v>3.8960729999999999E-2</v>
      </c>
      <c r="H91" s="53"/>
    </row>
    <row r="92" spans="1:8" ht="14.1" customHeight="1" x14ac:dyDescent="0.2">
      <c r="A92" s="1"/>
      <c r="B92" s="1"/>
      <c r="C92" s="11"/>
      <c r="D92" s="1"/>
      <c r="E92" s="1"/>
      <c r="F92" s="12"/>
      <c r="G92" s="12"/>
      <c r="H92" s="53"/>
    </row>
    <row r="93" spans="1:8" ht="14.1" customHeight="1" x14ac:dyDescent="0.2">
      <c r="A93" s="1"/>
      <c r="B93" s="1"/>
      <c r="C93" s="2" t="s">
        <v>165</v>
      </c>
      <c r="D93" s="1"/>
      <c r="E93" s="1"/>
      <c r="F93" s="9">
        <v>4975.7146073080003</v>
      </c>
      <c r="G93" s="10">
        <v>3.8960729999999999E-2</v>
      </c>
      <c r="H93" s="53"/>
    </row>
    <row r="94" spans="1:8" ht="14.1" customHeight="1" x14ac:dyDescent="0.2">
      <c r="A94" s="1"/>
      <c r="B94" s="1"/>
      <c r="C94" s="12"/>
      <c r="D94" s="1"/>
      <c r="E94" s="1"/>
      <c r="F94" s="1"/>
      <c r="G94" s="1"/>
      <c r="H94" s="53"/>
    </row>
    <row r="95" spans="1:8" ht="14.1" customHeight="1" x14ac:dyDescent="0.2">
      <c r="A95" s="1"/>
      <c r="B95" s="1"/>
      <c r="C95" s="2" t="s">
        <v>166</v>
      </c>
      <c r="D95" s="1"/>
      <c r="E95" s="1"/>
      <c r="F95" s="1"/>
      <c r="G95" s="1"/>
      <c r="H95" s="53"/>
    </row>
    <row r="96" spans="1:8" ht="14.1" customHeight="1" x14ac:dyDescent="0.2">
      <c r="A96" s="1"/>
      <c r="B96" s="1"/>
      <c r="C96" s="2" t="s">
        <v>167</v>
      </c>
      <c r="D96" s="1"/>
      <c r="E96" s="1"/>
      <c r="F96" s="1"/>
      <c r="G96" s="1"/>
      <c r="H96" s="53"/>
    </row>
    <row r="97" spans="1:8" ht="14.1" customHeight="1" x14ac:dyDescent="0.2">
      <c r="A97" s="1"/>
      <c r="B97" s="1"/>
      <c r="C97" s="2" t="s">
        <v>144</v>
      </c>
      <c r="D97" s="1"/>
      <c r="E97" s="1" t="s">
        <v>145</v>
      </c>
      <c r="F97" s="13" t="s">
        <v>147</v>
      </c>
      <c r="G97" s="10">
        <v>0</v>
      </c>
      <c r="H97" s="53"/>
    </row>
    <row r="98" spans="1:8" ht="14.1" customHeight="1" x14ac:dyDescent="0.2">
      <c r="A98" s="1"/>
      <c r="B98" s="1"/>
      <c r="C98" s="11"/>
      <c r="D98" s="1"/>
      <c r="E98" s="1"/>
      <c r="F98" s="12"/>
      <c r="G98" s="12"/>
      <c r="H98" s="53"/>
    </row>
    <row r="99" spans="1:8" ht="14.1" customHeight="1" x14ac:dyDescent="0.2">
      <c r="A99" s="1"/>
      <c r="B99" s="1"/>
      <c r="C99" s="2" t="s">
        <v>168</v>
      </c>
      <c r="D99" s="1"/>
      <c r="E99" s="1"/>
      <c r="F99" s="1"/>
      <c r="G99" s="1"/>
      <c r="H99" s="53"/>
    </row>
    <row r="100" spans="1:8" ht="14.1" customHeight="1" x14ac:dyDescent="0.2">
      <c r="A100" s="1"/>
      <c r="B100" s="1"/>
      <c r="C100" s="2" t="s">
        <v>169</v>
      </c>
      <c r="D100" s="1"/>
      <c r="E100" s="1"/>
      <c r="F100" s="1"/>
      <c r="G100" s="1"/>
      <c r="H100" s="53"/>
    </row>
    <row r="101" spans="1:8" ht="14.1" customHeight="1" x14ac:dyDescent="0.2">
      <c r="A101" s="1"/>
      <c r="B101" s="1"/>
      <c r="C101" s="2" t="s">
        <v>144</v>
      </c>
      <c r="D101" s="1"/>
      <c r="E101" s="1" t="s">
        <v>145</v>
      </c>
      <c r="F101" s="13" t="s">
        <v>147</v>
      </c>
      <c r="G101" s="10">
        <v>0</v>
      </c>
      <c r="H101" s="53"/>
    </row>
    <row r="102" spans="1:8" ht="14.1" customHeight="1" x14ac:dyDescent="0.2">
      <c r="A102" s="1"/>
      <c r="B102" s="1"/>
      <c r="C102" s="11"/>
      <c r="D102" s="1"/>
      <c r="E102" s="1"/>
      <c r="F102" s="12"/>
      <c r="G102" s="12"/>
      <c r="H102" s="53"/>
    </row>
    <row r="103" spans="1:8" ht="24" customHeight="1" x14ac:dyDescent="0.2">
      <c r="A103" s="1"/>
      <c r="B103" s="1"/>
      <c r="C103" s="2" t="s">
        <v>170</v>
      </c>
      <c r="D103" s="1"/>
      <c r="E103" s="1"/>
      <c r="F103" s="12"/>
      <c r="G103" s="12"/>
      <c r="H103" s="53"/>
    </row>
    <row r="104" spans="1:8" ht="14.1" customHeight="1" x14ac:dyDescent="0.2">
      <c r="A104" s="1"/>
      <c r="B104" s="1"/>
      <c r="C104" s="2" t="s">
        <v>144</v>
      </c>
      <c r="D104" s="1"/>
      <c r="E104" s="1" t="s">
        <v>145</v>
      </c>
      <c r="F104" s="13" t="s">
        <v>147</v>
      </c>
      <c r="G104" s="10">
        <v>0</v>
      </c>
      <c r="H104" s="53"/>
    </row>
    <row r="105" spans="1:8" ht="14.1" customHeight="1" x14ac:dyDescent="0.2">
      <c r="A105" s="1"/>
      <c r="B105" s="1"/>
      <c r="C105" s="11"/>
      <c r="D105" s="1"/>
      <c r="E105" s="1"/>
      <c r="F105" s="12"/>
      <c r="G105" s="12"/>
      <c r="H105" s="53"/>
    </row>
    <row r="106" spans="1:8" ht="14.1" customHeight="1" x14ac:dyDescent="0.2">
      <c r="A106" s="1"/>
      <c r="B106" s="4"/>
      <c r="C106" s="4"/>
      <c r="D106" s="2"/>
      <c r="E106" s="1"/>
      <c r="F106" s="4"/>
      <c r="G106" s="8"/>
      <c r="H106" s="53"/>
    </row>
    <row r="107" spans="1:8" ht="18" customHeight="1" x14ac:dyDescent="0.2">
      <c r="A107" s="8"/>
      <c r="B107" s="4"/>
      <c r="C107" s="4" t="s">
        <v>171</v>
      </c>
      <c r="D107" s="4"/>
      <c r="E107" s="8"/>
      <c r="F107" s="6">
        <v>65.702177629999994</v>
      </c>
      <c r="G107" s="7">
        <v>5.1446E-4</v>
      </c>
      <c r="H107" s="53"/>
    </row>
    <row r="108" spans="1:8" ht="14.1" customHeight="1" x14ac:dyDescent="0.2">
      <c r="A108" s="11"/>
      <c r="B108" s="11"/>
      <c r="C108" s="2" t="s">
        <v>172</v>
      </c>
      <c r="D108" s="12"/>
      <c r="E108" s="12"/>
      <c r="F108" s="9">
        <v>127711.020464438</v>
      </c>
      <c r="G108" s="14">
        <v>1.00000003</v>
      </c>
      <c r="H108" s="53"/>
    </row>
    <row r="109" spans="1:8" ht="14.1" customHeight="1" x14ac:dyDescent="0.2">
      <c r="A109" s="15"/>
      <c r="B109" s="15"/>
      <c r="C109" s="15"/>
      <c r="D109" s="16"/>
      <c r="E109" s="16"/>
      <c r="F109" s="16"/>
      <c r="G109" s="16"/>
    </row>
    <row r="110" spans="1:8" ht="14.1" customHeight="1" x14ac:dyDescent="0.2">
      <c r="A110" s="17"/>
      <c r="B110" s="17"/>
      <c r="C110" s="17"/>
      <c r="D110" s="19"/>
      <c r="E110" s="19"/>
      <c r="F110" s="19"/>
      <c r="G110" s="19"/>
    </row>
    <row r="111" spans="1:8" ht="14.1" customHeight="1" x14ac:dyDescent="0.2">
      <c r="A111" s="17"/>
      <c r="B111" s="231" t="s">
        <v>174</v>
      </c>
      <c r="C111" s="232"/>
      <c r="D111" s="233"/>
      <c r="E111" s="20"/>
      <c r="F111" s="19"/>
      <c r="G111" s="19"/>
    </row>
    <row r="112" spans="1:8" ht="29.1" customHeight="1" x14ac:dyDescent="0.2">
      <c r="A112" s="17"/>
      <c r="B112" s="226" t="s">
        <v>175</v>
      </c>
      <c r="C112" s="227"/>
      <c r="D112" s="2" t="s">
        <v>176</v>
      </c>
      <c r="E112" s="20"/>
      <c r="F112" s="19"/>
      <c r="G112" s="19"/>
    </row>
    <row r="113" spans="1:7" ht="17.100000000000001" customHeight="1" x14ac:dyDescent="0.2">
      <c r="A113" s="17"/>
      <c r="B113" s="226" t="s">
        <v>177</v>
      </c>
      <c r="C113" s="227"/>
      <c r="D113" s="2" t="s">
        <v>176</v>
      </c>
      <c r="E113" s="20"/>
      <c r="F113" s="19"/>
      <c r="G113" s="19"/>
    </row>
    <row r="114" spans="1:7" ht="17.100000000000001" customHeight="1" x14ac:dyDescent="0.2">
      <c r="A114" s="17"/>
      <c r="B114" s="226" t="s">
        <v>178</v>
      </c>
      <c r="C114" s="227"/>
      <c r="D114" s="12" t="s">
        <v>145</v>
      </c>
      <c r="E114" s="20"/>
      <c r="F114" s="19"/>
      <c r="G114" s="19"/>
    </row>
    <row r="115" spans="1:7" ht="24" customHeight="1" x14ac:dyDescent="0.2">
      <c r="A115" s="21"/>
      <c r="B115" s="22" t="s">
        <v>145</v>
      </c>
      <c r="C115" s="22" t="s">
        <v>179</v>
      </c>
      <c r="D115" s="22" t="s">
        <v>180</v>
      </c>
      <c r="E115" s="21"/>
      <c r="F115" s="21"/>
      <c r="G115" s="21"/>
    </row>
    <row r="116" spans="1:7" ht="18" customHeight="1" x14ac:dyDescent="0.2">
      <c r="A116" s="21"/>
      <c r="B116" s="23" t="s">
        <v>181</v>
      </c>
      <c r="C116" s="22" t="s">
        <v>182</v>
      </c>
      <c r="D116" s="22" t="s">
        <v>183</v>
      </c>
      <c r="E116" s="21"/>
      <c r="F116" s="21"/>
      <c r="G116" s="21"/>
    </row>
    <row r="117" spans="1:7" ht="17.100000000000001" customHeight="1" x14ac:dyDescent="0.2">
      <c r="A117" s="21"/>
      <c r="B117" s="4" t="s">
        <v>184</v>
      </c>
      <c r="C117" s="24">
        <v>75.707800000000006</v>
      </c>
      <c r="D117" s="24">
        <v>78.439400000000006</v>
      </c>
      <c r="E117" s="21"/>
      <c r="F117" s="18"/>
      <c r="G117" s="25"/>
    </row>
    <row r="118" spans="1:7" ht="17.100000000000001" customHeight="1" x14ac:dyDescent="0.2">
      <c r="A118" s="21"/>
      <c r="B118" s="4" t="s">
        <v>1009</v>
      </c>
      <c r="C118" s="24">
        <v>27.103999999999999</v>
      </c>
      <c r="D118" s="24">
        <v>28.081900000000001</v>
      </c>
      <c r="E118" s="21"/>
      <c r="F118" s="18"/>
      <c r="G118" s="25"/>
    </row>
    <row r="119" spans="1:7" ht="17.100000000000001" customHeight="1" x14ac:dyDescent="0.2">
      <c r="A119" s="21"/>
      <c r="B119" s="4" t="s">
        <v>185</v>
      </c>
      <c r="C119" s="24">
        <v>70.251499999999993</v>
      </c>
      <c r="D119" s="24">
        <v>72.732699999999994</v>
      </c>
      <c r="E119" s="21"/>
      <c r="F119" s="18"/>
      <c r="G119" s="25"/>
    </row>
    <row r="120" spans="1:7" ht="17.100000000000001" customHeight="1" x14ac:dyDescent="0.2">
      <c r="A120" s="21"/>
      <c r="B120" s="4" t="s">
        <v>1010</v>
      </c>
      <c r="C120" s="24">
        <v>24.734999999999999</v>
      </c>
      <c r="D120" s="24">
        <v>25.608699999999999</v>
      </c>
      <c r="E120" s="21"/>
      <c r="F120" s="18"/>
      <c r="G120" s="25"/>
    </row>
    <row r="121" spans="1:7" ht="14.1" customHeight="1" x14ac:dyDescent="0.2">
      <c r="A121" s="21"/>
      <c r="B121" s="21"/>
      <c r="C121" s="21"/>
      <c r="D121" s="21"/>
      <c r="E121" s="21"/>
      <c r="F121" s="21"/>
      <c r="G121" s="21"/>
    </row>
    <row r="122" spans="1:7" ht="17.100000000000001" customHeight="1" x14ac:dyDescent="0.2">
      <c r="A122" s="21"/>
      <c r="B122" s="226" t="s">
        <v>1011</v>
      </c>
      <c r="C122" s="227"/>
      <c r="D122" s="2" t="s">
        <v>176</v>
      </c>
      <c r="E122" s="21"/>
      <c r="F122" s="21"/>
      <c r="G122" s="21"/>
    </row>
    <row r="123" spans="1:7" ht="18" customHeight="1" x14ac:dyDescent="0.2">
      <c r="A123" s="21"/>
      <c r="B123" s="26"/>
      <c r="C123" s="26"/>
      <c r="D123" s="26"/>
      <c r="E123" s="21"/>
      <c r="F123" s="21"/>
      <c r="G123" s="21"/>
    </row>
    <row r="124" spans="1:7" ht="29.1" customHeight="1" x14ac:dyDescent="0.2">
      <c r="A124" s="21"/>
      <c r="B124" s="226" t="s">
        <v>186</v>
      </c>
      <c r="C124" s="227"/>
      <c r="D124" s="2" t="s">
        <v>176</v>
      </c>
      <c r="E124" s="27"/>
      <c r="F124" s="21"/>
      <c r="G124" s="21"/>
    </row>
    <row r="125" spans="1:7" ht="29.1" customHeight="1" x14ac:dyDescent="0.2">
      <c r="A125" s="21"/>
      <c r="B125" s="226" t="s">
        <v>187</v>
      </c>
      <c r="C125" s="227"/>
      <c r="D125" s="2" t="s">
        <v>176</v>
      </c>
      <c r="E125" s="27"/>
      <c r="F125" s="21"/>
      <c r="G125" s="21"/>
    </row>
    <row r="126" spans="1:7" ht="17.100000000000001" customHeight="1" x14ac:dyDescent="0.2">
      <c r="A126" s="21"/>
      <c r="B126" s="226" t="s">
        <v>188</v>
      </c>
      <c r="C126" s="227"/>
      <c r="D126" s="2" t="s">
        <v>176</v>
      </c>
      <c r="E126" s="27"/>
      <c r="F126" s="21"/>
      <c r="G126" s="21"/>
    </row>
    <row r="127" spans="1:7" ht="17.100000000000001" customHeight="1" x14ac:dyDescent="0.2">
      <c r="A127" s="21"/>
      <c r="B127" s="226" t="s">
        <v>189</v>
      </c>
      <c r="C127" s="227"/>
      <c r="D127" s="57">
        <v>0.49873790017102793</v>
      </c>
      <c r="E127" s="21"/>
      <c r="F127" s="18"/>
      <c r="G127" s="25"/>
    </row>
  </sheetData>
  <mergeCells count="13">
    <mergeCell ref="A1:H1"/>
    <mergeCell ref="A2:H2"/>
    <mergeCell ref="A3:H3"/>
    <mergeCell ref="J2:N2"/>
    <mergeCell ref="B127:C127"/>
    <mergeCell ref="B113:C113"/>
    <mergeCell ref="B114:C114"/>
    <mergeCell ref="B122:C122"/>
    <mergeCell ref="B124:C124"/>
    <mergeCell ref="B125:C125"/>
    <mergeCell ref="B126:C126"/>
    <mergeCell ref="B112:C112"/>
    <mergeCell ref="B111:D111"/>
  </mergeCells>
  <hyperlinks>
    <hyperlink ref="I1" location="Index!B26" display="Index" xr:uid="{30BACB0D-A466-4408-B607-E0A91277CF63}"/>
  </hyperlinks>
  <pageMargins left="5.000000074505806E-2" right="5.000000074505806E-2" top="0.30000001192092896" bottom="0.20000000298023224" header="0" footer="0"/>
  <pageSetup paperSize="9" orientation="landscape"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N13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828</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26</v>
      </c>
      <c r="C7" s="4" t="s">
        <v>27</v>
      </c>
      <c r="D7" s="4" t="s">
        <v>28</v>
      </c>
      <c r="E7" s="5">
        <v>2731210</v>
      </c>
      <c r="F7" s="6">
        <v>26185.475875</v>
      </c>
      <c r="G7" s="7">
        <v>9.3662309999999999E-2</v>
      </c>
      <c r="H7" s="53"/>
    </row>
    <row r="8" spans="1:14" ht="17.100000000000001" customHeight="1" x14ac:dyDescent="0.2">
      <c r="A8" s="3">
        <v>2</v>
      </c>
      <c r="B8" s="4" t="s">
        <v>310</v>
      </c>
      <c r="C8" s="4" t="s">
        <v>311</v>
      </c>
      <c r="D8" s="4" t="s">
        <v>28</v>
      </c>
      <c r="E8" s="5">
        <v>1665059</v>
      </c>
      <c r="F8" s="6">
        <v>26165.569655499999</v>
      </c>
      <c r="G8" s="7">
        <v>9.3591099999999997E-2</v>
      </c>
      <c r="H8" s="53"/>
    </row>
    <row r="9" spans="1:14" ht="17.100000000000001" customHeight="1" x14ac:dyDescent="0.2">
      <c r="A9" s="3">
        <v>3</v>
      </c>
      <c r="B9" s="4" t="s">
        <v>14</v>
      </c>
      <c r="C9" s="4" t="s">
        <v>15</v>
      </c>
      <c r="D9" s="4" t="s">
        <v>16</v>
      </c>
      <c r="E9" s="5">
        <v>2277503</v>
      </c>
      <c r="F9" s="6">
        <v>19504.535692000001</v>
      </c>
      <c r="G9" s="7">
        <v>6.9765380000000002E-2</v>
      </c>
      <c r="H9" s="53"/>
    </row>
    <row r="10" spans="1:14" ht="17.100000000000001" customHeight="1" x14ac:dyDescent="0.2">
      <c r="A10" s="3">
        <v>4</v>
      </c>
      <c r="B10" s="4" t="s">
        <v>20</v>
      </c>
      <c r="C10" s="4" t="s">
        <v>21</v>
      </c>
      <c r="D10" s="4" t="s">
        <v>22</v>
      </c>
      <c r="E10" s="5">
        <v>523988</v>
      </c>
      <c r="F10" s="6">
        <v>12612.391159999999</v>
      </c>
      <c r="G10" s="7">
        <v>4.5113010000000002E-2</v>
      </c>
      <c r="H10" s="53"/>
    </row>
    <row r="11" spans="1:14" ht="17.100000000000001" customHeight="1" x14ac:dyDescent="0.2">
      <c r="A11" s="3">
        <v>5</v>
      </c>
      <c r="B11" s="4" t="s">
        <v>232</v>
      </c>
      <c r="C11" s="4" t="s">
        <v>233</v>
      </c>
      <c r="D11" s="4" t="s">
        <v>130</v>
      </c>
      <c r="E11" s="5">
        <v>903399</v>
      </c>
      <c r="F11" s="6">
        <v>8890.3495590000002</v>
      </c>
      <c r="G11" s="7">
        <v>3.1799710000000002E-2</v>
      </c>
      <c r="H11" s="53"/>
    </row>
    <row r="12" spans="1:14" ht="17.100000000000001" customHeight="1" x14ac:dyDescent="0.2">
      <c r="A12" s="3">
        <v>6</v>
      </c>
      <c r="B12" s="4" t="s">
        <v>334</v>
      </c>
      <c r="C12" s="4" t="s">
        <v>335</v>
      </c>
      <c r="D12" s="4" t="s">
        <v>73</v>
      </c>
      <c r="E12" s="5">
        <v>254041</v>
      </c>
      <c r="F12" s="6">
        <v>7886.5758244999997</v>
      </c>
      <c r="G12" s="7">
        <v>2.8209339999999999E-2</v>
      </c>
      <c r="H12" s="53"/>
    </row>
    <row r="13" spans="1:14" ht="17.100000000000001" customHeight="1" x14ac:dyDescent="0.2">
      <c r="A13" s="3">
        <v>7</v>
      </c>
      <c r="B13" s="4" t="s">
        <v>275</v>
      </c>
      <c r="C13" s="4" t="s">
        <v>276</v>
      </c>
      <c r="D13" s="4" t="s">
        <v>209</v>
      </c>
      <c r="E13" s="5">
        <v>159237</v>
      </c>
      <c r="F13" s="6">
        <v>7665.8284169999997</v>
      </c>
      <c r="G13" s="7">
        <v>2.741975E-2</v>
      </c>
      <c r="H13" s="53"/>
      <c r="J13" s="142" t="s">
        <v>1056</v>
      </c>
    </row>
    <row r="14" spans="1:14" ht="17.100000000000001" customHeight="1" x14ac:dyDescent="0.2">
      <c r="A14" s="3">
        <v>8</v>
      </c>
      <c r="B14" s="4" t="s">
        <v>262</v>
      </c>
      <c r="C14" s="4" t="s">
        <v>263</v>
      </c>
      <c r="D14" s="4" t="s">
        <v>264</v>
      </c>
      <c r="E14" s="5">
        <v>2859076</v>
      </c>
      <c r="F14" s="6">
        <v>7496.4972719999996</v>
      </c>
      <c r="G14" s="7">
        <v>2.6814069999999999E-2</v>
      </c>
      <c r="H14" s="53"/>
    </row>
    <row r="15" spans="1:14" ht="17.100000000000001" customHeight="1" x14ac:dyDescent="0.2">
      <c r="A15" s="3">
        <v>9</v>
      </c>
      <c r="B15" s="4" t="s">
        <v>414</v>
      </c>
      <c r="C15" s="4" t="s">
        <v>415</v>
      </c>
      <c r="D15" s="4" t="s">
        <v>92</v>
      </c>
      <c r="E15" s="5">
        <v>400823</v>
      </c>
      <c r="F15" s="6">
        <v>7214.2127655000004</v>
      </c>
      <c r="G15" s="7">
        <v>2.580437E-2</v>
      </c>
      <c r="H15" s="53"/>
    </row>
    <row r="16" spans="1:14" ht="17.100000000000001" customHeight="1" x14ac:dyDescent="0.2">
      <c r="A16" s="3">
        <v>10</v>
      </c>
      <c r="B16" s="4" t="s">
        <v>385</v>
      </c>
      <c r="C16" s="4" t="s">
        <v>386</v>
      </c>
      <c r="D16" s="4" t="s">
        <v>264</v>
      </c>
      <c r="E16" s="5">
        <v>399510</v>
      </c>
      <c r="F16" s="6">
        <v>7155.0243449999998</v>
      </c>
      <c r="G16" s="7">
        <v>2.559266E-2</v>
      </c>
      <c r="H16" s="53"/>
    </row>
    <row r="17" spans="1:10" ht="17.100000000000001" customHeight="1" x14ac:dyDescent="0.2">
      <c r="A17" s="3">
        <v>11</v>
      </c>
      <c r="B17" s="4" t="s">
        <v>340</v>
      </c>
      <c r="C17" s="4" t="s">
        <v>341</v>
      </c>
      <c r="D17" s="4" t="s">
        <v>905</v>
      </c>
      <c r="E17" s="5">
        <v>136226</v>
      </c>
      <c r="F17" s="6">
        <v>7074.7610839999998</v>
      </c>
      <c r="G17" s="7">
        <v>2.5305569999999999E-2</v>
      </c>
      <c r="H17" s="53"/>
    </row>
    <row r="18" spans="1:10" ht="17.100000000000001" customHeight="1" x14ac:dyDescent="0.2">
      <c r="A18" s="3">
        <v>12</v>
      </c>
      <c r="B18" s="4" t="s">
        <v>322</v>
      </c>
      <c r="C18" s="4" t="s">
        <v>323</v>
      </c>
      <c r="D18" s="4" t="s">
        <v>28</v>
      </c>
      <c r="E18" s="5">
        <v>488453</v>
      </c>
      <c r="F18" s="6">
        <v>6731.6150195</v>
      </c>
      <c r="G18" s="7">
        <v>2.4078180000000001E-2</v>
      </c>
      <c r="H18" s="53"/>
    </row>
    <row r="19" spans="1:10" ht="17.100000000000001" customHeight="1" x14ac:dyDescent="0.2">
      <c r="A19" s="3">
        <v>13</v>
      </c>
      <c r="B19" s="4" t="s">
        <v>398</v>
      </c>
      <c r="C19" s="4" t="s">
        <v>399</v>
      </c>
      <c r="D19" s="4" t="s">
        <v>229</v>
      </c>
      <c r="E19" s="5">
        <v>670992</v>
      </c>
      <c r="F19" s="6">
        <v>6295.5824400000001</v>
      </c>
      <c r="G19" s="7">
        <v>2.251854E-2</v>
      </c>
      <c r="H19" s="53"/>
    </row>
    <row r="20" spans="1:10" ht="29.1" customHeight="1" x14ac:dyDescent="0.2">
      <c r="A20" s="3">
        <v>14</v>
      </c>
      <c r="B20" s="4" t="s">
        <v>556</v>
      </c>
      <c r="C20" s="4" t="s">
        <v>557</v>
      </c>
      <c r="D20" s="4" t="s">
        <v>221</v>
      </c>
      <c r="E20" s="5">
        <v>1066608</v>
      </c>
      <c r="F20" s="6">
        <v>6014.6025120000004</v>
      </c>
      <c r="G20" s="7">
        <v>2.151351E-2</v>
      </c>
      <c r="H20" s="53"/>
    </row>
    <row r="21" spans="1:10" ht="17.100000000000001" customHeight="1" x14ac:dyDescent="0.2">
      <c r="A21" s="3">
        <v>15</v>
      </c>
      <c r="B21" s="4" t="s">
        <v>314</v>
      </c>
      <c r="C21" s="4" t="s">
        <v>315</v>
      </c>
      <c r="D21" s="4" t="s">
        <v>28</v>
      </c>
      <c r="E21" s="5">
        <v>590991</v>
      </c>
      <c r="F21" s="6">
        <v>5753.2973849999998</v>
      </c>
      <c r="G21" s="7">
        <v>2.0578849999999999E-2</v>
      </c>
      <c r="H21" s="53"/>
    </row>
    <row r="22" spans="1:10" ht="17.100000000000001" customHeight="1" x14ac:dyDescent="0.2">
      <c r="A22" s="3">
        <v>16</v>
      </c>
      <c r="B22" s="4" t="s">
        <v>383</v>
      </c>
      <c r="C22" s="4" t="s">
        <v>384</v>
      </c>
      <c r="D22" s="4" t="s">
        <v>28</v>
      </c>
      <c r="E22" s="5">
        <v>5427663</v>
      </c>
      <c r="F22" s="6">
        <v>4912.0350150000004</v>
      </c>
      <c r="G22" s="7">
        <v>1.756976E-2</v>
      </c>
      <c r="H22" s="53"/>
    </row>
    <row r="23" spans="1:10" ht="17.100000000000001" customHeight="1" x14ac:dyDescent="0.2">
      <c r="A23" s="3">
        <v>17</v>
      </c>
      <c r="B23" s="4" t="s">
        <v>116</v>
      </c>
      <c r="C23" s="4" t="s">
        <v>117</v>
      </c>
      <c r="D23" s="4" t="s">
        <v>80</v>
      </c>
      <c r="E23" s="5">
        <v>1046544</v>
      </c>
      <c r="F23" s="6">
        <v>4894.6862879999999</v>
      </c>
      <c r="G23" s="7">
        <v>1.7507709999999999E-2</v>
      </c>
      <c r="H23" s="53"/>
    </row>
    <row r="24" spans="1:10" ht="17.100000000000001" customHeight="1" x14ac:dyDescent="0.2">
      <c r="A24" s="3">
        <v>18</v>
      </c>
      <c r="B24" s="4" t="s">
        <v>461</v>
      </c>
      <c r="C24" s="4" t="s">
        <v>462</v>
      </c>
      <c r="D24" s="4" t="s">
        <v>221</v>
      </c>
      <c r="E24" s="5">
        <v>378452</v>
      </c>
      <c r="F24" s="6">
        <v>4891.6813259999999</v>
      </c>
      <c r="G24" s="7">
        <v>1.7496959999999999E-2</v>
      </c>
      <c r="H24" s="53"/>
    </row>
    <row r="25" spans="1:10" ht="17.100000000000001" customHeight="1" x14ac:dyDescent="0.2">
      <c r="A25" s="3">
        <v>19</v>
      </c>
      <c r="B25" s="4" t="s">
        <v>395</v>
      </c>
      <c r="C25" s="4" t="s">
        <v>396</v>
      </c>
      <c r="D25" s="4" t="s">
        <v>397</v>
      </c>
      <c r="E25" s="5">
        <v>289676</v>
      </c>
      <c r="F25" s="6">
        <v>4890.45507</v>
      </c>
      <c r="G25" s="7">
        <v>1.7492569999999999E-2</v>
      </c>
      <c r="H25" s="53"/>
      <c r="J25" s="142" t="s">
        <v>1057</v>
      </c>
    </row>
    <row r="26" spans="1:10" ht="17.100000000000001" customHeight="1" x14ac:dyDescent="0.2">
      <c r="A26" s="3">
        <v>20</v>
      </c>
      <c r="B26" s="4" t="s">
        <v>234</v>
      </c>
      <c r="C26" s="4" t="s">
        <v>235</v>
      </c>
      <c r="D26" s="4" t="s">
        <v>905</v>
      </c>
      <c r="E26" s="5">
        <v>87018</v>
      </c>
      <c r="F26" s="6">
        <v>4756.7954609999997</v>
      </c>
      <c r="G26" s="7">
        <v>1.701449E-2</v>
      </c>
      <c r="H26" s="53"/>
    </row>
    <row r="27" spans="1:10" ht="17.100000000000001" customHeight="1" x14ac:dyDescent="0.2">
      <c r="A27" s="3">
        <v>21</v>
      </c>
      <c r="B27" s="4" t="s">
        <v>370</v>
      </c>
      <c r="C27" s="4" t="s">
        <v>371</v>
      </c>
      <c r="D27" s="4" t="s">
        <v>304</v>
      </c>
      <c r="E27" s="5">
        <v>11684</v>
      </c>
      <c r="F27" s="6">
        <v>4691.4998880000003</v>
      </c>
      <c r="G27" s="7">
        <v>1.6780929999999999E-2</v>
      </c>
      <c r="H27" s="53"/>
    </row>
    <row r="28" spans="1:10" ht="17.100000000000001" customHeight="1" x14ac:dyDescent="0.2">
      <c r="A28" s="3">
        <v>22</v>
      </c>
      <c r="B28" s="4" t="s">
        <v>215</v>
      </c>
      <c r="C28" s="4" t="s">
        <v>216</v>
      </c>
      <c r="D28" s="4" t="s">
        <v>905</v>
      </c>
      <c r="E28" s="5">
        <v>86867</v>
      </c>
      <c r="F28" s="6">
        <v>4665.3659690000004</v>
      </c>
      <c r="G28" s="7">
        <v>1.668745E-2</v>
      </c>
      <c r="H28" s="53"/>
    </row>
    <row r="29" spans="1:10" ht="17.100000000000001" customHeight="1" x14ac:dyDescent="0.2">
      <c r="A29" s="3">
        <v>23</v>
      </c>
      <c r="B29" s="4" t="s">
        <v>207</v>
      </c>
      <c r="C29" s="4" t="s">
        <v>208</v>
      </c>
      <c r="D29" s="4" t="s">
        <v>209</v>
      </c>
      <c r="E29" s="5">
        <v>1365143</v>
      </c>
      <c r="F29" s="6">
        <v>4527.4967594999998</v>
      </c>
      <c r="G29" s="7">
        <v>1.619431E-2</v>
      </c>
      <c r="H29" s="53"/>
    </row>
    <row r="30" spans="1:10" ht="17.100000000000001" customHeight="1" x14ac:dyDescent="0.2">
      <c r="A30" s="3">
        <v>24</v>
      </c>
      <c r="B30" s="4" t="s">
        <v>243</v>
      </c>
      <c r="C30" s="4" t="s">
        <v>244</v>
      </c>
      <c r="D30" s="4" t="s">
        <v>130</v>
      </c>
      <c r="E30" s="5">
        <v>256061</v>
      </c>
      <c r="F30" s="6">
        <v>4179.9397639999997</v>
      </c>
      <c r="G30" s="7">
        <v>1.495114E-2</v>
      </c>
      <c r="H30" s="53"/>
    </row>
    <row r="31" spans="1:10" ht="17.100000000000001" customHeight="1" x14ac:dyDescent="0.2">
      <c r="A31" s="3">
        <v>25</v>
      </c>
      <c r="B31" s="4" t="s">
        <v>57</v>
      </c>
      <c r="C31" s="4" t="s">
        <v>58</v>
      </c>
      <c r="D31" s="4" t="s">
        <v>59</v>
      </c>
      <c r="E31" s="5">
        <v>615445</v>
      </c>
      <c r="F31" s="6">
        <v>4138.2521800000004</v>
      </c>
      <c r="G31" s="7">
        <v>1.4802030000000001E-2</v>
      </c>
      <c r="H31" s="53"/>
    </row>
    <row r="32" spans="1:10" ht="17.100000000000001" customHeight="1" x14ac:dyDescent="0.2">
      <c r="A32" s="3">
        <v>26</v>
      </c>
      <c r="B32" s="4" t="s">
        <v>251</v>
      </c>
      <c r="C32" s="4" t="s">
        <v>252</v>
      </c>
      <c r="D32" s="4" t="s">
        <v>229</v>
      </c>
      <c r="E32" s="5">
        <v>748590</v>
      </c>
      <c r="F32" s="6">
        <v>4126.2280799999999</v>
      </c>
      <c r="G32" s="7">
        <v>1.4759019999999999E-2</v>
      </c>
      <c r="H32" s="53"/>
    </row>
    <row r="33" spans="1:8" ht="17.100000000000001" customHeight="1" x14ac:dyDescent="0.2">
      <c r="A33" s="3">
        <v>27</v>
      </c>
      <c r="B33" s="4" t="s">
        <v>423</v>
      </c>
      <c r="C33" s="4" t="s">
        <v>424</v>
      </c>
      <c r="D33" s="4" t="s">
        <v>906</v>
      </c>
      <c r="E33" s="5">
        <v>377955</v>
      </c>
      <c r="F33" s="6">
        <v>4075.2997875000001</v>
      </c>
      <c r="G33" s="7">
        <v>1.4576860000000001E-2</v>
      </c>
      <c r="H33" s="53"/>
    </row>
    <row r="34" spans="1:8" ht="17.100000000000001" customHeight="1" x14ac:dyDescent="0.2">
      <c r="A34" s="3">
        <v>28</v>
      </c>
      <c r="B34" s="4" t="s">
        <v>410</v>
      </c>
      <c r="C34" s="4" t="s">
        <v>411</v>
      </c>
      <c r="D34" s="4" t="s">
        <v>397</v>
      </c>
      <c r="E34" s="5">
        <v>210399</v>
      </c>
      <c r="F34" s="6">
        <v>3934.1457015000001</v>
      </c>
      <c r="G34" s="7">
        <v>1.407197E-2</v>
      </c>
      <c r="H34" s="53"/>
    </row>
    <row r="35" spans="1:8" ht="17.100000000000001" customHeight="1" x14ac:dyDescent="0.2">
      <c r="A35" s="3">
        <v>29</v>
      </c>
      <c r="B35" s="4" t="s">
        <v>457</v>
      </c>
      <c r="C35" s="4" t="s">
        <v>458</v>
      </c>
      <c r="D35" s="4" t="s">
        <v>28</v>
      </c>
      <c r="E35" s="5">
        <v>1040683</v>
      </c>
      <c r="F35" s="6">
        <v>3437.3759490000002</v>
      </c>
      <c r="G35" s="7">
        <v>1.229508E-2</v>
      </c>
      <c r="H35" s="53"/>
    </row>
    <row r="36" spans="1:8" ht="17.100000000000001" customHeight="1" x14ac:dyDescent="0.2">
      <c r="A36" s="3">
        <v>30</v>
      </c>
      <c r="B36" s="4" t="s">
        <v>350</v>
      </c>
      <c r="C36" s="4" t="s">
        <v>351</v>
      </c>
      <c r="D36" s="4" t="s">
        <v>206</v>
      </c>
      <c r="E36" s="5">
        <v>90068</v>
      </c>
      <c r="F36" s="6">
        <v>3350.8898720000002</v>
      </c>
      <c r="G36" s="7">
        <v>1.198573E-2</v>
      </c>
      <c r="H36" s="53"/>
    </row>
    <row r="37" spans="1:8" ht="17.100000000000001" customHeight="1" x14ac:dyDescent="0.2">
      <c r="A37" s="3">
        <v>31</v>
      </c>
      <c r="B37" s="4" t="s">
        <v>516</v>
      </c>
      <c r="C37" s="4" t="s">
        <v>517</v>
      </c>
      <c r="D37" s="4" t="s">
        <v>905</v>
      </c>
      <c r="E37" s="5">
        <v>550579</v>
      </c>
      <c r="F37" s="6">
        <v>3312.2832640000001</v>
      </c>
      <c r="G37" s="7">
        <v>1.184764E-2</v>
      </c>
      <c r="H37" s="53"/>
    </row>
    <row r="38" spans="1:8" ht="17.100000000000001" customHeight="1" x14ac:dyDescent="0.2">
      <c r="A38" s="3">
        <v>32</v>
      </c>
      <c r="B38" s="4" t="s">
        <v>412</v>
      </c>
      <c r="C38" s="4" t="s">
        <v>413</v>
      </c>
      <c r="D38" s="4" t="s">
        <v>130</v>
      </c>
      <c r="E38" s="5">
        <v>231008</v>
      </c>
      <c r="F38" s="6">
        <v>3270.0337439999998</v>
      </c>
      <c r="G38" s="7">
        <v>1.169652E-2</v>
      </c>
      <c r="H38" s="53"/>
    </row>
    <row r="39" spans="1:8" ht="17.100000000000001" customHeight="1" x14ac:dyDescent="0.2">
      <c r="A39" s="3">
        <v>33</v>
      </c>
      <c r="B39" s="4" t="s">
        <v>393</v>
      </c>
      <c r="C39" s="4" t="s">
        <v>394</v>
      </c>
      <c r="D39" s="4" t="s">
        <v>229</v>
      </c>
      <c r="E39" s="5">
        <v>226690</v>
      </c>
      <c r="F39" s="6">
        <v>3231.1259150000001</v>
      </c>
      <c r="G39" s="7">
        <v>1.1557349999999999E-2</v>
      </c>
      <c r="H39" s="53"/>
    </row>
    <row r="40" spans="1:8" ht="17.100000000000001" customHeight="1" x14ac:dyDescent="0.2">
      <c r="A40" s="3">
        <v>34</v>
      </c>
      <c r="B40" s="4" t="s">
        <v>255</v>
      </c>
      <c r="C40" s="4" t="s">
        <v>256</v>
      </c>
      <c r="D40" s="4" t="s">
        <v>206</v>
      </c>
      <c r="E40" s="5">
        <v>67293</v>
      </c>
      <c r="F40" s="6">
        <v>2914.7962950000001</v>
      </c>
      <c r="G40" s="7">
        <v>1.042588E-2</v>
      </c>
      <c r="H40" s="53"/>
    </row>
    <row r="41" spans="1:8" ht="17.100000000000001" customHeight="1" x14ac:dyDescent="0.2">
      <c r="A41" s="3">
        <v>35</v>
      </c>
      <c r="B41" s="4" t="s">
        <v>445</v>
      </c>
      <c r="C41" s="4" t="s">
        <v>446</v>
      </c>
      <c r="D41" s="4" t="s">
        <v>59</v>
      </c>
      <c r="E41" s="5">
        <v>353653</v>
      </c>
      <c r="F41" s="6">
        <v>2867.2416975000001</v>
      </c>
      <c r="G41" s="7">
        <v>1.0255780000000001E-2</v>
      </c>
      <c r="H41" s="53"/>
    </row>
    <row r="42" spans="1:8" ht="29.1" customHeight="1" x14ac:dyDescent="0.2">
      <c r="A42" s="3">
        <v>36</v>
      </c>
      <c r="B42" s="4" t="s">
        <v>479</v>
      </c>
      <c r="C42" s="4" t="s">
        <v>480</v>
      </c>
      <c r="D42" s="4" t="s">
        <v>481</v>
      </c>
      <c r="E42" s="5">
        <v>572545</v>
      </c>
      <c r="F42" s="6">
        <v>2714.7221175</v>
      </c>
      <c r="G42" s="7">
        <v>9.7102400000000002E-3</v>
      </c>
      <c r="H42" s="53"/>
    </row>
    <row r="43" spans="1:8" ht="17.100000000000001" customHeight="1" x14ac:dyDescent="0.2">
      <c r="A43" s="3">
        <v>37</v>
      </c>
      <c r="B43" s="4" t="s">
        <v>829</v>
      </c>
      <c r="C43" s="4" t="s">
        <v>830</v>
      </c>
      <c r="D43" s="4" t="s">
        <v>209</v>
      </c>
      <c r="E43" s="5">
        <v>339666</v>
      </c>
      <c r="F43" s="6">
        <v>2409.7604369999999</v>
      </c>
      <c r="G43" s="7">
        <v>8.6194199999999992E-3</v>
      </c>
      <c r="H43" s="53"/>
    </row>
    <row r="44" spans="1:8" ht="17.100000000000001" customHeight="1" x14ac:dyDescent="0.2">
      <c r="A44" s="3">
        <v>38</v>
      </c>
      <c r="B44" s="4" t="s">
        <v>342</v>
      </c>
      <c r="C44" s="4" t="s">
        <v>343</v>
      </c>
      <c r="D44" s="4" t="s">
        <v>130</v>
      </c>
      <c r="E44" s="5">
        <v>33381</v>
      </c>
      <c r="F44" s="6">
        <v>2391.0810299999998</v>
      </c>
      <c r="G44" s="7">
        <v>8.5526100000000004E-3</v>
      </c>
      <c r="H44" s="53"/>
    </row>
    <row r="45" spans="1:8" ht="29.1" customHeight="1" x14ac:dyDescent="0.2">
      <c r="A45" s="3">
        <v>39</v>
      </c>
      <c r="B45" s="4" t="s">
        <v>210</v>
      </c>
      <c r="C45" s="4" t="s">
        <v>211</v>
      </c>
      <c r="D45" s="4" t="s">
        <v>130</v>
      </c>
      <c r="E45" s="5">
        <v>207877</v>
      </c>
      <c r="F45" s="6">
        <v>2332.0681245000001</v>
      </c>
      <c r="G45" s="7">
        <v>8.3415299999999998E-3</v>
      </c>
      <c r="H45" s="53"/>
    </row>
    <row r="46" spans="1:8" ht="17.100000000000001" customHeight="1" x14ac:dyDescent="0.2">
      <c r="A46" s="3">
        <v>40</v>
      </c>
      <c r="B46" s="4" t="s">
        <v>746</v>
      </c>
      <c r="C46" s="4" t="s">
        <v>747</v>
      </c>
      <c r="D46" s="4" t="s">
        <v>209</v>
      </c>
      <c r="E46" s="5">
        <v>170251</v>
      </c>
      <c r="F46" s="6">
        <v>2283.3212865</v>
      </c>
      <c r="G46" s="7">
        <v>8.1671699999999996E-3</v>
      </c>
      <c r="H46" s="53"/>
    </row>
    <row r="47" spans="1:8" ht="17.100000000000001" customHeight="1" x14ac:dyDescent="0.2">
      <c r="A47" s="3">
        <v>41</v>
      </c>
      <c r="B47" s="4" t="s">
        <v>510</v>
      </c>
      <c r="C47" s="4" t="s">
        <v>511</v>
      </c>
      <c r="D47" s="4" t="s">
        <v>905</v>
      </c>
      <c r="E47" s="5">
        <v>120044</v>
      </c>
      <c r="F47" s="6">
        <v>2099.2094280000001</v>
      </c>
      <c r="G47" s="7">
        <v>7.5086199999999997E-3</v>
      </c>
      <c r="H47" s="53"/>
    </row>
    <row r="48" spans="1:8" ht="29.1" customHeight="1" x14ac:dyDescent="0.2">
      <c r="A48" s="3">
        <v>42</v>
      </c>
      <c r="B48" s="4" t="s">
        <v>790</v>
      </c>
      <c r="C48" s="4" t="s">
        <v>791</v>
      </c>
      <c r="D48" s="4" t="s">
        <v>221</v>
      </c>
      <c r="E48" s="5">
        <v>152148</v>
      </c>
      <c r="F48" s="6">
        <v>1998.768276</v>
      </c>
      <c r="G48" s="7">
        <v>7.1493499999999996E-3</v>
      </c>
      <c r="H48" s="53"/>
    </row>
    <row r="49" spans="1:8" ht="17.100000000000001" customHeight="1" x14ac:dyDescent="0.2">
      <c r="A49" s="3">
        <v>43</v>
      </c>
      <c r="B49" s="4" t="s">
        <v>522</v>
      </c>
      <c r="C49" s="4" t="s">
        <v>523</v>
      </c>
      <c r="D49" s="4" t="s">
        <v>397</v>
      </c>
      <c r="E49" s="5">
        <v>260880</v>
      </c>
      <c r="F49" s="6">
        <v>1951.90416</v>
      </c>
      <c r="G49" s="7">
        <v>6.9817300000000002E-3</v>
      </c>
      <c r="H49" s="53"/>
    </row>
    <row r="50" spans="1:8" ht="17.100000000000001" customHeight="1" x14ac:dyDescent="0.2">
      <c r="A50" s="3">
        <v>44</v>
      </c>
      <c r="B50" s="4" t="s">
        <v>391</v>
      </c>
      <c r="C50" s="4" t="s">
        <v>392</v>
      </c>
      <c r="D50" s="4" t="s">
        <v>130</v>
      </c>
      <c r="E50" s="5">
        <v>158235</v>
      </c>
      <c r="F50" s="6">
        <v>1188.8986725</v>
      </c>
      <c r="G50" s="7">
        <v>4.2525499999999999E-3</v>
      </c>
      <c r="H50" s="53"/>
    </row>
    <row r="51" spans="1:8" ht="17.100000000000001" customHeight="1" x14ac:dyDescent="0.2">
      <c r="A51" s="3">
        <v>45</v>
      </c>
      <c r="B51" s="4" t="s">
        <v>465</v>
      </c>
      <c r="C51" s="4" t="s">
        <v>466</v>
      </c>
      <c r="D51" s="4" t="s">
        <v>28</v>
      </c>
      <c r="E51" s="5">
        <v>64839</v>
      </c>
      <c r="F51" s="6">
        <v>1140.3559124999999</v>
      </c>
      <c r="G51" s="7">
        <v>4.0789199999999998E-3</v>
      </c>
      <c r="H51" s="53"/>
    </row>
    <row r="52" spans="1:8" ht="17.100000000000001" customHeight="1" x14ac:dyDescent="0.2">
      <c r="A52" s="3">
        <v>46</v>
      </c>
      <c r="B52" s="4" t="s">
        <v>540</v>
      </c>
      <c r="C52" s="4" t="s">
        <v>541</v>
      </c>
      <c r="D52" s="4" t="s">
        <v>130</v>
      </c>
      <c r="E52" s="5">
        <v>780579</v>
      </c>
      <c r="F52" s="6">
        <v>686.90952000000004</v>
      </c>
      <c r="G52" s="7">
        <v>2.45699E-3</v>
      </c>
      <c r="H52" s="53"/>
    </row>
    <row r="53" spans="1:8" ht="17.100000000000001" customHeight="1" x14ac:dyDescent="0.2">
      <c r="A53" s="3">
        <v>47</v>
      </c>
      <c r="B53" s="4" t="s">
        <v>708</v>
      </c>
      <c r="C53" s="4" t="s">
        <v>709</v>
      </c>
      <c r="D53" s="4" t="s">
        <v>73</v>
      </c>
      <c r="E53" s="5">
        <v>101596</v>
      </c>
      <c r="F53" s="6">
        <v>413.59731599999998</v>
      </c>
      <c r="G53" s="7">
        <v>1.4793899999999999E-3</v>
      </c>
      <c r="H53" s="53"/>
    </row>
    <row r="54" spans="1:8" ht="14.1" customHeight="1" x14ac:dyDescent="0.2">
      <c r="A54" s="1"/>
      <c r="B54" s="1"/>
      <c r="C54" s="2" t="s">
        <v>144</v>
      </c>
      <c r="D54" s="1"/>
      <c r="E54" s="1" t="s">
        <v>145</v>
      </c>
      <c r="F54" s="9">
        <v>265324.5433125</v>
      </c>
      <c r="G54" s="10">
        <v>0.94903404999999996</v>
      </c>
      <c r="H54" s="53"/>
    </row>
    <row r="55" spans="1:8" ht="14.1" customHeight="1" x14ac:dyDescent="0.2">
      <c r="A55" s="1"/>
      <c r="B55" s="1"/>
      <c r="C55" s="11"/>
      <c r="D55" s="1"/>
      <c r="E55" s="1"/>
      <c r="F55" s="12"/>
      <c r="G55" s="12"/>
      <c r="H55" s="53"/>
    </row>
    <row r="56" spans="1:8" ht="14.1" customHeight="1" x14ac:dyDescent="0.2">
      <c r="A56" s="1"/>
      <c r="B56" s="1"/>
      <c r="C56" s="2" t="s">
        <v>146</v>
      </c>
      <c r="D56" s="1"/>
      <c r="E56" s="1"/>
      <c r="F56" s="1"/>
      <c r="G56" s="1"/>
      <c r="H56" s="53"/>
    </row>
    <row r="57" spans="1:8" ht="17.100000000000001" customHeight="1" x14ac:dyDescent="0.2">
      <c r="A57" s="3">
        <v>1</v>
      </c>
      <c r="B57" s="4" t="s">
        <v>831</v>
      </c>
      <c r="C57" s="4" t="s">
        <v>1159</v>
      </c>
      <c r="D57" s="4" t="s">
        <v>229</v>
      </c>
      <c r="E57" s="5">
        <v>37829</v>
      </c>
      <c r="F57" s="6">
        <v>1240.4224973820001</v>
      </c>
      <c r="G57" s="7">
        <v>4.4368400000000001E-3</v>
      </c>
      <c r="H57" s="53"/>
    </row>
    <row r="58" spans="1:8" ht="14.1" customHeight="1" x14ac:dyDescent="0.2">
      <c r="A58" s="1"/>
      <c r="B58" s="1"/>
      <c r="C58" s="2" t="s">
        <v>144</v>
      </c>
      <c r="D58" s="1"/>
      <c r="E58" s="1" t="s">
        <v>145</v>
      </c>
      <c r="F58" s="9">
        <v>1240.4224973820001</v>
      </c>
      <c r="G58" s="10">
        <v>4.4368400000000001E-3</v>
      </c>
      <c r="H58" s="53"/>
    </row>
    <row r="59" spans="1:8" ht="14.1" customHeight="1" x14ac:dyDescent="0.2">
      <c r="A59" s="1"/>
      <c r="B59" s="1"/>
      <c r="C59" s="11"/>
      <c r="D59" s="1"/>
      <c r="E59" s="1"/>
      <c r="F59" s="12"/>
      <c r="G59" s="12"/>
      <c r="H59" s="53"/>
    </row>
    <row r="60" spans="1:8" ht="14.1" customHeight="1" x14ac:dyDescent="0.2">
      <c r="A60" s="1"/>
      <c r="B60" s="1"/>
      <c r="C60" s="2" t="s">
        <v>148</v>
      </c>
      <c r="D60" s="1"/>
      <c r="E60" s="1"/>
      <c r="F60" s="1"/>
      <c r="G60" s="1"/>
      <c r="H60" s="53"/>
    </row>
    <row r="61" spans="1:8" ht="14.1" customHeight="1" x14ac:dyDescent="0.2">
      <c r="A61" s="1"/>
      <c r="B61" s="1"/>
      <c r="C61" s="2" t="s">
        <v>144</v>
      </c>
      <c r="D61" s="1"/>
      <c r="E61" s="1" t="s">
        <v>145</v>
      </c>
      <c r="F61" s="13" t="s">
        <v>147</v>
      </c>
      <c r="G61" s="10">
        <v>0</v>
      </c>
      <c r="H61" s="53"/>
    </row>
    <row r="62" spans="1:8" ht="14.1" customHeight="1" x14ac:dyDescent="0.2">
      <c r="A62" s="1"/>
      <c r="B62" s="1"/>
      <c r="C62" s="11"/>
      <c r="D62" s="1"/>
      <c r="E62" s="1"/>
      <c r="F62" s="12"/>
      <c r="G62" s="12"/>
      <c r="H62" s="53"/>
    </row>
    <row r="63" spans="1:8" ht="14.1" customHeight="1" x14ac:dyDescent="0.2">
      <c r="A63" s="1"/>
      <c r="B63" s="1"/>
      <c r="C63" s="2" t="s">
        <v>149</v>
      </c>
      <c r="D63" s="1"/>
      <c r="E63" s="1"/>
      <c r="F63" s="1"/>
      <c r="G63" s="1"/>
      <c r="H63" s="53"/>
    </row>
    <row r="64" spans="1:8" ht="14.1" customHeight="1" x14ac:dyDescent="0.2">
      <c r="A64" s="1"/>
      <c r="B64" s="1"/>
      <c r="C64" s="2" t="s">
        <v>144</v>
      </c>
      <c r="D64" s="1"/>
      <c r="E64" s="1" t="s">
        <v>145</v>
      </c>
      <c r="F64" s="13" t="s">
        <v>147</v>
      </c>
      <c r="G64" s="10">
        <v>0</v>
      </c>
      <c r="H64" s="53"/>
    </row>
    <row r="65" spans="1:8" ht="14.1" customHeight="1" x14ac:dyDescent="0.2">
      <c r="A65" s="1"/>
      <c r="B65" s="1"/>
      <c r="C65" s="11"/>
      <c r="D65" s="1"/>
      <c r="E65" s="1"/>
      <c r="F65" s="12"/>
      <c r="G65" s="12"/>
      <c r="H65" s="53"/>
    </row>
    <row r="66" spans="1:8" ht="14.1" customHeight="1" x14ac:dyDescent="0.2">
      <c r="A66" s="1"/>
      <c r="B66" s="1"/>
      <c r="C66" s="2" t="s">
        <v>150</v>
      </c>
      <c r="D66" s="1"/>
      <c r="E66" s="1"/>
      <c r="F66" s="12"/>
      <c r="G66" s="12"/>
      <c r="H66" s="53"/>
    </row>
    <row r="67" spans="1:8" ht="14.1" customHeight="1" x14ac:dyDescent="0.2">
      <c r="A67" s="1"/>
      <c r="B67" s="1"/>
      <c r="C67" s="2" t="s">
        <v>144</v>
      </c>
      <c r="D67" s="1"/>
      <c r="E67" s="1" t="s">
        <v>145</v>
      </c>
      <c r="F67" s="13" t="s">
        <v>147</v>
      </c>
      <c r="G67" s="10">
        <v>0</v>
      </c>
      <c r="H67" s="53"/>
    </row>
    <row r="68" spans="1:8" ht="14.1" customHeight="1" x14ac:dyDescent="0.2">
      <c r="A68" s="1"/>
      <c r="B68" s="1"/>
      <c r="C68" s="11"/>
      <c r="D68" s="1"/>
      <c r="E68" s="1"/>
      <c r="F68" s="12"/>
      <c r="G68" s="12"/>
      <c r="H68" s="53"/>
    </row>
    <row r="69" spans="1:8" ht="14.1" customHeight="1" x14ac:dyDescent="0.2">
      <c r="A69" s="1"/>
      <c r="B69" s="1"/>
      <c r="C69" s="2" t="s">
        <v>151</v>
      </c>
      <c r="D69" s="1"/>
      <c r="E69" s="1"/>
      <c r="F69" s="12"/>
      <c r="G69" s="12"/>
      <c r="H69" s="53"/>
    </row>
    <row r="70" spans="1:8" ht="14.1" customHeight="1" x14ac:dyDescent="0.2">
      <c r="A70" s="1"/>
      <c r="B70" s="1"/>
      <c r="C70" s="2" t="s">
        <v>144</v>
      </c>
      <c r="D70" s="1"/>
      <c r="E70" s="1" t="s">
        <v>145</v>
      </c>
      <c r="F70" s="13" t="s">
        <v>147</v>
      </c>
      <c r="G70" s="10">
        <v>0</v>
      </c>
      <c r="H70" s="53"/>
    </row>
    <row r="71" spans="1:8" ht="14.1" customHeight="1" x14ac:dyDescent="0.2">
      <c r="A71" s="1"/>
      <c r="B71" s="1"/>
      <c r="C71" s="11"/>
      <c r="D71" s="1"/>
      <c r="E71" s="1"/>
      <c r="F71" s="12"/>
      <c r="G71" s="12"/>
      <c r="H71" s="53"/>
    </row>
    <row r="72" spans="1:8" ht="18" customHeight="1" x14ac:dyDescent="0.2">
      <c r="A72" s="1"/>
      <c r="B72" s="1"/>
      <c r="C72" s="2" t="s">
        <v>152</v>
      </c>
      <c r="D72" s="1"/>
      <c r="E72" s="1"/>
      <c r="F72" s="9">
        <v>266564.96580988198</v>
      </c>
      <c r="G72" s="10">
        <v>0.95347088999999996</v>
      </c>
      <c r="H72" s="53"/>
    </row>
    <row r="73" spans="1:8" ht="14.1" customHeight="1" x14ac:dyDescent="0.2">
      <c r="A73" s="1"/>
      <c r="B73" s="1"/>
      <c r="C73" s="11"/>
      <c r="D73" s="1"/>
      <c r="E73" s="1"/>
      <c r="F73" s="12"/>
      <c r="G73" s="12"/>
      <c r="H73" s="53"/>
    </row>
    <row r="74" spans="1:8" ht="14.1" customHeight="1" x14ac:dyDescent="0.2">
      <c r="A74" s="1"/>
      <c r="B74" s="1"/>
      <c r="C74" s="2" t="s">
        <v>153</v>
      </c>
      <c r="D74" s="1"/>
      <c r="E74" s="1"/>
      <c r="F74" s="12"/>
      <c r="G74" s="12"/>
      <c r="H74" s="53"/>
    </row>
    <row r="75" spans="1:8" ht="24" customHeight="1" x14ac:dyDescent="0.2">
      <c r="A75" s="1"/>
      <c r="B75" s="1"/>
      <c r="C75" s="2" t="s">
        <v>10</v>
      </c>
      <c r="D75" s="1"/>
      <c r="E75" s="1"/>
      <c r="F75" s="12"/>
      <c r="G75" s="12"/>
      <c r="H75" s="53"/>
    </row>
    <row r="76" spans="1:8" ht="14.1" customHeight="1" x14ac:dyDescent="0.2">
      <c r="A76" s="1"/>
      <c r="B76" s="1"/>
      <c r="C76" s="2" t="s">
        <v>144</v>
      </c>
      <c r="D76" s="1"/>
      <c r="E76" s="1" t="s">
        <v>145</v>
      </c>
      <c r="F76" s="13" t="s">
        <v>147</v>
      </c>
      <c r="G76" s="10">
        <v>0</v>
      </c>
      <c r="H76" s="53"/>
    </row>
    <row r="77" spans="1:8" ht="14.1" customHeight="1" x14ac:dyDescent="0.2">
      <c r="A77" s="1"/>
      <c r="B77" s="1"/>
      <c r="C77" s="11"/>
      <c r="D77" s="1"/>
      <c r="E77" s="1"/>
      <c r="F77" s="12"/>
      <c r="G77" s="12"/>
      <c r="H77" s="53"/>
    </row>
    <row r="78" spans="1:8" ht="14.1" customHeight="1" x14ac:dyDescent="0.2">
      <c r="A78" s="1"/>
      <c r="B78" s="1"/>
      <c r="C78" s="2" t="s">
        <v>154</v>
      </c>
      <c r="D78" s="1"/>
      <c r="E78" s="1"/>
      <c r="F78" s="1"/>
      <c r="G78" s="1"/>
      <c r="H78" s="53"/>
    </row>
    <row r="79" spans="1:8" ht="14.1" customHeight="1" x14ac:dyDescent="0.2">
      <c r="A79" s="1"/>
      <c r="B79" s="1"/>
      <c r="C79" s="2" t="s">
        <v>144</v>
      </c>
      <c r="D79" s="1"/>
      <c r="E79" s="1" t="s">
        <v>145</v>
      </c>
      <c r="F79" s="13" t="s">
        <v>147</v>
      </c>
      <c r="G79" s="10">
        <v>0</v>
      </c>
      <c r="H79" s="53"/>
    </row>
    <row r="80" spans="1:8" ht="14.1" customHeight="1" x14ac:dyDescent="0.2">
      <c r="A80" s="1"/>
      <c r="B80" s="1"/>
      <c r="C80" s="11"/>
      <c r="D80" s="1"/>
      <c r="E80" s="1"/>
      <c r="F80" s="12"/>
      <c r="G80" s="12"/>
      <c r="H80" s="53"/>
    </row>
    <row r="81" spans="1:8" ht="14.1" customHeight="1" x14ac:dyDescent="0.2">
      <c r="A81" s="1"/>
      <c r="B81" s="1"/>
      <c r="C81" s="2" t="s">
        <v>155</v>
      </c>
      <c r="D81" s="1"/>
      <c r="E81" s="1"/>
      <c r="F81" s="1"/>
      <c r="G81" s="1"/>
      <c r="H81" s="53"/>
    </row>
    <row r="82" spans="1:8" ht="14.1" customHeight="1" x14ac:dyDescent="0.2">
      <c r="A82" s="1"/>
      <c r="B82" s="1"/>
      <c r="C82" s="2" t="s">
        <v>144</v>
      </c>
      <c r="D82" s="1"/>
      <c r="E82" s="1" t="s">
        <v>145</v>
      </c>
      <c r="F82" s="13" t="s">
        <v>147</v>
      </c>
      <c r="G82" s="10">
        <v>0</v>
      </c>
      <c r="H82" s="53"/>
    </row>
    <row r="83" spans="1:8" ht="14.1" customHeight="1" x14ac:dyDescent="0.2">
      <c r="A83" s="1"/>
      <c r="B83" s="1"/>
      <c r="C83" s="11"/>
      <c r="D83" s="1"/>
      <c r="E83" s="1"/>
      <c r="F83" s="12"/>
      <c r="G83" s="12"/>
      <c r="H83" s="53"/>
    </row>
    <row r="84" spans="1:8" ht="14.1" customHeight="1" x14ac:dyDescent="0.2">
      <c r="A84" s="1"/>
      <c r="B84" s="1"/>
      <c r="C84" s="2" t="s">
        <v>156</v>
      </c>
      <c r="D84" s="1"/>
      <c r="E84" s="1"/>
      <c r="F84" s="12"/>
      <c r="G84" s="12"/>
      <c r="H84" s="53"/>
    </row>
    <row r="85" spans="1:8" ht="14.1" customHeight="1" x14ac:dyDescent="0.2">
      <c r="A85" s="1"/>
      <c r="B85" s="1"/>
      <c r="C85" s="2" t="s">
        <v>144</v>
      </c>
      <c r="D85" s="1"/>
      <c r="E85" s="1" t="s">
        <v>145</v>
      </c>
      <c r="F85" s="13" t="s">
        <v>147</v>
      </c>
      <c r="G85" s="10">
        <v>0</v>
      </c>
      <c r="H85" s="53"/>
    </row>
    <row r="86" spans="1:8" ht="14.1" customHeight="1" x14ac:dyDescent="0.2">
      <c r="A86" s="1"/>
      <c r="B86" s="1"/>
      <c r="C86" s="11"/>
      <c r="D86" s="1"/>
      <c r="E86" s="1"/>
      <c r="F86" s="12"/>
      <c r="G86" s="12"/>
      <c r="H86" s="53"/>
    </row>
    <row r="87" spans="1:8" ht="14.1" customHeight="1" x14ac:dyDescent="0.2">
      <c r="A87" s="1"/>
      <c r="B87" s="1"/>
      <c r="C87" s="2" t="s">
        <v>157</v>
      </c>
      <c r="D87" s="1"/>
      <c r="E87" s="1"/>
      <c r="F87" s="9">
        <v>0</v>
      </c>
      <c r="G87" s="10">
        <v>0</v>
      </c>
      <c r="H87" s="53"/>
    </row>
    <row r="88" spans="1:8" ht="14.1" customHeight="1" x14ac:dyDescent="0.2">
      <c r="A88" s="1"/>
      <c r="B88" s="1"/>
      <c r="C88" s="11"/>
      <c r="D88" s="1"/>
      <c r="E88" s="1"/>
      <c r="F88" s="12"/>
      <c r="G88" s="12"/>
      <c r="H88" s="53"/>
    </row>
    <row r="89" spans="1:8" ht="14.1" customHeight="1" x14ac:dyDescent="0.2">
      <c r="A89" s="1"/>
      <c r="B89" s="1"/>
      <c r="C89" s="2" t="s">
        <v>158</v>
      </c>
      <c r="D89" s="1"/>
      <c r="E89" s="1"/>
      <c r="F89" s="12"/>
      <c r="G89" s="12"/>
      <c r="H89" s="53"/>
    </row>
    <row r="90" spans="1:8" ht="14.1" customHeight="1" x14ac:dyDescent="0.2">
      <c r="A90" s="1"/>
      <c r="B90" s="1"/>
      <c r="C90" s="2" t="s">
        <v>159</v>
      </c>
      <c r="D90" s="1"/>
      <c r="E90" s="1"/>
      <c r="F90" s="12"/>
      <c r="G90" s="12"/>
      <c r="H90" s="53"/>
    </row>
    <row r="91" spans="1:8" ht="14.1" customHeight="1" x14ac:dyDescent="0.2">
      <c r="A91" s="1"/>
      <c r="B91" s="1"/>
      <c r="C91" s="2" t="s">
        <v>144</v>
      </c>
      <c r="D91" s="1"/>
      <c r="E91" s="1" t="s">
        <v>145</v>
      </c>
      <c r="F91" s="13" t="s">
        <v>147</v>
      </c>
      <c r="G91" s="10">
        <v>0</v>
      </c>
      <c r="H91" s="53"/>
    </row>
    <row r="92" spans="1:8" ht="14.1" customHeight="1" x14ac:dyDescent="0.2">
      <c r="A92" s="1"/>
      <c r="B92" s="1"/>
      <c r="C92" s="11"/>
      <c r="D92" s="1"/>
      <c r="E92" s="1"/>
      <c r="F92" s="12"/>
      <c r="G92" s="12"/>
      <c r="H92" s="53"/>
    </row>
    <row r="93" spans="1:8" ht="14.1" customHeight="1" x14ac:dyDescent="0.2">
      <c r="A93" s="1"/>
      <c r="B93" s="1"/>
      <c r="C93" s="2" t="s">
        <v>160</v>
      </c>
      <c r="D93" s="1"/>
      <c r="E93" s="1"/>
      <c r="F93" s="12"/>
      <c r="G93" s="12"/>
      <c r="H93" s="53"/>
    </row>
    <row r="94" spans="1:8" ht="14.1" customHeight="1" x14ac:dyDescent="0.2">
      <c r="A94" s="1"/>
      <c r="B94" s="1"/>
      <c r="C94" s="2" t="s">
        <v>144</v>
      </c>
      <c r="D94" s="1"/>
      <c r="E94" s="1" t="s">
        <v>145</v>
      </c>
      <c r="F94" s="13" t="s">
        <v>147</v>
      </c>
      <c r="G94" s="10">
        <v>0</v>
      </c>
      <c r="H94" s="53"/>
    </row>
    <row r="95" spans="1:8" ht="14.1" customHeight="1" x14ac:dyDescent="0.2">
      <c r="A95" s="1"/>
      <c r="B95" s="1"/>
      <c r="C95" s="11"/>
      <c r="D95" s="1"/>
      <c r="E95" s="1"/>
      <c r="F95" s="12"/>
      <c r="G95" s="12"/>
      <c r="H95" s="53"/>
    </row>
    <row r="96" spans="1:8" ht="14.1" customHeight="1" x14ac:dyDescent="0.2">
      <c r="A96" s="1"/>
      <c r="B96" s="1"/>
      <c r="C96" s="2" t="s">
        <v>161</v>
      </c>
      <c r="D96" s="1"/>
      <c r="E96" s="1"/>
      <c r="F96" s="12"/>
      <c r="G96" s="12"/>
      <c r="H96" s="53"/>
    </row>
    <row r="97" spans="1:8" ht="14.1" customHeight="1" x14ac:dyDescent="0.2">
      <c r="A97" s="1"/>
      <c r="B97" s="1"/>
      <c r="C97" s="2" t="s">
        <v>144</v>
      </c>
      <c r="D97" s="1"/>
      <c r="E97" s="1" t="s">
        <v>145</v>
      </c>
      <c r="F97" s="13" t="s">
        <v>147</v>
      </c>
      <c r="G97" s="10">
        <v>0</v>
      </c>
      <c r="H97" s="53"/>
    </row>
    <row r="98" spans="1:8" ht="14.1" customHeight="1" x14ac:dyDescent="0.2">
      <c r="A98" s="1"/>
      <c r="B98" s="1"/>
      <c r="C98" s="11"/>
      <c r="D98" s="1"/>
      <c r="E98" s="1"/>
      <c r="F98" s="12"/>
      <c r="G98" s="12"/>
      <c r="H98" s="53"/>
    </row>
    <row r="99" spans="1:8" ht="14.1" customHeight="1" x14ac:dyDescent="0.2">
      <c r="A99" s="1"/>
      <c r="B99" s="1"/>
      <c r="C99" s="2" t="s">
        <v>162</v>
      </c>
      <c r="D99" s="1"/>
      <c r="E99" s="1"/>
      <c r="F99" s="12"/>
      <c r="G99" s="12"/>
      <c r="H99" s="53"/>
    </row>
    <row r="100" spans="1:8" ht="17.100000000000001" customHeight="1" x14ac:dyDescent="0.2">
      <c r="A100" s="3">
        <v>1</v>
      </c>
      <c r="B100" s="4"/>
      <c r="C100" s="4" t="s">
        <v>163</v>
      </c>
      <c r="D100" s="4"/>
      <c r="E100" s="8"/>
      <c r="F100" s="6">
        <v>7555.5631240270004</v>
      </c>
      <c r="G100" s="7">
        <v>2.7025339999999998E-2</v>
      </c>
      <c r="H100" s="51">
        <v>6.6602331647804478</v>
      </c>
    </row>
    <row r="101" spans="1:8" ht="17.100000000000001" customHeight="1" x14ac:dyDescent="0.2">
      <c r="A101" s="3">
        <v>2</v>
      </c>
      <c r="B101" s="4"/>
      <c r="C101" s="4" t="s">
        <v>164</v>
      </c>
      <c r="D101" s="4"/>
      <c r="E101" s="8"/>
      <c r="F101" s="6">
        <v>5776.4404404999996</v>
      </c>
      <c r="G101" s="7">
        <v>2.066163E-2</v>
      </c>
      <c r="H101" s="51">
        <v>6.6588225936582406</v>
      </c>
    </row>
    <row r="102" spans="1:8" ht="14.1" customHeight="1" x14ac:dyDescent="0.2">
      <c r="A102" s="1"/>
      <c r="B102" s="1"/>
      <c r="C102" s="2" t="s">
        <v>144</v>
      </c>
      <c r="D102" s="1"/>
      <c r="E102" s="1" t="s">
        <v>145</v>
      </c>
      <c r="F102" s="9">
        <v>13332.003564527</v>
      </c>
      <c r="G102" s="10">
        <v>4.7686970000000002E-2</v>
      </c>
      <c r="H102" s="53"/>
    </row>
    <row r="103" spans="1:8" ht="14.1" customHeight="1" x14ac:dyDescent="0.2">
      <c r="A103" s="1"/>
      <c r="B103" s="1"/>
      <c r="C103" s="11"/>
      <c r="D103" s="1"/>
      <c r="E103" s="1"/>
      <c r="F103" s="12"/>
      <c r="G103" s="12"/>
      <c r="H103" s="53"/>
    </row>
    <row r="104" spans="1:8" ht="14.1" customHeight="1" x14ac:dyDescent="0.2">
      <c r="A104" s="1"/>
      <c r="B104" s="1"/>
      <c r="C104" s="2" t="s">
        <v>165</v>
      </c>
      <c r="D104" s="1"/>
      <c r="E104" s="1"/>
      <c r="F104" s="9">
        <v>13332.003564527</v>
      </c>
      <c r="G104" s="10">
        <v>4.7686970000000002E-2</v>
      </c>
      <c r="H104" s="53"/>
    </row>
    <row r="105" spans="1:8" ht="14.1" customHeight="1" x14ac:dyDescent="0.2">
      <c r="A105" s="1"/>
      <c r="B105" s="1"/>
      <c r="C105" s="12"/>
      <c r="D105" s="1"/>
      <c r="E105" s="1"/>
      <c r="F105" s="1"/>
      <c r="G105" s="1"/>
      <c r="H105" s="53"/>
    </row>
    <row r="106" spans="1:8" ht="14.1" customHeight="1" x14ac:dyDescent="0.2">
      <c r="A106" s="1"/>
      <c r="B106" s="1"/>
      <c r="C106" s="2" t="s">
        <v>166</v>
      </c>
      <c r="D106" s="1"/>
      <c r="E106" s="1"/>
      <c r="F106" s="1"/>
      <c r="G106" s="1"/>
      <c r="H106" s="53"/>
    </row>
    <row r="107" spans="1:8" ht="14.1" customHeight="1" x14ac:dyDescent="0.2">
      <c r="A107" s="1"/>
      <c r="B107" s="1"/>
      <c r="C107" s="2" t="s">
        <v>167</v>
      </c>
      <c r="D107" s="1"/>
      <c r="E107" s="1"/>
      <c r="F107" s="1"/>
      <c r="G107" s="1"/>
      <c r="H107" s="53"/>
    </row>
    <row r="108" spans="1:8" ht="14.1" customHeight="1" x14ac:dyDescent="0.2">
      <c r="A108" s="1"/>
      <c r="B108" s="1"/>
      <c r="C108" s="2" t="s">
        <v>144</v>
      </c>
      <c r="D108" s="1"/>
      <c r="E108" s="1" t="s">
        <v>145</v>
      </c>
      <c r="F108" s="13" t="s">
        <v>147</v>
      </c>
      <c r="G108" s="10">
        <v>0</v>
      </c>
      <c r="H108" s="53"/>
    </row>
    <row r="109" spans="1:8" ht="14.1" customHeight="1" x14ac:dyDescent="0.2">
      <c r="A109" s="1"/>
      <c r="B109" s="1"/>
      <c r="C109" s="11"/>
      <c r="D109" s="1"/>
      <c r="E109" s="1"/>
      <c r="F109" s="12"/>
      <c r="G109" s="12"/>
      <c r="H109" s="53"/>
    </row>
    <row r="110" spans="1:8" ht="14.1" customHeight="1" x14ac:dyDescent="0.2">
      <c r="A110" s="1"/>
      <c r="B110" s="1"/>
      <c r="C110" s="2" t="s">
        <v>168</v>
      </c>
      <c r="D110" s="1"/>
      <c r="E110" s="1"/>
      <c r="F110" s="1"/>
      <c r="G110" s="1"/>
      <c r="H110" s="53"/>
    </row>
    <row r="111" spans="1:8" ht="14.1" customHeight="1" x14ac:dyDescent="0.2">
      <c r="A111" s="1"/>
      <c r="B111" s="1"/>
      <c r="C111" s="2" t="s">
        <v>169</v>
      </c>
      <c r="D111" s="1"/>
      <c r="E111" s="1"/>
      <c r="F111" s="1"/>
      <c r="G111" s="1"/>
      <c r="H111" s="53"/>
    </row>
    <row r="112" spans="1:8" ht="14.1" customHeight="1" x14ac:dyDescent="0.2">
      <c r="A112" s="1"/>
      <c r="B112" s="1"/>
      <c r="C112" s="2" t="s">
        <v>144</v>
      </c>
      <c r="D112" s="1"/>
      <c r="E112" s="1" t="s">
        <v>145</v>
      </c>
      <c r="F112" s="13" t="s">
        <v>147</v>
      </c>
      <c r="G112" s="10">
        <v>0</v>
      </c>
      <c r="H112" s="53"/>
    </row>
    <row r="113" spans="1:8" ht="14.1" customHeight="1" x14ac:dyDescent="0.2">
      <c r="A113" s="1"/>
      <c r="B113" s="1"/>
      <c r="C113" s="11"/>
      <c r="D113" s="1"/>
      <c r="E113" s="1"/>
      <c r="F113" s="12"/>
      <c r="G113" s="12"/>
      <c r="H113" s="53"/>
    </row>
    <row r="114" spans="1:8" ht="24" customHeight="1" x14ac:dyDescent="0.2">
      <c r="A114" s="1"/>
      <c r="B114" s="1"/>
      <c r="C114" s="2" t="s">
        <v>170</v>
      </c>
      <c r="D114" s="1"/>
      <c r="E114" s="1"/>
      <c r="F114" s="12"/>
      <c r="G114" s="12"/>
      <c r="H114" s="53"/>
    </row>
    <row r="115" spans="1:8" ht="14.1" customHeight="1" x14ac:dyDescent="0.2">
      <c r="A115" s="1"/>
      <c r="B115" s="1"/>
      <c r="C115" s="2" t="s">
        <v>144</v>
      </c>
      <c r="D115" s="1"/>
      <c r="E115" s="1" t="s">
        <v>145</v>
      </c>
      <c r="F115" s="13" t="s">
        <v>147</v>
      </c>
      <c r="G115" s="10">
        <v>0</v>
      </c>
      <c r="H115" s="53"/>
    </row>
    <row r="116" spans="1:8" ht="14.1" customHeight="1" x14ac:dyDescent="0.2">
      <c r="A116" s="1"/>
      <c r="B116" s="1"/>
      <c r="C116" s="11"/>
      <c r="D116" s="1"/>
      <c r="E116" s="1"/>
      <c r="F116" s="12"/>
      <c r="G116" s="12"/>
      <c r="H116" s="53"/>
    </row>
    <row r="117" spans="1:8" ht="14.1" customHeight="1" x14ac:dyDescent="0.2">
      <c r="A117" s="1"/>
      <c r="B117" s="4"/>
      <c r="C117" s="4"/>
      <c r="D117" s="2"/>
      <c r="E117" s="1"/>
      <c r="F117" s="4"/>
      <c r="G117" s="8"/>
      <c r="H117" s="53"/>
    </row>
    <row r="118" spans="1:8" ht="18" customHeight="1" x14ac:dyDescent="0.2">
      <c r="A118" s="8"/>
      <c r="B118" s="4"/>
      <c r="C118" s="4" t="s">
        <v>171</v>
      </c>
      <c r="D118" s="4"/>
      <c r="E118" s="8"/>
      <c r="F118" s="6">
        <v>-323.70897321000001</v>
      </c>
      <c r="G118" s="7">
        <v>-1.1578700000000001E-3</v>
      </c>
      <c r="H118" s="53"/>
    </row>
    <row r="119" spans="1:8" ht="14.1" customHeight="1" x14ac:dyDescent="0.2">
      <c r="A119" s="11"/>
      <c r="B119" s="11"/>
      <c r="C119" s="2" t="s">
        <v>172</v>
      </c>
      <c r="D119" s="12"/>
      <c r="E119" s="12"/>
      <c r="F119" s="9">
        <v>279573.26040119899</v>
      </c>
      <c r="G119" s="14">
        <v>0.99999998999999995</v>
      </c>
      <c r="H119" s="53"/>
    </row>
    <row r="120" spans="1:8" ht="14.1" customHeight="1" x14ac:dyDescent="0.2">
      <c r="A120" s="15"/>
      <c r="B120" s="15"/>
      <c r="C120" s="15"/>
      <c r="D120" s="16"/>
      <c r="E120" s="16"/>
      <c r="F120" s="16"/>
      <c r="G120" s="16"/>
    </row>
    <row r="121" spans="1:8" ht="14.1" customHeight="1" x14ac:dyDescent="0.2">
      <c r="A121" s="17"/>
      <c r="B121" s="17"/>
      <c r="C121" s="17"/>
      <c r="D121" s="19"/>
      <c r="E121" s="19"/>
      <c r="F121" s="19"/>
      <c r="G121" s="19"/>
    </row>
    <row r="122" spans="1:8" ht="14.1" customHeight="1" x14ac:dyDescent="0.2">
      <c r="A122" s="17"/>
      <c r="B122" s="231" t="s">
        <v>174</v>
      </c>
      <c r="C122" s="232"/>
      <c r="D122" s="233"/>
      <c r="E122" s="20"/>
      <c r="F122" s="19"/>
      <c r="G122" s="19"/>
    </row>
    <row r="123" spans="1:8" ht="29.1" customHeight="1" x14ac:dyDescent="0.2">
      <c r="A123" s="17"/>
      <c r="B123" s="226" t="s">
        <v>175</v>
      </c>
      <c r="C123" s="227"/>
      <c r="D123" s="2" t="s">
        <v>176</v>
      </c>
      <c r="E123" s="20"/>
      <c r="F123" s="19"/>
      <c r="G123" s="19"/>
    </row>
    <row r="124" spans="1:8" ht="17.100000000000001" customHeight="1" x14ac:dyDescent="0.2">
      <c r="A124" s="17"/>
      <c r="B124" s="226" t="s">
        <v>177</v>
      </c>
      <c r="C124" s="227"/>
      <c r="D124" s="2" t="s">
        <v>176</v>
      </c>
      <c r="E124" s="20"/>
      <c r="F124" s="19"/>
      <c r="G124" s="19"/>
    </row>
    <row r="125" spans="1:8" ht="17.100000000000001" customHeight="1" x14ac:dyDescent="0.2">
      <c r="A125" s="17"/>
      <c r="B125" s="226" t="s">
        <v>178</v>
      </c>
      <c r="C125" s="227"/>
      <c r="D125" s="12" t="s">
        <v>145</v>
      </c>
      <c r="E125" s="20"/>
      <c r="F125" s="19"/>
      <c r="G125" s="19"/>
    </row>
    <row r="126" spans="1:8" ht="24" customHeight="1" x14ac:dyDescent="0.2">
      <c r="A126" s="21"/>
      <c r="B126" s="22" t="s">
        <v>145</v>
      </c>
      <c r="C126" s="22" t="s">
        <v>179</v>
      </c>
      <c r="D126" s="22" t="s">
        <v>180</v>
      </c>
      <c r="E126" s="21"/>
      <c r="F126" s="21"/>
      <c r="G126" s="21"/>
    </row>
    <row r="127" spans="1:8" ht="18" customHeight="1" x14ac:dyDescent="0.2">
      <c r="A127" s="21"/>
      <c r="B127" s="23" t="s">
        <v>181</v>
      </c>
      <c r="C127" s="22" t="s">
        <v>182</v>
      </c>
      <c r="D127" s="22" t="s">
        <v>183</v>
      </c>
      <c r="E127" s="21"/>
      <c r="F127" s="21"/>
      <c r="G127" s="21"/>
    </row>
    <row r="128" spans="1:8" ht="17.100000000000001" customHeight="1" x14ac:dyDescent="0.2">
      <c r="A128" s="21"/>
      <c r="B128" s="4" t="s">
        <v>184</v>
      </c>
      <c r="C128" s="24">
        <v>25.8474</v>
      </c>
      <c r="D128" s="24">
        <v>26.068300000000001</v>
      </c>
      <c r="E128" s="21"/>
      <c r="F128" s="18"/>
      <c r="G128" s="25"/>
    </row>
    <row r="129" spans="1:7" ht="17.100000000000001" customHeight="1" x14ac:dyDescent="0.2">
      <c r="A129" s="21"/>
      <c r="B129" s="4" t="s">
        <v>1009</v>
      </c>
      <c r="C129" s="24">
        <v>20.5595</v>
      </c>
      <c r="D129" s="24">
        <v>20.735199999999999</v>
      </c>
      <c r="E129" s="21"/>
      <c r="F129" s="18"/>
      <c r="G129" s="25"/>
    </row>
    <row r="130" spans="1:7" ht="17.100000000000001" customHeight="1" x14ac:dyDescent="0.2">
      <c r="A130" s="21"/>
      <c r="B130" s="4" t="s">
        <v>185</v>
      </c>
      <c r="C130" s="24">
        <v>24.4253</v>
      </c>
      <c r="D130" s="24">
        <v>24.609300000000001</v>
      </c>
      <c r="E130" s="21"/>
      <c r="F130" s="18"/>
      <c r="G130" s="25"/>
    </row>
    <row r="131" spans="1:7" ht="17.100000000000001" customHeight="1" x14ac:dyDescent="0.2">
      <c r="A131" s="21"/>
      <c r="B131" s="4" t="s">
        <v>1010</v>
      </c>
      <c r="C131" s="24">
        <v>19.408799999999999</v>
      </c>
      <c r="D131" s="24">
        <v>19.555099999999999</v>
      </c>
      <c r="E131" s="21"/>
      <c r="F131" s="18"/>
      <c r="G131" s="25"/>
    </row>
    <row r="132" spans="1:7" ht="14.1" customHeight="1" x14ac:dyDescent="0.2">
      <c r="A132" s="21"/>
      <c r="B132" s="21"/>
      <c r="C132" s="21"/>
      <c r="D132" s="21"/>
      <c r="E132" s="21"/>
      <c r="F132" s="21"/>
      <c r="G132" s="21"/>
    </row>
    <row r="133" spans="1:7" ht="17.100000000000001" customHeight="1" x14ac:dyDescent="0.2">
      <c r="A133" s="21"/>
      <c r="B133" s="226" t="s">
        <v>1011</v>
      </c>
      <c r="C133" s="227"/>
      <c r="D133" s="2" t="s">
        <v>176</v>
      </c>
      <c r="E133" s="21"/>
      <c r="F133" s="21"/>
      <c r="G133" s="21"/>
    </row>
    <row r="134" spans="1:7" ht="18" customHeight="1" x14ac:dyDescent="0.2">
      <c r="A134" s="21"/>
      <c r="B134" s="26"/>
      <c r="C134" s="26"/>
      <c r="D134" s="26"/>
      <c r="E134" s="21"/>
      <c r="F134" s="21"/>
      <c r="G134" s="21"/>
    </row>
    <row r="135" spans="1:7" ht="29.1" customHeight="1" x14ac:dyDescent="0.2">
      <c r="A135" s="21"/>
      <c r="B135" s="226" t="s">
        <v>186</v>
      </c>
      <c r="C135" s="227"/>
      <c r="D135" s="2" t="s">
        <v>176</v>
      </c>
      <c r="E135" s="27"/>
      <c r="F135" s="21"/>
      <c r="G135" s="21"/>
    </row>
    <row r="136" spans="1:7" ht="29.1" customHeight="1" x14ac:dyDescent="0.2">
      <c r="A136" s="21"/>
      <c r="B136" s="226" t="s">
        <v>187</v>
      </c>
      <c r="C136" s="227"/>
      <c r="D136" s="42" t="s">
        <v>960</v>
      </c>
      <c r="E136" s="27"/>
      <c r="F136" s="21"/>
      <c r="G136" s="21"/>
    </row>
    <row r="137" spans="1:7" ht="17.100000000000001" customHeight="1" x14ac:dyDescent="0.2">
      <c r="A137" s="21"/>
      <c r="B137" s="226" t="s">
        <v>188</v>
      </c>
      <c r="C137" s="227"/>
      <c r="D137" s="2" t="s">
        <v>176</v>
      </c>
      <c r="E137" s="27"/>
      <c r="F137" s="21"/>
      <c r="G137" s="21"/>
    </row>
    <row r="138" spans="1:7" ht="17.100000000000001" customHeight="1" x14ac:dyDescent="0.2">
      <c r="A138" s="21"/>
      <c r="B138" s="226" t="s">
        <v>189</v>
      </c>
      <c r="C138" s="227"/>
      <c r="D138" s="57">
        <v>0.26264221196835708</v>
      </c>
      <c r="E138" s="21"/>
      <c r="F138" s="18"/>
      <c r="G138" s="25"/>
    </row>
  </sheetData>
  <mergeCells count="13">
    <mergeCell ref="A1:H1"/>
    <mergeCell ref="A2:H2"/>
    <mergeCell ref="A3:H3"/>
    <mergeCell ref="J2:N2"/>
    <mergeCell ref="B138:C138"/>
    <mergeCell ref="B124:C124"/>
    <mergeCell ref="B125:C125"/>
    <mergeCell ref="B133:C133"/>
    <mergeCell ref="B135:C135"/>
    <mergeCell ref="B136:C136"/>
    <mergeCell ref="B137:C137"/>
    <mergeCell ref="B123:C123"/>
    <mergeCell ref="B122:D122"/>
  </mergeCells>
  <hyperlinks>
    <hyperlink ref="I1" location="Index!B27" display="Index" xr:uid="{14BEF97A-7185-4540-8D6E-B7C3CF25C7A6}"/>
  </hyperlinks>
  <pageMargins left="5.000000074505806E-2" right="5.000000074505806E-2" top="0.30000001192092896" bottom="0.20000000298023224" header="0" footer="0"/>
  <pageSetup paperSize="9" orientation="landscape"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N15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832</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310</v>
      </c>
      <c r="C7" s="4" t="s">
        <v>311</v>
      </c>
      <c r="D7" s="4" t="s">
        <v>28</v>
      </c>
      <c r="E7" s="5">
        <v>968960</v>
      </c>
      <c r="F7" s="6">
        <v>15226.72192</v>
      </c>
      <c r="G7" s="7">
        <v>9.2968380000000003E-2</v>
      </c>
      <c r="H7" s="53"/>
    </row>
    <row r="8" spans="1:14" ht="17.100000000000001" customHeight="1" x14ac:dyDescent="0.2">
      <c r="A8" s="3">
        <v>2</v>
      </c>
      <c r="B8" s="4" t="s">
        <v>26</v>
      </c>
      <c r="C8" s="4" t="s">
        <v>27</v>
      </c>
      <c r="D8" s="4" t="s">
        <v>28</v>
      </c>
      <c r="E8" s="5">
        <v>1178000</v>
      </c>
      <c r="F8" s="6">
        <v>11294.075000000001</v>
      </c>
      <c r="G8" s="7">
        <v>6.8957180000000007E-2</v>
      </c>
      <c r="H8" s="53"/>
    </row>
    <row r="9" spans="1:14" ht="17.100000000000001" customHeight="1" x14ac:dyDescent="0.2">
      <c r="A9" s="3">
        <v>3</v>
      </c>
      <c r="B9" s="4" t="s">
        <v>20</v>
      </c>
      <c r="C9" s="4" t="s">
        <v>21</v>
      </c>
      <c r="D9" s="4" t="s">
        <v>22</v>
      </c>
      <c r="E9" s="5">
        <v>460000</v>
      </c>
      <c r="F9" s="6">
        <v>11072.2</v>
      </c>
      <c r="G9" s="7">
        <v>6.7602499999999996E-2</v>
      </c>
      <c r="H9" s="53"/>
    </row>
    <row r="10" spans="1:14" ht="17.100000000000001" customHeight="1" x14ac:dyDescent="0.2">
      <c r="A10" s="3">
        <v>4</v>
      </c>
      <c r="B10" s="4" t="s">
        <v>312</v>
      </c>
      <c r="C10" s="4" t="s">
        <v>313</v>
      </c>
      <c r="D10" s="4" t="s">
        <v>905</v>
      </c>
      <c r="E10" s="5">
        <v>570000</v>
      </c>
      <c r="F10" s="6">
        <v>8182.0649999999996</v>
      </c>
      <c r="G10" s="7">
        <v>4.9956470000000003E-2</v>
      </c>
      <c r="H10" s="53"/>
    </row>
    <row r="11" spans="1:14" ht="17.100000000000001" customHeight="1" x14ac:dyDescent="0.2">
      <c r="A11" s="3">
        <v>5</v>
      </c>
      <c r="B11" s="4" t="s">
        <v>32</v>
      </c>
      <c r="C11" s="4" t="s">
        <v>33</v>
      </c>
      <c r="D11" s="4" t="s">
        <v>28</v>
      </c>
      <c r="E11" s="5">
        <v>1199000</v>
      </c>
      <c r="F11" s="6">
        <v>6730.5865000000003</v>
      </c>
      <c r="G11" s="7">
        <v>4.1094319999999997E-2</v>
      </c>
      <c r="H11" s="53"/>
    </row>
    <row r="12" spans="1:14" ht="17.100000000000001" customHeight="1" x14ac:dyDescent="0.2">
      <c r="A12" s="3">
        <v>6</v>
      </c>
      <c r="B12" s="4" t="s">
        <v>46</v>
      </c>
      <c r="C12" s="4" t="s">
        <v>47</v>
      </c>
      <c r="D12" s="4" t="s">
        <v>31</v>
      </c>
      <c r="E12" s="5">
        <v>116000</v>
      </c>
      <c r="F12" s="6">
        <v>5942.7380000000003</v>
      </c>
      <c r="G12" s="7">
        <v>3.628402E-2</v>
      </c>
      <c r="H12" s="53"/>
    </row>
    <row r="13" spans="1:14" ht="17.100000000000001" customHeight="1" x14ac:dyDescent="0.25">
      <c r="A13" s="3">
        <v>7</v>
      </c>
      <c r="B13" s="4" t="s">
        <v>314</v>
      </c>
      <c r="C13" s="4" t="s">
        <v>315</v>
      </c>
      <c r="D13" s="4" t="s">
        <v>28</v>
      </c>
      <c r="E13" s="5">
        <v>483000</v>
      </c>
      <c r="F13" s="6">
        <v>4702.0050000000001</v>
      </c>
      <c r="G13" s="7">
        <v>2.8708600000000001E-2</v>
      </c>
      <c r="H13" s="53"/>
      <c r="J13" s="148" t="s">
        <v>1053</v>
      </c>
    </row>
    <row r="14" spans="1:14" ht="17.100000000000001" customHeight="1" x14ac:dyDescent="0.2">
      <c r="A14" s="3">
        <v>8</v>
      </c>
      <c r="B14" s="4" t="s">
        <v>11</v>
      </c>
      <c r="C14" s="4" t="s">
        <v>12</v>
      </c>
      <c r="D14" s="4" t="s">
        <v>13</v>
      </c>
      <c r="E14" s="5">
        <v>160000</v>
      </c>
      <c r="F14" s="6">
        <v>4324.32</v>
      </c>
      <c r="G14" s="7">
        <v>2.6402599999999998E-2</v>
      </c>
      <c r="H14" s="53"/>
      <c r="J14" s="142"/>
    </row>
    <row r="15" spans="1:14" ht="29.1" customHeight="1" x14ac:dyDescent="0.2">
      <c r="A15" s="3">
        <v>9</v>
      </c>
      <c r="B15" s="4" t="s">
        <v>316</v>
      </c>
      <c r="C15" s="4" t="s">
        <v>317</v>
      </c>
      <c r="D15" s="4" t="s">
        <v>224</v>
      </c>
      <c r="E15" s="5">
        <v>388000</v>
      </c>
      <c r="F15" s="6">
        <v>4313.0079999999998</v>
      </c>
      <c r="G15" s="7">
        <v>2.6333530000000001E-2</v>
      </c>
      <c r="H15" s="53"/>
    </row>
    <row r="16" spans="1:14" ht="17.100000000000001" customHeight="1" x14ac:dyDescent="0.2">
      <c r="A16" s="3">
        <v>10</v>
      </c>
      <c r="B16" s="4" t="s">
        <v>501</v>
      </c>
      <c r="C16" s="4" t="s">
        <v>502</v>
      </c>
      <c r="D16" s="4" t="s">
        <v>397</v>
      </c>
      <c r="E16" s="5">
        <v>67000</v>
      </c>
      <c r="F16" s="6">
        <v>3919.8015</v>
      </c>
      <c r="G16" s="7">
        <v>2.3932769999999999E-2</v>
      </c>
      <c r="H16" s="53"/>
    </row>
    <row r="17" spans="1:10" ht="17.100000000000001" customHeight="1" x14ac:dyDescent="0.2">
      <c r="A17" s="3">
        <v>11</v>
      </c>
      <c r="B17" s="4" t="s">
        <v>318</v>
      </c>
      <c r="C17" s="4" t="s">
        <v>319</v>
      </c>
      <c r="D17" s="4" t="s">
        <v>905</v>
      </c>
      <c r="E17" s="5">
        <v>116000</v>
      </c>
      <c r="F17" s="6">
        <v>3893.8879999999999</v>
      </c>
      <c r="G17" s="7">
        <v>2.3774549999999998E-2</v>
      </c>
      <c r="H17" s="53"/>
    </row>
    <row r="18" spans="1:10" ht="17.100000000000001" customHeight="1" x14ac:dyDescent="0.2">
      <c r="A18" s="3">
        <v>12</v>
      </c>
      <c r="B18" s="4" t="s">
        <v>336</v>
      </c>
      <c r="C18" s="4" t="s">
        <v>337</v>
      </c>
      <c r="D18" s="4" t="s">
        <v>331</v>
      </c>
      <c r="E18" s="5">
        <v>136000</v>
      </c>
      <c r="F18" s="6">
        <v>3406.8679999999999</v>
      </c>
      <c r="G18" s="7">
        <v>2.0801E-2</v>
      </c>
      <c r="H18" s="53"/>
    </row>
    <row r="19" spans="1:10" ht="53.1" customHeight="1" x14ac:dyDescent="0.2">
      <c r="A19" s="3">
        <v>13</v>
      </c>
      <c r="B19" s="4" t="s">
        <v>66</v>
      </c>
      <c r="C19" s="4" t="s">
        <v>67</v>
      </c>
      <c r="D19" s="4" t="s">
        <v>68</v>
      </c>
      <c r="E19" s="5">
        <v>1724000</v>
      </c>
      <c r="F19" s="6">
        <v>3169.5740000000001</v>
      </c>
      <c r="G19" s="7">
        <v>1.9352169999999998E-2</v>
      </c>
      <c r="H19" s="53"/>
    </row>
    <row r="20" spans="1:10" ht="17.100000000000001" customHeight="1" x14ac:dyDescent="0.2">
      <c r="A20" s="3">
        <v>14</v>
      </c>
      <c r="B20" s="4" t="s">
        <v>14</v>
      </c>
      <c r="C20" s="4" t="s">
        <v>15</v>
      </c>
      <c r="D20" s="4" t="s">
        <v>16</v>
      </c>
      <c r="E20" s="5">
        <v>368000</v>
      </c>
      <c r="F20" s="6">
        <v>3151.5520000000001</v>
      </c>
      <c r="G20" s="7">
        <v>1.9242140000000001E-2</v>
      </c>
      <c r="H20" s="53"/>
    </row>
    <row r="21" spans="1:10" ht="17.100000000000001" customHeight="1" x14ac:dyDescent="0.2">
      <c r="A21" s="3">
        <v>15</v>
      </c>
      <c r="B21" s="4" t="s">
        <v>42</v>
      </c>
      <c r="C21" s="4" t="s">
        <v>43</v>
      </c>
      <c r="D21" s="4" t="s">
        <v>31</v>
      </c>
      <c r="E21" s="5">
        <v>138000</v>
      </c>
      <c r="F21" s="6">
        <v>3141.018</v>
      </c>
      <c r="G21" s="7">
        <v>1.9177820000000002E-2</v>
      </c>
      <c r="H21" s="53"/>
    </row>
    <row r="22" spans="1:10" ht="17.100000000000001" customHeight="1" x14ac:dyDescent="0.2">
      <c r="A22" s="3">
        <v>16</v>
      </c>
      <c r="B22" s="4" t="s">
        <v>346</v>
      </c>
      <c r="C22" s="4" t="s">
        <v>347</v>
      </c>
      <c r="D22" s="4" t="s">
        <v>108</v>
      </c>
      <c r="E22" s="5">
        <v>507000</v>
      </c>
      <c r="F22" s="6">
        <v>3047.07</v>
      </c>
      <c r="G22" s="7">
        <v>1.8604209999999999E-2</v>
      </c>
      <c r="H22" s="53"/>
    </row>
    <row r="23" spans="1:10" ht="17.100000000000001" customHeight="1" x14ac:dyDescent="0.2">
      <c r="A23" s="3">
        <v>17</v>
      </c>
      <c r="B23" s="4" t="s">
        <v>227</v>
      </c>
      <c r="C23" s="4" t="s">
        <v>228</v>
      </c>
      <c r="D23" s="4" t="s">
        <v>229</v>
      </c>
      <c r="E23" s="5">
        <v>529000</v>
      </c>
      <c r="F23" s="6">
        <v>2708.7444999999998</v>
      </c>
      <c r="G23" s="7">
        <v>1.6538529999999999E-2</v>
      </c>
      <c r="H23" s="53"/>
      <c r="J23" s="142" t="s">
        <v>1054</v>
      </c>
    </row>
    <row r="24" spans="1:10" ht="17.100000000000001" customHeight="1" x14ac:dyDescent="0.2">
      <c r="A24" s="3">
        <v>18</v>
      </c>
      <c r="B24" s="4" t="s">
        <v>366</v>
      </c>
      <c r="C24" s="4" t="s">
        <v>367</v>
      </c>
      <c r="D24" s="4" t="s">
        <v>130</v>
      </c>
      <c r="E24" s="5">
        <v>176000</v>
      </c>
      <c r="F24" s="6">
        <v>2620.4639999999999</v>
      </c>
      <c r="G24" s="7">
        <v>1.599952E-2</v>
      </c>
      <c r="H24" s="53"/>
    </row>
    <row r="25" spans="1:10" ht="29.1" customHeight="1" x14ac:dyDescent="0.2">
      <c r="A25" s="3">
        <v>19</v>
      </c>
      <c r="B25" s="4" t="s">
        <v>210</v>
      </c>
      <c r="C25" s="4" t="s">
        <v>211</v>
      </c>
      <c r="D25" s="4" t="s">
        <v>130</v>
      </c>
      <c r="E25" s="5">
        <v>231000</v>
      </c>
      <c r="F25" s="6">
        <v>2591.4735000000001</v>
      </c>
      <c r="G25" s="7">
        <v>1.582252E-2</v>
      </c>
      <c r="H25" s="53"/>
    </row>
    <row r="26" spans="1:10" ht="29.1" customHeight="1" x14ac:dyDescent="0.2">
      <c r="A26" s="3">
        <v>20</v>
      </c>
      <c r="B26" s="4" t="s">
        <v>23</v>
      </c>
      <c r="C26" s="4" t="s">
        <v>24</v>
      </c>
      <c r="D26" s="4" t="s">
        <v>25</v>
      </c>
      <c r="E26" s="5">
        <v>31000</v>
      </c>
      <c r="F26" s="6">
        <v>2572.2094999999999</v>
      </c>
      <c r="G26" s="7">
        <v>1.5704900000000001E-2</v>
      </c>
      <c r="H26" s="53"/>
    </row>
    <row r="27" spans="1:10" ht="17.100000000000001" customHeight="1" x14ac:dyDescent="0.2">
      <c r="A27" s="3">
        <v>21</v>
      </c>
      <c r="B27" s="4" t="s">
        <v>81</v>
      </c>
      <c r="C27" s="4" t="s">
        <v>82</v>
      </c>
      <c r="D27" s="4" t="s">
        <v>59</v>
      </c>
      <c r="E27" s="5">
        <v>104000</v>
      </c>
      <c r="F27" s="6">
        <v>2532.4</v>
      </c>
      <c r="G27" s="7">
        <v>1.5461839999999999E-2</v>
      </c>
      <c r="H27" s="53"/>
    </row>
    <row r="28" spans="1:10" ht="17.100000000000001" customHeight="1" x14ac:dyDescent="0.2">
      <c r="A28" s="3">
        <v>22</v>
      </c>
      <c r="B28" s="4" t="s">
        <v>106</v>
      </c>
      <c r="C28" s="4" t="s">
        <v>107</v>
      </c>
      <c r="D28" s="4" t="s">
        <v>108</v>
      </c>
      <c r="E28" s="5">
        <v>24000</v>
      </c>
      <c r="F28" s="6">
        <v>2400.9119999999998</v>
      </c>
      <c r="G28" s="7">
        <v>1.465903E-2</v>
      </c>
      <c r="H28" s="53"/>
    </row>
    <row r="29" spans="1:10" ht="17.100000000000001" customHeight="1" x14ac:dyDescent="0.2">
      <c r="A29" s="3">
        <v>23</v>
      </c>
      <c r="B29" s="4" t="s">
        <v>219</v>
      </c>
      <c r="C29" s="4" t="s">
        <v>220</v>
      </c>
      <c r="D29" s="4" t="s">
        <v>221</v>
      </c>
      <c r="E29" s="5">
        <v>238000</v>
      </c>
      <c r="F29" s="6">
        <v>2222.2060000000001</v>
      </c>
      <c r="G29" s="7">
        <v>1.3567920000000001E-2</v>
      </c>
      <c r="H29" s="53"/>
    </row>
    <row r="30" spans="1:10" ht="29.1" customHeight="1" x14ac:dyDescent="0.2">
      <c r="A30" s="3">
        <v>24</v>
      </c>
      <c r="B30" s="4" t="s">
        <v>374</v>
      </c>
      <c r="C30" s="4" t="s">
        <v>375</v>
      </c>
      <c r="D30" s="4" t="s">
        <v>224</v>
      </c>
      <c r="E30" s="5">
        <v>171000</v>
      </c>
      <c r="F30" s="6">
        <v>2150.4960000000001</v>
      </c>
      <c r="G30" s="7">
        <v>1.3130080000000001E-2</v>
      </c>
      <c r="H30" s="53"/>
    </row>
    <row r="31" spans="1:10" ht="17.100000000000001" customHeight="1" x14ac:dyDescent="0.2">
      <c r="A31" s="3">
        <v>25</v>
      </c>
      <c r="B31" s="4" t="s">
        <v>191</v>
      </c>
      <c r="C31" s="4" t="s">
        <v>192</v>
      </c>
      <c r="D31" s="4" t="s">
        <v>28</v>
      </c>
      <c r="E31" s="5">
        <v>1466470</v>
      </c>
      <c r="F31" s="6">
        <v>2110.983565</v>
      </c>
      <c r="G31" s="7">
        <v>1.288884E-2</v>
      </c>
      <c r="H31" s="53"/>
    </row>
    <row r="32" spans="1:10" ht="17.100000000000001" customHeight="1" x14ac:dyDescent="0.2">
      <c r="A32" s="3">
        <v>26</v>
      </c>
      <c r="B32" s="4" t="s">
        <v>234</v>
      </c>
      <c r="C32" s="4" t="s">
        <v>235</v>
      </c>
      <c r="D32" s="4" t="s">
        <v>905</v>
      </c>
      <c r="E32" s="5">
        <v>38121</v>
      </c>
      <c r="F32" s="6">
        <v>2083.8654044999998</v>
      </c>
      <c r="G32" s="7">
        <v>1.272326E-2</v>
      </c>
      <c r="H32" s="53"/>
    </row>
    <row r="33" spans="1:8" ht="17.100000000000001" customHeight="1" x14ac:dyDescent="0.2">
      <c r="A33" s="3">
        <v>27</v>
      </c>
      <c r="B33" s="4" t="s">
        <v>334</v>
      </c>
      <c r="C33" s="4" t="s">
        <v>335</v>
      </c>
      <c r="D33" s="4" t="s">
        <v>73</v>
      </c>
      <c r="E33" s="5">
        <v>64000</v>
      </c>
      <c r="F33" s="6">
        <v>1986.848</v>
      </c>
      <c r="G33" s="7">
        <v>1.213091E-2</v>
      </c>
      <c r="H33" s="53"/>
    </row>
    <row r="34" spans="1:8" ht="17.100000000000001" customHeight="1" x14ac:dyDescent="0.2">
      <c r="A34" s="3">
        <v>28</v>
      </c>
      <c r="B34" s="4" t="s">
        <v>350</v>
      </c>
      <c r="C34" s="4" t="s">
        <v>351</v>
      </c>
      <c r="D34" s="4" t="s">
        <v>206</v>
      </c>
      <c r="E34" s="5">
        <v>52000</v>
      </c>
      <c r="F34" s="6">
        <v>1934.6079999999999</v>
      </c>
      <c r="G34" s="7">
        <v>1.181196E-2</v>
      </c>
      <c r="H34" s="53"/>
    </row>
    <row r="35" spans="1:8" ht="17.100000000000001" customHeight="1" x14ac:dyDescent="0.2">
      <c r="A35" s="3">
        <v>29</v>
      </c>
      <c r="B35" s="4" t="s">
        <v>39</v>
      </c>
      <c r="C35" s="4" t="s">
        <v>40</v>
      </c>
      <c r="D35" s="4" t="s">
        <v>41</v>
      </c>
      <c r="E35" s="5">
        <v>43000</v>
      </c>
      <c r="F35" s="6">
        <v>1884.0664999999999</v>
      </c>
      <c r="G35" s="7">
        <v>1.1503370000000001E-2</v>
      </c>
      <c r="H35" s="53"/>
    </row>
    <row r="36" spans="1:8" ht="17.100000000000001" customHeight="1" x14ac:dyDescent="0.2">
      <c r="A36" s="3">
        <v>30</v>
      </c>
      <c r="B36" s="4" t="s">
        <v>358</v>
      </c>
      <c r="C36" s="4" t="s">
        <v>359</v>
      </c>
      <c r="D36" s="4" t="s">
        <v>28</v>
      </c>
      <c r="E36" s="5">
        <v>1000000</v>
      </c>
      <c r="F36" s="6">
        <v>1871.5</v>
      </c>
      <c r="G36" s="7">
        <v>1.142664E-2</v>
      </c>
      <c r="H36" s="53"/>
    </row>
    <row r="37" spans="1:8" ht="17.100000000000001" customHeight="1" x14ac:dyDescent="0.2">
      <c r="A37" s="3">
        <v>31</v>
      </c>
      <c r="B37" s="4" t="s">
        <v>340</v>
      </c>
      <c r="C37" s="4" t="s">
        <v>341</v>
      </c>
      <c r="D37" s="4" t="s">
        <v>905</v>
      </c>
      <c r="E37" s="5">
        <v>36000</v>
      </c>
      <c r="F37" s="6">
        <v>1869.624</v>
      </c>
      <c r="G37" s="7">
        <v>1.141519E-2</v>
      </c>
      <c r="H37" s="53"/>
    </row>
    <row r="38" spans="1:8" ht="29.1" customHeight="1" x14ac:dyDescent="0.2">
      <c r="A38" s="3">
        <v>32</v>
      </c>
      <c r="B38" s="4" t="s">
        <v>241</v>
      </c>
      <c r="C38" s="4" t="s">
        <v>242</v>
      </c>
      <c r="D38" s="4" t="s">
        <v>224</v>
      </c>
      <c r="E38" s="5">
        <v>51000</v>
      </c>
      <c r="F38" s="6">
        <v>1857.8534999999999</v>
      </c>
      <c r="G38" s="7">
        <v>1.134332E-2</v>
      </c>
      <c r="H38" s="53"/>
    </row>
    <row r="39" spans="1:8" ht="17.100000000000001" customHeight="1" x14ac:dyDescent="0.2">
      <c r="A39" s="3">
        <v>33</v>
      </c>
      <c r="B39" s="4" t="s">
        <v>295</v>
      </c>
      <c r="C39" s="4" t="s">
        <v>296</v>
      </c>
      <c r="D39" s="4" t="s">
        <v>281</v>
      </c>
      <c r="E39" s="5">
        <v>206000</v>
      </c>
      <c r="F39" s="6">
        <v>1852.97</v>
      </c>
      <c r="G39" s="7">
        <v>1.1313510000000001E-2</v>
      </c>
      <c r="H39" s="53"/>
    </row>
    <row r="40" spans="1:8" ht="17.100000000000001" customHeight="1" x14ac:dyDescent="0.2">
      <c r="A40" s="3">
        <v>34</v>
      </c>
      <c r="B40" s="4" t="s">
        <v>279</v>
      </c>
      <c r="C40" s="4" t="s">
        <v>280</v>
      </c>
      <c r="D40" s="4" t="s">
        <v>281</v>
      </c>
      <c r="E40" s="5">
        <v>121000</v>
      </c>
      <c r="F40" s="6">
        <v>1835.086</v>
      </c>
      <c r="G40" s="7">
        <v>1.120431E-2</v>
      </c>
      <c r="H40" s="53"/>
    </row>
    <row r="41" spans="1:8" ht="17.100000000000001" customHeight="1" x14ac:dyDescent="0.2">
      <c r="A41" s="3">
        <v>35</v>
      </c>
      <c r="B41" s="4" t="s">
        <v>812</v>
      </c>
      <c r="C41" s="4" t="s">
        <v>813</v>
      </c>
      <c r="D41" s="4" t="s">
        <v>73</v>
      </c>
      <c r="E41" s="5">
        <v>96000</v>
      </c>
      <c r="F41" s="6">
        <v>1620.672</v>
      </c>
      <c r="G41" s="7">
        <v>9.8951899999999999E-3</v>
      </c>
      <c r="H41" s="53"/>
    </row>
    <row r="42" spans="1:8" ht="17.100000000000001" customHeight="1" x14ac:dyDescent="0.2">
      <c r="A42" s="3">
        <v>36</v>
      </c>
      <c r="B42" s="4" t="s">
        <v>255</v>
      </c>
      <c r="C42" s="4" t="s">
        <v>256</v>
      </c>
      <c r="D42" s="4" t="s">
        <v>206</v>
      </c>
      <c r="E42" s="5">
        <v>37000</v>
      </c>
      <c r="F42" s="6">
        <v>1602.655</v>
      </c>
      <c r="G42" s="7">
        <v>9.7851799999999992E-3</v>
      </c>
      <c r="H42" s="53"/>
    </row>
    <row r="43" spans="1:8" ht="29.1" customHeight="1" x14ac:dyDescent="0.2">
      <c r="A43" s="3">
        <v>37</v>
      </c>
      <c r="B43" s="4" t="s">
        <v>723</v>
      </c>
      <c r="C43" s="4" t="s">
        <v>724</v>
      </c>
      <c r="D43" s="4" t="s">
        <v>201</v>
      </c>
      <c r="E43" s="5">
        <v>100000</v>
      </c>
      <c r="F43" s="6">
        <v>1417.75</v>
      </c>
      <c r="G43" s="7">
        <v>8.6562199999999992E-3</v>
      </c>
      <c r="H43" s="53"/>
    </row>
    <row r="44" spans="1:8" ht="17.100000000000001" customHeight="1" x14ac:dyDescent="0.2">
      <c r="A44" s="3">
        <v>38</v>
      </c>
      <c r="B44" s="4" t="s">
        <v>85</v>
      </c>
      <c r="C44" s="4" t="s">
        <v>86</v>
      </c>
      <c r="D44" s="4" t="s">
        <v>87</v>
      </c>
      <c r="E44" s="5">
        <v>46000</v>
      </c>
      <c r="F44" s="6">
        <v>1404.058</v>
      </c>
      <c r="G44" s="7">
        <v>8.5726299999999995E-3</v>
      </c>
      <c r="H44" s="53"/>
    </row>
    <row r="45" spans="1:8" ht="29.1" customHeight="1" x14ac:dyDescent="0.2">
      <c r="A45" s="3">
        <v>39</v>
      </c>
      <c r="B45" s="4" t="s">
        <v>467</v>
      </c>
      <c r="C45" s="4" t="s">
        <v>468</v>
      </c>
      <c r="D45" s="4" t="s">
        <v>469</v>
      </c>
      <c r="E45" s="5">
        <v>162000</v>
      </c>
      <c r="F45" s="6">
        <v>1351.6469999999999</v>
      </c>
      <c r="G45" s="7">
        <v>8.2526300000000004E-3</v>
      </c>
      <c r="H45" s="53"/>
    </row>
    <row r="46" spans="1:8" ht="17.100000000000001" customHeight="1" x14ac:dyDescent="0.2">
      <c r="A46" s="3">
        <v>40</v>
      </c>
      <c r="B46" s="4" t="s">
        <v>93</v>
      </c>
      <c r="C46" s="4" t="s">
        <v>94</v>
      </c>
      <c r="D46" s="4" t="s">
        <v>95</v>
      </c>
      <c r="E46" s="5">
        <v>194000</v>
      </c>
      <c r="F46" s="6">
        <v>1327.93</v>
      </c>
      <c r="G46" s="7">
        <v>8.10782E-3</v>
      </c>
      <c r="H46" s="53"/>
    </row>
    <row r="47" spans="1:8" ht="17.100000000000001" customHeight="1" x14ac:dyDescent="0.2">
      <c r="A47" s="3">
        <v>41</v>
      </c>
      <c r="B47" s="4" t="s">
        <v>510</v>
      </c>
      <c r="C47" s="4" t="s">
        <v>511</v>
      </c>
      <c r="D47" s="4" t="s">
        <v>905</v>
      </c>
      <c r="E47" s="5">
        <v>74000</v>
      </c>
      <c r="F47" s="6">
        <v>1294.038</v>
      </c>
      <c r="G47" s="7">
        <v>7.9008900000000007E-3</v>
      </c>
      <c r="H47" s="53"/>
    </row>
    <row r="48" spans="1:8" ht="17.100000000000001" customHeight="1" x14ac:dyDescent="0.2">
      <c r="A48" s="3">
        <v>42</v>
      </c>
      <c r="B48" s="4" t="s">
        <v>322</v>
      </c>
      <c r="C48" s="4" t="s">
        <v>323</v>
      </c>
      <c r="D48" s="4" t="s">
        <v>28</v>
      </c>
      <c r="E48" s="5">
        <v>84000</v>
      </c>
      <c r="F48" s="6">
        <v>1157.646</v>
      </c>
      <c r="G48" s="7">
        <v>7.0681299999999997E-3</v>
      </c>
      <c r="H48" s="53"/>
    </row>
    <row r="49" spans="1:8" ht="29.1" customHeight="1" x14ac:dyDescent="0.2">
      <c r="A49" s="3">
        <v>43</v>
      </c>
      <c r="B49" s="4" t="s">
        <v>64</v>
      </c>
      <c r="C49" s="4" t="s">
        <v>65</v>
      </c>
      <c r="D49" s="4" t="s">
        <v>25</v>
      </c>
      <c r="E49" s="5">
        <v>54737</v>
      </c>
      <c r="F49" s="6">
        <v>1141.2938185</v>
      </c>
      <c r="G49" s="7">
        <v>6.9682900000000002E-3</v>
      </c>
      <c r="H49" s="53"/>
    </row>
    <row r="50" spans="1:8" ht="17.100000000000001" customHeight="1" x14ac:dyDescent="0.2">
      <c r="A50" s="3">
        <v>44</v>
      </c>
      <c r="B50" s="4" t="s">
        <v>818</v>
      </c>
      <c r="C50" s="4" t="s">
        <v>819</v>
      </c>
      <c r="D50" s="4" t="s">
        <v>238</v>
      </c>
      <c r="E50" s="5">
        <v>67000</v>
      </c>
      <c r="F50" s="6">
        <v>1100.4079999999999</v>
      </c>
      <c r="G50" s="7">
        <v>6.7186600000000004E-3</v>
      </c>
      <c r="H50" s="53"/>
    </row>
    <row r="51" spans="1:8" ht="17.100000000000001" customHeight="1" x14ac:dyDescent="0.2">
      <c r="A51" s="3">
        <v>45</v>
      </c>
      <c r="B51" s="4" t="s">
        <v>135</v>
      </c>
      <c r="C51" s="4" t="s">
        <v>136</v>
      </c>
      <c r="D51" s="4" t="s">
        <v>130</v>
      </c>
      <c r="E51" s="5">
        <v>460000</v>
      </c>
      <c r="F51" s="6">
        <v>1074.0999999999999</v>
      </c>
      <c r="G51" s="7">
        <v>6.5580300000000003E-3</v>
      </c>
      <c r="H51" s="53"/>
    </row>
    <row r="52" spans="1:8" ht="17.100000000000001" customHeight="1" x14ac:dyDescent="0.2">
      <c r="A52" s="3">
        <v>46</v>
      </c>
      <c r="B52" s="4" t="s">
        <v>338</v>
      </c>
      <c r="C52" s="4" t="s">
        <v>339</v>
      </c>
      <c r="D52" s="4" t="s">
        <v>28</v>
      </c>
      <c r="E52" s="5">
        <v>333000</v>
      </c>
      <c r="F52" s="6">
        <v>1066.932</v>
      </c>
      <c r="G52" s="7">
        <v>6.51427E-3</v>
      </c>
      <c r="H52" s="53"/>
    </row>
    <row r="53" spans="1:8" ht="17.100000000000001" customHeight="1" x14ac:dyDescent="0.2">
      <c r="A53" s="3">
        <v>47</v>
      </c>
      <c r="B53" s="4" t="s">
        <v>329</v>
      </c>
      <c r="C53" s="4" t="s">
        <v>330</v>
      </c>
      <c r="D53" s="4" t="s">
        <v>331</v>
      </c>
      <c r="E53" s="5">
        <v>240000</v>
      </c>
      <c r="F53" s="6">
        <v>1055.28</v>
      </c>
      <c r="G53" s="7">
        <v>6.44313E-3</v>
      </c>
      <c r="H53" s="53"/>
    </row>
    <row r="54" spans="1:8" ht="17.100000000000001" customHeight="1" x14ac:dyDescent="0.2">
      <c r="A54" s="3">
        <v>48</v>
      </c>
      <c r="B54" s="4" t="s">
        <v>565</v>
      </c>
      <c r="C54" s="4" t="s">
        <v>566</v>
      </c>
      <c r="D54" s="4" t="s">
        <v>905</v>
      </c>
      <c r="E54" s="5">
        <v>87000</v>
      </c>
      <c r="F54" s="6">
        <v>1045.6965</v>
      </c>
      <c r="G54" s="7">
        <v>6.3846099999999998E-3</v>
      </c>
      <c r="H54" s="53"/>
    </row>
    <row r="55" spans="1:8" ht="17.100000000000001" customHeight="1" x14ac:dyDescent="0.2">
      <c r="A55" s="3">
        <v>49</v>
      </c>
      <c r="B55" s="4" t="s">
        <v>561</v>
      </c>
      <c r="C55" s="4" t="s">
        <v>562</v>
      </c>
      <c r="D55" s="4" t="s">
        <v>238</v>
      </c>
      <c r="E55" s="5">
        <v>22000</v>
      </c>
      <c r="F55" s="6">
        <v>982.90499999999997</v>
      </c>
      <c r="G55" s="7">
        <v>6.0012299999999998E-3</v>
      </c>
      <c r="H55" s="53"/>
    </row>
    <row r="56" spans="1:8" ht="17.100000000000001" customHeight="1" x14ac:dyDescent="0.2">
      <c r="A56" s="3">
        <v>50</v>
      </c>
      <c r="B56" s="4" t="s">
        <v>546</v>
      </c>
      <c r="C56" s="4" t="s">
        <v>547</v>
      </c>
      <c r="D56" s="4" t="s">
        <v>281</v>
      </c>
      <c r="E56" s="5">
        <v>96000</v>
      </c>
      <c r="F56" s="6">
        <v>967.24800000000005</v>
      </c>
      <c r="G56" s="7">
        <v>5.9056400000000002E-3</v>
      </c>
      <c r="H56" s="53"/>
    </row>
    <row r="57" spans="1:8" ht="17.100000000000001" customHeight="1" x14ac:dyDescent="0.2">
      <c r="A57" s="3">
        <v>51</v>
      </c>
      <c r="B57" s="4" t="s">
        <v>354</v>
      </c>
      <c r="C57" s="4" t="s">
        <v>355</v>
      </c>
      <c r="D57" s="4" t="s">
        <v>73</v>
      </c>
      <c r="E57" s="5">
        <v>29000</v>
      </c>
      <c r="F57" s="6">
        <v>944.26900000000001</v>
      </c>
      <c r="G57" s="7">
        <v>5.7653399999999999E-3</v>
      </c>
      <c r="H57" s="53"/>
    </row>
    <row r="58" spans="1:8" ht="29.1" customHeight="1" x14ac:dyDescent="0.2">
      <c r="A58" s="3">
        <v>52</v>
      </c>
      <c r="B58" s="4" t="s">
        <v>199</v>
      </c>
      <c r="C58" s="4" t="s">
        <v>200</v>
      </c>
      <c r="D58" s="4" t="s">
        <v>201</v>
      </c>
      <c r="E58" s="5">
        <v>20000</v>
      </c>
      <c r="F58" s="6">
        <v>920.97</v>
      </c>
      <c r="G58" s="7">
        <v>5.6230799999999999E-3</v>
      </c>
      <c r="H58" s="53"/>
    </row>
    <row r="59" spans="1:8" ht="17.100000000000001" customHeight="1" x14ac:dyDescent="0.2">
      <c r="A59" s="3">
        <v>53</v>
      </c>
      <c r="B59" s="4" t="s">
        <v>393</v>
      </c>
      <c r="C59" s="4" t="s">
        <v>394</v>
      </c>
      <c r="D59" s="4" t="s">
        <v>229</v>
      </c>
      <c r="E59" s="5">
        <v>64000</v>
      </c>
      <c r="F59" s="6">
        <v>912.22400000000005</v>
      </c>
      <c r="G59" s="7">
        <v>5.5696799999999996E-3</v>
      </c>
      <c r="H59" s="53"/>
    </row>
    <row r="60" spans="1:8" ht="17.100000000000001" customHeight="1" x14ac:dyDescent="0.2">
      <c r="A60" s="3">
        <v>54</v>
      </c>
      <c r="B60" s="4" t="s">
        <v>736</v>
      </c>
      <c r="C60" s="4" t="s">
        <v>737</v>
      </c>
      <c r="D60" s="4" t="s">
        <v>238</v>
      </c>
      <c r="E60" s="5">
        <v>4000</v>
      </c>
      <c r="F60" s="6">
        <v>879.45600000000002</v>
      </c>
      <c r="G60" s="7">
        <v>5.3696100000000004E-3</v>
      </c>
      <c r="H60" s="53"/>
    </row>
    <row r="61" spans="1:8" ht="17.100000000000001" customHeight="1" x14ac:dyDescent="0.2">
      <c r="A61" s="3">
        <v>55</v>
      </c>
      <c r="B61" s="4" t="s">
        <v>262</v>
      </c>
      <c r="C61" s="4" t="s">
        <v>263</v>
      </c>
      <c r="D61" s="4" t="s">
        <v>264</v>
      </c>
      <c r="E61" s="5">
        <v>300000</v>
      </c>
      <c r="F61" s="6">
        <v>786.6</v>
      </c>
      <c r="G61" s="7">
        <v>4.8026700000000002E-3</v>
      </c>
      <c r="H61" s="53"/>
    </row>
    <row r="62" spans="1:8" ht="17.100000000000001" customHeight="1" x14ac:dyDescent="0.2">
      <c r="A62" s="3">
        <v>56</v>
      </c>
      <c r="B62" s="4" t="s">
        <v>391</v>
      </c>
      <c r="C62" s="4" t="s">
        <v>392</v>
      </c>
      <c r="D62" s="4" t="s">
        <v>130</v>
      </c>
      <c r="E62" s="5">
        <v>100000</v>
      </c>
      <c r="F62" s="6">
        <v>751.35</v>
      </c>
      <c r="G62" s="7">
        <v>4.5874499999999999E-3</v>
      </c>
      <c r="H62" s="53"/>
    </row>
    <row r="63" spans="1:8" ht="17.100000000000001" customHeight="1" x14ac:dyDescent="0.2">
      <c r="A63" s="3">
        <v>57</v>
      </c>
      <c r="B63" s="4" t="s">
        <v>90</v>
      </c>
      <c r="C63" s="4" t="s">
        <v>91</v>
      </c>
      <c r="D63" s="4" t="s">
        <v>92</v>
      </c>
      <c r="E63" s="5">
        <v>67000</v>
      </c>
      <c r="F63" s="6">
        <v>750.96950000000004</v>
      </c>
      <c r="G63" s="7">
        <v>4.5851299999999998E-3</v>
      </c>
      <c r="H63" s="53"/>
    </row>
    <row r="64" spans="1:8" ht="17.100000000000001" customHeight="1" x14ac:dyDescent="0.2">
      <c r="A64" s="3">
        <v>58</v>
      </c>
      <c r="B64" s="4" t="s">
        <v>465</v>
      </c>
      <c r="C64" s="4" t="s">
        <v>466</v>
      </c>
      <c r="D64" s="4" t="s">
        <v>28</v>
      </c>
      <c r="E64" s="5">
        <v>42000</v>
      </c>
      <c r="F64" s="6">
        <v>738.67499999999995</v>
      </c>
      <c r="G64" s="7">
        <v>4.5100599999999998E-3</v>
      </c>
      <c r="H64" s="53"/>
    </row>
    <row r="65" spans="1:8" ht="17.100000000000001" customHeight="1" x14ac:dyDescent="0.2">
      <c r="A65" s="3">
        <v>59</v>
      </c>
      <c r="B65" s="4" t="s">
        <v>395</v>
      </c>
      <c r="C65" s="4" t="s">
        <v>396</v>
      </c>
      <c r="D65" s="4" t="s">
        <v>397</v>
      </c>
      <c r="E65" s="5">
        <v>42778</v>
      </c>
      <c r="F65" s="6">
        <v>722.19958499999996</v>
      </c>
      <c r="G65" s="7">
        <v>4.4094700000000004E-3</v>
      </c>
      <c r="H65" s="53"/>
    </row>
    <row r="66" spans="1:8" ht="17.100000000000001" customHeight="1" x14ac:dyDescent="0.2">
      <c r="A66" s="3">
        <v>60</v>
      </c>
      <c r="B66" s="4" t="s">
        <v>352</v>
      </c>
      <c r="C66" s="4" t="s">
        <v>353</v>
      </c>
      <c r="D66" s="4" t="s">
        <v>95</v>
      </c>
      <c r="E66" s="5">
        <v>300000</v>
      </c>
      <c r="F66" s="6">
        <v>368.7</v>
      </c>
      <c r="G66" s="7">
        <v>2.25114E-3</v>
      </c>
      <c r="H66" s="53"/>
    </row>
    <row r="67" spans="1:8" ht="17.100000000000001" customHeight="1" x14ac:dyDescent="0.2">
      <c r="A67" s="3">
        <v>61</v>
      </c>
      <c r="B67" s="4" t="s">
        <v>744</v>
      </c>
      <c r="C67" s="4" t="s">
        <v>745</v>
      </c>
      <c r="D67" s="4" t="s">
        <v>73</v>
      </c>
      <c r="E67" s="5">
        <v>45000</v>
      </c>
      <c r="F67" s="6">
        <v>333.20249999999999</v>
      </c>
      <c r="G67" s="7">
        <v>2.0344E-3</v>
      </c>
      <c r="H67" s="53"/>
    </row>
    <row r="68" spans="1:8" ht="29.1" customHeight="1" x14ac:dyDescent="0.2">
      <c r="A68" s="3">
        <v>62</v>
      </c>
      <c r="B68" s="4" t="s">
        <v>738</v>
      </c>
      <c r="C68" s="4" t="s">
        <v>739</v>
      </c>
      <c r="D68" s="4" t="s">
        <v>224</v>
      </c>
      <c r="E68" s="5">
        <v>40000</v>
      </c>
      <c r="F68" s="6">
        <v>332</v>
      </c>
      <c r="G68" s="7">
        <v>2.0270599999999998E-3</v>
      </c>
      <c r="H68" s="53"/>
    </row>
    <row r="69" spans="1:8" ht="17.100000000000001" customHeight="1" x14ac:dyDescent="0.2">
      <c r="A69" s="3">
        <v>63</v>
      </c>
      <c r="B69" s="4" t="s">
        <v>727</v>
      </c>
      <c r="C69" s="4" t="s">
        <v>728</v>
      </c>
      <c r="D69" s="4" t="s">
        <v>130</v>
      </c>
      <c r="E69" s="5">
        <v>49718</v>
      </c>
      <c r="F69" s="6">
        <v>88.895784000000006</v>
      </c>
      <c r="G69" s="7">
        <v>5.4275999999999999E-4</v>
      </c>
      <c r="H69" s="53"/>
    </row>
    <row r="70" spans="1:8" ht="14.1" customHeight="1" x14ac:dyDescent="0.2">
      <c r="A70" s="1"/>
      <c r="B70" s="1"/>
      <c r="C70" s="2" t="s">
        <v>144</v>
      </c>
      <c r="D70" s="1"/>
      <c r="E70" s="1" t="s">
        <v>145</v>
      </c>
      <c r="F70" s="9">
        <v>162743.57207699999</v>
      </c>
      <c r="G70" s="10">
        <v>0.99364830999999998</v>
      </c>
      <c r="H70" s="53"/>
    </row>
    <row r="71" spans="1:8" ht="14.1" customHeight="1" x14ac:dyDescent="0.2">
      <c r="A71" s="1"/>
      <c r="B71" s="1"/>
      <c r="C71" s="11"/>
      <c r="D71" s="1"/>
      <c r="E71" s="1"/>
      <c r="F71" s="12"/>
      <c r="G71" s="12"/>
      <c r="H71" s="53"/>
    </row>
    <row r="72" spans="1:8" ht="14.1" customHeight="1" x14ac:dyDescent="0.2">
      <c r="A72" s="1"/>
      <c r="B72" s="1"/>
      <c r="C72" s="2" t="s">
        <v>146</v>
      </c>
      <c r="D72" s="1"/>
      <c r="E72" s="1"/>
      <c r="F72" s="1"/>
      <c r="G72" s="1"/>
      <c r="H72" s="53"/>
    </row>
    <row r="73" spans="1:8" ht="14.1" customHeight="1" x14ac:dyDescent="0.2">
      <c r="A73" s="1"/>
      <c r="B73" s="1"/>
      <c r="C73" s="2" t="s">
        <v>144</v>
      </c>
      <c r="D73" s="1"/>
      <c r="E73" s="1" t="s">
        <v>145</v>
      </c>
      <c r="F73" s="13" t="s">
        <v>147</v>
      </c>
      <c r="G73" s="10">
        <v>0</v>
      </c>
      <c r="H73" s="53"/>
    </row>
    <row r="74" spans="1:8" ht="14.1" customHeight="1" x14ac:dyDescent="0.2">
      <c r="A74" s="1"/>
      <c r="B74" s="1"/>
      <c r="C74" s="11"/>
      <c r="D74" s="1"/>
      <c r="E74" s="1"/>
      <c r="F74" s="12"/>
      <c r="G74" s="12"/>
      <c r="H74" s="53"/>
    </row>
    <row r="75" spans="1:8" ht="14.1" customHeight="1" x14ac:dyDescent="0.2">
      <c r="A75" s="1"/>
      <c r="B75" s="1"/>
      <c r="C75" s="2" t="s">
        <v>148</v>
      </c>
      <c r="D75" s="1"/>
      <c r="E75" s="1"/>
      <c r="F75" s="1"/>
      <c r="G75" s="1"/>
      <c r="H75" s="53"/>
    </row>
    <row r="76" spans="1:8" ht="14.1" customHeight="1" x14ac:dyDescent="0.2">
      <c r="A76" s="1"/>
      <c r="B76" s="1"/>
      <c r="C76" s="2" t="s">
        <v>144</v>
      </c>
      <c r="D76" s="1"/>
      <c r="E76" s="1" t="s">
        <v>145</v>
      </c>
      <c r="F76" s="13" t="s">
        <v>147</v>
      </c>
      <c r="G76" s="10">
        <v>0</v>
      </c>
      <c r="H76" s="53"/>
    </row>
    <row r="77" spans="1:8" ht="14.1" customHeight="1" x14ac:dyDescent="0.2">
      <c r="A77" s="1"/>
      <c r="B77" s="1"/>
      <c r="C77" s="11"/>
      <c r="D77" s="1"/>
      <c r="E77" s="1"/>
      <c r="F77" s="12"/>
      <c r="G77" s="12"/>
      <c r="H77" s="53"/>
    </row>
    <row r="78" spans="1:8" ht="14.1" customHeight="1" x14ac:dyDescent="0.2">
      <c r="A78" s="1"/>
      <c r="B78" s="1"/>
      <c r="C78" s="2" t="s">
        <v>149</v>
      </c>
      <c r="D78" s="1"/>
      <c r="E78" s="1"/>
      <c r="F78" s="1"/>
      <c r="G78" s="1"/>
      <c r="H78" s="53"/>
    </row>
    <row r="79" spans="1:8" ht="14.1" customHeight="1" x14ac:dyDescent="0.2">
      <c r="A79" s="1"/>
      <c r="B79" s="1"/>
      <c r="C79" s="2" t="s">
        <v>144</v>
      </c>
      <c r="D79" s="1"/>
      <c r="E79" s="1" t="s">
        <v>145</v>
      </c>
      <c r="F79" s="13" t="s">
        <v>147</v>
      </c>
      <c r="G79" s="10">
        <v>0</v>
      </c>
      <c r="H79" s="53"/>
    </row>
    <row r="80" spans="1:8" ht="14.1" customHeight="1" x14ac:dyDescent="0.2">
      <c r="A80" s="1"/>
      <c r="B80" s="1"/>
      <c r="C80" s="11"/>
      <c r="D80" s="1"/>
      <c r="E80" s="1"/>
      <c r="F80" s="12"/>
      <c r="G80" s="12"/>
      <c r="H80" s="53"/>
    </row>
    <row r="81" spans="1:8" ht="14.1" customHeight="1" x14ac:dyDescent="0.2">
      <c r="A81" s="1"/>
      <c r="B81" s="1"/>
      <c r="C81" s="2" t="s">
        <v>150</v>
      </c>
      <c r="D81" s="1"/>
      <c r="E81" s="1"/>
      <c r="F81" s="12"/>
      <c r="G81" s="12"/>
      <c r="H81" s="53"/>
    </row>
    <row r="82" spans="1:8" ht="14.1" customHeight="1" x14ac:dyDescent="0.2">
      <c r="A82" s="1"/>
      <c r="B82" s="1"/>
      <c r="C82" s="2" t="s">
        <v>144</v>
      </c>
      <c r="D82" s="1"/>
      <c r="E82" s="1" t="s">
        <v>145</v>
      </c>
      <c r="F82" s="13" t="s">
        <v>147</v>
      </c>
      <c r="G82" s="10">
        <v>0</v>
      </c>
      <c r="H82" s="53"/>
    </row>
    <row r="83" spans="1:8" ht="14.1" customHeight="1" x14ac:dyDescent="0.2">
      <c r="A83" s="1"/>
      <c r="B83" s="1"/>
      <c r="C83" s="11"/>
      <c r="D83" s="1"/>
      <c r="E83" s="1"/>
      <c r="F83" s="12"/>
      <c r="G83" s="12"/>
      <c r="H83" s="53"/>
    </row>
    <row r="84" spans="1:8" ht="14.1" customHeight="1" x14ac:dyDescent="0.2">
      <c r="A84" s="1"/>
      <c r="B84" s="1"/>
      <c r="C84" s="2" t="s">
        <v>151</v>
      </c>
      <c r="D84" s="1"/>
      <c r="E84" s="1"/>
      <c r="F84" s="12"/>
      <c r="G84" s="12"/>
      <c r="H84" s="53"/>
    </row>
    <row r="85" spans="1:8" ht="14.1" customHeight="1" x14ac:dyDescent="0.2">
      <c r="A85" s="1"/>
      <c r="B85" s="1"/>
      <c r="C85" s="2" t="s">
        <v>144</v>
      </c>
      <c r="D85" s="1"/>
      <c r="E85" s="1" t="s">
        <v>145</v>
      </c>
      <c r="F85" s="13" t="s">
        <v>147</v>
      </c>
      <c r="G85" s="10">
        <v>0</v>
      </c>
      <c r="H85" s="53"/>
    </row>
    <row r="86" spans="1:8" ht="14.1" customHeight="1" x14ac:dyDescent="0.2">
      <c r="A86" s="1"/>
      <c r="B86" s="1"/>
      <c r="C86" s="11"/>
      <c r="D86" s="1"/>
      <c r="E86" s="1"/>
      <c r="F86" s="12"/>
      <c r="G86" s="12"/>
      <c r="H86" s="53"/>
    </row>
    <row r="87" spans="1:8" ht="18" customHeight="1" x14ac:dyDescent="0.2">
      <c r="A87" s="1"/>
      <c r="B87" s="1"/>
      <c r="C87" s="2" t="s">
        <v>152</v>
      </c>
      <c r="D87" s="1"/>
      <c r="E87" s="1"/>
      <c r="F87" s="9">
        <v>162743.57207699999</v>
      </c>
      <c r="G87" s="10">
        <v>0.99364830999999998</v>
      </c>
      <c r="H87" s="53"/>
    </row>
    <row r="88" spans="1:8" ht="14.1" customHeight="1" x14ac:dyDescent="0.2">
      <c r="A88" s="1"/>
      <c r="B88" s="1"/>
      <c r="C88" s="11"/>
      <c r="D88" s="1"/>
      <c r="E88" s="1"/>
      <c r="F88" s="12"/>
      <c r="G88" s="12"/>
      <c r="H88" s="53"/>
    </row>
    <row r="89" spans="1:8" ht="14.1" customHeight="1" x14ac:dyDescent="0.2">
      <c r="A89" s="1"/>
      <c r="B89" s="1"/>
      <c r="C89" s="2" t="s">
        <v>153</v>
      </c>
      <c r="D89" s="1"/>
      <c r="E89" s="1"/>
      <c r="F89" s="12"/>
      <c r="G89" s="12"/>
      <c r="H89" s="53"/>
    </row>
    <row r="90" spans="1:8" ht="24" customHeight="1" x14ac:dyDescent="0.2">
      <c r="A90" s="1"/>
      <c r="B90" s="1"/>
      <c r="C90" s="2" t="s">
        <v>10</v>
      </c>
      <c r="D90" s="1"/>
      <c r="E90" s="1"/>
      <c r="F90" s="12"/>
      <c r="G90" s="12"/>
      <c r="H90" s="53"/>
    </row>
    <row r="91" spans="1:8" ht="14.1" customHeight="1" x14ac:dyDescent="0.2">
      <c r="A91" s="1"/>
      <c r="B91" s="1"/>
      <c r="C91" s="2" t="s">
        <v>144</v>
      </c>
      <c r="D91" s="1"/>
      <c r="E91" s="1" t="s">
        <v>145</v>
      </c>
      <c r="F91" s="13" t="s">
        <v>147</v>
      </c>
      <c r="G91" s="10">
        <v>0</v>
      </c>
      <c r="H91" s="53"/>
    </row>
    <row r="92" spans="1:8" ht="14.1" customHeight="1" x14ac:dyDescent="0.2">
      <c r="A92" s="1"/>
      <c r="B92" s="1"/>
      <c r="C92" s="11"/>
      <c r="D92" s="1"/>
      <c r="E92" s="1"/>
      <c r="F92" s="12"/>
      <c r="G92" s="12"/>
      <c r="H92" s="53"/>
    </row>
    <row r="93" spans="1:8" ht="14.1" customHeight="1" x14ac:dyDescent="0.2">
      <c r="A93" s="1"/>
      <c r="B93" s="1"/>
      <c r="C93" s="2" t="s">
        <v>154</v>
      </c>
      <c r="D93" s="1"/>
      <c r="E93" s="1"/>
      <c r="F93" s="1"/>
      <c r="G93" s="1"/>
      <c r="H93" s="53"/>
    </row>
    <row r="94" spans="1:8" ht="14.1" customHeight="1" x14ac:dyDescent="0.2">
      <c r="A94" s="1"/>
      <c r="B94" s="1"/>
      <c r="C94" s="2" t="s">
        <v>144</v>
      </c>
      <c r="D94" s="1"/>
      <c r="E94" s="1" t="s">
        <v>145</v>
      </c>
      <c r="F94" s="13" t="s">
        <v>147</v>
      </c>
      <c r="G94" s="10">
        <v>0</v>
      </c>
      <c r="H94" s="53"/>
    </row>
    <row r="95" spans="1:8" ht="14.1" customHeight="1" x14ac:dyDescent="0.2">
      <c r="A95" s="1"/>
      <c r="B95" s="1"/>
      <c r="C95" s="11"/>
      <c r="D95" s="1"/>
      <c r="E95" s="1"/>
      <c r="F95" s="12"/>
      <c r="G95" s="12"/>
      <c r="H95" s="53"/>
    </row>
    <row r="96" spans="1:8" ht="14.1" customHeight="1" x14ac:dyDescent="0.2">
      <c r="A96" s="1"/>
      <c r="B96" s="1"/>
      <c r="C96" s="2" t="s">
        <v>155</v>
      </c>
      <c r="D96" s="1"/>
      <c r="E96" s="1"/>
      <c r="F96" s="1"/>
      <c r="G96" s="1"/>
      <c r="H96" s="53"/>
    </row>
    <row r="97" spans="1:8" ht="14.1" customHeight="1" x14ac:dyDescent="0.2">
      <c r="A97" s="1"/>
      <c r="B97" s="1"/>
      <c r="C97" s="2" t="s">
        <v>144</v>
      </c>
      <c r="D97" s="1"/>
      <c r="E97" s="1" t="s">
        <v>145</v>
      </c>
      <c r="F97" s="13" t="s">
        <v>147</v>
      </c>
      <c r="G97" s="10">
        <v>0</v>
      </c>
      <c r="H97" s="53"/>
    </row>
    <row r="98" spans="1:8" ht="14.1" customHeight="1" x14ac:dyDescent="0.2">
      <c r="A98" s="1"/>
      <c r="B98" s="1"/>
      <c r="C98" s="11"/>
      <c r="D98" s="1"/>
      <c r="E98" s="1"/>
      <c r="F98" s="12"/>
      <c r="G98" s="12"/>
      <c r="H98" s="53"/>
    </row>
    <row r="99" spans="1:8" ht="14.1" customHeight="1" x14ac:dyDescent="0.2">
      <c r="A99" s="1"/>
      <c r="B99" s="1"/>
      <c r="C99" s="2" t="s">
        <v>156</v>
      </c>
      <c r="D99" s="1"/>
      <c r="E99" s="1"/>
      <c r="F99" s="12"/>
      <c r="G99" s="12"/>
      <c r="H99" s="53"/>
    </row>
    <row r="100" spans="1:8" ht="14.1" customHeight="1" x14ac:dyDescent="0.2">
      <c r="A100" s="1"/>
      <c r="B100" s="1"/>
      <c r="C100" s="2" t="s">
        <v>144</v>
      </c>
      <c r="D100" s="1"/>
      <c r="E100" s="1" t="s">
        <v>145</v>
      </c>
      <c r="F100" s="13" t="s">
        <v>147</v>
      </c>
      <c r="G100" s="10">
        <v>0</v>
      </c>
      <c r="H100" s="53"/>
    </row>
    <row r="101" spans="1:8" ht="14.1" customHeight="1" x14ac:dyDescent="0.2">
      <c r="A101" s="1"/>
      <c r="B101" s="1"/>
      <c r="C101" s="11"/>
      <c r="D101" s="1"/>
      <c r="E101" s="1"/>
      <c r="F101" s="12"/>
      <c r="G101" s="12"/>
      <c r="H101" s="53"/>
    </row>
    <row r="102" spans="1:8" ht="14.1" customHeight="1" x14ac:dyDescent="0.2">
      <c r="A102" s="1"/>
      <c r="B102" s="1"/>
      <c r="C102" s="2" t="s">
        <v>157</v>
      </c>
      <c r="D102" s="1"/>
      <c r="E102" s="1"/>
      <c r="F102" s="9">
        <v>0</v>
      </c>
      <c r="G102" s="10">
        <v>0</v>
      </c>
      <c r="H102" s="53"/>
    </row>
    <row r="103" spans="1:8" ht="14.1" customHeight="1" x14ac:dyDescent="0.2">
      <c r="A103" s="1"/>
      <c r="B103" s="1"/>
      <c r="C103" s="11"/>
      <c r="D103" s="1"/>
      <c r="E103" s="1"/>
      <c r="F103" s="12"/>
      <c r="G103" s="12"/>
      <c r="H103" s="53"/>
    </row>
    <row r="104" spans="1:8" ht="14.1" customHeight="1" x14ac:dyDescent="0.2">
      <c r="A104" s="1"/>
      <c r="B104" s="1"/>
      <c r="C104" s="2" t="s">
        <v>158</v>
      </c>
      <c r="D104" s="1"/>
      <c r="E104" s="1"/>
      <c r="F104" s="12"/>
      <c r="G104" s="12"/>
      <c r="H104" s="53"/>
    </row>
    <row r="105" spans="1:8" ht="14.1" customHeight="1" x14ac:dyDescent="0.2">
      <c r="A105" s="1"/>
      <c r="B105" s="1"/>
      <c r="C105" s="2" t="s">
        <v>159</v>
      </c>
      <c r="D105" s="1"/>
      <c r="E105" s="1"/>
      <c r="F105" s="12"/>
      <c r="G105" s="12"/>
      <c r="H105" s="53"/>
    </row>
    <row r="106" spans="1:8" ht="14.1" customHeight="1" x14ac:dyDescent="0.2">
      <c r="A106" s="1"/>
      <c r="B106" s="1"/>
      <c r="C106" s="2" t="s">
        <v>144</v>
      </c>
      <c r="D106" s="1"/>
      <c r="E106" s="1" t="s">
        <v>145</v>
      </c>
      <c r="F106" s="13" t="s">
        <v>147</v>
      </c>
      <c r="G106" s="10">
        <v>0</v>
      </c>
      <c r="H106" s="53"/>
    </row>
    <row r="107" spans="1:8" ht="14.1" customHeight="1" x14ac:dyDescent="0.2">
      <c r="A107" s="1"/>
      <c r="B107" s="1"/>
      <c r="C107" s="11"/>
      <c r="D107" s="1"/>
      <c r="E107" s="1"/>
      <c r="F107" s="12"/>
      <c r="G107" s="12"/>
      <c r="H107" s="53"/>
    </row>
    <row r="108" spans="1:8" ht="14.1" customHeight="1" x14ac:dyDescent="0.2">
      <c r="A108" s="1"/>
      <c r="B108" s="1"/>
      <c r="C108" s="2" t="s">
        <v>160</v>
      </c>
      <c r="D108" s="1"/>
      <c r="E108" s="1"/>
      <c r="F108" s="12"/>
      <c r="G108" s="12"/>
      <c r="H108" s="53"/>
    </row>
    <row r="109" spans="1:8" ht="14.1" customHeight="1" x14ac:dyDescent="0.2">
      <c r="A109" s="1"/>
      <c r="B109" s="1"/>
      <c r="C109" s="2" t="s">
        <v>144</v>
      </c>
      <c r="D109" s="1"/>
      <c r="E109" s="1" t="s">
        <v>145</v>
      </c>
      <c r="F109" s="13" t="s">
        <v>147</v>
      </c>
      <c r="G109" s="10">
        <v>0</v>
      </c>
      <c r="H109" s="53"/>
    </row>
    <row r="110" spans="1:8" ht="14.1" customHeight="1" x14ac:dyDescent="0.2">
      <c r="A110" s="1"/>
      <c r="B110" s="1"/>
      <c r="C110" s="11"/>
      <c r="D110" s="1"/>
      <c r="E110" s="1"/>
      <c r="F110" s="12"/>
      <c r="G110" s="12"/>
      <c r="H110" s="53"/>
    </row>
    <row r="111" spans="1:8" ht="14.1" customHeight="1" x14ac:dyDescent="0.2">
      <c r="A111" s="1"/>
      <c r="B111" s="1"/>
      <c r="C111" s="2" t="s">
        <v>161</v>
      </c>
      <c r="D111" s="1"/>
      <c r="E111" s="1"/>
      <c r="F111" s="12"/>
      <c r="G111" s="12"/>
      <c r="H111" s="53"/>
    </row>
    <row r="112" spans="1:8" ht="14.1" customHeight="1" x14ac:dyDescent="0.2">
      <c r="A112" s="1"/>
      <c r="B112" s="1"/>
      <c r="C112" s="2" t="s">
        <v>144</v>
      </c>
      <c r="D112" s="1"/>
      <c r="E112" s="1" t="s">
        <v>145</v>
      </c>
      <c r="F112" s="13" t="s">
        <v>147</v>
      </c>
      <c r="G112" s="10">
        <v>0</v>
      </c>
      <c r="H112" s="53"/>
    </row>
    <row r="113" spans="1:8" ht="14.1" customHeight="1" x14ac:dyDescent="0.2">
      <c r="A113" s="1"/>
      <c r="B113" s="1"/>
      <c r="C113" s="11"/>
      <c r="D113" s="1"/>
      <c r="E113" s="1"/>
      <c r="F113" s="12"/>
      <c r="G113" s="12"/>
      <c r="H113" s="53"/>
    </row>
    <row r="114" spans="1:8" ht="14.1" customHeight="1" x14ac:dyDescent="0.2">
      <c r="A114" s="1"/>
      <c r="B114" s="1"/>
      <c r="C114" s="2" t="s">
        <v>162</v>
      </c>
      <c r="D114" s="1"/>
      <c r="E114" s="1"/>
      <c r="F114" s="12"/>
      <c r="G114" s="12"/>
      <c r="H114" s="53"/>
    </row>
    <row r="115" spans="1:8" ht="17.100000000000001" customHeight="1" x14ac:dyDescent="0.2">
      <c r="A115" s="3">
        <v>1</v>
      </c>
      <c r="B115" s="4"/>
      <c r="C115" s="4" t="s">
        <v>163</v>
      </c>
      <c r="D115" s="4"/>
      <c r="E115" s="8"/>
      <c r="F115" s="6">
        <v>843.39490100399996</v>
      </c>
      <c r="G115" s="7">
        <v>5.1494399999999999E-3</v>
      </c>
      <c r="H115" s="51">
        <v>6.6602331647804478</v>
      </c>
    </row>
    <row r="116" spans="1:8" ht="17.100000000000001" customHeight="1" x14ac:dyDescent="0.2">
      <c r="A116" s="3">
        <v>2</v>
      </c>
      <c r="B116" s="4"/>
      <c r="C116" s="4" t="s">
        <v>164</v>
      </c>
      <c r="D116" s="4"/>
      <c r="E116" s="8"/>
      <c r="F116" s="6">
        <v>644.79911849999996</v>
      </c>
      <c r="G116" s="7">
        <v>3.9368900000000002E-3</v>
      </c>
      <c r="H116" s="51">
        <v>6.6588225936582406</v>
      </c>
    </row>
    <row r="117" spans="1:8" ht="14.1" customHeight="1" x14ac:dyDescent="0.2">
      <c r="A117" s="1"/>
      <c r="B117" s="1"/>
      <c r="C117" s="2" t="s">
        <v>144</v>
      </c>
      <c r="D117" s="1"/>
      <c r="E117" s="1" t="s">
        <v>145</v>
      </c>
      <c r="F117" s="9">
        <v>1488.1940195039999</v>
      </c>
      <c r="G117" s="10">
        <v>9.0863300000000001E-3</v>
      </c>
      <c r="H117" s="53"/>
    </row>
    <row r="118" spans="1:8" ht="14.1" customHeight="1" x14ac:dyDescent="0.2">
      <c r="A118" s="1"/>
      <c r="B118" s="1"/>
      <c r="C118" s="11"/>
      <c r="D118" s="1"/>
      <c r="E118" s="1"/>
      <c r="F118" s="12"/>
      <c r="G118" s="12"/>
      <c r="H118" s="53"/>
    </row>
    <row r="119" spans="1:8" ht="14.1" customHeight="1" x14ac:dyDescent="0.2">
      <c r="A119" s="1"/>
      <c r="B119" s="1"/>
      <c r="C119" s="2" t="s">
        <v>165</v>
      </c>
      <c r="D119" s="1"/>
      <c r="E119" s="1"/>
      <c r="F119" s="9">
        <v>1488.1940195039999</v>
      </c>
      <c r="G119" s="10">
        <v>9.0863300000000001E-3</v>
      </c>
      <c r="H119" s="53"/>
    </row>
    <row r="120" spans="1:8" ht="14.1" customHeight="1" x14ac:dyDescent="0.2">
      <c r="A120" s="1"/>
      <c r="B120" s="1"/>
      <c r="C120" s="12"/>
      <c r="D120" s="1"/>
      <c r="E120" s="1"/>
      <c r="F120" s="1"/>
      <c r="G120" s="1"/>
      <c r="H120" s="53"/>
    </row>
    <row r="121" spans="1:8" ht="14.1" customHeight="1" x14ac:dyDescent="0.2">
      <c r="A121" s="1"/>
      <c r="B121" s="1"/>
      <c r="C121" s="2" t="s">
        <v>166</v>
      </c>
      <c r="D121" s="1"/>
      <c r="E121" s="1"/>
      <c r="F121" s="1"/>
      <c r="G121" s="1"/>
      <c r="H121" s="53"/>
    </row>
    <row r="122" spans="1:8" ht="14.1" customHeight="1" x14ac:dyDescent="0.2">
      <c r="A122" s="1"/>
      <c r="B122" s="1"/>
      <c r="C122" s="2" t="s">
        <v>167</v>
      </c>
      <c r="D122" s="1"/>
      <c r="E122" s="1"/>
      <c r="F122" s="1"/>
      <c r="G122" s="1"/>
      <c r="H122" s="53"/>
    </row>
    <row r="123" spans="1:8" ht="14.1" customHeight="1" x14ac:dyDescent="0.2">
      <c r="A123" s="1"/>
      <c r="B123" s="1"/>
      <c r="C123" s="2" t="s">
        <v>144</v>
      </c>
      <c r="D123" s="1"/>
      <c r="E123" s="1" t="s">
        <v>145</v>
      </c>
      <c r="F123" s="13" t="s">
        <v>147</v>
      </c>
      <c r="G123" s="10">
        <v>0</v>
      </c>
      <c r="H123" s="53"/>
    </row>
    <row r="124" spans="1:8" ht="14.1" customHeight="1" x14ac:dyDescent="0.2">
      <c r="A124" s="1"/>
      <c r="B124" s="1"/>
      <c r="C124" s="11"/>
      <c r="D124" s="1"/>
      <c r="E124" s="1"/>
      <c r="F124" s="12"/>
      <c r="G124" s="12"/>
      <c r="H124" s="53"/>
    </row>
    <row r="125" spans="1:8" ht="14.1" customHeight="1" x14ac:dyDescent="0.2">
      <c r="A125" s="1"/>
      <c r="B125" s="1"/>
      <c r="C125" s="2" t="s">
        <v>168</v>
      </c>
      <c r="D125" s="1"/>
      <c r="E125" s="1"/>
      <c r="F125" s="1"/>
      <c r="G125" s="1"/>
      <c r="H125" s="53"/>
    </row>
    <row r="126" spans="1:8" ht="14.1" customHeight="1" x14ac:dyDescent="0.2">
      <c r="A126" s="1"/>
      <c r="B126" s="1"/>
      <c r="C126" s="2" t="s">
        <v>169</v>
      </c>
      <c r="D126" s="1"/>
      <c r="E126" s="1"/>
      <c r="F126" s="1"/>
      <c r="G126" s="1"/>
      <c r="H126" s="53"/>
    </row>
    <row r="127" spans="1:8" ht="14.1" customHeight="1" x14ac:dyDescent="0.2">
      <c r="A127" s="1"/>
      <c r="B127" s="1"/>
      <c r="C127" s="2" t="s">
        <v>144</v>
      </c>
      <c r="D127" s="1"/>
      <c r="E127" s="1" t="s">
        <v>145</v>
      </c>
      <c r="F127" s="13" t="s">
        <v>147</v>
      </c>
      <c r="G127" s="10">
        <v>0</v>
      </c>
      <c r="H127" s="53"/>
    </row>
    <row r="128" spans="1:8" ht="14.1" customHeight="1" x14ac:dyDescent="0.2">
      <c r="A128" s="1"/>
      <c r="B128" s="1"/>
      <c r="C128" s="11"/>
      <c r="D128" s="1"/>
      <c r="E128" s="1"/>
      <c r="F128" s="12"/>
      <c r="G128" s="12"/>
      <c r="H128" s="53"/>
    </row>
    <row r="129" spans="1:8" ht="24" customHeight="1" x14ac:dyDescent="0.2">
      <c r="A129" s="1"/>
      <c r="B129" s="1"/>
      <c r="C129" s="2" t="s">
        <v>170</v>
      </c>
      <c r="D129" s="1"/>
      <c r="E129" s="1"/>
      <c r="F129" s="12"/>
      <c r="G129" s="12"/>
      <c r="H129" s="53"/>
    </row>
    <row r="130" spans="1:8" ht="14.1" customHeight="1" x14ac:dyDescent="0.2">
      <c r="A130" s="1"/>
      <c r="B130" s="1"/>
      <c r="C130" s="2" t="s">
        <v>144</v>
      </c>
      <c r="D130" s="1"/>
      <c r="E130" s="1" t="s">
        <v>145</v>
      </c>
      <c r="F130" s="13" t="s">
        <v>147</v>
      </c>
      <c r="G130" s="10">
        <v>0</v>
      </c>
      <c r="H130" s="53"/>
    </row>
    <row r="131" spans="1:8" ht="14.1" customHeight="1" x14ac:dyDescent="0.2">
      <c r="A131" s="1"/>
      <c r="B131" s="1"/>
      <c r="C131" s="11"/>
      <c r="D131" s="1"/>
      <c r="E131" s="1"/>
      <c r="F131" s="12"/>
      <c r="G131" s="12"/>
      <c r="H131" s="53"/>
    </row>
    <row r="132" spans="1:8" ht="14.1" customHeight="1" x14ac:dyDescent="0.2">
      <c r="A132" s="1"/>
      <c r="B132" s="4"/>
      <c r="C132" s="4"/>
      <c r="D132" s="2"/>
      <c r="E132" s="1"/>
      <c r="F132" s="4"/>
      <c r="G132" s="8"/>
      <c r="H132" s="53"/>
    </row>
    <row r="133" spans="1:8" ht="18" customHeight="1" x14ac:dyDescent="0.2">
      <c r="A133" s="8"/>
      <c r="B133" s="4"/>
      <c r="C133" s="4" t="s">
        <v>171</v>
      </c>
      <c r="D133" s="4"/>
      <c r="E133" s="8"/>
      <c r="F133" s="6">
        <v>-447.88691277999999</v>
      </c>
      <c r="G133" s="7">
        <v>-2.7346200000000001E-3</v>
      </c>
      <c r="H133" s="53"/>
    </row>
    <row r="134" spans="1:8" ht="14.1" customHeight="1" x14ac:dyDescent="0.2">
      <c r="A134" s="11"/>
      <c r="B134" s="11"/>
      <c r="C134" s="2" t="s">
        <v>172</v>
      </c>
      <c r="D134" s="12"/>
      <c r="E134" s="12"/>
      <c r="F134" s="9">
        <v>163783.879183724</v>
      </c>
      <c r="G134" s="14">
        <v>1.0000000200000001</v>
      </c>
      <c r="H134" s="53"/>
    </row>
    <row r="135" spans="1:8" ht="14.1" customHeight="1" x14ac:dyDescent="0.2">
      <c r="A135" s="15"/>
      <c r="B135" s="15"/>
      <c r="C135" s="15"/>
      <c r="D135" s="16"/>
      <c r="E135" s="16"/>
      <c r="F135" s="16"/>
      <c r="G135" s="16"/>
    </row>
    <row r="136" spans="1:8" ht="14.1" customHeight="1" x14ac:dyDescent="0.2">
      <c r="A136" s="17"/>
      <c r="B136" s="17"/>
      <c r="C136" s="17"/>
      <c r="D136" s="19"/>
      <c r="E136" s="19"/>
      <c r="F136" s="19"/>
      <c r="G136" s="19"/>
    </row>
    <row r="137" spans="1:8" ht="14.1" customHeight="1" x14ac:dyDescent="0.2">
      <c r="A137" s="17"/>
      <c r="B137" s="231" t="s">
        <v>174</v>
      </c>
      <c r="C137" s="232"/>
      <c r="D137" s="233"/>
      <c r="E137" s="20"/>
      <c r="F137" s="19"/>
      <c r="G137" s="19"/>
    </row>
    <row r="138" spans="1:8" ht="29.1" customHeight="1" x14ac:dyDescent="0.2">
      <c r="A138" s="17"/>
      <c r="B138" s="226" t="s">
        <v>175</v>
      </c>
      <c r="C138" s="227"/>
      <c r="D138" s="2" t="s">
        <v>176</v>
      </c>
      <c r="E138" s="20"/>
      <c r="F138" s="19"/>
      <c r="G138" s="19"/>
    </row>
    <row r="139" spans="1:8" ht="17.100000000000001" customHeight="1" x14ac:dyDescent="0.2">
      <c r="A139" s="17"/>
      <c r="B139" s="226" t="s">
        <v>177</v>
      </c>
      <c r="C139" s="227"/>
      <c r="D139" s="2" t="s">
        <v>176</v>
      </c>
      <c r="E139" s="20"/>
      <c r="F139" s="19"/>
      <c r="G139" s="19"/>
    </row>
    <row r="140" spans="1:8" ht="17.100000000000001" customHeight="1" x14ac:dyDescent="0.2">
      <c r="A140" s="17"/>
      <c r="B140" s="226" t="s">
        <v>178</v>
      </c>
      <c r="C140" s="227"/>
      <c r="D140" s="12" t="s">
        <v>145</v>
      </c>
      <c r="E140" s="20"/>
      <c r="F140" s="19"/>
      <c r="G140" s="19"/>
    </row>
    <row r="141" spans="1:8" ht="24" customHeight="1" x14ac:dyDescent="0.2">
      <c r="A141" s="21"/>
      <c r="B141" s="22" t="s">
        <v>145</v>
      </c>
      <c r="C141" s="22" t="s">
        <v>179</v>
      </c>
      <c r="D141" s="22" t="s">
        <v>180</v>
      </c>
      <c r="E141" s="21"/>
      <c r="F141" s="21"/>
      <c r="G141" s="21"/>
    </row>
    <row r="142" spans="1:8" ht="18" customHeight="1" x14ac:dyDescent="0.2">
      <c r="A142" s="21"/>
      <c r="B142" s="23" t="s">
        <v>181</v>
      </c>
      <c r="C142" s="22" t="s">
        <v>182</v>
      </c>
      <c r="D142" s="22" t="s">
        <v>183</v>
      </c>
      <c r="E142" s="21"/>
      <c r="F142" s="21"/>
      <c r="G142" s="21"/>
    </row>
    <row r="143" spans="1:8" ht="17.100000000000001" customHeight="1" x14ac:dyDescent="0.2">
      <c r="A143" s="21"/>
      <c r="B143" s="4" t="s">
        <v>184</v>
      </c>
      <c r="C143" s="24">
        <v>181.32919999999999</v>
      </c>
      <c r="D143" s="24">
        <v>179.7278</v>
      </c>
      <c r="E143" s="21"/>
      <c r="F143" s="18"/>
      <c r="G143" s="25"/>
    </row>
    <row r="144" spans="1:8" ht="17.100000000000001" customHeight="1" x14ac:dyDescent="0.2">
      <c r="A144" s="21"/>
      <c r="B144" s="4" t="s">
        <v>1009</v>
      </c>
      <c r="C144" s="24">
        <v>16.985099999999999</v>
      </c>
      <c r="D144" s="24">
        <v>16.835000000000001</v>
      </c>
      <c r="E144" s="21"/>
      <c r="F144" s="18"/>
      <c r="G144" s="25"/>
    </row>
    <row r="145" spans="1:7" ht="17.100000000000001" customHeight="1" x14ac:dyDescent="0.2">
      <c r="A145" s="21"/>
      <c r="B145" s="4" t="s">
        <v>185</v>
      </c>
      <c r="C145" s="24">
        <v>173.04939999999999</v>
      </c>
      <c r="D145" s="24">
        <v>171.43690000000001</v>
      </c>
      <c r="E145" s="21"/>
      <c r="F145" s="18"/>
      <c r="G145" s="25"/>
    </row>
    <row r="146" spans="1:7" ht="17.100000000000001" customHeight="1" x14ac:dyDescent="0.2">
      <c r="A146" s="21"/>
      <c r="B146" s="4" t="s">
        <v>1010</v>
      </c>
      <c r="C146" s="24">
        <v>14.1325</v>
      </c>
      <c r="D146" s="24">
        <v>14.0008</v>
      </c>
      <c r="E146" s="21"/>
      <c r="F146" s="18"/>
      <c r="G146" s="25"/>
    </row>
    <row r="147" spans="1:7" ht="14.1" customHeight="1" x14ac:dyDescent="0.2">
      <c r="A147" s="21"/>
      <c r="B147" s="21"/>
      <c r="C147" s="21"/>
      <c r="D147" s="21"/>
      <c r="E147" s="21"/>
      <c r="F147" s="21"/>
      <c r="G147" s="21"/>
    </row>
    <row r="148" spans="1:7" ht="17.100000000000001" customHeight="1" x14ac:dyDescent="0.2">
      <c r="A148" s="21"/>
      <c r="B148" s="226" t="s">
        <v>1011</v>
      </c>
      <c r="C148" s="227"/>
      <c r="D148" s="2" t="s">
        <v>176</v>
      </c>
      <c r="E148" s="21"/>
      <c r="F148" s="21"/>
      <c r="G148" s="21"/>
    </row>
    <row r="149" spans="1:7" ht="18" customHeight="1" x14ac:dyDescent="0.2">
      <c r="A149" s="21"/>
      <c r="B149" s="26"/>
      <c r="C149" s="26"/>
      <c r="D149" s="26"/>
      <c r="E149" s="21"/>
      <c r="F149" s="21"/>
      <c r="G149" s="21"/>
    </row>
    <row r="150" spans="1:7" ht="29.1" customHeight="1" x14ac:dyDescent="0.2">
      <c r="A150" s="21"/>
      <c r="B150" s="226" t="s">
        <v>186</v>
      </c>
      <c r="C150" s="227"/>
      <c r="D150" s="2" t="s">
        <v>176</v>
      </c>
      <c r="E150" s="27"/>
      <c r="F150" s="21"/>
      <c r="G150" s="21"/>
    </row>
    <row r="151" spans="1:7" ht="29.1" customHeight="1" x14ac:dyDescent="0.2">
      <c r="A151" s="21"/>
      <c r="B151" s="226" t="s">
        <v>187</v>
      </c>
      <c r="C151" s="227"/>
      <c r="D151" s="2" t="s">
        <v>176</v>
      </c>
      <c r="E151" s="27"/>
      <c r="F151" s="21"/>
      <c r="G151" s="21"/>
    </row>
    <row r="152" spans="1:7" ht="17.100000000000001" customHeight="1" x14ac:dyDescent="0.2">
      <c r="A152" s="21"/>
      <c r="B152" s="226" t="s">
        <v>188</v>
      </c>
      <c r="C152" s="227"/>
      <c r="D152" s="2" t="s">
        <v>176</v>
      </c>
      <c r="E152" s="27"/>
      <c r="F152" s="21"/>
      <c r="G152" s="21"/>
    </row>
    <row r="153" spans="1:7" ht="17.100000000000001" customHeight="1" x14ac:dyDescent="0.2">
      <c r="A153" s="21"/>
      <c r="B153" s="226" t="s">
        <v>189</v>
      </c>
      <c r="C153" s="227"/>
      <c r="D153" s="57">
        <v>0.22485663397635114</v>
      </c>
      <c r="E153" s="21"/>
      <c r="F153" s="18"/>
      <c r="G153" s="25"/>
    </row>
  </sheetData>
  <mergeCells count="13">
    <mergeCell ref="A1:H1"/>
    <mergeCell ref="A2:H2"/>
    <mergeCell ref="A3:H3"/>
    <mergeCell ref="J2:N2"/>
    <mergeCell ref="B153:C153"/>
    <mergeCell ref="B139:C139"/>
    <mergeCell ref="B140:C140"/>
    <mergeCell ref="B148:C148"/>
    <mergeCell ref="B150:C150"/>
    <mergeCell ref="B151:C151"/>
    <mergeCell ref="B152:C152"/>
    <mergeCell ref="B138:C138"/>
    <mergeCell ref="B137:D137"/>
  </mergeCells>
  <hyperlinks>
    <hyperlink ref="I1" location="Index!B28" display="Index" xr:uid="{2CF03DAD-DBED-4E8E-9D48-22AFEB07DE05}"/>
  </hyperlinks>
  <pageMargins left="5.000000074505806E-2" right="5.000000074505806E-2" top="0.30000001192092896" bottom="0.20000000298023224" header="0" footer="0"/>
  <pageSetup paperSize="9" orientation="landscape" r:id="rId1"/>
  <headerFooter alignWithMargins="0"/>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N14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833</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310</v>
      </c>
      <c r="C7" s="4" t="s">
        <v>311</v>
      </c>
      <c r="D7" s="4" t="s">
        <v>28</v>
      </c>
      <c r="E7" s="5">
        <v>1839000</v>
      </c>
      <c r="F7" s="6">
        <v>28898.965499999998</v>
      </c>
      <c r="G7" s="7">
        <v>9.4408489999999998E-2</v>
      </c>
      <c r="H7" s="53"/>
    </row>
    <row r="8" spans="1:14" ht="17.100000000000001" customHeight="1" x14ac:dyDescent="0.2">
      <c r="A8" s="3">
        <v>2</v>
      </c>
      <c r="B8" s="4" t="s">
        <v>20</v>
      </c>
      <c r="C8" s="4" t="s">
        <v>21</v>
      </c>
      <c r="D8" s="4" t="s">
        <v>22</v>
      </c>
      <c r="E8" s="5">
        <v>1043000</v>
      </c>
      <c r="F8" s="6">
        <v>25105.01</v>
      </c>
      <c r="G8" s="7">
        <v>8.2014219999999999E-2</v>
      </c>
      <c r="H8" s="53"/>
    </row>
    <row r="9" spans="1:14" ht="17.100000000000001" customHeight="1" x14ac:dyDescent="0.2">
      <c r="A9" s="3">
        <v>3</v>
      </c>
      <c r="B9" s="4" t="s">
        <v>26</v>
      </c>
      <c r="C9" s="4" t="s">
        <v>27</v>
      </c>
      <c r="D9" s="4" t="s">
        <v>28</v>
      </c>
      <c r="E9" s="5">
        <v>2485000</v>
      </c>
      <c r="F9" s="6">
        <v>23824.9375</v>
      </c>
      <c r="G9" s="7">
        <v>7.7832419999999999E-2</v>
      </c>
      <c r="H9" s="53"/>
    </row>
    <row r="10" spans="1:14" ht="17.100000000000001" customHeight="1" x14ac:dyDescent="0.2">
      <c r="A10" s="3">
        <v>4</v>
      </c>
      <c r="B10" s="4" t="s">
        <v>312</v>
      </c>
      <c r="C10" s="4" t="s">
        <v>313</v>
      </c>
      <c r="D10" s="4" t="s">
        <v>905</v>
      </c>
      <c r="E10" s="5">
        <v>1316000</v>
      </c>
      <c r="F10" s="6">
        <v>18890.522000000001</v>
      </c>
      <c r="G10" s="7">
        <v>6.171244E-2</v>
      </c>
      <c r="H10" s="53"/>
    </row>
    <row r="11" spans="1:14" ht="17.100000000000001" customHeight="1" x14ac:dyDescent="0.2">
      <c r="A11" s="3">
        <v>5</v>
      </c>
      <c r="B11" s="4" t="s">
        <v>11</v>
      </c>
      <c r="C11" s="4" t="s">
        <v>12</v>
      </c>
      <c r="D11" s="4" t="s">
        <v>13</v>
      </c>
      <c r="E11" s="5">
        <v>672000</v>
      </c>
      <c r="F11" s="6">
        <v>18162.144</v>
      </c>
      <c r="G11" s="7">
        <v>5.9332940000000001E-2</v>
      </c>
      <c r="H11" s="53"/>
    </row>
    <row r="12" spans="1:14" ht="17.100000000000001" customHeight="1" x14ac:dyDescent="0.2">
      <c r="A12" s="3">
        <v>6</v>
      </c>
      <c r="B12" s="4" t="s">
        <v>32</v>
      </c>
      <c r="C12" s="4" t="s">
        <v>33</v>
      </c>
      <c r="D12" s="4" t="s">
        <v>28</v>
      </c>
      <c r="E12" s="5">
        <v>2696000</v>
      </c>
      <c r="F12" s="6">
        <v>15133.995999999999</v>
      </c>
      <c r="G12" s="7">
        <v>4.9440440000000002E-2</v>
      </c>
      <c r="H12" s="53"/>
    </row>
    <row r="13" spans="1:14" ht="29.1" customHeight="1" x14ac:dyDescent="0.2">
      <c r="A13" s="3">
        <v>7</v>
      </c>
      <c r="B13" s="4" t="s">
        <v>316</v>
      </c>
      <c r="C13" s="4" t="s">
        <v>317</v>
      </c>
      <c r="D13" s="4" t="s">
        <v>224</v>
      </c>
      <c r="E13" s="5">
        <v>1030000</v>
      </c>
      <c r="F13" s="6">
        <v>11449.48</v>
      </c>
      <c r="G13" s="7">
        <v>3.7403699999999998E-2</v>
      </c>
      <c r="H13" s="53"/>
      <c r="J13" s="142" t="s">
        <v>1058</v>
      </c>
    </row>
    <row r="14" spans="1:14" ht="17.100000000000001" customHeight="1" x14ac:dyDescent="0.2">
      <c r="A14" s="3">
        <v>8</v>
      </c>
      <c r="B14" s="4" t="s">
        <v>314</v>
      </c>
      <c r="C14" s="4" t="s">
        <v>315</v>
      </c>
      <c r="D14" s="4" t="s">
        <v>28</v>
      </c>
      <c r="E14" s="5">
        <v>1165000</v>
      </c>
      <c r="F14" s="6">
        <v>11341.275</v>
      </c>
      <c r="G14" s="7">
        <v>3.705021E-2</v>
      </c>
      <c r="H14" s="53"/>
    </row>
    <row r="15" spans="1:14" ht="17.100000000000001" customHeight="1" x14ac:dyDescent="0.2">
      <c r="A15" s="3">
        <v>9</v>
      </c>
      <c r="B15" s="4" t="s">
        <v>106</v>
      </c>
      <c r="C15" s="4" t="s">
        <v>107</v>
      </c>
      <c r="D15" s="4" t="s">
        <v>108</v>
      </c>
      <c r="E15" s="5">
        <v>72000</v>
      </c>
      <c r="F15" s="6">
        <v>7202.7359999999999</v>
      </c>
      <c r="G15" s="7">
        <v>2.3530229999999999E-2</v>
      </c>
      <c r="H15" s="53"/>
    </row>
    <row r="16" spans="1:14" ht="17.100000000000001" customHeight="1" x14ac:dyDescent="0.2">
      <c r="A16" s="3">
        <v>10</v>
      </c>
      <c r="B16" s="4" t="s">
        <v>336</v>
      </c>
      <c r="C16" s="4" t="s">
        <v>337</v>
      </c>
      <c r="D16" s="4" t="s">
        <v>331</v>
      </c>
      <c r="E16" s="5">
        <v>286000</v>
      </c>
      <c r="F16" s="6">
        <v>7164.4430000000002</v>
      </c>
      <c r="G16" s="7">
        <v>2.3405140000000001E-2</v>
      </c>
      <c r="H16" s="53"/>
    </row>
    <row r="17" spans="1:10" ht="17.100000000000001" customHeight="1" x14ac:dyDescent="0.2">
      <c r="A17" s="3">
        <v>11</v>
      </c>
      <c r="B17" s="4" t="s">
        <v>14</v>
      </c>
      <c r="C17" s="4" t="s">
        <v>15</v>
      </c>
      <c r="D17" s="4" t="s">
        <v>16</v>
      </c>
      <c r="E17" s="5">
        <v>816000</v>
      </c>
      <c r="F17" s="6">
        <v>6988.2240000000002</v>
      </c>
      <c r="G17" s="7">
        <v>2.2829459999999999E-2</v>
      </c>
      <c r="H17" s="53"/>
    </row>
    <row r="18" spans="1:10" ht="17.100000000000001" customHeight="1" x14ac:dyDescent="0.2">
      <c r="A18" s="3">
        <v>12</v>
      </c>
      <c r="B18" s="4" t="s">
        <v>318</v>
      </c>
      <c r="C18" s="4" t="s">
        <v>319</v>
      </c>
      <c r="D18" s="4" t="s">
        <v>905</v>
      </c>
      <c r="E18" s="5">
        <v>206000</v>
      </c>
      <c r="F18" s="6">
        <v>6915.0079999999998</v>
      </c>
      <c r="G18" s="7">
        <v>2.2590269999999999E-2</v>
      </c>
      <c r="H18" s="53"/>
    </row>
    <row r="19" spans="1:10" ht="53.1" customHeight="1" x14ac:dyDescent="0.2">
      <c r="A19" s="3">
        <v>13</v>
      </c>
      <c r="B19" s="4" t="s">
        <v>66</v>
      </c>
      <c r="C19" s="4" t="s">
        <v>67</v>
      </c>
      <c r="D19" s="4" t="s">
        <v>68</v>
      </c>
      <c r="E19" s="5">
        <v>3451000</v>
      </c>
      <c r="F19" s="6">
        <v>6344.6634999999997</v>
      </c>
      <c r="G19" s="7">
        <v>2.0727039999999999E-2</v>
      </c>
      <c r="H19" s="53"/>
    </row>
    <row r="20" spans="1:10" ht="17.100000000000001" customHeight="1" x14ac:dyDescent="0.2">
      <c r="A20" s="3">
        <v>14</v>
      </c>
      <c r="B20" s="4" t="s">
        <v>366</v>
      </c>
      <c r="C20" s="4" t="s">
        <v>367</v>
      </c>
      <c r="D20" s="4" t="s">
        <v>130</v>
      </c>
      <c r="E20" s="5">
        <v>381000</v>
      </c>
      <c r="F20" s="6">
        <v>5672.7089999999998</v>
      </c>
      <c r="G20" s="7">
        <v>1.8531869999999999E-2</v>
      </c>
      <c r="H20" s="53"/>
    </row>
    <row r="21" spans="1:10" ht="17.100000000000001" customHeight="1" x14ac:dyDescent="0.2">
      <c r="A21" s="3">
        <v>15</v>
      </c>
      <c r="B21" s="4" t="s">
        <v>322</v>
      </c>
      <c r="C21" s="4" t="s">
        <v>323</v>
      </c>
      <c r="D21" s="4" t="s">
        <v>28</v>
      </c>
      <c r="E21" s="5">
        <v>398000</v>
      </c>
      <c r="F21" s="6">
        <v>5485.0370000000003</v>
      </c>
      <c r="G21" s="7">
        <v>1.7918779999999999E-2</v>
      </c>
      <c r="H21" s="53"/>
    </row>
    <row r="22" spans="1:10" ht="29.1" customHeight="1" x14ac:dyDescent="0.2">
      <c r="A22" s="3">
        <v>16</v>
      </c>
      <c r="B22" s="4" t="s">
        <v>374</v>
      </c>
      <c r="C22" s="4" t="s">
        <v>375</v>
      </c>
      <c r="D22" s="4" t="s">
        <v>224</v>
      </c>
      <c r="E22" s="5">
        <v>424000</v>
      </c>
      <c r="F22" s="6">
        <v>5332.2240000000002</v>
      </c>
      <c r="G22" s="7">
        <v>1.7419560000000001E-2</v>
      </c>
      <c r="H22" s="53"/>
    </row>
    <row r="23" spans="1:10" ht="17.100000000000001" customHeight="1" x14ac:dyDescent="0.2">
      <c r="A23" s="3">
        <v>17</v>
      </c>
      <c r="B23" s="4" t="s">
        <v>507</v>
      </c>
      <c r="C23" s="40" t="s">
        <v>963</v>
      </c>
      <c r="D23" s="4" t="s">
        <v>108</v>
      </c>
      <c r="E23" s="5">
        <v>1312000</v>
      </c>
      <c r="F23" s="6">
        <v>5241.4399999999996</v>
      </c>
      <c r="G23" s="7">
        <v>1.7122979999999999E-2</v>
      </c>
      <c r="H23" s="53"/>
      <c r="J23" s="142" t="s">
        <v>1059</v>
      </c>
    </row>
    <row r="24" spans="1:10" ht="17.100000000000001" customHeight="1" x14ac:dyDescent="0.2">
      <c r="A24" s="3">
        <v>18</v>
      </c>
      <c r="B24" s="4" t="s">
        <v>295</v>
      </c>
      <c r="C24" s="4" t="s">
        <v>296</v>
      </c>
      <c r="D24" s="4" t="s">
        <v>281</v>
      </c>
      <c r="E24" s="5">
        <v>569000</v>
      </c>
      <c r="F24" s="6">
        <v>5118.1549999999997</v>
      </c>
      <c r="G24" s="7">
        <v>1.6720229999999999E-2</v>
      </c>
      <c r="H24" s="53"/>
    </row>
    <row r="25" spans="1:10" ht="17.100000000000001" customHeight="1" x14ac:dyDescent="0.2">
      <c r="A25" s="3">
        <v>19</v>
      </c>
      <c r="B25" s="4" t="s">
        <v>17</v>
      </c>
      <c r="C25" s="4" t="s">
        <v>18</v>
      </c>
      <c r="D25" s="4" t="s">
        <v>19</v>
      </c>
      <c r="E25" s="5">
        <v>2077000</v>
      </c>
      <c r="F25" s="6">
        <v>4575.6310000000003</v>
      </c>
      <c r="G25" s="7">
        <v>1.494789E-2</v>
      </c>
      <c r="H25" s="53"/>
    </row>
    <row r="26" spans="1:10" ht="29.1" customHeight="1" x14ac:dyDescent="0.2">
      <c r="A26" s="3">
        <v>20</v>
      </c>
      <c r="B26" s="4" t="s">
        <v>210</v>
      </c>
      <c r="C26" s="4" t="s">
        <v>211</v>
      </c>
      <c r="D26" s="4" t="s">
        <v>130</v>
      </c>
      <c r="E26" s="5">
        <v>391000</v>
      </c>
      <c r="F26" s="6">
        <v>4386.4335000000001</v>
      </c>
      <c r="G26" s="7">
        <v>1.432981E-2</v>
      </c>
      <c r="H26" s="53"/>
    </row>
    <row r="27" spans="1:10" ht="17.100000000000001" customHeight="1" x14ac:dyDescent="0.2">
      <c r="A27" s="3">
        <v>21</v>
      </c>
      <c r="B27" s="4" t="s">
        <v>81</v>
      </c>
      <c r="C27" s="4" t="s">
        <v>82</v>
      </c>
      <c r="D27" s="4" t="s">
        <v>59</v>
      </c>
      <c r="E27" s="5">
        <v>168000</v>
      </c>
      <c r="F27" s="6">
        <v>4090.8</v>
      </c>
      <c r="G27" s="7">
        <v>1.3364020000000001E-2</v>
      </c>
      <c r="H27" s="53"/>
    </row>
    <row r="28" spans="1:10" ht="17.100000000000001" customHeight="1" x14ac:dyDescent="0.2">
      <c r="A28" s="3">
        <v>22</v>
      </c>
      <c r="B28" s="4" t="s">
        <v>329</v>
      </c>
      <c r="C28" s="4" t="s">
        <v>330</v>
      </c>
      <c r="D28" s="4" t="s">
        <v>331</v>
      </c>
      <c r="E28" s="5">
        <v>885000</v>
      </c>
      <c r="F28" s="6">
        <v>3891.3449999999998</v>
      </c>
      <c r="G28" s="7">
        <v>1.271243E-2</v>
      </c>
      <c r="H28" s="53"/>
    </row>
    <row r="29" spans="1:10" ht="29.1" customHeight="1" x14ac:dyDescent="0.2">
      <c r="A29" s="3">
        <v>23</v>
      </c>
      <c r="B29" s="4" t="s">
        <v>320</v>
      </c>
      <c r="C29" s="4" t="s">
        <v>321</v>
      </c>
      <c r="D29" s="4" t="s">
        <v>224</v>
      </c>
      <c r="E29" s="5">
        <v>66000</v>
      </c>
      <c r="F29" s="6">
        <v>3701.181</v>
      </c>
      <c r="G29" s="7">
        <v>1.209119E-2</v>
      </c>
      <c r="H29" s="53"/>
    </row>
    <row r="30" spans="1:10" ht="17.100000000000001" customHeight="1" x14ac:dyDescent="0.2">
      <c r="A30" s="3">
        <v>24</v>
      </c>
      <c r="B30" s="4" t="s">
        <v>340</v>
      </c>
      <c r="C30" s="4" t="s">
        <v>341</v>
      </c>
      <c r="D30" s="4" t="s">
        <v>905</v>
      </c>
      <c r="E30" s="5">
        <v>66000</v>
      </c>
      <c r="F30" s="6">
        <v>3427.6439999999998</v>
      </c>
      <c r="G30" s="7">
        <v>1.119759E-2</v>
      </c>
      <c r="H30" s="53"/>
    </row>
    <row r="31" spans="1:10" ht="17.100000000000001" customHeight="1" x14ac:dyDescent="0.2">
      <c r="A31" s="3">
        <v>25</v>
      </c>
      <c r="B31" s="4" t="s">
        <v>463</v>
      </c>
      <c r="C31" s="4" t="s">
        <v>464</v>
      </c>
      <c r="D31" s="4" t="s">
        <v>905</v>
      </c>
      <c r="E31" s="5">
        <v>285965</v>
      </c>
      <c r="F31" s="6">
        <v>3351.9387474999999</v>
      </c>
      <c r="G31" s="7">
        <v>1.095027E-2</v>
      </c>
      <c r="H31" s="53"/>
    </row>
    <row r="32" spans="1:10" ht="17.100000000000001" customHeight="1" x14ac:dyDescent="0.2">
      <c r="A32" s="3">
        <v>26</v>
      </c>
      <c r="B32" s="4" t="s">
        <v>546</v>
      </c>
      <c r="C32" s="4" t="s">
        <v>547</v>
      </c>
      <c r="D32" s="4" t="s">
        <v>281</v>
      </c>
      <c r="E32" s="5">
        <v>326000</v>
      </c>
      <c r="F32" s="6">
        <v>3284.6129999999998</v>
      </c>
      <c r="G32" s="7">
        <v>1.073033E-2</v>
      </c>
      <c r="H32" s="53"/>
    </row>
    <row r="33" spans="1:8" ht="29.1" customHeight="1" x14ac:dyDescent="0.2">
      <c r="A33" s="3">
        <v>27</v>
      </c>
      <c r="B33" s="4" t="s">
        <v>23</v>
      </c>
      <c r="C33" s="4" t="s">
        <v>24</v>
      </c>
      <c r="D33" s="4" t="s">
        <v>25</v>
      </c>
      <c r="E33" s="5">
        <v>39000</v>
      </c>
      <c r="F33" s="6">
        <v>3236.0055000000002</v>
      </c>
      <c r="G33" s="7">
        <v>1.0571530000000001E-2</v>
      </c>
      <c r="H33" s="53"/>
    </row>
    <row r="34" spans="1:8" ht="17.100000000000001" customHeight="1" x14ac:dyDescent="0.2">
      <c r="A34" s="3">
        <v>28</v>
      </c>
      <c r="B34" s="4" t="s">
        <v>736</v>
      </c>
      <c r="C34" s="4" t="s">
        <v>737</v>
      </c>
      <c r="D34" s="4" t="s">
        <v>238</v>
      </c>
      <c r="E34" s="5">
        <v>14000</v>
      </c>
      <c r="F34" s="6">
        <v>3078.096</v>
      </c>
      <c r="G34" s="7">
        <v>1.0055669999999999E-2</v>
      </c>
      <c r="H34" s="53"/>
    </row>
    <row r="35" spans="1:8" ht="17.100000000000001" customHeight="1" x14ac:dyDescent="0.2">
      <c r="A35" s="3">
        <v>29</v>
      </c>
      <c r="B35" s="4" t="s">
        <v>334</v>
      </c>
      <c r="C35" s="4" t="s">
        <v>335</v>
      </c>
      <c r="D35" s="4" t="s">
        <v>73</v>
      </c>
      <c r="E35" s="5">
        <v>95000</v>
      </c>
      <c r="F35" s="6">
        <v>2949.2275</v>
      </c>
      <c r="G35" s="7">
        <v>9.6346699999999997E-3</v>
      </c>
      <c r="H35" s="53"/>
    </row>
    <row r="36" spans="1:8" ht="17.100000000000001" customHeight="1" x14ac:dyDescent="0.2">
      <c r="A36" s="3">
        <v>30</v>
      </c>
      <c r="B36" s="4" t="s">
        <v>88</v>
      </c>
      <c r="C36" s="4" t="s">
        <v>89</v>
      </c>
      <c r="D36" s="4" t="s">
        <v>87</v>
      </c>
      <c r="E36" s="5">
        <v>493000</v>
      </c>
      <c r="F36" s="6">
        <v>2936.308</v>
      </c>
      <c r="G36" s="7">
        <v>9.5924700000000005E-3</v>
      </c>
      <c r="H36" s="53"/>
    </row>
    <row r="37" spans="1:8" ht="29.1" customHeight="1" x14ac:dyDescent="0.2">
      <c r="A37" s="3">
        <v>31</v>
      </c>
      <c r="B37" s="4" t="s">
        <v>759</v>
      </c>
      <c r="C37" s="4" t="s">
        <v>760</v>
      </c>
      <c r="D37" s="4" t="s">
        <v>286</v>
      </c>
      <c r="E37" s="5">
        <v>16757</v>
      </c>
      <c r="F37" s="6">
        <v>2673.8725975000002</v>
      </c>
      <c r="G37" s="7">
        <v>8.7351300000000007E-3</v>
      </c>
      <c r="H37" s="53"/>
    </row>
    <row r="38" spans="1:8" ht="17.100000000000001" customHeight="1" x14ac:dyDescent="0.2">
      <c r="A38" s="3">
        <v>32</v>
      </c>
      <c r="B38" s="4" t="s">
        <v>342</v>
      </c>
      <c r="C38" s="4" t="s">
        <v>343</v>
      </c>
      <c r="D38" s="4" t="s">
        <v>130</v>
      </c>
      <c r="E38" s="5">
        <v>37000</v>
      </c>
      <c r="F38" s="6">
        <v>2650.31</v>
      </c>
      <c r="G38" s="7">
        <v>8.6581599999999998E-3</v>
      </c>
      <c r="H38" s="53"/>
    </row>
    <row r="39" spans="1:8" ht="17.100000000000001" customHeight="1" x14ac:dyDescent="0.2">
      <c r="A39" s="3">
        <v>33</v>
      </c>
      <c r="B39" s="4" t="s">
        <v>354</v>
      </c>
      <c r="C39" s="4" t="s">
        <v>355</v>
      </c>
      <c r="D39" s="4" t="s">
        <v>73</v>
      </c>
      <c r="E39" s="5">
        <v>80000</v>
      </c>
      <c r="F39" s="6">
        <v>2604.88</v>
      </c>
      <c r="G39" s="7">
        <v>8.50974E-3</v>
      </c>
      <c r="H39" s="53"/>
    </row>
    <row r="40" spans="1:8" ht="29.1" customHeight="1" x14ac:dyDescent="0.2">
      <c r="A40" s="3">
        <v>34</v>
      </c>
      <c r="B40" s="4" t="s">
        <v>467</v>
      </c>
      <c r="C40" s="4" t="s">
        <v>468</v>
      </c>
      <c r="D40" s="4" t="s">
        <v>469</v>
      </c>
      <c r="E40" s="5">
        <v>305000</v>
      </c>
      <c r="F40" s="6">
        <v>2544.7674999999999</v>
      </c>
      <c r="G40" s="7">
        <v>8.3133700000000005E-3</v>
      </c>
      <c r="H40" s="53"/>
    </row>
    <row r="41" spans="1:8" ht="17.100000000000001" customHeight="1" x14ac:dyDescent="0.2">
      <c r="A41" s="3">
        <v>35</v>
      </c>
      <c r="B41" s="4" t="s">
        <v>135</v>
      </c>
      <c r="C41" s="4" t="s">
        <v>136</v>
      </c>
      <c r="D41" s="4" t="s">
        <v>130</v>
      </c>
      <c r="E41" s="5">
        <v>1043000</v>
      </c>
      <c r="F41" s="6">
        <v>2435.4050000000002</v>
      </c>
      <c r="G41" s="7">
        <v>7.9561000000000007E-3</v>
      </c>
      <c r="H41" s="53"/>
    </row>
    <row r="42" spans="1:8" ht="17.100000000000001" customHeight="1" x14ac:dyDescent="0.2">
      <c r="A42" s="3">
        <v>36</v>
      </c>
      <c r="B42" s="4" t="s">
        <v>350</v>
      </c>
      <c r="C42" s="4" t="s">
        <v>351</v>
      </c>
      <c r="D42" s="4" t="s">
        <v>206</v>
      </c>
      <c r="E42" s="5">
        <v>63000</v>
      </c>
      <c r="F42" s="6">
        <v>2343.8519999999999</v>
      </c>
      <c r="G42" s="7">
        <v>7.6570099999999997E-3</v>
      </c>
      <c r="H42" s="53"/>
    </row>
    <row r="43" spans="1:8" ht="17.100000000000001" customHeight="1" x14ac:dyDescent="0.2">
      <c r="A43" s="3">
        <v>37</v>
      </c>
      <c r="B43" s="4" t="s">
        <v>465</v>
      </c>
      <c r="C43" s="4" t="s">
        <v>466</v>
      </c>
      <c r="D43" s="4" t="s">
        <v>28</v>
      </c>
      <c r="E43" s="5">
        <v>130000</v>
      </c>
      <c r="F43" s="6">
        <v>2286.375</v>
      </c>
      <c r="G43" s="7">
        <v>7.4692400000000003E-3</v>
      </c>
      <c r="H43" s="53"/>
    </row>
    <row r="44" spans="1:8" ht="17.100000000000001" customHeight="1" x14ac:dyDescent="0.2">
      <c r="A44" s="3">
        <v>38</v>
      </c>
      <c r="B44" s="4" t="s">
        <v>565</v>
      </c>
      <c r="C44" s="4" t="s">
        <v>566</v>
      </c>
      <c r="D44" s="4" t="s">
        <v>905</v>
      </c>
      <c r="E44" s="5">
        <v>187000</v>
      </c>
      <c r="F44" s="6">
        <v>2247.6464999999998</v>
      </c>
      <c r="G44" s="7">
        <v>7.3427199999999996E-3</v>
      </c>
      <c r="H44" s="53"/>
    </row>
    <row r="45" spans="1:8" ht="17.100000000000001" customHeight="1" x14ac:dyDescent="0.2">
      <c r="A45" s="3">
        <v>39</v>
      </c>
      <c r="B45" s="4" t="s">
        <v>326</v>
      </c>
      <c r="C45" s="4" t="s">
        <v>327</v>
      </c>
      <c r="D45" s="4" t="s">
        <v>328</v>
      </c>
      <c r="E45" s="5">
        <v>466000</v>
      </c>
      <c r="F45" s="6">
        <v>2142.9009999999998</v>
      </c>
      <c r="G45" s="7">
        <v>7.0005299999999996E-3</v>
      </c>
      <c r="H45" s="53"/>
    </row>
    <row r="46" spans="1:8" ht="17.100000000000001" customHeight="1" x14ac:dyDescent="0.2">
      <c r="A46" s="3">
        <v>40</v>
      </c>
      <c r="B46" s="4" t="s">
        <v>255</v>
      </c>
      <c r="C46" s="4" t="s">
        <v>256</v>
      </c>
      <c r="D46" s="4" t="s">
        <v>206</v>
      </c>
      <c r="E46" s="5">
        <v>47000</v>
      </c>
      <c r="F46" s="6">
        <v>2035.8050000000001</v>
      </c>
      <c r="G46" s="7">
        <v>6.6506600000000001E-3</v>
      </c>
      <c r="H46" s="53"/>
    </row>
    <row r="47" spans="1:8" ht="29.1" customHeight="1" x14ac:dyDescent="0.2">
      <c r="A47" s="3">
        <v>41</v>
      </c>
      <c r="B47" s="4" t="s">
        <v>241</v>
      </c>
      <c r="C47" s="4" t="s">
        <v>242</v>
      </c>
      <c r="D47" s="4" t="s">
        <v>224</v>
      </c>
      <c r="E47" s="5">
        <v>52000</v>
      </c>
      <c r="F47" s="6">
        <v>1894.2819999999999</v>
      </c>
      <c r="G47" s="7">
        <v>6.1883299999999997E-3</v>
      </c>
      <c r="H47" s="53"/>
    </row>
    <row r="48" spans="1:8" ht="17.100000000000001" customHeight="1" x14ac:dyDescent="0.2">
      <c r="A48" s="3">
        <v>42</v>
      </c>
      <c r="B48" s="4" t="s">
        <v>461</v>
      </c>
      <c r="C48" s="4" t="s">
        <v>462</v>
      </c>
      <c r="D48" s="4" t="s">
        <v>221</v>
      </c>
      <c r="E48" s="5">
        <v>143000</v>
      </c>
      <c r="F48" s="6">
        <v>1848.3465000000001</v>
      </c>
      <c r="G48" s="7">
        <v>6.0382700000000001E-3</v>
      </c>
      <c r="H48" s="53"/>
    </row>
    <row r="49" spans="1:8" ht="17.100000000000001" customHeight="1" x14ac:dyDescent="0.2">
      <c r="A49" s="3">
        <v>43</v>
      </c>
      <c r="B49" s="4" t="s">
        <v>234</v>
      </c>
      <c r="C49" s="4" t="s">
        <v>235</v>
      </c>
      <c r="D49" s="4" t="s">
        <v>905</v>
      </c>
      <c r="E49" s="5">
        <v>32875</v>
      </c>
      <c r="F49" s="6">
        <v>1797.0954374999999</v>
      </c>
      <c r="G49" s="7">
        <v>5.8708400000000004E-3</v>
      </c>
      <c r="H49" s="53"/>
    </row>
    <row r="50" spans="1:8" ht="17.100000000000001" customHeight="1" x14ac:dyDescent="0.2">
      <c r="A50" s="3">
        <v>44</v>
      </c>
      <c r="B50" s="4" t="s">
        <v>767</v>
      </c>
      <c r="C50" s="4" t="s">
        <v>768</v>
      </c>
      <c r="D50" s="4" t="s">
        <v>73</v>
      </c>
      <c r="E50" s="5">
        <v>127000</v>
      </c>
      <c r="F50" s="6">
        <v>1758.3785</v>
      </c>
      <c r="G50" s="7">
        <v>5.7443499999999996E-3</v>
      </c>
      <c r="H50" s="53"/>
    </row>
    <row r="51" spans="1:8" ht="17.100000000000001" customHeight="1" x14ac:dyDescent="0.2">
      <c r="A51" s="3">
        <v>45</v>
      </c>
      <c r="B51" s="4" t="s">
        <v>561</v>
      </c>
      <c r="C51" s="4" t="s">
        <v>562</v>
      </c>
      <c r="D51" s="4" t="s">
        <v>238</v>
      </c>
      <c r="E51" s="5">
        <v>38000</v>
      </c>
      <c r="F51" s="6">
        <v>1697.7449999999999</v>
      </c>
      <c r="G51" s="7">
        <v>5.5462699999999998E-3</v>
      </c>
      <c r="H51" s="53"/>
    </row>
    <row r="52" spans="1:8" ht="29.1" customHeight="1" x14ac:dyDescent="0.2">
      <c r="A52" s="3">
        <v>46</v>
      </c>
      <c r="B52" s="4" t="s">
        <v>64</v>
      </c>
      <c r="C52" s="4" t="s">
        <v>65</v>
      </c>
      <c r="D52" s="4" t="s">
        <v>25</v>
      </c>
      <c r="E52" s="5">
        <v>58690</v>
      </c>
      <c r="F52" s="6">
        <v>1223.7158449999999</v>
      </c>
      <c r="G52" s="7">
        <v>3.9976899999999999E-3</v>
      </c>
      <c r="H52" s="53"/>
    </row>
    <row r="53" spans="1:8" ht="17.100000000000001" customHeight="1" x14ac:dyDescent="0.2">
      <c r="A53" s="3">
        <v>47</v>
      </c>
      <c r="B53" s="4" t="s">
        <v>39</v>
      </c>
      <c r="C53" s="4" t="s">
        <v>40</v>
      </c>
      <c r="D53" s="4" t="s">
        <v>41</v>
      </c>
      <c r="E53" s="5">
        <v>26000</v>
      </c>
      <c r="F53" s="6">
        <v>1139.203</v>
      </c>
      <c r="G53" s="7">
        <v>3.7215999999999998E-3</v>
      </c>
      <c r="H53" s="53"/>
    </row>
    <row r="54" spans="1:8" ht="17.100000000000001" customHeight="1" x14ac:dyDescent="0.2">
      <c r="A54" s="3">
        <v>48</v>
      </c>
      <c r="B54" s="4" t="s">
        <v>352</v>
      </c>
      <c r="C54" s="4" t="s">
        <v>353</v>
      </c>
      <c r="D54" s="4" t="s">
        <v>95</v>
      </c>
      <c r="E54" s="5">
        <v>800000</v>
      </c>
      <c r="F54" s="6">
        <v>983.2</v>
      </c>
      <c r="G54" s="7">
        <v>3.2119599999999998E-3</v>
      </c>
      <c r="H54" s="53"/>
    </row>
    <row r="55" spans="1:8" ht="29.1" customHeight="1" x14ac:dyDescent="0.2">
      <c r="A55" s="3">
        <v>49</v>
      </c>
      <c r="B55" s="4" t="s">
        <v>554</v>
      </c>
      <c r="C55" s="4" t="s">
        <v>555</v>
      </c>
      <c r="D55" s="4" t="s">
        <v>469</v>
      </c>
      <c r="E55" s="5">
        <v>165000</v>
      </c>
      <c r="F55" s="6">
        <v>940.58249999999998</v>
      </c>
      <c r="G55" s="7">
        <v>3.07274E-3</v>
      </c>
      <c r="H55" s="53"/>
    </row>
    <row r="56" spans="1:8" ht="17.100000000000001" customHeight="1" x14ac:dyDescent="0.2">
      <c r="A56" s="3">
        <v>50</v>
      </c>
      <c r="B56" s="4" t="s">
        <v>275</v>
      </c>
      <c r="C56" s="4" t="s">
        <v>276</v>
      </c>
      <c r="D56" s="4" t="s">
        <v>209</v>
      </c>
      <c r="E56" s="5">
        <v>19000</v>
      </c>
      <c r="F56" s="6">
        <v>914.67899999999997</v>
      </c>
      <c r="G56" s="7">
        <v>2.9881199999999999E-3</v>
      </c>
      <c r="H56" s="53"/>
    </row>
    <row r="57" spans="1:8" ht="17.100000000000001" customHeight="1" x14ac:dyDescent="0.2">
      <c r="A57" s="3">
        <v>51</v>
      </c>
      <c r="B57" s="4" t="s">
        <v>338</v>
      </c>
      <c r="C57" s="4" t="s">
        <v>339</v>
      </c>
      <c r="D57" s="4" t="s">
        <v>28</v>
      </c>
      <c r="E57" s="5">
        <v>225000</v>
      </c>
      <c r="F57" s="6">
        <v>720.9</v>
      </c>
      <c r="G57" s="7">
        <v>2.3550699999999999E-3</v>
      </c>
      <c r="H57" s="53"/>
    </row>
    <row r="58" spans="1:8" ht="17.100000000000001" customHeight="1" x14ac:dyDescent="0.2">
      <c r="A58" s="3">
        <v>52</v>
      </c>
      <c r="B58" s="4" t="s">
        <v>346</v>
      </c>
      <c r="C58" s="4" t="s">
        <v>347</v>
      </c>
      <c r="D58" s="4" t="s">
        <v>108</v>
      </c>
      <c r="E58" s="5">
        <v>58791</v>
      </c>
      <c r="F58" s="6">
        <v>353.33391</v>
      </c>
      <c r="G58" s="7">
        <v>1.1542900000000001E-3</v>
      </c>
      <c r="H58" s="53"/>
    </row>
    <row r="59" spans="1:8" ht="29.1" customHeight="1" x14ac:dyDescent="0.2">
      <c r="A59" s="3">
        <v>53</v>
      </c>
      <c r="B59" s="4" t="s">
        <v>542</v>
      </c>
      <c r="C59" s="4" t="s">
        <v>543</v>
      </c>
      <c r="D59" s="4" t="s">
        <v>544</v>
      </c>
      <c r="E59" s="5">
        <v>87268</v>
      </c>
      <c r="F59" s="6">
        <v>333.05832199999998</v>
      </c>
      <c r="G59" s="7">
        <v>1.0880499999999999E-3</v>
      </c>
      <c r="H59" s="53"/>
    </row>
    <row r="60" spans="1:8" ht="14.1" customHeight="1" x14ac:dyDescent="0.2">
      <c r="A60" s="1"/>
      <c r="B60" s="1"/>
      <c r="C60" s="2" t="s">
        <v>144</v>
      </c>
      <c r="D60" s="1"/>
      <c r="E60" s="1" t="s">
        <v>145</v>
      </c>
      <c r="F60" s="9">
        <v>296750.5273595</v>
      </c>
      <c r="G60" s="10">
        <v>0.96943853000000002</v>
      </c>
      <c r="H60" s="53"/>
    </row>
    <row r="61" spans="1:8" ht="14.1" customHeight="1" x14ac:dyDescent="0.2">
      <c r="A61" s="1"/>
      <c r="B61" s="1"/>
      <c r="C61" s="11"/>
      <c r="D61" s="1"/>
      <c r="E61" s="1"/>
      <c r="F61" s="12"/>
      <c r="G61" s="12"/>
      <c r="H61" s="53"/>
    </row>
    <row r="62" spans="1:8" ht="14.1" customHeight="1" x14ac:dyDescent="0.2">
      <c r="A62" s="1"/>
      <c r="B62" s="1"/>
      <c r="C62" s="2" t="s">
        <v>146</v>
      </c>
      <c r="D62" s="1"/>
      <c r="E62" s="1"/>
      <c r="F62" s="1"/>
      <c r="G62" s="1"/>
      <c r="H62" s="53"/>
    </row>
    <row r="63" spans="1:8" ht="14.1" customHeight="1" x14ac:dyDescent="0.2">
      <c r="A63" s="1"/>
      <c r="B63" s="1"/>
      <c r="C63" s="2" t="s">
        <v>144</v>
      </c>
      <c r="D63" s="1"/>
      <c r="E63" s="1" t="s">
        <v>145</v>
      </c>
      <c r="F63" s="13" t="s">
        <v>147</v>
      </c>
      <c r="G63" s="10">
        <v>0</v>
      </c>
      <c r="H63" s="53"/>
    </row>
    <row r="64" spans="1:8" ht="14.1" customHeight="1" x14ac:dyDescent="0.2">
      <c r="A64" s="1"/>
      <c r="B64" s="1"/>
      <c r="C64" s="11"/>
      <c r="D64" s="1"/>
      <c r="E64" s="1"/>
      <c r="F64" s="12"/>
      <c r="G64" s="12"/>
      <c r="H64" s="53"/>
    </row>
    <row r="65" spans="1:8" ht="14.1" customHeight="1" x14ac:dyDescent="0.2">
      <c r="A65" s="1"/>
      <c r="B65" s="1"/>
      <c r="C65" s="2" t="s">
        <v>148</v>
      </c>
      <c r="D65" s="1"/>
      <c r="E65" s="1"/>
      <c r="F65" s="1"/>
      <c r="G65" s="1"/>
      <c r="H65" s="53"/>
    </row>
    <row r="66" spans="1:8" ht="14.1" customHeight="1" x14ac:dyDescent="0.2">
      <c r="A66" s="1"/>
      <c r="B66" s="1"/>
      <c r="C66" s="2" t="s">
        <v>144</v>
      </c>
      <c r="D66" s="1"/>
      <c r="E66" s="1" t="s">
        <v>145</v>
      </c>
      <c r="F66" s="13" t="s">
        <v>147</v>
      </c>
      <c r="G66" s="10">
        <v>0</v>
      </c>
      <c r="H66" s="53"/>
    </row>
    <row r="67" spans="1:8" ht="14.1" customHeight="1" x14ac:dyDescent="0.2">
      <c r="A67" s="1"/>
      <c r="B67" s="1"/>
      <c r="C67" s="11"/>
      <c r="D67" s="1"/>
      <c r="E67" s="1"/>
      <c r="F67" s="12"/>
      <c r="G67" s="12"/>
      <c r="H67" s="53"/>
    </row>
    <row r="68" spans="1:8" ht="14.1" customHeight="1" x14ac:dyDescent="0.2">
      <c r="A68" s="1"/>
      <c r="B68" s="1"/>
      <c r="C68" s="2" t="s">
        <v>149</v>
      </c>
      <c r="D68" s="1"/>
      <c r="E68" s="1"/>
      <c r="F68" s="1"/>
      <c r="G68" s="1"/>
      <c r="H68" s="53"/>
    </row>
    <row r="69" spans="1:8" ht="14.1" customHeight="1" x14ac:dyDescent="0.2">
      <c r="A69" s="1"/>
      <c r="B69" s="1"/>
      <c r="C69" s="2" t="s">
        <v>144</v>
      </c>
      <c r="D69" s="1"/>
      <c r="E69" s="1" t="s">
        <v>145</v>
      </c>
      <c r="F69" s="13" t="s">
        <v>147</v>
      </c>
      <c r="G69" s="10">
        <v>0</v>
      </c>
      <c r="H69" s="53"/>
    </row>
    <row r="70" spans="1:8" ht="14.1" customHeight="1" x14ac:dyDescent="0.2">
      <c r="A70" s="1"/>
      <c r="B70" s="1"/>
      <c r="C70" s="11"/>
      <c r="D70" s="1"/>
      <c r="E70" s="1"/>
      <c r="F70" s="12"/>
      <c r="G70" s="12"/>
      <c r="H70" s="53"/>
    </row>
    <row r="71" spans="1:8" ht="14.1" customHeight="1" x14ac:dyDescent="0.2">
      <c r="A71" s="1"/>
      <c r="B71" s="1"/>
      <c r="C71" s="2" t="s">
        <v>150</v>
      </c>
      <c r="D71" s="1"/>
      <c r="E71" s="1"/>
      <c r="F71" s="12"/>
      <c r="G71" s="12"/>
      <c r="H71" s="53"/>
    </row>
    <row r="72" spans="1:8" ht="14.1" customHeight="1" x14ac:dyDescent="0.2">
      <c r="A72" s="1"/>
      <c r="B72" s="1"/>
      <c r="C72" s="2" t="s">
        <v>144</v>
      </c>
      <c r="D72" s="1"/>
      <c r="E72" s="1" t="s">
        <v>145</v>
      </c>
      <c r="F72" s="13" t="s">
        <v>147</v>
      </c>
      <c r="G72" s="10">
        <v>0</v>
      </c>
      <c r="H72" s="53"/>
    </row>
    <row r="73" spans="1:8" ht="14.1" customHeight="1" x14ac:dyDescent="0.2">
      <c r="A73" s="1"/>
      <c r="B73" s="1"/>
      <c r="C73" s="11"/>
      <c r="D73" s="1"/>
      <c r="E73" s="1"/>
      <c r="F73" s="12"/>
      <c r="G73" s="12"/>
      <c r="H73" s="53"/>
    </row>
    <row r="74" spans="1:8" ht="14.1" customHeight="1" x14ac:dyDescent="0.2">
      <c r="A74" s="1"/>
      <c r="B74" s="1"/>
      <c r="C74" s="2" t="s">
        <v>151</v>
      </c>
      <c r="D74" s="1"/>
      <c r="E74" s="1"/>
      <c r="F74" s="12"/>
      <c r="G74" s="12"/>
      <c r="H74" s="53"/>
    </row>
    <row r="75" spans="1:8" ht="14.1" customHeight="1" x14ac:dyDescent="0.2">
      <c r="A75" s="1"/>
      <c r="B75" s="1"/>
      <c r="C75" s="2" t="s">
        <v>144</v>
      </c>
      <c r="D75" s="1"/>
      <c r="E75" s="1" t="s">
        <v>145</v>
      </c>
      <c r="F75" s="13" t="s">
        <v>147</v>
      </c>
      <c r="G75" s="10">
        <v>0</v>
      </c>
      <c r="H75" s="53"/>
    </row>
    <row r="76" spans="1:8" ht="14.1" customHeight="1" x14ac:dyDescent="0.2">
      <c r="A76" s="1"/>
      <c r="B76" s="1"/>
      <c r="C76" s="11"/>
      <c r="D76" s="1"/>
      <c r="E76" s="1"/>
      <c r="F76" s="12"/>
      <c r="G76" s="12"/>
      <c r="H76" s="53"/>
    </row>
    <row r="77" spans="1:8" ht="18" customHeight="1" x14ac:dyDescent="0.2">
      <c r="A77" s="1"/>
      <c r="B77" s="1"/>
      <c r="C77" s="2" t="s">
        <v>152</v>
      </c>
      <c r="D77" s="1"/>
      <c r="E77" s="1"/>
      <c r="F77" s="9">
        <v>296750.5273595</v>
      </c>
      <c r="G77" s="10">
        <v>0.96943853000000002</v>
      </c>
      <c r="H77" s="53"/>
    </row>
    <row r="78" spans="1:8" ht="14.1" customHeight="1" x14ac:dyDescent="0.2">
      <c r="A78" s="1"/>
      <c r="B78" s="1"/>
      <c r="C78" s="11"/>
      <c r="D78" s="1"/>
      <c r="E78" s="1"/>
      <c r="F78" s="12"/>
      <c r="G78" s="12"/>
      <c r="H78" s="53"/>
    </row>
    <row r="79" spans="1:8" ht="14.1" customHeight="1" x14ac:dyDescent="0.2">
      <c r="A79" s="1"/>
      <c r="B79" s="1"/>
      <c r="C79" s="2" t="s">
        <v>153</v>
      </c>
      <c r="D79" s="1"/>
      <c r="E79" s="1"/>
      <c r="F79" s="12"/>
      <c r="G79" s="12"/>
      <c r="H79" s="53"/>
    </row>
    <row r="80" spans="1:8" ht="24" customHeight="1" x14ac:dyDescent="0.2">
      <c r="A80" s="1"/>
      <c r="B80" s="1"/>
      <c r="C80" s="2" t="s">
        <v>10</v>
      </c>
      <c r="D80" s="1"/>
      <c r="E80" s="1"/>
      <c r="F80" s="12"/>
      <c r="G80" s="12"/>
      <c r="H80" s="53"/>
    </row>
    <row r="81" spans="1:8" ht="29.1" customHeight="1" x14ac:dyDescent="0.2">
      <c r="A81" s="3">
        <v>1</v>
      </c>
      <c r="B81" s="4" t="s">
        <v>716</v>
      </c>
      <c r="C81" s="4" t="s">
        <v>717</v>
      </c>
      <c r="D81" s="4" t="s">
        <v>573</v>
      </c>
      <c r="E81" s="5">
        <v>28980</v>
      </c>
      <c r="F81" s="6">
        <v>8.2770696669999992</v>
      </c>
      <c r="G81" s="52" t="s">
        <v>143</v>
      </c>
      <c r="H81" s="53">
        <v>7.5179999999999998</v>
      </c>
    </row>
    <row r="82" spans="1:8" ht="14.1" customHeight="1" x14ac:dyDescent="0.2">
      <c r="A82" s="1"/>
      <c r="B82" s="1"/>
      <c r="C82" s="2" t="s">
        <v>144</v>
      </c>
      <c r="D82" s="1"/>
      <c r="E82" s="1" t="s">
        <v>145</v>
      </c>
      <c r="F82" s="9">
        <v>8.2770696669999992</v>
      </c>
      <c r="G82" s="56" t="s">
        <v>143</v>
      </c>
      <c r="H82" s="53"/>
    </row>
    <row r="83" spans="1:8" ht="14.1" customHeight="1" x14ac:dyDescent="0.2">
      <c r="A83" s="1"/>
      <c r="B83" s="1"/>
      <c r="C83" s="11"/>
      <c r="D83" s="1"/>
      <c r="E83" s="1"/>
      <c r="F83" s="12"/>
      <c r="G83" s="12"/>
      <c r="H83" s="53"/>
    </row>
    <row r="84" spans="1:8" ht="14.1" customHeight="1" x14ac:dyDescent="0.2">
      <c r="A84" s="1"/>
      <c r="B84" s="1"/>
      <c r="C84" s="2" t="s">
        <v>154</v>
      </c>
      <c r="D84" s="1"/>
      <c r="E84" s="1"/>
      <c r="F84" s="1"/>
      <c r="G84" s="1"/>
      <c r="H84" s="53"/>
    </row>
    <row r="85" spans="1:8" ht="14.1" customHeight="1" x14ac:dyDescent="0.2">
      <c r="A85" s="1"/>
      <c r="B85" s="1"/>
      <c r="C85" s="2" t="s">
        <v>144</v>
      </c>
      <c r="D85" s="1"/>
      <c r="E85" s="1" t="s">
        <v>145</v>
      </c>
      <c r="F85" s="13" t="s">
        <v>147</v>
      </c>
      <c r="G85" s="10">
        <v>0</v>
      </c>
      <c r="H85" s="53"/>
    </row>
    <row r="86" spans="1:8" ht="14.1" customHeight="1" x14ac:dyDescent="0.2">
      <c r="A86" s="1"/>
      <c r="B86" s="1"/>
      <c r="C86" s="11"/>
      <c r="D86" s="1"/>
      <c r="E86" s="1"/>
      <c r="F86" s="12"/>
      <c r="G86" s="12"/>
      <c r="H86" s="53"/>
    </row>
    <row r="87" spans="1:8" ht="14.1" customHeight="1" x14ac:dyDescent="0.2">
      <c r="A87" s="1"/>
      <c r="B87" s="1"/>
      <c r="C87" s="2" t="s">
        <v>155</v>
      </c>
      <c r="D87" s="1"/>
      <c r="E87" s="1"/>
      <c r="F87" s="1"/>
      <c r="G87" s="1"/>
      <c r="H87" s="53"/>
    </row>
    <row r="88" spans="1:8" ht="14.1" customHeight="1" x14ac:dyDescent="0.2">
      <c r="A88" s="1"/>
      <c r="B88" s="1"/>
      <c r="C88" s="2" t="s">
        <v>144</v>
      </c>
      <c r="D88" s="1"/>
      <c r="E88" s="1" t="s">
        <v>145</v>
      </c>
      <c r="F88" s="13" t="s">
        <v>147</v>
      </c>
      <c r="G88" s="10">
        <v>0</v>
      </c>
      <c r="H88" s="53"/>
    </row>
    <row r="89" spans="1:8" ht="14.1" customHeight="1" x14ac:dyDescent="0.2">
      <c r="A89" s="1"/>
      <c r="B89" s="1"/>
      <c r="C89" s="11"/>
      <c r="D89" s="1"/>
      <c r="E89" s="1"/>
      <c r="F89" s="12"/>
      <c r="G89" s="12"/>
      <c r="H89" s="53"/>
    </row>
    <row r="90" spans="1:8" ht="14.1" customHeight="1" x14ac:dyDescent="0.2">
      <c r="A90" s="1"/>
      <c r="B90" s="1"/>
      <c r="C90" s="2" t="s">
        <v>156</v>
      </c>
      <c r="D90" s="1"/>
      <c r="E90" s="1"/>
      <c r="F90" s="12"/>
      <c r="G90" s="12"/>
      <c r="H90" s="53"/>
    </row>
    <row r="91" spans="1:8" ht="14.1" customHeight="1" x14ac:dyDescent="0.2">
      <c r="A91" s="1"/>
      <c r="B91" s="1"/>
      <c r="C91" s="2" t="s">
        <v>144</v>
      </c>
      <c r="D91" s="1"/>
      <c r="E91" s="1" t="s">
        <v>145</v>
      </c>
      <c r="F91" s="13" t="s">
        <v>147</v>
      </c>
      <c r="G91" s="10">
        <v>0</v>
      </c>
      <c r="H91" s="53"/>
    </row>
    <row r="92" spans="1:8" ht="14.1" customHeight="1" x14ac:dyDescent="0.2">
      <c r="A92" s="1"/>
      <c r="B92" s="1"/>
      <c r="C92" s="11"/>
      <c r="D92" s="1"/>
      <c r="E92" s="1"/>
      <c r="F92" s="12"/>
      <c r="G92" s="12"/>
      <c r="H92" s="53"/>
    </row>
    <row r="93" spans="1:8" ht="14.1" customHeight="1" x14ac:dyDescent="0.2">
      <c r="A93" s="1"/>
      <c r="B93" s="1"/>
      <c r="C93" s="2" t="s">
        <v>157</v>
      </c>
      <c r="D93" s="1"/>
      <c r="E93" s="1"/>
      <c r="F93" s="9">
        <v>8.2770696669999992</v>
      </c>
      <c r="G93" s="10">
        <v>2.7039999999999999E-5</v>
      </c>
      <c r="H93" s="53"/>
    </row>
    <row r="94" spans="1:8" ht="14.1" customHeight="1" x14ac:dyDescent="0.2">
      <c r="A94" s="1"/>
      <c r="B94" s="1"/>
      <c r="C94" s="11"/>
      <c r="D94" s="1"/>
      <c r="E94" s="1"/>
      <c r="F94" s="12"/>
      <c r="G94" s="12"/>
      <c r="H94" s="53"/>
    </row>
    <row r="95" spans="1:8" ht="14.1" customHeight="1" x14ac:dyDescent="0.2">
      <c r="A95" s="1"/>
      <c r="B95" s="1"/>
      <c r="C95" s="2" t="s">
        <v>158</v>
      </c>
      <c r="D95" s="1"/>
      <c r="E95" s="1"/>
      <c r="F95" s="12"/>
      <c r="G95" s="12"/>
      <c r="H95" s="53"/>
    </row>
    <row r="96" spans="1:8" ht="14.1" customHeight="1" x14ac:dyDescent="0.2">
      <c r="A96" s="1"/>
      <c r="B96" s="1"/>
      <c r="C96" s="2" t="s">
        <v>159</v>
      </c>
      <c r="D96" s="1"/>
      <c r="E96" s="1"/>
      <c r="F96" s="12"/>
      <c r="G96" s="12"/>
      <c r="H96" s="53"/>
    </row>
    <row r="97" spans="1:8" ht="14.1" customHeight="1" x14ac:dyDescent="0.2">
      <c r="A97" s="1"/>
      <c r="B97" s="1"/>
      <c r="C97" s="2" t="s">
        <v>144</v>
      </c>
      <c r="D97" s="1"/>
      <c r="E97" s="1" t="s">
        <v>145</v>
      </c>
      <c r="F97" s="13" t="s">
        <v>147</v>
      </c>
      <c r="G97" s="10">
        <v>0</v>
      </c>
      <c r="H97" s="53"/>
    </row>
    <row r="98" spans="1:8" ht="14.1" customHeight="1" x14ac:dyDescent="0.2">
      <c r="A98" s="1"/>
      <c r="B98" s="1"/>
      <c r="C98" s="11"/>
      <c r="D98" s="1"/>
      <c r="E98" s="1"/>
      <c r="F98" s="12"/>
      <c r="G98" s="12"/>
      <c r="H98" s="53"/>
    </row>
    <row r="99" spans="1:8" ht="14.1" customHeight="1" x14ac:dyDescent="0.2">
      <c r="A99" s="1"/>
      <c r="B99" s="1"/>
      <c r="C99" s="2" t="s">
        <v>160</v>
      </c>
      <c r="D99" s="1"/>
      <c r="E99" s="1"/>
      <c r="F99" s="12"/>
      <c r="G99" s="12"/>
      <c r="H99" s="53"/>
    </row>
    <row r="100" spans="1:8" ht="14.1" customHeight="1" x14ac:dyDescent="0.2">
      <c r="A100" s="1"/>
      <c r="B100" s="1"/>
      <c r="C100" s="2" t="s">
        <v>144</v>
      </c>
      <c r="D100" s="1"/>
      <c r="E100" s="1" t="s">
        <v>145</v>
      </c>
      <c r="F100" s="13" t="s">
        <v>147</v>
      </c>
      <c r="G100" s="10">
        <v>0</v>
      </c>
      <c r="H100" s="53"/>
    </row>
    <row r="101" spans="1:8" ht="14.1" customHeight="1" x14ac:dyDescent="0.2">
      <c r="A101" s="1"/>
      <c r="B101" s="1"/>
      <c r="C101" s="11"/>
      <c r="D101" s="1"/>
      <c r="E101" s="1"/>
      <c r="F101" s="12"/>
      <c r="G101" s="12"/>
      <c r="H101" s="53"/>
    </row>
    <row r="102" spans="1:8" ht="14.1" customHeight="1" x14ac:dyDescent="0.2">
      <c r="A102" s="1"/>
      <c r="B102" s="1"/>
      <c r="C102" s="2" t="s">
        <v>161</v>
      </c>
      <c r="D102" s="1"/>
      <c r="E102" s="1"/>
      <c r="F102" s="12"/>
      <c r="G102" s="12"/>
      <c r="H102" s="53"/>
    </row>
    <row r="103" spans="1:8" ht="14.1" customHeight="1" x14ac:dyDescent="0.2">
      <c r="A103" s="1"/>
      <c r="B103" s="1"/>
      <c r="C103" s="2" t="s">
        <v>144</v>
      </c>
      <c r="D103" s="1"/>
      <c r="E103" s="1" t="s">
        <v>145</v>
      </c>
      <c r="F103" s="13" t="s">
        <v>147</v>
      </c>
      <c r="G103" s="10">
        <v>0</v>
      </c>
      <c r="H103" s="53"/>
    </row>
    <row r="104" spans="1:8" ht="14.1" customHeight="1" x14ac:dyDescent="0.2">
      <c r="A104" s="1"/>
      <c r="B104" s="1"/>
      <c r="C104" s="11"/>
      <c r="D104" s="1"/>
      <c r="E104" s="1"/>
      <c r="F104" s="12"/>
      <c r="G104" s="12"/>
      <c r="H104" s="53"/>
    </row>
    <row r="105" spans="1:8" ht="14.1" customHeight="1" x14ac:dyDescent="0.2">
      <c r="A105" s="1"/>
      <c r="B105" s="1"/>
      <c r="C105" s="2" t="s">
        <v>162</v>
      </c>
      <c r="D105" s="1"/>
      <c r="E105" s="1"/>
      <c r="F105" s="12"/>
      <c r="G105" s="12"/>
      <c r="H105" s="53"/>
    </row>
    <row r="106" spans="1:8" ht="17.100000000000001" customHeight="1" x14ac:dyDescent="0.2">
      <c r="A106" s="3">
        <v>1</v>
      </c>
      <c r="B106" s="4"/>
      <c r="C106" s="4" t="s">
        <v>163</v>
      </c>
      <c r="D106" s="4"/>
      <c r="E106" s="8"/>
      <c r="F106" s="6">
        <v>5161.4206880259999</v>
      </c>
      <c r="G106" s="7">
        <v>1.6861569999999999E-2</v>
      </c>
      <c r="H106" s="51">
        <v>6.6602331647804478</v>
      </c>
    </row>
    <row r="107" spans="1:8" ht="17.100000000000001" customHeight="1" x14ac:dyDescent="0.2">
      <c r="A107" s="3">
        <v>2</v>
      </c>
      <c r="B107" s="4"/>
      <c r="C107" s="4" t="s">
        <v>164</v>
      </c>
      <c r="D107" s="4"/>
      <c r="E107" s="8"/>
      <c r="F107" s="6">
        <v>3946.0512303999999</v>
      </c>
      <c r="G107" s="7">
        <v>1.2891140000000001E-2</v>
      </c>
      <c r="H107" s="51">
        <v>6.6588225936582406</v>
      </c>
    </row>
    <row r="108" spans="1:8" ht="14.1" customHeight="1" x14ac:dyDescent="0.2">
      <c r="A108" s="1"/>
      <c r="B108" s="1"/>
      <c r="C108" s="2" t="s">
        <v>144</v>
      </c>
      <c r="D108" s="1"/>
      <c r="E108" s="1" t="s">
        <v>145</v>
      </c>
      <c r="F108" s="9">
        <v>9107.4719184259993</v>
      </c>
      <c r="G108" s="10">
        <v>2.9752710000000002E-2</v>
      </c>
      <c r="H108" s="53"/>
    </row>
    <row r="109" spans="1:8" ht="14.1" customHeight="1" x14ac:dyDescent="0.2">
      <c r="A109" s="1"/>
      <c r="B109" s="1"/>
      <c r="C109" s="11"/>
      <c r="D109" s="1"/>
      <c r="E109" s="1"/>
      <c r="F109" s="12"/>
      <c r="G109" s="12"/>
      <c r="H109" s="53"/>
    </row>
    <row r="110" spans="1:8" ht="14.1" customHeight="1" x14ac:dyDescent="0.2">
      <c r="A110" s="1"/>
      <c r="B110" s="1"/>
      <c r="C110" s="2" t="s">
        <v>165</v>
      </c>
      <c r="D110" s="1"/>
      <c r="E110" s="1"/>
      <c r="F110" s="9">
        <v>9107.4719184259993</v>
      </c>
      <c r="G110" s="10">
        <v>2.9752710000000002E-2</v>
      </c>
      <c r="H110" s="53"/>
    </row>
    <row r="111" spans="1:8" ht="14.1" customHeight="1" x14ac:dyDescent="0.2">
      <c r="A111" s="1"/>
      <c r="B111" s="1"/>
      <c r="C111" s="12"/>
      <c r="D111" s="1"/>
      <c r="E111" s="1"/>
      <c r="F111" s="1"/>
      <c r="G111" s="1"/>
      <c r="H111" s="53"/>
    </row>
    <row r="112" spans="1:8" ht="14.1" customHeight="1" x14ac:dyDescent="0.2">
      <c r="A112" s="1"/>
      <c r="B112" s="1"/>
      <c r="C112" s="2" t="s">
        <v>166</v>
      </c>
      <c r="D112" s="1"/>
      <c r="E112" s="1"/>
      <c r="F112" s="1"/>
      <c r="G112" s="1"/>
      <c r="H112" s="53"/>
    </row>
    <row r="113" spans="1:14" ht="14.1" customHeight="1" x14ac:dyDescent="0.2">
      <c r="A113" s="1"/>
      <c r="B113" s="1"/>
      <c r="C113" s="2" t="s">
        <v>167</v>
      </c>
      <c r="D113" s="1"/>
      <c r="E113" s="1"/>
      <c r="F113" s="1"/>
      <c r="G113" s="1"/>
      <c r="H113" s="53"/>
    </row>
    <row r="114" spans="1:14" ht="14.1" customHeight="1" x14ac:dyDescent="0.2">
      <c r="A114" s="1"/>
      <c r="B114" s="1"/>
      <c r="C114" s="2" t="s">
        <v>144</v>
      </c>
      <c r="D114" s="1"/>
      <c r="E114" s="1" t="s">
        <v>145</v>
      </c>
      <c r="F114" s="13" t="s">
        <v>147</v>
      </c>
      <c r="G114" s="10">
        <v>0</v>
      </c>
      <c r="H114" s="53"/>
    </row>
    <row r="115" spans="1:14" ht="14.1" customHeight="1" x14ac:dyDescent="0.2">
      <c r="A115" s="1"/>
      <c r="B115" s="1"/>
      <c r="C115" s="11"/>
      <c r="D115" s="1"/>
      <c r="E115" s="1"/>
      <c r="F115" s="12"/>
      <c r="G115" s="12"/>
      <c r="H115" s="53"/>
    </row>
    <row r="116" spans="1:14" ht="14.1" customHeight="1" x14ac:dyDescent="0.2">
      <c r="A116" s="1"/>
      <c r="B116" s="1"/>
      <c r="C116" s="2" t="s">
        <v>168</v>
      </c>
      <c r="D116" s="1"/>
      <c r="E116" s="1"/>
      <c r="F116" s="1"/>
      <c r="G116" s="1"/>
      <c r="H116" s="53"/>
    </row>
    <row r="117" spans="1:14" ht="14.1" customHeight="1" x14ac:dyDescent="0.2">
      <c r="A117" s="1"/>
      <c r="B117" s="1"/>
      <c r="C117" s="2" t="s">
        <v>169</v>
      </c>
      <c r="D117" s="1"/>
      <c r="E117" s="1"/>
      <c r="F117" s="1"/>
      <c r="G117" s="1"/>
      <c r="H117" s="53"/>
    </row>
    <row r="118" spans="1:14" ht="14.1" customHeight="1" x14ac:dyDescent="0.2">
      <c r="A118" s="1"/>
      <c r="B118" s="1"/>
      <c r="C118" s="2" t="s">
        <v>144</v>
      </c>
      <c r="D118" s="1"/>
      <c r="E118" s="1" t="s">
        <v>145</v>
      </c>
      <c r="F118" s="13" t="s">
        <v>147</v>
      </c>
      <c r="G118" s="10">
        <v>0</v>
      </c>
      <c r="H118" s="53"/>
    </row>
    <row r="119" spans="1:14" ht="14.1" customHeight="1" x14ac:dyDescent="0.2">
      <c r="A119" s="1"/>
      <c r="B119" s="1"/>
      <c r="C119" s="11"/>
      <c r="D119" s="1"/>
      <c r="E119" s="1"/>
      <c r="F119" s="12"/>
      <c r="G119" s="12"/>
      <c r="H119" s="53"/>
    </row>
    <row r="120" spans="1:14" ht="24" customHeight="1" x14ac:dyDescent="0.2">
      <c r="A120" s="1"/>
      <c r="B120" s="1"/>
      <c r="C120" s="2" t="s">
        <v>170</v>
      </c>
      <c r="D120" s="1"/>
      <c r="E120" s="1"/>
      <c r="F120" s="12"/>
      <c r="G120" s="12"/>
      <c r="H120" s="53"/>
    </row>
    <row r="121" spans="1:14" ht="14.1" customHeight="1" x14ac:dyDescent="0.2">
      <c r="A121" s="1"/>
      <c r="B121" s="1"/>
      <c r="C121" s="2" t="s">
        <v>144</v>
      </c>
      <c r="D121" s="1"/>
      <c r="E121" s="1" t="s">
        <v>145</v>
      </c>
      <c r="F121" s="13" t="s">
        <v>147</v>
      </c>
      <c r="G121" s="10">
        <v>0</v>
      </c>
      <c r="H121" s="53"/>
    </row>
    <row r="122" spans="1:14" ht="14.1" customHeight="1" x14ac:dyDescent="0.2">
      <c r="A122" s="1"/>
      <c r="B122" s="1"/>
      <c r="C122" s="11"/>
      <c r="D122" s="1"/>
      <c r="E122" s="1"/>
      <c r="F122" s="12"/>
      <c r="G122" s="12"/>
      <c r="H122" s="53"/>
    </row>
    <row r="123" spans="1:14" ht="14.1" customHeight="1" x14ac:dyDescent="0.2">
      <c r="A123" s="1"/>
      <c r="B123" s="4"/>
      <c r="C123" s="4"/>
      <c r="D123" s="2"/>
      <c r="E123" s="1"/>
      <c r="F123" s="4"/>
      <c r="G123" s="8"/>
      <c r="H123" s="53"/>
    </row>
    <row r="124" spans="1:14" ht="18" customHeight="1" x14ac:dyDescent="0.2">
      <c r="A124" s="8"/>
      <c r="B124" s="4"/>
      <c r="C124" s="40" t="s">
        <v>961</v>
      </c>
      <c r="D124" s="4"/>
      <c r="E124" s="8"/>
      <c r="F124" s="6">
        <v>239.30616734</v>
      </c>
      <c r="G124" s="7">
        <v>7.8178000000000004E-4</v>
      </c>
      <c r="H124" s="53"/>
    </row>
    <row r="125" spans="1:14" ht="14.1" customHeight="1" x14ac:dyDescent="0.2">
      <c r="A125" s="11"/>
      <c r="B125" s="11"/>
      <c r="C125" s="2" t="s">
        <v>172</v>
      </c>
      <c r="D125" s="12"/>
      <c r="E125" s="12"/>
      <c r="F125" s="9">
        <v>306105.58251493302</v>
      </c>
      <c r="G125" s="14">
        <v>1.0000000600000001</v>
      </c>
      <c r="H125" s="53"/>
      <c r="J125" s="54"/>
      <c r="K125" s="54"/>
      <c r="L125" s="54"/>
      <c r="M125" s="54"/>
      <c r="N125" s="54"/>
    </row>
    <row r="126" spans="1:14" ht="14.1" customHeight="1" x14ac:dyDescent="0.2">
      <c r="A126" s="15"/>
      <c r="B126" s="15"/>
      <c r="C126" s="15"/>
      <c r="D126" s="16"/>
      <c r="E126" s="16"/>
      <c r="F126" s="16"/>
      <c r="G126" s="16"/>
    </row>
    <row r="127" spans="1:14" ht="17.100000000000001" customHeight="1" x14ac:dyDescent="0.2">
      <c r="A127" s="41"/>
      <c r="B127" s="239" t="s">
        <v>907</v>
      </c>
      <c r="C127" s="239"/>
      <c r="D127" s="239"/>
      <c r="E127" s="239"/>
      <c r="F127" s="239"/>
      <c r="G127" s="45"/>
    </row>
    <row r="128" spans="1:14" ht="17.100000000000001" customHeight="1" x14ac:dyDescent="0.2">
      <c r="A128" s="17"/>
      <c r="B128" s="230" t="s">
        <v>173</v>
      </c>
      <c r="C128" s="230"/>
      <c r="D128" s="230"/>
      <c r="E128" s="230"/>
      <c r="F128" s="230"/>
      <c r="G128" s="19"/>
    </row>
    <row r="129" spans="1:7" ht="17.100000000000001" customHeight="1" x14ac:dyDescent="0.2">
      <c r="A129" s="41"/>
      <c r="B129" s="239" t="s">
        <v>962</v>
      </c>
      <c r="C129" s="239"/>
      <c r="D129" s="239"/>
      <c r="E129" s="239"/>
      <c r="F129" s="239"/>
      <c r="G129" s="45"/>
    </row>
    <row r="130" spans="1:7" ht="14.1" customHeight="1" x14ac:dyDescent="0.2">
      <c r="A130" s="17"/>
      <c r="B130" s="17"/>
      <c r="C130" s="17"/>
      <c r="D130" s="19"/>
      <c r="E130" s="19"/>
      <c r="F130" s="19"/>
      <c r="G130" s="19"/>
    </row>
    <row r="131" spans="1:7" ht="14.1" customHeight="1" x14ac:dyDescent="0.2">
      <c r="A131" s="17"/>
      <c r="B131" s="231" t="s">
        <v>174</v>
      </c>
      <c r="C131" s="232"/>
      <c r="D131" s="233"/>
      <c r="E131" s="20"/>
      <c r="F131" s="19"/>
      <c r="G131" s="19"/>
    </row>
    <row r="132" spans="1:7" ht="29.1" customHeight="1" x14ac:dyDescent="0.2">
      <c r="A132" s="17"/>
      <c r="B132" s="226" t="s">
        <v>175</v>
      </c>
      <c r="C132" s="227"/>
      <c r="D132" s="2" t="s">
        <v>176</v>
      </c>
      <c r="E132" s="20"/>
      <c r="F132" s="19"/>
      <c r="G132" s="19"/>
    </row>
    <row r="133" spans="1:7" ht="17.100000000000001" customHeight="1" x14ac:dyDescent="0.2">
      <c r="A133" s="17"/>
      <c r="B133" s="226" t="s">
        <v>177</v>
      </c>
      <c r="C133" s="227"/>
      <c r="D133" s="2" t="s">
        <v>176</v>
      </c>
      <c r="E133" s="20"/>
      <c r="F133" s="19"/>
      <c r="G133" s="19"/>
    </row>
    <row r="134" spans="1:7" ht="17.100000000000001" customHeight="1" x14ac:dyDescent="0.2">
      <c r="A134" s="17"/>
      <c r="B134" s="226" t="s">
        <v>178</v>
      </c>
      <c r="C134" s="227"/>
      <c r="D134" s="12" t="s">
        <v>145</v>
      </c>
      <c r="E134" s="20"/>
      <c r="F134" s="19"/>
      <c r="G134" s="19"/>
    </row>
    <row r="135" spans="1:7" ht="24" customHeight="1" x14ac:dyDescent="0.2">
      <c r="A135" s="21"/>
      <c r="B135" s="22" t="s">
        <v>145</v>
      </c>
      <c r="C135" s="22" t="s">
        <v>179</v>
      </c>
      <c r="D135" s="22" t="s">
        <v>180</v>
      </c>
      <c r="E135" s="21"/>
      <c r="F135" s="21"/>
      <c r="G135" s="21"/>
    </row>
    <row r="136" spans="1:7" ht="18" customHeight="1" x14ac:dyDescent="0.2">
      <c r="A136" s="21"/>
      <c r="B136" s="23" t="s">
        <v>181</v>
      </c>
      <c r="C136" s="22" t="s">
        <v>182</v>
      </c>
      <c r="D136" s="22" t="s">
        <v>183</v>
      </c>
      <c r="E136" s="21"/>
      <c r="F136" s="21"/>
      <c r="G136" s="21"/>
    </row>
    <row r="137" spans="1:7" ht="17.100000000000001" customHeight="1" x14ac:dyDescent="0.2">
      <c r="A137" s="21"/>
      <c r="B137" s="4" t="s">
        <v>184</v>
      </c>
      <c r="C137" s="24">
        <v>17.729299999999999</v>
      </c>
      <c r="D137" s="24">
        <v>17.436699999999998</v>
      </c>
      <c r="E137" s="21"/>
      <c r="F137" s="18"/>
      <c r="G137" s="25"/>
    </row>
    <row r="138" spans="1:7" ht="17.100000000000001" customHeight="1" x14ac:dyDescent="0.2">
      <c r="A138" s="21"/>
      <c r="B138" s="4" t="s">
        <v>1009</v>
      </c>
      <c r="C138" s="24">
        <v>15.599</v>
      </c>
      <c r="D138" s="24">
        <v>15.3415</v>
      </c>
      <c r="E138" s="21"/>
      <c r="F138" s="18"/>
      <c r="G138" s="25"/>
    </row>
    <row r="139" spans="1:7" ht="17.100000000000001" customHeight="1" x14ac:dyDescent="0.2">
      <c r="A139" s="21"/>
      <c r="B139" s="4" t="s">
        <v>185</v>
      </c>
      <c r="C139" s="24">
        <v>16.936</v>
      </c>
      <c r="D139" s="24">
        <v>16.637799999999999</v>
      </c>
      <c r="E139" s="21"/>
      <c r="F139" s="18"/>
      <c r="G139" s="25"/>
    </row>
    <row r="140" spans="1:7" ht="17.100000000000001" customHeight="1" x14ac:dyDescent="0.2">
      <c r="A140" s="21"/>
      <c r="B140" s="4" t="s">
        <v>1010</v>
      </c>
      <c r="C140" s="24">
        <v>14.8878</v>
      </c>
      <c r="D140" s="24">
        <v>14.6257</v>
      </c>
      <c r="E140" s="21"/>
      <c r="F140" s="18"/>
      <c r="G140" s="25"/>
    </row>
    <row r="141" spans="1:7" ht="14.1" customHeight="1" x14ac:dyDescent="0.2">
      <c r="A141" s="21"/>
      <c r="B141" s="21"/>
      <c r="C141" s="21"/>
      <c r="D141" s="21"/>
      <c r="E141" s="21"/>
      <c r="F141" s="21"/>
      <c r="G141" s="21"/>
    </row>
    <row r="142" spans="1:7" ht="17.100000000000001" customHeight="1" x14ac:dyDescent="0.2">
      <c r="A142" s="21"/>
      <c r="B142" s="226" t="s">
        <v>1011</v>
      </c>
      <c r="C142" s="227"/>
      <c r="D142" s="2" t="s">
        <v>176</v>
      </c>
      <c r="E142" s="21"/>
      <c r="F142" s="21"/>
      <c r="G142" s="21"/>
    </row>
    <row r="143" spans="1:7" ht="18" customHeight="1" x14ac:dyDescent="0.2">
      <c r="A143" s="21"/>
      <c r="B143" s="26"/>
      <c r="C143" s="26"/>
      <c r="D143" s="26"/>
      <c r="E143" s="21"/>
      <c r="F143" s="21"/>
      <c r="G143" s="21"/>
    </row>
    <row r="144" spans="1:7" ht="29.1" customHeight="1" x14ac:dyDescent="0.2">
      <c r="A144" s="21"/>
      <c r="B144" s="226" t="s">
        <v>186</v>
      </c>
      <c r="C144" s="227"/>
      <c r="D144" s="2" t="s">
        <v>176</v>
      </c>
      <c r="E144" s="27"/>
      <c r="F144" s="21"/>
      <c r="G144" s="21"/>
    </row>
    <row r="145" spans="1:7" ht="29.1" customHeight="1" x14ac:dyDescent="0.2">
      <c r="A145" s="21"/>
      <c r="B145" s="226" t="s">
        <v>187</v>
      </c>
      <c r="C145" s="227"/>
      <c r="D145" s="2" t="s">
        <v>176</v>
      </c>
      <c r="E145" s="27"/>
      <c r="F145" s="21"/>
      <c r="G145" s="21"/>
    </row>
    <row r="146" spans="1:7" ht="17.100000000000001" customHeight="1" x14ac:dyDescent="0.2">
      <c r="A146" s="21"/>
      <c r="B146" s="226" t="s">
        <v>188</v>
      </c>
      <c r="C146" s="227"/>
      <c r="D146" s="2" t="s">
        <v>176</v>
      </c>
      <c r="E146" s="27"/>
      <c r="F146" s="21"/>
      <c r="G146" s="21"/>
    </row>
    <row r="147" spans="1:7" ht="17.100000000000001" customHeight="1" x14ac:dyDescent="0.2">
      <c r="A147" s="21"/>
      <c r="B147" s="226" t="s">
        <v>189</v>
      </c>
      <c r="C147" s="227"/>
      <c r="D147" s="57">
        <v>0.21619420474927609</v>
      </c>
      <c r="E147" s="21"/>
      <c r="F147" s="18"/>
      <c r="G147" s="25"/>
    </row>
  </sheetData>
  <mergeCells count="16">
    <mergeCell ref="A1:H1"/>
    <mergeCell ref="A2:H2"/>
    <mergeCell ref="A3:H3"/>
    <mergeCell ref="B132:C132"/>
    <mergeCell ref="B127:F127"/>
    <mergeCell ref="B131:D131"/>
    <mergeCell ref="B128:F128"/>
    <mergeCell ref="B129:F129"/>
    <mergeCell ref="J2:N2"/>
    <mergeCell ref="B147:C147"/>
    <mergeCell ref="B133:C133"/>
    <mergeCell ref="B134:C134"/>
    <mergeCell ref="B142:C142"/>
    <mergeCell ref="B144:C144"/>
    <mergeCell ref="B145:C145"/>
    <mergeCell ref="B146:C146"/>
  </mergeCells>
  <hyperlinks>
    <hyperlink ref="I1" location="Index!B29" display="Index" xr:uid="{AC07FC97-7ECC-4A57-9339-45475B3817E2}"/>
  </hyperlinks>
  <pageMargins left="5.000000074505806E-2" right="5.000000074505806E-2" top="0.30000001192092896" bottom="0.20000000298023224" header="0" footer="0"/>
  <pageSetup paperSize="9" orientation="landscape"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N15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2" customWidth="1"/>
  </cols>
  <sheetData>
    <row r="1" spans="1:14" ht="18" customHeight="1" x14ac:dyDescent="0.2">
      <c r="A1" s="221" t="s">
        <v>0</v>
      </c>
      <c r="B1" s="221"/>
      <c r="C1" s="221"/>
      <c r="D1" s="221"/>
      <c r="E1" s="221"/>
      <c r="F1" s="221"/>
      <c r="G1" s="221"/>
      <c r="H1" s="221"/>
      <c r="I1" s="138" t="s">
        <v>1024</v>
      </c>
      <c r="J1" s="54"/>
      <c r="K1" s="54"/>
      <c r="L1" s="54"/>
      <c r="M1" s="54"/>
      <c r="N1" s="54"/>
    </row>
    <row r="2" spans="1:14" ht="17.100000000000001" customHeight="1" x14ac:dyDescent="0.2">
      <c r="A2" s="222" t="s">
        <v>834</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c r="J3" s="54"/>
      <c r="K3" s="54"/>
      <c r="L3" s="54"/>
      <c r="M3" s="54"/>
      <c r="N3" s="54"/>
    </row>
    <row r="4" spans="1:14" s="135" customFormat="1" ht="30" x14ac:dyDescent="0.2">
      <c r="A4" s="134" t="s">
        <v>2</v>
      </c>
      <c r="B4" s="134" t="s">
        <v>3</v>
      </c>
      <c r="C4" s="134" t="s">
        <v>4</v>
      </c>
      <c r="D4" s="134" t="s">
        <v>5</v>
      </c>
      <c r="E4" s="134" t="s">
        <v>6</v>
      </c>
      <c r="F4" s="134" t="s">
        <v>7</v>
      </c>
      <c r="G4" s="134" t="s">
        <v>8</v>
      </c>
      <c r="H4" s="87" t="s">
        <v>971</v>
      </c>
      <c r="J4" s="137"/>
      <c r="K4" s="137"/>
      <c r="L4" s="137"/>
      <c r="M4" s="137"/>
      <c r="N4" s="137"/>
    </row>
    <row r="5" spans="1:14" ht="14.1" customHeight="1" x14ac:dyDescent="0.2">
      <c r="A5" s="1"/>
      <c r="B5" s="1"/>
      <c r="C5" s="2" t="s">
        <v>9</v>
      </c>
      <c r="D5" s="1"/>
      <c r="E5" s="1"/>
      <c r="F5" s="1"/>
      <c r="G5" s="1"/>
      <c r="H5" s="53"/>
      <c r="J5" s="54"/>
      <c r="K5" s="54"/>
      <c r="L5" s="54"/>
      <c r="M5" s="54"/>
      <c r="N5" s="54"/>
    </row>
    <row r="6" spans="1:14" ht="24" customHeight="1" x14ac:dyDescent="0.2">
      <c r="A6" s="1"/>
      <c r="B6" s="1"/>
      <c r="C6" s="2" t="s">
        <v>10</v>
      </c>
      <c r="D6" s="1"/>
      <c r="E6" s="1"/>
      <c r="F6" s="1"/>
      <c r="G6" s="1"/>
      <c r="H6" s="53"/>
      <c r="J6" s="54"/>
      <c r="K6" s="54"/>
      <c r="L6" s="54"/>
      <c r="M6" s="54"/>
      <c r="N6" s="54"/>
    </row>
    <row r="7" spans="1:14" ht="17.100000000000001" customHeight="1" x14ac:dyDescent="0.2">
      <c r="A7" s="3">
        <v>1</v>
      </c>
      <c r="B7" s="4" t="s">
        <v>310</v>
      </c>
      <c r="C7" s="4" t="s">
        <v>311</v>
      </c>
      <c r="D7" s="4" t="s">
        <v>28</v>
      </c>
      <c r="E7" s="5">
        <v>1149759</v>
      </c>
      <c r="F7" s="6">
        <v>18067.887805499999</v>
      </c>
      <c r="G7" s="7">
        <v>8.4373030000000002E-2</v>
      </c>
      <c r="H7" s="53"/>
      <c r="J7" s="54"/>
      <c r="K7" s="54"/>
      <c r="L7" s="54"/>
      <c r="M7" s="54"/>
      <c r="N7" s="54"/>
    </row>
    <row r="8" spans="1:14" ht="17.100000000000001" customHeight="1" x14ac:dyDescent="0.2">
      <c r="A8" s="3">
        <v>2</v>
      </c>
      <c r="B8" s="4" t="s">
        <v>20</v>
      </c>
      <c r="C8" s="4" t="s">
        <v>21</v>
      </c>
      <c r="D8" s="4" t="s">
        <v>22</v>
      </c>
      <c r="E8" s="5">
        <v>548000</v>
      </c>
      <c r="F8" s="6">
        <v>13190.36</v>
      </c>
      <c r="G8" s="7">
        <v>6.1596060000000001E-2</v>
      </c>
      <c r="H8" s="53"/>
      <c r="J8" s="54"/>
      <c r="K8" s="54"/>
      <c r="L8" s="54"/>
      <c r="M8" s="54"/>
      <c r="N8" s="54"/>
    </row>
    <row r="9" spans="1:14" ht="17.100000000000001" customHeight="1" x14ac:dyDescent="0.2">
      <c r="A9" s="3">
        <v>3</v>
      </c>
      <c r="B9" s="4" t="s">
        <v>312</v>
      </c>
      <c r="C9" s="4" t="s">
        <v>313</v>
      </c>
      <c r="D9" s="4" t="s">
        <v>905</v>
      </c>
      <c r="E9" s="5">
        <v>767000</v>
      </c>
      <c r="F9" s="6">
        <v>11009.9015</v>
      </c>
      <c r="G9" s="7">
        <v>5.1413800000000003E-2</v>
      </c>
      <c r="H9" s="53"/>
      <c r="J9" s="54"/>
      <c r="K9" s="54"/>
      <c r="L9" s="54"/>
      <c r="M9" s="54"/>
      <c r="N9" s="54"/>
    </row>
    <row r="10" spans="1:14" ht="17.100000000000001" customHeight="1" x14ac:dyDescent="0.2">
      <c r="A10" s="3">
        <v>4</v>
      </c>
      <c r="B10" s="4" t="s">
        <v>26</v>
      </c>
      <c r="C10" s="4" t="s">
        <v>27</v>
      </c>
      <c r="D10" s="4" t="s">
        <v>28</v>
      </c>
      <c r="E10" s="5">
        <v>980000</v>
      </c>
      <c r="F10" s="6">
        <v>9395.75</v>
      </c>
      <c r="G10" s="7">
        <v>4.3876070000000003E-2</v>
      </c>
      <c r="H10" s="53"/>
      <c r="J10" s="54"/>
      <c r="K10" s="54"/>
      <c r="L10" s="54"/>
      <c r="M10" s="54"/>
      <c r="N10" s="54"/>
    </row>
    <row r="11" spans="1:14" ht="17.100000000000001" customHeight="1" x14ac:dyDescent="0.2">
      <c r="A11" s="3">
        <v>5</v>
      </c>
      <c r="B11" s="4" t="s">
        <v>32</v>
      </c>
      <c r="C11" s="4" t="s">
        <v>33</v>
      </c>
      <c r="D11" s="4" t="s">
        <v>28</v>
      </c>
      <c r="E11" s="5">
        <v>1475000</v>
      </c>
      <c r="F11" s="6">
        <v>8279.9125000000004</v>
      </c>
      <c r="G11" s="7">
        <v>3.8665360000000003E-2</v>
      </c>
      <c r="H11" s="53"/>
      <c r="J11" s="54"/>
      <c r="K11" s="54"/>
      <c r="L11" s="54"/>
      <c r="M11" s="54"/>
      <c r="N11" s="54"/>
    </row>
    <row r="12" spans="1:14" ht="17.100000000000001" customHeight="1" x14ac:dyDescent="0.2">
      <c r="A12" s="3">
        <v>6</v>
      </c>
      <c r="B12" s="4" t="s">
        <v>11</v>
      </c>
      <c r="C12" s="4" t="s">
        <v>12</v>
      </c>
      <c r="D12" s="4" t="s">
        <v>13</v>
      </c>
      <c r="E12" s="5">
        <v>207000</v>
      </c>
      <c r="F12" s="6">
        <v>5594.5889999999999</v>
      </c>
      <c r="G12" s="7">
        <v>2.6125490000000001E-2</v>
      </c>
      <c r="H12" s="53"/>
      <c r="J12" s="54"/>
      <c r="K12" s="54"/>
      <c r="L12" s="54"/>
      <c r="M12" s="54"/>
      <c r="N12" s="54"/>
    </row>
    <row r="13" spans="1:14" ht="17.100000000000001" customHeight="1" x14ac:dyDescent="0.2">
      <c r="A13" s="3">
        <v>7</v>
      </c>
      <c r="B13" s="4" t="s">
        <v>74</v>
      </c>
      <c r="C13" s="4" t="s">
        <v>75</v>
      </c>
      <c r="D13" s="4" t="s">
        <v>41</v>
      </c>
      <c r="E13" s="5">
        <v>1334000</v>
      </c>
      <c r="F13" s="6">
        <v>5221.9430000000002</v>
      </c>
      <c r="G13" s="7">
        <v>2.4385319999999999E-2</v>
      </c>
      <c r="H13" s="53"/>
      <c r="J13" s="142" t="s">
        <v>1060</v>
      </c>
      <c r="L13" s="54"/>
      <c r="M13" s="54"/>
      <c r="N13" s="54"/>
    </row>
    <row r="14" spans="1:14" ht="17.100000000000001" customHeight="1" x14ac:dyDescent="0.2">
      <c r="A14" s="3">
        <v>8</v>
      </c>
      <c r="B14" s="4" t="s">
        <v>329</v>
      </c>
      <c r="C14" s="4" t="s">
        <v>330</v>
      </c>
      <c r="D14" s="4" t="s">
        <v>331</v>
      </c>
      <c r="E14" s="5">
        <v>1150000</v>
      </c>
      <c r="F14" s="6">
        <v>5056.55</v>
      </c>
      <c r="G14" s="7">
        <v>2.361297E-2</v>
      </c>
      <c r="H14" s="53"/>
      <c r="J14" s="54"/>
      <c r="K14" s="54"/>
      <c r="L14" s="54"/>
      <c r="M14" s="54"/>
      <c r="N14" s="54"/>
    </row>
    <row r="15" spans="1:14" ht="17.100000000000001" customHeight="1" x14ac:dyDescent="0.2">
      <c r="A15" s="3">
        <v>9</v>
      </c>
      <c r="B15" s="4" t="s">
        <v>342</v>
      </c>
      <c r="C15" s="4" t="s">
        <v>343</v>
      </c>
      <c r="D15" s="4" t="s">
        <v>130</v>
      </c>
      <c r="E15" s="5">
        <v>65000</v>
      </c>
      <c r="F15" s="6">
        <v>4655.95</v>
      </c>
      <c r="G15" s="7">
        <v>2.1742250000000001E-2</v>
      </c>
      <c r="H15" s="53"/>
      <c r="J15" s="54"/>
      <c r="K15" s="54"/>
      <c r="L15" s="54"/>
      <c r="M15" s="54"/>
      <c r="N15" s="54"/>
    </row>
    <row r="16" spans="1:14" ht="17.100000000000001" customHeight="1" x14ac:dyDescent="0.2">
      <c r="A16" s="3">
        <v>10</v>
      </c>
      <c r="B16" s="4" t="s">
        <v>314</v>
      </c>
      <c r="C16" s="4" t="s">
        <v>315</v>
      </c>
      <c r="D16" s="4" t="s">
        <v>28</v>
      </c>
      <c r="E16" s="5">
        <v>443000</v>
      </c>
      <c r="F16" s="6">
        <v>4312.6049999999996</v>
      </c>
      <c r="G16" s="7">
        <v>2.0138909999999999E-2</v>
      </c>
      <c r="H16" s="53"/>
      <c r="J16" s="54"/>
      <c r="K16" s="54"/>
      <c r="L16" s="54"/>
      <c r="M16" s="54"/>
      <c r="N16" s="54"/>
    </row>
    <row r="17" spans="1:14" ht="17.100000000000001" customHeight="1" x14ac:dyDescent="0.2">
      <c r="A17" s="3">
        <v>11</v>
      </c>
      <c r="B17" s="4" t="s">
        <v>336</v>
      </c>
      <c r="C17" s="4" t="s">
        <v>337</v>
      </c>
      <c r="D17" s="4" t="s">
        <v>331</v>
      </c>
      <c r="E17" s="5">
        <v>166000</v>
      </c>
      <c r="F17" s="6">
        <v>4158.3829999999998</v>
      </c>
      <c r="G17" s="7">
        <v>1.9418729999999999E-2</v>
      </c>
      <c r="H17" s="53"/>
      <c r="J17" s="54"/>
      <c r="K17" s="54"/>
      <c r="L17" s="54"/>
      <c r="M17" s="54"/>
      <c r="N17" s="54"/>
    </row>
    <row r="18" spans="1:14" ht="17.100000000000001" customHeight="1" x14ac:dyDescent="0.2">
      <c r="A18" s="3">
        <v>12</v>
      </c>
      <c r="B18" s="4" t="s">
        <v>322</v>
      </c>
      <c r="C18" s="4" t="s">
        <v>323</v>
      </c>
      <c r="D18" s="4" t="s">
        <v>28</v>
      </c>
      <c r="E18" s="5">
        <v>298000</v>
      </c>
      <c r="F18" s="6">
        <v>4106.8869999999997</v>
      </c>
      <c r="G18" s="7">
        <v>1.9178250000000001E-2</v>
      </c>
      <c r="H18" s="53"/>
      <c r="J18" s="54"/>
      <c r="K18" s="54"/>
      <c r="L18" s="54"/>
      <c r="M18" s="54"/>
      <c r="N18" s="54"/>
    </row>
    <row r="19" spans="1:14" ht="29.1" customHeight="1" x14ac:dyDescent="0.2">
      <c r="A19" s="3">
        <v>13</v>
      </c>
      <c r="B19" s="4" t="s">
        <v>316</v>
      </c>
      <c r="C19" s="4" t="s">
        <v>317</v>
      </c>
      <c r="D19" s="4" t="s">
        <v>224</v>
      </c>
      <c r="E19" s="5">
        <v>360000</v>
      </c>
      <c r="F19" s="6">
        <v>4001.76</v>
      </c>
      <c r="G19" s="7">
        <v>1.8687329999999999E-2</v>
      </c>
      <c r="H19" s="53"/>
      <c r="J19" s="54"/>
      <c r="K19" s="54"/>
      <c r="L19" s="54"/>
      <c r="M19" s="54"/>
      <c r="N19" s="54"/>
    </row>
    <row r="20" spans="1:14" ht="17.100000000000001" customHeight="1" x14ac:dyDescent="0.2">
      <c r="A20" s="3">
        <v>14</v>
      </c>
      <c r="B20" s="4" t="s">
        <v>318</v>
      </c>
      <c r="C20" s="4" t="s">
        <v>319</v>
      </c>
      <c r="D20" s="4" t="s">
        <v>905</v>
      </c>
      <c r="E20" s="5">
        <v>119000</v>
      </c>
      <c r="F20" s="6">
        <v>3994.5920000000001</v>
      </c>
      <c r="G20" s="7">
        <v>1.8653860000000001E-2</v>
      </c>
      <c r="H20" s="53"/>
      <c r="J20" s="54"/>
      <c r="K20" s="54"/>
      <c r="L20" s="54"/>
      <c r="M20" s="54"/>
      <c r="N20" s="54"/>
    </row>
    <row r="21" spans="1:14" ht="53.1" customHeight="1" x14ac:dyDescent="0.2">
      <c r="A21" s="3">
        <v>15</v>
      </c>
      <c r="B21" s="4" t="s">
        <v>66</v>
      </c>
      <c r="C21" s="4" t="s">
        <v>67</v>
      </c>
      <c r="D21" s="4" t="s">
        <v>68</v>
      </c>
      <c r="E21" s="5">
        <v>2126000</v>
      </c>
      <c r="F21" s="6">
        <v>3908.6509999999998</v>
      </c>
      <c r="G21" s="7">
        <v>1.8252529999999999E-2</v>
      </c>
      <c r="H21" s="53"/>
      <c r="K21" s="54"/>
      <c r="L21" s="54"/>
      <c r="M21" s="54"/>
      <c r="N21" s="54"/>
    </row>
    <row r="22" spans="1:14" ht="17.100000000000001" customHeight="1" x14ac:dyDescent="0.2">
      <c r="A22" s="3">
        <v>16</v>
      </c>
      <c r="B22" s="4" t="s">
        <v>106</v>
      </c>
      <c r="C22" s="4" t="s">
        <v>107</v>
      </c>
      <c r="D22" s="4" t="s">
        <v>108</v>
      </c>
      <c r="E22" s="5">
        <v>38000</v>
      </c>
      <c r="F22" s="6">
        <v>3801.444</v>
      </c>
      <c r="G22" s="7">
        <v>1.7751900000000001E-2</v>
      </c>
      <c r="H22" s="53"/>
      <c r="J22" s="142" t="s">
        <v>1061</v>
      </c>
      <c r="K22" s="54"/>
      <c r="L22" s="54"/>
      <c r="M22" s="54"/>
      <c r="N22" s="54"/>
    </row>
    <row r="23" spans="1:14" ht="17.100000000000001" customHeight="1" x14ac:dyDescent="0.2">
      <c r="A23" s="3">
        <v>17</v>
      </c>
      <c r="B23" s="4" t="s">
        <v>46</v>
      </c>
      <c r="C23" s="4" t="s">
        <v>47</v>
      </c>
      <c r="D23" s="4" t="s">
        <v>31</v>
      </c>
      <c r="E23" s="5">
        <v>63000</v>
      </c>
      <c r="F23" s="6">
        <v>3227.5214999999998</v>
      </c>
      <c r="G23" s="7">
        <v>1.507181E-2</v>
      </c>
      <c r="H23" s="53"/>
      <c r="J23" s="54"/>
      <c r="K23" s="54"/>
      <c r="L23" s="54"/>
      <c r="M23" s="54"/>
      <c r="N23" s="54"/>
    </row>
    <row r="24" spans="1:14" ht="29.1" customHeight="1" x14ac:dyDescent="0.2">
      <c r="A24" s="3">
        <v>18</v>
      </c>
      <c r="B24" s="4" t="s">
        <v>23</v>
      </c>
      <c r="C24" s="4" t="s">
        <v>24</v>
      </c>
      <c r="D24" s="4" t="s">
        <v>25</v>
      </c>
      <c r="E24" s="5">
        <v>38000</v>
      </c>
      <c r="F24" s="6">
        <v>3153.0309999999999</v>
      </c>
      <c r="G24" s="7">
        <v>1.4723959999999999E-2</v>
      </c>
      <c r="H24" s="53"/>
      <c r="J24" s="54"/>
      <c r="K24" s="54"/>
      <c r="L24" s="54"/>
      <c r="M24" s="54"/>
      <c r="N24" s="54"/>
    </row>
    <row r="25" spans="1:14" ht="17.100000000000001" customHeight="1" x14ac:dyDescent="0.2">
      <c r="A25" s="3">
        <v>19</v>
      </c>
      <c r="B25" s="4" t="s">
        <v>340</v>
      </c>
      <c r="C25" s="4" t="s">
        <v>341</v>
      </c>
      <c r="D25" s="4" t="s">
        <v>905</v>
      </c>
      <c r="E25" s="5">
        <v>60000</v>
      </c>
      <c r="F25" s="6">
        <v>3116.04</v>
      </c>
      <c r="G25" s="7">
        <v>1.455122E-2</v>
      </c>
      <c r="H25" s="53"/>
      <c r="J25" s="54"/>
      <c r="K25" s="54"/>
      <c r="L25" s="54"/>
      <c r="M25" s="54"/>
      <c r="N25" s="54"/>
    </row>
    <row r="26" spans="1:14" ht="17.100000000000001" customHeight="1" x14ac:dyDescent="0.2">
      <c r="A26" s="3">
        <v>20</v>
      </c>
      <c r="B26" s="4" t="s">
        <v>81</v>
      </c>
      <c r="C26" s="4" t="s">
        <v>82</v>
      </c>
      <c r="D26" s="4" t="s">
        <v>59</v>
      </c>
      <c r="E26" s="5">
        <v>127000</v>
      </c>
      <c r="F26" s="6">
        <v>3092.45</v>
      </c>
      <c r="G26" s="7">
        <v>1.444106E-2</v>
      </c>
      <c r="H26" s="53"/>
      <c r="J26" s="54"/>
      <c r="K26" s="54"/>
      <c r="L26" s="54"/>
      <c r="M26" s="54"/>
      <c r="N26" s="54"/>
    </row>
    <row r="27" spans="1:14" ht="29.1" customHeight="1" x14ac:dyDescent="0.2">
      <c r="A27" s="3">
        <v>21</v>
      </c>
      <c r="B27" s="4" t="s">
        <v>210</v>
      </c>
      <c r="C27" s="4" t="s">
        <v>211</v>
      </c>
      <c r="D27" s="4" t="s">
        <v>130</v>
      </c>
      <c r="E27" s="5">
        <v>269000</v>
      </c>
      <c r="F27" s="6">
        <v>3017.7764999999999</v>
      </c>
      <c r="G27" s="7">
        <v>1.409235E-2</v>
      </c>
      <c r="H27" s="53"/>
      <c r="J27" s="54"/>
      <c r="K27" s="54"/>
      <c r="L27" s="54"/>
      <c r="M27" s="54"/>
      <c r="N27" s="54"/>
    </row>
    <row r="28" spans="1:14" ht="17.100000000000001" customHeight="1" x14ac:dyDescent="0.2">
      <c r="A28" s="3">
        <v>22</v>
      </c>
      <c r="B28" s="4" t="s">
        <v>501</v>
      </c>
      <c r="C28" s="4" t="s">
        <v>502</v>
      </c>
      <c r="D28" s="4" t="s">
        <v>397</v>
      </c>
      <c r="E28" s="5">
        <v>50000</v>
      </c>
      <c r="F28" s="6">
        <v>2925.2249999999999</v>
      </c>
      <c r="G28" s="7">
        <v>1.3660149999999999E-2</v>
      </c>
      <c r="H28" s="53"/>
    </row>
    <row r="29" spans="1:14" ht="29.1" customHeight="1" x14ac:dyDescent="0.2">
      <c r="A29" s="3">
        <v>23</v>
      </c>
      <c r="B29" s="4" t="s">
        <v>320</v>
      </c>
      <c r="C29" s="4" t="s">
        <v>321</v>
      </c>
      <c r="D29" s="4" t="s">
        <v>224</v>
      </c>
      <c r="E29" s="5">
        <v>52000</v>
      </c>
      <c r="F29" s="6">
        <v>2916.0819999999999</v>
      </c>
      <c r="G29" s="7">
        <v>1.361746E-2</v>
      </c>
      <c r="H29" s="53"/>
    </row>
    <row r="30" spans="1:14" ht="29.1" customHeight="1" x14ac:dyDescent="0.2">
      <c r="A30" s="3">
        <v>24</v>
      </c>
      <c r="B30" s="4" t="s">
        <v>64</v>
      </c>
      <c r="C30" s="4" t="s">
        <v>65</v>
      </c>
      <c r="D30" s="4" t="s">
        <v>25</v>
      </c>
      <c r="E30" s="5">
        <v>138137</v>
      </c>
      <c r="F30" s="6">
        <v>2880.2255184999999</v>
      </c>
      <c r="G30" s="7">
        <v>1.345001E-2</v>
      </c>
      <c r="H30" s="53"/>
    </row>
    <row r="31" spans="1:14" ht="17.100000000000001" customHeight="1" x14ac:dyDescent="0.2">
      <c r="A31" s="3">
        <v>25</v>
      </c>
      <c r="B31" s="4" t="s">
        <v>219</v>
      </c>
      <c r="C31" s="4" t="s">
        <v>220</v>
      </c>
      <c r="D31" s="4" t="s">
        <v>221</v>
      </c>
      <c r="E31" s="5">
        <v>296000</v>
      </c>
      <c r="F31" s="6">
        <v>2763.752</v>
      </c>
      <c r="G31" s="7">
        <v>1.290611E-2</v>
      </c>
      <c r="H31" s="53"/>
    </row>
    <row r="32" spans="1:14" ht="17.100000000000001" customHeight="1" x14ac:dyDescent="0.2">
      <c r="A32" s="3">
        <v>26</v>
      </c>
      <c r="B32" s="4" t="s">
        <v>391</v>
      </c>
      <c r="C32" s="4" t="s">
        <v>392</v>
      </c>
      <c r="D32" s="4" t="s">
        <v>130</v>
      </c>
      <c r="E32" s="5">
        <v>352000</v>
      </c>
      <c r="F32" s="6">
        <v>2644.752</v>
      </c>
      <c r="G32" s="7">
        <v>1.2350409999999999E-2</v>
      </c>
      <c r="H32" s="53"/>
    </row>
    <row r="33" spans="1:8" ht="29.1" customHeight="1" x14ac:dyDescent="0.2">
      <c r="A33" s="3">
        <v>27</v>
      </c>
      <c r="B33" s="4" t="s">
        <v>374</v>
      </c>
      <c r="C33" s="4" t="s">
        <v>375</v>
      </c>
      <c r="D33" s="4" t="s">
        <v>224</v>
      </c>
      <c r="E33" s="5">
        <v>210000</v>
      </c>
      <c r="F33" s="6">
        <v>2640.96</v>
      </c>
      <c r="G33" s="7">
        <v>1.23327E-2</v>
      </c>
      <c r="H33" s="53"/>
    </row>
    <row r="34" spans="1:8" ht="29.1" customHeight="1" x14ac:dyDescent="0.2">
      <c r="A34" s="3">
        <v>28</v>
      </c>
      <c r="B34" s="4" t="s">
        <v>536</v>
      </c>
      <c r="C34" s="4" t="s">
        <v>537</v>
      </c>
      <c r="D34" s="4" t="s">
        <v>481</v>
      </c>
      <c r="E34" s="5">
        <v>1600000</v>
      </c>
      <c r="F34" s="6">
        <v>2611.1999999999998</v>
      </c>
      <c r="G34" s="7">
        <v>1.219373E-2</v>
      </c>
      <c r="H34" s="53"/>
    </row>
    <row r="35" spans="1:8" ht="17.100000000000001" customHeight="1" x14ac:dyDescent="0.2">
      <c r="A35" s="3">
        <v>29</v>
      </c>
      <c r="B35" s="4" t="s">
        <v>191</v>
      </c>
      <c r="C35" s="4" t="s">
        <v>192</v>
      </c>
      <c r="D35" s="4" t="s">
        <v>28</v>
      </c>
      <c r="E35" s="5">
        <v>1704588</v>
      </c>
      <c r="F35" s="6">
        <v>2453.754426</v>
      </c>
      <c r="G35" s="7">
        <v>1.145849E-2</v>
      </c>
      <c r="H35" s="53"/>
    </row>
    <row r="36" spans="1:8" ht="17.100000000000001" customHeight="1" x14ac:dyDescent="0.2">
      <c r="A36" s="3">
        <v>30</v>
      </c>
      <c r="B36" s="4" t="s">
        <v>109</v>
      </c>
      <c r="C36" s="4" t="s">
        <v>110</v>
      </c>
      <c r="D36" s="4" t="s">
        <v>87</v>
      </c>
      <c r="E36" s="5">
        <v>355000</v>
      </c>
      <c r="F36" s="6">
        <v>2432.105</v>
      </c>
      <c r="G36" s="7">
        <v>1.135739E-2</v>
      </c>
      <c r="H36" s="53"/>
    </row>
    <row r="37" spans="1:8" ht="17.100000000000001" customHeight="1" x14ac:dyDescent="0.2">
      <c r="A37" s="3">
        <v>31</v>
      </c>
      <c r="B37" s="4" t="s">
        <v>346</v>
      </c>
      <c r="C37" s="4" t="s">
        <v>347</v>
      </c>
      <c r="D37" s="4" t="s">
        <v>108</v>
      </c>
      <c r="E37" s="5">
        <v>399000</v>
      </c>
      <c r="F37" s="6">
        <v>2397.9899999999998</v>
      </c>
      <c r="G37" s="7">
        <v>1.1198079999999999E-2</v>
      </c>
      <c r="H37" s="53"/>
    </row>
    <row r="38" spans="1:8" ht="17.100000000000001" customHeight="1" x14ac:dyDescent="0.2">
      <c r="A38" s="3">
        <v>32</v>
      </c>
      <c r="B38" s="4" t="s">
        <v>334</v>
      </c>
      <c r="C38" s="4" t="s">
        <v>335</v>
      </c>
      <c r="D38" s="4" t="s">
        <v>73</v>
      </c>
      <c r="E38" s="5">
        <v>77000</v>
      </c>
      <c r="F38" s="6">
        <v>2390.4265</v>
      </c>
      <c r="G38" s="7">
        <v>1.1162760000000001E-2</v>
      </c>
      <c r="H38" s="53"/>
    </row>
    <row r="39" spans="1:8" ht="29.1" customHeight="1" x14ac:dyDescent="0.2">
      <c r="A39" s="3">
        <v>33</v>
      </c>
      <c r="B39" s="4" t="s">
        <v>241</v>
      </c>
      <c r="C39" s="4" t="s">
        <v>242</v>
      </c>
      <c r="D39" s="4" t="s">
        <v>224</v>
      </c>
      <c r="E39" s="5">
        <v>64000</v>
      </c>
      <c r="F39" s="6">
        <v>2331.424</v>
      </c>
      <c r="G39" s="7">
        <v>1.0887229999999999E-2</v>
      </c>
      <c r="H39" s="53"/>
    </row>
    <row r="40" spans="1:8" ht="17.100000000000001" customHeight="1" x14ac:dyDescent="0.2">
      <c r="A40" s="3">
        <v>34</v>
      </c>
      <c r="B40" s="4" t="s">
        <v>395</v>
      </c>
      <c r="C40" s="4" t="s">
        <v>396</v>
      </c>
      <c r="D40" s="4" t="s">
        <v>397</v>
      </c>
      <c r="E40" s="5">
        <v>137756</v>
      </c>
      <c r="F40" s="6">
        <v>2325.6656699999999</v>
      </c>
      <c r="G40" s="7">
        <v>1.086034E-2</v>
      </c>
      <c r="H40" s="53"/>
    </row>
    <row r="41" spans="1:8" ht="17.100000000000001" customHeight="1" x14ac:dyDescent="0.2">
      <c r="A41" s="3">
        <v>35</v>
      </c>
      <c r="B41" s="4" t="s">
        <v>279</v>
      </c>
      <c r="C41" s="4" t="s">
        <v>280</v>
      </c>
      <c r="D41" s="4" t="s">
        <v>281</v>
      </c>
      <c r="E41" s="5">
        <v>152000</v>
      </c>
      <c r="F41" s="6">
        <v>2305.232</v>
      </c>
      <c r="G41" s="7">
        <v>1.0764920000000001E-2</v>
      </c>
      <c r="H41" s="53"/>
    </row>
    <row r="42" spans="1:8" ht="29.1" customHeight="1" x14ac:dyDescent="0.2">
      <c r="A42" s="3">
        <v>36</v>
      </c>
      <c r="B42" s="4" t="s">
        <v>738</v>
      </c>
      <c r="C42" s="4" t="s">
        <v>739</v>
      </c>
      <c r="D42" s="4" t="s">
        <v>224</v>
      </c>
      <c r="E42" s="5">
        <v>276000</v>
      </c>
      <c r="F42" s="6">
        <v>2290.8000000000002</v>
      </c>
      <c r="G42" s="7">
        <v>1.069753E-2</v>
      </c>
      <c r="H42" s="53"/>
    </row>
    <row r="43" spans="1:8" ht="29.1" customHeight="1" x14ac:dyDescent="0.2">
      <c r="A43" s="3">
        <v>37</v>
      </c>
      <c r="B43" s="4" t="s">
        <v>542</v>
      </c>
      <c r="C43" s="4" t="s">
        <v>543</v>
      </c>
      <c r="D43" s="4" t="s">
        <v>544</v>
      </c>
      <c r="E43" s="5">
        <v>600000</v>
      </c>
      <c r="F43" s="6">
        <v>2289.9</v>
      </c>
      <c r="G43" s="7">
        <v>1.0693329999999999E-2</v>
      </c>
      <c r="H43" s="53"/>
    </row>
    <row r="44" spans="1:8" ht="17.100000000000001" customHeight="1" x14ac:dyDescent="0.2">
      <c r="A44" s="3">
        <v>38</v>
      </c>
      <c r="B44" s="4" t="s">
        <v>736</v>
      </c>
      <c r="C44" s="4" t="s">
        <v>737</v>
      </c>
      <c r="D44" s="4" t="s">
        <v>238</v>
      </c>
      <c r="E44" s="5">
        <v>10000</v>
      </c>
      <c r="F44" s="6">
        <v>2198.64</v>
      </c>
      <c r="G44" s="7">
        <v>1.0267159999999999E-2</v>
      </c>
      <c r="H44" s="53"/>
    </row>
    <row r="45" spans="1:8" ht="17.100000000000001" customHeight="1" x14ac:dyDescent="0.2">
      <c r="A45" s="3">
        <v>39</v>
      </c>
      <c r="B45" s="4" t="s">
        <v>255</v>
      </c>
      <c r="C45" s="4" t="s">
        <v>256</v>
      </c>
      <c r="D45" s="4" t="s">
        <v>206</v>
      </c>
      <c r="E45" s="5">
        <v>50000</v>
      </c>
      <c r="F45" s="6">
        <v>2165.75</v>
      </c>
      <c r="G45" s="7">
        <v>1.0113570000000001E-2</v>
      </c>
      <c r="H45" s="53"/>
    </row>
    <row r="46" spans="1:8" ht="17.100000000000001" customHeight="1" x14ac:dyDescent="0.2">
      <c r="A46" s="3">
        <v>40</v>
      </c>
      <c r="B46" s="4" t="s">
        <v>497</v>
      </c>
      <c r="C46" s="4" t="s">
        <v>498</v>
      </c>
      <c r="D46" s="4" t="s">
        <v>397</v>
      </c>
      <c r="E46" s="5">
        <v>340000</v>
      </c>
      <c r="F46" s="6">
        <v>2124.4899999999998</v>
      </c>
      <c r="G46" s="7">
        <v>9.9208999999999999E-3</v>
      </c>
      <c r="H46" s="53"/>
    </row>
    <row r="47" spans="1:8" ht="17.100000000000001" customHeight="1" x14ac:dyDescent="0.2">
      <c r="A47" s="3">
        <v>41</v>
      </c>
      <c r="B47" s="4" t="s">
        <v>352</v>
      </c>
      <c r="C47" s="4" t="s">
        <v>353</v>
      </c>
      <c r="D47" s="4" t="s">
        <v>95</v>
      </c>
      <c r="E47" s="5">
        <v>1625000</v>
      </c>
      <c r="F47" s="6">
        <v>1997.125</v>
      </c>
      <c r="G47" s="7">
        <v>9.3261300000000002E-3</v>
      </c>
      <c r="H47" s="53"/>
    </row>
    <row r="48" spans="1:8" ht="17.100000000000001" customHeight="1" x14ac:dyDescent="0.2">
      <c r="A48" s="3">
        <v>42</v>
      </c>
      <c r="B48" s="4" t="s">
        <v>746</v>
      </c>
      <c r="C48" s="4" t="s">
        <v>747</v>
      </c>
      <c r="D48" s="4" t="s">
        <v>209</v>
      </c>
      <c r="E48" s="5">
        <v>140000</v>
      </c>
      <c r="F48" s="6">
        <v>1877.61</v>
      </c>
      <c r="G48" s="7">
        <v>8.7680199999999996E-3</v>
      </c>
      <c r="H48" s="53"/>
    </row>
    <row r="49" spans="1:8" ht="29.1" customHeight="1" x14ac:dyDescent="0.2">
      <c r="A49" s="3">
        <v>43</v>
      </c>
      <c r="B49" s="4" t="s">
        <v>344</v>
      </c>
      <c r="C49" s="4" t="s">
        <v>345</v>
      </c>
      <c r="D49" s="4" t="s">
        <v>224</v>
      </c>
      <c r="E49" s="5">
        <v>52000</v>
      </c>
      <c r="F49" s="6">
        <v>1867.8920000000001</v>
      </c>
      <c r="G49" s="7">
        <v>8.7226400000000003E-3</v>
      </c>
      <c r="H49" s="53"/>
    </row>
    <row r="50" spans="1:8" ht="17.100000000000001" customHeight="1" x14ac:dyDescent="0.2">
      <c r="A50" s="3">
        <v>44</v>
      </c>
      <c r="B50" s="4" t="s">
        <v>17</v>
      </c>
      <c r="C50" s="4" t="s">
        <v>18</v>
      </c>
      <c r="D50" s="4" t="s">
        <v>19</v>
      </c>
      <c r="E50" s="5">
        <v>840000</v>
      </c>
      <c r="F50" s="6">
        <v>1850.52</v>
      </c>
      <c r="G50" s="7">
        <v>8.6415199999999998E-3</v>
      </c>
      <c r="H50" s="53"/>
    </row>
    <row r="51" spans="1:8" ht="17.100000000000001" customHeight="1" x14ac:dyDescent="0.2">
      <c r="A51" s="3">
        <v>45</v>
      </c>
      <c r="B51" s="4" t="s">
        <v>14</v>
      </c>
      <c r="C51" s="4" t="s">
        <v>15</v>
      </c>
      <c r="D51" s="4" t="s">
        <v>16</v>
      </c>
      <c r="E51" s="5">
        <v>215000</v>
      </c>
      <c r="F51" s="6">
        <v>1841.26</v>
      </c>
      <c r="G51" s="7">
        <v>8.5982799999999998E-3</v>
      </c>
      <c r="H51" s="53"/>
    </row>
    <row r="52" spans="1:8" ht="17.100000000000001" customHeight="1" x14ac:dyDescent="0.2">
      <c r="A52" s="3">
        <v>46</v>
      </c>
      <c r="B52" s="4" t="s">
        <v>324</v>
      </c>
      <c r="C52" s="4" t="s">
        <v>325</v>
      </c>
      <c r="D52" s="4" t="s">
        <v>229</v>
      </c>
      <c r="E52" s="5">
        <v>436000</v>
      </c>
      <c r="F52" s="6">
        <v>1835.124</v>
      </c>
      <c r="G52" s="7">
        <v>8.56962E-3</v>
      </c>
      <c r="H52" s="53"/>
    </row>
    <row r="53" spans="1:8" ht="17.100000000000001" customHeight="1" x14ac:dyDescent="0.2">
      <c r="A53" s="3">
        <v>47</v>
      </c>
      <c r="B53" s="4" t="s">
        <v>354</v>
      </c>
      <c r="C53" s="4" t="s">
        <v>355</v>
      </c>
      <c r="D53" s="4" t="s">
        <v>73</v>
      </c>
      <c r="E53" s="5">
        <v>51000</v>
      </c>
      <c r="F53" s="6">
        <v>1660.6110000000001</v>
      </c>
      <c r="G53" s="7">
        <v>7.7546899999999998E-3</v>
      </c>
      <c r="H53" s="53"/>
    </row>
    <row r="54" spans="1:8" ht="17.100000000000001" customHeight="1" x14ac:dyDescent="0.2">
      <c r="A54" s="3">
        <v>48</v>
      </c>
      <c r="B54" s="4" t="s">
        <v>524</v>
      </c>
      <c r="C54" s="4" t="s">
        <v>525</v>
      </c>
      <c r="D54" s="4" t="s">
        <v>397</v>
      </c>
      <c r="E54" s="5">
        <v>150000</v>
      </c>
      <c r="F54" s="6">
        <v>1615.5</v>
      </c>
      <c r="G54" s="7">
        <v>7.5440300000000002E-3</v>
      </c>
      <c r="H54" s="53"/>
    </row>
    <row r="55" spans="1:8" ht="17.100000000000001" customHeight="1" x14ac:dyDescent="0.2">
      <c r="A55" s="3">
        <v>49</v>
      </c>
      <c r="B55" s="4" t="s">
        <v>57</v>
      </c>
      <c r="C55" s="4" t="s">
        <v>58</v>
      </c>
      <c r="D55" s="4" t="s">
        <v>59</v>
      </c>
      <c r="E55" s="5">
        <v>240000</v>
      </c>
      <c r="F55" s="6">
        <v>1613.76</v>
      </c>
      <c r="G55" s="7">
        <v>7.5358999999999999E-3</v>
      </c>
      <c r="H55" s="53"/>
    </row>
    <row r="56" spans="1:8" ht="17.100000000000001" customHeight="1" x14ac:dyDescent="0.2">
      <c r="A56" s="3">
        <v>50</v>
      </c>
      <c r="B56" s="4" t="s">
        <v>393</v>
      </c>
      <c r="C56" s="4" t="s">
        <v>394</v>
      </c>
      <c r="D56" s="4" t="s">
        <v>229</v>
      </c>
      <c r="E56" s="5">
        <v>111000</v>
      </c>
      <c r="F56" s="6">
        <v>1582.1385</v>
      </c>
      <c r="G56" s="7">
        <v>7.3882399999999999E-3</v>
      </c>
      <c r="H56" s="53"/>
    </row>
    <row r="57" spans="1:8" ht="17.100000000000001" customHeight="1" x14ac:dyDescent="0.2">
      <c r="A57" s="3">
        <v>51</v>
      </c>
      <c r="B57" s="4" t="s">
        <v>565</v>
      </c>
      <c r="C57" s="4" t="s">
        <v>566</v>
      </c>
      <c r="D57" s="4" t="s">
        <v>905</v>
      </c>
      <c r="E57" s="5">
        <v>129000</v>
      </c>
      <c r="F57" s="6">
        <v>1550.5155</v>
      </c>
      <c r="G57" s="7">
        <v>7.2405600000000001E-3</v>
      </c>
      <c r="H57" s="53"/>
    </row>
    <row r="58" spans="1:8" ht="17.100000000000001" customHeight="1" x14ac:dyDescent="0.2">
      <c r="A58" s="3">
        <v>52</v>
      </c>
      <c r="B58" s="4" t="s">
        <v>721</v>
      </c>
      <c r="C58" s="4" t="s">
        <v>722</v>
      </c>
      <c r="D58" s="4" t="s">
        <v>41</v>
      </c>
      <c r="E58" s="5">
        <v>348738</v>
      </c>
      <c r="F58" s="6">
        <v>1537.9345800000001</v>
      </c>
      <c r="G58" s="7">
        <v>7.1818100000000003E-3</v>
      </c>
      <c r="H58" s="53"/>
    </row>
    <row r="59" spans="1:8" ht="17.100000000000001" customHeight="1" x14ac:dyDescent="0.2">
      <c r="A59" s="3">
        <v>53</v>
      </c>
      <c r="B59" s="4" t="s">
        <v>350</v>
      </c>
      <c r="C59" s="4" t="s">
        <v>351</v>
      </c>
      <c r="D59" s="4" t="s">
        <v>206</v>
      </c>
      <c r="E59" s="5">
        <v>40000</v>
      </c>
      <c r="F59" s="6">
        <v>1488.16</v>
      </c>
      <c r="G59" s="7">
        <v>6.9493799999999998E-3</v>
      </c>
      <c r="H59" s="53"/>
    </row>
    <row r="60" spans="1:8" ht="17.100000000000001" customHeight="1" x14ac:dyDescent="0.2">
      <c r="A60" s="3">
        <v>54</v>
      </c>
      <c r="B60" s="4" t="s">
        <v>356</v>
      </c>
      <c r="C60" s="4" t="s">
        <v>357</v>
      </c>
      <c r="D60" s="4" t="s">
        <v>59</v>
      </c>
      <c r="E60" s="5">
        <v>104000</v>
      </c>
      <c r="F60" s="6">
        <v>1460.992</v>
      </c>
      <c r="G60" s="7">
        <v>6.8225100000000004E-3</v>
      </c>
      <c r="H60" s="53"/>
    </row>
    <row r="61" spans="1:8" ht="17.100000000000001" customHeight="1" x14ac:dyDescent="0.2">
      <c r="A61" s="3">
        <v>55</v>
      </c>
      <c r="B61" s="4" t="s">
        <v>227</v>
      </c>
      <c r="C61" s="4" t="s">
        <v>228</v>
      </c>
      <c r="D61" s="4" t="s">
        <v>229</v>
      </c>
      <c r="E61" s="5">
        <v>285000</v>
      </c>
      <c r="F61" s="6">
        <v>1459.3425</v>
      </c>
      <c r="G61" s="7">
        <v>6.8148100000000001E-3</v>
      </c>
      <c r="H61" s="53"/>
    </row>
    <row r="62" spans="1:8" ht="17.100000000000001" customHeight="1" x14ac:dyDescent="0.2">
      <c r="A62" s="3">
        <v>56</v>
      </c>
      <c r="B62" s="4" t="s">
        <v>512</v>
      </c>
      <c r="C62" s="4" t="s">
        <v>513</v>
      </c>
      <c r="D62" s="4" t="s">
        <v>286</v>
      </c>
      <c r="E62" s="5">
        <v>26000</v>
      </c>
      <c r="F62" s="6">
        <v>1449.5129999999999</v>
      </c>
      <c r="G62" s="7">
        <v>6.7688999999999996E-3</v>
      </c>
      <c r="H62" s="53"/>
    </row>
    <row r="63" spans="1:8" ht="17.100000000000001" customHeight="1" x14ac:dyDescent="0.2">
      <c r="A63" s="3">
        <v>57</v>
      </c>
      <c r="B63" s="4" t="s">
        <v>400</v>
      </c>
      <c r="C63" s="4" t="s">
        <v>401</v>
      </c>
      <c r="D63" s="4" t="s">
        <v>73</v>
      </c>
      <c r="E63" s="5">
        <v>119455</v>
      </c>
      <c r="F63" s="6">
        <v>1448.152965</v>
      </c>
      <c r="G63" s="7">
        <v>6.76255E-3</v>
      </c>
      <c r="H63" s="53"/>
    </row>
    <row r="64" spans="1:8" ht="17.100000000000001" customHeight="1" x14ac:dyDescent="0.2">
      <c r="A64" s="3">
        <v>58</v>
      </c>
      <c r="B64" s="4" t="s">
        <v>338</v>
      </c>
      <c r="C64" s="4" t="s">
        <v>339</v>
      </c>
      <c r="D64" s="4" t="s">
        <v>28</v>
      </c>
      <c r="E64" s="5">
        <v>408000</v>
      </c>
      <c r="F64" s="6">
        <v>1307.232</v>
      </c>
      <c r="G64" s="7">
        <v>6.1044799999999998E-3</v>
      </c>
      <c r="H64" s="53"/>
    </row>
    <row r="65" spans="1:8" ht="17.100000000000001" customHeight="1" x14ac:dyDescent="0.2">
      <c r="A65" s="3">
        <v>59</v>
      </c>
      <c r="B65" s="4" t="s">
        <v>135</v>
      </c>
      <c r="C65" s="4" t="s">
        <v>136</v>
      </c>
      <c r="D65" s="4" t="s">
        <v>130</v>
      </c>
      <c r="E65" s="5">
        <v>548000</v>
      </c>
      <c r="F65" s="6">
        <v>1279.58</v>
      </c>
      <c r="G65" s="7">
        <v>5.9753599999999999E-3</v>
      </c>
      <c r="H65" s="53"/>
    </row>
    <row r="66" spans="1:8" ht="17.100000000000001" customHeight="1" x14ac:dyDescent="0.2">
      <c r="A66" s="3">
        <v>60</v>
      </c>
      <c r="B66" s="4" t="s">
        <v>234</v>
      </c>
      <c r="C66" s="4" t="s">
        <v>235</v>
      </c>
      <c r="D66" s="4" t="s">
        <v>905</v>
      </c>
      <c r="E66" s="5">
        <v>23331</v>
      </c>
      <c r="F66" s="6">
        <v>1275.3774495</v>
      </c>
      <c r="G66" s="7">
        <v>5.9557300000000002E-3</v>
      </c>
      <c r="H66" s="53"/>
    </row>
    <row r="67" spans="1:8" ht="17.100000000000001" customHeight="1" x14ac:dyDescent="0.2">
      <c r="A67" s="3">
        <v>61</v>
      </c>
      <c r="B67" s="4" t="s">
        <v>249</v>
      </c>
      <c r="C67" s="4" t="s">
        <v>250</v>
      </c>
      <c r="D67" s="4" t="s">
        <v>905</v>
      </c>
      <c r="E67" s="5">
        <v>50000</v>
      </c>
      <c r="F67" s="6">
        <v>1214.4000000000001</v>
      </c>
      <c r="G67" s="7">
        <v>5.6709799999999999E-3</v>
      </c>
      <c r="H67" s="53"/>
    </row>
    <row r="68" spans="1:8" ht="53.1" customHeight="1" x14ac:dyDescent="0.2">
      <c r="A68" s="3">
        <v>62</v>
      </c>
      <c r="B68" s="4" t="s">
        <v>114</v>
      </c>
      <c r="C68" s="4" t="s">
        <v>115</v>
      </c>
      <c r="D68" s="4" t="s">
        <v>68</v>
      </c>
      <c r="E68" s="5">
        <v>49000</v>
      </c>
      <c r="F68" s="6">
        <v>1208.7075</v>
      </c>
      <c r="G68" s="7">
        <v>5.6443999999999999E-3</v>
      </c>
      <c r="H68" s="53"/>
    </row>
    <row r="69" spans="1:8" ht="17.100000000000001" customHeight="1" x14ac:dyDescent="0.2">
      <c r="A69" s="3">
        <v>63</v>
      </c>
      <c r="B69" s="4" t="s">
        <v>262</v>
      </c>
      <c r="C69" s="4" t="s">
        <v>263</v>
      </c>
      <c r="D69" s="4" t="s">
        <v>264</v>
      </c>
      <c r="E69" s="5">
        <v>400000</v>
      </c>
      <c r="F69" s="6">
        <v>1048.8</v>
      </c>
      <c r="G69" s="7">
        <v>4.8976599999999999E-3</v>
      </c>
      <c r="H69" s="53"/>
    </row>
    <row r="70" spans="1:8" ht="17.100000000000001" customHeight="1" x14ac:dyDescent="0.2">
      <c r="A70" s="3">
        <v>64</v>
      </c>
      <c r="B70" s="4" t="s">
        <v>44</v>
      </c>
      <c r="C70" s="4" t="s">
        <v>45</v>
      </c>
      <c r="D70" s="4" t="s">
        <v>19</v>
      </c>
      <c r="E70" s="5">
        <v>420000</v>
      </c>
      <c r="F70" s="6">
        <v>1027.1099999999999</v>
      </c>
      <c r="G70" s="7">
        <v>4.7963800000000003E-3</v>
      </c>
      <c r="H70" s="53"/>
    </row>
    <row r="71" spans="1:8" ht="17.100000000000001" customHeight="1" x14ac:dyDescent="0.2">
      <c r="A71" s="3">
        <v>65</v>
      </c>
      <c r="B71" s="4" t="s">
        <v>719</v>
      </c>
      <c r="C71" s="4" t="s">
        <v>720</v>
      </c>
      <c r="D71" s="4" t="s">
        <v>286</v>
      </c>
      <c r="E71" s="5">
        <v>52368</v>
      </c>
      <c r="F71" s="6">
        <v>1017.012744</v>
      </c>
      <c r="G71" s="7">
        <v>4.7492200000000002E-3</v>
      </c>
      <c r="H71" s="53"/>
    </row>
    <row r="72" spans="1:8" ht="17.100000000000001" customHeight="1" x14ac:dyDescent="0.2">
      <c r="A72" s="3">
        <v>66</v>
      </c>
      <c r="B72" s="4" t="s">
        <v>835</v>
      </c>
      <c r="C72" s="4" t="s">
        <v>836</v>
      </c>
      <c r="D72" s="4" t="s">
        <v>206</v>
      </c>
      <c r="E72" s="5">
        <v>410000</v>
      </c>
      <c r="F72" s="6">
        <v>900.15499999999997</v>
      </c>
      <c r="G72" s="7">
        <v>4.2035199999999997E-3</v>
      </c>
      <c r="H72" s="53"/>
    </row>
    <row r="73" spans="1:8" ht="17.100000000000001" customHeight="1" x14ac:dyDescent="0.2">
      <c r="A73" s="3">
        <v>67</v>
      </c>
      <c r="B73" s="4" t="s">
        <v>465</v>
      </c>
      <c r="C73" s="4" t="s">
        <v>466</v>
      </c>
      <c r="D73" s="4" t="s">
        <v>28</v>
      </c>
      <c r="E73" s="5">
        <v>50000</v>
      </c>
      <c r="F73" s="6">
        <v>879.375</v>
      </c>
      <c r="G73" s="7">
        <v>4.10649E-3</v>
      </c>
      <c r="H73" s="53"/>
    </row>
    <row r="74" spans="1:8" ht="14.1" customHeight="1" x14ac:dyDescent="0.2">
      <c r="A74" s="1"/>
      <c r="B74" s="1"/>
      <c r="C74" s="2" t="s">
        <v>144</v>
      </c>
      <c r="D74" s="1"/>
      <c r="E74" s="1" t="s">
        <v>145</v>
      </c>
      <c r="F74" s="9">
        <v>210746.2596585</v>
      </c>
      <c r="G74" s="10">
        <v>0.98413834</v>
      </c>
      <c r="H74" s="53"/>
    </row>
    <row r="75" spans="1:8" ht="14.1" customHeight="1" x14ac:dyDescent="0.2">
      <c r="A75" s="1"/>
      <c r="B75" s="1"/>
      <c r="C75" s="11"/>
      <c r="D75" s="1"/>
      <c r="E75" s="1"/>
      <c r="F75" s="12"/>
      <c r="G75" s="12"/>
      <c r="H75" s="53"/>
    </row>
    <row r="76" spans="1:8" ht="14.1" customHeight="1" x14ac:dyDescent="0.2">
      <c r="A76" s="1"/>
      <c r="B76" s="1"/>
      <c r="C76" s="2" t="s">
        <v>146</v>
      </c>
      <c r="D76" s="1"/>
      <c r="E76" s="1"/>
      <c r="F76" s="1"/>
      <c r="G76" s="1"/>
      <c r="H76" s="53"/>
    </row>
    <row r="77" spans="1:8" ht="14.1" customHeight="1" x14ac:dyDescent="0.2">
      <c r="A77" s="1"/>
      <c r="B77" s="1"/>
      <c r="C77" s="2" t="s">
        <v>144</v>
      </c>
      <c r="D77" s="1"/>
      <c r="E77" s="1" t="s">
        <v>145</v>
      </c>
      <c r="F77" s="13" t="s">
        <v>147</v>
      </c>
      <c r="G77" s="10">
        <v>0</v>
      </c>
      <c r="H77" s="53"/>
    </row>
    <row r="78" spans="1:8" ht="14.1" customHeight="1" x14ac:dyDescent="0.2">
      <c r="A78" s="1"/>
      <c r="B78" s="1"/>
      <c r="C78" s="11"/>
      <c r="D78" s="1"/>
      <c r="E78" s="1"/>
      <c r="F78" s="12"/>
      <c r="G78" s="12"/>
      <c r="H78" s="53"/>
    </row>
    <row r="79" spans="1:8" ht="14.1" customHeight="1" x14ac:dyDescent="0.2">
      <c r="A79" s="1"/>
      <c r="B79" s="1"/>
      <c r="C79" s="2" t="s">
        <v>148</v>
      </c>
      <c r="D79" s="1"/>
      <c r="E79" s="1"/>
      <c r="F79" s="1"/>
      <c r="G79" s="1"/>
      <c r="H79" s="53"/>
    </row>
    <row r="80" spans="1:8" ht="14.1" customHeight="1" x14ac:dyDescent="0.2">
      <c r="A80" s="1"/>
      <c r="B80" s="1"/>
      <c r="C80" s="2" t="s">
        <v>144</v>
      </c>
      <c r="D80" s="1"/>
      <c r="E80" s="1" t="s">
        <v>145</v>
      </c>
      <c r="F80" s="13" t="s">
        <v>147</v>
      </c>
      <c r="G80" s="10">
        <v>0</v>
      </c>
      <c r="H80" s="53"/>
    </row>
    <row r="81" spans="1:8" ht="14.1" customHeight="1" x14ac:dyDescent="0.2">
      <c r="A81" s="1"/>
      <c r="B81" s="1"/>
      <c r="C81" s="11"/>
      <c r="D81" s="1"/>
      <c r="E81" s="1"/>
      <c r="F81" s="12"/>
      <c r="G81" s="12"/>
      <c r="H81" s="53"/>
    </row>
    <row r="82" spans="1:8" ht="14.1" customHeight="1" x14ac:dyDescent="0.2">
      <c r="A82" s="1"/>
      <c r="B82" s="1"/>
      <c r="C82" s="2" t="s">
        <v>149</v>
      </c>
      <c r="D82" s="1"/>
      <c r="E82" s="1"/>
      <c r="F82" s="1"/>
      <c r="G82" s="1"/>
      <c r="H82" s="53"/>
    </row>
    <row r="83" spans="1:8" ht="14.1" customHeight="1" x14ac:dyDescent="0.2">
      <c r="A83" s="1"/>
      <c r="B83" s="1"/>
      <c r="C83" s="2" t="s">
        <v>144</v>
      </c>
      <c r="D83" s="1"/>
      <c r="E83" s="1" t="s">
        <v>145</v>
      </c>
      <c r="F83" s="13" t="s">
        <v>147</v>
      </c>
      <c r="G83" s="10">
        <v>0</v>
      </c>
      <c r="H83" s="53"/>
    </row>
    <row r="84" spans="1:8" ht="14.1" customHeight="1" x14ac:dyDescent="0.2">
      <c r="A84" s="1"/>
      <c r="B84" s="1"/>
      <c r="C84" s="11"/>
      <c r="D84" s="1"/>
      <c r="E84" s="1"/>
      <c r="F84" s="12"/>
      <c r="G84" s="12"/>
      <c r="H84" s="53"/>
    </row>
    <row r="85" spans="1:8" ht="14.1" customHeight="1" x14ac:dyDescent="0.2">
      <c r="A85" s="1"/>
      <c r="B85" s="1"/>
      <c r="C85" s="2" t="s">
        <v>150</v>
      </c>
      <c r="D85" s="1"/>
      <c r="E85" s="1"/>
      <c r="F85" s="12"/>
      <c r="G85" s="12"/>
      <c r="H85" s="53"/>
    </row>
    <row r="86" spans="1:8" ht="14.1" customHeight="1" x14ac:dyDescent="0.2">
      <c r="A86" s="1"/>
      <c r="B86" s="1"/>
      <c r="C86" s="2" t="s">
        <v>144</v>
      </c>
      <c r="D86" s="1"/>
      <c r="E86" s="1" t="s">
        <v>145</v>
      </c>
      <c r="F86" s="13" t="s">
        <v>147</v>
      </c>
      <c r="G86" s="10">
        <v>0</v>
      </c>
      <c r="H86" s="53"/>
    </row>
    <row r="87" spans="1:8" ht="14.1" customHeight="1" x14ac:dyDescent="0.2">
      <c r="A87" s="1"/>
      <c r="B87" s="1"/>
      <c r="C87" s="11"/>
      <c r="D87" s="1"/>
      <c r="E87" s="1"/>
      <c r="F87" s="12"/>
      <c r="G87" s="12"/>
      <c r="H87" s="53"/>
    </row>
    <row r="88" spans="1:8" ht="14.1" customHeight="1" x14ac:dyDescent="0.2">
      <c r="A88" s="1"/>
      <c r="B88" s="1"/>
      <c r="C88" s="2" t="s">
        <v>151</v>
      </c>
      <c r="D88" s="1"/>
      <c r="E88" s="1"/>
      <c r="F88" s="12"/>
      <c r="G88" s="12"/>
      <c r="H88" s="53"/>
    </row>
    <row r="89" spans="1:8" ht="14.1" customHeight="1" x14ac:dyDescent="0.2">
      <c r="A89" s="1"/>
      <c r="B89" s="1"/>
      <c r="C89" s="2" t="s">
        <v>144</v>
      </c>
      <c r="D89" s="1"/>
      <c r="E89" s="1" t="s">
        <v>145</v>
      </c>
      <c r="F89" s="13" t="s">
        <v>147</v>
      </c>
      <c r="G89" s="10">
        <v>0</v>
      </c>
      <c r="H89" s="53"/>
    </row>
    <row r="90" spans="1:8" ht="14.1" customHeight="1" x14ac:dyDescent="0.2">
      <c r="A90" s="1"/>
      <c r="B90" s="1"/>
      <c r="C90" s="11"/>
      <c r="D90" s="1"/>
      <c r="E90" s="1"/>
      <c r="F90" s="12"/>
      <c r="G90" s="12"/>
      <c r="H90" s="53"/>
    </row>
    <row r="91" spans="1:8" ht="18" customHeight="1" x14ac:dyDescent="0.2">
      <c r="A91" s="1"/>
      <c r="B91" s="1"/>
      <c r="C91" s="2" t="s">
        <v>152</v>
      </c>
      <c r="D91" s="1"/>
      <c r="E91" s="1"/>
      <c r="F91" s="9">
        <v>210746.2596585</v>
      </c>
      <c r="G91" s="10">
        <v>0.98413834</v>
      </c>
      <c r="H91" s="53"/>
    </row>
    <row r="92" spans="1:8" ht="14.1" customHeight="1" x14ac:dyDescent="0.2">
      <c r="A92" s="1"/>
      <c r="B92" s="1"/>
      <c r="C92" s="11"/>
      <c r="D92" s="1"/>
      <c r="E92" s="1"/>
      <c r="F92" s="12"/>
      <c r="G92" s="12"/>
      <c r="H92" s="53"/>
    </row>
    <row r="93" spans="1:8" ht="14.1" customHeight="1" x14ac:dyDescent="0.2">
      <c r="A93" s="1"/>
      <c r="B93" s="1"/>
      <c r="C93" s="2" t="s">
        <v>153</v>
      </c>
      <c r="D93" s="1"/>
      <c r="E93" s="1"/>
      <c r="F93" s="12"/>
      <c r="G93" s="12"/>
      <c r="H93" s="53"/>
    </row>
    <row r="94" spans="1:8" ht="24" customHeight="1" x14ac:dyDescent="0.2">
      <c r="A94" s="1"/>
      <c r="B94" s="1"/>
      <c r="C94" s="2" t="s">
        <v>10</v>
      </c>
      <c r="D94" s="1"/>
      <c r="E94" s="1"/>
      <c r="F94" s="12"/>
      <c r="G94" s="12"/>
      <c r="H94" s="53"/>
    </row>
    <row r="95" spans="1:8" ht="14.1" customHeight="1" x14ac:dyDescent="0.2">
      <c r="A95" s="1"/>
      <c r="B95" s="1"/>
      <c r="C95" s="2" t="s">
        <v>144</v>
      </c>
      <c r="D95" s="1"/>
      <c r="E95" s="1" t="s">
        <v>145</v>
      </c>
      <c r="F95" s="13" t="s">
        <v>147</v>
      </c>
      <c r="G95" s="10">
        <v>0</v>
      </c>
      <c r="H95" s="53"/>
    </row>
    <row r="96" spans="1:8" ht="14.1" customHeight="1" x14ac:dyDescent="0.2">
      <c r="A96" s="1"/>
      <c r="B96" s="1"/>
      <c r="C96" s="11"/>
      <c r="D96" s="1"/>
      <c r="E96" s="1"/>
      <c r="F96" s="12"/>
      <c r="G96" s="12"/>
      <c r="H96" s="53"/>
    </row>
    <row r="97" spans="1:8" ht="14.1" customHeight="1" x14ac:dyDescent="0.2">
      <c r="A97" s="1"/>
      <c r="B97" s="1"/>
      <c r="C97" s="2" t="s">
        <v>154</v>
      </c>
      <c r="D97" s="1"/>
      <c r="E97" s="1"/>
      <c r="F97" s="1"/>
      <c r="G97" s="1"/>
      <c r="H97" s="53"/>
    </row>
    <row r="98" spans="1:8" ht="14.1" customHeight="1" x14ac:dyDescent="0.2">
      <c r="A98" s="1"/>
      <c r="B98" s="1"/>
      <c r="C98" s="2" t="s">
        <v>144</v>
      </c>
      <c r="D98" s="1"/>
      <c r="E98" s="1" t="s">
        <v>145</v>
      </c>
      <c r="F98" s="13" t="s">
        <v>147</v>
      </c>
      <c r="G98" s="10">
        <v>0</v>
      </c>
      <c r="H98" s="53"/>
    </row>
    <row r="99" spans="1:8" ht="14.1" customHeight="1" x14ac:dyDescent="0.2">
      <c r="A99" s="1"/>
      <c r="B99" s="1"/>
      <c r="C99" s="11"/>
      <c r="D99" s="1"/>
      <c r="E99" s="1"/>
      <c r="F99" s="12"/>
      <c r="G99" s="12"/>
      <c r="H99" s="53"/>
    </row>
    <row r="100" spans="1:8" ht="14.1" customHeight="1" x14ac:dyDescent="0.2">
      <c r="A100" s="1"/>
      <c r="B100" s="1"/>
      <c r="C100" s="2" t="s">
        <v>155</v>
      </c>
      <c r="D100" s="1"/>
      <c r="E100" s="1"/>
      <c r="F100" s="1"/>
      <c r="G100" s="1"/>
      <c r="H100" s="53"/>
    </row>
    <row r="101" spans="1:8" ht="14.1" customHeight="1" x14ac:dyDescent="0.2">
      <c r="A101" s="1"/>
      <c r="B101" s="1"/>
      <c r="C101" s="2" t="s">
        <v>144</v>
      </c>
      <c r="D101" s="1"/>
      <c r="E101" s="1" t="s">
        <v>145</v>
      </c>
      <c r="F101" s="13" t="s">
        <v>147</v>
      </c>
      <c r="G101" s="10">
        <v>0</v>
      </c>
      <c r="H101" s="53"/>
    </row>
    <row r="102" spans="1:8" ht="14.1" customHeight="1" x14ac:dyDescent="0.2">
      <c r="A102" s="1"/>
      <c r="B102" s="1"/>
      <c r="C102" s="11"/>
      <c r="D102" s="1"/>
      <c r="E102" s="1"/>
      <c r="F102" s="12"/>
      <c r="G102" s="12"/>
      <c r="H102" s="53"/>
    </row>
    <row r="103" spans="1:8" ht="14.1" customHeight="1" x14ac:dyDescent="0.2">
      <c r="A103" s="1"/>
      <c r="B103" s="1"/>
      <c r="C103" s="2" t="s">
        <v>156</v>
      </c>
      <c r="D103" s="1"/>
      <c r="E103" s="1"/>
      <c r="F103" s="12"/>
      <c r="G103" s="12"/>
      <c r="H103" s="53"/>
    </row>
    <row r="104" spans="1:8" ht="14.1" customHeight="1" x14ac:dyDescent="0.2">
      <c r="A104" s="1"/>
      <c r="B104" s="1"/>
      <c r="C104" s="2" t="s">
        <v>144</v>
      </c>
      <c r="D104" s="1"/>
      <c r="E104" s="1" t="s">
        <v>145</v>
      </c>
      <c r="F104" s="13" t="s">
        <v>147</v>
      </c>
      <c r="G104" s="10">
        <v>0</v>
      </c>
      <c r="H104" s="53"/>
    </row>
    <row r="105" spans="1:8" ht="14.1" customHeight="1" x14ac:dyDescent="0.2">
      <c r="A105" s="1"/>
      <c r="B105" s="1"/>
      <c r="C105" s="11"/>
      <c r="D105" s="1"/>
      <c r="E105" s="1"/>
      <c r="F105" s="12"/>
      <c r="G105" s="12"/>
      <c r="H105" s="53"/>
    </row>
    <row r="106" spans="1:8" ht="14.1" customHeight="1" x14ac:dyDescent="0.2">
      <c r="A106" s="1"/>
      <c r="B106" s="1"/>
      <c r="C106" s="2" t="s">
        <v>157</v>
      </c>
      <c r="D106" s="1"/>
      <c r="E106" s="1"/>
      <c r="F106" s="9">
        <v>0</v>
      </c>
      <c r="G106" s="10">
        <v>0</v>
      </c>
      <c r="H106" s="53"/>
    </row>
    <row r="107" spans="1:8" ht="14.1" customHeight="1" x14ac:dyDescent="0.2">
      <c r="A107" s="1"/>
      <c r="B107" s="1"/>
      <c r="C107" s="11"/>
      <c r="D107" s="1"/>
      <c r="E107" s="1"/>
      <c r="F107" s="12"/>
      <c r="G107" s="12"/>
      <c r="H107" s="53"/>
    </row>
    <row r="108" spans="1:8" ht="14.1" customHeight="1" x14ac:dyDescent="0.2">
      <c r="A108" s="1"/>
      <c r="B108" s="1"/>
      <c r="C108" s="2" t="s">
        <v>158</v>
      </c>
      <c r="D108" s="1"/>
      <c r="E108" s="1"/>
      <c r="F108" s="12"/>
      <c r="G108" s="12"/>
      <c r="H108" s="53"/>
    </row>
    <row r="109" spans="1:8" ht="14.1" customHeight="1" x14ac:dyDescent="0.2">
      <c r="A109" s="1"/>
      <c r="B109" s="1"/>
      <c r="C109" s="2" t="s">
        <v>159</v>
      </c>
      <c r="D109" s="1"/>
      <c r="E109" s="1"/>
      <c r="F109" s="12"/>
      <c r="G109" s="12"/>
      <c r="H109" s="53"/>
    </row>
    <row r="110" spans="1:8" ht="14.1" customHeight="1" x14ac:dyDescent="0.2">
      <c r="A110" s="1"/>
      <c r="B110" s="1"/>
      <c r="C110" s="2" t="s">
        <v>144</v>
      </c>
      <c r="D110" s="1"/>
      <c r="E110" s="1" t="s">
        <v>145</v>
      </c>
      <c r="F110" s="13" t="s">
        <v>147</v>
      </c>
      <c r="G110" s="10">
        <v>0</v>
      </c>
      <c r="H110" s="53"/>
    </row>
    <row r="111" spans="1:8" ht="14.1" customHeight="1" x14ac:dyDescent="0.2">
      <c r="A111" s="1"/>
      <c r="B111" s="1"/>
      <c r="C111" s="11"/>
      <c r="D111" s="1"/>
      <c r="E111" s="1"/>
      <c r="F111" s="12"/>
      <c r="G111" s="12"/>
      <c r="H111" s="53"/>
    </row>
    <row r="112" spans="1:8" ht="14.1" customHeight="1" x14ac:dyDescent="0.2">
      <c r="A112" s="1"/>
      <c r="B112" s="1"/>
      <c r="C112" s="2" t="s">
        <v>160</v>
      </c>
      <c r="D112" s="1"/>
      <c r="E112" s="1"/>
      <c r="F112" s="12"/>
      <c r="G112" s="12"/>
      <c r="H112" s="53"/>
    </row>
    <row r="113" spans="1:8" ht="14.1" customHeight="1" x14ac:dyDescent="0.2">
      <c r="A113" s="1"/>
      <c r="B113" s="1"/>
      <c r="C113" s="2" t="s">
        <v>144</v>
      </c>
      <c r="D113" s="1"/>
      <c r="E113" s="1" t="s">
        <v>145</v>
      </c>
      <c r="F113" s="13" t="s">
        <v>147</v>
      </c>
      <c r="G113" s="10">
        <v>0</v>
      </c>
      <c r="H113" s="53"/>
    </row>
    <row r="114" spans="1:8" ht="14.1" customHeight="1" x14ac:dyDescent="0.2">
      <c r="A114" s="1"/>
      <c r="B114" s="1"/>
      <c r="C114" s="11"/>
      <c r="D114" s="1"/>
      <c r="E114" s="1"/>
      <c r="F114" s="12"/>
      <c r="G114" s="12"/>
      <c r="H114" s="53"/>
    </row>
    <row r="115" spans="1:8" ht="14.1" customHeight="1" x14ac:dyDescent="0.2">
      <c r="A115" s="1"/>
      <c r="B115" s="1"/>
      <c r="C115" s="2" t="s">
        <v>161</v>
      </c>
      <c r="D115" s="1"/>
      <c r="E115" s="1"/>
      <c r="F115" s="12"/>
      <c r="G115" s="12"/>
      <c r="H115" s="53"/>
    </row>
    <row r="116" spans="1:8" ht="14.1" customHeight="1" x14ac:dyDescent="0.2">
      <c r="A116" s="1"/>
      <c r="B116" s="1"/>
      <c r="C116" s="2" t="s">
        <v>144</v>
      </c>
      <c r="D116" s="1"/>
      <c r="E116" s="1" t="s">
        <v>145</v>
      </c>
      <c r="F116" s="13" t="s">
        <v>147</v>
      </c>
      <c r="G116" s="10">
        <v>0</v>
      </c>
      <c r="H116" s="53"/>
    </row>
    <row r="117" spans="1:8" ht="14.1" customHeight="1" x14ac:dyDescent="0.2">
      <c r="A117" s="1"/>
      <c r="B117" s="1"/>
      <c r="C117" s="11"/>
      <c r="D117" s="1"/>
      <c r="E117" s="1"/>
      <c r="F117" s="12"/>
      <c r="G117" s="12"/>
      <c r="H117" s="53"/>
    </row>
    <row r="118" spans="1:8" ht="14.1" customHeight="1" x14ac:dyDescent="0.2">
      <c r="A118" s="1"/>
      <c r="B118" s="1"/>
      <c r="C118" s="2" t="s">
        <v>162</v>
      </c>
      <c r="D118" s="1"/>
      <c r="E118" s="1"/>
      <c r="F118" s="12"/>
      <c r="G118" s="12"/>
      <c r="H118" s="53"/>
    </row>
    <row r="119" spans="1:8" ht="17.100000000000001" customHeight="1" x14ac:dyDescent="0.2">
      <c r="A119" s="3">
        <v>1</v>
      </c>
      <c r="B119" s="4"/>
      <c r="C119" s="4" t="s">
        <v>163</v>
      </c>
      <c r="D119" s="4"/>
      <c r="E119" s="8"/>
      <c r="F119" s="6">
        <v>1998.592462007</v>
      </c>
      <c r="G119" s="7">
        <v>9.3329799999999994E-3</v>
      </c>
      <c r="H119" s="51">
        <v>6.6602331647804478</v>
      </c>
    </row>
    <row r="120" spans="1:8" ht="17.100000000000001" customHeight="1" x14ac:dyDescent="0.2">
      <c r="A120" s="3">
        <v>2</v>
      </c>
      <c r="B120" s="4"/>
      <c r="C120" s="4" t="s">
        <v>164</v>
      </c>
      <c r="D120" s="4"/>
      <c r="E120" s="8"/>
      <c r="F120" s="6">
        <v>1527.9801279000001</v>
      </c>
      <c r="G120" s="7">
        <v>7.1353299999999996E-3</v>
      </c>
      <c r="H120" s="51">
        <v>6.6588225936582406</v>
      </c>
    </row>
    <row r="121" spans="1:8" ht="14.1" customHeight="1" x14ac:dyDescent="0.2">
      <c r="A121" s="1"/>
      <c r="B121" s="1"/>
      <c r="C121" s="2" t="s">
        <v>144</v>
      </c>
      <c r="D121" s="1"/>
      <c r="E121" s="1" t="s">
        <v>145</v>
      </c>
      <c r="F121" s="9">
        <v>3526.5725899069998</v>
      </c>
      <c r="G121" s="10">
        <v>1.646831E-2</v>
      </c>
      <c r="H121" s="53"/>
    </row>
    <row r="122" spans="1:8" ht="14.1" customHeight="1" x14ac:dyDescent="0.2">
      <c r="A122" s="1"/>
      <c r="B122" s="1"/>
      <c r="C122" s="11"/>
      <c r="D122" s="1"/>
      <c r="E122" s="1"/>
      <c r="F122" s="12"/>
      <c r="G122" s="12"/>
      <c r="H122" s="53"/>
    </row>
    <row r="123" spans="1:8" ht="14.1" customHeight="1" x14ac:dyDescent="0.2">
      <c r="A123" s="1"/>
      <c r="B123" s="1"/>
      <c r="C123" s="2" t="s">
        <v>165</v>
      </c>
      <c r="D123" s="1"/>
      <c r="E123" s="1"/>
      <c r="F123" s="9">
        <v>3526.5725899069998</v>
      </c>
      <c r="G123" s="10">
        <v>1.646831E-2</v>
      </c>
      <c r="H123" s="53"/>
    </row>
    <row r="124" spans="1:8" ht="14.1" customHeight="1" x14ac:dyDescent="0.2">
      <c r="A124" s="1"/>
      <c r="B124" s="1"/>
      <c r="C124" s="12"/>
      <c r="D124" s="1"/>
      <c r="E124" s="1"/>
      <c r="F124" s="1"/>
      <c r="G124" s="1"/>
      <c r="H124" s="53"/>
    </row>
    <row r="125" spans="1:8" ht="14.1" customHeight="1" x14ac:dyDescent="0.2">
      <c r="A125" s="1"/>
      <c r="B125" s="1"/>
      <c r="C125" s="2" t="s">
        <v>166</v>
      </c>
      <c r="D125" s="1"/>
      <c r="E125" s="1"/>
      <c r="F125" s="1"/>
      <c r="G125" s="1"/>
      <c r="H125" s="53"/>
    </row>
    <row r="126" spans="1:8" ht="14.1" customHeight="1" x14ac:dyDescent="0.2">
      <c r="A126" s="1"/>
      <c r="B126" s="1"/>
      <c r="C126" s="2" t="s">
        <v>167</v>
      </c>
      <c r="D126" s="1"/>
      <c r="E126" s="1"/>
      <c r="F126" s="1"/>
      <c r="G126" s="1"/>
      <c r="H126" s="53"/>
    </row>
    <row r="127" spans="1:8" ht="14.1" customHeight="1" x14ac:dyDescent="0.2">
      <c r="A127" s="1"/>
      <c r="B127" s="1"/>
      <c r="C127" s="2" t="s">
        <v>144</v>
      </c>
      <c r="D127" s="1"/>
      <c r="E127" s="1" t="s">
        <v>145</v>
      </c>
      <c r="F127" s="13" t="s">
        <v>147</v>
      </c>
      <c r="G127" s="10">
        <v>0</v>
      </c>
      <c r="H127" s="53"/>
    </row>
    <row r="128" spans="1:8" ht="14.1" customHeight="1" x14ac:dyDescent="0.2">
      <c r="A128" s="1"/>
      <c r="B128" s="1"/>
      <c r="C128" s="11"/>
      <c r="D128" s="1"/>
      <c r="E128" s="1"/>
      <c r="F128" s="12"/>
      <c r="G128" s="12"/>
      <c r="H128" s="53"/>
    </row>
    <row r="129" spans="1:8" ht="14.1" customHeight="1" x14ac:dyDescent="0.2">
      <c r="A129" s="1"/>
      <c r="B129" s="1"/>
      <c r="C129" s="2" t="s">
        <v>168</v>
      </c>
      <c r="D129" s="1"/>
      <c r="E129" s="1"/>
      <c r="F129" s="1"/>
      <c r="G129" s="1"/>
      <c r="H129" s="53"/>
    </row>
    <row r="130" spans="1:8" ht="14.1" customHeight="1" x14ac:dyDescent="0.2">
      <c r="A130" s="1"/>
      <c r="B130" s="1"/>
      <c r="C130" s="2" t="s">
        <v>169</v>
      </c>
      <c r="D130" s="1"/>
      <c r="E130" s="1"/>
      <c r="F130" s="1"/>
      <c r="G130" s="1"/>
      <c r="H130" s="53"/>
    </row>
    <row r="131" spans="1:8" ht="14.1" customHeight="1" x14ac:dyDescent="0.2">
      <c r="A131" s="1"/>
      <c r="B131" s="1"/>
      <c r="C131" s="2" t="s">
        <v>144</v>
      </c>
      <c r="D131" s="1"/>
      <c r="E131" s="1" t="s">
        <v>145</v>
      </c>
      <c r="F131" s="13" t="s">
        <v>147</v>
      </c>
      <c r="G131" s="10">
        <v>0</v>
      </c>
      <c r="H131" s="53"/>
    </row>
    <row r="132" spans="1:8" ht="14.1" customHeight="1" x14ac:dyDescent="0.2">
      <c r="A132" s="1"/>
      <c r="B132" s="1"/>
      <c r="C132" s="11"/>
      <c r="D132" s="1"/>
      <c r="E132" s="1"/>
      <c r="F132" s="12"/>
      <c r="G132" s="12"/>
      <c r="H132" s="53"/>
    </row>
    <row r="133" spans="1:8" ht="24" customHeight="1" x14ac:dyDescent="0.2">
      <c r="A133" s="1"/>
      <c r="B133" s="1"/>
      <c r="C133" s="2" t="s">
        <v>170</v>
      </c>
      <c r="D133" s="1"/>
      <c r="E133" s="1"/>
      <c r="F133" s="12"/>
      <c r="G133" s="12"/>
      <c r="H133" s="53"/>
    </row>
    <row r="134" spans="1:8" ht="14.1" customHeight="1" x14ac:dyDescent="0.2">
      <c r="A134" s="1"/>
      <c r="B134" s="1"/>
      <c r="C134" s="2" t="s">
        <v>144</v>
      </c>
      <c r="D134" s="1"/>
      <c r="E134" s="1" t="s">
        <v>145</v>
      </c>
      <c r="F134" s="13" t="s">
        <v>147</v>
      </c>
      <c r="G134" s="10">
        <v>0</v>
      </c>
      <c r="H134" s="53"/>
    </row>
    <row r="135" spans="1:8" ht="14.1" customHeight="1" x14ac:dyDescent="0.2">
      <c r="A135" s="1"/>
      <c r="B135" s="1"/>
      <c r="C135" s="11"/>
      <c r="D135" s="1"/>
      <c r="E135" s="1"/>
      <c r="F135" s="12"/>
      <c r="G135" s="12"/>
      <c r="H135" s="53"/>
    </row>
    <row r="136" spans="1:8" ht="14.1" customHeight="1" x14ac:dyDescent="0.2">
      <c r="A136" s="1"/>
      <c r="B136" s="4"/>
      <c r="C136" s="4"/>
      <c r="D136" s="2"/>
      <c r="E136" s="1"/>
      <c r="F136" s="4"/>
      <c r="G136" s="8"/>
      <c r="H136" s="53"/>
    </row>
    <row r="137" spans="1:8" ht="18" customHeight="1" x14ac:dyDescent="0.2">
      <c r="A137" s="8"/>
      <c r="B137" s="4"/>
      <c r="C137" s="4" t="s">
        <v>171</v>
      </c>
      <c r="D137" s="4"/>
      <c r="E137" s="8"/>
      <c r="F137" s="6">
        <v>-129.89841573000001</v>
      </c>
      <c r="G137" s="7">
        <v>-6.066E-4</v>
      </c>
      <c r="H137" s="53"/>
    </row>
    <row r="138" spans="1:8" ht="14.1" customHeight="1" x14ac:dyDescent="0.2">
      <c r="A138" s="11"/>
      <c r="B138" s="11"/>
      <c r="C138" s="2" t="s">
        <v>172</v>
      </c>
      <c r="D138" s="12"/>
      <c r="E138" s="12"/>
      <c r="F138" s="9">
        <v>214142.93383267699</v>
      </c>
      <c r="G138" s="14">
        <v>1.0000000499999999</v>
      </c>
      <c r="H138" s="53"/>
    </row>
    <row r="139" spans="1:8" ht="14.1" customHeight="1" x14ac:dyDescent="0.2">
      <c r="A139" s="15"/>
      <c r="B139" s="15"/>
      <c r="C139" s="15"/>
      <c r="D139" s="16"/>
      <c r="E139" s="16"/>
      <c r="F139" s="16"/>
      <c r="G139" s="16"/>
    </row>
    <row r="140" spans="1:8" ht="14.1" customHeight="1" x14ac:dyDescent="0.2">
      <c r="A140" s="17"/>
      <c r="B140" s="17"/>
      <c r="C140" s="17"/>
      <c r="D140" s="19"/>
      <c r="E140" s="19"/>
      <c r="F140" s="19"/>
      <c r="G140" s="19"/>
    </row>
    <row r="141" spans="1:8" ht="14.1" customHeight="1" x14ac:dyDescent="0.2">
      <c r="A141" s="17"/>
      <c r="B141" s="231" t="s">
        <v>174</v>
      </c>
      <c r="C141" s="232"/>
      <c r="D141" s="233"/>
      <c r="E141" s="20"/>
      <c r="F141" s="19"/>
      <c r="G141" s="19"/>
    </row>
    <row r="142" spans="1:8" ht="29.1" customHeight="1" x14ac:dyDescent="0.2">
      <c r="A142" s="17"/>
      <c r="B142" s="226" t="s">
        <v>175</v>
      </c>
      <c r="C142" s="227"/>
      <c r="D142" s="2" t="s">
        <v>176</v>
      </c>
      <c r="E142" s="20"/>
      <c r="F142" s="19"/>
      <c r="G142" s="19"/>
    </row>
    <row r="143" spans="1:8" ht="17.100000000000001" customHeight="1" x14ac:dyDescent="0.2">
      <c r="A143" s="17"/>
      <c r="B143" s="226" t="s">
        <v>177</v>
      </c>
      <c r="C143" s="227"/>
      <c r="D143" s="2" t="s">
        <v>176</v>
      </c>
      <c r="E143" s="20"/>
      <c r="F143" s="19"/>
      <c r="G143" s="19"/>
    </row>
    <row r="144" spans="1:8" ht="17.100000000000001" customHeight="1" x14ac:dyDescent="0.2">
      <c r="A144" s="17"/>
      <c r="B144" s="226" t="s">
        <v>178</v>
      </c>
      <c r="C144" s="227"/>
      <c r="D144" s="12" t="s">
        <v>145</v>
      </c>
      <c r="E144" s="20"/>
      <c r="F144" s="19"/>
      <c r="G144" s="19"/>
    </row>
    <row r="145" spans="1:7" ht="24" customHeight="1" x14ac:dyDescent="0.2">
      <c r="A145" s="21"/>
      <c r="B145" s="22" t="s">
        <v>145</v>
      </c>
      <c r="C145" s="22" t="s">
        <v>179</v>
      </c>
      <c r="D145" s="22" t="s">
        <v>180</v>
      </c>
      <c r="E145" s="21"/>
      <c r="F145" s="21"/>
      <c r="G145" s="21"/>
    </row>
    <row r="146" spans="1:7" ht="18" customHeight="1" x14ac:dyDescent="0.2">
      <c r="A146" s="21"/>
      <c r="B146" s="23" t="s">
        <v>181</v>
      </c>
      <c r="C146" s="22" t="s">
        <v>182</v>
      </c>
      <c r="D146" s="22" t="s">
        <v>183</v>
      </c>
      <c r="E146" s="21"/>
      <c r="F146" s="21"/>
      <c r="G146" s="21"/>
    </row>
    <row r="147" spans="1:7" ht="17.100000000000001" customHeight="1" x14ac:dyDescent="0.2">
      <c r="A147" s="21"/>
      <c r="B147" s="4" t="s">
        <v>184</v>
      </c>
      <c r="C147" s="24">
        <v>11.3996</v>
      </c>
      <c r="D147" s="24">
        <v>11.3096</v>
      </c>
      <c r="E147" s="21"/>
      <c r="F147" s="18"/>
      <c r="G147" s="25"/>
    </row>
    <row r="148" spans="1:7" ht="17.100000000000001" customHeight="1" x14ac:dyDescent="0.2">
      <c r="A148" s="21"/>
      <c r="B148" s="4" t="s">
        <v>1009</v>
      </c>
      <c r="C148" s="24">
        <v>11.3995</v>
      </c>
      <c r="D148" s="24">
        <v>11.3095</v>
      </c>
      <c r="E148" s="21"/>
      <c r="F148" s="18"/>
      <c r="G148" s="25"/>
    </row>
    <row r="149" spans="1:7" ht="17.100000000000001" customHeight="1" x14ac:dyDescent="0.2">
      <c r="A149" s="21"/>
      <c r="B149" s="4" t="s">
        <v>185</v>
      </c>
      <c r="C149" s="24">
        <v>11.216100000000001</v>
      </c>
      <c r="D149" s="24">
        <v>11.1114</v>
      </c>
      <c r="E149" s="21"/>
      <c r="F149" s="18"/>
      <c r="G149" s="25"/>
    </row>
    <row r="150" spans="1:7" ht="17.100000000000001" customHeight="1" x14ac:dyDescent="0.2">
      <c r="A150" s="21"/>
      <c r="B150" s="4" t="s">
        <v>1010</v>
      </c>
      <c r="C150" s="24">
        <v>11.216100000000001</v>
      </c>
      <c r="D150" s="24">
        <v>11.1114</v>
      </c>
      <c r="E150" s="21"/>
      <c r="F150" s="18"/>
      <c r="G150" s="25"/>
    </row>
    <row r="151" spans="1:7" ht="14.1" customHeight="1" x14ac:dyDescent="0.2">
      <c r="A151" s="21"/>
      <c r="B151" s="21"/>
      <c r="C151" s="21"/>
      <c r="D151" s="21"/>
      <c r="E151" s="21"/>
      <c r="F151" s="21"/>
      <c r="G151" s="21"/>
    </row>
    <row r="152" spans="1:7" ht="17.100000000000001" customHeight="1" x14ac:dyDescent="0.2">
      <c r="A152" s="21"/>
      <c r="B152" s="226" t="s">
        <v>1011</v>
      </c>
      <c r="C152" s="227"/>
      <c r="D152" s="2" t="s">
        <v>176</v>
      </c>
      <c r="E152" s="21"/>
      <c r="F152" s="21"/>
      <c r="G152" s="21"/>
    </row>
    <row r="153" spans="1:7" ht="18" customHeight="1" x14ac:dyDescent="0.2">
      <c r="A153" s="21"/>
      <c r="B153" s="26"/>
      <c r="C153" s="26"/>
      <c r="D153" s="26"/>
      <c r="E153" s="21"/>
      <c r="F153" s="21"/>
      <c r="G153" s="21"/>
    </row>
    <row r="154" spans="1:7" ht="29.1" customHeight="1" x14ac:dyDescent="0.2">
      <c r="A154" s="21"/>
      <c r="B154" s="226" t="s">
        <v>186</v>
      </c>
      <c r="C154" s="227"/>
      <c r="D154" s="2" t="s">
        <v>176</v>
      </c>
      <c r="E154" s="27"/>
      <c r="F154" s="21"/>
      <c r="G154" s="21"/>
    </row>
    <row r="155" spans="1:7" ht="29.1" customHeight="1" x14ac:dyDescent="0.2">
      <c r="A155" s="21"/>
      <c r="B155" s="226" t="s">
        <v>187</v>
      </c>
      <c r="C155" s="227"/>
      <c r="D155" s="2" t="s">
        <v>176</v>
      </c>
      <c r="E155" s="27"/>
      <c r="F155" s="21"/>
      <c r="G155" s="21"/>
    </row>
    <row r="156" spans="1:7" ht="17.100000000000001" customHeight="1" x14ac:dyDescent="0.2">
      <c r="A156" s="21"/>
      <c r="B156" s="226" t="s">
        <v>188</v>
      </c>
      <c r="C156" s="227"/>
      <c r="D156" s="2" t="s">
        <v>176</v>
      </c>
      <c r="E156" s="27"/>
      <c r="F156" s="21"/>
      <c r="G156" s="21"/>
    </row>
    <row r="157" spans="1:7" ht="17.100000000000001" customHeight="1" x14ac:dyDescent="0.2">
      <c r="A157" s="21"/>
      <c r="B157" s="226" t="s">
        <v>189</v>
      </c>
      <c r="C157" s="227"/>
      <c r="D157" s="57">
        <v>0.66548094738469576</v>
      </c>
      <c r="E157" s="21"/>
      <c r="F157" s="18"/>
      <c r="G157" s="25"/>
    </row>
  </sheetData>
  <mergeCells count="13">
    <mergeCell ref="A1:H1"/>
    <mergeCell ref="A2:H2"/>
    <mergeCell ref="A3:H3"/>
    <mergeCell ref="J2:N2"/>
    <mergeCell ref="B157:C157"/>
    <mergeCell ref="B143:C143"/>
    <mergeCell ref="B144:C144"/>
    <mergeCell ref="B152:C152"/>
    <mergeCell ref="B154:C154"/>
    <mergeCell ref="B155:C155"/>
    <mergeCell ref="B156:C156"/>
    <mergeCell ref="B142:C142"/>
    <mergeCell ref="B141:D141"/>
  </mergeCells>
  <hyperlinks>
    <hyperlink ref="I1" location="Index!B30" display="Index" xr:uid="{90D267E0-96AF-4D8F-9AC1-6191D30AB59B}"/>
  </hyperlinks>
  <pageMargins left="5.000000074505806E-2" right="5.000000074505806E-2" top="0.30000001192092896" bottom="0.20000000298023224" header="0" footer="0"/>
  <pageSetup paperSize="9" orientation="landscape" r:id="rId1"/>
  <headerFooter alignWithMargins="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N11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221" t="s">
        <v>0</v>
      </c>
      <c r="B1" s="221"/>
      <c r="C1" s="221"/>
      <c r="D1" s="221"/>
      <c r="E1" s="221"/>
      <c r="F1" s="221"/>
      <c r="G1" s="221"/>
      <c r="H1" s="221"/>
      <c r="I1" s="138" t="s">
        <v>1024</v>
      </c>
    </row>
    <row r="2" spans="1:14" ht="17.100000000000001" customHeight="1" x14ac:dyDescent="0.2">
      <c r="A2" s="222" t="s">
        <v>837</v>
      </c>
      <c r="B2" s="223"/>
      <c r="C2" s="223"/>
      <c r="D2" s="223"/>
      <c r="E2" s="223"/>
      <c r="F2" s="223"/>
      <c r="G2" s="223"/>
      <c r="H2" s="224"/>
      <c r="J2" s="225" t="s">
        <v>1025</v>
      </c>
      <c r="K2" s="225"/>
      <c r="L2" s="225"/>
      <c r="M2" s="225"/>
      <c r="N2" s="225"/>
    </row>
    <row r="3" spans="1:14" ht="21" customHeight="1" x14ac:dyDescent="0.2">
      <c r="A3" s="221" t="s">
        <v>1019</v>
      </c>
      <c r="B3" s="221"/>
      <c r="C3" s="221"/>
      <c r="D3" s="221"/>
      <c r="E3" s="221"/>
      <c r="F3" s="221"/>
      <c r="G3" s="221"/>
      <c r="H3" s="221"/>
    </row>
    <row r="4" spans="1:14" s="135" customFormat="1" ht="30" x14ac:dyDescent="0.2">
      <c r="A4" s="134" t="s">
        <v>2</v>
      </c>
      <c r="B4" s="134" t="s">
        <v>3</v>
      </c>
      <c r="C4" s="134" t="s">
        <v>4</v>
      </c>
      <c r="D4" s="134" t="s">
        <v>5</v>
      </c>
      <c r="E4" s="134" t="s">
        <v>6</v>
      </c>
      <c r="F4" s="134" t="s">
        <v>7</v>
      </c>
      <c r="G4" s="134" t="s">
        <v>8</v>
      </c>
      <c r="H4" s="87" t="s">
        <v>971</v>
      </c>
    </row>
    <row r="5" spans="1:14" ht="14.1" customHeight="1" x14ac:dyDescent="0.2">
      <c r="A5" s="1"/>
      <c r="B5" s="1"/>
      <c r="C5" s="2" t="s">
        <v>9</v>
      </c>
      <c r="D5" s="1"/>
      <c r="E5" s="1"/>
      <c r="F5" s="1"/>
      <c r="G5" s="1"/>
      <c r="H5" s="53"/>
    </row>
    <row r="6" spans="1:14" ht="24" customHeight="1" x14ac:dyDescent="0.2">
      <c r="A6" s="1"/>
      <c r="B6" s="1"/>
      <c r="C6" s="2" t="s">
        <v>10</v>
      </c>
      <c r="D6" s="1"/>
      <c r="E6" s="1"/>
      <c r="F6" s="1"/>
      <c r="G6" s="1"/>
      <c r="H6" s="53"/>
    </row>
    <row r="7" spans="1:14" ht="17.100000000000001" customHeight="1" x14ac:dyDescent="0.2">
      <c r="A7" s="3">
        <v>1</v>
      </c>
      <c r="B7" s="4" t="s">
        <v>310</v>
      </c>
      <c r="C7" s="4" t="s">
        <v>311</v>
      </c>
      <c r="D7" s="4" t="s">
        <v>28</v>
      </c>
      <c r="E7" s="5">
        <v>1069792</v>
      </c>
      <c r="F7" s="6">
        <v>16811.246383999998</v>
      </c>
      <c r="G7" s="7">
        <v>0.20229447</v>
      </c>
      <c r="H7" s="53"/>
    </row>
    <row r="8" spans="1:14" ht="17.100000000000001" customHeight="1" x14ac:dyDescent="0.2">
      <c r="A8" s="3">
        <v>2</v>
      </c>
      <c r="B8" s="4" t="s">
        <v>26</v>
      </c>
      <c r="C8" s="4" t="s">
        <v>27</v>
      </c>
      <c r="D8" s="4" t="s">
        <v>28</v>
      </c>
      <c r="E8" s="5">
        <v>1301901</v>
      </c>
      <c r="F8" s="6">
        <v>12481.9758375</v>
      </c>
      <c r="G8" s="7">
        <v>0.15019912999999999</v>
      </c>
      <c r="H8" s="53"/>
    </row>
    <row r="9" spans="1:14" ht="17.100000000000001" customHeight="1" x14ac:dyDescent="0.2">
      <c r="A9" s="3">
        <v>3</v>
      </c>
      <c r="B9" s="4" t="s">
        <v>32</v>
      </c>
      <c r="C9" s="4" t="s">
        <v>33</v>
      </c>
      <c r="D9" s="4" t="s">
        <v>28</v>
      </c>
      <c r="E9" s="5">
        <v>1082259</v>
      </c>
      <c r="F9" s="6">
        <v>6075.2608964999999</v>
      </c>
      <c r="G9" s="7">
        <v>7.3105329999999996E-2</v>
      </c>
      <c r="H9" s="53"/>
    </row>
    <row r="10" spans="1:14" ht="17.100000000000001" customHeight="1" x14ac:dyDescent="0.2">
      <c r="A10" s="3">
        <v>4</v>
      </c>
      <c r="B10" s="4" t="s">
        <v>314</v>
      </c>
      <c r="C10" s="4" t="s">
        <v>315</v>
      </c>
      <c r="D10" s="4" t="s">
        <v>28</v>
      </c>
      <c r="E10" s="5">
        <v>609912</v>
      </c>
      <c r="F10" s="6">
        <v>5937.4933199999996</v>
      </c>
      <c r="G10" s="7">
        <v>7.1447529999999995E-2</v>
      </c>
      <c r="H10" s="53"/>
    </row>
    <row r="11" spans="1:14" ht="17.100000000000001" customHeight="1" x14ac:dyDescent="0.2">
      <c r="A11" s="3">
        <v>5</v>
      </c>
      <c r="B11" s="4" t="s">
        <v>497</v>
      </c>
      <c r="C11" s="4" t="s">
        <v>498</v>
      </c>
      <c r="D11" s="4" t="s">
        <v>397</v>
      </c>
      <c r="E11" s="5">
        <v>506752</v>
      </c>
      <c r="F11" s="6">
        <v>3166.4398719999999</v>
      </c>
      <c r="G11" s="7">
        <v>3.8102659999999997E-2</v>
      </c>
      <c r="H11" s="53"/>
    </row>
    <row r="12" spans="1:14" ht="17.100000000000001" customHeight="1" x14ac:dyDescent="0.2">
      <c r="A12" s="3">
        <v>6</v>
      </c>
      <c r="B12" s="4" t="s">
        <v>232</v>
      </c>
      <c r="C12" s="4" t="s">
        <v>233</v>
      </c>
      <c r="D12" s="4" t="s">
        <v>130</v>
      </c>
      <c r="E12" s="5">
        <v>292368</v>
      </c>
      <c r="F12" s="6">
        <v>2877.1934879999999</v>
      </c>
      <c r="G12" s="7">
        <v>3.462208E-2</v>
      </c>
      <c r="H12" s="53"/>
    </row>
    <row r="13" spans="1:14" ht="17.100000000000001" customHeight="1" x14ac:dyDescent="0.2">
      <c r="A13" s="3">
        <v>7</v>
      </c>
      <c r="B13" s="4" t="s">
        <v>128</v>
      </c>
      <c r="C13" s="4" t="s">
        <v>129</v>
      </c>
      <c r="D13" s="4" t="s">
        <v>130</v>
      </c>
      <c r="E13" s="5">
        <v>1198701</v>
      </c>
      <c r="F13" s="6">
        <v>2860.6999365000001</v>
      </c>
      <c r="G13" s="7">
        <v>3.442361E-2</v>
      </c>
      <c r="H13" s="53"/>
      <c r="J13" s="142" t="s">
        <v>1062</v>
      </c>
    </row>
    <row r="14" spans="1:14" ht="17.100000000000001" customHeight="1" x14ac:dyDescent="0.2">
      <c r="A14" s="3">
        <v>8</v>
      </c>
      <c r="B14" s="4" t="s">
        <v>202</v>
      </c>
      <c r="C14" s="4" t="s">
        <v>203</v>
      </c>
      <c r="D14" s="4" t="s">
        <v>130</v>
      </c>
      <c r="E14" s="5">
        <v>1078701</v>
      </c>
      <c r="F14" s="6">
        <v>2806.780002</v>
      </c>
      <c r="G14" s="7">
        <v>3.3774779999999997E-2</v>
      </c>
      <c r="H14" s="53"/>
    </row>
    <row r="15" spans="1:14" ht="17.100000000000001" customHeight="1" x14ac:dyDescent="0.2">
      <c r="A15" s="3">
        <v>9</v>
      </c>
      <c r="B15" s="4" t="s">
        <v>383</v>
      </c>
      <c r="C15" s="4" t="s">
        <v>384</v>
      </c>
      <c r="D15" s="4" t="s">
        <v>28</v>
      </c>
      <c r="E15" s="5">
        <v>2941195</v>
      </c>
      <c r="F15" s="6">
        <v>2661.7814749999998</v>
      </c>
      <c r="G15" s="7">
        <v>3.2029969999999998E-2</v>
      </c>
      <c r="H15" s="53"/>
    </row>
    <row r="16" spans="1:14" ht="17.100000000000001" customHeight="1" x14ac:dyDescent="0.2">
      <c r="A16" s="3">
        <v>10</v>
      </c>
      <c r="B16" s="4" t="s">
        <v>322</v>
      </c>
      <c r="C16" s="4" t="s">
        <v>323</v>
      </c>
      <c r="D16" s="4" t="s">
        <v>28</v>
      </c>
      <c r="E16" s="5">
        <v>188396</v>
      </c>
      <c r="F16" s="6">
        <v>2596.3794739999998</v>
      </c>
      <c r="G16" s="7">
        <v>3.1242969999999998E-2</v>
      </c>
      <c r="H16" s="53"/>
    </row>
    <row r="17" spans="1:8" ht="17.100000000000001" customHeight="1" x14ac:dyDescent="0.2">
      <c r="A17" s="3">
        <v>11</v>
      </c>
      <c r="B17" s="4" t="s">
        <v>457</v>
      </c>
      <c r="C17" s="4" t="s">
        <v>458</v>
      </c>
      <c r="D17" s="4" t="s">
        <v>28</v>
      </c>
      <c r="E17" s="5">
        <v>659310</v>
      </c>
      <c r="F17" s="6">
        <v>2177.70093</v>
      </c>
      <c r="G17" s="7">
        <v>2.6204890000000002E-2</v>
      </c>
      <c r="H17" s="53"/>
    </row>
    <row r="18" spans="1:8" ht="17.100000000000001" customHeight="1" x14ac:dyDescent="0.2">
      <c r="A18" s="3">
        <v>12</v>
      </c>
      <c r="B18" s="4" t="s">
        <v>358</v>
      </c>
      <c r="C18" s="4" t="s">
        <v>359</v>
      </c>
      <c r="D18" s="4" t="s">
        <v>28</v>
      </c>
      <c r="E18" s="5">
        <v>995218</v>
      </c>
      <c r="F18" s="6">
        <v>1862.550487</v>
      </c>
      <c r="G18" s="7">
        <v>2.2412600000000001E-2</v>
      </c>
      <c r="H18" s="53"/>
    </row>
    <row r="19" spans="1:8" ht="17.100000000000001" customHeight="1" x14ac:dyDescent="0.2">
      <c r="A19" s="3">
        <v>13</v>
      </c>
      <c r="B19" s="4" t="s">
        <v>412</v>
      </c>
      <c r="C19" s="4" t="s">
        <v>413</v>
      </c>
      <c r="D19" s="4" t="s">
        <v>130</v>
      </c>
      <c r="E19" s="5">
        <v>124760</v>
      </c>
      <c r="F19" s="6">
        <v>1766.04018</v>
      </c>
      <c r="G19" s="7">
        <v>2.1251260000000001E-2</v>
      </c>
      <c r="H19" s="53"/>
    </row>
    <row r="20" spans="1:8" ht="17.100000000000001" customHeight="1" x14ac:dyDescent="0.2">
      <c r="A20" s="3">
        <v>14</v>
      </c>
      <c r="B20" s="4" t="s">
        <v>505</v>
      </c>
      <c r="C20" s="4" t="s">
        <v>506</v>
      </c>
      <c r="D20" s="4" t="s">
        <v>130</v>
      </c>
      <c r="E20" s="5">
        <v>358636</v>
      </c>
      <c r="F20" s="6">
        <v>1742.253688</v>
      </c>
      <c r="G20" s="7">
        <v>2.0965029999999999E-2</v>
      </c>
      <c r="H20" s="53"/>
    </row>
    <row r="21" spans="1:8" ht="17.100000000000001" customHeight="1" x14ac:dyDescent="0.2">
      <c r="A21" s="3">
        <v>15</v>
      </c>
      <c r="B21" s="4" t="s">
        <v>838</v>
      </c>
      <c r="C21" s="4" t="s">
        <v>839</v>
      </c>
      <c r="D21" s="4" t="s">
        <v>28</v>
      </c>
      <c r="E21" s="5">
        <v>1284929</v>
      </c>
      <c r="F21" s="6">
        <v>1561.8311994999999</v>
      </c>
      <c r="G21" s="7">
        <v>1.8793959999999998E-2</v>
      </c>
      <c r="H21" s="53"/>
    </row>
    <row r="22" spans="1:8" ht="17.100000000000001" customHeight="1" x14ac:dyDescent="0.2">
      <c r="A22" s="3">
        <v>16</v>
      </c>
      <c r="B22" s="4" t="s">
        <v>277</v>
      </c>
      <c r="C22" s="4" t="s">
        <v>278</v>
      </c>
      <c r="D22" s="4" t="s">
        <v>28</v>
      </c>
      <c r="E22" s="5">
        <v>1725911</v>
      </c>
      <c r="F22" s="6">
        <v>1482.5575490000001</v>
      </c>
      <c r="G22" s="7">
        <v>1.784003E-2</v>
      </c>
      <c r="H22" s="53"/>
    </row>
    <row r="23" spans="1:8" ht="17.100000000000001" customHeight="1" x14ac:dyDescent="0.2">
      <c r="A23" s="3">
        <v>17</v>
      </c>
      <c r="B23" s="4" t="s">
        <v>395</v>
      </c>
      <c r="C23" s="4" t="s">
        <v>396</v>
      </c>
      <c r="D23" s="4" t="s">
        <v>397</v>
      </c>
      <c r="E23" s="5">
        <v>79796</v>
      </c>
      <c r="F23" s="6">
        <v>1347.15597</v>
      </c>
      <c r="G23" s="7">
        <v>1.621071E-2</v>
      </c>
      <c r="H23" s="53"/>
    </row>
    <row r="24" spans="1:8" ht="17.100000000000001" customHeight="1" x14ac:dyDescent="0.2">
      <c r="A24" s="3">
        <v>18</v>
      </c>
      <c r="B24" s="4" t="s">
        <v>243</v>
      </c>
      <c r="C24" s="4" t="s">
        <v>244</v>
      </c>
      <c r="D24" s="4" t="s">
        <v>130</v>
      </c>
      <c r="E24" s="5">
        <v>81163</v>
      </c>
      <c r="F24" s="6">
        <v>1324.904812</v>
      </c>
      <c r="G24" s="7">
        <v>1.5942950000000001E-2</v>
      </c>
      <c r="H24" s="53"/>
    </row>
    <row r="25" spans="1:8" ht="29.1" customHeight="1" x14ac:dyDescent="0.2">
      <c r="A25" s="3">
        <v>19</v>
      </c>
      <c r="B25" s="4" t="s">
        <v>556</v>
      </c>
      <c r="C25" s="4" t="s">
        <v>557</v>
      </c>
      <c r="D25" s="4" t="s">
        <v>221</v>
      </c>
      <c r="E25" s="5">
        <v>231652</v>
      </c>
      <c r="F25" s="6">
        <v>1306.2856280000001</v>
      </c>
      <c r="G25" s="7">
        <v>1.5718900000000001E-2</v>
      </c>
      <c r="H25" s="53"/>
    </row>
    <row r="26" spans="1:8" ht="17.100000000000001" customHeight="1" x14ac:dyDescent="0.2">
      <c r="A26" s="3">
        <v>20</v>
      </c>
      <c r="B26" s="4" t="s">
        <v>461</v>
      </c>
      <c r="C26" s="4" t="s">
        <v>462</v>
      </c>
      <c r="D26" s="4" t="s">
        <v>221</v>
      </c>
      <c r="E26" s="5">
        <v>86450</v>
      </c>
      <c r="F26" s="6">
        <v>1117.4094749999999</v>
      </c>
      <c r="G26" s="7">
        <v>1.3446100000000001E-2</v>
      </c>
      <c r="H26" s="53"/>
    </row>
    <row r="27" spans="1:8" ht="17.100000000000001" customHeight="1" x14ac:dyDescent="0.2">
      <c r="A27" s="3">
        <v>21</v>
      </c>
      <c r="B27" s="4" t="s">
        <v>342</v>
      </c>
      <c r="C27" s="4" t="s">
        <v>343</v>
      </c>
      <c r="D27" s="4" t="s">
        <v>130</v>
      </c>
      <c r="E27" s="5">
        <v>14417</v>
      </c>
      <c r="F27" s="6">
        <v>1032.6897100000001</v>
      </c>
      <c r="G27" s="7">
        <v>1.2426649999999999E-2</v>
      </c>
      <c r="H27" s="53"/>
    </row>
    <row r="28" spans="1:8" ht="17.100000000000001" customHeight="1" x14ac:dyDescent="0.2">
      <c r="A28" s="3">
        <v>22</v>
      </c>
      <c r="B28" s="4" t="s">
        <v>410</v>
      </c>
      <c r="C28" s="4" t="s">
        <v>411</v>
      </c>
      <c r="D28" s="4" t="s">
        <v>397</v>
      </c>
      <c r="E28" s="5">
        <v>54682</v>
      </c>
      <c r="F28" s="6">
        <v>1022.471377</v>
      </c>
      <c r="G28" s="7">
        <v>1.2303690000000001E-2</v>
      </c>
      <c r="H28" s="53"/>
    </row>
    <row r="29" spans="1:8" ht="29.1" customHeight="1" x14ac:dyDescent="0.2">
      <c r="A29" s="3">
        <v>23</v>
      </c>
      <c r="B29" s="4" t="s">
        <v>210</v>
      </c>
      <c r="C29" s="4" t="s">
        <v>211</v>
      </c>
      <c r="D29" s="4" t="s">
        <v>130</v>
      </c>
      <c r="E29" s="5">
        <v>75948</v>
      </c>
      <c r="F29" s="6">
        <v>852.02263800000003</v>
      </c>
      <c r="G29" s="7">
        <v>1.025263E-2</v>
      </c>
      <c r="H29" s="53"/>
    </row>
    <row r="30" spans="1:8" ht="17.100000000000001" customHeight="1" x14ac:dyDescent="0.2">
      <c r="A30" s="3">
        <v>24</v>
      </c>
      <c r="B30" s="4" t="s">
        <v>391</v>
      </c>
      <c r="C30" s="4" t="s">
        <v>392</v>
      </c>
      <c r="D30" s="4" t="s">
        <v>130</v>
      </c>
      <c r="E30" s="5">
        <v>111078</v>
      </c>
      <c r="F30" s="6">
        <v>834.58455300000003</v>
      </c>
      <c r="G30" s="7">
        <v>1.0042789999999999E-2</v>
      </c>
      <c r="H30" s="53"/>
    </row>
    <row r="31" spans="1:8" ht="17.100000000000001" customHeight="1" x14ac:dyDescent="0.2">
      <c r="A31" s="3">
        <v>25</v>
      </c>
      <c r="B31" s="4" t="s">
        <v>465</v>
      </c>
      <c r="C31" s="4" t="s">
        <v>466</v>
      </c>
      <c r="D31" s="4" t="s">
        <v>28</v>
      </c>
      <c r="E31" s="5">
        <v>41132</v>
      </c>
      <c r="F31" s="6">
        <v>723.40904999999998</v>
      </c>
      <c r="G31" s="7">
        <v>8.7049899999999993E-3</v>
      </c>
      <c r="H31" s="53"/>
    </row>
    <row r="32" spans="1:8" ht="29.1" customHeight="1" x14ac:dyDescent="0.2">
      <c r="A32" s="3">
        <v>26</v>
      </c>
      <c r="B32" s="4" t="s">
        <v>790</v>
      </c>
      <c r="C32" s="4" t="s">
        <v>791</v>
      </c>
      <c r="D32" s="4" t="s">
        <v>221</v>
      </c>
      <c r="E32" s="5">
        <v>32775</v>
      </c>
      <c r="F32" s="6">
        <v>430.56517500000001</v>
      </c>
      <c r="G32" s="7">
        <v>5.1811100000000001E-3</v>
      </c>
      <c r="H32" s="53"/>
    </row>
    <row r="33" spans="1:8" ht="17.100000000000001" customHeight="1" x14ac:dyDescent="0.2">
      <c r="A33" s="3">
        <v>27</v>
      </c>
      <c r="B33" s="4" t="s">
        <v>540</v>
      </c>
      <c r="C33" s="4" t="s">
        <v>541</v>
      </c>
      <c r="D33" s="4" t="s">
        <v>130</v>
      </c>
      <c r="E33" s="5">
        <v>227868</v>
      </c>
      <c r="F33" s="6">
        <v>200.52384000000001</v>
      </c>
      <c r="G33" s="7">
        <v>2.41296E-3</v>
      </c>
      <c r="H33" s="53"/>
    </row>
    <row r="34" spans="1:8" ht="14.1" customHeight="1" x14ac:dyDescent="0.2">
      <c r="A34" s="1"/>
      <c r="B34" s="1"/>
      <c r="C34" s="2" t="s">
        <v>144</v>
      </c>
      <c r="D34" s="1"/>
      <c r="E34" s="1" t="s">
        <v>145</v>
      </c>
      <c r="F34" s="9">
        <v>79060.206946999999</v>
      </c>
      <c r="G34" s="10">
        <v>0.95135378000000004</v>
      </c>
      <c r="H34" s="53"/>
    </row>
    <row r="35" spans="1:8" ht="14.1" customHeight="1" x14ac:dyDescent="0.2">
      <c r="A35" s="1"/>
      <c r="B35" s="1"/>
      <c r="C35" s="11"/>
      <c r="D35" s="1"/>
      <c r="E35" s="1"/>
      <c r="F35" s="12"/>
      <c r="G35" s="12"/>
      <c r="H35" s="53"/>
    </row>
    <row r="36" spans="1:8" ht="14.1" customHeight="1" x14ac:dyDescent="0.2">
      <c r="A36" s="1"/>
      <c r="B36" s="1"/>
      <c r="C36" s="2" t="s">
        <v>146</v>
      </c>
      <c r="D36" s="1"/>
      <c r="E36" s="1"/>
      <c r="F36" s="1"/>
      <c r="G36" s="1"/>
      <c r="H36" s="53"/>
    </row>
    <row r="37" spans="1:8" ht="14.1" customHeight="1" x14ac:dyDescent="0.2">
      <c r="A37" s="1"/>
      <c r="B37" s="1"/>
      <c r="C37" s="2" t="s">
        <v>144</v>
      </c>
      <c r="D37" s="1"/>
      <c r="E37" s="1" t="s">
        <v>145</v>
      </c>
      <c r="F37" s="13" t="s">
        <v>147</v>
      </c>
      <c r="G37" s="10">
        <v>0</v>
      </c>
      <c r="H37" s="53"/>
    </row>
    <row r="38" spans="1:8" ht="14.1" customHeight="1" x14ac:dyDescent="0.2">
      <c r="A38" s="1"/>
      <c r="B38" s="1"/>
      <c r="C38" s="11"/>
      <c r="D38" s="1"/>
      <c r="E38" s="1"/>
      <c r="F38" s="12"/>
      <c r="G38" s="12"/>
      <c r="H38" s="53"/>
    </row>
    <row r="39" spans="1:8" ht="14.1" customHeight="1" x14ac:dyDescent="0.2">
      <c r="A39" s="1"/>
      <c r="B39" s="1"/>
      <c r="C39" s="2" t="s">
        <v>148</v>
      </c>
      <c r="D39" s="1"/>
      <c r="E39" s="1"/>
      <c r="F39" s="1"/>
      <c r="G39" s="1"/>
      <c r="H39" s="53"/>
    </row>
    <row r="40" spans="1:8" ht="14.1" customHeight="1" x14ac:dyDescent="0.2">
      <c r="A40" s="1"/>
      <c r="B40" s="1"/>
      <c r="C40" s="2" t="s">
        <v>144</v>
      </c>
      <c r="D40" s="1"/>
      <c r="E40" s="1" t="s">
        <v>145</v>
      </c>
      <c r="F40" s="13" t="s">
        <v>147</v>
      </c>
      <c r="G40" s="10">
        <v>0</v>
      </c>
      <c r="H40" s="53"/>
    </row>
    <row r="41" spans="1:8" ht="14.1" customHeight="1" x14ac:dyDescent="0.2">
      <c r="A41" s="1"/>
      <c r="B41" s="1"/>
      <c r="C41" s="11"/>
      <c r="D41" s="1"/>
      <c r="E41" s="1"/>
      <c r="F41" s="12"/>
      <c r="G41" s="12"/>
      <c r="H41" s="53"/>
    </row>
    <row r="42" spans="1:8" ht="14.1" customHeight="1" x14ac:dyDescent="0.2">
      <c r="A42" s="1"/>
      <c r="B42" s="1"/>
      <c r="C42" s="2" t="s">
        <v>149</v>
      </c>
      <c r="D42" s="1"/>
      <c r="E42" s="1"/>
      <c r="F42" s="1"/>
      <c r="G42" s="1"/>
      <c r="H42" s="53"/>
    </row>
    <row r="43" spans="1:8" ht="14.1" customHeight="1" x14ac:dyDescent="0.2">
      <c r="A43" s="1"/>
      <c r="B43" s="1"/>
      <c r="C43" s="2" t="s">
        <v>144</v>
      </c>
      <c r="D43" s="1"/>
      <c r="E43" s="1" t="s">
        <v>145</v>
      </c>
      <c r="F43" s="13" t="s">
        <v>147</v>
      </c>
      <c r="G43" s="10">
        <v>0</v>
      </c>
      <c r="H43" s="53"/>
    </row>
    <row r="44" spans="1:8" ht="14.1" customHeight="1" x14ac:dyDescent="0.2">
      <c r="A44" s="1"/>
      <c r="B44" s="1"/>
      <c r="C44" s="11"/>
      <c r="D44" s="1"/>
      <c r="E44" s="1"/>
      <c r="F44" s="12"/>
      <c r="G44" s="12"/>
      <c r="H44" s="53"/>
    </row>
    <row r="45" spans="1:8" ht="14.1" customHeight="1" x14ac:dyDescent="0.2">
      <c r="A45" s="1"/>
      <c r="B45" s="1"/>
      <c r="C45" s="2" t="s">
        <v>150</v>
      </c>
      <c r="D45" s="1"/>
      <c r="E45" s="1"/>
      <c r="F45" s="12"/>
      <c r="G45" s="12"/>
      <c r="H45" s="53"/>
    </row>
    <row r="46" spans="1:8" ht="14.1" customHeight="1" x14ac:dyDescent="0.2">
      <c r="A46" s="1"/>
      <c r="B46" s="1"/>
      <c r="C46" s="2" t="s">
        <v>144</v>
      </c>
      <c r="D46" s="1"/>
      <c r="E46" s="1" t="s">
        <v>145</v>
      </c>
      <c r="F46" s="13" t="s">
        <v>147</v>
      </c>
      <c r="G46" s="10">
        <v>0</v>
      </c>
      <c r="H46" s="53"/>
    </row>
    <row r="47" spans="1:8" ht="14.1" customHeight="1" x14ac:dyDescent="0.2">
      <c r="A47" s="1"/>
      <c r="B47" s="1"/>
      <c r="C47" s="11"/>
      <c r="D47" s="1"/>
      <c r="E47" s="1"/>
      <c r="F47" s="12"/>
      <c r="G47" s="12"/>
      <c r="H47" s="53"/>
    </row>
    <row r="48" spans="1:8" ht="14.1" customHeight="1" x14ac:dyDescent="0.2">
      <c r="A48" s="1"/>
      <c r="B48" s="1"/>
      <c r="C48" s="2" t="s">
        <v>151</v>
      </c>
      <c r="D48" s="1"/>
      <c r="E48" s="1"/>
      <c r="F48" s="12"/>
      <c r="G48" s="12"/>
      <c r="H48" s="53"/>
    </row>
    <row r="49" spans="1:8" ht="14.1" customHeight="1" x14ac:dyDescent="0.2">
      <c r="A49" s="1"/>
      <c r="B49" s="1"/>
      <c r="C49" s="2" t="s">
        <v>144</v>
      </c>
      <c r="D49" s="1"/>
      <c r="E49" s="1" t="s">
        <v>145</v>
      </c>
      <c r="F49" s="13" t="s">
        <v>147</v>
      </c>
      <c r="G49" s="10">
        <v>0</v>
      </c>
      <c r="H49" s="53"/>
    </row>
    <row r="50" spans="1:8" ht="14.1" customHeight="1" x14ac:dyDescent="0.2">
      <c r="A50" s="1"/>
      <c r="B50" s="1"/>
      <c r="C50" s="11"/>
      <c r="D50" s="1"/>
      <c r="E50" s="1"/>
      <c r="F50" s="12"/>
      <c r="G50" s="12"/>
      <c r="H50" s="53"/>
    </row>
    <row r="51" spans="1:8" ht="18" customHeight="1" x14ac:dyDescent="0.2">
      <c r="A51" s="1"/>
      <c r="B51" s="1"/>
      <c r="C51" s="2" t="s">
        <v>152</v>
      </c>
      <c r="D51" s="1"/>
      <c r="E51" s="1"/>
      <c r="F51" s="9">
        <v>79060.206946999999</v>
      </c>
      <c r="G51" s="10">
        <v>0.95135378000000004</v>
      </c>
      <c r="H51" s="53"/>
    </row>
    <row r="52" spans="1:8" ht="14.1" customHeight="1" x14ac:dyDescent="0.2">
      <c r="A52" s="1"/>
      <c r="B52" s="1"/>
      <c r="C52" s="11"/>
      <c r="D52" s="1"/>
      <c r="E52" s="1"/>
      <c r="F52" s="12"/>
      <c r="G52" s="12"/>
      <c r="H52" s="53"/>
    </row>
    <row r="53" spans="1:8" ht="14.1" customHeight="1" x14ac:dyDescent="0.2">
      <c r="A53" s="1"/>
      <c r="B53" s="1"/>
      <c r="C53" s="2" t="s">
        <v>153</v>
      </c>
      <c r="D53" s="1"/>
      <c r="E53" s="1"/>
      <c r="F53" s="12"/>
      <c r="G53" s="12"/>
      <c r="H53" s="53"/>
    </row>
    <row r="54" spans="1:8" ht="24" customHeight="1" x14ac:dyDescent="0.2">
      <c r="A54" s="1"/>
      <c r="B54" s="1"/>
      <c r="C54" s="2" t="s">
        <v>10</v>
      </c>
      <c r="D54" s="1"/>
      <c r="E54" s="1"/>
      <c r="F54" s="12"/>
      <c r="G54" s="12"/>
      <c r="H54" s="53"/>
    </row>
    <row r="55" spans="1:8" ht="14.1" customHeight="1" x14ac:dyDescent="0.2">
      <c r="A55" s="1"/>
      <c r="B55" s="1"/>
      <c r="C55" s="2" t="s">
        <v>144</v>
      </c>
      <c r="D55" s="1"/>
      <c r="E55" s="1" t="s">
        <v>145</v>
      </c>
      <c r="F55" s="13" t="s">
        <v>147</v>
      </c>
      <c r="G55" s="10">
        <v>0</v>
      </c>
      <c r="H55" s="53"/>
    </row>
    <row r="56" spans="1:8" ht="14.1" customHeight="1" x14ac:dyDescent="0.2">
      <c r="A56" s="1"/>
      <c r="B56" s="1"/>
      <c r="C56" s="11"/>
      <c r="D56" s="1"/>
      <c r="E56" s="1"/>
      <c r="F56" s="12"/>
      <c r="G56" s="12"/>
      <c r="H56" s="53"/>
    </row>
    <row r="57" spans="1:8" ht="14.1" customHeight="1" x14ac:dyDescent="0.2">
      <c r="A57" s="1"/>
      <c r="B57" s="1"/>
      <c r="C57" s="2" t="s">
        <v>154</v>
      </c>
      <c r="D57" s="1"/>
      <c r="E57" s="1"/>
      <c r="F57" s="1"/>
      <c r="G57" s="1"/>
      <c r="H57" s="53"/>
    </row>
    <row r="58" spans="1:8" ht="14.1" customHeight="1" x14ac:dyDescent="0.2">
      <c r="A58" s="1"/>
      <c r="B58" s="1"/>
      <c r="C58" s="2" t="s">
        <v>144</v>
      </c>
      <c r="D58" s="1"/>
      <c r="E58" s="1" t="s">
        <v>145</v>
      </c>
      <c r="F58" s="13" t="s">
        <v>147</v>
      </c>
      <c r="G58" s="10">
        <v>0</v>
      </c>
      <c r="H58" s="53"/>
    </row>
    <row r="59" spans="1:8" ht="14.1" customHeight="1" x14ac:dyDescent="0.2">
      <c r="A59" s="1"/>
      <c r="B59" s="1"/>
      <c r="C59" s="11"/>
      <c r="D59" s="1"/>
      <c r="E59" s="1"/>
      <c r="F59" s="12"/>
      <c r="G59" s="12"/>
      <c r="H59" s="53"/>
    </row>
    <row r="60" spans="1:8" ht="14.1" customHeight="1" x14ac:dyDescent="0.2">
      <c r="A60" s="1"/>
      <c r="B60" s="1"/>
      <c r="C60" s="2" t="s">
        <v>155</v>
      </c>
      <c r="D60" s="1"/>
      <c r="E60" s="1"/>
      <c r="F60" s="1"/>
      <c r="G60" s="1"/>
      <c r="H60" s="53"/>
    </row>
    <row r="61" spans="1:8" ht="14.1" customHeight="1" x14ac:dyDescent="0.2">
      <c r="A61" s="1"/>
      <c r="B61" s="1"/>
      <c r="C61" s="2" t="s">
        <v>144</v>
      </c>
      <c r="D61" s="1"/>
      <c r="E61" s="1" t="s">
        <v>145</v>
      </c>
      <c r="F61" s="13" t="s">
        <v>147</v>
      </c>
      <c r="G61" s="10">
        <v>0</v>
      </c>
      <c r="H61" s="53"/>
    </row>
    <row r="62" spans="1:8" ht="14.1" customHeight="1" x14ac:dyDescent="0.2">
      <c r="A62" s="1"/>
      <c r="B62" s="1"/>
      <c r="C62" s="11"/>
      <c r="D62" s="1"/>
      <c r="E62" s="1"/>
      <c r="F62" s="12"/>
      <c r="G62" s="12"/>
      <c r="H62" s="53"/>
    </row>
    <row r="63" spans="1:8" ht="14.1" customHeight="1" x14ac:dyDescent="0.2">
      <c r="A63" s="1"/>
      <c r="B63" s="1"/>
      <c r="C63" s="2" t="s">
        <v>156</v>
      </c>
      <c r="D63" s="1"/>
      <c r="E63" s="1"/>
      <c r="F63" s="12"/>
      <c r="G63" s="12"/>
      <c r="H63" s="53"/>
    </row>
    <row r="64" spans="1:8" ht="14.1" customHeight="1" x14ac:dyDescent="0.2">
      <c r="A64" s="1"/>
      <c r="B64" s="1"/>
      <c r="C64" s="2" t="s">
        <v>144</v>
      </c>
      <c r="D64" s="1"/>
      <c r="E64" s="1" t="s">
        <v>145</v>
      </c>
      <c r="F64" s="13" t="s">
        <v>147</v>
      </c>
      <c r="G64" s="10">
        <v>0</v>
      </c>
      <c r="H64" s="53"/>
    </row>
    <row r="65" spans="1:8" ht="14.1" customHeight="1" x14ac:dyDescent="0.2">
      <c r="A65" s="1"/>
      <c r="B65" s="1"/>
      <c r="C65" s="11"/>
      <c r="D65" s="1"/>
      <c r="E65" s="1"/>
      <c r="F65" s="12"/>
      <c r="G65" s="12"/>
      <c r="H65" s="53"/>
    </row>
    <row r="66" spans="1:8" ht="14.1" customHeight="1" x14ac:dyDescent="0.2">
      <c r="A66" s="1"/>
      <c r="B66" s="1"/>
      <c r="C66" s="2" t="s">
        <v>157</v>
      </c>
      <c r="D66" s="1"/>
      <c r="E66" s="1"/>
      <c r="F66" s="9">
        <v>0</v>
      </c>
      <c r="G66" s="10">
        <v>0</v>
      </c>
      <c r="H66" s="53"/>
    </row>
    <row r="67" spans="1:8" ht="14.1" customHeight="1" x14ac:dyDescent="0.2">
      <c r="A67" s="1"/>
      <c r="B67" s="1"/>
      <c r="C67" s="11"/>
      <c r="D67" s="1"/>
      <c r="E67" s="1"/>
      <c r="F67" s="12"/>
      <c r="G67" s="12"/>
      <c r="H67" s="53"/>
    </row>
    <row r="68" spans="1:8" ht="14.1" customHeight="1" x14ac:dyDescent="0.2">
      <c r="A68" s="1"/>
      <c r="B68" s="1"/>
      <c r="C68" s="2" t="s">
        <v>158</v>
      </c>
      <c r="D68" s="1"/>
      <c r="E68" s="1"/>
      <c r="F68" s="12"/>
      <c r="G68" s="12"/>
      <c r="H68" s="53"/>
    </row>
    <row r="69" spans="1:8" ht="14.1" customHeight="1" x14ac:dyDescent="0.2">
      <c r="A69" s="1"/>
      <c r="B69" s="1"/>
      <c r="C69" s="2" t="s">
        <v>159</v>
      </c>
      <c r="D69" s="1"/>
      <c r="E69" s="1"/>
      <c r="F69" s="12"/>
      <c r="G69" s="12"/>
      <c r="H69" s="53"/>
    </row>
    <row r="70" spans="1:8" ht="14.1" customHeight="1" x14ac:dyDescent="0.2">
      <c r="A70" s="1"/>
      <c r="B70" s="1"/>
      <c r="C70" s="2" t="s">
        <v>144</v>
      </c>
      <c r="D70" s="1"/>
      <c r="E70" s="1" t="s">
        <v>145</v>
      </c>
      <c r="F70" s="13" t="s">
        <v>147</v>
      </c>
      <c r="G70" s="10">
        <v>0</v>
      </c>
      <c r="H70" s="53"/>
    </row>
    <row r="71" spans="1:8" ht="14.1" customHeight="1" x14ac:dyDescent="0.2">
      <c r="A71" s="1"/>
      <c r="B71" s="1"/>
      <c r="C71" s="11"/>
      <c r="D71" s="1"/>
      <c r="E71" s="1"/>
      <c r="F71" s="12"/>
      <c r="G71" s="12"/>
      <c r="H71" s="53"/>
    </row>
    <row r="72" spans="1:8" ht="14.1" customHeight="1" x14ac:dyDescent="0.2">
      <c r="A72" s="1"/>
      <c r="B72" s="1"/>
      <c r="C72" s="2" t="s">
        <v>160</v>
      </c>
      <c r="D72" s="1"/>
      <c r="E72" s="1"/>
      <c r="F72" s="12"/>
      <c r="G72" s="12"/>
      <c r="H72" s="53"/>
    </row>
    <row r="73" spans="1:8" ht="14.1" customHeight="1" x14ac:dyDescent="0.2">
      <c r="A73" s="1"/>
      <c r="B73" s="1"/>
      <c r="C73" s="2" t="s">
        <v>144</v>
      </c>
      <c r="D73" s="1"/>
      <c r="E73" s="1" t="s">
        <v>145</v>
      </c>
      <c r="F73" s="13" t="s">
        <v>147</v>
      </c>
      <c r="G73" s="10">
        <v>0</v>
      </c>
      <c r="H73" s="53"/>
    </row>
    <row r="74" spans="1:8" ht="14.1" customHeight="1" x14ac:dyDescent="0.2">
      <c r="A74" s="1"/>
      <c r="B74" s="1"/>
      <c r="C74" s="11"/>
      <c r="D74" s="1"/>
      <c r="E74" s="1"/>
      <c r="F74" s="12"/>
      <c r="G74" s="12"/>
      <c r="H74" s="53"/>
    </row>
    <row r="75" spans="1:8" ht="14.1" customHeight="1" x14ac:dyDescent="0.2">
      <c r="A75" s="1"/>
      <c r="B75" s="1"/>
      <c r="C75" s="2" t="s">
        <v>161</v>
      </c>
      <c r="D75" s="1"/>
      <c r="E75" s="1"/>
      <c r="F75" s="12"/>
      <c r="G75" s="12"/>
      <c r="H75" s="53"/>
    </row>
    <row r="76" spans="1:8" ht="14.1" customHeight="1" x14ac:dyDescent="0.2">
      <c r="A76" s="1"/>
      <c r="B76" s="1"/>
      <c r="C76" s="2" t="s">
        <v>144</v>
      </c>
      <c r="D76" s="1"/>
      <c r="E76" s="1" t="s">
        <v>145</v>
      </c>
      <c r="F76" s="13" t="s">
        <v>147</v>
      </c>
      <c r="G76" s="10">
        <v>0</v>
      </c>
      <c r="H76" s="53"/>
    </row>
    <row r="77" spans="1:8" ht="14.1" customHeight="1" x14ac:dyDescent="0.2">
      <c r="A77" s="1"/>
      <c r="B77" s="1"/>
      <c r="C77" s="11"/>
      <c r="D77" s="1"/>
      <c r="E77" s="1"/>
      <c r="F77" s="12"/>
      <c r="G77" s="12"/>
      <c r="H77" s="53"/>
    </row>
    <row r="78" spans="1:8" ht="14.1" customHeight="1" x14ac:dyDescent="0.2">
      <c r="A78" s="1"/>
      <c r="B78" s="1"/>
      <c r="C78" s="2" t="s">
        <v>162</v>
      </c>
      <c r="D78" s="1"/>
      <c r="E78" s="1"/>
      <c r="F78" s="12"/>
      <c r="G78" s="12"/>
      <c r="H78" s="53"/>
    </row>
    <row r="79" spans="1:8" ht="17.100000000000001" customHeight="1" x14ac:dyDescent="0.2">
      <c r="A79" s="3">
        <v>1</v>
      </c>
      <c r="B79" s="4"/>
      <c r="C79" s="4" t="s">
        <v>163</v>
      </c>
      <c r="D79" s="4"/>
      <c r="E79" s="8"/>
      <c r="F79" s="6">
        <v>2672.7179409989999</v>
      </c>
      <c r="G79" s="7">
        <v>3.216157E-2</v>
      </c>
      <c r="H79" s="51">
        <v>6.6602331647804478</v>
      </c>
    </row>
    <row r="80" spans="1:8" ht="17.100000000000001" customHeight="1" x14ac:dyDescent="0.2">
      <c r="A80" s="3">
        <v>2</v>
      </c>
      <c r="B80" s="4"/>
      <c r="C80" s="4" t="s">
        <v>164</v>
      </c>
      <c r="D80" s="4"/>
      <c r="E80" s="8"/>
      <c r="F80" s="6">
        <v>2043.3680099000001</v>
      </c>
      <c r="G80" s="7">
        <v>2.458842E-2</v>
      </c>
      <c r="H80" s="51">
        <v>6.6588225936582406</v>
      </c>
    </row>
    <row r="81" spans="1:8" ht="14.1" customHeight="1" x14ac:dyDescent="0.2">
      <c r="A81" s="1"/>
      <c r="B81" s="1"/>
      <c r="C81" s="2" t="s">
        <v>144</v>
      </c>
      <c r="D81" s="1"/>
      <c r="E81" s="1" t="s">
        <v>145</v>
      </c>
      <c r="F81" s="9">
        <v>4716.0859508989997</v>
      </c>
      <c r="G81" s="10">
        <v>5.674999E-2</v>
      </c>
      <c r="H81" s="53"/>
    </row>
    <row r="82" spans="1:8" ht="14.1" customHeight="1" x14ac:dyDescent="0.2">
      <c r="A82" s="1"/>
      <c r="B82" s="1"/>
      <c r="C82" s="11"/>
      <c r="D82" s="1"/>
      <c r="E82" s="1"/>
      <c r="F82" s="12"/>
      <c r="G82" s="12"/>
      <c r="H82" s="53"/>
    </row>
    <row r="83" spans="1:8" ht="14.1" customHeight="1" x14ac:dyDescent="0.2">
      <c r="A83" s="1"/>
      <c r="B83" s="1"/>
      <c r="C83" s="2" t="s">
        <v>165</v>
      </c>
      <c r="D83" s="1"/>
      <c r="E83" s="1"/>
      <c r="F83" s="9">
        <v>4716.0859508989997</v>
      </c>
      <c r="G83" s="10">
        <v>5.674999E-2</v>
      </c>
      <c r="H83" s="53"/>
    </row>
    <row r="84" spans="1:8" ht="14.1" customHeight="1" x14ac:dyDescent="0.2">
      <c r="A84" s="1"/>
      <c r="B84" s="1"/>
      <c r="C84" s="12"/>
      <c r="D84" s="1"/>
      <c r="E84" s="1"/>
      <c r="F84" s="1"/>
      <c r="G84" s="1"/>
      <c r="H84" s="53"/>
    </row>
    <row r="85" spans="1:8" ht="14.1" customHeight="1" x14ac:dyDescent="0.2">
      <c r="A85" s="1"/>
      <c r="B85" s="1"/>
      <c r="C85" s="2" t="s">
        <v>166</v>
      </c>
      <c r="D85" s="1"/>
      <c r="E85" s="1"/>
      <c r="F85" s="1"/>
      <c r="G85" s="1"/>
      <c r="H85" s="53"/>
    </row>
    <row r="86" spans="1:8" ht="14.1" customHeight="1" x14ac:dyDescent="0.2">
      <c r="A86" s="1"/>
      <c r="B86" s="1"/>
      <c r="C86" s="2" t="s">
        <v>167</v>
      </c>
      <c r="D86" s="1"/>
      <c r="E86" s="1"/>
      <c r="F86" s="1"/>
      <c r="G86" s="1"/>
      <c r="H86" s="53"/>
    </row>
    <row r="87" spans="1:8" ht="14.1" customHeight="1" x14ac:dyDescent="0.2">
      <c r="A87" s="1"/>
      <c r="B87" s="1"/>
      <c r="C87" s="2" t="s">
        <v>144</v>
      </c>
      <c r="D87" s="1"/>
      <c r="E87" s="1" t="s">
        <v>145</v>
      </c>
      <c r="F87" s="13" t="s">
        <v>147</v>
      </c>
      <c r="G87" s="10">
        <v>0</v>
      </c>
      <c r="H87" s="53"/>
    </row>
    <row r="88" spans="1:8" ht="14.1" customHeight="1" x14ac:dyDescent="0.2">
      <c r="A88" s="1"/>
      <c r="B88" s="1"/>
      <c r="C88" s="11"/>
      <c r="D88" s="1"/>
      <c r="E88" s="1"/>
      <c r="F88" s="12"/>
      <c r="G88" s="12"/>
      <c r="H88" s="53"/>
    </row>
    <row r="89" spans="1:8" ht="14.1" customHeight="1" x14ac:dyDescent="0.2">
      <c r="A89" s="1"/>
      <c r="B89" s="1"/>
      <c r="C89" s="2" t="s">
        <v>168</v>
      </c>
      <c r="D89" s="1"/>
      <c r="E89" s="1"/>
      <c r="F89" s="1"/>
      <c r="G89" s="1"/>
      <c r="H89" s="53"/>
    </row>
    <row r="90" spans="1:8" ht="14.1" customHeight="1" x14ac:dyDescent="0.2">
      <c r="A90" s="1"/>
      <c r="B90" s="1"/>
      <c r="C90" s="2" t="s">
        <v>169</v>
      </c>
      <c r="D90" s="1"/>
      <c r="E90" s="1"/>
      <c r="F90" s="1"/>
      <c r="G90" s="1"/>
      <c r="H90" s="53"/>
    </row>
    <row r="91" spans="1:8" ht="14.1" customHeight="1" x14ac:dyDescent="0.2">
      <c r="A91" s="1"/>
      <c r="B91" s="1"/>
      <c r="C91" s="2" t="s">
        <v>144</v>
      </c>
      <c r="D91" s="1"/>
      <c r="E91" s="1" t="s">
        <v>145</v>
      </c>
      <c r="F91" s="13" t="s">
        <v>147</v>
      </c>
      <c r="G91" s="10">
        <v>0</v>
      </c>
      <c r="H91" s="53"/>
    </row>
    <row r="92" spans="1:8" ht="14.1" customHeight="1" x14ac:dyDescent="0.2">
      <c r="A92" s="1"/>
      <c r="B92" s="1"/>
      <c r="C92" s="11"/>
      <c r="D92" s="1"/>
      <c r="E92" s="1"/>
      <c r="F92" s="12"/>
      <c r="G92" s="12"/>
      <c r="H92" s="53"/>
    </row>
    <row r="93" spans="1:8" ht="24" customHeight="1" x14ac:dyDescent="0.2">
      <c r="A93" s="1"/>
      <c r="B93" s="1"/>
      <c r="C93" s="2" t="s">
        <v>170</v>
      </c>
      <c r="D93" s="1"/>
      <c r="E93" s="1"/>
      <c r="F93" s="12"/>
      <c r="G93" s="12"/>
      <c r="H93" s="53"/>
    </row>
    <row r="94" spans="1:8" ht="14.1" customHeight="1" x14ac:dyDescent="0.2">
      <c r="A94" s="1"/>
      <c r="B94" s="1"/>
      <c r="C94" s="2" t="s">
        <v>144</v>
      </c>
      <c r="D94" s="1"/>
      <c r="E94" s="1" t="s">
        <v>145</v>
      </c>
      <c r="F94" s="13" t="s">
        <v>147</v>
      </c>
      <c r="G94" s="10">
        <v>0</v>
      </c>
      <c r="H94" s="53"/>
    </row>
    <row r="95" spans="1:8" ht="14.1" customHeight="1" x14ac:dyDescent="0.2">
      <c r="A95" s="1"/>
      <c r="B95" s="1"/>
      <c r="C95" s="11"/>
      <c r="D95" s="1"/>
      <c r="E95" s="1"/>
      <c r="F95" s="12"/>
      <c r="G95" s="12"/>
      <c r="H95" s="53"/>
    </row>
    <row r="96" spans="1:8" ht="14.1" customHeight="1" x14ac:dyDescent="0.2">
      <c r="A96" s="1"/>
      <c r="B96" s="4"/>
      <c r="C96" s="4"/>
      <c r="D96" s="2"/>
      <c r="E96" s="1"/>
      <c r="F96" s="4"/>
      <c r="G96" s="8"/>
      <c r="H96" s="53"/>
    </row>
    <row r="97" spans="1:8" ht="18" customHeight="1" x14ac:dyDescent="0.2">
      <c r="A97" s="8"/>
      <c r="B97" s="4"/>
      <c r="C97" s="4" t="s">
        <v>171</v>
      </c>
      <c r="D97" s="4"/>
      <c r="E97" s="8"/>
      <c r="F97" s="6">
        <v>-673.44368698999995</v>
      </c>
      <c r="G97" s="7">
        <v>-8.1037399999999999E-3</v>
      </c>
      <c r="H97" s="53"/>
    </row>
    <row r="98" spans="1:8" ht="14.1" customHeight="1" x14ac:dyDescent="0.2">
      <c r="A98" s="11"/>
      <c r="B98" s="11"/>
      <c r="C98" s="2" t="s">
        <v>172</v>
      </c>
      <c r="D98" s="12"/>
      <c r="E98" s="12"/>
      <c r="F98" s="9">
        <v>83102.849210909</v>
      </c>
      <c r="G98" s="14">
        <v>1.00000003</v>
      </c>
      <c r="H98" s="53"/>
    </row>
    <row r="99" spans="1:8" ht="14.1" customHeight="1" x14ac:dyDescent="0.2">
      <c r="A99" s="15"/>
      <c r="B99" s="15"/>
      <c r="C99" s="15"/>
      <c r="D99" s="16"/>
      <c r="E99" s="16"/>
      <c r="F99" s="16"/>
      <c r="G99" s="16"/>
    </row>
    <row r="100" spans="1:8" ht="14.1" customHeight="1" x14ac:dyDescent="0.2">
      <c r="A100" s="17"/>
      <c r="B100" s="17"/>
      <c r="C100" s="17"/>
      <c r="D100" s="19"/>
      <c r="E100" s="19"/>
      <c r="F100" s="19"/>
      <c r="G100" s="19"/>
    </row>
    <row r="101" spans="1:8" ht="14.1" customHeight="1" x14ac:dyDescent="0.2">
      <c r="A101" s="17"/>
      <c r="B101" s="231" t="s">
        <v>174</v>
      </c>
      <c r="C101" s="232"/>
      <c r="D101" s="233"/>
      <c r="E101" s="20"/>
      <c r="F101" s="19"/>
      <c r="G101" s="19"/>
    </row>
    <row r="102" spans="1:8" ht="29.1" customHeight="1" x14ac:dyDescent="0.2">
      <c r="A102" s="17"/>
      <c r="B102" s="226" t="s">
        <v>175</v>
      </c>
      <c r="C102" s="227"/>
      <c r="D102" s="2" t="s">
        <v>176</v>
      </c>
      <c r="E102" s="20"/>
      <c r="F102" s="19"/>
      <c r="G102" s="19"/>
    </row>
    <row r="103" spans="1:8" ht="17.100000000000001" customHeight="1" x14ac:dyDescent="0.2">
      <c r="A103" s="17"/>
      <c r="B103" s="226" t="s">
        <v>177</v>
      </c>
      <c r="C103" s="227"/>
      <c r="D103" s="2" t="s">
        <v>176</v>
      </c>
      <c r="E103" s="20"/>
      <c r="F103" s="19"/>
      <c r="G103" s="19"/>
    </row>
    <row r="104" spans="1:8" ht="17.100000000000001" customHeight="1" x14ac:dyDescent="0.2">
      <c r="A104" s="17"/>
      <c r="B104" s="226" t="s">
        <v>178</v>
      </c>
      <c r="C104" s="227"/>
      <c r="D104" s="12" t="s">
        <v>145</v>
      </c>
      <c r="E104" s="20"/>
      <c r="F104" s="19"/>
      <c r="G104" s="19"/>
    </row>
    <row r="105" spans="1:8" ht="24" customHeight="1" x14ac:dyDescent="0.2">
      <c r="A105" s="21"/>
      <c r="B105" s="22" t="s">
        <v>145</v>
      </c>
      <c r="C105" s="22" t="s">
        <v>179</v>
      </c>
      <c r="D105" s="22" t="s">
        <v>180</v>
      </c>
      <c r="E105" s="21"/>
      <c r="F105" s="21"/>
      <c r="G105" s="21"/>
    </row>
    <row r="106" spans="1:8" ht="18" customHeight="1" x14ac:dyDescent="0.2">
      <c r="A106" s="21"/>
      <c r="B106" s="23" t="s">
        <v>181</v>
      </c>
      <c r="C106" s="22" t="s">
        <v>182</v>
      </c>
      <c r="D106" s="22" t="s">
        <v>183</v>
      </c>
      <c r="E106" s="21"/>
      <c r="F106" s="21"/>
      <c r="G106" s="21"/>
    </row>
    <row r="107" spans="1:8" ht="17.100000000000001" customHeight="1" x14ac:dyDescent="0.2">
      <c r="A107" s="21"/>
      <c r="B107" s="4" t="s">
        <v>184</v>
      </c>
      <c r="C107" s="24">
        <v>84.252899999999997</v>
      </c>
      <c r="D107" s="24">
        <v>82.996300000000005</v>
      </c>
      <c r="E107" s="21"/>
      <c r="F107" s="18"/>
      <c r="G107" s="25"/>
    </row>
    <row r="108" spans="1:8" ht="17.100000000000001" customHeight="1" x14ac:dyDescent="0.2">
      <c r="A108" s="21"/>
      <c r="B108" s="4" t="s">
        <v>1009</v>
      </c>
      <c r="C108" s="24">
        <v>30.789200000000001</v>
      </c>
      <c r="D108" s="24">
        <v>30.33</v>
      </c>
      <c r="E108" s="21"/>
      <c r="F108" s="18"/>
      <c r="G108" s="25"/>
    </row>
    <row r="109" spans="1:8" ht="29.1" customHeight="1" x14ac:dyDescent="0.2">
      <c r="A109" s="21"/>
      <c r="B109" s="4" t="s">
        <v>840</v>
      </c>
      <c r="C109" s="24">
        <v>86.627600000000001</v>
      </c>
      <c r="D109" s="24">
        <v>85.335499999999996</v>
      </c>
      <c r="E109" s="21"/>
      <c r="F109" s="18"/>
      <c r="G109" s="25"/>
    </row>
    <row r="110" spans="1:8" ht="29.1" customHeight="1" x14ac:dyDescent="0.2">
      <c r="A110" s="21"/>
      <c r="B110" s="4" t="s">
        <v>1018</v>
      </c>
      <c r="C110" s="24">
        <v>31.3232</v>
      </c>
      <c r="D110" s="24">
        <v>30.856200000000001</v>
      </c>
      <c r="E110" s="21"/>
      <c r="F110" s="18"/>
      <c r="G110" s="25"/>
    </row>
    <row r="111" spans="1:8" ht="17.100000000000001" customHeight="1" x14ac:dyDescent="0.2">
      <c r="A111" s="21"/>
      <c r="B111" s="4" t="s">
        <v>185</v>
      </c>
      <c r="C111" s="24">
        <v>76.669499999999999</v>
      </c>
      <c r="D111" s="24">
        <v>75.437200000000004</v>
      </c>
      <c r="E111" s="21"/>
      <c r="F111" s="18"/>
      <c r="G111" s="25"/>
    </row>
    <row r="112" spans="1:8" ht="17.100000000000001" customHeight="1" x14ac:dyDescent="0.2">
      <c r="A112" s="21"/>
      <c r="B112" s="4" t="s">
        <v>1010</v>
      </c>
      <c r="C112" s="24">
        <v>27.562200000000001</v>
      </c>
      <c r="D112" s="24">
        <v>27.119199999999999</v>
      </c>
      <c r="E112" s="21"/>
      <c r="F112" s="18"/>
      <c r="G112" s="25"/>
    </row>
    <row r="113" spans="1:7" ht="14.1" customHeight="1" x14ac:dyDescent="0.2">
      <c r="A113" s="21"/>
      <c r="B113" s="21"/>
      <c r="C113" s="21"/>
      <c r="D113" s="21"/>
      <c r="E113" s="21"/>
      <c r="F113" s="21"/>
      <c r="G113" s="21"/>
    </row>
    <row r="114" spans="1:7" ht="17.100000000000001" customHeight="1" x14ac:dyDescent="0.2">
      <c r="A114" s="21"/>
      <c r="B114" s="226" t="s">
        <v>1011</v>
      </c>
      <c r="C114" s="227"/>
      <c r="D114" s="42" t="s">
        <v>176</v>
      </c>
      <c r="E114" s="21"/>
      <c r="F114" s="21"/>
      <c r="G114" s="21"/>
    </row>
    <row r="115" spans="1:7" ht="18" customHeight="1" x14ac:dyDescent="0.2">
      <c r="A115" s="21"/>
      <c r="B115" s="26"/>
      <c r="C115" s="26"/>
      <c r="D115" s="26"/>
      <c r="E115" s="21"/>
      <c r="F115" s="21"/>
      <c r="G115" s="21"/>
    </row>
    <row r="116" spans="1:7" ht="29.1" customHeight="1" x14ac:dyDescent="0.2">
      <c r="A116" s="21"/>
      <c r="B116" s="226" t="s">
        <v>186</v>
      </c>
      <c r="C116" s="227"/>
      <c r="D116" s="2" t="s">
        <v>176</v>
      </c>
      <c r="E116" s="27"/>
      <c r="F116" s="21"/>
      <c r="G116" s="21"/>
    </row>
    <row r="117" spans="1:7" ht="29.1" customHeight="1" x14ac:dyDescent="0.2">
      <c r="A117" s="21"/>
      <c r="B117" s="226" t="s">
        <v>187</v>
      </c>
      <c r="C117" s="227"/>
      <c r="D117" s="2" t="s">
        <v>176</v>
      </c>
      <c r="E117" s="27"/>
      <c r="F117" s="21"/>
      <c r="G117" s="21"/>
    </row>
    <row r="118" spans="1:7" ht="17.100000000000001" customHeight="1" x14ac:dyDescent="0.2">
      <c r="A118" s="21"/>
      <c r="B118" s="226" t="s">
        <v>188</v>
      </c>
      <c r="C118" s="227"/>
      <c r="D118" s="2" t="s">
        <v>176</v>
      </c>
      <c r="E118" s="27"/>
      <c r="F118" s="21"/>
      <c r="G118" s="21"/>
    </row>
    <row r="119" spans="1:7" ht="17.100000000000001" customHeight="1" x14ac:dyDescent="0.2">
      <c r="A119" s="21"/>
      <c r="B119" s="226" t="s">
        <v>189</v>
      </c>
      <c r="C119" s="227"/>
      <c r="D119" s="57">
        <v>0.61547681006376842</v>
      </c>
      <c r="E119" s="21"/>
      <c r="F119" s="18"/>
      <c r="G119" s="25"/>
    </row>
  </sheetData>
  <mergeCells count="13">
    <mergeCell ref="A1:H1"/>
    <mergeCell ref="A2:H2"/>
    <mergeCell ref="A3:H3"/>
    <mergeCell ref="J2:N2"/>
    <mergeCell ref="B119:C119"/>
    <mergeCell ref="B103:C103"/>
    <mergeCell ref="B104:C104"/>
    <mergeCell ref="B114:C114"/>
    <mergeCell ref="B116:C116"/>
    <mergeCell ref="B117:C117"/>
    <mergeCell ref="B118:C118"/>
    <mergeCell ref="B102:C102"/>
    <mergeCell ref="B101:D101"/>
  </mergeCells>
  <hyperlinks>
    <hyperlink ref="I1" location="Index!B31" display="Index" xr:uid="{31101AFB-A803-4201-A30B-B38FA674D8EB}"/>
  </hyperlinks>
  <pageMargins left="5.000000074505806E-2" right="5.000000074505806E-2" top="0.30000001192092896" bottom="0.20000000298023224" header="0" footer="0"/>
  <pageSetup paperSize="9" orientation="landscape" r:id="rId1"/>
  <headerFooter alignWithMargins="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245E0-01F2-4514-99A1-41288DF1FCE1}">
  <dimension ref="B1:L177"/>
  <sheetViews>
    <sheetView workbookViewId="0"/>
  </sheetViews>
  <sheetFormatPr defaultColWidth="9.140625" defaultRowHeight="12.75" x14ac:dyDescent="0.2"/>
  <cols>
    <col min="1" max="1" width="5.140625" style="125" customWidth="1"/>
    <col min="2" max="2" width="38.140625" style="125" bestFit="1" customWidth="1"/>
    <col min="3" max="3" width="54.7109375" style="125" customWidth="1"/>
    <col min="4" max="4" width="17.28515625" style="125" bestFit="1" customWidth="1"/>
    <col min="5" max="5" width="20.140625" style="125" bestFit="1" customWidth="1"/>
    <col min="6" max="6" width="16.5703125" style="125" customWidth="1"/>
    <col min="7" max="7" width="18.7109375" style="125" bestFit="1" customWidth="1"/>
    <col min="8" max="8" width="17.5703125" style="125" customWidth="1"/>
    <col min="9" max="9" width="15.5703125" style="125" bestFit="1" customWidth="1"/>
    <col min="10" max="10" width="13.5703125" style="125" customWidth="1"/>
    <col min="11" max="11" width="20.5703125" style="125" customWidth="1"/>
    <col min="12" max="12" width="12.42578125" style="125" bestFit="1" customWidth="1"/>
    <col min="13" max="256" width="9.140625" style="125"/>
    <col min="257" max="257" width="23" style="125" customWidth="1"/>
    <col min="258" max="258" width="42" style="125" customWidth="1"/>
    <col min="259" max="259" width="54.7109375" style="125" customWidth="1"/>
    <col min="260" max="260" width="17.28515625" style="125" bestFit="1" customWidth="1"/>
    <col min="261" max="261" width="20.140625" style="125" bestFit="1" customWidth="1"/>
    <col min="262" max="262" width="16.5703125" style="125" customWidth="1"/>
    <col min="263" max="263" width="18.7109375" style="125" bestFit="1" customWidth="1"/>
    <col min="264" max="264" width="17.5703125" style="125" customWidth="1"/>
    <col min="265" max="265" width="15.5703125" style="125" bestFit="1" customWidth="1"/>
    <col min="266" max="266" width="13.5703125" style="125" customWidth="1"/>
    <col min="267" max="267" width="20.5703125" style="125" customWidth="1"/>
    <col min="268" max="268" width="12.42578125" style="125" bestFit="1" customWidth="1"/>
    <col min="269" max="512" width="9.140625" style="125"/>
    <col min="513" max="513" width="23" style="125" customWidth="1"/>
    <col min="514" max="514" width="42" style="125" customWidth="1"/>
    <col min="515" max="515" width="54.7109375" style="125" customWidth="1"/>
    <col min="516" max="516" width="17.28515625" style="125" bestFit="1" customWidth="1"/>
    <col min="517" max="517" width="20.140625" style="125" bestFit="1" customWidth="1"/>
    <col min="518" max="518" width="16.5703125" style="125" customWidth="1"/>
    <col min="519" max="519" width="18.7109375" style="125" bestFit="1" customWidth="1"/>
    <col min="520" max="520" width="17.5703125" style="125" customWidth="1"/>
    <col min="521" max="521" width="15.5703125" style="125" bestFit="1" customWidth="1"/>
    <col min="522" max="522" width="13.5703125" style="125" customWidth="1"/>
    <col min="523" max="523" width="20.5703125" style="125" customWidth="1"/>
    <col min="524" max="524" width="12.42578125" style="125" bestFit="1" customWidth="1"/>
    <col min="525" max="768" width="9.140625" style="125"/>
    <col min="769" max="769" width="23" style="125" customWidth="1"/>
    <col min="770" max="770" width="42" style="125" customWidth="1"/>
    <col min="771" max="771" width="54.7109375" style="125" customWidth="1"/>
    <col min="772" max="772" width="17.28515625" style="125" bestFit="1" customWidth="1"/>
    <col min="773" max="773" width="20.140625" style="125" bestFit="1" customWidth="1"/>
    <col min="774" max="774" width="16.5703125" style="125" customWidth="1"/>
    <col min="775" max="775" width="18.7109375" style="125" bestFit="1" customWidth="1"/>
    <col min="776" max="776" width="17.5703125" style="125" customWidth="1"/>
    <col min="777" max="777" width="15.5703125" style="125" bestFit="1" customWidth="1"/>
    <col min="778" max="778" width="13.5703125" style="125" customWidth="1"/>
    <col min="779" max="779" width="20.5703125" style="125" customWidth="1"/>
    <col min="780" max="780" width="12.42578125" style="125" bestFit="1" customWidth="1"/>
    <col min="781" max="1024" width="9.140625" style="125"/>
    <col min="1025" max="1025" width="23" style="125" customWidth="1"/>
    <col min="1026" max="1026" width="42" style="125" customWidth="1"/>
    <col min="1027" max="1027" width="54.7109375" style="125" customWidth="1"/>
    <col min="1028" max="1028" width="17.28515625" style="125" bestFit="1" customWidth="1"/>
    <col min="1029" max="1029" width="20.140625" style="125" bestFit="1" customWidth="1"/>
    <col min="1030" max="1030" width="16.5703125" style="125" customWidth="1"/>
    <col min="1031" max="1031" width="18.7109375" style="125" bestFit="1" customWidth="1"/>
    <col min="1032" max="1032" width="17.5703125" style="125" customWidth="1"/>
    <col min="1033" max="1033" width="15.5703125" style="125" bestFit="1" customWidth="1"/>
    <col min="1034" max="1034" width="13.5703125" style="125" customWidth="1"/>
    <col min="1035" max="1035" width="20.5703125" style="125" customWidth="1"/>
    <col min="1036" max="1036" width="12.42578125" style="125" bestFit="1" customWidth="1"/>
    <col min="1037" max="1280" width="9.140625" style="125"/>
    <col min="1281" max="1281" width="23" style="125" customWidth="1"/>
    <col min="1282" max="1282" width="42" style="125" customWidth="1"/>
    <col min="1283" max="1283" width="54.7109375" style="125" customWidth="1"/>
    <col min="1284" max="1284" width="17.28515625" style="125" bestFit="1" customWidth="1"/>
    <col min="1285" max="1285" width="20.140625" style="125" bestFit="1" customWidth="1"/>
    <col min="1286" max="1286" width="16.5703125" style="125" customWidth="1"/>
    <col min="1287" max="1287" width="18.7109375" style="125" bestFit="1" customWidth="1"/>
    <col min="1288" max="1288" width="17.5703125" style="125" customWidth="1"/>
    <col min="1289" max="1289" width="15.5703125" style="125" bestFit="1" customWidth="1"/>
    <col min="1290" max="1290" width="13.5703125" style="125" customWidth="1"/>
    <col min="1291" max="1291" width="20.5703125" style="125" customWidth="1"/>
    <col min="1292" max="1292" width="12.42578125" style="125" bestFit="1" customWidth="1"/>
    <col min="1293" max="1536" width="9.140625" style="125"/>
    <col min="1537" max="1537" width="23" style="125" customWidth="1"/>
    <col min="1538" max="1538" width="42" style="125" customWidth="1"/>
    <col min="1539" max="1539" width="54.7109375" style="125" customWidth="1"/>
    <col min="1540" max="1540" width="17.28515625" style="125" bestFit="1" customWidth="1"/>
    <col min="1541" max="1541" width="20.140625" style="125" bestFit="1" customWidth="1"/>
    <col min="1542" max="1542" width="16.5703125" style="125" customWidth="1"/>
    <col min="1543" max="1543" width="18.7109375" style="125" bestFit="1" customWidth="1"/>
    <col min="1544" max="1544" width="17.5703125" style="125" customWidth="1"/>
    <col min="1545" max="1545" width="15.5703125" style="125" bestFit="1" customWidth="1"/>
    <col min="1546" max="1546" width="13.5703125" style="125" customWidth="1"/>
    <col min="1547" max="1547" width="20.5703125" style="125" customWidth="1"/>
    <col min="1548" max="1548" width="12.42578125" style="125" bestFit="1" customWidth="1"/>
    <col min="1549" max="1792" width="9.140625" style="125"/>
    <col min="1793" max="1793" width="23" style="125" customWidth="1"/>
    <col min="1794" max="1794" width="42" style="125" customWidth="1"/>
    <col min="1795" max="1795" width="54.7109375" style="125" customWidth="1"/>
    <col min="1796" max="1796" width="17.28515625" style="125" bestFit="1" customWidth="1"/>
    <col min="1797" max="1797" width="20.140625" style="125" bestFit="1" customWidth="1"/>
    <col min="1798" max="1798" width="16.5703125" style="125" customWidth="1"/>
    <col min="1799" max="1799" width="18.7109375" style="125" bestFit="1" customWidth="1"/>
    <col min="1800" max="1800" width="17.5703125" style="125" customWidth="1"/>
    <col min="1801" max="1801" width="15.5703125" style="125" bestFit="1" customWidth="1"/>
    <col min="1802" max="1802" width="13.5703125" style="125" customWidth="1"/>
    <col min="1803" max="1803" width="20.5703125" style="125" customWidth="1"/>
    <col min="1804" max="1804" width="12.42578125" style="125" bestFit="1" customWidth="1"/>
    <col min="1805" max="2048" width="9.140625" style="125"/>
    <col min="2049" max="2049" width="23" style="125" customWidth="1"/>
    <col min="2050" max="2050" width="42" style="125" customWidth="1"/>
    <col min="2051" max="2051" width="54.7109375" style="125" customWidth="1"/>
    <col min="2052" max="2052" width="17.28515625" style="125" bestFit="1" customWidth="1"/>
    <col min="2053" max="2053" width="20.140625" style="125" bestFit="1" customWidth="1"/>
    <col min="2054" max="2054" width="16.5703125" style="125" customWidth="1"/>
    <col min="2055" max="2055" width="18.7109375" style="125" bestFit="1" customWidth="1"/>
    <col min="2056" max="2056" width="17.5703125" style="125" customWidth="1"/>
    <col min="2057" max="2057" width="15.5703125" style="125" bestFit="1" customWidth="1"/>
    <col min="2058" max="2058" width="13.5703125" style="125" customWidth="1"/>
    <col min="2059" max="2059" width="20.5703125" style="125" customWidth="1"/>
    <col min="2060" max="2060" width="12.42578125" style="125" bestFit="1" customWidth="1"/>
    <col min="2061" max="2304" width="9.140625" style="125"/>
    <col min="2305" max="2305" width="23" style="125" customWidth="1"/>
    <col min="2306" max="2306" width="42" style="125" customWidth="1"/>
    <col min="2307" max="2307" width="54.7109375" style="125" customWidth="1"/>
    <col min="2308" max="2308" width="17.28515625" style="125" bestFit="1" customWidth="1"/>
    <col min="2309" max="2309" width="20.140625" style="125" bestFit="1" customWidth="1"/>
    <col min="2310" max="2310" width="16.5703125" style="125" customWidth="1"/>
    <col min="2311" max="2311" width="18.7109375" style="125" bestFit="1" customWidth="1"/>
    <col min="2312" max="2312" width="17.5703125" style="125" customWidth="1"/>
    <col min="2313" max="2313" width="15.5703125" style="125" bestFit="1" customWidth="1"/>
    <col min="2314" max="2314" width="13.5703125" style="125" customWidth="1"/>
    <col min="2315" max="2315" width="20.5703125" style="125" customWidth="1"/>
    <col min="2316" max="2316" width="12.42578125" style="125" bestFit="1" customWidth="1"/>
    <col min="2317" max="2560" width="9.140625" style="125"/>
    <col min="2561" max="2561" width="23" style="125" customWidth="1"/>
    <col min="2562" max="2562" width="42" style="125" customWidth="1"/>
    <col min="2563" max="2563" width="54.7109375" style="125" customWidth="1"/>
    <col min="2564" max="2564" width="17.28515625" style="125" bestFit="1" customWidth="1"/>
    <col min="2565" max="2565" width="20.140625" style="125" bestFit="1" customWidth="1"/>
    <col min="2566" max="2566" width="16.5703125" style="125" customWidth="1"/>
    <col min="2567" max="2567" width="18.7109375" style="125" bestFit="1" customWidth="1"/>
    <col min="2568" max="2568" width="17.5703125" style="125" customWidth="1"/>
    <col min="2569" max="2569" width="15.5703125" style="125" bestFit="1" customWidth="1"/>
    <col min="2570" max="2570" width="13.5703125" style="125" customWidth="1"/>
    <col min="2571" max="2571" width="20.5703125" style="125" customWidth="1"/>
    <col min="2572" max="2572" width="12.42578125" style="125" bestFit="1" customWidth="1"/>
    <col min="2573" max="2816" width="9.140625" style="125"/>
    <col min="2817" max="2817" width="23" style="125" customWidth="1"/>
    <col min="2818" max="2818" width="42" style="125" customWidth="1"/>
    <col min="2819" max="2819" width="54.7109375" style="125" customWidth="1"/>
    <col min="2820" max="2820" width="17.28515625" style="125" bestFit="1" customWidth="1"/>
    <col min="2821" max="2821" width="20.140625" style="125" bestFit="1" customWidth="1"/>
    <col min="2822" max="2822" width="16.5703125" style="125" customWidth="1"/>
    <col min="2823" max="2823" width="18.7109375" style="125" bestFit="1" customWidth="1"/>
    <col min="2824" max="2824" width="17.5703125" style="125" customWidth="1"/>
    <col min="2825" max="2825" width="15.5703125" style="125" bestFit="1" customWidth="1"/>
    <col min="2826" max="2826" width="13.5703125" style="125" customWidth="1"/>
    <col min="2827" max="2827" width="20.5703125" style="125" customWidth="1"/>
    <col min="2828" max="2828" width="12.42578125" style="125" bestFit="1" customWidth="1"/>
    <col min="2829" max="3072" width="9.140625" style="125"/>
    <col min="3073" max="3073" width="23" style="125" customWidth="1"/>
    <col min="3074" max="3074" width="42" style="125" customWidth="1"/>
    <col min="3075" max="3075" width="54.7109375" style="125" customWidth="1"/>
    <col min="3076" max="3076" width="17.28515625" style="125" bestFit="1" customWidth="1"/>
    <col min="3077" max="3077" width="20.140625" style="125" bestFit="1" customWidth="1"/>
    <col min="3078" max="3078" width="16.5703125" style="125" customWidth="1"/>
    <col min="3079" max="3079" width="18.7109375" style="125" bestFit="1" customWidth="1"/>
    <col min="3080" max="3080" width="17.5703125" style="125" customWidth="1"/>
    <col min="3081" max="3081" width="15.5703125" style="125" bestFit="1" customWidth="1"/>
    <col min="3082" max="3082" width="13.5703125" style="125" customWidth="1"/>
    <col min="3083" max="3083" width="20.5703125" style="125" customWidth="1"/>
    <col min="3084" max="3084" width="12.42578125" style="125" bestFit="1" customWidth="1"/>
    <col min="3085" max="3328" width="9.140625" style="125"/>
    <col min="3329" max="3329" width="23" style="125" customWidth="1"/>
    <col min="3330" max="3330" width="42" style="125" customWidth="1"/>
    <col min="3331" max="3331" width="54.7109375" style="125" customWidth="1"/>
    <col min="3332" max="3332" width="17.28515625" style="125" bestFit="1" customWidth="1"/>
    <col min="3333" max="3333" width="20.140625" style="125" bestFit="1" customWidth="1"/>
    <col min="3334" max="3334" width="16.5703125" style="125" customWidth="1"/>
    <col min="3335" max="3335" width="18.7109375" style="125" bestFit="1" customWidth="1"/>
    <col min="3336" max="3336" width="17.5703125" style="125" customWidth="1"/>
    <col min="3337" max="3337" width="15.5703125" style="125" bestFit="1" customWidth="1"/>
    <col min="3338" max="3338" width="13.5703125" style="125" customWidth="1"/>
    <col min="3339" max="3339" width="20.5703125" style="125" customWidth="1"/>
    <col min="3340" max="3340" width="12.42578125" style="125" bestFit="1" customWidth="1"/>
    <col min="3341" max="3584" width="9.140625" style="125"/>
    <col min="3585" max="3585" width="23" style="125" customWidth="1"/>
    <col min="3586" max="3586" width="42" style="125" customWidth="1"/>
    <col min="3587" max="3587" width="54.7109375" style="125" customWidth="1"/>
    <col min="3588" max="3588" width="17.28515625" style="125" bestFit="1" customWidth="1"/>
    <col min="3589" max="3589" width="20.140625" style="125" bestFit="1" customWidth="1"/>
    <col min="3590" max="3590" width="16.5703125" style="125" customWidth="1"/>
    <col min="3591" max="3591" width="18.7109375" style="125" bestFit="1" customWidth="1"/>
    <col min="3592" max="3592" width="17.5703125" style="125" customWidth="1"/>
    <col min="3593" max="3593" width="15.5703125" style="125" bestFit="1" customWidth="1"/>
    <col min="3594" max="3594" width="13.5703125" style="125" customWidth="1"/>
    <col min="3595" max="3595" width="20.5703125" style="125" customWidth="1"/>
    <col min="3596" max="3596" width="12.42578125" style="125" bestFit="1" customWidth="1"/>
    <col min="3597" max="3840" width="9.140625" style="125"/>
    <col min="3841" max="3841" width="23" style="125" customWidth="1"/>
    <col min="3842" max="3842" width="42" style="125" customWidth="1"/>
    <col min="3843" max="3843" width="54.7109375" style="125" customWidth="1"/>
    <col min="3844" max="3844" width="17.28515625" style="125" bestFit="1" customWidth="1"/>
    <col min="3845" max="3845" width="20.140625" style="125" bestFit="1" customWidth="1"/>
    <col min="3846" max="3846" width="16.5703125" style="125" customWidth="1"/>
    <col min="3847" max="3847" width="18.7109375" style="125" bestFit="1" customWidth="1"/>
    <col min="3848" max="3848" width="17.5703125" style="125" customWidth="1"/>
    <col min="3849" max="3849" width="15.5703125" style="125" bestFit="1" customWidth="1"/>
    <col min="3850" max="3850" width="13.5703125" style="125" customWidth="1"/>
    <col min="3851" max="3851" width="20.5703125" style="125" customWidth="1"/>
    <col min="3852" max="3852" width="12.42578125" style="125" bestFit="1" customWidth="1"/>
    <col min="3853" max="4096" width="9.140625" style="125"/>
    <col min="4097" max="4097" width="23" style="125" customWidth="1"/>
    <col min="4098" max="4098" width="42" style="125" customWidth="1"/>
    <col min="4099" max="4099" width="54.7109375" style="125" customWidth="1"/>
    <col min="4100" max="4100" width="17.28515625" style="125" bestFit="1" customWidth="1"/>
    <col min="4101" max="4101" width="20.140625" style="125" bestFit="1" customWidth="1"/>
    <col min="4102" max="4102" width="16.5703125" style="125" customWidth="1"/>
    <col min="4103" max="4103" width="18.7109375" style="125" bestFit="1" customWidth="1"/>
    <col min="4104" max="4104" width="17.5703125" style="125" customWidth="1"/>
    <col min="4105" max="4105" width="15.5703125" style="125" bestFit="1" customWidth="1"/>
    <col min="4106" max="4106" width="13.5703125" style="125" customWidth="1"/>
    <col min="4107" max="4107" width="20.5703125" style="125" customWidth="1"/>
    <col min="4108" max="4108" width="12.42578125" style="125" bestFit="1" customWidth="1"/>
    <col min="4109" max="4352" width="9.140625" style="125"/>
    <col min="4353" max="4353" width="23" style="125" customWidth="1"/>
    <col min="4354" max="4354" width="42" style="125" customWidth="1"/>
    <col min="4355" max="4355" width="54.7109375" style="125" customWidth="1"/>
    <col min="4356" max="4356" width="17.28515625" style="125" bestFit="1" customWidth="1"/>
    <col min="4357" max="4357" width="20.140625" style="125" bestFit="1" customWidth="1"/>
    <col min="4358" max="4358" width="16.5703125" style="125" customWidth="1"/>
    <col min="4359" max="4359" width="18.7109375" style="125" bestFit="1" customWidth="1"/>
    <col min="4360" max="4360" width="17.5703125" style="125" customWidth="1"/>
    <col min="4361" max="4361" width="15.5703125" style="125" bestFit="1" customWidth="1"/>
    <col min="4362" max="4362" width="13.5703125" style="125" customWidth="1"/>
    <col min="4363" max="4363" width="20.5703125" style="125" customWidth="1"/>
    <col min="4364" max="4364" width="12.42578125" style="125" bestFit="1" customWidth="1"/>
    <col min="4365" max="4608" width="9.140625" style="125"/>
    <col min="4609" max="4609" width="23" style="125" customWidth="1"/>
    <col min="4610" max="4610" width="42" style="125" customWidth="1"/>
    <col min="4611" max="4611" width="54.7109375" style="125" customWidth="1"/>
    <col min="4612" max="4612" width="17.28515625" style="125" bestFit="1" customWidth="1"/>
    <col min="4613" max="4613" width="20.140625" style="125" bestFit="1" customWidth="1"/>
    <col min="4614" max="4614" width="16.5703125" style="125" customWidth="1"/>
    <col min="4615" max="4615" width="18.7109375" style="125" bestFit="1" customWidth="1"/>
    <col min="4616" max="4616" width="17.5703125" style="125" customWidth="1"/>
    <col min="4617" max="4617" width="15.5703125" style="125" bestFit="1" customWidth="1"/>
    <col min="4618" max="4618" width="13.5703125" style="125" customWidth="1"/>
    <col min="4619" max="4619" width="20.5703125" style="125" customWidth="1"/>
    <col min="4620" max="4620" width="12.42578125" style="125" bestFit="1" customWidth="1"/>
    <col min="4621" max="4864" width="9.140625" style="125"/>
    <col min="4865" max="4865" width="23" style="125" customWidth="1"/>
    <col min="4866" max="4866" width="42" style="125" customWidth="1"/>
    <col min="4867" max="4867" width="54.7109375" style="125" customWidth="1"/>
    <col min="4868" max="4868" width="17.28515625" style="125" bestFit="1" customWidth="1"/>
    <col min="4869" max="4869" width="20.140625" style="125" bestFit="1" customWidth="1"/>
    <col min="4870" max="4870" width="16.5703125" style="125" customWidth="1"/>
    <col min="4871" max="4871" width="18.7109375" style="125" bestFit="1" customWidth="1"/>
    <col min="4872" max="4872" width="17.5703125" style="125" customWidth="1"/>
    <col min="4873" max="4873" width="15.5703125" style="125" bestFit="1" customWidth="1"/>
    <col min="4874" max="4874" width="13.5703125" style="125" customWidth="1"/>
    <col min="4875" max="4875" width="20.5703125" style="125" customWidth="1"/>
    <col min="4876" max="4876" width="12.42578125" style="125" bestFit="1" customWidth="1"/>
    <col min="4877" max="5120" width="9.140625" style="125"/>
    <col min="5121" max="5121" width="23" style="125" customWidth="1"/>
    <col min="5122" max="5122" width="42" style="125" customWidth="1"/>
    <col min="5123" max="5123" width="54.7109375" style="125" customWidth="1"/>
    <col min="5124" max="5124" width="17.28515625" style="125" bestFit="1" customWidth="1"/>
    <col min="5125" max="5125" width="20.140625" style="125" bestFit="1" customWidth="1"/>
    <col min="5126" max="5126" width="16.5703125" style="125" customWidth="1"/>
    <col min="5127" max="5127" width="18.7109375" style="125" bestFit="1" customWidth="1"/>
    <col min="5128" max="5128" width="17.5703125" style="125" customWidth="1"/>
    <col min="5129" max="5129" width="15.5703125" style="125" bestFit="1" customWidth="1"/>
    <col min="5130" max="5130" width="13.5703125" style="125" customWidth="1"/>
    <col min="5131" max="5131" width="20.5703125" style="125" customWidth="1"/>
    <col min="5132" max="5132" width="12.42578125" style="125" bestFit="1" customWidth="1"/>
    <col min="5133" max="5376" width="9.140625" style="125"/>
    <col min="5377" max="5377" width="23" style="125" customWidth="1"/>
    <col min="5378" max="5378" width="42" style="125" customWidth="1"/>
    <col min="5379" max="5379" width="54.7109375" style="125" customWidth="1"/>
    <col min="5380" max="5380" width="17.28515625" style="125" bestFit="1" customWidth="1"/>
    <col min="5381" max="5381" width="20.140625" style="125" bestFit="1" customWidth="1"/>
    <col min="5382" max="5382" width="16.5703125" style="125" customWidth="1"/>
    <col min="5383" max="5383" width="18.7109375" style="125" bestFit="1" customWidth="1"/>
    <col min="5384" max="5384" width="17.5703125" style="125" customWidth="1"/>
    <col min="5385" max="5385" width="15.5703125" style="125" bestFit="1" customWidth="1"/>
    <col min="5386" max="5386" width="13.5703125" style="125" customWidth="1"/>
    <col min="5387" max="5387" width="20.5703125" style="125" customWidth="1"/>
    <col min="5388" max="5388" width="12.42578125" style="125" bestFit="1" customWidth="1"/>
    <col min="5389" max="5632" width="9.140625" style="125"/>
    <col min="5633" max="5633" width="23" style="125" customWidth="1"/>
    <col min="5634" max="5634" width="42" style="125" customWidth="1"/>
    <col min="5635" max="5635" width="54.7109375" style="125" customWidth="1"/>
    <col min="5636" max="5636" width="17.28515625" style="125" bestFit="1" customWidth="1"/>
    <col min="5637" max="5637" width="20.140625" style="125" bestFit="1" customWidth="1"/>
    <col min="5638" max="5638" width="16.5703125" style="125" customWidth="1"/>
    <col min="5639" max="5639" width="18.7109375" style="125" bestFit="1" customWidth="1"/>
    <col min="5640" max="5640" width="17.5703125" style="125" customWidth="1"/>
    <col min="5641" max="5641" width="15.5703125" style="125" bestFit="1" customWidth="1"/>
    <col min="5642" max="5642" width="13.5703125" style="125" customWidth="1"/>
    <col min="5643" max="5643" width="20.5703125" style="125" customWidth="1"/>
    <col min="5644" max="5644" width="12.42578125" style="125" bestFit="1" customWidth="1"/>
    <col min="5645" max="5888" width="9.140625" style="125"/>
    <col min="5889" max="5889" width="23" style="125" customWidth="1"/>
    <col min="5890" max="5890" width="42" style="125" customWidth="1"/>
    <col min="5891" max="5891" width="54.7109375" style="125" customWidth="1"/>
    <col min="5892" max="5892" width="17.28515625" style="125" bestFit="1" customWidth="1"/>
    <col min="5893" max="5893" width="20.140625" style="125" bestFit="1" customWidth="1"/>
    <col min="5894" max="5894" width="16.5703125" style="125" customWidth="1"/>
    <col min="5895" max="5895" width="18.7109375" style="125" bestFit="1" customWidth="1"/>
    <col min="5896" max="5896" width="17.5703125" style="125" customWidth="1"/>
    <col min="5897" max="5897" width="15.5703125" style="125" bestFit="1" customWidth="1"/>
    <col min="5898" max="5898" width="13.5703125" style="125" customWidth="1"/>
    <col min="5899" max="5899" width="20.5703125" style="125" customWidth="1"/>
    <col min="5900" max="5900" width="12.42578125" style="125" bestFit="1" customWidth="1"/>
    <col min="5901" max="6144" width="9.140625" style="125"/>
    <col min="6145" max="6145" width="23" style="125" customWidth="1"/>
    <col min="6146" max="6146" width="42" style="125" customWidth="1"/>
    <col min="6147" max="6147" width="54.7109375" style="125" customWidth="1"/>
    <col min="6148" max="6148" width="17.28515625" style="125" bestFit="1" customWidth="1"/>
    <col min="6149" max="6149" width="20.140625" style="125" bestFit="1" customWidth="1"/>
    <col min="6150" max="6150" width="16.5703125" style="125" customWidth="1"/>
    <col min="6151" max="6151" width="18.7109375" style="125" bestFit="1" customWidth="1"/>
    <col min="6152" max="6152" width="17.5703125" style="125" customWidth="1"/>
    <col min="6153" max="6153" width="15.5703125" style="125" bestFit="1" customWidth="1"/>
    <col min="6154" max="6154" width="13.5703125" style="125" customWidth="1"/>
    <col min="6155" max="6155" width="20.5703125" style="125" customWidth="1"/>
    <col min="6156" max="6156" width="12.42578125" style="125" bestFit="1" customWidth="1"/>
    <col min="6157" max="6400" width="9.140625" style="125"/>
    <col min="6401" max="6401" width="23" style="125" customWidth="1"/>
    <col min="6402" max="6402" width="42" style="125" customWidth="1"/>
    <col min="6403" max="6403" width="54.7109375" style="125" customWidth="1"/>
    <col min="6404" max="6404" width="17.28515625" style="125" bestFit="1" customWidth="1"/>
    <col min="6405" max="6405" width="20.140625" style="125" bestFit="1" customWidth="1"/>
    <col min="6406" max="6406" width="16.5703125" style="125" customWidth="1"/>
    <col min="6407" max="6407" width="18.7109375" style="125" bestFit="1" customWidth="1"/>
    <col min="6408" max="6408" width="17.5703125" style="125" customWidth="1"/>
    <col min="6409" max="6409" width="15.5703125" style="125" bestFit="1" customWidth="1"/>
    <col min="6410" max="6410" width="13.5703125" style="125" customWidth="1"/>
    <col min="6411" max="6411" width="20.5703125" style="125" customWidth="1"/>
    <col min="6412" max="6412" width="12.42578125" style="125" bestFit="1" customWidth="1"/>
    <col min="6413" max="6656" width="9.140625" style="125"/>
    <col min="6657" max="6657" width="23" style="125" customWidth="1"/>
    <col min="6658" max="6658" width="42" style="125" customWidth="1"/>
    <col min="6659" max="6659" width="54.7109375" style="125" customWidth="1"/>
    <col min="6660" max="6660" width="17.28515625" style="125" bestFit="1" customWidth="1"/>
    <col min="6661" max="6661" width="20.140625" style="125" bestFit="1" customWidth="1"/>
    <col min="6662" max="6662" width="16.5703125" style="125" customWidth="1"/>
    <col min="6663" max="6663" width="18.7109375" style="125" bestFit="1" customWidth="1"/>
    <col min="6664" max="6664" width="17.5703125" style="125" customWidth="1"/>
    <col min="6665" max="6665" width="15.5703125" style="125" bestFit="1" customWidth="1"/>
    <col min="6666" max="6666" width="13.5703125" style="125" customWidth="1"/>
    <col min="6667" max="6667" width="20.5703125" style="125" customWidth="1"/>
    <col min="6668" max="6668" width="12.42578125" style="125" bestFit="1" customWidth="1"/>
    <col min="6669" max="6912" width="9.140625" style="125"/>
    <col min="6913" max="6913" width="23" style="125" customWidth="1"/>
    <col min="6914" max="6914" width="42" style="125" customWidth="1"/>
    <col min="6915" max="6915" width="54.7109375" style="125" customWidth="1"/>
    <col min="6916" max="6916" width="17.28515625" style="125" bestFit="1" customWidth="1"/>
    <col min="6917" max="6917" width="20.140625" style="125" bestFit="1" customWidth="1"/>
    <col min="6918" max="6918" width="16.5703125" style="125" customWidth="1"/>
    <col min="6919" max="6919" width="18.7109375" style="125" bestFit="1" customWidth="1"/>
    <col min="6920" max="6920" width="17.5703125" style="125" customWidth="1"/>
    <col min="6921" max="6921" width="15.5703125" style="125" bestFit="1" customWidth="1"/>
    <col min="6922" max="6922" width="13.5703125" style="125" customWidth="1"/>
    <col min="6923" max="6923" width="20.5703125" style="125" customWidth="1"/>
    <col min="6924" max="6924" width="12.42578125" style="125" bestFit="1" customWidth="1"/>
    <col min="6925" max="7168" width="9.140625" style="125"/>
    <col min="7169" max="7169" width="23" style="125" customWidth="1"/>
    <col min="7170" max="7170" width="42" style="125" customWidth="1"/>
    <col min="7171" max="7171" width="54.7109375" style="125" customWidth="1"/>
    <col min="7172" max="7172" width="17.28515625" style="125" bestFit="1" customWidth="1"/>
    <col min="7173" max="7173" width="20.140625" style="125" bestFit="1" customWidth="1"/>
    <col min="7174" max="7174" width="16.5703125" style="125" customWidth="1"/>
    <col min="7175" max="7175" width="18.7109375" style="125" bestFit="1" customWidth="1"/>
    <col min="7176" max="7176" width="17.5703125" style="125" customWidth="1"/>
    <col min="7177" max="7177" width="15.5703125" style="125" bestFit="1" customWidth="1"/>
    <col min="7178" max="7178" width="13.5703125" style="125" customWidth="1"/>
    <col min="7179" max="7179" width="20.5703125" style="125" customWidth="1"/>
    <col min="7180" max="7180" width="12.42578125" style="125" bestFit="1" customWidth="1"/>
    <col min="7181" max="7424" width="9.140625" style="125"/>
    <col min="7425" max="7425" width="23" style="125" customWidth="1"/>
    <col min="7426" max="7426" width="42" style="125" customWidth="1"/>
    <col min="7427" max="7427" width="54.7109375" style="125" customWidth="1"/>
    <col min="7428" max="7428" width="17.28515625" style="125" bestFit="1" customWidth="1"/>
    <col min="7429" max="7429" width="20.140625" style="125" bestFit="1" customWidth="1"/>
    <col min="7430" max="7430" width="16.5703125" style="125" customWidth="1"/>
    <col min="7431" max="7431" width="18.7109375" style="125" bestFit="1" customWidth="1"/>
    <col min="7432" max="7432" width="17.5703125" style="125" customWidth="1"/>
    <col min="7433" max="7433" width="15.5703125" style="125" bestFit="1" customWidth="1"/>
    <col min="7434" max="7434" width="13.5703125" style="125" customWidth="1"/>
    <col min="7435" max="7435" width="20.5703125" style="125" customWidth="1"/>
    <col min="7436" max="7436" width="12.42578125" style="125" bestFit="1" customWidth="1"/>
    <col min="7437" max="7680" width="9.140625" style="125"/>
    <col min="7681" max="7681" width="23" style="125" customWidth="1"/>
    <col min="7682" max="7682" width="42" style="125" customWidth="1"/>
    <col min="7683" max="7683" width="54.7109375" style="125" customWidth="1"/>
    <col min="7684" max="7684" width="17.28515625" style="125" bestFit="1" customWidth="1"/>
    <col min="7685" max="7685" width="20.140625" style="125" bestFit="1" customWidth="1"/>
    <col min="7686" max="7686" width="16.5703125" style="125" customWidth="1"/>
    <col min="7687" max="7687" width="18.7109375" style="125" bestFit="1" customWidth="1"/>
    <col min="7688" max="7688" width="17.5703125" style="125" customWidth="1"/>
    <col min="7689" max="7689" width="15.5703125" style="125" bestFit="1" customWidth="1"/>
    <col min="7690" max="7690" width="13.5703125" style="125" customWidth="1"/>
    <col min="7691" max="7691" width="20.5703125" style="125" customWidth="1"/>
    <col min="7692" max="7692" width="12.42578125" style="125" bestFit="1" customWidth="1"/>
    <col min="7693" max="7936" width="9.140625" style="125"/>
    <col min="7937" max="7937" width="23" style="125" customWidth="1"/>
    <col min="7938" max="7938" width="42" style="125" customWidth="1"/>
    <col min="7939" max="7939" width="54.7109375" style="125" customWidth="1"/>
    <col min="7940" max="7940" width="17.28515625" style="125" bestFit="1" customWidth="1"/>
    <col min="7941" max="7941" width="20.140625" style="125" bestFit="1" customWidth="1"/>
    <col min="7942" max="7942" width="16.5703125" style="125" customWidth="1"/>
    <col min="7943" max="7943" width="18.7109375" style="125" bestFit="1" customWidth="1"/>
    <col min="7944" max="7944" width="17.5703125" style="125" customWidth="1"/>
    <col min="7945" max="7945" width="15.5703125" style="125" bestFit="1" customWidth="1"/>
    <col min="7946" max="7946" width="13.5703125" style="125" customWidth="1"/>
    <col min="7947" max="7947" width="20.5703125" style="125" customWidth="1"/>
    <col min="7948" max="7948" width="12.42578125" style="125" bestFit="1" customWidth="1"/>
    <col min="7949" max="8192" width="9.140625" style="125"/>
    <col min="8193" max="8193" width="23" style="125" customWidth="1"/>
    <col min="8194" max="8194" width="42" style="125" customWidth="1"/>
    <col min="8195" max="8195" width="54.7109375" style="125" customWidth="1"/>
    <col min="8196" max="8196" width="17.28515625" style="125" bestFit="1" customWidth="1"/>
    <col min="8197" max="8197" width="20.140625" style="125" bestFit="1" customWidth="1"/>
    <col min="8198" max="8198" width="16.5703125" style="125" customWidth="1"/>
    <col min="8199" max="8199" width="18.7109375" style="125" bestFit="1" customWidth="1"/>
    <col min="8200" max="8200" width="17.5703125" style="125" customWidth="1"/>
    <col min="8201" max="8201" width="15.5703125" style="125" bestFit="1" customWidth="1"/>
    <col min="8202" max="8202" width="13.5703125" style="125" customWidth="1"/>
    <col min="8203" max="8203" width="20.5703125" style="125" customWidth="1"/>
    <col min="8204" max="8204" width="12.42578125" style="125" bestFit="1" customWidth="1"/>
    <col min="8205" max="8448" width="9.140625" style="125"/>
    <col min="8449" max="8449" width="23" style="125" customWidth="1"/>
    <col min="8450" max="8450" width="42" style="125" customWidth="1"/>
    <col min="8451" max="8451" width="54.7109375" style="125" customWidth="1"/>
    <col min="8452" max="8452" width="17.28515625" style="125" bestFit="1" customWidth="1"/>
    <col min="8453" max="8453" width="20.140625" style="125" bestFit="1" customWidth="1"/>
    <col min="8454" max="8454" width="16.5703125" style="125" customWidth="1"/>
    <col min="8455" max="8455" width="18.7109375" style="125" bestFit="1" customWidth="1"/>
    <col min="8456" max="8456" width="17.5703125" style="125" customWidth="1"/>
    <col min="8457" max="8457" width="15.5703125" style="125" bestFit="1" customWidth="1"/>
    <col min="8458" max="8458" width="13.5703125" style="125" customWidth="1"/>
    <col min="8459" max="8459" width="20.5703125" style="125" customWidth="1"/>
    <col min="8460" max="8460" width="12.42578125" style="125" bestFit="1" customWidth="1"/>
    <col min="8461" max="8704" width="9.140625" style="125"/>
    <col min="8705" max="8705" width="23" style="125" customWidth="1"/>
    <col min="8706" max="8706" width="42" style="125" customWidth="1"/>
    <col min="8707" max="8707" width="54.7109375" style="125" customWidth="1"/>
    <col min="8708" max="8708" width="17.28515625" style="125" bestFit="1" customWidth="1"/>
    <col min="8709" max="8709" width="20.140625" style="125" bestFit="1" customWidth="1"/>
    <col min="8710" max="8710" width="16.5703125" style="125" customWidth="1"/>
    <col min="8711" max="8711" width="18.7109375" style="125" bestFit="1" customWidth="1"/>
    <col min="8712" max="8712" width="17.5703125" style="125" customWidth="1"/>
    <col min="8713" max="8713" width="15.5703125" style="125" bestFit="1" customWidth="1"/>
    <col min="8714" max="8714" width="13.5703125" style="125" customWidth="1"/>
    <col min="8715" max="8715" width="20.5703125" style="125" customWidth="1"/>
    <col min="8716" max="8716" width="12.42578125" style="125" bestFit="1" customWidth="1"/>
    <col min="8717" max="8960" width="9.140625" style="125"/>
    <col min="8961" max="8961" width="23" style="125" customWidth="1"/>
    <col min="8962" max="8962" width="42" style="125" customWidth="1"/>
    <col min="8963" max="8963" width="54.7109375" style="125" customWidth="1"/>
    <col min="8964" max="8964" width="17.28515625" style="125" bestFit="1" customWidth="1"/>
    <col min="8965" max="8965" width="20.140625" style="125" bestFit="1" customWidth="1"/>
    <col min="8966" max="8966" width="16.5703125" style="125" customWidth="1"/>
    <col min="8967" max="8967" width="18.7109375" style="125" bestFit="1" customWidth="1"/>
    <col min="8968" max="8968" width="17.5703125" style="125" customWidth="1"/>
    <col min="8969" max="8969" width="15.5703125" style="125" bestFit="1" customWidth="1"/>
    <col min="8970" max="8970" width="13.5703125" style="125" customWidth="1"/>
    <col min="8971" max="8971" width="20.5703125" style="125" customWidth="1"/>
    <col min="8972" max="8972" width="12.42578125" style="125" bestFit="1" customWidth="1"/>
    <col min="8973" max="9216" width="9.140625" style="125"/>
    <col min="9217" max="9217" width="23" style="125" customWidth="1"/>
    <col min="9218" max="9218" width="42" style="125" customWidth="1"/>
    <col min="9219" max="9219" width="54.7109375" style="125" customWidth="1"/>
    <col min="9220" max="9220" width="17.28515625" style="125" bestFit="1" customWidth="1"/>
    <col min="9221" max="9221" width="20.140625" style="125" bestFit="1" customWidth="1"/>
    <col min="9222" max="9222" width="16.5703125" style="125" customWidth="1"/>
    <col min="9223" max="9223" width="18.7109375" style="125" bestFit="1" customWidth="1"/>
    <col min="9224" max="9224" width="17.5703125" style="125" customWidth="1"/>
    <col min="9225" max="9225" width="15.5703125" style="125" bestFit="1" customWidth="1"/>
    <col min="9226" max="9226" width="13.5703125" style="125" customWidth="1"/>
    <col min="9227" max="9227" width="20.5703125" style="125" customWidth="1"/>
    <col min="9228" max="9228" width="12.42578125" style="125" bestFit="1" customWidth="1"/>
    <col min="9229" max="9472" width="9.140625" style="125"/>
    <col min="9473" max="9473" width="23" style="125" customWidth="1"/>
    <col min="9474" max="9474" width="42" style="125" customWidth="1"/>
    <col min="9475" max="9475" width="54.7109375" style="125" customWidth="1"/>
    <col min="9476" max="9476" width="17.28515625" style="125" bestFit="1" customWidth="1"/>
    <col min="9477" max="9477" width="20.140625" style="125" bestFit="1" customWidth="1"/>
    <col min="9478" max="9478" width="16.5703125" style="125" customWidth="1"/>
    <col min="9479" max="9479" width="18.7109375" style="125" bestFit="1" customWidth="1"/>
    <col min="9480" max="9480" width="17.5703125" style="125" customWidth="1"/>
    <col min="9481" max="9481" width="15.5703125" style="125" bestFit="1" customWidth="1"/>
    <col min="9482" max="9482" width="13.5703125" style="125" customWidth="1"/>
    <col min="9483" max="9483" width="20.5703125" style="125" customWidth="1"/>
    <col min="9484" max="9484" width="12.42578125" style="125" bestFit="1" customWidth="1"/>
    <col min="9485" max="9728" width="9.140625" style="125"/>
    <col min="9729" max="9729" width="23" style="125" customWidth="1"/>
    <col min="9730" max="9730" width="42" style="125" customWidth="1"/>
    <col min="9731" max="9731" width="54.7109375" style="125" customWidth="1"/>
    <col min="9732" max="9732" width="17.28515625" style="125" bestFit="1" customWidth="1"/>
    <col min="9733" max="9733" width="20.140625" style="125" bestFit="1" customWidth="1"/>
    <col min="9734" max="9734" width="16.5703125" style="125" customWidth="1"/>
    <col min="9735" max="9735" width="18.7109375" style="125" bestFit="1" customWidth="1"/>
    <col min="9736" max="9736" width="17.5703125" style="125" customWidth="1"/>
    <col min="9737" max="9737" width="15.5703125" style="125" bestFit="1" customWidth="1"/>
    <col min="9738" max="9738" width="13.5703125" style="125" customWidth="1"/>
    <col min="9739" max="9739" width="20.5703125" style="125" customWidth="1"/>
    <col min="9740" max="9740" width="12.42578125" style="125" bestFit="1" customWidth="1"/>
    <col min="9741" max="9984" width="9.140625" style="125"/>
    <col min="9985" max="9985" width="23" style="125" customWidth="1"/>
    <col min="9986" max="9986" width="42" style="125" customWidth="1"/>
    <col min="9987" max="9987" width="54.7109375" style="125" customWidth="1"/>
    <col min="9988" max="9988" width="17.28515625" style="125" bestFit="1" customWidth="1"/>
    <col min="9989" max="9989" width="20.140625" style="125" bestFit="1" customWidth="1"/>
    <col min="9990" max="9990" width="16.5703125" style="125" customWidth="1"/>
    <col min="9991" max="9991" width="18.7109375" style="125" bestFit="1" customWidth="1"/>
    <col min="9992" max="9992" width="17.5703125" style="125" customWidth="1"/>
    <col min="9993" max="9993" width="15.5703125" style="125" bestFit="1" customWidth="1"/>
    <col min="9994" max="9994" width="13.5703125" style="125" customWidth="1"/>
    <col min="9995" max="9995" width="20.5703125" style="125" customWidth="1"/>
    <col min="9996" max="9996" width="12.42578125" style="125" bestFit="1" customWidth="1"/>
    <col min="9997" max="10240" width="9.140625" style="125"/>
    <col min="10241" max="10241" width="23" style="125" customWidth="1"/>
    <col min="10242" max="10242" width="42" style="125" customWidth="1"/>
    <col min="10243" max="10243" width="54.7109375" style="125" customWidth="1"/>
    <col min="10244" max="10244" width="17.28515625" style="125" bestFit="1" customWidth="1"/>
    <col min="10245" max="10245" width="20.140625" style="125" bestFit="1" customWidth="1"/>
    <col min="10246" max="10246" width="16.5703125" style="125" customWidth="1"/>
    <col min="10247" max="10247" width="18.7109375" style="125" bestFit="1" customWidth="1"/>
    <col min="10248" max="10248" width="17.5703125" style="125" customWidth="1"/>
    <col min="10249" max="10249" width="15.5703125" style="125" bestFit="1" customWidth="1"/>
    <col min="10250" max="10250" width="13.5703125" style="125" customWidth="1"/>
    <col min="10251" max="10251" width="20.5703125" style="125" customWidth="1"/>
    <col min="10252" max="10252" width="12.42578125" style="125" bestFit="1" customWidth="1"/>
    <col min="10253" max="10496" width="9.140625" style="125"/>
    <col min="10497" max="10497" width="23" style="125" customWidth="1"/>
    <col min="10498" max="10498" width="42" style="125" customWidth="1"/>
    <col min="10499" max="10499" width="54.7109375" style="125" customWidth="1"/>
    <col min="10500" max="10500" width="17.28515625" style="125" bestFit="1" customWidth="1"/>
    <col min="10501" max="10501" width="20.140625" style="125" bestFit="1" customWidth="1"/>
    <col min="10502" max="10502" width="16.5703125" style="125" customWidth="1"/>
    <col min="10503" max="10503" width="18.7109375" style="125" bestFit="1" customWidth="1"/>
    <col min="10504" max="10504" width="17.5703125" style="125" customWidth="1"/>
    <col min="10505" max="10505" width="15.5703125" style="125" bestFit="1" customWidth="1"/>
    <col min="10506" max="10506" width="13.5703125" style="125" customWidth="1"/>
    <col min="10507" max="10507" width="20.5703125" style="125" customWidth="1"/>
    <col min="10508" max="10508" width="12.42578125" style="125" bestFit="1" customWidth="1"/>
    <col min="10509" max="10752" width="9.140625" style="125"/>
    <col min="10753" max="10753" width="23" style="125" customWidth="1"/>
    <col min="10754" max="10754" width="42" style="125" customWidth="1"/>
    <col min="10755" max="10755" width="54.7109375" style="125" customWidth="1"/>
    <col min="10756" max="10756" width="17.28515625" style="125" bestFit="1" customWidth="1"/>
    <col min="10757" max="10757" width="20.140625" style="125" bestFit="1" customWidth="1"/>
    <col min="10758" max="10758" width="16.5703125" style="125" customWidth="1"/>
    <col min="10759" max="10759" width="18.7109375" style="125" bestFit="1" customWidth="1"/>
    <col min="10760" max="10760" width="17.5703125" style="125" customWidth="1"/>
    <col min="10761" max="10761" width="15.5703125" style="125" bestFit="1" customWidth="1"/>
    <col min="10762" max="10762" width="13.5703125" style="125" customWidth="1"/>
    <col min="10763" max="10763" width="20.5703125" style="125" customWidth="1"/>
    <col min="10764" max="10764" width="12.42578125" style="125" bestFit="1" customWidth="1"/>
    <col min="10765" max="11008" width="9.140625" style="125"/>
    <col min="11009" max="11009" width="23" style="125" customWidth="1"/>
    <col min="11010" max="11010" width="42" style="125" customWidth="1"/>
    <col min="11011" max="11011" width="54.7109375" style="125" customWidth="1"/>
    <col min="11012" max="11012" width="17.28515625" style="125" bestFit="1" customWidth="1"/>
    <col min="11013" max="11013" width="20.140625" style="125" bestFit="1" customWidth="1"/>
    <col min="11014" max="11014" width="16.5703125" style="125" customWidth="1"/>
    <col min="11015" max="11015" width="18.7109375" style="125" bestFit="1" customWidth="1"/>
    <col min="11016" max="11016" width="17.5703125" style="125" customWidth="1"/>
    <col min="11017" max="11017" width="15.5703125" style="125" bestFit="1" customWidth="1"/>
    <col min="11018" max="11018" width="13.5703125" style="125" customWidth="1"/>
    <col min="11019" max="11019" width="20.5703125" style="125" customWidth="1"/>
    <col min="11020" max="11020" width="12.42578125" style="125" bestFit="1" customWidth="1"/>
    <col min="11021" max="11264" width="9.140625" style="125"/>
    <col min="11265" max="11265" width="23" style="125" customWidth="1"/>
    <col min="11266" max="11266" width="42" style="125" customWidth="1"/>
    <col min="11267" max="11267" width="54.7109375" style="125" customWidth="1"/>
    <col min="11268" max="11268" width="17.28515625" style="125" bestFit="1" customWidth="1"/>
    <col min="11269" max="11269" width="20.140625" style="125" bestFit="1" customWidth="1"/>
    <col min="11270" max="11270" width="16.5703125" style="125" customWidth="1"/>
    <col min="11271" max="11271" width="18.7109375" style="125" bestFit="1" customWidth="1"/>
    <col min="11272" max="11272" width="17.5703125" style="125" customWidth="1"/>
    <col min="11273" max="11273" width="15.5703125" style="125" bestFit="1" customWidth="1"/>
    <col min="11274" max="11274" width="13.5703125" style="125" customWidth="1"/>
    <col min="11275" max="11275" width="20.5703125" style="125" customWidth="1"/>
    <col min="11276" max="11276" width="12.42578125" style="125" bestFit="1" customWidth="1"/>
    <col min="11277" max="11520" width="9.140625" style="125"/>
    <col min="11521" max="11521" width="23" style="125" customWidth="1"/>
    <col min="11522" max="11522" width="42" style="125" customWidth="1"/>
    <col min="11523" max="11523" width="54.7109375" style="125" customWidth="1"/>
    <col min="11524" max="11524" width="17.28515625" style="125" bestFit="1" customWidth="1"/>
    <col min="11525" max="11525" width="20.140625" style="125" bestFit="1" customWidth="1"/>
    <col min="11526" max="11526" width="16.5703125" style="125" customWidth="1"/>
    <col min="11527" max="11527" width="18.7109375" style="125" bestFit="1" customWidth="1"/>
    <col min="11528" max="11528" width="17.5703125" style="125" customWidth="1"/>
    <col min="11529" max="11529" width="15.5703125" style="125" bestFit="1" customWidth="1"/>
    <col min="11530" max="11530" width="13.5703125" style="125" customWidth="1"/>
    <col min="11531" max="11531" width="20.5703125" style="125" customWidth="1"/>
    <col min="11532" max="11532" width="12.42578125" style="125" bestFit="1" customWidth="1"/>
    <col min="11533" max="11776" width="9.140625" style="125"/>
    <col min="11777" max="11777" width="23" style="125" customWidth="1"/>
    <col min="11778" max="11778" width="42" style="125" customWidth="1"/>
    <col min="11779" max="11779" width="54.7109375" style="125" customWidth="1"/>
    <col min="11780" max="11780" width="17.28515625" style="125" bestFit="1" customWidth="1"/>
    <col min="11781" max="11781" width="20.140625" style="125" bestFit="1" customWidth="1"/>
    <col min="11782" max="11782" width="16.5703125" style="125" customWidth="1"/>
    <col min="11783" max="11783" width="18.7109375" style="125" bestFit="1" customWidth="1"/>
    <col min="11784" max="11784" width="17.5703125" style="125" customWidth="1"/>
    <col min="11785" max="11785" width="15.5703125" style="125" bestFit="1" customWidth="1"/>
    <col min="11786" max="11786" width="13.5703125" style="125" customWidth="1"/>
    <col min="11787" max="11787" width="20.5703125" style="125" customWidth="1"/>
    <col min="11788" max="11788" width="12.42578125" style="125" bestFit="1" customWidth="1"/>
    <col min="11789" max="12032" width="9.140625" style="125"/>
    <col min="12033" max="12033" width="23" style="125" customWidth="1"/>
    <col min="12034" max="12034" width="42" style="125" customWidth="1"/>
    <col min="12035" max="12035" width="54.7109375" style="125" customWidth="1"/>
    <col min="12036" max="12036" width="17.28515625" style="125" bestFit="1" customWidth="1"/>
    <col min="12037" max="12037" width="20.140625" style="125" bestFit="1" customWidth="1"/>
    <col min="12038" max="12038" width="16.5703125" style="125" customWidth="1"/>
    <col min="12039" max="12039" width="18.7109375" style="125" bestFit="1" customWidth="1"/>
    <col min="12040" max="12040" width="17.5703125" style="125" customWidth="1"/>
    <col min="12041" max="12041" width="15.5703125" style="125" bestFit="1" customWidth="1"/>
    <col min="12042" max="12042" width="13.5703125" style="125" customWidth="1"/>
    <col min="12043" max="12043" width="20.5703125" style="125" customWidth="1"/>
    <col min="12044" max="12044" width="12.42578125" style="125" bestFit="1" customWidth="1"/>
    <col min="12045" max="12288" width="9.140625" style="125"/>
    <col min="12289" max="12289" width="23" style="125" customWidth="1"/>
    <col min="12290" max="12290" width="42" style="125" customWidth="1"/>
    <col min="12291" max="12291" width="54.7109375" style="125" customWidth="1"/>
    <col min="12292" max="12292" width="17.28515625" style="125" bestFit="1" customWidth="1"/>
    <col min="12293" max="12293" width="20.140625" style="125" bestFit="1" customWidth="1"/>
    <col min="12294" max="12294" width="16.5703125" style="125" customWidth="1"/>
    <col min="12295" max="12295" width="18.7109375" style="125" bestFit="1" customWidth="1"/>
    <col min="12296" max="12296" width="17.5703125" style="125" customWidth="1"/>
    <col min="12297" max="12297" width="15.5703125" style="125" bestFit="1" customWidth="1"/>
    <col min="12298" max="12298" width="13.5703125" style="125" customWidth="1"/>
    <col min="12299" max="12299" width="20.5703125" style="125" customWidth="1"/>
    <col min="12300" max="12300" width="12.42578125" style="125" bestFit="1" customWidth="1"/>
    <col min="12301" max="12544" width="9.140625" style="125"/>
    <col min="12545" max="12545" width="23" style="125" customWidth="1"/>
    <col min="12546" max="12546" width="42" style="125" customWidth="1"/>
    <col min="12547" max="12547" width="54.7109375" style="125" customWidth="1"/>
    <col min="12548" max="12548" width="17.28515625" style="125" bestFit="1" customWidth="1"/>
    <col min="12549" max="12549" width="20.140625" style="125" bestFit="1" customWidth="1"/>
    <col min="12550" max="12550" width="16.5703125" style="125" customWidth="1"/>
    <col min="12551" max="12551" width="18.7109375" style="125" bestFit="1" customWidth="1"/>
    <col min="12552" max="12552" width="17.5703125" style="125" customWidth="1"/>
    <col min="12553" max="12553" width="15.5703125" style="125" bestFit="1" customWidth="1"/>
    <col min="12554" max="12554" width="13.5703125" style="125" customWidth="1"/>
    <col min="12555" max="12555" width="20.5703125" style="125" customWidth="1"/>
    <col min="12556" max="12556" width="12.42578125" style="125" bestFit="1" customWidth="1"/>
    <col min="12557" max="12800" width="9.140625" style="125"/>
    <col min="12801" max="12801" width="23" style="125" customWidth="1"/>
    <col min="12802" max="12802" width="42" style="125" customWidth="1"/>
    <col min="12803" max="12803" width="54.7109375" style="125" customWidth="1"/>
    <col min="12804" max="12804" width="17.28515625" style="125" bestFit="1" customWidth="1"/>
    <col min="12805" max="12805" width="20.140625" style="125" bestFit="1" customWidth="1"/>
    <col min="12806" max="12806" width="16.5703125" style="125" customWidth="1"/>
    <col min="12807" max="12807" width="18.7109375" style="125" bestFit="1" customWidth="1"/>
    <col min="12808" max="12808" width="17.5703125" style="125" customWidth="1"/>
    <col min="12809" max="12809" width="15.5703125" style="125" bestFit="1" customWidth="1"/>
    <col min="12810" max="12810" width="13.5703125" style="125" customWidth="1"/>
    <col min="12811" max="12811" width="20.5703125" style="125" customWidth="1"/>
    <col min="12812" max="12812" width="12.42578125" style="125" bestFit="1" customWidth="1"/>
    <col min="12813" max="13056" width="9.140625" style="125"/>
    <col min="13057" max="13057" width="23" style="125" customWidth="1"/>
    <col min="13058" max="13058" width="42" style="125" customWidth="1"/>
    <col min="13059" max="13059" width="54.7109375" style="125" customWidth="1"/>
    <col min="13060" max="13060" width="17.28515625" style="125" bestFit="1" customWidth="1"/>
    <col min="13061" max="13061" width="20.140625" style="125" bestFit="1" customWidth="1"/>
    <col min="13062" max="13062" width="16.5703125" style="125" customWidth="1"/>
    <col min="13063" max="13063" width="18.7109375" style="125" bestFit="1" customWidth="1"/>
    <col min="13064" max="13064" width="17.5703125" style="125" customWidth="1"/>
    <col min="13065" max="13065" width="15.5703125" style="125" bestFit="1" customWidth="1"/>
    <col min="13066" max="13066" width="13.5703125" style="125" customWidth="1"/>
    <col min="13067" max="13067" width="20.5703125" style="125" customWidth="1"/>
    <col min="13068" max="13068" width="12.42578125" style="125" bestFit="1" customWidth="1"/>
    <col min="13069" max="13312" width="9.140625" style="125"/>
    <col min="13313" max="13313" width="23" style="125" customWidth="1"/>
    <col min="13314" max="13314" width="42" style="125" customWidth="1"/>
    <col min="13315" max="13315" width="54.7109375" style="125" customWidth="1"/>
    <col min="13316" max="13316" width="17.28515625" style="125" bestFit="1" customWidth="1"/>
    <col min="13317" max="13317" width="20.140625" style="125" bestFit="1" customWidth="1"/>
    <col min="13318" max="13318" width="16.5703125" style="125" customWidth="1"/>
    <col min="13319" max="13319" width="18.7109375" style="125" bestFit="1" customWidth="1"/>
    <col min="13320" max="13320" width="17.5703125" style="125" customWidth="1"/>
    <col min="13321" max="13321" width="15.5703125" style="125" bestFit="1" customWidth="1"/>
    <col min="13322" max="13322" width="13.5703125" style="125" customWidth="1"/>
    <col min="13323" max="13323" width="20.5703125" style="125" customWidth="1"/>
    <col min="13324" max="13324" width="12.42578125" style="125" bestFit="1" customWidth="1"/>
    <col min="13325" max="13568" width="9.140625" style="125"/>
    <col min="13569" max="13569" width="23" style="125" customWidth="1"/>
    <col min="13570" max="13570" width="42" style="125" customWidth="1"/>
    <col min="13571" max="13571" width="54.7109375" style="125" customWidth="1"/>
    <col min="13572" max="13572" width="17.28515625" style="125" bestFit="1" customWidth="1"/>
    <col min="13573" max="13573" width="20.140625" style="125" bestFit="1" customWidth="1"/>
    <col min="13574" max="13574" width="16.5703125" style="125" customWidth="1"/>
    <col min="13575" max="13575" width="18.7109375" style="125" bestFit="1" customWidth="1"/>
    <col min="13576" max="13576" width="17.5703125" style="125" customWidth="1"/>
    <col min="13577" max="13577" width="15.5703125" style="125" bestFit="1" customWidth="1"/>
    <col min="13578" max="13578" width="13.5703125" style="125" customWidth="1"/>
    <col min="13579" max="13579" width="20.5703125" style="125" customWidth="1"/>
    <col min="13580" max="13580" width="12.42578125" style="125" bestFit="1" customWidth="1"/>
    <col min="13581" max="13824" width="9.140625" style="125"/>
    <col min="13825" max="13825" width="23" style="125" customWidth="1"/>
    <col min="13826" max="13826" width="42" style="125" customWidth="1"/>
    <col min="13827" max="13827" width="54.7109375" style="125" customWidth="1"/>
    <col min="13828" max="13828" width="17.28515625" style="125" bestFit="1" customWidth="1"/>
    <col min="13829" max="13829" width="20.140625" style="125" bestFit="1" customWidth="1"/>
    <col min="13830" max="13830" width="16.5703125" style="125" customWidth="1"/>
    <col min="13831" max="13831" width="18.7109375" style="125" bestFit="1" customWidth="1"/>
    <col min="13832" max="13832" width="17.5703125" style="125" customWidth="1"/>
    <col min="13833" max="13833" width="15.5703125" style="125" bestFit="1" customWidth="1"/>
    <col min="13834" max="13834" width="13.5703125" style="125" customWidth="1"/>
    <col min="13835" max="13835" width="20.5703125" style="125" customWidth="1"/>
    <col min="13836" max="13836" width="12.42578125" style="125" bestFit="1" customWidth="1"/>
    <col min="13837" max="14080" width="9.140625" style="125"/>
    <col min="14081" max="14081" width="23" style="125" customWidth="1"/>
    <col min="14082" max="14082" width="42" style="125" customWidth="1"/>
    <col min="14083" max="14083" width="54.7109375" style="125" customWidth="1"/>
    <col min="14084" max="14084" width="17.28515625" style="125" bestFit="1" customWidth="1"/>
    <col min="14085" max="14085" width="20.140625" style="125" bestFit="1" customWidth="1"/>
    <col min="14086" max="14086" width="16.5703125" style="125" customWidth="1"/>
    <col min="14087" max="14087" width="18.7109375" style="125" bestFit="1" customWidth="1"/>
    <col min="14088" max="14088" width="17.5703125" style="125" customWidth="1"/>
    <col min="14089" max="14089" width="15.5703125" style="125" bestFit="1" customWidth="1"/>
    <col min="14090" max="14090" width="13.5703125" style="125" customWidth="1"/>
    <col min="14091" max="14091" width="20.5703125" style="125" customWidth="1"/>
    <col min="14092" max="14092" width="12.42578125" style="125" bestFit="1" customWidth="1"/>
    <col min="14093" max="14336" width="9.140625" style="125"/>
    <col min="14337" max="14337" width="23" style="125" customWidth="1"/>
    <col min="14338" max="14338" width="42" style="125" customWidth="1"/>
    <col min="14339" max="14339" width="54.7109375" style="125" customWidth="1"/>
    <col min="14340" max="14340" width="17.28515625" style="125" bestFit="1" customWidth="1"/>
    <col min="14341" max="14341" width="20.140625" style="125" bestFit="1" customWidth="1"/>
    <col min="14342" max="14342" width="16.5703125" style="125" customWidth="1"/>
    <col min="14343" max="14343" width="18.7109375" style="125" bestFit="1" customWidth="1"/>
    <col min="14344" max="14344" width="17.5703125" style="125" customWidth="1"/>
    <col min="14345" max="14345" width="15.5703125" style="125" bestFit="1" customWidth="1"/>
    <col min="14346" max="14346" width="13.5703125" style="125" customWidth="1"/>
    <col min="14347" max="14347" width="20.5703125" style="125" customWidth="1"/>
    <col min="14348" max="14348" width="12.42578125" style="125" bestFit="1" customWidth="1"/>
    <col min="14349" max="14592" width="9.140625" style="125"/>
    <col min="14593" max="14593" width="23" style="125" customWidth="1"/>
    <col min="14594" max="14594" width="42" style="125" customWidth="1"/>
    <col min="14595" max="14595" width="54.7109375" style="125" customWidth="1"/>
    <col min="14596" max="14596" width="17.28515625" style="125" bestFit="1" customWidth="1"/>
    <col min="14597" max="14597" width="20.140625" style="125" bestFit="1" customWidth="1"/>
    <col min="14598" max="14598" width="16.5703125" style="125" customWidth="1"/>
    <col min="14599" max="14599" width="18.7109375" style="125" bestFit="1" customWidth="1"/>
    <col min="14600" max="14600" width="17.5703125" style="125" customWidth="1"/>
    <col min="14601" max="14601" width="15.5703125" style="125" bestFit="1" customWidth="1"/>
    <col min="14602" max="14602" width="13.5703125" style="125" customWidth="1"/>
    <col min="14603" max="14603" width="20.5703125" style="125" customWidth="1"/>
    <col min="14604" max="14604" width="12.42578125" style="125" bestFit="1" customWidth="1"/>
    <col min="14605" max="14848" width="9.140625" style="125"/>
    <col min="14849" max="14849" width="23" style="125" customWidth="1"/>
    <col min="14850" max="14850" width="42" style="125" customWidth="1"/>
    <col min="14851" max="14851" width="54.7109375" style="125" customWidth="1"/>
    <col min="14852" max="14852" width="17.28515625" style="125" bestFit="1" customWidth="1"/>
    <col min="14853" max="14853" width="20.140625" style="125" bestFit="1" customWidth="1"/>
    <col min="14854" max="14854" width="16.5703125" style="125" customWidth="1"/>
    <col min="14855" max="14855" width="18.7109375" style="125" bestFit="1" customWidth="1"/>
    <col min="14856" max="14856" width="17.5703125" style="125" customWidth="1"/>
    <col min="14857" max="14857" width="15.5703125" style="125" bestFit="1" customWidth="1"/>
    <col min="14858" max="14858" width="13.5703125" style="125" customWidth="1"/>
    <col min="14859" max="14859" width="20.5703125" style="125" customWidth="1"/>
    <col min="14860" max="14860" width="12.42578125" style="125" bestFit="1" customWidth="1"/>
    <col min="14861" max="15104" width="9.140625" style="125"/>
    <col min="15105" max="15105" width="23" style="125" customWidth="1"/>
    <col min="15106" max="15106" width="42" style="125" customWidth="1"/>
    <col min="15107" max="15107" width="54.7109375" style="125" customWidth="1"/>
    <col min="15108" max="15108" width="17.28515625" style="125" bestFit="1" customWidth="1"/>
    <col min="15109" max="15109" width="20.140625" style="125" bestFit="1" customWidth="1"/>
    <col min="15110" max="15110" width="16.5703125" style="125" customWidth="1"/>
    <col min="15111" max="15111" width="18.7109375" style="125" bestFit="1" customWidth="1"/>
    <col min="15112" max="15112" width="17.5703125" style="125" customWidth="1"/>
    <col min="15113" max="15113" width="15.5703125" style="125" bestFit="1" customWidth="1"/>
    <col min="15114" max="15114" width="13.5703125" style="125" customWidth="1"/>
    <col min="15115" max="15115" width="20.5703125" style="125" customWidth="1"/>
    <col min="15116" max="15116" width="12.42578125" style="125" bestFit="1" customWidth="1"/>
    <col min="15117" max="15360" width="9.140625" style="125"/>
    <col min="15361" max="15361" width="23" style="125" customWidth="1"/>
    <col min="15362" max="15362" width="42" style="125" customWidth="1"/>
    <col min="15363" max="15363" width="54.7109375" style="125" customWidth="1"/>
    <col min="15364" max="15364" width="17.28515625" style="125" bestFit="1" customWidth="1"/>
    <col min="15365" max="15365" width="20.140625" style="125" bestFit="1" customWidth="1"/>
    <col min="15366" max="15366" width="16.5703125" style="125" customWidth="1"/>
    <col min="15367" max="15367" width="18.7109375" style="125" bestFit="1" customWidth="1"/>
    <col min="15368" max="15368" width="17.5703125" style="125" customWidth="1"/>
    <col min="15369" max="15369" width="15.5703125" style="125" bestFit="1" customWidth="1"/>
    <col min="15370" max="15370" width="13.5703125" style="125" customWidth="1"/>
    <col min="15371" max="15371" width="20.5703125" style="125" customWidth="1"/>
    <col min="15372" max="15372" width="12.42578125" style="125" bestFit="1" customWidth="1"/>
    <col min="15373" max="15616" width="9.140625" style="125"/>
    <col min="15617" max="15617" width="23" style="125" customWidth="1"/>
    <col min="15618" max="15618" width="42" style="125" customWidth="1"/>
    <col min="15619" max="15619" width="54.7109375" style="125" customWidth="1"/>
    <col min="15620" max="15620" width="17.28515625" style="125" bestFit="1" customWidth="1"/>
    <col min="15621" max="15621" width="20.140625" style="125" bestFit="1" customWidth="1"/>
    <col min="15622" max="15622" width="16.5703125" style="125" customWidth="1"/>
    <col min="15623" max="15623" width="18.7109375" style="125" bestFit="1" customWidth="1"/>
    <col min="15624" max="15624" width="17.5703125" style="125" customWidth="1"/>
    <col min="15625" max="15625" width="15.5703125" style="125" bestFit="1" customWidth="1"/>
    <col min="15626" max="15626" width="13.5703125" style="125" customWidth="1"/>
    <col min="15627" max="15627" width="20.5703125" style="125" customWidth="1"/>
    <col min="15628" max="15628" width="12.42578125" style="125" bestFit="1" customWidth="1"/>
    <col min="15629" max="15872" width="9.140625" style="125"/>
    <col min="15873" max="15873" width="23" style="125" customWidth="1"/>
    <col min="15874" max="15874" width="42" style="125" customWidth="1"/>
    <col min="15875" max="15875" width="54.7109375" style="125" customWidth="1"/>
    <col min="15876" max="15876" width="17.28515625" style="125" bestFit="1" customWidth="1"/>
    <col min="15877" max="15877" width="20.140625" style="125" bestFit="1" customWidth="1"/>
    <col min="15878" max="15878" width="16.5703125" style="125" customWidth="1"/>
    <col min="15879" max="15879" width="18.7109375" style="125" bestFit="1" customWidth="1"/>
    <col min="15880" max="15880" width="17.5703125" style="125" customWidth="1"/>
    <col min="15881" max="15881" width="15.5703125" style="125" bestFit="1" customWidth="1"/>
    <col min="15882" max="15882" width="13.5703125" style="125" customWidth="1"/>
    <col min="15883" max="15883" width="20.5703125" style="125" customWidth="1"/>
    <col min="15884" max="15884" width="12.42578125" style="125" bestFit="1" customWidth="1"/>
    <col min="15885" max="16128" width="9.140625" style="125"/>
    <col min="16129" max="16129" width="23" style="125" customWidth="1"/>
    <col min="16130" max="16130" width="42" style="125" customWidth="1"/>
    <col min="16131" max="16131" width="54.7109375" style="125" customWidth="1"/>
    <col min="16132" max="16132" width="17.28515625" style="125" bestFit="1" customWidth="1"/>
    <col min="16133" max="16133" width="20.140625" style="125" bestFit="1" customWidth="1"/>
    <col min="16134" max="16134" width="16.5703125" style="125" customWidth="1"/>
    <col min="16135" max="16135" width="18.7109375" style="125" bestFit="1" customWidth="1"/>
    <col min="16136" max="16136" width="17.5703125" style="125" customWidth="1"/>
    <col min="16137" max="16137" width="15.5703125" style="125" bestFit="1" customWidth="1"/>
    <col min="16138" max="16138" width="13.5703125" style="125" customWidth="1"/>
    <col min="16139" max="16139" width="20.5703125" style="125" customWidth="1"/>
    <col min="16140" max="16140" width="12.42578125" style="125" bestFit="1" customWidth="1"/>
    <col min="16141" max="16384" width="9.140625" style="125"/>
  </cols>
  <sheetData>
    <row r="1" spans="2:7" x14ac:dyDescent="0.2">
      <c r="G1" s="149" t="s">
        <v>958</v>
      </c>
    </row>
    <row r="2" spans="2:7" x14ac:dyDescent="0.2">
      <c r="B2" s="261" t="s">
        <v>1063</v>
      </c>
      <c r="C2" s="261"/>
      <c r="D2" s="261"/>
      <c r="E2" s="261"/>
      <c r="F2" s="261"/>
      <c r="G2" s="261"/>
    </row>
    <row r="3" spans="2:7" x14ac:dyDescent="0.2">
      <c r="B3" s="261" t="s">
        <v>1064</v>
      </c>
      <c r="C3" s="261"/>
      <c r="D3" s="261"/>
      <c r="E3" s="261"/>
      <c r="F3" s="261"/>
      <c r="G3" s="261"/>
    </row>
    <row r="4" spans="2:7" x14ac:dyDescent="0.2">
      <c r="B4" s="149"/>
      <c r="C4" s="149"/>
      <c r="D4" s="149"/>
      <c r="E4" s="149"/>
      <c r="F4" s="149"/>
      <c r="G4" s="149"/>
    </row>
    <row r="5" spans="2:7" x14ac:dyDescent="0.2">
      <c r="B5" s="261" t="s">
        <v>1065</v>
      </c>
      <c r="C5" s="261"/>
      <c r="D5" s="261"/>
      <c r="E5" s="261"/>
      <c r="F5" s="261"/>
      <c r="G5" s="261"/>
    </row>
    <row r="6" spans="2:7" x14ac:dyDescent="0.2">
      <c r="B6" s="149" t="s">
        <v>1066</v>
      </c>
    </row>
    <row r="8" spans="2:7" ht="25.5" x14ac:dyDescent="0.2">
      <c r="B8" s="150" t="s">
        <v>1067</v>
      </c>
      <c r="C8" s="150" t="s">
        <v>1068</v>
      </c>
      <c r="D8" s="150" t="s">
        <v>1069</v>
      </c>
      <c r="E8" s="151" t="s">
        <v>1070</v>
      </c>
      <c r="F8" s="151" t="s">
        <v>1071</v>
      </c>
      <c r="G8" s="151" t="s">
        <v>1072</v>
      </c>
    </row>
    <row r="9" spans="2:7" x14ac:dyDescent="0.2">
      <c r="B9" s="152" t="s">
        <v>661</v>
      </c>
      <c r="C9" s="152" t="s">
        <v>1073</v>
      </c>
      <c r="D9" s="153" t="s">
        <v>1074</v>
      </c>
      <c r="E9" s="154">
        <v>3304.75</v>
      </c>
      <c r="F9" s="155">
        <v>3270.9</v>
      </c>
      <c r="G9" s="156">
        <v>26.841988999999998</v>
      </c>
    </row>
    <row r="10" spans="2:7" x14ac:dyDescent="0.2">
      <c r="B10" s="152" t="s">
        <v>661</v>
      </c>
      <c r="C10" s="152" t="s">
        <v>1075</v>
      </c>
      <c r="D10" s="153" t="s">
        <v>1074</v>
      </c>
      <c r="E10" s="154">
        <v>1995.3</v>
      </c>
      <c r="F10" s="155">
        <v>2021.85</v>
      </c>
      <c r="G10" s="156">
        <v>47.012971999999991</v>
      </c>
    </row>
    <row r="11" spans="2:7" x14ac:dyDescent="0.2">
      <c r="B11" s="152" t="s">
        <v>661</v>
      </c>
      <c r="C11" s="152" t="s">
        <v>1076</v>
      </c>
      <c r="D11" s="153" t="s">
        <v>1074</v>
      </c>
      <c r="E11" s="154">
        <v>7217.02</v>
      </c>
      <c r="F11" s="155">
        <v>7207.75</v>
      </c>
      <c r="G11" s="156">
        <v>96.919898700000005</v>
      </c>
    </row>
    <row r="12" spans="2:7" x14ac:dyDescent="0.2">
      <c r="B12" s="152" t="s">
        <v>661</v>
      </c>
      <c r="C12" s="157" t="s">
        <v>1077</v>
      </c>
      <c r="D12" s="153" t="s">
        <v>1074</v>
      </c>
      <c r="E12" s="154">
        <v>552.84</v>
      </c>
      <c r="F12" s="155">
        <v>557.25</v>
      </c>
      <c r="G12" s="156">
        <v>52.9457667</v>
      </c>
    </row>
    <row r="13" spans="2:7" x14ac:dyDescent="0.2">
      <c r="B13" s="152" t="s">
        <v>661</v>
      </c>
      <c r="C13" s="158" t="s">
        <v>1078</v>
      </c>
      <c r="D13" s="153" t="s">
        <v>1074</v>
      </c>
      <c r="E13" s="154">
        <v>488.43</v>
      </c>
      <c r="F13" s="155">
        <v>507.35</v>
      </c>
      <c r="G13" s="156">
        <v>88.989399199999994</v>
      </c>
    </row>
    <row r="14" spans="2:7" x14ac:dyDescent="0.2">
      <c r="B14" s="152" t="s">
        <v>661</v>
      </c>
      <c r="C14" s="158" t="s">
        <v>1079</v>
      </c>
      <c r="D14" s="153" t="s">
        <v>1074</v>
      </c>
      <c r="E14" s="154">
        <v>445.37</v>
      </c>
      <c r="F14" s="155">
        <v>431.65</v>
      </c>
      <c r="G14" s="156">
        <v>81.971378999999999</v>
      </c>
    </row>
    <row r="15" spans="2:7" x14ac:dyDescent="0.2">
      <c r="B15" s="152" t="s">
        <v>661</v>
      </c>
      <c r="C15" s="158" t="s">
        <v>1080</v>
      </c>
      <c r="D15" s="153" t="s">
        <v>1074</v>
      </c>
      <c r="E15" s="154">
        <v>1600.63</v>
      </c>
      <c r="F15" s="155">
        <v>1581.9</v>
      </c>
      <c r="G15" s="156">
        <v>81.654227399999996</v>
      </c>
    </row>
    <row r="16" spans="2:7" x14ac:dyDescent="0.2">
      <c r="B16" s="152" t="s">
        <v>661</v>
      </c>
      <c r="C16" s="158" t="s">
        <v>1081</v>
      </c>
      <c r="D16" s="153" t="s">
        <v>1074</v>
      </c>
      <c r="E16" s="154">
        <v>2553.64</v>
      </c>
      <c r="F16" s="155">
        <v>2515.5</v>
      </c>
      <c r="G16" s="156">
        <v>60.546487499999998</v>
      </c>
    </row>
    <row r="17" spans="2:7" x14ac:dyDescent="0.2">
      <c r="B17" s="152" t="s">
        <v>661</v>
      </c>
      <c r="C17" s="158" t="s">
        <v>1082</v>
      </c>
      <c r="D17" s="153" t="s">
        <v>1074</v>
      </c>
      <c r="E17" s="154">
        <v>981.88</v>
      </c>
      <c r="F17" s="155">
        <v>966.05</v>
      </c>
      <c r="G17" s="156">
        <v>132.3400053</v>
      </c>
    </row>
    <row r="18" spans="2:7" x14ac:dyDescent="0.2">
      <c r="B18" s="152" t="s">
        <v>661</v>
      </c>
      <c r="C18" s="158" t="s">
        <v>1083</v>
      </c>
      <c r="D18" s="153" t="s">
        <v>1074</v>
      </c>
      <c r="E18" s="154">
        <v>165.84</v>
      </c>
      <c r="F18" s="155">
        <v>176.05</v>
      </c>
      <c r="G18" s="156">
        <v>169.59759359999998</v>
      </c>
    </row>
    <row r="19" spans="2:7" x14ac:dyDescent="0.2">
      <c r="B19" s="152" t="s">
        <v>661</v>
      </c>
      <c r="C19" s="158" t="s">
        <v>1084</v>
      </c>
      <c r="D19" s="153" t="s">
        <v>1074</v>
      </c>
      <c r="E19" s="154">
        <v>452.64</v>
      </c>
      <c r="F19" s="155">
        <v>441.3</v>
      </c>
      <c r="G19" s="156">
        <v>7.5346080000000004</v>
      </c>
    </row>
    <row r="20" spans="2:7" x14ac:dyDescent="0.2">
      <c r="B20" s="152" t="s">
        <v>661</v>
      </c>
      <c r="C20" s="158" t="s">
        <v>1085</v>
      </c>
      <c r="D20" s="153" t="s">
        <v>1074</v>
      </c>
      <c r="E20" s="154">
        <v>153.87</v>
      </c>
      <c r="F20" s="155">
        <v>155.6</v>
      </c>
      <c r="G20" s="156">
        <v>100.49508</v>
      </c>
    </row>
    <row r="21" spans="2:7" x14ac:dyDescent="0.2">
      <c r="B21" s="152" t="s">
        <v>661</v>
      </c>
      <c r="C21" s="158" t="s">
        <v>1086</v>
      </c>
      <c r="D21" s="153" t="s">
        <v>1074</v>
      </c>
      <c r="E21" s="154">
        <v>9799.75</v>
      </c>
      <c r="F21" s="155">
        <v>10074.700000000001</v>
      </c>
      <c r="G21" s="156">
        <v>89.09314950000001</v>
      </c>
    </row>
    <row r="22" spans="2:7" x14ac:dyDescent="0.2">
      <c r="B22" s="152" t="s">
        <v>661</v>
      </c>
      <c r="C22" s="158" t="s">
        <v>1087</v>
      </c>
      <c r="D22" s="153" t="s">
        <v>1074</v>
      </c>
      <c r="E22" s="154">
        <v>2445.94</v>
      </c>
      <c r="F22" s="155">
        <v>2421.15</v>
      </c>
      <c r="G22" s="156">
        <v>31.101067399999998</v>
      </c>
    </row>
    <row r="23" spans="2:7" x14ac:dyDescent="0.2">
      <c r="B23" s="152" t="s">
        <v>661</v>
      </c>
      <c r="C23" s="158" t="s">
        <v>1088</v>
      </c>
      <c r="D23" s="153" t="s">
        <v>1074</v>
      </c>
      <c r="E23" s="154">
        <v>3809.5</v>
      </c>
      <c r="F23" s="155">
        <v>3954.65</v>
      </c>
      <c r="G23" s="156">
        <v>7.5780604</v>
      </c>
    </row>
    <row r="24" spans="2:7" x14ac:dyDescent="0.2">
      <c r="B24" s="152" t="s">
        <v>661</v>
      </c>
      <c r="C24" s="158" t="s">
        <v>1089</v>
      </c>
      <c r="D24" s="153" t="s">
        <v>1074</v>
      </c>
      <c r="E24" s="154">
        <v>1798.36</v>
      </c>
      <c r="F24" s="155">
        <v>1803.55</v>
      </c>
      <c r="G24" s="156">
        <v>27.964069500000001</v>
      </c>
    </row>
    <row r="25" spans="2:7" x14ac:dyDescent="0.2">
      <c r="B25" s="152" t="s">
        <v>661</v>
      </c>
      <c r="C25" s="158" t="s">
        <v>1090</v>
      </c>
      <c r="D25" s="153" t="s">
        <v>1074</v>
      </c>
      <c r="E25" s="154">
        <v>3416.38</v>
      </c>
      <c r="F25" s="155">
        <v>3380.45</v>
      </c>
      <c r="G25" s="156">
        <v>5.2592629999999989</v>
      </c>
    </row>
    <row r="26" spans="2:7" x14ac:dyDescent="0.2">
      <c r="B26" s="152" t="s">
        <v>661</v>
      </c>
      <c r="C26" s="158" t="s">
        <v>1091</v>
      </c>
      <c r="D26" s="153" t="s">
        <v>1074</v>
      </c>
      <c r="E26" s="154">
        <v>847.86</v>
      </c>
      <c r="F26" s="155">
        <v>839.45</v>
      </c>
      <c r="G26" s="156">
        <v>13.513567999999998</v>
      </c>
    </row>
    <row r="27" spans="2:7" x14ac:dyDescent="0.2">
      <c r="B27" s="152" t="s">
        <v>661</v>
      </c>
      <c r="C27" s="158" t="s">
        <v>1092</v>
      </c>
      <c r="D27" s="153" t="s">
        <v>1074</v>
      </c>
      <c r="E27" s="154">
        <v>2031.15</v>
      </c>
      <c r="F27" s="155">
        <v>2064.75</v>
      </c>
      <c r="G27" s="156">
        <v>19.103339999999999</v>
      </c>
    </row>
    <row r="28" spans="2:7" x14ac:dyDescent="0.2">
      <c r="B28" s="152" t="s">
        <v>661</v>
      </c>
      <c r="C28" s="158" t="s">
        <v>1093</v>
      </c>
      <c r="D28" s="153" t="s">
        <v>1074</v>
      </c>
      <c r="E28" s="154">
        <v>277.23</v>
      </c>
      <c r="F28" s="155">
        <v>263.85000000000002</v>
      </c>
      <c r="G28" s="156">
        <v>339.25707</v>
      </c>
    </row>
    <row r="29" spans="2:7" x14ac:dyDescent="0.2">
      <c r="B29" s="152" t="s">
        <v>661</v>
      </c>
      <c r="C29" s="158" t="s">
        <v>1094</v>
      </c>
      <c r="D29" s="153" t="s">
        <v>1074</v>
      </c>
      <c r="E29" s="154">
        <v>649.54</v>
      </c>
      <c r="F29" s="155">
        <v>629.5</v>
      </c>
      <c r="G29" s="156">
        <v>12.03687</v>
      </c>
    </row>
    <row r="30" spans="2:7" x14ac:dyDescent="0.2">
      <c r="B30" s="152"/>
      <c r="C30" s="158"/>
      <c r="D30" s="153"/>
      <c r="E30" s="159"/>
      <c r="F30" s="160"/>
      <c r="G30" s="161"/>
    </row>
    <row r="31" spans="2:7" x14ac:dyDescent="0.2">
      <c r="B31" s="152"/>
      <c r="C31" s="158"/>
      <c r="D31" s="153"/>
      <c r="E31" s="162"/>
      <c r="F31" s="162"/>
      <c r="G31" s="161"/>
    </row>
    <row r="32" spans="2:7" x14ac:dyDescent="0.2">
      <c r="B32" s="152" t="s">
        <v>681</v>
      </c>
      <c r="C32" s="158" t="s">
        <v>1076</v>
      </c>
      <c r="D32" s="153" t="s">
        <v>1074</v>
      </c>
      <c r="E32" s="159">
        <v>7352.04</v>
      </c>
      <c r="F32" s="160">
        <v>7207.75</v>
      </c>
      <c r="G32" s="161">
        <v>221.04538300000002</v>
      </c>
    </row>
    <row r="33" spans="2:8" x14ac:dyDescent="0.2">
      <c r="B33" s="152" t="s">
        <v>681</v>
      </c>
      <c r="C33" s="158" t="s">
        <v>1095</v>
      </c>
      <c r="D33" s="153" t="s">
        <v>1074</v>
      </c>
      <c r="E33" s="159">
        <v>1516.13</v>
      </c>
      <c r="F33" s="160">
        <v>1498.65</v>
      </c>
      <c r="G33" s="161">
        <v>36.174158800000001</v>
      </c>
    </row>
    <row r="34" spans="2:8" x14ac:dyDescent="0.2">
      <c r="B34" s="152" t="s">
        <v>681</v>
      </c>
      <c r="C34" s="158" t="s">
        <v>1096</v>
      </c>
      <c r="D34" s="153" t="s">
        <v>1074</v>
      </c>
      <c r="E34" s="159">
        <v>192.65</v>
      </c>
      <c r="F34" s="160">
        <v>188.35</v>
      </c>
      <c r="G34" s="161">
        <v>59.111678399999995</v>
      </c>
    </row>
    <row r="35" spans="2:8" x14ac:dyDescent="0.2">
      <c r="B35" s="152" t="s">
        <v>681</v>
      </c>
      <c r="C35" s="158" t="s">
        <v>1097</v>
      </c>
      <c r="D35" s="153" t="s">
        <v>1074</v>
      </c>
      <c r="E35" s="159">
        <v>1245.55</v>
      </c>
      <c r="F35" s="160">
        <v>1256.95</v>
      </c>
      <c r="G35" s="161">
        <v>171.57913199999999</v>
      </c>
    </row>
    <row r="36" spans="2:8" x14ac:dyDescent="0.2">
      <c r="B36" s="152" t="s">
        <v>681</v>
      </c>
      <c r="C36" s="158" t="s">
        <v>1080</v>
      </c>
      <c r="D36" s="153" t="s">
        <v>1074</v>
      </c>
      <c r="E36" s="159">
        <v>1596.2</v>
      </c>
      <c r="F36" s="160">
        <v>1581.9</v>
      </c>
      <c r="G36" s="161">
        <v>53.922602999999995</v>
      </c>
    </row>
    <row r="37" spans="2:8" x14ac:dyDescent="0.2">
      <c r="B37" s="152" t="s">
        <v>681</v>
      </c>
      <c r="C37" s="158" t="s">
        <v>1082</v>
      </c>
      <c r="D37" s="153" t="s">
        <v>1074</v>
      </c>
      <c r="E37" s="159">
        <v>977.68</v>
      </c>
      <c r="F37" s="160">
        <v>966.05</v>
      </c>
      <c r="G37" s="161">
        <v>315.94685950000002</v>
      </c>
    </row>
    <row r="38" spans="2:8" x14ac:dyDescent="0.2">
      <c r="B38" s="152" t="s">
        <v>681</v>
      </c>
      <c r="C38" s="158" t="s">
        <v>1098</v>
      </c>
      <c r="D38" s="153" t="s">
        <v>1074</v>
      </c>
      <c r="E38" s="159">
        <v>1434.33</v>
      </c>
      <c r="F38" s="160">
        <v>1445.2</v>
      </c>
      <c r="G38" s="161">
        <v>254.892</v>
      </c>
    </row>
    <row r="39" spans="2:8" x14ac:dyDescent="0.2">
      <c r="B39" s="152" t="s">
        <v>681</v>
      </c>
      <c r="C39" s="158" t="s">
        <v>1099</v>
      </c>
      <c r="D39" s="153" t="s">
        <v>1074</v>
      </c>
      <c r="E39" s="159">
        <v>677.26</v>
      </c>
      <c r="F39" s="160">
        <v>688.25</v>
      </c>
      <c r="G39" s="161">
        <v>269.75584020000002</v>
      </c>
    </row>
    <row r="40" spans="2:8" x14ac:dyDescent="0.2">
      <c r="B40" s="152" t="s">
        <v>681</v>
      </c>
      <c r="C40" s="158" t="s">
        <v>1100</v>
      </c>
      <c r="D40" s="153" t="s">
        <v>1074</v>
      </c>
      <c r="E40" s="159">
        <v>1796.46</v>
      </c>
      <c r="F40" s="160">
        <v>1771.75</v>
      </c>
      <c r="G40" s="161">
        <v>288.25718499999999</v>
      </c>
    </row>
    <row r="41" spans="2:8" x14ac:dyDescent="0.2">
      <c r="B41" s="152" t="s">
        <v>681</v>
      </c>
      <c r="C41" s="158" t="s">
        <v>1101</v>
      </c>
      <c r="D41" s="153" t="s">
        <v>1074</v>
      </c>
      <c r="E41" s="159">
        <v>1586.6</v>
      </c>
      <c r="F41" s="160">
        <v>1584.05</v>
      </c>
      <c r="G41" s="161">
        <v>143.50502790000002</v>
      </c>
    </row>
    <row r="42" spans="2:8" x14ac:dyDescent="0.2">
      <c r="B42" s="152" t="s">
        <v>681</v>
      </c>
      <c r="C42" s="158" t="s">
        <v>1086</v>
      </c>
      <c r="D42" s="153" t="s">
        <v>1074</v>
      </c>
      <c r="E42" s="159">
        <v>9724.2800000000007</v>
      </c>
      <c r="F42" s="160">
        <v>10074.700000000001</v>
      </c>
      <c r="G42" s="161">
        <v>316.19333450000005</v>
      </c>
    </row>
    <row r="43" spans="2:8" x14ac:dyDescent="0.2">
      <c r="B43" s="152" t="s">
        <v>681</v>
      </c>
      <c r="C43" s="158" t="s">
        <v>1102</v>
      </c>
      <c r="D43" s="153" t="s">
        <v>1074</v>
      </c>
      <c r="E43" s="159">
        <v>19488.919999999998</v>
      </c>
      <c r="F43" s="160">
        <v>19414.25</v>
      </c>
      <c r="G43" s="161">
        <v>1116.6577500000001</v>
      </c>
    </row>
    <row r="44" spans="2:8" x14ac:dyDescent="0.2">
      <c r="B44" s="152" t="s">
        <v>681</v>
      </c>
      <c r="C44" s="158" t="s">
        <v>1087</v>
      </c>
      <c r="D44" s="153" t="s">
        <v>1074</v>
      </c>
      <c r="E44" s="159">
        <v>2440.09</v>
      </c>
      <c r="F44" s="160">
        <v>2421.15</v>
      </c>
      <c r="G44" s="161">
        <v>25.738814399999999</v>
      </c>
    </row>
    <row r="45" spans="2:8" x14ac:dyDescent="0.2">
      <c r="B45" s="152" t="s">
        <v>681</v>
      </c>
      <c r="C45" s="158" t="s">
        <v>1103</v>
      </c>
      <c r="D45" s="153" t="s">
        <v>1074</v>
      </c>
      <c r="E45" s="159">
        <v>613.28</v>
      </c>
      <c r="F45" s="160">
        <v>605.45000000000005</v>
      </c>
      <c r="G45" s="161">
        <v>177.41381999999999</v>
      </c>
    </row>
    <row r="46" spans="2:8" x14ac:dyDescent="0.2">
      <c r="B46" s="152" t="s">
        <v>681</v>
      </c>
      <c r="C46" s="158" t="s">
        <v>1104</v>
      </c>
      <c r="D46" s="153" t="s">
        <v>1074</v>
      </c>
      <c r="E46" s="159">
        <v>1016.33</v>
      </c>
      <c r="F46" s="160">
        <v>1013.65</v>
      </c>
      <c r="G46" s="161">
        <v>138.39807299999998</v>
      </c>
    </row>
    <row r="47" spans="2:8" x14ac:dyDescent="0.2">
      <c r="B47" s="152"/>
      <c r="C47" s="158"/>
      <c r="D47" s="153"/>
      <c r="E47" s="162"/>
      <c r="F47" s="162"/>
      <c r="G47" s="161"/>
    </row>
    <row r="48" spans="2:8" x14ac:dyDescent="0.2">
      <c r="B48" s="152" t="s">
        <v>718</v>
      </c>
      <c r="C48" s="4" t="s">
        <v>1073</v>
      </c>
      <c r="D48" s="153" t="s">
        <v>1074</v>
      </c>
      <c r="E48" s="159">
        <v>3306.67</v>
      </c>
      <c r="F48" s="160">
        <v>3270.9</v>
      </c>
      <c r="G48" s="163">
        <v>45.514676999999999</v>
      </c>
      <c r="H48" s="164"/>
    </row>
    <row r="49" spans="2:8" x14ac:dyDescent="0.2">
      <c r="B49" s="152" t="s">
        <v>718</v>
      </c>
      <c r="C49" s="4" t="s">
        <v>1075</v>
      </c>
      <c r="D49" s="153" t="s">
        <v>1074</v>
      </c>
      <c r="E49" s="159">
        <v>2015.6</v>
      </c>
      <c r="F49" s="160">
        <v>2021.85</v>
      </c>
      <c r="G49" s="163">
        <v>34.0844047</v>
      </c>
      <c r="H49" s="164"/>
    </row>
    <row r="50" spans="2:8" x14ac:dyDescent="0.2">
      <c r="B50" s="152" t="s">
        <v>718</v>
      </c>
      <c r="C50" s="4" t="s">
        <v>1105</v>
      </c>
      <c r="D50" s="153" t="s">
        <v>1074</v>
      </c>
      <c r="E50" s="159">
        <v>986.15</v>
      </c>
      <c r="F50" s="160">
        <v>980</v>
      </c>
      <c r="G50" s="163">
        <v>61.001640000000002</v>
      </c>
      <c r="H50" s="164"/>
    </row>
    <row r="51" spans="2:8" x14ac:dyDescent="0.2">
      <c r="B51" s="152" t="s">
        <v>718</v>
      </c>
      <c r="C51" s="4" t="s">
        <v>1076</v>
      </c>
      <c r="D51" s="153" t="s">
        <v>1074</v>
      </c>
      <c r="E51" s="159">
        <v>7294.67</v>
      </c>
      <c r="F51" s="160">
        <v>7207.75</v>
      </c>
      <c r="G51" s="163">
        <v>68.013964000000001</v>
      </c>
      <c r="H51" s="164"/>
    </row>
    <row r="52" spans="2:8" x14ac:dyDescent="0.2">
      <c r="B52" s="152" t="s">
        <v>718</v>
      </c>
      <c r="C52" s="4" t="s">
        <v>1096</v>
      </c>
      <c r="D52" s="153" t="s">
        <v>1074</v>
      </c>
      <c r="E52" s="159">
        <v>191.63</v>
      </c>
      <c r="F52" s="160">
        <v>188.35</v>
      </c>
      <c r="G52" s="161">
        <v>54.185705200000008</v>
      </c>
      <c r="H52" s="164"/>
    </row>
    <row r="53" spans="2:8" x14ac:dyDescent="0.2">
      <c r="B53" s="152" t="s">
        <v>718</v>
      </c>
      <c r="C53" s="4" t="s">
        <v>1097</v>
      </c>
      <c r="D53" s="153" t="s">
        <v>1074</v>
      </c>
      <c r="E53" s="159">
        <v>1236.78</v>
      </c>
      <c r="F53" s="160">
        <v>1256.95</v>
      </c>
      <c r="G53" s="161">
        <v>78.640435499999995</v>
      </c>
      <c r="H53" s="164"/>
    </row>
    <row r="54" spans="2:8" x14ac:dyDescent="0.2">
      <c r="B54" s="152" t="s">
        <v>718</v>
      </c>
      <c r="C54" s="4" t="s">
        <v>1079</v>
      </c>
      <c r="D54" s="153" t="s">
        <v>1074</v>
      </c>
      <c r="E54" s="159">
        <v>438.8</v>
      </c>
      <c r="F54" s="160">
        <v>431.65</v>
      </c>
      <c r="G54" s="161">
        <v>9.7584975000000007</v>
      </c>
      <c r="H54" s="164"/>
    </row>
    <row r="55" spans="2:8" x14ac:dyDescent="0.2">
      <c r="B55" s="152" t="s">
        <v>718</v>
      </c>
      <c r="C55" s="4" t="s">
        <v>1080</v>
      </c>
      <c r="D55" s="153" t="s">
        <v>1074</v>
      </c>
      <c r="E55" s="159">
        <v>1590.05</v>
      </c>
      <c r="F55" s="160">
        <v>1581.9</v>
      </c>
      <c r="G55" s="161">
        <v>437.54340719999999</v>
      </c>
      <c r="H55" s="164"/>
    </row>
    <row r="56" spans="2:8" x14ac:dyDescent="0.2">
      <c r="B56" s="152" t="s">
        <v>718</v>
      </c>
      <c r="C56" s="4" t="s">
        <v>1106</v>
      </c>
      <c r="D56" s="153" t="s">
        <v>1074</v>
      </c>
      <c r="E56" s="159">
        <v>633.19000000000005</v>
      </c>
      <c r="F56" s="160">
        <v>647.79999999999995</v>
      </c>
      <c r="G56" s="161">
        <v>31.052472000000002</v>
      </c>
      <c r="H56" s="164"/>
    </row>
    <row r="57" spans="2:8" x14ac:dyDescent="0.2">
      <c r="B57" s="152" t="s">
        <v>718</v>
      </c>
      <c r="C57" s="4" t="s">
        <v>1107</v>
      </c>
      <c r="D57" s="153" t="s">
        <v>1074</v>
      </c>
      <c r="E57" s="159">
        <v>266.81</v>
      </c>
      <c r="F57" s="160">
        <v>249.65</v>
      </c>
      <c r="G57" s="161">
        <v>5.4602371999999999</v>
      </c>
      <c r="H57" s="164"/>
    </row>
    <row r="58" spans="2:8" x14ac:dyDescent="0.2">
      <c r="B58" s="152" t="s">
        <v>718</v>
      </c>
      <c r="C58" s="4" t="s">
        <v>1081</v>
      </c>
      <c r="D58" s="153" t="s">
        <v>1074</v>
      </c>
      <c r="E58" s="159">
        <v>2562.96</v>
      </c>
      <c r="F58" s="160">
        <v>2515.5</v>
      </c>
      <c r="G58" s="161">
        <v>191.057805</v>
      </c>
      <c r="H58" s="164"/>
    </row>
    <row r="59" spans="2:8" x14ac:dyDescent="0.2">
      <c r="B59" s="152" t="s">
        <v>718</v>
      </c>
      <c r="C59" s="4" t="s">
        <v>1082</v>
      </c>
      <c r="D59" s="153" t="s">
        <v>1074</v>
      </c>
      <c r="E59" s="159">
        <v>977.55</v>
      </c>
      <c r="F59" s="160">
        <v>966.05</v>
      </c>
      <c r="G59" s="161">
        <v>335.02289630000001</v>
      </c>
      <c r="H59" s="164"/>
    </row>
    <row r="60" spans="2:8" x14ac:dyDescent="0.2">
      <c r="B60" s="152" t="s">
        <v>718</v>
      </c>
      <c r="C60" s="4" t="s">
        <v>1108</v>
      </c>
      <c r="D60" s="153" t="s">
        <v>1074</v>
      </c>
      <c r="E60" s="159">
        <v>1407.29</v>
      </c>
      <c r="F60" s="160">
        <v>1384.5</v>
      </c>
      <c r="G60" s="161">
        <v>55.002625000000002</v>
      </c>
      <c r="H60" s="164"/>
    </row>
    <row r="61" spans="2:8" x14ac:dyDescent="0.2">
      <c r="B61" s="152" t="s">
        <v>718</v>
      </c>
      <c r="C61" s="4" t="s">
        <v>1098</v>
      </c>
      <c r="D61" s="153" t="s">
        <v>1074</v>
      </c>
      <c r="E61" s="159">
        <v>1430.96</v>
      </c>
      <c r="F61" s="160">
        <v>1445.2</v>
      </c>
      <c r="G61" s="161">
        <v>325.24219199999999</v>
      </c>
      <c r="H61" s="164"/>
    </row>
    <row r="62" spans="2:8" x14ac:dyDescent="0.2">
      <c r="B62" s="152" t="s">
        <v>718</v>
      </c>
      <c r="C62" s="4" t="s">
        <v>1101</v>
      </c>
      <c r="D62" s="153" t="s">
        <v>1074</v>
      </c>
      <c r="E62" s="159">
        <v>1558.47</v>
      </c>
      <c r="F62" s="160">
        <v>1584.05</v>
      </c>
      <c r="G62" s="161">
        <v>23.589867600000002</v>
      </c>
      <c r="H62" s="164"/>
    </row>
    <row r="63" spans="2:8" x14ac:dyDescent="0.2">
      <c r="B63" s="152" t="s">
        <v>718</v>
      </c>
      <c r="C63" s="4" t="s">
        <v>1087</v>
      </c>
      <c r="D63" s="153" t="s">
        <v>1074</v>
      </c>
      <c r="E63" s="159">
        <v>2453.67</v>
      </c>
      <c r="F63" s="160">
        <v>2421.15</v>
      </c>
      <c r="G63" s="161">
        <v>142.63592980000001</v>
      </c>
      <c r="H63" s="164"/>
    </row>
    <row r="64" spans="2:8" x14ac:dyDescent="0.2">
      <c r="B64" s="152" t="s">
        <v>718</v>
      </c>
      <c r="C64" s="4" t="s">
        <v>1109</v>
      </c>
      <c r="D64" s="153" t="s">
        <v>1074</v>
      </c>
      <c r="E64" s="159">
        <v>2363.75</v>
      </c>
      <c r="F64" s="160">
        <v>2371.9499999999998</v>
      </c>
      <c r="G64" s="161">
        <v>12.752947199999999</v>
      </c>
      <c r="H64" s="164"/>
    </row>
    <row r="65" spans="2:8" x14ac:dyDescent="0.2">
      <c r="B65" s="152" t="s">
        <v>718</v>
      </c>
      <c r="C65" s="4" t="s">
        <v>1110</v>
      </c>
      <c r="D65" s="153" t="s">
        <v>1074</v>
      </c>
      <c r="E65" s="159">
        <v>577.1</v>
      </c>
      <c r="F65" s="160">
        <v>565.35</v>
      </c>
      <c r="G65" s="161">
        <v>37.712719999999997</v>
      </c>
      <c r="H65" s="164"/>
    </row>
    <row r="66" spans="2:8" x14ac:dyDescent="0.2">
      <c r="B66" s="152" t="s">
        <v>718</v>
      </c>
      <c r="C66" s="4" t="s">
        <v>1090</v>
      </c>
      <c r="D66" s="153" t="s">
        <v>1074</v>
      </c>
      <c r="E66" s="159">
        <v>3396.23</v>
      </c>
      <c r="F66" s="160">
        <v>3380.45</v>
      </c>
      <c r="G66" s="161">
        <v>48.385219599999999</v>
      </c>
      <c r="H66" s="164"/>
    </row>
    <row r="67" spans="2:8" x14ac:dyDescent="0.2">
      <c r="B67" s="152" t="s">
        <v>718</v>
      </c>
      <c r="C67" s="4" t="s">
        <v>1091</v>
      </c>
      <c r="D67" s="153" t="s">
        <v>1074</v>
      </c>
      <c r="E67" s="159">
        <v>842.6</v>
      </c>
      <c r="F67" s="160">
        <v>839.45</v>
      </c>
      <c r="G67" s="161">
        <v>32.432563199999997</v>
      </c>
      <c r="H67" s="164"/>
    </row>
    <row r="68" spans="2:8" x14ac:dyDescent="0.2">
      <c r="B68" s="152" t="s">
        <v>718</v>
      </c>
      <c r="C68" s="4" t="s">
        <v>1103</v>
      </c>
      <c r="D68" s="153" t="s">
        <v>1074</v>
      </c>
      <c r="E68" s="159">
        <v>610.04999999999995</v>
      </c>
      <c r="F68" s="160">
        <v>605.45000000000005</v>
      </c>
      <c r="G68" s="161">
        <v>266.12072999999998</v>
      </c>
      <c r="H68" s="164"/>
    </row>
    <row r="69" spans="2:8" x14ac:dyDescent="0.2">
      <c r="B69" s="152" t="s">
        <v>718</v>
      </c>
      <c r="C69" s="4" t="s">
        <v>1111</v>
      </c>
      <c r="D69" s="153" t="s">
        <v>1074</v>
      </c>
      <c r="E69" s="159">
        <v>119.97</v>
      </c>
      <c r="F69" s="160">
        <v>123.6</v>
      </c>
      <c r="G69" s="161">
        <v>197.68804</v>
      </c>
      <c r="H69" s="164"/>
    </row>
    <row r="70" spans="2:8" x14ac:dyDescent="0.2">
      <c r="B70" s="152" t="s">
        <v>718</v>
      </c>
      <c r="C70" s="4" t="s">
        <v>1112</v>
      </c>
      <c r="D70" s="153" t="s">
        <v>1074</v>
      </c>
      <c r="E70" s="159">
        <v>1207.67</v>
      </c>
      <c r="F70" s="160">
        <v>1210.6500000000001</v>
      </c>
      <c r="G70" s="161">
        <v>288.18322649999999</v>
      </c>
      <c r="H70" s="164"/>
    </row>
    <row r="71" spans="2:8" x14ac:dyDescent="0.2">
      <c r="B71" s="152" t="s">
        <v>718</v>
      </c>
      <c r="C71" s="4" t="s">
        <v>1113</v>
      </c>
      <c r="D71" s="153" t="s">
        <v>1074</v>
      </c>
      <c r="E71" s="159">
        <v>3077.45</v>
      </c>
      <c r="F71" s="160">
        <v>3126.15</v>
      </c>
      <c r="G71" s="161">
        <v>39.058246799999999</v>
      </c>
      <c r="H71" s="164"/>
    </row>
    <row r="72" spans="2:8" x14ac:dyDescent="0.2">
      <c r="B72" s="152" t="s">
        <v>718</v>
      </c>
      <c r="C72" s="4" t="s">
        <v>1104</v>
      </c>
      <c r="D72" s="153" t="s">
        <v>1074</v>
      </c>
      <c r="E72" s="159">
        <v>1006.75</v>
      </c>
      <c r="F72" s="160">
        <v>1013.65</v>
      </c>
      <c r="G72" s="161">
        <v>72.97352939999999</v>
      </c>
      <c r="H72" s="164"/>
    </row>
    <row r="74" spans="2:8" x14ac:dyDescent="0.2">
      <c r="B74" s="149" t="s">
        <v>1114</v>
      </c>
      <c r="E74" s="165"/>
      <c r="F74" s="165"/>
      <c r="G74" s="165"/>
    </row>
    <row r="76" spans="2:8" x14ac:dyDescent="0.2">
      <c r="B76" s="166" t="s">
        <v>1067</v>
      </c>
      <c r="C76" s="166" t="s">
        <v>1115</v>
      </c>
    </row>
    <row r="77" spans="2:8" x14ac:dyDescent="0.2">
      <c r="B77" s="152" t="s">
        <v>661</v>
      </c>
      <c r="C77" s="167">
        <v>0.72060000000000002</v>
      </c>
    </row>
    <row r="78" spans="2:8" x14ac:dyDescent="0.2">
      <c r="B78" s="152" t="s">
        <v>681</v>
      </c>
      <c r="C78" s="168">
        <v>0.15160000000000001</v>
      </c>
    </row>
    <row r="79" spans="2:8" x14ac:dyDescent="0.2">
      <c r="B79" s="169" t="s">
        <v>718</v>
      </c>
      <c r="C79" s="168">
        <v>0.26939999999999997</v>
      </c>
    </row>
    <row r="81" spans="2:12" x14ac:dyDescent="0.2">
      <c r="B81" s="149" t="s">
        <v>1116</v>
      </c>
    </row>
    <row r="82" spans="2:12" x14ac:dyDescent="0.2">
      <c r="B82" s="149"/>
    </row>
    <row r="83" spans="2:12" ht="63.75" x14ac:dyDescent="0.2">
      <c r="B83" s="150" t="s">
        <v>1067</v>
      </c>
      <c r="C83" s="151" t="s">
        <v>1117</v>
      </c>
      <c r="D83" s="151" t="s">
        <v>1118</v>
      </c>
      <c r="E83" s="151" t="s">
        <v>1119</v>
      </c>
      <c r="F83" s="151" t="s">
        <v>1120</v>
      </c>
      <c r="G83" s="151" t="s">
        <v>1121</v>
      </c>
    </row>
    <row r="84" spans="2:12" x14ac:dyDescent="0.2">
      <c r="B84" s="152" t="s">
        <v>661</v>
      </c>
      <c r="C84" s="170">
        <v>4349</v>
      </c>
      <c r="D84" s="170">
        <v>4349</v>
      </c>
      <c r="E84" s="163">
        <v>31241.47</v>
      </c>
      <c r="F84" s="163">
        <v>30229.4</v>
      </c>
      <c r="G84" s="171">
        <v>-1012.0699999999997</v>
      </c>
      <c r="H84" s="172"/>
      <c r="I84" s="173">
        <v>0</v>
      </c>
      <c r="J84" s="174"/>
      <c r="K84" s="174"/>
      <c r="L84" s="174"/>
    </row>
    <row r="85" spans="2:12" x14ac:dyDescent="0.2">
      <c r="B85" s="169" t="s">
        <v>190</v>
      </c>
      <c r="C85" s="170">
        <v>272</v>
      </c>
      <c r="D85" s="170">
        <v>272</v>
      </c>
      <c r="E85" s="163">
        <v>3396.6</v>
      </c>
      <c r="F85" s="163">
        <v>2906.52</v>
      </c>
      <c r="G85" s="175">
        <v>-490.07999999999993</v>
      </c>
      <c r="H85" s="172"/>
      <c r="I85" s="173"/>
      <c r="J85" s="174"/>
      <c r="K85" s="174"/>
      <c r="L85" s="174"/>
    </row>
    <row r="86" spans="2:12" x14ac:dyDescent="0.2">
      <c r="B86" s="152" t="s">
        <v>681</v>
      </c>
      <c r="C86" s="176">
        <v>15874</v>
      </c>
      <c r="D86" s="176">
        <v>15874</v>
      </c>
      <c r="E86" s="177">
        <v>129666.59999999998</v>
      </c>
      <c r="F86" s="177">
        <v>126700.68</v>
      </c>
      <c r="G86" s="171">
        <v>-2969.0095999999839</v>
      </c>
      <c r="H86" s="172"/>
      <c r="I86" s="173">
        <v>0</v>
      </c>
      <c r="J86" s="174"/>
      <c r="K86" s="174"/>
      <c r="L86" s="174"/>
    </row>
    <row r="87" spans="2:12" x14ac:dyDescent="0.2">
      <c r="B87" s="169" t="s">
        <v>718</v>
      </c>
      <c r="C87" s="170">
        <v>9374</v>
      </c>
      <c r="D87" s="170">
        <v>9374</v>
      </c>
      <c r="E87" s="163">
        <v>69466.289999999994</v>
      </c>
      <c r="F87" s="163">
        <v>68313.740000000005</v>
      </c>
      <c r="G87" s="171">
        <v>-1216.5124999999884</v>
      </c>
      <c r="H87" s="172"/>
      <c r="I87" s="173">
        <v>0</v>
      </c>
      <c r="J87" s="174"/>
      <c r="K87" s="174"/>
      <c r="L87" s="174"/>
    </row>
    <row r="88" spans="2:12" hidden="1" x14ac:dyDescent="0.2">
      <c r="B88" s="178" t="s">
        <v>833</v>
      </c>
      <c r="C88" s="170"/>
      <c r="D88" s="170"/>
      <c r="E88" s="163"/>
      <c r="F88" s="163"/>
      <c r="G88" s="171">
        <v>0</v>
      </c>
      <c r="H88" s="172"/>
      <c r="I88" s="173">
        <v>0</v>
      </c>
      <c r="J88" s="174"/>
      <c r="K88" s="174"/>
      <c r="L88" s="174"/>
    </row>
    <row r="89" spans="2:12" x14ac:dyDescent="0.2">
      <c r="B89" s="152" t="s">
        <v>545</v>
      </c>
      <c r="C89" s="176">
        <v>1004</v>
      </c>
      <c r="D89" s="176">
        <v>1004</v>
      </c>
      <c r="E89" s="177">
        <v>7176.1100000000006</v>
      </c>
      <c r="F89" s="177">
        <v>7166.88</v>
      </c>
      <c r="G89" s="171">
        <v>5.1699999999995274</v>
      </c>
      <c r="H89" s="172"/>
      <c r="I89" s="173">
        <v>0</v>
      </c>
      <c r="J89" s="174"/>
      <c r="K89" s="174"/>
      <c r="L89" s="174"/>
    </row>
    <row r="90" spans="2:12" hidden="1" x14ac:dyDescent="0.2">
      <c r="B90" s="152" t="s">
        <v>828</v>
      </c>
      <c r="C90" s="176"/>
      <c r="D90" s="176"/>
      <c r="E90" s="179"/>
      <c r="F90" s="177"/>
      <c r="G90" s="171">
        <v>0</v>
      </c>
      <c r="H90" s="172"/>
      <c r="I90" s="173"/>
      <c r="J90" s="174"/>
      <c r="K90" s="174"/>
      <c r="L90" s="174"/>
    </row>
    <row r="91" spans="2:12" hidden="1" x14ac:dyDescent="0.2">
      <c r="B91" s="169" t="s">
        <v>837</v>
      </c>
      <c r="C91" s="176"/>
      <c r="D91" s="176"/>
      <c r="E91" s="180"/>
      <c r="F91" s="180"/>
      <c r="G91" s="181">
        <v>0</v>
      </c>
      <c r="H91" s="172"/>
      <c r="I91" s="173"/>
      <c r="J91" s="174"/>
    </row>
    <row r="92" spans="2:12" x14ac:dyDescent="0.2">
      <c r="H92" s="172"/>
      <c r="I92" s="173"/>
      <c r="J92" s="174"/>
    </row>
    <row r="93" spans="2:12" x14ac:dyDescent="0.2">
      <c r="E93" s="174"/>
      <c r="F93" s="174"/>
      <c r="H93" s="172"/>
      <c r="I93" s="173"/>
      <c r="J93" s="174"/>
    </row>
    <row r="94" spans="2:12" x14ac:dyDescent="0.2">
      <c r="B94" s="149" t="s">
        <v>1122</v>
      </c>
      <c r="F94" s="174"/>
      <c r="G94" s="173"/>
      <c r="H94" s="172"/>
      <c r="I94" s="173"/>
      <c r="L94" s="172"/>
    </row>
    <row r="95" spans="2:12" x14ac:dyDescent="0.2">
      <c r="H95" s="182"/>
      <c r="L95" s="173"/>
    </row>
    <row r="96" spans="2:12" ht="25.5" x14ac:dyDescent="0.2">
      <c r="B96" s="150" t="s">
        <v>1067</v>
      </c>
      <c r="C96" s="150" t="s">
        <v>1068</v>
      </c>
      <c r="D96" s="150" t="s">
        <v>1069</v>
      </c>
      <c r="E96" s="151" t="s">
        <v>1070</v>
      </c>
      <c r="F96" s="151" t="s">
        <v>1071</v>
      </c>
      <c r="G96" s="151" t="s">
        <v>1123</v>
      </c>
    </row>
    <row r="97" spans="2:12" x14ac:dyDescent="0.2">
      <c r="B97" s="153"/>
      <c r="C97" s="153"/>
      <c r="D97" s="153" t="s">
        <v>1124</v>
      </c>
      <c r="E97" s="153"/>
      <c r="F97" s="153"/>
      <c r="G97" s="153"/>
    </row>
    <row r="98" spans="2:12" x14ac:dyDescent="0.2">
      <c r="C98" s="183"/>
      <c r="D98" s="184"/>
      <c r="E98" s="185"/>
      <c r="F98" s="186"/>
      <c r="G98" s="186"/>
      <c r="I98" s="173"/>
    </row>
    <row r="99" spans="2:12" x14ac:dyDescent="0.2">
      <c r="B99" s="149" t="s">
        <v>1125</v>
      </c>
      <c r="I99" s="173"/>
    </row>
    <row r="100" spans="2:12" x14ac:dyDescent="0.2">
      <c r="I100" s="173"/>
      <c r="L100" s="174"/>
    </row>
    <row r="101" spans="2:12" x14ac:dyDescent="0.2">
      <c r="B101" s="166" t="s">
        <v>1067</v>
      </c>
      <c r="C101" s="166" t="s">
        <v>1115</v>
      </c>
    </row>
    <row r="102" spans="2:12" x14ac:dyDescent="0.2">
      <c r="B102" s="153"/>
      <c r="C102" s="168"/>
    </row>
    <row r="103" spans="2:12" x14ac:dyDescent="0.2">
      <c r="B103" s="187"/>
      <c r="C103" s="188"/>
    </row>
    <row r="104" spans="2:12" x14ac:dyDescent="0.2">
      <c r="B104" s="149" t="s">
        <v>1126</v>
      </c>
    </row>
    <row r="105" spans="2:12" x14ac:dyDescent="0.2">
      <c r="B105" s="149"/>
    </row>
    <row r="106" spans="2:12" ht="63.75" x14ac:dyDescent="0.2">
      <c r="B106" s="150" t="s">
        <v>1067</v>
      </c>
      <c r="C106" s="151" t="s">
        <v>1117</v>
      </c>
      <c r="D106" s="151" t="s">
        <v>1118</v>
      </c>
      <c r="E106" s="151" t="s">
        <v>1119</v>
      </c>
      <c r="F106" s="151" t="s">
        <v>1127</v>
      </c>
      <c r="G106" s="151" t="s">
        <v>1128</v>
      </c>
    </row>
    <row r="107" spans="2:12" x14ac:dyDescent="0.2">
      <c r="B107" s="152" t="s">
        <v>681</v>
      </c>
      <c r="C107" s="176">
        <v>530</v>
      </c>
      <c r="D107" s="176">
        <v>530</v>
      </c>
      <c r="E107" s="177">
        <v>3929.25</v>
      </c>
      <c r="F107" s="177">
        <v>3968.77</v>
      </c>
      <c r="G107" s="189">
        <v>51.999999999999986</v>
      </c>
      <c r="H107" s="172"/>
      <c r="I107" s="173">
        <v>0</v>
      </c>
    </row>
    <row r="108" spans="2:12" x14ac:dyDescent="0.2">
      <c r="B108" s="169" t="s">
        <v>190</v>
      </c>
      <c r="C108" s="190">
        <v>746</v>
      </c>
      <c r="D108" s="190">
        <v>746</v>
      </c>
      <c r="E108" s="191">
        <v>11737.44</v>
      </c>
      <c r="F108" s="191">
        <v>12126.52</v>
      </c>
      <c r="G108" s="189">
        <v>389.07999999999993</v>
      </c>
      <c r="H108" s="192"/>
      <c r="I108" s="173">
        <v>0</v>
      </c>
    </row>
    <row r="109" spans="2:12" x14ac:dyDescent="0.2">
      <c r="B109" s="169" t="s">
        <v>1129</v>
      </c>
      <c r="C109" s="190">
        <v>120</v>
      </c>
      <c r="D109" s="190">
        <v>120</v>
      </c>
      <c r="E109" s="191">
        <v>840.49</v>
      </c>
      <c r="F109" s="191">
        <v>838.46</v>
      </c>
      <c r="G109" s="189">
        <v>-2.0299999999999727</v>
      </c>
      <c r="I109" s="173">
        <v>0</v>
      </c>
    </row>
    <row r="110" spans="2:12" x14ac:dyDescent="0.2">
      <c r="B110" s="152" t="s">
        <v>837</v>
      </c>
      <c r="C110" s="193">
        <v>220</v>
      </c>
      <c r="D110" s="193">
        <v>220</v>
      </c>
      <c r="E110" s="191">
        <v>2024.51</v>
      </c>
      <c r="F110" s="191">
        <v>2004.56</v>
      </c>
      <c r="G110" s="189">
        <v>-19.950000000000045</v>
      </c>
      <c r="H110" s="194"/>
      <c r="I110" s="173">
        <v>0</v>
      </c>
    </row>
    <row r="111" spans="2:12" x14ac:dyDescent="0.2">
      <c r="B111" s="152" t="s">
        <v>1130</v>
      </c>
      <c r="C111" s="193">
        <v>1467</v>
      </c>
      <c r="D111" s="193">
        <v>1467</v>
      </c>
      <c r="E111" s="191">
        <v>11229.67</v>
      </c>
      <c r="F111" s="191">
        <v>11093.68</v>
      </c>
      <c r="G111" s="189">
        <v>-110.33999999999978</v>
      </c>
      <c r="H111" s="194"/>
      <c r="I111" s="173"/>
    </row>
    <row r="112" spans="2:12" hidden="1" x14ac:dyDescent="0.2">
      <c r="B112" s="152" t="s">
        <v>834</v>
      </c>
      <c r="C112" s="176"/>
      <c r="D112" s="176"/>
      <c r="E112" s="179"/>
      <c r="F112" s="177"/>
      <c r="G112" s="171">
        <v>0</v>
      </c>
      <c r="H112" s="194"/>
      <c r="I112" s="173"/>
    </row>
    <row r="113" spans="2:9" x14ac:dyDescent="0.2">
      <c r="B113" s="152" t="s">
        <v>545</v>
      </c>
      <c r="C113" s="193">
        <v>1679</v>
      </c>
      <c r="D113" s="193">
        <v>1679</v>
      </c>
      <c r="E113" s="191">
        <v>12417.19</v>
      </c>
      <c r="F113" s="191">
        <v>12678.525</v>
      </c>
      <c r="G113" s="189">
        <v>261.33499999999913</v>
      </c>
      <c r="H113" s="194"/>
      <c r="I113" s="173">
        <v>0</v>
      </c>
    </row>
    <row r="114" spans="2:9" hidden="1" x14ac:dyDescent="0.2">
      <c r="B114" s="178"/>
      <c r="C114" s="195"/>
      <c r="D114" s="195"/>
      <c r="E114" s="180"/>
      <c r="F114" s="180"/>
      <c r="G114" s="196">
        <v>0</v>
      </c>
      <c r="H114" s="172"/>
      <c r="I114" s="173"/>
    </row>
    <row r="115" spans="2:9" x14ac:dyDescent="0.2">
      <c r="H115" s="172"/>
      <c r="I115" s="173"/>
    </row>
    <row r="116" spans="2:9" x14ac:dyDescent="0.2">
      <c r="B116" s="197"/>
      <c r="C116" s="198"/>
      <c r="D116" s="198"/>
      <c r="E116" s="199"/>
      <c r="F116" s="199"/>
      <c r="G116" s="199"/>
      <c r="H116" s="173"/>
    </row>
    <row r="117" spans="2:9" x14ac:dyDescent="0.2">
      <c r="B117" s="149" t="s">
        <v>1131</v>
      </c>
      <c r="D117" s="200"/>
    </row>
    <row r="119" spans="2:9" ht="25.5" x14ac:dyDescent="0.2">
      <c r="B119" s="151" t="s">
        <v>1067</v>
      </c>
      <c r="C119" s="151" t="s">
        <v>1068</v>
      </c>
      <c r="D119" s="151" t="s">
        <v>1132</v>
      </c>
      <c r="E119" s="151" t="s">
        <v>1133</v>
      </c>
      <c r="F119" s="151" t="s">
        <v>1134</v>
      </c>
      <c r="G119" s="151" t="s">
        <v>1135</v>
      </c>
    </row>
    <row r="120" spans="2:9" x14ac:dyDescent="0.2">
      <c r="B120" s="201" t="s">
        <v>694</v>
      </c>
      <c r="C120" s="201" t="s">
        <v>694</v>
      </c>
      <c r="D120" s="201" t="s">
        <v>694</v>
      </c>
      <c r="E120" s="201" t="s">
        <v>694</v>
      </c>
      <c r="F120" s="201" t="s">
        <v>694</v>
      </c>
      <c r="G120" s="201" t="s">
        <v>694</v>
      </c>
    </row>
    <row r="121" spans="2:9" x14ac:dyDescent="0.2">
      <c r="D121" s="200"/>
      <c r="E121" s="200"/>
      <c r="F121" s="202"/>
      <c r="G121" s="202"/>
    </row>
    <row r="122" spans="2:9" x14ac:dyDescent="0.2">
      <c r="D122" s="200"/>
      <c r="E122" s="200"/>
      <c r="F122" s="202"/>
      <c r="G122" s="202"/>
    </row>
    <row r="123" spans="2:9" x14ac:dyDescent="0.2">
      <c r="B123" s="149" t="s">
        <v>1136</v>
      </c>
      <c r="G123" s="125" t="s">
        <v>1137</v>
      </c>
    </row>
    <row r="124" spans="2:9" x14ac:dyDescent="0.2">
      <c r="B124" s="149"/>
    </row>
    <row r="125" spans="2:9" x14ac:dyDescent="0.2">
      <c r="B125" s="166" t="s">
        <v>1067</v>
      </c>
      <c r="C125" s="166" t="s">
        <v>1115</v>
      </c>
    </row>
    <row r="126" spans="2:9" x14ac:dyDescent="0.2">
      <c r="B126" s="201" t="s">
        <v>694</v>
      </c>
      <c r="C126" s="201" t="s">
        <v>694</v>
      </c>
    </row>
    <row r="127" spans="2:9" x14ac:dyDescent="0.2">
      <c r="C127" s="203"/>
      <c r="D127" s="188"/>
    </row>
    <row r="128" spans="2:9" x14ac:dyDescent="0.2">
      <c r="B128" s="149" t="s">
        <v>1138</v>
      </c>
    </row>
    <row r="130" spans="2:7" ht="38.25" x14ac:dyDescent="0.2">
      <c r="B130" s="150" t="s">
        <v>1067</v>
      </c>
      <c r="C130" s="151" t="s">
        <v>1139</v>
      </c>
      <c r="D130" s="151" t="s">
        <v>1140</v>
      </c>
      <c r="E130" s="151" t="s">
        <v>1141</v>
      </c>
      <c r="F130" s="151" t="s">
        <v>1142</v>
      </c>
    </row>
    <row r="131" spans="2:7" x14ac:dyDescent="0.2">
      <c r="B131" s="204"/>
      <c r="C131" s="201"/>
      <c r="D131" s="205"/>
      <c r="E131" s="189"/>
      <c r="F131" s="189">
        <v>0</v>
      </c>
    </row>
    <row r="132" spans="2:7" x14ac:dyDescent="0.2">
      <c r="B132" s="206"/>
      <c r="C132" s="207"/>
      <c r="D132" s="208"/>
      <c r="E132" s="208"/>
      <c r="F132" s="209"/>
    </row>
    <row r="133" spans="2:7" x14ac:dyDescent="0.2">
      <c r="B133" s="206"/>
      <c r="C133" s="207"/>
      <c r="D133" s="208"/>
      <c r="E133" s="208"/>
      <c r="F133" s="209"/>
    </row>
    <row r="135" spans="2:7" x14ac:dyDescent="0.2">
      <c r="B135" s="149" t="s">
        <v>1143</v>
      </c>
    </row>
    <row r="137" spans="2:7" ht="25.5" x14ac:dyDescent="0.2">
      <c r="B137" s="151" t="s">
        <v>1067</v>
      </c>
      <c r="C137" s="151" t="s">
        <v>1068</v>
      </c>
      <c r="D137" s="151" t="s">
        <v>1132</v>
      </c>
      <c r="E137" s="151" t="s">
        <v>1133</v>
      </c>
      <c r="F137" s="151" t="s">
        <v>1134</v>
      </c>
      <c r="G137" s="151" t="s">
        <v>1135</v>
      </c>
    </row>
    <row r="138" spans="2:7" x14ac:dyDescent="0.2">
      <c r="B138" s="152" t="s">
        <v>694</v>
      </c>
      <c r="C138" s="152" t="s">
        <v>694</v>
      </c>
      <c r="D138" s="152" t="s">
        <v>694</v>
      </c>
      <c r="E138" s="152" t="s">
        <v>694</v>
      </c>
      <c r="F138" s="152" t="s">
        <v>694</v>
      </c>
      <c r="G138" s="152" t="s">
        <v>694</v>
      </c>
    </row>
    <row r="139" spans="2:7" x14ac:dyDescent="0.2">
      <c r="C139" s="183"/>
      <c r="D139" s="210"/>
      <c r="E139" s="211"/>
      <c r="F139" s="202"/>
      <c r="G139" s="202"/>
    </row>
    <row r="140" spans="2:7" x14ac:dyDescent="0.2">
      <c r="B140" s="149" t="s">
        <v>1144</v>
      </c>
    </row>
    <row r="141" spans="2:7" x14ac:dyDescent="0.2">
      <c r="B141" s="149"/>
    </row>
    <row r="142" spans="2:7" x14ac:dyDescent="0.2">
      <c r="B142" s="166" t="s">
        <v>1067</v>
      </c>
      <c r="C142" s="166" t="s">
        <v>1115</v>
      </c>
    </row>
    <row r="143" spans="2:7" x14ac:dyDescent="0.2">
      <c r="B143" s="152" t="s">
        <v>694</v>
      </c>
      <c r="C143" s="152" t="s">
        <v>694</v>
      </c>
    </row>
    <row r="144" spans="2:7" x14ac:dyDescent="0.2">
      <c r="B144" s="187"/>
      <c r="C144" s="188"/>
    </row>
    <row r="145" spans="2:7" x14ac:dyDescent="0.2">
      <c r="B145" s="149" t="s">
        <v>1145</v>
      </c>
    </row>
    <row r="147" spans="2:7" ht="38.25" x14ac:dyDescent="0.2">
      <c r="B147" s="150" t="s">
        <v>1067</v>
      </c>
      <c r="C147" s="151" t="s">
        <v>1139</v>
      </c>
      <c r="D147" s="151" t="s">
        <v>1146</v>
      </c>
      <c r="E147" s="151" t="s">
        <v>1147</v>
      </c>
      <c r="F147" s="151" t="s">
        <v>1142</v>
      </c>
    </row>
    <row r="148" spans="2:7" x14ac:dyDescent="0.2">
      <c r="B148" s="152"/>
      <c r="C148" s="201"/>
      <c r="D148" s="205"/>
      <c r="E148" s="201"/>
      <c r="F148" s="201"/>
    </row>
    <row r="149" spans="2:7" x14ac:dyDescent="0.2">
      <c r="G149" s="212"/>
    </row>
    <row r="150" spans="2:7" x14ac:dyDescent="0.2">
      <c r="F150" s="213"/>
      <c r="G150" s="174"/>
    </row>
    <row r="151" spans="2:7" x14ac:dyDescent="0.2">
      <c r="B151" s="149" t="s">
        <v>1148</v>
      </c>
    </row>
    <row r="152" spans="2:7" x14ac:dyDescent="0.2">
      <c r="B152" s="149"/>
    </row>
    <row r="153" spans="2:7" x14ac:dyDescent="0.2">
      <c r="E153" s="174"/>
    </row>
    <row r="154" spans="2:7" x14ac:dyDescent="0.2">
      <c r="B154" s="149" t="s">
        <v>1149</v>
      </c>
      <c r="E154" s="174"/>
    </row>
    <row r="155" spans="2:7" x14ac:dyDescent="0.2">
      <c r="E155" s="174"/>
    </row>
    <row r="156" spans="2:7" ht="25.5" x14ac:dyDescent="0.2">
      <c r="B156" s="150" t="s">
        <v>1067</v>
      </c>
      <c r="C156" s="151" t="s">
        <v>1068</v>
      </c>
      <c r="D156" s="151" t="s">
        <v>1069</v>
      </c>
      <c r="E156" s="151" t="s">
        <v>1150</v>
      </c>
      <c r="F156" s="151" t="s">
        <v>1151</v>
      </c>
      <c r="G156" s="151" t="s">
        <v>1152</v>
      </c>
    </row>
    <row r="157" spans="2:7" x14ac:dyDescent="0.2">
      <c r="B157" s="169" t="s">
        <v>694</v>
      </c>
      <c r="C157" s="214" t="s">
        <v>694</v>
      </c>
      <c r="D157" s="215" t="s">
        <v>694</v>
      </c>
      <c r="E157" s="216" t="s">
        <v>694</v>
      </c>
      <c r="F157" s="216" t="s">
        <v>694</v>
      </c>
      <c r="G157" s="216" t="s">
        <v>694</v>
      </c>
    </row>
    <row r="158" spans="2:7" x14ac:dyDescent="0.2">
      <c r="E158" s="174"/>
    </row>
    <row r="159" spans="2:7" x14ac:dyDescent="0.2">
      <c r="B159" s="149" t="s">
        <v>1153</v>
      </c>
      <c r="E159" s="174"/>
    </row>
    <row r="160" spans="2:7" x14ac:dyDescent="0.2">
      <c r="B160" s="149"/>
      <c r="E160" s="174"/>
    </row>
    <row r="161" spans="2:10" x14ac:dyDescent="0.2">
      <c r="B161" s="166" t="s">
        <v>1067</v>
      </c>
      <c r="C161" s="166" t="s">
        <v>1115</v>
      </c>
      <c r="E161" s="174"/>
    </row>
    <row r="162" spans="2:10" x14ac:dyDescent="0.2">
      <c r="B162" s="201" t="s">
        <v>694</v>
      </c>
      <c r="C162" s="190" t="s">
        <v>694</v>
      </c>
      <c r="E162" s="174"/>
    </row>
    <row r="163" spans="2:10" x14ac:dyDescent="0.2">
      <c r="E163" s="174"/>
    </row>
    <row r="164" spans="2:10" x14ac:dyDescent="0.2">
      <c r="B164" s="149" t="s">
        <v>1154</v>
      </c>
      <c r="E164" s="174"/>
    </row>
    <row r="165" spans="2:10" x14ac:dyDescent="0.2">
      <c r="E165" s="174"/>
    </row>
    <row r="166" spans="2:10" ht="63.75" x14ac:dyDescent="0.2">
      <c r="B166" s="150" t="s">
        <v>1067</v>
      </c>
      <c r="C166" s="151" t="s">
        <v>1117</v>
      </c>
      <c r="D166" s="151" t="s">
        <v>1118</v>
      </c>
      <c r="E166" s="151" t="s">
        <v>1119</v>
      </c>
      <c r="F166" s="151" t="s">
        <v>1120</v>
      </c>
      <c r="G166" s="151" t="s">
        <v>1121</v>
      </c>
    </row>
    <row r="167" spans="2:10" x14ac:dyDescent="0.2">
      <c r="B167" s="190"/>
      <c r="C167" s="190"/>
      <c r="D167" s="170"/>
      <c r="E167" s="217"/>
      <c r="F167" s="218"/>
      <c r="G167" s="219"/>
      <c r="I167" s="173"/>
      <c r="J167" s="174"/>
    </row>
    <row r="168" spans="2:10" x14ac:dyDescent="0.2">
      <c r="E168" s="174"/>
    </row>
    <row r="169" spans="2:10" x14ac:dyDescent="0.2">
      <c r="E169" s="174"/>
    </row>
    <row r="170" spans="2:10" x14ac:dyDescent="0.2">
      <c r="B170" s="149" t="s">
        <v>1155</v>
      </c>
      <c r="E170" s="174"/>
    </row>
    <row r="171" spans="2:10" x14ac:dyDescent="0.2">
      <c r="E171" s="174"/>
    </row>
    <row r="172" spans="2:10" ht="63.75" x14ac:dyDescent="0.2">
      <c r="B172" s="150" t="s">
        <v>1067</v>
      </c>
      <c r="C172" s="151" t="s">
        <v>1117</v>
      </c>
      <c r="D172" s="151" t="s">
        <v>1118</v>
      </c>
      <c r="E172" s="151" t="s">
        <v>1119</v>
      </c>
      <c r="F172" s="151" t="s">
        <v>1120</v>
      </c>
      <c r="G172" s="151" t="s">
        <v>1121</v>
      </c>
    </row>
    <row r="173" spans="2:10" x14ac:dyDescent="0.2">
      <c r="B173" s="153"/>
      <c r="C173" s="201"/>
      <c r="D173" s="201"/>
      <c r="E173" s="220"/>
      <c r="F173" s="220"/>
      <c r="G173" s="220"/>
    </row>
    <row r="174" spans="2:10" x14ac:dyDescent="0.2">
      <c r="E174" s="174"/>
    </row>
    <row r="175" spans="2:10" x14ac:dyDescent="0.2">
      <c r="E175" s="174"/>
    </row>
    <row r="176" spans="2:10" x14ac:dyDescent="0.2">
      <c r="E176" s="174"/>
    </row>
    <row r="177" spans="2:2" x14ac:dyDescent="0.2">
      <c r="B177" s="125" t="s">
        <v>1156</v>
      </c>
    </row>
  </sheetData>
  <mergeCells count="3">
    <mergeCell ref="B2:G2"/>
    <mergeCell ref="B3:G3"/>
    <mergeCell ref="B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Index</vt:lpstr>
      <vt:lpstr>CAPEXG</vt:lpstr>
      <vt:lpstr>GLOB</vt:lpstr>
      <vt:lpstr>MIDCAP</vt:lpstr>
      <vt:lpstr>MULTIP</vt:lpstr>
      <vt:lpstr>SESCAP6</vt:lpstr>
      <vt:lpstr>SESCAP7</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Swapna.N - Sundaram Mutual</cp:lastModifiedBy>
  <dcterms:created xsi:type="dcterms:W3CDTF">2023-09-02T06:58:50Z</dcterms:created>
  <dcterms:modified xsi:type="dcterms:W3CDTF">2023-09-08T08:10:37Z</dcterms:modified>
</cp:coreProperties>
</file>