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swapna\AppData\Local\Microsoft\Windows\INetCache\Content.Outlook\7V8DAUCG\"/>
    </mc:Choice>
  </mc:AlternateContent>
  <xr:revisionPtr revIDLastSave="0" documentId="13_ncr:1_{B221BD71-7F54-4CA5-B19C-49842A368D0D}" xr6:coauthVersionLast="47" xr6:coauthVersionMax="47" xr10:uidLastSave="{00000000-0000-0000-0000-000000000000}"/>
  <bookViews>
    <workbookView xWindow="-120" yWindow="-120" windowWidth="20730" windowHeight="11160" tabRatio="951" xr2:uid="{00000000-000D-0000-FFFF-FFFF00000000}"/>
  </bookViews>
  <sheets>
    <sheet name="Index" sheetId="29" r:id="rId1"/>
    <sheet name="CAPEXG" sheetId="1" r:id="rId2"/>
    <sheet name="GLOB" sheetId="30"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FCF" sheetId="26" r:id="rId28"/>
    <sheet name="SUNFOP" sheetId="27" r:id="rId29"/>
    <sheet name="Annexure-A" sheetId="31" r:id="rId30"/>
  </sheets>
  <definedNames>
    <definedName name="_xlnm._FilterDatabase" localSheetId="0" hidden="1">Index!$A$1:$C$28</definedName>
    <definedName name="_xlnm._FilterDatabase" localSheetId="14" hidden="1">SPAHF!$A$111:$K$170</definedName>
    <definedName name="_xlnm._FilterDatabase" localSheetId="15" hidden="1">SPARF!$A$4:$G$4</definedName>
    <definedName name="_xlnm._FilterDatabase" localSheetId="16" hidden="1">SPBAF!$A$108:$J$122</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16" l="1"/>
  <c r="F90" i="12" l="1"/>
  <c r="F72" i="1"/>
</calcChain>
</file>

<file path=xl/sharedStrings.xml><?xml version="1.0" encoding="utf-8"?>
<sst xmlns="http://schemas.openxmlformats.org/spreadsheetml/2006/main" count="8821" uniqueCount="1182">
  <si>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</si>
  <si>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</si>
  <si>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</si>
  <si>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</si>
  <si>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</si>
  <si>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</si>
  <si>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</si>
  <si>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</si>
  <si>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</si>
  <si>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</si>
  <si>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</si>
  <si>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</si>
  <si>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</si>
  <si>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</si>
  <si>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INE733E01010</t>
  </si>
  <si>
    <t>NTPC LTD</t>
  </si>
  <si>
    <t>Power</t>
  </si>
  <si>
    <t>INE002A01018</t>
  </si>
  <si>
    <t>Reliance Industries Ltd</t>
  </si>
  <si>
    <t>Petroleum Products</t>
  </si>
  <si>
    <t>INE397D01024</t>
  </si>
  <si>
    <t>Bharti Airtel Ltd</t>
  </si>
  <si>
    <t>Telecom - Services</t>
  </si>
  <si>
    <t>INE481G01011</t>
  </si>
  <si>
    <t>Ultratech Cement Ltd</t>
  </si>
  <si>
    <t>Cement &amp; Cement Products</t>
  </si>
  <si>
    <t>INE090A01021</t>
  </si>
  <si>
    <t>ICICI Bank Ltd</t>
  </si>
  <si>
    <t>Banks</t>
  </si>
  <si>
    <t>INE263A01024</t>
  </si>
  <si>
    <t>Bharat Electronics Ltd</t>
  </si>
  <si>
    <t>Aerospace &amp; Defense</t>
  </si>
  <si>
    <t>INE284A01012</t>
  </si>
  <si>
    <t>ESAB India Ltd</t>
  </si>
  <si>
    <t>Industrial Products</t>
  </si>
  <si>
    <t>INE999A01015</t>
  </si>
  <si>
    <t>KSB LTD</t>
  </si>
  <si>
    <t>INE752E01010</t>
  </si>
  <si>
    <t>Power Grid Corporation of India Ltd</t>
  </si>
  <si>
    <t>INE117A01022</t>
  </si>
  <si>
    <t>ABB India Ltd</t>
  </si>
  <si>
    <t>Electrical Equipment</t>
  </si>
  <si>
    <t>INE195J01029</t>
  </si>
  <si>
    <t>PNC Infratech Ltd</t>
  </si>
  <si>
    <t>INE111A01025</t>
  </si>
  <si>
    <t>Container Corporation of India Ltd</t>
  </si>
  <si>
    <t>Transport Services</t>
  </si>
  <si>
    <t>INE536A01023</t>
  </si>
  <si>
    <t>Grindwell Norton Ltd</t>
  </si>
  <si>
    <t>INE878B01027</t>
  </si>
  <si>
    <t>KEI Industries Ltd</t>
  </si>
  <si>
    <t>INE020B01018</t>
  </si>
  <si>
    <t>REC Ltd</t>
  </si>
  <si>
    <t>Finance</t>
  </si>
  <si>
    <t>INE935N01020</t>
  </si>
  <si>
    <t>Dixon Technologies (India) Ltd</t>
  </si>
  <si>
    <t>Consumer Durables</t>
  </si>
  <si>
    <t>INE455K01017</t>
  </si>
  <si>
    <t>Polycab India Ltd</t>
  </si>
  <si>
    <t>INE129A01019</t>
  </si>
  <si>
    <t>GAIL (India) Ltd</t>
  </si>
  <si>
    <t>Gas</t>
  </si>
  <si>
    <t>INE062A01020</t>
  </si>
  <si>
    <t>State Bank of India</t>
  </si>
  <si>
    <t>INE066F01020</t>
  </si>
  <si>
    <t>Hindustan Aeronautics Ltd</t>
  </si>
  <si>
    <t>INE245A01021</t>
  </si>
  <si>
    <t>TATA Power Company Ltd</t>
  </si>
  <si>
    <t>INE213A01029</t>
  </si>
  <si>
    <t>Oil &amp; Natural Gas Corporation Ltd</t>
  </si>
  <si>
    <t>Oil</t>
  </si>
  <si>
    <t>INE791I01019</t>
  </si>
  <si>
    <t>Brigade Enterprises Ltd</t>
  </si>
  <si>
    <t>Realty</t>
  </si>
  <si>
    <t>INE671A01010</t>
  </si>
  <si>
    <t>Honeywell Automation India Ltd</t>
  </si>
  <si>
    <t>Industrial Manufacturing</t>
  </si>
  <si>
    <t>INE00R701025</t>
  </si>
  <si>
    <t>Dalmia Cement (Bharat) Ltd.</t>
  </si>
  <si>
    <t>INE646L01027</t>
  </si>
  <si>
    <t>Interglobe Aviation Ltd</t>
  </si>
  <si>
    <t>INE868B01028</t>
  </si>
  <si>
    <t>NCC Ltd</t>
  </si>
  <si>
    <t>INE702C01027</t>
  </si>
  <si>
    <t>APL Apollo Tubes Ltd</t>
  </si>
  <si>
    <t>INE340A01012</t>
  </si>
  <si>
    <t>Birla Corporation Ltd</t>
  </si>
  <si>
    <t>INE743M01012</t>
  </si>
  <si>
    <t>RHI Magnesita India Ltd</t>
  </si>
  <si>
    <t>INE003A01024</t>
  </si>
  <si>
    <t>Siemens Ltd</t>
  </si>
  <si>
    <t>INE093I01010</t>
  </si>
  <si>
    <t>Oberoi Realty Ltd</t>
  </si>
  <si>
    <t>INE152M01016</t>
  </si>
  <si>
    <t>Triveni Turbine Ltd</t>
  </si>
  <si>
    <t>INE823G01014</t>
  </si>
  <si>
    <t>JK Cement Ltd</t>
  </si>
  <si>
    <t>INE749A01030</t>
  </si>
  <si>
    <t>Jindal Steel &amp; Power Ltd</t>
  </si>
  <si>
    <t>Ferrous Metals</t>
  </si>
  <si>
    <t>INE208A01029</t>
  </si>
  <si>
    <t>Ashok Leyland Ltd</t>
  </si>
  <si>
    <t>Agricultural, Commercial &amp; Construction Vehicles</t>
  </si>
  <si>
    <t>INE372A01015</t>
  </si>
  <si>
    <t>Apar Industries Ltd</t>
  </si>
  <si>
    <t>INE513A01022</t>
  </si>
  <si>
    <t>Schaeffler India Ltd</t>
  </si>
  <si>
    <t>Auto Components</t>
  </si>
  <si>
    <t>INE073K01018</t>
  </si>
  <si>
    <t>Sona BLW Precision Forgings Ltd</t>
  </si>
  <si>
    <t>INE134E01011</t>
  </si>
  <si>
    <t>Power Finance Corporation Ltd</t>
  </si>
  <si>
    <t>INE522F01014</t>
  </si>
  <si>
    <t>Coal India Ltd</t>
  </si>
  <si>
    <t>Consumable Fuels</t>
  </si>
  <si>
    <t>INE146L01010</t>
  </si>
  <si>
    <t>Kirloskar Oil Engines Ltd</t>
  </si>
  <si>
    <t>INE419M01027</t>
  </si>
  <si>
    <t>TD Power Systems Ltd</t>
  </si>
  <si>
    <t>INE242A01010</t>
  </si>
  <si>
    <t>Indian Oil Corporation Ltd</t>
  </si>
  <si>
    <t>INE284S01014</t>
  </si>
  <si>
    <t>S.J.S. Enterprises Ltd</t>
  </si>
  <si>
    <t>INE006I01046</t>
  </si>
  <si>
    <t>Astral Ltd</t>
  </si>
  <si>
    <t>INE00M201021</t>
  </si>
  <si>
    <t>Sterling and Wilson Renewable Energy Ltd</t>
  </si>
  <si>
    <t>INE257A01026</t>
  </si>
  <si>
    <t>Bharat Heavy Electricals Ltd</t>
  </si>
  <si>
    <t>INE08ZM01014</t>
  </si>
  <si>
    <t>Green Panel Industries Ltd</t>
  </si>
  <si>
    <t>INE298A01020</t>
  </si>
  <si>
    <t>Cummins India Ltd</t>
  </si>
  <si>
    <t>INE616N01034</t>
  </si>
  <si>
    <t>INOX India Ltd</t>
  </si>
  <si>
    <t>INE258A01016</t>
  </si>
  <si>
    <t>BEML Ltd</t>
  </si>
  <si>
    <t>INE029A01011</t>
  </si>
  <si>
    <t>Bharat Petroleum Corporation Ltd</t>
  </si>
  <si>
    <t>INE395N01027</t>
  </si>
  <si>
    <t>TVS Supply Chain Solutions Ltd</t>
  </si>
  <si>
    <t>INE766P01016</t>
  </si>
  <si>
    <t>Mahindra Logistics Ltd</t>
  </si>
  <si>
    <t>INE880J01026</t>
  </si>
  <si>
    <t>JSW Infrastructure Ltd</t>
  </si>
  <si>
    <t>Transport Infrastructure</t>
  </si>
  <si>
    <t>INE202E01016</t>
  </si>
  <si>
    <t>Indian Renewable Energy Development Agency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</si>
  <si>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</si>
  <si>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</si>
  <si>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</si>
  <si>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</si>
  <si>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</si>
  <si>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</si>
  <si>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</si>
  <si>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</si>
  <si>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</si>
  <si>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</si>
  <si>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</si>
  <si>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</si>
  <si>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</si>
  <si>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</si>
  <si>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</si>
  <si>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</si>
  <si>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</si>
  <si>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</si>
  <si>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</si>
  <si>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</si>
  <si>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</si>
  <si>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</si>
  <si>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</si>
  <si>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</si>
  <si>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</si>
  <si>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</si>
  <si>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</si>
  <si>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</si>
  <si>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</si>
  <si>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</si>
  <si>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</si>
  <si>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</si>
  <si>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</si>
  <si>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</si>
  <si>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</si>
  <si>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</si>
  <si>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</si>
  <si>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</si>
  <si>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</si>
  <si>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</si>
  <si>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30/11/2023</t>
  </si>
  <si>
    <t>31/12/2023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</si>
  <si>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</si>
  <si>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</si>
  <si>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</si>
  <si>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</si>
  <si>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</si>
  <si>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</si>
  <si>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</si>
  <si>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</si>
  <si>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</si>
  <si>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INE974X01010</t>
  </si>
  <si>
    <t>Tube Investments of India Ltd</t>
  </si>
  <si>
    <t>INE303R01014</t>
  </si>
  <si>
    <t>Kalyan Jewellers India Ltd</t>
  </si>
  <si>
    <t>INE721A01013</t>
  </si>
  <si>
    <t>Shriram Finance Ltd</t>
  </si>
  <si>
    <t>INE849A01020</t>
  </si>
  <si>
    <t>Trent Ltd</t>
  </si>
  <si>
    <t>Retailing</t>
  </si>
  <si>
    <t>INE061F01013</t>
  </si>
  <si>
    <t>Fortis Health Care Ltd</t>
  </si>
  <si>
    <t>Healthcare Services</t>
  </si>
  <si>
    <t>INE121A01024</t>
  </si>
  <si>
    <t>Cholamandalam Investment and Finance Company Ltd</t>
  </si>
  <si>
    <t>INE169A01031</t>
  </si>
  <si>
    <t>Coromandel International Ltd</t>
  </si>
  <si>
    <t>Fertilizers &amp; Agrochemicals</t>
  </si>
  <si>
    <t>INE262H01013</t>
  </si>
  <si>
    <t>Persistent Systems Ltd</t>
  </si>
  <si>
    <t>INE949L01017</t>
  </si>
  <si>
    <t>AU Small Finance Bank Ltd</t>
  </si>
  <si>
    <t>INE048G01026</t>
  </si>
  <si>
    <t>Navin Fluorine International Ltd</t>
  </si>
  <si>
    <t>Chemicals &amp; Petrochemicals</t>
  </si>
  <si>
    <t>INE326A01037</t>
  </si>
  <si>
    <t>Lupin Ltd</t>
  </si>
  <si>
    <t>Pharmaceuticals &amp; Biotechnology</t>
  </si>
  <si>
    <t>INE010B01027</t>
  </si>
  <si>
    <t>Zydus Lifesciences Ltd</t>
  </si>
  <si>
    <t>INE540L01014</t>
  </si>
  <si>
    <t>Alkem Laboratories Ltd</t>
  </si>
  <si>
    <t>INE105A01035</t>
  </si>
  <si>
    <t>TVS Holdings Ltd</t>
  </si>
  <si>
    <t>INE180A01020</t>
  </si>
  <si>
    <t>Max Financial Services Ltd</t>
  </si>
  <si>
    <t>Insurance</t>
  </si>
  <si>
    <t>INE246F01010</t>
  </si>
  <si>
    <t>Gujarat State Petronet Ltd</t>
  </si>
  <si>
    <t>INE342J01019</t>
  </si>
  <si>
    <t>ZF Commercial Vehicle Control Systems I Ltd</t>
  </si>
  <si>
    <t>INE591G01017</t>
  </si>
  <si>
    <t>Coforge Ltd</t>
  </si>
  <si>
    <t>INE226A01021</t>
  </si>
  <si>
    <t>Voltas Ltd</t>
  </si>
  <si>
    <t>INE797F01020</t>
  </si>
  <si>
    <t>Jubilant Foodworks Ltd</t>
  </si>
  <si>
    <t>Leisure Services</t>
  </si>
  <si>
    <t>INE494B01023</t>
  </si>
  <si>
    <t>TVS Motor Company Ltd</t>
  </si>
  <si>
    <t>Automobiles</t>
  </si>
  <si>
    <t>INE427F01016</t>
  </si>
  <si>
    <t>Chalet Hotels Ltd</t>
  </si>
  <si>
    <t>INE148O01028</t>
  </si>
  <si>
    <t>Delhivery Ltd</t>
  </si>
  <si>
    <t>INE813H01021</t>
  </si>
  <si>
    <t>Torrent Power Ltd</t>
  </si>
  <si>
    <t>INE256A01028</t>
  </si>
  <si>
    <t>Zee Entertainment Enterprises Ltd</t>
  </si>
  <si>
    <t>Entertainment</t>
  </si>
  <si>
    <t>INE663F01024</t>
  </si>
  <si>
    <t>Info Edge (India) Ltd</t>
  </si>
  <si>
    <t>INE473B01035</t>
  </si>
  <si>
    <t>Hatsun Agro Product Ltd</t>
  </si>
  <si>
    <t>Food Products</t>
  </si>
  <si>
    <t>INE317I01021</t>
  </si>
  <si>
    <t>Metro Brands Ltd</t>
  </si>
  <si>
    <t>INE596I01012</t>
  </si>
  <si>
    <t>Computer Age Management Services Ltd</t>
  </si>
  <si>
    <t>Capital Markets</t>
  </si>
  <si>
    <t>INE692A01016</t>
  </si>
  <si>
    <t>Union Bank of India</t>
  </si>
  <si>
    <t>INE417T01026</t>
  </si>
  <si>
    <t>PB Fintech Ltd</t>
  </si>
  <si>
    <t>Financial Technology (Fintech)</t>
  </si>
  <si>
    <t>INE947Q01028</t>
  </si>
  <si>
    <t>Laurus Labs Ltd</t>
  </si>
  <si>
    <t>INE216P01012</t>
  </si>
  <si>
    <t>Aavas Financiers Ltd</t>
  </si>
  <si>
    <t>INE094A01015</t>
  </si>
  <si>
    <t>Hindustan Petroleum Corporation Ltd</t>
  </si>
  <si>
    <t>INE027H01010</t>
  </si>
  <si>
    <t>Max Healthcare Institute Ltd</t>
  </si>
  <si>
    <t>INE376G01013</t>
  </si>
  <si>
    <t>Biocon Ltd</t>
  </si>
  <si>
    <t>INE04I401011</t>
  </si>
  <si>
    <t>KPIT Technologies Ltd</t>
  </si>
  <si>
    <t>INE562A01011</t>
  </si>
  <si>
    <t>Indian Bank</t>
  </si>
  <si>
    <t>INE603J01030</t>
  </si>
  <si>
    <t>PI Industries Ltd</t>
  </si>
  <si>
    <t>INE217B01036</t>
  </si>
  <si>
    <t>Kajaria Ceramics Ltd</t>
  </si>
  <si>
    <t>INE405E01023</t>
  </si>
  <si>
    <t>UNO Minda Ltd</t>
  </si>
  <si>
    <t>INE686F01025</t>
  </si>
  <si>
    <t>United Breweries Ltd</t>
  </si>
  <si>
    <t>Beverages</t>
  </si>
  <si>
    <t>INE149A01033</t>
  </si>
  <si>
    <t>Cholamandalam Financial Holdings Ltd</t>
  </si>
  <si>
    <t>INE548C01032</t>
  </si>
  <si>
    <t>Emami Ltd</t>
  </si>
  <si>
    <t>Personal Products</t>
  </si>
  <si>
    <t>INE058A01010</t>
  </si>
  <si>
    <t>Sanofi India Ltd</t>
  </si>
  <si>
    <t>INE670A01012</t>
  </si>
  <si>
    <t>Tata Elxsi Ltd</t>
  </si>
  <si>
    <t>INE084A01016</t>
  </si>
  <si>
    <t>Bank of India</t>
  </si>
  <si>
    <t>INE347G01014</t>
  </si>
  <si>
    <t>Petronet LNG Ltd</t>
  </si>
  <si>
    <t>INE0Q3R01026</t>
  </si>
  <si>
    <t>Sundaram Clayton Ltd</t>
  </si>
  <si>
    <t>INE787D01026</t>
  </si>
  <si>
    <t>Balkrishna Industries Ltd</t>
  </si>
  <si>
    <t>INE930H01031</t>
  </si>
  <si>
    <t>K.P.R. Mill Ltd</t>
  </si>
  <si>
    <t>Textiles &amp; Apparels</t>
  </si>
  <si>
    <t>INE348B01021</t>
  </si>
  <si>
    <t>Century Plyboards (India) Ltd</t>
  </si>
  <si>
    <t>INE105A04013</t>
  </si>
  <si>
    <t>INE0Q3R04012</t>
  </si>
  <si>
    <t>Sundaram Large and Mid Cap Fund</t>
  </si>
  <si>
    <t>INE040A01034</t>
  </si>
  <si>
    <t>HDFC Bank Ltd</t>
  </si>
  <si>
    <t>INE009A01021</t>
  </si>
  <si>
    <t>Infosys Ltd</t>
  </si>
  <si>
    <t>INE238A01034</t>
  </si>
  <si>
    <t>Axis Bank Ltd</t>
  </si>
  <si>
    <t>INE200M01021</t>
  </si>
  <si>
    <t>Varun Beverages Ltd</t>
  </si>
  <si>
    <t>INE044A01036</t>
  </si>
  <si>
    <t>Sun Pharmaceutical Industries Ltd</t>
  </si>
  <si>
    <t>INE467B01029</t>
  </si>
  <si>
    <t>Tata Consultancy Services Ltd</t>
  </si>
  <si>
    <t>INE758T01015</t>
  </si>
  <si>
    <t>Zomato Ltd</t>
  </si>
  <si>
    <t>INE095A01012</t>
  </si>
  <si>
    <t>IndusInd Bank Ltd</t>
  </si>
  <si>
    <t>INE038A01020</t>
  </si>
  <si>
    <t>Hindalco Industries Ltd</t>
  </si>
  <si>
    <t>Non - Ferrous Metals</t>
  </si>
  <si>
    <t>INE476A01014</t>
  </si>
  <si>
    <t>Canara Bank</t>
  </si>
  <si>
    <t>INE745G01035</t>
  </si>
  <si>
    <t>Multi Commodity Exchange of India Ltd</t>
  </si>
  <si>
    <t>INE356A01018</t>
  </si>
  <si>
    <t>MphasiS Ltd</t>
  </si>
  <si>
    <t>INE214T01019</t>
  </si>
  <si>
    <t>LTIMindtree Ltd</t>
  </si>
  <si>
    <t>INE154A01025</t>
  </si>
  <si>
    <t>ITC Ltd</t>
  </si>
  <si>
    <t>Diversified Fmcg</t>
  </si>
  <si>
    <t>INE155A01022</t>
  </si>
  <si>
    <t>Tata Motors Ltd</t>
  </si>
  <si>
    <t>INE089A01023</t>
  </si>
  <si>
    <t>Dr. Reddys Laboratories Ltd</t>
  </si>
  <si>
    <t>INE030A01027</t>
  </si>
  <si>
    <t>Hindustan UniLever Ltd</t>
  </si>
  <si>
    <t>INE893J01029</t>
  </si>
  <si>
    <t>Mold-Tek Packaging Ltd</t>
  </si>
  <si>
    <t>INE280A01028</t>
  </si>
  <si>
    <t>Titan Company Ltd</t>
  </si>
  <si>
    <t>INE361B01024</t>
  </si>
  <si>
    <t>Divis Laboratories Ltd</t>
  </si>
  <si>
    <t>INE388Y01029</t>
  </si>
  <si>
    <t>FSN E–Commerce Ventures Ltd(NYKAA)</t>
  </si>
  <si>
    <t>INE296A01024</t>
  </si>
  <si>
    <t>Bajaj Finance Ltd</t>
  </si>
  <si>
    <t>INE081A01020</t>
  </si>
  <si>
    <t>Tata Steel Ltd</t>
  </si>
  <si>
    <t>INE053A01029</t>
  </si>
  <si>
    <t>The Indian Hotels Company Ltd</t>
  </si>
  <si>
    <t>INE406A01037</t>
  </si>
  <si>
    <t>Aurobindo Pharma Ltd</t>
  </si>
  <si>
    <t>INE192R01011</t>
  </si>
  <si>
    <t>Avenue Supermarts Ltd</t>
  </si>
  <si>
    <t>INE585B01010</t>
  </si>
  <si>
    <t>Maruti Suzuki India Ltd</t>
  </si>
  <si>
    <t>INE465A01025</t>
  </si>
  <si>
    <t>Bharat Forge Ltd</t>
  </si>
  <si>
    <t>INE586V01016</t>
  </si>
  <si>
    <t>TCI Express Ltd</t>
  </si>
  <si>
    <t>INE387A01021</t>
  </si>
  <si>
    <t>Sundram Fasteners Ltd</t>
  </si>
  <si>
    <t>INE321T01012</t>
  </si>
  <si>
    <t>DOMS Industries Ltd</t>
  </si>
  <si>
    <t>Household Products</t>
  </si>
  <si>
    <t>INE918I01026</t>
  </si>
  <si>
    <t>Bajaj Finserv Ltd</t>
  </si>
  <si>
    <t>INE131B01039</t>
  </si>
  <si>
    <t>Relaxo Footwears Ltd</t>
  </si>
  <si>
    <t>INE825V01034</t>
  </si>
  <si>
    <t>Vedant Fashions Ltd</t>
  </si>
  <si>
    <t>INE647A01010</t>
  </si>
  <si>
    <t>SRF Ltd</t>
  </si>
  <si>
    <t>INE761H01022</t>
  </si>
  <si>
    <t>Page Industries Ltd</t>
  </si>
  <si>
    <t>INE634S01028</t>
  </si>
  <si>
    <t>Mankind Pharma Ltd</t>
  </si>
  <si>
    <t>Sundaram Long Term Tax Advantage Fund Series III</t>
  </si>
  <si>
    <t>INE063P01018</t>
  </si>
  <si>
    <t>Equitas Small Finance Bank Limited</t>
  </si>
  <si>
    <t>INE429E01023</t>
  </si>
  <si>
    <t>Safari Industries (India) Ltd</t>
  </si>
  <si>
    <t>INE732I01013</t>
  </si>
  <si>
    <t>Angel One Ltd</t>
  </si>
  <si>
    <t>INE045A01017</t>
  </si>
  <si>
    <t>Ador Welding Ltd</t>
  </si>
  <si>
    <t>INE191H01014</t>
  </si>
  <si>
    <t>PVR INOX Ltd</t>
  </si>
  <si>
    <t>INE442H01029</t>
  </si>
  <si>
    <t>Ashoka Buildcon Ltd</t>
  </si>
  <si>
    <t>INE075I01017</t>
  </si>
  <si>
    <t>Healthcare Global Enterprises Ltd</t>
  </si>
  <si>
    <t>INE978A01027</t>
  </si>
  <si>
    <t>Heritage Foods Ltd</t>
  </si>
  <si>
    <t>INE572A01036</t>
  </si>
  <si>
    <t>JB Chemicals &amp; Pharmaceuticals Ltd</t>
  </si>
  <si>
    <t>INE477A01020</t>
  </si>
  <si>
    <t>Can Fin Homes Ltd</t>
  </si>
  <si>
    <t>INE806T01012</t>
  </si>
  <si>
    <t>Sapphire Foods India Ltd</t>
  </si>
  <si>
    <t>INE043D01016</t>
  </si>
  <si>
    <t>IDFC Ltd</t>
  </si>
  <si>
    <t>INE741K01010</t>
  </si>
  <si>
    <t>Creditaccess Grameen Ltd</t>
  </si>
  <si>
    <t>INE274F01020</t>
  </si>
  <si>
    <t>Westlife Foodworld Ltd</t>
  </si>
  <si>
    <t>INE295F01017</t>
  </si>
  <si>
    <t>Butterfly Gandhimathi Appliances Ltd</t>
  </si>
  <si>
    <t>INE00WC01027</t>
  </si>
  <si>
    <t>Affle (India) Ltd</t>
  </si>
  <si>
    <t>INE296E01026</t>
  </si>
  <si>
    <t>Rajapalayam Mills Ltd</t>
  </si>
  <si>
    <t>INE864I01014</t>
  </si>
  <si>
    <t>MTAR Technologies Ltd</t>
  </si>
  <si>
    <t>INE334L01012</t>
  </si>
  <si>
    <t>Ujjivan Financial Services Ltd</t>
  </si>
  <si>
    <t>INE717A01029</t>
  </si>
  <si>
    <t>Kennametal India Ltd</t>
  </si>
  <si>
    <t>INE873D01024</t>
  </si>
  <si>
    <t>Indoco Remedies Ltd</t>
  </si>
  <si>
    <t>INE060A01024</t>
  </si>
  <si>
    <t>Navneet Education Ltd</t>
  </si>
  <si>
    <t>Printing &amp; Publication</t>
  </si>
  <si>
    <t>INE126A01031</t>
  </si>
  <si>
    <t>EID Parry India Ltd</t>
  </si>
  <si>
    <t>INE211B01039</t>
  </si>
  <si>
    <t>The Phoenix Mills Ltd</t>
  </si>
  <si>
    <t>INE056C01010</t>
  </si>
  <si>
    <t>Tata Metaliks Ltd</t>
  </si>
  <si>
    <t>INE481N01025</t>
  </si>
  <si>
    <t>Home First Finance Company Ltd</t>
  </si>
  <si>
    <t>INE586B01026</t>
  </si>
  <si>
    <t>Taj GVK Hotels &amp; Resorts Ltd</t>
  </si>
  <si>
    <t>INE120A01034</t>
  </si>
  <si>
    <t>Carborundum Universal Ltd</t>
  </si>
  <si>
    <t>INE00IN01015</t>
  </si>
  <si>
    <t>Stove Kraft Ltd</t>
  </si>
  <si>
    <t>INE688A01022</t>
  </si>
  <si>
    <t>Transport Corporation of India Ltd</t>
  </si>
  <si>
    <t>INE199A01012</t>
  </si>
  <si>
    <t>Procter &amp; Gamble Health Ltd</t>
  </si>
  <si>
    <t>INE227C01017</t>
  </si>
  <si>
    <t>MM Forgings Ltd</t>
  </si>
  <si>
    <t>INE299U01018</t>
  </si>
  <si>
    <t>Crompton Greaves Consumer Electricals Ltd</t>
  </si>
  <si>
    <t>INE565V01010</t>
  </si>
  <si>
    <t>Valiant Organics Ltd</t>
  </si>
  <si>
    <t>INE679A01013</t>
  </si>
  <si>
    <t>CSB Bank Ltd</t>
  </si>
  <si>
    <t>Individual &amp; HUF</t>
  </si>
  <si>
    <t>Others</t>
  </si>
  <si>
    <t>-</t>
  </si>
  <si>
    <t>Sundaram Long Term Tax Advantage Fund Series IV</t>
  </si>
  <si>
    <t>Sundaram Long Term Tax Advantage Fund Series-I</t>
  </si>
  <si>
    <t>INE123W01016</t>
  </si>
  <si>
    <t>SBI Life Insurance Company Ltd</t>
  </si>
  <si>
    <t>INE028A01039</t>
  </si>
  <si>
    <t>Bank of Baroda</t>
  </si>
  <si>
    <t>INE860A01027</t>
  </si>
  <si>
    <t>HCL Technologies Ltd</t>
  </si>
  <si>
    <t>INE192A01025</t>
  </si>
  <si>
    <t>TATA Consumer Products Ltd</t>
  </si>
  <si>
    <t>Agricultural Food &amp; Other Products</t>
  </si>
  <si>
    <t>INE237A01028</t>
  </si>
  <si>
    <t>Kotak Mahindra Bank Ltd</t>
  </si>
  <si>
    <t>INE059A01026</t>
  </si>
  <si>
    <t>Cipla Ltd</t>
  </si>
  <si>
    <t>IN9397D01014</t>
  </si>
  <si>
    <t>Sundaram Long Term Tax Advantage Fund Series-II</t>
  </si>
  <si>
    <t>INE075A01022</t>
  </si>
  <si>
    <t>Wipro Ltd</t>
  </si>
  <si>
    <t>Sundaram Long Term Micro Cap Tax Advantage Fund Series III</t>
  </si>
  <si>
    <t>INE386C01029</t>
  </si>
  <si>
    <t>Astra Microwave Products Ltd</t>
  </si>
  <si>
    <t>INE421D01022</t>
  </si>
  <si>
    <t>CCL Products (India) Ltd</t>
  </si>
  <si>
    <t>INE220B01022</t>
  </si>
  <si>
    <t>Kalpataru Projects International Ltd</t>
  </si>
  <si>
    <t>INE285J01028</t>
  </si>
  <si>
    <t>SIS Ltd</t>
  </si>
  <si>
    <t>Commercial Services &amp; Supplies</t>
  </si>
  <si>
    <t>INE782A01015</t>
  </si>
  <si>
    <t>Johnson Controls-Hitachi AirConditioning India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</si>
  <si>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</si>
  <si>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</si>
  <si>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</si>
  <si>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</si>
  <si>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</si>
  <si>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</si>
  <si>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INE944F01028</t>
  </si>
  <si>
    <t>Radico Khaitan Ltd</t>
  </si>
  <si>
    <t>INE136B01020</t>
  </si>
  <si>
    <t>Cyient Ltd</t>
  </si>
  <si>
    <t>INE0CLI01024</t>
  </si>
  <si>
    <t>Rate Gain Travel Technologies Ltd</t>
  </si>
  <si>
    <t>INE725G01011</t>
  </si>
  <si>
    <t>ICRA Ltd</t>
  </si>
  <si>
    <t>INE136S01016</t>
  </si>
  <si>
    <t>Neogen Chemicals Ltd</t>
  </si>
  <si>
    <t>INE684F01012</t>
  </si>
  <si>
    <t>Firstsource Solutions Ltd</t>
  </si>
  <si>
    <t>INE836A01035</t>
  </si>
  <si>
    <t>Birlasoft Ltd</t>
  </si>
  <si>
    <t>IN9155A01020</t>
  </si>
  <si>
    <t>INE671H01015</t>
  </si>
  <si>
    <t>Sobha Developers Ltd</t>
  </si>
  <si>
    <t>INE322A01010</t>
  </si>
  <si>
    <t>Gillette India Ltd</t>
  </si>
  <si>
    <t>INE736A01011</t>
  </si>
  <si>
    <t>Central Depository Services (India) Ltd</t>
  </si>
  <si>
    <t>INE177F01017</t>
  </si>
  <si>
    <t>Kovai Medical Center &amp; Hospital Ltd</t>
  </si>
  <si>
    <t>INE119A01028</t>
  </si>
  <si>
    <t>Balrampur Chini Mills Ltd</t>
  </si>
  <si>
    <t>INE098F01031</t>
  </si>
  <si>
    <t>Amrutanjan Health Care Ltd</t>
  </si>
  <si>
    <t>INE094J01016</t>
  </si>
  <si>
    <t>UTI Asset Management Co Ltd</t>
  </si>
  <si>
    <t>INE914M01019</t>
  </si>
  <si>
    <t>Aster DM Healthcare Ltd</t>
  </si>
  <si>
    <t>INE342G01023</t>
  </si>
  <si>
    <t>NIIT Learning Systems Ltd</t>
  </si>
  <si>
    <t>Other Consumer Services</t>
  </si>
  <si>
    <t>INE142Z01019</t>
  </si>
  <si>
    <t>Orient Electric Ltd</t>
  </si>
  <si>
    <t>INE451A01017</t>
  </si>
  <si>
    <t>Force Motors Ltd</t>
  </si>
  <si>
    <t>INE109C01017</t>
  </si>
  <si>
    <t>Arman Financial Services Ltd</t>
  </si>
  <si>
    <t>INE00F201020</t>
  </si>
  <si>
    <t>Prudent Corporate Advisory Services Ltd</t>
  </si>
  <si>
    <t>INE739E01017</t>
  </si>
  <si>
    <t>Cera Sanitaryware Ltd</t>
  </si>
  <si>
    <t>INE0BJS01011</t>
  </si>
  <si>
    <t>Go Fashion (India ) Ltd</t>
  </si>
  <si>
    <t>INE0BV301023</t>
  </si>
  <si>
    <t>CE Info Systems Private Limited</t>
  </si>
  <si>
    <t>Sundaram Aggressive Hybrid Fund</t>
  </si>
  <si>
    <t>INE854D01024</t>
  </si>
  <si>
    <t>United Spirits Ltd</t>
  </si>
  <si>
    <t>INE917I01010</t>
  </si>
  <si>
    <t>Bajaj Auto Ltd</t>
  </si>
  <si>
    <t>INE101A01026</t>
  </si>
  <si>
    <t>Mahindra &amp; Mahindra Ltd</t>
  </si>
  <si>
    <t>INE066A01021</t>
  </si>
  <si>
    <t>Eicher Motors Ltd</t>
  </si>
  <si>
    <t>INE183A01024</t>
  </si>
  <si>
    <t>Finolex Industries Ltd</t>
  </si>
  <si>
    <t>INE726G01019</t>
  </si>
  <si>
    <t>ICICI Prudential Life Insurance Company Ltd</t>
  </si>
  <si>
    <t>INE021A01026</t>
  </si>
  <si>
    <t>Asian Paints Ltd</t>
  </si>
  <si>
    <t>INE196A01026</t>
  </si>
  <si>
    <t>Marico Ltd</t>
  </si>
  <si>
    <t>INE742F01042</t>
  </si>
  <si>
    <t>Adani Ports and Special Economic Zone Ltd</t>
  </si>
  <si>
    <t>INE669C01036</t>
  </si>
  <si>
    <t>Tech Mahindra Ltd</t>
  </si>
  <si>
    <t>INE852S01026</t>
  </si>
  <si>
    <t>INE115A07QD5</t>
  </si>
  <si>
    <t>LIC Housing Finance Ltd - 7.82% - 28/11/2025</t>
  </si>
  <si>
    <t>CRISIL AAA</t>
  </si>
  <si>
    <t>INE134E08MB9</t>
  </si>
  <si>
    <t>Power Finance Corporation Ltd - 7.82% - 06/03/2038**</t>
  </si>
  <si>
    <t>INE115A07QH6</t>
  </si>
  <si>
    <t>LIC Housing Finance Ltd - 8.025% - 23/03/2033**</t>
  </si>
  <si>
    <t>INE556F08KM1</t>
  </si>
  <si>
    <t>Small Industries Development Bank of India - 7.79% - 14/05/2027</t>
  </si>
  <si>
    <t>INE0KUG08027</t>
  </si>
  <si>
    <t>National Bank for Financing Infrastructure and Developement - 7.65% - 22/12/2038</t>
  </si>
  <si>
    <t>INE261F08DV4</t>
  </si>
  <si>
    <t>National Bank for Agricultural &amp; Rural Development - 7.62% - 31/01/2028</t>
  </si>
  <si>
    <t>ICRA AAA</t>
  </si>
  <si>
    <t>INE261F08DX0</t>
  </si>
  <si>
    <t>National Bank for Agricultural &amp; Rural Development - 7.58% - 31/07/2026**</t>
  </si>
  <si>
    <t>INE556F08KH1</t>
  </si>
  <si>
    <t>Small Industries Development Bank of India - 7.43% - 31/08/2026</t>
  </si>
  <si>
    <t>INE020B08DR1</t>
  </si>
  <si>
    <t>REC LTD - 5.74% - 20/06/2024**</t>
  </si>
  <si>
    <t>INE020B08906</t>
  </si>
  <si>
    <t>REC LTD - 8.27% - 06/02/2025**</t>
  </si>
  <si>
    <t>INE053F08338</t>
  </si>
  <si>
    <t>Indian Railway Finance Corporation Ltd - 7.68% - 24/11/2026**</t>
  </si>
  <si>
    <t>INE053F08296</t>
  </si>
  <si>
    <t>Indian Railway Finance Corporation Ltd - 7.74% - 15/04/2038**</t>
  </si>
  <si>
    <t>INE134E08MJ2</t>
  </si>
  <si>
    <t>Power Finance Corporation Ltd - 7.77% - 15/04/2028**</t>
  </si>
  <si>
    <t>INE020B08EG2</t>
  </si>
  <si>
    <t>REC LTD - 7.69% - 31/03/2033**</t>
  </si>
  <si>
    <t>INE134E08MC7</t>
  </si>
  <si>
    <t>Power Finance Corporation Ltd - 7.77% - 15/07/2026</t>
  </si>
  <si>
    <t>INE028A08158</t>
  </si>
  <si>
    <t>INE071G07587</t>
  </si>
  <si>
    <t>ICICI Home Finance Company Ltd - 8% - 28/06/2024**</t>
  </si>
  <si>
    <t>INE040A08666</t>
  </si>
  <si>
    <t>INE041007100</t>
  </si>
  <si>
    <t>Embassy Office Parks REIT - 7.77% - 05/06/2025**</t>
  </si>
  <si>
    <t>INE261F08DP6</t>
  </si>
  <si>
    <t>National Bank for Agricultural &amp; Rural Development - 7.35% - 08/07/2025**</t>
  </si>
  <si>
    <t>INE040A08989</t>
  </si>
  <si>
    <t>INE134E08LO4</t>
  </si>
  <si>
    <t>Power Finance Corporation Ltd - 7.13% - 08/08/2025**</t>
  </si>
  <si>
    <t>INE115A07PU1</t>
  </si>
  <si>
    <t>LIC Housing Finance Ltd - 6.25% - 20/06/2025**</t>
  </si>
  <si>
    <t>INE018A08BA7</t>
  </si>
  <si>
    <t>Larsen &amp; Toubro Ltd - 7.7% - 28/04/2025**</t>
  </si>
  <si>
    <t>INE556F08KE8</t>
  </si>
  <si>
    <t>Small Industries Development Bank of India - 7.47% - 25/11/2025</t>
  </si>
  <si>
    <t>INE020B08EI8</t>
  </si>
  <si>
    <t>REC LTD - 7.51% - 31/07/2026**</t>
  </si>
  <si>
    <t>INE020B08EL2</t>
  </si>
  <si>
    <t>REC LTD - 7.44% - 30/04/2026**</t>
  </si>
  <si>
    <t>INE557F08FG1</t>
  </si>
  <si>
    <t>National Housing Bank  - 7.05% - 18/12/2024**</t>
  </si>
  <si>
    <t>INE134E08KT5</t>
  </si>
  <si>
    <t>Power Finance Corporation Ltd - 7.17% - 22/05/2025</t>
  </si>
  <si>
    <t>INE895D07487</t>
  </si>
  <si>
    <t>Tata Sons Pvt Ltd - 9.3% - 19/06/2024**</t>
  </si>
  <si>
    <t>INE040A08922</t>
  </si>
  <si>
    <t>INE261F08DF7</t>
  </si>
  <si>
    <t>National Bank for Agricultural &amp; Rural Development - 5.27% - 23/07/2024</t>
  </si>
  <si>
    <t>IN0020220151</t>
  </si>
  <si>
    <t>7.26% Central Government Securities 06/02/2033</t>
  </si>
  <si>
    <t>Sovereign</t>
  </si>
  <si>
    <t>IN0020220102</t>
  </si>
  <si>
    <t>7.41% Central Government Securities 19/12/2036</t>
  </si>
  <si>
    <t>IN0020230085</t>
  </si>
  <si>
    <t>IN0020220037</t>
  </si>
  <si>
    <t>7.38% Central Government Securities 20/06/2027</t>
  </si>
  <si>
    <t>IN0020220011</t>
  </si>
  <si>
    <t>7.10% Central Government Securities 18/04/2029</t>
  </si>
  <si>
    <t>IN0020210186</t>
  </si>
  <si>
    <t>5.74% Central Government Securities 15/11/2026</t>
  </si>
  <si>
    <t>IN0020210160</t>
  </si>
  <si>
    <t>IN0020230077</t>
  </si>
  <si>
    <t>IN2220150030</t>
  </si>
  <si>
    <t>8.25% Maharashtra State Development Loan 10/06/2025</t>
  </si>
  <si>
    <t>IN1920140119</t>
  </si>
  <si>
    <t>8.08% Karnataka State Development Loan 11/03/2025</t>
  </si>
  <si>
    <t>IN2220140205</t>
  </si>
  <si>
    <t>8.06% Maharashtra State Development Loan 11/02/2025</t>
  </si>
  <si>
    <t>INE040A16DT0</t>
  </si>
  <si>
    <t>HDFC Bank Ltd - 05/02/2024</t>
  </si>
  <si>
    <t>CRISIL A1+</t>
  </si>
  <si>
    <t>IN002022Z515</t>
  </si>
  <si>
    <t>364 Days - T Bill - 22/03/2024</t>
  </si>
  <si>
    <t>Sundaram Arbitrage Fund</t>
  </si>
  <si>
    <t>INE079A01024</t>
  </si>
  <si>
    <t>Ambuja Cements Ltd</t>
  </si>
  <si>
    <t>INE121J01017</t>
  </si>
  <si>
    <t>Indus Towers Ltd (Prev Bharti Infratel Ltd)</t>
  </si>
  <si>
    <t>INE271C01023</t>
  </si>
  <si>
    <t>DLF Ltd</t>
  </si>
  <si>
    <t>INE522D01027</t>
  </si>
  <si>
    <t>Manappuram Finance Ltd</t>
  </si>
  <si>
    <t>INE016A01026</t>
  </si>
  <si>
    <t>Dabur India Ltd</t>
  </si>
  <si>
    <t>INE012A01025</t>
  </si>
  <si>
    <t>ACC Ltd</t>
  </si>
  <si>
    <t>INE674K01013</t>
  </si>
  <si>
    <t>Aditya Birla Capital Ltd</t>
  </si>
  <si>
    <t>Stock Future</t>
  </si>
  <si>
    <t>IN002022Z507</t>
  </si>
  <si>
    <t>IN002023Z273</t>
  </si>
  <si>
    <t>IN002023Z307</t>
  </si>
  <si>
    <t>IN002023Z315</t>
  </si>
  <si>
    <t>Margin Money For Derivatives</t>
  </si>
  <si>
    <t>Sundaram Balanced Advantage Fund</t>
  </si>
  <si>
    <t>INE217L01019</t>
  </si>
  <si>
    <t>Shriram Properties Ltd</t>
  </si>
  <si>
    <t>Index Future</t>
  </si>
  <si>
    <t>INE040A08AH8</t>
  </si>
  <si>
    <t>INE040A08641</t>
  </si>
  <si>
    <t>INE053F07BB3</t>
  </si>
  <si>
    <t>Indian Railway Finance Corporation Ltd - 8.25% - 28/02/2024</t>
  </si>
  <si>
    <t>IN0020200112</t>
  </si>
  <si>
    <t>5.22% Central Government Securities 15/06/2025</t>
  </si>
  <si>
    <t>IN0020230135</t>
  </si>
  <si>
    <t>IN0020230036</t>
  </si>
  <si>
    <t>Sundaram Dividend Yield Fund</t>
  </si>
  <si>
    <t>INE848E01016</t>
  </si>
  <si>
    <t>NHPC Ltd</t>
  </si>
  <si>
    <t>INE212H01026</t>
  </si>
  <si>
    <t>AIA Engineering Ltd</t>
  </si>
  <si>
    <t>INE472A01039</t>
  </si>
  <si>
    <t>Blue Star Ltd</t>
  </si>
  <si>
    <t>INE216A01030</t>
  </si>
  <si>
    <t>Britannia Industries Ltd</t>
  </si>
  <si>
    <t>INE710A01016</t>
  </si>
  <si>
    <t>VST Industries Ltd</t>
  </si>
  <si>
    <t>Cigarettes &amp; Tobacco Products</t>
  </si>
  <si>
    <t>INE142M01025</t>
  </si>
  <si>
    <t>Tata Technologies Ltd</t>
  </si>
  <si>
    <t>INE763G01038</t>
  </si>
  <si>
    <t>ICICI Securities Ltd</t>
  </si>
  <si>
    <t>INE758E01017</t>
  </si>
  <si>
    <t>Jio Financial Services Ltd</t>
  </si>
  <si>
    <t>INE602W01019</t>
  </si>
  <si>
    <t>Senco Gold Ltd</t>
  </si>
  <si>
    <t>IDIA00069480</t>
  </si>
  <si>
    <t>INE02CF01010</t>
  </si>
  <si>
    <t>INE759J01022</t>
  </si>
  <si>
    <t>IDIA00069477</t>
  </si>
  <si>
    <t>INE216A08027</t>
  </si>
  <si>
    <t>Britannia Industries Ltd - 5.5% - 03/06/2024**</t>
  </si>
  <si>
    <t>Sundaram Equity Savings Fund</t>
  </si>
  <si>
    <t>INE227W01023</t>
  </si>
  <si>
    <t>Clean Science &amp; Technology Ltd</t>
  </si>
  <si>
    <t>INE019A01038</t>
  </si>
  <si>
    <t>JSW Steel Ltd</t>
  </si>
  <si>
    <t>INE0N7W01012</t>
  </si>
  <si>
    <t>BEML Land and Assets Ltd</t>
  </si>
  <si>
    <t>INE261F08EA6</t>
  </si>
  <si>
    <t>National Bank for Agricultural &amp; Rural Development - 7.5% - 31/08/2026**</t>
  </si>
  <si>
    <t>IN0020200278</t>
  </si>
  <si>
    <t>5.15% Central Government Securities 09/11/2025</t>
  </si>
  <si>
    <t>IN2220150022</t>
  </si>
  <si>
    <t>8.14% Maharashtra State Development Loan 27/05/2025</t>
  </si>
  <si>
    <t>IN002023Y243</t>
  </si>
  <si>
    <t>Sundaram Focused  Fund</t>
  </si>
  <si>
    <t>INE239A01016</t>
  </si>
  <si>
    <t>Nestle India Ltd</t>
  </si>
  <si>
    <t>Sundaram Multi Cap Fund</t>
  </si>
  <si>
    <t>INE470A01017</t>
  </si>
  <si>
    <t>3M India Ltd</t>
  </si>
  <si>
    <t>Diversified</t>
  </si>
  <si>
    <t>INE371P01015</t>
  </si>
  <si>
    <t>Amber Enterprises India Ltd</t>
  </si>
  <si>
    <t>INE112L01020</t>
  </si>
  <si>
    <t>Metropolis Healthcare Ltd</t>
  </si>
  <si>
    <t>INE147E01013</t>
  </si>
  <si>
    <t>INE348C01011</t>
  </si>
  <si>
    <t>Paper, Forest &amp; Jute Products</t>
  </si>
  <si>
    <t>IDIA00069356</t>
  </si>
  <si>
    <t>INE431E01011</t>
  </si>
  <si>
    <t>Healthcare Equipment &amp; Supplies</t>
  </si>
  <si>
    <t>INE604A01011</t>
  </si>
  <si>
    <t>IDIA00069359</t>
  </si>
  <si>
    <t>INE406B01019</t>
  </si>
  <si>
    <t>Sundaram Nifty 100 Equal Weight Fund</t>
  </si>
  <si>
    <t>INE364U01010</t>
  </si>
  <si>
    <t>Adani Green Energy Ltd</t>
  </si>
  <si>
    <t>INE399L01023</t>
  </si>
  <si>
    <t>Adani Total Gas Ltd</t>
  </si>
  <si>
    <t>INE158A01026</t>
  </si>
  <si>
    <t>Hero MotoCorp Ltd</t>
  </si>
  <si>
    <t>INE335Y01020</t>
  </si>
  <si>
    <t>Indian Railway Catering &amp; Tourism Corporation Ltd</t>
  </si>
  <si>
    <t>INE0J1Y01017</t>
  </si>
  <si>
    <t>LIC of India Ltd</t>
  </si>
  <si>
    <t>INE931S01010</t>
  </si>
  <si>
    <t>Adani Energy Solutions Ltd</t>
  </si>
  <si>
    <t>INE685A01028</t>
  </si>
  <si>
    <t>Torrent Pharmaceuticals Ltd</t>
  </si>
  <si>
    <t>INE259A01022</t>
  </si>
  <si>
    <t>Colgate Palmolive (India) Ltd</t>
  </si>
  <si>
    <t>INE160A01022</t>
  </si>
  <si>
    <t>Punjab National Bank</t>
  </si>
  <si>
    <t>INE414G01012</t>
  </si>
  <si>
    <t>Muthoot Finance Ltd</t>
  </si>
  <si>
    <t>INE423A01024</t>
  </si>
  <si>
    <t>Adani Enterprises</t>
  </si>
  <si>
    <t>Metals &amp; Minerals Trading</t>
  </si>
  <si>
    <t>INE323A01026</t>
  </si>
  <si>
    <t>Bosch Ltd</t>
  </si>
  <si>
    <t>INE102D01028</t>
  </si>
  <si>
    <t>Godrej Consumer Products Ltd</t>
  </si>
  <si>
    <t>INE205A01025</t>
  </si>
  <si>
    <t>Vedanta Ltd</t>
  </si>
  <si>
    <t>Diversified Metals</t>
  </si>
  <si>
    <t>INE437A01024</t>
  </si>
  <si>
    <t>Apollo Hospitals Enterprise Ltd</t>
  </si>
  <si>
    <t>INE070A01015</t>
  </si>
  <si>
    <t>Shree Cement Ltd</t>
  </si>
  <si>
    <t>INE047A01021</t>
  </si>
  <si>
    <t>Grasim Industries Ltd</t>
  </si>
  <si>
    <t>INE318A01026</t>
  </si>
  <si>
    <t>Pidilite Industries Ltd</t>
  </si>
  <si>
    <t>INE765G01017</t>
  </si>
  <si>
    <t>ICICI Lombard General Insurance Company Ltd</t>
  </si>
  <si>
    <t>INE118A01012</t>
  </si>
  <si>
    <t>Bajaj Holdings &amp; Investment Ltd</t>
  </si>
  <si>
    <t>INE775A01035</t>
  </si>
  <si>
    <t>Samvardhana Motherson International Ltd</t>
  </si>
  <si>
    <t>INE699H01024</t>
  </si>
  <si>
    <t>Adani Wilmar Ltd</t>
  </si>
  <si>
    <t>INE463A01038</t>
  </si>
  <si>
    <t>Berger Paints (I) Ltd</t>
  </si>
  <si>
    <t>INE795G01014</t>
  </si>
  <si>
    <t>HDFC Life Insurance Company Ltd</t>
  </si>
  <si>
    <t>INE179A01014</t>
  </si>
  <si>
    <t>Procter &amp; Gamble Hygiene and Health Care Ltd</t>
  </si>
  <si>
    <t>INE176B01034</t>
  </si>
  <si>
    <t>Havells India Ltd</t>
  </si>
  <si>
    <t>INE018E01016</t>
  </si>
  <si>
    <t>SBI Cards and Payment Services Ltd</t>
  </si>
  <si>
    <t>INE628A01036</t>
  </si>
  <si>
    <t>UPL Ltd</t>
  </si>
  <si>
    <t>Sundaram ELSS Tax Saver Fund</t>
  </si>
  <si>
    <t>INE176A01028</t>
  </si>
  <si>
    <t>Bata India Ltd</t>
  </si>
  <si>
    <t>INE571A01038</t>
  </si>
  <si>
    <t>IPCA Laboratories Ltd</t>
  </si>
  <si>
    <t>INE287B01021</t>
  </si>
  <si>
    <t>Subros Ltd</t>
  </si>
  <si>
    <t>INE768C01010</t>
  </si>
  <si>
    <t>Zydus Wellness Ltd</t>
  </si>
  <si>
    <t>Sundaram Consumption Fund</t>
  </si>
  <si>
    <t>INE02YR01019</t>
  </si>
  <si>
    <t>Electronics Mart India Ltd</t>
  </si>
  <si>
    <t>INE872J01023</t>
  </si>
  <si>
    <t>Devyani international limited</t>
  </si>
  <si>
    <t>INE916U01025</t>
  </si>
  <si>
    <t>Sheela Foam Ltd</t>
  </si>
  <si>
    <t>INE0KCE01017</t>
  </si>
  <si>
    <t>Eureka Forbes Ltd</t>
  </si>
  <si>
    <t>INE665J01013</t>
  </si>
  <si>
    <t>V-MART Retail Ltd</t>
  </si>
  <si>
    <t>Sundaram Services Fund</t>
  </si>
  <si>
    <t>INE203G01027</t>
  </si>
  <si>
    <t>Indraprastha Gas Ltd</t>
  </si>
  <si>
    <t>MU0295S00016</t>
  </si>
  <si>
    <t>Sundaram Diversified Equity</t>
  </si>
  <si>
    <t>Sundaram Large Cap Fund</t>
  </si>
  <si>
    <t>Sundaram Flexi Cap Fund</t>
  </si>
  <si>
    <t>INE647O01011</t>
  </si>
  <si>
    <t>Aditya Birla Fashion and Retail Ltd</t>
  </si>
  <si>
    <t>Sundaram Financial Services Opportunities Fund</t>
  </si>
  <si>
    <t>Institutional Plan - Growth</t>
  </si>
  <si>
    <t>S.NO.</t>
  </si>
  <si>
    <t>ACRONYM</t>
  </si>
  <si>
    <t>SCHEME NAME</t>
  </si>
  <si>
    <t>CAPEXG</t>
  </si>
  <si>
    <t>GLOB</t>
  </si>
  <si>
    <t>Sundaram Global Brand Fund</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</si>
  <si>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</si>
  <si>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</si>
  <si>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</si>
  <si>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</si>
  <si>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</si>
  <si>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</si>
  <si>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</si>
  <si>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</si>
  <si>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</si>
  <si>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</si>
  <si>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</si>
  <si>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</si>
  <si>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</si>
  <si>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</si>
  <si>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</si>
  <si>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</si>
  <si>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</si>
  <si>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</si>
  <si>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</si>
  <si>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</si>
  <si>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</si>
  <si>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</si>
  <si>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</si>
  <si>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</si>
  <si>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</si>
  <si>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</si>
  <si>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</si>
  <si>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</si>
  <si>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Sundaram Tax Savings Fund (ELSS)</t>
  </si>
  <si>
    <t>SRURAL</t>
  </si>
  <si>
    <t>SSFUND</t>
  </si>
  <si>
    <t>STAX</t>
  </si>
  <si>
    <t>SUNBCF</t>
  </si>
  <si>
    <t>SUNFCF</t>
  </si>
  <si>
    <t>SUNFOP</t>
  </si>
  <si>
    <t>IT - Software</t>
  </si>
  <si>
    <t>IT - Services</t>
  </si>
  <si>
    <t>Bharti Airtel Ltd - Partly Paid Right Shares</t>
  </si>
  <si>
    <t>INE041025011</t>
  </si>
  <si>
    <t>Embassy Office Parks (REIT)</t>
  </si>
  <si>
    <t>INE0GGX23010</t>
  </si>
  <si>
    <t>Power Grid Infrastructure Investment Trust (InvIT)</t>
  </si>
  <si>
    <t>TVS Holdings Ltd - 9.00% - 25/03/2024 - Preference share</t>
  </si>
  <si>
    <t>Sundaram Clayton DCD Ltd - 0.10% -  31/08/2024 - Unlisted Preference share** @</t>
  </si>
  <si>
    <t>b) Total value and percentage of illiquid equity / Preference shares @</t>
  </si>
  <si>
    <t>Rs.2.54 lacs/ #</t>
  </si>
  <si>
    <t>Rs.0.01 lacs/ #</t>
  </si>
  <si>
    <t>Rs.0.02 lacs/ #</t>
  </si>
  <si>
    <t>Rs. 1.37 lacs / #</t>
  </si>
  <si>
    <t>Hindustan Dorr - Oliver Ltd @</t>
  </si>
  <si>
    <t>b) Total value and percentage of illiquid equity shares @</t>
  </si>
  <si>
    <t>0.00 / #</t>
  </si>
  <si>
    <t>Hindustan Dorr Oliver Ltd @</t>
  </si>
  <si>
    <t>(f) Debenture</t>
  </si>
  <si>
    <t>INE121A08PJ0</t>
  </si>
  <si>
    <t>7.5% Cholamandalam Investment and Company Ltd - 30/09/2026</t>
  </si>
  <si>
    <t>Unrated</t>
  </si>
  <si>
    <t>g) Derivative</t>
  </si>
  <si>
    <t>Aditya Birla Capital Limited January 2024</t>
  </si>
  <si>
    <t>GAIL (India) Limited January 2024</t>
  </si>
  <si>
    <t>TATA Consultancy Services Limited January 2024</t>
  </si>
  <si>
    <t>ITC Limited January 2024</t>
  </si>
  <si>
    <t>Siemens Limited January 2024</t>
  </si>
  <si>
    <t>Zydus Lifesciences Limited January 2024</t>
  </si>
  <si>
    <t xml:space="preserve">	Hindustan Unilever Limited January 2024</t>
  </si>
  <si>
    <t xml:space="preserve">	Tata Consumer Products Limited January 2024</t>
  </si>
  <si>
    <t>Aurobindo Pharma Limited January 2024</t>
  </si>
  <si>
    <t>Kotak Mahindra Bank Limited January 2024</t>
  </si>
  <si>
    <t>ACC Limited January 2024</t>
  </si>
  <si>
    <t>Dabur India Limited January 2024</t>
  </si>
  <si>
    <t>Manappuram Finance Limited January 2024</t>
  </si>
  <si>
    <t>Maruti Suzuki India Limited January 2024</t>
  </si>
  <si>
    <t>DLF Limited January 2024</t>
  </si>
  <si>
    <t>Indus Towers Limited January 2024</t>
  </si>
  <si>
    <t>Ambuja Cements Limited January 2024</t>
  </si>
  <si>
    <t>ICICI Bank Limited January 2024</t>
  </si>
  <si>
    <t>Reliance Industries Limited January 2024</t>
  </si>
  <si>
    <t>Zee Entertainment Enterprises Limited January 2024</t>
  </si>
  <si>
    <t>HDFC Bank Limited January 2024</t>
  </si>
  <si>
    <t xml:space="preserve">	United Spirits Limited January 2024</t>
  </si>
  <si>
    <t>Cipla Limited January 2024</t>
  </si>
  <si>
    <t xml:space="preserve">	Mahindra &amp; Mahindra Limited January 2024</t>
  </si>
  <si>
    <t>Nifty January 2024</t>
  </si>
  <si>
    <t>Bajaj Finance Limited January 2024</t>
  </si>
  <si>
    <t>Jindal Steel &amp; Power Limited January 2024</t>
  </si>
  <si>
    <t>Tata Motors Limited January 2024</t>
  </si>
  <si>
    <t>Bank of Baroda January 2024</t>
  </si>
  <si>
    <t>Infosys Limited January 2024</t>
  </si>
  <si>
    <t>Sun Pharmaceutical Industries Limited January 2024</t>
  </si>
  <si>
    <t>JSW Steel Limited January 2024</t>
  </si>
  <si>
    <t>NTPC Limited January 2024</t>
  </si>
  <si>
    <t xml:space="preserve">	State Bank Of India Limited January 2024</t>
  </si>
  <si>
    <t>Hindustan Petroleum Corpn Limited January 2024</t>
  </si>
  <si>
    <t xml:space="preserve">	Tata Steel Limited January 2024</t>
  </si>
  <si>
    <t>Larsen &amp; Toubro Limited January 2024</t>
  </si>
  <si>
    <t>Axis Bank Limited January 2024</t>
  </si>
  <si>
    <t>Chennai Super Kings Ltd @</t>
  </si>
  <si>
    <t>Tirrihannah Company Ltd @</t>
  </si>
  <si>
    <t>Crystal Cable Industries Ltd @</t>
  </si>
  <si>
    <t>Sandur Laminates Ltd @</t>
  </si>
  <si>
    <t>Minerava Holdings Ltd @</t>
  </si>
  <si>
    <t>Crescent Finstock Ltd @</t>
  </si>
  <si>
    <t>Mukerian Papers Ltd @</t>
  </si>
  <si>
    <t>Balmer Lawrie Freight Containers Ltd @</t>
  </si>
  <si>
    <t>Sangam Health Care Products Ltd @</t>
  </si>
  <si>
    <t>Precision Fasteners Ltd @</t>
  </si>
  <si>
    <t>Noble Brothers Impex Ltd @</t>
  </si>
  <si>
    <t>Virtual Dynamics Software Ltd @</t>
  </si>
  <si>
    <t>Rs.39.85 lacs / 0.02%</t>
  </si>
  <si>
    <t>Rs. 16.64 lacs / 0.01%</t>
  </si>
  <si>
    <t>SG9999013908</t>
  </si>
  <si>
    <t>Sundaram Global Brand Fund - Master Class</t>
  </si>
  <si>
    <t>Rs.11622.15 Lacs</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</si>
  <si>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</si>
  <si>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</si>
  <si>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7.18% Central Government Securities 24/07/2037</t>
  </si>
  <si>
    <t>7.18% Central Government Securities 14/08/2033</t>
  </si>
  <si>
    <t>7.32% Central Government Securities 13/11/2030</t>
  </si>
  <si>
    <t>7.17% Central Government Securities 17/04/20230</t>
  </si>
  <si>
    <t>HDFC Bank Ltd  - 7.8% - 03/05/2033**</t>
  </si>
  <si>
    <t>HDFC Bank Ltd  - 7.35% - 10/02/2025**</t>
  </si>
  <si>
    <t>HDFC Bank Ltd  - 7.8% - 02/06/2025**</t>
  </si>
  <si>
    <t>HDFC Bank Ltd  - 7.4% - 02/06/2025**</t>
  </si>
  <si>
    <t>HDFC Bank Ltd  - 7.7% - 18/11/2025</t>
  </si>
  <si>
    <t>** Thinly traded / Non Traded Securities</t>
  </si>
  <si>
    <t>^ Net current assets includes interest accrued on fixed income securities</t>
  </si>
  <si>
    <t>Cash and Other Net Current Assets^</t>
  </si>
  <si>
    <t>Annexure-A</t>
  </si>
  <si>
    <t>Rs.1477.15 Lacs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</si>
  <si>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</si>
  <si>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</si>
  <si>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</si>
  <si>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</si>
  <si>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</si>
  <si>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</si>
  <si>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</si>
  <si>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</si>
  <si>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</si>
  <si>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</si>
  <si>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</si>
  <si>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</si>
  <si>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</si>
  <si>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</si>
  <si>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</si>
  <si>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</si>
  <si>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</si>
  <si>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</si>
  <si>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</si>
  <si>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</si>
  <si>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</si>
  <si>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</si>
  <si>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</si>
  <si>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</si>
  <si>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</si>
  <si>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</si>
  <si>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</si>
  <si>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Refer below point i)</t>
  </si>
  <si>
    <t>21.50% Dewan Rubber Ltd</t>
  </si>
  <si>
    <t>Not Available</t>
  </si>
  <si>
    <t>Chemox Chemicals Industries</t>
  </si>
  <si>
    <t>15% Premier Vinyl Ltd</t>
  </si>
  <si>
    <t>18% Jord Engineering Ltd</t>
  </si>
  <si>
    <t>i) Exposure to securities classified as below investment grade or default as on Dec 31, 2023</t>
  </si>
  <si>
    <t>% to AUM as on 31/12/2023</t>
  </si>
  <si>
    <t>Tata Motors Ltd - DVR</t>
  </si>
  <si>
    <t>364 Days - T Bill - 14/03/2024*</t>
  </si>
  <si>
    <t>364 Days - T Bill - 19/09/2024*</t>
  </si>
  <si>
    <t>364 Days - T Bill - 10/10/2024*</t>
  </si>
  <si>
    <t>364 Days - T Bill - 17/10/2024*</t>
  </si>
  <si>
    <t>* Investment earmarked for Derivative Margin</t>
  </si>
  <si>
    <t>7.38% Central Government Securities 20/06/2027*</t>
  </si>
  <si>
    <t>5.22% Central Government Securities 15/06/2025*</t>
  </si>
  <si>
    <t>182 Days - T Bill - 07/03/2024*</t>
  </si>
  <si>
    <t>364 Days - T Bill - 22/03/2024*</t>
  </si>
  <si>
    <t>YTM (%)</t>
  </si>
  <si>
    <t>Yield to call date %</t>
  </si>
  <si>
    <t>Bank of Baroda - 8.55% - Call Dt 14/02/2024 (Tier II Bond under Basel III)**</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</si>
  <si>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</si>
  <si>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</si>
  <si>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</si>
  <si>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</si>
  <si>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</si>
  <si>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</si>
  <si>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</si>
  <si>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</si>
  <si>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</si>
  <si>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</si>
  <si>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December 2023</t>
  </si>
  <si>
    <t>(a) Investments in Foreign Securities - Units of Mutual Funds</t>
  </si>
  <si>
    <t>Direct Plan - Half Yearly IDCW</t>
  </si>
  <si>
    <t>Regular Plan - Half Yearly IDCW</t>
  </si>
  <si>
    <t>IND AAA</t>
  </si>
  <si>
    <t>YTM (%)***</t>
  </si>
  <si>
    <t>DERIVATIVES DISCLOSURE</t>
  </si>
  <si>
    <t>Disclosure regarding Derivative positions pursuant to SEBI Circular no CIR/IMD/DF/11/2010 dated August18,2010</t>
  </si>
  <si>
    <t>DETAILS OF INVESTMENTS IN DERIVATIVE INSTRUMENTS</t>
  </si>
  <si>
    <t>A. Hedging Positions through Futures as on December 31,2023 :</t>
  </si>
  <si>
    <t>Scheme Name</t>
  </si>
  <si>
    <t>Underlying</t>
  </si>
  <si>
    <t>Long/Short</t>
  </si>
  <si>
    <t>Futures Price When Purchased</t>
  </si>
  <si>
    <t>Current Price of the contract</t>
  </si>
  <si>
    <t>Margin maintained in       (Rs in Lakhs)*</t>
  </si>
  <si>
    <t>Aditya Birla Capital Ltd JAN-2024</t>
  </si>
  <si>
    <t>Short</t>
  </si>
  <si>
    <t>Associated Cement Co. Ltd JAN-2024</t>
  </si>
  <si>
    <t>Aurobindo Pharma Ltd-Equ JAN-2024</t>
  </si>
  <si>
    <t>Dabur India Ltd - Equity JAN-2024</t>
  </si>
  <si>
    <t>DLF Ltd JAN-2024</t>
  </si>
  <si>
    <t>GAIL (India) Ltd JAN-2024</t>
  </si>
  <si>
    <t>Gujarat Ambuja Cement Co.Ltd JAN-2024</t>
  </si>
  <si>
    <t>HDFC Bank Ltd JAN-2024</t>
  </si>
  <si>
    <t>Hindustan Unilever Ltd JAN-2024</t>
  </si>
  <si>
    <t>ICICI Bank Ltd JAN-2024</t>
  </si>
  <si>
    <t>Indus Towers Ltd (Prev name Bharti Infratel Ltd) JAN-2024</t>
  </si>
  <si>
    <t>ITC Ltd JAN-2024</t>
  </si>
  <si>
    <t>Kotak Mahindra Bank Ltd JAN-2024</t>
  </si>
  <si>
    <t>Manappuram Finance Limited JAN-2024</t>
  </si>
  <si>
    <t>Maruti Suzuki India Ltd JAN-2024</t>
  </si>
  <si>
    <t>Reliance Industries Ltd JAN-2024</t>
  </si>
  <si>
    <t>Siemens India Ltd JAN-2024</t>
  </si>
  <si>
    <t>TATA Consultancy Services Ltd JAN-2024</t>
  </si>
  <si>
    <t>Tata Consumer Products Limited JAN-2024</t>
  </si>
  <si>
    <t>Zee Entertainment Enterprises Ltd JAN-2024</t>
  </si>
  <si>
    <t>Zydus Lifesciences Ltd ( Prev Cadila Healthcare Ltd)  JAN-2024</t>
  </si>
  <si>
    <t>Bajaj Finance Ltd JAN-2024</t>
  </si>
  <si>
    <t>Bank of Baroda JAN-2024</t>
  </si>
  <si>
    <t>Cipla Ltd JAN-2024</t>
  </si>
  <si>
    <t>Infosys Ltd JAN-2024</t>
  </si>
  <si>
    <t>Jindal Steel &amp; Power Ltd JAN-2024</t>
  </si>
  <si>
    <t>Mahindra &amp; Mahindra Ltd JAN-2024</t>
  </si>
  <si>
    <t>NIFTY JAN-2024</t>
  </si>
  <si>
    <t>Tata Motors Ltd JAN-2024</t>
  </si>
  <si>
    <t>United Spirits Ltd JAN-2024</t>
  </si>
  <si>
    <t>Axis Bank Ltd  JAN-2024</t>
  </si>
  <si>
    <t>Hindustan Petroleum Corpn Ltd JAN-2024</t>
  </si>
  <si>
    <t>JSW Steel Ltd JAN-2024</t>
  </si>
  <si>
    <t>Larsen &amp; Toubro Ltd - Equity JAN-2024</t>
  </si>
  <si>
    <t>NTPC Ltd JAN-2024</t>
  </si>
  <si>
    <t>State Bank Of India Ltd JAN-2024</t>
  </si>
  <si>
    <t>Sun Pharmaceuticals Ltd JAN-2024</t>
  </si>
  <si>
    <t>Tata Steel Ltd JAN-2024</t>
  </si>
  <si>
    <t xml:space="preserve">Total percentage of existing assets hedged through futures as a percentage of net assets </t>
  </si>
  <si>
    <t>%</t>
  </si>
  <si>
    <t>For the period ended December 31,2023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</si>
  <si>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</si>
  <si>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</si>
  <si>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</si>
  <si>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</si>
  <si>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</si>
  <si>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December 31,2023 :</t>
  </si>
  <si>
    <t>Margin maintained in       (Rs. in Lakhs) *</t>
  </si>
  <si>
    <t>LONG</t>
  </si>
  <si>
    <t>Total percentage of existing assets due to non-hedging positions as a percentage of net assets</t>
  </si>
  <si>
    <t>For the period ended December 31,2023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</si>
  <si>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</si>
  <si>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</si>
  <si>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</si>
  <si>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</si>
  <si>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Sundaram Small cap Fund</t>
  </si>
  <si>
    <t>C. Hedging Positions through Put Options as on December 31,2023 :</t>
  </si>
  <si>
    <t>Call/Put</t>
  </si>
  <si>
    <t>Number of Contracts</t>
  </si>
  <si>
    <t>Option Price when purchased</t>
  </si>
  <si>
    <t>Current Option Price</t>
  </si>
  <si>
    <t>Total % of existing assets hedged through Put Options</t>
  </si>
  <si>
    <t xml:space="preserve"> </t>
  </si>
  <si>
    <t>For the period ended  December 31,2023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</si>
  <si>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</si>
  <si>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</si>
  <si>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</si>
  <si>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</si>
  <si>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December 31,2023 :</t>
  </si>
  <si>
    <t xml:space="preserve">Total Exposure through Options other than hedging as a percentage of net assets </t>
  </si>
  <si>
    <t>For the period ended December 31,2023 , the following non hedging transactions through options which have been already exercised/expired</t>
  </si>
  <si>
    <t>Gross Notional value of contracts  bought(Rs. in Lakhs)</t>
  </si>
  <si>
    <t>Gross Notional value of contracts  sold (Rs. in Lakhs)</t>
  </si>
  <si>
    <t>E. Hedging Positions through Swaps as on December 31,2023 - Nil</t>
  </si>
  <si>
    <t>F. Hedging Positions through Interest Rate Futures as on December 31,2023 :</t>
  </si>
  <si>
    <t xml:space="preserve">Futures Price
When Purchased </t>
  </si>
  <si>
    <t>Current Price of
the contract</t>
  </si>
  <si>
    <t>Margin maintained
in (Rs. in Lakhs)</t>
  </si>
  <si>
    <t>Total percentage of existing assets hedged through Interest Rate Futures a Percentage of net assets</t>
  </si>
  <si>
    <t>For the period ended December 31,2023 following were the hedging transactions through Interest Rate Futures which have been squared off/ expired</t>
  </si>
  <si>
    <t>For the period ended December 31,2023 following were the Non Hedging transactions through Interest Rate Futures which have been squared off/ expired</t>
  </si>
  <si>
    <t>* Note: Margin maintained denotes security specific margin.</t>
  </si>
  <si>
    <t>Index</t>
  </si>
  <si>
    <t>Scheme Riskometer</t>
  </si>
  <si>
    <t>Benchmark Riskometer - NIFTY Infrastructure TRI</t>
  </si>
  <si>
    <t xml:space="preserve">          Benchmark Riskometer - MSCI ACWI TRI</t>
  </si>
  <si>
    <t>Tier I Benchmark Riskometer - Nifty Mid Cap 150 TRI</t>
  </si>
  <si>
    <t>Tier II Benchmark Riskometer - Nifty Mid Cap 100 TRI</t>
  </si>
  <si>
    <t>Tier I Benchmark Riskometer - Nifty Large Mid Cap 250 INDEX</t>
  </si>
  <si>
    <t>Tier II Benchmark Riskometer - Nifty Large Mid Cap 250 INDEX</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</si>
  <si>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</si>
  <si>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</si>
  <si>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</si>
  <si>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</si>
  <si>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</si>
  <si>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</si>
  <si>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</si>
  <si>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</si>
  <si>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</si>
  <si>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</si>
  <si>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</si>
  <si>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</si>
  <si>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</si>
  <si>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</si>
  <si>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</si>
  <si>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</si>
  <si>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</si>
  <si>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</si>
  <si>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</si>
  <si>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</si>
  <si>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</si>
  <si>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</si>
  <si>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</si>
  <si>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</si>
  <si>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</si>
  <si>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</si>
  <si>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</si>
  <si>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</si>
  <si>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</si>
  <si>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</si>
  <si>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Rs. 0.07 lacs / #</t>
  </si>
  <si>
    <t>Make My Trip Ltd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</si>
</sst>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0000"/>
    <numFmt numFmtId="173" formatCode="0.000000000"/>
    <numFmt numFmtId="174" formatCode="[$-1014009]#,##0.00;\(#,##0.00\)"/>
    <numFmt numFmtId="175" formatCode="_(* #,##0_);_(* \(#,##0\);_(* &quot;-&quot;??_);_(@_)"/>
    <numFmt numFmtId="176" formatCode="[$-1014009]#,##0.0000;\(#,##0.0000\)"/>
    <numFmt numFmtId="177" formatCode="0.000"/>
    <numFmt numFmtId="178" formatCode="#,##0.000"/>
    <numFmt numFmtId="179" formatCode="0.0000"/>
    <numFmt numFmtId="180" formatCode="#,##0.0000;\(#,##0.0000\)"/>
    <numFmt numFmtId="181" formatCode="_(* #,##0.000_);_(* \(#,##0.000\);_(* &quot;-&quot;??_);_(@_)"/>
  </numFmts>
  <fonts count="29"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b/>
      <sz val="10"/>
      <color indexed="8"/>
      <name val="Calibri"/>
      <family val="2"/>
    </font>
    <font>
      <sz val="10"/>
      <name val="Arial"/>
      <charset val="1"/>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i/>
      <sz val="10"/>
      <color indexed="8"/>
      <name val="Calibri"/>
      <family val="2"/>
    </font>
    <font>
      <b/>
      <sz val="11"/>
      <name val="Calibri"/>
      <family val="2"/>
    </font>
    <font>
      <b/>
      <sz val="11"/>
      <color indexed="8"/>
      <name val="Calibri"/>
      <family val="2"/>
    </font>
    <font>
      <u/>
      <sz val="11"/>
      <color rgb="FF002060"/>
      <name val="Calibri"/>
      <family val="2"/>
      <scheme val="minor"/>
    </font>
    <font>
      <sz val="11"/>
      <name val="Calibri"/>
      <family val="2"/>
    </font>
    <font>
      <b/>
      <sz val="10"/>
      <name val="Arial"/>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1">
    <xf numFmtId="0" fontId="0" fillId="0" borderId="0">
      <alignment wrapText="1"/>
    </xf>
    <xf numFmtId="0" fontId="3" fillId="0" borderId="0"/>
    <xf numFmtId="0" fontId="11" fillId="0" borderId="0">
      <alignment wrapText="1"/>
    </xf>
    <xf numFmtId="0" fontId="13" fillId="0" borderId="0" applyNumberFormat="0" applyFill="0" applyBorder="0" applyAlignment="0" applyProtection="0">
      <alignment wrapText="1"/>
    </xf>
    <xf numFmtId="164" fontId="18" fillId="0" borderId="0" applyFont="0" applyFill="0" applyBorder="0" applyAlignment="0" applyProtection="0"/>
    <xf numFmtId="9" fontId="18" fillId="0" borderId="0" applyFont="0" applyFill="0" applyBorder="0" applyAlignment="0" applyProtection="0"/>
    <xf numFmtId="0" fontId="2" fillId="0" borderId="0"/>
    <xf numFmtId="0" fontId="11" fillId="0" borderId="0">
      <alignment wrapText="1"/>
    </xf>
    <xf numFmtId="164" fontId="2" fillId="0" borderId="0" applyFont="0" applyFill="0" applyBorder="0" applyAlignment="0" applyProtection="0"/>
    <xf numFmtId="0" fontId="1" fillId="0" borderId="0"/>
    <xf numFmtId="0" fontId="11" fillId="0" borderId="0">
      <alignment wrapText="1"/>
    </xf>
  </cellStyleXfs>
  <cellXfs count="241">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9"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70"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0" fillId="2" borderId="0" xfId="0" applyFill="1" applyAlignment="1">
      <alignment horizontal="center" vertical="top" readingOrder="1"/>
    </xf>
    <xf numFmtId="0" fontId="5" fillId="2" borderId="6" xfId="0" applyFont="1" applyFill="1" applyBorder="1" applyAlignment="1">
      <alignment horizontal="right" vertical="top" wrapText="1" readingOrder="1"/>
    </xf>
    <xf numFmtId="171" fontId="6" fillId="2" borderId="4" xfId="0" applyNumberFormat="1" applyFont="1" applyFill="1" applyBorder="1" applyAlignment="1">
      <alignment horizontal="lef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2"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9" fillId="0" borderId="7" xfId="1" applyFont="1" applyBorder="1" applyAlignment="1">
      <alignment horizontal="center" vertical="center"/>
    </xf>
    <xf numFmtId="0" fontId="10" fillId="0" borderId="7" xfId="1" applyFont="1" applyBorder="1" applyAlignment="1">
      <alignment horizontal="center" vertical="center"/>
    </xf>
    <xf numFmtId="0" fontId="12" fillId="0" borderId="0" xfId="2" applyFont="1">
      <alignment wrapText="1"/>
    </xf>
    <xf numFmtId="0" fontId="12" fillId="0" borderId="7" xfId="2" applyFont="1" applyBorder="1" applyAlignment="1">
      <alignment horizontal="center" wrapText="1"/>
    </xf>
    <xf numFmtId="0" fontId="14" fillId="0" borderId="7" xfId="3" applyFont="1" applyBorder="1" applyAlignment="1"/>
    <xf numFmtId="0" fontId="12" fillId="0" borderId="7" xfId="2" applyFont="1" applyBorder="1" applyAlignment="1"/>
    <xf numFmtId="0" fontId="15" fillId="2" borderId="4" xfId="0" applyFont="1" applyFill="1" applyBorder="1" applyAlignment="1">
      <alignment horizontal="left" vertical="center" wrapText="1" readingOrder="1"/>
    </xf>
    <xf numFmtId="165" fontId="15" fillId="2" borderId="4" xfId="0" applyNumberFormat="1" applyFont="1" applyFill="1" applyBorder="1" applyAlignment="1">
      <alignment horizontal="right" vertical="center" wrapText="1" readingOrder="1"/>
    </xf>
    <xf numFmtId="166" fontId="15" fillId="2" borderId="4" xfId="0" applyNumberFormat="1" applyFont="1" applyFill="1" applyBorder="1" applyAlignment="1">
      <alignment horizontal="right" vertical="center" wrapText="1" readingOrder="1"/>
    </xf>
    <xf numFmtId="167" fontId="15" fillId="2" borderId="4" xfId="0" applyNumberFormat="1" applyFont="1" applyFill="1" applyBorder="1" applyAlignment="1">
      <alignment horizontal="right" vertical="center" wrapText="1" readingOrder="1"/>
    </xf>
    <xf numFmtId="168" fontId="15" fillId="2" borderId="4" xfId="0" applyNumberFormat="1" applyFont="1" applyFill="1" applyBorder="1" applyAlignment="1">
      <alignment horizontal="right" vertical="center" wrapText="1" readingOrder="1"/>
    </xf>
    <xf numFmtId="0" fontId="16" fillId="2" borderId="0" xfId="0" applyFont="1" applyFill="1" applyAlignment="1">
      <alignment horizontal="left" vertical="center" wrapText="1" readingOrder="1"/>
    </xf>
    <xf numFmtId="0" fontId="17" fillId="2" borderId="4" xfId="0" applyFont="1" applyFill="1" applyBorder="1" applyAlignment="1">
      <alignment horizontal="left" vertical="center" wrapText="1" readingOrder="1"/>
    </xf>
    <xf numFmtId="0" fontId="16" fillId="2" borderId="6" xfId="0" applyFont="1" applyFill="1" applyBorder="1" applyAlignment="1">
      <alignment horizontal="right" vertical="center" wrapText="1" readingOrder="1"/>
    </xf>
    <xf numFmtId="0" fontId="16" fillId="2" borderId="0" xfId="0" applyFont="1" applyFill="1" applyAlignment="1">
      <alignment horizontal="right" vertical="center" wrapText="1" readingOrder="1"/>
    </xf>
    <xf numFmtId="0" fontId="15" fillId="2" borderId="4" xfId="0" applyFont="1" applyFill="1" applyBorder="1" applyAlignment="1">
      <alignment horizontal="right" vertical="top" wrapText="1" readingOrder="1"/>
    </xf>
    <xf numFmtId="0" fontId="16" fillId="2" borderId="4" xfId="0" applyFont="1" applyFill="1" applyBorder="1" applyAlignment="1">
      <alignment horizontal="left" vertical="center" wrapText="1" readingOrder="1"/>
    </xf>
    <xf numFmtId="0" fontId="16" fillId="2" borderId="4" xfId="0" applyFont="1" applyFill="1" applyBorder="1" applyAlignment="1">
      <alignment horizontal="right" vertical="center" wrapText="1" readingOrder="1"/>
    </xf>
    <xf numFmtId="167" fontId="17" fillId="2" borderId="4" xfId="0" applyNumberFormat="1" applyFont="1" applyFill="1" applyBorder="1" applyAlignment="1">
      <alignment horizontal="right" vertical="center" wrapText="1" readingOrder="1"/>
    </xf>
    <xf numFmtId="0" fontId="17" fillId="0" borderId="4" xfId="0" applyFont="1" applyBorder="1" applyAlignment="1">
      <alignment horizontal="left" vertical="center" wrapText="1" readingOrder="1"/>
    </xf>
    <xf numFmtId="0" fontId="5" fillId="0" borderId="4" xfId="0" applyFont="1" applyBorder="1" applyAlignment="1">
      <alignment horizontal="left" vertical="center" wrapText="1" readingOrder="1"/>
    </xf>
    <xf numFmtId="173" fontId="7" fillId="2" borderId="5" xfId="0" applyNumberFormat="1" applyFont="1" applyFill="1" applyBorder="1" applyAlignment="1">
      <alignment horizontal="right" vertical="center" wrapText="1" readingOrder="1"/>
    </xf>
    <xf numFmtId="4" fontId="7" fillId="2" borderId="5" xfId="0" applyNumberFormat="1" applyFont="1" applyFill="1" applyBorder="1" applyAlignment="1">
      <alignment horizontal="right" vertical="center" wrapText="1" readingOrder="1"/>
    </xf>
    <xf numFmtId="0" fontId="16" fillId="0" borderId="0" xfId="1" applyFont="1" applyAlignment="1">
      <alignment horizontal="left" vertical="center" wrapText="1" readingOrder="1"/>
    </xf>
    <xf numFmtId="0" fontId="16" fillId="0" borderId="0" xfId="1" applyFont="1" applyAlignment="1">
      <alignment horizontal="right" vertical="center" wrapText="1" readingOrder="1"/>
    </xf>
    <xf numFmtId="0" fontId="3" fillId="0" borderId="0" xfId="1" applyAlignment="1">
      <alignment wrapText="1"/>
    </xf>
    <xf numFmtId="167" fontId="6" fillId="2" borderId="5" xfId="0" applyNumberFormat="1" applyFont="1" applyFill="1" applyBorder="1" applyAlignment="1">
      <alignment horizontal="right" vertical="center" wrapText="1" readingOrder="1"/>
    </xf>
    <xf numFmtId="169" fontId="6" fillId="2" borderId="5" xfId="0" applyNumberFormat="1"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167" fontId="6" fillId="2" borderId="0" xfId="0" applyNumberFormat="1" applyFont="1" applyFill="1" applyAlignment="1">
      <alignment horizontal="right" vertical="center" wrapText="1" readingOrder="1"/>
    </xf>
    <xf numFmtId="169" fontId="6" fillId="2" borderId="0" xfId="0" applyNumberFormat="1" applyFont="1" applyFill="1" applyAlignment="1">
      <alignment horizontal="right" vertical="center" wrapText="1" readingOrder="1"/>
    </xf>
    <xf numFmtId="0" fontId="19" fillId="0" borderId="0" xfId="0" applyFont="1" applyAlignment="1">
      <alignment vertical="center"/>
    </xf>
    <xf numFmtId="0" fontId="0" fillId="0" borderId="0" xfId="0" applyAlignment="1">
      <alignment vertical="center" wrapText="1"/>
    </xf>
    <xf numFmtId="0" fontId="20"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19" fillId="0" borderId="7" xfId="5" applyNumberFormat="1" applyFont="1" applyFill="1" applyBorder="1" applyAlignment="1">
      <alignment vertical="center"/>
    </xf>
    <xf numFmtId="4" fontId="21" fillId="0" borderId="7" xfId="0" applyNumberFormat="1" applyFont="1" applyBorder="1" applyAlignment="1">
      <alignment vertical="center"/>
    </xf>
    <xf numFmtId="0" fontId="20" fillId="0" borderId="7" xfId="6" applyFont="1" applyBorder="1" applyAlignment="1">
      <alignment horizontal="center" vertical="center"/>
    </xf>
    <xf numFmtId="0" fontId="19" fillId="0" borderId="7" xfId="6" applyFont="1" applyBorder="1" applyAlignment="1">
      <alignment vertical="center"/>
    </xf>
    <xf numFmtId="0" fontId="19" fillId="0" borderId="7" xfId="6" applyFont="1" applyBorder="1" applyAlignment="1">
      <alignment vertical="center" wrapText="1"/>
    </xf>
    <xf numFmtId="0" fontId="20" fillId="0" borderId="7" xfId="6" applyFont="1" applyBorder="1" applyAlignment="1">
      <alignment horizontal="center" vertical="center" wrapText="1"/>
    </xf>
    <xf numFmtId="0" fontId="19" fillId="0" borderId="7" xfId="6" applyFont="1" applyBorder="1" applyAlignment="1">
      <alignment horizontal="left" vertical="center"/>
    </xf>
    <xf numFmtId="2" fontId="19" fillId="0" borderId="7" xfId="6" applyNumberFormat="1" applyFont="1" applyBorder="1" applyAlignment="1">
      <alignment horizontal="right" vertical="center" wrapText="1"/>
    </xf>
    <xf numFmtId="4" fontId="19" fillId="0" borderId="7" xfId="6" applyNumberFormat="1" applyFont="1" applyBorder="1" applyAlignment="1">
      <alignment horizontal="right" vertical="center"/>
    </xf>
    <xf numFmtId="10" fontId="19" fillId="0" borderId="7" xfId="5" applyNumberFormat="1" applyFont="1" applyFill="1" applyBorder="1" applyAlignment="1">
      <alignment vertical="center" wrapText="1"/>
    </xf>
    <xf numFmtId="0" fontId="21" fillId="0" borderId="7" xfId="0" applyFont="1" applyBorder="1" applyAlignment="1">
      <alignment horizontal="justify" vertical="center"/>
    </xf>
    <xf numFmtId="0" fontId="21" fillId="0" borderId="7" xfId="0" applyFont="1" applyBorder="1" applyAlignment="1">
      <alignment horizontal="justify" vertical="center" wrapText="1"/>
    </xf>
    <xf numFmtId="174" fontId="17" fillId="0" borderId="4" xfId="0" applyNumberFormat="1" applyFont="1" applyBorder="1" applyAlignment="1">
      <alignment horizontal="left" vertical="center" wrapText="1" readingOrder="1"/>
    </xf>
    <xf numFmtId="0" fontId="22" fillId="0" borderId="7" xfId="0" applyFont="1" applyBorder="1" applyAlignment="1">
      <alignment horizontal="justify" vertical="center" wrapText="1"/>
    </xf>
    <xf numFmtId="14" fontId="21" fillId="0" borderId="7" xfId="0" applyNumberFormat="1" applyFont="1" applyBorder="1" applyAlignment="1">
      <alignment horizontal="justify" vertical="center" wrapText="1"/>
    </xf>
    <xf numFmtId="168" fontId="15" fillId="0" borderId="4" xfId="0" applyNumberFormat="1" applyFont="1" applyBorder="1" applyAlignment="1">
      <alignment horizontal="right" vertical="center" wrapText="1" readingOrder="1"/>
    </xf>
    <xf numFmtId="168" fontId="17" fillId="0" borderId="4" xfId="0" applyNumberFormat="1" applyFont="1" applyBorder="1" applyAlignment="1">
      <alignment horizontal="right" vertical="center" wrapText="1" readingOrder="1"/>
    </xf>
    <xf numFmtId="0" fontId="23" fillId="2" borderId="0" xfId="0" applyFont="1" applyFill="1" applyAlignment="1">
      <alignment horizontal="left" vertical="center" wrapText="1" readingOrder="1"/>
    </xf>
    <xf numFmtId="0" fontId="23" fillId="2" borderId="0" xfId="0" applyFont="1" applyFill="1" applyAlignment="1">
      <alignment horizontal="right" vertical="center" wrapText="1" readingOrder="1"/>
    </xf>
    <xf numFmtId="0" fontId="11" fillId="0" borderId="0" xfId="0" applyFont="1">
      <alignment wrapText="1"/>
    </xf>
    <xf numFmtId="0" fontId="19" fillId="0" borderId="0" xfId="0" applyFont="1" applyAlignment="1"/>
    <xf numFmtId="175" fontId="19" fillId="0" borderId="0" xfId="4" applyNumberFormat="1" applyFont="1" applyFill="1"/>
    <xf numFmtId="164" fontId="19" fillId="0" borderId="0" xfId="4" applyFont="1" applyFill="1"/>
    <xf numFmtId="0" fontId="21" fillId="0" borderId="7" xfId="0" applyFont="1" applyBorder="1">
      <alignment wrapText="1"/>
    </xf>
    <xf numFmtId="0" fontId="17" fillId="0" borderId="4" xfId="7" applyFont="1" applyBorder="1" applyAlignment="1">
      <alignment horizontal="left" vertical="center" wrapText="1" readingOrder="1"/>
    </xf>
    <xf numFmtId="175" fontId="19" fillId="0" borderId="0" xfId="4" applyNumberFormat="1" applyFont="1"/>
    <xf numFmtId="164" fontId="19" fillId="0" borderId="0" xfId="4" applyFont="1"/>
    <xf numFmtId="0" fontId="20" fillId="0" borderId="7" xfId="0" applyFont="1" applyBorder="1" applyAlignment="1">
      <alignment horizontal="left" wrapText="1"/>
    </xf>
    <xf numFmtId="0" fontId="20" fillId="0" borderId="7" xfId="0" applyFont="1" applyBorder="1" applyAlignment="1">
      <alignment horizontal="center" wrapText="1"/>
    </xf>
    <xf numFmtId="0" fontId="21" fillId="0" borderId="7" xfId="0" applyFont="1" applyBorder="1" applyAlignment="1">
      <alignment horizontal="left" vertical="center" wrapText="1"/>
    </xf>
    <xf numFmtId="0" fontId="21" fillId="0" borderId="7" xfId="0" applyFont="1" applyBorder="1" applyAlignment="1">
      <alignment horizontal="center" vertical="center"/>
    </xf>
    <xf numFmtId="4" fontId="21" fillId="0" borderId="7" xfId="8" applyNumberFormat="1" applyFont="1" applyFill="1" applyBorder="1" applyAlignment="1">
      <alignment horizontal="center" vertical="center"/>
    </xf>
    <xf numFmtId="10" fontId="21" fillId="0" borderId="7" xfId="8" applyNumberFormat="1" applyFont="1" applyFill="1" applyBorder="1" applyAlignment="1">
      <alignment horizontal="center" vertical="center"/>
    </xf>
    <xf numFmtId="4" fontId="21" fillId="0" borderId="7" xfId="0" applyNumberFormat="1" applyFont="1" applyBorder="1" applyAlignment="1">
      <alignment horizontal="center" vertical="center"/>
    </xf>
    <xf numFmtId="0" fontId="21" fillId="0" borderId="0" xfId="0" applyFont="1" applyAlignment="1"/>
    <xf numFmtId="0" fontId="21" fillId="0" borderId="7" xfId="0" applyFont="1" applyBorder="1" applyAlignment="1">
      <alignment horizontal="left" vertical="center"/>
    </xf>
    <xf numFmtId="164" fontId="21" fillId="0" borderId="7" xfId="8" applyFont="1" applyFill="1" applyBorder="1" applyAlignment="1">
      <alignment horizontal="right" vertical="center"/>
    </xf>
    <xf numFmtId="164" fontId="21" fillId="0" borderId="7" xfId="8" applyFont="1" applyFill="1" applyBorder="1" applyAlignment="1">
      <alignment horizontal="center" vertical="center"/>
    </xf>
    <xf numFmtId="4" fontId="21" fillId="0" borderId="7" xfId="0" applyNumberFormat="1" applyFont="1" applyBorder="1" applyAlignment="1">
      <alignment horizontal="right" vertical="center"/>
    </xf>
    <xf numFmtId="0" fontId="10" fillId="0" borderId="0" xfId="2" applyFont="1" applyAlignment="1">
      <alignment horizontal="center" vertical="center"/>
    </xf>
    <xf numFmtId="4" fontId="12" fillId="0" borderId="0" xfId="6" applyNumberFormat="1" applyFont="1" applyAlignment="1">
      <alignment vertical="center"/>
    </xf>
    <xf numFmtId="0" fontId="24" fillId="0" borderId="11" xfId="9" applyFont="1" applyBorder="1" applyAlignment="1">
      <alignment horizontal="center" vertical="center" wrapText="1" readingOrder="1"/>
    </xf>
    <xf numFmtId="167" fontId="15" fillId="0" borderId="4" xfId="0" applyNumberFormat="1" applyFont="1" applyBorder="1" applyAlignment="1">
      <alignment horizontal="right" vertical="center" wrapText="1" readingOrder="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5" fillId="2" borderId="0" xfId="0" applyFont="1" applyFill="1" applyAlignment="1">
      <alignment horizontal="left" vertical="center" wrapText="1" readingOrder="1"/>
    </xf>
    <xf numFmtId="0" fontId="22" fillId="0" borderId="0" xfId="0" applyFont="1" applyAlignment="1"/>
    <xf numFmtId="0" fontId="22" fillId="0" borderId="11" xfId="0" applyFont="1" applyBorder="1" applyAlignment="1">
      <alignment horizontal="center" vertical="top"/>
    </xf>
    <xf numFmtId="0" fontId="22" fillId="0" borderId="11" xfId="0" applyFont="1" applyBorder="1" applyAlignment="1">
      <alignment horizontal="center" vertical="top" wrapText="1"/>
    </xf>
    <xf numFmtId="0" fontId="21" fillId="0" borderId="11" xfId="0" applyFont="1" applyBorder="1" applyAlignment="1">
      <alignment horizontal="left" vertical="top"/>
    </xf>
    <xf numFmtId="0" fontId="21" fillId="0" borderId="11" xfId="0" applyFont="1" applyBorder="1" applyAlignment="1">
      <alignment horizontal="center" vertical="top"/>
    </xf>
    <xf numFmtId="174" fontId="15" fillId="2" borderId="12" xfId="0" applyNumberFormat="1" applyFont="1" applyFill="1" applyBorder="1" applyAlignment="1">
      <alignment horizontal="right" vertical="center" readingOrder="1"/>
    </xf>
    <xf numFmtId="176" fontId="15" fillId="2" borderId="12" xfId="0" applyNumberFormat="1" applyFont="1" applyFill="1" applyBorder="1" applyAlignment="1">
      <alignment horizontal="right" vertical="center" readingOrder="1"/>
    </xf>
    <xf numFmtId="2" fontId="21" fillId="0" borderId="13" xfId="0" applyNumberFormat="1" applyFont="1" applyBorder="1" applyAlignment="1">
      <alignment horizontal="right" vertical="top" wrapText="1"/>
    </xf>
    <xf numFmtId="0" fontId="21" fillId="0" borderId="13" xfId="0" applyFont="1" applyBorder="1" applyAlignment="1">
      <alignment horizontal="left" vertical="top"/>
    </xf>
    <xf numFmtId="0" fontId="21" fillId="0" borderId="13" xfId="0" applyFont="1" applyBorder="1" applyAlignment="1">
      <alignment horizontal="center" vertical="top"/>
    </xf>
    <xf numFmtId="0" fontId="15" fillId="2" borderId="13" xfId="0" applyFont="1" applyFill="1" applyBorder="1" applyAlignment="1">
      <alignment horizontal="left" vertical="center" readingOrder="1"/>
    </xf>
    <xf numFmtId="0" fontId="15" fillId="2" borderId="14" xfId="0" applyFont="1" applyFill="1" applyBorder="1" applyAlignment="1">
      <alignment horizontal="left" vertical="center" readingOrder="1"/>
    </xf>
    <xf numFmtId="174" fontId="15" fillId="2" borderId="12" xfId="2" applyNumberFormat="1" applyFont="1" applyFill="1" applyBorder="1" applyAlignment="1">
      <alignment horizontal="right" vertical="center" wrapText="1" readingOrder="1"/>
    </xf>
    <xf numFmtId="176" fontId="15" fillId="2" borderId="12" xfId="2" applyNumberFormat="1" applyFont="1" applyFill="1" applyBorder="1" applyAlignment="1">
      <alignment horizontal="right" vertical="center" wrapText="1" readingOrder="1"/>
    </xf>
    <xf numFmtId="177" fontId="21" fillId="0" borderId="13" xfId="0" applyNumberFormat="1" applyFont="1" applyBorder="1" applyAlignment="1">
      <alignment horizontal="right" vertical="top" wrapText="1"/>
    </xf>
    <xf numFmtId="0" fontId="15" fillId="2" borderId="12" xfId="0" applyFont="1" applyFill="1" applyBorder="1" applyAlignment="1">
      <alignment horizontal="left" vertical="center" readingOrder="1"/>
    </xf>
    <xf numFmtId="174" fontId="15" fillId="2" borderId="12" xfId="2" applyNumberFormat="1" applyFont="1" applyFill="1" applyBorder="1" applyAlignment="1">
      <alignment horizontal="right" vertical="center" readingOrder="1"/>
    </xf>
    <xf numFmtId="4" fontId="15" fillId="2" borderId="12" xfId="0" applyNumberFormat="1" applyFont="1" applyFill="1" applyBorder="1" applyAlignment="1">
      <alignment horizontal="right" vertical="center" readingOrder="1"/>
    </xf>
    <xf numFmtId="0" fontId="15" fillId="2" borderId="12" xfId="0" applyFont="1" applyFill="1" applyBorder="1" applyAlignment="1">
      <alignment horizontal="left" vertical="center" wrapText="1" readingOrder="1"/>
    </xf>
    <xf numFmtId="174" fontId="15" fillId="2" borderId="12" xfId="0" applyNumberFormat="1" applyFont="1" applyFill="1" applyBorder="1" applyAlignment="1">
      <alignment horizontal="right" vertical="center" wrapText="1" readingOrder="1"/>
    </xf>
    <xf numFmtId="4" fontId="15" fillId="2" borderId="12" xfId="0" applyNumberFormat="1" applyFont="1" applyFill="1" applyBorder="1" applyAlignment="1">
      <alignment horizontal="right" vertical="center" wrapText="1" readingOrder="1"/>
    </xf>
    <xf numFmtId="4" fontId="21" fillId="0" borderId="13" xfId="0" applyNumberFormat="1" applyFont="1" applyBorder="1" applyAlignment="1"/>
    <xf numFmtId="174" fontId="21" fillId="0" borderId="0" xfId="0" applyNumberFormat="1" applyFont="1" applyAlignment="1"/>
    <xf numFmtId="0" fontId="22" fillId="0" borderId="13" xfId="0" applyFont="1" applyBorder="1" applyAlignment="1">
      <alignment horizontal="center"/>
    </xf>
    <xf numFmtId="2" fontId="21" fillId="0" borderId="13" xfId="5" applyNumberFormat="1" applyFont="1" applyFill="1" applyBorder="1" applyAlignment="1">
      <alignment horizontal="center"/>
    </xf>
    <xf numFmtId="2" fontId="21" fillId="0" borderId="13" xfId="0" applyNumberFormat="1" applyFont="1" applyBorder="1" applyAlignment="1">
      <alignment horizontal="center"/>
    </xf>
    <xf numFmtId="0" fontId="21" fillId="0" borderId="13" xfId="0" applyFont="1" applyBorder="1" applyAlignment="1"/>
    <xf numFmtId="0" fontId="22" fillId="0" borderId="13" xfId="0" applyFont="1" applyBorder="1" applyAlignment="1">
      <alignment horizontal="center" vertical="top"/>
    </xf>
    <xf numFmtId="0" fontId="22" fillId="0" borderId="13" xfId="0" applyFont="1" applyBorder="1" applyAlignment="1">
      <alignment horizontal="center" vertical="top" wrapText="1"/>
    </xf>
    <xf numFmtId="37" fontId="21" fillId="0" borderId="13" xfId="4" applyNumberFormat="1" applyFont="1" applyFill="1" applyBorder="1" applyAlignment="1">
      <alignment horizontal="center"/>
    </xf>
    <xf numFmtId="43" fontId="21" fillId="0" borderId="13" xfId="4" applyNumberFormat="1" applyFont="1" applyFill="1" applyBorder="1"/>
    <xf numFmtId="43" fontId="21" fillId="0" borderId="0" xfId="0" applyNumberFormat="1" applyFont="1" applyAlignment="1"/>
    <xf numFmtId="4" fontId="21" fillId="0" borderId="0" xfId="0" applyNumberFormat="1" applyFont="1" applyAlignment="1"/>
    <xf numFmtId="0" fontId="21" fillId="0" borderId="13" xfId="4" applyNumberFormat="1" applyFont="1" applyFill="1" applyBorder="1" applyAlignment="1">
      <alignment horizontal="center"/>
    </xf>
    <xf numFmtId="4" fontId="21" fillId="0" borderId="13" xfId="4" applyNumberFormat="1" applyFont="1" applyFill="1" applyBorder="1"/>
    <xf numFmtId="0" fontId="21" fillId="0" borderId="13" xfId="0" applyFont="1" applyBorder="1" applyAlignment="1">
      <alignment horizontal="left" vertical="top" wrapText="1"/>
    </xf>
    <xf numFmtId="178" fontId="21" fillId="0" borderId="13" xfId="4" applyNumberFormat="1" applyFont="1" applyFill="1" applyBorder="1"/>
    <xf numFmtId="1" fontId="21" fillId="0" borderId="13" xfId="0" applyNumberFormat="1" applyFont="1" applyBorder="1" applyAlignment="1">
      <alignment horizontal="center"/>
    </xf>
    <xf numFmtId="2" fontId="21" fillId="0" borderId="13" xfId="0" applyNumberFormat="1" applyFont="1" applyBorder="1" applyAlignment="1">
      <alignment horizontal="right"/>
    </xf>
    <xf numFmtId="164" fontId="21" fillId="0" borderId="13" xfId="4" applyFont="1" applyFill="1" applyBorder="1" applyAlignment="1">
      <alignment horizontal="center" vertical="top" wrapText="1"/>
    </xf>
    <xf numFmtId="0" fontId="21" fillId="0" borderId="13" xfId="0" applyFont="1" applyBorder="1" applyAlignment="1">
      <alignment horizontal="center" vertical="top" wrapText="1"/>
    </xf>
    <xf numFmtId="179" fontId="21" fillId="0" borderId="13" xfId="0" applyNumberFormat="1" applyFont="1" applyBorder="1" applyAlignment="1">
      <alignment horizontal="right" vertical="top" wrapText="1"/>
    </xf>
    <xf numFmtId="0" fontId="21" fillId="0" borderId="0" xfId="0" applyFont="1" applyAlignment="1" applyProtection="1">
      <alignment horizontal="left"/>
      <protection locked="0"/>
    </xf>
    <xf numFmtId="0" fontId="21" fillId="0" borderId="0" xfId="0" applyFont="1" applyAlignment="1">
      <alignment horizontal="center" vertical="top"/>
    </xf>
    <xf numFmtId="164" fontId="21" fillId="0" borderId="0" xfId="4" applyFont="1" applyFill="1" applyBorder="1" applyAlignment="1" applyProtection="1">
      <alignment horizontal="left"/>
      <protection locked="0"/>
    </xf>
    <xf numFmtId="4" fontId="21" fillId="0" borderId="0" xfId="0" applyNumberFormat="1" applyFont="1" applyAlignment="1">
      <alignment horizontal="right" vertical="center"/>
    </xf>
    <xf numFmtId="174" fontId="15" fillId="2" borderId="12" xfId="0" applyNumberFormat="1" applyFont="1" applyFill="1" applyBorder="1" applyAlignment="1">
      <alignment horizontal="center" vertical="center" wrapText="1" readingOrder="1"/>
    </xf>
    <xf numFmtId="0" fontId="21" fillId="0" borderId="0" xfId="0" applyFont="1" applyAlignment="1">
      <alignment horizontal="left" vertical="top"/>
    </xf>
    <xf numFmtId="10" fontId="21" fillId="0" borderId="0" xfId="0" applyNumberFormat="1" applyFont="1" applyAlignment="1">
      <alignment horizontal="center"/>
    </xf>
    <xf numFmtId="0" fontId="21" fillId="0" borderId="13" xfId="0" applyFont="1" applyBorder="1" applyAlignment="1">
      <alignment horizontal="center"/>
    </xf>
    <xf numFmtId="0" fontId="22" fillId="0" borderId="13" xfId="4" applyNumberFormat="1" applyFont="1" applyFill="1" applyBorder="1" applyAlignment="1">
      <alignment horizontal="center"/>
    </xf>
    <xf numFmtId="0" fontId="22" fillId="0" borderId="0" xfId="0" applyFont="1" applyAlignment="1">
      <alignment vertical="top" wrapText="1"/>
    </xf>
    <xf numFmtId="0" fontId="21" fillId="0" borderId="0" xfId="0" applyFont="1" applyAlignment="1">
      <alignment horizontal="center"/>
    </xf>
    <xf numFmtId="2" fontId="21" fillId="0" borderId="0" xfId="0" applyNumberFormat="1" applyFont="1" applyAlignment="1">
      <alignment horizontal="right"/>
    </xf>
    <xf numFmtId="0" fontId="21" fillId="0" borderId="0" xfId="0" applyFont="1" applyAlignment="1">
      <alignment horizontal="right" vertical="top" wrapText="1"/>
    </xf>
    <xf numFmtId="180" fontId="21" fillId="0" borderId="0" xfId="0" applyNumberFormat="1" applyFont="1" applyAlignment="1">
      <alignment horizontal="right" vertical="top" wrapText="1"/>
    </xf>
    <xf numFmtId="2" fontId="21" fillId="0" borderId="0" xfId="0" applyNumberFormat="1" applyFont="1" applyAlignment="1">
      <alignment horizontal="center"/>
    </xf>
    <xf numFmtId="0" fontId="21" fillId="0" borderId="13" xfId="0" applyFont="1" applyBorder="1" applyAlignment="1">
      <alignment horizontal="left"/>
    </xf>
    <xf numFmtId="2" fontId="21" fillId="0" borderId="13" xfId="0" applyNumberFormat="1" applyFont="1" applyBorder="1" applyAlignment="1">
      <alignment horizontal="center" vertical="top" wrapText="1"/>
    </xf>
    <xf numFmtId="0" fontId="21" fillId="0" borderId="0" xfId="0" applyFont="1" applyAlignment="1">
      <alignment horizontal="left"/>
    </xf>
    <xf numFmtId="0" fontId="21" fillId="0" borderId="0" xfId="0" applyFont="1" applyAlignment="1">
      <alignment horizontal="right" vertical="top"/>
    </xf>
    <xf numFmtId="2" fontId="21" fillId="0" borderId="0" xfId="0" applyNumberFormat="1" applyFont="1" applyAlignment="1">
      <alignment horizontal="right" vertical="top"/>
    </xf>
    <xf numFmtId="181" fontId="21" fillId="0" borderId="0" xfId="4" applyNumberFormat="1" applyFont="1" applyFill="1" applyBorder="1" applyAlignment="1">
      <alignment horizontal="center" vertical="top" wrapText="1"/>
    </xf>
    <xf numFmtId="0" fontId="21" fillId="0" borderId="0" xfId="0" applyFont="1" applyAlignment="1">
      <alignment horizontal="left" vertical="top" wrapText="1"/>
    </xf>
    <xf numFmtId="175" fontId="21" fillId="0" borderId="0" xfId="4" applyNumberFormat="1" applyFont="1" applyFill="1" applyBorder="1" applyAlignment="1">
      <alignment horizontal="right" vertical="top" wrapText="1"/>
    </xf>
    <xf numFmtId="2" fontId="21" fillId="0" borderId="0" xfId="0" applyNumberFormat="1" applyFont="1" applyAlignment="1"/>
    <xf numFmtId="4" fontId="21" fillId="0" borderId="0" xfId="4" applyNumberFormat="1" applyFont="1" applyFill="1" applyBorder="1"/>
    <xf numFmtId="0" fontId="21" fillId="0" borderId="13" xfId="0" applyFont="1" applyBorder="1" applyAlignment="1">
      <alignment vertical="top" wrapText="1"/>
    </xf>
    <xf numFmtId="2" fontId="21" fillId="0" borderId="13" xfId="0" applyNumberFormat="1" applyFont="1" applyBorder="1" applyAlignment="1">
      <alignment vertical="top" wrapText="1"/>
    </xf>
    <xf numFmtId="164" fontId="21" fillId="0" borderId="13" xfId="4" applyFont="1" applyFill="1" applyBorder="1" applyAlignment="1"/>
    <xf numFmtId="4" fontId="21" fillId="0" borderId="13" xfId="0" applyNumberFormat="1" applyFont="1" applyBorder="1" applyAlignment="1">
      <alignment horizontal="center"/>
    </xf>
    <xf numFmtId="4" fontId="21" fillId="0" borderId="13" xfId="4" applyNumberFormat="1" applyFont="1" applyFill="1" applyBorder="1" applyAlignment="1">
      <alignment horizontal="center"/>
    </xf>
    <xf numFmtId="4" fontId="22" fillId="0" borderId="13" xfId="0" applyNumberFormat="1" applyFont="1" applyBorder="1" applyAlignment="1">
      <alignment horizontal="center" vertical="top" wrapText="1"/>
    </xf>
    <xf numFmtId="4" fontId="21" fillId="0" borderId="13" xfId="0" applyNumberFormat="1" applyFont="1" applyBorder="1" applyAlignment="1">
      <alignment horizontal="center" vertical="top" wrapText="1"/>
    </xf>
    <xf numFmtId="0" fontId="10" fillId="0" borderId="0" xfId="0" applyFont="1" applyAlignment="1"/>
    <xf numFmtId="0" fontId="26" fillId="3" borderId="0" xfId="3" applyFont="1" applyFill="1" applyBorder="1" applyAlignment="1">
      <alignment horizontal="center" vertical="center" wrapText="1"/>
    </xf>
    <xf numFmtId="0" fontId="0" fillId="0" borderId="0" xfId="0" applyAlignment="1">
      <alignment horizontal="center" wrapText="1"/>
    </xf>
    <xf numFmtId="0" fontId="9" fillId="0" borderId="0" xfId="0" applyFont="1" applyAlignment="1">
      <alignment horizontal="left" vertical="center"/>
    </xf>
    <xf numFmtId="0" fontId="11" fillId="0" borderId="0" xfId="2">
      <alignment wrapText="1"/>
    </xf>
    <xf numFmtId="0" fontId="11" fillId="0" borderId="0" xfId="2" applyAlignment="1">
      <alignment horizontal="center" vertical="center" wrapText="1"/>
    </xf>
    <xf numFmtId="0" fontId="13" fillId="3" borderId="0" xfId="3" applyFill="1" applyBorder="1" applyAlignment="1">
      <alignment horizontal="center" vertical="center" wrapText="1"/>
    </xf>
    <xf numFmtId="0" fontId="0" fillId="0" borderId="0" xfId="0" applyAlignment="1"/>
    <xf numFmtId="0" fontId="27" fillId="0" borderId="0" xfId="0" applyFont="1" applyAlignment="1">
      <alignment vertical="center" wrapText="1"/>
    </xf>
    <xf numFmtId="0" fontId="9" fillId="0" borderId="0" xfId="0" applyFont="1" applyAlignment="1">
      <alignment horizontal="left" vertical="top"/>
    </xf>
    <xf numFmtId="0" fontId="28" fillId="0" borderId="0" xfId="0" applyFont="1">
      <alignment wrapText="1"/>
    </xf>
    <xf numFmtId="0" fontId="9" fillId="0" borderId="0" xfId="0" applyFont="1" applyAlignment="1">
      <alignment horizontal="left"/>
    </xf>
    <xf numFmtId="168" fontId="17" fillId="2" borderId="4" xfId="0" applyNumberFormat="1" applyFont="1" applyFill="1" applyBorder="1" applyAlignment="1">
      <alignment horizontal="right" vertical="center" wrapText="1" readingOrder="1"/>
    </xf>
    <xf numFmtId="0" fontId="10" fillId="0" borderId="0" xfId="10"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25" fillId="0" borderId="7" xfId="0" applyFont="1" applyBorder="1" applyAlignment="1">
      <alignment horizontal="center" vertical="center" wrapText="1" readingOrder="1"/>
    </xf>
    <xf numFmtId="0" fontId="25" fillId="0" borderId="8" xfId="0" applyFont="1" applyBorder="1" applyAlignment="1">
      <alignment horizontal="center" vertical="center" readingOrder="1"/>
    </xf>
    <xf numFmtId="0" fontId="25" fillId="0" borderId="10" xfId="0" applyFont="1" applyBorder="1" applyAlignment="1">
      <alignment horizontal="center" vertical="center" readingOrder="1"/>
    </xf>
    <xf numFmtId="0" fontId="25" fillId="0" borderId="9" xfId="0" applyFont="1" applyBorder="1" applyAlignment="1">
      <alignment horizontal="center" vertical="center"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15" fillId="2" borderId="0" xfId="0" applyFont="1" applyFill="1" applyAlignment="1">
      <alignment horizontal="left" vertical="center" wrapText="1" readingOrder="1"/>
    </xf>
    <xf numFmtId="0" fontId="25" fillId="0" borderId="7" xfId="0" applyFont="1" applyBorder="1" applyAlignment="1">
      <alignment horizontal="center" vertical="center" readingOrder="1"/>
    </xf>
    <xf numFmtId="0" fontId="15" fillId="0" borderId="0" xfId="0" applyFont="1" applyAlignment="1">
      <alignment horizontal="left" vertical="center" wrapText="1" readingOrder="1"/>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7" xfId="6" applyFont="1" applyBorder="1" applyAlignment="1">
      <alignment horizontal="center" vertical="center"/>
    </xf>
    <xf numFmtId="0" fontId="19" fillId="0" borderId="8" xfId="4" applyNumberFormat="1" applyFont="1" applyFill="1" applyBorder="1" applyAlignment="1">
      <alignment horizontal="center" vertical="center"/>
    </xf>
    <xf numFmtId="0" fontId="19" fillId="0" borderId="9" xfId="4" applyNumberFormat="1" applyFont="1" applyFill="1" applyBorder="1" applyAlignment="1">
      <alignment horizontal="center" vertical="center"/>
    </xf>
    <xf numFmtId="0" fontId="20" fillId="0" borderId="8" xfId="6" applyFont="1" applyBorder="1" applyAlignment="1">
      <alignment horizontal="center" vertical="center"/>
    </xf>
    <xf numFmtId="0" fontId="20" fillId="0" borderId="10" xfId="6" applyFont="1" applyBorder="1" applyAlignment="1">
      <alignment horizontal="center" vertical="center"/>
    </xf>
    <xf numFmtId="0" fontId="20" fillId="0" borderId="9" xfId="6" applyFont="1" applyBorder="1" applyAlignment="1">
      <alignment horizontal="center" vertical="center"/>
    </xf>
    <xf numFmtId="0" fontId="19" fillId="0" borderId="8" xfId="6" applyFont="1" applyBorder="1" applyAlignment="1">
      <alignment horizontal="left" vertical="center" wrapText="1"/>
    </xf>
    <xf numFmtId="0" fontId="19" fillId="0" borderId="10" xfId="6" applyFont="1" applyBorder="1" applyAlignment="1">
      <alignment horizontal="left" vertical="center" wrapText="1"/>
    </xf>
    <xf numFmtId="0" fontId="19" fillId="0" borderId="9" xfId="6" applyFont="1" applyBorder="1" applyAlignment="1">
      <alignment horizontal="left" vertical="center" wrapText="1"/>
    </xf>
    <xf numFmtId="0" fontId="22" fillId="0" borderId="8" xfId="0" applyFont="1" applyBorder="1" applyAlignment="1">
      <alignment horizontal="center" vertical="center"/>
    </xf>
    <xf numFmtId="0" fontId="22" fillId="0" borderId="10" xfId="0" applyFont="1" applyBorder="1" applyAlignment="1">
      <alignment horizontal="center" vertical="center"/>
    </xf>
    <xf numFmtId="0" fontId="22" fillId="0" borderId="9" xfId="0" applyFont="1" applyBorder="1" applyAlignment="1">
      <alignment horizontal="center" vertical="center"/>
    </xf>
    <xf numFmtId="0" fontId="15" fillId="2" borderId="7" xfId="0" applyFont="1" applyFill="1" applyBorder="1" applyAlignment="1">
      <alignment horizontal="left" vertical="center" wrapText="1" readingOrder="1"/>
    </xf>
    <xf numFmtId="0" fontId="15" fillId="2" borderId="8"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15" fillId="0" borderId="0" xfId="2" applyFont="1" applyAlignment="1">
      <alignment horizontal="left" vertical="center" wrapText="1" readingOrder="1"/>
    </xf>
    <xf numFmtId="0" fontId="10" fillId="0" borderId="0" xfId="0" applyFont="1" applyAlignment="1">
      <alignment horizontal="center"/>
    </xf>
    <xf numFmtId="0" fontId="22" fillId="0" borderId="0" xfId="0" applyFont="1" applyAlignment="1">
      <alignment horizontal="center"/>
    </xf>
  </cellXfs>
  <cellStyles count="11">
    <cellStyle name="Comma" xfId="4" builtinId="3"/>
    <cellStyle name="Comma 2" xfId="8" xr:uid="{ED1D6E19-5A53-4A13-985D-9B8F7FB9295D}"/>
    <cellStyle name="Hyperlink 2" xfId="3" xr:uid="{5111456F-3B78-4A9B-83BD-5B3512DDC1B5}"/>
    <cellStyle name="Normal" xfId="0" builtinId="0"/>
    <cellStyle name="Normal 2" xfId="2" xr:uid="{3EB2762E-ACEA-452E-9F6D-1A2DBAC736FD}"/>
    <cellStyle name="Normal 2 2" xfId="7" xr:uid="{2FEB040D-9861-4C94-BF74-BD2995D51C0B}"/>
    <cellStyle name="Normal 2 2 3" xfId="6" xr:uid="{032E8C7B-90EA-4971-B118-672F8F5FADF1}"/>
    <cellStyle name="Normal 2 2 3 2" xfId="1" xr:uid="{0EF72D66-208A-4215-8393-1A5716015538}"/>
    <cellStyle name="Normal 3" xfId="10" xr:uid="{E7D5890C-52BD-49DF-B1F5-66296BEEC361}"/>
    <cellStyle name="Normal 4" xfId="9" xr:uid="{4B568822-46AE-4921-9996-DADEB8136B54}"/>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92075</xdr:rowOff>
    </xdr:to>
    <xdr:pic>
      <xdr:nvPicPr>
        <xdr:cNvPr id="2" name="Picture 1">
          <a:extLst>
            <a:ext uri="{FF2B5EF4-FFF2-40B4-BE49-F238E27FC236}">
              <a16:creationId xmlns:a16="http://schemas.microsoft.com/office/drawing/2014/main" id="{A166E061-758D-44E7-88A8-561371378F71}"/>
            </a:ext>
          </a:extLst>
        </xdr:cNvPr>
        <xdr:cNvPicPr>
          <a:picLocks noChangeAspect="1"/>
        </xdr:cNvPicPr>
      </xdr:nvPicPr>
      <xdr:blipFill>
        <a:blip xmlns:r="http://schemas.openxmlformats.org/officeDocument/2006/relationships" r:embed="rId1"/>
        <a:stretch>
          <a:fillRect/>
        </a:stretch>
      </xdr:blipFill>
      <xdr:spPr>
        <a:xfrm>
          <a:off x="101727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142875</xdr:rowOff>
    </xdr:to>
    <xdr:pic>
      <xdr:nvPicPr>
        <xdr:cNvPr id="3" name="Picture 2">
          <a:extLst>
            <a:ext uri="{FF2B5EF4-FFF2-40B4-BE49-F238E27FC236}">
              <a16:creationId xmlns:a16="http://schemas.microsoft.com/office/drawing/2014/main" id="{C3E8C444-E81E-4DF1-8EDE-EFDDBC101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193673</xdr:colOff>
      <xdr:row>12</xdr:row>
      <xdr:rowOff>165100</xdr:rowOff>
    </xdr:to>
    <xdr:pic>
      <xdr:nvPicPr>
        <xdr:cNvPr id="2" name="Picture 1">
          <a:extLst>
            <a:ext uri="{FF2B5EF4-FFF2-40B4-BE49-F238E27FC236}">
              <a16:creationId xmlns:a16="http://schemas.microsoft.com/office/drawing/2014/main" id="{F8D60CC0-4FF9-4E67-AFC4-68FAE9FF292E}"/>
            </a:ext>
          </a:extLst>
        </xdr:cNvPr>
        <xdr:cNvPicPr>
          <a:picLocks noChangeAspect="1"/>
        </xdr:cNvPicPr>
      </xdr:nvPicPr>
      <xdr:blipFill>
        <a:blip xmlns:r="http://schemas.openxmlformats.org/officeDocument/2006/relationships" r:embed="rId1"/>
        <a:stretch>
          <a:fillRect/>
        </a:stretch>
      </xdr:blipFill>
      <xdr:spPr>
        <a:xfrm>
          <a:off x="10172700" y="704850"/>
          <a:ext cx="3241673" cy="2051050"/>
        </a:xfrm>
        <a:prstGeom prst="rect">
          <a:avLst/>
        </a:prstGeom>
      </xdr:spPr>
    </xdr:pic>
    <xdr:clientData/>
  </xdr:twoCellAnchor>
  <xdr:twoCellAnchor editAs="oneCell">
    <xdr:from>
      <xdr:col>9</xdr:col>
      <xdr:colOff>0</xdr:colOff>
      <xdr:row>17</xdr:row>
      <xdr:rowOff>0</xdr:rowOff>
    </xdr:from>
    <xdr:to>
      <xdr:col>14</xdr:col>
      <xdr:colOff>292100</xdr:colOff>
      <xdr:row>26</xdr:row>
      <xdr:rowOff>161925</xdr:rowOff>
    </xdr:to>
    <xdr:pic>
      <xdr:nvPicPr>
        <xdr:cNvPr id="3" name="Picture 2">
          <a:extLst>
            <a:ext uri="{FF2B5EF4-FFF2-40B4-BE49-F238E27FC236}">
              <a16:creationId xmlns:a16="http://schemas.microsoft.com/office/drawing/2014/main" id="{E4F0DA9C-B457-4EF8-8542-65FA11DA4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3401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590549</xdr:colOff>
      <xdr:row>2</xdr:row>
      <xdr:rowOff>114300</xdr:rowOff>
    </xdr:from>
    <xdr:to>
      <xdr:col>14</xdr:col>
      <xdr:colOff>190499</xdr:colOff>
      <xdr:row>10</xdr:row>
      <xdr:rowOff>161925</xdr:rowOff>
    </xdr:to>
    <xdr:pic>
      <xdr:nvPicPr>
        <xdr:cNvPr id="2" name="Picture 1">
          <a:extLst>
            <a:ext uri="{FF2B5EF4-FFF2-40B4-BE49-F238E27FC236}">
              <a16:creationId xmlns:a16="http://schemas.microsoft.com/office/drawing/2014/main" id="{DE278ABE-D9A8-4101-8842-EC25CC23D0CD}"/>
            </a:ext>
          </a:extLst>
        </xdr:cNvPr>
        <xdr:cNvPicPr>
          <a:picLocks noChangeAspect="1"/>
        </xdr:cNvPicPr>
      </xdr:nvPicPr>
      <xdr:blipFill>
        <a:blip xmlns:r="http://schemas.openxmlformats.org/officeDocument/2006/relationships" r:embed="rId1"/>
        <a:stretch>
          <a:fillRect/>
        </a:stretch>
      </xdr:blipFill>
      <xdr:spPr>
        <a:xfrm>
          <a:off x="10153649" y="552450"/>
          <a:ext cx="3257550" cy="2009775"/>
        </a:xfrm>
        <a:prstGeom prst="rect">
          <a:avLst/>
        </a:prstGeom>
      </xdr:spPr>
    </xdr:pic>
    <xdr:clientData/>
  </xdr:twoCellAnchor>
  <xdr:twoCellAnchor editAs="oneCell">
    <xdr:from>
      <xdr:col>8</xdr:col>
      <xdr:colOff>590549</xdr:colOff>
      <xdr:row>13</xdr:row>
      <xdr:rowOff>66675</xdr:rowOff>
    </xdr:from>
    <xdr:to>
      <xdr:col>14</xdr:col>
      <xdr:colOff>200025</xdr:colOff>
      <xdr:row>20</xdr:row>
      <xdr:rowOff>12700</xdr:rowOff>
    </xdr:to>
    <xdr:pic>
      <xdr:nvPicPr>
        <xdr:cNvPr id="3" name="Picture 2">
          <a:extLst>
            <a:ext uri="{FF2B5EF4-FFF2-40B4-BE49-F238E27FC236}">
              <a16:creationId xmlns:a16="http://schemas.microsoft.com/office/drawing/2014/main" id="{4303E6E5-16FA-4E00-A1CB-5C0BA837DA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49" y="3095625"/>
          <a:ext cx="3267076"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22</xdr:row>
      <xdr:rowOff>114301</xdr:rowOff>
    </xdr:from>
    <xdr:to>
      <xdr:col>14</xdr:col>
      <xdr:colOff>180974</xdr:colOff>
      <xdr:row>27</xdr:row>
      <xdr:rowOff>314325</xdr:rowOff>
    </xdr:to>
    <xdr:pic>
      <xdr:nvPicPr>
        <xdr:cNvPr id="4" name="Picture 3">
          <a:extLst>
            <a:ext uri="{FF2B5EF4-FFF2-40B4-BE49-F238E27FC236}">
              <a16:creationId xmlns:a16="http://schemas.microsoft.com/office/drawing/2014/main" id="{5359E2D5-420D-4FEE-9D33-0FBF199F08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486401"/>
          <a:ext cx="3228974"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EDF96992-E81F-4B98-BA30-4BEBEF084603}"/>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20</xdr:row>
      <xdr:rowOff>19050</xdr:rowOff>
    </xdr:to>
    <xdr:pic>
      <xdr:nvPicPr>
        <xdr:cNvPr id="3" name="Picture 2">
          <a:extLst>
            <a:ext uri="{FF2B5EF4-FFF2-40B4-BE49-F238E27FC236}">
              <a16:creationId xmlns:a16="http://schemas.microsoft.com/office/drawing/2014/main" id="{92B4A3FF-2CB9-4B9F-A0E5-D08AA28F59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095625"/>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E689FE27-51FE-46E2-95C5-EF6C7D8A66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768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600074</xdr:colOff>
      <xdr:row>2</xdr:row>
      <xdr:rowOff>133350</xdr:rowOff>
    </xdr:from>
    <xdr:to>
      <xdr:col>14</xdr:col>
      <xdr:colOff>247649</xdr:colOff>
      <xdr:row>11</xdr:row>
      <xdr:rowOff>38100</xdr:rowOff>
    </xdr:to>
    <xdr:pic>
      <xdr:nvPicPr>
        <xdr:cNvPr id="2" name="Picture 1">
          <a:extLst>
            <a:ext uri="{FF2B5EF4-FFF2-40B4-BE49-F238E27FC236}">
              <a16:creationId xmlns:a16="http://schemas.microsoft.com/office/drawing/2014/main" id="{6AACF807-F50D-47A1-B76A-B30D92EC6747}"/>
            </a:ext>
          </a:extLst>
        </xdr:cNvPr>
        <xdr:cNvPicPr>
          <a:picLocks noChangeAspect="1"/>
        </xdr:cNvPicPr>
      </xdr:nvPicPr>
      <xdr:blipFill>
        <a:blip xmlns:r="http://schemas.openxmlformats.org/officeDocument/2006/relationships" r:embed="rId1"/>
        <a:stretch>
          <a:fillRect/>
        </a:stretch>
      </xdr:blipFill>
      <xdr:spPr>
        <a:xfrm>
          <a:off x="10163174" y="571500"/>
          <a:ext cx="3305175" cy="207645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624D71EF-3F56-4547-99CF-A85F25A76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FDAD9C6D-0477-470D-9EA5-C1935C648B4E}"/>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21</xdr:row>
      <xdr:rowOff>200025</xdr:rowOff>
    </xdr:to>
    <xdr:pic>
      <xdr:nvPicPr>
        <xdr:cNvPr id="3" name="Picture 2">
          <a:extLst>
            <a:ext uri="{FF2B5EF4-FFF2-40B4-BE49-F238E27FC236}">
              <a16:creationId xmlns:a16="http://schemas.microsoft.com/office/drawing/2014/main" id="{328B11A0-C994-4240-AD5E-56E36C69F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3051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684F2A9F-6948-4735-8A5D-4A756158D250}"/>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171450</xdr:colOff>
      <xdr:row>20</xdr:row>
      <xdr:rowOff>285750</xdr:rowOff>
    </xdr:to>
    <xdr:pic>
      <xdr:nvPicPr>
        <xdr:cNvPr id="3" name="Picture 2">
          <a:extLst>
            <a:ext uri="{FF2B5EF4-FFF2-40B4-BE49-F238E27FC236}">
              <a16:creationId xmlns:a16="http://schemas.microsoft.com/office/drawing/2014/main" id="{9E9DCAED-ACF6-4230-BE07-93102C0C4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00400"/>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D0ED61BF-7EF0-42E3-B567-D5C66E0CE3F6}"/>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571500</xdr:colOff>
      <xdr:row>13</xdr:row>
      <xdr:rowOff>171450</xdr:rowOff>
    </xdr:from>
    <xdr:to>
      <xdr:col>14</xdr:col>
      <xdr:colOff>257175</xdr:colOff>
      <xdr:row>21</xdr:row>
      <xdr:rowOff>276226</xdr:rowOff>
    </xdr:to>
    <xdr:pic>
      <xdr:nvPicPr>
        <xdr:cNvPr id="3" name="Picture 2">
          <a:extLst>
            <a:ext uri="{FF2B5EF4-FFF2-40B4-BE49-F238E27FC236}">
              <a16:creationId xmlns:a16="http://schemas.microsoft.com/office/drawing/2014/main" id="{899745CC-57AF-4109-92DE-2DF5F7D624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200400"/>
          <a:ext cx="3343275"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7F0E8616-A2D6-4283-A52E-33CA9C5E2C8D}"/>
            </a:ext>
          </a:extLst>
        </xdr:cNvPr>
        <xdr:cNvPicPr>
          <a:picLocks noChangeAspect="1"/>
        </xdr:cNvPicPr>
      </xdr:nvPicPr>
      <xdr:blipFill>
        <a:blip xmlns:r="http://schemas.openxmlformats.org/officeDocument/2006/relationships" r:embed="rId1"/>
        <a:stretch>
          <a:fillRect/>
        </a:stretch>
      </xdr:blipFill>
      <xdr:spPr>
        <a:xfrm>
          <a:off x="10172700" y="495300"/>
          <a:ext cx="3209925" cy="2025650"/>
        </a:xfrm>
        <a:prstGeom prst="rect">
          <a:avLst/>
        </a:prstGeom>
      </xdr:spPr>
    </xdr:pic>
    <xdr:clientData/>
  </xdr:twoCellAnchor>
  <xdr:twoCellAnchor editAs="oneCell">
    <xdr:from>
      <xdr:col>8</xdr:col>
      <xdr:colOff>590550</xdr:colOff>
      <xdr:row>13</xdr:row>
      <xdr:rowOff>66676</xdr:rowOff>
    </xdr:from>
    <xdr:to>
      <xdr:col>14</xdr:col>
      <xdr:colOff>139996</xdr:colOff>
      <xdr:row>20</xdr:row>
      <xdr:rowOff>142876</xdr:rowOff>
    </xdr:to>
    <xdr:pic>
      <xdr:nvPicPr>
        <xdr:cNvPr id="3" name="Picture 2">
          <a:extLst>
            <a:ext uri="{FF2B5EF4-FFF2-40B4-BE49-F238E27FC236}">
              <a16:creationId xmlns:a16="http://schemas.microsoft.com/office/drawing/2014/main" id="{AD50EC1C-5921-48AD-B3A3-A1D221B285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095626"/>
          <a:ext cx="3207046"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57185C3B-3316-4FFE-9773-EDAD1B3A0837}"/>
            </a:ext>
          </a:extLst>
        </xdr:cNvPr>
        <xdr:cNvPicPr>
          <a:picLocks noChangeAspect="1"/>
        </xdr:cNvPicPr>
      </xdr:nvPicPr>
      <xdr:blipFill>
        <a:blip xmlns:r="http://schemas.openxmlformats.org/officeDocument/2006/relationships" r:embed="rId1"/>
        <a:stretch>
          <a:fillRect/>
        </a:stretch>
      </xdr:blipFill>
      <xdr:spPr>
        <a:xfrm>
          <a:off x="10182225"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21</xdr:row>
      <xdr:rowOff>92075</xdr:rowOff>
    </xdr:to>
    <xdr:pic>
      <xdr:nvPicPr>
        <xdr:cNvPr id="3" name="Picture 2">
          <a:extLst>
            <a:ext uri="{FF2B5EF4-FFF2-40B4-BE49-F238E27FC236}">
              <a16:creationId xmlns:a16="http://schemas.microsoft.com/office/drawing/2014/main" id="{4DC2F00D-D66C-48BF-A3B9-F07CCA478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24225"/>
          <a:ext cx="3273721"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422C43BC-09A7-438D-A83A-66BF5E5CF4EF}"/>
            </a:ext>
          </a:extLst>
        </xdr:cNvPr>
        <xdr:cNvPicPr>
          <a:picLocks noChangeAspect="1"/>
        </xdr:cNvPicPr>
      </xdr:nvPicPr>
      <xdr:blipFill>
        <a:blip xmlns:r="http://schemas.openxmlformats.org/officeDocument/2006/relationships" r:embed="rId1"/>
        <a:stretch>
          <a:fillRect/>
        </a:stretch>
      </xdr:blipFill>
      <xdr:spPr>
        <a:xfrm>
          <a:off x="10172700"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22</xdr:row>
      <xdr:rowOff>41276</xdr:rowOff>
    </xdr:to>
    <xdr:pic>
      <xdr:nvPicPr>
        <xdr:cNvPr id="3" name="Picture 2">
          <a:extLst>
            <a:ext uri="{FF2B5EF4-FFF2-40B4-BE49-F238E27FC236}">
              <a16:creationId xmlns:a16="http://schemas.microsoft.com/office/drawing/2014/main" id="{7B2A4F1C-C55F-49AD-B264-959B507EF4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33750"/>
          <a:ext cx="3352800" cy="1774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238125</xdr:colOff>
      <xdr:row>10</xdr:row>
      <xdr:rowOff>187325</xdr:rowOff>
    </xdr:to>
    <xdr:pic>
      <xdr:nvPicPr>
        <xdr:cNvPr id="2" name="Picture 1">
          <a:extLst>
            <a:ext uri="{FF2B5EF4-FFF2-40B4-BE49-F238E27FC236}">
              <a16:creationId xmlns:a16="http://schemas.microsoft.com/office/drawing/2014/main" id="{34245377-BD71-4867-B457-2AB5E9A00562}"/>
            </a:ext>
          </a:extLst>
        </xdr:cNvPr>
        <xdr:cNvPicPr>
          <a:picLocks noChangeAspect="1"/>
        </xdr:cNvPicPr>
      </xdr:nvPicPr>
      <xdr:blipFill>
        <a:blip xmlns:r="http://schemas.openxmlformats.org/officeDocument/2006/relationships" r:embed="rId1"/>
        <a:stretch>
          <a:fillRect/>
        </a:stretch>
      </xdr:blipFill>
      <xdr:spPr>
        <a:xfrm>
          <a:off x="10134600" y="561975"/>
          <a:ext cx="3324225" cy="2025650"/>
        </a:xfrm>
        <a:prstGeom prst="rect">
          <a:avLst/>
        </a:prstGeom>
      </xdr:spPr>
    </xdr:pic>
    <xdr:clientData/>
  </xdr:twoCellAnchor>
  <xdr:twoCellAnchor editAs="oneCell">
    <xdr:from>
      <xdr:col>8</xdr:col>
      <xdr:colOff>438150</xdr:colOff>
      <xdr:row>14</xdr:row>
      <xdr:rowOff>85725</xdr:rowOff>
    </xdr:from>
    <xdr:to>
      <xdr:col>14</xdr:col>
      <xdr:colOff>266700</xdr:colOff>
      <xdr:row>22</xdr:row>
      <xdr:rowOff>66675</xdr:rowOff>
    </xdr:to>
    <xdr:pic>
      <xdr:nvPicPr>
        <xdr:cNvPr id="3" name="Picture 2">
          <a:extLst>
            <a:ext uri="{FF2B5EF4-FFF2-40B4-BE49-F238E27FC236}">
              <a16:creationId xmlns:a16="http://schemas.microsoft.com/office/drawing/2014/main" id="{8909FDAF-DBB9-40EA-B31E-6AFDA0F8C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324225"/>
          <a:ext cx="34861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82550</xdr:rowOff>
    </xdr:to>
    <xdr:pic>
      <xdr:nvPicPr>
        <xdr:cNvPr id="2" name="Picture 1">
          <a:extLst>
            <a:ext uri="{FF2B5EF4-FFF2-40B4-BE49-F238E27FC236}">
              <a16:creationId xmlns:a16="http://schemas.microsoft.com/office/drawing/2014/main" id="{A5A45B42-AAC5-4F50-88F2-0A7D9E4941E9}"/>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495300</xdr:colOff>
      <xdr:row>13</xdr:row>
      <xdr:rowOff>180976</xdr:rowOff>
    </xdr:from>
    <xdr:to>
      <xdr:col>14</xdr:col>
      <xdr:colOff>114299</xdr:colOff>
      <xdr:row>22</xdr:row>
      <xdr:rowOff>19050</xdr:rowOff>
    </xdr:to>
    <xdr:pic>
      <xdr:nvPicPr>
        <xdr:cNvPr id="3" name="Picture 2">
          <a:extLst>
            <a:ext uri="{FF2B5EF4-FFF2-40B4-BE49-F238E27FC236}">
              <a16:creationId xmlns:a16="http://schemas.microsoft.com/office/drawing/2014/main" id="{96A243E6-E10C-4672-BD48-0A3FB09458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36232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86124" cy="1714500"/>
    <xdr:pic>
      <xdr:nvPicPr>
        <xdr:cNvPr id="4" name="Picture 3">
          <a:extLst>
            <a:ext uri="{FF2B5EF4-FFF2-40B4-BE49-F238E27FC236}">
              <a16:creationId xmlns:a16="http://schemas.microsoft.com/office/drawing/2014/main" id="{AADFFA49-530C-469A-90AB-DA0B3FE49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676900"/>
          <a:ext cx="32861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xdr:col>
      <xdr:colOff>9525</xdr:colOff>
      <xdr:row>12</xdr:row>
      <xdr:rowOff>352425</xdr:rowOff>
    </xdr:from>
    <xdr:to>
      <xdr:col>14</xdr:col>
      <xdr:colOff>584182</xdr:colOff>
      <xdr:row>21</xdr:row>
      <xdr:rowOff>76200</xdr:rowOff>
    </xdr:to>
    <xdr:pic>
      <xdr:nvPicPr>
        <xdr:cNvPr id="2" name="Picture 1">
          <a:extLst>
            <a:ext uri="{FF2B5EF4-FFF2-40B4-BE49-F238E27FC236}">
              <a16:creationId xmlns:a16="http://schemas.microsoft.com/office/drawing/2014/main" id="{639F7BC7-9D76-4EDA-911F-298E096E4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639425" y="3362325"/>
          <a:ext cx="3517882"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123825</xdr:colOff>
      <xdr:row>2</xdr:row>
      <xdr:rowOff>161924</xdr:rowOff>
    </xdr:from>
    <xdr:to>
      <xdr:col>14</xdr:col>
      <xdr:colOff>565132</xdr:colOff>
      <xdr:row>10</xdr:row>
      <xdr:rowOff>38099</xdr:rowOff>
    </xdr:to>
    <xdr:pic>
      <xdr:nvPicPr>
        <xdr:cNvPr id="3" name="Picture 2">
          <a:extLst>
            <a:ext uri="{FF2B5EF4-FFF2-40B4-BE49-F238E27FC236}">
              <a16:creationId xmlns:a16="http://schemas.microsoft.com/office/drawing/2014/main" id="{9AF8B6DE-F2A7-435F-B6AB-A6231B15088A}"/>
            </a:ext>
          </a:extLst>
        </xdr:cNvPr>
        <xdr:cNvPicPr>
          <a:picLocks noChangeAspect="1"/>
        </xdr:cNvPicPr>
      </xdr:nvPicPr>
      <xdr:blipFill>
        <a:blip xmlns:r="http://schemas.openxmlformats.org/officeDocument/2006/relationships" r:embed="rId2"/>
        <a:stretch>
          <a:fillRect/>
        </a:stretch>
      </xdr:blipFill>
      <xdr:spPr>
        <a:xfrm>
          <a:off x="10753725" y="600074"/>
          <a:ext cx="3384532" cy="2028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581025</xdr:colOff>
      <xdr:row>14</xdr:row>
      <xdr:rowOff>85726</xdr:rowOff>
    </xdr:from>
    <xdr:to>
      <xdr:col>14</xdr:col>
      <xdr:colOff>219074</xdr:colOff>
      <xdr:row>20</xdr:row>
      <xdr:rowOff>123825</xdr:rowOff>
    </xdr:to>
    <xdr:pic>
      <xdr:nvPicPr>
        <xdr:cNvPr id="2" name="Picture 1">
          <a:extLst>
            <a:ext uri="{FF2B5EF4-FFF2-40B4-BE49-F238E27FC236}">
              <a16:creationId xmlns:a16="http://schemas.microsoft.com/office/drawing/2014/main" id="{3B00E94E-1F88-4EA5-B106-CDFE41AAD0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476626"/>
          <a:ext cx="3295649"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3</xdr:row>
      <xdr:rowOff>9526</xdr:rowOff>
    </xdr:from>
    <xdr:to>
      <xdr:col>14</xdr:col>
      <xdr:colOff>295275</xdr:colOff>
      <xdr:row>11</xdr:row>
      <xdr:rowOff>47626</xdr:rowOff>
    </xdr:to>
    <xdr:pic>
      <xdr:nvPicPr>
        <xdr:cNvPr id="4" name="Picture 3">
          <a:extLst>
            <a:ext uri="{FF2B5EF4-FFF2-40B4-BE49-F238E27FC236}">
              <a16:creationId xmlns:a16="http://schemas.microsoft.com/office/drawing/2014/main" id="{78F57B01-DBD8-41B1-B414-8402994F9521}"/>
            </a:ext>
          </a:extLst>
        </xdr:cNvPr>
        <xdr:cNvPicPr>
          <a:picLocks noChangeAspect="1"/>
        </xdr:cNvPicPr>
      </xdr:nvPicPr>
      <xdr:blipFill>
        <a:blip xmlns:r="http://schemas.openxmlformats.org/officeDocument/2006/relationships" r:embed="rId2"/>
        <a:stretch>
          <a:fillRect/>
        </a:stretch>
      </xdr:blipFill>
      <xdr:spPr>
        <a:xfrm>
          <a:off x="10153650" y="714376"/>
          <a:ext cx="3362325" cy="2095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581025</xdr:colOff>
      <xdr:row>14</xdr:row>
      <xdr:rowOff>76199</xdr:rowOff>
    </xdr:from>
    <xdr:to>
      <xdr:col>14</xdr:col>
      <xdr:colOff>333375</xdr:colOff>
      <xdr:row>23</xdr:row>
      <xdr:rowOff>9524</xdr:rowOff>
    </xdr:to>
    <xdr:pic>
      <xdr:nvPicPr>
        <xdr:cNvPr id="2" name="Picture 1">
          <a:extLst>
            <a:ext uri="{FF2B5EF4-FFF2-40B4-BE49-F238E27FC236}">
              <a16:creationId xmlns:a16="http://schemas.microsoft.com/office/drawing/2014/main" id="{454495A7-C67A-48FC-8692-7444255E9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14699"/>
          <a:ext cx="34099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542925</xdr:colOff>
      <xdr:row>2</xdr:row>
      <xdr:rowOff>142875</xdr:rowOff>
    </xdr:from>
    <xdr:to>
      <xdr:col>14</xdr:col>
      <xdr:colOff>276225</xdr:colOff>
      <xdr:row>11</xdr:row>
      <xdr:rowOff>104775</xdr:rowOff>
    </xdr:to>
    <xdr:pic>
      <xdr:nvPicPr>
        <xdr:cNvPr id="3" name="Picture 2">
          <a:extLst>
            <a:ext uri="{FF2B5EF4-FFF2-40B4-BE49-F238E27FC236}">
              <a16:creationId xmlns:a16="http://schemas.microsoft.com/office/drawing/2014/main" id="{097CAF47-1B0B-4B01-8FB2-9895A5E1F0CB}"/>
            </a:ext>
          </a:extLst>
        </xdr:cNvPr>
        <xdr:cNvPicPr>
          <a:picLocks noChangeAspect="1"/>
        </xdr:cNvPicPr>
      </xdr:nvPicPr>
      <xdr:blipFill>
        <a:blip xmlns:r="http://schemas.openxmlformats.org/officeDocument/2006/relationships" r:embed="rId2"/>
        <a:stretch>
          <a:fillRect/>
        </a:stretch>
      </xdr:blipFill>
      <xdr:spPr>
        <a:xfrm>
          <a:off x="10106025" y="581025"/>
          <a:ext cx="3390900" cy="2133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200025</xdr:colOff>
      <xdr:row>10</xdr:row>
      <xdr:rowOff>171450</xdr:rowOff>
    </xdr:to>
    <xdr:pic>
      <xdr:nvPicPr>
        <xdr:cNvPr id="2" name="Picture 1">
          <a:extLst>
            <a:ext uri="{FF2B5EF4-FFF2-40B4-BE49-F238E27FC236}">
              <a16:creationId xmlns:a16="http://schemas.microsoft.com/office/drawing/2014/main" id="{C424E7E2-0047-466F-BAFB-20BF803F342E}"/>
            </a:ext>
          </a:extLst>
        </xdr:cNvPr>
        <xdr:cNvPicPr>
          <a:picLocks noChangeAspect="1"/>
        </xdr:cNvPicPr>
      </xdr:nvPicPr>
      <xdr:blipFill>
        <a:blip xmlns:r="http://schemas.openxmlformats.org/officeDocument/2006/relationships" r:embed="rId1"/>
        <a:stretch>
          <a:fillRect/>
        </a:stretch>
      </xdr:blipFill>
      <xdr:spPr>
        <a:xfrm>
          <a:off x="10182225" y="533400"/>
          <a:ext cx="3238500" cy="2038350"/>
        </a:xfrm>
        <a:prstGeom prst="rect">
          <a:avLst/>
        </a:prstGeom>
      </xdr:spPr>
    </xdr:pic>
    <xdr:clientData/>
  </xdr:twoCellAnchor>
  <xdr:twoCellAnchor editAs="oneCell">
    <xdr:from>
      <xdr:col>8</xdr:col>
      <xdr:colOff>561975</xdr:colOff>
      <xdr:row>14</xdr:row>
      <xdr:rowOff>38100</xdr:rowOff>
    </xdr:from>
    <xdr:to>
      <xdr:col>14</xdr:col>
      <xdr:colOff>180975</xdr:colOff>
      <xdr:row>21</xdr:row>
      <xdr:rowOff>0</xdr:rowOff>
    </xdr:to>
    <xdr:pic>
      <xdr:nvPicPr>
        <xdr:cNvPr id="3" name="Picture 2">
          <a:extLst>
            <a:ext uri="{FF2B5EF4-FFF2-40B4-BE49-F238E27FC236}">
              <a16:creationId xmlns:a16="http://schemas.microsoft.com/office/drawing/2014/main" id="{75C95BCD-1E99-4399-A027-0DB5BF130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0"/>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238500" cy="1695450"/>
    <xdr:pic>
      <xdr:nvPicPr>
        <xdr:cNvPr id="4" name="Picture 3">
          <a:extLst>
            <a:ext uri="{FF2B5EF4-FFF2-40B4-BE49-F238E27FC236}">
              <a16:creationId xmlns:a16="http://schemas.microsoft.com/office/drawing/2014/main" id="{75A4811A-191A-4C90-8129-C1A08A5844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0151" y="56673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8</xdr:col>
      <xdr:colOff>495298</xdr:colOff>
      <xdr:row>13</xdr:row>
      <xdr:rowOff>57150</xdr:rowOff>
    </xdr:from>
    <xdr:to>
      <xdr:col>14</xdr:col>
      <xdr:colOff>219075</xdr:colOff>
      <xdr:row>20</xdr:row>
      <xdr:rowOff>342900</xdr:rowOff>
    </xdr:to>
    <xdr:pic>
      <xdr:nvPicPr>
        <xdr:cNvPr id="2" name="Picture 1">
          <a:extLst>
            <a:ext uri="{FF2B5EF4-FFF2-40B4-BE49-F238E27FC236}">
              <a16:creationId xmlns:a16="http://schemas.microsoft.com/office/drawing/2014/main" id="{DF551CAD-DEB7-4F2B-B9C9-1BDCAE4FB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398" y="3086100"/>
          <a:ext cx="3381377"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428625</xdr:colOff>
      <xdr:row>2</xdr:row>
      <xdr:rowOff>161925</xdr:rowOff>
    </xdr:from>
    <xdr:to>
      <xdr:col>14</xdr:col>
      <xdr:colOff>133351</xdr:colOff>
      <xdr:row>11</xdr:row>
      <xdr:rowOff>76201</xdr:rowOff>
    </xdr:to>
    <xdr:pic>
      <xdr:nvPicPr>
        <xdr:cNvPr id="3" name="Picture 2">
          <a:extLst>
            <a:ext uri="{FF2B5EF4-FFF2-40B4-BE49-F238E27FC236}">
              <a16:creationId xmlns:a16="http://schemas.microsoft.com/office/drawing/2014/main" id="{FF41FC87-494B-40E9-9045-8EE4F845DC2D}"/>
            </a:ext>
          </a:extLst>
        </xdr:cNvPr>
        <xdr:cNvPicPr>
          <a:picLocks/>
        </xdr:cNvPicPr>
      </xdr:nvPicPr>
      <xdr:blipFill>
        <a:blip xmlns:r="http://schemas.openxmlformats.org/officeDocument/2006/relationships" r:embed="rId2"/>
        <a:stretch>
          <a:fillRect/>
        </a:stretch>
      </xdr:blipFill>
      <xdr:spPr>
        <a:xfrm>
          <a:off x="9991725" y="600075"/>
          <a:ext cx="3362326" cy="20859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590549</xdr:colOff>
      <xdr:row>2</xdr:row>
      <xdr:rowOff>85726</xdr:rowOff>
    </xdr:from>
    <xdr:to>
      <xdr:col>14</xdr:col>
      <xdr:colOff>266700</xdr:colOff>
      <xdr:row>10</xdr:row>
      <xdr:rowOff>161925</xdr:rowOff>
    </xdr:to>
    <xdr:pic>
      <xdr:nvPicPr>
        <xdr:cNvPr id="2" name="Picture 1">
          <a:extLst>
            <a:ext uri="{FF2B5EF4-FFF2-40B4-BE49-F238E27FC236}">
              <a16:creationId xmlns:a16="http://schemas.microsoft.com/office/drawing/2014/main" id="{976D8EA2-8F22-4BD4-B741-F420EA13B7C6}"/>
            </a:ext>
          </a:extLst>
        </xdr:cNvPr>
        <xdr:cNvPicPr>
          <a:picLocks noChangeAspect="1"/>
        </xdr:cNvPicPr>
      </xdr:nvPicPr>
      <xdr:blipFill>
        <a:blip xmlns:r="http://schemas.openxmlformats.org/officeDocument/2006/relationships" r:embed="rId1"/>
        <a:stretch>
          <a:fillRect/>
        </a:stretch>
      </xdr:blipFill>
      <xdr:spPr>
        <a:xfrm>
          <a:off x="10153649" y="523876"/>
          <a:ext cx="3333751" cy="2038349"/>
        </a:xfrm>
        <a:prstGeom prst="rect">
          <a:avLst/>
        </a:prstGeom>
      </xdr:spPr>
    </xdr:pic>
    <xdr:clientData/>
  </xdr:twoCellAnchor>
  <xdr:twoCellAnchor editAs="oneCell">
    <xdr:from>
      <xdr:col>8</xdr:col>
      <xdr:colOff>552450</xdr:colOff>
      <xdr:row>13</xdr:row>
      <xdr:rowOff>85725</xdr:rowOff>
    </xdr:from>
    <xdr:to>
      <xdr:col>14</xdr:col>
      <xdr:colOff>209549</xdr:colOff>
      <xdr:row>20</xdr:row>
      <xdr:rowOff>66674</xdr:rowOff>
    </xdr:to>
    <xdr:pic>
      <xdr:nvPicPr>
        <xdr:cNvPr id="3" name="Picture 2">
          <a:extLst>
            <a:ext uri="{FF2B5EF4-FFF2-40B4-BE49-F238E27FC236}">
              <a16:creationId xmlns:a16="http://schemas.microsoft.com/office/drawing/2014/main" id="{D5CD3A96-D651-4B26-99D9-BDBBCF5A33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14675"/>
          <a:ext cx="3314699"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561975</xdr:colOff>
      <xdr:row>22</xdr:row>
      <xdr:rowOff>38101</xdr:rowOff>
    </xdr:from>
    <xdr:ext cx="3267074" cy="1657349"/>
    <xdr:pic>
      <xdr:nvPicPr>
        <xdr:cNvPr id="4" name="Picture 3">
          <a:extLst>
            <a:ext uri="{FF2B5EF4-FFF2-40B4-BE49-F238E27FC236}">
              <a16:creationId xmlns:a16="http://schemas.microsoft.com/office/drawing/2014/main" id="{7361B120-7143-4A4D-BAF5-30707D9E7A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5410201"/>
          <a:ext cx="3267074" cy="1657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600075</xdr:colOff>
      <xdr:row>2</xdr:row>
      <xdr:rowOff>114300</xdr:rowOff>
    </xdr:from>
    <xdr:to>
      <xdr:col>14</xdr:col>
      <xdr:colOff>171451</xdr:colOff>
      <xdr:row>10</xdr:row>
      <xdr:rowOff>177800</xdr:rowOff>
    </xdr:to>
    <xdr:pic>
      <xdr:nvPicPr>
        <xdr:cNvPr id="2" name="Picture 1">
          <a:extLst>
            <a:ext uri="{FF2B5EF4-FFF2-40B4-BE49-F238E27FC236}">
              <a16:creationId xmlns:a16="http://schemas.microsoft.com/office/drawing/2014/main" id="{FA64B8E5-F36E-4521-8D96-AC40821301A5}"/>
            </a:ext>
          </a:extLst>
        </xdr:cNvPr>
        <xdr:cNvPicPr>
          <a:picLocks noChangeAspect="1"/>
        </xdr:cNvPicPr>
      </xdr:nvPicPr>
      <xdr:blipFill>
        <a:blip xmlns:r="http://schemas.openxmlformats.org/officeDocument/2006/relationships" r:embed="rId1"/>
        <a:stretch>
          <a:fillRect/>
        </a:stretch>
      </xdr:blipFill>
      <xdr:spPr>
        <a:xfrm>
          <a:off x="10163175" y="552450"/>
          <a:ext cx="3362326" cy="2025650"/>
        </a:xfrm>
        <a:prstGeom prst="rect">
          <a:avLst/>
        </a:prstGeom>
      </xdr:spPr>
    </xdr:pic>
    <xdr:clientData/>
  </xdr:twoCellAnchor>
  <xdr:twoCellAnchor editAs="oneCell">
    <xdr:from>
      <xdr:col>8</xdr:col>
      <xdr:colOff>571500</xdr:colOff>
      <xdr:row>14</xdr:row>
      <xdr:rowOff>22226</xdr:rowOff>
    </xdr:from>
    <xdr:to>
      <xdr:col>14</xdr:col>
      <xdr:colOff>85725</xdr:colOff>
      <xdr:row>21</xdr:row>
      <xdr:rowOff>180975</xdr:rowOff>
    </xdr:to>
    <xdr:pic>
      <xdr:nvPicPr>
        <xdr:cNvPr id="3" name="Picture 2">
          <a:extLst>
            <a:ext uri="{FF2B5EF4-FFF2-40B4-BE49-F238E27FC236}">
              <a16:creationId xmlns:a16="http://schemas.microsoft.com/office/drawing/2014/main" id="{69912C6F-7570-4B62-B243-DC33045A4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413126"/>
          <a:ext cx="3305175" cy="1777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24</xdr:row>
      <xdr:rowOff>57150</xdr:rowOff>
    </xdr:from>
    <xdr:ext cx="3295650" cy="1741451"/>
    <xdr:pic>
      <xdr:nvPicPr>
        <xdr:cNvPr id="4" name="Picture 3">
          <a:extLst>
            <a:ext uri="{FF2B5EF4-FFF2-40B4-BE49-F238E27FC236}">
              <a16:creationId xmlns:a16="http://schemas.microsoft.com/office/drawing/2014/main" id="{3F72CA89-98F5-4A44-9ADF-B8314E1EDF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5848350"/>
          <a:ext cx="3295650" cy="17414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9</xdr:row>
      <xdr:rowOff>187326</xdr:rowOff>
    </xdr:to>
    <xdr:pic>
      <xdr:nvPicPr>
        <xdr:cNvPr id="2" name="Picture 1">
          <a:extLst>
            <a:ext uri="{FF2B5EF4-FFF2-40B4-BE49-F238E27FC236}">
              <a16:creationId xmlns:a16="http://schemas.microsoft.com/office/drawing/2014/main" id="{5BA6AC09-4F7B-4338-A2A5-C5E7E2FDB391}"/>
            </a:ext>
          </a:extLst>
        </xdr:cNvPr>
        <xdr:cNvPicPr>
          <a:picLocks noChangeAspect="1"/>
        </xdr:cNvPicPr>
      </xdr:nvPicPr>
      <xdr:blipFill>
        <a:blip xmlns:r="http://schemas.openxmlformats.org/officeDocument/2006/relationships" r:embed="rId1"/>
        <a:stretch>
          <a:fillRect/>
        </a:stretch>
      </xdr:blipFill>
      <xdr:spPr>
        <a:xfrm>
          <a:off x="10106025" y="514351"/>
          <a:ext cx="3219450" cy="2016125"/>
        </a:xfrm>
        <a:prstGeom prst="rect">
          <a:avLst/>
        </a:prstGeom>
      </xdr:spPr>
    </xdr:pic>
    <xdr:clientData/>
  </xdr:twoCellAnchor>
  <xdr:twoCellAnchor editAs="oneCell">
    <xdr:from>
      <xdr:col>8</xdr:col>
      <xdr:colOff>542925</xdr:colOff>
      <xdr:row>13</xdr:row>
      <xdr:rowOff>66675</xdr:rowOff>
    </xdr:from>
    <xdr:to>
      <xdr:col>14</xdr:col>
      <xdr:colOff>190500</xdr:colOff>
      <xdr:row>20</xdr:row>
      <xdr:rowOff>161925</xdr:rowOff>
    </xdr:to>
    <xdr:pic>
      <xdr:nvPicPr>
        <xdr:cNvPr id="3" name="Picture 2">
          <a:extLst>
            <a:ext uri="{FF2B5EF4-FFF2-40B4-BE49-F238E27FC236}">
              <a16:creationId xmlns:a16="http://schemas.microsoft.com/office/drawing/2014/main" id="{3F9873B3-D86E-4F9A-B43E-2B86419758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2480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104775</xdr:rowOff>
    </xdr:to>
    <xdr:pic>
      <xdr:nvPicPr>
        <xdr:cNvPr id="2" name="Picture 1">
          <a:extLst>
            <a:ext uri="{FF2B5EF4-FFF2-40B4-BE49-F238E27FC236}">
              <a16:creationId xmlns:a16="http://schemas.microsoft.com/office/drawing/2014/main" id="{BF6CD82A-509D-4390-BD46-7883B0DC0A8A}"/>
            </a:ext>
          </a:extLst>
        </xdr:cNvPr>
        <xdr:cNvPicPr>
          <a:picLocks noChangeAspect="1"/>
        </xdr:cNvPicPr>
      </xdr:nvPicPr>
      <xdr:blipFill>
        <a:blip xmlns:r="http://schemas.openxmlformats.org/officeDocument/2006/relationships" r:embed="rId1"/>
        <a:stretch>
          <a:fillRect/>
        </a:stretch>
      </xdr:blipFill>
      <xdr:spPr>
        <a:xfrm>
          <a:off x="10163175" y="504825"/>
          <a:ext cx="3257550" cy="2000250"/>
        </a:xfrm>
        <a:prstGeom prst="rect">
          <a:avLst/>
        </a:prstGeom>
      </xdr:spPr>
    </xdr:pic>
    <xdr:clientData/>
  </xdr:twoCellAnchor>
  <xdr:twoCellAnchor editAs="oneCell">
    <xdr:from>
      <xdr:col>8</xdr:col>
      <xdr:colOff>561975</xdr:colOff>
      <xdr:row>12</xdr:row>
      <xdr:rowOff>38100</xdr:rowOff>
    </xdr:from>
    <xdr:to>
      <xdr:col>14</xdr:col>
      <xdr:colOff>271561</xdr:colOff>
      <xdr:row>18</xdr:row>
      <xdr:rowOff>200025</xdr:rowOff>
    </xdr:to>
    <xdr:pic>
      <xdr:nvPicPr>
        <xdr:cNvPr id="3" name="Picture 2">
          <a:extLst>
            <a:ext uri="{FF2B5EF4-FFF2-40B4-BE49-F238E27FC236}">
              <a16:creationId xmlns:a16="http://schemas.microsoft.com/office/drawing/2014/main" id="{C104AC70-4867-4074-9E7B-EB88249673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2857500"/>
          <a:ext cx="3367186"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28576</xdr:rowOff>
    </xdr:from>
    <xdr:ext cx="3343275" cy="1771650"/>
    <xdr:pic>
      <xdr:nvPicPr>
        <xdr:cNvPr id="4" name="Picture 3">
          <a:extLst>
            <a:ext uri="{FF2B5EF4-FFF2-40B4-BE49-F238E27FC236}">
              <a16:creationId xmlns:a16="http://schemas.microsoft.com/office/drawing/2014/main" id="{363F59A5-5025-4875-9FC2-9A84C7E98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48276"/>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0573DC11-B485-4288-BA0E-F6A456633885}"/>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3DFB3DDB-D5A9-4532-B239-AA0FC1DA7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600074</xdr:colOff>
      <xdr:row>2</xdr:row>
      <xdr:rowOff>133349</xdr:rowOff>
    </xdr:from>
    <xdr:to>
      <xdr:col>14</xdr:col>
      <xdr:colOff>171450</xdr:colOff>
      <xdr:row>10</xdr:row>
      <xdr:rowOff>180974</xdr:rowOff>
    </xdr:to>
    <xdr:pic>
      <xdr:nvPicPr>
        <xdr:cNvPr id="2" name="Picture 1">
          <a:extLst>
            <a:ext uri="{FF2B5EF4-FFF2-40B4-BE49-F238E27FC236}">
              <a16:creationId xmlns:a16="http://schemas.microsoft.com/office/drawing/2014/main" id="{24352AB5-C478-44B6-AFC7-AF8E1EDCAAC9}"/>
            </a:ext>
          </a:extLst>
        </xdr:cNvPr>
        <xdr:cNvPicPr>
          <a:picLocks noChangeAspect="1"/>
        </xdr:cNvPicPr>
      </xdr:nvPicPr>
      <xdr:blipFill>
        <a:blip xmlns:r="http://schemas.openxmlformats.org/officeDocument/2006/relationships" r:embed="rId1"/>
        <a:stretch>
          <a:fillRect/>
        </a:stretch>
      </xdr:blipFill>
      <xdr:spPr>
        <a:xfrm>
          <a:off x="10163174" y="571499"/>
          <a:ext cx="3228976" cy="2009775"/>
        </a:xfrm>
        <a:prstGeom prst="rect">
          <a:avLst/>
        </a:prstGeom>
      </xdr:spPr>
    </xdr:pic>
    <xdr:clientData/>
  </xdr:twoCellAnchor>
  <xdr:twoCellAnchor editAs="oneCell">
    <xdr:from>
      <xdr:col>9</xdr:col>
      <xdr:colOff>19049</xdr:colOff>
      <xdr:row>13</xdr:row>
      <xdr:rowOff>95251</xdr:rowOff>
    </xdr:from>
    <xdr:to>
      <xdr:col>14</xdr:col>
      <xdr:colOff>161925</xdr:colOff>
      <xdr:row>20</xdr:row>
      <xdr:rowOff>180975</xdr:rowOff>
    </xdr:to>
    <xdr:pic>
      <xdr:nvPicPr>
        <xdr:cNvPr id="3" name="Picture 2">
          <a:extLst>
            <a:ext uri="{FF2B5EF4-FFF2-40B4-BE49-F238E27FC236}">
              <a16:creationId xmlns:a16="http://schemas.microsoft.com/office/drawing/2014/main" id="{2FF5F849-6C2C-4257-A75C-F959D1EFA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91749" y="3124201"/>
          <a:ext cx="31908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38101</xdr:colOff>
      <xdr:row>25</xdr:row>
      <xdr:rowOff>95250</xdr:rowOff>
    </xdr:from>
    <xdr:ext cx="3238499" cy="1695450"/>
    <xdr:pic>
      <xdr:nvPicPr>
        <xdr:cNvPr id="4" name="Picture 3">
          <a:extLst>
            <a:ext uri="{FF2B5EF4-FFF2-40B4-BE49-F238E27FC236}">
              <a16:creationId xmlns:a16="http://schemas.microsoft.com/office/drawing/2014/main" id="{CB2DEBCF-F3A0-4C40-ABA2-44ABC1AC3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1" y="5791200"/>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25400</xdr:rowOff>
    </xdr:to>
    <xdr:pic>
      <xdr:nvPicPr>
        <xdr:cNvPr id="2" name="Picture 1">
          <a:extLst>
            <a:ext uri="{FF2B5EF4-FFF2-40B4-BE49-F238E27FC236}">
              <a16:creationId xmlns:a16="http://schemas.microsoft.com/office/drawing/2014/main" id="{5D19503C-13A6-4CC4-A944-C2365C363823}"/>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20</xdr:row>
      <xdr:rowOff>111126</xdr:rowOff>
    </xdr:to>
    <xdr:pic>
      <xdr:nvPicPr>
        <xdr:cNvPr id="3" name="Picture 2">
          <a:extLst>
            <a:ext uri="{FF2B5EF4-FFF2-40B4-BE49-F238E27FC236}">
              <a16:creationId xmlns:a16="http://schemas.microsoft.com/office/drawing/2014/main" id="{64F2E37B-4F7C-4F25-A39F-DA64DB85C2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2099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542925</xdr:colOff>
      <xdr:row>23</xdr:row>
      <xdr:rowOff>161926</xdr:rowOff>
    </xdr:from>
    <xdr:ext cx="3390900" cy="1724024"/>
    <xdr:pic>
      <xdr:nvPicPr>
        <xdr:cNvPr id="4" name="Picture 3">
          <a:extLst>
            <a:ext uri="{FF2B5EF4-FFF2-40B4-BE49-F238E27FC236}">
              <a16:creationId xmlns:a16="http://schemas.microsoft.com/office/drawing/2014/main" id="{9E3C8BD2-BB7D-4906-B29F-12FBF2C5D6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60483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20</xdr:row>
      <xdr:rowOff>177801</xdr:rowOff>
    </xdr:to>
    <xdr:pic>
      <xdr:nvPicPr>
        <xdr:cNvPr id="2" name="Picture 1">
          <a:extLst>
            <a:ext uri="{FF2B5EF4-FFF2-40B4-BE49-F238E27FC236}">
              <a16:creationId xmlns:a16="http://schemas.microsoft.com/office/drawing/2014/main" id="{06998FDD-1D91-40C1-9F3A-D5808C20E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1178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6C6D2347-B735-4329-B622-A5E017A500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8451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82B7EDCE-D1B3-4AEE-A6B9-75EF502D5053}"/>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581024</xdr:colOff>
      <xdr:row>12</xdr:row>
      <xdr:rowOff>352422</xdr:rowOff>
    </xdr:from>
    <xdr:to>
      <xdr:col>14</xdr:col>
      <xdr:colOff>85725</xdr:colOff>
      <xdr:row>20</xdr:row>
      <xdr:rowOff>47625</xdr:rowOff>
    </xdr:to>
    <xdr:pic>
      <xdr:nvPicPr>
        <xdr:cNvPr id="2" name="Picture 1">
          <a:extLst>
            <a:ext uri="{FF2B5EF4-FFF2-40B4-BE49-F238E27FC236}">
              <a16:creationId xmlns:a16="http://schemas.microsoft.com/office/drawing/2014/main" id="{51EDF1E5-0452-4E7D-ADAF-87B882460B8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44124" y="3171822"/>
          <a:ext cx="3352801" cy="1676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581024</xdr:colOff>
      <xdr:row>23</xdr:row>
      <xdr:rowOff>95249</xdr:rowOff>
    </xdr:from>
    <xdr:to>
      <xdr:col>14</xdr:col>
      <xdr:colOff>133349</xdr:colOff>
      <xdr:row>30</xdr:row>
      <xdr:rowOff>57150</xdr:rowOff>
    </xdr:to>
    <xdr:pic>
      <xdr:nvPicPr>
        <xdr:cNvPr id="3" name="Picture 2">
          <a:extLst>
            <a:ext uri="{FF2B5EF4-FFF2-40B4-BE49-F238E27FC236}">
              <a16:creationId xmlns:a16="http://schemas.microsoft.com/office/drawing/2014/main" id="{A7198FD8-527A-4397-ACA5-1FFCC82C626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44124" y="5524499"/>
          <a:ext cx="3400425" cy="1733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31750</xdr:colOff>
      <xdr:row>2</xdr:row>
      <xdr:rowOff>209549</xdr:rowOff>
    </xdr:from>
    <xdr:to>
      <xdr:col>14</xdr:col>
      <xdr:colOff>95250</xdr:colOff>
      <xdr:row>11</xdr:row>
      <xdr:rowOff>85724</xdr:rowOff>
    </xdr:to>
    <xdr:pic>
      <xdr:nvPicPr>
        <xdr:cNvPr id="4" name="Picture 3">
          <a:extLst>
            <a:ext uri="{FF2B5EF4-FFF2-40B4-BE49-F238E27FC236}">
              <a16:creationId xmlns:a16="http://schemas.microsoft.com/office/drawing/2014/main" id="{0131D2EA-8ACA-4BCE-920A-02882267ACDE}"/>
            </a:ext>
          </a:extLst>
        </xdr:cNvPr>
        <xdr:cNvPicPr>
          <a:picLocks noChangeAspect="1"/>
        </xdr:cNvPicPr>
      </xdr:nvPicPr>
      <xdr:blipFill>
        <a:blip xmlns:r="http://schemas.openxmlformats.org/officeDocument/2006/relationships" r:embed="rId2"/>
        <a:stretch>
          <a:fillRect/>
        </a:stretch>
      </xdr:blipFill>
      <xdr:spPr>
        <a:xfrm>
          <a:off x="10204450" y="647699"/>
          <a:ext cx="3302000" cy="20478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523874</xdr:colOff>
      <xdr:row>2</xdr:row>
      <xdr:rowOff>104775</xdr:rowOff>
    </xdr:from>
    <xdr:to>
      <xdr:col>14</xdr:col>
      <xdr:colOff>209550</xdr:colOff>
      <xdr:row>11</xdr:row>
      <xdr:rowOff>28575</xdr:rowOff>
    </xdr:to>
    <xdr:pic>
      <xdr:nvPicPr>
        <xdr:cNvPr id="2" name="Picture 1">
          <a:extLst>
            <a:ext uri="{FF2B5EF4-FFF2-40B4-BE49-F238E27FC236}">
              <a16:creationId xmlns:a16="http://schemas.microsoft.com/office/drawing/2014/main" id="{C75507C2-E281-4CAF-83F6-B5906E74D9AC}"/>
            </a:ext>
          </a:extLst>
        </xdr:cNvPr>
        <xdr:cNvPicPr>
          <a:picLocks noChangeAspect="1"/>
        </xdr:cNvPicPr>
      </xdr:nvPicPr>
      <xdr:blipFill>
        <a:blip xmlns:r="http://schemas.openxmlformats.org/officeDocument/2006/relationships" r:embed="rId1"/>
        <a:stretch>
          <a:fillRect/>
        </a:stretch>
      </xdr:blipFill>
      <xdr:spPr>
        <a:xfrm>
          <a:off x="10086974" y="542925"/>
          <a:ext cx="3343276" cy="2095500"/>
        </a:xfrm>
        <a:prstGeom prst="rect">
          <a:avLst/>
        </a:prstGeom>
      </xdr:spPr>
    </xdr:pic>
    <xdr:clientData/>
  </xdr:twoCellAnchor>
  <xdr:twoCellAnchor editAs="oneCell">
    <xdr:from>
      <xdr:col>8</xdr:col>
      <xdr:colOff>504824</xdr:colOff>
      <xdr:row>13</xdr:row>
      <xdr:rowOff>104776</xdr:rowOff>
    </xdr:from>
    <xdr:to>
      <xdr:col>14</xdr:col>
      <xdr:colOff>209549</xdr:colOff>
      <xdr:row>21</xdr:row>
      <xdr:rowOff>66675</xdr:rowOff>
    </xdr:to>
    <xdr:pic>
      <xdr:nvPicPr>
        <xdr:cNvPr id="3" name="Picture 2">
          <a:extLst>
            <a:ext uri="{FF2B5EF4-FFF2-40B4-BE49-F238E27FC236}">
              <a16:creationId xmlns:a16="http://schemas.microsoft.com/office/drawing/2014/main" id="{2454A810-C44E-49EF-856E-A7EE9C985E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C3AD-FB08-4509-A03B-22B048603C6E}">
  <dimension ref="A1:C29"/>
  <sheetViews>
    <sheetView tabSelected="1" zoomScale="110" zoomScaleNormal="110" workbookViewId="0">
      <pane ySplit="1" topLeftCell="A2" activePane="bottomLeft" state="frozen"/>
      <selection pane="bottomLeft" activeCell="B2" sqref="B2"/>
    </sheetView>
  </sheetViews>
  <sheetFormatPr defaultColWidth="9.140625" defaultRowHeight="15" x14ac:dyDescent="0.25"/>
  <cols>
    <col min="1" max="1" width="6" style="36" bestFit="1" customWidth="1"/>
    <col min="2" max="2" width="10.42578125" style="36" bestFit="1" customWidth="1"/>
    <col min="3" max="3" width="56.42578125" style="36" bestFit="1" customWidth="1"/>
    <col min="4" max="16384" width="9.140625" style="36"/>
  </cols>
  <sheetData>
    <row r="1" spans="1:3" x14ac:dyDescent="0.25">
      <c r="A1" s="34" t="s">
        <v>850</v>
      </c>
      <c r="B1" s="35" t="s">
        <v>851</v>
      </c>
      <c r="C1" s="35" t="s">
        <v>852</v>
      </c>
    </row>
    <row r="2" spans="1:3" x14ac:dyDescent="0.25">
      <c r="A2" s="37">
        <v>1</v>
      </c>
      <c r="B2" s="38" t="s">
        <v>853</v>
      </c>
      <c r="C2" s="39" t="s">
        <v>1</v>
      </c>
    </row>
    <row r="3" spans="1:3" x14ac:dyDescent="0.25">
      <c r="A3" s="37">
        <v>2</v>
      </c>
      <c r="B3" s="38" t="s">
        <v>854</v>
      </c>
      <c r="C3" s="39" t="s">
        <v>855</v>
      </c>
    </row>
    <row r="4" spans="1:3" x14ac:dyDescent="0.25">
      <c r="A4" s="37">
        <v>3</v>
      </c>
      <c r="B4" s="38" t="s">
        <v>856</v>
      </c>
      <c r="C4" s="39" t="s">
        <v>196</v>
      </c>
    </row>
    <row r="5" spans="1:3" x14ac:dyDescent="0.25">
      <c r="A5" s="37">
        <v>4</v>
      </c>
      <c r="B5" s="38" t="s">
        <v>857</v>
      </c>
      <c r="C5" s="39" t="s">
        <v>858</v>
      </c>
    </row>
    <row r="6" spans="1:3" x14ac:dyDescent="0.25">
      <c r="A6" s="37">
        <v>5</v>
      </c>
      <c r="B6" s="38" t="s">
        <v>859</v>
      </c>
      <c r="C6" s="39" t="s">
        <v>860</v>
      </c>
    </row>
    <row r="7" spans="1:3" x14ac:dyDescent="0.25">
      <c r="A7" s="37">
        <v>6</v>
      </c>
      <c r="B7" s="38" t="s">
        <v>861</v>
      </c>
      <c r="C7" s="39" t="s">
        <v>862</v>
      </c>
    </row>
    <row r="8" spans="1:3" x14ac:dyDescent="0.25">
      <c r="A8" s="37">
        <v>7</v>
      </c>
      <c r="B8" s="38" t="s">
        <v>863</v>
      </c>
      <c r="C8" s="39" t="s">
        <v>864</v>
      </c>
    </row>
    <row r="9" spans="1:3" x14ac:dyDescent="0.25">
      <c r="A9" s="37">
        <v>8</v>
      </c>
      <c r="B9" s="38" t="s">
        <v>865</v>
      </c>
      <c r="C9" s="39" t="s">
        <v>866</v>
      </c>
    </row>
    <row r="10" spans="1:3" x14ac:dyDescent="0.25">
      <c r="A10" s="37">
        <v>9</v>
      </c>
      <c r="B10" s="38" t="s">
        <v>867</v>
      </c>
      <c r="C10" s="39" t="s">
        <v>492</v>
      </c>
    </row>
    <row r="11" spans="1:3" x14ac:dyDescent="0.25">
      <c r="A11" s="37">
        <v>10</v>
      </c>
      <c r="B11" s="38" t="s">
        <v>868</v>
      </c>
      <c r="C11" s="39" t="s">
        <v>504</v>
      </c>
    </row>
    <row r="12" spans="1:3" x14ac:dyDescent="0.25">
      <c r="A12" s="37">
        <v>11</v>
      </c>
      <c r="B12" s="38" t="s">
        <v>869</v>
      </c>
      <c r="C12" s="39" t="s">
        <v>505</v>
      </c>
    </row>
    <row r="13" spans="1:3" x14ac:dyDescent="0.25">
      <c r="A13" s="37">
        <v>12</v>
      </c>
      <c r="B13" s="38" t="s">
        <v>870</v>
      </c>
      <c r="C13" s="39" t="s">
        <v>506</v>
      </c>
    </row>
    <row r="14" spans="1:3" x14ac:dyDescent="0.25">
      <c r="A14" s="37">
        <v>13</v>
      </c>
      <c r="B14" s="38" t="s">
        <v>871</v>
      </c>
      <c r="C14" s="39" t="s">
        <v>507</v>
      </c>
    </row>
    <row r="15" spans="1:3" x14ac:dyDescent="0.25">
      <c r="A15" s="37">
        <v>14</v>
      </c>
      <c r="B15" s="38" t="s">
        <v>872</v>
      </c>
      <c r="C15" s="39" t="s">
        <v>558</v>
      </c>
    </row>
    <row r="16" spans="1:3" x14ac:dyDescent="0.25">
      <c r="A16" s="37">
        <v>15</v>
      </c>
      <c r="B16" s="38" t="s">
        <v>873</v>
      </c>
      <c r="C16" s="39" t="s">
        <v>874</v>
      </c>
    </row>
    <row r="17" spans="1:3" x14ac:dyDescent="0.25">
      <c r="A17" s="37">
        <v>16</v>
      </c>
      <c r="B17" s="38" t="s">
        <v>875</v>
      </c>
      <c r="C17" s="39" t="s">
        <v>688</v>
      </c>
    </row>
    <row r="18" spans="1:3" x14ac:dyDescent="0.25">
      <c r="A18" s="37">
        <v>17</v>
      </c>
      <c r="B18" s="38" t="s">
        <v>876</v>
      </c>
      <c r="C18" s="39" t="s">
        <v>700</v>
      </c>
    </row>
    <row r="19" spans="1:3" x14ac:dyDescent="0.25">
      <c r="A19" s="37">
        <v>18</v>
      </c>
      <c r="B19" s="38" t="s">
        <v>877</v>
      </c>
      <c r="C19" s="39" t="s">
        <v>726</v>
      </c>
    </row>
    <row r="20" spans="1:3" x14ac:dyDescent="0.25">
      <c r="A20" s="37">
        <v>19</v>
      </c>
      <c r="B20" s="38" t="s">
        <v>878</v>
      </c>
      <c r="C20" s="39" t="s">
        <v>879</v>
      </c>
    </row>
    <row r="21" spans="1:3" x14ac:dyDescent="0.25">
      <c r="A21" s="37">
        <v>20</v>
      </c>
      <c r="B21" s="38" t="s">
        <v>880</v>
      </c>
      <c r="C21" s="39" t="s">
        <v>743</v>
      </c>
    </row>
    <row r="22" spans="1:3" x14ac:dyDescent="0.25">
      <c r="A22" s="37">
        <v>21</v>
      </c>
      <c r="B22" s="38" t="s">
        <v>881</v>
      </c>
      <c r="C22" s="39" t="s">
        <v>882</v>
      </c>
    </row>
    <row r="23" spans="1:3" x14ac:dyDescent="0.25">
      <c r="A23" s="37">
        <v>22</v>
      </c>
      <c r="B23" s="38" t="s">
        <v>883</v>
      </c>
      <c r="C23" s="39" t="s">
        <v>884</v>
      </c>
    </row>
    <row r="24" spans="1:3" x14ac:dyDescent="0.25">
      <c r="A24" s="37">
        <v>23</v>
      </c>
      <c r="B24" s="38" t="s">
        <v>885</v>
      </c>
      <c r="C24" s="39" t="s">
        <v>828</v>
      </c>
    </row>
    <row r="25" spans="1:3" x14ac:dyDescent="0.25">
      <c r="A25" s="37">
        <v>24</v>
      </c>
      <c r="B25" s="38" t="s">
        <v>886</v>
      </c>
      <c r="C25" s="39" t="s">
        <v>839</v>
      </c>
    </row>
    <row r="26" spans="1:3" x14ac:dyDescent="0.25">
      <c r="A26" s="37">
        <v>25</v>
      </c>
      <c r="B26" s="38" t="s">
        <v>887</v>
      </c>
      <c r="C26" s="39" t="s">
        <v>843</v>
      </c>
    </row>
    <row r="27" spans="1:3" x14ac:dyDescent="0.25">
      <c r="A27" s="37">
        <v>26</v>
      </c>
      <c r="B27" s="38" t="s">
        <v>888</v>
      </c>
      <c r="C27" s="39" t="s">
        <v>844</v>
      </c>
    </row>
    <row r="28" spans="1:3" x14ac:dyDescent="0.25">
      <c r="A28" s="37">
        <v>27</v>
      </c>
      <c r="B28" s="38" t="s">
        <v>889</v>
      </c>
      <c r="C28" s="39" t="s">
        <v>845</v>
      </c>
    </row>
    <row r="29" spans="1:3" x14ac:dyDescent="0.25">
      <c r="A29" s="37">
        <v>28</v>
      </c>
      <c r="B29" s="38" t="s">
        <v>890</v>
      </c>
      <c r="C29" s="39" t="s">
        <v>848</v>
      </c>
    </row>
  </sheetData>
  <hyperlinks>
    <hyperlink ref="B4" location="MIDCAP!A1" display="MIDCAP" xr:uid="{45892B44-C231-470B-96A5-54F0E2A1E6D6}"/>
    <hyperlink ref="B5" location="MULTIP!A1" display="MULTIP" xr:uid="{C006479F-A9C5-49A8-9F73-F07C571120C1}"/>
    <hyperlink ref="B6" location="SLTADV3!A1" display="SLTADV3" xr:uid="{08351A7C-8864-4915-8D94-59E97B2939B0}"/>
    <hyperlink ref="B7" location="SLTADV4!A1" display="SLTADV4" xr:uid="{764BC539-25D0-4717-BD03-B31E28949E54}"/>
    <hyperlink ref="B8" location="SLTAX1!A1" display="SLTAX1" xr:uid="{29120DAB-536C-494F-90B1-E262117DD2F0}"/>
    <hyperlink ref="B9" location="SLTAX2!A1" display="SLTAX2" xr:uid="{031390B7-4DAC-42BB-8906-0592E71929AE}"/>
    <hyperlink ref="B10" location="SLTAX3!A1" display="SLTAX3" xr:uid="{5E5CE6F3-0CCF-4216-9C4A-16FF3B3ABF7E}"/>
    <hyperlink ref="B11" location="SLTAX4!A1" display="SLTAX4" xr:uid="{DA83BAD5-DDC7-460B-98EF-9EFD2FA505A3}"/>
    <hyperlink ref="B12" location="SLTAX5!A1" display="SLTAX5" xr:uid="{120CE26E-95C0-485A-B60D-D2FDBDA7B2CE}"/>
    <hyperlink ref="B13" location="SLTAX6!A1" display="SLTAX6" xr:uid="{B8B9BBA3-030D-42D7-9526-C73722F9004F}"/>
    <hyperlink ref="B14" location="SMILE!A1" display="SMILE" xr:uid="{A3C92B7E-CFF4-49B6-B260-860170DD4C07}"/>
    <hyperlink ref="B15" location="SPAHF!A1" display="SPAHF" xr:uid="{57ACEC8A-A6A8-40F5-9696-92B75F008D2F}"/>
    <hyperlink ref="B16" location="SPARF!A1" display="SPARF" xr:uid="{14AEC537-5E73-43E5-A9F3-6F3604D3DAC2}"/>
    <hyperlink ref="B17" location="SPBAF!A1" display="SPBAF" xr:uid="{BD1F67D6-F65C-43C9-AB88-764460F12AD3}"/>
    <hyperlink ref="B19" location="SPESF!A1" display="SPESF" xr:uid="{88FD7BBC-CB83-4109-9646-C88DDCFD1CE0}"/>
    <hyperlink ref="B20" location="SPFOCUS!A1" display="SPFOCUS" xr:uid="{6D62FA2A-96C4-449F-8EE8-602A985F8E95}"/>
    <hyperlink ref="B21" location="SPMUCF!A1" display="SPMUCF" xr:uid="{A19693AF-9129-4D47-BD34-BC339A7939FD}"/>
    <hyperlink ref="B22" location="SPSN100!A1" display="SPSN100" xr:uid="{1F9E8A30-B710-462E-803F-645C8014BB4B}"/>
    <hyperlink ref="B23" location="SPTAX!A1" display="SPTAX" xr:uid="{C325E3AF-F693-4C56-93B4-BEB53D6F1613}"/>
    <hyperlink ref="B24" location="SRURAL!A1" display="SRURAL" xr:uid="{2CC11C5D-A837-4064-8E4B-9BE48DC29198}"/>
    <hyperlink ref="B25" location="SSFUND!A1" display="SSFUND" xr:uid="{F0CF9728-C632-41A5-A31F-D72128E1E334}"/>
    <hyperlink ref="B26" location="STAX!A1" display="STAX" xr:uid="{B22601E3-0F25-4B4C-8A8A-79A17B0E3EC2}"/>
    <hyperlink ref="B27" location="SUNBCF!A1" display="SUNBCF" xr:uid="{EE615B4A-197F-432E-82A3-5B8D12ED7D5D}"/>
    <hyperlink ref="B29" location="SUNFOP!A1" display="SUNFOP" xr:uid="{EE9A2C67-2C15-4F1E-9485-507AFA84E491}"/>
    <hyperlink ref="B3" location="GLOB!A1" display="GLOB" xr:uid="{49045856-9EE2-4CFB-8BD0-6C53D3052719}"/>
    <hyperlink ref="B28" location="SUNFCF!A1" display="SUNFCF" xr:uid="{FF8370ED-EF9C-4205-A937-BAB80359BF52}"/>
    <hyperlink ref="B18" location="SPDYF!A1" display="SPDYF" xr:uid="{64A0B503-2207-4142-A576-B2B67A1508D5}"/>
    <hyperlink ref="B2" location="CAPEXG!A1" display="CAPEXG" xr:uid="{5FE0439D-D257-4B5B-B841-B002D03E31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1</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J4" s="193"/>
      <c r="K4" s="193"/>
      <c r="L4" s="193"/>
      <c r="M4" s="193"/>
      <c r="N4" s="193"/>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11</v>
      </c>
      <c r="C7" s="4" t="s">
        <v>12</v>
      </c>
      <c r="D7" s="4" t="s">
        <v>13</v>
      </c>
      <c r="E7" s="5">
        <v>230480</v>
      </c>
      <c r="F7" s="6">
        <v>8126.7248</v>
      </c>
      <c r="G7" s="7">
        <v>9.8198149999999998E-2</v>
      </c>
      <c r="H7" s="113"/>
    </row>
    <row r="8" spans="1:15" ht="17.100000000000001" customHeight="1" x14ac:dyDescent="0.2">
      <c r="A8" s="3">
        <v>2</v>
      </c>
      <c r="B8" s="4" t="s">
        <v>14</v>
      </c>
      <c r="C8" s="4" t="s">
        <v>15</v>
      </c>
      <c r="D8" s="4" t="s">
        <v>16</v>
      </c>
      <c r="E8" s="5">
        <v>1740000</v>
      </c>
      <c r="F8" s="6">
        <v>5414.01</v>
      </c>
      <c r="G8" s="7">
        <v>6.5419439999999995E-2</v>
      </c>
      <c r="H8" s="113"/>
    </row>
    <row r="9" spans="1:15" ht="17.100000000000001" customHeight="1" x14ac:dyDescent="0.2">
      <c r="A9" s="3">
        <v>3</v>
      </c>
      <c r="B9" s="4" t="s">
        <v>17</v>
      </c>
      <c r="C9" s="4" t="s">
        <v>18</v>
      </c>
      <c r="D9" s="4" t="s">
        <v>19</v>
      </c>
      <c r="E9" s="5">
        <v>195000</v>
      </c>
      <c r="F9" s="6">
        <v>5040.6525000000001</v>
      </c>
      <c r="G9" s="7">
        <v>6.090802E-2</v>
      </c>
      <c r="H9" s="113"/>
    </row>
    <row r="10" spans="1:15" ht="17.100000000000001" customHeight="1" x14ac:dyDescent="0.2">
      <c r="A10" s="3">
        <v>4</v>
      </c>
      <c r="B10" s="4" t="s">
        <v>20</v>
      </c>
      <c r="C10" s="4" t="s">
        <v>21</v>
      </c>
      <c r="D10" s="4" t="s">
        <v>22</v>
      </c>
      <c r="E10" s="5">
        <v>454000</v>
      </c>
      <c r="F10" s="6">
        <v>4686.1880000000001</v>
      </c>
      <c r="G10" s="7">
        <v>5.6624899999999999E-2</v>
      </c>
      <c r="H10" s="113"/>
    </row>
    <row r="11" spans="1:15" ht="29.1" customHeight="1" x14ac:dyDescent="0.2">
      <c r="A11" s="3">
        <v>5</v>
      </c>
      <c r="B11" s="4" t="s">
        <v>23</v>
      </c>
      <c r="C11" s="4" t="s">
        <v>24</v>
      </c>
      <c r="D11" s="4" t="s">
        <v>25</v>
      </c>
      <c r="E11" s="5">
        <v>40000</v>
      </c>
      <c r="F11" s="6">
        <v>4201.22</v>
      </c>
      <c r="G11" s="7">
        <v>5.0764860000000002E-2</v>
      </c>
      <c r="H11" s="113"/>
    </row>
    <row r="12" spans="1:15" ht="17.100000000000001" customHeight="1" x14ac:dyDescent="0.2">
      <c r="A12" s="3">
        <v>6</v>
      </c>
      <c r="B12" s="4" t="s">
        <v>26</v>
      </c>
      <c r="C12" s="4" t="s">
        <v>27</v>
      </c>
      <c r="D12" s="4" t="s">
        <v>28</v>
      </c>
      <c r="E12" s="5">
        <v>280000</v>
      </c>
      <c r="F12" s="6">
        <v>2790.48</v>
      </c>
      <c r="G12" s="7">
        <v>3.3718379999999999E-2</v>
      </c>
      <c r="H12" s="113"/>
      <c r="J12" s="194" t="s">
        <v>1144</v>
      </c>
    </row>
    <row r="13" spans="1:15" ht="29.1" customHeight="1" x14ac:dyDescent="0.2">
      <c r="A13" s="3">
        <v>7</v>
      </c>
      <c r="B13" s="4" t="s">
        <v>29</v>
      </c>
      <c r="C13" s="4" t="s">
        <v>30</v>
      </c>
      <c r="D13" s="4" t="s">
        <v>31</v>
      </c>
      <c r="E13" s="5">
        <v>1300000</v>
      </c>
      <c r="F13" s="6">
        <v>2394.6</v>
      </c>
      <c r="G13" s="7">
        <v>2.893482E-2</v>
      </c>
      <c r="H13" s="113"/>
    </row>
    <row r="14" spans="1:15" ht="17.100000000000001" customHeight="1" x14ac:dyDescent="0.2">
      <c r="A14" s="3">
        <v>8</v>
      </c>
      <c r="B14" s="4" t="s">
        <v>32</v>
      </c>
      <c r="C14" s="4" t="s">
        <v>33</v>
      </c>
      <c r="D14" s="4" t="s">
        <v>34</v>
      </c>
      <c r="E14" s="5">
        <v>36600</v>
      </c>
      <c r="F14" s="6">
        <v>2152.7204999999999</v>
      </c>
      <c r="G14" s="7">
        <v>2.60121E-2</v>
      </c>
      <c r="H14" s="113"/>
    </row>
    <row r="15" spans="1:15" ht="17.100000000000001" customHeight="1" x14ac:dyDescent="0.2">
      <c r="A15" s="3">
        <v>9</v>
      </c>
      <c r="B15" s="4" t="s">
        <v>35</v>
      </c>
      <c r="C15" s="4" t="s">
        <v>36</v>
      </c>
      <c r="D15" s="4" t="s">
        <v>34</v>
      </c>
      <c r="E15" s="5">
        <v>59607</v>
      </c>
      <c r="F15" s="6">
        <v>2066.4256725</v>
      </c>
      <c r="G15" s="7">
        <v>2.4969370000000001E-2</v>
      </c>
      <c r="H15" s="113"/>
    </row>
    <row r="16" spans="1:15" ht="17.100000000000001" customHeight="1" x14ac:dyDescent="0.2">
      <c r="A16" s="3">
        <v>10</v>
      </c>
      <c r="B16" s="4" t="s">
        <v>37</v>
      </c>
      <c r="C16" s="4" t="s">
        <v>38</v>
      </c>
      <c r="D16" s="4" t="s">
        <v>16</v>
      </c>
      <c r="E16" s="5">
        <v>753333</v>
      </c>
      <c r="F16" s="6">
        <v>1786.905876</v>
      </c>
      <c r="G16" s="7">
        <v>2.1591829999999999E-2</v>
      </c>
      <c r="H16" s="113"/>
    </row>
    <row r="17" spans="1:8" ht="17.100000000000001" customHeight="1" x14ac:dyDescent="0.2">
      <c r="A17" s="3">
        <v>11</v>
      </c>
      <c r="B17" s="4" t="s">
        <v>39</v>
      </c>
      <c r="C17" s="4" t="s">
        <v>40</v>
      </c>
      <c r="D17" s="4" t="s">
        <v>41</v>
      </c>
      <c r="E17" s="5">
        <v>33000</v>
      </c>
      <c r="F17" s="6">
        <v>1542.7004999999999</v>
      </c>
      <c r="G17" s="7">
        <v>1.864101E-2</v>
      </c>
      <c r="H17" s="113"/>
    </row>
    <row r="18" spans="1:8" ht="17.100000000000001" customHeight="1" x14ac:dyDescent="0.2">
      <c r="A18" s="3">
        <v>12</v>
      </c>
      <c r="B18" s="4" t="s">
        <v>42</v>
      </c>
      <c r="C18" s="4" t="s">
        <v>43</v>
      </c>
      <c r="D18" s="4" t="s">
        <v>13</v>
      </c>
      <c r="E18" s="5">
        <v>400000</v>
      </c>
      <c r="F18" s="6">
        <v>1405.8</v>
      </c>
      <c r="G18" s="7">
        <v>1.6986790000000002E-2</v>
      </c>
      <c r="H18" s="113"/>
    </row>
    <row r="19" spans="1:8" ht="17.100000000000001" customHeight="1" x14ac:dyDescent="0.2">
      <c r="A19" s="3">
        <v>13</v>
      </c>
      <c r="B19" s="4" t="s">
        <v>44</v>
      </c>
      <c r="C19" s="4" t="s">
        <v>45</v>
      </c>
      <c r="D19" s="4" t="s">
        <v>46</v>
      </c>
      <c r="E19" s="5">
        <v>160000</v>
      </c>
      <c r="F19" s="6">
        <v>1375.44</v>
      </c>
      <c r="G19" s="7">
        <v>1.661994E-2</v>
      </c>
      <c r="H19" s="113"/>
    </row>
    <row r="20" spans="1:8" ht="17.100000000000001" customHeight="1" x14ac:dyDescent="0.2">
      <c r="A20" s="3">
        <v>14</v>
      </c>
      <c r="B20" s="4" t="s">
        <v>47</v>
      </c>
      <c r="C20" s="4" t="s">
        <v>48</v>
      </c>
      <c r="D20" s="4" t="s">
        <v>34</v>
      </c>
      <c r="E20" s="5">
        <v>58968</v>
      </c>
      <c r="F20" s="6">
        <v>1373.4236880000001</v>
      </c>
      <c r="G20" s="7">
        <v>1.659557E-2</v>
      </c>
      <c r="H20" s="113"/>
    </row>
    <row r="21" spans="1:8" ht="17.100000000000001" customHeight="1" x14ac:dyDescent="0.2">
      <c r="A21" s="3">
        <v>15</v>
      </c>
      <c r="B21" s="4" t="s">
        <v>49</v>
      </c>
      <c r="C21" s="4" t="s">
        <v>50</v>
      </c>
      <c r="D21" s="4" t="s">
        <v>34</v>
      </c>
      <c r="E21" s="5">
        <v>41000</v>
      </c>
      <c r="F21" s="6">
        <v>1332.2745</v>
      </c>
      <c r="G21" s="7">
        <v>1.6098350000000001E-2</v>
      </c>
      <c r="H21" s="113"/>
    </row>
    <row r="22" spans="1:8" ht="17.100000000000001" customHeight="1" x14ac:dyDescent="0.2">
      <c r="A22" s="3">
        <v>16</v>
      </c>
      <c r="B22" s="4" t="s">
        <v>51</v>
      </c>
      <c r="C22" s="4" t="s">
        <v>52</v>
      </c>
      <c r="D22" s="4" t="s">
        <v>53</v>
      </c>
      <c r="E22" s="5">
        <v>310000</v>
      </c>
      <c r="F22" s="6">
        <v>1279.835</v>
      </c>
      <c r="G22" s="7">
        <v>1.546471E-2</v>
      </c>
      <c r="H22" s="113"/>
    </row>
    <row r="23" spans="1:8" ht="17.100000000000001" customHeight="1" x14ac:dyDescent="0.2">
      <c r="A23" s="3">
        <v>17</v>
      </c>
      <c r="B23" s="4" t="s">
        <v>54</v>
      </c>
      <c r="C23" s="4" t="s">
        <v>55</v>
      </c>
      <c r="D23" s="4" t="s">
        <v>56</v>
      </c>
      <c r="E23" s="5">
        <v>19000</v>
      </c>
      <c r="F23" s="6">
        <v>1247.6824999999999</v>
      </c>
      <c r="G23" s="7">
        <v>1.50762E-2</v>
      </c>
      <c r="H23" s="113"/>
    </row>
    <row r="24" spans="1:8" ht="17.100000000000001" customHeight="1" x14ac:dyDescent="0.2">
      <c r="A24" s="3">
        <v>18</v>
      </c>
      <c r="B24" s="4" t="s">
        <v>57</v>
      </c>
      <c r="C24" s="4" t="s">
        <v>58</v>
      </c>
      <c r="D24" s="4" t="s">
        <v>34</v>
      </c>
      <c r="E24" s="5">
        <v>22000</v>
      </c>
      <c r="F24" s="6">
        <v>1206.6669999999999</v>
      </c>
      <c r="G24" s="7">
        <v>1.4580589999999999E-2</v>
      </c>
      <c r="H24" s="113"/>
    </row>
    <row r="25" spans="1:8" ht="17.100000000000001" customHeight="1" x14ac:dyDescent="0.2">
      <c r="A25" s="3">
        <v>19</v>
      </c>
      <c r="B25" s="4" t="s">
        <v>59</v>
      </c>
      <c r="C25" s="4" t="s">
        <v>60</v>
      </c>
      <c r="D25" s="4" t="s">
        <v>61</v>
      </c>
      <c r="E25" s="5">
        <v>740000</v>
      </c>
      <c r="F25" s="6">
        <v>1199.54</v>
      </c>
      <c r="G25" s="7">
        <v>1.4494480000000001E-2</v>
      </c>
      <c r="H25" s="113"/>
    </row>
    <row r="26" spans="1:8" ht="17.100000000000001" customHeight="1" x14ac:dyDescent="0.2">
      <c r="A26" s="3">
        <v>20</v>
      </c>
      <c r="B26" s="4" t="s">
        <v>62</v>
      </c>
      <c r="C26" s="4" t="s">
        <v>63</v>
      </c>
      <c r="D26" s="4" t="s">
        <v>28</v>
      </c>
      <c r="E26" s="5">
        <v>185000</v>
      </c>
      <c r="F26" s="6">
        <v>1187.7925</v>
      </c>
      <c r="G26" s="7">
        <v>1.435253E-2</v>
      </c>
      <c r="H26" s="113"/>
    </row>
    <row r="27" spans="1:8" ht="29.1" customHeight="1" x14ac:dyDescent="0.2">
      <c r="A27" s="3">
        <v>21</v>
      </c>
      <c r="B27" s="4" t="s">
        <v>64</v>
      </c>
      <c r="C27" s="4" t="s">
        <v>65</v>
      </c>
      <c r="D27" s="4" t="s">
        <v>31</v>
      </c>
      <c r="E27" s="5">
        <v>42000</v>
      </c>
      <c r="F27" s="6">
        <v>1177.68</v>
      </c>
      <c r="G27" s="7">
        <v>1.4230329999999999E-2</v>
      </c>
      <c r="H27" s="113"/>
    </row>
    <row r="28" spans="1:8" ht="17.100000000000001" customHeight="1" x14ac:dyDescent="0.2">
      <c r="A28" s="3">
        <v>22</v>
      </c>
      <c r="B28" s="4" t="s">
        <v>66</v>
      </c>
      <c r="C28" s="4" t="s">
        <v>67</v>
      </c>
      <c r="D28" s="4" t="s">
        <v>16</v>
      </c>
      <c r="E28" s="5">
        <v>350000</v>
      </c>
      <c r="F28" s="6">
        <v>1162.5250000000001</v>
      </c>
      <c r="G28" s="7">
        <v>1.4047209999999999E-2</v>
      </c>
      <c r="H28" s="113"/>
    </row>
    <row r="29" spans="1:8" ht="17.100000000000001" customHeight="1" x14ac:dyDescent="0.2">
      <c r="A29" s="3">
        <v>23</v>
      </c>
      <c r="B29" s="4" t="s">
        <v>68</v>
      </c>
      <c r="C29" s="4" t="s">
        <v>69</v>
      </c>
      <c r="D29" s="4" t="s">
        <v>70</v>
      </c>
      <c r="E29" s="5">
        <v>560000</v>
      </c>
      <c r="F29" s="6">
        <v>1148.28</v>
      </c>
      <c r="G29" s="7">
        <v>1.387508E-2</v>
      </c>
      <c r="H29" s="113"/>
    </row>
    <row r="30" spans="1:8" ht="17.100000000000001" customHeight="1" x14ac:dyDescent="0.2">
      <c r="A30" s="3">
        <v>24</v>
      </c>
      <c r="B30" s="4" t="s">
        <v>71</v>
      </c>
      <c r="C30" s="4" t="s">
        <v>72</v>
      </c>
      <c r="D30" s="4" t="s">
        <v>73</v>
      </c>
      <c r="E30" s="5">
        <v>124000</v>
      </c>
      <c r="F30" s="6">
        <v>1111.97</v>
      </c>
      <c r="G30" s="7">
        <v>1.343634E-2</v>
      </c>
      <c r="H30" s="113"/>
    </row>
    <row r="31" spans="1:8" ht="29.1" customHeight="1" x14ac:dyDescent="0.2">
      <c r="A31" s="3">
        <v>25</v>
      </c>
      <c r="B31" s="4" t="s">
        <v>74</v>
      </c>
      <c r="C31" s="4" t="s">
        <v>75</v>
      </c>
      <c r="D31" s="4" t="s">
        <v>76</v>
      </c>
      <c r="E31" s="5">
        <v>2785</v>
      </c>
      <c r="F31" s="6">
        <v>1026.18895</v>
      </c>
      <c r="G31" s="7">
        <v>1.2399810000000001E-2</v>
      </c>
      <c r="H31" s="113"/>
    </row>
    <row r="32" spans="1:8" ht="29.1" customHeight="1" x14ac:dyDescent="0.2">
      <c r="A32" s="3">
        <v>26</v>
      </c>
      <c r="B32" s="4" t="s">
        <v>77</v>
      </c>
      <c r="C32" s="4" t="s">
        <v>78</v>
      </c>
      <c r="D32" s="4" t="s">
        <v>25</v>
      </c>
      <c r="E32" s="5">
        <v>45000</v>
      </c>
      <c r="F32" s="6">
        <v>1023.84</v>
      </c>
      <c r="G32" s="7">
        <v>1.2371429999999999E-2</v>
      </c>
      <c r="H32" s="113"/>
    </row>
    <row r="33" spans="1:8" ht="17.100000000000001" customHeight="1" x14ac:dyDescent="0.2">
      <c r="A33" s="3">
        <v>27</v>
      </c>
      <c r="B33" s="4" t="s">
        <v>79</v>
      </c>
      <c r="C33" s="4" t="s">
        <v>80</v>
      </c>
      <c r="D33" s="4" t="s">
        <v>46</v>
      </c>
      <c r="E33" s="5">
        <v>34000</v>
      </c>
      <c r="F33" s="6">
        <v>1008.814</v>
      </c>
      <c r="G33" s="7">
        <v>1.218986E-2</v>
      </c>
      <c r="H33" s="113"/>
    </row>
    <row r="34" spans="1:8" ht="17.100000000000001" customHeight="1" x14ac:dyDescent="0.2">
      <c r="A34" s="3">
        <v>28</v>
      </c>
      <c r="B34" s="4" t="s">
        <v>81</v>
      </c>
      <c r="C34" s="4" t="s">
        <v>82</v>
      </c>
      <c r="D34" s="4" t="s">
        <v>13</v>
      </c>
      <c r="E34" s="5">
        <v>580000</v>
      </c>
      <c r="F34" s="6">
        <v>967.15</v>
      </c>
      <c r="G34" s="7">
        <v>1.1686419999999999E-2</v>
      </c>
      <c r="H34" s="113"/>
    </row>
    <row r="35" spans="1:8" ht="17.100000000000001" customHeight="1" x14ac:dyDescent="0.2">
      <c r="A35" s="3">
        <v>29</v>
      </c>
      <c r="B35" s="4" t="s">
        <v>83</v>
      </c>
      <c r="C35" s="4" t="s">
        <v>84</v>
      </c>
      <c r="D35" s="4" t="s">
        <v>34</v>
      </c>
      <c r="E35" s="5">
        <v>61000</v>
      </c>
      <c r="F35" s="6">
        <v>937.44799999999998</v>
      </c>
      <c r="G35" s="7">
        <v>1.1327520000000001E-2</v>
      </c>
      <c r="H35" s="113"/>
    </row>
    <row r="36" spans="1:8" ht="29.1" customHeight="1" x14ac:dyDescent="0.2">
      <c r="A36" s="3">
        <v>30</v>
      </c>
      <c r="B36" s="4" t="s">
        <v>85</v>
      </c>
      <c r="C36" s="4" t="s">
        <v>86</v>
      </c>
      <c r="D36" s="4" t="s">
        <v>25</v>
      </c>
      <c r="E36" s="5">
        <v>65000</v>
      </c>
      <c r="F36" s="6">
        <v>936.61749999999995</v>
      </c>
      <c r="G36" s="7">
        <v>1.1317489999999999E-2</v>
      </c>
      <c r="H36" s="113"/>
    </row>
    <row r="37" spans="1:8" ht="17.100000000000001" customHeight="1" x14ac:dyDescent="0.2">
      <c r="A37" s="3">
        <v>31</v>
      </c>
      <c r="B37" s="4" t="s">
        <v>87</v>
      </c>
      <c r="C37" s="4" t="s">
        <v>88</v>
      </c>
      <c r="D37" s="4" t="s">
        <v>34</v>
      </c>
      <c r="E37" s="5">
        <v>115170</v>
      </c>
      <c r="F37" s="6">
        <v>927.40642500000001</v>
      </c>
      <c r="G37" s="7">
        <v>1.120619E-2</v>
      </c>
      <c r="H37" s="113"/>
    </row>
    <row r="38" spans="1:8" ht="17.100000000000001" customHeight="1" x14ac:dyDescent="0.2">
      <c r="A38" s="3">
        <v>32</v>
      </c>
      <c r="B38" s="4" t="s">
        <v>89</v>
      </c>
      <c r="C38" s="4" t="s">
        <v>90</v>
      </c>
      <c r="D38" s="4" t="s">
        <v>41</v>
      </c>
      <c r="E38" s="5">
        <v>23000</v>
      </c>
      <c r="F38" s="6">
        <v>925.68100000000004</v>
      </c>
      <c r="G38" s="7">
        <v>1.118534E-2</v>
      </c>
      <c r="H38" s="113"/>
    </row>
    <row r="39" spans="1:8" ht="17.100000000000001" customHeight="1" x14ac:dyDescent="0.2">
      <c r="A39" s="3">
        <v>33</v>
      </c>
      <c r="B39" s="4" t="s">
        <v>91</v>
      </c>
      <c r="C39" s="4" t="s">
        <v>92</v>
      </c>
      <c r="D39" s="4" t="s">
        <v>73</v>
      </c>
      <c r="E39" s="5">
        <v>64000</v>
      </c>
      <c r="F39" s="6">
        <v>923.74400000000003</v>
      </c>
      <c r="G39" s="7">
        <v>1.116193E-2</v>
      </c>
      <c r="H39" s="113"/>
    </row>
    <row r="40" spans="1:8" ht="17.100000000000001" customHeight="1" x14ac:dyDescent="0.2">
      <c r="A40" s="3">
        <v>34</v>
      </c>
      <c r="B40" s="4" t="s">
        <v>93</v>
      </c>
      <c r="C40" s="4" t="s">
        <v>94</v>
      </c>
      <c r="D40" s="4" t="s">
        <v>41</v>
      </c>
      <c r="E40" s="5">
        <v>210000</v>
      </c>
      <c r="F40" s="6">
        <v>890.71500000000003</v>
      </c>
      <c r="G40" s="7">
        <v>1.0762829999999999E-2</v>
      </c>
      <c r="H40" s="113"/>
    </row>
    <row r="41" spans="1:8" ht="29.1" customHeight="1" x14ac:dyDescent="0.2">
      <c r="A41" s="3">
        <v>35</v>
      </c>
      <c r="B41" s="4" t="s">
        <v>95</v>
      </c>
      <c r="C41" s="4" t="s">
        <v>96</v>
      </c>
      <c r="D41" s="4" t="s">
        <v>25</v>
      </c>
      <c r="E41" s="5">
        <v>22000</v>
      </c>
      <c r="F41" s="6">
        <v>833.41499999999996</v>
      </c>
      <c r="G41" s="7">
        <v>1.007045E-2</v>
      </c>
      <c r="H41" s="113"/>
    </row>
    <row r="42" spans="1:8" ht="17.100000000000001" customHeight="1" x14ac:dyDescent="0.2">
      <c r="A42" s="3">
        <v>36</v>
      </c>
      <c r="B42" s="4" t="s">
        <v>97</v>
      </c>
      <c r="C42" s="4" t="s">
        <v>98</v>
      </c>
      <c r="D42" s="4" t="s">
        <v>99</v>
      </c>
      <c r="E42" s="5">
        <v>110000</v>
      </c>
      <c r="F42" s="6">
        <v>822.91</v>
      </c>
      <c r="G42" s="7">
        <v>9.9435200000000008E-3</v>
      </c>
      <c r="H42" s="113"/>
    </row>
    <row r="43" spans="1:8" ht="53.1" customHeight="1" x14ac:dyDescent="0.2">
      <c r="A43" s="3">
        <v>37</v>
      </c>
      <c r="B43" s="4" t="s">
        <v>100</v>
      </c>
      <c r="C43" s="4" t="s">
        <v>101</v>
      </c>
      <c r="D43" s="4" t="s">
        <v>102</v>
      </c>
      <c r="E43" s="5">
        <v>450000</v>
      </c>
      <c r="F43" s="6">
        <v>816.97500000000002</v>
      </c>
      <c r="G43" s="7">
        <v>9.8718E-3</v>
      </c>
      <c r="H43" s="113"/>
    </row>
    <row r="44" spans="1:8" ht="17.100000000000001" customHeight="1" x14ac:dyDescent="0.2">
      <c r="A44" s="3">
        <v>38</v>
      </c>
      <c r="B44" s="4" t="s">
        <v>103</v>
      </c>
      <c r="C44" s="4" t="s">
        <v>104</v>
      </c>
      <c r="D44" s="4" t="s">
        <v>41</v>
      </c>
      <c r="E44" s="5">
        <v>13298</v>
      </c>
      <c r="F44" s="6">
        <v>804.981132</v>
      </c>
      <c r="G44" s="7">
        <v>9.7268800000000002E-3</v>
      </c>
      <c r="H44" s="113"/>
    </row>
    <row r="45" spans="1:8" ht="17.100000000000001" customHeight="1" x14ac:dyDescent="0.2">
      <c r="A45" s="3">
        <v>39</v>
      </c>
      <c r="B45" s="4" t="s">
        <v>105</v>
      </c>
      <c r="C45" s="4" t="s">
        <v>106</v>
      </c>
      <c r="D45" s="4" t="s">
        <v>107</v>
      </c>
      <c r="E45" s="5">
        <v>25000</v>
      </c>
      <c r="F45" s="6">
        <v>800.75</v>
      </c>
      <c r="G45" s="7">
        <v>9.6757500000000003E-3</v>
      </c>
      <c r="H45" s="113"/>
    </row>
    <row r="46" spans="1:8" ht="17.100000000000001" customHeight="1" x14ac:dyDescent="0.2">
      <c r="A46" s="3">
        <v>40</v>
      </c>
      <c r="B46" s="4" t="s">
        <v>108</v>
      </c>
      <c r="C46" s="4" t="s">
        <v>109</v>
      </c>
      <c r="D46" s="4" t="s">
        <v>107</v>
      </c>
      <c r="E46" s="5">
        <v>121000</v>
      </c>
      <c r="F46" s="6">
        <v>779.84500000000003</v>
      </c>
      <c r="G46" s="7">
        <v>9.4231499999999999E-3</v>
      </c>
      <c r="H46" s="113"/>
    </row>
    <row r="47" spans="1:8" ht="17.100000000000001" customHeight="1" x14ac:dyDescent="0.2">
      <c r="A47" s="3">
        <v>41</v>
      </c>
      <c r="B47" s="4" t="s">
        <v>110</v>
      </c>
      <c r="C47" s="4" t="s">
        <v>111</v>
      </c>
      <c r="D47" s="4" t="s">
        <v>53</v>
      </c>
      <c r="E47" s="5">
        <v>200000</v>
      </c>
      <c r="F47" s="6">
        <v>765.2</v>
      </c>
      <c r="G47" s="7">
        <v>9.2461899999999996E-3</v>
      </c>
      <c r="H47" s="113"/>
    </row>
    <row r="48" spans="1:8" ht="17.100000000000001" customHeight="1" x14ac:dyDescent="0.2">
      <c r="A48" s="3">
        <v>42</v>
      </c>
      <c r="B48" s="4" t="s">
        <v>112</v>
      </c>
      <c r="C48" s="4" t="s">
        <v>113</v>
      </c>
      <c r="D48" s="4" t="s">
        <v>114</v>
      </c>
      <c r="E48" s="5">
        <v>200000</v>
      </c>
      <c r="F48" s="6">
        <v>752</v>
      </c>
      <c r="G48" s="7">
        <v>9.0866899999999997E-3</v>
      </c>
      <c r="H48" s="113"/>
    </row>
    <row r="49" spans="1:8" ht="17.100000000000001" customHeight="1" x14ac:dyDescent="0.2">
      <c r="A49" s="3">
        <v>43</v>
      </c>
      <c r="B49" s="4" t="s">
        <v>115</v>
      </c>
      <c r="C49" s="4" t="s">
        <v>116</v>
      </c>
      <c r="D49" s="4" t="s">
        <v>34</v>
      </c>
      <c r="E49" s="5">
        <v>110000</v>
      </c>
      <c r="F49" s="6">
        <v>720.995</v>
      </c>
      <c r="G49" s="7">
        <v>8.7120400000000008E-3</v>
      </c>
      <c r="H49" s="113"/>
    </row>
    <row r="50" spans="1:8" ht="17.100000000000001" customHeight="1" x14ac:dyDescent="0.2">
      <c r="A50" s="3">
        <v>44</v>
      </c>
      <c r="B50" s="4" t="s">
        <v>117</v>
      </c>
      <c r="C50" s="4" t="s">
        <v>118</v>
      </c>
      <c r="D50" s="4" t="s">
        <v>41</v>
      </c>
      <c r="E50" s="5">
        <v>277000</v>
      </c>
      <c r="F50" s="6">
        <v>720.33849999999995</v>
      </c>
      <c r="G50" s="7">
        <v>8.7041099999999993E-3</v>
      </c>
      <c r="H50" s="113"/>
    </row>
    <row r="51" spans="1:8" ht="17.100000000000001" customHeight="1" x14ac:dyDescent="0.2">
      <c r="A51" s="3">
        <v>45</v>
      </c>
      <c r="B51" s="4" t="s">
        <v>119</v>
      </c>
      <c r="C51" s="4" t="s">
        <v>120</v>
      </c>
      <c r="D51" s="4" t="s">
        <v>19</v>
      </c>
      <c r="E51" s="5">
        <v>500000</v>
      </c>
      <c r="F51" s="6">
        <v>649.25</v>
      </c>
      <c r="G51" s="7">
        <v>7.8451200000000006E-3</v>
      </c>
      <c r="H51" s="113"/>
    </row>
    <row r="52" spans="1:8" ht="17.100000000000001" customHeight="1" x14ac:dyDescent="0.2">
      <c r="A52" s="3">
        <v>46</v>
      </c>
      <c r="B52" s="4" t="s">
        <v>121</v>
      </c>
      <c r="C52" s="4" t="s">
        <v>122</v>
      </c>
      <c r="D52" s="4" t="s">
        <v>107</v>
      </c>
      <c r="E52" s="5">
        <v>104000</v>
      </c>
      <c r="F52" s="6">
        <v>643.55200000000002</v>
      </c>
      <c r="G52" s="7">
        <v>7.7762700000000001E-3</v>
      </c>
      <c r="H52" s="113"/>
    </row>
    <row r="53" spans="1:8" ht="17.100000000000001" customHeight="1" x14ac:dyDescent="0.2">
      <c r="A53" s="3">
        <v>47</v>
      </c>
      <c r="B53" s="4" t="s">
        <v>123</v>
      </c>
      <c r="C53" s="4" t="s">
        <v>124</v>
      </c>
      <c r="D53" s="4" t="s">
        <v>34</v>
      </c>
      <c r="E53" s="5">
        <v>31000</v>
      </c>
      <c r="F53" s="6">
        <v>591.34050000000002</v>
      </c>
      <c r="G53" s="7">
        <v>7.1453799999999998E-3</v>
      </c>
      <c r="H53" s="113"/>
    </row>
    <row r="54" spans="1:8" ht="17.100000000000001" customHeight="1" x14ac:dyDescent="0.2">
      <c r="A54" s="3">
        <v>48</v>
      </c>
      <c r="B54" s="4" t="s">
        <v>125</v>
      </c>
      <c r="C54" s="4" t="s">
        <v>126</v>
      </c>
      <c r="D54" s="4" t="s">
        <v>13</v>
      </c>
      <c r="E54" s="5">
        <v>135962</v>
      </c>
      <c r="F54" s="6">
        <v>587.83170700000005</v>
      </c>
      <c r="G54" s="7">
        <v>7.1029800000000001E-3</v>
      </c>
      <c r="H54" s="113"/>
    </row>
    <row r="55" spans="1:8" ht="17.100000000000001" customHeight="1" x14ac:dyDescent="0.2">
      <c r="A55" s="3">
        <v>49</v>
      </c>
      <c r="B55" s="4" t="s">
        <v>127</v>
      </c>
      <c r="C55" s="4" t="s">
        <v>128</v>
      </c>
      <c r="D55" s="4" t="s">
        <v>41</v>
      </c>
      <c r="E55" s="5">
        <v>300000</v>
      </c>
      <c r="F55" s="6">
        <v>580.65</v>
      </c>
      <c r="G55" s="7">
        <v>7.0162000000000002E-3</v>
      </c>
      <c r="H55" s="113"/>
    </row>
    <row r="56" spans="1:8" ht="17.100000000000001" customHeight="1" x14ac:dyDescent="0.2">
      <c r="A56" s="3">
        <v>50</v>
      </c>
      <c r="B56" s="4" t="s">
        <v>129</v>
      </c>
      <c r="C56" s="4" t="s">
        <v>130</v>
      </c>
      <c r="D56" s="4" t="s">
        <v>56</v>
      </c>
      <c r="E56" s="5">
        <v>125000</v>
      </c>
      <c r="F56" s="6">
        <v>535.25</v>
      </c>
      <c r="G56" s="7">
        <v>6.4676200000000003E-3</v>
      </c>
      <c r="H56" s="113"/>
    </row>
    <row r="57" spans="1:8" ht="17.100000000000001" customHeight="1" x14ac:dyDescent="0.2">
      <c r="A57" s="3">
        <v>51</v>
      </c>
      <c r="B57" s="4" t="s">
        <v>131</v>
      </c>
      <c r="C57" s="4" t="s">
        <v>132</v>
      </c>
      <c r="D57" s="4" t="s">
        <v>34</v>
      </c>
      <c r="E57" s="5">
        <v>26000</v>
      </c>
      <c r="F57" s="6">
        <v>510.62700000000001</v>
      </c>
      <c r="G57" s="7">
        <v>6.1700899999999996E-3</v>
      </c>
      <c r="H57" s="113"/>
    </row>
    <row r="58" spans="1:8" ht="17.100000000000001" customHeight="1" x14ac:dyDescent="0.2">
      <c r="A58" s="3">
        <v>52</v>
      </c>
      <c r="B58" s="4" t="s">
        <v>133</v>
      </c>
      <c r="C58" s="4" t="s">
        <v>134</v>
      </c>
      <c r="D58" s="4" t="s">
        <v>34</v>
      </c>
      <c r="E58" s="5">
        <v>52907</v>
      </c>
      <c r="F58" s="6">
        <v>466.95718199999999</v>
      </c>
      <c r="G58" s="7">
        <v>5.6424099999999996E-3</v>
      </c>
      <c r="H58" s="113"/>
    </row>
    <row r="59" spans="1:8" ht="53.1" customHeight="1" x14ac:dyDescent="0.2">
      <c r="A59" s="3">
        <v>53</v>
      </c>
      <c r="B59" s="4" t="s">
        <v>135</v>
      </c>
      <c r="C59" s="4" t="s">
        <v>136</v>
      </c>
      <c r="D59" s="4" t="s">
        <v>102</v>
      </c>
      <c r="E59" s="5">
        <v>16500</v>
      </c>
      <c r="F59" s="6">
        <v>466.81799999999998</v>
      </c>
      <c r="G59" s="7">
        <v>5.64073E-3</v>
      </c>
      <c r="H59" s="113"/>
    </row>
    <row r="60" spans="1:8" ht="17.100000000000001" customHeight="1" x14ac:dyDescent="0.2">
      <c r="A60" s="3">
        <v>54</v>
      </c>
      <c r="B60" s="4" t="s">
        <v>137</v>
      </c>
      <c r="C60" s="4" t="s">
        <v>138</v>
      </c>
      <c r="D60" s="4" t="s">
        <v>19</v>
      </c>
      <c r="E60" s="5">
        <v>100000</v>
      </c>
      <c r="F60" s="6">
        <v>450.65</v>
      </c>
      <c r="G60" s="7">
        <v>5.4453699999999997E-3</v>
      </c>
      <c r="H60" s="113"/>
    </row>
    <row r="61" spans="1:8" ht="17.100000000000001" customHeight="1" x14ac:dyDescent="0.2">
      <c r="A61" s="3">
        <v>55</v>
      </c>
      <c r="B61" s="4" t="s">
        <v>139</v>
      </c>
      <c r="C61" s="4" t="s">
        <v>140</v>
      </c>
      <c r="D61" s="4" t="s">
        <v>46</v>
      </c>
      <c r="E61" s="5">
        <v>203072</v>
      </c>
      <c r="F61" s="6">
        <v>402.48870399999998</v>
      </c>
      <c r="G61" s="7">
        <v>4.8634200000000002E-3</v>
      </c>
      <c r="H61" s="113"/>
    </row>
    <row r="62" spans="1:8" ht="17.100000000000001" customHeight="1" x14ac:dyDescent="0.2">
      <c r="A62" s="3">
        <v>56</v>
      </c>
      <c r="B62" s="4" t="s">
        <v>141</v>
      </c>
      <c r="C62" s="4" t="s">
        <v>142</v>
      </c>
      <c r="D62" s="4" t="s">
        <v>46</v>
      </c>
      <c r="E62" s="5">
        <v>83340</v>
      </c>
      <c r="F62" s="6">
        <v>323.23419000000001</v>
      </c>
      <c r="G62" s="7">
        <v>3.9057599999999999E-3</v>
      </c>
      <c r="H62" s="113"/>
    </row>
    <row r="63" spans="1:8" ht="29.1" customHeight="1" x14ac:dyDescent="0.2">
      <c r="A63" s="3">
        <v>57</v>
      </c>
      <c r="B63" s="4" t="s">
        <v>143</v>
      </c>
      <c r="C63" s="4" t="s">
        <v>144</v>
      </c>
      <c r="D63" s="4" t="s">
        <v>145</v>
      </c>
      <c r="E63" s="5">
        <v>142109</v>
      </c>
      <c r="F63" s="6">
        <v>296.01304699999997</v>
      </c>
      <c r="G63" s="7">
        <v>3.57683E-3</v>
      </c>
      <c r="H63" s="113"/>
    </row>
    <row r="64" spans="1:8" ht="29.1" customHeight="1" x14ac:dyDescent="0.2">
      <c r="A64" s="3">
        <v>58</v>
      </c>
      <c r="B64" s="4" t="s">
        <v>146</v>
      </c>
      <c r="C64" s="4" t="s">
        <v>147</v>
      </c>
      <c r="D64" s="4" t="s">
        <v>53</v>
      </c>
      <c r="E64" s="5">
        <v>164000</v>
      </c>
      <c r="F64" s="6">
        <v>168.59200000000001</v>
      </c>
      <c r="G64" s="7">
        <v>2.0371600000000001E-3</v>
      </c>
      <c r="H64" s="113"/>
    </row>
    <row r="65" spans="1:8" ht="14.1" customHeight="1" x14ac:dyDescent="0.2">
      <c r="A65" s="1"/>
      <c r="B65" s="1"/>
      <c r="C65" s="2" t="s">
        <v>151</v>
      </c>
      <c r="D65" s="1"/>
      <c r="E65" s="1" t="s">
        <v>152</v>
      </c>
      <c r="F65" s="9">
        <v>80469.806873499998</v>
      </c>
      <c r="G65" s="10">
        <v>0.97234574000000007</v>
      </c>
      <c r="H65" s="113"/>
    </row>
    <row r="66" spans="1:8" ht="14.1" customHeight="1" x14ac:dyDescent="0.2">
      <c r="A66" s="1"/>
      <c r="B66" s="1"/>
      <c r="C66" s="11"/>
      <c r="D66" s="1"/>
      <c r="E66" s="1"/>
      <c r="F66" s="12"/>
      <c r="G66" s="12"/>
      <c r="H66" s="113"/>
    </row>
    <row r="67" spans="1:8" ht="14.1" customHeight="1" x14ac:dyDescent="0.2">
      <c r="A67" s="1"/>
      <c r="B67" s="1"/>
      <c r="C67" s="2" t="s">
        <v>153</v>
      </c>
      <c r="D67" s="1"/>
      <c r="E67" s="1"/>
      <c r="F67" s="1"/>
      <c r="G67" s="1"/>
      <c r="H67" s="113"/>
    </row>
    <row r="68" spans="1:8" ht="14.1" customHeight="1" x14ac:dyDescent="0.2">
      <c r="A68" s="1"/>
      <c r="B68" s="1"/>
      <c r="C68" s="2" t="s">
        <v>151</v>
      </c>
      <c r="D68" s="1"/>
      <c r="E68" s="1" t="s">
        <v>152</v>
      </c>
      <c r="F68" s="13" t="s">
        <v>154</v>
      </c>
      <c r="G68" s="10">
        <v>0</v>
      </c>
      <c r="H68" s="113"/>
    </row>
    <row r="69" spans="1:8" ht="14.1" customHeight="1" x14ac:dyDescent="0.2">
      <c r="A69" s="1"/>
      <c r="B69" s="1"/>
      <c r="C69" s="11"/>
      <c r="D69" s="1"/>
      <c r="E69" s="1"/>
      <c r="F69" s="12"/>
      <c r="G69" s="12"/>
      <c r="H69" s="113"/>
    </row>
    <row r="70" spans="1:8" ht="14.1" customHeight="1" x14ac:dyDescent="0.2">
      <c r="A70" s="1"/>
      <c r="B70" s="1"/>
      <c r="C70" s="2" t="s">
        <v>155</v>
      </c>
      <c r="D70" s="1"/>
      <c r="E70" s="1"/>
      <c r="F70" s="1"/>
      <c r="G70" s="1"/>
      <c r="H70" s="113"/>
    </row>
    <row r="71" spans="1:8" ht="17.100000000000001" customHeight="1" x14ac:dyDescent="0.2">
      <c r="A71" s="41">
        <v>1</v>
      </c>
      <c r="B71" s="40" t="s">
        <v>148</v>
      </c>
      <c r="C71" s="40" t="s">
        <v>905</v>
      </c>
      <c r="D71" s="4" t="s">
        <v>149</v>
      </c>
      <c r="E71" s="5">
        <v>559425</v>
      </c>
      <c r="F71" s="6">
        <v>1.1189000000000001E-5</v>
      </c>
      <c r="G71" s="8" t="s">
        <v>150</v>
      </c>
      <c r="H71" s="113"/>
    </row>
    <row r="72" spans="1:8" ht="14.1" customHeight="1" x14ac:dyDescent="0.2">
      <c r="A72" s="1"/>
      <c r="B72" s="1"/>
      <c r="C72" s="2" t="s">
        <v>151</v>
      </c>
      <c r="D72" s="1"/>
      <c r="E72" s="1" t="s">
        <v>152</v>
      </c>
      <c r="F72" s="9">
        <f>SUM(F71)</f>
        <v>1.1189000000000001E-5</v>
      </c>
      <c r="G72" s="10">
        <v>0</v>
      </c>
      <c r="H72" s="113"/>
    </row>
    <row r="73" spans="1:8" ht="14.1" customHeight="1" x14ac:dyDescent="0.2">
      <c r="A73" s="1"/>
      <c r="B73" s="1"/>
      <c r="C73" s="11"/>
      <c r="D73" s="1"/>
      <c r="E73" s="1"/>
      <c r="F73" s="12"/>
      <c r="G73" s="12"/>
      <c r="H73" s="113"/>
    </row>
    <row r="74" spans="1:8" ht="14.1" customHeight="1" x14ac:dyDescent="0.2">
      <c r="A74" s="1"/>
      <c r="B74" s="1"/>
      <c r="C74" s="2" t="s">
        <v>156</v>
      </c>
      <c r="D74" s="1"/>
      <c r="E74" s="1"/>
      <c r="F74" s="1"/>
      <c r="G74" s="1"/>
      <c r="H74" s="113"/>
    </row>
    <row r="75" spans="1:8" ht="14.1" customHeight="1" x14ac:dyDescent="0.2">
      <c r="A75" s="1"/>
      <c r="B75" s="1"/>
      <c r="C75" s="2" t="s">
        <v>151</v>
      </c>
      <c r="D75" s="1"/>
      <c r="E75" s="1" t="s">
        <v>152</v>
      </c>
      <c r="F75" s="13" t="s">
        <v>154</v>
      </c>
      <c r="G75" s="10">
        <v>0</v>
      </c>
      <c r="H75" s="113"/>
    </row>
    <row r="76" spans="1:8" ht="14.1" customHeight="1" x14ac:dyDescent="0.2">
      <c r="A76" s="1"/>
      <c r="B76" s="1"/>
      <c r="C76" s="11"/>
      <c r="D76" s="1"/>
      <c r="E76" s="1"/>
      <c r="F76" s="12"/>
      <c r="G76" s="12"/>
      <c r="H76" s="113"/>
    </row>
    <row r="77" spans="1:8" ht="14.1" customHeight="1" x14ac:dyDescent="0.2">
      <c r="A77" s="1"/>
      <c r="B77" s="1"/>
      <c r="C77" s="2" t="s">
        <v>157</v>
      </c>
      <c r="D77" s="1"/>
      <c r="E77" s="1"/>
      <c r="F77" s="12"/>
      <c r="G77" s="12"/>
      <c r="H77" s="113"/>
    </row>
    <row r="78" spans="1:8" ht="14.1" customHeight="1" x14ac:dyDescent="0.2">
      <c r="A78" s="1"/>
      <c r="B78" s="1"/>
      <c r="C78" s="2" t="s">
        <v>151</v>
      </c>
      <c r="D78" s="1"/>
      <c r="E78" s="1" t="s">
        <v>152</v>
      </c>
      <c r="F78" s="13" t="s">
        <v>154</v>
      </c>
      <c r="G78" s="10">
        <v>0</v>
      </c>
      <c r="H78" s="113"/>
    </row>
    <row r="79" spans="1:8" ht="14.1" customHeight="1" x14ac:dyDescent="0.2">
      <c r="A79" s="1"/>
      <c r="B79" s="1"/>
      <c r="C79" s="11"/>
      <c r="D79" s="1"/>
      <c r="E79" s="1"/>
      <c r="F79" s="12"/>
      <c r="G79" s="12"/>
      <c r="H79" s="113"/>
    </row>
    <row r="80" spans="1:8" ht="14.1" customHeight="1" x14ac:dyDescent="0.2">
      <c r="A80" s="1"/>
      <c r="B80" s="1"/>
      <c r="C80" s="2" t="s">
        <v>158</v>
      </c>
      <c r="D80" s="1"/>
      <c r="E80" s="1"/>
      <c r="F80" s="12"/>
      <c r="G80" s="12"/>
      <c r="H80" s="113"/>
    </row>
    <row r="81" spans="1:8" ht="14.1" customHeight="1" x14ac:dyDescent="0.2">
      <c r="A81" s="1"/>
      <c r="B81" s="1"/>
      <c r="C81" s="2" t="s">
        <v>151</v>
      </c>
      <c r="D81" s="1"/>
      <c r="E81" s="1" t="s">
        <v>152</v>
      </c>
      <c r="F81" s="13" t="s">
        <v>154</v>
      </c>
      <c r="G81" s="10">
        <v>0</v>
      </c>
      <c r="H81" s="113"/>
    </row>
    <row r="82" spans="1:8" ht="14.1" customHeight="1" x14ac:dyDescent="0.2">
      <c r="A82" s="1"/>
      <c r="B82" s="1"/>
      <c r="C82" s="11"/>
      <c r="D82" s="1"/>
      <c r="E82" s="1"/>
      <c r="F82" s="12"/>
      <c r="G82" s="12"/>
      <c r="H82" s="113"/>
    </row>
    <row r="83" spans="1:8" ht="18" customHeight="1" x14ac:dyDescent="0.2">
      <c r="A83" s="1"/>
      <c r="B83" s="1"/>
      <c r="C83" s="2" t="s">
        <v>159</v>
      </c>
      <c r="D83" s="1"/>
      <c r="E83" s="1"/>
      <c r="F83" s="9">
        <v>80469.806884688995</v>
      </c>
      <c r="G83" s="10">
        <v>0.97234573999999996</v>
      </c>
      <c r="H83" s="113"/>
    </row>
    <row r="84" spans="1:8" ht="14.1" customHeight="1" x14ac:dyDescent="0.2">
      <c r="A84" s="1"/>
      <c r="B84" s="1"/>
      <c r="C84" s="11"/>
      <c r="D84" s="1"/>
      <c r="E84" s="1"/>
      <c r="F84" s="12"/>
      <c r="G84" s="12"/>
      <c r="H84" s="113"/>
    </row>
    <row r="85" spans="1:8" ht="14.1" customHeight="1" x14ac:dyDescent="0.2">
      <c r="A85" s="1"/>
      <c r="B85" s="1"/>
      <c r="C85" s="2" t="s">
        <v>160</v>
      </c>
      <c r="D85" s="1"/>
      <c r="E85" s="1"/>
      <c r="F85" s="12"/>
      <c r="G85" s="12"/>
      <c r="H85" s="113"/>
    </row>
    <row r="86" spans="1:8" ht="24" customHeight="1" x14ac:dyDescent="0.2">
      <c r="A86" s="1"/>
      <c r="B86" s="1"/>
      <c r="C86" s="2" t="s">
        <v>10</v>
      </c>
      <c r="D86" s="1"/>
      <c r="E86" s="1"/>
      <c r="F86" s="12"/>
      <c r="G86" s="12"/>
      <c r="H86" s="113"/>
    </row>
    <row r="87" spans="1:8" ht="14.1" customHeight="1" x14ac:dyDescent="0.2">
      <c r="A87" s="1"/>
      <c r="B87" s="1"/>
      <c r="C87" s="2" t="s">
        <v>151</v>
      </c>
      <c r="D87" s="1"/>
      <c r="E87" s="1" t="s">
        <v>152</v>
      </c>
      <c r="F87" s="13" t="s">
        <v>154</v>
      </c>
      <c r="G87" s="10">
        <v>0</v>
      </c>
      <c r="H87" s="113"/>
    </row>
    <row r="88" spans="1:8" ht="14.1" customHeight="1" x14ac:dyDescent="0.2">
      <c r="A88" s="1"/>
      <c r="B88" s="1"/>
      <c r="C88" s="11"/>
      <c r="D88" s="1"/>
      <c r="E88" s="1"/>
      <c r="F88" s="12"/>
      <c r="G88" s="12"/>
      <c r="H88" s="113"/>
    </row>
    <row r="89" spans="1:8" ht="14.1" customHeight="1" x14ac:dyDescent="0.2">
      <c r="A89" s="1"/>
      <c r="B89" s="1"/>
      <c r="C89" s="2" t="s">
        <v>161</v>
      </c>
      <c r="D89" s="1"/>
      <c r="E89" s="1"/>
      <c r="F89" s="1"/>
      <c r="G89" s="1"/>
      <c r="H89" s="113"/>
    </row>
    <row r="90" spans="1:8" ht="14.1" customHeight="1" x14ac:dyDescent="0.2">
      <c r="A90" s="1"/>
      <c r="B90" s="1"/>
      <c r="C90" s="2" t="s">
        <v>151</v>
      </c>
      <c r="D90" s="1"/>
      <c r="E90" s="1" t="s">
        <v>152</v>
      </c>
      <c r="F90" s="13" t="s">
        <v>154</v>
      </c>
      <c r="G90" s="10">
        <v>0</v>
      </c>
      <c r="H90" s="113"/>
    </row>
    <row r="91" spans="1:8" ht="14.1" customHeight="1" x14ac:dyDescent="0.2">
      <c r="A91" s="1"/>
      <c r="B91" s="1"/>
      <c r="C91" s="11"/>
      <c r="D91" s="1"/>
      <c r="E91" s="1"/>
      <c r="F91" s="12"/>
      <c r="G91" s="12"/>
      <c r="H91" s="113"/>
    </row>
    <row r="92" spans="1:8" ht="14.1" customHeight="1" x14ac:dyDescent="0.2">
      <c r="A92" s="1"/>
      <c r="B92" s="1"/>
      <c r="C92" s="2" t="s">
        <v>162</v>
      </c>
      <c r="D92" s="1"/>
      <c r="E92" s="1"/>
      <c r="F92" s="1"/>
      <c r="G92" s="1"/>
      <c r="H92" s="113"/>
    </row>
    <row r="93" spans="1:8" ht="14.1" customHeight="1" x14ac:dyDescent="0.2">
      <c r="A93" s="1"/>
      <c r="B93" s="1"/>
      <c r="C93" s="2" t="s">
        <v>151</v>
      </c>
      <c r="D93" s="1"/>
      <c r="E93" s="1" t="s">
        <v>152</v>
      </c>
      <c r="F93" s="13" t="s">
        <v>154</v>
      </c>
      <c r="G93" s="10">
        <v>0</v>
      </c>
      <c r="H93" s="113"/>
    </row>
    <row r="94" spans="1:8" ht="14.1" customHeight="1" x14ac:dyDescent="0.2">
      <c r="A94" s="1"/>
      <c r="B94" s="1"/>
      <c r="C94" s="11"/>
      <c r="D94" s="1"/>
      <c r="E94" s="1"/>
      <c r="F94" s="12"/>
      <c r="G94" s="12"/>
      <c r="H94" s="113"/>
    </row>
    <row r="95" spans="1:8" ht="14.1" customHeight="1" x14ac:dyDescent="0.2">
      <c r="A95" s="1"/>
      <c r="B95" s="1"/>
      <c r="C95" s="2" t="s">
        <v>163</v>
      </c>
      <c r="D95" s="1"/>
      <c r="E95" s="1"/>
      <c r="F95" s="12"/>
      <c r="G95" s="12"/>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14.1" customHeight="1" x14ac:dyDescent="0.2">
      <c r="A98" s="1"/>
      <c r="B98" s="1"/>
      <c r="C98" s="2" t="s">
        <v>164</v>
      </c>
      <c r="D98" s="1"/>
      <c r="E98" s="1"/>
      <c r="F98" s="9">
        <v>0</v>
      </c>
      <c r="G98" s="10">
        <v>0</v>
      </c>
      <c r="H98" s="113"/>
    </row>
    <row r="99" spans="1:8" ht="14.1" customHeight="1" x14ac:dyDescent="0.2">
      <c r="A99" s="1"/>
      <c r="B99" s="1"/>
      <c r="C99" s="11"/>
      <c r="D99" s="1"/>
      <c r="E99" s="1"/>
      <c r="F99" s="12"/>
      <c r="G99" s="12"/>
      <c r="H99" s="113"/>
    </row>
    <row r="100" spans="1:8" ht="14.1" customHeight="1" x14ac:dyDescent="0.2">
      <c r="A100" s="1"/>
      <c r="B100" s="1"/>
      <c r="C100" s="2" t="s">
        <v>165</v>
      </c>
      <c r="D100" s="1"/>
      <c r="E100" s="1"/>
      <c r="F100" s="12"/>
      <c r="G100" s="12"/>
      <c r="H100" s="113"/>
    </row>
    <row r="101" spans="1:8" ht="14.1" customHeight="1" x14ac:dyDescent="0.2">
      <c r="A101" s="1"/>
      <c r="B101" s="1"/>
      <c r="C101" s="2" t="s">
        <v>166</v>
      </c>
      <c r="D101" s="1"/>
      <c r="E101" s="1"/>
      <c r="F101" s="12"/>
      <c r="G101" s="12"/>
      <c r="H101" s="113"/>
    </row>
    <row r="102" spans="1:8" ht="14.1" customHeight="1" x14ac:dyDescent="0.2">
      <c r="A102" s="1"/>
      <c r="B102" s="1"/>
      <c r="C102" s="2" t="s">
        <v>151</v>
      </c>
      <c r="D102" s="1"/>
      <c r="E102" s="1" t="s">
        <v>152</v>
      </c>
      <c r="F102" s="13" t="s">
        <v>154</v>
      </c>
      <c r="G102" s="10">
        <v>0</v>
      </c>
      <c r="H102" s="113"/>
    </row>
    <row r="103" spans="1:8" ht="14.1" customHeight="1" x14ac:dyDescent="0.2">
      <c r="A103" s="1"/>
      <c r="B103" s="1"/>
      <c r="C103" s="11"/>
      <c r="D103" s="1"/>
      <c r="E103" s="1"/>
      <c r="F103" s="12"/>
      <c r="G103" s="12"/>
      <c r="H103" s="113"/>
    </row>
    <row r="104" spans="1:8" ht="14.1" customHeight="1" x14ac:dyDescent="0.2">
      <c r="A104" s="1"/>
      <c r="B104" s="1"/>
      <c r="C104" s="2" t="s">
        <v>167</v>
      </c>
      <c r="D104" s="1"/>
      <c r="E104" s="1"/>
      <c r="F104" s="12"/>
      <c r="G104" s="12"/>
      <c r="H104" s="113"/>
    </row>
    <row r="105" spans="1:8" ht="14.1" customHeight="1" x14ac:dyDescent="0.2">
      <c r="A105" s="1"/>
      <c r="B105" s="1"/>
      <c r="C105" s="2" t="s">
        <v>151</v>
      </c>
      <c r="D105" s="1"/>
      <c r="E105" s="1" t="s">
        <v>152</v>
      </c>
      <c r="F105" s="13" t="s">
        <v>154</v>
      </c>
      <c r="G105" s="10">
        <v>0</v>
      </c>
      <c r="H105" s="113"/>
    </row>
    <row r="106" spans="1:8" ht="14.1" customHeight="1" x14ac:dyDescent="0.2">
      <c r="A106" s="1"/>
      <c r="B106" s="1"/>
      <c r="C106" s="11"/>
      <c r="D106" s="1"/>
      <c r="E106" s="1"/>
      <c r="F106" s="12"/>
      <c r="G106" s="12"/>
      <c r="H106" s="113"/>
    </row>
    <row r="107" spans="1:8" ht="14.1" customHeight="1" x14ac:dyDescent="0.2">
      <c r="A107" s="1"/>
      <c r="B107" s="1"/>
      <c r="C107" s="2" t="s">
        <v>168</v>
      </c>
      <c r="D107" s="1"/>
      <c r="E107" s="1"/>
      <c r="F107" s="12"/>
      <c r="G107" s="12"/>
      <c r="H107" s="113"/>
    </row>
    <row r="108" spans="1:8" ht="14.1" customHeight="1" x14ac:dyDescent="0.2">
      <c r="A108" s="1"/>
      <c r="B108" s="1"/>
      <c r="C108" s="2" t="s">
        <v>151</v>
      </c>
      <c r="D108" s="1"/>
      <c r="E108" s="1" t="s">
        <v>152</v>
      </c>
      <c r="F108" s="13" t="s">
        <v>154</v>
      </c>
      <c r="G108" s="10">
        <v>0</v>
      </c>
      <c r="H108" s="113"/>
    </row>
    <row r="109" spans="1:8" ht="14.1" customHeight="1" x14ac:dyDescent="0.2">
      <c r="A109" s="1"/>
      <c r="B109" s="1"/>
      <c r="C109" s="11"/>
      <c r="D109" s="1"/>
      <c r="E109" s="1"/>
      <c r="F109" s="12"/>
      <c r="G109" s="12"/>
      <c r="H109" s="113"/>
    </row>
    <row r="110" spans="1:8" ht="14.1" customHeight="1" x14ac:dyDescent="0.2">
      <c r="A110" s="1"/>
      <c r="B110" s="1"/>
      <c r="C110" s="2" t="s">
        <v>169</v>
      </c>
      <c r="D110" s="1"/>
      <c r="E110" s="1"/>
      <c r="F110" s="12"/>
      <c r="G110" s="12"/>
      <c r="H110" s="113"/>
    </row>
    <row r="111" spans="1:8" ht="17.100000000000001" customHeight="1" x14ac:dyDescent="0.2">
      <c r="A111" s="3">
        <v>1</v>
      </c>
      <c r="B111" s="4"/>
      <c r="C111" s="4" t="s">
        <v>170</v>
      </c>
      <c r="D111" s="4"/>
      <c r="E111" s="8"/>
      <c r="F111" s="6">
        <v>2120.4888540070001</v>
      </c>
      <c r="G111" s="7">
        <v>2.562263E-2</v>
      </c>
      <c r="H111" s="113">
        <v>6.7600000000000016</v>
      </c>
    </row>
    <row r="112" spans="1:8" ht="14.1" customHeight="1" x14ac:dyDescent="0.2">
      <c r="A112" s="1"/>
      <c r="B112" s="1"/>
      <c r="C112" s="2" t="s">
        <v>151</v>
      </c>
      <c r="D112" s="1"/>
      <c r="E112" s="1" t="s">
        <v>152</v>
      </c>
      <c r="F112" s="9">
        <v>2120.4888540070001</v>
      </c>
      <c r="G112" s="10">
        <v>2.562263E-2</v>
      </c>
      <c r="H112" s="113"/>
    </row>
    <row r="113" spans="1:8" ht="14.1" customHeight="1" x14ac:dyDescent="0.2">
      <c r="A113" s="1"/>
      <c r="B113" s="1"/>
      <c r="C113" s="11"/>
      <c r="D113" s="1"/>
      <c r="E113" s="1"/>
      <c r="F113" s="12"/>
      <c r="G113" s="12"/>
      <c r="H113" s="113"/>
    </row>
    <row r="114" spans="1:8" ht="14.1" customHeight="1" x14ac:dyDescent="0.2">
      <c r="A114" s="1"/>
      <c r="B114" s="1"/>
      <c r="C114" s="2" t="s">
        <v>171</v>
      </c>
      <c r="D114" s="1"/>
      <c r="E114" s="1"/>
      <c r="F114" s="9">
        <v>2120.4888540070001</v>
      </c>
      <c r="G114" s="10">
        <v>2.562263E-2</v>
      </c>
      <c r="H114" s="113"/>
    </row>
    <row r="115" spans="1:8" ht="14.1" customHeight="1" x14ac:dyDescent="0.2">
      <c r="A115" s="1"/>
      <c r="B115" s="1"/>
      <c r="C115" s="12"/>
      <c r="D115" s="1"/>
      <c r="E115" s="1"/>
      <c r="F115" s="1"/>
      <c r="G115" s="1"/>
      <c r="H115" s="113"/>
    </row>
    <row r="116" spans="1:8" ht="14.1" customHeight="1" x14ac:dyDescent="0.2">
      <c r="A116" s="1"/>
      <c r="B116" s="1"/>
      <c r="C116" s="2" t="s">
        <v>172</v>
      </c>
      <c r="D116" s="1"/>
      <c r="E116" s="1"/>
      <c r="F116" s="1"/>
      <c r="G116" s="1"/>
      <c r="H116" s="113"/>
    </row>
    <row r="117" spans="1:8" ht="14.1" customHeight="1" x14ac:dyDescent="0.2">
      <c r="A117" s="1"/>
      <c r="B117" s="1"/>
      <c r="C117" s="2" t="s">
        <v>173</v>
      </c>
      <c r="D117" s="1"/>
      <c r="E117" s="1"/>
      <c r="F117" s="1"/>
      <c r="G117" s="1"/>
      <c r="H117" s="113"/>
    </row>
    <row r="118" spans="1:8" ht="14.1" customHeight="1" x14ac:dyDescent="0.2">
      <c r="A118" s="1"/>
      <c r="B118" s="1"/>
      <c r="C118" s="2" t="s">
        <v>151</v>
      </c>
      <c r="D118" s="1"/>
      <c r="E118" s="1" t="s">
        <v>152</v>
      </c>
      <c r="F118" s="13" t="s">
        <v>154</v>
      </c>
      <c r="G118" s="10">
        <v>0</v>
      </c>
      <c r="H118" s="113"/>
    </row>
    <row r="119" spans="1:8" ht="14.1" customHeight="1" x14ac:dyDescent="0.2">
      <c r="A119" s="1"/>
      <c r="B119" s="1"/>
      <c r="C119" s="11"/>
      <c r="D119" s="1"/>
      <c r="E119" s="1"/>
      <c r="F119" s="12"/>
      <c r="G119" s="12"/>
      <c r="H119" s="113"/>
    </row>
    <row r="120" spans="1:8" ht="14.1" customHeight="1" x14ac:dyDescent="0.2">
      <c r="A120" s="1"/>
      <c r="B120" s="1"/>
      <c r="C120" s="2" t="s">
        <v>174</v>
      </c>
      <c r="D120" s="1"/>
      <c r="E120" s="1"/>
      <c r="F120" s="1"/>
      <c r="G120" s="1"/>
      <c r="H120" s="113"/>
    </row>
    <row r="121" spans="1:8" ht="14.1" customHeight="1" x14ac:dyDescent="0.2">
      <c r="A121" s="1"/>
      <c r="B121" s="1"/>
      <c r="C121" s="2" t="s">
        <v>175</v>
      </c>
      <c r="D121" s="1"/>
      <c r="E121" s="1"/>
      <c r="F121" s="1"/>
      <c r="G121" s="1"/>
      <c r="H121" s="113"/>
    </row>
    <row r="122" spans="1:8" ht="14.1" customHeight="1" x14ac:dyDescent="0.2">
      <c r="A122" s="1"/>
      <c r="B122" s="1"/>
      <c r="C122" s="2" t="s">
        <v>151</v>
      </c>
      <c r="D122" s="1"/>
      <c r="E122" s="1" t="s">
        <v>152</v>
      </c>
      <c r="F122" s="13" t="s">
        <v>154</v>
      </c>
      <c r="G122" s="10">
        <v>0</v>
      </c>
      <c r="H122" s="113"/>
    </row>
    <row r="123" spans="1:8" ht="14.1" customHeight="1" x14ac:dyDescent="0.2">
      <c r="A123" s="1"/>
      <c r="B123" s="1"/>
      <c r="C123" s="11"/>
      <c r="D123" s="1"/>
      <c r="E123" s="1"/>
      <c r="F123" s="12"/>
      <c r="G123" s="12"/>
      <c r="H123" s="113"/>
    </row>
    <row r="124" spans="1:8" ht="24" customHeight="1" x14ac:dyDescent="0.2">
      <c r="A124" s="1"/>
      <c r="B124" s="1"/>
      <c r="C124" s="2" t="s">
        <v>176</v>
      </c>
      <c r="D124" s="1"/>
      <c r="E124" s="1"/>
      <c r="F124" s="12"/>
      <c r="G124" s="12"/>
      <c r="H124" s="113"/>
    </row>
    <row r="125" spans="1:8" ht="14.1" customHeight="1" x14ac:dyDescent="0.2">
      <c r="A125" s="1"/>
      <c r="B125" s="1"/>
      <c r="C125" s="2" t="s">
        <v>151</v>
      </c>
      <c r="D125" s="1"/>
      <c r="E125" s="1" t="s">
        <v>152</v>
      </c>
      <c r="F125" s="13" t="s">
        <v>154</v>
      </c>
      <c r="G125" s="10">
        <v>0</v>
      </c>
      <c r="H125" s="113"/>
    </row>
    <row r="126" spans="1:8" ht="14.1" customHeight="1" x14ac:dyDescent="0.2">
      <c r="A126" s="1"/>
      <c r="B126" s="1"/>
      <c r="C126" s="11"/>
      <c r="D126" s="1"/>
      <c r="E126" s="1"/>
      <c r="F126" s="12"/>
      <c r="G126" s="12"/>
      <c r="H126" s="113"/>
    </row>
    <row r="127" spans="1:8" ht="14.1" customHeight="1" x14ac:dyDescent="0.2">
      <c r="A127" s="1"/>
      <c r="B127" s="4"/>
      <c r="C127" s="4"/>
      <c r="D127" s="2"/>
      <c r="E127" s="1"/>
      <c r="F127" s="4"/>
      <c r="G127" s="8"/>
      <c r="H127" s="113"/>
    </row>
    <row r="128" spans="1:8" ht="18" customHeight="1" x14ac:dyDescent="0.2">
      <c r="A128" s="8"/>
      <c r="B128" s="4"/>
      <c r="C128" s="4" t="s">
        <v>177</v>
      </c>
      <c r="D128" s="4"/>
      <c r="E128" s="8"/>
      <c r="F128" s="6">
        <v>168.13701989</v>
      </c>
      <c r="G128" s="7">
        <v>2.0316599999999998E-3</v>
      </c>
      <c r="H128" s="113"/>
    </row>
    <row r="129" spans="1:8" ht="14.1" customHeight="1" x14ac:dyDescent="0.2">
      <c r="A129" s="11"/>
      <c r="B129" s="11"/>
      <c r="C129" s="2" t="s">
        <v>178</v>
      </c>
      <c r="D129" s="12"/>
      <c r="E129" s="12"/>
      <c r="F129" s="9">
        <v>82758.432758586001</v>
      </c>
      <c r="G129" s="14">
        <v>1.00000003</v>
      </c>
      <c r="H129" s="113"/>
    </row>
    <row r="130" spans="1:8" ht="14.1" customHeight="1" x14ac:dyDescent="0.2">
      <c r="A130" s="15"/>
      <c r="B130" s="15"/>
      <c r="C130" s="15"/>
      <c r="D130" s="16"/>
      <c r="E130" s="16"/>
      <c r="F130" s="16"/>
      <c r="G130" s="16"/>
    </row>
    <row r="131" spans="1:8" ht="17.100000000000001" customHeight="1" x14ac:dyDescent="0.2">
      <c r="A131" s="17"/>
      <c r="B131" s="207" t="s">
        <v>179</v>
      </c>
      <c r="C131" s="207"/>
      <c r="D131" s="207"/>
      <c r="E131" s="207"/>
      <c r="F131" s="207"/>
      <c r="G131" s="19"/>
    </row>
    <row r="132" spans="1:8" ht="14.1" customHeight="1" x14ac:dyDescent="0.2">
      <c r="A132" s="17"/>
      <c r="B132" s="17"/>
      <c r="C132" s="17"/>
      <c r="D132" s="19"/>
      <c r="E132" s="19"/>
      <c r="F132" s="19"/>
      <c r="G132" s="19"/>
    </row>
    <row r="133" spans="1:8" ht="14.1" customHeight="1" x14ac:dyDescent="0.2">
      <c r="A133" s="17"/>
      <c r="B133" s="208" t="s">
        <v>180</v>
      </c>
      <c r="C133" s="209"/>
      <c r="D133" s="210"/>
      <c r="E133" s="20"/>
      <c r="F133" s="19"/>
      <c r="G133" s="19"/>
    </row>
    <row r="134" spans="1:8" ht="29.1" customHeight="1" x14ac:dyDescent="0.2">
      <c r="A134" s="17"/>
      <c r="B134" s="205" t="s">
        <v>181</v>
      </c>
      <c r="C134" s="206"/>
      <c r="D134" s="2" t="s">
        <v>182</v>
      </c>
      <c r="E134" s="20"/>
      <c r="F134" s="19"/>
      <c r="G134" s="19"/>
    </row>
    <row r="135" spans="1:8" ht="17.100000000000001" customHeight="1" x14ac:dyDescent="0.2">
      <c r="A135" s="45"/>
      <c r="B135" s="215" t="s">
        <v>906</v>
      </c>
      <c r="C135" s="216"/>
      <c r="D135" s="46" t="s">
        <v>907</v>
      </c>
      <c r="E135" s="47"/>
      <c r="F135" s="48"/>
      <c r="G135" s="48"/>
    </row>
    <row r="136" spans="1:8" ht="17.100000000000001" customHeight="1" x14ac:dyDescent="0.2">
      <c r="A136" s="17"/>
      <c r="B136" s="205" t="s">
        <v>184</v>
      </c>
      <c r="C136" s="206"/>
      <c r="D136" s="12" t="s">
        <v>152</v>
      </c>
      <c r="E136" s="20"/>
      <c r="F136" s="19"/>
      <c r="G136" s="19"/>
    </row>
    <row r="137" spans="1:8" ht="25.5" x14ac:dyDescent="0.2">
      <c r="A137" s="21"/>
      <c r="B137" s="22" t="s">
        <v>152</v>
      </c>
      <c r="C137" s="22" t="s">
        <v>185</v>
      </c>
      <c r="D137" s="22" t="s">
        <v>186</v>
      </c>
      <c r="E137" s="21"/>
      <c r="F137" s="21"/>
      <c r="G137" s="21"/>
    </row>
    <row r="138" spans="1:8" ht="18" customHeight="1" x14ac:dyDescent="0.2">
      <c r="A138" s="21"/>
      <c r="B138" s="23" t="s">
        <v>187</v>
      </c>
      <c r="C138" s="22" t="s">
        <v>188</v>
      </c>
      <c r="D138" s="22" t="s">
        <v>189</v>
      </c>
      <c r="E138" s="21"/>
      <c r="F138" s="21"/>
      <c r="G138" s="21"/>
    </row>
    <row r="139" spans="1:8" ht="17.100000000000001" customHeight="1" x14ac:dyDescent="0.2">
      <c r="A139" s="21"/>
      <c r="B139" s="4" t="s">
        <v>190</v>
      </c>
      <c r="C139" s="24">
        <v>72.839200000000005</v>
      </c>
      <c r="D139" s="24">
        <v>79.497600000000006</v>
      </c>
      <c r="E139" s="21"/>
      <c r="F139" s="18"/>
      <c r="G139" s="25"/>
    </row>
    <row r="140" spans="1:8" ht="17.100000000000001" customHeight="1" x14ac:dyDescent="0.2">
      <c r="A140" s="21"/>
      <c r="B140" s="4" t="s">
        <v>1033</v>
      </c>
      <c r="C140" s="24">
        <v>48.539299999999997</v>
      </c>
      <c r="D140" s="24">
        <v>52.976399999999998</v>
      </c>
      <c r="E140" s="21"/>
      <c r="F140" s="18"/>
      <c r="G140" s="25"/>
    </row>
    <row r="141" spans="1:8" ht="17.100000000000001" customHeight="1" x14ac:dyDescent="0.2">
      <c r="A141" s="21"/>
      <c r="B141" s="4" t="s">
        <v>191</v>
      </c>
      <c r="C141" s="24">
        <v>68.794300000000007</v>
      </c>
      <c r="D141" s="24">
        <v>75.048599999999993</v>
      </c>
      <c r="E141" s="21"/>
      <c r="F141" s="18"/>
      <c r="G141" s="25"/>
    </row>
    <row r="142" spans="1:8" ht="17.100000000000001" customHeight="1" x14ac:dyDescent="0.2">
      <c r="A142" s="21"/>
      <c r="B142" s="4" t="s">
        <v>1034</v>
      </c>
      <c r="C142" s="24">
        <v>45.611400000000003</v>
      </c>
      <c r="D142" s="24">
        <v>49.758099999999999</v>
      </c>
      <c r="E142" s="21"/>
      <c r="F142" s="18"/>
      <c r="G142" s="25"/>
    </row>
    <row r="143" spans="1:8" ht="14.1" customHeight="1" x14ac:dyDescent="0.2">
      <c r="A143" s="21"/>
      <c r="B143" s="21"/>
      <c r="C143" s="21"/>
      <c r="D143" s="21"/>
      <c r="E143" s="21"/>
      <c r="F143" s="21"/>
      <c r="G143" s="21"/>
    </row>
    <row r="144" spans="1:8" ht="17.100000000000001" customHeight="1" x14ac:dyDescent="0.2">
      <c r="A144" s="21"/>
      <c r="B144" s="215" t="s">
        <v>1035</v>
      </c>
      <c r="C144" s="206"/>
      <c r="D144" s="2" t="s">
        <v>182</v>
      </c>
      <c r="E144" s="21"/>
      <c r="F144" s="21"/>
      <c r="G144" s="21"/>
    </row>
    <row r="145" spans="1:7" ht="18" customHeight="1" x14ac:dyDescent="0.2">
      <c r="A145" s="21"/>
      <c r="B145" s="26"/>
      <c r="C145" s="26"/>
      <c r="D145" s="26"/>
      <c r="E145" s="21"/>
      <c r="F145" s="21"/>
      <c r="G145" s="21"/>
    </row>
    <row r="146" spans="1:7" ht="29.1" customHeight="1" x14ac:dyDescent="0.2">
      <c r="A146" s="21"/>
      <c r="B146" s="205" t="s">
        <v>192</v>
      </c>
      <c r="C146" s="206"/>
      <c r="D146" s="2" t="s">
        <v>182</v>
      </c>
      <c r="E146" s="27"/>
      <c r="F146" s="21"/>
      <c r="G146" s="21"/>
    </row>
    <row r="147" spans="1:7" ht="29.1" customHeight="1" x14ac:dyDescent="0.2">
      <c r="A147" s="21"/>
      <c r="B147" s="205" t="s">
        <v>193</v>
      </c>
      <c r="C147" s="206"/>
      <c r="D147" s="2" t="s">
        <v>182</v>
      </c>
      <c r="E147" s="27"/>
      <c r="F147" s="21"/>
      <c r="G147" s="21"/>
    </row>
    <row r="148" spans="1:7" ht="17.100000000000001" customHeight="1" x14ac:dyDescent="0.2">
      <c r="A148" s="21"/>
      <c r="B148" s="205" t="s">
        <v>194</v>
      </c>
      <c r="C148" s="206"/>
      <c r="D148" s="2" t="s">
        <v>182</v>
      </c>
      <c r="E148" s="27"/>
      <c r="F148" s="21"/>
      <c r="G148" s="21"/>
    </row>
    <row r="149" spans="1:7" ht="17.100000000000001" customHeight="1" x14ac:dyDescent="0.2">
      <c r="A149" s="21"/>
      <c r="B149" s="205" t="s">
        <v>195</v>
      </c>
      <c r="C149" s="206"/>
      <c r="D149" s="28">
        <v>0.26934701101440911</v>
      </c>
      <c r="E149" s="21"/>
      <c r="F149" s="18"/>
      <c r="G149" s="25"/>
    </row>
  </sheetData>
  <mergeCells count="14">
    <mergeCell ref="B149:C149"/>
    <mergeCell ref="B135:C135"/>
    <mergeCell ref="B136:C136"/>
    <mergeCell ref="B144:C144"/>
    <mergeCell ref="B146:C146"/>
    <mergeCell ref="B147:C147"/>
    <mergeCell ref="B148:C148"/>
    <mergeCell ref="J2:N2"/>
    <mergeCell ref="B134:C134"/>
    <mergeCell ref="B131:F131"/>
    <mergeCell ref="B133:D133"/>
    <mergeCell ref="A1:H1"/>
    <mergeCell ref="A2:H2"/>
    <mergeCell ref="A3:H3"/>
  </mergeCells>
  <hyperlinks>
    <hyperlink ref="I1" location="Index!B2" display="Index" xr:uid="{304349D0-3612-4ACF-9410-6C27EEE2F7DC}"/>
  </hyperlink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D84C2-B733-411E-9DDD-4B6E4DD6C393}">
  <sheetPr>
    <outlinePr summaryBelow="0" summaryRight="0"/>
  </sheetPr>
  <dimension ref="A1:N9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140625" style="195"/>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14" ht="18" customHeight="1" x14ac:dyDescent="0.2">
      <c r="A1" s="211" t="s">
        <v>0</v>
      </c>
      <c r="B1" s="211"/>
      <c r="C1" s="211"/>
      <c r="D1" s="211"/>
      <c r="E1" s="211"/>
      <c r="F1" s="211"/>
      <c r="G1" s="211"/>
      <c r="H1" s="211"/>
      <c r="I1" s="192" t="s">
        <v>1142</v>
      </c>
      <c r="J1" s="116"/>
      <c r="K1" s="116"/>
      <c r="L1" s="116"/>
      <c r="M1" s="116"/>
      <c r="N1" s="116"/>
    </row>
    <row r="2" spans="1:14" ht="17.100000000000001" customHeight="1" x14ac:dyDescent="0.2">
      <c r="A2" s="212" t="s">
        <v>855</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c r="J3" s="116"/>
      <c r="K3" s="116"/>
      <c r="L3" s="116"/>
      <c r="M3" s="116"/>
      <c r="N3" s="116"/>
    </row>
    <row r="4" spans="1:14" s="115" customFormat="1" ht="30" x14ac:dyDescent="0.2">
      <c r="A4" s="114" t="s">
        <v>2</v>
      </c>
      <c r="B4" s="114" t="s">
        <v>3</v>
      </c>
      <c r="C4" s="114" t="s">
        <v>4</v>
      </c>
      <c r="D4" s="114" t="s">
        <v>5</v>
      </c>
      <c r="E4" s="114" t="s">
        <v>6</v>
      </c>
      <c r="F4" s="114" t="s">
        <v>7</v>
      </c>
      <c r="G4" s="114" t="s">
        <v>8</v>
      </c>
      <c r="H4" s="112" t="s">
        <v>1030</v>
      </c>
      <c r="I4" s="196"/>
      <c r="J4" s="116"/>
      <c r="K4" s="116"/>
      <c r="L4" s="116"/>
      <c r="M4" s="116"/>
      <c r="N4" s="116"/>
    </row>
    <row r="5" spans="1:14" ht="14.1" customHeight="1" x14ac:dyDescent="0.2">
      <c r="A5" s="1"/>
      <c r="B5" s="1"/>
      <c r="C5" s="2" t="s">
        <v>9</v>
      </c>
      <c r="D5" s="1"/>
      <c r="E5" s="1"/>
      <c r="F5" s="1"/>
      <c r="G5" s="1"/>
      <c r="H5" s="113"/>
      <c r="J5" s="116"/>
      <c r="K5" s="116"/>
      <c r="L5" s="116"/>
      <c r="M5" s="116"/>
      <c r="N5" s="116"/>
    </row>
    <row r="6" spans="1:14" ht="24" customHeight="1" x14ac:dyDescent="0.2">
      <c r="A6" s="1"/>
      <c r="B6" s="1"/>
      <c r="C6" s="2" t="s">
        <v>10</v>
      </c>
      <c r="D6" s="1"/>
      <c r="E6" s="1"/>
      <c r="F6" s="1"/>
      <c r="G6" s="1"/>
      <c r="H6" s="113"/>
      <c r="J6" s="116"/>
      <c r="K6" s="116"/>
      <c r="L6" s="116"/>
      <c r="M6" s="116"/>
      <c r="N6" s="116"/>
    </row>
    <row r="7" spans="1:14" ht="14.1" customHeight="1" x14ac:dyDescent="0.2">
      <c r="A7" s="1"/>
      <c r="B7" s="1"/>
      <c r="C7" s="2" t="s">
        <v>151</v>
      </c>
      <c r="D7" s="1"/>
      <c r="E7" s="1" t="s">
        <v>152</v>
      </c>
      <c r="F7" s="13" t="s">
        <v>154</v>
      </c>
      <c r="G7" s="10">
        <v>0</v>
      </c>
      <c r="H7" s="113"/>
      <c r="J7" s="116"/>
      <c r="K7" s="116"/>
      <c r="L7" s="116"/>
      <c r="M7" s="116"/>
      <c r="N7" s="116"/>
    </row>
    <row r="8" spans="1:14" ht="14.1" customHeight="1" x14ac:dyDescent="0.2">
      <c r="A8" s="1"/>
      <c r="B8" s="1"/>
      <c r="C8" s="11"/>
      <c r="D8" s="1"/>
      <c r="E8" s="1"/>
      <c r="F8" s="12"/>
      <c r="G8" s="12"/>
      <c r="H8" s="113"/>
      <c r="J8" s="116"/>
      <c r="K8" s="116"/>
      <c r="L8" s="116"/>
      <c r="M8" s="116"/>
      <c r="N8" s="116"/>
    </row>
    <row r="9" spans="1:14" ht="14.1" customHeight="1" x14ac:dyDescent="0.2">
      <c r="A9" s="1"/>
      <c r="B9" s="1"/>
      <c r="C9" s="2" t="s">
        <v>153</v>
      </c>
      <c r="D9" s="1"/>
      <c r="E9" s="1"/>
      <c r="F9" s="1"/>
      <c r="G9" s="1"/>
      <c r="H9" s="113"/>
      <c r="J9" s="116"/>
      <c r="K9" s="116"/>
      <c r="L9" s="116"/>
      <c r="M9" s="116"/>
      <c r="N9" s="116"/>
    </row>
    <row r="10" spans="1:14" ht="14.1" customHeight="1" x14ac:dyDescent="0.2">
      <c r="A10" s="1"/>
      <c r="B10" s="1"/>
      <c r="C10" s="2" t="s">
        <v>151</v>
      </c>
      <c r="D10" s="1"/>
      <c r="E10" s="1" t="s">
        <v>152</v>
      </c>
      <c r="F10" s="13" t="s">
        <v>154</v>
      </c>
      <c r="G10" s="10">
        <v>0</v>
      </c>
      <c r="H10" s="113"/>
      <c r="J10" s="116"/>
      <c r="K10" s="116"/>
      <c r="L10" s="116"/>
      <c r="M10" s="116"/>
      <c r="N10" s="116"/>
    </row>
    <row r="11" spans="1:14" ht="14.1" customHeight="1" x14ac:dyDescent="0.2">
      <c r="A11" s="1"/>
      <c r="B11" s="1"/>
      <c r="C11" s="11"/>
      <c r="D11" s="1"/>
      <c r="E11" s="1"/>
      <c r="F11" s="12"/>
      <c r="G11" s="12"/>
      <c r="H11" s="113"/>
      <c r="J11" s="116"/>
      <c r="K11" s="116"/>
      <c r="L11" s="116"/>
      <c r="M11" s="116"/>
      <c r="N11" s="116"/>
    </row>
    <row r="12" spans="1:14" ht="14.1" customHeight="1" x14ac:dyDescent="0.2">
      <c r="A12" s="1"/>
      <c r="B12" s="1"/>
      <c r="C12" s="2" t="s">
        <v>155</v>
      </c>
      <c r="D12" s="1"/>
      <c r="E12" s="1"/>
      <c r="F12" s="1"/>
      <c r="G12" s="1"/>
      <c r="H12" s="113"/>
      <c r="J12" s="116"/>
      <c r="K12" s="116"/>
      <c r="L12" s="116"/>
      <c r="M12" s="116"/>
      <c r="N12" s="116"/>
    </row>
    <row r="13" spans="1:14" ht="14.1" customHeight="1" x14ac:dyDescent="0.2">
      <c r="A13" s="1"/>
      <c r="B13" s="1"/>
      <c r="C13" s="2" t="s">
        <v>151</v>
      </c>
      <c r="D13" s="1"/>
      <c r="E13" s="1" t="s">
        <v>152</v>
      </c>
      <c r="F13" s="13" t="s">
        <v>154</v>
      </c>
      <c r="G13" s="10">
        <v>0</v>
      </c>
      <c r="H13" s="113"/>
      <c r="J13" s="116"/>
      <c r="K13" s="116"/>
      <c r="L13" s="116"/>
      <c r="M13" s="116"/>
      <c r="N13" s="116"/>
    </row>
    <row r="14" spans="1:14" ht="14.1" customHeight="1" x14ac:dyDescent="0.2">
      <c r="A14" s="1"/>
      <c r="B14" s="1"/>
      <c r="C14" s="11"/>
      <c r="D14" s="1"/>
      <c r="E14" s="1"/>
      <c r="F14" s="12"/>
      <c r="G14" s="12"/>
      <c r="H14" s="113"/>
      <c r="J14" s="116"/>
      <c r="K14" s="116"/>
      <c r="L14" s="116"/>
      <c r="M14" s="116"/>
      <c r="N14" s="116"/>
    </row>
    <row r="15" spans="1:14" ht="14.1" customHeight="1" x14ac:dyDescent="0.2">
      <c r="A15" s="1"/>
      <c r="B15" s="1"/>
      <c r="C15" s="2" t="s">
        <v>156</v>
      </c>
      <c r="D15" s="1"/>
      <c r="E15" s="1"/>
      <c r="F15" s="1"/>
      <c r="G15" s="1"/>
      <c r="H15" s="113"/>
      <c r="J15" s="116"/>
      <c r="K15" s="116"/>
      <c r="L15" s="116"/>
      <c r="M15" s="116"/>
      <c r="N15" s="116"/>
    </row>
    <row r="16" spans="1:14" ht="14.1" customHeight="1" x14ac:dyDescent="0.2">
      <c r="A16" s="1"/>
      <c r="B16" s="1"/>
      <c r="C16" s="2" t="s">
        <v>151</v>
      </c>
      <c r="D16" s="1"/>
      <c r="E16" s="1" t="s">
        <v>152</v>
      </c>
      <c r="F16" s="13" t="s">
        <v>154</v>
      </c>
      <c r="G16" s="10">
        <v>0</v>
      </c>
      <c r="H16" s="113"/>
      <c r="J16" s="194" t="s">
        <v>1145</v>
      </c>
      <c r="K16" s="116"/>
      <c r="L16" s="116"/>
      <c r="M16" s="116"/>
      <c r="N16" s="116"/>
    </row>
    <row r="17" spans="1:14" ht="14.1" customHeight="1" x14ac:dyDescent="0.2">
      <c r="A17" s="1"/>
      <c r="B17" s="1"/>
      <c r="C17" s="11"/>
      <c r="D17" s="1"/>
      <c r="E17" s="1"/>
      <c r="F17" s="12"/>
      <c r="G17" s="12"/>
      <c r="H17" s="113"/>
      <c r="J17" s="116"/>
      <c r="K17" s="116"/>
      <c r="L17" s="116"/>
      <c r="M17" s="116"/>
      <c r="N17" s="116"/>
    </row>
    <row r="18" spans="1:14" ht="14.1" customHeight="1" x14ac:dyDescent="0.2">
      <c r="A18" s="1"/>
      <c r="B18" s="1"/>
      <c r="C18" s="2" t="s">
        <v>157</v>
      </c>
      <c r="D18" s="1"/>
      <c r="E18" s="1"/>
      <c r="F18" s="12"/>
      <c r="G18" s="12"/>
      <c r="H18" s="113"/>
      <c r="J18" s="116"/>
      <c r="K18" s="116"/>
      <c r="L18" s="116"/>
      <c r="M18" s="116"/>
      <c r="N18" s="116"/>
    </row>
    <row r="19" spans="1:14" ht="14.1" customHeight="1" x14ac:dyDescent="0.2">
      <c r="A19" s="1"/>
      <c r="B19" s="1"/>
      <c r="C19" s="2" t="s">
        <v>151</v>
      </c>
      <c r="D19" s="1"/>
      <c r="E19" s="1" t="s">
        <v>152</v>
      </c>
      <c r="F19" s="13" t="s">
        <v>154</v>
      </c>
      <c r="G19" s="10">
        <v>0</v>
      </c>
      <c r="H19" s="113"/>
      <c r="J19" s="116"/>
      <c r="K19" s="116"/>
      <c r="L19" s="116"/>
      <c r="M19" s="116"/>
      <c r="N19" s="116"/>
    </row>
    <row r="20" spans="1:14" ht="14.1" customHeight="1" x14ac:dyDescent="0.2">
      <c r="A20" s="1"/>
      <c r="B20" s="1"/>
      <c r="C20" s="11"/>
      <c r="D20" s="1"/>
      <c r="E20" s="1"/>
      <c r="F20" s="12"/>
      <c r="G20" s="12"/>
      <c r="H20" s="113"/>
      <c r="J20" s="116"/>
      <c r="K20" s="116"/>
      <c r="L20" s="116"/>
      <c r="M20" s="116"/>
      <c r="N20" s="116"/>
    </row>
    <row r="21" spans="1:14" ht="14.1" customHeight="1" x14ac:dyDescent="0.2">
      <c r="A21" s="1"/>
      <c r="B21" s="1"/>
      <c r="C21" s="2" t="s">
        <v>158</v>
      </c>
      <c r="D21" s="1"/>
      <c r="E21" s="1"/>
      <c r="F21" s="12"/>
      <c r="G21" s="12"/>
      <c r="H21" s="113"/>
      <c r="J21" s="116"/>
      <c r="K21" s="116"/>
      <c r="L21" s="116"/>
      <c r="M21" s="116"/>
      <c r="N21" s="116"/>
    </row>
    <row r="22" spans="1:14" ht="14.1" customHeight="1" x14ac:dyDescent="0.2">
      <c r="A22" s="1"/>
      <c r="B22" s="1"/>
      <c r="C22" s="2" t="s">
        <v>151</v>
      </c>
      <c r="D22" s="1"/>
      <c r="E22" s="1" t="s">
        <v>152</v>
      </c>
      <c r="F22" s="13" t="s">
        <v>154</v>
      </c>
      <c r="G22" s="10">
        <v>0</v>
      </c>
      <c r="H22" s="113"/>
      <c r="J22" s="116"/>
      <c r="K22" s="116"/>
      <c r="L22" s="116"/>
      <c r="M22" s="116"/>
      <c r="N22" s="116"/>
    </row>
    <row r="23" spans="1:14" ht="14.1" customHeight="1" x14ac:dyDescent="0.2">
      <c r="A23" s="1"/>
      <c r="B23" s="1"/>
      <c r="C23" s="11"/>
      <c r="D23" s="1"/>
      <c r="E23" s="1"/>
      <c r="F23" s="12"/>
      <c r="G23" s="12"/>
      <c r="H23" s="113"/>
      <c r="J23" s="116"/>
      <c r="K23" s="116"/>
      <c r="L23" s="116"/>
      <c r="M23" s="116"/>
      <c r="N23" s="116"/>
    </row>
    <row r="24" spans="1:14" ht="18" customHeight="1" x14ac:dyDescent="0.2">
      <c r="A24" s="1"/>
      <c r="B24" s="1"/>
      <c r="C24" s="2" t="s">
        <v>159</v>
      </c>
      <c r="D24" s="1"/>
      <c r="E24" s="1"/>
      <c r="F24" s="9">
        <v>0</v>
      </c>
      <c r="G24" s="10">
        <v>0</v>
      </c>
      <c r="H24" s="113"/>
      <c r="J24" s="116"/>
      <c r="K24" s="116"/>
      <c r="L24" s="116"/>
      <c r="M24" s="116"/>
      <c r="N24" s="116"/>
    </row>
    <row r="25" spans="1:14" ht="14.1" customHeight="1" x14ac:dyDescent="0.2">
      <c r="A25" s="1"/>
      <c r="B25" s="1"/>
      <c r="C25" s="11"/>
      <c r="D25" s="1"/>
      <c r="E25" s="1"/>
      <c r="F25" s="12"/>
      <c r="G25" s="12"/>
      <c r="H25" s="113"/>
      <c r="J25" s="116"/>
      <c r="K25" s="116"/>
      <c r="L25" s="116"/>
      <c r="M25" s="116"/>
      <c r="N25" s="116"/>
    </row>
    <row r="26" spans="1:14" ht="14.1" customHeight="1" x14ac:dyDescent="0.2">
      <c r="A26" s="1"/>
      <c r="B26" s="1"/>
      <c r="C26" s="2" t="s">
        <v>160</v>
      </c>
      <c r="D26" s="1"/>
      <c r="E26" s="1"/>
      <c r="F26" s="12"/>
      <c r="G26" s="12"/>
      <c r="H26" s="113"/>
      <c r="J26" s="116"/>
      <c r="K26" s="116"/>
      <c r="L26" s="116"/>
      <c r="M26" s="116"/>
      <c r="N26" s="116"/>
    </row>
    <row r="27" spans="1:14" ht="24" customHeight="1" x14ac:dyDescent="0.2">
      <c r="A27" s="1"/>
      <c r="B27" s="1"/>
      <c r="C27" s="2" t="s">
        <v>10</v>
      </c>
      <c r="D27" s="1"/>
      <c r="E27" s="1"/>
      <c r="F27" s="12"/>
      <c r="G27" s="12"/>
      <c r="H27" s="113"/>
      <c r="J27" s="116"/>
      <c r="K27" s="116"/>
      <c r="L27" s="116"/>
      <c r="M27" s="116"/>
      <c r="N27" s="116"/>
    </row>
    <row r="28" spans="1:14" ht="14.1" customHeight="1" x14ac:dyDescent="0.2">
      <c r="A28" s="1"/>
      <c r="B28" s="1"/>
      <c r="C28" s="2" t="s">
        <v>151</v>
      </c>
      <c r="D28" s="1"/>
      <c r="E28" s="1" t="s">
        <v>152</v>
      </c>
      <c r="F28" s="13" t="s">
        <v>154</v>
      </c>
      <c r="G28" s="10">
        <v>0</v>
      </c>
      <c r="H28" s="113"/>
      <c r="J28" s="116"/>
      <c r="K28" s="116"/>
      <c r="L28" s="116"/>
      <c r="M28" s="116"/>
      <c r="N28" s="116"/>
    </row>
    <row r="29" spans="1:14" ht="14.1" customHeight="1" x14ac:dyDescent="0.2">
      <c r="A29" s="1"/>
      <c r="B29" s="1"/>
      <c r="C29" s="11"/>
      <c r="D29" s="1"/>
      <c r="E29" s="1"/>
      <c r="F29" s="12"/>
      <c r="G29" s="12"/>
      <c r="H29" s="113"/>
      <c r="J29" s="116"/>
      <c r="K29" s="116"/>
      <c r="L29" s="116"/>
      <c r="M29" s="116"/>
      <c r="N29" s="116"/>
    </row>
    <row r="30" spans="1:14" ht="14.1" customHeight="1" x14ac:dyDescent="0.2">
      <c r="A30" s="1"/>
      <c r="B30" s="1"/>
      <c r="C30" s="2" t="s">
        <v>161</v>
      </c>
      <c r="D30" s="1"/>
      <c r="E30" s="1"/>
      <c r="F30" s="1"/>
      <c r="G30" s="1"/>
      <c r="H30" s="113"/>
      <c r="J30" s="116"/>
      <c r="K30" s="116"/>
      <c r="L30" s="116"/>
      <c r="M30" s="116"/>
      <c r="N30" s="116"/>
    </row>
    <row r="31" spans="1:14" ht="14.1" customHeight="1" x14ac:dyDescent="0.2">
      <c r="A31" s="1"/>
      <c r="B31" s="1"/>
      <c r="C31" s="2" t="s">
        <v>151</v>
      </c>
      <c r="D31" s="1"/>
      <c r="E31" s="1" t="s">
        <v>152</v>
      </c>
      <c r="F31" s="13" t="s">
        <v>154</v>
      </c>
      <c r="G31" s="10">
        <v>0</v>
      </c>
      <c r="H31" s="113"/>
      <c r="J31" s="116"/>
      <c r="K31" s="116"/>
      <c r="L31" s="116"/>
      <c r="M31" s="116"/>
      <c r="N31" s="116"/>
    </row>
    <row r="32" spans="1:14" ht="14.1" customHeight="1" x14ac:dyDescent="0.2">
      <c r="A32" s="1"/>
      <c r="B32" s="1"/>
      <c r="C32" s="11"/>
      <c r="D32" s="1"/>
      <c r="E32" s="1"/>
      <c r="F32" s="12"/>
      <c r="G32" s="12"/>
      <c r="H32" s="113"/>
      <c r="J32" s="116"/>
      <c r="K32" s="116"/>
      <c r="L32" s="116"/>
      <c r="M32" s="116"/>
      <c r="N32" s="116"/>
    </row>
    <row r="33" spans="1:14" ht="14.1" customHeight="1" x14ac:dyDescent="0.2">
      <c r="A33" s="1"/>
      <c r="B33" s="1"/>
      <c r="C33" s="2" t="s">
        <v>162</v>
      </c>
      <c r="D33" s="1"/>
      <c r="E33" s="1"/>
      <c r="F33" s="1"/>
      <c r="G33" s="1"/>
      <c r="H33" s="113"/>
      <c r="J33" s="116"/>
      <c r="K33" s="116"/>
      <c r="L33" s="116"/>
      <c r="M33" s="116"/>
      <c r="N33" s="116"/>
    </row>
    <row r="34" spans="1:14" ht="14.1" customHeight="1" x14ac:dyDescent="0.2">
      <c r="A34" s="1"/>
      <c r="B34" s="1"/>
      <c r="C34" s="2" t="s">
        <v>151</v>
      </c>
      <c r="D34" s="1"/>
      <c r="E34" s="1" t="s">
        <v>152</v>
      </c>
      <c r="F34" s="13" t="s">
        <v>154</v>
      </c>
      <c r="G34" s="10">
        <v>0</v>
      </c>
      <c r="H34" s="113"/>
      <c r="J34" s="116"/>
      <c r="K34" s="116"/>
      <c r="L34" s="116"/>
      <c r="M34" s="116"/>
      <c r="N34" s="116"/>
    </row>
    <row r="35" spans="1:14" ht="14.1" customHeight="1" x14ac:dyDescent="0.2">
      <c r="A35" s="1"/>
      <c r="B35" s="1"/>
      <c r="C35" s="11"/>
      <c r="D35" s="1"/>
      <c r="E35" s="1"/>
      <c r="F35" s="12"/>
      <c r="G35" s="12"/>
      <c r="H35" s="113"/>
      <c r="J35" s="116"/>
      <c r="K35" s="116"/>
      <c r="L35" s="116"/>
      <c r="M35" s="116"/>
      <c r="N35" s="116"/>
    </row>
    <row r="36" spans="1:14" ht="14.1" customHeight="1" x14ac:dyDescent="0.2">
      <c r="A36" s="1"/>
      <c r="B36" s="1"/>
      <c r="C36" s="2" t="s">
        <v>163</v>
      </c>
      <c r="D36" s="1"/>
      <c r="E36" s="1"/>
      <c r="F36" s="12"/>
      <c r="G36" s="12"/>
      <c r="H36" s="113"/>
      <c r="J36" s="116"/>
      <c r="K36" s="116"/>
      <c r="L36" s="116"/>
      <c r="M36" s="116"/>
      <c r="N36" s="116"/>
    </row>
    <row r="37" spans="1:14" ht="14.1" customHeight="1" x14ac:dyDescent="0.2">
      <c r="A37" s="1"/>
      <c r="B37" s="1"/>
      <c r="C37" s="2" t="s">
        <v>151</v>
      </c>
      <c r="D37" s="1"/>
      <c r="E37" s="1" t="s">
        <v>152</v>
      </c>
      <c r="F37" s="13" t="s">
        <v>154</v>
      </c>
      <c r="G37" s="10">
        <v>0</v>
      </c>
      <c r="H37" s="113"/>
      <c r="J37" s="116"/>
      <c r="K37" s="116"/>
      <c r="L37" s="116"/>
      <c r="M37" s="116"/>
      <c r="N37" s="116"/>
    </row>
    <row r="38" spans="1:14" ht="14.1" customHeight="1" x14ac:dyDescent="0.2">
      <c r="A38" s="1"/>
      <c r="B38" s="1"/>
      <c r="C38" s="11"/>
      <c r="D38" s="1"/>
      <c r="E38" s="1"/>
      <c r="F38" s="12"/>
      <c r="G38" s="12"/>
      <c r="H38" s="113"/>
      <c r="J38" s="116"/>
      <c r="K38" s="116"/>
      <c r="L38" s="116"/>
      <c r="M38" s="116"/>
      <c r="N38" s="116"/>
    </row>
    <row r="39" spans="1:14" ht="14.1" customHeight="1" x14ac:dyDescent="0.2">
      <c r="A39" s="1"/>
      <c r="B39" s="1"/>
      <c r="C39" s="2" t="s">
        <v>164</v>
      </c>
      <c r="D39" s="1"/>
      <c r="E39" s="1"/>
      <c r="F39" s="9">
        <v>0</v>
      </c>
      <c r="G39" s="10">
        <v>0</v>
      </c>
      <c r="H39" s="113"/>
      <c r="J39" s="116"/>
      <c r="K39" s="116"/>
      <c r="L39" s="116"/>
      <c r="M39" s="116"/>
      <c r="N39" s="116"/>
    </row>
    <row r="40" spans="1:14" ht="14.1" customHeight="1" x14ac:dyDescent="0.2">
      <c r="A40" s="1"/>
      <c r="B40" s="1"/>
      <c r="C40" s="11"/>
      <c r="D40" s="1"/>
      <c r="E40" s="1"/>
      <c r="F40" s="12"/>
      <c r="G40" s="12"/>
      <c r="H40" s="113"/>
      <c r="J40" s="116"/>
      <c r="K40" s="116"/>
      <c r="L40" s="116"/>
      <c r="M40" s="116"/>
      <c r="N40" s="116"/>
    </row>
    <row r="41" spans="1:14" ht="14.1" customHeight="1" x14ac:dyDescent="0.2">
      <c r="A41" s="1"/>
      <c r="B41" s="1"/>
      <c r="C41" s="2" t="s">
        <v>165</v>
      </c>
      <c r="D41" s="1"/>
      <c r="E41" s="1"/>
      <c r="F41" s="12"/>
      <c r="G41" s="12"/>
      <c r="H41" s="113"/>
      <c r="J41" s="116"/>
      <c r="K41" s="116"/>
      <c r="L41" s="116"/>
      <c r="M41" s="116"/>
      <c r="N41" s="116"/>
    </row>
    <row r="42" spans="1:14" ht="14.1" customHeight="1" x14ac:dyDescent="0.2">
      <c r="A42" s="1"/>
      <c r="B42" s="1"/>
      <c r="C42" s="2" t="s">
        <v>166</v>
      </c>
      <c r="D42" s="1"/>
      <c r="E42" s="1"/>
      <c r="F42" s="12"/>
      <c r="G42" s="12"/>
      <c r="H42" s="113"/>
      <c r="J42" s="116"/>
      <c r="K42" s="116"/>
      <c r="L42" s="116"/>
      <c r="M42" s="116"/>
      <c r="N42" s="116"/>
    </row>
    <row r="43" spans="1:14" ht="14.1" customHeight="1" x14ac:dyDescent="0.2">
      <c r="A43" s="1"/>
      <c r="B43" s="1"/>
      <c r="C43" s="2" t="s">
        <v>151</v>
      </c>
      <c r="D43" s="1"/>
      <c r="E43" s="1" t="s">
        <v>152</v>
      </c>
      <c r="F43" s="13" t="s">
        <v>154</v>
      </c>
      <c r="G43" s="10">
        <v>0</v>
      </c>
      <c r="H43" s="113"/>
      <c r="J43" s="116"/>
      <c r="K43" s="116"/>
      <c r="L43" s="116"/>
      <c r="M43" s="116"/>
      <c r="N43" s="116"/>
    </row>
    <row r="44" spans="1:14" ht="14.1" customHeight="1" x14ac:dyDescent="0.2">
      <c r="A44" s="1"/>
      <c r="B44" s="1"/>
      <c r="C44" s="11"/>
      <c r="D44" s="1"/>
      <c r="E44" s="1"/>
      <c r="F44" s="12"/>
      <c r="G44" s="12"/>
      <c r="H44" s="113"/>
      <c r="J44" s="116"/>
      <c r="K44" s="116"/>
      <c r="L44" s="116"/>
      <c r="M44" s="116"/>
      <c r="N44" s="116"/>
    </row>
    <row r="45" spans="1:14" ht="14.1" customHeight="1" x14ac:dyDescent="0.2">
      <c r="A45" s="1"/>
      <c r="B45" s="1"/>
      <c r="C45" s="2" t="s">
        <v>167</v>
      </c>
      <c r="D45" s="1"/>
      <c r="E45" s="1"/>
      <c r="F45" s="12"/>
      <c r="G45" s="12"/>
      <c r="H45" s="113"/>
      <c r="J45" s="116"/>
      <c r="K45" s="116"/>
      <c r="L45" s="116"/>
      <c r="M45" s="116"/>
      <c r="N45" s="116"/>
    </row>
    <row r="46" spans="1:14" ht="14.1" customHeight="1" x14ac:dyDescent="0.2">
      <c r="A46" s="1"/>
      <c r="B46" s="1"/>
      <c r="C46" s="2" t="s">
        <v>151</v>
      </c>
      <c r="D46" s="1"/>
      <c r="E46" s="1" t="s">
        <v>152</v>
      </c>
      <c r="F46" s="13" t="s">
        <v>154</v>
      </c>
      <c r="G46" s="10">
        <v>0</v>
      </c>
      <c r="H46" s="113"/>
      <c r="J46" s="116"/>
      <c r="K46" s="116"/>
      <c r="L46" s="116"/>
      <c r="M46" s="116"/>
      <c r="N46" s="116"/>
    </row>
    <row r="47" spans="1:14" ht="14.1" customHeight="1" x14ac:dyDescent="0.2">
      <c r="A47" s="1"/>
      <c r="B47" s="1"/>
      <c r="C47" s="11"/>
      <c r="D47" s="1"/>
      <c r="E47" s="1"/>
      <c r="F47" s="12"/>
      <c r="G47" s="12"/>
      <c r="H47" s="113"/>
      <c r="J47" s="116"/>
      <c r="K47" s="116"/>
      <c r="L47" s="116"/>
      <c r="M47" s="116"/>
      <c r="N47" s="116"/>
    </row>
    <row r="48" spans="1:14" ht="14.1" customHeight="1" x14ac:dyDescent="0.2">
      <c r="A48" s="1"/>
      <c r="B48" s="1"/>
      <c r="C48" s="2" t="s">
        <v>168</v>
      </c>
      <c r="D48" s="1"/>
      <c r="E48" s="1"/>
      <c r="F48" s="12"/>
      <c r="G48" s="12"/>
      <c r="H48" s="113"/>
      <c r="J48" s="116"/>
      <c r="K48" s="116"/>
      <c r="L48" s="116"/>
      <c r="M48" s="116"/>
      <c r="N48" s="116"/>
    </row>
    <row r="49" spans="1:14" ht="14.1" customHeight="1" x14ac:dyDescent="0.2">
      <c r="A49" s="1"/>
      <c r="B49" s="1"/>
      <c r="C49" s="2" t="s">
        <v>151</v>
      </c>
      <c r="D49" s="1"/>
      <c r="E49" s="1" t="s">
        <v>152</v>
      </c>
      <c r="F49" s="13" t="s">
        <v>154</v>
      </c>
      <c r="G49" s="10">
        <v>0</v>
      </c>
      <c r="H49" s="113"/>
      <c r="J49" s="116"/>
      <c r="K49" s="116"/>
      <c r="L49" s="116"/>
      <c r="M49" s="116"/>
      <c r="N49" s="116"/>
    </row>
    <row r="50" spans="1:14" ht="14.1" customHeight="1" x14ac:dyDescent="0.2">
      <c r="A50" s="1"/>
      <c r="B50" s="1"/>
      <c r="C50" s="11"/>
      <c r="D50" s="1"/>
      <c r="E50" s="1"/>
      <c r="F50" s="12"/>
      <c r="G50" s="12"/>
      <c r="H50" s="113"/>
      <c r="J50" s="116"/>
      <c r="K50" s="116"/>
      <c r="L50" s="116"/>
      <c r="M50" s="116"/>
      <c r="N50" s="116"/>
    </row>
    <row r="51" spans="1:14" ht="14.1" customHeight="1" x14ac:dyDescent="0.2">
      <c r="A51" s="1"/>
      <c r="B51" s="1"/>
      <c r="C51" s="2" t="s">
        <v>169</v>
      </c>
      <c r="D51" s="1"/>
      <c r="E51" s="1"/>
      <c r="F51" s="12"/>
      <c r="G51" s="12"/>
      <c r="H51" s="113"/>
      <c r="J51" s="116"/>
      <c r="K51" s="116"/>
      <c r="L51" s="116"/>
      <c r="M51" s="116"/>
      <c r="N51" s="116"/>
    </row>
    <row r="52" spans="1:14" ht="17.100000000000001" customHeight="1" x14ac:dyDescent="0.2">
      <c r="A52" s="3">
        <v>1</v>
      </c>
      <c r="B52" s="4"/>
      <c r="C52" s="4" t="s">
        <v>170</v>
      </c>
      <c r="D52" s="4"/>
      <c r="E52" s="8"/>
      <c r="F52" s="6">
        <v>352.28679299999999</v>
      </c>
      <c r="G52" s="7">
        <v>2.955079E-2</v>
      </c>
      <c r="H52" s="113">
        <v>6.7600000000000016</v>
      </c>
      <c r="J52" s="116"/>
      <c r="K52" s="116"/>
      <c r="L52" s="116"/>
      <c r="M52" s="116"/>
      <c r="N52" s="116"/>
    </row>
    <row r="53" spans="1:14" ht="14.1" customHeight="1" x14ac:dyDescent="0.2">
      <c r="A53" s="1"/>
      <c r="B53" s="1"/>
      <c r="C53" s="2" t="s">
        <v>151</v>
      </c>
      <c r="D53" s="1"/>
      <c r="E53" s="1" t="s">
        <v>152</v>
      </c>
      <c r="F53" s="9">
        <v>352.28679299999999</v>
      </c>
      <c r="G53" s="10">
        <v>2.955079E-2</v>
      </c>
      <c r="H53" s="113"/>
      <c r="J53" s="116"/>
      <c r="K53" s="116"/>
      <c r="L53" s="116"/>
      <c r="M53" s="116"/>
      <c r="N53" s="116"/>
    </row>
    <row r="54" spans="1:14" ht="14.1" customHeight="1" x14ac:dyDescent="0.2">
      <c r="A54" s="1"/>
      <c r="B54" s="1"/>
      <c r="C54" s="11"/>
      <c r="D54" s="1"/>
      <c r="E54" s="1"/>
      <c r="F54" s="12"/>
      <c r="G54" s="12"/>
      <c r="H54" s="113"/>
      <c r="J54" s="116"/>
      <c r="K54" s="116"/>
      <c r="L54" s="116"/>
      <c r="M54" s="116"/>
      <c r="N54" s="116"/>
    </row>
    <row r="55" spans="1:14" ht="14.1" customHeight="1" x14ac:dyDescent="0.2">
      <c r="A55" s="1"/>
      <c r="B55" s="1"/>
      <c r="C55" s="2" t="s">
        <v>171</v>
      </c>
      <c r="D55" s="1"/>
      <c r="E55" s="1"/>
      <c r="F55" s="9">
        <v>352.28679299999999</v>
      </c>
      <c r="G55" s="10">
        <v>2.955079E-2</v>
      </c>
      <c r="H55" s="113"/>
      <c r="J55" s="116"/>
      <c r="K55" s="116"/>
      <c r="L55" s="116"/>
      <c r="M55" s="116"/>
      <c r="N55" s="116"/>
    </row>
    <row r="56" spans="1:14" ht="14.1" customHeight="1" x14ac:dyDescent="0.2">
      <c r="A56" s="1"/>
      <c r="B56" s="1"/>
      <c r="C56" s="12"/>
      <c r="D56" s="1"/>
      <c r="E56" s="1"/>
      <c r="F56" s="1"/>
      <c r="G56" s="1"/>
      <c r="H56" s="113"/>
      <c r="J56" s="116"/>
      <c r="K56" s="116"/>
      <c r="L56" s="116"/>
      <c r="M56" s="116"/>
      <c r="N56" s="116"/>
    </row>
    <row r="57" spans="1:14" ht="14.1" customHeight="1" x14ac:dyDescent="0.2">
      <c r="A57" s="1"/>
      <c r="B57" s="1"/>
      <c r="C57" s="2" t="s">
        <v>172</v>
      </c>
      <c r="D57" s="1"/>
      <c r="E57" s="1"/>
      <c r="F57" s="1"/>
      <c r="G57" s="1"/>
      <c r="H57" s="113"/>
      <c r="J57" s="116"/>
      <c r="K57" s="116"/>
      <c r="L57" s="116"/>
      <c r="M57" s="116"/>
      <c r="N57" s="116"/>
    </row>
    <row r="58" spans="1:14" ht="25.5" x14ac:dyDescent="0.2">
      <c r="A58" s="1"/>
      <c r="B58" s="1"/>
      <c r="C58" s="46" t="s">
        <v>1044</v>
      </c>
      <c r="D58" s="1"/>
      <c r="E58" s="1"/>
      <c r="F58" s="1"/>
      <c r="G58" s="1"/>
      <c r="H58" s="113"/>
      <c r="J58" s="116"/>
      <c r="K58" s="116"/>
      <c r="L58" s="116"/>
      <c r="M58" s="116"/>
      <c r="N58" s="116"/>
    </row>
    <row r="59" spans="1:14" ht="29.1" customHeight="1" x14ac:dyDescent="0.2">
      <c r="A59" s="3">
        <v>1</v>
      </c>
      <c r="B59" s="4" t="s">
        <v>966</v>
      </c>
      <c r="C59" s="4" t="s">
        <v>967</v>
      </c>
      <c r="D59" s="4"/>
      <c r="E59" s="5">
        <v>10132595.022</v>
      </c>
      <c r="F59" s="6">
        <v>11622.150528235001</v>
      </c>
      <c r="G59" s="7">
        <v>0.97489809999999999</v>
      </c>
      <c r="H59" s="113"/>
      <c r="J59" s="116"/>
      <c r="K59" s="116"/>
      <c r="L59" s="116"/>
      <c r="M59" s="116"/>
      <c r="N59" s="116"/>
    </row>
    <row r="60" spans="1:14" ht="14.1" customHeight="1" x14ac:dyDescent="0.2">
      <c r="A60" s="1"/>
      <c r="B60" s="1"/>
      <c r="C60" s="2" t="s">
        <v>151</v>
      </c>
      <c r="D60" s="1"/>
      <c r="E60" s="1" t="s">
        <v>152</v>
      </c>
      <c r="F60" s="9">
        <v>11622.150528235001</v>
      </c>
      <c r="G60" s="10">
        <v>0.97489809999999999</v>
      </c>
      <c r="H60" s="113"/>
      <c r="J60" s="116"/>
      <c r="K60" s="116"/>
      <c r="L60" s="116"/>
      <c r="M60" s="116"/>
      <c r="N60" s="116"/>
    </row>
    <row r="61" spans="1:14" ht="14.1" customHeight="1" x14ac:dyDescent="0.2">
      <c r="A61" s="1"/>
      <c r="B61" s="1"/>
      <c r="C61" s="11"/>
      <c r="D61" s="1"/>
      <c r="E61" s="1"/>
      <c r="F61" s="12"/>
      <c r="G61" s="12"/>
      <c r="H61" s="113"/>
      <c r="J61" s="116"/>
      <c r="K61" s="116"/>
      <c r="L61" s="116"/>
      <c r="M61" s="116"/>
      <c r="N61" s="116"/>
    </row>
    <row r="62" spans="1:14" ht="14.1" customHeight="1" x14ac:dyDescent="0.2">
      <c r="A62" s="1"/>
      <c r="B62" s="1"/>
      <c r="C62" s="2" t="s">
        <v>174</v>
      </c>
      <c r="D62" s="1"/>
      <c r="E62" s="1"/>
      <c r="F62" s="1"/>
      <c r="G62" s="1"/>
      <c r="H62" s="113"/>
      <c r="J62" s="116"/>
      <c r="K62" s="116"/>
      <c r="L62" s="116"/>
      <c r="M62" s="116"/>
      <c r="N62" s="116"/>
    </row>
    <row r="63" spans="1:14" ht="14.1" customHeight="1" x14ac:dyDescent="0.2">
      <c r="A63" s="1"/>
      <c r="B63" s="1"/>
      <c r="C63" s="2" t="s">
        <v>175</v>
      </c>
      <c r="D63" s="1"/>
      <c r="E63" s="1"/>
      <c r="F63" s="1"/>
      <c r="G63" s="1"/>
      <c r="H63" s="113"/>
      <c r="J63" s="116"/>
      <c r="K63" s="116"/>
      <c r="L63" s="116"/>
      <c r="M63" s="116"/>
      <c r="N63" s="116"/>
    </row>
    <row r="64" spans="1:14" ht="14.1" customHeight="1" x14ac:dyDescent="0.2">
      <c r="A64" s="1"/>
      <c r="B64" s="1"/>
      <c r="C64" s="2" t="s">
        <v>151</v>
      </c>
      <c r="D64" s="1"/>
      <c r="E64" s="1" t="s">
        <v>152</v>
      </c>
      <c r="F64" s="13" t="s">
        <v>154</v>
      </c>
      <c r="G64" s="10">
        <v>0</v>
      </c>
      <c r="H64" s="113"/>
      <c r="J64" s="116"/>
      <c r="K64" s="116"/>
      <c r="L64" s="116"/>
      <c r="M64" s="116"/>
      <c r="N64" s="116"/>
    </row>
    <row r="65" spans="1:14" ht="14.1" customHeight="1" x14ac:dyDescent="0.2">
      <c r="A65" s="1"/>
      <c r="B65" s="1"/>
      <c r="C65" s="11"/>
      <c r="D65" s="1"/>
      <c r="E65" s="1"/>
      <c r="F65" s="12"/>
      <c r="G65" s="12"/>
      <c r="H65" s="113"/>
      <c r="J65" s="116"/>
      <c r="K65" s="116"/>
      <c r="L65" s="116"/>
      <c r="M65" s="116"/>
      <c r="N65" s="116"/>
    </row>
    <row r="66" spans="1:14" ht="24" customHeight="1" x14ac:dyDescent="0.2">
      <c r="A66" s="1"/>
      <c r="B66" s="1"/>
      <c r="C66" s="2" t="s">
        <v>176</v>
      </c>
      <c r="D66" s="1"/>
      <c r="E66" s="1"/>
      <c r="F66" s="12"/>
      <c r="G66" s="12"/>
      <c r="H66" s="113"/>
      <c r="J66" s="116"/>
      <c r="K66" s="116"/>
      <c r="L66" s="116"/>
      <c r="M66" s="116"/>
      <c r="N66" s="116"/>
    </row>
    <row r="67" spans="1:14" ht="14.1" customHeight="1" x14ac:dyDescent="0.2">
      <c r="A67" s="1"/>
      <c r="B67" s="1"/>
      <c r="C67" s="2" t="s">
        <v>151</v>
      </c>
      <c r="D67" s="1"/>
      <c r="E67" s="1" t="s">
        <v>152</v>
      </c>
      <c r="F67" s="13" t="s">
        <v>154</v>
      </c>
      <c r="G67" s="10">
        <v>0</v>
      </c>
      <c r="H67" s="113"/>
      <c r="J67" s="116"/>
      <c r="K67" s="116"/>
      <c r="L67" s="116"/>
      <c r="M67" s="116"/>
      <c r="N67" s="116"/>
    </row>
    <row r="68" spans="1:14" ht="14.1" customHeight="1" x14ac:dyDescent="0.2">
      <c r="A68" s="1"/>
      <c r="B68" s="1"/>
      <c r="C68" s="11"/>
      <c r="D68" s="1"/>
      <c r="E68" s="1"/>
      <c r="F68" s="12"/>
      <c r="G68" s="12"/>
      <c r="H68" s="113"/>
      <c r="J68" s="116"/>
      <c r="K68" s="116"/>
      <c r="L68" s="116"/>
      <c r="M68" s="116"/>
      <c r="N68" s="116"/>
    </row>
    <row r="69" spans="1:14" ht="14.1" customHeight="1" x14ac:dyDescent="0.2">
      <c r="A69" s="1"/>
      <c r="B69" s="4"/>
      <c r="C69" s="4"/>
      <c r="D69" s="2"/>
      <c r="E69" s="1"/>
      <c r="F69" s="4"/>
      <c r="G69" s="8"/>
      <c r="H69" s="113"/>
      <c r="J69" s="116"/>
      <c r="K69" s="116"/>
      <c r="L69" s="116"/>
      <c r="M69" s="116"/>
      <c r="N69" s="116"/>
    </row>
    <row r="70" spans="1:14" ht="18" customHeight="1" x14ac:dyDescent="0.2">
      <c r="A70" s="8"/>
      <c r="B70" s="4"/>
      <c r="C70" s="4" t="s">
        <v>177</v>
      </c>
      <c r="D70" s="4"/>
      <c r="E70" s="8"/>
      <c r="F70" s="6">
        <v>-53.037007639999999</v>
      </c>
      <c r="G70" s="7">
        <v>-4.4488899999999996E-3</v>
      </c>
      <c r="H70" s="113"/>
      <c r="J70" s="116"/>
      <c r="K70" s="116"/>
      <c r="L70" s="116"/>
      <c r="M70" s="116"/>
      <c r="N70" s="116"/>
    </row>
    <row r="71" spans="1:14" ht="14.1" customHeight="1" x14ac:dyDescent="0.2">
      <c r="A71" s="11"/>
      <c r="B71" s="11"/>
      <c r="C71" s="2" t="s">
        <v>178</v>
      </c>
      <c r="D71" s="12"/>
      <c r="E71" s="12"/>
      <c r="F71" s="9">
        <v>11921.400313595001</v>
      </c>
      <c r="G71" s="14">
        <v>1</v>
      </c>
      <c r="H71" s="113"/>
      <c r="J71" s="116"/>
      <c r="K71" s="116"/>
      <c r="L71" s="116"/>
      <c r="M71" s="116"/>
      <c r="N71" s="116"/>
    </row>
    <row r="72" spans="1:14" ht="14.1" customHeight="1" x14ac:dyDescent="0.2">
      <c r="A72" s="17"/>
      <c r="B72" s="17"/>
      <c r="C72" s="62"/>
      <c r="D72" s="19"/>
      <c r="E72" s="19"/>
      <c r="F72" s="63"/>
      <c r="G72" s="64"/>
      <c r="J72" s="116"/>
      <c r="K72" s="116"/>
      <c r="L72" s="116"/>
      <c r="M72" s="116"/>
      <c r="N72" s="116"/>
    </row>
    <row r="73" spans="1:14" ht="14.1" customHeight="1" x14ac:dyDescent="0.2">
      <c r="A73" s="17"/>
      <c r="B73" s="17"/>
      <c r="C73" s="17"/>
      <c r="D73" s="19"/>
      <c r="E73" s="19"/>
      <c r="F73" s="19"/>
      <c r="G73" s="19"/>
      <c r="J73" s="116"/>
      <c r="K73" s="116"/>
      <c r="L73" s="116"/>
      <c r="M73" s="116"/>
      <c r="N73" s="116"/>
    </row>
    <row r="74" spans="1:14" ht="14.1" customHeight="1" x14ac:dyDescent="0.2">
      <c r="A74" s="17"/>
      <c r="B74" s="208" t="s">
        <v>180</v>
      </c>
      <c r="C74" s="209"/>
      <c r="D74" s="210"/>
      <c r="E74" s="20"/>
      <c r="F74" s="19"/>
      <c r="G74" s="19"/>
      <c r="J74" s="116"/>
      <c r="K74" s="116"/>
      <c r="L74" s="116"/>
      <c r="M74" s="116"/>
      <c r="N74" s="116"/>
    </row>
    <row r="75" spans="1:14" ht="29.1" customHeight="1" x14ac:dyDescent="0.2">
      <c r="A75" s="17"/>
      <c r="B75" s="205" t="s">
        <v>181</v>
      </c>
      <c r="C75" s="206"/>
      <c r="D75" s="2" t="s">
        <v>182</v>
      </c>
      <c r="E75" s="20"/>
      <c r="F75" s="19"/>
      <c r="G75" s="19"/>
      <c r="J75" s="116"/>
      <c r="K75" s="116"/>
      <c r="L75" s="116"/>
      <c r="M75" s="116"/>
      <c r="N75" s="116"/>
    </row>
    <row r="76" spans="1:14" ht="17.100000000000001" customHeight="1" x14ac:dyDescent="0.2">
      <c r="A76" s="17"/>
      <c r="B76" s="205" t="s">
        <v>183</v>
      </c>
      <c r="C76" s="206"/>
      <c r="D76" s="2" t="s">
        <v>182</v>
      </c>
      <c r="E76" s="20"/>
      <c r="F76" s="19"/>
      <c r="G76" s="19"/>
      <c r="J76" s="116"/>
      <c r="K76" s="116"/>
      <c r="L76" s="116"/>
      <c r="M76" s="116"/>
      <c r="N76" s="116"/>
    </row>
    <row r="77" spans="1:14" ht="17.100000000000001" customHeight="1" x14ac:dyDescent="0.2">
      <c r="A77" s="17"/>
      <c r="B77" s="205" t="s">
        <v>184</v>
      </c>
      <c r="C77" s="206"/>
      <c r="D77" s="12" t="s">
        <v>152</v>
      </c>
      <c r="E77" s="20"/>
      <c r="F77" s="19"/>
      <c r="G77" s="19"/>
      <c r="J77" s="116"/>
      <c r="K77" s="116"/>
      <c r="L77" s="116"/>
      <c r="M77" s="116"/>
      <c r="N77" s="116"/>
    </row>
    <row r="78" spans="1:14" ht="25.5" x14ac:dyDescent="0.2">
      <c r="A78" s="21"/>
      <c r="B78" s="22" t="s">
        <v>152</v>
      </c>
      <c r="C78" s="22" t="s">
        <v>185</v>
      </c>
      <c r="D78" s="22" t="s">
        <v>186</v>
      </c>
      <c r="E78" s="21"/>
      <c r="F78" s="21"/>
      <c r="G78" s="21"/>
      <c r="J78" s="116"/>
      <c r="K78" s="116"/>
      <c r="L78" s="116"/>
      <c r="M78" s="116"/>
      <c r="N78" s="116"/>
    </row>
    <row r="79" spans="1:14" ht="18" customHeight="1" x14ac:dyDescent="0.2">
      <c r="A79" s="21"/>
      <c r="B79" s="23" t="s">
        <v>187</v>
      </c>
      <c r="C79" s="22" t="s">
        <v>188</v>
      </c>
      <c r="D79" s="22" t="s">
        <v>189</v>
      </c>
      <c r="E79" s="21"/>
      <c r="F79" s="21"/>
      <c r="G79" s="21"/>
      <c r="J79" s="116"/>
      <c r="K79" s="116"/>
      <c r="L79" s="116"/>
      <c r="M79" s="116"/>
      <c r="N79" s="116"/>
    </row>
    <row r="80" spans="1:14" ht="17.100000000000001" customHeight="1" x14ac:dyDescent="0.2">
      <c r="A80" s="21"/>
      <c r="B80" s="4" t="s">
        <v>190</v>
      </c>
      <c r="C80" s="24">
        <v>29.9467</v>
      </c>
      <c r="D80" s="24">
        <v>30.844000000000001</v>
      </c>
      <c r="E80" s="21"/>
      <c r="F80" s="18"/>
      <c r="G80" s="25"/>
      <c r="J80" s="116"/>
      <c r="K80" s="116"/>
      <c r="L80" s="116"/>
      <c r="M80" s="116"/>
      <c r="N80" s="116"/>
    </row>
    <row r="81" spans="1:14" ht="17.100000000000001" customHeight="1" x14ac:dyDescent="0.2">
      <c r="A81" s="21"/>
      <c r="B81" s="4" t="s">
        <v>1033</v>
      </c>
      <c r="C81" s="24">
        <v>26.6328</v>
      </c>
      <c r="D81" s="24">
        <v>27.430800000000001</v>
      </c>
      <c r="E81" s="21"/>
      <c r="F81" s="18"/>
      <c r="G81" s="25"/>
      <c r="J81" s="116"/>
      <c r="K81" s="116"/>
      <c r="L81" s="116"/>
      <c r="M81" s="116"/>
      <c r="N81" s="116"/>
    </row>
    <row r="82" spans="1:14" ht="17.100000000000001" customHeight="1" x14ac:dyDescent="0.2">
      <c r="A82" s="21"/>
      <c r="B82" s="4" t="s">
        <v>191</v>
      </c>
      <c r="C82" s="24">
        <v>27.7699</v>
      </c>
      <c r="D82" s="24">
        <v>28.577500000000001</v>
      </c>
      <c r="E82" s="21"/>
      <c r="F82" s="18"/>
      <c r="G82" s="25"/>
      <c r="J82" s="116"/>
      <c r="K82" s="116"/>
      <c r="L82" s="116"/>
      <c r="M82" s="116"/>
      <c r="N82" s="116"/>
    </row>
    <row r="83" spans="1:14" ht="17.100000000000001" customHeight="1" x14ac:dyDescent="0.2">
      <c r="A83" s="21"/>
      <c r="B83" s="4" t="s">
        <v>1034</v>
      </c>
      <c r="C83" s="24">
        <v>23.796500000000002</v>
      </c>
      <c r="D83" s="24">
        <v>24.488600000000002</v>
      </c>
      <c r="E83" s="21"/>
      <c r="F83" s="18"/>
      <c r="G83" s="25"/>
      <c r="J83" s="116"/>
      <c r="K83" s="116"/>
      <c r="L83" s="116"/>
      <c r="M83" s="116"/>
      <c r="N83" s="116"/>
    </row>
    <row r="84" spans="1:14" ht="14.1" customHeight="1" x14ac:dyDescent="0.2">
      <c r="A84" s="21"/>
      <c r="B84" s="21"/>
      <c r="C84" s="21"/>
      <c r="D84" s="21"/>
      <c r="E84" s="21"/>
      <c r="F84" s="21"/>
      <c r="G84" s="21"/>
      <c r="J84" s="116"/>
      <c r="K84" s="116"/>
      <c r="L84" s="116"/>
      <c r="M84" s="116"/>
      <c r="N84" s="116"/>
    </row>
    <row r="85" spans="1:14" ht="17.100000000000001" customHeight="1" x14ac:dyDescent="0.2">
      <c r="A85" s="21"/>
      <c r="B85" s="205" t="s">
        <v>1035</v>
      </c>
      <c r="C85" s="206"/>
      <c r="D85" s="2" t="s">
        <v>182</v>
      </c>
      <c r="E85" s="21"/>
      <c r="F85" s="21"/>
      <c r="G85" s="21"/>
      <c r="J85" s="116"/>
      <c r="K85" s="116"/>
      <c r="L85" s="116"/>
      <c r="M85" s="116"/>
      <c r="N85" s="116"/>
    </row>
    <row r="86" spans="1:14" ht="18" customHeight="1" x14ac:dyDescent="0.2">
      <c r="A86" s="21"/>
      <c r="B86" s="26"/>
      <c r="C86" s="26"/>
      <c r="D86" s="26"/>
      <c r="E86" s="21"/>
      <c r="F86" s="21"/>
      <c r="G86" s="21"/>
      <c r="J86" s="116"/>
      <c r="K86" s="116"/>
      <c r="L86" s="116"/>
      <c r="M86" s="116"/>
      <c r="N86" s="116"/>
    </row>
    <row r="87" spans="1:14" ht="29.1" customHeight="1" x14ac:dyDescent="0.2">
      <c r="A87" s="21"/>
      <c r="B87" s="205" t="s">
        <v>192</v>
      </c>
      <c r="C87" s="206"/>
      <c r="D87" s="2" t="s">
        <v>182</v>
      </c>
      <c r="E87" s="27"/>
      <c r="F87" s="21"/>
      <c r="G87" s="21"/>
      <c r="J87" s="116"/>
      <c r="K87" s="116"/>
      <c r="L87" s="116"/>
      <c r="M87" s="116"/>
      <c r="N87" s="116"/>
    </row>
    <row r="88" spans="1:14" ht="29.1" customHeight="1" x14ac:dyDescent="0.2">
      <c r="A88" s="21"/>
      <c r="B88" s="205" t="s">
        <v>193</v>
      </c>
      <c r="C88" s="206"/>
      <c r="D88" s="53" t="s">
        <v>968</v>
      </c>
      <c r="E88" s="27"/>
      <c r="F88" s="21"/>
      <c r="G88" s="21"/>
      <c r="J88" s="116"/>
      <c r="K88" s="116"/>
      <c r="L88" s="116"/>
      <c r="M88" s="116"/>
      <c r="N88" s="116"/>
    </row>
    <row r="89" spans="1:14" ht="17.100000000000001" customHeight="1" x14ac:dyDescent="0.2">
      <c r="A89" s="21"/>
      <c r="B89" s="205" t="s">
        <v>194</v>
      </c>
      <c r="C89" s="206"/>
      <c r="D89" s="2" t="s">
        <v>182</v>
      </c>
      <c r="E89" s="27"/>
      <c r="F89" s="21"/>
      <c r="G89" s="21"/>
      <c r="J89" s="116"/>
      <c r="K89" s="116"/>
      <c r="L89" s="116"/>
      <c r="M89" s="116"/>
      <c r="N89" s="116"/>
    </row>
    <row r="90" spans="1:14" ht="17.100000000000001" customHeight="1" x14ac:dyDescent="0.2">
      <c r="A90" s="21"/>
      <c r="B90" s="205" t="s">
        <v>195</v>
      </c>
      <c r="C90" s="206"/>
      <c r="D90" s="28">
        <v>0</v>
      </c>
      <c r="E90" s="21"/>
      <c r="F90" s="18"/>
      <c r="G90" s="25"/>
      <c r="J90" s="116"/>
      <c r="K90" s="116"/>
      <c r="L90" s="116"/>
      <c r="M90" s="116"/>
      <c r="N90" s="116"/>
    </row>
    <row r="91" spans="1:14" x14ac:dyDescent="0.2">
      <c r="J91" s="116"/>
      <c r="K91" s="116"/>
      <c r="L91" s="116"/>
      <c r="M91" s="116"/>
      <c r="N91" s="116"/>
    </row>
  </sheetData>
  <mergeCells count="13">
    <mergeCell ref="B90:C90"/>
    <mergeCell ref="B76:C76"/>
    <mergeCell ref="B77:C77"/>
    <mergeCell ref="B85:C85"/>
    <mergeCell ref="B87:C87"/>
    <mergeCell ref="B88:C88"/>
    <mergeCell ref="B89:C89"/>
    <mergeCell ref="J2:N2"/>
    <mergeCell ref="B74:D74"/>
    <mergeCell ref="B75:C75"/>
    <mergeCell ref="A1:H1"/>
    <mergeCell ref="A2:H2"/>
    <mergeCell ref="A3:H3"/>
  </mergeCells>
  <hyperlinks>
    <hyperlink ref="I1" location="Index!B3" display="Index" xr:uid="{40FD2A9E-E9EC-4529-8153-1EE006431989}"/>
  </hyperlink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85546875" customWidth="1"/>
    <col min="10" max="10" width="9.5703125" bestFit="1" customWidth="1"/>
  </cols>
  <sheetData>
    <row r="1" spans="1:14" ht="18" customHeight="1" x14ac:dyDescent="0.2">
      <c r="A1" s="211" t="s">
        <v>0</v>
      </c>
      <c r="B1" s="211"/>
      <c r="C1" s="211"/>
      <c r="D1" s="211"/>
      <c r="E1" s="211"/>
      <c r="F1" s="211"/>
      <c r="G1" s="211"/>
      <c r="H1" s="211"/>
      <c r="I1" s="197" t="s">
        <v>1142</v>
      </c>
    </row>
    <row r="2" spans="1:14" ht="17.100000000000001" customHeight="1" x14ac:dyDescent="0.2">
      <c r="A2" s="212" t="s">
        <v>196</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110</v>
      </c>
      <c r="C7" s="4" t="s">
        <v>111</v>
      </c>
      <c r="D7" s="4" t="s">
        <v>53</v>
      </c>
      <c r="E7" s="5">
        <v>12000000</v>
      </c>
      <c r="F7" s="6">
        <v>45912</v>
      </c>
      <c r="G7" s="7">
        <v>4.6468000000000002E-2</v>
      </c>
      <c r="H7" s="113"/>
    </row>
    <row r="8" spans="1:14" ht="17.100000000000001" customHeight="1" x14ac:dyDescent="0.2">
      <c r="A8" s="3">
        <v>2</v>
      </c>
      <c r="B8" s="4" t="s">
        <v>197</v>
      </c>
      <c r="C8" s="4" t="s">
        <v>198</v>
      </c>
      <c r="D8" s="4" t="s">
        <v>28</v>
      </c>
      <c r="E8" s="5">
        <v>22120395</v>
      </c>
      <c r="F8" s="6">
        <v>34540.996792500002</v>
      </c>
      <c r="G8" s="7">
        <v>3.4959289999999997E-2</v>
      </c>
      <c r="H8" s="113"/>
    </row>
    <row r="9" spans="1:14" ht="17.100000000000001" customHeight="1" x14ac:dyDescent="0.2">
      <c r="A9" s="3">
        <v>3</v>
      </c>
      <c r="B9" s="4" t="s">
        <v>199</v>
      </c>
      <c r="C9" s="4" t="s">
        <v>200</v>
      </c>
      <c r="D9" s="4" t="s">
        <v>107</v>
      </c>
      <c r="E9" s="5">
        <v>914499</v>
      </c>
      <c r="F9" s="6">
        <v>32388.353833500001</v>
      </c>
      <c r="G9" s="7">
        <v>3.2780579999999997E-2</v>
      </c>
      <c r="H9" s="113"/>
    </row>
    <row r="10" spans="1:14" ht="17.100000000000001" customHeight="1" x14ac:dyDescent="0.2">
      <c r="A10" s="3">
        <v>4</v>
      </c>
      <c r="B10" s="4" t="s">
        <v>201</v>
      </c>
      <c r="C10" s="4" t="s">
        <v>202</v>
      </c>
      <c r="D10" s="4" t="s">
        <v>56</v>
      </c>
      <c r="E10" s="5">
        <v>8420000</v>
      </c>
      <c r="F10" s="6">
        <v>29815.22</v>
      </c>
      <c r="G10" s="7">
        <v>3.0176290000000001E-2</v>
      </c>
      <c r="H10" s="113"/>
    </row>
    <row r="11" spans="1:14" ht="17.100000000000001" customHeight="1" x14ac:dyDescent="0.2">
      <c r="A11" s="3">
        <v>5</v>
      </c>
      <c r="B11" s="4" t="s">
        <v>203</v>
      </c>
      <c r="C11" s="4" t="s">
        <v>204</v>
      </c>
      <c r="D11" s="4" t="s">
        <v>53</v>
      </c>
      <c r="E11" s="5">
        <v>1343079</v>
      </c>
      <c r="F11" s="6">
        <v>27577.441106999999</v>
      </c>
      <c r="G11" s="7">
        <v>2.7911410000000001E-2</v>
      </c>
      <c r="H11" s="113"/>
    </row>
    <row r="12" spans="1:14" ht="17.100000000000001" customHeight="1" x14ac:dyDescent="0.2">
      <c r="A12" s="3">
        <v>6</v>
      </c>
      <c r="B12" s="4" t="s">
        <v>131</v>
      </c>
      <c r="C12" s="4" t="s">
        <v>132</v>
      </c>
      <c r="D12" s="4" t="s">
        <v>34</v>
      </c>
      <c r="E12" s="5">
        <v>1380221</v>
      </c>
      <c r="F12" s="6">
        <v>27106.850329500001</v>
      </c>
      <c r="G12" s="7">
        <v>2.743512E-2</v>
      </c>
      <c r="H12" s="113"/>
    </row>
    <row r="13" spans="1:14" ht="17.100000000000001" customHeight="1" x14ac:dyDescent="0.2">
      <c r="A13" s="3">
        <v>7</v>
      </c>
      <c r="B13" s="4" t="s">
        <v>205</v>
      </c>
      <c r="C13" s="4" t="s">
        <v>206</v>
      </c>
      <c r="D13" s="4" t="s">
        <v>207</v>
      </c>
      <c r="E13" s="5">
        <v>882784</v>
      </c>
      <c r="F13" s="6">
        <v>26968.609808000001</v>
      </c>
      <c r="G13" s="7">
        <v>2.7295199999999999E-2</v>
      </c>
      <c r="H13" s="113"/>
      <c r="J13" s="194" t="s">
        <v>1146</v>
      </c>
    </row>
    <row r="14" spans="1:14" ht="17.100000000000001" customHeight="1" x14ac:dyDescent="0.2">
      <c r="A14" s="3">
        <v>8</v>
      </c>
      <c r="B14" s="4" t="s">
        <v>208</v>
      </c>
      <c r="C14" s="4" t="s">
        <v>209</v>
      </c>
      <c r="D14" s="4" t="s">
        <v>210</v>
      </c>
      <c r="E14" s="5">
        <v>6200000</v>
      </c>
      <c r="F14" s="6">
        <v>25990.400000000001</v>
      </c>
      <c r="G14" s="7">
        <v>2.6305149999999999E-2</v>
      </c>
      <c r="H14" s="113"/>
    </row>
    <row r="15" spans="1:14" ht="29.1" customHeight="1" x14ac:dyDescent="0.2">
      <c r="A15" s="3">
        <v>9</v>
      </c>
      <c r="B15" s="4" t="s">
        <v>211</v>
      </c>
      <c r="C15" s="4" t="s">
        <v>212</v>
      </c>
      <c r="D15" s="4" t="s">
        <v>53</v>
      </c>
      <c r="E15" s="5">
        <v>1838054</v>
      </c>
      <c r="F15" s="6">
        <v>23155.804292000001</v>
      </c>
      <c r="G15" s="7">
        <v>2.3436229999999999E-2</v>
      </c>
      <c r="H15" s="113"/>
    </row>
    <row r="16" spans="1:14" ht="17.100000000000001" customHeight="1" x14ac:dyDescent="0.2">
      <c r="A16" s="3">
        <v>10</v>
      </c>
      <c r="B16" s="4" t="s">
        <v>91</v>
      </c>
      <c r="C16" s="4" t="s">
        <v>92</v>
      </c>
      <c r="D16" s="4" t="s">
        <v>73</v>
      </c>
      <c r="E16" s="5">
        <v>1542010</v>
      </c>
      <c r="F16" s="6">
        <v>22256.601334999999</v>
      </c>
      <c r="G16" s="7">
        <v>2.2526129999999998E-2</v>
      </c>
      <c r="H16" s="113"/>
    </row>
    <row r="17" spans="1:10" ht="29.1" customHeight="1" x14ac:dyDescent="0.2">
      <c r="A17" s="3">
        <v>11</v>
      </c>
      <c r="B17" s="4" t="s">
        <v>213</v>
      </c>
      <c r="C17" s="4" t="s">
        <v>214</v>
      </c>
      <c r="D17" s="4" t="s">
        <v>215</v>
      </c>
      <c r="E17" s="5">
        <v>1768595</v>
      </c>
      <c r="F17" s="6">
        <v>22136.619317500001</v>
      </c>
      <c r="G17" s="7">
        <v>2.24047E-2</v>
      </c>
      <c r="H17" s="113"/>
    </row>
    <row r="18" spans="1:10" ht="17.100000000000001" customHeight="1" x14ac:dyDescent="0.2">
      <c r="A18" s="3">
        <v>12</v>
      </c>
      <c r="B18" s="4" t="s">
        <v>51</v>
      </c>
      <c r="C18" s="4" t="s">
        <v>52</v>
      </c>
      <c r="D18" s="4" t="s">
        <v>53</v>
      </c>
      <c r="E18" s="5">
        <v>5144993</v>
      </c>
      <c r="F18" s="6">
        <v>21241.103600499999</v>
      </c>
      <c r="G18" s="7">
        <v>2.1498340000000001E-2</v>
      </c>
      <c r="H18" s="113"/>
    </row>
    <row r="19" spans="1:10" ht="17.100000000000001" customHeight="1" x14ac:dyDescent="0.2">
      <c r="A19" s="3">
        <v>13</v>
      </c>
      <c r="B19" s="4" t="s">
        <v>216</v>
      </c>
      <c r="C19" s="4" t="s">
        <v>217</v>
      </c>
      <c r="D19" s="4" t="s">
        <v>891</v>
      </c>
      <c r="E19" s="5">
        <v>270000</v>
      </c>
      <c r="F19" s="6">
        <v>19951.38</v>
      </c>
      <c r="G19" s="7">
        <v>2.0192999999999999E-2</v>
      </c>
      <c r="H19" s="113"/>
    </row>
    <row r="20" spans="1:10" ht="17.100000000000001" customHeight="1" x14ac:dyDescent="0.2">
      <c r="A20" s="3">
        <v>14</v>
      </c>
      <c r="B20" s="4" t="s">
        <v>47</v>
      </c>
      <c r="C20" s="4" t="s">
        <v>48</v>
      </c>
      <c r="D20" s="4" t="s">
        <v>34</v>
      </c>
      <c r="E20" s="5">
        <v>830642</v>
      </c>
      <c r="F20" s="6">
        <v>19346.482822000002</v>
      </c>
      <c r="G20" s="7">
        <v>1.9580770000000001E-2</v>
      </c>
      <c r="H20" s="113"/>
    </row>
    <row r="21" spans="1:10" ht="17.100000000000001" customHeight="1" x14ac:dyDescent="0.2">
      <c r="A21" s="3">
        <v>15</v>
      </c>
      <c r="B21" s="4" t="s">
        <v>218</v>
      </c>
      <c r="C21" s="4" t="s">
        <v>219</v>
      </c>
      <c r="D21" s="4" t="s">
        <v>28</v>
      </c>
      <c r="E21" s="5">
        <v>2339135</v>
      </c>
      <c r="F21" s="6">
        <v>18418.348989999999</v>
      </c>
      <c r="G21" s="7">
        <v>1.8641399999999999E-2</v>
      </c>
      <c r="H21" s="113"/>
    </row>
    <row r="22" spans="1:10" ht="29.1" customHeight="1" x14ac:dyDescent="0.2">
      <c r="A22" s="3">
        <v>16</v>
      </c>
      <c r="B22" s="4" t="s">
        <v>77</v>
      </c>
      <c r="C22" s="4" t="s">
        <v>78</v>
      </c>
      <c r="D22" s="4" t="s">
        <v>25</v>
      </c>
      <c r="E22" s="5">
        <v>783545</v>
      </c>
      <c r="F22" s="6">
        <v>17827.215840000001</v>
      </c>
      <c r="G22" s="7">
        <v>1.8043110000000001E-2</v>
      </c>
      <c r="H22" s="113"/>
      <c r="J22" s="194" t="s">
        <v>1147</v>
      </c>
    </row>
    <row r="23" spans="1:10" ht="17.100000000000001" customHeight="1" x14ac:dyDescent="0.2">
      <c r="A23" s="3">
        <v>17</v>
      </c>
      <c r="B23" s="4" t="s">
        <v>57</v>
      </c>
      <c r="C23" s="4" t="s">
        <v>58</v>
      </c>
      <c r="D23" s="4" t="s">
        <v>34</v>
      </c>
      <c r="E23" s="5">
        <v>319506</v>
      </c>
      <c r="F23" s="6">
        <v>17524.424841</v>
      </c>
      <c r="G23" s="7">
        <v>1.773665E-2</v>
      </c>
      <c r="H23" s="113"/>
    </row>
    <row r="24" spans="1:10" ht="29.1" customHeight="1" x14ac:dyDescent="0.2">
      <c r="A24" s="3">
        <v>18</v>
      </c>
      <c r="B24" s="4" t="s">
        <v>29</v>
      </c>
      <c r="C24" s="4" t="s">
        <v>30</v>
      </c>
      <c r="D24" s="4" t="s">
        <v>31</v>
      </c>
      <c r="E24" s="5">
        <v>9250000</v>
      </c>
      <c r="F24" s="6">
        <v>17038.5</v>
      </c>
      <c r="G24" s="7">
        <v>1.7244840000000001E-2</v>
      </c>
      <c r="H24" s="113"/>
    </row>
    <row r="25" spans="1:10" ht="29.1" customHeight="1" x14ac:dyDescent="0.2">
      <c r="A25" s="3">
        <v>19</v>
      </c>
      <c r="B25" s="4" t="s">
        <v>220</v>
      </c>
      <c r="C25" s="4" t="s">
        <v>221</v>
      </c>
      <c r="D25" s="4" t="s">
        <v>222</v>
      </c>
      <c r="E25" s="5">
        <v>440957</v>
      </c>
      <c r="F25" s="6">
        <v>16990.955124</v>
      </c>
      <c r="G25" s="7">
        <v>1.7196719999999999E-2</v>
      </c>
      <c r="H25" s="113"/>
    </row>
    <row r="26" spans="1:10" ht="17.100000000000001" customHeight="1" x14ac:dyDescent="0.2">
      <c r="A26" s="3">
        <v>20</v>
      </c>
      <c r="B26" s="4" t="s">
        <v>97</v>
      </c>
      <c r="C26" s="4" t="s">
        <v>98</v>
      </c>
      <c r="D26" s="4" t="s">
        <v>99</v>
      </c>
      <c r="E26" s="5">
        <v>2205000</v>
      </c>
      <c r="F26" s="6">
        <v>16495.605</v>
      </c>
      <c r="G26" s="7">
        <v>1.6695370000000001E-2</v>
      </c>
      <c r="H26" s="113"/>
    </row>
    <row r="27" spans="1:10" ht="29.1" customHeight="1" x14ac:dyDescent="0.2">
      <c r="A27" s="3">
        <v>21</v>
      </c>
      <c r="B27" s="4" t="s">
        <v>223</v>
      </c>
      <c r="C27" s="4" t="s">
        <v>224</v>
      </c>
      <c r="D27" s="4" t="s">
        <v>225</v>
      </c>
      <c r="E27" s="5">
        <v>1229596</v>
      </c>
      <c r="F27" s="6">
        <v>16266.940282</v>
      </c>
      <c r="G27" s="7">
        <v>1.646394E-2</v>
      </c>
      <c r="H27" s="113"/>
    </row>
    <row r="28" spans="1:10" ht="29.1" customHeight="1" x14ac:dyDescent="0.2">
      <c r="A28" s="3">
        <v>22</v>
      </c>
      <c r="B28" s="4" t="s">
        <v>226</v>
      </c>
      <c r="C28" s="4" t="s">
        <v>227</v>
      </c>
      <c r="D28" s="4" t="s">
        <v>225</v>
      </c>
      <c r="E28" s="5">
        <v>2300500</v>
      </c>
      <c r="F28" s="6">
        <v>15855.046</v>
      </c>
      <c r="G28" s="7">
        <v>1.604705E-2</v>
      </c>
      <c r="H28" s="113"/>
    </row>
    <row r="29" spans="1:10" ht="29.1" customHeight="1" x14ac:dyDescent="0.2">
      <c r="A29" s="3">
        <v>23</v>
      </c>
      <c r="B29" s="4" t="s">
        <v>228</v>
      </c>
      <c r="C29" s="4" t="s">
        <v>229</v>
      </c>
      <c r="D29" s="4" t="s">
        <v>225</v>
      </c>
      <c r="E29" s="5">
        <v>301845</v>
      </c>
      <c r="F29" s="6">
        <v>15703.787969999999</v>
      </c>
      <c r="G29" s="7">
        <v>1.5893959999999999E-2</v>
      </c>
      <c r="H29" s="113"/>
    </row>
    <row r="30" spans="1:10" ht="17.100000000000001" customHeight="1" x14ac:dyDescent="0.2">
      <c r="A30" s="3">
        <v>24</v>
      </c>
      <c r="B30" s="4" t="s">
        <v>230</v>
      </c>
      <c r="C30" s="4" t="s">
        <v>231</v>
      </c>
      <c r="D30" s="4" t="s">
        <v>107</v>
      </c>
      <c r="E30" s="5">
        <v>200000</v>
      </c>
      <c r="F30" s="6">
        <v>15440.7</v>
      </c>
      <c r="G30" s="7">
        <v>1.562769E-2</v>
      </c>
      <c r="H30" s="113"/>
    </row>
    <row r="31" spans="1:10" ht="17.100000000000001" customHeight="1" x14ac:dyDescent="0.2">
      <c r="A31" s="3">
        <v>25</v>
      </c>
      <c r="B31" s="4" t="s">
        <v>232</v>
      </c>
      <c r="C31" s="4" t="s">
        <v>233</v>
      </c>
      <c r="D31" s="4" t="s">
        <v>234</v>
      </c>
      <c r="E31" s="5">
        <v>1601013</v>
      </c>
      <c r="F31" s="6">
        <v>15278.467059000001</v>
      </c>
      <c r="G31" s="7">
        <v>1.546349E-2</v>
      </c>
      <c r="H31" s="113"/>
    </row>
    <row r="32" spans="1:10" ht="17.100000000000001" customHeight="1" x14ac:dyDescent="0.2">
      <c r="A32" s="3">
        <v>26</v>
      </c>
      <c r="B32" s="4" t="s">
        <v>235</v>
      </c>
      <c r="C32" s="4" t="s">
        <v>236</v>
      </c>
      <c r="D32" s="4" t="s">
        <v>61</v>
      </c>
      <c r="E32" s="5">
        <v>4875000</v>
      </c>
      <c r="F32" s="6">
        <v>14917.5</v>
      </c>
      <c r="G32" s="7">
        <v>1.5098149999999999E-2</v>
      </c>
      <c r="H32" s="113"/>
    </row>
    <row r="33" spans="1:8" ht="29.1" customHeight="1" x14ac:dyDescent="0.2">
      <c r="A33" s="3">
        <v>27</v>
      </c>
      <c r="B33" s="4" t="s">
        <v>237</v>
      </c>
      <c r="C33" s="4" t="s">
        <v>238</v>
      </c>
      <c r="D33" s="4" t="s">
        <v>107</v>
      </c>
      <c r="E33" s="5">
        <v>92753</v>
      </c>
      <c r="F33" s="6">
        <v>14846.879956999999</v>
      </c>
      <c r="G33" s="7">
        <v>1.5026680000000001E-2</v>
      </c>
      <c r="H33" s="113"/>
    </row>
    <row r="34" spans="1:8" ht="17.100000000000001" customHeight="1" x14ac:dyDescent="0.2">
      <c r="A34" s="3">
        <v>28</v>
      </c>
      <c r="B34" s="4" t="s">
        <v>239</v>
      </c>
      <c r="C34" s="4" t="s">
        <v>240</v>
      </c>
      <c r="D34" s="4" t="s">
        <v>891</v>
      </c>
      <c r="E34" s="5">
        <v>235951</v>
      </c>
      <c r="F34" s="6">
        <v>14804.509544</v>
      </c>
      <c r="G34" s="7">
        <v>1.49838E-2</v>
      </c>
      <c r="H34" s="113"/>
    </row>
    <row r="35" spans="1:8" ht="17.100000000000001" customHeight="1" x14ac:dyDescent="0.2">
      <c r="A35" s="3">
        <v>29</v>
      </c>
      <c r="B35" s="4" t="s">
        <v>241</v>
      </c>
      <c r="C35" s="4" t="s">
        <v>242</v>
      </c>
      <c r="D35" s="4" t="s">
        <v>56</v>
      </c>
      <c r="E35" s="5">
        <v>1470000</v>
      </c>
      <c r="F35" s="6">
        <v>14381.745000000001</v>
      </c>
      <c r="G35" s="7">
        <v>1.455591E-2</v>
      </c>
      <c r="H35" s="113"/>
    </row>
    <row r="36" spans="1:8" ht="17.100000000000001" customHeight="1" x14ac:dyDescent="0.2">
      <c r="A36" s="3">
        <v>30</v>
      </c>
      <c r="B36" s="4" t="s">
        <v>243</v>
      </c>
      <c r="C36" s="4" t="s">
        <v>244</v>
      </c>
      <c r="D36" s="4" t="s">
        <v>245</v>
      </c>
      <c r="E36" s="5">
        <v>2515754</v>
      </c>
      <c r="F36" s="6">
        <v>14215.267977</v>
      </c>
      <c r="G36" s="7">
        <v>1.438742E-2</v>
      </c>
      <c r="H36" s="113"/>
    </row>
    <row r="37" spans="1:8" ht="17.100000000000001" customHeight="1" x14ac:dyDescent="0.2">
      <c r="A37" s="3">
        <v>31</v>
      </c>
      <c r="B37" s="4" t="s">
        <v>105</v>
      </c>
      <c r="C37" s="4" t="s">
        <v>106</v>
      </c>
      <c r="D37" s="4" t="s">
        <v>107</v>
      </c>
      <c r="E37" s="5">
        <v>410000</v>
      </c>
      <c r="F37" s="6">
        <v>13132.3</v>
      </c>
      <c r="G37" s="7">
        <v>1.3291330000000001E-2</v>
      </c>
      <c r="H37" s="113"/>
    </row>
    <row r="38" spans="1:8" ht="17.100000000000001" customHeight="1" x14ac:dyDescent="0.2">
      <c r="A38" s="3">
        <v>32</v>
      </c>
      <c r="B38" s="4" t="s">
        <v>123</v>
      </c>
      <c r="C38" s="4" t="s">
        <v>124</v>
      </c>
      <c r="D38" s="4" t="s">
        <v>34</v>
      </c>
      <c r="E38" s="5">
        <v>675000</v>
      </c>
      <c r="F38" s="6">
        <v>12875.9625</v>
      </c>
      <c r="G38" s="7">
        <v>1.3031890000000001E-2</v>
      </c>
      <c r="H38" s="113"/>
    </row>
    <row r="39" spans="1:8" ht="17.100000000000001" customHeight="1" x14ac:dyDescent="0.2">
      <c r="A39" s="3">
        <v>33</v>
      </c>
      <c r="B39" s="4" t="s">
        <v>246</v>
      </c>
      <c r="C39" s="4" t="s">
        <v>247</v>
      </c>
      <c r="D39" s="4" t="s">
        <v>248</v>
      </c>
      <c r="E39" s="5">
        <v>609596</v>
      </c>
      <c r="F39" s="6">
        <v>12349.195768</v>
      </c>
      <c r="G39" s="7">
        <v>1.2498749999999999E-2</v>
      </c>
      <c r="H39" s="113"/>
    </row>
    <row r="40" spans="1:8" ht="17.100000000000001" customHeight="1" x14ac:dyDescent="0.2">
      <c r="A40" s="3">
        <v>34</v>
      </c>
      <c r="B40" s="4" t="s">
        <v>249</v>
      </c>
      <c r="C40" s="4" t="s">
        <v>250</v>
      </c>
      <c r="D40" s="4" t="s">
        <v>245</v>
      </c>
      <c r="E40" s="5">
        <v>1769363</v>
      </c>
      <c r="F40" s="6">
        <v>12322.728613499999</v>
      </c>
      <c r="G40" s="7">
        <v>1.2471960000000001E-2</v>
      </c>
      <c r="H40" s="113"/>
    </row>
    <row r="41" spans="1:8" ht="17.100000000000001" customHeight="1" x14ac:dyDescent="0.2">
      <c r="A41" s="3">
        <v>35</v>
      </c>
      <c r="B41" s="4" t="s">
        <v>251</v>
      </c>
      <c r="C41" s="4" t="s">
        <v>252</v>
      </c>
      <c r="D41" s="4" t="s">
        <v>46</v>
      </c>
      <c r="E41" s="5">
        <v>3164798</v>
      </c>
      <c r="F41" s="6">
        <v>12318.976215000001</v>
      </c>
      <c r="G41" s="7">
        <v>1.2468160000000001E-2</v>
      </c>
      <c r="H41" s="113"/>
    </row>
    <row r="42" spans="1:8" ht="17.100000000000001" customHeight="1" x14ac:dyDescent="0.2">
      <c r="A42" s="3">
        <v>36</v>
      </c>
      <c r="B42" s="4" t="s">
        <v>253</v>
      </c>
      <c r="C42" s="4" t="s">
        <v>254</v>
      </c>
      <c r="D42" s="4" t="s">
        <v>16</v>
      </c>
      <c r="E42" s="5">
        <v>1295089</v>
      </c>
      <c r="F42" s="6">
        <v>12094.188626499999</v>
      </c>
      <c r="G42" s="7">
        <v>1.224065E-2</v>
      </c>
      <c r="H42" s="113"/>
    </row>
    <row r="43" spans="1:8" ht="17.100000000000001" customHeight="1" x14ac:dyDescent="0.2">
      <c r="A43" s="3">
        <v>37</v>
      </c>
      <c r="B43" s="4" t="s">
        <v>255</v>
      </c>
      <c r="C43" s="4" t="s">
        <v>256</v>
      </c>
      <c r="D43" s="4" t="s">
        <v>257</v>
      </c>
      <c r="E43" s="5">
        <v>4189650</v>
      </c>
      <c r="F43" s="6">
        <v>11508.96855</v>
      </c>
      <c r="G43" s="7">
        <v>1.164834E-2</v>
      </c>
      <c r="H43" s="113"/>
    </row>
    <row r="44" spans="1:8" ht="17.100000000000001" customHeight="1" x14ac:dyDescent="0.2">
      <c r="A44" s="3">
        <v>38</v>
      </c>
      <c r="B44" s="4" t="s">
        <v>258</v>
      </c>
      <c r="C44" s="4" t="s">
        <v>259</v>
      </c>
      <c r="D44" s="4" t="s">
        <v>207</v>
      </c>
      <c r="E44" s="5">
        <v>220000</v>
      </c>
      <c r="F44" s="6">
        <v>11308.33</v>
      </c>
      <c r="G44" s="7">
        <v>1.144528E-2</v>
      </c>
      <c r="H44" s="113"/>
    </row>
    <row r="45" spans="1:8" ht="17.100000000000001" customHeight="1" x14ac:dyDescent="0.2">
      <c r="A45" s="3">
        <v>39</v>
      </c>
      <c r="B45" s="4" t="s">
        <v>44</v>
      </c>
      <c r="C45" s="4" t="s">
        <v>45</v>
      </c>
      <c r="D45" s="4" t="s">
        <v>46</v>
      </c>
      <c r="E45" s="5">
        <v>1300000</v>
      </c>
      <c r="F45" s="6">
        <v>11175.45</v>
      </c>
      <c r="G45" s="7">
        <v>1.1310789999999999E-2</v>
      </c>
      <c r="H45" s="113"/>
    </row>
    <row r="46" spans="1:8" ht="17.100000000000001" customHeight="1" x14ac:dyDescent="0.2">
      <c r="A46" s="3">
        <v>40</v>
      </c>
      <c r="B46" s="4" t="s">
        <v>260</v>
      </c>
      <c r="C46" s="4" t="s">
        <v>261</v>
      </c>
      <c r="D46" s="4" t="s">
        <v>262</v>
      </c>
      <c r="E46" s="5">
        <v>967480</v>
      </c>
      <c r="F46" s="6">
        <v>11016.211020000001</v>
      </c>
      <c r="G46" s="7">
        <v>1.1149620000000001E-2</v>
      </c>
      <c r="H46" s="113"/>
    </row>
    <row r="47" spans="1:8" ht="17.100000000000001" customHeight="1" x14ac:dyDescent="0.2">
      <c r="A47" s="3">
        <v>41</v>
      </c>
      <c r="B47" s="4" t="s">
        <v>263</v>
      </c>
      <c r="C47" s="4" t="s">
        <v>264</v>
      </c>
      <c r="D47" s="4" t="s">
        <v>56</v>
      </c>
      <c r="E47" s="5">
        <v>860000</v>
      </c>
      <c r="F47" s="6">
        <v>10940.92</v>
      </c>
      <c r="G47" s="7">
        <v>1.107342E-2</v>
      </c>
      <c r="H47" s="113"/>
    </row>
    <row r="48" spans="1:8" ht="17.100000000000001" customHeight="1" x14ac:dyDescent="0.2">
      <c r="A48" s="3">
        <v>42</v>
      </c>
      <c r="B48" s="4" t="s">
        <v>265</v>
      </c>
      <c r="C48" s="4" t="s">
        <v>266</v>
      </c>
      <c r="D48" s="4" t="s">
        <v>267</v>
      </c>
      <c r="E48" s="5">
        <v>390070</v>
      </c>
      <c r="F48" s="6">
        <v>10342.315979999999</v>
      </c>
      <c r="G48" s="7">
        <v>1.0467560000000001E-2</v>
      </c>
      <c r="H48" s="113"/>
    </row>
    <row r="49" spans="1:8" ht="17.100000000000001" customHeight="1" x14ac:dyDescent="0.2">
      <c r="A49" s="3">
        <v>43</v>
      </c>
      <c r="B49" s="4" t="s">
        <v>268</v>
      </c>
      <c r="C49" s="4" t="s">
        <v>269</v>
      </c>
      <c r="D49" s="4" t="s">
        <v>28</v>
      </c>
      <c r="E49" s="5">
        <v>8615503</v>
      </c>
      <c r="F49" s="6">
        <v>10261.064073</v>
      </c>
      <c r="G49" s="7">
        <v>1.038533E-2</v>
      </c>
      <c r="H49" s="113"/>
    </row>
    <row r="50" spans="1:8" ht="17.100000000000001" customHeight="1" x14ac:dyDescent="0.2">
      <c r="A50" s="3">
        <v>44</v>
      </c>
      <c r="B50" s="4" t="s">
        <v>108</v>
      </c>
      <c r="C50" s="4" t="s">
        <v>109</v>
      </c>
      <c r="D50" s="4" t="s">
        <v>107</v>
      </c>
      <c r="E50" s="5">
        <v>1564616</v>
      </c>
      <c r="F50" s="6">
        <v>10083.95012</v>
      </c>
      <c r="G50" s="7">
        <v>1.0206069999999999E-2</v>
      </c>
      <c r="H50" s="113"/>
    </row>
    <row r="51" spans="1:8" ht="29.1" customHeight="1" x14ac:dyDescent="0.2">
      <c r="A51" s="3">
        <v>45</v>
      </c>
      <c r="B51" s="4" t="s">
        <v>270</v>
      </c>
      <c r="C51" s="4" t="s">
        <v>271</v>
      </c>
      <c r="D51" s="4" t="s">
        <v>272</v>
      </c>
      <c r="E51" s="5">
        <v>1212082</v>
      </c>
      <c r="F51" s="6">
        <v>9631.8096129999994</v>
      </c>
      <c r="G51" s="7">
        <v>9.7484500000000005E-3</v>
      </c>
      <c r="H51" s="113"/>
    </row>
    <row r="52" spans="1:8" ht="29.1" customHeight="1" x14ac:dyDescent="0.2">
      <c r="A52" s="3">
        <v>46</v>
      </c>
      <c r="B52" s="4" t="s">
        <v>273</v>
      </c>
      <c r="C52" s="4" t="s">
        <v>274</v>
      </c>
      <c r="D52" s="4" t="s">
        <v>225</v>
      </c>
      <c r="E52" s="5">
        <v>2119699</v>
      </c>
      <c r="F52" s="6">
        <v>9118.9450980000001</v>
      </c>
      <c r="G52" s="7">
        <v>9.2293800000000006E-3</v>
      </c>
      <c r="H52" s="113"/>
    </row>
    <row r="53" spans="1:8" ht="17.100000000000001" customHeight="1" x14ac:dyDescent="0.2">
      <c r="A53" s="3">
        <v>47</v>
      </c>
      <c r="B53" s="4" t="s">
        <v>275</v>
      </c>
      <c r="C53" s="4" t="s">
        <v>276</v>
      </c>
      <c r="D53" s="4" t="s">
        <v>53</v>
      </c>
      <c r="E53" s="5">
        <v>588092</v>
      </c>
      <c r="F53" s="6">
        <v>9011.0396700000001</v>
      </c>
      <c r="G53" s="7">
        <v>9.1201700000000004E-3</v>
      </c>
      <c r="H53" s="113"/>
    </row>
    <row r="54" spans="1:8" ht="17.100000000000001" customHeight="1" x14ac:dyDescent="0.2">
      <c r="A54" s="3">
        <v>48</v>
      </c>
      <c r="B54" s="4" t="s">
        <v>277</v>
      </c>
      <c r="C54" s="4" t="s">
        <v>278</v>
      </c>
      <c r="D54" s="4" t="s">
        <v>19</v>
      </c>
      <c r="E54" s="5">
        <v>2160179</v>
      </c>
      <c r="F54" s="6">
        <v>8616.9540309999993</v>
      </c>
      <c r="G54" s="7">
        <v>8.7213099999999995E-3</v>
      </c>
      <c r="H54" s="113"/>
    </row>
    <row r="55" spans="1:8" ht="17.100000000000001" customHeight="1" x14ac:dyDescent="0.2">
      <c r="A55" s="3">
        <v>49</v>
      </c>
      <c r="B55" s="4" t="s">
        <v>279</v>
      </c>
      <c r="C55" s="4" t="s">
        <v>280</v>
      </c>
      <c r="D55" s="4" t="s">
        <v>210</v>
      </c>
      <c r="E55" s="5">
        <v>1189982</v>
      </c>
      <c r="F55" s="6">
        <v>8166.251475</v>
      </c>
      <c r="G55" s="7">
        <v>8.2651500000000006E-3</v>
      </c>
      <c r="H55" s="113"/>
    </row>
    <row r="56" spans="1:8" ht="29.1" customHeight="1" x14ac:dyDescent="0.2">
      <c r="A56" s="3">
        <v>50</v>
      </c>
      <c r="B56" s="4" t="s">
        <v>281</v>
      </c>
      <c r="C56" s="4" t="s">
        <v>282</v>
      </c>
      <c r="D56" s="4" t="s">
        <v>225</v>
      </c>
      <c r="E56" s="5">
        <v>3260637</v>
      </c>
      <c r="F56" s="6">
        <v>8140.1802705</v>
      </c>
      <c r="G56" s="7">
        <v>8.2387599999999995E-3</v>
      </c>
      <c r="H56" s="113"/>
    </row>
    <row r="57" spans="1:8" ht="17.100000000000001" customHeight="1" x14ac:dyDescent="0.2">
      <c r="A57" s="3">
        <v>51</v>
      </c>
      <c r="B57" s="4" t="s">
        <v>283</v>
      </c>
      <c r="C57" s="4" t="s">
        <v>284</v>
      </c>
      <c r="D57" s="4" t="s">
        <v>891</v>
      </c>
      <c r="E57" s="5">
        <v>522275</v>
      </c>
      <c r="F57" s="6">
        <v>7906.4600874999996</v>
      </c>
      <c r="G57" s="7">
        <v>8.0022099999999992E-3</v>
      </c>
      <c r="H57" s="113"/>
    </row>
    <row r="58" spans="1:8" ht="17.100000000000001" customHeight="1" x14ac:dyDescent="0.2">
      <c r="A58" s="3">
        <v>52</v>
      </c>
      <c r="B58" s="4" t="s">
        <v>285</v>
      </c>
      <c r="C58" s="4" t="s">
        <v>286</v>
      </c>
      <c r="D58" s="4" t="s">
        <v>28</v>
      </c>
      <c r="E58" s="5">
        <v>1770234</v>
      </c>
      <c r="F58" s="6">
        <v>7450.914906</v>
      </c>
      <c r="G58" s="7">
        <v>7.5411499999999999E-3</v>
      </c>
      <c r="H58" s="113"/>
    </row>
    <row r="59" spans="1:8" ht="29.1" customHeight="1" x14ac:dyDescent="0.2">
      <c r="A59" s="3">
        <v>53</v>
      </c>
      <c r="B59" s="4" t="s">
        <v>287</v>
      </c>
      <c r="C59" s="4" t="s">
        <v>288</v>
      </c>
      <c r="D59" s="4" t="s">
        <v>215</v>
      </c>
      <c r="E59" s="5">
        <v>206644</v>
      </c>
      <c r="F59" s="6">
        <v>7265.3963960000001</v>
      </c>
      <c r="G59" s="7">
        <v>7.3533799999999996E-3</v>
      </c>
      <c r="H59" s="113"/>
    </row>
    <row r="60" spans="1:8" ht="17.100000000000001" customHeight="1" x14ac:dyDescent="0.2">
      <c r="A60" s="3">
        <v>54</v>
      </c>
      <c r="B60" s="4" t="s">
        <v>289</v>
      </c>
      <c r="C60" s="4" t="s">
        <v>290</v>
      </c>
      <c r="D60" s="4" t="s">
        <v>56</v>
      </c>
      <c r="E60" s="5">
        <v>556872</v>
      </c>
      <c r="F60" s="6">
        <v>7248.8028240000003</v>
      </c>
      <c r="G60" s="7">
        <v>7.3365899999999996E-3</v>
      </c>
      <c r="H60" s="113"/>
    </row>
    <row r="61" spans="1:8" ht="17.100000000000001" customHeight="1" x14ac:dyDescent="0.2">
      <c r="A61" s="3">
        <v>55</v>
      </c>
      <c r="B61" s="4" t="s">
        <v>291</v>
      </c>
      <c r="C61" s="4" t="s">
        <v>292</v>
      </c>
      <c r="D61" s="4" t="s">
        <v>107</v>
      </c>
      <c r="E61" s="5">
        <v>1036861</v>
      </c>
      <c r="F61" s="6">
        <v>7129.9746665000002</v>
      </c>
      <c r="G61" s="7">
        <v>7.21632E-3</v>
      </c>
      <c r="H61" s="113"/>
    </row>
    <row r="62" spans="1:8" ht="53.1" customHeight="1" x14ac:dyDescent="0.2">
      <c r="A62" s="3">
        <v>56</v>
      </c>
      <c r="B62" s="4" t="s">
        <v>100</v>
      </c>
      <c r="C62" s="4" t="s">
        <v>101</v>
      </c>
      <c r="D62" s="4" t="s">
        <v>102</v>
      </c>
      <c r="E62" s="5">
        <v>3900000</v>
      </c>
      <c r="F62" s="6">
        <v>7080.45</v>
      </c>
      <c r="G62" s="7">
        <v>7.1662000000000002E-3</v>
      </c>
      <c r="H62" s="113"/>
    </row>
    <row r="63" spans="1:8" ht="17.100000000000001" customHeight="1" x14ac:dyDescent="0.2">
      <c r="A63" s="3">
        <v>57</v>
      </c>
      <c r="B63" s="4" t="s">
        <v>293</v>
      </c>
      <c r="C63" s="4" t="s">
        <v>294</v>
      </c>
      <c r="D63" s="4" t="s">
        <v>295</v>
      </c>
      <c r="E63" s="5">
        <v>373854</v>
      </c>
      <c r="F63" s="6">
        <v>6673.8546809999998</v>
      </c>
      <c r="G63" s="7">
        <v>6.7546799999999999E-3</v>
      </c>
      <c r="H63" s="113"/>
    </row>
    <row r="64" spans="1:8" ht="17.100000000000001" customHeight="1" x14ac:dyDescent="0.2">
      <c r="A64" s="3">
        <v>58</v>
      </c>
      <c r="B64" s="4" t="s">
        <v>296</v>
      </c>
      <c r="C64" s="4" t="s">
        <v>297</v>
      </c>
      <c r="D64" s="4" t="s">
        <v>53</v>
      </c>
      <c r="E64" s="5">
        <v>620457</v>
      </c>
      <c r="F64" s="6">
        <v>6453.0630284999997</v>
      </c>
      <c r="G64" s="7">
        <v>6.53121E-3</v>
      </c>
      <c r="H64" s="113"/>
    </row>
    <row r="65" spans="1:8" ht="17.100000000000001" customHeight="1" x14ac:dyDescent="0.2">
      <c r="A65" s="3">
        <v>59</v>
      </c>
      <c r="B65" s="4" t="s">
        <v>298</v>
      </c>
      <c r="C65" s="4" t="s">
        <v>299</v>
      </c>
      <c r="D65" s="4" t="s">
        <v>300</v>
      </c>
      <c r="E65" s="5">
        <v>1083188</v>
      </c>
      <c r="F65" s="6">
        <v>6106.47235</v>
      </c>
      <c r="G65" s="7">
        <v>6.1804199999999998E-3</v>
      </c>
      <c r="H65" s="113"/>
    </row>
    <row r="66" spans="1:8" ht="17.100000000000001" customHeight="1" x14ac:dyDescent="0.2">
      <c r="A66" s="3">
        <v>60</v>
      </c>
      <c r="B66" s="4" t="s">
        <v>83</v>
      </c>
      <c r="C66" s="4" t="s">
        <v>84</v>
      </c>
      <c r="D66" s="4" t="s">
        <v>34</v>
      </c>
      <c r="E66" s="5">
        <v>375331</v>
      </c>
      <c r="F66" s="6">
        <v>5768.086808</v>
      </c>
      <c r="G66" s="7">
        <v>5.8379399999999998E-3</v>
      </c>
      <c r="H66" s="113"/>
    </row>
    <row r="67" spans="1:8" ht="29.1" customHeight="1" x14ac:dyDescent="0.2">
      <c r="A67" s="3">
        <v>61</v>
      </c>
      <c r="B67" s="4" t="s">
        <v>301</v>
      </c>
      <c r="C67" s="4" t="s">
        <v>302</v>
      </c>
      <c r="D67" s="4" t="s">
        <v>225</v>
      </c>
      <c r="E67" s="5">
        <v>60062</v>
      </c>
      <c r="F67" s="6">
        <v>4845.5318809999999</v>
      </c>
      <c r="G67" s="7">
        <v>4.90421E-3</v>
      </c>
      <c r="H67" s="113"/>
    </row>
    <row r="68" spans="1:8" ht="17.100000000000001" customHeight="1" x14ac:dyDescent="0.2">
      <c r="A68" s="3">
        <v>62</v>
      </c>
      <c r="B68" s="4" t="s">
        <v>303</v>
      </c>
      <c r="C68" s="4" t="s">
        <v>304</v>
      </c>
      <c r="D68" s="4" t="s">
        <v>891</v>
      </c>
      <c r="E68" s="5">
        <v>51161</v>
      </c>
      <c r="F68" s="6">
        <v>4478.3525545000002</v>
      </c>
      <c r="G68" s="7">
        <v>4.5325900000000004E-3</v>
      </c>
      <c r="H68" s="113"/>
    </row>
    <row r="69" spans="1:8" ht="17.100000000000001" customHeight="1" x14ac:dyDescent="0.2">
      <c r="A69" s="3">
        <v>63</v>
      </c>
      <c r="B69" s="4" t="s">
        <v>305</v>
      </c>
      <c r="C69" s="4" t="s">
        <v>306</v>
      </c>
      <c r="D69" s="4" t="s">
        <v>28</v>
      </c>
      <c r="E69" s="5">
        <v>3913153</v>
      </c>
      <c r="F69" s="6">
        <v>4406.2102779999996</v>
      </c>
      <c r="G69" s="7">
        <v>4.4595700000000004E-3</v>
      </c>
      <c r="H69" s="113"/>
    </row>
    <row r="70" spans="1:8" ht="17.100000000000001" customHeight="1" x14ac:dyDescent="0.2">
      <c r="A70" s="3">
        <v>64</v>
      </c>
      <c r="B70" s="4" t="s">
        <v>307</v>
      </c>
      <c r="C70" s="4" t="s">
        <v>308</v>
      </c>
      <c r="D70" s="4" t="s">
        <v>61</v>
      </c>
      <c r="E70" s="5">
        <v>1500000</v>
      </c>
      <c r="F70" s="6">
        <v>3339.75</v>
      </c>
      <c r="G70" s="7">
        <v>3.3801999999999999E-3</v>
      </c>
      <c r="H70" s="113"/>
    </row>
    <row r="71" spans="1:8" ht="17.100000000000001" customHeight="1" x14ac:dyDescent="0.2">
      <c r="A71" s="3">
        <v>65</v>
      </c>
      <c r="B71" s="4" t="s">
        <v>309</v>
      </c>
      <c r="C71" s="4" t="s">
        <v>310</v>
      </c>
      <c r="D71" s="4" t="s">
        <v>53</v>
      </c>
      <c r="E71" s="5">
        <v>200000</v>
      </c>
      <c r="F71" s="6">
        <v>3023.5</v>
      </c>
      <c r="G71" s="7">
        <v>3.0601199999999999E-3</v>
      </c>
      <c r="H71" s="113"/>
    </row>
    <row r="72" spans="1:8" ht="17.100000000000001" customHeight="1" x14ac:dyDescent="0.2">
      <c r="A72" s="3">
        <v>66</v>
      </c>
      <c r="B72" s="4" t="s">
        <v>127</v>
      </c>
      <c r="C72" s="4" t="s">
        <v>128</v>
      </c>
      <c r="D72" s="4" t="s">
        <v>41</v>
      </c>
      <c r="E72" s="5">
        <v>1500000</v>
      </c>
      <c r="F72" s="6">
        <v>2903.25</v>
      </c>
      <c r="G72" s="7">
        <v>2.9384099999999998E-3</v>
      </c>
      <c r="H72" s="113"/>
    </row>
    <row r="73" spans="1:8" ht="17.100000000000001" customHeight="1" x14ac:dyDescent="0.2">
      <c r="A73" s="3">
        <v>67</v>
      </c>
      <c r="B73" s="4" t="s">
        <v>311</v>
      </c>
      <c r="C73" s="4" t="s">
        <v>312</v>
      </c>
      <c r="D73" s="4" t="s">
        <v>107</v>
      </c>
      <c r="E73" s="5">
        <v>100000</v>
      </c>
      <c r="F73" s="6">
        <v>2568.5500000000002</v>
      </c>
      <c r="G73" s="7">
        <v>2.5996600000000002E-3</v>
      </c>
      <c r="H73" s="113"/>
    </row>
    <row r="74" spans="1:8" ht="29.1" customHeight="1" x14ac:dyDescent="0.2">
      <c r="A74" s="3">
        <v>68</v>
      </c>
      <c r="B74" s="4" t="s">
        <v>143</v>
      </c>
      <c r="C74" s="4" t="s">
        <v>144</v>
      </c>
      <c r="D74" s="4" t="s">
        <v>145</v>
      </c>
      <c r="E74" s="5">
        <v>1218420</v>
      </c>
      <c r="F74" s="6">
        <v>2537.9688599999999</v>
      </c>
      <c r="G74" s="7">
        <v>2.5687000000000001E-3</v>
      </c>
      <c r="H74" s="113"/>
    </row>
    <row r="75" spans="1:8" ht="17.100000000000001" customHeight="1" x14ac:dyDescent="0.2">
      <c r="A75" s="3">
        <v>69</v>
      </c>
      <c r="B75" s="4" t="s">
        <v>313</v>
      </c>
      <c r="C75" s="4" t="s">
        <v>314</v>
      </c>
      <c r="D75" s="4" t="s">
        <v>315</v>
      </c>
      <c r="E75" s="5">
        <v>172436</v>
      </c>
      <c r="F75" s="6">
        <v>1422.2521280000001</v>
      </c>
      <c r="G75" s="7">
        <v>1.4394799999999999E-3</v>
      </c>
      <c r="H75" s="113"/>
    </row>
    <row r="76" spans="1:8" ht="29.1" customHeight="1" x14ac:dyDescent="0.2">
      <c r="A76" s="3">
        <v>70</v>
      </c>
      <c r="B76" s="4" t="s">
        <v>146</v>
      </c>
      <c r="C76" s="4" t="s">
        <v>147</v>
      </c>
      <c r="D76" s="4" t="s">
        <v>53</v>
      </c>
      <c r="E76" s="5">
        <v>725000</v>
      </c>
      <c r="F76" s="6">
        <v>745.3</v>
      </c>
      <c r="G76" s="7">
        <v>7.5433E-4</v>
      </c>
      <c r="H76" s="113"/>
    </row>
    <row r="77" spans="1:8" ht="17.100000000000001" customHeight="1" x14ac:dyDescent="0.2">
      <c r="A77" s="3">
        <v>71</v>
      </c>
      <c r="B77" s="4" t="s">
        <v>316</v>
      </c>
      <c r="C77" s="4" t="s">
        <v>317</v>
      </c>
      <c r="D77" s="4" t="s">
        <v>56</v>
      </c>
      <c r="E77" s="5">
        <v>30000</v>
      </c>
      <c r="F77" s="6">
        <v>231.58500000000001</v>
      </c>
      <c r="G77" s="7">
        <v>2.3439000000000001E-4</v>
      </c>
      <c r="H77" s="113"/>
    </row>
    <row r="78" spans="1:8" ht="14.1" customHeight="1" x14ac:dyDescent="0.2">
      <c r="A78" s="1"/>
      <c r="B78" s="1"/>
      <c r="C78" s="2" t="s">
        <v>151</v>
      </c>
      <c r="D78" s="1"/>
      <c r="E78" s="1" t="s">
        <v>152</v>
      </c>
      <c r="F78" s="9">
        <v>948395.22489399998</v>
      </c>
      <c r="G78" s="10">
        <v>0.95988052000000001</v>
      </c>
      <c r="H78" s="113"/>
    </row>
    <row r="79" spans="1:8" ht="14.1" customHeight="1" x14ac:dyDescent="0.2">
      <c r="A79" s="1"/>
      <c r="B79" s="1"/>
      <c r="C79" s="11"/>
      <c r="D79" s="1"/>
      <c r="E79" s="1"/>
      <c r="F79" s="12"/>
      <c r="G79" s="12"/>
      <c r="H79" s="113"/>
    </row>
    <row r="80" spans="1:8" ht="14.1" customHeight="1" x14ac:dyDescent="0.2">
      <c r="A80" s="1"/>
      <c r="B80" s="1"/>
      <c r="C80" s="2" t="s">
        <v>153</v>
      </c>
      <c r="D80" s="1"/>
      <c r="E80" s="1"/>
      <c r="F80" s="1"/>
      <c r="G80" s="1"/>
      <c r="H80" s="113"/>
    </row>
    <row r="81" spans="1:8" ht="14.1" customHeight="1" x14ac:dyDescent="0.2">
      <c r="A81" s="1"/>
      <c r="B81" s="1"/>
      <c r="C81" s="2" t="s">
        <v>151</v>
      </c>
      <c r="D81" s="1"/>
      <c r="E81" s="1" t="s">
        <v>152</v>
      </c>
      <c r="F81" s="13" t="s">
        <v>154</v>
      </c>
      <c r="G81" s="10">
        <v>0</v>
      </c>
      <c r="H81" s="113"/>
    </row>
    <row r="82" spans="1:8" ht="14.1" customHeight="1" x14ac:dyDescent="0.2">
      <c r="A82" s="1"/>
      <c r="B82" s="1"/>
      <c r="C82" s="11"/>
      <c r="D82" s="1"/>
      <c r="E82" s="1"/>
      <c r="F82" s="12"/>
      <c r="G82" s="12"/>
      <c r="H82" s="113"/>
    </row>
    <row r="83" spans="1:8" ht="14.1" customHeight="1" x14ac:dyDescent="0.2">
      <c r="A83" s="1"/>
      <c r="B83" s="1"/>
      <c r="C83" s="2" t="s">
        <v>155</v>
      </c>
      <c r="D83" s="1"/>
      <c r="E83" s="1"/>
      <c r="F83" s="1"/>
      <c r="G83" s="1"/>
      <c r="H83" s="113"/>
    </row>
    <row r="84" spans="1:8" ht="14.1" customHeight="1" x14ac:dyDescent="0.2">
      <c r="A84" s="1"/>
      <c r="B84" s="1"/>
      <c r="C84" s="2" t="s">
        <v>151</v>
      </c>
      <c r="D84" s="1"/>
      <c r="E84" s="1" t="s">
        <v>152</v>
      </c>
      <c r="F84" s="13" t="s">
        <v>154</v>
      </c>
      <c r="G84" s="10">
        <v>0</v>
      </c>
      <c r="H84" s="113"/>
    </row>
    <row r="85" spans="1:8" ht="14.1" customHeight="1" x14ac:dyDescent="0.2">
      <c r="A85" s="1"/>
      <c r="B85" s="1"/>
      <c r="C85" s="11"/>
      <c r="D85" s="1"/>
      <c r="E85" s="1"/>
      <c r="F85" s="12"/>
      <c r="G85" s="12"/>
      <c r="H85" s="113"/>
    </row>
    <row r="86" spans="1:8" ht="14.1" customHeight="1" x14ac:dyDescent="0.2">
      <c r="A86" s="1"/>
      <c r="B86" s="1"/>
      <c r="C86" s="2" t="s">
        <v>156</v>
      </c>
      <c r="D86" s="1"/>
      <c r="E86" s="1"/>
      <c r="F86" s="1"/>
      <c r="G86" s="1"/>
      <c r="H86" s="113"/>
    </row>
    <row r="87" spans="1:8" ht="29.1" customHeight="1" x14ac:dyDescent="0.2">
      <c r="A87" s="3">
        <v>1</v>
      </c>
      <c r="B87" s="4" t="s">
        <v>318</v>
      </c>
      <c r="C87" s="4" t="s">
        <v>898</v>
      </c>
      <c r="D87" s="4" t="s">
        <v>107</v>
      </c>
      <c r="E87" s="5">
        <v>25352032</v>
      </c>
      <c r="F87" s="6">
        <v>2687.315392</v>
      </c>
      <c r="G87" s="7">
        <v>2.7198600000000002E-3</v>
      </c>
      <c r="H87" s="113"/>
    </row>
    <row r="88" spans="1:8" ht="38.25" customHeight="1" x14ac:dyDescent="0.2">
      <c r="A88" s="3">
        <v>2</v>
      </c>
      <c r="B88" s="4" t="s">
        <v>319</v>
      </c>
      <c r="C88" s="4" t="s">
        <v>899</v>
      </c>
      <c r="D88" s="4" t="s">
        <v>53</v>
      </c>
      <c r="E88" s="5">
        <v>25352</v>
      </c>
      <c r="F88" s="6">
        <v>2.535630984</v>
      </c>
      <c r="G88" s="44" t="s">
        <v>150</v>
      </c>
      <c r="H88" s="113"/>
    </row>
    <row r="89" spans="1:8" ht="14.1" customHeight="1" x14ac:dyDescent="0.2">
      <c r="A89" s="1"/>
      <c r="B89" s="1"/>
      <c r="C89" s="2" t="s">
        <v>151</v>
      </c>
      <c r="D89" s="1"/>
      <c r="E89" s="1" t="s">
        <v>152</v>
      </c>
      <c r="F89" s="9">
        <v>2689.8510229839999</v>
      </c>
      <c r="G89" s="10">
        <v>2.7224300000000001E-3</v>
      </c>
      <c r="H89" s="113"/>
    </row>
    <row r="90" spans="1:8" ht="14.1" customHeight="1" x14ac:dyDescent="0.2">
      <c r="A90" s="1"/>
      <c r="B90" s="1"/>
      <c r="C90" s="11"/>
      <c r="D90" s="1"/>
      <c r="E90" s="1"/>
      <c r="F90" s="12"/>
      <c r="G90" s="12"/>
      <c r="H90" s="113"/>
    </row>
    <row r="91" spans="1:8" ht="14.1" customHeight="1" x14ac:dyDescent="0.2">
      <c r="A91" s="1"/>
      <c r="B91" s="1"/>
      <c r="C91" s="2" t="s">
        <v>157</v>
      </c>
      <c r="D91" s="1"/>
      <c r="E91" s="1"/>
      <c r="F91" s="12"/>
      <c r="G91" s="12"/>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158</v>
      </c>
      <c r="D94" s="1"/>
      <c r="E94" s="1"/>
      <c r="F94" s="12"/>
      <c r="G94" s="12"/>
      <c r="H94" s="113"/>
    </row>
    <row r="95" spans="1:8" ht="14.1" customHeight="1" x14ac:dyDescent="0.2">
      <c r="A95" s="1"/>
      <c r="B95" s="1"/>
      <c r="C95" s="2" t="s">
        <v>151</v>
      </c>
      <c r="D95" s="1"/>
      <c r="E95" s="1" t="s">
        <v>152</v>
      </c>
      <c r="F95" s="13" t="s">
        <v>154</v>
      </c>
      <c r="G95" s="10">
        <v>0</v>
      </c>
      <c r="H95" s="113"/>
    </row>
    <row r="96" spans="1:8" ht="14.1" customHeight="1" x14ac:dyDescent="0.2">
      <c r="A96" s="1"/>
      <c r="B96" s="1"/>
      <c r="C96" s="11"/>
      <c r="D96" s="1"/>
      <c r="E96" s="1"/>
      <c r="F96" s="12"/>
      <c r="G96" s="12"/>
      <c r="H96" s="113"/>
    </row>
    <row r="97" spans="1:8" ht="18" customHeight="1" x14ac:dyDescent="0.2">
      <c r="A97" s="1"/>
      <c r="B97" s="1"/>
      <c r="C97" s="2" t="s">
        <v>159</v>
      </c>
      <c r="D97" s="1"/>
      <c r="E97" s="1"/>
      <c r="F97" s="9">
        <v>951085.075916984</v>
      </c>
      <c r="G97" s="10">
        <v>0.96260294999999996</v>
      </c>
      <c r="H97" s="113"/>
    </row>
    <row r="98" spans="1:8" ht="14.1" customHeight="1" x14ac:dyDescent="0.2">
      <c r="A98" s="1"/>
      <c r="B98" s="1"/>
      <c r="C98" s="11"/>
      <c r="D98" s="1"/>
      <c r="E98" s="1"/>
      <c r="F98" s="12"/>
      <c r="G98" s="12"/>
      <c r="H98" s="113"/>
    </row>
    <row r="99" spans="1:8" ht="14.1" customHeight="1" x14ac:dyDescent="0.2">
      <c r="A99" s="1"/>
      <c r="B99" s="1"/>
      <c r="C99" s="2" t="s">
        <v>160</v>
      </c>
      <c r="D99" s="1"/>
      <c r="E99" s="1"/>
      <c r="F99" s="12"/>
      <c r="G99" s="12"/>
      <c r="H99" s="113"/>
    </row>
    <row r="100" spans="1:8" ht="24" customHeight="1" x14ac:dyDescent="0.2">
      <c r="A100" s="1"/>
      <c r="B100" s="1"/>
      <c r="C100" s="2" t="s">
        <v>10</v>
      </c>
      <c r="D100" s="1"/>
      <c r="E100" s="1"/>
      <c r="F100" s="12"/>
      <c r="G100" s="12"/>
      <c r="H100" s="113"/>
    </row>
    <row r="101" spans="1:8" ht="14.1" customHeight="1" x14ac:dyDescent="0.2">
      <c r="A101" s="1"/>
      <c r="B101" s="1"/>
      <c r="C101" s="2" t="s">
        <v>151</v>
      </c>
      <c r="D101" s="1"/>
      <c r="E101" s="1" t="s">
        <v>152</v>
      </c>
      <c r="F101" s="13" t="s">
        <v>154</v>
      </c>
      <c r="G101" s="10">
        <v>0</v>
      </c>
      <c r="H101" s="113"/>
    </row>
    <row r="102" spans="1:8" ht="14.1" customHeight="1" x14ac:dyDescent="0.2">
      <c r="A102" s="1"/>
      <c r="B102" s="1"/>
      <c r="C102" s="11"/>
      <c r="D102" s="1"/>
      <c r="E102" s="1"/>
      <c r="F102" s="12"/>
      <c r="G102" s="12"/>
      <c r="H102" s="113"/>
    </row>
    <row r="103" spans="1:8" ht="14.1" customHeight="1" x14ac:dyDescent="0.2">
      <c r="A103" s="1"/>
      <c r="B103" s="1"/>
      <c r="C103" s="2" t="s">
        <v>161</v>
      </c>
      <c r="D103" s="1"/>
      <c r="E103" s="1"/>
      <c r="F103" s="1"/>
      <c r="G103" s="1"/>
      <c r="H103" s="113"/>
    </row>
    <row r="104" spans="1:8" ht="14.1" customHeight="1" x14ac:dyDescent="0.2">
      <c r="A104" s="1"/>
      <c r="B104" s="1"/>
      <c r="C104" s="2" t="s">
        <v>151</v>
      </c>
      <c r="D104" s="1"/>
      <c r="E104" s="1" t="s">
        <v>152</v>
      </c>
      <c r="F104" s="13" t="s">
        <v>154</v>
      </c>
      <c r="G104" s="10">
        <v>0</v>
      </c>
      <c r="H104" s="113"/>
    </row>
    <row r="105" spans="1:8" ht="14.1" customHeight="1" x14ac:dyDescent="0.2">
      <c r="A105" s="1"/>
      <c r="B105" s="1"/>
      <c r="C105" s="11"/>
      <c r="D105" s="1"/>
      <c r="E105" s="1"/>
      <c r="F105" s="12"/>
      <c r="G105" s="12"/>
      <c r="H105" s="113"/>
    </row>
    <row r="106" spans="1:8" ht="14.1" customHeight="1" x14ac:dyDescent="0.2">
      <c r="A106" s="1"/>
      <c r="B106" s="1"/>
      <c r="C106" s="2" t="s">
        <v>162</v>
      </c>
      <c r="D106" s="1"/>
      <c r="E106" s="1"/>
      <c r="F106" s="1"/>
      <c r="G106" s="1"/>
      <c r="H106" s="113"/>
    </row>
    <row r="107" spans="1:8" ht="14.1" customHeight="1" x14ac:dyDescent="0.2">
      <c r="A107" s="1"/>
      <c r="B107" s="1"/>
      <c r="C107" s="2" t="s">
        <v>151</v>
      </c>
      <c r="D107" s="1"/>
      <c r="E107" s="1" t="s">
        <v>152</v>
      </c>
      <c r="F107" s="13" t="s">
        <v>154</v>
      </c>
      <c r="G107" s="10">
        <v>0</v>
      </c>
      <c r="H107" s="113"/>
    </row>
    <row r="108" spans="1:8" ht="14.1" customHeight="1" x14ac:dyDescent="0.2">
      <c r="A108" s="1"/>
      <c r="B108" s="1"/>
      <c r="C108" s="11"/>
      <c r="D108" s="1"/>
      <c r="E108" s="1"/>
      <c r="F108" s="12"/>
      <c r="G108" s="12"/>
      <c r="H108" s="113"/>
    </row>
    <row r="109" spans="1:8" ht="14.1" customHeight="1" x14ac:dyDescent="0.2">
      <c r="A109" s="1"/>
      <c r="B109" s="1"/>
      <c r="C109" s="2" t="s">
        <v>163</v>
      </c>
      <c r="D109" s="1"/>
      <c r="E109" s="1"/>
      <c r="F109" s="12"/>
      <c r="G109" s="12"/>
      <c r="H109" s="113"/>
    </row>
    <row r="110" spans="1:8" ht="14.1" customHeight="1" x14ac:dyDescent="0.2">
      <c r="A110" s="1"/>
      <c r="B110" s="1"/>
      <c r="C110" s="2" t="s">
        <v>151</v>
      </c>
      <c r="D110" s="1"/>
      <c r="E110" s="1" t="s">
        <v>152</v>
      </c>
      <c r="F110" s="13" t="s">
        <v>154</v>
      </c>
      <c r="G110" s="10">
        <v>0</v>
      </c>
      <c r="H110" s="113"/>
    </row>
    <row r="111" spans="1:8" ht="14.1" customHeight="1" x14ac:dyDescent="0.2">
      <c r="A111" s="1"/>
      <c r="B111" s="1"/>
      <c r="C111" s="11"/>
      <c r="D111" s="1"/>
      <c r="E111" s="1"/>
      <c r="F111" s="12"/>
      <c r="G111" s="12"/>
      <c r="H111" s="113"/>
    </row>
    <row r="112" spans="1:8" ht="14.1" customHeight="1" x14ac:dyDescent="0.2">
      <c r="A112" s="1"/>
      <c r="B112" s="1"/>
      <c r="C112" s="2" t="s">
        <v>164</v>
      </c>
      <c r="D112" s="1"/>
      <c r="E112" s="1"/>
      <c r="F112" s="9">
        <v>0</v>
      </c>
      <c r="G112" s="10">
        <v>0</v>
      </c>
      <c r="H112" s="113"/>
    </row>
    <row r="113" spans="1:8" ht="14.1" customHeight="1" x14ac:dyDescent="0.2">
      <c r="A113" s="1"/>
      <c r="B113" s="1"/>
      <c r="C113" s="11"/>
      <c r="D113" s="1"/>
      <c r="E113" s="1"/>
      <c r="F113" s="12"/>
      <c r="G113" s="12"/>
      <c r="H113" s="113"/>
    </row>
    <row r="114" spans="1:8" ht="14.1" customHeight="1" x14ac:dyDescent="0.2">
      <c r="A114" s="1"/>
      <c r="B114" s="1"/>
      <c r="C114" s="2" t="s">
        <v>165</v>
      </c>
      <c r="D114" s="1"/>
      <c r="E114" s="1"/>
      <c r="F114" s="12"/>
      <c r="G114" s="12"/>
      <c r="H114" s="113"/>
    </row>
    <row r="115" spans="1:8" ht="14.1" customHeight="1" x14ac:dyDescent="0.2">
      <c r="A115" s="1"/>
      <c r="B115" s="1"/>
      <c r="C115" s="2" t="s">
        <v>166</v>
      </c>
      <c r="D115" s="1"/>
      <c r="E115" s="1"/>
      <c r="F115" s="12"/>
      <c r="G115" s="12"/>
      <c r="H115" s="113"/>
    </row>
    <row r="116" spans="1:8" ht="14.1" customHeight="1" x14ac:dyDescent="0.2">
      <c r="A116" s="1"/>
      <c r="B116" s="1"/>
      <c r="C116" s="2" t="s">
        <v>151</v>
      </c>
      <c r="D116" s="1"/>
      <c r="E116" s="1" t="s">
        <v>152</v>
      </c>
      <c r="F116" s="13" t="s">
        <v>154</v>
      </c>
      <c r="G116" s="10">
        <v>0</v>
      </c>
      <c r="H116" s="113"/>
    </row>
    <row r="117" spans="1:8" ht="14.1" customHeight="1" x14ac:dyDescent="0.2">
      <c r="A117" s="1"/>
      <c r="B117" s="1"/>
      <c r="C117" s="11"/>
      <c r="D117" s="1"/>
      <c r="E117" s="1"/>
      <c r="F117" s="12"/>
      <c r="G117" s="12"/>
      <c r="H117" s="113"/>
    </row>
    <row r="118" spans="1:8" ht="14.1" customHeight="1" x14ac:dyDescent="0.2">
      <c r="A118" s="1"/>
      <c r="B118" s="1"/>
      <c r="C118" s="2" t="s">
        <v>167</v>
      </c>
      <c r="D118" s="1"/>
      <c r="E118" s="1"/>
      <c r="F118" s="12"/>
      <c r="G118" s="12"/>
      <c r="H118" s="113"/>
    </row>
    <row r="119" spans="1:8" ht="14.1" customHeight="1" x14ac:dyDescent="0.2">
      <c r="A119" s="1"/>
      <c r="B119" s="1"/>
      <c r="C119" s="2" t="s">
        <v>151</v>
      </c>
      <c r="D119" s="1"/>
      <c r="E119" s="1" t="s">
        <v>152</v>
      </c>
      <c r="F119" s="13" t="s">
        <v>154</v>
      </c>
      <c r="G119" s="10">
        <v>0</v>
      </c>
      <c r="H119" s="113"/>
    </row>
    <row r="120" spans="1:8" ht="14.1" customHeight="1" x14ac:dyDescent="0.2">
      <c r="A120" s="1"/>
      <c r="B120" s="1"/>
      <c r="C120" s="11"/>
      <c r="D120" s="1"/>
      <c r="E120" s="1"/>
      <c r="F120" s="12"/>
      <c r="G120" s="12"/>
      <c r="H120" s="113"/>
    </row>
    <row r="121" spans="1:8" ht="14.1" customHeight="1" x14ac:dyDescent="0.2">
      <c r="A121" s="1"/>
      <c r="B121" s="1"/>
      <c r="C121" s="2" t="s">
        <v>168</v>
      </c>
      <c r="D121" s="1"/>
      <c r="E121" s="1"/>
      <c r="F121" s="12"/>
      <c r="G121" s="12"/>
      <c r="H121" s="113"/>
    </row>
    <row r="122" spans="1:8" ht="14.1" customHeight="1" x14ac:dyDescent="0.2">
      <c r="A122" s="1"/>
      <c r="B122" s="1"/>
      <c r="C122" s="2" t="s">
        <v>151</v>
      </c>
      <c r="D122" s="1"/>
      <c r="E122" s="1" t="s">
        <v>152</v>
      </c>
      <c r="F122" s="13" t="s">
        <v>154</v>
      </c>
      <c r="G122" s="10">
        <v>0</v>
      </c>
      <c r="H122" s="113"/>
    </row>
    <row r="123" spans="1:8" ht="14.1" customHeight="1" x14ac:dyDescent="0.2">
      <c r="A123" s="1"/>
      <c r="B123" s="1"/>
      <c r="C123" s="11"/>
      <c r="D123" s="1"/>
      <c r="E123" s="1"/>
      <c r="F123" s="12"/>
      <c r="G123" s="12"/>
      <c r="H123" s="113"/>
    </row>
    <row r="124" spans="1:8" ht="14.1" customHeight="1" x14ac:dyDescent="0.2">
      <c r="A124" s="1"/>
      <c r="B124" s="1"/>
      <c r="C124" s="2" t="s">
        <v>169</v>
      </c>
      <c r="D124" s="1"/>
      <c r="E124" s="1"/>
      <c r="F124" s="12"/>
      <c r="G124" s="12"/>
      <c r="H124" s="113"/>
    </row>
    <row r="125" spans="1:8" ht="17.100000000000001" customHeight="1" x14ac:dyDescent="0.2">
      <c r="A125" s="3">
        <v>1</v>
      </c>
      <c r="B125" s="4"/>
      <c r="C125" s="4" t="s">
        <v>170</v>
      </c>
      <c r="D125" s="4"/>
      <c r="E125" s="8"/>
      <c r="F125" s="6">
        <v>33359.726059968001</v>
      </c>
      <c r="G125" s="7">
        <v>3.3763719999999997E-2</v>
      </c>
      <c r="H125" s="113">
        <v>6.7600000000000016</v>
      </c>
    </row>
    <row r="126" spans="1:8" ht="14.1" customHeight="1" x14ac:dyDescent="0.2">
      <c r="A126" s="1"/>
      <c r="B126" s="1"/>
      <c r="C126" s="2" t="s">
        <v>151</v>
      </c>
      <c r="D126" s="1"/>
      <c r="E126" s="1" t="s">
        <v>152</v>
      </c>
      <c r="F126" s="9">
        <v>33359.726059968001</v>
      </c>
      <c r="G126" s="10">
        <v>3.3763719999999997E-2</v>
      </c>
      <c r="H126" s="113"/>
    </row>
    <row r="127" spans="1:8" ht="14.1" customHeight="1" x14ac:dyDescent="0.2">
      <c r="A127" s="1"/>
      <c r="B127" s="1"/>
      <c r="C127" s="11"/>
      <c r="D127" s="1"/>
      <c r="E127" s="1"/>
      <c r="F127" s="12"/>
      <c r="G127" s="12"/>
      <c r="H127" s="113"/>
    </row>
    <row r="128" spans="1:8" ht="14.1" customHeight="1" x14ac:dyDescent="0.2">
      <c r="A128" s="1"/>
      <c r="B128" s="1"/>
      <c r="C128" s="2" t="s">
        <v>171</v>
      </c>
      <c r="D128" s="1"/>
      <c r="E128" s="1"/>
      <c r="F128" s="9">
        <v>33359.726059968001</v>
      </c>
      <c r="G128" s="10">
        <v>3.3763719999999997E-2</v>
      </c>
      <c r="H128" s="113"/>
    </row>
    <row r="129" spans="1:8" ht="14.1" customHeight="1" x14ac:dyDescent="0.2">
      <c r="A129" s="1"/>
      <c r="B129" s="1"/>
      <c r="C129" s="12"/>
      <c r="D129" s="1"/>
      <c r="E129" s="1"/>
      <c r="F129" s="1"/>
      <c r="G129" s="1"/>
      <c r="H129" s="113"/>
    </row>
    <row r="130" spans="1:8" ht="14.1" customHeight="1" x14ac:dyDescent="0.2">
      <c r="A130" s="1"/>
      <c r="B130" s="1"/>
      <c r="C130" s="2" t="s">
        <v>172</v>
      </c>
      <c r="D130" s="1"/>
      <c r="E130" s="1"/>
      <c r="F130" s="1"/>
      <c r="G130" s="1"/>
      <c r="H130" s="113"/>
    </row>
    <row r="131" spans="1:8" ht="14.1" customHeight="1" x14ac:dyDescent="0.2">
      <c r="A131" s="1"/>
      <c r="B131" s="1"/>
      <c r="C131" s="2" t="s">
        <v>173</v>
      </c>
      <c r="D131" s="1"/>
      <c r="E131" s="1"/>
      <c r="F131" s="1"/>
      <c r="G131" s="1"/>
      <c r="H131" s="113"/>
    </row>
    <row r="132" spans="1:8" ht="14.1" customHeight="1" x14ac:dyDescent="0.2">
      <c r="A132" s="1"/>
      <c r="B132" s="1"/>
      <c r="C132" s="2" t="s">
        <v>151</v>
      </c>
      <c r="D132" s="1"/>
      <c r="E132" s="1" t="s">
        <v>152</v>
      </c>
      <c r="F132" s="13" t="s">
        <v>154</v>
      </c>
      <c r="G132" s="10">
        <v>0</v>
      </c>
      <c r="H132" s="113"/>
    </row>
    <row r="133" spans="1:8" ht="14.1" customHeight="1" x14ac:dyDescent="0.2">
      <c r="A133" s="1"/>
      <c r="B133" s="1"/>
      <c r="C133" s="11"/>
      <c r="D133" s="1"/>
      <c r="E133" s="1"/>
      <c r="F133" s="12"/>
      <c r="G133" s="12"/>
      <c r="H133" s="113"/>
    </row>
    <row r="134" spans="1:8" ht="14.1" customHeight="1" x14ac:dyDescent="0.2">
      <c r="A134" s="1"/>
      <c r="B134" s="1"/>
      <c r="C134" s="2" t="s">
        <v>174</v>
      </c>
      <c r="D134" s="1"/>
      <c r="E134" s="1"/>
      <c r="F134" s="1"/>
      <c r="G134" s="1"/>
      <c r="H134" s="113"/>
    </row>
    <row r="135" spans="1:8" ht="14.1" customHeight="1" x14ac:dyDescent="0.2">
      <c r="A135" s="1"/>
      <c r="B135" s="1"/>
      <c r="C135" s="2" t="s">
        <v>175</v>
      </c>
      <c r="D135" s="1"/>
      <c r="E135" s="1"/>
      <c r="F135" s="1"/>
      <c r="G135" s="1"/>
      <c r="H135" s="113"/>
    </row>
    <row r="136" spans="1:8" ht="14.1" customHeight="1" x14ac:dyDescent="0.2">
      <c r="A136" s="1"/>
      <c r="B136" s="1"/>
      <c r="C136" s="2" t="s">
        <v>151</v>
      </c>
      <c r="D136" s="1"/>
      <c r="E136" s="1" t="s">
        <v>152</v>
      </c>
      <c r="F136" s="13" t="s">
        <v>154</v>
      </c>
      <c r="G136" s="10">
        <v>0</v>
      </c>
      <c r="H136" s="113"/>
    </row>
    <row r="137" spans="1:8" ht="14.1" customHeight="1" x14ac:dyDescent="0.2">
      <c r="A137" s="1"/>
      <c r="B137" s="1"/>
      <c r="C137" s="11"/>
      <c r="D137" s="1"/>
      <c r="E137" s="1"/>
      <c r="F137" s="12"/>
      <c r="G137" s="12"/>
      <c r="H137" s="113"/>
    </row>
    <row r="138" spans="1:8" ht="24" customHeight="1" x14ac:dyDescent="0.2">
      <c r="A138" s="1"/>
      <c r="B138" s="1"/>
      <c r="C138" s="2" t="s">
        <v>176</v>
      </c>
      <c r="D138" s="1"/>
      <c r="E138" s="1"/>
      <c r="F138" s="12"/>
      <c r="G138" s="12"/>
      <c r="H138" s="113"/>
    </row>
    <row r="139" spans="1:8" ht="14.1" customHeight="1" x14ac:dyDescent="0.2">
      <c r="A139" s="1"/>
      <c r="B139" s="1"/>
      <c r="C139" s="2" t="s">
        <v>151</v>
      </c>
      <c r="D139" s="1"/>
      <c r="E139" s="1" t="s">
        <v>152</v>
      </c>
      <c r="F139" s="13" t="s">
        <v>154</v>
      </c>
      <c r="G139" s="10">
        <v>0</v>
      </c>
      <c r="H139" s="113"/>
    </row>
    <row r="140" spans="1:8" ht="14.1" customHeight="1" x14ac:dyDescent="0.2">
      <c r="A140" s="1"/>
      <c r="B140" s="1"/>
      <c r="C140" s="11"/>
      <c r="D140" s="1"/>
      <c r="E140" s="1"/>
      <c r="F140" s="12"/>
      <c r="G140" s="12"/>
      <c r="H140" s="113"/>
    </row>
    <row r="141" spans="1:8" ht="14.1" customHeight="1" x14ac:dyDescent="0.2">
      <c r="A141" s="1"/>
      <c r="B141" s="4"/>
      <c r="C141" s="4"/>
      <c r="D141" s="2"/>
      <c r="E141" s="1"/>
      <c r="F141" s="4"/>
      <c r="G141" s="8"/>
      <c r="H141" s="113"/>
    </row>
    <row r="142" spans="1:8" ht="18" customHeight="1" x14ac:dyDescent="0.2">
      <c r="A142" s="8"/>
      <c r="B142" s="4"/>
      <c r="C142" s="4" t="s">
        <v>177</v>
      </c>
      <c r="D142" s="4"/>
      <c r="E142" s="8"/>
      <c r="F142" s="6">
        <v>3589.9336708479027</v>
      </c>
      <c r="G142" s="7">
        <v>3.6334083624035558E-3</v>
      </c>
      <c r="H142" s="113"/>
    </row>
    <row r="143" spans="1:8" ht="14.1" customHeight="1" x14ac:dyDescent="0.2">
      <c r="A143" s="11"/>
      <c r="B143" s="11"/>
      <c r="C143" s="2" t="s">
        <v>178</v>
      </c>
      <c r="D143" s="12"/>
      <c r="E143" s="12"/>
      <c r="F143" s="9">
        <v>988034.73564779991</v>
      </c>
      <c r="G143" s="14">
        <v>1.00000008</v>
      </c>
      <c r="H143" s="113"/>
    </row>
    <row r="144" spans="1:8" ht="14.1" customHeight="1" x14ac:dyDescent="0.2">
      <c r="A144" s="15"/>
      <c r="B144" s="15"/>
      <c r="C144" s="15"/>
      <c r="D144" s="16"/>
      <c r="E144" s="16"/>
      <c r="F144" s="16"/>
      <c r="G144" s="16"/>
    </row>
    <row r="145" spans="1:7" ht="17.100000000000001" customHeight="1" x14ac:dyDescent="0.2">
      <c r="A145" s="45"/>
      <c r="B145" s="217" t="s">
        <v>179</v>
      </c>
      <c r="C145" s="217"/>
      <c r="D145" s="217"/>
      <c r="E145" s="217"/>
      <c r="F145" s="217"/>
      <c r="G145" s="48"/>
    </row>
    <row r="146" spans="1:7" ht="14.1" customHeight="1" x14ac:dyDescent="0.2">
      <c r="A146" s="17"/>
      <c r="B146" s="17"/>
      <c r="C146" s="17"/>
      <c r="D146" s="19"/>
      <c r="E146" s="19"/>
      <c r="F146" s="19"/>
      <c r="G146" s="19"/>
    </row>
    <row r="147" spans="1:7" ht="14.1" customHeight="1" x14ac:dyDescent="0.2">
      <c r="A147" s="17"/>
      <c r="B147" s="208" t="s">
        <v>180</v>
      </c>
      <c r="C147" s="209"/>
      <c r="D147" s="210"/>
      <c r="E147" s="20"/>
      <c r="F147" s="19"/>
      <c r="G147" s="19"/>
    </row>
    <row r="148" spans="1:7" ht="29.1" customHeight="1" x14ac:dyDescent="0.2">
      <c r="A148" s="17"/>
      <c r="B148" s="205" t="s">
        <v>181</v>
      </c>
      <c r="C148" s="206"/>
      <c r="D148" s="2" t="s">
        <v>182</v>
      </c>
      <c r="E148" s="20"/>
      <c r="F148" s="19"/>
      <c r="G148" s="19"/>
    </row>
    <row r="149" spans="1:7" ht="26.25" customHeight="1" x14ac:dyDescent="0.2">
      <c r="A149" s="45"/>
      <c r="B149" s="215" t="s">
        <v>900</v>
      </c>
      <c r="C149" s="216"/>
      <c r="D149" s="46" t="s">
        <v>901</v>
      </c>
      <c r="E149" s="47"/>
      <c r="F149" s="48"/>
      <c r="G149" s="48"/>
    </row>
    <row r="150" spans="1:7" ht="17.100000000000001" customHeight="1" x14ac:dyDescent="0.2">
      <c r="A150" s="17"/>
      <c r="B150" s="205" t="s">
        <v>184</v>
      </c>
      <c r="C150" s="206"/>
      <c r="D150" s="12" t="s">
        <v>152</v>
      </c>
      <c r="E150" s="20"/>
      <c r="F150" s="19"/>
      <c r="G150" s="19"/>
    </row>
    <row r="151" spans="1:7" ht="25.5" x14ac:dyDescent="0.2">
      <c r="A151" s="21"/>
      <c r="B151" s="22" t="s">
        <v>152</v>
      </c>
      <c r="C151" s="22" t="s">
        <v>185</v>
      </c>
      <c r="D151" s="22" t="s">
        <v>186</v>
      </c>
      <c r="E151" s="21"/>
      <c r="F151" s="21"/>
      <c r="G151" s="21"/>
    </row>
    <row r="152" spans="1:7" ht="18" customHeight="1" x14ac:dyDescent="0.2">
      <c r="A152" s="21"/>
      <c r="B152" s="23" t="s">
        <v>187</v>
      </c>
      <c r="C152" s="22" t="s">
        <v>188</v>
      </c>
      <c r="D152" s="22" t="s">
        <v>189</v>
      </c>
      <c r="E152" s="21"/>
      <c r="F152" s="21"/>
      <c r="G152" s="21"/>
    </row>
    <row r="153" spans="1:7" ht="17.100000000000001" customHeight="1" x14ac:dyDescent="0.2">
      <c r="A153" s="21"/>
      <c r="B153" s="4" t="s">
        <v>190</v>
      </c>
      <c r="C153" s="24">
        <v>1053.826</v>
      </c>
      <c r="D153" s="24">
        <v>1126.4259</v>
      </c>
      <c r="E153" s="21"/>
      <c r="F153" s="18"/>
      <c r="G153" s="25"/>
    </row>
    <row r="154" spans="1:7" ht="17.100000000000001" customHeight="1" x14ac:dyDescent="0.2">
      <c r="A154" s="21"/>
      <c r="B154" s="4" t="s">
        <v>1033</v>
      </c>
      <c r="C154" s="24">
        <v>57.182299999999998</v>
      </c>
      <c r="D154" s="24">
        <v>61.121699999999997</v>
      </c>
      <c r="E154" s="21"/>
      <c r="F154" s="18"/>
      <c r="G154" s="25"/>
    </row>
    <row r="155" spans="1:7" ht="17.100000000000001" customHeight="1" x14ac:dyDescent="0.2">
      <c r="A155" s="21"/>
      <c r="B155" s="4" t="s">
        <v>191</v>
      </c>
      <c r="C155" s="24">
        <v>978.40890000000002</v>
      </c>
      <c r="D155" s="24">
        <v>1045.0786000000001</v>
      </c>
      <c r="E155" s="21"/>
      <c r="F155" s="18"/>
      <c r="G155" s="25"/>
    </row>
    <row r="156" spans="1:7" ht="17.100000000000001" customHeight="1" x14ac:dyDescent="0.2">
      <c r="A156" s="21"/>
      <c r="B156" s="4" t="s">
        <v>1034</v>
      </c>
      <c r="C156" s="24">
        <v>52.347999999999999</v>
      </c>
      <c r="D156" s="24">
        <v>55.914999999999999</v>
      </c>
      <c r="E156" s="21"/>
      <c r="F156" s="18"/>
      <c r="G156" s="25"/>
    </row>
    <row r="157" spans="1:7" ht="14.1" customHeight="1" x14ac:dyDescent="0.2">
      <c r="A157" s="21"/>
      <c r="B157" s="21"/>
      <c r="C157" s="21"/>
      <c r="D157" s="21"/>
      <c r="E157" s="21"/>
      <c r="F157" s="21"/>
      <c r="G157" s="21"/>
    </row>
    <row r="158" spans="1:7" ht="17.100000000000001" customHeight="1" x14ac:dyDescent="0.2">
      <c r="A158" s="21"/>
      <c r="B158" s="205" t="s">
        <v>1035</v>
      </c>
      <c r="C158" s="206"/>
      <c r="D158" s="2" t="s">
        <v>182</v>
      </c>
      <c r="E158" s="21"/>
      <c r="F158" s="21"/>
      <c r="G158" s="21"/>
    </row>
    <row r="159" spans="1:7" ht="18" customHeight="1" x14ac:dyDescent="0.2">
      <c r="A159" s="21"/>
      <c r="B159" s="26"/>
      <c r="C159" s="26"/>
      <c r="D159" s="26"/>
      <c r="E159" s="21"/>
      <c r="F159" s="21"/>
      <c r="G159" s="21"/>
    </row>
    <row r="160" spans="1:7" ht="29.1" customHeight="1" x14ac:dyDescent="0.2">
      <c r="A160" s="21"/>
      <c r="B160" s="205" t="s">
        <v>192</v>
      </c>
      <c r="C160" s="206"/>
      <c r="D160" s="2" t="s">
        <v>182</v>
      </c>
      <c r="E160" s="27"/>
      <c r="F160" s="21"/>
      <c r="G160" s="21"/>
    </row>
    <row r="161" spans="1:7" ht="29.1" customHeight="1" x14ac:dyDescent="0.2">
      <c r="A161" s="21"/>
      <c r="B161" s="205" t="s">
        <v>193</v>
      </c>
      <c r="C161" s="206"/>
      <c r="D161" s="2" t="s">
        <v>182</v>
      </c>
      <c r="E161" s="27"/>
      <c r="F161" s="21"/>
      <c r="G161" s="21"/>
    </row>
    <row r="162" spans="1:7" ht="17.100000000000001" customHeight="1" x14ac:dyDescent="0.2">
      <c r="A162" s="21"/>
      <c r="B162" s="205" t="s">
        <v>194</v>
      </c>
      <c r="C162" s="206"/>
      <c r="D162" s="2" t="s">
        <v>182</v>
      </c>
      <c r="E162" s="27"/>
      <c r="F162" s="21"/>
      <c r="G162" s="21"/>
    </row>
    <row r="163" spans="1:7" ht="17.100000000000001" customHeight="1" x14ac:dyDescent="0.2">
      <c r="A163" s="21"/>
      <c r="B163" s="205" t="s">
        <v>195</v>
      </c>
      <c r="C163" s="206"/>
      <c r="D163" s="28">
        <v>0.43865910098043631</v>
      </c>
      <c r="E163" s="21"/>
      <c r="F163" s="18"/>
      <c r="G163" s="25"/>
    </row>
  </sheetData>
  <mergeCells count="14">
    <mergeCell ref="B163:C163"/>
    <mergeCell ref="B149:C149"/>
    <mergeCell ref="B150:C150"/>
    <mergeCell ref="B158:C158"/>
    <mergeCell ref="B160:C160"/>
    <mergeCell ref="B161:C161"/>
    <mergeCell ref="B162:C162"/>
    <mergeCell ref="J2:N2"/>
    <mergeCell ref="B148:C148"/>
    <mergeCell ref="B145:F145"/>
    <mergeCell ref="B147:D147"/>
    <mergeCell ref="A1:H1"/>
    <mergeCell ref="A2:H2"/>
    <mergeCell ref="A3:H3"/>
  </mergeCells>
  <hyperlinks>
    <hyperlink ref="I1" location="Index!B4" display="Index" xr:uid="{38719113-9C0C-4C38-9E52-A31BD165EFD8}"/>
  </hyperlink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6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320</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1960000</v>
      </c>
      <c r="F7" s="6">
        <v>33501.300000000003</v>
      </c>
      <c r="G7" s="7">
        <v>5.5150640000000001E-2</v>
      </c>
      <c r="H7" s="113"/>
    </row>
    <row r="8" spans="1:15" ht="17.100000000000001" customHeight="1" x14ac:dyDescent="0.2">
      <c r="A8" s="3">
        <v>2</v>
      </c>
      <c r="B8" s="4" t="s">
        <v>26</v>
      </c>
      <c r="C8" s="4" t="s">
        <v>27</v>
      </c>
      <c r="D8" s="4" t="s">
        <v>28</v>
      </c>
      <c r="E8" s="5">
        <v>2740000</v>
      </c>
      <c r="F8" s="6">
        <v>27306.84</v>
      </c>
      <c r="G8" s="7">
        <v>4.4953180000000002E-2</v>
      </c>
      <c r="H8" s="113"/>
    </row>
    <row r="9" spans="1:15" ht="17.100000000000001" customHeight="1" x14ac:dyDescent="0.2">
      <c r="A9" s="3">
        <v>3</v>
      </c>
      <c r="B9" s="4" t="s">
        <v>17</v>
      </c>
      <c r="C9" s="4" t="s">
        <v>18</v>
      </c>
      <c r="D9" s="4" t="s">
        <v>19</v>
      </c>
      <c r="E9" s="5">
        <v>870000</v>
      </c>
      <c r="F9" s="6">
        <v>22489.064999999999</v>
      </c>
      <c r="G9" s="7">
        <v>3.7022039999999999E-2</v>
      </c>
      <c r="H9" s="113"/>
    </row>
    <row r="10" spans="1:15" ht="17.100000000000001" customHeight="1" x14ac:dyDescent="0.2">
      <c r="A10" s="3">
        <v>4</v>
      </c>
      <c r="B10" s="4" t="s">
        <v>323</v>
      </c>
      <c r="C10" s="4" t="s">
        <v>324</v>
      </c>
      <c r="D10" s="4" t="s">
        <v>891</v>
      </c>
      <c r="E10" s="5">
        <v>1200000</v>
      </c>
      <c r="F10" s="6">
        <v>18514.8</v>
      </c>
      <c r="G10" s="7">
        <v>3.0479510000000001E-2</v>
      </c>
      <c r="H10" s="113"/>
    </row>
    <row r="11" spans="1:15" ht="17.100000000000001" customHeight="1" x14ac:dyDescent="0.2">
      <c r="A11" s="3">
        <v>5</v>
      </c>
      <c r="B11" s="4" t="s">
        <v>11</v>
      </c>
      <c r="C11" s="4" t="s">
        <v>12</v>
      </c>
      <c r="D11" s="4" t="s">
        <v>13</v>
      </c>
      <c r="E11" s="5">
        <v>460961</v>
      </c>
      <c r="F11" s="6">
        <v>16253.48486</v>
      </c>
      <c r="G11" s="7">
        <v>2.675688E-2</v>
      </c>
      <c r="H11" s="113"/>
    </row>
    <row r="12" spans="1:15" ht="17.100000000000001" customHeight="1" x14ac:dyDescent="0.2">
      <c r="A12" s="3">
        <v>6</v>
      </c>
      <c r="B12" s="4" t="s">
        <v>62</v>
      </c>
      <c r="C12" s="4" t="s">
        <v>63</v>
      </c>
      <c r="D12" s="4" t="s">
        <v>28</v>
      </c>
      <c r="E12" s="5">
        <v>2144403</v>
      </c>
      <c r="F12" s="6">
        <v>13768.139461500001</v>
      </c>
      <c r="G12" s="7">
        <v>2.2665439999999999E-2</v>
      </c>
      <c r="H12" s="113"/>
    </row>
    <row r="13" spans="1:15" ht="17.100000000000001" customHeight="1" x14ac:dyDescent="0.2">
      <c r="A13" s="3">
        <v>7</v>
      </c>
      <c r="B13" s="4" t="s">
        <v>325</v>
      </c>
      <c r="C13" s="4" t="s">
        <v>326</v>
      </c>
      <c r="D13" s="4" t="s">
        <v>28</v>
      </c>
      <c r="E13" s="5">
        <v>1235386</v>
      </c>
      <c r="F13" s="6">
        <v>13617.659878</v>
      </c>
      <c r="G13" s="7">
        <v>2.2417719999999999E-2</v>
      </c>
      <c r="H13" s="113"/>
      <c r="J13" s="194" t="s">
        <v>1148</v>
      </c>
    </row>
    <row r="14" spans="1:15" ht="17.100000000000001" customHeight="1" x14ac:dyDescent="0.2">
      <c r="A14" s="3">
        <v>8</v>
      </c>
      <c r="B14" s="4" t="s">
        <v>110</v>
      </c>
      <c r="C14" s="4" t="s">
        <v>111</v>
      </c>
      <c r="D14" s="4" t="s">
        <v>53</v>
      </c>
      <c r="E14" s="5">
        <v>2960000</v>
      </c>
      <c r="F14" s="6">
        <v>11324.96</v>
      </c>
      <c r="G14" s="7">
        <v>1.8643420000000001E-2</v>
      </c>
      <c r="H14" s="113"/>
    </row>
    <row r="15" spans="1:15" ht="17.100000000000001" customHeight="1" x14ac:dyDescent="0.2">
      <c r="A15" s="3">
        <v>9</v>
      </c>
      <c r="B15" s="4" t="s">
        <v>14</v>
      </c>
      <c r="C15" s="4" t="s">
        <v>15</v>
      </c>
      <c r="D15" s="4" t="s">
        <v>16</v>
      </c>
      <c r="E15" s="5">
        <v>3400000</v>
      </c>
      <c r="F15" s="6">
        <v>10579.1</v>
      </c>
      <c r="G15" s="7">
        <v>1.7415569999999998E-2</v>
      </c>
      <c r="H15" s="113"/>
    </row>
    <row r="16" spans="1:15" ht="17.100000000000001" customHeight="1" x14ac:dyDescent="0.2">
      <c r="A16" s="3">
        <v>10</v>
      </c>
      <c r="B16" s="4" t="s">
        <v>327</v>
      </c>
      <c r="C16" s="4" t="s">
        <v>328</v>
      </c>
      <c r="D16" s="4" t="s">
        <v>295</v>
      </c>
      <c r="E16" s="5">
        <v>825000</v>
      </c>
      <c r="F16" s="6">
        <v>10204.424999999999</v>
      </c>
      <c r="G16" s="7">
        <v>1.6798770000000001E-2</v>
      </c>
      <c r="H16" s="113"/>
    </row>
    <row r="17" spans="1:10" ht="29.1" customHeight="1" x14ac:dyDescent="0.2">
      <c r="A17" s="3">
        <v>11</v>
      </c>
      <c r="B17" s="4" t="s">
        <v>211</v>
      </c>
      <c r="C17" s="4" t="s">
        <v>212</v>
      </c>
      <c r="D17" s="4" t="s">
        <v>53</v>
      </c>
      <c r="E17" s="5">
        <v>808159</v>
      </c>
      <c r="F17" s="6">
        <v>10181.187082</v>
      </c>
      <c r="G17" s="7">
        <v>1.6760509999999999E-2</v>
      </c>
      <c r="H17" s="113"/>
    </row>
    <row r="18" spans="1:10" ht="29.1" customHeight="1" x14ac:dyDescent="0.2">
      <c r="A18" s="3">
        <v>12</v>
      </c>
      <c r="B18" s="4" t="s">
        <v>329</v>
      </c>
      <c r="C18" s="4" t="s">
        <v>330</v>
      </c>
      <c r="D18" s="4" t="s">
        <v>225</v>
      </c>
      <c r="E18" s="5">
        <v>780000</v>
      </c>
      <c r="F18" s="6">
        <v>9823.7099999999991</v>
      </c>
      <c r="G18" s="7">
        <v>1.617203E-2</v>
      </c>
      <c r="H18" s="113"/>
    </row>
    <row r="19" spans="1:10" ht="17.100000000000001" customHeight="1" x14ac:dyDescent="0.2">
      <c r="A19" s="3">
        <v>13</v>
      </c>
      <c r="B19" s="4" t="s">
        <v>91</v>
      </c>
      <c r="C19" s="4" t="s">
        <v>92</v>
      </c>
      <c r="D19" s="4" t="s">
        <v>73</v>
      </c>
      <c r="E19" s="5">
        <v>675000</v>
      </c>
      <c r="F19" s="6">
        <v>9742.6124999999993</v>
      </c>
      <c r="G19" s="7">
        <v>1.6038520000000001E-2</v>
      </c>
      <c r="H19" s="113"/>
    </row>
    <row r="20" spans="1:10" ht="17.100000000000001" customHeight="1" x14ac:dyDescent="0.2">
      <c r="A20" s="3">
        <v>14</v>
      </c>
      <c r="B20" s="4" t="s">
        <v>331</v>
      </c>
      <c r="C20" s="4" t="s">
        <v>332</v>
      </c>
      <c r="D20" s="4" t="s">
        <v>891</v>
      </c>
      <c r="E20" s="5">
        <v>255173</v>
      </c>
      <c r="F20" s="6">
        <v>9679.7325820000005</v>
      </c>
      <c r="G20" s="7">
        <v>1.5935009999999999E-2</v>
      </c>
      <c r="H20" s="113"/>
    </row>
    <row r="21" spans="1:10" ht="17.100000000000001" customHeight="1" x14ac:dyDescent="0.2">
      <c r="A21" s="3">
        <v>15</v>
      </c>
      <c r="B21" s="4" t="s">
        <v>44</v>
      </c>
      <c r="C21" s="4" t="s">
        <v>45</v>
      </c>
      <c r="D21" s="4" t="s">
        <v>46</v>
      </c>
      <c r="E21" s="5">
        <v>1105000</v>
      </c>
      <c r="F21" s="6">
        <v>9499.1324999999997</v>
      </c>
      <c r="G21" s="7">
        <v>1.5637700000000001E-2</v>
      </c>
      <c r="H21" s="113"/>
    </row>
    <row r="22" spans="1:10" ht="17.100000000000001" customHeight="1" x14ac:dyDescent="0.2">
      <c r="A22" s="3">
        <v>16</v>
      </c>
      <c r="B22" s="4" t="s">
        <v>333</v>
      </c>
      <c r="C22" s="4" t="s">
        <v>334</v>
      </c>
      <c r="D22" s="4" t="s">
        <v>207</v>
      </c>
      <c r="E22" s="5">
        <v>7600000</v>
      </c>
      <c r="F22" s="6">
        <v>9401.2000000000007</v>
      </c>
      <c r="G22" s="7">
        <v>1.5476480000000001E-2</v>
      </c>
      <c r="H22" s="113"/>
      <c r="J22" s="194" t="s">
        <v>1149</v>
      </c>
    </row>
    <row r="23" spans="1:10" ht="17.100000000000001" customHeight="1" x14ac:dyDescent="0.2">
      <c r="A23" s="3">
        <v>17</v>
      </c>
      <c r="B23" s="4" t="s">
        <v>335</v>
      </c>
      <c r="C23" s="4" t="s">
        <v>336</v>
      </c>
      <c r="D23" s="4" t="s">
        <v>28</v>
      </c>
      <c r="E23" s="5">
        <v>580000</v>
      </c>
      <c r="F23" s="6">
        <v>9273.91</v>
      </c>
      <c r="G23" s="7">
        <v>1.526693E-2</v>
      </c>
      <c r="H23" s="113"/>
    </row>
    <row r="24" spans="1:10" ht="17.100000000000001" customHeight="1" x14ac:dyDescent="0.2">
      <c r="A24" s="3">
        <v>18</v>
      </c>
      <c r="B24" s="4" t="s">
        <v>337</v>
      </c>
      <c r="C24" s="4" t="s">
        <v>338</v>
      </c>
      <c r="D24" s="4" t="s">
        <v>339</v>
      </c>
      <c r="E24" s="5">
        <v>1499310</v>
      </c>
      <c r="F24" s="6">
        <v>9218.5075350000006</v>
      </c>
      <c r="G24" s="7">
        <v>1.517573E-2</v>
      </c>
      <c r="H24" s="113"/>
    </row>
    <row r="25" spans="1:10" ht="17.100000000000001" customHeight="1" x14ac:dyDescent="0.2">
      <c r="A25" s="3">
        <v>19</v>
      </c>
      <c r="B25" s="4" t="s">
        <v>57</v>
      </c>
      <c r="C25" s="4" t="s">
        <v>58</v>
      </c>
      <c r="D25" s="4" t="s">
        <v>34</v>
      </c>
      <c r="E25" s="5">
        <v>161000</v>
      </c>
      <c r="F25" s="6">
        <v>8830.6085000000003</v>
      </c>
      <c r="G25" s="7">
        <v>1.453716E-2</v>
      </c>
      <c r="H25" s="113"/>
    </row>
    <row r="26" spans="1:10" ht="17.100000000000001" customHeight="1" x14ac:dyDescent="0.2">
      <c r="A26" s="3">
        <v>20</v>
      </c>
      <c r="B26" s="4" t="s">
        <v>54</v>
      </c>
      <c r="C26" s="4" t="s">
        <v>55</v>
      </c>
      <c r="D26" s="4" t="s">
        <v>56</v>
      </c>
      <c r="E26" s="5">
        <v>130750</v>
      </c>
      <c r="F26" s="6">
        <v>8586.0256250000002</v>
      </c>
      <c r="G26" s="7">
        <v>1.4134519999999999E-2</v>
      </c>
      <c r="H26" s="113"/>
    </row>
    <row r="27" spans="1:10" ht="17.100000000000001" customHeight="1" x14ac:dyDescent="0.2">
      <c r="A27" s="3">
        <v>21</v>
      </c>
      <c r="B27" s="4" t="s">
        <v>20</v>
      </c>
      <c r="C27" s="4" t="s">
        <v>21</v>
      </c>
      <c r="D27" s="4" t="s">
        <v>22</v>
      </c>
      <c r="E27" s="5">
        <v>825000</v>
      </c>
      <c r="F27" s="6">
        <v>8515.65</v>
      </c>
      <c r="G27" s="7">
        <v>1.401867E-2</v>
      </c>
      <c r="H27" s="113"/>
    </row>
    <row r="28" spans="1:10" ht="17.100000000000001" customHeight="1" x14ac:dyDescent="0.2">
      <c r="A28" s="3">
        <v>22</v>
      </c>
      <c r="B28" s="4" t="s">
        <v>291</v>
      </c>
      <c r="C28" s="4" t="s">
        <v>292</v>
      </c>
      <c r="D28" s="4" t="s">
        <v>107</v>
      </c>
      <c r="E28" s="5">
        <v>1220000</v>
      </c>
      <c r="F28" s="6">
        <v>8389.33</v>
      </c>
      <c r="G28" s="7">
        <v>1.381072E-2</v>
      </c>
      <c r="H28" s="113"/>
    </row>
    <row r="29" spans="1:10" ht="17.100000000000001" customHeight="1" x14ac:dyDescent="0.2">
      <c r="A29" s="3">
        <v>23</v>
      </c>
      <c r="B29" s="4" t="s">
        <v>340</v>
      </c>
      <c r="C29" s="4" t="s">
        <v>341</v>
      </c>
      <c r="D29" s="4" t="s">
        <v>28</v>
      </c>
      <c r="E29" s="5">
        <v>1900000</v>
      </c>
      <c r="F29" s="6">
        <v>8312.5</v>
      </c>
      <c r="G29" s="7">
        <v>1.368424E-2</v>
      </c>
      <c r="H29" s="113"/>
    </row>
    <row r="30" spans="1:10" ht="17.100000000000001" customHeight="1" x14ac:dyDescent="0.2">
      <c r="A30" s="3">
        <v>24</v>
      </c>
      <c r="B30" s="4" t="s">
        <v>342</v>
      </c>
      <c r="C30" s="4" t="s">
        <v>343</v>
      </c>
      <c r="D30" s="4" t="s">
        <v>267</v>
      </c>
      <c r="E30" s="5">
        <v>253011</v>
      </c>
      <c r="F30" s="6">
        <v>8095.9724834999997</v>
      </c>
      <c r="G30" s="7">
        <v>1.3327779999999999E-2</v>
      </c>
      <c r="H30" s="113"/>
    </row>
    <row r="31" spans="1:10" ht="17.100000000000001" customHeight="1" x14ac:dyDescent="0.2">
      <c r="A31" s="3">
        <v>25</v>
      </c>
      <c r="B31" s="4" t="s">
        <v>344</v>
      </c>
      <c r="C31" s="4" t="s">
        <v>345</v>
      </c>
      <c r="D31" s="4" t="s">
        <v>891</v>
      </c>
      <c r="E31" s="5">
        <v>295000</v>
      </c>
      <c r="F31" s="6">
        <v>8082.2624999999998</v>
      </c>
      <c r="G31" s="7">
        <v>1.330521E-2</v>
      </c>
      <c r="H31" s="113"/>
    </row>
    <row r="32" spans="1:10" ht="29.1" customHeight="1" x14ac:dyDescent="0.2">
      <c r="A32" s="3">
        <v>26</v>
      </c>
      <c r="B32" s="4" t="s">
        <v>23</v>
      </c>
      <c r="C32" s="4" t="s">
        <v>24</v>
      </c>
      <c r="D32" s="4" t="s">
        <v>25</v>
      </c>
      <c r="E32" s="5">
        <v>75000</v>
      </c>
      <c r="F32" s="6">
        <v>7877.2875000000004</v>
      </c>
      <c r="G32" s="7">
        <v>1.296778E-2</v>
      </c>
      <c r="H32" s="113"/>
    </row>
    <row r="33" spans="1:8" ht="17.100000000000001" customHeight="1" x14ac:dyDescent="0.2">
      <c r="A33" s="3">
        <v>27</v>
      </c>
      <c r="B33" s="4" t="s">
        <v>108</v>
      </c>
      <c r="C33" s="4" t="s">
        <v>109</v>
      </c>
      <c r="D33" s="4" t="s">
        <v>107</v>
      </c>
      <c r="E33" s="5">
        <v>1200000</v>
      </c>
      <c r="F33" s="6">
        <v>7734</v>
      </c>
      <c r="G33" s="7">
        <v>1.2731900000000001E-2</v>
      </c>
      <c r="H33" s="113"/>
    </row>
    <row r="34" spans="1:8" ht="17.100000000000001" customHeight="1" x14ac:dyDescent="0.2">
      <c r="A34" s="3">
        <v>28</v>
      </c>
      <c r="B34" s="4" t="s">
        <v>216</v>
      </c>
      <c r="C34" s="4" t="s">
        <v>217</v>
      </c>
      <c r="D34" s="4" t="s">
        <v>891</v>
      </c>
      <c r="E34" s="5">
        <v>103500</v>
      </c>
      <c r="F34" s="6">
        <v>7648.0290000000005</v>
      </c>
      <c r="G34" s="7">
        <v>1.259037E-2</v>
      </c>
      <c r="H34" s="113"/>
    </row>
    <row r="35" spans="1:8" ht="17.100000000000001" customHeight="1" x14ac:dyDescent="0.2">
      <c r="A35" s="3">
        <v>29</v>
      </c>
      <c r="B35" s="4" t="s">
        <v>293</v>
      </c>
      <c r="C35" s="4" t="s">
        <v>294</v>
      </c>
      <c r="D35" s="4" t="s">
        <v>295</v>
      </c>
      <c r="E35" s="5">
        <v>427342</v>
      </c>
      <c r="F35" s="6">
        <v>7628.6957130000001</v>
      </c>
      <c r="G35" s="7">
        <v>1.255854E-2</v>
      </c>
      <c r="H35" s="113"/>
    </row>
    <row r="36" spans="1:8" ht="17.100000000000001" customHeight="1" x14ac:dyDescent="0.2">
      <c r="A36" s="3">
        <v>30</v>
      </c>
      <c r="B36" s="4" t="s">
        <v>346</v>
      </c>
      <c r="C36" s="4" t="s">
        <v>347</v>
      </c>
      <c r="D36" s="4" t="s">
        <v>891</v>
      </c>
      <c r="E36" s="5">
        <v>117000</v>
      </c>
      <c r="F36" s="6">
        <v>7365.0915000000005</v>
      </c>
      <c r="G36" s="7">
        <v>1.2124589999999999E-2</v>
      </c>
      <c r="H36" s="113"/>
    </row>
    <row r="37" spans="1:8" ht="17.100000000000001" customHeight="1" x14ac:dyDescent="0.2">
      <c r="A37" s="3">
        <v>31</v>
      </c>
      <c r="B37" s="4" t="s">
        <v>348</v>
      </c>
      <c r="C37" s="4" t="s">
        <v>349</v>
      </c>
      <c r="D37" s="4" t="s">
        <v>350</v>
      </c>
      <c r="E37" s="5">
        <v>1545000</v>
      </c>
      <c r="F37" s="6">
        <v>7139.4449999999997</v>
      </c>
      <c r="G37" s="7">
        <v>1.1753130000000001E-2</v>
      </c>
      <c r="H37" s="113"/>
    </row>
    <row r="38" spans="1:8" ht="17.100000000000001" customHeight="1" x14ac:dyDescent="0.2">
      <c r="A38" s="3">
        <v>32</v>
      </c>
      <c r="B38" s="4" t="s">
        <v>351</v>
      </c>
      <c r="C38" s="4" t="s">
        <v>352</v>
      </c>
      <c r="D38" s="4" t="s">
        <v>248</v>
      </c>
      <c r="E38" s="5">
        <v>900000</v>
      </c>
      <c r="F38" s="6">
        <v>7019.55</v>
      </c>
      <c r="G38" s="7">
        <v>1.155575E-2</v>
      </c>
      <c r="H38" s="113"/>
    </row>
    <row r="39" spans="1:8" ht="17.100000000000001" customHeight="1" x14ac:dyDescent="0.2">
      <c r="A39" s="3">
        <v>33</v>
      </c>
      <c r="B39" s="4" t="s">
        <v>197</v>
      </c>
      <c r="C39" s="4" t="s">
        <v>198</v>
      </c>
      <c r="D39" s="4" t="s">
        <v>28</v>
      </c>
      <c r="E39" s="5">
        <v>4475000</v>
      </c>
      <c r="F39" s="6">
        <v>6987.7124999999996</v>
      </c>
      <c r="G39" s="7">
        <v>1.1503340000000001E-2</v>
      </c>
      <c r="H39" s="113"/>
    </row>
    <row r="40" spans="1:8" ht="17.100000000000001" customHeight="1" x14ac:dyDescent="0.2">
      <c r="A40" s="3">
        <v>34</v>
      </c>
      <c r="B40" s="4" t="s">
        <v>258</v>
      </c>
      <c r="C40" s="4" t="s">
        <v>259</v>
      </c>
      <c r="D40" s="4" t="s">
        <v>207</v>
      </c>
      <c r="E40" s="5">
        <v>132500</v>
      </c>
      <c r="F40" s="6">
        <v>6810.6987499999996</v>
      </c>
      <c r="G40" s="7">
        <v>1.121194E-2</v>
      </c>
      <c r="H40" s="113"/>
    </row>
    <row r="41" spans="1:8" ht="17.100000000000001" customHeight="1" x14ac:dyDescent="0.2">
      <c r="A41" s="3">
        <v>35</v>
      </c>
      <c r="B41" s="4" t="s">
        <v>208</v>
      </c>
      <c r="C41" s="4" t="s">
        <v>209</v>
      </c>
      <c r="D41" s="4" t="s">
        <v>210</v>
      </c>
      <c r="E41" s="5">
        <v>1600000</v>
      </c>
      <c r="F41" s="6">
        <v>6707.2</v>
      </c>
      <c r="G41" s="7">
        <v>1.1041550000000001E-2</v>
      </c>
      <c r="H41" s="113"/>
    </row>
    <row r="42" spans="1:8" ht="29.1" customHeight="1" x14ac:dyDescent="0.2">
      <c r="A42" s="3">
        <v>36</v>
      </c>
      <c r="B42" s="4" t="s">
        <v>353</v>
      </c>
      <c r="C42" s="4" t="s">
        <v>354</v>
      </c>
      <c r="D42" s="4" t="s">
        <v>225</v>
      </c>
      <c r="E42" s="5">
        <v>115000</v>
      </c>
      <c r="F42" s="6">
        <v>6667.585</v>
      </c>
      <c r="G42" s="7">
        <v>1.0976339999999999E-2</v>
      </c>
      <c r="H42" s="113"/>
    </row>
    <row r="43" spans="1:8" ht="17.100000000000001" customHeight="1" x14ac:dyDescent="0.2">
      <c r="A43" s="3">
        <v>37</v>
      </c>
      <c r="B43" s="4" t="s">
        <v>355</v>
      </c>
      <c r="C43" s="4" t="s">
        <v>356</v>
      </c>
      <c r="D43" s="4" t="s">
        <v>350</v>
      </c>
      <c r="E43" s="5">
        <v>250000</v>
      </c>
      <c r="F43" s="6">
        <v>6659.875</v>
      </c>
      <c r="G43" s="7">
        <v>1.096365E-2</v>
      </c>
      <c r="H43" s="113"/>
    </row>
    <row r="44" spans="1:8" ht="17.100000000000001" customHeight="1" x14ac:dyDescent="0.2">
      <c r="A44" s="3">
        <v>38</v>
      </c>
      <c r="B44" s="4" t="s">
        <v>357</v>
      </c>
      <c r="C44" s="4" t="s">
        <v>358</v>
      </c>
      <c r="D44" s="4" t="s">
        <v>34</v>
      </c>
      <c r="E44" s="5">
        <v>710928</v>
      </c>
      <c r="F44" s="6">
        <v>6523.4753280000004</v>
      </c>
      <c r="G44" s="7">
        <v>1.07391E-2</v>
      </c>
      <c r="H44" s="113"/>
    </row>
    <row r="45" spans="1:8" ht="17.100000000000001" customHeight="1" x14ac:dyDescent="0.2">
      <c r="A45" s="3">
        <v>39</v>
      </c>
      <c r="B45" s="4" t="s">
        <v>263</v>
      </c>
      <c r="C45" s="4" t="s">
        <v>264</v>
      </c>
      <c r="D45" s="4" t="s">
        <v>56</v>
      </c>
      <c r="E45" s="5">
        <v>509000</v>
      </c>
      <c r="F45" s="6">
        <v>6475.4979999999996</v>
      </c>
      <c r="G45" s="7">
        <v>1.066012E-2</v>
      </c>
      <c r="H45" s="113"/>
    </row>
    <row r="46" spans="1:8" ht="17.100000000000001" customHeight="1" x14ac:dyDescent="0.2">
      <c r="A46" s="3">
        <v>40</v>
      </c>
      <c r="B46" s="4" t="s">
        <v>39</v>
      </c>
      <c r="C46" s="4" t="s">
        <v>40</v>
      </c>
      <c r="D46" s="4" t="s">
        <v>41</v>
      </c>
      <c r="E46" s="5">
        <v>135000</v>
      </c>
      <c r="F46" s="6">
        <v>6311.0474999999997</v>
      </c>
      <c r="G46" s="7">
        <v>1.03894E-2</v>
      </c>
      <c r="H46" s="113"/>
    </row>
    <row r="47" spans="1:8" ht="17.100000000000001" customHeight="1" x14ac:dyDescent="0.2">
      <c r="A47" s="3">
        <v>41</v>
      </c>
      <c r="B47" s="4" t="s">
        <v>359</v>
      </c>
      <c r="C47" s="4" t="s">
        <v>360</v>
      </c>
      <c r="D47" s="4" t="s">
        <v>56</v>
      </c>
      <c r="E47" s="5">
        <v>170000</v>
      </c>
      <c r="F47" s="6">
        <v>6248.2650000000003</v>
      </c>
      <c r="G47" s="7">
        <v>1.028604E-2</v>
      </c>
      <c r="H47" s="113"/>
    </row>
    <row r="48" spans="1:8" ht="29.1" customHeight="1" x14ac:dyDescent="0.2">
      <c r="A48" s="3">
        <v>42</v>
      </c>
      <c r="B48" s="4" t="s">
        <v>361</v>
      </c>
      <c r="C48" s="4" t="s">
        <v>362</v>
      </c>
      <c r="D48" s="4" t="s">
        <v>225</v>
      </c>
      <c r="E48" s="5">
        <v>160000</v>
      </c>
      <c r="F48" s="6">
        <v>6246.24</v>
      </c>
      <c r="G48" s="7">
        <v>1.028271E-2</v>
      </c>
      <c r="H48" s="113"/>
    </row>
    <row r="49" spans="1:8" ht="17.100000000000001" customHeight="1" x14ac:dyDescent="0.2">
      <c r="A49" s="3">
        <v>43</v>
      </c>
      <c r="B49" s="4" t="s">
        <v>363</v>
      </c>
      <c r="C49" s="4" t="s">
        <v>364</v>
      </c>
      <c r="D49" s="4" t="s">
        <v>207</v>
      </c>
      <c r="E49" s="5">
        <v>3500000</v>
      </c>
      <c r="F49" s="6">
        <v>6088.25</v>
      </c>
      <c r="G49" s="7">
        <v>1.0022619999999999E-2</v>
      </c>
      <c r="H49" s="113"/>
    </row>
    <row r="50" spans="1:8" ht="17.100000000000001" customHeight="1" x14ac:dyDescent="0.2">
      <c r="A50" s="3">
        <v>44</v>
      </c>
      <c r="B50" s="4" t="s">
        <v>365</v>
      </c>
      <c r="C50" s="4" t="s">
        <v>366</v>
      </c>
      <c r="D50" s="4" t="s">
        <v>53</v>
      </c>
      <c r="E50" s="5">
        <v>83000</v>
      </c>
      <c r="F50" s="6">
        <v>6082.0325000000003</v>
      </c>
      <c r="G50" s="7">
        <v>1.0012389999999999E-2</v>
      </c>
      <c r="H50" s="113"/>
    </row>
    <row r="51" spans="1:8" ht="17.100000000000001" customHeight="1" x14ac:dyDescent="0.2">
      <c r="A51" s="3">
        <v>45</v>
      </c>
      <c r="B51" s="4" t="s">
        <v>199</v>
      </c>
      <c r="C51" s="4" t="s">
        <v>200</v>
      </c>
      <c r="D51" s="4" t="s">
        <v>107</v>
      </c>
      <c r="E51" s="5">
        <v>169137</v>
      </c>
      <c r="F51" s="6">
        <v>5990.2405605000004</v>
      </c>
      <c r="G51" s="7">
        <v>9.86128E-3</v>
      </c>
      <c r="H51" s="113"/>
    </row>
    <row r="52" spans="1:8" ht="29.1" customHeight="1" x14ac:dyDescent="0.2">
      <c r="A52" s="3">
        <v>46</v>
      </c>
      <c r="B52" s="4" t="s">
        <v>77</v>
      </c>
      <c r="C52" s="4" t="s">
        <v>78</v>
      </c>
      <c r="D52" s="4" t="s">
        <v>25</v>
      </c>
      <c r="E52" s="5">
        <v>250000</v>
      </c>
      <c r="F52" s="6">
        <v>5688</v>
      </c>
      <c r="G52" s="7">
        <v>9.3637200000000007E-3</v>
      </c>
      <c r="H52" s="113"/>
    </row>
    <row r="53" spans="1:8" ht="17.100000000000001" customHeight="1" x14ac:dyDescent="0.2">
      <c r="A53" s="3">
        <v>47</v>
      </c>
      <c r="B53" s="4" t="s">
        <v>105</v>
      </c>
      <c r="C53" s="4" t="s">
        <v>106</v>
      </c>
      <c r="D53" s="4" t="s">
        <v>107</v>
      </c>
      <c r="E53" s="5">
        <v>176000</v>
      </c>
      <c r="F53" s="6">
        <v>5637.28</v>
      </c>
      <c r="G53" s="7">
        <v>9.2802300000000004E-3</v>
      </c>
      <c r="H53" s="113"/>
    </row>
    <row r="54" spans="1:8" ht="53.1" customHeight="1" x14ac:dyDescent="0.2">
      <c r="A54" s="3">
        <v>48</v>
      </c>
      <c r="B54" s="4" t="s">
        <v>100</v>
      </c>
      <c r="C54" s="4" t="s">
        <v>101</v>
      </c>
      <c r="D54" s="4" t="s">
        <v>102</v>
      </c>
      <c r="E54" s="5">
        <v>3100000</v>
      </c>
      <c r="F54" s="6">
        <v>5628.05</v>
      </c>
      <c r="G54" s="7">
        <v>9.2650300000000005E-3</v>
      </c>
      <c r="H54" s="113"/>
    </row>
    <row r="55" spans="1:8" ht="17.100000000000001" customHeight="1" x14ac:dyDescent="0.2">
      <c r="A55" s="3">
        <v>49</v>
      </c>
      <c r="B55" s="4" t="s">
        <v>367</v>
      </c>
      <c r="C55" s="4" t="s">
        <v>368</v>
      </c>
      <c r="D55" s="4" t="s">
        <v>99</v>
      </c>
      <c r="E55" s="5">
        <v>4000000</v>
      </c>
      <c r="F55" s="6">
        <v>5584</v>
      </c>
      <c r="G55" s="7">
        <v>9.1925199999999992E-3</v>
      </c>
      <c r="H55" s="113"/>
    </row>
    <row r="56" spans="1:8" ht="17.100000000000001" customHeight="1" x14ac:dyDescent="0.2">
      <c r="A56" s="3">
        <v>50</v>
      </c>
      <c r="B56" s="4" t="s">
        <v>123</v>
      </c>
      <c r="C56" s="4" t="s">
        <v>124</v>
      </c>
      <c r="D56" s="4" t="s">
        <v>34</v>
      </c>
      <c r="E56" s="5">
        <v>285000</v>
      </c>
      <c r="F56" s="6">
        <v>5436.5174999999999</v>
      </c>
      <c r="G56" s="7">
        <v>8.9497299999999995E-3</v>
      </c>
      <c r="H56" s="113"/>
    </row>
    <row r="57" spans="1:8" ht="17.100000000000001" customHeight="1" x14ac:dyDescent="0.2">
      <c r="A57" s="3">
        <v>51</v>
      </c>
      <c r="B57" s="4" t="s">
        <v>127</v>
      </c>
      <c r="C57" s="4" t="s">
        <v>128</v>
      </c>
      <c r="D57" s="4" t="s">
        <v>41</v>
      </c>
      <c r="E57" s="5">
        <v>2800000</v>
      </c>
      <c r="F57" s="6">
        <v>5419.4</v>
      </c>
      <c r="G57" s="7">
        <v>8.9215500000000003E-3</v>
      </c>
      <c r="H57" s="113"/>
    </row>
    <row r="58" spans="1:8" ht="29.1" customHeight="1" x14ac:dyDescent="0.2">
      <c r="A58" s="3">
        <v>52</v>
      </c>
      <c r="B58" s="4" t="s">
        <v>223</v>
      </c>
      <c r="C58" s="4" t="s">
        <v>224</v>
      </c>
      <c r="D58" s="4" t="s">
        <v>225</v>
      </c>
      <c r="E58" s="5">
        <v>400000</v>
      </c>
      <c r="F58" s="6">
        <v>5291.8</v>
      </c>
      <c r="G58" s="7">
        <v>8.7114900000000006E-3</v>
      </c>
      <c r="H58" s="113"/>
    </row>
    <row r="59" spans="1:8" ht="17.100000000000001" customHeight="1" x14ac:dyDescent="0.2">
      <c r="A59" s="3">
        <v>53</v>
      </c>
      <c r="B59" s="4" t="s">
        <v>369</v>
      </c>
      <c r="C59" s="4" t="s">
        <v>370</v>
      </c>
      <c r="D59" s="4" t="s">
        <v>245</v>
      </c>
      <c r="E59" s="5">
        <v>1200000</v>
      </c>
      <c r="F59" s="6">
        <v>5260.2</v>
      </c>
      <c r="G59" s="7">
        <v>8.6594700000000007E-3</v>
      </c>
      <c r="H59" s="113"/>
    </row>
    <row r="60" spans="1:8" ht="29.1" customHeight="1" x14ac:dyDescent="0.2">
      <c r="A60" s="3">
        <v>54</v>
      </c>
      <c r="B60" s="4" t="s">
        <v>371</v>
      </c>
      <c r="C60" s="4" t="s">
        <v>372</v>
      </c>
      <c r="D60" s="4" t="s">
        <v>225</v>
      </c>
      <c r="E60" s="5">
        <v>480000</v>
      </c>
      <c r="F60" s="6">
        <v>5203.2</v>
      </c>
      <c r="G60" s="7">
        <v>8.5656299999999994E-3</v>
      </c>
      <c r="H60" s="113"/>
    </row>
    <row r="61" spans="1:8" ht="29.1" customHeight="1" x14ac:dyDescent="0.2">
      <c r="A61" s="3">
        <v>55</v>
      </c>
      <c r="B61" s="4" t="s">
        <v>287</v>
      </c>
      <c r="C61" s="4" t="s">
        <v>288</v>
      </c>
      <c r="D61" s="4" t="s">
        <v>215</v>
      </c>
      <c r="E61" s="5">
        <v>147000</v>
      </c>
      <c r="F61" s="6">
        <v>5168.3729999999996</v>
      </c>
      <c r="G61" s="7">
        <v>8.5082999999999999E-3</v>
      </c>
      <c r="H61" s="113"/>
    </row>
    <row r="62" spans="1:8" ht="17.100000000000001" customHeight="1" x14ac:dyDescent="0.2">
      <c r="A62" s="3">
        <v>56</v>
      </c>
      <c r="B62" s="4" t="s">
        <v>373</v>
      </c>
      <c r="C62" s="4" t="s">
        <v>374</v>
      </c>
      <c r="D62" s="4" t="s">
        <v>207</v>
      </c>
      <c r="E62" s="5">
        <v>123000</v>
      </c>
      <c r="F62" s="6">
        <v>5021.6594999999998</v>
      </c>
      <c r="G62" s="7">
        <v>8.2667799999999996E-3</v>
      </c>
      <c r="H62" s="113"/>
    </row>
    <row r="63" spans="1:8" ht="17.100000000000001" customHeight="1" x14ac:dyDescent="0.2">
      <c r="A63" s="3">
        <v>57</v>
      </c>
      <c r="B63" s="4" t="s">
        <v>232</v>
      </c>
      <c r="C63" s="4" t="s">
        <v>233</v>
      </c>
      <c r="D63" s="4" t="s">
        <v>234</v>
      </c>
      <c r="E63" s="5">
        <v>501344</v>
      </c>
      <c r="F63" s="6">
        <v>4784.3257919999996</v>
      </c>
      <c r="G63" s="7">
        <v>7.8760700000000006E-3</v>
      </c>
      <c r="H63" s="113"/>
    </row>
    <row r="64" spans="1:8" ht="17.100000000000001" customHeight="1" x14ac:dyDescent="0.2">
      <c r="A64" s="3">
        <v>58</v>
      </c>
      <c r="B64" s="4" t="s">
        <v>131</v>
      </c>
      <c r="C64" s="4" t="s">
        <v>132</v>
      </c>
      <c r="D64" s="4" t="s">
        <v>34</v>
      </c>
      <c r="E64" s="5">
        <v>241328</v>
      </c>
      <c r="F64" s="6">
        <v>4739.561256</v>
      </c>
      <c r="G64" s="7">
        <v>7.8023800000000003E-3</v>
      </c>
      <c r="H64" s="113"/>
    </row>
    <row r="65" spans="1:8" ht="17.100000000000001" customHeight="1" x14ac:dyDescent="0.2">
      <c r="A65" s="3">
        <v>59</v>
      </c>
      <c r="B65" s="4" t="s">
        <v>375</v>
      </c>
      <c r="C65" s="4" t="s">
        <v>376</v>
      </c>
      <c r="D65" s="4" t="s">
        <v>248</v>
      </c>
      <c r="E65" s="5">
        <v>45000</v>
      </c>
      <c r="F65" s="6">
        <v>4636.0574999999999</v>
      </c>
      <c r="G65" s="7">
        <v>7.63199E-3</v>
      </c>
      <c r="H65" s="113"/>
    </row>
    <row r="66" spans="1:8" ht="17.100000000000001" customHeight="1" x14ac:dyDescent="0.2">
      <c r="A66" s="3">
        <v>60</v>
      </c>
      <c r="B66" s="4" t="s">
        <v>377</v>
      </c>
      <c r="C66" s="4" t="s">
        <v>378</v>
      </c>
      <c r="D66" s="4" t="s">
        <v>34</v>
      </c>
      <c r="E66" s="5">
        <v>370000</v>
      </c>
      <c r="F66" s="6">
        <v>4581.8950000000004</v>
      </c>
      <c r="G66" s="7">
        <v>7.5428300000000004E-3</v>
      </c>
      <c r="H66" s="113"/>
    </row>
    <row r="67" spans="1:8" ht="17.100000000000001" customHeight="1" x14ac:dyDescent="0.2">
      <c r="A67" s="3">
        <v>61</v>
      </c>
      <c r="B67" s="4" t="s">
        <v>51</v>
      </c>
      <c r="C67" s="4" t="s">
        <v>52</v>
      </c>
      <c r="D67" s="4" t="s">
        <v>53</v>
      </c>
      <c r="E67" s="5">
        <v>1100000</v>
      </c>
      <c r="F67" s="6">
        <v>4541.3500000000004</v>
      </c>
      <c r="G67" s="7">
        <v>7.4760800000000004E-3</v>
      </c>
      <c r="H67" s="113"/>
    </row>
    <row r="68" spans="1:8" ht="17.100000000000001" customHeight="1" x14ac:dyDescent="0.2">
      <c r="A68" s="3">
        <v>62</v>
      </c>
      <c r="B68" s="4" t="s">
        <v>289</v>
      </c>
      <c r="C68" s="4" t="s">
        <v>290</v>
      </c>
      <c r="D68" s="4" t="s">
        <v>56</v>
      </c>
      <c r="E68" s="5">
        <v>346000</v>
      </c>
      <c r="F68" s="6">
        <v>4503.8819999999996</v>
      </c>
      <c r="G68" s="7">
        <v>7.4143999999999998E-3</v>
      </c>
      <c r="H68" s="113"/>
    </row>
    <row r="69" spans="1:8" ht="17.100000000000001" customHeight="1" x14ac:dyDescent="0.2">
      <c r="A69" s="3">
        <v>63</v>
      </c>
      <c r="B69" s="4" t="s">
        <v>379</v>
      </c>
      <c r="C69" s="4" t="s">
        <v>380</v>
      </c>
      <c r="D69" s="4" t="s">
        <v>46</v>
      </c>
      <c r="E69" s="5">
        <v>320375</v>
      </c>
      <c r="F69" s="6">
        <v>4403.2340000000004</v>
      </c>
      <c r="G69" s="7">
        <v>7.2487100000000002E-3</v>
      </c>
      <c r="H69" s="113"/>
    </row>
    <row r="70" spans="1:8" ht="17.100000000000001" customHeight="1" x14ac:dyDescent="0.2">
      <c r="A70" s="3">
        <v>64</v>
      </c>
      <c r="B70" s="4" t="s">
        <v>381</v>
      </c>
      <c r="C70" s="4" t="s">
        <v>382</v>
      </c>
      <c r="D70" s="4" t="s">
        <v>107</v>
      </c>
      <c r="E70" s="5">
        <v>328185</v>
      </c>
      <c r="F70" s="6">
        <v>4098.7024650000003</v>
      </c>
      <c r="G70" s="7">
        <v>6.7473799999999999E-3</v>
      </c>
      <c r="H70" s="113"/>
    </row>
    <row r="71" spans="1:8" ht="17.100000000000001" customHeight="1" x14ac:dyDescent="0.2">
      <c r="A71" s="3">
        <v>65</v>
      </c>
      <c r="B71" s="4" t="s">
        <v>383</v>
      </c>
      <c r="C71" s="4" t="s">
        <v>384</v>
      </c>
      <c r="D71" s="4" t="s">
        <v>385</v>
      </c>
      <c r="E71" s="5">
        <v>320000</v>
      </c>
      <c r="F71" s="6">
        <v>4002.56</v>
      </c>
      <c r="G71" s="7">
        <v>6.5891099999999996E-3</v>
      </c>
      <c r="H71" s="113"/>
    </row>
    <row r="72" spans="1:8" ht="29.1" customHeight="1" x14ac:dyDescent="0.2">
      <c r="A72" s="3">
        <v>66</v>
      </c>
      <c r="B72" s="4" t="s">
        <v>228</v>
      </c>
      <c r="C72" s="4" t="s">
        <v>229</v>
      </c>
      <c r="D72" s="4" t="s">
        <v>225</v>
      </c>
      <c r="E72" s="5">
        <v>75000</v>
      </c>
      <c r="F72" s="6">
        <v>3901.95</v>
      </c>
      <c r="G72" s="7">
        <v>6.4234799999999996E-3</v>
      </c>
      <c r="H72" s="113"/>
    </row>
    <row r="73" spans="1:8" ht="17.100000000000001" customHeight="1" x14ac:dyDescent="0.2">
      <c r="A73" s="3">
        <v>67</v>
      </c>
      <c r="B73" s="4" t="s">
        <v>93</v>
      </c>
      <c r="C73" s="4" t="s">
        <v>94</v>
      </c>
      <c r="D73" s="4" t="s">
        <v>41</v>
      </c>
      <c r="E73" s="5">
        <v>881341</v>
      </c>
      <c r="F73" s="6">
        <v>3738.2078514999998</v>
      </c>
      <c r="G73" s="7">
        <v>6.1539300000000002E-3</v>
      </c>
      <c r="H73" s="113"/>
    </row>
    <row r="74" spans="1:8" ht="29.1" customHeight="1" x14ac:dyDescent="0.2">
      <c r="A74" s="3">
        <v>68</v>
      </c>
      <c r="B74" s="4" t="s">
        <v>220</v>
      </c>
      <c r="C74" s="4" t="s">
        <v>221</v>
      </c>
      <c r="D74" s="4" t="s">
        <v>222</v>
      </c>
      <c r="E74" s="5">
        <v>97000</v>
      </c>
      <c r="F74" s="6">
        <v>3737.6039999999998</v>
      </c>
      <c r="G74" s="7">
        <v>6.15293E-3</v>
      </c>
      <c r="H74" s="113"/>
    </row>
    <row r="75" spans="1:8" ht="17.100000000000001" customHeight="1" x14ac:dyDescent="0.2">
      <c r="A75" s="3">
        <v>69</v>
      </c>
      <c r="B75" s="4" t="s">
        <v>386</v>
      </c>
      <c r="C75" s="4" t="s">
        <v>387</v>
      </c>
      <c r="D75" s="4" t="s">
        <v>53</v>
      </c>
      <c r="E75" s="5">
        <v>220000</v>
      </c>
      <c r="F75" s="6">
        <v>3708.76</v>
      </c>
      <c r="G75" s="7">
        <v>6.1054500000000001E-3</v>
      </c>
      <c r="H75" s="113"/>
    </row>
    <row r="76" spans="1:8" ht="17.100000000000001" customHeight="1" x14ac:dyDescent="0.2">
      <c r="A76" s="3">
        <v>70</v>
      </c>
      <c r="B76" s="4" t="s">
        <v>305</v>
      </c>
      <c r="C76" s="4" t="s">
        <v>306</v>
      </c>
      <c r="D76" s="4" t="s">
        <v>28</v>
      </c>
      <c r="E76" s="5">
        <v>3237028</v>
      </c>
      <c r="F76" s="6">
        <v>3644.8935280000001</v>
      </c>
      <c r="G76" s="7">
        <v>6.00031E-3</v>
      </c>
      <c r="H76" s="113"/>
    </row>
    <row r="77" spans="1:8" ht="17.100000000000001" customHeight="1" x14ac:dyDescent="0.2">
      <c r="A77" s="3">
        <v>71</v>
      </c>
      <c r="B77" s="4" t="s">
        <v>115</v>
      </c>
      <c r="C77" s="4" t="s">
        <v>116</v>
      </c>
      <c r="D77" s="4" t="s">
        <v>34</v>
      </c>
      <c r="E77" s="5">
        <v>510000</v>
      </c>
      <c r="F77" s="6">
        <v>3342.7950000000001</v>
      </c>
      <c r="G77" s="7">
        <v>5.5029900000000001E-3</v>
      </c>
      <c r="H77" s="113"/>
    </row>
    <row r="78" spans="1:8" ht="17.100000000000001" customHeight="1" x14ac:dyDescent="0.2">
      <c r="A78" s="3">
        <v>72</v>
      </c>
      <c r="B78" s="4" t="s">
        <v>388</v>
      </c>
      <c r="C78" s="4" t="s">
        <v>389</v>
      </c>
      <c r="D78" s="4" t="s">
        <v>56</v>
      </c>
      <c r="E78" s="5">
        <v>348399</v>
      </c>
      <c r="F78" s="6">
        <v>3147.7849649999998</v>
      </c>
      <c r="G78" s="7">
        <v>5.1819600000000002E-3</v>
      </c>
      <c r="H78" s="113"/>
    </row>
    <row r="79" spans="1:8" ht="17.100000000000001" customHeight="1" x14ac:dyDescent="0.2">
      <c r="A79" s="3">
        <v>73</v>
      </c>
      <c r="B79" s="4" t="s">
        <v>390</v>
      </c>
      <c r="C79" s="4" t="s">
        <v>391</v>
      </c>
      <c r="D79" s="4" t="s">
        <v>207</v>
      </c>
      <c r="E79" s="5">
        <v>246000</v>
      </c>
      <c r="F79" s="6">
        <v>3119.0340000000001</v>
      </c>
      <c r="G79" s="7">
        <v>5.1346300000000003E-3</v>
      </c>
      <c r="H79" s="113"/>
    </row>
    <row r="80" spans="1:8" ht="29.1" customHeight="1" x14ac:dyDescent="0.2">
      <c r="A80" s="3">
        <v>74</v>
      </c>
      <c r="B80" s="4" t="s">
        <v>392</v>
      </c>
      <c r="C80" s="4" t="s">
        <v>393</v>
      </c>
      <c r="D80" s="4" t="s">
        <v>222</v>
      </c>
      <c r="E80" s="5">
        <v>120000</v>
      </c>
      <c r="F80" s="6">
        <v>2975.1</v>
      </c>
      <c r="G80" s="7">
        <v>4.8976799999999997E-3</v>
      </c>
      <c r="H80" s="113"/>
    </row>
    <row r="81" spans="1:8" ht="29.1" customHeight="1" x14ac:dyDescent="0.2">
      <c r="A81" s="3">
        <v>75</v>
      </c>
      <c r="B81" s="4" t="s">
        <v>273</v>
      </c>
      <c r="C81" s="4" t="s">
        <v>274</v>
      </c>
      <c r="D81" s="4" t="s">
        <v>225</v>
      </c>
      <c r="E81" s="5">
        <v>664603</v>
      </c>
      <c r="F81" s="6">
        <v>2859.1221059999998</v>
      </c>
      <c r="G81" s="7">
        <v>4.7067599999999999E-3</v>
      </c>
      <c r="H81" s="113"/>
    </row>
    <row r="82" spans="1:8" ht="17.100000000000001" customHeight="1" x14ac:dyDescent="0.2">
      <c r="A82" s="3">
        <v>76</v>
      </c>
      <c r="B82" s="4" t="s">
        <v>394</v>
      </c>
      <c r="C82" s="4" t="s">
        <v>395</v>
      </c>
      <c r="D82" s="4" t="s">
        <v>315</v>
      </c>
      <c r="E82" s="5">
        <v>7000</v>
      </c>
      <c r="F82" s="6">
        <v>2695.8924999999999</v>
      </c>
      <c r="G82" s="7">
        <v>4.4380399999999999E-3</v>
      </c>
      <c r="H82" s="113"/>
    </row>
    <row r="83" spans="1:8" ht="29.1" customHeight="1" x14ac:dyDescent="0.2">
      <c r="A83" s="3">
        <v>77</v>
      </c>
      <c r="B83" s="4" t="s">
        <v>396</v>
      </c>
      <c r="C83" s="4" t="s">
        <v>397</v>
      </c>
      <c r="D83" s="4" t="s">
        <v>225</v>
      </c>
      <c r="E83" s="5">
        <v>110000</v>
      </c>
      <c r="F83" s="6">
        <v>2180.75</v>
      </c>
      <c r="G83" s="7">
        <v>3.5899999999999999E-3</v>
      </c>
      <c r="H83" s="113"/>
    </row>
    <row r="84" spans="1:8" ht="29.1" customHeight="1" x14ac:dyDescent="0.2">
      <c r="A84" s="3">
        <v>78</v>
      </c>
      <c r="B84" s="4" t="s">
        <v>143</v>
      </c>
      <c r="C84" s="4" t="s">
        <v>144</v>
      </c>
      <c r="D84" s="4" t="s">
        <v>145</v>
      </c>
      <c r="E84" s="5">
        <v>760536</v>
      </c>
      <c r="F84" s="6">
        <v>1584.196488</v>
      </c>
      <c r="G84" s="7">
        <v>2.60794E-3</v>
      </c>
      <c r="H84" s="113"/>
    </row>
    <row r="85" spans="1:8" ht="14.1" customHeight="1" x14ac:dyDescent="0.2">
      <c r="A85" s="1"/>
      <c r="B85" s="1"/>
      <c r="C85" s="2" t="s">
        <v>151</v>
      </c>
      <c r="D85" s="1"/>
      <c r="E85" s="1" t="s">
        <v>152</v>
      </c>
      <c r="F85" s="9">
        <v>589668.47280999995</v>
      </c>
      <c r="G85" s="10">
        <v>0.97072641999999998</v>
      </c>
      <c r="H85" s="113"/>
    </row>
    <row r="86" spans="1:8" ht="14.1" customHeight="1" x14ac:dyDescent="0.2">
      <c r="A86" s="1"/>
      <c r="B86" s="1"/>
      <c r="C86" s="11"/>
      <c r="D86" s="1"/>
      <c r="E86" s="1"/>
      <c r="F86" s="12"/>
      <c r="G86" s="12"/>
      <c r="H86" s="113"/>
    </row>
    <row r="87" spans="1:8" ht="14.1" customHeight="1" x14ac:dyDescent="0.2">
      <c r="A87" s="1"/>
      <c r="B87" s="1"/>
      <c r="C87" s="2" t="s">
        <v>153</v>
      </c>
      <c r="D87" s="1"/>
      <c r="E87" s="1"/>
      <c r="F87" s="1"/>
      <c r="G87" s="1"/>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4.1" customHeight="1" x14ac:dyDescent="0.2">
      <c r="A90" s="1"/>
      <c r="B90" s="1"/>
      <c r="C90" s="2" t="s">
        <v>155</v>
      </c>
      <c r="D90" s="1"/>
      <c r="E90" s="1"/>
      <c r="F90" s="1"/>
      <c r="G90" s="1"/>
      <c r="H90" s="113"/>
    </row>
    <row r="91" spans="1:8" ht="14.1" customHeight="1" x14ac:dyDescent="0.2">
      <c r="A91" s="1"/>
      <c r="B91" s="1"/>
      <c r="C91" s="2" t="s">
        <v>151</v>
      </c>
      <c r="D91" s="1"/>
      <c r="E91" s="1" t="s">
        <v>152</v>
      </c>
      <c r="F91" s="13" t="s">
        <v>154</v>
      </c>
      <c r="G91" s="10">
        <v>0</v>
      </c>
      <c r="H91" s="113"/>
    </row>
    <row r="92" spans="1:8" ht="14.1" customHeight="1" x14ac:dyDescent="0.2">
      <c r="A92" s="1"/>
      <c r="B92" s="1"/>
      <c r="C92" s="11"/>
      <c r="D92" s="1"/>
      <c r="E92" s="1"/>
      <c r="F92" s="12"/>
      <c r="G92" s="12"/>
      <c r="H92" s="113"/>
    </row>
    <row r="93" spans="1:8" ht="14.1" customHeight="1" x14ac:dyDescent="0.2">
      <c r="A93" s="1"/>
      <c r="B93" s="1"/>
      <c r="C93" s="2" t="s">
        <v>156</v>
      </c>
      <c r="D93" s="1"/>
      <c r="E93" s="1"/>
      <c r="F93" s="1"/>
      <c r="G93" s="1"/>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4.1" customHeight="1" x14ac:dyDescent="0.2">
      <c r="A96" s="1"/>
      <c r="B96" s="1"/>
      <c r="C96" s="2" t="s">
        <v>157</v>
      </c>
      <c r="D96" s="1"/>
      <c r="E96" s="1"/>
      <c r="F96" s="12"/>
      <c r="G96" s="12"/>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158</v>
      </c>
      <c r="D99" s="1"/>
      <c r="E99" s="1"/>
      <c r="F99" s="12"/>
      <c r="G99" s="12"/>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18" customHeight="1" x14ac:dyDescent="0.2">
      <c r="A102" s="1"/>
      <c r="B102" s="1"/>
      <c r="C102" s="2" t="s">
        <v>159</v>
      </c>
      <c r="D102" s="1"/>
      <c r="E102" s="1"/>
      <c r="F102" s="9">
        <v>589668.47280999995</v>
      </c>
      <c r="G102" s="10">
        <v>0.97072641999999998</v>
      </c>
      <c r="H102" s="113"/>
    </row>
    <row r="103" spans="1:8" ht="14.1" customHeight="1" x14ac:dyDescent="0.2">
      <c r="A103" s="1"/>
      <c r="B103" s="1"/>
      <c r="C103" s="11"/>
      <c r="D103" s="1"/>
      <c r="E103" s="1"/>
      <c r="F103" s="12"/>
      <c r="G103" s="12"/>
      <c r="H103" s="113"/>
    </row>
    <row r="104" spans="1:8" ht="14.1" customHeight="1" x14ac:dyDescent="0.2">
      <c r="A104" s="1"/>
      <c r="B104" s="1"/>
      <c r="C104" s="2" t="s">
        <v>160</v>
      </c>
      <c r="D104" s="1"/>
      <c r="E104" s="1"/>
      <c r="F104" s="12"/>
      <c r="G104" s="12"/>
      <c r="H104" s="113"/>
    </row>
    <row r="105" spans="1:8" ht="24" customHeight="1" x14ac:dyDescent="0.2">
      <c r="A105" s="1"/>
      <c r="B105" s="1"/>
      <c r="C105" s="2" t="s">
        <v>10</v>
      </c>
      <c r="D105" s="1"/>
      <c r="E105" s="1"/>
      <c r="F105" s="12"/>
      <c r="G105" s="12"/>
      <c r="H105" s="113"/>
    </row>
    <row r="106" spans="1:8" ht="14.1" customHeight="1" x14ac:dyDescent="0.2">
      <c r="A106" s="1"/>
      <c r="B106" s="1"/>
      <c r="C106" s="2" t="s">
        <v>151</v>
      </c>
      <c r="D106" s="1"/>
      <c r="E106" s="1" t="s">
        <v>152</v>
      </c>
      <c r="F106" s="13" t="s">
        <v>154</v>
      </c>
      <c r="G106" s="10">
        <v>0</v>
      </c>
      <c r="H106" s="113"/>
    </row>
    <row r="107" spans="1:8" ht="14.1" customHeight="1" x14ac:dyDescent="0.2">
      <c r="A107" s="1"/>
      <c r="B107" s="1"/>
      <c r="C107" s="11"/>
      <c r="D107" s="1"/>
      <c r="E107" s="1"/>
      <c r="F107" s="12"/>
      <c r="G107" s="12"/>
      <c r="H107" s="113"/>
    </row>
    <row r="108" spans="1:8" ht="14.1" customHeight="1" x14ac:dyDescent="0.2">
      <c r="A108" s="1"/>
      <c r="B108" s="1"/>
      <c r="C108" s="2" t="s">
        <v>161</v>
      </c>
      <c r="D108" s="1"/>
      <c r="E108" s="1"/>
      <c r="F108" s="1"/>
      <c r="G108" s="1"/>
      <c r="H108" s="113"/>
    </row>
    <row r="109" spans="1:8" ht="14.1" customHeight="1" x14ac:dyDescent="0.2">
      <c r="A109" s="1"/>
      <c r="B109" s="1"/>
      <c r="C109" s="2" t="s">
        <v>151</v>
      </c>
      <c r="D109" s="1"/>
      <c r="E109" s="1" t="s">
        <v>152</v>
      </c>
      <c r="F109" s="13" t="s">
        <v>154</v>
      </c>
      <c r="G109" s="10">
        <v>0</v>
      </c>
      <c r="H109" s="113"/>
    </row>
    <row r="110" spans="1:8" ht="14.1" customHeight="1" x14ac:dyDescent="0.2">
      <c r="A110" s="1"/>
      <c r="B110" s="1"/>
      <c r="C110" s="11"/>
      <c r="D110" s="1"/>
      <c r="E110" s="1"/>
      <c r="F110" s="12"/>
      <c r="G110" s="12"/>
      <c r="H110" s="113"/>
    </row>
    <row r="111" spans="1:8" ht="14.1" customHeight="1" x14ac:dyDescent="0.2">
      <c r="A111" s="1"/>
      <c r="B111" s="1"/>
      <c r="C111" s="2" t="s">
        <v>162</v>
      </c>
      <c r="D111" s="1"/>
      <c r="E111" s="1"/>
      <c r="F111" s="1"/>
      <c r="G111" s="1"/>
      <c r="H111" s="113"/>
    </row>
    <row r="112" spans="1:8" ht="14.1" customHeight="1" x14ac:dyDescent="0.2">
      <c r="A112" s="1"/>
      <c r="B112" s="1"/>
      <c r="C112" s="2" t="s">
        <v>151</v>
      </c>
      <c r="D112" s="1"/>
      <c r="E112" s="1" t="s">
        <v>152</v>
      </c>
      <c r="F112" s="13" t="s">
        <v>154</v>
      </c>
      <c r="G112" s="10">
        <v>0</v>
      </c>
      <c r="H112" s="113"/>
    </row>
    <row r="113" spans="1:8" ht="14.1" customHeight="1" x14ac:dyDescent="0.2">
      <c r="A113" s="1"/>
      <c r="B113" s="1"/>
      <c r="C113" s="11"/>
      <c r="D113" s="1"/>
      <c r="E113" s="1"/>
      <c r="F113" s="12"/>
      <c r="G113" s="12"/>
      <c r="H113" s="113"/>
    </row>
    <row r="114" spans="1:8" ht="14.1" customHeight="1" x14ac:dyDescent="0.2">
      <c r="A114" s="1"/>
      <c r="B114" s="1"/>
      <c r="C114" s="2" t="s">
        <v>163</v>
      </c>
      <c r="D114" s="1"/>
      <c r="E114" s="1"/>
      <c r="F114" s="12"/>
      <c r="G114" s="12"/>
      <c r="H114" s="113"/>
    </row>
    <row r="115" spans="1:8" ht="14.1" customHeight="1" x14ac:dyDescent="0.2">
      <c r="A115" s="1"/>
      <c r="B115" s="1"/>
      <c r="C115" s="2" t="s">
        <v>151</v>
      </c>
      <c r="D115" s="1"/>
      <c r="E115" s="1" t="s">
        <v>152</v>
      </c>
      <c r="F115" s="13" t="s">
        <v>154</v>
      </c>
      <c r="G115" s="10">
        <v>0</v>
      </c>
      <c r="H115" s="113"/>
    </row>
    <row r="116" spans="1:8" ht="14.1" customHeight="1" x14ac:dyDescent="0.2">
      <c r="A116" s="1"/>
      <c r="B116" s="1"/>
      <c r="C116" s="11"/>
      <c r="D116" s="1"/>
      <c r="E116" s="1"/>
      <c r="F116" s="12"/>
      <c r="G116" s="12"/>
      <c r="H116" s="113"/>
    </row>
    <row r="117" spans="1:8" ht="14.1" customHeight="1" x14ac:dyDescent="0.2">
      <c r="A117" s="1"/>
      <c r="B117" s="1"/>
      <c r="C117" s="2" t="s">
        <v>164</v>
      </c>
      <c r="D117" s="1"/>
      <c r="E117" s="1"/>
      <c r="F117" s="9">
        <v>0</v>
      </c>
      <c r="G117" s="10">
        <v>0</v>
      </c>
      <c r="H117" s="113"/>
    </row>
    <row r="118" spans="1:8" ht="14.1" customHeight="1" x14ac:dyDescent="0.2">
      <c r="A118" s="1"/>
      <c r="B118" s="1"/>
      <c r="C118" s="11"/>
      <c r="D118" s="1"/>
      <c r="E118" s="1"/>
      <c r="F118" s="12"/>
      <c r="G118" s="12"/>
      <c r="H118" s="113"/>
    </row>
    <row r="119" spans="1:8" ht="14.1" customHeight="1" x14ac:dyDescent="0.2">
      <c r="A119" s="1"/>
      <c r="B119" s="1"/>
      <c r="C119" s="2" t="s">
        <v>165</v>
      </c>
      <c r="D119" s="1"/>
      <c r="E119" s="1"/>
      <c r="F119" s="12"/>
      <c r="G119" s="12"/>
      <c r="H119" s="113"/>
    </row>
    <row r="120" spans="1:8" ht="14.1" customHeight="1" x14ac:dyDescent="0.2">
      <c r="A120" s="1"/>
      <c r="B120" s="1"/>
      <c r="C120" s="2" t="s">
        <v>166</v>
      </c>
      <c r="D120" s="1"/>
      <c r="E120" s="1"/>
      <c r="F120" s="12"/>
      <c r="G120" s="12"/>
      <c r="H120" s="113"/>
    </row>
    <row r="121" spans="1:8" ht="14.1" customHeight="1" x14ac:dyDescent="0.2">
      <c r="A121" s="1"/>
      <c r="B121" s="1"/>
      <c r="C121" s="2" t="s">
        <v>151</v>
      </c>
      <c r="D121" s="1"/>
      <c r="E121" s="1" t="s">
        <v>152</v>
      </c>
      <c r="F121" s="13" t="s">
        <v>154</v>
      </c>
      <c r="G121" s="10">
        <v>0</v>
      </c>
      <c r="H121" s="113"/>
    </row>
    <row r="122" spans="1:8" ht="14.1" customHeight="1" x14ac:dyDescent="0.2">
      <c r="A122" s="1"/>
      <c r="B122" s="1"/>
      <c r="C122" s="11"/>
      <c r="D122" s="1"/>
      <c r="E122" s="1"/>
      <c r="F122" s="12"/>
      <c r="G122" s="12"/>
      <c r="H122" s="113"/>
    </row>
    <row r="123" spans="1:8" ht="14.1" customHeight="1" x14ac:dyDescent="0.2">
      <c r="A123" s="1"/>
      <c r="B123" s="1"/>
      <c r="C123" s="2" t="s">
        <v>167</v>
      </c>
      <c r="D123" s="1"/>
      <c r="E123" s="1"/>
      <c r="F123" s="12"/>
      <c r="G123" s="12"/>
      <c r="H123" s="113"/>
    </row>
    <row r="124" spans="1:8" ht="14.1" customHeight="1" x14ac:dyDescent="0.2">
      <c r="A124" s="1"/>
      <c r="B124" s="1"/>
      <c r="C124" s="2" t="s">
        <v>151</v>
      </c>
      <c r="D124" s="1"/>
      <c r="E124" s="1" t="s">
        <v>152</v>
      </c>
      <c r="F124" s="13" t="s">
        <v>154</v>
      </c>
      <c r="G124" s="10">
        <v>0</v>
      </c>
      <c r="H124" s="113"/>
    </row>
    <row r="125" spans="1:8" ht="14.1" customHeight="1" x14ac:dyDescent="0.2">
      <c r="A125" s="1"/>
      <c r="B125" s="1"/>
      <c r="C125" s="11"/>
      <c r="D125" s="1"/>
      <c r="E125" s="1"/>
      <c r="F125" s="12"/>
      <c r="G125" s="12"/>
      <c r="H125" s="113"/>
    </row>
    <row r="126" spans="1:8" ht="14.1" customHeight="1" x14ac:dyDescent="0.2">
      <c r="A126" s="1"/>
      <c r="B126" s="1"/>
      <c r="C126" s="2" t="s">
        <v>168</v>
      </c>
      <c r="D126" s="1"/>
      <c r="E126" s="1"/>
      <c r="F126" s="12"/>
      <c r="G126" s="12"/>
      <c r="H126" s="113"/>
    </row>
    <row r="127" spans="1:8" ht="14.1" customHeight="1" x14ac:dyDescent="0.2">
      <c r="A127" s="1"/>
      <c r="B127" s="1"/>
      <c r="C127" s="2" t="s">
        <v>151</v>
      </c>
      <c r="D127" s="1"/>
      <c r="E127" s="1" t="s">
        <v>152</v>
      </c>
      <c r="F127" s="13" t="s">
        <v>154</v>
      </c>
      <c r="G127" s="10">
        <v>0</v>
      </c>
      <c r="H127" s="113"/>
    </row>
    <row r="128" spans="1:8" ht="14.1" customHeight="1" x14ac:dyDescent="0.2">
      <c r="A128" s="1"/>
      <c r="B128" s="1"/>
      <c r="C128" s="11"/>
      <c r="D128" s="1"/>
      <c r="E128" s="1"/>
      <c r="F128" s="12"/>
      <c r="G128" s="12"/>
      <c r="H128" s="113"/>
    </row>
    <row r="129" spans="1:14" ht="14.1" customHeight="1" x14ac:dyDescent="0.2">
      <c r="A129" s="1"/>
      <c r="B129" s="1"/>
      <c r="C129" s="2" t="s">
        <v>169</v>
      </c>
      <c r="D129" s="1"/>
      <c r="E129" s="1"/>
      <c r="F129" s="12"/>
      <c r="G129" s="12"/>
      <c r="H129" s="113"/>
    </row>
    <row r="130" spans="1:14" ht="17.100000000000001" customHeight="1" x14ac:dyDescent="0.2">
      <c r="A130" s="3">
        <v>1</v>
      </c>
      <c r="B130" s="4"/>
      <c r="C130" s="4" t="s">
        <v>170</v>
      </c>
      <c r="D130" s="4"/>
      <c r="E130" s="8"/>
      <c r="F130" s="6">
        <v>16133.584885963999</v>
      </c>
      <c r="G130" s="7">
        <v>2.6559490000000002E-2</v>
      </c>
      <c r="H130" s="113">
        <v>6.7600000000000016</v>
      </c>
    </row>
    <row r="131" spans="1:14" ht="14.1" customHeight="1" x14ac:dyDescent="0.2">
      <c r="A131" s="1"/>
      <c r="B131" s="1"/>
      <c r="C131" s="2" t="s">
        <v>151</v>
      </c>
      <c r="D131" s="1"/>
      <c r="E131" s="1" t="s">
        <v>152</v>
      </c>
      <c r="F131" s="9">
        <v>16133.584885963999</v>
      </c>
      <c r="G131" s="10">
        <v>2.6559490000000002E-2</v>
      </c>
      <c r="H131" s="113"/>
    </row>
    <row r="132" spans="1:14" ht="14.1" customHeight="1" x14ac:dyDescent="0.2">
      <c r="A132" s="1"/>
      <c r="B132" s="1"/>
      <c r="C132" s="11"/>
      <c r="D132" s="1"/>
      <c r="E132" s="1"/>
      <c r="F132" s="12"/>
      <c r="G132" s="12"/>
      <c r="H132" s="113"/>
    </row>
    <row r="133" spans="1:14" ht="14.1" customHeight="1" x14ac:dyDescent="0.2">
      <c r="A133" s="1"/>
      <c r="B133" s="1"/>
      <c r="C133" s="2" t="s">
        <v>171</v>
      </c>
      <c r="D133" s="1"/>
      <c r="E133" s="1"/>
      <c r="F133" s="9">
        <v>16133.584885963999</v>
      </c>
      <c r="G133" s="10">
        <v>2.6559490000000002E-2</v>
      </c>
      <c r="H133" s="113"/>
    </row>
    <row r="134" spans="1:14" ht="14.1" customHeight="1" x14ac:dyDescent="0.2">
      <c r="A134" s="1"/>
      <c r="B134" s="1"/>
      <c r="C134" s="12"/>
      <c r="D134" s="1"/>
      <c r="E134" s="1"/>
      <c r="F134" s="1"/>
      <c r="G134" s="1"/>
      <c r="H134" s="113"/>
    </row>
    <row r="135" spans="1:14" ht="14.1" customHeight="1" x14ac:dyDescent="0.2">
      <c r="A135" s="1"/>
      <c r="B135" s="1"/>
      <c r="C135" s="2" t="s">
        <v>172</v>
      </c>
      <c r="D135" s="1"/>
      <c r="E135" s="1"/>
      <c r="F135" s="1"/>
      <c r="G135" s="1"/>
      <c r="H135" s="113"/>
    </row>
    <row r="136" spans="1:14" ht="14.1" customHeight="1" x14ac:dyDescent="0.2">
      <c r="A136" s="1"/>
      <c r="B136" s="1"/>
      <c r="C136" s="2" t="s">
        <v>173</v>
      </c>
      <c r="D136" s="1"/>
      <c r="E136" s="1"/>
      <c r="F136" s="1"/>
      <c r="G136" s="1"/>
      <c r="H136" s="113"/>
    </row>
    <row r="137" spans="1:14" ht="14.1" customHeight="1" x14ac:dyDescent="0.2">
      <c r="A137" s="1"/>
      <c r="B137" s="1"/>
      <c r="C137" s="2" t="s">
        <v>151</v>
      </c>
      <c r="D137" s="1"/>
      <c r="E137" s="1" t="s">
        <v>152</v>
      </c>
      <c r="F137" s="13" t="s">
        <v>154</v>
      </c>
      <c r="G137" s="10">
        <v>0</v>
      </c>
      <c r="H137" s="113"/>
      <c r="J137" s="198"/>
      <c r="K137" s="198"/>
      <c r="L137" s="198"/>
      <c r="M137" s="198"/>
      <c r="N137" s="198"/>
    </row>
    <row r="138" spans="1:14" ht="14.1" customHeight="1" x14ac:dyDescent="0.2">
      <c r="A138" s="1"/>
      <c r="B138" s="1"/>
      <c r="C138" s="11"/>
      <c r="D138" s="1"/>
      <c r="E138" s="1"/>
      <c r="F138" s="12"/>
      <c r="G138" s="12"/>
      <c r="H138" s="113"/>
    </row>
    <row r="139" spans="1:14" ht="14.1" customHeight="1" x14ac:dyDescent="0.2">
      <c r="A139" s="1"/>
      <c r="B139" s="1"/>
      <c r="C139" s="2" t="s">
        <v>174</v>
      </c>
      <c r="D139" s="1"/>
      <c r="E139" s="1"/>
      <c r="F139" s="1"/>
      <c r="G139" s="1"/>
      <c r="H139" s="113"/>
    </row>
    <row r="140" spans="1:14" ht="14.1" customHeight="1" x14ac:dyDescent="0.2">
      <c r="A140" s="1"/>
      <c r="B140" s="1"/>
      <c r="C140" s="2" t="s">
        <v>175</v>
      </c>
      <c r="D140" s="1"/>
      <c r="E140" s="1"/>
      <c r="F140" s="1"/>
      <c r="G140" s="1"/>
      <c r="H140" s="113"/>
    </row>
    <row r="141" spans="1:14" ht="14.1" customHeight="1" x14ac:dyDescent="0.2">
      <c r="A141" s="1"/>
      <c r="B141" s="1"/>
      <c r="C141" s="2" t="s">
        <v>151</v>
      </c>
      <c r="D141" s="1"/>
      <c r="E141" s="1" t="s">
        <v>152</v>
      </c>
      <c r="F141" s="13" t="s">
        <v>154</v>
      </c>
      <c r="G141" s="10">
        <v>0</v>
      </c>
      <c r="H141" s="113"/>
    </row>
    <row r="142" spans="1:14" ht="14.1" customHeight="1" x14ac:dyDescent="0.2">
      <c r="A142" s="1"/>
      <c r="B142" s="1"/>
      <c r="C142" s="11"/>
      <c r="D142" s="1"/>
      <c r="E142" s="1"/>
      <c r="F142" s="12"/>
      <c r="G142" s="12"/>
      <c r="H142" s="113"/>
    </row>
    <row r="143" spans="1:14" ht="24" customHeight="1" x14ac:dyDescent="0.2">
      <c r="A143" s="1"/>
      <c r="B143" s="1"/>
      <c r="C143" s="2" t="s">
        <v>176</v>
      </c>
      <c r="D143" s="1"/>
      <c r="E143" s="1"/>
      <c r="F143" s="12"/>
      <c r="G143" s="12"/>
      <c r="H143" s="113"/>
    </row>
    <row r="144" spans="1:14" ht="14.1" customHeight="1" x14ac:dyDescent="0.2">
      <c r="A144" s="1"/>
      <c r="B144" s="1"/>
      <c r="C144" s="2" t="s">
        <v>151</v>
      </c>
      <c r="D144" s="1"/>
      <c r="E144" s="1" t="s">
        <v>152</v>
      </c>
      <c r="F144" s="13" t="s">
        <v>154</v>
      </c>
      <c r="G144" s="10">
        <v>0</v>
      </c>
      <c r="H144" s="113"/>
    </row>
    <row r="145" spans="1:8" ht="14.1" customHeight="1" x14ac:dyDescent="0.2">
      <c r="A145" s="1"/>
      <c r="B145" s="1"/>
      <c r="C145" s="11"/>
      <c r="D145" s="1"/>
      <c r="E145" s="1"/>
      <c r="F145" s="12"/>
      <c r="G145" s="12"/>
      <c r="H145" s="113"/>
    </row>
    <row r="146" spans="1:8" ht="14.1" customHeight="1" x14ac:dyDescent="0.2">
      <c r="A146" s="1"/>
      <c r="B146" s="4"/>
      <c r="C146" s="4"/>
      <c r="D146" s="2"/>
      <c r="E146" s="1"/>
      <c r="F146" s="4"/>
      <c r="G146" s="8"/>
      <c r="H146" s="113"/>
    </row>
    <row r="147" spans="1:8" ht="18" customHeight="1" x14ac:dyDescent="0.2">
      <c r="A147" s="8"/>
      <c r="B147" s="4"/>
      <c r="C147" s="4" t="s">
        <v>177</v>
      </c>
      <c r="D147" s="4"/>
      <c r="E147" s="8"/>
      <c r="F147" s="6">
        <v>1648.7016450199999</v>
      </c>
      <c r="G147" s="7">
        <v>2.7141299999999999E-3</v>
      </c>
      <c r="H147" s="113"/>
    </row>
    <row r="148" spans="1:8" ht="14.1" customHeight="1" x14ac:dyDescent="0.2">
      <c r="A148" s="11"/>
      <c r="B148" s="11"/>
      <c r="C148" s="2" t="s">
        <v>178</v>
      </c>
      <c r="D148" s="12"/>
      <c r="E148" s="12"/>
      <c r="F148" s="9">
        <v>607450.75934098405</v>
      </c>
      <c r="G148" s="14">
        <v>1.00000004</v>
      </c>
      <c r="H148" s="113"/>
    </row>
    <row r="149" spans="1:8" ht="14.1" customHeight="1" x14ac:dyDescent="0.2">
      <c r="A149" s="15"/>
      <c r="B149" s="15"/>
      <c r="C149" s="33"/>
      <c r="D149" s="16"/>
      <c r="E149" s="16"/>
      <c r="F149" s="60"/>
      <c r="G149" s="61"/>
    </row>
    <row r="151" spans="1:8" ht="14.1" customHeight="1" x14ac:dyDescent="0.2">
      <c r="A151" s="17"/>
      <c r="B151" s="208" t="s">
        <v>180</v>
      </c>
      <c r="C151" s="209"/>
      <c r="D151" s="210"/>
      <c r="E151" s="20"/>
      <c r="F151" s="19"/>
      <c r="G151" s="19"/>
    </row>
    <row r="152" spans="1:8" ht="29.1" customHeight="1" x14ac:dyDescent="0.2">
      <c r="A152" s="17"/>
      <c r="B152" s="205" t="s">
        <v>181</v>
      </c>
      <c r="C152" s="206"/>
      <c r="D152" s="2" t="s">
        <v>182</v>
      </c>
      <c r="E152" s="20"/>
      <c r="F152" s="19"/>
      <c r="G152" s="19"/>
    </row>
    <row r="153" spans="1:8" ht="17.100000000000001" customHeight="1" x14ac:dyDescent="0.2">
      <c r="A153" s="17"/>
      <c r="B153" s="205" t="s">
        <v>183</v>
      </c>
      <c r="C153" s="206"/>
      <c r="D153" s="2" t="s">
        <v>182</v>
      </c>
      <c r="E153" s="20"/>
      <c r="F153" s="19"/>
      <c r="G153" s="19"/>
    </row>
    <row r="154" spans="1:8" ht="17.100000000000001" customHeight="1" x14ac:dyDescent="0.2">
      <c r="A154" s="17"/>
      <c r="B154" s="205" t="s">
        <v>184</v>
      </c>
      <c r="C154" s="206"/>
      <c r="D154" s="12" t="s">
        <v>152</v>
      </c>
      <c r="E154" s="20"/>
      <c r="F154" s="19"/>
      <c r="G154" s="19"/>
    </row>
    <row r="155" spans="1:8" ht="25.5" x14ac:dyDescent="0.2">
      <c r="A155" s="21"/>
      <c r="B155" s="22" t="s">
        <v>152</v>
      </c>
      <c r="C155" s="22" t="s">
        <v>185</v>
      </c>
      <c r="D155" s="22" t="s">
        <v>186</v>
      </c>
      <c r="E155" s="21"/>
      <c r="F155" s="21"/>
      <c r="G155" s="21"/>
    </row>
    <row r="156" spans="1:8" ht="18" customHeight="1" x14ac:dyDescent="0.2">
      <c r="A156" s="21"/>
      <c r="B156" s="23" t="s">
        <v>187</v>
      </c>
      <c r="C156" s="22" t="s">
        <v>188</v>
      </c>
      <c r="D156" s="22" t="s">
        <v>189</v>
      </c>
      <c r="E156" s="21"/>
      <c r="F156" s="21"/>
      <c r="G156" s="21"/>
    </row>
    <row r="157" spans="1:8" ht="17.100000000000001" customHeight="1" x14ac:dyDescent="0.2">
      <c r="A157" s="21"/>
      <c r="B157" s="4" t="s">
        <v>190</v>
      </c>
      <c r="C157" s="24">
        <v>72.928399999999996</v>
      </c>
      <c r="D157" s="24">
        <v>77.867800000000003</v>
      </c>
      <c r="E157" s="21"/>
      <c r="F157" s="18"/>
      <c r="G157" s="25"/>
    </row>
    <row r="158" spans="1:8" ht="17.100000000000001" customHeight="1" x14ac:dyDescent="0.2">
      <c r="A158" s="21"/>
      <c r="B158" s="4" t="s">
        <v>1033</v>
      </c>
      <c r="C158" s="24">
        <v>29.125</v>
      </c>
      <c r="D158" s="24">
        <v>31.0977</v>
      </c>
      <c r="E158" s="21"/>
      <c r="F158" s="18"/>
      <c r="G158" s="25"/>
    </row>
    <row r="159" spans="1:8" ht="17.100000000000001" customHeight="1" x14ac:dyDescent="0.2">
      <c r="A159" s="21"/>
      <c r="B159" s="4" t="s">
        <v>191</v>
      </c>
      <c r="C159" s="24">
        <v>65.971999999999994</v>
      </c>
      <c r="D159" s="24">
        <v>70.374799999999993</v>
      </c>
      <c r="E159" s="21"/>
      <c r="F159" s="18"/>
      <c r="G159" s="25"/>
    </row>
    <row r="160" spans="1:8" ht="17.100000000000001" customHeight="1" x14ac:dyDescent="0.2">
      <c r="A160" s="21"/>
      <c r="B160" s="4" t="s">
        <v>1034</v>
      </c>
      <c r="C160" s="24">
        <v>25.7911</v>
      </c>
      <c r="D160" s="24">
        <v>27.5123</v>
      </c>
      <c r="E160" s="21"/>
      <c r="F160" s="18"/>
      <c r="G160" s="25"/>
    </row>
    <row r="161" spans="1:7" ht="14.1" customHeight="1" x14ac:dyDescent="0.2">
      <c r="A161" s="21"/>
      <c r="B161" s="21"/>
      <c r="C161" s="21"/>
      <c r="D161" s="21"/>
      <c r="E161" s="21"/>
      <c r="F161" s="21"/>
      <c r="G161" s="21"/>
    </row>
    <row r="162" spans="1:7" ht="17.100000000000001" customHeight="1" x14ac:dyDescent="0.2">
      <c r="A162" s="21"/>
      <c r="B162" s="205" t="s">
        <v>1035</v>
      </c>
      <c r="C162" s="206"/>
      <c r="D162" s="2" t="s">
        <v>182</v>
      </c>
      <c r="E162" s="21"/>
      <c r="F162" s="21"/>
      <c r="G162" s="21"/>
    </row>
    <row r="163" spans="1:7" ht="18" customHeight="1" x14ac:dyDescent="0.2">
      <c r="A163" s="21"/>
      <c r="B163" s="26"/>
      <c r="C163" s="26"/>
      <c r="D163" s="26"/>
      <c r="E163" s="21"/>
      <c r="F163" s="21"/>
      <c r="G163" s="21"/>
    </row>
    <row r="164" spans="1:7" ht="29.1" customHeight="1" x14ac:dyDescent="0.2">
      <c r="A164" s="21"/>
      <c r="B164" s="205" t="s">
        <v>192</v>
      </c>
      <c r="C164" s="206"/>
      <c r="D164" s="2" t="s">
        <v>182</v>
      </c>
      <c r="E164" s="27"/>
      <c r="F164" s="21"/>
      <c r="G164" s="21"/>
    </row>
    <row r="165" spans="1:7" ht="29.1" customHeight="1" x14ac:dyDescent="0.2">
      <c r="A165" s="21"/>
      <c r="B165" s="205" t="s">
        <v>193</v>
      </c>
      <c r="C165" s="206"/>
      <c r="D165" s="2" t="s">
        <v>182</v>
      </c>
      <c r="E165" s="27"/>
      <c r="F165" s="21"/>
      <c r="G165" s="21"/>
    </row>
    <row r="166" spans="1:7" ht="17.100000000000001" customHeight="1" x14ac:dyDescent="0.2">
      <c r="A166" s="21"/>
      <c r="B166" s="205" t="s">
        <v>194</v>
      </c>
      <c r="C166" s="206"/>
      <c r="D166" s="2" t="s">
        <v>182</v>
      </c>
      <c r="E166" s="27"/>
      <c r="F166" s="21"/>
      <c r="G166" s="21"/>
    </row>
    <row r="167" spans="1:7" ht="17.100000000000001" customHeight="1" x14ac:dyDescent="0.2">
      <c r="A167" s="21"/>
      <c r="B167" s="205" t="s">
        <v>195</v>
      </c>
      <c r="C167" s="206"/>
      <c r="D167" s="28">
        <v>0.3361750860938349</v>
      </c>
      <c r="E167" s="21"/>
      <c r="F167" s="18"/>
      <c r="G167" s="25"/>
    </row>
  </sheetData>
  <mergeCells count="13">
    <mergeCell ref="B167:C167"/>
    <mergeCell ref="B153:C153"/>
    <mergeCell ref="B154:C154"/>
    <mergeCell ref="B162:C162"/>
    <mergeCell ref="B164:C164"/>
    <mergeCell ref="B165:C165"/>
    <mergeCell ref="B166:C166"/>
    <mergeCell ref="J2:N2"/>
    <mergeCell ref="B152:C152"/>
    <mergeCell ref="B151:D151"/>
    <mergeCell ref="A1:H1"/>
    <mergeCell ref="A2:H2"/>
    <mergeCell ref="A3:H3"/>
  </mergeCells>
  <hyperlinks>
    <hyperlink ref="I1" location="Index!B5" display="Index" xr:uid="{68380EAE-E793-4BF3-AF94-BA63CD2DA5CB}"/>
  </hyperlink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398</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49</v>
      </c>
      <c r="C7" s="4" t="s">
        <v>50</v>
      </c>
      <c r="D7" s="4" t="s">
        <v>34</v>
      </c>
      <c r="E7" s="5">
        <v>5638</v>
      </c>
      <c r="F7" s="6">
        <v>183.203991</v>
      </c>
      <c r="G7" s="7">
        <v>4.9605900000000001E-2</v>
      </c>
      <c r="H7" s="113"/>
    </row>
    <row r="8" spans="1:15" ht="17.100000000000001" customHeight="1" x14ac:dyDescent="0.2">
      <c r="A8" s="3">
        <v>2</v>
      </c>
      <c r="B8" s="4" t="s">
        <v>35</v>
      </c>
      <c r="C8" s="4" t="s">
        <v>36</v>
      </c>
      <c r="D8" s="4" t="s">
        <v>34</v>
      </c>
      <c r="E8" s="5">
        <v>5142</v>
      </c>
      <c r="F8" s="6">
        <v>178.26028500000001</v>
      </c>
      <c r="G8" s="7">
        <v>4.8267299999999999E-2</v>
      </c>
      <c r="H8" s="113"/>
    </row>
    <row r="9" spans="1:15" ht="17.100000000000001" customHeight="1" x14ac:dyDescent="0.2">
      <c r="A9" s="3">
        <v>3</v>
      </c>
      <c r="B9" s="4" t="s">
        <v>399</v>
      </c>
      <c r="C9" s="4" t="s">
        <v>400</v>
      </c>
      <c r="D9" s="4" t="s">
        <v>28</v>
      </c>
      <c r="E9" s="5">
        <v>152433</v>
      </c>
      <c r="F9" s="6">
        <v>160.81681499999999</v>
      </c>
      <c r="G9" s="7">
        <v>4.3544149999999997E-2</v>
      </c>
      <c r="H9" s="113"/>
    </row>
    <row r="10" spans="1:15" ht="17.100000000000001" customHeight="1" x14ac:dyDescent="0.2">
      <c r="A10" s="3">
        <v>4</v>
      </c>
      <c r="B10" s="4" t="s">
        <v>129</v>
      </c>
      <c r="C10" s="4" t="s">
        <v>130</v>
      </c>
      <c r="D10" s="4" t="s">
        <v>56</v>
      </c>
      <c r="E10" s="5">
        <v>37034</v>
      </c>
      <c r="F10" s="6">
        <v>158.579588</v>
      </c>
      <c r="G10" s="7">
        <v>4.2938379999999998E-2</v>
      </c>
      <c r="H10" s="113"/>
    </row>
    <row r="11" spans="1:15" ht="17.100000000000001" customHeight="1" x14ac:dyDescent="0.2">
      <c r="A11" s="3">
        <v>5</v>
      </c>
      <c r="B11" s="4" t="s">
        <v>342</v>
      </c>
      <c r="C11" s="4" t="s">
        <v>343</v>
      </c>
      <c r="D11" s="4" t="s">
        <v>267</v>
      </c>
      <c r="E11" s="5">
        <v>4536</v>
      </c>
      <c r="F11" s="6">
        <v>145.145196</v>
      </c>
      <c r="G11" s="7">
        <v>3.9300769999999999E-2</v>
      </c>
      <c r="H11" s="113"/>
    </row>
    <row r="12" spans="1:15" ht="17.100000000000001" customHeight="1" x14ac:dyDescent="0.2">
      <c r="A12" s="3">
        <v>6</v>
      </c>
      <c r="B12" s="4" t="s">
        <v>401</v>
      </c>
      <c r="C12" s="4" t="s">
        <v>402</v>
      </c>
      <c r="D12" s="4" t="s">
        <v>56</v>
      </c>
      <c r="E12" s="5">
        <v>7210</v>
      </c>
      <c r="F12" s="6">
        <v>140.69233500000001</v>
      </c>
      <c r="G12" s="7">
        <v>3.8095080000000003E-2</v>
      </c>
      <c r="H12" s="113"/>
    </row>
    <row r="13" spans="1:15" ht="17.100000000000001" customHeight="1" x14ac:dyDescent="0.2">
      <c r="A13" s="3">
        <v>7</v>
      </c>
      <c r="B13" s="4" t="s">
        <v>403</v>
      </c>
      <c r="C13" s="4" t="s">
        <v>404</v>
      </c>
      <c r="D13" s="4" t="s">
        <v>267</v>
      </c>
      <c r="E13" s="5">
        <v>3672</v>
      </c>
      <c r="F13" s="6">
        <v>128.07201599999999</v>
      </c>
      <c r="G13" s="7">
        <v>3.4677890000000003E-2</v>
      </c>
      <c r="H13" s="113"/>
      <c r="J13" s="194" t="s">
        <v>1150</v>
      </c>
    </row>
    <row r="14" spans="1:15" ht="17.100000000000001" customHeight="1" x14ac:dyDescent="0.2">
      <c r="A14" s="3">
        <v>8</v>
      </c>
      <c r="B14" s="4" t="s">
        <v>405</v>
      </c>
      <c r="C14" s="4" t="s">
        <v>406</v>
      </c>
      <c r="D14" s="4" t="s">
        <v>34</v>
      </c>
      <c r="E14" s="5">
        <v>8019</v>
      </c>
      <c r="F14" s="6">
        <v>121.30341300000001</v>
      </c>
      <c r="G14" s="7">
        <v>3.2845159999999998E-2</v>
      </c>
      <c r="H14" s="113"/>
    </row>
    <row r="15" spans="1:15" ht="17.100000000000001" customHeight="1" x14ac:dyDescent="0.2">
      <c r="A15" s="3">
        <v>9</v>
      </c>
      <c r="B15" s="4" t="s">
        <v>407</v>
      </c>
      <c r="C15" s="4" t="s">
        <v>408</v>
      </c>
      <c r="D15" s="4" t="s">
        <v>257</v>
      </c>
      <c r="E15" s="5">
        <v>6041</v>
      </c>
      <c r="F15" s="6">
        <v>100.22321049999999</v>
      </c>
      <c r="G15" s="7">
        <v>2.71373E-2</v>
      </c>
      <c r="H15" s="113"/>
    </row>
    <row r="16" spans="1:15" ht="17.100000000000001" customHeight="1" x14ac:dyDescent="0.2">
      <c r="A16" s="3">
        <v>10</v>
      </c>
      <c r="B16" s="4" t="s">
        <v>409</v>
      </c>
      <c r="C16" s="4" t="s">
        <v>410</v>
      </c>
      <c r="D16" s="4" t="s">
        <v>13</v>
      </c>
      <c r="E16" s="5">
        <v>70325</v>
      </c>
      <c r="F16" s="6">
        <v>97.927562499999993</v>
      </c>
      <c r="G16" s="7">
        <v>2.651572E-2</v>
      </c>
      <c r="H16" s="113"/>
    </row>
    <row r="17" spans="1:8" ht="17.100000000000001" customHeight="1" x14ac:dyDescent="0.2">
      <c r="A17" s="3">
        <v>11</v>
      </c>
      <c r="B17" s="4" t="s">
        <v>411</v>
      </c>
      <c r="C17" s="4" t="s">
        <v>412</v>
      </c>
      <c r="D17" s="4" t="s">
        <v>210</v>
      </c>
      <c r="E17" s="5">
        <v>24416</v>
      </c>
      <c r="F17" s="6">
        <v>89.240480000000005</v>
      </c>
      <c r="G17" s="7">
        <v>2.4163529999999999E-2</v>
      </c>
      <c r="H17" s="113"/>
    </row>
    <row r="18" spans="1:8" ht="17.100000000000001" customHeight="1" x14ac:dyDescent="0.2">
      <c r="A18" s="3">
        <v>12</v>
      </c>
      <c r="B18" s="4" t="s">
        <v>230</v>
      </c>
      <c r="C18" s="4" t="s">
        <v>231</v>
      </c>
      <c r="D18" s="4" t="s">
        <v>107</v>
      </c>
      <c r="E18" s="5">
        <v>1151</v>
      </c>
      <c r="F18" s="6">
        <v>88.861228499999996</v>
      </c>
      <c r="G18" s="7">
        <v>2.406084E-2</v>
      </c>
      <c r="H18" s="113"/>
    </row>
    <row r="19" spans="1:8" ht="17.100000000000001" customHeight="1" x14ac:dyDescent="0.2">
      <c r="A19" s="3">
        <v>13</v>
      </c>
      <c r="B19" s="4" t="s">
        <v>413</v>
      </c>
      <c r="C19" s="4" t="s">
        <v>414</v>
      </c>
      <c r="D19" s="4" t="s">
        <v>262</v>
      </c>
      <c r="E19" s="5">
        <v>28888</v>
      </c>
      <c r="F19" s="6">
        <v>87.617304000000004</v>
      </c>
      <c r="G19" s="7">
        <v>2.3724019999999998E-2</v>
      </c>
      <c r="H19" s="113"/>
    </row>
    <row r="20" spans="1:8" ht="29.1" customHeight="1" x14ac:dyDescent="0.2">
      <c r="A20" s="3">
        <v>14</v>
      </c>
      <c r="B20" s="4" t="s">
        <v>415</v>
      </c>
      <c r="C20" s="4" t="s">
        <v>416</v>
      </c>
      <c r="D20" s="4" t="s">
        <v>225</v>
      </c>
      <c r="E20" s="5">
        <v>5362</v>
      </c>
      <c r="F20" s="6">
        <v>87.113732999999996</v>
      </c>
      <c r="G20" s="7">
        <v>2.3587670000000002E-2</v>
      </c>
      <c r="H20" s="113"/>
    </row>
    <row r="21" spans="1:8" ht="17.100000000000001" customHeight="1" x14ac:dyDescent="0.2">
      <c r="A21" s="3">
        <v>15</v>
      </c>
      <c r="B21" s="4" t="s">
        <v>417</v>
      </c>
      <c r="C21" s="4" t="s">
        <v>418</v>
      </c>
      <c r="D21" s="4" t="s">
        <v>53</v>
      </c>
      <c r="E21" s="5">
        <v>11094</v>
      </c>
      <c r="F21" s="6">
        <v>86.272491000000002</v>
      </c>
      <c r="G21" s="7">
        <v>2.3359890000000001E-2</v>
      </c>
      <c r="H21" s="113"/>
    </row>
    <row r="22" spans="1:8" ht="17.100000000000001" customHeight="1" x14ac:dyDescent="0.2">
      <c r="A22" s="3">
        <v>16</v>
      </c>
      <c r="B22" s="4" t="s">
        <v>71</v>
      </c>
      <c r="C22" s="4" t="s">
        <v>72</v>
      </c>
      <c r="D22" s="4" t="s">
        <v>73</v>
      </c>
      <c r="E22" s="5">
        <v>8927</v>
      </c>
      <c r="F22" s="6">
        <v>80.052872500000007</v>
      </c>
      <c r="G22" s="7">
        <v>2.167581E-2</v>
      </c>
      <c r="H22" s="113"/>
    </row>
    <row r="23" spans="1:8" ht="17.100000000000001" customHeight="1" x14ac:dyDescent="0.2">
      <c r="A23" s="3">
        <v>17</v>
      </c>
      <c r="B23" s="4" t="s">
        <v>419</v>
      </c>
      <c r="C23" s="4" t="s">
        <v>420</v>
      </c>
      <c r="D23" s="4" t="s">
        <v>245</v>
      </c>
      <c r="E23" s="5">
        <v>5630</v>
      </c>
      <c r="F23" s="6">
        <v>80.007930000000002</v>
      </c>
      <c r="G23" s="7">
        <v>2.1663640000000001E-2</v>
      </c>
      <c r="H23" s="113"/>
    </row>
    <row r="24" spans="1:8" ht="17.100000000000001" customHeight="1" x14ac:dyDescent="0.2">
      <c r="A24" s="3">
        <v>18</v>
      </c>
      <c r="B24" s="4" t="s">
        <v>421</v>
      </c>
      <c r="C24" s="4" t="s">
        <v>422</v>
      </c>
      <c r="D24" s="4" t="s">
        <v>53</v>
      </c>
      <c r="E24" s="5">
        <v>59081</v>
      </c>
      <c r="F24" s="6">
        <v>74.826086500000002</v>
      </c>
      <c r="G24" s="7">
        <v>2.026056E-2</v>
      </c>
      <c r="H24" s="113"/>
    </row>
    <row r="25" spans="1:8" ht="17.100000000000001" customHeight="1" x14ac:dyDescent="0.2">
      <c r="A25" s="3">
        <v>19</v>
      </c>
      <c r="B25" s="4" t="s">
        <v>423</v>
      </c>
      <c r="C25" s="4" t="s">
        <v>424</v>
      </c>
      <c r="D25" s="4" t="s">
        <v>53</v>
      </c>
      <c r="E25" s="5">
        <v>4638</v>
      </c>
      <c r="F25" s="6">
        <v>74.047989000000001</v>
      </c>
      <c r="G25" s="7">
        <v>2.0049879999999999E-2</v>
      </c>
      <c r="H25" s="113"/>
    </row>
    <row r="26" spans="1:8" ht="29.1" customHeight="1" x14ac:dyDescent="0.2">
      <c r="A26" s="3">
        <v>20</v>
      </c>
      <c r="B26" s="4" t="s">
        <v>220</v>
      </c>
      <c r="C26" s="4" t="s">
        <v>221</v>
      </c>
      <c r="D26" s="4" t="s">
        <v>222</v>
      </c>
      <c r="E26" s="5">
        <v>1842</v>
      </c>
      <c r="F26" s="6">
        <v>70.975943999999998</v>
      </c>
      <c r="G26" s="7">
        <v>1.9218059999999999E-2</v>
      </c>
      <c r="H26" s="113"/>
    </row>
    <row r="27" spans="1:8" ht="29.1" customHeight="1" x14ac:dyDescent="0.2">
      <c r="A27" s="3">
        <v>21</v>
      </c>
      <c r="B27" s="4" t="s">
        <v>273</v>
      </c>
      <c r="C27" s="4" t="s">
        <v>274</v>
      </c>
      <c r="D27" s="4" t="s">
        <v>225</v>
      </c>
      <c r="E27" s="5">
        <v>16491</v>
      </c>
      <c r="F27" s="6">
        <v>70.944282000000001</v>
      </c>
      <c r="G27" s="7">
        <v>1.9209489999999999E-2</v>
      </c>
      <c r="H27" s="113"/>
    </row>
    <row r="28" spans="1:8" ht="29.1" customHeight="1" x14ac:dyDescent="0.2">
      <c r="A28" s="3">
        <v>22</v>
      </c>
      <c r="B28" s="4" t="s">
        <v>95</v>
      </c>
      <c r="C28" s="4" t="s">
        <v>96</v>
      </c>
      <c r="D28" s="4" t="s">
        <v>25</v>
      </c>
      <c r="E28" s="5">
        <v>1823</v>
      </c>
      <c r="F28" s="6">
        <v>69.059797500000002</v>
      </c>
      <c r="G28" s="7">
        <v>1.8699230000000001E-2</v>
      </c>
      <c r="H28" s="113"/>
    </row>
    <row r="29" spans="1:8" ht="17.100000000000001" customHeight="1" x14ac:dyDescent="0.2">
      <c r="A29" s="3">
        <v>23</v>
      </c>
      <c r="B29" s="4" t="s">
        <v>425</v>
      </c>
      <c r="C29" s="4" t="s">
        <v>426</v>
      </c>
      <c r="D29" s="4" t="s">
        <v>245</v>
      </c>
      <c r="E29" s="5">
        <v>8151</v>
      </c>
      <c r="F29" s="6">
        <v>66.581443500000006</v>
      </c>
      <c r="G29" s="7">
        <v>1.802817E-2</v>
      </c>
      <c r="H29" s="113"/>
    </row>
    <row r="30" spans="1:8" ht="17.100000000000001" customHeight="1" x14ac:dyDescent="0.2">
      <c r="A30" s="3">
        <v>24</v>
      </c>
      <c r="B30" s="4" t="s">
        <v>316</v>
      </c>
      <c r="C30" s="4" t="s">
        <v>317</v>
      </c>
      <c r="D30" s="4" t="s">
        <v>56</v>
      </c>
      <c r="E30" s="5">
        <v>8402</v>
      </c>
      <c r="F30" s="6">
        <v>64.859239000000002</v>
      </c>
      <c r="G30" s="7">
        <v>1.756185E-2</v>
      </c>
      <c r="H30" s="113"/>
    </row>
    <row r="31" spans="1:8" ht="17.100000000000001" customHeight="1" x14ac:dyDescent="0.2">
      <c r="A31" s="3">
        <v>25</v>
      </c>
      <c r="B31" s="4" t="s">
        <v>427</v>
      </c>
      <c r="C31" s="4" t="s">
        <v>428</v>
      </c>
      <c r="D31" s="4" t="s">
        <v>56</v>
      </c>
      <c r="E31" s="5">
        <v>6126</v>
      </c>
      <c r="F31" s="6">
        <v>63.707337000000003</v>
      </c>
      <c r="G31" s="7">
        <v>1.724995E-2</v>
      </c>
      <c r="H31" s="113"/>
    </row>
    <row r="32" spans="1:8" ht="17.100000000000001" customHeight="1" x14ac:dyDescent="0.2">
      <c r="A32" s="3">
        <v>26</v>
      </c>
      <c r="B32" s="4" t="s">
        <v>429</v>
      </c>
      <c r="C32" s="4" t="s">
        <v>430</v>
      </c>
      <c r="D32" s="4" t="s">
        <v>892</v>
      </c>
      <c r="E32" s="5">
        <v>4857</v>
      </c>
      <c r="F32" s="6">
        <v>63.437277000000002</v>
      </c>
      <c r="G32" s="7">
        <v>1.7176830000000001E-2</v>
      </c>
      <c r="H32" s="113"/>
    </row>
    <row r="33" spans="1:8" ht="17.100000000000001" customHeight="1" x14ac:dyDescent="0.2">
      <c r="A33" s="3">
        <v>27</v>
      </c>
      <c r="B33" s="4" t="s">
        <v>431</v>
      </c>
      <c r="C33" s="4" t="s">
        <v>432</v>
      </c>
      <c r="D33" s="4" t="s">
        <v>315</v>
      </c>
      <c r="E33" s="5">
        <v>6658</v>
      </c>
      <c r="F33" s="6">
        <v>58.929957999999999</v>
      </c>
      <c r="G33" s="7">
        <v>1.5956390000000001E-2</v>
      </c>
      <c r="H33" s="113"/>
    </row>
    <row r="34" spans="1:8" ht="29.1" customHeight="1" x14ac:dyDescent="0.2">
      <c r="A34" s="3">
        <v>28</v>
      </c>
      <c r="B34" s="4" t="s">
        <v>433</v>
      </c>
      <c r="C34" s="4" t="s">
        <v>434</v>
      </c>
      <c r="D34" s="4" t="s">
        <v>31</v>
      </c>
      <c r="E34" s="5">
        <v>2627</v>
      </c>
      <c r="F34" s="6">
        <v>58.012041000000004</v>
      </c>
      <c r="G34" s="7">
        <v>1.5707840000000001E-2</v>
      </c>
      <c r="H34" s="113"/>
    </row>
    <row r="35" spans="1:8" ht="17.100000000000001" customHeight="1" x14ac:dyDescent="0.2">
      <c r="A35" s="3">
        <v>29</v>
      </c>
      <c r="B35" s="4" t="s">
        <v>435</v>
      </c>
      <c r="C35" s="4" t="s">
        <v>436</v>
      </c>
      <c r="D35" s="4" t="s">
        <v>53</v>
      </c>
      <c r="E35" s="5">
        <v>9729</v>
      </c>
      <c r="F35" s="6">
        <v>54.9737145</v>
      </c>
      <c r="G35" s="7">
        <v>1.488516E-2</v>
      </c>
      <c r="H35" s="113"/>
    </row>
    <row r="36" spans="1:8" ht="17.100000000000001" customHeight="1" x14ac:dyDescent="0.2">
      <c r="A36" s="3">
        <v>30</v>
      </c>
      <c r="B36" s="4" t="s">
        <v>47</v>
      </c>
      <c r="C36" s="4" t="s">
        <v>48</v>
      </c>
      <c r="D36" s="4" t="s">
        <v>34</v>
      </c>
      <c r="E36" s="5">
        <v>2356</v>
      </c>
      <c r="F36" s="6">
        <v>54.873595999999999</v>
      </c>
      <c r="G36" s="7">
        <v>1.4858049999999999E-2</v>
      </c>
      <c r="H36" s="113"/>
    </row>
    <row r="37" spans="1:8" ht="29.1" customHeight="1" x14ac:dyDescent="0.2">
      <c r="A37" s="3">
        <v>31</v>
      </c>
      <c r="B37" s="4" t="s">
        <v>437</v>
      </c>
      <c r="C37" s="4" t="s">
        <v>438</v>
      </c>
      <c r="D37" s="4" t="s">
        <v>76</v>
      </c>
      <c r="E37" s="5">
        <v>2187</v>
      </c>
      <c r="F37" s="6">
        <v>54.306490500000002</v>
      </c>
      <c r="G37" s="7">
        <v>1.4704500000000001E-2</v>
      </c>
      <c r="H37" s="113"/>
    </row>
    <row r="38" spans="1:8" ht="29.1" customHeight="1" x14ac:dyDescent="0.2">
      <c r="A38" s="3">
        <v>32</v>
      </c>
      <c r="B38" s="4" t="s">
        <v>439</v>
      </c>
      <c r="C38" s="4" t="s">
        <v>440</v>
      </c>
      <c r="D38" s="4" t="s">
        <v>225</v>
      </c>
      <c r="E38" s="5">
        <v>13550</v>
      </c>
      <c r="F38" s="6">
        <v>53.549599999999998</v>
      </c>
      <c r="G38" s="7">
        <v>1.449955E-2</v>
      </c>
      <c r="H38" s="113"/>
    </row>
    <row r="39" spans="1:8" ht="29.1" customHeight="1" x14ac:dyDescent="0.2">
      <c r="A39" s="3">
        <v>33</v>
      </c>
      <c r="B39" s="4" t="s">
        <v>441</v>
      </c>
      <c r="C39" s="4" t="s">
        <v>442</v>
      </c>
      <c r="D39" s="4" t="s">
        <v>443</v>
      </c>
      <c r="E39" s="5">
        <v>34094</v>
      </c>
      <c r="F39" s="6">
        <v>51.516033999999998</v>
      </c>
      <c r="G39" s="7">
        <v>1.394893E-2</v>
      </c>
      <c r="H39" s="113"/>
    </row>
    <row r="40" spans="1:8" ht="29.1" customHeight="1" x14ac:dyDescent="0.2">
      <c r="A40" s="3">
        <v>34</v>
      </c>
      <c r="B40" s="4" t="s">
        <v>444</v>
      </c>
      <c r="C40" s="4" t="s">
        <v>445</v>
      </c>
      <c r="D40" s="4" t="s">
        <v>215</v>
      </c>
      <c r="E40" s="5">
        <v>8191</v>
      </c>
      <c r="F40" s="6">
        <v>45.615679</v>
      </c>
      <c r="G40" s="7">
        <v>1.2351300000000001E-2</v>
      </c>
      <c r="H40" s="113"/>
    </row>
    <row r="41" spans="1:8" ht="17.100000000000001" customHeight="1" x14ac:dyDescent="0.2">
      <c r="A41" s="3">
        <v>35</v>
      </c>
      <c r="B41" s="4" t="s">
        <v>446</v>
      </c>
      <c r="C41" s="4" t="s">
        <v>447</v>
      </c>
      <c r="D41" s="4" t="s">
        <v>73</v>
      </c>
      <c r="E41" s="5">
        <v>1936</v>
      </c>
      <c r="F41" s="6">
        <v>43.456423999999998</v>
      </c>
      <c r="G41" s="7">
        <v>1.176664E-2</v>
      </c>
      <c r="H41" s="113"/>
    </row>
    <row r="42" spans="1:8" ht="17.100000000000001" customHeight="1" x14ac:dyDescent="0.2">
      <c r="A42" s="3">
        <v>36</v>
      </c>
      <c r="B42" s="4" t="s">
        <v>448</v>
      </c>
      <c r="C42" s="4" t="s">
        <v>449</v>
      </c>
      <c r="D42" s="4" t="s">
        <v>99</v>
      </c>
      <c r="E42" s="5">
        <v>3908</v>
      </c>
      <c r="F42" s="6">
        <v>41.975828</v>
      </c>
      <c r="G42" s="7">
        <v>1.1365739999999999E-2</v>
      </c>
      <c r="H42" s="113"/>
    </row>
    <row r="43" spans="1:8" ht="17.100000000000001" customHeight="1" x14ac:dyDescent="0.2">
      <c r="A43" s="3">
        <v>37</v>
      </c>
      <c r="B43" s="4" t="s">
        <v>450</v>
      </c>
      <c r="C43" s="4" t="s">
        <v>451</v>
      </c>
      <c r="D43" s="4" t="s">
        <v>53</v>
      </c>
      <c r="E43" s="5">
        <v>4394</v>
      </c>
      <c r="F43" s="6">
        <v>40.868594000000002</v>
      </c>
      <c r="G43" s="7">
        <v>1.106593E-2</v>
      </c>
      <c r="H43" s="113"/>
    </row>
    <row r="44" spans="1:8" ht="17.100000000000001" customHeight="1" x14ac:dyDescent="0.2">
      <c r="A44" s="3">
        <v>38</v>
      </c>
      <c r="B44" s="4" t="s">
        <v>296</v>
      </c>
      <c r="C44" s="4" t="s">
        <v>297</v>
      </c>
      <c r="D44" s="4" t="s">
        <v>53</v>
      </c>
      <c r="E44" s="5">
        <v>3675</v>
      </c>
      <c r="F44" s="6">
        <v>38.221837499999999</v>
      </c>
      <c r="G44" s="7">
        <v>1.0349280000000001E-2</v>
      </c>
      <c r="H44" s="113"/>
    </row>
    <row r="45" spans="1:8" ht="17.100000000000001" customHeight="1" x14ac:dyDescent="0.2">
      <c r="A45" s="3">
        <v>39</v>
      </c>
      <c r="B45" s="4" t="s">
        <v>452</v>
      </c>
      <c r="C45" s="4" t="s">
        <v>453</v>
      </c>
      <c r="D45" s="4" t="s">
        <v>245</v>
      </c>
      <c r="E45" s="5">
        <v>16207</v>
      </c>
      <c r="F45" s="6">
        <v>37.0735125</v>
      </c>
      <c r="G45" s="7">
        <v>1.003835E-2</v>
      </c>
      <c r="H45" s="113"/>
    </row>
    <row r="46" spans="1:8" ht="17.100000000000001" customHeight="1" x14ac:dyDescent="0.2">
      <c r="A46" s="3">
        <v>40</v>
      </c>
      <c r="B46" s="4" t="s">
        <v>454</v>
      </c>
      <c r="C46" s="4" t="s">
        <v>455</v>
      </c>
      <c r="D46" s="4" t="s">
        <v>34</v>
      </c>
      <c r="E46" s="5">
        <v>3042</v>
      </c>
      <c r="F46" s="6">
        <v>33.869627999999999</v>
      </c>
      <c r="G46" s="7">
        <v>9.1708299999999996E-3</v>
      </c>
      <c r="H46" s="113"/>
    </row>
    <row r="47" spans="1:8" ht="17.100000000000001" customHeight="1" x14ac:dyDescent="0.2">
      <c r="A47" s="3">
        <v>41</v>
      </c>
      <c r="B47" s="4" t="s">
        <v>456</v>
      </c>
      <c r="C47" s="4" t="s">
        <v>457</v>
      </c>
      <c r="D47" s="4" t="s">
        <v>56</v>
      </c>
      <c r="E47" s="5">
        <v>7524</v>
      </c>
      <c r="F47" s="6">
        <v>33.854238000000002</v>
      </c>
      <c r="G47" s="7">
        <v>9.16667E-3</v>
      </c>
      <c r="H47" s="113"/>
    </row>
    <row r="48" spans="1:8" ht="17.100000000000001" customHeight="1" x14ac:dyDescent="0.2">
      <c r="A48" s="3">
        <v>42</v>
      </c>
      <c r="B48" s="4" t="s">
        <v>87</v>
      </c>
      <c r="C48" s="4" t="s">
        <v>88</v>
      </c>
      <c r="D48" s="4" t="s">
        <v>34</v>
      </c>
      <c r="E48" s="5">
        <v>4198</v>
      </c>
      <c r="F48" s="6">
        <v>33.804395</v>
      </c>
      <c r="G48" s="7">
        <v>9.1531700000000004E-3</v>
      </c>
      <c r="H48" s="113"/>
    </row>
    <row r="49" spans="1:8" ht="17.100000000000001" customHeight="1" x14ac:dyDescent="0.2">
      <c r="A49" s="3">
        <v>43</v>
      </c>
      <c r="B49" s="4" t="s">
        <v>458</v>
      </c>
      <c r="C49" s="4" t="s">
        <v>459</v>
      </c>
      <c r="D49" s="4" t="s">
        <v>46</v>
      </c>
      <c r="E49" s="5">
        <v>4036</v>
      </c>
      <c r="F49" s="6">
        <v>33.208207999999999</v>
      </c>
      <c r="G49" s="7">
        <v>8.9917399999999998E-3</v>
      </c>
      <c r="H49" s="113"/>
    </row>
    <row r="50" spans="1:8" ht="29.1" customHeight="1" x14ac:dyDescent="0.2">
      <c r="A50" s="3">
        <v>44</v>
      </c>
      <c r="B50" s="4" t="s">
        <v>460</v>
      </c>
      <c r="C50" s="4" t="s">
        <v>461</v>
      </c>
      <c r="D50" s="4" t="s">
        <v>225</v>
      </c>
      <c r="E50" s="5">
        <v>596</v>
      </c>
      <c r="F50" s="6">
        <v>29.488589999999999</v>
      </c>
      <c r="G50" s="7">
        <v>7.9845899999999997E-3</v>
      </c>
      <c r="H50" s="113"/>
    </row>
    <row r="51" spans="1:8" ht="17.100000000000001" customHeight="1" x14ac:dyDescent="0.2">
      <c r="A51" s="3">
        <v>45</v>
      </c>
      <c r="B51" s="4" t="s">
        <v>462</v>
      </c>
      <c r="C51" s="4" t="s">
        <v>463</v>
      </c>
      <c r="D51" s="4" t="s">
        <v>34</v>
      </c>
      <c r="E51" s="5">
        <v>2107</v>
      </c>
      <c r="F51" s="6">
        <v>20.388385499999998</v>
      </c>
      <c r="G51" s="7">
        <v>5.52054E-3</v>
      </c>
      <c r="H51" s="113"/>
    </row>
    <row r="52" spans="1:8" ht="17.100000000000001" customHeight="1" x14ac:dyDescent="0.2">
      <c r="A52" s="3">
        <v>46</v>
      </c>
      <c r="B52" s="4" t="s">
        <v>309</v>
      </c>
      <c r="C52" s="4" t="s">
        <v>310</v>
      </c>
      <c r="D52" s="4" t="s">
        <v>53</v>
      </c>
      <c r="E52" s="5">
        <v>1151</v>
      </c>
      <c r="F52" s="6">
        <v>17.400242500000001</v>
      </c>
      <c r="G52" s="7">
        <v>4.7114399999999999E-3</v>
      </c>
      <c r="H52" s="113"/>
    </row>
    <row r="53" spans="1:8" ht="29.1" customHeight="1" x14ac:dyDescent="0.2">
      <c r="A53" s="3">
        <v>47</v>
      </c>
      <c r="B53" s="4" t="s">
        <v>464</v>
      </c>
      <c r="C53" s="4" t="s">
        <v>465</v>
      </c>
      <c r="D53" s="4" t="s">
        <v>56</v>
      </c>
      <c r="E53" s="5">
        <v>5400</v>
      </c>
      <c r="F53" s="6">
        <v>16.788599999999999</v>
      </c>
      <c r="G53" s="7">
        <v>4.5458299999999998E-3</v>
      </c>
      <c r="H53" s="113"/>
    </row>
    <row r="54" spans="1:8" ht="29.1" customHeight="1" x14ac:dyDescent="0.2">
      <c r="A54" s="3">
        <v>48</v>
      </c>
      <c r="B54" s="4" t="s">
        <v>466</v>
      </c>
      <c r="C54" s="4" t="s">
        <v>467</v>
      </c>
      <c r="D54" s="4" t="s">
        <v>222</v>
      </c>
      <c r="E54" s="5">
        <v>2348</v>
      </c>
      <c r="F54" s="6">
        <v>11.832746</v>
      </c>
      <c r="G54" s="7">
        <v>3.2039400000000002E-3</v>
      </c>
      <c r="H54" s="113"/>
    </row>
    <row r="55" spans="1:8" ht="17.100000000000001" customHeight="1" x14ac:dyDescent="0.2">
      <c r="A55" s="3">
        <v>49</v>
      </c>
      <c r="B55" s="4" t="s">
        <v>468</v>
      </c>
      <c r="C55" s="4" t="s">
        <v>469</v>
      </c>
      <c r="D55" s="4" t="s">
        <v>28</v>
      </c>
      <c r="E55" s="5">
        <v>2318</v>
      </c>
      <c r="F55" s="6">
        <v>9.704307</v>
      </c>
      <c r="G55" s="7">
        <v>2.6276200000000002E-3</v>
      </c>
      <c r="H55" s="113"/>
    </row>
    <row r="56" spans="1:8" ht="14.1" customHeight="1" x14ac:dyDescent="0.2">
      <c r="A56" s="1"/>
      <c r="B56" s="1"/>
      <c r="C56" s="2" t="s">
        <v>151</v>
      </c>
      <c r="D56" s="1"/>
      <c r="E56" s="1" t="s">
        <v>152</v>
      </c>
      <c r="F56" s="9">
        <v>3505.5424954999999</v>
      </c>
      <c r="G56" s="10">
        <v>0.94919109999999995</v>
      </c>
      <c r="H56" s="113"/>
    </row>
    <row r="57" spans="1:8" ht="14.1" customHeight="1" x14ac:dyDescent="0.2">
      <c r="A57" s="1"/>
      <c r="B57" s="1"/>
      <c r="C57" s="11"/>
      <c r="D57" s="1"/>
      <c r="E57" s="1"/>
      <c r="F57" s="12"/>
      <c r="G57" s="12"/>
      <c r="H57" s="113"/>
    </row>
    <row r="58" spans="1:8" ht="14.1" customHeight="1" x14ac:dyDescent="0.2">
      <c r="A58" s="1"/>
      <c r="B58" s="1"/>
      <c r="C58" s="2" t="s">
        <v>153</v>
      </c>
      <c r="D58" s="1"/>
      <c r="E58" s="1"/>
      <c r="F58" s="1"/>
      <c r="G58" s="1"/>
      <c r="H58" s="113"/>
    </row>
    <row r="59" spans="1:8" ht="14.1" customHeight="1" x14ac:dyDescent="0.2">
      <c r="A59" s="1"/>
      <c r="B59" s="1"/>
      <c r="C59" s="2" t="s">
        <v>151</v>
      </c>
      <c r="D59" s="1"/>
      <c r="E59" s="1" t="s">
        <v>152</v>
      </c>
      <c r="F59" s="13" t="s">
        <v>154</v>
      </c>
      <c r="G59" s="10">
        <v>0</v>
      </c>
      <c r="H59" s="113"/>
    </row>
    <row r="60" spans="1:8" ht="14.1" customHeight="1" x14ac:dyDescent="0.2">
      <c r="A60" s="1"/>
      <c r="B60" s="1"/>
      <c r="C60" s="11"/>
      <c r="D60" s="1"/>
      <c r="E60" s="1"/>
      <c r="F60" s="12"/>
      <c r="G60" s="12"/>
      <c r="H60" s="113"/>
    </row>
    <row r="61" spans="1:8" ht="14.1" customHeight="1" x14ac:dyDescent="0.2">
      <c r="A61" s="1"/>
      <c r="B61" s="1"/>
      <c r="C61" s="2" t="s">
        <v>155</v>
      </c>
      <c r="D61" s="1"/>
      <c r="E61" s="1"/>
      <c r="F61" s="1"/>
      <c r="G61" s="1"/>
      <c r="H61" s="113"/>
    </row>
    <row r="62" spans="1:8" ht="14.1" customHeight="1" x14ac:dyDescent="0.2">
      <c r="A62" s="1"/>
      <c r="B62" s="1"/>
      <c r="C62" s="2" t="s">
        <v>151</v>
      </c>
      <c r="D62" s="1"/>
      <c r="E62" s="1" t="s">
        <v>152</v>
      </c>
      <c r="F62" s="13" t="s">
        <v>154</v>
      </c>
      <c r="G62" s="10">
        <v>0</v>
      </c>
      <c r="H62" s="113"/>
    </row>
    <row r="63" spans="1:8" ht="14.1" customHeight="1" x14ac:dyDescent="0.2">
      <c r="A63" s="1"/>
      <c r="B63" s="1"/>
      <c r="C63" s="11"/>
      <c r="D63" s="1"/>
      <c r="E63" s="1"/>
      <c r="F63" s="12"/>
      <c r="G63" s="12"/>
      <c r="H63" s="113"/>
    </row>
    <row r="64" spans="1:8" ht="14.1" customHeight="1" x14ac:dyDescent="0.2">
      <c r="A64" s="1"/>
      <c r="B64" s="1"/>
      <c r="C64" s="2" t="s">
        <v>156</v>
      </c>
      <c r="D64" s="1"/>
      <c r="E64" s="1"/>
      <c r="F64" s="1"/>
      <c r="G64" s="1"/>
      <c r="H64" s="113"/>
    </row>
    <row r="65" spans="1:8" ht="29.1" customHeight="1" x14ac:dyDescent="0.2">
      <c r="A65" s="3">
        <v>1</v>
      </c>
      <c r="B65" s="4" t="s">
        <v>318</v>
      </c>
      <c r="C65" s="4" t="s">
        <v>898</v>
      </c>
      <c r="D65" s="4" t="s">
        <v>107</v>
      </c>
      <c r="E65" s="5">
        <v>133516</v>
      </c>
      <c r="F65" s="6">
        <v>14.152696000000001</v>
      </c>
      <c r="G65" s="7">
        <v>3.8321100000000001E-3</v>
      </c>
      <c r="H65" s="113"/>
    </row>
    <row r="66" spans="1:8" ht="38.25" x14ac:dyDescent="0.2">
      <c r="A66" s="3">
        <v>2</v>
      </c>
      <c r="B66" s="4" t="s">
        <v>319</v>
      </c>
      <c r="C66" s="4" t="s">
        <v>899</v>
      </c>
      <c r="D66" s="4" t="s">
        <v>53</v>
      </c>
      <c r="E66" s="5">
        <v>133</v>
      </c>
      <c r="F66" s="6">
        <v>1.3302260999999999E-2</v>
      </c>
      <c r="G66" s="7" t="s">
        <v>150</v>
      </c>
      <c r="H66" s="113"/>
    </row>
    <row r="67" spans="1:8" ht="14.1" customHeight="1" x14ac:dyDescent="0.2">
      <c r="A67" s="1"/>
      <c r="B67" s="1"/>
      <c r="C67" s="2" t="s">
        <v>151</v>
      </c>
      <c r="D67" s="1"/>
      <c r="E67" s="1" t="s">
        <v>152</v>
      </c>
      <c r="F67" s="9">
        <v>14.165998261</v>
      </c>
      <c r="G67" s="10">
        <v>3.83571E-3</v>
      </c>
      <c r="H67" s="113"/>
    </row>
    <row r="68" spans="1:8" ht="14.1" customHeight="1" x14ac:dyDescent="0.2">
      <c r="A68" s="1"/>
      <c r="B68" s="1"/>
      <c r="C68" s="11"/>
      <c r="D68" s="1"/>
      <c r="E68" s="1"/>
      <c r="F68" s="12"/>
      <c r="G68" s="12"/>
      <c r="H68" s="113"/>
    </row>
    <row r="69" spans="1:8" ht="14.1" customHeight="1" x14ac:dyDescent="0.2">
      <c r="A69" s="1"/>
      <c r="B69" s="1"/>
      <c r="C69" s="2" t="s">
        <v>157</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4.1" customHeight="1" x14ac:dyDescent="0.2">
      <c r="A72" s="1"/>
      <c r="B72" s="1"/>
      <c r="C72" s="2" t="s">
        <v>158</v>
      </c>
      <c r="D72" s="1"/>
      <c r="E72" s="1"/>
      <c r="F72" s="12"/>
      <c r="G72" s="12"/>
      <c r="H72" s="113"/>
    </row>
    <row r="73" spans="1:8" ht="14.1" customHeight="1" x14ac:dyDescent="0.2">
      <c r="A73" s="1"/>
      <c r="B73" s="1"/>
      <c r="C73" s="2" t="s">
        <v>151</v>
      </c>
      <c r="D73" s="1"/>
      <c r="E73" s="1" t="s">
        <v>152</v>
      </c>
      <c r="F73" s="13" t="s">
        <v>154</v>
      </c>
      <c r="G73" s="10">
        <v>0</v>
      </c>
      <c r="H73" s="113"/>
    </row>
    <row r="74" spans="1:8" ht="14.1" customHeight="1" x14ac:dyDescent="0.2">
      <c r="A74" s="1"/>
      <c r="B74" s="1"/>
      <c r="C74" s="11"/>
      <c r="D74" s="1"/>
      <c r="E74" s="1"/>
      <c r="F74" s="12"/>
      <c r="G74" s="12"/>
      <c r="H74" s="113"/>
    </row>
    <row r="75" spans="1:8" ht="18" customHeight="1" x14ac:dyDescent="0.2">
      <c r="A75" s="1"/>
      <c r="B75" s="1"/>
      <c r="C75" s="2" t="s">
        <v>159</v>
      </c>
      <c r="D75" s="1"/>
      <c r="E75" s="1"/>
      <c r="F75" s="9">
        <v>3519.7084937610002</v>
      </c>
      <c r="G75" s="10">
        <v>0.95302681</v>
      </c>
      <c r="H75" s="113"/>
    </row>
    <row r="76" spans="1:8" ht="14.1" customHeight="1" x14ac:dyDescent="0.2">
      <c r="A76" s="1"/>
      <c r="B76" s="1"/>
      <c r="C76" s="11"/>
      <c r="D76" s="1"/>
      <c r="E76" s="1"/>
      <c r="F76" s="12"/>
      <c r="G76" s="12"/>
      <c r="H76" s="113"/>
    </row>
    <row r="77" spans="1:8" ht="14.1" customHeight="1" x14ac:dyDescent="0.2">
      <c r="A77" s="1"/>
      <c r="B77" s="1"/>
      <c r="C77" s="2" t="s">
        <v>160</v>
      </c>
      <c r="D77" s="1"/>
      <c r="E77" s="1"/>
      <c r="F77" s="12"/>
      <c r="G77" s="12"/>
      <c r="H77" s="113"/>
    </row>
    <row r="78" spans="1:8" ht="24" customHeight="1" x14ac:dyDescent="0.2">
      <c r="A78" s="1"/>
      <c r="B78" s="1"/>
      <c r="C78" s="2" t="s">
        <v>10</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161</v>
      </c>
      <c r="D81" s="1"/>
      <c r="E81" s="1"/>
      <c r="F81" s="1"/>
      <c r="G81" s="1"/>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162</v>
      </c>
      <c r="D84" s="1"/>
      <c r="E84" s="1"/>
      <c r="F84" s="1"/>
      <c r="G84" s="1"/>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163</v>
      </c>
      <c r="D87" s="1"/>
      <c r="E87" s="1"/>
      <c r="F87" s="12"/>
      <c r="G87" s="12"/>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4.1" customHeight="1" x14ac:dyDescent="0.2">
      <c r="A90" s="1"/>
      <c r="B90" s="1"/>
      <c r="C90" s="2" t="s">
        <v>164</v>
      </c>
      <c r="D90" s="1"/>
      <c r="E90" s="1"/>
      <c r="F90" s="9">
        <v>0</v>
      </c>
      <c r="G90" s="10">
        <v>0</v>
      </c>
      <c r="H90" s="113"/>
    </row>
    <row r="91" spans="1:8" ht="14.1" customHeight="1" x14ac:dyDescent="0.2">
      <c r="A91" s="1"/>
      <c r="B91" s="1"/>
      <c r="C91" s="11"/>
      <c r="D91" s="1"/>
      <c r="E91" s="1"/>
      <c r="F91" s="12"/>
      <c r="G91" s="12"/>
      <c r="H91" s="113"/>
    </row>
    <row r="92" spans="1:8" ht="14.1" customHeight="1" x14ac:dyDescent="0.2">
      <c r="A92" s="1"/>
      <c r="B92" s="1"/>
      <c r="C92" s="2" t="s">
        <v>165</v>
      </c>
      <c r="D92" s="1"/>
      <c r="E92" s="1"/>
      <c r="F92" s="12"/>
      <c r="G92" s="12"/>
      <c r="H92" s="113"/>
    </row>
    <row r="93" spans="1:8" ht="14.1" customHeight="1" x14ac:dyDescent="0.2">
      <c r="A93" s="1"/>
      <c r="B93" s="1"/>
      <c r="C93" s="2" t="s">
        <v>166</v>
      </c>
      <c r="D93" s="1"/>
      <c r="E93" s="1"/>
      <c r="F93" s="12"/>
      <c r="G93" s="12"/>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4.1" customHeight="1" x14ac:dyDescent="0.2">
      <c r="A96" s="1"/>
      <c r="B96" s="1"/>
      <c r="C96" s="2" t="s">
        <v>167</v>
      </c>
      <c r="D96" s="1"/>
      <c r="E96" s="1"/>
      <c r="F96" s="12"/>
      <c r="G96" s="12"/>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168</v>
      </c>
      <c r="D99" s="1"/>
      <c r="E99" s="1"/>
      <c r="F99" s="12"/>
      <c r="G99" s="12"/>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14.1" customHeight="1" x14ac:dyDescent="0.2">
      <c r="A102" s="1"/>
      <c r="B102" s="1"/>
      <c r="C102" s="2" t="s">
        <v>169</v>
      </c>
      <c r="D102" s="1"/>
      <c r="E102" s="1"/>
      <c r="F102" s="12"/>
      <c r="G102" s="12"/>
      <c r="H102" s="113"/>
    </row>
    <row r="103" spans="1:8" ht="17.100000000000001" customHeight="1" x14ac:dyDescent="0.2">
      <c r="A103" s="3">
        <v>1</v>
      </c>
      <c r="B103" s="4"/>
      <c r="C103" s="4" t="s">
        <v>170</v>
      </c>
      <c r="D103" s="4"/>
      <c r="E103" s="8"/>
      <c r="F103" s="6">
        <v>201.25149999999999</v>
      </c>
      <c r="G103" s="7">
        <v>5.4492600000000002E-2</v>
      </c>
      <c r="H103" s="113">
        <v>6.7600000000000016</v>
      </c>
    </row>
    <row r="104" spans="1:8" ht="14.1" customHeight="1" x14ac:dyDescent="0.2">
      <c r="A104" s="1"/>
      <c r="B104" s="1"/>
      <c r="C104" s="2" t="s">
        <v>151</v>
      </c>
      <c r="D104" s="1"/>
      <c r="E104" s="1" t="s">
        <v>152</v>
      </c>
      <c r="F104" s="9">
        <v>201.25149999999999</v>
      </c>
      <c r="G104" s="10">
        <v>5.4492600000000002E-2</v>
      </c>
      <c r="H104" s="113"/>
    </row>
    <row r="105" spans="1:8" ht="14.1" customHeight="1" x14ac:dyDescent="0.2">
      <c r="A105" s="1"/>
      <c r="B105" s="1"/>
      <c r="C105" s="11"/>
      <c r="D105" s="1"/>
      <c r="E105" s="1"/>
      <c r="F105" s="12"/>
      <c r="G105" s="12"/>
      <c r="H105" s="113"/>
    </row>
    <row r="106" spans="1:8" ht="14.1" customHeight="1" x14ac:dyDescent="0.2">
      <c r="A106" s="1"/>
      <c r="B106" s="1"/>
      <c r="C106" s="2" t="s">
        <v>171</v>
      </c>
      <c r="D106" s="1"/>
      <c r="E106" s="1"/>
      <c r="F106" s="9">
        <v>201.25149999999999</v>
      </c>
      <c r="G106" s="10">
        <v>5.4492600000000002E-2</v>
      </c>
      <c r="H106" s="113"/>
    </row>
    <row r="107" spans="1:8" ht="14.1" customHeight="1" x14ac:dyDescent="0.2">
      <c r="A107" s="1"/>
      <c r="B107" s="1"/>
      <c r="C107" s="12"/>
      <c r="D107" s="1"/>
      <c r="E107" s="1"/>
      <c r="F107" s="1"/>
      <c r="G107" s="1"/>
      <c r="H107" s="113"/>
    </row>
    <row r="108" spans="1:8" ht="14.1" customHeight="1" x14ac:dyDescent="0.2">
      <c r="A108" s="1"/>
      <c r="B108" s="1"/>
      <c r="C108" s="2" t="s">
        <v>172</v>
      </c>
      <c r="D108" s="1"/>
      <c r="E108" s="1"/>
      <c r="F108" s="1"/>
      <c r="G108" s="1"/>
      <c r="H108" s="113"/>
    </row>
    <row r="109" spans="1:8" ht="14.1" customHeight="1" x14ac:dyDescent="0.2">
      <c r="A109" s="1"/>
      <c r="B109" s="1"/>
      <c r="C109" s="2" t="s">
        <v>173</v>
      </c>
      <c r="D109" s="1"/>
      <c r="E109" s="1"/>
      <c r="F109" s="1"/>
      <c r="G109" s="1"/>
      <c r="H109" s="113"/>
    </row>
    <row r="110" spans="1:8" ht="14.1" customHeight="1" x14ac:dyDescent="0.2">
      <c r="A110" s="1"/>
      <c r="B110" s="1"/>
      <c r="C110" s="2" t="s">
        <v>151</v>
      </c>
      <c r="D110" s="1"/>
      <c r="E110" s="1" t="s">
        <v>152</v>
      </c>
      <c r="F110" s="13" t="s">
        <v>154</v>
      </c>
      <c r="G110" s="10">
        <v>0</v>
      </c>
      <c r="H110" s="113"/>
    </row>
    <row r="111" spans="1:8" ht="14.1" customHeight="1" x14ac:dyDescent="0.2">
      <c r="A111" s="1"/>
      <c r="B111" s="1"/>
      <c r="C111" s="11"/>
      <c r="D111" s="1"/>
      <c r="E111" s="1"/>
      <c r="F111" s="12"/>
      <c r="G111" s="12"/>
      <c r="H111" s="113"/>
    </row>
    <row r="112" spans="1:8" ht="14.1" customHeight="1" x14ac:dyDescent="0.2">
      <c r="A112" s="1"/>
      <c r="B112" s="1"/>
      <c r="C112" s="2" t="s">
        <v>174</v>
      </c>
      <c r="D112" s="1"/>
      <c r="E112" s="1"/>
      <c r="F112" s="1"/>
      <c r="G112" s="1"/>
      <c r="H112" s="113"/>
    </row>
    <row r="113" spans="1:8" ht="14.1" customHeight="1" x14ac:dyDescent="0.2">
      <c r="A113" s="1"/>
      <c r="B113" s="1"/>
      <c r="C113" s="2" t="s">
        <v>175</v>
      </c>
      <c r="D113" s="1"/>
      <c r="E113" s="1"/>
      <c r="F113" s="1"/>
      <c r="G113" s="1"/>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24" customHeight="1" x14ac:dyDescent="0.2">
      <c r="A116" s="1"/>
      <c r="B116" s="1"/>
      <c r="C116" s="2" t="s">
        <v>176</v>
      </c>
      <c r="D116" s="1"/>
      <c r="E116" s="1"/>
      <c r="F116" s="12"/>
      <c r="G116" s="12"/>
      <c r="H116" s="113"/>
    </row>
    <row r="117" spans="1:8" ht="14.1" customHeight="1" x14ac:dyDescent="0.2">
      <c r="A117" s="1"/>
      <c r="B117" s="1"/>
      <c r="C117" s="2" t="s">
        <v>151</v>
      </c>
      <c r="D117" s="1"/>
      <c r="E117" s="1" t="s">
        <v>152</v>
      </c>
      <c r="F117" s="13" t="s">
        <v>154</v>
      </c>
      <c r="G117" s="10">
        <v>0</v>
      </c>
      <c r="H117" s="113"/>
    </row>
    <row r="118" spans="1:8" ht="14.1" customHeight="1" x14ac:dyDescent="0.2">
      <c r="A118" s="1"/>
      <c r="B118" s="1"/>
      <c r="C118" s="11"/>
      <c r="D118" s="1"/>
      <c r="E118" s="1"/>
      <c r="F118" s="12"/>
      <c r="G118" s="12"/>
      <c r="H118" s="113"/>
    </row>
    <row r="119" spans="1:8" ht="14.1" customHeight="1" x14ac:dyDescent="0.2">
      <c r="A119" s="1"/>
      <c r="B119" s="4"/>
      <c r="C119" s="4"/>
      <c r="D119" s="2"/>
      <c r="E119" s="1"/>
      <c r="F119" s="4"/>
      <c r="G119" s="8"/>
      <c r="H119" s="113"/>
    </row>
    <row r="120" spans="1:8" ht="18" customHeight="1" x14ac:dyDescent="0.2">
      <c r="A120" s="8"/>
      <c r="B120" s="4"/>
      <c r="C120" s="4" t="s">
        <v>177</v>
      </c>
      <c r="D120" s="4"/>
      <c r="E120" s="8"/>
      <c r="F120" s="6">
        <v>-27.770395780000001</v>
      </c>
      <c r="G120" s="7">
        <v>-7.5193500000000002E-3</v>
      </c>
      <c r="H120" s="113"/>
    </row>
    <row r="121" spans="1:8" ht="14.1" customHeight="1" x14ac:dyDescent="0.2">
      <c r="A121" s="11"/>
      <c r="B121" s="11"/>
      <c r="C121" s="2" t="s">
        <v>178</v>
      </c>
      <c r="D121" s="12"/>
      <c r="E121" s="12"/>
      <c r="F121" s="9">
        <v>3693.1895979810001</v>
      </c>
      <c r="G121" s="14">
        <v>1.0000000600000001</v>
      </c>
      <c r="H121" s="113"/>
    </row>
    <row r="122" spans="1:8" ht="14.1" customHeight="1" x14ac:dyDescent="0.2">
      <c r="A122" s="15"/>
      <c r="B122" s="15"/>
      <c r="C122" s="15"/>
      <c r="D122" s="16"/>
      <c r="E122" s="16"/>
      <c r="F122" s="16"/>
      <c r="G122" s="16"/>
    </row>
    <row r="123" spans="1:8" ht="17.100000000000001" customHeight="1" x14ac:dyDescent="0.2">
      <c r="A123" s="17"/>
      <c r="B123" s="207" t="s">
        <v>179</v>
      </c>
      <c r="C123" s="207"/>
      <c r="D123" s="207"/>
      <c r="E123" s="207"/>
      <c r="F123" s="207"/>
      <c r="G123" s="19"/>
    </row>
    <row r="124" spans="1:8" ht="14.1" customHeight="1" x14ac:dyDescent="0.2">
      <c r="A124" s="17"/>
      <c r="B124" s="17"/>
      <c r="C124" s="17"/>
      <c r="D124" s="19"/>
      <c r="E124" s="19"/>
      <c r="F124" s="19"/>
      <c r="G124" s="19"/>
    </row>
    <row r="125" spans="1:8" ht="14.1" customHeight="1" x14ac:dyDescent="0.2">
      <c r="A125" s="17"/>
      <c r="B125" s="208" t="s">
        <v>180</v>
      </c>
      <c r="C125" s="209"/>
      <c r="D125" s="210"/>
      <c r="E125" s="20"/>
      <c r="F125" s="19"/>
      <c r="G125" s="19"/>
    </row>
    <row r="126" spans="1:8" ht="29.1" customHeight="1" x14ac:dyDescent="0.2">
      <c r="A126" s="17"/>
      <c r="B126" s="205" t="s">
        <v>181</v>
      </c>
      <c r="C126" s="206"/>
      <c r="D126" s="2" t="s">
        <v>182</v>
      </c>
      <c r="E126" s="20"/>
      <c r="F126" s="19"/>
      <c r="G126" s="19"/>
    </row>
    <row r="127" spans="1:8" ht="24.75" customHeight="1" x14ac:dyDescent="0.2">
      <c r="A127" s="45"/>
      <c r="B127" s="215" t="s">
        <v>900</v>
      </c>
      <c r="C127" s="216"/>
      <c r="D127" s="46" t="s">
        <v>902</v>
      </c>
      <c r="E127" s="47"/>
      <c r="F127" s="48"/>
      <c r="G127" s="48"/>
    </row>
    <row r="128" spans="1:8" ht="17.100000000000001" customHeight="1" x14ac:dyDescent="0.2">
      <c r="A128" s="17"/>
      <c r="B128" s="205" t="s">
        <v>184</v>
      </c>
      <c r="C128" s="206"/>
      <c r="D128" s="12" t="s">
        <v>152</v>
      </c>
      <c r="E128" s="20"/>
      <c r="F128" s="19"/>
      <c r="G128" s="19"/>
    </row>
    <row r="129" spans="1:7" ht="25.5" x14ac:dyDescent="0.2">
      <c r="A129" s="21"/>
      <c r="B129" s="22" t="s">
        <v>152</v>
      </c>
      <c r="C129" s="22" t="s">
        <v>185</v>
      </c>
      <c r="D129" s="22" t="s">
        <v>186</v>
      </c>
      <c r="E129" s="21"/>
      <c r="F129" s="21"/>
      <c r="G129" s="21"/>
    </row>
    <row r="130" spans="1:7" ht="18" customHeight="1" x14ac:dyDescent="0.2">
      <c r="A130" s="21"/>
      <c r="B130" s="23" t="s">
        <v>187</v>
      </c>
      <c r="C130" s="22" t="s">
        <v>188</v>
      </c>
      <c r="D130" s="22" t="s">
        <v>189</v>
      </c>
      <c r="E130" s="21"/>
      <c r="F130" s="21"/>
      <c r="G130" s="21"/>
    </row>
    <row r="131" spans="1:7" ht="17.100000000000001" customHeight="1" x14ac:dyDescent="0.2">
      <c r="A131" s="21"/>
      <c r="B131" s="4" t="s">
        <v>190</v>
      </c>
      <c r="C131" s="24">
        <v>24.081299999999999</v>
      </c>
      <c r="D131" s="24">
        <v>25.364100000000001</v>
      </c>
      <c r="E131" s="21"/>
      <c r="F131" s="18"/>
      <c r="G131" s="25"/>
    </row>
    <row r="132" spans="1:7" ht="17.100000000000001" customHeight="1" x14ac:dyDescent="0.2">
      <c r="A132" s="21"/>
      <c r="B132" s="4" t="s">
        <v>1033</v>
      </c>
      <c r="C132" s="24">
        <v>24.081299999999999</v>
      </c>
      <c r="D132" s="24">
        <v>24.146599999999999</v>
      </c>
      <c r="E132" s="21"/>
      <c r="F132" s="18"/>
      <c r="G132" s="25"/>
    </row>
    <row r="133" spans="1:7" ht="17.100000000000001" customHeight="1" x14ac:dyDescent="0.2">
      <c r="A133" s="21"/>
      <c r="B133" s="4" t="s">
        <v>191</v>
      </c>
      <c r="C133" s="24">
        <v>23.416</v>
      </c>
      <c r="D133" s="24">
        <v>24.658100000000001</v>
      </c>
      <c r="E133" s="21"/>
      <c r="F133" s="18"/>
      <c r="G133" s="25"/>
    </row>
    <row r="134" spans="1:7" ht="17.100000000000001" customHeight="1" x14ac:dyDescent="0.2">
      <c r="A134" s="21"/>
      <c r="B134" s="4" t="s">
        <v>1034</v>
      </c>
      <c r="C134" s="24">
        <v>23.416</v>
      </c>
      <c r="D134" s="24">
        <v>23.440799999999999</v>
      </c>
      <c r="E134" s="21"/>
      <c r="F134" s="18"/>
      <c r="G134" s="25"/>
    </row>
    <row r="135" spans="1:7" ht="14.1" customHeight="1" x14ac:dyDescent="0.2">
      <c r="A135" s="21"/>
      <c r="B135" s="21"/>
      <c r="C135" s="21"/>
      <c r="D135" s="21"/>
      <c r="E135" s="21"/>
      <c r="F135" s="21"/>
      <c r="G135" s="21"/>
    </row>
    <row r="136" spans="1:7" ht="17.100000000000001" customHeight="1" x14ac:dyDescent="0.2">
      <c r="A136" s="21"/>
      <c r="B136" s="205" t="s">
        <v>1035</v>
      </c>
      <c r="C136" s="206"/>
      <c r="D136" s="2" t="s">
        <v>152</v>
      </c>
      <c r="E136" s="21"/>
      <c r="F136" s="21"/>
      <c r="G136" s="21"/>
    </row>
    <row r="137" spans="1:7" ht="18" customHeight="1" x14ac:dyDescent="0.2">
      <c r="A137" s="21"/>
      <c r="B137" s="29" t="s">
        <v>187</v>
      </c>
      <c r="C137" s="30" t="s">
        <v>470</v>
      </c>
      <c r="D137" s="30" t="s">
        <v>471</v>
      </c>
      <c r="E137" s="21"/>
      <c r="F137" s="21"/>
      <c r="G137" s="21"/>
    </row>
    <row r="138" spans="1:7" ht="17.100000000000001" customHeight="1" x14ac:dyDescent="0.2">
      <c r="A138" s="21"/>
      <c r="B138" s="4" t="s">
        <v>1033</v>
      </c>
      <c r="C138" s="31">
        <v>1.171</v>
      </c>
      <c r="D138" s="8" t="s">
        <v>472</v>
      </c>
      <c r="E138" s="21"/>
      <c r="F138" s="18"/>
      <c r="G138" s="25"/>
    </row>
    <row r="139" spans="1:7" ht="17.100000000000001" customHeight="1" x14ac:dyDescent="0.2">
      <c r="A139" s="21"/>
      <c r="B139" s="4" t="s">
        <v>1034</v>
      </c>
      <c r="C139" s="31">
        <v>1.171</v>
      </c>
      <c r="D139" s="8" t="s">
        <v>472</v>
      </c>
      <c r="E139" s="21"/>
      <c r="F139" s="18"/>
      <c r="G139" s="25"/>
    </row>
    <row r="140" spans="1:7" ht="14.1" customHeight="1" x14ac:dyDescent="0.2">
      <c r="A140" s="21"/>
      <c r="B140" s="32"/>
      <c r="C140" s="32"/>
      <c r="D140" s="33"/>
      <c r="E140" s="21"/>
      <c r="F140" s="18"/>
      <c r="G140" s="25"/>
    </row>
    <row r="141" spans="1:7" ht="29.1" customHeight="1" x14ac:dyDescent="0.2">
      <c r="A141" s="21"/>
      <c r="B141" s="205" t="s">
        <v>192</v>
      </c>
      <c r="C141" s="206"/>
      <c r="D141" s="2" t="s">
        <v>182</v>
      </c>
      <c r="E141" s="27"/>
      <c r="F141" s="21"/>
      <c r="G141" s="21"/>
    </row>
    <row r="142" spans="1:7" ht="29.1" customHeight="1" x14ac:dyDescent="0.2">
      <c r="A142" s="21"/>
      <c r="B142" s="205" t="s">
        <v>193</v>
      </c>
      <c r="C142" s="206"/>
      <c r="D142" s="2" t="s">
        <v>182</v>
      </c>
      <c r="E142" s="27"/>
      <c r="F142" s="21"/>
      <c r="G142" s="21"/>
    </row>
    <row r="143" spans="1:7" ht="17.100000000000001" customHeight="1" x14ac:dyDescent="0.2">
      <c r="A143" s="21"/>
      <c r="B143" s="205" t="s">
        <v>194</v>
      </c>
      <c r="C143" s="206"/>
      <c r="D143" s="2" t="s">
        <v>182</v>
      </c>
      <c r="E143" s="27"/>
      <c r="F143" s="21"/>
      <c r="G143" s="21"/>
    </row>
    <row r="144" spans="1:7" ht="17.100000000000001" customHeight="1" x14ac:dyDescent="0.2">
      <c r="A144" s="21"/>
      <c r="B144" s="205" t="s">
        <v>195</v>
      </c>
      <c r="C144" s="206"/>
      <c r="D144" s="28">
        <v>0.10916116361906576</v>
      </c>
      <c r="E144" s="21"/>
      <c r="F144" s="18"/>
      <c r="G144" s="25"/>
    </row>
    <row r="158" spans="10:14" x14ac:dyDescent="0.2">
      <c r="J158" s="198"/>
      <c r="K158" s="198"/>
      <c r="L158" s="198"/>
      <c r="M158" s="198"/>
      <c r="N158" s="198"/>
    </row>
  </sheetData>
  <mergeCells count="14">
    <mergeCell ref="B144:C144"/>
    <mergeCell ref="B127:C127"/>
    <mergeCell ref="B128:C128"/>
    <mergeCell ref="B136:C136"/>
    <mergeCell ref="B141:C141"/>
    <mergeCell ref="B142:C142"/>
    <mergeCell ref="B143:C143"/>
    <mergeCell ref="J2:N2"/>
    <mergeCell ref="B126:C126"/>
    <mergeCell ref="B123:F123"/>
    <mergeCell ref="B125:D125"/>
    <mergeCell ref="A1:H1"/>
    <mergeCell ref="A2:H2"/>
    <mergeCell ref="A3:H3"/>
  </mergeCells>
  <hyperlinks>
    <hyperlink ref="I1" location="Index!B6" display="Index" xr:uid="{5E1CD307-4C72-44CB-8F54-C47A6239A126}"/>
  </hyperlink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473</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49</v>
      </c>
      <c r="C7" s="4" t="s">
        <v>50</v>
      </c>
      <c r="D7" s="4" t="s">
        <v>34</v>
      </c>
      <c r="E7" s="5">
        <v>3854</v>
      </c>
      <c r="F7" s="6">
        <v>125.23380299999999</v>
      </c>
      <c r="G7" s="7">
        <v>5.0912199999999998E-2</v>
      </c>
      <c r="H7" s="113"/>
    </row>
    <row r="8" spans="1:15" ht="17.100000000000001" customHeight="1" x14ac:dyDescent="0.2">
      <c r="A8" s="3">
        <v>2</v>
      </c>
      <c r="B8" s="4" t="s">
        <v>35</v>
      </c>
      <c r="C8" s="4" t="s">
        <v>36</v>
      </c>
      <c r="D8" s="4" t="s">
        <v>34</v>
      </c>
      <c r="E8" s="5">
        <v>3493</v>
      </c>
      <c r="F8" s="6">
        <v>121.09357749999999</v>
      </c>
      <c r="G8" s="7">
        <v>4.9229040000000002E-2</v>
      </c>
      <c r="H8" s="113"/>
    </row>
    <row r="9" spans="1:15" ht="17.100000000000001" customHeight="1" x14ac:dyDescent="0.2">
      <c r="A9" s="3">
        <v>3</v>
      </c>
      <c r="B9" s="4" t="s">
        <v>401</v>
      </c>
      <c r="C9" s="4" t="s">
        <v>402</v>
      </c>
      <c r="D9" s="4" t="s">
        <v>56</v>
      </c>
      <c r="E9" s="5">
        <v>5638</v>
      </c>
      <c r="F9" s="6">
        <v>110.01711299999999</v>
      </c>
      <c r="G9" s="7">
        <v>4.4726050000000003E-2</v>
      </c>
      <c r="H9" s="113"/>
    </row>
    <row r="10" spans="1:15" ht="17.100000000000001" customHeight="1" x14ac:dyDescent="0.2">
      <c r="A10" s="3">
        <v>4</v>
      </c>
      <c r="B10" s="4" t="s">
        <v>399</v>
      </c>
      <c r="C10" s="4" t="s">
        <v>400</v>
      </c>
      <c r="D10" s="4" t="s">
        <v>28</v>
      </c>
      <c r="E10" s="5">
        <v>101192</v>
      </c>
      <c r="F10" s="6">
        <v>106.75756</v>
      </c>
      <c r="G10" s="7">
        <v>4.3400920000000003E-2</v>
      </c>
      <c r="H10" s="113"/>
    </row>
    <row r="11" spans="1:15" ht="17.100000000000001" customHeight="1" x14ac:dyDescent="0.2">
      <c r="A11" s="3">
        <v>5</v>
      </c>
      <c r="B11" s="4" t="s">
        <v>129</v>
      </c>
      <c r="C11" s="4" t="s">
        <v>130</v>
      </c>
      <c r="D11" s="4" t="s">
        <v>56</v>
      </c>
      <c r="E11" s="5">
        <v>23786</v>
      </c>
      <c r="F11" s="6">
        <v>101.851652</v>
      </c>
      <c r="G11" s="7">
        <v>4.1406489999999997E-2</v>
      </c>
      <c r="H11" s="113"/>
    </row>
    <row r="12" spans="1:15" ht="17.100000000000001" customHeight="1" x14ac:dyDescent="0.2">
      <c r="A12" s="3">
        <v>6</v>
      </c>
      <c r="B12" s="4" t="s">
        <v>342</v>
      </c>
      <c r="C12" s="4" t="s">
        <v>343</v>
      </c>
      <c r="D12" s="4" t="s">
        <v>267</v>
      </c>
      <c r="E12" s="5">
        <v>2929</v>
      </c>
      <c r="F12" s="6">
        <v>93.723606500000002</v>
      </c>
      <c r="G12" s="7">
        <v>3.8102129999999998E-2</v>
      </c>
      <c r="H12" s="113"/>
    </row>
    <row r="13" spans="1:15" ht="17.100000000000001" customHeight="1" x14ac:dyDescent="0.2">
      <c r="A13" s="3">
        <v>7</v>
      </c>
      <c r="B13" s="4" t="s">
        <v>403</v>
      </c>
      <c r="C13" s="4" t="s">
        <v>404</v>
      </c>
      <c r="D13" s="4" t="s">
        <v>267</v>
      </c>
      <c r="E13" s="5">
        <v>2367</v>
      </c>
      <c r="F13" s="6">
        <v>82.556225999999995</v>
      </c>
      <c r="G13" s="7">
        <v>3.3562179999999997E-2</v>
      </c>
      <c r="H13" s="113"/>
    </row>
    <row r="14" spans="1:15" ht="17.100000000000001" customHeight="1" x14ac:dyDescent="0.2">
      <c r="A14" s="3">
        <v>8</v>
      </c>
      <c r="B14" s="4" t="s">
        <v>405</v>
      </c>
      <c r="C14" s="4" t="s">
        <v>406</v>
      </c>
      <c r="D14" s="4" t="s">
        <v>34</v>
      </c>
      <c r="E14" s="5">
        <v>5262</v>
      </c>
      <c r="F14" s="6">
        <v>79.598274000000004</v>
      </c>
      <c r="G14" s="7">
        <v>3.2359659999999998E-2</v>
      </c>
      <c r="H14" s="113"/>
      <c r="J14" s="194" t="s">
        <v>1151</v>
      </c>
    </row>
    <row r="15" spans="1:15" ht="17.100000000000001" customHeight="1" x14ac:dyDescent="0.2">
      <c r="A15" s="3">
        <v>9</v>
      </c>
      <c r="B15" s="4" t="s">
        <v>71</v>
      </c>
      <c r="C15" s="4" t="s">
        <v>72</v>
      </c>
      <c r="D15" s="4" t="s">
        <v>73</v>
      </c>
      <c r="E15" s="5">
        <v>7883</v>
      </c>
      <c r="F15" s="6">
        <v>70.690802500000004</v>
      </c>
      <c r="G15" s="7">
        <v>2.8738440000000001E-2</v>
      </c>
      <c r="H15" s="113"/>
    </row>
    <row r="16" spans="1:15" ht="17.100000000000001" customHeight="1" x14ac:dyDescent="0.2">
      <c r="A16" s="3">
        <v>10</v>
      </c>
      <c r="B16" s="4" t="s">
        <v>407</v>
      </c>
      <c r="C16" s="4" t="s">
        <v>408</v>
      </c>
      <c r="D16" s="4" t="s">
        <v>257</v>
      </c>
      <c r="E16" s="5">
        <v>3916</v>
      </c>
      <c r="F16" s="6">
        <v>64.968397999999993</v>
      </c>
      <c r="G16" s="7">
        <v>2.6412069999999999E-2</v>
      </c>
      <c r="H16" s="113"/>
    </row>
    <row r="17" spans="1:8" ht="29.1" customHeight="1" x14ac:dyDescent="0.2">
      <c r="A17" s="3">
        <v>11</v>
      </c>
      <c r="B17" s="4" t="s">
        <v>415</v>
      </c>
      <c r="C17" s="4" t="s">
        <v>416</v>
      </c>
      <c r="D17" s="4" t="s">
        <v>225</v>
      </c>
      <c r="E17" s="5">
        <v>3630</v>
      </c>
      <c r="F17" s="6">
        <v>58.974795</v>
      </c>
      <c r="G17" s="7">
        <v>2.3975449999999999E-2</v>
      </c>
      <c r="H17" s="113"/>
    </row>
    <row r="18" spans="1:8" ht="17.100000000000001" customHeight="1" x14ac:dyDescent="0.2">
      <c r="A18" s="3">
        <v>12</v>
      </c>
      <c r="B18" s="4" t="s">
        <v>413</v>
      </c>
      <c r="C18" s="4" t="s">
        <v>414</v>
      </c>
      <c r="D18" s="4" t="s">
        <v>262</v>
      </c>
      <c r="E18" s="5">
        <v>19328</v>
      </c>
      <c r="F18" s="6">
        <v>58.621823999999997</v>
      </c>
      <c r="G18" s="7">
        <v>2.3831950000000001E-2</v>
      </c>
      <c r="H18" s="113"/>
    </row>
    <row r="19" spans="1:8" ht="17.100000000000001" customHeight="1" x14ac:dyDescent="0.2">
      <c r="A19" s="3">
        <v>13</v>
      </c>
      <c r="B19" s="4" t="s">
        <v>411</v>
      </c>
      <c r="C19" s="4" t="s">
        <v>412</v>
      </c>
      <c r="D19" s="4" t="s">
        <v>210</v>
      </c>
      <c r="E19" s="5">
        <v>15930</v>
      </c>
      <c r="F19" s="6">
        <v>58.224150000000002</v>
      </c>
      <c r="G19" s="7">
        <v>2.3670279999999998E-2</v>
      </c>
      <c r="H19" s="113"/>
    </row>
    <row r="20" spans="1:8" ht="17.100000000000001" customHeight="1" x14ac:dyDescent="0.2">
      <c r="A20" s="3">
        <v>14</v>
      </c>
      <c r="B20" s="4" t="s">
        <v>409</v>
      </c>
      <c r="C20" s="4" t="s">
        <v>410</v>
      </c>
      <c r="D20" s="4" t="s">
        <v>13</v>
      </c>
      <c r="E20" s="5">
        <v>40346</v>
      </c>
      <c r="F20" s="6">
        <v>56.181804999999997</v>
      </c>
      <c r="G20" s="7">
        <v>2.2839990000000001E-2</v>
      </c>
      <c r="H20" s="113"/>
    </row>
    <row r="21" spans="1:8" ht="17.100000000000001" customHeight="1" x14ac:dyDescent="0.2">
      <c r="A21" s="3">
        <v>15</v>
      </c>
      <c r="B21" s="4" t="s">
        <v>230</v>
      </c>
      <c r="C21" s="4" t="s">
        <v>231</v>
      </c>
      <c r="D21" s="4" t="s">
        <v>107</v>
      </c>
      <c r="E21" s="5">
        <v>700</v>
      </c>
      <c r="F21" s="6">
        <v>54.042450000000002</v>
      </c>
      <c r="G21" s="7">
        <v>2.197027E-2</v>
      </c>
      <c r="H21" s="113"/>
    </row>
    <row r="22" spans="1:8" ht="17.100000000000001" customHeight="1" x14ac:dyDescent="0.2">
      <c r="A22" s="3">
        <v>16</v>
      </c>
      <c r="B22" s="4" t="s">
        <v>419</v>
      </c>
      <c r="C22" s="4" t="s">
        <v>420</v>
      </c>
      <c r="D22" s="4" t="s">
        <v>245</v>
      </c>
      <c r="E22" s="5">
        <v>3795</v>
      </c>
      <c r="F22" s="6">
        <v>53.930745000000002</v>
      </c>
      <c r="G22" s="7">
        <v>2.1924849999999999E-2</v>
      </c>
      <c r="H22" s="113"/>
    </row>
    <row r="23" spans="1:8" ht="17.100000000000001" customHeight="1" x14ac:dyDescent="0.2">
      <c r="A23" s="3">
        <v>17</v>
      </c>
      <c r="B23" s="4" t="s">
        <v>417</v>
      </c>
      <c r="C23" s="4" t="s">
        <v>418</v>
      </c>
      <c r="D23" s="4" t="s">
        <v>53</v>
      </c>
      <c r="E23" s="5">
        <v>6934</v>
      </c>
      <c r="F23" s="6">
        <v>53.922251000000003</v>
      </c>
      <c r="G23" s="7">
        <v>2.1921400000000001E-2</v>
      </c>
      <c r="H23" s="113"/>
    </row>
    <row r="24" spans="1:8" ht="17.100000000000001" customHeight="1" x14ac:dyDescent="0.2">
      <c r="A24" s="3">
        <v>18</v>
      </c>
      <c r="B24" s="4" t="s">
        <v>423</v>
      </c>
      <c r="C24" s="4" t="s">
        <v>424</v>
      </c>
      <c r="D24" s="4" t="s">
        <v>53</v>
      </c>
      <c r="E24" s="5">
        <v>3328</v>
      </c>
      <c r="F24" s="6">
        <v>53.133184</v>
      </c>
      <c r="G24" s="7">
        <v>2.1600620000000001E-2</v>
      </c>
      <c r="H24" s="113"/>
    </row>
    <row r="25" spans="1:8" ht="17.100000000000001" customHeight="1" x14ac:dyDescent="0.2">
      <c r="A25" s="3">
        <v>19</v>
      </c>
      <c r="B25" s="4" t="s">
        <v>316</v>
      </c>
      <c r="C25" s="4" t="s">
        <v>317</v>
      </c>
      <c r="D25" s="4" t="s">
        <v>56</v>
      </c>
      <c r="E25" s="5">
        <v>6854</v>
      </c>
      <c r="F25" s="6">
        <v>52.909452999999999</v>
      </c>
      <c r="G25" s="7">
        <v>2.150966E-2</v>
      </c>
      <c r="H25" s="113"/>
    </row>
    <row r="26" spans="1:8" ht="17.100000000000001" customHeight="1" x14ac:dyDescent="0.2">
      <c r="A26" s="3">
        <v>20</v>
      </c>
      <c r="B26" s="4" t="s">
        <v>421</v>
      </c>
      <c r="C26" s="4" t="s">
        <v>422</v>
      </c>
      <c r="D26" s="4" t="s">
        <v>53</v>
      </c>
      <c r="E26" s="5">
        <v>38221</v>
      </c>
      <c r="F26" s="6">
        <v>48.406896500000002</v>
      </c>
      <c r="G26" s="7">
        <v>1.9679200000000001E-2</v>
      </c>
      <c r="H26" s="113"/>
    </row>
    <row r="27" spans="1:8" ht="29.1" customHeight="1" x14ac:dyDescent="0.2">
      <c r="A27" s="3">
        <v>21</v>
      </c>
      <c r="B27" s="4" t="s">
        <v>220</v>
      </c>
      <c r="C27" s="4" t="s">
        <v>221</v>
      </c>
      <c r="D27" s="4" t="s">
        <v>222</v>
      </c>
      <c r="E27" s="5">
        <v>1246</v>
      </c>
      <c r="F27" s="6">
        <v>48.010871999999999</v>
      </c>
      <c r="G27" s="7">
        <v>1.9518210000000001E-2</v>
      </c>
      <c r="H27" s="113"/>
    </row>
    <row r="28" spans="1:8" ht="29.1" customHeight="1" x14ac:dyDescent="0.2">
      <c r="A28" s="3">
        <v>22</v>
      </c>
      <c r="B28" s="4" t="s">
        <v>95</v>
      </c>
      <c r="C28" s="4" t="s">
        <v>96</v>
      </c>
      <c r="D28" s="4" t="s">
        <v>25</v>
      </c>
      <c r="E28" s="5">
        <v>1193</v>
      </c>
      <c r="F28" s="6">
        <v>45.193822500000003</v>
      </c>
      <c r="G28" s="7">
        <v>1.8372969999999999E-2</v>
      </c>
      <c r="H28" s="113"/>
    </row>
    <row r="29" spans="1:8" ht="17.100000000000001" customHeight="1" x14ac:dyDescent="0.2">
      <c r="A29" s="3">
        <v>23</v>
      </c>
      <c r="B29" s="4" t="s">
        <v>429</v>
      </c>
      <c r="C29" s="4" t="s">
        <v>430</v>
      </c>
      <c r="D29" s="4" t="s">
        <v>892</v>
      </c>
      <c r="E29" s="5">
        <v>3437</v>
      </c>
      <c r="F29" s="6">
        <v>44.890656999999997</v>
      </c>
      <c r="G29" s="7">
        <v>1.8249720000000001E-2</v>
      </c>
      <c r="H29" s="113"/>
    </row>
    <row r="30" spans="1:8" ht="17.100000000000001" customHeight="1" x14ac:dyDescent="0.2">
      <c r="A30" s="3">
        <v>24</v>
      </c>
      <c r="B30" s="4" t="s">
        <v>47</v>
      </c>
      <c r="C30" s="4" t="s">
        <v>48</v>
      </c>
      <c r="D30" s="4" t="s">
        <v>34</v>
      </c>
      <c r="E30" s="5">
        <v>1906</v>
      </c>
      <c r="F30" s="6">
        <v>44.392645999999999</v>
      </c>
      <c r="G30" s="7">
        <v>1.8047259999999999E-2</v>
      </c>
      <c r="H30" s="113"/>
    </row>
    <row r="31" spans="1:8" ht="29.1" customHeight="1" x14ac:dyDescent="0.2">
      <c r="A31" s="3">
        <v>25</v>
      </c>
      <c r="B31" s="4" t="s">
        <v>441</v>
      </c>
      <c r="C31" s="4" t="s">
        <v>442</v>
      </c>
      <c r="D31" s="4" t="s">
        <v>443</v>
      </c>
      <c r="E31" s="5">
        <v>28099</v>
      </c>
      <c r="F31" s="6">
        <v>42.457588999999999</v>
      </c>
      <c r="G31" s="7">
        <v>1.7260589999999999E-2</v>
      </c>
      <c r="H31" s="113"/>
    </row>
    <row r="32" spans="1:8" ht="17.100000000000001" customHeight="1" x14ac:dyDescent="0.2">
      <c r="A32" s="3">
        <v>26</v>
      </c>
      <c r="B32" s="4" t="s">
        <v>427</v>
      </c>
      <c r="C32" s="4" t="s">
        <v>428</v>
      </c>
      <c r="D32" s="4" t="s">
        <v>56</v>
      </c>
      <c r="E32" s="5">
        <v>4055</v>
      </c>
      <c r="F32" s="6">
        <v>42.1699725</v>
      </c>
      <c r="G32" s="7">
        <v>1.7143660000000002E-2</v>
      </c>
      <c r="H32" s="113"/>
    </row>
    <row r="33" spans="1:8" ht="17.100000000000001" customHeight="1" x14ac:dyDescent="0.2">
      <c r="A33" s="3">
        <v>27</v>
      </c>
      <c r="B33" s="4" t="s">
        <v>425</v>
      </c>
      <c r="C33" s="4" t="s">
        <v>426</v>
      </c>
      <c r="D33" s="4" t="s">
        <v>245</v>
      </c>
      <c r="E33" s="5">
        <v>5099</v>
      </c>
      <c r="F33" s="6">
        <v>41.6511815</v>
      </c>
      <c r="G33" s="7">
        <v>1.6932760000000002E-2</v>
      </c>
      <c r="H33" s="113"/>
    </row>
    <row r="34" spans="1:8" ht="29.1" customHeight="1" x14ac:dyDescent="0.2">
      <c r="A34" s="3">
        <v>28</v>
      </c>
      <c r="B34" s="4" t="s">
        <v>273</v>
      </c>
      <c r="C34" s="4" t="s">
        <v>274</v>
      </c>
      <c r="D34" s="4" t="s">
        <v>225</v>
      </c>
      <c r="E34" s="5">
        <v>9440</v>
      </c>
      <c r="F34" s="6">
        <v>40.610880000000002</v>
      </c>
      <c r="G34" s="7">
        <v>1.650983E-2</v>
      </c>
      <c r="H34" s="113"/>
    </row>
    <row r="35" spans="1:8" ht="29.1" customHeight="1" x14ac:dyDescent="0.2">
      <c r="A35" s="3">
        <v>29</v>
      </c>
      <c r="B35" s="4" t="s">
        <v>433</v>
      </c>
      <c r="C35" s="4" t="s">
        <v>434</v>
      </c>
      <c r="D35" s="4" t="s">
        <v>31</v>
      </c>
      <c r="E35" s="5">
        <v>1669</v>
      </c>
      <c r="F35" s="6">
        <v>36.856527</v>
      </c>
      <c r="G35" s="7">
        <v>1.498355E-2</v>
      </c>
      <c r="H35" s="113"/>
    </row>
    <row r="36" spans="1:8" ht="17.100000000000001" customHeight="1" x14ac:dyDescent="0.2">
      <c r="A36" s="3">
        <v>30</v>
      </c>
      <c r="B36" s="4" t="s">
        <v>435</v>
      </c>
      <c r="C36" s="4" t="s">
        <v>436</v>
      </c>
      <c r="D36" s="4" t="s">
        <v>53</v>
      </c>
      <c r="E36" s="5">
        <v>6492</v>
      </c>
      <c r="F36" s="6">
        <v>36.683045999999997</v>
      </c>
      <c r="G36" s="7">
        <v>1.4913020000000001E-2</v>
      </c>
      <c r="H36" s="113"/>
    </row>
    <row r="37" spans="1:8" ht="17.100000000000001" customHeight="1" x14ac:dyDescent="0.2">
      <c r="A37" s="3">
        <v>31</v>
      </c>
      <c r="B37" s="4" t="s">
        <v>431</v>
      </c>
      <c r="C37" s="4" t="s">
        <v>432</v>
      </c>
      <c r="D37" s="4" t="s">
        <v>315</v>
      </c>
      <c r="E37" s="5">
        <v>4092</v>
      </c>
      <c r="F37" s="6">
        <v>36.218291999999998</v>
      </c>
      <c r="G37" s="7">
        <v>1.4724080000000001E-2</v>
      </c>
      <c r="H37" s="113"/>
    </row>
    <row r="38" spans="1:8" ht="29.1" customHeight="1" x14ac:dyDescent="0.2">
      <c r="A38" s="3">
        <v>32</v>
      </c>
      <c r="B38" s="4" t="s">
        <v>437</v>
      </c>
      <c r="C38" s="4" t="s">
        <v>438</v>
      </c>
      <c r="D38" s="4" t="s">
        <v>76</v>
      </c>
      <c r="E38" s="5">
        <v>1417</v>
      </c>
      <c r="F38" s="6">
        <v>35.186235500000002</v>
      </c>
      <c r="G38" s="7">
        <v>1.4304509999999999E-2</v>
      </c>
      <c r="H38" s="113"/>
    </row>
    <row r="39" spans="1:8" ht="29.1" customHeight="1" x14ac:dyDescent="0.2">
      <c r="A39" s="3">
        <v>33</v>
      </c>
      <c r="B39" s="4" t="s">
        <v>439</v>
      </c>
      <c r="C39" s="4" t="s">
        <v>440</v>
      </c>
      <c r="D39" s="4" t="s">
        <v>225</v>
      </c>
      <c r="E39" s="5">
        <v>7291</v>
      </c>
      <c r="F39" s="6">
        <v>28.814032000000001</v>
      </c>
      <c r="G39" s="7">
        <v>1.1713980000000001E-2</v>
      </c>
      <c r="H39" s="113"/>
    </row>
    <row r="40" spans="1:8" ht="17.100000000000001" customHeight="1" x14ac:dyDescent="0.2">
      <c r="A40" s="3">
        <v>34</v>
      </c>
      <c r="B40" s="4" t="s">
        <v>446</v>
      </c>
      <c r="C40" s="4" t="s">
        <v>447</v>
      </c>
      <c r="D40" s="4" t="s">
        <v>73</v>
      </c>
      <c r="E40" s="5">
        <v>1242</v>
      </c>
      <c r="F40" s="6">
        <v>27.878553</v>
      </c>
      <c r="G40" s="7">
        <v>1.1333670000000001E-2</v>
      </c>
      <c r="H40" s="113"/>
    </row>
    <row r="41" spans="1:8" ht="17.100000000000001" customHeight="1" x14ac:dyDescent="0.2">
      <c r="A41" s="3">
        <v>35</v>
      </c>
      <c r="B41" s="4" t="s">
        <v>454</v>
      </c>
      <c r="C41" s="4" t="s">
        <v>455</v>
      </c>
      <c r="D41" s="4" t="s">
        <v>34</v>
      </c>
      <c r="E41" s="5">
        <v>2300</v>
      </c>
      <c r="F41" s="6">
        <v>25.6082</v>
      </c>
      <c r="G41" s="7">
        <v>1.041069E-2</v>
      </c>
      <c r="H41" s="113"/>
    </row>
    <row r="42" spans="1:8" ht="17.100000000000001" customHeight="1" x14ac:dyDescent="0.2">
      <c r="A42" s="3">
        <v>36</v>
      </c>
      <c r="B42" s="4" t="s">
        <v>450</v>
      </c>
      <c r="C42" s="4" t="s">
        <v>451</v>
      </c>
      <c r="D42" s="4" t="s">
        <v>53</v>
      </c>
      <c r="E42" s="5">
        <v>2752</v>
      </c>
      <c r="F42" s="6">
        <v>25.596352</v>
      </c>
      <c r="G42" s="7">
        <v>1.0405869999999999E-2</v>
      </c>
      <c r="H42" s="113"/>
    </row>
    <row r="43" spans="1:8" ht="17.100000000000001" customHeight="1" x14ac:dyDescent="0.2">
      <c r="A43" s="3">
        <v>37</v>
      </c>
      <c r="B43" s="4" t="s">
        <v>296</v>
      </c>
      <c r="C43" s="4" t="s">
        <v>297</v>
      </c>
      <c r="D43" s="4" t="s">
        <v>53</v>
      </c>
      <c r="E43" s="5">
        <v>2453</v>
      </c>
      <c r="F43" s="6">
        <v>25.5124265</v>
      </c>
      <c r="G43" s="7">
        <v>1.0371750000000001E-2</v>
      </c>
      <c r="H43" s="113"/>
    </row>
    <row r="44" spans="1:8" ht="17.100000000000001" customHeight="1" x14ac:dyDescent="0.2">
      <c r="A44" s="3">
        <v>38</v>
      </c>
      <c r="B44" s="4" t="s">
        <v>448</v>
      </c>
      <c r="C44" s="4" t="s">
        <v>449</v>
      </c>
      <c r="D44" s="4" t="s">
        <v>99</v>
      </c>
      <c r="E44" s="5">
        <v>2336</v>
      </c>
      <c r="F44" s="6">
        <v>25.090976000000001</v>
      </c>
      <c r="G44" s="7">
        <v>1.020042E-2</v>
      </c>
      <c r="H44" s="113"/>
    </row>
    <row r="45" spans="1:8" ht="29.1" customHeight="1" x14ac:dyDescent="0.2">
      <c r="A45" s="3">
        <v>39</v>
      </c>
      <c r="B45" s="4" t="s">
        <v>460</v>
      </c>
      <c r="C45" s="4" t="s">
        <v>461</v>
      </c>
      <c r="D45" s="4" t="s">
        <v>225</v>
      </c>
      <c r="E45" s="5">
        <v>472</v>
      </c>
      <c r="F45" s="6">
        <v>23.353380000000001</v>
      </c>
      <c r="G45" s="7">
        <v>9.4940200000000006E-3</v>
      </c>
      <c r="H45" s="113"/>
    </row>
    <row r="46" spans="1:8" ht="17.100000000000001" customHeight="1" x14ac:dyDescent="0.2">
      <c r="A46" s="3">
        <v>40</v>
      </c>
      <c r="B46" s="4" t="s">
        <v>452</v>
      </c>
      <c r="C46" s="4" t="s">
        <v>453</v>
      </c>
      <c r="D46" s="4" t="s">
        <v>245</v>
      </c>
      <c r="E46" s="5">
        <v>10135</v>
      </c>
      <c r="F46" s="6">
        <v>23.183812499999998</v>
      </c>
      <c r="G46" s="7">
        <v>9.4250800000000006E-3</v>
      </c>
      <c r="H46" s="113"/>
    </row>
    <row r="47" spans="1:8" ht="17.100000000000001" customHeight="1" x14ac:dyDescent="0.2">
      <c r="A47" s="3">
        <v>41</v>
      </c>
      <c r="B47" s="4" t="s">
        <v>87</v>
      </c>
      <c r="C47" s="4" t="s">
        <v>88</v>
      </c>
      <c r="D47" s="4" t="s">
        <v>34</v>
      </c>
      <c r="E47" s="5">
        <v>2747</v>
      </c>
      <c r="F47" s="6">
        <v>22.120217499999999</v>
      </c>
      <c r="G47" s="7">
        <v>8.9926899999999994E-3</v>
      </c>
      <c r="H47" s="113"/>
    </row>
    <row r="48" spans="1:8" ht="17.100000000000001" customHeight="1" x14ac:dyDescent="0.2">
      <c r="A48" s="3">
        <v>42</v>
      </c>
      <c r="B48" s="4" t="s">
        <v>458</v>
      </c>
      <c r="C48" s="4" t="s">
        <v>459</v>
      </c>
      <c r="D48" s="4" t="s">
        <v>46</v>
      </c>
      <c r="E48" s="5">
        <v>2557</v>
      </c>
      <c r="F48" s="6">
        <v>21.038996000000001</v>
      </c>
      <c r="G48" s="7">
        <v>8.5531400000000007E-3</v>
      </c>
      <c r="H48" s="113"/>
    </row>
    <row r="49" spans="1:8" ht="17.100000000000001" customHeight="1" x14ac:dyDescent="0.2">
      <c r="A49" s="3">
        <v>43</v>
      </c>
      <c r="B49" s="4" t="s">
        <v>456</v>
      </c>
      <c r="C49" s="4" t="s">
        <v>457</v>
      </c>
      <c r="D49" s="4" t="s">
        <v>56</v>
      </c>
      <c r="E49" s="5">
        <v>4498</v>
      </c>
      <c r="F49" s="6">
        <v>20.238751000000001</v>
      </c>
      <c r="G49" s="7">
        <v>8.2278100000000003E-3</v>
      </c>
      <c r="H49" s="113"/>
    </row>
    <row r="50" spans="1:8" ht="29.1" customHeight="1" x14ac:dyDescent="0.2">
      <c r="A50" s="3">
        <v>44</v>
      </c>
      <c r="B50" s="4" t="s">
        <v>444</v>
      </c>
      <c r="C50" s="4" t="s">
        <v>445</v>
      </c>
      <c r="D50" s="4" t="s">
        <v>215</v>
      </c>
      <c r="E50" s="5">
        <v>3485</v>
      </c>
      <c r="F50" s="6">
        <v>19.407965000000001</v>
      </c>
      <c r="G50" s="7">
        <v>7.8900600000000008E-3</v>
      </c>
      <c r="H50" s="113"/>
    </row>
    <row r="51" spans="1:8" ht="17.100000000000001" customHeight="1" x14ac:dyDescent="0.2">
      <c r="A51" s="3">
        <v>45</v>
      </c>
      <c r="B51" s="4" t="s">
        <v>462</v>
      </c>
      <c r="C51" s="4" t="s">
        <v>463</v>
      </c>
      <c r="D51" s="4" t="s">
        <v>34</v>
      </c>
      <c r="E51" s="5">
        <v>1303</v>
      </c>
      <c r="F51" s="6">
        <v>12.6084795</v>
      </c>
      <c r="G51" s="7">
        <v>5.1258199999999997E-3</v>
      </c>
      <c r="H51" s="113"/>
    </row>
    <row r="52" spans="1:8" ht="17.100000000000001" customHeight="1" x14ac:dyDescent="0.2">
      <c r="A52" s="3">
        <v>46</v>
      </c>
      <c r="B52" s="4" t="s">
        <v>309</v>
      </c>
      <c r="C52" s="4" t="s">
        <v>310</v>
      </c>
      <c r="D52" s="4" t="s">
        <v>53</v>
      </c>
      <c r="E52" s="5">
        <v>700</v>
      </c>
      <c r="F52" s="6">
        <v>10.58225</v>
      </c>
      <c r="G52" s="7">
        <v>4.3020799999999998E-3</v>
      </c>
      <c r="H52" s="113"/>
    </row>
    <row r="53" spans="1:8" ht="29.1" customHeight="1" x14ac:dyDescent="0.2">
      <c r="A53" s="3">
        <v>47</v>
      </c>
      <c r="B53" s="4" t="s">
        <v>464</v>
      </c>
      <c r="C53" s="4" t="s">
        <v>465</v>
      </c>
      <c r="D53" s="4" t="s">
        <v>56</v>
      </c>
      <c r="E53" s="5">
        <v>2931</v>
      </c>
      <c r="F53" s="6">
        <v>9.1124790000000004</v>
      </c>
      <c r="G53" s="7">
        <v>3.70456E-3</v>
      </c>
      <c r="H53" s="113"/>
    </row>
    <row r="54" spans="1:8" ht="17.100000000000001" customHeight="1" x14ac:dyDescent="0.2">
      <c r="A54" s="3">
        <v>48</v>
      </c>
      <c r="B54" s="4" t="s">
        <v>468</v>
      </c>
      <c r="C54" s="4" t="s">
        <v>469</v>
      </c>
      <c r="D54" s="4" t="s">
        <v>28</v>
      </c>
      <c r="E54" s="5">
        <v>1611</v>
      </c>
      <c r="F54" s="6">
        <v>6.7444515000000003</v>
      </c>
      <c r="G54" s="7">
        <v>2.74187E-3</v>
      </c>
      <c r="H54" s="113"/>
    </row>
    <row r="55" spans="1:8" ht="29.1" customHeight="1" x14ac:dyDescent="0.2">
      <c r="A55" s="3">
        <v>49</v>
      </c>
      <c r="B55" s="4" t="s">
        <v>466</v>
      </c>
      <c r="C55" s="4" t="s">
        <v>467</v>
      </c>
      <c r="D55" s="4" t="s">
        <v>222</v>
      </c>
      <c r="E55" s="5">
        <v>1125</v>
      </c>
      <c r="F55" s="6">
        <v>5.6694374999999999</v>
      </c>
      <c r="G55" s="7">
        <v>2.3048399999999998E-3</v>
      </c>
      <c r="H55" s="113"/>
    </row>
    <row r="56" spans="1:8" ht="14.1" customHeight="1" x14ac:dyDescent="0.2">
      <c r="A56" s="1"/>
      <c r="B56" s="1"/>
      <c r="C56" s="2" t="s">
        <v>151</v>
      </c>
      <c r="D56" s="1"/>
      <c r="E56" s="1" t="s">
        <v>152</v>
      </c>
      <c r="F56" s="9">
        <v>2331.7210460000001</v>
      </c>
      <c r="G56" s="10">
        <v>0.94793136</v>
      </c>
      <c r="H56" s="113"/>
    </row>
    <row r="57" spans="1:8" ht="14.1" customHeight="1" x14ac:dyDescent="0.2">
      <c r="A57" s="1"/>
      <c r="B57" s="1"/>
      <c r="C57" s="11"/>
      <c r="D57" s="1"/>
      <c r="E57" s="1"/>
      <c r="F57" s="12"/>
      <c r="G57" s="12"/>
      <c r="H57" s="113"/>
    </row>
    <row r="58" spans="1:8" ht="14.1" customHeight="1" x14ac:dyDescent="0.2">
      <c r="A58" s="1"/>
      <c r="B58" s="1"/>
      <c r="C58" s="2" t="s">
        <v>153</v>
      </c>
      <c r="D58" s="1"/>
      <c r="E58" s="1"/>
      <c r="F58" s="1"/>
      <c r="G58" s="1"/>
      <c r="H58" s="113"/>
    </row>
    <row r="59" spans="1:8" ht="14.1" customHeight="1" x14ac:dyDescent="0.2">
      <c r="A59" s="1"/>
      <c r="B59" s="1"/>
      <c r="C59" s="2" t="s">
        <v>151</v>
      </c>
      <c r="D59" s="1"/>
      <c r="E59" s="1" t="s">
        <v>152</v>
      </c>
      <c r="F59" s="13" t="s">
        <v>154</v>
      </c>
      <c r="G59" s="10">
        <v>0</v>
      </c>
      <c r="H59" s="113"/>
    </row>
    <row r="60" spans="1:8" ht="14.1" customHeight="1" x14ac:dyDescent="0.2">
      <c r="A60" s="1"/>
      <c r="B60" s="1"/>
      <c r="C60" s="11"/>
      <c r="D60" s="1"/>
      <c r="E60" s="1"/>
      <c r="F60" s="12"/>
      <c r="G60" s="12"/>
      <c r="H60" s="113"/>
    </row>
    <row r="61" spans="1:8" ht="14.1" customHeight="1" x14ac:dyDescent="0.2">
      <c r="A61" s="1"/>
      <c r="B61" s="1"/>
      <c r="C61" s="2" t="s">
        <v>155</v>
      </c>
      <c r="D61" s="1"/>
      <c r="E61" s="1"/>
      <c r="F61" s="1"/>
      <c r="G61" s="1"/>
      <c r="H61" s="113"/>
    </row>
    <row r="62" spans="1:8" ht="14.1" customHeight="1" x14ac:dyDescent="0.2">
      <c r="A62" s="1"/>
      <c r="B62" s="1"/>
      <c r="C62" s="2" t="s">
        <v>151</v>
      </c>
      <c r="D62" s="1"/>
      <c r="E62" s="1" t="s">
        <v>152</v>
      </c>
      <c r="F62" s="13" t="s">
        <v>154</v>
      </c>
      <c r="G62" s="10">
        <v>0</v>
      </c>
      <c r="H62" s="113"/>
    </row>
    <row r="63" spans="1:8" ht="14.1" customHeight="1" x14ac:dyDescent="0.2">
      <c r="A63" s="1"/>
      <c r="B63" s="1"/>
      <c r="C63" s="11"/>
      <c r="D63" s="1"/>
      <c r="E63" s="1"/>
      <c r="F63" s="12"/>
      <c r="G63" s="12"/>
      <c r="H63" s="113"/>
    </row>
    <row r="64" spans="1:8" ht="14.1" customHeight="1" x14ac:dyDescent="0.2">
      <c r="A64" s="1"/>
      <c r="B64" s="1"/>
      <c r="C64" s="2" t="s">
        <v>156</v>
      </c>
      <c r="D64" s="1"/>
      <c r="E64" s="1"/>
      <c r="F64" s="1"/>
      <c r="G64" s="1"/>
      <c r="H64" s="113"/>
    </row>
    <row r="65" spans="1:8" ht="29.1" customHeight="1" x14ac:dyDescent="0.2">
      <c r="A65" s="3">
        <v>1</v>
      </c>
      <c r="B65" s="4" t="s">
        <v>318</v>
      </c>
      <c r="C65" s="4" t="s">
        <v>898</v>
      </c>
      <c r="D65" s="4" t="s">
        <v>107</v>
      </c>
      <c r="E65" s="5">
        <v>81200</v>
      </c>
      <c r="F65" s="6">
        <v>8.6072000000000006</v>
      </c>
      <c r="G65" s="7">
        <v>3.4991499999999999E-3</v>
      </c>
      <c r="H65" s="113"/>
    </row>
    <row r="66" spans="1:8" ht="38.25" x14ac:dyDescent="0.2">
      <c r="A66" s="3">
        <v>2</v>
      </c>
      <c r="B66" s="4" t="s">
        <v>319</v>
      </c>
      <c r="C66" s="4" t="s">
        <v>899</v>
      </c>
      <c r="D66" s="4" t="s">
        <v>53</v>
      </c>
      <c r="E66" s="5">
        <v>81</v>
      </c>
      <c r="F66" s="6">
        <v>8.1013769999999999E-3</v>
      </c>
      <c r="G66" s="7" t="s">
        <v>150</v>
      </c>
      <c r="H66" s="113"/>
    </row>
    <row r="67" spans="1:8" ht="14.1" customHeight="1" x14ac:dyDescent="0.2">
      <c r="A67" s="1"/>
      <c r="B67" s="1"/>
      <c r="C67" s="2" t="s">
        <v>151</v>
      </c>
      <c r="D67" s="1"/>
      <c r="E67" s="1" t="s">
        <v>152</v>
      </c>
      <c r="F67" s="9">
        <v>8.6153013769999998</v>
      </c>
      <c r="G67" s="10">
        <v>3.5024399999999999E-3</v>
      </c>
      <c r="H67" s="113"/>
    </row>
    <row r="68" spans="1:8" ht="14.1" customHeight="1" x14ac:dyDescent="0.2">
      <c r="A68" s="1"/>
      <c r="B68" s="1"/>
      <c r="C68" s="11"/>
      <c r="D68" s="1"/>
      <c r="E68" s="1"/>
      <c r="F68" s="12"/>
      <c r="G68" s="12"/>
      <c r="H68" s="113"/>
    </row>
    <row r="69" spans="1:8" ht="14.1" customHeight="1" x14ac:dyDescent="0.2">
      <c r="A69" s="1"/>
      <c r="B69" s="1"/>
      <c r="C69" s="2" t="s">
        <v>157</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4.1" customHeight="1" x14ac:dyDescent="0.2">
      <c r="A72" s="1"/>
      <c r="B72" s="1"/>
      <c r="C72" s="2" t="s">
        <v>158</v>
      </c>
      <c r="D72" s="1"/>
      <c r="E72" s="1"/>
      <c r="F72" s="12"/>
      <c r="G72" s="12"/>
      <c r="H72" s="113"/>
    </row>
    <row r="73" spans="1:8" ht="14.1" customHeight="1" x14ac:dyDescent="0.2">
      <c r="A73" s="1"/>
      <c r="B73" s="1"/>
      <c r="C73" s="2" t="s">
        <v>151</v>
      </c>
      <c r="D73" s="1"/>
      <c r="E73" s="1" t="s">
        <v>152</v>
      </c>
      <c r="F73" s="13" t="s">
        <v>154</v>
      </c>
      <c r="G73" s="10">
        <v>0</v>
      </c>
      <c r="H73" s="113"/>
    </row>
    <row r="74" spans="1:8" ht="14.1" customHeight="1" x14ac:dyDescent="0.2">
      <c r="A74" s="1"/>
      <c r="B74" s="1"/>
      <c r="C74" s="11"/>
      <c r="D74" s="1"/>
      <c r="E74" s="1"/>
      <c r="F74" s="12"/>
      <c r="G74" s="12"/>
      <c r="H74" s="113"/>
    </row>
    <row r="75" spans="1:8" ht="18" customHeight="1" x14ac:dyDescent="0.2">
      <c r="A75" s="1"/>
      <c r="B75" s="1"/>
      <c r="C75" s="2" t="s">
        <v>159</v>
      </c>
      <c r="D75" s="1"/>
      <c r="E75" s="1"/>
      <c r="F75" s="9">
        <v>2340.336347377</v>
      </c>
      <c r="G75" s="10">
        <v>0.9514338</v>
      </c>
      <c r="H75" s="113"/>
    </row>
    <row r="76" spans="1:8" ht="14.1" customHeight="1" x14ac:dyDescent="0.2">
      <c r="A76" s="1"/>
      <c r="B76" s="1"/>
      <c r="C76" s="11"/>
      <c r="D76" s="1"/>
      <c r="E76" s="1"/>
      <c r="F76" s="12"/>
      <c r="G76" s="12"/>
      <c r="H76" s="113"/>
    </row>
    <row r="77" spans="1:8" ht="14.1" customHeight="1" x14ac:dyDescent="0.2">
      <c r="A77" s="1"/>
      <c r="B77" s="1"/>
      <c r="C77" s="2" t="s">
        <v>160</v>
      </c>
      <c r="D77" s="1"/>
      <c r="E77" s="1"/>
      <c r="F77" s="12"/>
      <c r="G77" s="12"/>
      <c r="H77" s="113"/>
    </row>
    <row r="78" spans="1:8" ht="24" customHeight="1" x14ac:dyDescent="0.2">
      <c r="A78" s="1"/>
      <c r="B78" s="1"/>
      <c r="C78" s="2" t="s">
        <v>10</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161</v>
      </c>
      <c r="D81" s="1"/>
      <c r="E81" s="1"/>
      <c r="F81" s="1"/>
      <c r="G81" s="1"/>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162</v>
      </c>
      <c r="D84" s="1"/>
      <c r="E84" s="1"/>
      <c r="F84" s="1"/>
      <c r="G84" s="1"/>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163</v>
      </c>
      <c r="D87" s="1"/>
      <c r="E87" s="1"/>
      <c r="F87" s="12"/>
      <c r="G87" s="12"/>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4.1" customHeight="1" x14ac:dyDescent="0.2">
      <c r="A90" s="1"/>
      <c r="B90" s="1"/>
      <c r="C90" s="2" t="s">
        <v>164</v>
      </c>
      <c r="D90" s="1"/>
      <c r="E90" s="1"/>
      <c r="F90" s="9">
        <v>0</v>
      </c>
      <c r="G90" s="10">
        <v>0</v>
      </c>
      <c r="H90" s="113"/>
    </row>
    <row r="91" spans="1:8" ht="14.1" customHeight="1" x14ac:dyDescent="0.2">
      <c r="A91" s="1"/>
      <c r="B91" s="1"/>
      <c r="C91" s="11"/>
      <c r="D91" s="1"/>
      <c r="E91" s="1"/>
      <c r="F91" s="12"/>
      <c r="G91" s="12"/>
      <c r="H91" s="113"/>
    </row>
    <row r="92" spans="1:8" ht="14.1" customHeight="1" x14ac:dyDescent="0.2">
      <c r="A92" s="1"/>
      <c r="B92" s="1"/>
      <c r="C92" s="2" t="s">
        <v>165</v>
      </c>
      <c r="D92" s="1"/>
      <c r="E92" s="1"/>
      <c r="F92" s="12"/>
      <c r="G92" s="12"/>
      <c r="H92" s="113"/>
    </row>
    <row r="93" spans="1:8" ht="14.1" customHeight="1" x14ac:dyDescent="0.2">
      <c r="A93" s="1"/>
      <c r="B93" s="1"/>
      <c r="C93" s="2" t="s">
        <v>166</v>
      </c>
      <c r="D93" s="1"/>
      <c r="E93" s="1"/>
      <c r="F93" s="12"/>
      <c r="G93" s="12"/>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4.1" customHeight="1" x14ac:dyDescent="0.2">
      <c r="A96" s="1"/>
      <c r="B96" s="1"/>
      <c r="C96" s="2" t="s">
        <v>167</v>
      </c>
      <c r="D96" s="1"/>
      <c r="E96" s="1"/>
      <c r="F96" s="12"/>
      <c r="G96" s="12"/>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168</v>
      </c>
      <c r="D99" s="1"/>
      <c r="E99" s="1"/>
      <c r="F99" s="12"/>
      <c r="G99" s="12"/>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14.1" customHeight="1" x14ac:dyDescent="0.2">
      <c r="A102" s="1"/>
      <c r="B102" s="1"/>
      <c r="C102" s="2" t="s">
        <v>169</v>
      </c>
      <c r="D102" s="1"/>
      <c r="E102" s="1"/>
      <c r="F102" s="12"/>
      <c r="G102" s="12"/>
      <c r="H102" s="113"/>
    </row>
    <row r="103" spans="1:8" ht="17.100000000000001" customHeight="1" x14ac:dyDescent="0.2">
      <c r="A103" s="3">
        <v>1</v>
      </c>
      <c r="B103" s="4"/>
      <c r="C103" s="4" t="s">
        <v>170</v>
      </c>
      <c r="D103" s="4"/>
      <c r="E103" s="8"/>
      <c r="F103" s="6">
        <v>139.70446699999999</v>
      </c>
      <c r="G103" s="7">
        <v>5.6795060000000001E-2</v>
      </c>
      <c r="H103" s="113">
        <v>6.7600000000000016</v>
      </c>
    </row>
    <row r="104" spans="1:8" ht="14.1" customHeight="1" x14ac:dyDescent="0.2">
      <c r="A104" s="1"/>
      <c r="B104" s="1"/>
      <c r="C104" s="2" t="s">
        <v>151</v>
      </c>
      <c r="D104" s="1"/>
      <c r="E104" s="1" t="s">
        <v>152</v>
      </c>
      <c r="F104" s="9">
        <v>139.70446699999999</v>
      </c>
      <c r="G104" s="10">
        <v>5.6795060000000001E-2</v>
      </c>
      <c r="H104" s="113"/>
    </row>
    <row r="105" spans="1:8" ht="14.1" customHeight="1" x14ac:dyDescent="0.2">
      <c r="A105" s="1"/>
      <c r="B105" s="1"/>
      <c r="C105" s="11"/>
      <c r="D105" s="1"/>
      <c r="E105" s="1"/>
      <c r="F105" s="12"/>
      <c r="G105" s="12"/>
      <c r="H105" s="113"/>
    </row>
    <row r="106" spans="1:8" ht="14.1" customHeight="1" x14ac:dyDescent="0.2">
      <c r="A106" s="1"/>
      <c r="B106" s="1"/>
      <c r="C106" s="2" t="s">
        <v>171</v>
      </c>
      <c r="D106" s="1"/>
      <c r="E106" s="1"/>
      <c r="F106" s="9">
        <v>139.70446699999999</v>
      </c>
      <c r="G106" s="10">
        <v>5.6795060000000001E-2</v>
      </c>
      <c r="H106" s="113"/>
    </row>
    <row r="107" spans="1:8" ht="14.1" customHeight="1" x14ac:dyDescent="0.2">
      <c r="A107" s="1"/>
      <c r="B107" s="1"/>
      <c r="C107" s="12"/>
      <c r="D107" s="1"/>
      <c r="E107" s="1"/>
      <c r="F107" s="1"/>
      <c r="G107" s="1"/>
      <c r="H107" s="113"/>
    </row>
    <row r="108" spans="1:8" ht="14.1" customHeight="1" x14ac:dyDescent="0.2">
      <c r="A108" s="1"/>
      <c r="B108" s="1"/>
      <c r="C108" s="2" t="s">
        <v>172</v>
      </c>
      <c r="D108" s="1"/>
      <c r="E108" s="1"/>
      <c r="F108" s="1"/>
      <c r="G108" s="1"/>
      <c r="H108" s="113"/>
    </row>
    <row r="109" spans="1:8" ht="14.1" customHeight="1" x14ac:dyDescent="0.2">
      <c r="A109" s="1"/>
      <c r="B109" s="1"/>
      <c r="C109" s="2" t="s">
        <v>173</v>
      </c>
      <c r="D109" s="1"/>
      <c r="E109" s="1"/>
      <c r="F109" s="1"/>
      <c r="G109" s="1"/>
      <c r="H109" s="113"/>
    </row>
    <row r="110" spans="1:8" ht="14.1" customHeight="1" x14ac:dyDescent="0.2">
      <c r="A110" s="1"/>
      <c r="B110" s="1"/>
      <c r="C110" s="2" t="s">
        <v>151</v>
      </c>
      <c r="D110" s="1"/>
      <c r="E110" s="1" t="s">
        <v>152</v>
      </c>
      <c r="F110" s="13" t="s">
        <v>154</v>
      </c>
      <c r="G110" s="10">
        <v>0</v>
      </c>
      <c r="H110" s="113"/>
    </row>
    <row r="111" spans="1:8" ht="14.1" customHeight="1" x14ac:dyDescent="0.2">
      <c r="A111" s="1"/>
      <c r="B111" s="1"/>
      <c r="C111" s="11"/>
      <c r="D111" s="1"/>
      <c r="E111" s="1"/>
      <c r="F111" s="12"/>
      <c r="G111" s="12"/>
      <c r="H111" s="113"/>
    </row>
    <row r="112" spans="1:8" ht="14.1" customHeight="1" x14ac:dyDescent="0.2">
      <c r="A112" s="1"/>
      <c r="B112" s="1"/>
      <c r="C112" s="2" t="s">
        <v>174</v>
      </c>
      <c r="D112" s="1"/>
      <c r="E112" s="1"/>
      <c r="F112" s="1"/>
      <c r="G112" s="1"/>
      <c r="H112" s="113"/>
    </row>
    <row r="113" spans="1:8" ht="14.1" customHeight="1" x14ac:dyDescent="0.2">
      <c r="A113" s="1"/>
      <c r="B113" s="1"/>
      <c r="C113" s="2" t="s">
        <v>175</v>
      </c>
      <c r="D113" s="1"/>
      <c r="E113" s="1"/>
      <c r="F113" s="1"/>
      <c r="G113" s="1"/>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24" customHeight="1" x14ac:dyDescent="0.2">
      <c r="A116" s="1"/>
      <c r="B116" s="1"/>
      <c r="C116" s="2" t="s">
        <v>176</v>
      </c>
      <c r="D116" s="1"/>
      <c r="E116" s="1"/>
      <c r="F116" s="12"/>
      <c r="G116" s="12"/>
      <c r="H116" s="113"/>
    </row>
    <row r="117" spans="1:8" ht="14.1" customHeight="1" x14ac:dyDescent="0.2">
      <c r="A117" s="1"/>
      <c r="B117" s="1"/>
      <c r="C117" s="2" t="s">
        <v>151</v>
      </c>
      <c r="D117" s="1"/>
      <c r="E117" s="1" t="s">
        <v>152</v>
      </c>
      <c r="F117" s="13" t="s">
        <v>154</v>
      </c>
      <c r="G117" s="10">
        <v>0</v>
      </c>
      <c r="H117" s="113"/>
    </row>
    <row r="118" spans="1:8" ht="14.1" customHeight="1" x14ac:dyDescent="0.2">
      <c r="A118" s="1"/>
      <c r="B118" s="1"/>
      <c r="C118" s="11"/>
      <c r="D118" s="1"/>
      <c r="E118" s="1"/>
      <c r="F118" s="12"/>
      <c r="G118" s="12"/>
      <c r="H118" s="113"/>
    </row>
    <row r="119" spans="1:8" ht="14.1" customHeight="1" x14ac:dyDescent="0.2">
      <c r="A119" s="1"/>
      <c r="B119" s="4"/>
      <c r="C119" s="4"/>
      <c r="D119" s="2"/>
      <c r="E119" s="1"/>
      <c r="F119" s="4"/>
      <c r="G119" s="8"/>
      <c r="H119" s="113"/>
    </row>
    <row r="120" spans="1:8" ht="18" customHeight="1" x14ac:dyDescent="0.2">
      <c r="A120" s="8"/>
      <c r="B120" s="4"/>
      <c r="C120" s="4" t="s">
        <v>177</v>
      </c>
      <c r="D120" s="4"/>
      <c r="E120" s="8"/>
      <c r="F120" s="6">
        <v>-20.241326879999999</v>
      </c>
      <c r="G120" s="7">
        <v>-8.2288499999999994E-3</v>
      </c>
      <c r="H120" s="113"/>
    </row>
    <row r="121" spans="1:8" ht="14.1" customHeight="1" x14ac:dyDescent="0.2">
      <c r="A121" s="11"/>
      <c r="B121" s="11"/>
      <c r="C121" s="2" t="s">
        <v>178</v>
      </c>
      <c r="D121" s="12"/>
      <c r="E121" s="12"/>
      <c r="F121" s="9">
        <v>2459.799487497</v>
      </c>
      <c r="G121" s="14">
        <v>1.0000000099999999</v>
      </c>
      <c r="H121" s="113"/>
    </row>
    <row r="122" spans="1:8" ht="14.1" customHeight="1" x14ac:dyDescent="0.2">
      <c r="A122" s="15"/>
      <c r="B122" s="15"/>
      <c r="C122" s="15"/>
      <c r="D122" s="16"/>
      <c r="E122" s="16"/>
      <c r="F122" s="16"/>
      <c r="G122" s="16"/>
    </row>
    <row r="123" spans="1:8" ht="17.100000000000001" customHeight="1" x14ac:dyDescent="0.2">
      <c r="A123" s="17"/>
      <c r="B123" s="207" t="s">
        <v>179</v>
      </c>
      <c r="C123" s="207"/>
      <c r="D123" s="207"/>
      <c r="E123" s="207"/>
      <c r="F123" s="207"/>
      <c r="G123" s="19"/>
    </row>
    <row r="124" spans="1:8" ht="14.1" customHeight="1" x14ac:dyDescent="0.2">
      <c r="A124" s="17"/>
      <c r="B124" s="17"/>
      <c r="C124" s="17"/>
      <c r="D124" s="19"/>
      <c r="E124" s="19"/>
      <c r="F124" s="19"/>
      <c r="G124" s="19"/>
    </row>
    <row r="125" spans="1:8" ht="14.1" customHeight="1" x14ac:dyDescent="0.2">
      <c r="A125" s="17"/>
      <c r="B125" s="208" t="s">
        <v>180</v>
      </c>
      <c r="C125" s="209"/>
      <c r="D125" s="210"/>
      <c r="E125" s="20"/>
      <c r="F125" s="19"/>
      <c r="G125" s="19"/>
    </row>
    <row r="126" spans="1:8" ht="29.1" customHeight="1" x14ac:dyDescent="0.2">
      <c r="A126" s="17"/>
      <c r="B126" s="205" t="s">
        <v>181</v>
      </c>
      <c r="C126" s="206"/>
      <c r="D126" s="2" t="s">
        <v>182</v>
      </c>
      <c r="E126" s="20"/>
      <c r="F126" s="19"/>
      <c r="G126" s="19"/>
    </row>
    <row r="127" spans="1:8" ht="29.1" customHeight="1" x14ac:dyDescent="0.2">
      <c r="A127" s="17"/>
      <c r="B127" s="205" t="s">
        <v>900</v>
      </c>
      <c r="C127" s="206"/>
      <c r="D127" s="2" t="s">
        <v>902</v>
      </c>
      <c r="E127" s="20"/>
      <c r="F127" s="19"/>
      <c r="G127" s="19"/>
    </row>
    <row r="128" spans="1:8" ht="17.100000000000001" customHeight="1" x14ac:dyDescent="0.2">
      <c r="A128" s="17"/>
      <c r="B128" s="205" t="s">
        <v>184</v>
      </c>
      <c r="C128" s="206"/>
      <c r="D128" s="12" t="s">
        <v>152</v>
      </c>
      <c r="E128" s="20"/>
      <c r="F128" s="19"/>
      <c r="G128" s="19"/>
    </row>
    <row r="129" spans="1:7" ht="25.5" x14ac:dyDescent="0.2">
      <c r="A129" s="21"/>
      <c r="B129" s="22" t="s">
        <v>152</v>
      </c>
      <c r="C129" s="22" t="s">
        <v>185</v>
      </c>
      <c r="D129" s="22" t="s">
        <v>186</v>
      </c>
      <c r="E129" s="21"/>
      <c r="F129" s="21"/>
      <c r="G129" s="21"/>
    </row>
    <row r="130" spans="1:7" ht="18" customHeight="1" x14ac:dyDescent="0.2">
      <c r="A130" s="21"/>
      <c r="B130" s="23" t="s">
        <v>187</v>
      </c>
      <c r="C130" s="22" t="s">
        <v>188</v>
      </c>
      <c r="D130" s="22" t="s">
        <v>189</v>
      </c>
      <c r="E130" s="21"/>
      <c r="F130" s="21"/>
      <c r="G130" s="21"/>
    </row>
    <row r="131" spans="1:7" ht="17.100000000000001" customHeight="1" x14ac:dyDescent="0.2">
      <c r="A131" s="21"/>
      <c r="B131" s="4" t="s">
        <v>190</v>
      </c>
      <c r="C131" s="24">
        <v>27.558800000000002</v>
      </c>
      <c r="D131" s="24">
        <v>29.015899999999998</v>
      </c>
      <c r="E131" s="21"/>
      <c r="F131" s="18"/>
      <c r="G131" s="25"/>
    </row>
    <row r="132" spans="1:7" ht="17.100000000000001" customHeight="1" x14ac:dyDescent="0.2">
      <c r="A132" s="21"/>
      <c r="B132" s="4" t="s">
        <v>1033</v>
      </c>
      <c r="C132" s="24">
        <v>26.612300000000001</v>
      </c>
      <c r="D132" s="24">
        <v>26.659199999999998</v>
      </c>
      <c r="E132" s="21"/>
      <c r="F132" s="18"/>
      <c r="G132" s="25"/>
    </row>
    <row r="133" spans="1:7" ht="17.100000000000001" customHeight="1" x14ac:dyDescent="0.2">
      <c r="A133" s="21"/>
      <c r="B133" s="4" t="s">
        <v>191</v>
      </c>
      <c r="C133" s="24">
        <v>27.116700000000002</v>
      </c>
      <c r="D133" s="24">
        <v>28.545100000000001</v>
      </c>
      <c r="E133" s="21"/>
      <c r="F133" s="18"/>
      <c r="G133" s="25"/>
    </row>
    <row r="134" spans="1:7" ht="17.100000000000001" customHeight="1" x14ac:dyDescent="0.2">
      <c r="A134" s="21"/>
      <c r="B134" s="4" t="s">
        <v>1034</v>
      </c>
      <c r="C134" s="24">
        <v>26.175799999999999</v>
      </c>
      <c r="D134" s="24">
        <v>26.194600000000001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205" t="s">
        <v>1035</v>
      </c>
      <c r="C136" s="206"/>
      <c r="D136" s="2" t="s">
        <v>152</v>
      </c>
      <c r="E136" s="21"/>
      <c r="F136" s="21"/>
      <c r="G136" s="21"/>
    </row>
    <row r="137" spans="1:7" ht="18" customHeight="1" x14ac:dyDescent="0.2">
      <c r="A137" s="21"/>
      <c r="B137" s="29" t="s">
        <v>187</v>
      </c>
      <c r="C137" s="30" t="s">
        <v>470</v>
      </c>
      <c r="D137" s="30" t="s">
        <v>471</v>
      </c>
      <c r="E137" s="21"/>
      <c r="F137" s="21"/>
      <c r="G137" s="21"/>
    </row>
    <row r="138" spans="1:7" ht="17.100000000000001" customHeight="1" x14ac:dyDescent="0.2">
      <c r="A138" s="21"/>
      <c r="B138" s="4" t="s">
        <v>1033</v>
      </c>
      <c r="C138" s="31">
        <v>1.3089999999999999</v>
      </c>
      <c r="D138" s="8" t="s">
        <v>472</v>
      </c>
      <c r="E138" s="21"/>
      <c r="F138" s="18"/>
      <c r="G138" s="25"/>
    </row>
    <row r="139" spans="1:7" ht="17.100000000000001" customHeight="1" x14ac:dyDescent="0.2">
      <c r="A139" s="21"/>
      <c r="B139" s="4" t="s">
        <v>1034</v>
      </c>
      <c r="C139" s="31">
        <v>1.3089999999999999</v>
      </c>
      <c r="D139" s="8" t="s">
        <v>472</v>
      </c>
      <c r="E139" s="21"/>
      <c r="F139" s="18"/>
      <c r="G139" s="25"/>
    </row>
    <row r="140" spans="1:7" ht="14.1" customHeight="1" x14ac:dyDescent="0.2">
      <c r="A140" s="21"/>
      <c r="B140" s="32"/>
      <c r="C140" s="32"/>
      <c r="D140" s="33"/>
      <c r="E140" s="21"/>
      <c r="F140" s="18"/>
      <c r="G140" s="25"/>
    </row>
    <row r="141" spans="1:7" ht="29.1" customHeight="1" x14ac:dyDescent="0.2">
      <c r="A141" s="21"/>
      <c r="B141" s="205" t="s">
        <v>192</v>
      </c>
      <c r="C141" s="206"/>
      <c r="D141" s="2" t="s">
        <v>182</v>
      </c>
      <c r="E141" s="27"/>
      <c r="F141" s="21"/>
      <c r="G141" s="21"/>
    </row>
    <row r="142" spans="1:7" ht="29.1" customHeight="1" x14ac:dyDescent="0.2">
      <c r="A142" s="21"/>
      <c r="B142" s="205" t="s">
        <v>193</v>
      </c>
      <c r="C142" s="206"/>
      <c r="D142" s="2" t="s">
        <v>182</v>
      </c>
      <c r="E142" s="27"/>
      <c r="F142" s="21"/>
      <c r="G142" s="21"/>
    </row>
    <row r="143" spans="1:7" ht="17.100000000000001" customHeight="1" x14ac:dyDescent="0.2">
      <c r="A143" s="21"/>
      <c r="B143" s="205" t="s">
        <v>194</v>
      </c>
      <c r="C143" s="206"/>
      <c r="D143" s="2" t="s">
        <v>182</v>
      </c>
      <c r="E143" s="27"/>
      <c r="F143" s="21"/>
      <c r="G143" s="21"/>
    </row>
    <row r="144" spans="1:7" ht="17.100000000000001" customHeight="1" x14ac:dyDescent="0.2">
      <c r="A144" s="21"/>
      <c r="B144" s="205" t="s">
        <v>195</v>
      </c>
      <c r="C144" s="206"/>
      <c r="D144" s="28">
        <v>0.1052736858498832</v>
      </c>
      <c r="E144" s="21"/>
      <c r="F144" s="18"/>
      <c r="G144" s="25"/>
    </row>
    <row r="155" spans="10:14" x14ac:dyDescent="0.2">
      <c r="J155" s="198"/>
      <c r="K155" s="198"/>
      <c r="L155" s="198"/>
      <c r="M155" s="198"/>
      <c r="N155" s="198"/>
    </row>
  </sheetData>
  <mergeCells count="14">
    <mergeCell ref="B144:C144"/>
    <mergeCell ref="B127:C127"/>
    <mergeCell ref="B128:C128"/>
    <mergeCell ref="B136:C136"/>
    <mergeCell ref="B141:C141"/>
    <mergeCell ref="B142:C142"/>
    <mergeCell ref="B143:C143"/>
    <mergeCell ref="J2:N2"/>
    <mergeCell ref="B126:C126"/>
    <mergeCell ref="B123:F123"/>
    <mergeCell ref="B125:D125"/>
    <mergeCell ref="A1:H1"/>
    <mergeCell ref="A2:H2"/>
    <mergeCell ref="A3:H3"/>
  </mergeCells>
  <hyperlinks>
    <hyperlink ref="I1" location="Index!B7" display="Index" xr:uid="{998F6896-2FB8-466C-AD67-049908A9A468}"/>
  </hyperlink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474</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10200</v>
      </c>
      <c r="F7" s="6">
        <v>174.34350000000001</v>
      </c>
      <c r="G7" s="7">
        <v>9.0582490000000002E-2</v>
      </c>
      <c r="H7" s="113"/>
    </row>
    <row r="8" spans="1:15" ht="17.100000000000001" customHeight="1" x14ac:dyDescent="0.2">
      <c r="A8" s="3">
        <v>2</v>
      </c>
      <c r="B8" s="4" t="s">
        <v>26</v>
      </c>
      <c r="C8" s="4" t="s">
        <v>27</v>
      </c>
      <c r="D8" s="4" t="s">
        <v>28</v>
      </c>
      <c r="E8" s="5">
        <v>17200</v>
      </c>
      <c r="F8" s="6">
        <v>171.4152</v>
      </c>
      <c r="G8" s="7">
        <v>8.9061050000000003E-2</v>
      </c>
      <c r="H8" s="113"/>
    </row>
    <row r="9" spans="1:15" ht="17.100000000000001" customHeight="1" x14ac:dyDescent="0.2">
      <c r="A9" s="3">
        <v>3</v>
      </c>
      <c r="B9" s="4" t="s">
        <v>17</v>
      </c>
      <c r="C9" s="4" t="s">
        <v>18</v>
      </c>
      <c r="D9" s="4" t="s">
        <v>19</v>
      </c>
      <c r="E9" s="5">
        <v>5610</v>
      </c>
      <c r="F9" s="6">
        <v>145.01569499999999</v>
      </c>
      <c r="G9" s="7">
        <v>7.5344839999999996E-2</v>
      </c>
      <c r="H9" s="113"/>
    </row>
    <row r="10" spans="1:15" ht="17.100000000000001" customHeight="1" x14ac:dyDescent="0.2">
      <c r="A10" s="3">
        <v>4</v>
      </c>
      <c r="B10" s="4" t="s">
        <v>323</v>
      </c>
      <c r="C10" s="4" t="s">
        <v>324</v>
      </c>
      <c r="D10" s="4" t="s">
        <v>891</v>
      </c>
      <c r="E10" s="5">
        <v>8300</v>
      </c>
      <c r="F10" s="6">
        <v>128.0607</v>
      </c>
      <c r="G10" s="7">
        <v>6.6535650000000002E-2</v>
      </c>
      <c r="H10" s="113"/>
    </row>
    <row r="11" spans="1:15" ht="17.100000000000001" customHeight="1" x14ac:dyDescent="0.2">
      <c r="A11" s="3">
        <v>5</v>
      </c>
      <c r="B11" s="4" t="s">
        <v>62</v>
      </c>
      <c r="C11" s="4" t="s">
        <v>63</v>
      </c>
      <c r="D11" s="4" t="s">
        <v>28</v>
      </c>
      <c r="E11" s="5">
        <v>16131</v>
      </c>
      <c r="F11" s="6">
        <v>103.5690855</v>
      </c>
      <c r="G11" s="7">
        <v>5.3810700000000003E-2</v>
      </c>
      <c r="H11" s="113"/>
    </row>
    <row r="12" spans="1:15" ht="17.100000000000001" customHeight="1" x14ac:dyDescent="0.2">
      <c r="A12" s="3">
        <v>6</v>
      </c>
      <c r="B12" s="4" t="s">
        <v>11</v>
      </c>
      <c r="C12" s="4" t="s">
        <v>12</v>
      </c>
      <c r="D12" s="4" t="s">
        <v>13</v>
      </c>
      <c r="E12" s="5">
        <v>2429</v>
      </c>
      <c r="F12" s="6">
        <v>85.646540000000002</v>
      </c>
      <c r="G12" s="7">
        <v>4.4498799999999998E-2</v>
      </c>
      <c r="H12" s="113"/>
    </row>
    <row r="13" spans="1:15" ht="29.1" customHeight="1" x14ac:dyDescent="0.2">
      <c r="A13" s="3">
        <v>7</v>
      </c>
      <c r="B13" s="4" t="s">
        <v>23</v>
      </c>
      <c r="C13" s="4" t="s">
        <v>24</v>
      </c>
      <c r="D13" s="4" t="s">
        <v>25</v>
      </c>
      <c r="E13" s="5">
        <v>746</v>
      </c>
      <c r="F13" s="6">
        <v>78.352753000000007</v>
      </c>
      <c r="G13" s="7">
        <v>4.0709219999999997E-2</v>
      </c>
      <c r="H13" s="113"/>
      <c r="J13" s="194" t="s">
        <v>1150</v>
      </c>
    </row>
    <row r="14" spans="1:15" ht="17.100000000000001" customHeight="1" x14ac:dyDescent="0.2">
      <c r="A14" s="3">
        <v>8</v>
      </c>
      <c r="B14" s="4" t="s">
        <v>325</v>
      </c>
      <c r="C14" s="4" t="s">
        <v>326</v>
      </c>
      <c r="D14" s="4" t="s">
        <v>28</v>
      </c>
      <c r="E14" s="5">
        <v>6893</v>
      </c>
      <c r="F14" s="6">
        <v>75.981538999999998</v>
      </c>
      <c r="G14" s="7">
        <v>3.947722E-2</v>
      </c>
      <c r="H14" s="113"/>
    </row>
    <row r="15" spans="1:15" ht="17.100000000000001" customHeight="1" x14ac:dyDescent="0.2">
      <c r="A15" s="3">
        <v>9</v>
      </c>
      <c r="B15" s="4" t="s">
        <v>20</v>
      </c>
      <c r="C15" s="4" t="s">
        <v>21</v>
      </c>
      <c r="D15" s="4" t="s">
        <v>22</v>
      </c>
      <c r="E15" s="5">
        <v>6757</v>
      </c>
      <c r="F15" s="6">
        <v>69.745754000000005</v>
      </c>
      <c r="G15" s="7">
        <v>3.623734E-2</v>
      </c>
      <c r="H15" s="113"/>
    </row>
    <row r="16" spans="1:15" ht="17.100000000000001" customHeight="1" x14ac:dyDescent="0.2">
      <c r="A16" s="3">
        <v>10</v>
      </c>
      <c r="B16" s="4" t="s">
        <v>359</v>
      </c>
      <c r="C16" s="4" t="s">
        <v>360</v>
      </c>
      <c r="D16" s="4" t="s">
        <v>56</v>
      </c>
      <c r="E16" s="5">
        <v>1421</v>
      </c>
      <c r="F16" s="6">
        <v>52.228144499999999</v>
      </c>
      <c r="G16" s="7">
        <v>2.713583E-2</v>
      </c>
      <c r="H16" s="113"/>
    </row>
    <row r="17" spans="1:8" ht="17.100000000000001" customHeight="1" x14ac:dyDescent="0.2">
      <c r="A17" s="3">
        <v>11</v>
      </c>
      <c r="B17" s="4" t="s">
        <v>351</v>
      </c>
      <c r="C17" s="4" t="s">
        <v>352</v>
      </c>
      <c r="D17" s="4" t="s">
        <v>248</v>
      </c>
      <c r="E17" s="5">
        <v>6525</v>
      </c>
      <c r="F17" s="6">
        <v>50.891737499999998</v>
      </c>
      <c r="G17" s="7">
        <v>2.644148E-2</v>
      </c>
      <c r="H17" s="113"/>
    </row>
    <row r="18" spans="1:8" ht="29.1" customHeight="1" x14ac:dyDescent="0.2">
      <c r="A18" s="3">
        <v>12</v>
      </c>
      <c r="B18" s="4" t="s">
        <v>213</v>
      </c>
      <c r="C18" s="4" t="s">
        <v>214</v>
      </c>
      <c r="D18" s="4" t="s">
        <v>215</v>
      </c>
      <c r="E18" s="5">
        <v>4000</v>
      </c>
      <c r="F18" s="6">
        <v>50.066000000000003</v>
      </c>
      <c r="G18" s="7">
        <v>2.6012460000000001E-2</v>
      </c>
      <c r="H18" s="113"/>
    </row>
    <row r="19" spans="1:8" ht="17.100000000000001" customHeight="1" x14ac:dyDescent="0.2">
      <c r="A19" s="3">
        <v>13</v>
      </c>
      <c r="B19" s="4" t="s">
        <v>411</v>
      </c>
      <c r="C19" s="4" t="s">
        <v>412</v>
      </c>
      <c r="D19" s="4" t="s">
        <v>210</v>
      </c>
      <c r="E19" s="5">
        <v>13359</v>
      </c>
      <c r="F19" s="6">
        <v>48.827145000000002</v>
      </c>
      <c r="G19" s="7">
        <v>2.5368789999999999E-2</v>
      </c>
      <c r="H19" s="113"/>
    </row>
    <row r="20" spans="1:8" ht="17.100000000000001" customHeight="1" x14ac:dyDescent="0.2">
      <c r="A20" s="3">
        <v>14</v>
      </c>
      <c r="B20" s="4" t="s">
        <v>348</v>
      </c>
      <c r="C20" s="4" t="s">
        <v>349</v>
      </c>
      <c r="D20" s="4" t="s">
        <v>350</v>
      </c>
      <c r="E20" s="5">
        <v>10141</v>
      </c>
      <c r="F20" s="6">
        <v>46.861561000000002</v>
      </c>
      <c r="G20" s="7">
        <v>2.4347549999999999E-2</v>
      </c>
      <c r="H20" s="113"/>
    </row>
    <row r="21" spans="1:8" ht="29.1" customHeight="1" x14ac:dyDescent="0.2">
      <c r="A21" s="3">
        <v>15</v>
      </c>
      <c r="B21" s="4" t="s">
        <v>220</v>
      </c>
      <c r="C21" s="4" t="s">
        <v>221</v>
      </c>
      <c r="D21" s="4" t="s">
        <v>222</v>
      </c>
      <c r="E21" s="5">
        <v>1204</v>
      </c>
      <c r="F21" s="6">
        <v>46.392527999999999</v>
      </c>
      <c r="G21" s="7">
        <v>2.4103860000000001E-2</v>
      </c>
      <c r="H21" s="113"/>
    </row>
    <row r="22" spans="1:8" ht="17.100000000000001" customHeight="1" x14ac:dyDescent="0.2">
      <c r="A22" s="3">
        <v>16</v>
      </c>
      <c r="B22" s="4" t="s">
        <v>475</v>
      </c>
      <c r="C22" s="4" t="s">
        <v>476</v>
      </c>
      <c r="D22" s="4" t="s">
        <v>234</v>
      </c>
      <c r="E22" s="5">
        <v>3200</v>
      </c>
      <c r="F22" s="6">
        <v>45.843200000000003</v>
      </c>
      <c r="G22" s="7">
        <v>2.3818450000000001E-2</v>
      </c>
      <c r="H22" s="113"/>
    </row>
    <row r="23" spans="1:8" ht="17.100000000000001" customHeight="1" x14ac:dyDescent="0.2">
      <c r="A23" s="3">
        <v>17</v>
      </c>
      <c r="B23" s="4" t="s">
        <v>97</v>
      </c>
      <c r="C23" s="4" t="s">
        <v>98</v>
      </c>
      <c r="D23" s="4" t="s">
        <v>99</v>
      </c>
      <c r="E23" s="5">
        <v>6000</v>
      </c>
      <c r="F23" s="6">
        <v>44.886000000000003</v>
      </c>
      <c r="G23" s="7">
        <v>2.3321120000000001E-2</v>
      </c>
      <c r="H23" s="113"/>
    </row>
    <row r="24" spans="1:8" ht="17.100000000000001" customHeight="1" x14ac:dyDescent="0.2">
      <c r="A24" s="3">
        <v>18</v>
      </c>
      <c r="B24" s="4" t="s">
        <v>477</v>
      </c>
      <c r="C24" s="4" t="s">
        <v>478</v>
      </c>
      <c r="D24" s="4" t="s">
        <v>28</v>
      </c>
      <c r="E24" s="5">
        <v>17989</v>
      </c>
      <c r="F24" s="6">
        <v>41.572578999999998</v>
      </c>
      <c r="G24" s="7">
        <v>2.1599589999999998E-2</v>
      </c>
      <c r="H24" s="113"/>
    </row>
    <row r="25" spans="1:8" ht="17.100000000000001" customHeight="1" x14ac:dyDescent="0.2">
      <c r="A25" s="3">
        <v>19</v>
      </c>
      <c r="B25" s="4" t="s">
        <v>105</v>
      </c>
      <c r="C25" s="4" t="s">
        <v>106</v>
      </c>
      <c r="D25" s="4" t="s">
        <v>107</v>
      </c>
      <c r="E25" s="5">
        <v>1240</v>
      </c>
      <c r="F25" s="6">
        <v>39.717199999999998</v>
      </c>
      <c r="G25" s="7">
        <v>2.06356E-2</v>
      </c>
      <c r="H25" s="113"/>
    </row>
    <row r="26" spans="1:8" ht="17.100000000000001" customHeight="1" x14ac:dyDescent="0.2">
      <c r="A26" s="3">
        <v>20</v>
      </c>
      <c r="B26" s="4" t="s">
        <v>479</v>
      </c>
      <c r="C26" s="4" t="s">
        <v>480</v>
      </c>
      <c r="D26" s="4" t="s">
        <v>891</v>
      </c>
      <c r="E26" s="5">
        <v>2560</v>
      </c>
      <c r="F26" s="6">
        <v>37.532159999999998</v>
      </c>
      <c r="G26" s="7">
        <v>1.950033E-2</v>
      </c>
      <c r="H26" s="113"/>
    </row>
    <row r="27" spans="1:8" ht="17.100000000000001" customHeight="1" x14ac:dyDescent="0.2">
      <c r="A27" s="3">
        <v>21</v>
      </c>
      <c r="B27" s="4" t="s">
        <v>331</v>
      </c>
      <c r="C27" s="4" t="s">
        <v>332</v>
      </c>
      <c r="D27" s="4" t="s">
        <v>891</v>
      </c>
      <c r="E27" s="5">
        <v>937</v>
      </c>
      <c r="F27" s="6">
        <v>35.544158000000003</v>
      </c>
      <c r="G27" s="7">
        <v>1.8467440000000002E-2</v>
      </c>
      <c r="H27" s="113"/>
    </row>
    <row r="28" spans="1:8" ht="29.1" customHeight="1" x14ac:dyDescent="0.2">
      <c r="A28" s="3">
        <v>22</v>
      </c>
      <c r="B28" s="4" t="s">
        <v>329</v>
      </c>
      <c r="C28" s="4" t="s">
        <v>330</v>
      </c>
      <c r="D28" s="4" t="s">
        <v>225</v>
      </c>
      <c r="E28" s="5">
        <v>2650</v>
      </c>
      <c r="F28" s="6">
        <v>33.375425</v>
      </c>
      <c r="G28" s="7">
        <v>1.7340649999999999E-2</v>
      </c>
      <c r="H28" s="113"/>
    </row>
    <row r="29" spans="1:8" ht="17.100000000000001" customHeight="1" x14ac:dyDescent="0.2">
      <c r="A29" s="3">
        <v>23</v>
      </c>
      <c r="B29" s="4" t="s">
        <v>277</v>
      </c>
      <c r="C29" s="4" t="s">
        <v>278</v>
      </c>
      <c r="D29" s="4" t="s">
        <v>19</v>
      </c>
      <c r="E29" s="5">
        <v>7501</v>
      </c>
      <c r="F29" s="6">
        <v>29.921489000000001</v>
      </c>
      <c r="G29" s="7">
        <v>1.554611E-2</v>
      </c>
      <c r="H29" s="113"/>
    </row>
    <row r="30" spans="1:8" ht="29.1" customHeight="1" x14ac:dyDescent="0.2">
      <c r="A30" s="3">
        <v>24</v>
      </c>
      <c r="B30" s="4" t="s">
        <v>85</v>
      </c>
      <c r="C30" s="4" t="s">
        <v>86</v>
      </c>
      <c r="D30" s="4" t="s">
        <v>25</v>
      </c>
      <c r="E30" s="5">
        <v>1871</v>
      </c>
      <c r="F30" s="6">
        <v>26.960174500000001</v>
      </c>
      <c r="G30" s="7">
        <v>1.4007520000000001E-2</v>
      </c>
      <c r="H30" s="113"/>
    </row>
    <row r="31" spans="1:8" ht="17.100000000000001" customHeight="1" x14ac:dyDescent="0.2">
      <c r="A31" s="3">
        <v>25</v>
      </c>
      <c r="B31" s="4" t="s">
        <v>137</v>
      </c>
      <c r="C31" s="4" t="s">
        <v>138</v>
      </c>
      <c r="D31" s="4" t="s">
        <v>19</v>
      </c>
      <c r="E31" s="5">
        <v>5912</v>
      </c>
      <c r="F31" s="6">
        <v>26.642427999999999</v>
      </c>
      <c r="G31" s="7">
        <v>1.3842429999999999E-2</v>
      </c>
      <c r="H31" s="113"/>
    </row>
    <row r="32" spans="1:8" ht="17.100000000000001" customHeight="1" x14ac:dyDescent="0.2">
      <c r="A32" s="3">
        <v>26</v>
      </c>
      <c r="B32" s="4" t="s">
        <v>335</v>
      </c>
      <c r="C32" s="4" t="s">
        <v>336</v>
      </c>
      <c r="D32" s="4" t="s">
        <v>28</v>
      </c>
      <c r="E32" s="5">
        <v>1556</v>
      </c>
      <c r="F32" s="6">
        <v>24.879662</v>
      </c>
      <c r="G32" s="7">
        <v>1.292656E-2</v>
      </c>
      <c r="H32" s="113"/>
    </row>
    <row r="33" spans="1:8" ht="29.1" customHeight="1" x14ac:dyDescent="0.2">
      <c r="A33" s="3">
        <v>27</v>
      </c>
      <c r="B33" s="4" t="s">
        <v>481</v>
      </c>
      <c r="C33" s="4" t="s">
        <v>482</v>
      </c>
      <c r="D33" s="4" t="s">
        <v>483</v>
      </c>
      <c r="E33" s="5">
        <v>2272</v>
      </c>
      <c r="F33" s="6">
        <v>24.692095999999999</v>
      </c>
      <c r="G33" s="7">
        <v>1.2829109999999999E-2</v>
      </c>
      <c r="H33" s="113"/>
    </row>
    <row r="34" spans="1:8" ht="17.100000000000001" customHeight="1" x14ac:dyDescent="0.2">
      <c r="A34" s="3">
        <v>28</v>
      </c>
      <c r="B34" s="4" t="s">
        <v>484</v>
      </c>
      <c r="C34" s="4" t="s">
        <v>485</v>
      </c>
      <c r="D34" s="4" t="s">
        <v>28</v>
      </c>
      <c r="E34" s="5">
        <v>1239</v>
      </c>
      <c r="F34" s="6">
        <v>23.641359000000001</v>
      </c>
      <c r="G34" s="7">
        <v>1.2283179999999999E-2</v>
      </c>
      <c r="H34" s="113"/>
    </row>
    <row r="35" spans="1:8" ht="29.1" customHeight="1" x14ac:dyDescent="0.2">
      <c r="A35" s="3">
        <v>29</v>
      </c>
      <c r="B35" s="4" t="s">
        <v>486</v>
      </c>
      <c r="C35" s="4" t="s">
        <v>487</v>
      </c>
      <c r="D35" s="4" t="s">
        <v>225</v>
      </c>
      <c r="E35" s="5">
        <v>1814</v>
      </c>
      <c r="F35" s="6">
        <v>22.607882</v>
      </c>
      <c r="G35" s="7">
        <v>1.174623E-2</v>
      </c>
      <c r="H35" s="113"/>
    </row>
    <row r="36" spans="1:8" ht="17.100000000000001" customHeight="1" x14ac:dyDescent="0.2">
      <c r="A36" s="3">
        <v>30</v>
      </c>
      <c r="B36" s="4" t="s">
        <v>44</v>
      </c>
      <c r="C36" s="4" t="s">
        <v>45</v>
      </c>
      <c r="D36" s="4" t="s">
        <v>46</v>
      </c>
      <c r="E36" s="5">
        <v>2464</v>
      </c>
      <c r="F36" s="6">
        <v>21.181775999999999</v>
      </c>
      <c r="G36" s="7">
        <v>1.1005269999999999E-2</v>
      </c>
      <c r="H36" s="113"/>
    </row>
    <row r="37" spans="1:8" ht="17.100000000000001" customHeight="1" x14ac:dyDescent="0.2">
      <c r="A37" s="3">
        <v>31</v>
      </c>
      <c r="B37" s="4" t="s">
        <v>355</v>
      </c>
      <c r="C37" s="4" t="s">
        <v>356</v>
      </c>
      <c r="D37" s="4" t="s">
        <v>350</v>
      </c>
      <c r="E37" s="5">
        <v>788</v>
      </c>
      <c r="F37" s="6">
        <v>20.991925999999999</v>
      </c>
      <c r="G37" s="7">
        <v>1.090664E-2</v>
      </c>
      <c r="H37" s="113"/>
    </row>
    <row r="38" spans="1:8" ht="17.100000000000001" customHeight="1" x14ac:dyDescent="0.2">
      <c r="A38" s="3">
        <v>32</v>
      </c>
      <c r="B38" s="4" t="s">
        <v>337</v>
      </c>
      <c r="C38" s="4" t="s">
        <v>338</v>
      </c>
      <c r="D38" s="4" t="s">
        <v>339</v>
      </c>
      <c r="E38" s="5">
        <v>2289</v>
      </c>
      <c r="F38" s="6">
        <v>14.073916499999999</v>
      </c>
      <c r="G38" s="7">
        <v>7.3122899999999999E-3</v>
      </c>
      <c r="H38" s="113"/>
    </row>
    <row r="39" spans="1:8" ht="17.100000000000001" customHeight="1" x14ac:dyDescent="0.2">
      <c r="A39" s="3">
        <v>33</v>
      </c>
      <c r="B39" s="4" t="s">
        <v>488</v>
      </c>
      <c r="C39" s="40" t="s">
        <v>893</v>
      </c>
      <c r="D39" s="4" t="s">
        <v>22</v>
      </c>
      <c r="E39" s="5">
        <v>482</v>
      </c>
      <c r="F39" s="6">
        <v>3.0744370000000001</v>
      </c>
      <c r="G39" s="7">
        <v>1.5973700000000001E-3</v>
      </c>
      <c r="H39" s="113"/>
    </row>
    <row r="40" spans="1:8" ht="14.1" customHeight="1" x14ac:dyDescent="0.2">
      <c r="A40" s="1"/>
      <c r="B40" s="1"/>
      <c r="C40" s="2" t="s">
        <v>151</v>
      </c>
      <c r="D40" s="1"/>
      <c r="E40" s="1" t="s">
        <v>152</v>
      </c>
      <c r="F40" s="9">
        <v>1844.5357504999999</v>
      </c>
      <c r="G40" s="10">
        <v>0.95835316999999975</v>
      </c>
      <c r="H40" s="113"/>
    </row>
    <row r="41" spans="1:8" ht="14.1" customHeight="1" x14ac:dyDescent="0.2">
      <c r="A41" s="1"/>
      <c r="B41" s="1"/>
      <c r="C41" s="11"/>
      <c r="D41" s="1"/>
      <c r="E41" s="1"/>
      <c r="F41" s="12"/>
      <c r="G41" s="12"/>
      <c r="H41" s="113"/>
    </row>
    <row r="42" spans="1:8" ht="14.1" customHeight="1" x14ac:dyDescent="0.2">
      <c r="A42" s="1"/>
      <c r="B42" s="1"/>
      <c r="C42" s="2" t="s">
        <v>153</v>
      </c>
      <c r="D42" s="1"/>
      <c r="E42" s="1"/>
      <c r="F42" s="1"/>
      <c r="G42" s="1"/>
      <c r="H42" s="113"/>
    </row>
    <row r="43" spans="1:8" ht="14.1" customHeight="1" x14ac:dyDescent="0.2">
      <c r="A43" s="1"/>
      <c r="B43" s="1"/>
      <c r="C43" s="2" t="s">
        <v>151</v>
      </c>
      <c r="D43" s="1"/>
      <c r="E43" s="1" t="s">
        <v>152</v>
      </c>
      <c r="F43" s="13" t="s">
        <v>154</v>
      </c>
      <c r="G43" s="10">
        <v>0</v>
      </c>
      <c r="H43" s="113"/>
    </row>
    <row r="44" spans="1:8" ht="14.1" customHeight="1" x14ac:dyDescent="0.2">
      <c r="A44" s="1"/>
      <c r="B44" s="1"/>
      <c r="C44" s="11"/>
      <c r="D44" s="1"/>
      <c r="E44" s="1"/>
      <c r="F44" s="12"/>
      <c r="G44" s="12"/>
      <c r="H44" s="113"/>
    </row>
    <row r="45" spans="1:8" ht="14.1" customHeight="1" x14ac:dyDescent="0.2">
      <c r="A45" s="1"/>
      <c r="B45" s="1"/>
      <c r="C45" s="2" t="s">
        <v>155</v>
      </c>
      <c r="D45" s="1"/>
      <c r="E45" s="1"/>
      <c r="F45" s="1"/>
      <c r="G45" s="1"/>
      <c r="H45" s="113"/>
    </row>
    <row r="46" spans="1:8" ht="14.1" customHeight="1" x14ac:dyDescent="0.2">
      <c r="A46" s="1"/>
      <c r="B46" s="1"/>
      <c r="C46" s="2" t="s">
        <v>151</v>
      </c>
      <c r="D46" s="1"/>
      <c r="E46" s="1" t="s">
        <v>152</v>
      </c>
      <c r="F46" s="13" t="s">
        <v>154</v>
      </c>
      <c r="G46" s="10">
        <v>0</v>
      </c>
      <c r="H46" s="113"/>
    </row>
    <row r="47" spans="1:8" ht="14.1" customHeight="1" x14ac:dyDescent="0.2">
      <c r="A47" s="1"/>
      <c r="B47" s="1"/>
      <c r="C47" s="11"/>
      <c r="D47" s="1"/>
      <c r="E47" s="1"/>
      <c r="F47" s="12"/>
      <c r="G47" s="12"/>
      <c r="H47" s="113"/>
    </row>
    <row r="48" spans="1:8" ht="14.1" customHeight="1" x14ac:dyDescent="0.2">
      <c r="A48" s="1"/>
      <c r="B48" s="1"/>
      <c r="C48" s="2" t="s">
        <v>156</v>
      </c>
      <c r="D48" s="1"/>
      <c r="E48" s="1"/>
      <c r="F48" s="1"/>
      <c r="G48" s="1"/>
      <c r="H48" s="113"/>
    </row>
    <row r="49" spans="1:8" ht="14.1" customHeight="1" x14ac:dyDescent="0.2">
      <c r="A49" s="1"/>
      <c r="B49" s="1"/>
      <c r="C49" s="2" t="s">
        <v>151</v>
      </c>
      <c r="D49" s="1"/>
      <c r="E49" s="1" t="s">
        <v>152</v>
      </c>
      <c r="F49" s="13" t="s">
        <v>154</v>
      </c>
      <c r="G49" s="10">
        <v>0</v>
      </c>
      <c r="H49" s="113"/>
    </row>
    <row r="50" spans="1:8" ht="14.1" customHeight="1" x14ac:dyDescent="0.2">
      <c r="A50" s="1"/>
      <c r="B50" s="1"/>
      <c r="C50" s="11"/>
      <c r="D50" s="1"/>
      <c r="E50" s="1"/>
      <c r="F50" s="12"/>
      <c r="G50" s="12"/>
      <c r="H50" s="113"/>
    </row>
    <row r="51" spans="1:8" ht="14.1" customHeight="1" x14ac:dyDescent="0.2">
      <c r="A51" s="1"/>
      <c r="B51" s="1"/>
      <c r="C51" s="2" t="s">
        <v>157</v>
      </c>
      <c r="D51" s="1"/>
      <c r="E51" s="1"/>
      <c r="F51" s="12"/>
      <c r="G51" s="12"/>
      <c r="H51" s="113"/>
    </row>
    <row r="52" spans="1:8" ht="14.1" customHeight="1" x14ac:dyDescent="0.2">
      <c r="A52" s="1"/>
      <c r="B52" s="1"/>
      <c r="C52" s="2" t="s">
        <v>151</v>
      </c>
      <c r="D52" s="1"/>
      <c r="E52" s="1" t="s">
        <v>152</v>
      </c>
      <c r="F52" s="13" t="s">
        <v>154</v>
      </c>
      <c r="G52" s="10">
        <v>0</v>
      </c>
      <c r="H52" s="113"/>
    </row>
    <row r="53" spans="1:8" ht="14.1" customHeight="1" x14ac:dyDescent="0.2">
      <c r="A53" s="1"/>
      <c r="B53" s="1"/>
      <c r="C53" s="11"/>
      <c r="D53" s="1"/>
      <c r="E53" s="1"/>
      <c r="F53" s="12"/>
      <c r="G53" s="12"/>
      <c r="H53" s="113"/>
    </row>
    <row r="54" spans="1:8" ht="14.1" customHeight="1" x14ac:dyDescent="0.2">
      <c r="A54" s="1"/>
      <c r="B54" s="1"/>
      <c r="C54" s="2" t="s">
        <v>158</v>
      </c>
      <c r="D54" s="1"/>
      <c r="E54" s="1"/>
      <c r="F54" s="12"/>
      <c r="G54" s="12"/>
      <c r="H54" s="113"/>
    </row>
    <row r="55" spans="1:8" ht="14.1" customHeight="1" x14ac:dyDescent="0.2">
      <c r="A55" s="1"/>
      <c r="B55" s="1"/>
      <c r="C55" s="2" t="s">
        <v>151</v>
      </c>
      <c r="D55" s="1"/>
      <c r="E55" s="1" t="s">
        <v>152</v>
      </c>
      <c r="F55" s="13" t="s">
        <v>154</v>
      </c>
      <c r="G55" s="10">
        <v>0</v>
      </c>
      <c r="H55" s="113"/>
    </row>
    <row r="56" spans="1:8" ht="14.1" customHeight="1" x14ac:dyDescent="0.2">
      <c r="A56" s="1"/>
      <c r="B56" s="1"/>
      <c r="C56" s="11"/>
      <c r="D56" s="1"/>
      <c r="E56" s="1"/>
      <c r="F56" s="12"/>
      <c r="G56" s="12"/>
      <c r="H56" s="113"/>
    </row>
    <row r="57" spans="1:8" ht="18" customHeight="1" x14ac:dyDescent="0.2">
      <c r="A57" s="1"/>
      <c r="B57" s="1"/>
      <c r="C57" s="2" t="s">
        <v>159</v>
      </c>
      <c r="D57" s="1"/>
      <c r="E57" s="1"/>
      <c r="F57" s="9">
        <v>1844.5357504999999</v>
      </c>
      <c r="G57" s="10">
        <v>0.95835316999999998</v>
      </c>
      <c r="H57" s="113"/>
    </row>
    <row r="58" spans="1:8" ht="14.1" customHeight="1" x14ac:dyDescent="0.2">
      <c r="A58" s="1"/>
      <c r="B58" s="1"/>
      <c r="C58" s="11"/>
      <c r="D58" s="1"/>
      <c r="E58" s="1"/>
      <c r="F58" s="12"/>
      <c r="G58" s="12"/>
      <c r="H58" s="113"/>
    </row>
    <row r="59" spans="1:8" ht="14.1" customHeight="1" x14ac:dyDescent="0.2">
      <c r="A59" s="1"/>
      <c r="B59" s="1"/>
      <c r="C59" s="2" t="s">
        <v>160</v>
      </c>
      <c r="D59" s="1"/>
      <c r="E59" s="1"/>
      <c r="F59" s="12"/>
      <c r="G59" s="12"/>
      <c r="H59" s="113"/>
    </row>
    <row r="60" spans="1:8" ht="24" customHeight="1" x14ac:dyDescent="0.2">
      <c r="A60" s="1"/>
      <c r="B60" s="1"/>
      <c r="C60" s="2" t="s">
        <v>10</v>
      </c>
      <c r="D60" s="1"/>
      <c r="E60" s="1"/>
      <c r="F60" s="12"/>
      <c r="G60" s="12"/>
      <c r="H60" s="113"/>
    </row>
    <row r="61" spans="1:8" ht="14.1" customHeight="1" x14ac:dyDescent="0.2">
      <c r="A61" s="1"/>
      <c r="B61" s="1"/>
      <c r="C61" s="2" t="s">
        <v>151</v>
      </c>
      <c r="D61" s="1"/>
      <c r="E61" s="1" t="s">
        <v>152</v>
      </c>
      <c r="F61" s="13" t="s">
        <v>154</v>
      </c>
      <c r="G61" s="10">
        <v>0</v>
      </c>
      <c r="H61" s="113"/>
    </row>
    <row r="62" spans="1:8" ht="14.1" customHeight="1" x14ac:dyDescent="0.2">
      <c r="A62" s="1"/>
      <c r="B62" s="1"/>
      <c r="C62" s="11"/>
      <c r="D62" s="1"/>
      <c r="E62" s="1"/>
      <c r="F62" s="12"/>
      <c r="G62" s="12"/>
      <c r="H62" s="113"/>
    </row>
    <row r="63" spans="1:8" ht="14.1" customHeight="1" x14ac:dyDescent="0.2">
      <c r="A63" s="1"/>
      <c r="B63" s="1"/>
      <c r="C63" s="2" t="s">
        <v>161</v>
      </c>
      <c r="D63" s="1"/>
      <c r="E63" s="1"/>
      <c r="F63" s="1"/>
      <c r="G63" s="1"/>
      <c r="H63" s="113"/>
    </row>
    <row r="64" spans="1:8" ht="14.1" customHeight="1" x14ac:dyDescent="0.2">
      <c r="A64" s="1"/>
      <c r="B64" s="1"/>
      <c r="C64" s="2" t="s">
        <v>151</v>
      </c>
      <c r="D64" s="1"/>
      <c r="E64" s="1" t="s">
        <v>152</v>
      </c>
      <c r="F64" s="13" t="s">
        <v>154</v>
      </c>
      <c r="G64" s="10">
        <v>0</v>
      </c>
      <c r="H64" s="113"/>
    </row>
    <row r="65" spans="1:8" ht="14.1" customHeight="1" x14ac:dyDescent="0.2">
      <c r="A65" s="1"/>
      <c r="B65" s="1"/>
      <c r="C65" s="11"/>
      <c r="D65" s="1"/>
      <c r="E65" s="1"/>
      <c r="F65" s="12"/>
      <c r="G65" s="12"/>
      <c r="H65" s="113"/>
    </row>
    <row r="66" spans="1:8" ht="14.1" customHeight="1" x14ac:dyDescent="0.2">
      <c r="A66" s="1"/>
      <c r="B66" s="1"/>
      <c r="C66" s="2" t="s">
        <v>162</v>
      </c>
      <c r="D66" s="1"/>
      <c r="E66" s="1"/>
      <c r="F66" s="1"/>
      <c r="G66" s="1"/>
      <c r="H66" s="113"/>
    </row>
    <row r="67" spans="1:8" ht="14.1" customHeight="1" x14ac:dyDescent="0.2">
      <c r="A67" s="1"/>
      <c r="B67" s="1"/>
      <c r="C67" s="2" t="s">
        <v>151</v>
      </c>
      <c r="D67" s="1"/>
      <c r="E67" s="1" t="s">
        <v>152</v>
      </c>
      <c r="F67" s="13" t="s">
        <v>154</v>
      </c>
      <c r="G67" s="10">
        <v>0</v>
      </c>
      <c r="H67" s="113"/>
    </row>
    <row r="68" spans="1:8" ht="14.1" customHeight="1" x14ac:dyDescent="0.2">
      <c r="A68" s="1"/>
      <c r="B68" s="1"/>
      <c r="C68" s="11"/>
      <c r="D68" s="1"/>
      <c r="E68" s="1"/>
      <c r="F68" s="12"/>
      <c r="G68" s="12"/>
      <c r="H68" s="113"/>
    </row>
    <row r="69" spans="1:8" ht="14.1" customHeight="1" x14ac:dyDescent="0.2">
      <c r="A69" s="1"/>
      <c r="B69" s="1"/>
      <c r="C69" s="2" t="s">
        <v>163</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4.1" customHeight="1" x14ac:dyDescent="0.2">
      <c r="A72" s="1"/>
      <c r="B72" s="1"/>
      <c r="C72" s="2" t="s">
        <v>164</v>
      </c>
      <c r="D72" s="1"/>
      <c r="E72" s="1"/>
      <c r="F72" s="9">
        <v>0</v>
      </c>
      <c r="G72" s="10">
        <v>0</v>
      </c>
      <c r="H72" s="113"/>
    </row>
    <row r="73" spans="1:8" ht="14.1" customHeight="1" x14ac:dyDescent="0.2">
      <c r="A73" s="1"/>
      <c r="B73" s="1"/>
      <c r="C73" s="11"/>
      <c r="D73" s="1"/>
      <c r="E73" s="1"/>
      <c r="F73" s="12"/>
      <c r="G73" s="12"/>
      <c r="H73" s="113"/>
    </row>
    <row r="74" spans="1:8" ht="14.1" customHeight="1" x14ac:dyDescent="0.2">
      <c r="A74" s="1"/>
      <c r="B74" s="1"/>
      <c r="C74" s="2" t="s">
        <v>165</v>
      </c>
      <c r="D74" s="1"/>
      <c r="E74" s="1"/>
      <c r="F74" s="12"/>
      <c r="G74" s="12"/>
      <c r="H74" s="113"/>
    </row>
    <row r="75" spans="1:8" ht="14.1" customHeight="1" x14ac:dyDescent="0.2">
      <c r="A75" s="1"/>
      <c r="B75" s="1"/>
      <c r="C75" s="2" t="s">
        <v>166</v>
      </c>
      <c r="D75" s="1"/>
      <c r="E75" s="1"/>
      <c r="F75" s="12"/>
      <c r="G75" s="12"/>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167</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168</v>
      </c>
      <c r="D81" s="1"/>
      <c r="E81" s="1"/>
      <c r="F81" s="12"/>
      <c r="G81" s="12"/>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169</v>
      </c>
      <c r="D84" s="1"/>
      <c r="E84" s="1"/>
      <c r="F84" s="12"/>
      <c r="G84" s="12"/>
      <c r="H84" s="113"/>
    </row>
    <row r="85" spans="1:8" ht="17.100000000000001" customHeight="1" x14ac:dyDescent="0.2">
      <c r="A85" s="3">
        <v>1</v>
      </c>
      <c r="B85" s="4"/>
      <c r="C85" s="4" t="s">
        <v>170</v>
      </c>
      <c r="D85" s="4"/>
      <c r="E85" s="8"/>
      <c r="F85" s="6">
        <v>85.183805000000007</v>
      </c>
      <c r="G85" s="7">
        <v>4.425838E-2</v>
      </c>
      <c r="H85" s="113">
        <v>6.7600000000000016</v>
      </c>
    </row>
    <row r="86" spans="1:8" ht="14.1" customHeight="1" x14ac:dyDescent="0.2">
      <c r="A86" s="1"/>
      <c r="B86" s="1"/>
      <c r="C86" s="2" t="s">
        <v>151</v>
      </c>
      <c r="D86" s="1"/>
      <c r="E86" s="1" t="s">
        <v>152</v>
      </c>
      <c r="F86" s="9">
        <v>85.183805000000007</v>
      </c>
      <c r="G86" s="10">
        <v>4.425838E-2</v>
      </c>
      <c r="H86" s="113"/>
    </row>
    <row r="87" spans="1:8" ht="14.1" customHeight="1" x14ac:dyDescent="0.2">
      <c r="A87" s="1"/>
      <c r="B87" s="1"/>
      <c r="C87" s="11"/>
      <c r="D87" s="1"/>
      <c r="E87" s="1"/>
      <c r="F87" s="12"/>
      <c r="G87" s="12"/>
      <c r="H87" s="113"/>
    </row>
    <row r="88" spans="1:8" ht="14.1" customHeight="1" x14ac:dyDescent="0.2">
      <c r="A88" s="1"/>
      <c r="B88" s="1"/>
      <c r="C88" s="2" t="s">
        <v>171</v>
      </c>
      <c r="D88" s="1"/>
      <c r="E88" s="1"/>
      <c r="F88" s="9">
        <v>85.183805000000007</v>
      </c>
      <c r="G88" s="10">
        <v>4.425838E-2</v>
      </c>
      <c r="H88" s="113"/>
    </row>
    <row r="89" spans="1:8" ht="14.1" customHeight="1" x14ac:dyDescent="0.2">
      <c r="A89" s="1"/>
      <c r="B89" s="1"/>
      <c r="C89" s="12"/>
      <c r="D89" s="1"/>
      <c r="E89" s="1"/>
      <c r="F89" s="1"/>
      <c r="G89" s="1"/>
      <c r="H89" s="113"/>
    </row>
    <row r="90" spans="1:8" ht="14.1" customHeight="1" x14ac:dyDescent="0.2">
      <c r="A90" s="1"/>
      <c r="B90" s="1"/>
      <c r="C90" s="2" t="s">
        <v>172</v>
      </c>
      <c r="D90" s="1"/>
      <c r="E90" s="1"/>
      <c r="F90" s="1"/>
      <c r="G90" s="1"/>
      <c r="H90" s="113"/>
    </row>
    <row r="91" spans="1:8" ht="14.1" customHeight="1" x14ac:dyDescent="0.2">
      <c r="A91" s="1"/>
      <c r="B91" s="1"/>
      <c r="C91" s="2" t="s">
        <v>173</v>
      </c>
      <c r="D91" s="1"/>
      <c r="E91" s="1"/>
      <c r="F91" s="1"/>
      <c r="G91" s="1"/>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174</v>
      </c>
      <c r="D94" s="1"/>
      <c r="E94" s="1"/>
      <c r="F94" s="1"/>
      <c r="G94" s="1"/>
      <c r="H94" s="113"/>
    </row>
    <row r="95" spans="1:8" ht="14.1" customHeight="1" x14ac:dyDescent="0.2">
      <c r="A95" s="1"/>
      <c r="B95" s="1"/>
      <c r="C95" s="2" t="s">
        <v>175</v>
      </c>
      <c r="D95" s="1"/>
      <c r="E95" s="1"/>
      <c r="F95" s="1"/>
      <c r="G95" s="1"/>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24" customHeight="1" x14ac:dyDescent="0.2">
      <c r="A98" s="1"/>
      <c r="B98" s="1"/>
      <c r="C98" s="2" t="s">
        <v>176</v>
      </c>
      <c r="D98" s="1"/>
      <c r="E98" s="1"/>
      <c r="F98" s="12"/>
      <c r="G98" s="12"/>
      <c r="H98" s="113"/>
    </row>
    <row r="99" spans="1:8" ht="14.1" customHeight="1" x14ac:dyDescent="0.2">
      <c r="A99" s="1"/>
      <c r="B99" s="1"/>
      <c r="C99" s="2" t="s">
        <v>151</v>
      </c>
      <c r="D99" s="1"/>
      <c r="E99" s="1" t="s">
        <v>152</v>
      </c>
      <c r="F99" s="13" t="s">
        <v>154</v>
      </c>
      <c r="G99" s="10">
        <v>0</v>
      </c>
      <c r="H99" s="113"/>
    </row>
    <row r="100" spans="1:8" ht="14.1" customHeight="1" x14ac:dyDescent="0.2">
      <c r="A100" s="1"/>
      <c r="B100" s="1"/>
      <c r="C100" s="11"/>
      <c r="D100" s="1"/>
      <c r="E100" s="1"/>
      <c r="F100" s="12"/>
      <c r="G100" s="12"/>
      <c r="H100" s="113"/>
    </row>
    <row r="101" spans="1:8" ht="14.1" customHeight="1" x14ac:dyDescent="0.2">
      <c r="A101" s="1"/>
      <c r="B101" s="4"/>
      <c r="C101" s="4"/>
      <c r="D101" s="2"/>
      <c r="E101" s="1"/>
      <c r="F101" s="4"/>
      <c r="G101" s="8"/>
      <c r="H101" s="113"/>
    </row>
    <row r="102" spans="1:8" ht="18" customHeight="1" x14ac:dyDescent="0.2">
      <c r="A102" s="8"/>
      <c r="B102" s="4"/>
      <c r="C102" s="4" t="s">
        <v>177</v>
      </c>
      <c r="D102" s="4"/>
      <c r="E102" s="8"/>
      <c r="F102" s="6">
        <v>-5.02640478</v>
      </c>
      <c r="G102" s="7">
        <v>-2.6115399999999999E-3</v>
      </c>
      <c r="H102" s="113"/>
    </row>
    <row r="103" spans="1:8" ht="14.1" customHeight="1" x14ac:dyDescent="0.2">
      <c r="A103" s="11"/>
      <c r="B103" s="11"/>
      <c r="C103" s="2" t="s">
        <v>178</v>
      </c>
      <c r="D103" s="12"/>
      <c r="E103" s="12"/>
      <c r="F103" s="9">
        <v>1924.6931507199999</v>
      </c>
      <c r="G103" s="14">
        <v>1.0000000099999999</v>
      </c>
      <c r="H103" s="113"/>
    </row>
    <row r="104" spans="1:8" ht="14.1" customHeight="1" x14ac:dyDescent="0.2">
      <c r="A104" s="15"/>
      <c r="B104" s="15"/>
      <c r="C104" s="15"/>
      <c r="D104" s="16"/>
      <c r="E104" s="16"/>
      <c r="F104" s="16"/>
      <c r="G104" s="16"/>
    </row>
    <row r="105" spans="1:8" ht="14.1" customHeight="1" x14ac:dyDescent="0.2">
      <c r="A105" s="17"/>
      <c r="B105" s="17"/>
      <c r="C105" s="17"/>
      <c r="D105" s="19"/>
      <c r="E105" s="19"/>
      <c r="F105" s="19"/>
      <c r="G105" s="19"/>
    </row>
    <row r="106" spans="1:8" ht="14.1" customHeight="1" x14ac:dyDescent="0.2">
      <c r="A106" s="17"/>
      <c r="B106" s="208" t="s">
        <v>180</v>
      </c>
      <c r="C106" s="209"/>
      <c r="D106" s="210"/>
      <c r="E106" s="20"/>
      <c r="F106" s="19"/>
      <c r="G106" s="19"/>
    </row>
    <row r="107" spans="1:8" ht="29.1" customHeight="1" x14ac:dyDescent="0.2">
      <c r="A107" s="17"/>
      <c r="B107" s="205" t="s">
        <v>181</v>
      </c>
      <c r="C107" s="206"/>
      <c r="D107" s="2" t="s">
        <v>182</v>
      </c>
      <c r="E107" s="20"/>
      <c r="F107" s="19"/>
      <c r="G107" s="19"/>
    </row>
    <row r="108" spans="1:8" ht="17.100000000000001" customHeight="1" x14ac:dyDescent="0.2">
      <c r="A108" s="17"/>
      <c r="B108" s="205" t="s">
        <v>183</v>
      </c>
      <c r="C108" s="206"/>
      <c r="D108" s="2" t="s">
        <v>182</v>
      </c>
      <c r="E108" s="20"/>
      <c r="F108" s="19"/>
      <c r="G108" s="19"/>
    </row>
    <row r="109" spans="1:8" ht="17.100000000000001" customHeight="1" x14ac:dyDescent="0.2">
      <c r="A109" s="17"/>
      <c r="B109" s="205" t="s">
        <v>184</v>
      </c>
      <c r="C109" s="206"/>
      <c r="D109" s="12" t="s">
        <v>152</v>
      </c>
      <c r="E109" s="20"/>
      <c r="F109" s="19"/>
      <c r="G109" s="19"/>
    </row>
    <row r="110" spans="1:8" ht="25.5" x14ac:dyDescent="0.2">
      <c r="A110" s="21"/>
      <c r="B110" s="22" t="s">
        <v>152</v>
      </c>
      <c r="C110" s="22" t="s">
        <v>185</v>
      </c>
      <c r="D110" s="22" t="s">
        <v>186</v>
      </c>
      <c r="E110" s="21"/>
      <c r="F110" s="21"/>
      <c r="G110" s="21"/>
    </row>
    <row r="111" spans="1:8" ht="18" customHeight="1" x14ac:dyDescent="0.2">
      <c r="A111" s="21"/>
      <c r="B111" s="23" t="s">
        <v>187</v>
      </c>
      <c r="C111" s="22" t="s">
        <v>188</v>
      </c>
      <c r="D111" s="22" t="s">
        <v>189</v>
      </c>
      <c r="E111" s="21"/>
      <c r="F111" s="21"/>
      <c r="G111" s="21"/>
    </row>
    <row r="112" spans="1:8" ht="17.100000000000001" customHeight="1" x14ac:dyDescent="0.2">
      <c r="A112" s="21"/>
      <c r="B112" s="4" t="s">
        <v>190</v>
      </c>
      <c r="C112" s="24">
        <v>26.648</v>
      </c>
      <c r="D112" s="24">
        <v>28.7257</v>
      </c>
      <c r="E112" s="21"/>
      <c r="F112" s="18"/>
      <c r="G112" s="25"/>
    </row>
    <row r="113" spans="1:7" ht="17.100000000000001" customHeight="1" x14ac:dyDescent="0.2">
      <c r="A113" s="21"/>
      <c r="B113" s="4" t="s">
        <v>1033</v>
      </c>
      <c r="C113" s="24">
        <v>22.198799999999999</v>
      </c>
      <c r="D113" s="24">
        <v>22.812000000000001</v>
      </c>
      <c r="E113" s="21"/>
      <c r="F113" s="18"/>
      <c r="G113" s="25"/>
    </row>
    <row r="114" spans="1:7" ht="17.100000000000001" customHeight="1" x14ac:dyDescent="0.2">
      <c r="A114" s="21"/>
      <c r="B114" s="4" t="s">
        <v>191</v>
      </c>
      <c r="C114" s="24">
        <v>26.039000000000001</v>
      </c>
      <c r="D114" s="24">
        <v>28.068100000000001</v>
      </c>
      <c r="E114" s="21"/>
      <c r="F114" s="18"/>
      <c r="G114" s="25"/>
    </row>
    <row r="115" spans="1:7" ht="17.100000000000001" customHeight="1" x14ac:dyDescent="0.2">
      <c r="A115" s="21"/>
      <c r="B115" s="4" t="s">
        <v>1034</v>
      </c>
      <c r="C115" s="24">
        <v>21.6174</v>
      </c>
      <c r="D115" s="24">
        <v>22.1843</v>
      </c>
      <c r="E115" s="21"/>
      <c r="F115" s="18"/>
      <c r="G115" s="25"/>
    </row>
    <row r="116" spans="1:7" ht="14.1" customHeight="1" x14ac:dyDescent="0.2">
      <c r="A116" s="21"/>
      <c r="B116" s="21"/>
      <c r="C116" s="21"/>
      <c r="D116" s="21"/>
      <c r="E116" s="21"/>
      <c r="F116" s="21"/>
      <c r="G116" s="21"/>
    </row>
    <row r="117" spans="1:7" ht="17.100000000000001" customHeight="1" x14ac:dyDescent="0.2">
      <c r="A117" s="21"/>
      <c r="B117" s="205" t="s">
        <v>1035</v>
      </c>
      <c r="C117" s="206"/>
      <c r="D117" s="2" t="s">
        <v>152</v>
      </c>
      <c r="E117" s="21"/>
      <c r="F117" s="21"/>
      <c r="G117" s="21"/>
    </row>
    <row r="118" spans="1:7" ht="18" customHeight="1" x14ac:dyDescent="0.2">
      <c r="A118" s="21"/>
      <c r="B118" s="29" t="s">
        <v>187</v>
      </c>
      <c r="C118" s="30" t="s">
        <v>470</v>
      </c>
      <c r="D118" s="30" t="s">
        <v>471</v>
      </c>
      <c r="E118" s="21"/>
      <c r="F118" s="21"/>
      <c r="G118" s="21"/>
    </row>
    <row r="119" spans="1:7" ht="17.100000000000001" customHeight="1" x14ac:dyDescent="0.2">
      <c r="A119" s="21"/>
      <c r="B119" s="4" t="s">
        <v>1033</v>
      </c>
      <c r="C119" s="31">
        <v>1.081</v>
      </c>
      <c r="D119" s="8" t="s">
        <v>472</v>
      </c>
      <c r="E119" s="21"/>
      <c r="F119" s="18"/>
      <c r="G119" s="25"/>
    </row>
    <row r="120" spans="1:7" ht="17.100000000000001" customHeight="1" x14ac:dyDescent="0.2">
      <c r="A120" s="21"/>
      <c r="B120" s="4" t="s">
        <v>1034</v>
      </c>
      <c r="C120" s="31">
        <v>1.081</v>
      </c>
      <c r="D120" s="8" t="s">
        <v>472</v>
      </c>
      <c r="E120" s="21"/>
      <c r="F120" s="18"/>
      <c r="G120" s="25"/>
    </row>
    <row r="121" spans="1:7" ht="14.1" customHeight="1" x14ac:dyDescent="0.2">
      <c r="A121" s="21"/>
      <c r="B121" s="32"/>
      <c r="C121" s="32"/>
      <c r="D121" s="33"/>
      <c r="E121" s="21"/>
      <c r="F121" s="18"/>
      <c r="G121" s="25"/>
    </row>
    <row r="122" spans="1:7" ht="29.1" customHeight="1" x14ac:dyDescent="0.2">
      <c r="A122" s="21"/>
      <c r="B122" s="205" t="s">
        <v>192</v>
      </c>
      <c r="C122" s="206"/>
      <c r="D122" s="2" t="s">
        <v>182</v>
      </c>
      <c r="E122" s="27"/>
      <c r="F122" s="21"/>
      <c r="G122" s="21"/>
    </row>
    <row r="123" spans="1:7" ht="29.1" customHeight="1" x14ac:dyDescent="0.2">
      <c r="A123" s="21"/>
      <c r="B123" s="205" t="s">
        <v>193</v>
      </c>
      <c r="C123" s="206"/>
      <c r="D123" s="2" t="s">
        <v>182</v>
      </c>
      <c r="E123" s="27"/>
      <c r="F123" s="21"/>
      <c r="G123" s="21"/>
    </row>
    <row r="124" spans="1:7" ht="17.100000000000001" customHeight="1" x14ac:dyDescent="0.2">
      <c r="A124" s="21"/>
      <c r="B124" s="205" t="s">
        <v>194</v>
      </c>
      <c r="C124" s="206"/>
      <c r="D124" s="2" t="s">
        <v>182</v>
      </c>
      <c r="E124" s="27"/>
      <c r="F124" s="21"/>
      <c r="G124" s="21"/>
    </row>
    <row r="125" spans="1:7" ht="17.100000000000001" customHeight="1" x14ac:dyDescent="0.2">
      <c r="A125" s="21"/>
      <c r="B125" s="205" t="s">
        <v>195</v>
      </c>
      <c r="C125" s="206"/>
      <c r="D125" s="28">
        <v>0</v>
      </c>
      <c r="E125" s="21"/>
      <c r="F125" s="18"/>
      <c r="G125" s="25"/>
    </row>
    <row r="130" spans="10:14" x14ac:dyDescent="0.2">
      <c r="J130" s="198"/>
      <c r="K130" s="198"/>
      <c r="L130" s="198"/>
      <c r="M130" s="198"/>
      <c r="N130" s="198"/>
    </row>
  </sheetData>
  <mergeCells count="13">
    <mergeCell ref="B125:C125"/>
    <mergeCell ref="B108:C108"/>
    <mergeCell ref="B109:C109"/>
    <mergeCell ref="B117:C117"/>
    <mergeCell ref="B122:C122"/>
    <mergeCell ref="B123:C123"/>
    <mergeCell ref="B124:C124"/>
    <mergeCell ref="J2:N2"/>
    <mergeCell ref="B107:C107"/>
    <mergeCell ref="B106:D106"/>
    <mergeCell ref="A1:H1"/>
    <mergeCell ref="A2:H2"/>
    <mergeCell ref="A3:H3"/>
  </mergeCells>
  <hyperlinks>
    <hyperlink ref="I1" location="Index!B8" display="Index" xr:uid="{CD88C33C-6696-4574-A491-0C2D0C00C575}"/>
  </hyperlink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489</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321</v>
      </c>
      <c r="C7" s="4" t="s">
        <v>322</v>
      </c>
      <c r="D7" s="4" t="s">
        <v>28</v>
      </c>
      <c r="E7" s="5">
        <v>6942</v>
      </c>
      <c r="F7" s="6">
        <v>118.65613500000001</v>
      </c>
      <c r="G7" s="7">
        <v>9.5800259999999998E-2</v>
      </c>
      <c r="H7" s="113"/>
    </row>
    <row r="8" spans="1:14" ht="17.100000000000001" customHeight="1" x14ac:dyDescent="0.2">
      <c r="A8" s="3">
        <v>2</v>
      </c>
      <c r="B8" s="4" t="s">
        <v>26</v>
      </c>
      <c r="C8" s="4" t="s">
        <v>27</v>
      </c>
      <c r="D8" s="4" t="s">
        <v>28</v>
      </c>
      <c r="E8" s="5">
        <v>11277</v>
      </c>
      <c r="F8" s="6">
        <v>112.386582</v>
      </c>
      <c r="G8" s="7">
        <v>9.0738360000000004E-2</v>
      </c>
      <c r="H8" s="113"/>
    </row>
    <row r="9" spans="1:14" ht="17.100000000000001" customHeight="1" x14ac:dyDescent="0.2">
      <c r="A9" s="3">
        <v>3</v>
      </c>
      <c r="B9" s="4" t="s">
        <v>17</v>
      </c>
      <c r="C9" s="4" t="s">
        <v>18</v>
      </c>
      <c r="D9" s="4" t="s">
        <v>19</v>
      </c>
      <c r="E9" s="5">
        <v>3489</v>
      </c>
      <c r="F9" s="6">
        <v>90.188905500000004</v>
      </c>
      <c r="G9" s="7">
        <v>7.2816469999999994E-2</v>
      </c>
      <c r="H9" s="113"/>
    </row>
    <row r="10" spans="1:14" ht="17.100000000000001" customHeight="1" x14ac:dyDescent="0.2">
      <c r="A10" s="3">
        <v>4</v>
      </c>
      <c r="B10" s="4" t="s">
        <v>323</v>
      </c>
      <c r="C10" s="4" t="s">
        <v>324</v>
      </c>
      <c r="D10" s="4" t="s">
        <v>891</v>
      </c>
      <c r="E10" s="5">
        <v>5779</v>
      </c>
      <c r="F10" s="6">
        <v>89.164191000000002</v>
      </c>
      <c r="G10" s="7">
        <v>7.1989129999999998E-2</v>
      </c>
      <c r="H10" s="113"/>
    </row>
    <row r="11" spans="1:14" ht="17.100000000000001" customHeight="1" x14ac:dyDescent="0.2">
      <c r="A11" s="3">
        <v>5</v>
      </c>
      <c r="B11" s="4" t="s">
        <v>62</v>
      </c>
      <c r="C11" s="4" t="s">
        <v>63</v>
      </c>
      <c r="D11" s="4" t="s">
        <v>28</v>
      </c>
      <c r="E11" s="5">
        <v>12485</v>
      </c>
      <c r="F11" s="6">
        <v>80.1599425</v>
      </c>
      <c r="G11" s="7">
        <v>6.4719310000000002E-2</v>
      </c>
      <c r="H11" s="113"/>
    </row>
    <row r="12" spans="1:14" ht="17.100000000000001" customHeight="1" x14ac:dyDescent="0.2">
      <c r="A12" s="3">
        <v>6</v>
      </c>
      <c r="B12" s="4" t="s">
        <v>11</v>
      </c>
      <c r="C12" s="4" t="s">
        <v>12</v>
      </c>
      <c r="D12" s="4" t="s">
        <v>13</v>
      </c>
      <c r="E12" s="5">
        <v>1886</v>
      </c>
      <c r="F12" s="6">
        <v>66.500360000000001</v>
      </c>
      <c r="G12" s="7">
        <v>5.3690870000000002E-2</v>
      </c>
      <c r="H12" s="113"/>
    </row>
    <row r="13" spans="1:14" ht="29.1" customHeight="1" x14ac:dyDescent="0.2">
      <c r="A13" s="3">
        <v>7</v>
      </c>
      <c r="B13" s="4" t="s">
        <v>23</v>
      </c>
      <c r="C13" s="4" t="s">
        <v>24</v>
      </c>
      <c r="D13" s="4" t="s">
        <v>25</v>
      </c>
      <c r="E13" s="5">
        <v>451</v>
      </c>
      <c r="F13" s="6">
        <v>47.368755499999999</v>
      </c>
      <c r="G13" s="7">
        <v>3.8244449999999999E-2</v>
      </c>
      <c r="H13" s="113"/>
      <c r="J13" s="194" t="s">
        <v>1152</v>
      </c>
    </row>
    <row r="14" spans="1:14" ht="17.100000000000001" customHeight="1" x14ac:dyDescent="0.2">
      <c r="A14" s="3">
        <v>8</v>
      </c>
      <c r="B14" s="4" t="s">
        <v>20</v>
      </c>
      <c r="C14" s="4" t="s">
        <v>21</v>
      </c>
      <c r="D14" s="4" t="s">
        <v>22</v>
      </c>
      <c r="E14" s="5">
        <v>4570</v>
      </c>
      <c r="F14" s="6">
        <v>47.17154</v>
      </c>
      <c r="G14" s="7">
        <v>3.8085229999999998E-2</v>
      </c>
      <c r="H14" s="113"/>
    </row>
    <row r="15" spans="1:14" ht="17.100000000000001" customHeight="1" x14ac:dyDescent="0.2">
      <c r="A15" s="3">
        <v>9</v>
      </c>
      <c r="B15" s="4" t="s">
        <v>325</v>
      </c>
      <c r="C15" s="4" t="s">
        <v>326</v>
      </c>
      <c r="D15" s="4" t="s">
        <v>28</v>
      </c>
      <c r="E15" s="5">
        <v>3854</v>
      </c>
      <c r="F15" s="6">
        <v>42.482641999999998</v>
      </c>
      <c r="G15" s="7">
        <v>3.429952E-2</v>
      </c>
      <c r="H15" s="113"/>
    </row>
    <row r="16" spans="1:14" ht="17.100000000000001" customHeight="1" x14ac:dyDescent="0.2">
      <c r="A16" s="3">
        <v>10</v>
      </c>
      <c r="B16" s="4" t="s">
        <v>351</v>
      </c>
      <c r="C16" s="4" t="s">
        <v>352</v>
      </c>
      <c r="D16" s="4" t="s">
        <v>248</v>
      </c>
      <c r="E16" s="5">
        <v>5400</v>
      </c>
      <c r="F16" s="6">
        <v>42.1173</v>
      </c>
      <c r="G16" s="7">
        <v>3.4004550000000001E-2</v>
      </c>
      <c r="H16" s="113"/>
    </row>
    <row r="17" spans="1:8" ht="17.100000000000001" customHeight="1" x14ac:dyDescent="0.2">
      <c r="A17" s="3">
        <v>11</v>
      </c>
      <c r="B17" s="4" t="s">
        <v>359</v>
      </c>
      <c r="C17" s="4" t="s">
        <v>360</v>
      </c>
      <c r="D17" s="4" t="s">
        <v>56</v>
      </c>
      <c r="E17" s="5">
        <v>959</v>
      </c>
      <c r="F17" s="6">
        <v>35.2475655</v>
      </c>
      <c r="G17" s="7">
        <v>2.845808E-2</v>
      </c>
      <c r="H17" s="113"/>
    </row>
    <row r="18" spans="1:8" ht="17.100000000000001" customHeight="1" x14ac:dyDescent="0.2">
      <c r="A18" s="3">
        <v>12</v>
      </c>
      <c r="B18" s="4" t="s">
        <v>348</v>
      </c>
      <c r="C18" s="4" t="s">
        <v>349</v>
      </c>
      <c r="D18" s="4" t="s">
        <v>350</v>
      </c>
      <c r="E18" s="5">
        <v>7286</v>
      </c>
      <c r="F18" s="6">
        <v>33.668605999999997</v>
      </c>
      <c r="G18" s="7">
        <v>2.7183260000000001E-2</v>
      </c>
      <c r="H18" s="113"/>
    </row>
    <row r="19" spans="1:8" ht="17.100000000000001" customHeight="1" x14ac:dyDescent="0.2">
      <c r="A19" s="3">
        <v>13</v>
      </c>
      <c r="B19" s="4" t="s">
        <v>97</v>
      </c>
      <c r="C19" s="4" t="s">
        <v>98</v>
      </c>
      <c r="D19" s="4" t="s">
        <v>99</v>
      </c>
      <c r="E19" s="5">
        <v>3810</v>
      </c>
      <c r="F19" s="6">
        <v>28.502610000000001</v>
      </c>
      <c r="G19" s="7">
        <v>2.3012359999999999E-2</v>
      </c>
      <c r="H19" s="113"/>
    </row>
    <row r="20" spans="1:8" ht="17.100000000000001" customHeight="1" x14ac:dyDescent="0.2">
      <c r="A20" s="3">
        <v>14</v>
      </c>
      <c r="B20" s="4" t="s">
        <v>475</v>
      </c>
      <c r="C20" s="4" t="s">
        <v>476</v>
      </c>
      <c r="D20" s="4" t="s">
        <v>234</v>
      </c>
      <c r="E20" s="5">
        <v>1859</v>
      </c>
      <c r="F20" s="6">
        <v>26.632034000000001</v>
      </c>
      <c r="G20" s="7">
        <v>2.15021E-2</v>
      </c>
      <c r="H20" s="113"/>
    </row>
    <row r="21" spans="1:8" ht="17.100000000000001" customHeight="1" x14ac:dyDescent="0.2">
      <c r="A21" s="3">
        <v>15</v>
      </c>
      <c r="B21" s="4" t="s">
        <v>277</v>
      </c>
      <c r="C21" s="4" t="s">
        <v>278</v>
      </c>
      <c r="D21" s="4" t="s">
        <v>19</v>
      </c>
      <c r="E21" s="5">
        <v>6474</v>
      </c>
      <c r="F21" s="6">
        <v>25.824786</v>
      </c>
      <c r="G21" s="7">
        <v>2.0850339999999998E-2</v>
      </c>
      <c r="H21" s="113"/>
    </row>
    <row r="22" spans="1:8" ht="29.1" customHeight="1" x14ac:dyDescent="0.2">
      <c r="A22" s="3">
        <v>16</v>
      </c>
      <c r="B22" s="4" t="s">
        <v>213</v>
      </c>
      <c r="C22" s="4" t="s">
        <v>214</v>
      </c>
      <c r="D22" s="4" t="s">
        <v>215</v>
      </c>
      <c r="E22" s="5">
        <v>2059</v>
      </c>
      <c r="F22" s="6">
        <v>25.771473499999999</v>
      </c>
      <c r="G22" s="7">
        <v>2.0807300000000001E-2</v>
      </c>
      <c r="H22" s="113"/>
    </row>
    <row r="23" spans="1:8" ht="17.100000000000001" customHeight="1" x14ac:dyDescent="0.2">
      <c r="A23" s="3">
        <v>17</v>
      </c>
      <c r="B23" s="4" t="s">
        <v>331</v>
      </c>
      <c r="C23" s="4" t="s">
        <v>332</v>
      </c>
      <c r="D23" s="4" t="s">
        <v>891</v>
      </c>
      <c r="E23" s="5">
        <v>656</v>
      </c>
      <c r="F23" s="6">
        <v>24.884703999999999</v>
      </c>
      <c r="G23" s="7">
        <v>2.0091339999999999E-2</v>
      </c>
      <c r="H23" s="113"/>
    </row>
    <row r="24" spans="1:8" ht="17.100000000000001" customHeight="1" x14ac:dyDescent="0.2">
      <c r="A24" s="3">
        <v>18</v>
      </c>
      <c r="B24" s="4" t="s">
        <v>479</v>
      </c>
      <c r="C24" s="4" t="s">
        <v>480</v>
      </c>
      <c r="D24" s="4" t="s">
        <v>891</v>
      </c>
      <c r="E24" s="5">
        <v>1655</v>
      </c>
      <c r="F24" s="6">
        <v>24.263954999999999</v>
      </c>
      <c r="G24" s="7">
        <v>1.9590159999999999E-2</v>
      </c>
      <c r="H24" s="113"/>
    </row>
    <row r="25" spans="1:8" ht="17.100000000000001" customHeight="1" x14ac:dyDescent="0.2">
      <c r="A25" s="3">
        <v>19</v>
      </c>
      <c r="B25" s="4" t="s">
        <v>477</v>
      </c>
      <c r="C25" s="4" t="s">
        <v>478</v>
      </c>
      <c r="D25" s="4" t="s">
        <v>28</v>
      </c>
      <c r="E25" s="5">
        <v>10106</v>
      </c>
      <c r="F25" s="6">
        <v>23.354966000000001</v>
      </c>
      <c r="G25" s="7">
        <v>1.8856270000000001E-2</v>
      </c>
      <c r="H25" s="113"/>
    </row>
    <row r="26" spans="1:8" ht="29.1" customHeight="1" x14ac:dyDescent="0.2">
      <c r="A26" s="3">
        <v>20</v>
      </c>
      <c r="B26" s="4" t="s">
        <v>220</v>
      </c>
      <c r="C26" s="4" t="s">
        <v>221</v>
      </c>
      <c r="D26" s="4" t="s">
        <v>222</v>
      </c>
      <c r="E26" s="5">
        <v>526</v>
      </c>
      <c r="F26" s="6">
        <v>20.267831999999999</v>
      </c>
      <c r="G26" s="7">
        <v>1.636379E-2</v>
      </c>
      <c r="H26" s="113"/>
    </row>
    <row r="27" spans="1:8" ht="17.100000000000001" customHeight="1" x14ac:dyDescent="0.2">
      <c r="A27" s="3">
        <v>21</v>
      </c>
      <c r="B27" s="4" t="s">
        <v>105</v>
      </c>
      <c r="C27" s="4" t="s">
        <v>106</v>
      </c>
      <c r="D27" s="4" t="s">
        <v>107</v>
      </c>
      <c r="E27" s="5">
        <v>587</v>
      </c>
      <c r="F27" s="6">
        <v>18.80161</v>
      </c>
      <c r="G27" s="7">
        <v>1.5179990000000001E-2</v>
      </c>
      <c r="H27" s="113"/>
    </row>
    <row r="28" spans="1:8" ht="17.100000000000001" customHeight="1" x14ac:dyDescent="0.2">
      <c r="A28" s="3">
        <v>22</v>
      </c>
      <c r="B28" s="4" t="s">
        <v>337</v>
      </c>
      <c r="C28" s="4" t="s">
        <v>338</v>
      </c>
      <c r="D28" s="4" t="s">
        <v>339</v>
      </c>
      <c r="E28" s="5">
        <v>2990</v>
      </c>
      <c r="F28" s="6">
        <v>18.384015000000002</v>
      </c>
      <c r="G28" s="7">
        <v>1.484283E-2</v>
      </c>
      <c r="H28" s="113"/>
    </row>
    <row r="29" spans="1:8" ht="29.1" customHeight="1" x14ac:dyDescent="0.2">
      <c r="A29" s="3">
        <v>23</v>
      </c>
      <c r="B29" s="4" t="s">
        <v>85</v>
      </c>
      <c r="C29" s="4" t="s">
        <v>86</v>
      </c>
      <c r="D29" s="4" t="s">
        <v>25</v>
      </c>
      <c r="E29" s="5">
        <v>1266</v>
      </c>
      <c r="F29" s="6">
        <v>18.242426999999999</v>
      </c>
      <c r="G29" s="7">
        <v>1.472852E-2</v>
      </c>
      <c r="H29" s="113"/>
    </row>
    <row r="30" spans="1:8" ht="17.100000000000001" customHeight="1" x14ac:dyDescent="0.2">
      <c r="A30" s="3">
        <v>24</v>
      </c>
      <c r="B30" s="4" t="s">
        <v>137</v>
      </c>
      <c r="C30" s="4" t="s">
        <v>138</v>
      </c>
      <c r="D30" s="4" t="s">
        <v>19</v>
      </c>
      <c r="E30" s="5">
        <v>3989</v>
      </c>
      <c r="F30" s="6">
        <v>17.976428500000001</v>
      </c>
      <c r="G30" s="7">
        <v>1.4513760000000001E-2</v>
      </c>
      <c r="H30" s="113"/>
    </row>
    <row r="31" spans="1:8" ht="17.100000000000001" customHeight="1" x14ac:dyDescent="0.2">
      <c r="A31" s="3">
        <v>25</v>
      </c>
      <c r="B31" s="4" t="s">
        <v>411</v>
      </c>
      <c r="C31" s="4" t="s">
        <v>412</v>
      </c>
      <c r="D31" s="4" t="s">
        <v>210</v>
      </c>
      <c r="E31" s="5">
        <v>4838</v>
      </c>
      <c r="F31" s="6">
        <v>17.68289</v>
      </c>
      <c r="G31" s="7">
        <v>1.4276759999999999E-2</v>
      </c>
      <c r="H31" s="113"/>
    </row>
    <row r="32" spans="1:8" ht="17.100000000000001" customHeight="1" x14ac:dyDescent="0.2">
      <c r="A32" s="3">
        <v>26</v>
      </c>
      <c r="B32" s="4" t="s">
        <v>335</v>
      </c>
      <c r="C32" s="4" t="s">
        <v>336</v>
      </c>
      <c r="D32" s="4" t="s">
        <v>28</v>
      </c>
      <c r="E32" s="5">
        <v>1052</v>
      </c>
      <c r="F32" s="6">
        <v>16.820954</v>
      </c>
      <c r="G32" s="7">
        <v>1.358085E-2</v>
      </c>
      <c r="H32" s="113"/>
    </row>
    <row r="33" spans="1:8" ht="29.1" customHeight="1" x14ac:dyDescent="0.2">
      <c r="A33" s="3">
        <v>27</v>
      </c>
      <c r="B33" s="4" t="s">
        <v>481</v>
      </c>
      <c r="C33" s="4" t="s">
        <v>482</v>
      </c>
      <c r="D33" s="4" t="s">
        <v>483</v>
      </c>
      <c r="E33" s="5">
        <v>1535</v>
      </c>
      <c r="F33" s="6">
        <v>16.682379999999998</v>
      </c>
      <c r="G33" s="7">
        <v>1.346897E-2</v>
      </c>
      <c r="H33" s="113"/>
    </row>
    <row r="34" spans="1:8" ht="29.1" customHeight="1" x14ac:dyDescent="0.2">
      <c r="A34" s="3">
        <v>28</v>
      </c>
      <c r="B34" s="4" t="s">
        <v>486</v>
      </c>
      <c r="C34" s="4" t="s">
        <v>487</v>
      </c>
      <c r="D34" s="4" t="s">
        <v>225</v>
      </c>
      <c r="E34" s="5">
        <v>1213</v>
      </c>
      <c r="F34" s="6">
        <v>15.117618999999999</v>
      </c>
      <c r="G34" s="7">
        <v>1.220562E-2</v>
      </c>
      <c r="H34" s="113"/>
    </row>
    <row r="35" spans="1:8" ht="17.100000000000001" customHeight="1" x14ac:dyDescent="0.2">
      <c r="A35" s="3">
        <v>29</v>
      </c>
      <c r="B35" s="4" t="s">
        <v>484</v>
      </c>
      <c r="C35" s="4" t="s">
        <v>485</v>
      </c>
      <c r="D35" s="4" t="s">
        <v>28</v>
      </c>
      <c r="E35" s="5">
        <v>778</v>
      </c>
      <c r="F35" s="6">
        <v>14.845018</v>
      </c>
      <c r="G35" s="7">
        <v>1.1985529999999999E-2</v>
      </c>
      <c r="H35" s="113"/>
    </row>
    <row r="36" spans="1:8" ht="17.100000000000001" customHeight="1" x14ac:dyDescent="0.2">
      <c r="A36" s="3">
        <v>30</v>
      </c>
      <c r="B36" s="4" t="s">
        <v>355</v>
      </c>
      <c r="C36" s="4" t="s">
        <v>356</v>
      </c>
      <c r="D36" s="4" t="s">
        <v>350</v>
      </c>
      <c r="E36" s="5">
        <v>517</v>
      </c>
      <c r="F36" s="6">
        <v>13.7726215</v>
      </c>
      <c r="G36" s="7">
        <v>1.11197E-2</v>
      </c>
      <c r="H36" s="113"/>
    </row>
    <row r="37" spans="1:8" ht="17.100000000000001" customHeight="1" x14ac:dyDescent="0.2">
      <c r="A37" s="3">
        <v>31</v>
      </c>
      <c r="B37" s="4" t="s">
        <v>44</v>
      </c>
      <c r="C37" s="4" t="s">
        <v>45</v>
      </c>
      <c r="D37" s="4" t="s">
        <v>46</v>
      </c>
      <c r="E37" s="5">
        <v>1593</v>
      </c>
      <c r="F37" s="6">
        <v>13.694224500000001</v>
      </c>
      <c r="G37" s="7">
        <v>1.1056399999999999E-2</v>
      </c>
      <c r="H37" s="113"/>
    </row>
    <row r="38" spans="1:8" ht="17.100000000000001" customHeight="1" x14ac:dyDescent="0.2">
      <c r="A38" s="3">
        <v>32</v>
      </c>
      <c r="B38" s="4" t="s">
        <v>490</v>
      </c>
      <c r="C38" s="4" t="s">
        <v>491</v>
      </c>
      <c r="D38" s="4" t="s">
        <v>891</v>
      </c>
      <c r="E38" s="5">
        <v>1658</v>
      </c>
      <c r="F38" s="6">
        <v>7.8141540000000003</v>
      </c>
      <c r="G38" s="7">
        <v>6.3089699999999997E-3</v>
      </c>
      <c r="H38" s="113"/>
    </row>
    <row r="39" spans="1:8" ht="17.100000000000001" customHeight="1" x14ac:dyDescent="0.2">
      <c r="A39" s="3">
        <v>33</v>
      </c>
      <c r="B39" s="4" t="s">
        <v>488</v>
      </c>
      <c r="C39" s="40" t="s">
        <v>893</v>
      </c>
      <c r="D39" s="4" t="s">
        <v>22</v>
      </c>
      <c r="E39" s="5">
        <v>327</v>
      </c>
      <c r="F39" s="6">
        <v>2.0857695000000001</v>
      </c>
      <c r="G39" s="7">
        <v>1.684E-3</v>
      </c>
      <c r="H39" s="113"/>
    </row>
    <row r="40" spans="1:8" ht="14.1" customHeight="1" x14ac:dyDescent="0.2">
      <c r="A40" s="1"/>
      <c r="B40" s="1"/>
      <c r="C40" s="2" t="s">
        <v>151</v>
      </c>
      <c r="D40" s="1"/>
      <c r="E40" s="1" t="s">
        <v>152</v>
      </c>
      <c r="F40" s="9">
        <v>1196.5349965</v>
      </c>
      <c r="G40" s="10">
        <v>0.96605505000000014</v>
      </c>
      <c r="H40" s="113"/>
    </row>
    <row r="41" spans="1:8" ht="14.1" customHeight="1" x14ac:dyDescent="0.2">
      <c r="A41" s="1"/>
      <c r="B41" s="1"/>
      <c r="C41" s="11"/>
      <c r="D41" s="1"/>
      <c r="E41" s="1"/>
      <c r="F41" s="12"/>
      <c r="G41" s="12"/>
      <c r="H41" s="113"/>
    </row>
    <row r="42" spans="1:8" ht="14.1" customHeight="1" x14ac:dyDescent="0.2">
      <c r="A42" s="1"/>
      <c r="B42" s="1"/>
      <c r="C42" s="2" t="s">
        <v>153</v>
      </c>
      <c r="D42" s="1"/>
      <c r="E42" s="1"/>
      <c r="F42" s="1"/>
      <c r="G42" s="1"/>
      <c r="H42" s="113"/>
    </row>
    <row r="43" spans="1:8" ht="14.1" customHeight="1" x14ac:dyDescent="0.2">
      <c r="A43" s="1"/>
      <c r="B43" s="1"/>
      <c r="C43" s="2" t="s">
        <v>151</v>
      </c>
      <c r="D43" s="1"/>
      <c r="E43" s="1" t="s">
        <v>152</v>
      </c>
      <c r="F43" s="13" t="s">
        <v>154</v>
      </c>
      <c r="G43" s="10">
        <v>0</v>
      </c>
      <c r="H43" s="113"/>
    </row>
    <row r="44" spans="1:8" ht="14.1" customHeight="1" x14ac:dyDescent="0.2">
      <c r="A44" s="1"/>
      <c r="B44" s="1"/>
      <c r="C44" s="11"/>
      <c r="D44" s="1"/>
      <c r="E44" s="1"/>
      <c r="F44" s="12"/>
      <c r="G44" s="12"/>
      <c r="H44" s="113"/>
    </row>
    <row r="45" spans="1:8" ht="14.1" customHeight="1" x14ac:dyDescent="0.2">
      <c r="A45" s="1"/>
      <c r="B45" s="1"/>
      <c r="C45" s="2" t="s">
        <v>155</v>
      </c>
      <c r="D45" s="1"/>
      <c r="E45" s="1"/>
      <c r="F45" s="1"/>
      <c r="G45" s="1"/>
      <c r="H45" s="113"/>
    </row>
    <row r="46" spans="1:8" ht="14.1" customHeight="1" x14ac:dyDescent="0.2">
      <c r="A46" s="1"/>
      <c r="B46" s="1"/>
      <c r="C46" s="2" t="s">
        <v>151</v>
      </c>
      <c r="D46" s="1"/>
      <c r="E46" s="1" t="s">
        <v>152</v>
      </c>
      <c r="F46" s="13" t="s">
        <v>154</v>
      </c>
      <c r="G46" s="10">
        <v>0</v>
      </c>
      <c r="H46" s="113"/>
    </row>
    <row r="47" spans="1:8" ht="14.1" customHeight="1" x14ac:dyDescent="0.2">
      <c r="A47" s="1"/>
      <c r="B47" s="1"/>
      <c r="C47" s="11"/>
      <c r="D47" s="1"/>
      <c r="E47" s="1"/>
      <c r="F47" s="12"/>
      <c r="G47" s="12"/>
      <c r="H47" s="113"/>
    </row>
    <row r="48" spans="1:8" ht="14.1" customHeight="1" x14ac:dyDescent="0.2">
      <c r="A48" s="1"/>
      <c r="B48" s="1"/>
      <c r="C48" s="2" t="s">
        <v>156</v>
      </c>
      <c r="D48" s="1"/>
      <c r="E48" s="1"/>
      <c r="F48" s="1"/>
      <c r="G48" s="1"/>
      <c r="H48" s="113"/>
    </row>
    <row r="49" spans="1:8" ht="14.1" customHeight="1" x14ac:dyDescent="0.2">
      <c r="A49" s="1"/>
      <c r="B49" s="1"/>
      <c r="C49" s="2" t="s">
        <v>151</v>
      </c>
      <c r="D49" s="1"/>
      <c r="E49" s="1" t="s">
        <v>152</v>
      </c>
      <c r="F49" s="13" t="s">
        <v>154</v>
      </c>
      <c r="G49" s="10">
        <v>0</v>
      </c>
      <c r="H49" s="113"/>
    </row>
    <row r="50" spans="1:8" ht="14.1" customHeight="1" x14ac:dyDescent="0.2">
      <c r="A50" s="1"/>
      <c r="B50" s="1"/>
      <c r="C50" s="11"/>
      <c r="D50" s="1"/>
      <c r="E50" s="1"/>
      <c r="F50" s="12"/>
      <c r="G50" s="12"/>
      <c r="H50" s="113"/>
    </row>
    <row r="51" spans="1:8" ht="14.1" customHeight="1" x14ac:dyDescent="0.2">
      <c r="A51" s="1"/>
      <c r="B51" s="1"/>
      <c r="C51" s="2" t="s">
        <v>157</v>
      </c>
      <c r="D51" s="1"/>
      <c r="E51" s="1"/>
      <c r="F51" s="12"/>
      <c r="G51" s="12"/>
      <c r="H51" s="113"/>
    </row>
    <row r="52" spans="1:8" ht="14.1" customHeight="1" x14ac:dyDescent="0.2">
      <c r="A52" s="1"/>
      <c r="B52" s="1"/>
      <c r="C52" s="2" t="s">
        <v>151</v>
      </c>
      <c r="D52" s="1"/>
      <c r="E52" s="1" t="s">
        <v>152</v>
      </c>
      <c r="F52" s="13" t="s">
        <v>154</v>
      </c>
      <c r="G52" s="10">
        <v>0</v>
      </c>
      <c r="H52" s="113"/>
    </row>
    <row r="53" spans="1:8" ht="14.1" customHeight="1" x14ac:dyDescent="0.2">
      <c r="A53" s="1"/>
      <c r="B53" s="1"/>
      <c r="C53" s="11"/>
      <c r="D53" s="1"/>
      <c r="E53" s="1"/>
      <c r="F53" s="12"/>
      <c r="G53" s="12"/>
      <c r="H53" s="113"/>
    </row>
    <row r="54" spans="1:8" ht="14.1" customHeight="1" x14ac:dyDescent="0.2">
      <c r="A54" s="1"/>
      <c r="B54" s="1"/>
      <c r="C54" s="2" t="s">
        <v>158</v>
      </c>
      <c r="D54" s="1"/>
      <c r="E54" s="1"/>
      <c r="F54" s="12"/>
      <c r="G54" s="12"/>
      <c r="H54" s="113"/>
    </row>
    <row r="55" spans="1:8" ht="14.1" customHeight="1" x14ac:dyDescent="0.2">
      <c r="A55" s="1"/>
      <c r="B55" s="1"/>
      <c r="C55" s="2" t="s">
        <v>151</v>
      </c>
      <c r="D55" s="1"/>
      <c r="E55" s="1" t="s">
        <v>152</v>
      </c>
      <c r="F55" s="13" t="s">
        <v>154</v>
      </c>
      <c r="G55" s="10">
        <v>0</v>
      </c>
      <c r="H55" s="113"/>
    </row>
    <row r="56" spans="1:8" ht="14.1" customHeight="1" x14ac:dyDescent="0.2">
      <c r="A56" s="1"/>
      <c r="B56" s="1"/>
      <c r="C56" s="11"/>
      <c r="D56" s="1"/>
      <c r="E56" s="1"/>
      <c r="F56" s="12"/>
      <c r="G56" s="12"/>
      <c r="H56" s="113"/>
    </row>
    <row r="57" spans="1:8" ht="18" customHeight="1" x14ac:dyDescent="0.2">
      <c r="A57" s="1"/>
      <c r="B57" s="1"/>
      <c r="C57" s="2" t="s">
        <v>159</v>
      </c>
      <c r="D57" s="1"/>
      <c r="E57" s="1"/>
      <c r="F57" s="9">
        <v>1196.5349965</v>
      </c>
      <c r="G57" s="10">
        <v>0.96605505000000003</v>
      </c>
      <c r="H57" s="113"/>
    </row>
    <row r="58" spans="1:8" ht="14.1" customHeight="1" x14ac:dyDescent="0.2">
      <c r="A58" s="1"/>
      <c r="B58" s="1"/>
      <c r="C58" s="11"/>
      <c r="D58" s="1"/>
      <c r="E58" s="1"/>
      <c r="F58" s="12"/>
      <c r="G58" s="12"/>
      <c r="H58" s="113"/>
    </row>
    <row r="59" spans="1:8" ht="14.1" customHeight="1" x14ac:dyDescent="0.2">
      <c r="A59" s="1"/>
      <c r="B59" s="1"/>
      <c r="C59" s="2" t="s">
        <v>160</v>
      </c>
      <c r="D59" s="1"/>
      <c r="E59" s="1"/>
      <c r="F59" s="12"/>
      <c r="G59" s="12"/>
      <c r="H59" s="113"/>
    </row>
    <row r="60" spans="1:8" ht="24" customHeight="1" x14ac:dyDescent="0.2">
      <c r="A60" s="1"/>
      <c r="B60" s="1"/>
      <c r="C60" s="2" t="s">
        <v>10</v>
      </c>
      <c r="D60" s="1"/>
      <c r="E60" s="1"/>
      <c r="F60" s="12"/>
      <c r="G60" s="12"/>
      <c r="H60" s="113"/>
    </row>
    <row r="61" spans="1:8" ht="14.1" customHeight="1" x14ac:dyDescent="0.2">
      <c r="A61" s="1"/>
      <c r="B61" s="1"/>
      <c r="C61" s="2" t="s">
        <v>151</v>
      </c>
      <c r="D61" s="1"/>
      <c r="E61" s="1" t="s">
        <v>152</v>
      </c>
      <c r="F61" s="13" t="s">
        <v>154</v>
      </c>
      <c r="G61" s="10">
        <v>0</v>
      </c>
      <c r="H61" s="113"/>
    </row>
    <row r="62" spans="1:8" ht="14.1" customHeight="1" x14ac:dyDescent="0.2">
      <c r="A62" s="1"/>
      <c r="B62" s="1"/>
      <c r="C62" s="11"/>
      <c r="D62" s="1"/>
      <c r="E62" s="1"/>
      <c r="F62" s="12"/>
      <c r="G62" s="12"/>
      <c r="H62" s="113"/>
    </row>
    <row r="63" spans="1:8" ht="14.1" customHeight="1" x14ac:dyDescent="0.2">
      <c r="A63" s="1"/>
      <c r="B63" s="1"/>
      <c r="C63" s="2" t="s">
        <v>161</v>
      </c>
      <c r="D63" s="1"/>
      <c r="E63" s="1"/>
      <c r="F63" s="1"/>
      <c r="G63" s="1"/>
      <c r="H63" s="113"/>
    </row>
    <row r="64" spans="1:8" ht="14.1" customHeight="1" x14ac:dyDescent="0.2">
      <c r="A64" s="1"/>
      <c r="B64" s="1"/>
      <c r="C64" s="2" t="s">
        <v>151</v>
      </c>
      <c r="D64" s="1"/>
      <c r="E64" s="1" t="s">
        <v>152</v>
      </c>
      <c r="F64" s="13" t="s">
        <v>154</v>
      </c>
      <c r="G64" s="10">
        <v>0</v>
      </c>
      <c r="H64" s="113"/>
    </row>
    <row r="65" spans="1:8" ht="14.1" customHeight="1" x14ac:dyDescent="0.2">
      <c r="A65" s="1"/>
      <c r="B65" s="1"/>
      <c r="C65" s="11"/>
      <c r="D65" s="1"/>
      <c r="E65" s="1"/>
      <c r="F65" s="12"/>
      <c r="G65" s="12"/>
      <c r="H65" s="113"/>
    </row>
    <row r="66" spans="1:8" ht="14.1" customHeight="1" x14ac:dyDescent="0.2">
      <c r="A66" s="1"/>
      <c r="B66" s="1"/>
      <c r="C66" s="2" t="s">
        <v>162</v>
      </c>
      <c r="D66" s="1"/>
      <c r="E66" s="1"/>
      <c r="F66" s="1"/>
      <c r="G66" s="1"/>
      <c r="H66" s="113"/>
    </row>
    <row r="67" spans="1:8" ht="14.1" customHeight="1" x14ac:dyDescent="0.2">
      <c r="A67" s="1"/>
      <c r="B67" s="1"/>
      <c r="C67" s="2" t="s">
        <v>151</v>
      </c>
      <c r="D67" s="1"/>
      <c r="E67" s="1" t="s">
        <v>152</v>
      </c>
      <c r="F67" s="13" t="s">
        <v>154</v>
      </c>
      <c r="G67" s="10">
        <v>0</v>
      </c>
      <c r="H67" s="113"/>
    </row>
    <row r="68" spans="1:8" ht="14.1" customHeight="1" x14ac:dyDescent="0.2">
      <c r="A68" s="1"/>
      <c r="B68" s="1"/>
      <c r="C68" s="11"/>
      <c r="D68" s="1"/>
      <c r="E68" s="1"/>
      <c r="F68" s="12"/>
      <c r="G68" s="12"/>
      <c r="H68" s="113"/>
    </row>
    <row r="69" spans="1:8" ht="14.1" customHeight="1" x14ac:dyDescent="0.2">
      <c r="A69" s="1"/>
      <c r="B69" s="1"/>
      <c r="C69" s="2" t="s">
        <v>163</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4.1" customHeight="1" x14ac:dyDescent="0.2">
      <c r="A72" s="1"/>
      <c r="B72" s="1"/>
      <c r="C72" s="2" t="s">
        <v>164</v>
      </c>
      <c r="D72" s="1"/>
      <c r="E72" s="1"/>
      <c r="F72" s="9">
        <v>0</v>
      </c>
      <c r="G72" s="10">
        <v>0</v>
      </c>
      <c r="H72" s="113"/>
    </row>
    <row r="73" spans="1:8" ht="14.1" customHeight="1" x14ac:dyDescent="0.2">
      <c r="A73" s="1"/>
      <c r="B73" s="1"/>
      <c r="C73" s="11"/>
      <c r="D73" s="1"/>
      <c r="E73" s="1"/>
      <c r="F73" s="12"/>
      <c r="G73" s="12"/>
      <c r="H73" s="113"/>
    </row>
    <row r="74" spans="1:8" ht="14.1" customHeight="1" x14ac:dyDescent="0.2">
      <c r="A74" s="1"/>
      <c r="B74" s="1"/>
      <c r="C74" s="2" t="s">
        <v>165</v>
      </c>
      <c r="D74" s="1"/>
      <c r="E74" s="1"/>
      <c r="F74" s="12"/>
      <c r="G74" s="12"/>
      <c r="H74" s="113"/>
    </row>
    <row r="75" spans="1:8" ht="14.1" customHeight="1" x14ac:dyDescent="0.2">
      <c r="A75" s="1"/>
      <c r="B75" s="1"/>
      <c r="C75" s="2" t="s">
        <v>166</v>
      </c>
      <c r="D75" s="1"/>
      <c r="E75" s="1"/>
      <c r="F75" s="12"/>
      <c r="G75" s="12"/>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167</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168</v>
      </c>
      <c r="D81" s="1"/>
      <c r="E81" s="1"/>
      <c r="F81" s="12"/>
      <c r="G81" s="12"/>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169</v>
      </c>
      <c r="D84" s="1"/>
      <c r="E84" s="1"/>
      <c r="F84" s="12"/>
      <c r="G84" s="12"/>
      <c r="H84" s="113"/>
    </row>
    <row r="85" spans="1:8" ht="17.100000000000001" customHeight="1" x14ac:dyDescent="0.2">
      <c r="A85" s="3">
        <v>1</v>
      </c>
      <c r="B85" s="4"/>
      <c r="C85" s="4" t="s">
        <v>170</v>
      </c>
      <c r="D85" s="4"/>
      <c r="E85" s="8"/>
      <c r="F85" s="6">
        <v>47.666952999999999</v>
      </c>
      <c r="G85" s="7">
        <v>3.8485209999999999E-2</v>
      </c>
      <c r="H85" s="113">
        <v>6.7600000000000016</v>
      </c>
    </row>
    <row r="86" spans="1:8" ht="14.1" customHeight="1" x14ac:dyDescent="0.2">
      <c r="A86" s="1"/>
      <c r="B86" s="1"/>
      <c r="C86" s="2" t="s">
        <v>151</v>
      </c>
      <c r="D86" s="1"/>
      <c r="E86" s="1" t="s">
        <v>152</v>
      </c>
      <c r="F86" s="9">
        <v>47.666952999999999</v>
      </c>
      <c r="G86" s="10">
        <v>3.8485209999999999E-2</v>
      </c>
      <c r="H86" s="113"/>
    </row>
    <row r="87" spans="1:8" ht="14.1" customHeight="1" x14ac:dyDescent="0.2">
      <c r="A87" s="1"/>
      <c r="B87" s="1"/>
      <c r="C87" s="11"/>
      <c r="D87" s="1"/>
      <c r="E87" s="1"/>
      <c r="F87" s="12"/>
      <c r="G87" s="12"/>
      <c r="H87" s="113"/>
    </row>
    <row r="88" spans="1:8" ht="14.1" customHeight="1" x14ac:dyDescent="0.2">
      <c r="A88" s="1"/>
      <c r="B88" s="1"/>
      <c r="C88" s="2" t="s">
        <v>171</v>
      </c>
      <c r="D88" s="1"/>
      <c r="E88" s="1"/>
      <c r="F88" s="9">
        <v>47.666952999999999</v>
      </c>
      <c r="G88" s="10">
        <v>3.8485209999999999E-2</v>
      </c>
      <c r="H88" s="113"/>
    </row>
    <row r="89" spans="1:8" ht="14.1" customHeight="1" x14ac:dyDescent="0.2">
      <c r="A89" s="1"/>
      <c r="B89" s="1"/>
      <c r="C89" s="12"/>
      <c r="D89" s="1"/>
      <c r="E89" s="1"/>
      <c r="F89" s="1"/>
      <c r="G89" s="1"/>
      <c r="H89" s="113"/>
    </row>
    <row r="90" spans="1:8" ht="14.1" customHeight="1" x14ac:dyDescent="0.2">
      <c r="A90" s="1"/>
      <c r="B90" s="1"/>
      <c r="C90" s="2" t="s">
        <v>172</v>
      </c>
      <c r="D90" s="1"/>
      <c r="E90" s="1"/>
      <c r="F90" s="1"/>
      <c r="G90" s="1"/>
      <c r="H90" s="113"/>
    </row>
    <row r="91" spans="1:8" ht="14.1" customHeight="1" x14ac:dyDescent="0.2">
      <c r="A91" s="1"/>
      <c r="B91" s="1"/>
      <c r="C91" s="2" t="s">
        <v>173</v>
      </c>
      <c r="D91" s="1"/>
      <c r="E91" s="1"/>
      <c r="F91" s="1"/>
      <c r="G91" s="1"/>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174</v>
      </c>
      <c r="D94" s="1"/>
      <c r="E94" s="1"/>
      <c r="F94" s="1"/>
      <c r="G94" s="1"/>
      <c r="H94" s="113"/>
    </row>
    <row r="95" spans="1:8" ht="14.1" customHeight="1" x14ac:dyDescent="0.2">
      <c r="A95" s="1"/>
      <c r="B95" s="1"/>
      <c r="C95" s="2" t="s">
        <v>175</v>
      </c>
      <c r="D95" s="1"/>
      <c r="E95" s="1"/>
      <c r="F95" s="1"/>
      <c r="G95" s="1"/>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24" customHeight="1" x14ac:dyDescent="0.2">
      <c r="A98" s="1"/>
      <c r="B98" s="1"/>
      <c r="C98" s="2" t="s">
        <v>176</v>
      </c>
      <c r="D98" s="1"/>
      <c r="E98" s="1"/>
      <c r="F98" s="12"/>
      <c r="G98" s="12"/>
      <c r="H98" s="113"/>
    </row>
    <row r="99" spans="1:8" ht="14.1" customHeight="1" x14ac:dyDescent="0.2">
      <c r="A99" s="1"/>
      <c r="B99" s="1"/>
      <c r="C99" s="2" t="s">
        <v>151</v>
      </c>
      <c r="D99" s="1"/>
      <c r="E99" s="1" t="s">
        <v>152</v>
      </c>
      <c r="F99" s="13" t="s">
        <v>154</v>
      </c>
      <c r="G99" s="10">
        <v>0</v>
      </c>
      <c r="H99" s="113"/>
    </row>
    <row r="100" spans="1:8" ht="14.1" customHeight="1" x14ac:dyDescent="0.2">
      <c r="A100" s="1"/>
      <c r="B100" s="1"/>
      <c r="C100" s="11"/>
      <c r="D100" s="1"/>
      <c r="E100" s="1"/>
      <c r="F100" s="12"/>
      <c r="G100" s="12"/>
      <c r="H100" s="113"/>
    </row>
    <row r="101" spans="1:8" ht="14.1" customHeight="1" x14ac:dyDescent="0.2">
      <c r="A101" s="1"/>
      <c r="B101" s="4"/>
      <c r="C101" s="4"/>
      <c r="D101" s="2"/>
      <c r="E101" s="1"/>
      <c r="F101" s="4"/>
      <c r="G101" s="8"/>
      <c r="H101" s="113"/>
    </row>
    <row r="102" spans="1:8" ht="18" customHeight="1" x14ac:dyDescent="0.2">
      <c r="A102" s="8"/>
      <c r="B102" s="4"/>
      <c r="C102" s="4" t="s">
        <v>177</v>
      </c>
      <c r="D102" s="4"/>
      <c r="E102" s="8"/>
      <c r="F102" s="6">
        <v>-5.6234761600000001</v>
      </c>
      <c r="G102" s="7">
        <v>-4.5402699999999999E-3</v>
      </c>
      <c r="H102" s="113"/>
    </row>
    <row r="103" spans="1:8" ht="14.1" customHeight="1" x14ac:dyDescent="0.2">
      <c r="A103" s="11"/>
      <c r="B103" s="11"/>
      <c r="C103" s="2" t="s">
        <v>178</v>
      </c>
      <c r="D103" s="12"/>
      <c r="E103" s="12"/>
      <c r="F103" s="9">
        <v>1238.5784733400001</v>
      </c>
      <c r="G103" s="14">
        <v>0.99999998999999995</v>
      </c>
      <c r="H103" s="113"/>
    </row>
    <row r="104" spans="1:8" ht="14.1" customHeight="1" x14ac:dyDescent="0.2">
      <c r="A104" s="15"/>
      <c r="B104" s="15"/>
      <c r="C104" s="15"/>
      <c r="D104" s="16"/>
      <c r="E104" s="16"/>
      <c r="F104" s="16"/>
      <c r="G104" s="16"/>
    </row>
    <row r="105" spans="1:8" ht="14.1" customHeight="1" x14ac:dyDescent="0.2">
      <c r="A105" s="17"/>
      <c r="B105" s="17"/>
      <c r="C105" s="17"/>
      <c r="D105" s="19"/>
      <c r="E105" s="19"/>
      <c r="F105" s="19"/>
      <c r="G105" s="19"/>
    </row>
    <row r="106" spans="1:8" ht="14.1" customHeight="1" x14ac:dyDescent="0.2">
      <c r="A106" s="17"/>
      <c r="B106" s="208" t="s">
        <v>180</v>
      </c>
      <c r="C106" s="209"/>
      <c r="D106" s="210"/>
      <c r="E106" s="20"/>
      <c r="F106" s="19"/>
      <c r="G106" s="19"/>
    </row>
    <row r="107" spans="1:8" ht="29.1" customHeight="1" x14ac:dyDescent="0.2">
      <c r="A107" s="17"/>
      <c r="B107" s="205" t="s">
        <v>181</v>
      </c>
      <c r="C107" s="206"/>
      <c r="D107" s="2" t="s">
        <v>182</v>
      </c>
      <c r="E107" s="20"/>
      <c r="F107" s="19"/>
      <c r="G107" s="19"/>
    </row>
    <row r="108" spans="1:8" ht="17.100000000000001" customHeight="1" x14ac:dyDescent="0.2">
      <c r="A108" s="17"/>
      <c r="B108" s="205" t="s">
        <v>183</v>
      </c>
      <c r="C108" s="206"/>
      <c r="D108" s="2" t="s">
        <v>182</v>
      </c>
      <c r="E108" s="20"/>
      <c r="F108" s="19"/>
      <c r="G108" s="19"/>
    </row>
    <row r="109" spans="1:8" ht="17.100000000000001" customHeight="1" x14ac:dyDescent="0.2">
      <c r="A109" s="17"/>
      <c r="B109" s="205" t="s">
        <v>184</v>
      </c>
      <c r="C109" s="206"/>
      <c r="D109" s="12" t="s">
        <v>152</v>
      </c>
      <c r="E109" s="20"/>
      <c r="F109" s="19"/>
      <c r="G109" s="19"/>
    </row>
    <row r="110" spans="1:8" ht="25.5" x14ac:dyDescent="0.2">
      <c r="A110" s="21"/>
      <c r="B110" s="22" t="s">
        <v>152</v>
      </c>
      <c r="C110" s="22" t="s">
        <v>185</v>
      </c>
      <c r="D110" s="22" t="s">
        <v>186</v>
      </c>
      <c r="E110" s="21"/>
      <c r="F110" s="21"/>
      <c r="G110" s="21"/>
    </row>
    <row r="111" spans="1:8" ht="18" customHeight="1" x14ac:dyDescent="0.2">
      <c r="A111" s="21"/>
      <c r="B111" s="23" t="s">
        <v>187</v>
      </c>
      <c r="C111" s="22" t="s">
        <v>188</v>
      </c>
      <c r="D111" s="22" t="s">
        <v>189</v>
      </c>
      <c r="E111" s="21"/>
      <c r="F111" s="21"/>
      <c r="G111" s="21"/>
    </row>
    <row r="112" spans="1:8" ht="17.100000000000001" customHeight="1" x14ac:dyDescent="0.2">
      <c r="A112" s="21"/>
      <c r="B112" s="4" t="s">
        <v>190</v>
      </c>
      <c r="C112" s="24">
        <v>29.0411</v>
      </c>
      <c r="D112" s="24">
        <v>31.4422</v>
      </c>
      <c r="E112" s="21"/>
      <c r="F112" s="18"/>
      <c r="G112" s="25"/>
    </row>
    <row r="113" spans="1:14" ht="17.100000000000001" customHeight="1" x14ac:dyDescent="0.2">
      <c r="A113" s="21"/>
      <c r="B113" s="4" t="s">
        <v>1033</v>
      </c>
      <c r="C113" s="24">
        <v>23.530200000000001</v>
      </c>
      <c r="D113" s="24">
        <v>24.291899999999998</v>
      </c>
      <c r="E113" s="21"/>
      <c r="F113" s="18"/>
      <c r="G113" s="25"/>
    </row>
    <row r="114" spans="1:14" ht="17.100000000000001" customHeight="1" x14ac:dyDescent="0.2">
      <c r="A114" s="21"/>
      <c r="B114" s="4" t="s">
        <v>191</v>
      </c>
      <c r="C114" s="24">
        <v>28.266500000000001</v>
      </c>
      <c r="D114" s="24">
        <v>30.598099999999999</v>
      </c>
      <c r="E114" s="21"/>
      <c r="F114" s="18"/>
      <c r="G114" s="25"/>
    </row>
    <row r="115" spans="1:14" ht="17.100000000000001" customHeight="1" x14ac:dyDescent="0.2">
      <c r="A115" s="21"/>
      <c r="B115" s="4" t="s">
        <v>1034</v>
      </c>
      <c r="C115" s="24">
        <v>22.814699999999998</v>
      </c>
      <c r="D115" s="24">
        <v>23.513000000000002</v>
      </c>
      <c r="E115" s="21"/>
      <c r="F115" s="18"/>
      <c r="G115" s="25"/>
    </row>
    <row r="116" spans="1:14" ht="14.1" customHeight="1" x14ac:dyDescent="0.2">
      <c r="A116" s="21"/>
      <c r="B116" s="21"/>
      <c r="C116" s="21"/>
      <c r="D116" s="21"/>
      <c r="E116" s="21"/>
      <c r="F116" s="21"/>
      <c r="G116" s="21"/>
    </row>
    <row r="117" spans="1:14" ht="17.100000000000001" customHeight="1" x14ac:dyDescent="0.2">
      <c r="A117" s="21"/>
      <c r="B117" s="205" t="s">
        <v>1035</v>
      </c>
      <c r="C117" s="206"/>
      <c r="D117" s="2" t="s">
        <v>152</v>
      </c>
      <c r="E117" s="21"/>
      <c r="F117" s="21"/>
      <c r="G117" s="21"/>
    </row>
    <row r="118" spans="1:14" ht="18" customHeight="1" x14ac:dyDescent="0.2">
      <c r="A118" s="21"/>
      <c r="B118" s="29" t="s">
        <v>187</v>
      </c>
      <c r="C118" s="30" t="s">
        <v>470</v>
      </c>
      <c r="D118" s="30" t="s">
        <v>471</v>
      </c>
      <c r="E118" s="21"/>
      <c r="F118" s="21"/>
      <c r="G118" s="21"/>
    </row>
    <row r="119" spans="1:14" ht="17.100000000000001" customHeight="1" x14ac:dyDescent="0.2">
      <c r="A119" s="21"/>
      <c r="B119" s="4" t="s">
        <v>1033</v>
      </c>
      <c r="C119" s="31">
        <v>1.141</v>
      </c>
      <c r="D119" s="8" t="s">
        <v>472</v>
      </c>
      <c r="E119" s="21"/>
      <c r="F119" s="18"/>
      <c r="G119" s="25"/>
    </row>
    <row r="120" spans="1:14" ht="17.100000000000001" customHeight="1" x14ac:dyDescent="0.2">
      <c r="A120" s="21"/>
      <c r="B120" s="4" t="s">
        <v>1034</v>
      </c>
      <c r="C120" s="31">
        <v>1.141</v>
      </c>
      <c r="D120" s="8" t="s">
        <v>472</v>
      </c>
      <c r="E120" s="21"/>
      <c r="F120" s="18"/>
      <c r="G120" s="25"/>
    </row>
    <row r="121" spans="1:14" ht="14.1" customHeight="1" x14ac:dyDescent="0.2">
      <c r="A121" s="21"/>
      <c r="B121" s="32"/>
      <c r="C121" s="32"/>
      <c r="D121" s="33"/>
      <c r="E121" s="21"/>
      <c r="F121" s="18"/>
      <c r="G121" s="25"/>
    </row>
    <row r="122" spans="1:14" ht="29.1" customHeight="1" x14ac:dyDescent="0.2">
      <c r="A122" s="21"/>
      <c r="B122" s="205" t="s">
        <v>192</v>
      </c>
      <c r="C122" s="206"/>
      <c r="D122" s="2" t="s">
        <v>182</v>
      </c>
      <c r="E122" s="27"/>
      <c r="F122" s="21"/>
      <c r="G122" s="21"/>
    </row>
    <row r="123" spans="1:14" ht="29.1" customHeight="1" x14ac:dyDescent="0.2">
      <c r="A123" s="21"/>
      <c r="B123" s="205" t="s">
        <v>193</v>
      </c>
      <c r="C123" s="206"/>
      <c r="D123" s="2" t="s">
        <v>182</v>
      </c>
      <c r="E123" s="27"/>
      <c r="F123" s="21"/>
      <c r="G123" s="21"/>
    </row>
    <row r="124" spans="1:14" ht="17.100000000000001" customHeight="1" x14ac:dyDescent="0.2">
      <c r="A124" s="21"/>
      <c r="B124" s="205" t="s">
        <v>194</v>
      </c>
      <c r="C124" s="206"/>
      <c r="D124" s="2" t="s">
        <v>182</v>
      </c>
      <c r="E124" s="27"/>
      <c r="F124" s="21"/>
      <c r="G124" s="21"/>
    </row>
    <row r="125" spans="1:14" ht="17.100000000000001" customHeight="1" x14ac:dyDescent="0.2">
      <c r="A125" s="21"/>
      <c r="B125" s="205" t="s">
        <v>195</v>
      </c>
      <c r="C125" s="206"/>
      <c r="D125" s="28">
        <v>0</v>
      </c>
      <c r="E125" s="21"/>
      <c r="F125" s="18"/>
      <c r="G125" s="25"/>
    </row>
    <row r="127" spans="1:14" x14ac:dyDescent="0.2">
      <c r="J127" s="198"/>
      <c r="K127" s="198"/>
      <c r="L127" s="198"/>
      <c r="M127" s="198"/>
      <c r="N127" s="198"/>
    </row>
  </sheetData>
  <mergeCells count="13">
    <mergeCell ref="B125:C125"/>
    <mergeCell ref="B108:C108"/>
    <mergeCell ref="B109:C109"/>
    <mergeCell ref="B117:C117"/>
    <mergeCell ref="B122:C122"/>
    <mergeCell ref="B123:C123"/>
    <mergeCell ref="B124:C124"/>
    <mergeCell ref="J2:N2"/>
    <mergeCell ref="B107:C107"/>
    <mergeCell ref="B106:D106"/>
    <mergeCell ref="A1:H1"/>
    <mergeCell ref="A2:H2"/>
    <mergeCell ref="A3:H3"/>
  </mergeCells>
  <hyperlinks>
    <hyperlink ref="I1" location="Index!B9" display="Index" xr:uid="{3B396F49-609A-48CE-A4E5-49AA124A5FE1}"/>
  </hyperlink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492</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403</v>
      </c>
      <c r="C7" s="4" t="s">
        <v>404</v>
      </c>
      <c r="D7" s="4" t="s">
        <v>267</v>
      </c>
      <c r="E7" s="5">
        <v>13566</v>
      </c>
      <c r="F7" s="6">
        <v>473.15494799999999</v>
      </c>
      <c r="G7" s="7">
        <v>5.6025579999999998E-2</v>
      </c>
      <c r="H7" s="113"/>
    </row>
    <row r="8" spans="1:15" ht="17.100000000000001" customHeight="1" x14ac:dyDescent="0.2">
      <c r="A8" s="3">
        <v>2</v>
      </c>
      <c r="B8" s="4" t="s">
        <v>399</v>
      </c>
      <c r="C8" s="4" t="s">
        <v>400</v>
      </c>
      <c r="D8" s="4" t="s">
        <v>28</v>
      </c>
      <c r="E8" s="5">
        <v>382570</v>
      </c>
      <c r="F8" s="6">
        <v>403.61135000000002</v>
      </c>
      <c r="G8" s="7">
        <v>4.7791029999999998E-2</v>
      </c>
      <c r="H8" s="113"/>
    </row>
    <row r="9" spans="1:15" ht="17.100000000000001" customHeight="1" x14ac:dyDescent="0.2">
      <c r="A9" s="3">
        <v>3</v>
      </c>
      <c r="B9" s="4" t="s">
        <v>35</v>
      </c>
      <c r="C9" s="4" t="s">
        <v>36</v>
      </c>
      <c r="D9" s="4" t="s">
        <v>34</v>
      </c>
      <c r="E9" s="5">
        <v>11388</v>
      </c>
      <c r="F9" s="6">
        <v>394.79349000000002</v>
      </c>
      <c r="G9" s="7">
        <v>4.6746919999999997E-2</v>
      </c>
      <c r="H9" s="113"/>
    </row>
    <row r="10" spans="1:15" ht="17.100000000000001" customHeight="1" x14ac:dyDescent="0.2">
      <c r="A10" s="3">
        <v>4</v>
      </c>
      <c r="B10" s="4" t="s">
        <v>401</v>
      </c>
      <c r="C10" s="4" t="s">
        <v>402</v>
      </c>
      <c r="D10" s="4" t="s">
        <v>56</v>
      </c>
      <c r="E10" s="5">
        <v>19836</v>
      </c>
      <c r="F10" s="6">
        <v>387.06978600000002</v>
      </c>
      <c r="G10" s="7">
        <v>4.5832360000000003E-2</v>
      </c>
      <c r="H10" s="113"/>
    </row>
    <row r="11" spans="1:15" ht="17.100000000000001" customHeight="1" x14ac:dyDescent="0.2">
      <c r="A11" s="3">
        <v>5</v>
      </c>
      <c r="B11" s="4" t="s">
        <v>129</v>
      </c>
      <c r="C11" s="4" t="s">
        <v>130</v>
      </c>
      <c r="D11" s="4" t="s">
        <v>56</v>
      </c>
      <c r="E11" s="5">
        <v>88376</v>
      </c>
      <c r="F11" s="6">
        <v>378.42603200000002</v>
      </c>
      <c r="G11" s="7">
        <v>4.4808870000000001E-2</v>
      </c>
      <c r="H11" s="113"/>
    </row>
    <row r="12" spans="1:15" ht="17.100000000000001" customHeight="1" x14ac:dyDescent="0.2">
      <c r="A12" s="3">
        <v>6</v>
      </c>
      <c r="B12" s="4" t="s">
        <v>71</v>
      </c>
      <c r="C12" s="4" t="s">
        <v>72</v>
      </c>
      <c r="D12" s="4" t="s">
        <v>73</v>
      </c>
      <c r="E12" s="5">
        <v>40332</v>
      </c>
      <c r="F12" s="6">
        <v>361.67721</v>
      </c>
      <c r="G12" s="7">
        <v>4.2825670000000003E-2</v>
      </c>
      <c r="H12" s="113"/>
    </row>
    <row r="13" spans="1:15" ht="17.100000000000001" customHeight="1" x14ac:dyDescent="0.2">
      <c r="A13" s="3">
        <v>7</v>
      </c>
      <c r="B13" s="4" t="s">
        <v>49</v>
      </c>
      <c r="C13" s="4" t="s">
        <v>50</v>
      </c>
      <c r="D13" s="4" t="s">
        <v>34</v>
      </c>
      <c r="E13" s="5">
        <v>10682</v>
      </c>
      <c r="F13" s="6">
        <v>347.10624899999999</v>
      </c>
      <c r="G13" s="7">
        <v>4.1100339999999999E-2</v>
      </c>
      <c r="H13" s="113"/>
      <c r="J13" s="194" t="s">
        <v>1153</v>
      </c>
    </row>
    <row r="14" spans="1:15" ht="17.100000000000001" customHeight="1" x14ac:dyDescent="0.2">
      <c r="A14" s="3">
        <v>8</v>
      </c>
      <c r="B14" s="4" t="s">
        <v>342</v>
      </c>
      <c r="C14" s="4" t="s">
        <v>343</v>
      </c>
      <c r="D14" s="4" t="s">
        <v>267</v>
      </c>
      <c r="E14" s="5">
        <v>9937</v>
      </c>
      <c r="F14" s="6">
        <v>317.96909449999998</v>
      </c>
      <c r="G14" s="7">
        <v>3.7650250000000003E-2</v>
      </c>
      <c r="H14" s="113"/>
    </row>
    <row r="15" spans="1:15" ht="17.100000000000001" customHeight="1" x14ac:dyDescent="0.2">
      <c r="A15" s="3">
        <v>9</v>
      </c>
      <c r="B15" s="4" t="s">
        <v>411</v>
      </c>
      <c r="C15" s="4" t="s">
        <v>412</v>
      </c>
      <c r="D15" s="4" t="s">
        <v>210</v>
      </c>
      <c r="E15" s="5">
        <v>72529</v>
      </c>
      <c r="F15" s="6">
        <v>265.09349500000002</v>
      </c>
      <c r="G15" s="7">
        <v>3.138933E-2</v>
      </c>
      <c r="H15" s="113"/>
    </row>
    <row r="16" spans="1:15" ht="17.100000000000001" customHeight="1" x14ac:dyDescent="0.2">
      <c r="A16" s="3">
        <v>10</v>
      </c>
      <c r="B16" s="4" t="s">
        <v>47</v>
      </c>
      <c r="C16" s="4" t="s">
        <v>48</v>
      </c>
      <c r="D16" s="4" t="s">
        <v>34</v>
      </c>
      <c r="E16" s="5">
        <v>10116</v>
      </c>
      <c r="F16" s="6">
        <v>235.61175600000001</v>
      </c>
      <c r="G16" s="7">
        <v>2.789844E-2</v>
      </c>
      <c r="H16" s="113"/>
    </row>
    <row r="17" spans="1:8" ht="17.100000000000001" customHeight="1" x14ac:dyDescent="0.2">
      <c r="A17" s="3">
        <v>11</v>
      </c>
      <c r="B17" s="4" t="s">
        <v>413</v>
      </c>
      <c r="C17" s="4" t="s">
        <v>414</v>
      </c>
      <c r="D17" s="4" t="s">
        <v>262</v>
      </c>
      <c r="E17" s="5">
        <v>76918</v>
      </c>
      <c r="F17" s="6">
        <v>233.292294</v>
      </c>
      <c r="G17" s="7">
        <v>2.76238E-2</v>
      </c>
      <c r="H17" s="113"/>
    </row>
    <row r="18" spans="1:8" ht="17.100000000000001" customHeight="1" x14ac:dyDescent="0.2">
      <c r="A18" s="3">
        <v>12</v>
      </c>
      <c r="B18" s="4" t="s">
        <v>417</v>
      </c>
      <c r="C18" s="4" t="s">
        <v>418</v>
      </c>
      <c r="D18" s="4" t="s">
        <v>53</v>
      </c>
      <c r="E18" s="5">
        <v>26340</v>
      </c>
      <c r="F18" s="6">
        <v>204.83301</v>
      </c>
      <c r="G18" s="7">
        <v>2.4253980000000001E-2</v>
      </c>
      <c r="H18" s="113"/>
    </row>
    <row r="19" spans="1:8" ht="17.100000000000001" customHeight="1" x14ac:dyDescent="0.2">
      <c r="A19" s="3">
        <v>13</v>
      </c>
      <c r="B19" s="4" t="s">
        <v>316</v>
      </c>
      <c r="C19" s="4" t="s">
        <v>317</v>
      </c>
      <c r="D19" s="4" t="s">
        <v>56</v>
      </c>
      <c r="E19" s="5">
        <v>24979</v>
      </c>
      <c r="F19" s="6">
        <v>192.8253905</v>
      </c>
      <c r="G19" s="7">
        <v>2.2832169999999999E-2</v>
      </c>
      <c r="H19" s="113"/>
    </row>
    <row r="20" spans="1:8" ht="29.1" customHeight="1" x14ac:dyDescent="0.2">
      <c r="A20" s="3">
        <v>14</v>
      </c>
      <c r="B20" s="4" t="s">
        <v>220</v>
      </c>
      <c r="C20" s="4" t="s">
        <v>221</v>
      </c>
      <c r="D20" s="4" t="s">
        <v>222</v>
      </c>
      <c r="E20" s="5">
        <v>4936</v>
      </c>
      <c r="F20" s="6">
        <v>190.193952</v>
      </c>
      <c r="G20" s="7">
        <v>2.252059E-2</v>
      </c>
      <c r="H20" s="113"/>
    </row>
    <row r="21" spans="1:8" ht="17.100000000000001" customHeight="1" x14ac:dyDescent="0.2">
      <c r="A21" s="3">
        <v>15</v>
      </c>
      <c r="B21" s="4" t="s">
        <v>407</v>
      </c>
      <c r="C21" s="4" t="s">
        <v>408</v>
      </c>
      <c r="D21" s="4" t="s">
        <v>257</v>
      </c>
      <c r="E21" s="5">
        <v>11089</v>
      </c>
      <c r="F21" s="6">
        <v>183.97205450000001</v>
      </c>
      <c r="G21" s="7">
        <v>2.1783859999999999E-2</v>
      </c>
      <c r="H21" s="113"/>
    </row>
    <row r="22" spans="1:8" ht="17.100000000000001" customHeight="1" x14ac:dyDescent="0.2">
      <c r="A22" s="3">
        <v>16</v>
      </c>
      <c r="B22" s="4" t="s">
        <v>419</v>
      </c>
      <c r="C22" s="4" t="s">
        <v>420</v>
      </c>
      <c r="D22" s="4" t="s">
        <v>245</v>
      </c>
      <c r="E22" s="5">
        <v>12562</v>
      </c>
      <c r="F22" s="6">
        <v>178.51858200000001</v>
      </c>
      <c r="G22" s="7">
        <v>2.113812E-2</v>
      </c>
      <c r="H22" s="113"/>
    </row>
    <row r="23" spans="1:8" ht="29.1" customHeight="1" x14ac:dyDescent="0.2">
      <c r="A23" s="3">
        <v>17</v>
      </c>
      <c r="B23" s="4" t="s">
        <v>95</v>
      </c>
      <c r="C23" s="4" t="s">
        <v>96</v>
      </c>
      <c r="D23" s="4" t="s">
        <v>25</v>
      </c>
      <c r="E23" s="5">
        <v>4362</v>
      </c>
      <c r="F23" s="6">
        <v>165.24346499999999</v>
      </c>
      <c r="G23" s="7">
        <v>1.9566239999999999E-2</v>
      </c>
      <c r="H23" s="113"/>
    </row>
    <row r="24" spans="1:8" ht="29.1" customHeight="1" x14ac:dyDescent="0.2">
      <c r="A24" s="3">
        <v>18</v>
      </c>
      <c r="B24" s="4" t="s">
        <v>437</v>
      </c>
      <c r="C24" s="4" t="s">
        <v>438</v>
      </c>
      <c r="D24" s="4" t="s">
        <v>76</v>
      </c>
      <c r="E24" s="5">
        <v>6607</v>
      </c>
      <c r="F24" s="6">
        <v>164.06172050000001</v>
      </c>
      <c r="G24" s="7">
        <v>1.9426309999999999E-2</v>
      </c>
      <c r="H24" s="113"/>
    </row>
    <row r="25" spans="1:8" ht="17.100000000000001" customHeight="1" x14ac:dyDescent="0.2">
      <c r="A25" s="3">
        <v>19</v>
      </c>
      <c r="B25" s="4" t="s">
        <v>421</v>
      </c>
      <c r="C25" s="4" t="s">
        <v>422</v>
      </c>
      <c r="D25" s="4" t="s">
        <v>53</v>
      </c>
      <c r="E25" s="5">
        <v>124593</v>
      </c>
      <c r="F25" s="6">
        <v>157.7970345</v>
      </c>
      <c r="G25" s="7">
        <v>1.868452E-2</v>
      </c>
      <c r="H25" s="113"/>
    </row>
    <row r="26" spans="1:8" ht="17.100000000000001" customHeight="1" x14ac:dyDescent="0.2">
      <c r="A26" s="3">
        <v>20</v>
      </c>
      <c r="B26" s="4" t="s">
        <v>425</v>
      </c>
      <c r="C26" s="4" t="s">
        <v>426</v>
      </c>
      <c r="D26" s="4" t="s">
        <v>245</v>
      </c>
      <c r="E26" s="5">
        <v>18794</v>
      </c>
      <c r="F26" s="6">
        <v>153.518789</v>
      </c>
      <c r="G26" s="7">
        <v>1.8177929999999998E-2</v>
      </c>
      <c r="H26" s="113"/>
    </row>
    <row r="27" spans="1:8" ht="17.100000000000001" customHeight="1" x14ac:dyDescent="0.2">
      <c r="A27" s="3">
        <v>21</v>
      </c>
      <c r="B27" s="4" t="s">
        <v>452</v>
      </c>
      <c r="C27" s="4" t="s">
        <v>453</v>
      </c>
      <c r="D27" s="4" t="s">
        <v>245</v>
      </c>
      <c r="E27" s="5">
        <v>65797</v>
      </c>
      <c r="F27" s="6">
        <v>150.5106375</v>
      </c>
      <c r="G27" s="7">
        <v>1.7821739999999999E-2</v>
      </c>
      <c r="H27" s="113"/>
    </row>
    <row r="28" spans="1:8" ht="29.1" customHeight="1" x14ac:dyDescent="0.2">
      <c r="A28" s="3">
        <v>22</v>
      </c>
      <c r="B28" s="4" t="s">
        <v>441</v>
      </c>
      <c r="C28" s="4" t="s">
        <v>442</v>
      </c>
      <c r="D28" s="4" t="s">
        <v>443</v>
      </c>
      <c r="E28" s="5">
        <v>96813</v>
      </c>
      <c r="F28" s="6">
        <v>146.28444300000001</v>
      </c>
      <c r="G28" s="7">
        <v>1.7321329999999999E-2</v>
      </c>
      <c r="H28" s="113"/>
    </row>
    <row r="29" spans="1:8" ht="17.100000000000001" customHeight="1" x14ac:dyDescent="0.2">
      <c r="A29" s="3">
        <v>23</v>
      </c>
      <c r="B29" s="4" t="s">
        <v>409</v>
      </c>
      <c r="C29" s="4" t="s">
        <v>410</v>
      </c>
      <c r="D29" s="4" t="s">
        <v>13</v>
      </c>
      <c r="E29" s="5">
        <v>104608</v>
      </c>
      <c r="F29" s="6">
        <v>145.66664</v>
      </c>
      <c r="G29" s="7">
        <v>1.724817E-2</v>
      </c>
      <c r="H29" s="113"/>
    </row>
    <row r="30" spans="1:8" ht="17.100000000000001" customHeight="1" x14ac:dyDescent="0.2">
      <c r="A30" s="3">
        <v>24</v>
      </c>
      <c r="B30" s="4" t="s">
        <v>450</v>
      </c>
      <c r="C30" s="4" t="s">
        <v>451</v>
      </c>
      <c r="D30" s="4" t="s">
        <v>53</v>
      </c>
      <c r="E30" s="5">
        <v>15340</v>
      </c>
      <c r="F30" s="6">
        <v>142.67733999999999</v>
      </c>
      <c r="G30" s="7">
        <v>1.689421E-2</v>
      </c>
      <c r="H30" s="113"/>
    </row>
    <row r="31" spans="1:8" ht="29.1" customHeight="1" x14ac:dyDescent="0.2">
      <c r="A31" s="3">
        <v>25</v>
      </c>
      <c r="B31" s="4" t="s">
        <v>439</v>
      </c>
      <c r="C31" s="4" t="s">
        <v>440</v>
      </c>
      <c r="D31" s="4" t="s">
        <v>225</v>
      </c>
      <c r="E31" s="5">
        <v>36034</v>
      </c>
      <c r="F31" s="6">
        <v>142.40636799999999</v>
      </c>
      <c r="G31" s="7">
        <v>1.6862129999999999E-2</v>
      </c>
      <c r="H31" s="113"/>
    </row>
    <row r="32" spans="1:8" ht="29.1" customHeight="1" x14ac:dyDescent="0.2">
      <c r="A32" s="3">
        <v>26</v>
      </c>
      <c r="B32" s="4" t="s">
        <v>493</v>
      </c>
      <c r="C32" s="4" t="s">
        <v>494</v>
      </c>
      <c r="D32" s="4" t="s">
        <v>31</v>
      </c>
      <c r="E32" s="5">
        <v>23329</v>
      </c>
      <c r="F32" s="6">
        <v>140.69719900000001</v>
      </c>
      <c r="G32" s="7">
        <v>1.6659750000000001E-2</v>
      </c>
      <c r="H32" s="113"/>
    </row>
    <row r="33" spans="1:8" ht="29.1" customHeight="1" x14ac:dyDescent="0.2">
      <c r="A33" s="3">
        <v>27</v>
      </c>
      <c r="B33" s="4" t="s">
        <v>433</v>
      </c>
      <c r="C33" s="4" t="s">
        <v>434</v>
      </c>
      <c r="D33" s="4" t="s">
        <v>31</v>
      </c>
      <c r="E33" s="5">
        <v>6367</v>
      </c>
      <c r="F33" s="6">
        <v>140.60246100000001</v>
      </c>
      <c r="G33" s="7">
        <v>1.6648530000000002E-2</v>
      </c>
      <c r="H33" s="113"/>
    </row>
    <row r="34" spans="1:8" ht="17.100000000000001" customHeight="1" x14ac:dyDescent="0.2">
      <c r="A34" s="3">
        <v>28</v>
      </c>
      <c r="B34" s="4" t="s">
        <v>429</v>
      </c>
      <c r="C34" s="4" t="s">
        <v>430</v>
      </c>
      <c r="D34" s="4" t="s">
        <v>892</v>
      </c>
      <c r="E34" s="5">
        <v>10759</v>
      </c>
      <c r="F34" s="6">
        <v>140.52329900000001</v>
      </c>
      <c r="G34" s="7">
        <v>1.663916E-2</v>
      </c>
      <c r="H34" s="113"/>
    </row>
    <row r="35" spans="1:8" ht="17.100000000000001" customHeight="1" x14ac:dyDescent="0.2">
      <c r="A35" s="3">
        <v>29</v>
      </c>
      <c r="B35" s="4" t="s">
        <v>435</v>
      </c>
      <c r="C35" s="4" t="s">
        <v>436</v>
      </c>
      <c r="D35" s="4" t="s">
        <v>53</v>
      </c>
      <c r="E35" s="5">
        <v>21959</v>
      </c>
      <c r="F35" s="6">
        <v>124.0793295</v>
      </c>
      <c r="G35" s="7">
        <v>1.469205E-2</v>
      </c>
      <c r="H35" s="113"/>
    </row>
    <row r="36" spans="1:8" ht="29.1" customHeight="1" x14ac:dyDescent="0.2">
      <c r="A36" s="3">
        <v>30</v>
      </c>
      <c r="B36" s="4" t="s">
        <v>495</v>
      </c>
      <c r="C36" s="4" t="s">
        <v>496</v>
      </c>
      <c r="D36" s="4" t="s">
        <v>483</v>
      </c>
      <c r="E36" s="5">
        <v>18519</v>
      </c>
      <c r="F36" s="6">
        <v>119.21606250000001</v>
      </c>
      <c r="G36" s="7">
        <v>1.4116200000000001E-2</v>
      </c>
      <c r="H36" s="113"/>
    </row>
    <row r="37" spans="1:8" ht="17.100000000000001" customHeight="1" x14ac:dyDescent="0.2">
      <c r="A37" s="3">
        <v>31</v>
      </c>
      <c r="B37" s="4" t="s">
        <v>427</v>
      </c>
      <c r="C37" s="4" t="s">
        <v>428</v>
      </c>
      <c r="D37" s="4" t="s">
        <v>56</v>
      </c>
      <c r="E37" s="5">
        <v>11192</v>
      </c>
      <c r="F37" s="6">
        <v>116.391204</v>
      </c>
      <c r="G37" s="7">
        <v>1.3781710000000001E-2</v>
      </c>
      <c r="H37" s="113"/>
    </row>
    <row r="38" spans="1:8" ht="17.100000000000001" customHeight="1" x14ac:dyDescent="0.2">
      <c r="A38" s="3">
        <v>32</v>
      </c>
      <c r="B38" s="4" t="s">
        <v>230</v>
      </c>
      <c r="C38" s="4" t="s">
        <v>231</v>
      </c>
      <c r="D38" s="4" t="s">
        <v>107</v>
      </c>
      <c r="E38" s="5">
        <v>1412</v>
      </c>
      <c r="F38" s="6">
        <v>109.011342</v>
      </c>
      <c r="G38" s="7">
        <v>1.290787E-2</v>
      </c>
      <c r="H38" s="113"/>
    </row>
    <row r="39" spans="1:8" ht="17.100000000000001" customHeight="1" x14ac:dyDescent="0.2">
      <c r="A39" s="3">
        <v>33</v>
      </c>
      <c r="B39" s="4" t="s">
        <v>468</v>
      </c>
      <c r="C39" s="4" t="s">
        <v>469</v>
      </c>
      <c r="D39" s="4" t="s">
        <v>28</v>
      </c>
      <c r="E39" s="5">
        <v>25918</v>
      </c>
      <c r="F39" s="6">
        <v>108.505707</v>
      </c>
      <c r="G39" s="7">
        <v>1.2848E-2</v>
      </c>
      <c r="H39" s="113"/>
    </row>
    <row r="40" spans="1:8" ht="29.1" customHeight="1" x14ac:dyDescent="0.2">
      <c r="A40" s="3">
        <v>34</v>
      </c>
      <c r="B40" s="4" t="s">
        <v>444</v>
      </c>
      <c r="C40" s="4" t="s">
        <v>445</v>
      </c>
      <c r="D40" s="4" t="s">
        <v>215</v>
      </c>
      <c r="E40" s="5">
        <v>18954</v>
      </c>
      <c r="F40" s="6">
        <v>105.55482600000001</v>
      </c>
      <c r="G40" s="7">
        <v>1.249859E-2</v>
      </c>
      <c r="H40" s="113"/>
    </row>
    <row r="41" spans="1:8" ht="17.100000000000001" customHeight="1" x14ac:dyDescent="0.2">
      <c r="A41" s="3">
        <v>35</v>
      </c>
      <c r="B41" s="4" t="s">
        <v>431</v>
      </c>
      <c r="C41" s="4" t="s">
        <v>432</v>
      </c>
      <c r="D41" s="4" t="s">
        <v>315</v>
      </c>
      <c r="E41" s="5">
        <v>11065</v>
      </c>
      <c r="F41" s="6">
        <v>97.936314999999993</v>
      </c>
      <c r="G41" s="7">
        <v>1.1596499999999999E-2</v>
      </c>
      <c r="H41" s="113"/>
    </row>
    <row r="42" spans="1:8" ht="17.100000000000001" customHeight="1" x14ac:dyDescent="0.2">
      <c r="A42" s="3">
        <v>36</v>
      </c>
      <c r="B42" s="4" t="s">
        <v>456</v>
      </c>
      <c r="C42" s="4" t="s">
        <v>457</v>
      </c>
      <c r="D42" s="4" t="s">
        <v>56</v>
      </c>
      <c r="E42" s="5">
        <v>20256</v>
      </c>
      <c r="F42" s="6">
        <v>91.141872000000006</v>
      </c>
      <c r="G42" s="7">
        <v>1.079198E-2</v>
      </c>
      <c r="H42" s="113"/>
    </row>
    <row r="43" spans="1:8" ht="17.100000000000001" customHeight="1" x14ac:dyDescent="0.2">
      <c r="A43" s="3">
        <v>37</v>
      </c>
      <c r="B43" s="4" t="s">
        <v>296</v>
      </c>
      <c r="C43" s="4" t="s">
        <v>297</v>
      </c>
      <c r="D43" s="4" t="s">
        <v>53</v>
      </c>
      <c r="E43" s="5">
        <v>8289</v>
      </c>
      <c r="F43" s="6">
        <v>86.209744499999999</v>
      </c>
      <c r="G43" s="7">
        <v>1.020797E-2</v>
      </c>
      <c r="H43" s="113"/>
    </row>
    <row r="44" spans="1:8" ht="17.100000000000001" customHeight="1" x14ac:dyDescent="0.2">
      <c r="A44" s="3">
        <v>38</v>
      </c>
      <c r="B44" s="4" t="s">
        <v>497</v>
      </c>
      <c r="C44" s="4" t="s">
        <v>498</v>
      </c>
      <c r="D44" s="4" t="s">
        <v>13</v>
      </c>
      <c r="E44" s="5">
        <v>12092</v>
      </c>
      <c r="F44" s="6">
        <v>85.756463999999994</v>
      </c>
      <c r="G44" s="7">
        <v>1.01543E-2</v>
      </c>
      <c r="H44" s="113"/>
    </row>
    <row r="45" spans="1:8" ht="29.1" customHeight="1" x14ac:dyDescent="0.2">
      <c r="A45" s="3">
        <v>39</v>
      </c>
      <c r="B45" s="4" t="s">
        <v>499</v>
      </c>
      <c r="C45" s="4" t="s">
        <v>500</v>
      </c>
      <c r="D45" s="4" t="s">
        <v>501</v>
      </c>
      <c r="E45" s="5">
        <v>18409</v>
      </c>
      <c r="F45" s="6">
        <v>83.632086999999999</v>
      </c>
      <c r="G45" s="7">
        <v>9.9027500000000001E-3</v>
      </c>
      <c r="H45" s="113"/>
    </row>
    <row r="46" spans="1:8" ht="17.100000000000001" customHeight="1" x14ac:dyDescent="0.2">
      <c r="A46" s="3">
        <v>40</v>
      </c>
      <c r="B46" s="4" t="s">
        <v>448</v>
      </c>
      <c r="C46" s="4" t="s">
        <v>449</v>
      </c>
      <c r="D46" s="4" t="s">
        <v>99</v>
      </c>
      <c r="E46" s="5">
        <v>7165</v>
      </c>
      <c r="F46" s="6">
        <v>76.959265000000002</v>
      </c>
      <c r="G46" s="7">
        <v>9.11263E-3</v>
      </c>
      <c r="H46" s="113"/>
    </row>
    <row r="47" spans="1:8" ht="17.100000000000001" customHeight="1" x14ac:dyDescent="0.2">
      <c r="A47" s="3">
        <v>41</v>
      </c>
      <c r="B47" s="4" t="s">
        <v>87</v>
      </c>
      <c r="C47" s="4" t="s">
        <v>88</v>
      </c>
      <c r="D47" s="4" t="s">
        <v>34</v>
      </c>
      <c r="E47" s="5">
        <v>9276</v>
      </c>
      <c r="F47" s="6">
        <v>74.694990000000004</v>
      </c>
      <c r="G47" s="7">
        <v>8.8445199999999998E-3</v>
      </c>
      <c r="H47" s="113"/>
    </row>
    <row r="48" spans="1:8" ht="29.1" customHeight="1" x14ac:dyDescent="0.2">
      <c r="A48" s="3">
        <v>42</v>
      </c>
      <c r="B48" s="4" t="s">
        <v>502</v>
      </c>
      <c r="C48" s="4" t="s">
        <v>503</v>
      </c>
      <c r="D48" s="4" t="s">
        <v>56</v>
      </c>
      <c r="E48" s="5">
        <v>5046</v>
      </c>
      <c r="F48" s="6">
        <v>56.323452000000003</v>
      </c>
      <c r="G48" s="7">
        <v>6.6691800000000002E-3</v>
      </c>
      <c r="H48" s="113"/>
    </row>
    <row r="49" spans="1:8" ht="29.1" customHeight="1" x14ac:dyDescent="0.2">
      <c r="A49" s="3">
        <v>43</v>
      </c>
      <c r="B49" s="4" t="s">
        <v>460</v>
      </c>
      <c r="C49" s="4" t="s">
        <v>461</v>
      </c>
      <c r="D49" s="4" t="s">
        <v>225</v>
      </c>
      <c r="E49" s="5">
        <v>1052</v>
      </c>
      <c r="F49" s="6">
        <v>52.050330000000002</v>
      </c>
      <c r="G49" s="7">
        <v>6.1631999999999998E-3</v>
      </c>
      <c r="H49" s="113"/>
    </row>
    <row r="50" spans="1:8" ht="17.100000000000001" customHeight="1" x14ac:dyDescent="0.2">
      <c r="A50" s="3">
        <v>44</v>
      </c>
      <c r="B50" s="4" t="s">
        <v>462</v>
      </c>
      <c r="C50" s="4" t="s">
        <v>463</v>
      </c>
      <c r="D50" s="4" t="s">
        <v>34</v>
      </c>
      <c r="E50" s="5">
        <v>4443</v>
      </c>
      <c r="F50" s="6">
        <v>42.992689499999997</v>
      </c>
      <c r="G50" s="7">
        <v>5.0907000000000001E-3</v>
      </c>
      <c r="H50" s="113"/>
    </row>
    <row r="51" spans="1:8" ht="17.100000000000001" customHeight="1" x14ac:dyDescent="0.2">
      <c r="A51" s="3">
        <v>45</v>
      </c>
      <c r="B51" s="4" t="s">
        <v>309</v>
      </c>
      <c r="C51" s="4" t="s">
        <v>310</v>
      </c>
      <c r="D51" s="4" t="s">
        <v>53</v>
      </c>
      <c r="E51" s="5">
        <v>1412</v>
      </c>
      <c r="F51" s="6">
        <v>21.34591</v>
      </c>
      <c r="G51" s="7">
        <v>2.52754E-3</v>
      </c>
      <c r="H51" s="113"/>
    </row>
    <row r="52" spans="1:8" ht="29.1" customHeight="1" x14ac:dyDescent="0.2">
      <c r="A52" s="3">
        <v>46</v>
      </c>
      <c r="B52" s="4" t="s">
        <v>466</v>
      </c>
      <c r="C52" s="4" t="s">
        <v>467</v>
      </c>
      <c r="D52" s="4" t="s">
        <v>222</v>
      </c>
      <c r="E52" s="5">
        <v>3563</v>
      </c>
      <c r="F52" s="6">
        <v>17.955738499999999</v>
      </c>
      <c r="G52" s="7">
        <v>2.1261100000000001E-3</v>
      </c>
      <c r="H52" s="113"/>
    </row>
    <row r="53" spans="1:8" ht="14.1" customHeight="1" x14ac:dyDescent="0.2">
      <c r="A53" s="1"/>
      <c r="B53" s="1"/>
      <c r="C53" s="2" t="s">
        <v>151</v>
      </c>
      <c r="D53" s="1"/>
      <c r="E53" s="1" t="s">
        <v>152</v>
      </c>
      <c r="F53" s="9">
        <v>8007.8954185000002</v>
      </c>
      <c r="G53" s="10">
        <v>0.94820313000000001</v>
      </c>
      <c r="H53" s="113"/>
    </row>
    <row r="54" spans="1:8" ht="14.1" customHeight="1" x14ac:dyDescent="0.2">
      <c r="A54" s="1"/>
      <c r="B54" s="1"/>
      <c r="C54" s="11"/>
      <c r="D54" s="1"/>
      <c r="E54" s="1"/>
      <c r="F54" s="12"/>
      <c r="G54" s="12"/>
      <c r="H54" s="113"/>
    </row>
    <row r="55" spans="1:8" ht="14.1" customHeight="1" x14ac:dyDescent="0.2">
      <c r="A55" s="1"/>
      <c r="B55" s="1"/>
      <c r="C55" s="2" t="s">
        <v>153</v>
      </c>
      <c r="D55" s="1"/>
      <c r="E55" s="1"/>
      <c r="F55" s="1"/>
      <c r="G55" s="1"/>
      <c r="H55" s="113"/>
    </row>
    <row r="56" spans="1:8" ht="14.1" customHeight="1" x14ac:dyDescent="0.2">
      <c r="A56" s="1"/>
      <c r="B56" s="1"/>
      <c r="C56" s="2" t="s">
        <v>151</v>
      </c>
      <c r="D56" s="1"/>
      <c r="E56" s="1" t="s">
        <v>152</v>
      </c>
      <c r="F56" s="13" t="s">
        <v>154</v>
      </c>
      <c r="G56" s="10">
        <v>0</v>
      </c>
      <c r="H56" s="113"/>
    </row>
    <row r="57" spans="1:8" ht="14.1" customHeight="1" x14ac:dyDescent="0.2">
      <c r="A57" s="1"/>
      <c r="B57" s="1"/>
      <c r="C57" s="11"/>
      <c r="D57" s="1"/>
      <c r="E57" s="1"/>
      <c r="F57" s="12"/>
      <c r="G57" s="12"/>
      <c r="H57" s="113"/>
    </row>
    <row r="58" spans="1:8" ht="14.1" customHeight="1" x14ac:dyDescent="0.2">
      <c r="A58" s="1"/>
      <c r="B58" s="1"/>
      <c r="C58" s="2" t="s">
        <v>155</v>
      </c>
      <c r="D58" s="1"/>
      <c r="E58" s="1"/>
      <c r="F58" s="1"/>
      <c r="G58" s="1"/>
      <c r="H58" s="113"/>
    </row>
    <row r="59" spans="1:8" ht="14.1" customHeight="1" x14ac:dyDescent="0.2">
      <c r="A59" s="1"/>
      <c r="B59" s="1"/>
      <c r="C59" s="2" t="s">
        <v>151</v>
      </c>
      <c r="D59" s="1"/>
      <c r="E59" s="1" t="s">
        <v>152</v>
      </c>
      <c r="F59" s="13" t="s">
        <v>154</v>
      </c>
      <c r="G59" s="10">
        <v>0</v>
      </c>
      <c r="H59" s="113"/>
    </row>
    <row r="60" spans="1:8" ht="14.1" customHeight="1" x14ac:dyDescent="0.2">
      <c r="A60" s="1"/>
      <c r="B60" s="1"/>
      <c r="C60" s="11"/>
      <c r="D60" s="1"/>
      <c r="E60" s="1"/>
      <c r="F60" s="12"/>
      <c r="G60" s="12"/>
      <c r="H60" s="113"/>
    </row>
    <row r="61" spans="1:8" ht="14.1" customHeight="1" x14ac:dyDescent="0.2">
      <c r="A61" s="1"/>
      <c r="B61" s="1"/>
      <c r="C61" s="2" t="s">
        <v>156</v>
      </c>
      <c r="D61" s="1"/>
      <c r="E61" s="1"/>
      <c r="F61" s="1"/>
      <c r="G61" s="1"/>
      <c r="H61" s="113"/>
    </row>
    <row r="62" spans="1:8" ht="29.1" customHeight="1" x14ac:dyDescent="0.2">
      <c r="A62" s="3">
        <v>1</v>
      </c>
      <c r="B62" s="4" t="s">
        <v>318</v>
      </c>
      <c r="C62" s="4" t="s">
        <v>898</v>
      </c>
      <c r="D62" s="4" t="s">
        <v>107</v>
      </c>
      <c r="E62" s="5">
        <v>163792</v>
      </c>
      <c r="F62" s="6">
        <v>17.361951999999999</v>
      </c>
      <c r="G62" s="7">
        <v>2.0558E-3</v>
      </c>
      <c r="H62" s="113"/>
    </row>
    <row r="63" spans="1:8" ht="38.25" x14ac:dyDescent="0.2">
      <c r="A63" s="3">
        <v>2</v>
      </c>
      <c r="B63" s="4" t="s">
        <v>319</v>
      </c>
      <c r="C63" s="4" t="s">
        <v>899</v>
      </c>
      <c r="D63" s="4" t="s">
        <v>53</v>
      </c>
      <c r="E63" s="5">
        <v>163</v>
      </c>
      <c r="F63" s="6">
        <v>1.6302771000000001E-2</v>
      </c>
      <c r="G63" s="7" t="s">
        <v>150</v>
      </c>
      <c r="H63" s="113"/>
    </row>
    <row r="64" spans="1:8" ht="14.1" customHeight="1" x14ac:dyDescent="0.2">
      <c r="A64" s="1"/>
      <c r="B64" s="1"/>
      <c r="C64" s="2" t="s">
        <v>151</v>
      </c>
      <c r="D64" s="1"/>
      <c r="E64" s="1" t="s">
        <v>152</v>
      </c>
      <c r="F64" s="9">
        <v>17.378254771000002</v>
      </c>
      <c r="G64" s="10">
        <v>2.0577299999999998E-3</v>
      </c>
      <c r="H64" s="113"/>
    </row>
    <row r="65" spans="1:8" ht="14.1" customHeight="1" x14ac:dyDescent="0.2">
      <c r="A65" s="1"/>
      <c r="B65" s="1"/>
      <c r="C65" s="11"/>
      <c r="D65" s="1"/>
      <c r="E65" s="1"/>
      <c r="F65" s="12"/>
      <c r="G65" s="12"/>
      <c r="H65" s="113"/>
    </row>
    <row r="66" spans="1:8" ht="14.1" customHeight="1" x14ac:dyDescent="0.2">
      <c r="A66" s="1"/>
      <c r="B66" s="1"/>
      <c r="C66" s="2" t="s">
        <v>157</v>
      </c>
      <c r="D66" s="1"/>
      <c r="E66" s="1"/>
      <c r="F66" s="12"/>
      <c r="G66" s="12"/>
      <c r="H66" s="113"/>
    </row>
    <row r="67" spans="1:8" ht="14.1" customHeight="1" x14ac:dyDescent="0.2">
      <c r="A67" s="1"/>
      <c r="B67" s="1"/>
      <c r="C67" s="2" t="s">
        <v>151</v>
      </c>
      <c r="D67" s="1"/>
      <c r="E67" s="1" t="s">
        <v>152</v>
      </c>
      <c r="F67" s="13" t="s">
        <v>154</v>
      </c>
      <c r="G67" s="10">
        <v>0</v>
      </c>
      <c r="H67" s="113"/>
    </row>
    <row r="68" spans="1:8" ht="14.1" customHeight="1" x14ac:dyDescent="0.2">
      <c r="A68" s="1"/>
      <c r="B68" s="1"/>
      <c r="C68" s="11"/>
      <c r="D68" s="1"/>
      <c r="E68" s="1"/>
      <c r="F68" s="12"/>
      <c r="G68" s="12"/>
      <c r="H68" s="113"/>
    </row>
    <row r="69" spans="1:8" ht="14.1" customHeight="1" x14ac:dyDescent="0.2">
      <c r="A69" s="1"/>
      <c r="B69" s="1"/>
      <c r="C69" s="2" t="s">
        <v>158</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8" customHeight="1" x14ac:dyDescent="0.2">
      <c r="A72" s="1"/>
      <c r="B72" s="1"/>
      <c r="C72" s="2" t="s">
        <v>159</v>
      </c>
      <c r="D72" s="1"/>
      <c r="E72" s="1"/>
      <c r="F72" s="9">
        <v>8025.273673271</v>
      </c>
      <c r="G72" s="10">
        <v>0.95026085999999998</v>
      </c>
      <c r="H72" s="113"/>
    </row>
    <row r="73" spans="1:8" ht="14.1" customHeight="1" x14ac:dyDescent="0.2">
      <c r="A73" s="1"/>
      <c r="B73" s="1"/>
      <c r="C73" s="11"/>
      <c r="D73" s="1"/>
      <c r="E73" s="1"/>
      <c r="F73" s="12"/>
      <c r="G73" s="12"/>
      <c r="H73" s="113"/>
    </row>
    <row r="74" spans="1:8" ht="14.1" customHeight="1" x14ac:dyDescent="0.2">
      <c r="A74" s="1"/>
      <c r="B74" s="1"/>
      <c r="C74" s="2" t="s">
        <v>160</v>
      </c>
      <c r="D74" s="1"/>
      <c r="E74" s="1"/>
      <c r="F74" s="12"/>
      <c r="G74" s="12"/>
      <c r="H74" s="113"/>
    </row>
    <row r="75" spans="1:8" ht="24" customHeight="1" x14ac:dyDescent="0.2">
      <c r="A75" s="1"/>
      <c r="B75" s="1"/>
      <c r="C75" s="2" t="s">
        <v>10</v>
      </c>
      <c r="D75" s="1"/>
      <c r="E75" s="1"/>
      <c r="F75" s="12"/>
      <c r="G75" s="12"/>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161</v>
      </c>
      <c r="D78" s="1"/>
      <c r="E78" s="1"/>
      <c r="F78" s="1"/>
      <c r="G78" s="1"/>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162</v>
      </c>
      <c r="D81" s="1"/>
      <c r="E81" s="1"/>
      <c r="F81" s="1"/>
      <c r="G81" s="1"/>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163</v>
      </c>
      <c r="D84" s="1"/>
      <c r="E84" s="1"/>
      <c r="F84" s="12"/>
      <c r="G84" s="12"/>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164</v>
      </c>
      <c r="D87" s="1"/>
      <c r="E87" s="1"/>
      <c r="F87" s="9">
        <v>0</v>
      </c>
      <c r="G87" s="10">
        <v>0</v>
      </c>
      <c r="H87" s="113"/>
    </row>
    <row r="88" spans="1:8" ht="14.1" customHeight="1" x14ac:dyDescent="0.2">
      <c r="A88" s="1"/>
      <c r="B88" s="1"/>
      <c r="C88" s="11"/>
      <c r="D88" s="1"/>
      <c r="E88" s="1"/>
      <c r="F88" s="12"/>
      <c r="G88" s="12"/>
      <c r="H88" s="113"/>
    </row>
    <row r="89" spans="1:8" ht="14.1" customHeight="1" x14ac:dyDescent="0.2">
      <c r="A89" s="1"/>
      <c r="B89" s="1"/>
      <c r="C89" s="2" t="s">
        <v>165</v>
      </c>
      <c r="D89" s="1"/>
      <c r="E89" s="1"/>
      <c r="F89" s="12"/>
      <c r="G89" s="12"/>
      <c r="H89" s="113"/>
    </row>
    <row r="90" spans="1:8" ht="14.1" customHeight="1" x14ac:dyDescent="0.2">
      <c r="A90" s="1"/>
      <c r="B90" s="1"/>
      <c r="C90" s="2" t="s">
        <v>166</v>
      </c>
      <c r="D90" s="1"/>
      <c r="E90" s="1"/>
      <c r="F90" s="12"/>
      <c r="G90" s="12"/>
      <c r="H90" s="113"/>
    </row>
    <row r="91" spans="1:8" ht="14.1" customHeight="1" x14ac:dyDescent="0.2">
      <c r="A91" s="1"/>
      <c r="B91" s="1"/>
      <c r="C91" s="2" t="s">
        <v>151</v>
      </c>
      <c r="D91" s="1"/>
      <c r="E91" s="1" t="s">
        <v>152</v>
      </c>
      <c r="F91" s="13" t="s">
        <v>154</v>
      </c>
      <c r="G91" s="10">
        <v>0</v>
      </c>
      <c r="H91" s="113"/>
    </row>
    <row r="92" spans="1:8" ht="14.1" customHeight="1" x14ac:dyDescent="0.2">
      <c r="A92" s="1"/>
      <c r="B92" s="1"/>
      <c r="C92" s="11"/>
      <c r="D92" s="1"/>
      <c r="E92" s="1"/>
      <c r="F92" s="12"/>
      <c r="G92" s="12"/>
      <c r="H92" s="113"/>
    </row>
    <row r="93" spans="1:8" ht="14.1" customHeight="1" x14ac:dyDescent="0.2">
      <c r="A93" s="1"/>
      <c r="B93" s="1"/>
      <c r="C93" s="2" t="s">
        <v>167</v>
      </c>
      <c r="D93" s="1"/>
      <c r="E93" s="1"/>
      <c r="F93" s="12"/>
      <c r="G93" s="12"/>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4.1" customHeight="1" x14ac:dyDescent="0.2">
      <c r="A96" s="1"/>
      <c r="B96" s="1"/>
      <c r="C96" s="2" t="s">
        <v>168</v>
      </c>
      <c r="D96" s="1"/>
      <c r="E96" s="1"/>
      <c r="F96" s="12"/>
      <c r="G96" s="12"/>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169</v>
      </c>
      <c r="D99" s="1"/>
      <c r="E99" s="1"/>
      <c r="F99" s="12"/>
      <c r="G99" s="12"/>
      <c r="H99" s="113"/>
    </row>
    <row r="100" spans="1:8" ht="17.100000000000001" customHeight="1" x14ac:dyDescent="0.2">
      <c r="A100" s="3">
        <v>1</v>
      </c>
      <c r="B100" s="4"/>
      <c r="C100" s="4" t="s">
        <v>170</v>
      </c>
      <c r="D100" s="4"/>
      <c r="E100" s="8"/>
      <c r="F100" s="6">
        <v>452.50147999900003</v>
      </c>
      <c r="G100" s="7">
        <v>5.3580030000000001E-2</v>
      </c>
      <c r="H100" s="113">
        <v>6.7600000000000016</v>
      </c>
    </row>
    <row r="101" spans="1:8" ht="14.1" customHeight="1" x14ac:dyDescent="0.2">
      <c r="A101" s="1"/>
      <c r="B101" s="1"/>
      <c r="C101" s="2" t="s">
        <v>151</v>
      </c>
      <c r="D101" s="1"/>
      <c r="E101" s="1" t="s">
        <v>152</v>
      </c>
      <c r="F101" s="9">
        <v>452.50147999900003</v>
      </c>
      <c r="G101" s="10">
        <v>5.3580030000000001E-2</v>
      </c>
      <c r="H101" s="113"/>
    </row>
    <row r="102" spans="1:8" ht="14.1" customHeight="1" x14ac:dyDescent="0.2">
      <c r="A102" s="1"/>
      <c r="B102" s="1"/>
      <c r="C102" s="11"/>
      <c r="D102" s="1"/>
      <c r="E102" s="1"/>
      <c r="F102" s="12"/>
      <c r="G102" s="12"/>
      <c r="H102" s="113"/>
    </row>
    <row r="103" spans="1:8" ht="14.1" customHeight="1" x14ac:dyDescent="0.2">
      <c r="A103" s="1"/>
      <c r="B103" s="1"/>
      <c r="C103" s="2" t="s">
        <v>171</v>
      </c>
      <c r="D103" s="1"/>
      <c r="E103" s="1"/>
      <c r="F103" s="9">
        <v>452.50147999900003</v>
      </c>
      <c r="G103" s="10">
        <v>5.3580030000000001E-2</v>
      </c>
      <c r="H103" s="113"/>
    </row>
    <row r="104" spans="1:8" ht="14.1" customHeight="1" x14ac:dyDescent="0.2">
      <c r="A104" s="1"/>
      <c r="B104" s="1"/>
      <c r="C104" s="12"/>
      <c r="D104" s="1"/>
      <c r="E104" s="1"/>
      <c r="F104" s="1"/>
      <c r="G104" s="1"/>
      <c r="H104" s="113"/>
    </row>
    <row r="105" spans="1:8" ht="14.1" customHeight="1" x14ac:dyDescent="0.2">
      <c r="A105" s="1"/>
      <c r="B105" s="1"/>
      <c r="C105" s="2" t="s">
        <v>172</v>
      </c>
      <c r="D105" s="1"/>
      <c r="E105" s="1"/>
      <c r="F105" s="1"/>
      <c r="G105" s="1"/>
      <c r="H105" s="113"/>
    </row>
    <row r="106" spans="1:8" ht="14.1" customHeight="1" x14ac:dyDescent="0.2">
      <c r="A106" s="1"/>
      <c r="B106" s="1"/>
      <c r="C106" s="2" t="s">
        <v>173</v>
      </c>
      <c r="D106" s="1"/>
      <c r="E106" s="1"/>
      <c r="F106" s="1"/>
      <c r="G106" s="1"/>
      <c r="H106" s="113"/>
    </row>
    <row r="107" spans="1:8" ht="14.1" customHeight="1" x14ac:dyDescent="0.2">
      <c r="A107" s="1"/>
      <c r="B107" s="1"/>
      <c r="C107" s="2" t="s">
        <v>151</v>
      </c>
      <c r="D107" s="1"/>
      <c r="E107" s="1" t="s">
        <v>152</v>
      </c>
      <c r="F107" s="13" t="s">
        <v>154</v>
      </c>
      <c r="G107" s="10">
        <v>0</v>
      </c>
      <c r="H107" s="113"/>
    </row>
    <row r="108" spans="1:8" ht="14.1" customHeight="1" x14ac:dyDescent="0.2">
      <c r="A108" s="1"/>
      <c r="B108" s="1"/>
      <c r="C108" s="11"/>
      <c r="D108" s="1"/>
      <c r="E108" s="1"/>
      <c r="F108" s="12"/>
      <c r="G108" s="12"/>
      <c r="H108" s="113"/>
    </row>
    <row r="109" spans="1:8" ht="14.1" customHeight="1" x14ac:dyDescent="0.2">
      <c r="A109" s="1"/>
      <c r="B109" s="1"/>
      <c r="C109" s="2" t="s">
        <v>174</v>
      </c>
      <c r="D109" s="1"/>
      <c r="E109" s="1"/>
      <c r="F109" s="1"/>
      <c r="G109" s="1"/>
      <c r="H109" s="113"/>
    </row>
    <row r="110" spans="1:8" ht="14.1" customHeight="1" x14ac:dyDescent="0.2">
      <c r="A110" s="1"/>
      <c r="B110" s="1"/>
      <c r="C110" s="2" t="s">
        <v>175</v>
      </c>
      <c r="D110" s="1"/>
      <c r="E110" s="1"/>
      <c r="F110" s="1"/>
      <c r="G110" s="1"/>
      <c r="H110" s="113"/>
    </row>
    <row r="111" spans="1:8" ht="14.1" customHeight="1" x14ac:dyDescent="0.2">
      <c r="A111" s="1"/>
      <c r="B111" s="1"/>
      <c r="C111" s="2" t="s">
        <v>151</v>
      </c>
      <c r="D111" s="1"/>
      <c r="E111" s="1" t="s">
        <v>152</v>
      </c>
      <c r="F111" s="13" t="s">
        <v>154</v>
      </c>
      <c r="G111" s="10">
        <v>0</v>
      </c>
      <c r="H111" s="113"/>
    </row>
    <row r="112" spans="1:8" ht="14.1" customHeight="1" x14ac:dyDescent="0.2">
      <c r="A112" s="1"/>
      <c r="B112" s="1"/>
      <c r="C112" s="11"/>
      <c r="D112" s="1"/>
      <c r="E112" s="1"/>
      <c r="F112" s="12"/>
      <c r="G112" s="12"/>
      <c r="H112" s="113"/>
    </row>
    <row r="113" spans="1:8" ht="24" customHeight="1" x14ac:dyDescent="0.2">
      <c r="A113" s="1"/>
      <c r="B113" s="1"/>
      <c r="C113" s="2" t="s">
        <v>176</v>
      </c>
      <c r="D113" s="1"/>
      <c r="E113" s="1"/>
      <c r="F113" s="12"/>
      <c r="G113" s="12"/>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14.1" customHeight="1" x14ac:dyDescent="0.2">
      <c r="A116" s="1"/>
      <c r="B116" s="4"/>
      <c r="C116" s="4"/>
      <c r="D116" s="2"/>
      <c r="E116" s="1"/>
      <c r="F116" s="4"/>
      <c r="G116" s="8"/>
      <c r="H116" s="113"/>
    </row>
    <row r="117" spans="1:8" ht="18" customHeight="1" x14ac:dyDescent="0.2">
      <c r="A117" s="8"/>
      <c r="B117" s="4"/>
      <c r="C117" s="4" t="s">
        <v>177</v>
      </c>
      <c r="D117" s="4"/>
      <c r="E117" s="8"/>
      <c r="F117" s="6">
        <v>-32.437484349999998</v>
      </c>
      <c r="G117" s="7">
        <v>-3.8408800000000001E-3</v>
      </c>
      <c r="H117" s="113"/>
    </row>
    <row r="118" spans="1:8" ht="14.1" customHeight="1" x14ac:dyDescent="0.2">
      <c r="A118" s="11"/>
      <c r="B118" s="11"/>
      <c r="C118" s="2" t="s">
        <v>178</v>
      </c>
      <c r="D118" s="12"/>
      <c r="E118" s="12"/>
      <c r="F118" s="9">
        <v>8445.3376689199995</v>
      </c>
      <c r="G118" s="14">
        <v>1.0000000099999999</v>
      </c>
      <c r="H118" s="113"/>
    </row>
    <row r="119" spans="1:8" ht="14.1" customHeight="1" x14ac:dyDescent="0.2">
      <c r="A119" s="15"/>
      <c r="B119" s="15"/>
      <c r="C119" s="15"/>
      <c r="D119" s="16"/>
      <c r="E119" s="16"/>
      <c r="F119" s="16"/>
      <c r="G119" s="16"/>
    </row>
    <row r="120" spans="1:8" ht="17.100000000000001" customHeight="1" x14ac:dyDescent="0.2">
      <c r="A120" s="17"/>
      <c r="B120" s="207" t="s">
        <v>179</v>
      </c>
      <c r="C120" s="207"/>
      <c r="D120" s="207"/>
      <c r="E120" s="207"/>
      <c r="F120" s="207"/>
      <c r="G120" s="19"/>
    </row>
    <row r="121" spans="1:8" ht="14.1" customHeight="1" x14ac:dyDescent="0.2">
      <c r="A121" s="17"/>
      <c r="B121" s="17"/>
      <c r="C121" s="17"/>
      <c r="D121" s="19"/>
      <c r="E121" s="19"/>
      <c r="F121" s="19"/>
      <c r="G121" s="19"/>
    </row>
    <row r="122" spans="1:8" ht="14.1" customHeight="1" x14ac:dyDescent="0.2">
      <c r="A122" s="17"/>
      <c r="B122" s="208" t="s">
        <v>180</v>
      </c>
      <c r="C122" s="209"/>
      <c r="D122" s="210"/>
      <c r="E122" s="20"/>
      <c r="F122" s="19"/>
      <c r="G122" s="19"/>
    </row>
    <row r="123" spans="1:8" ht="29.1" customHeight="1" x14ac:dyDescent="0.2">
      <c r="A123" s="17"/>
      <c r="B123" s="205" t="s">
        <v>181</v>
      </c>
      <c r="C123" s="206"/>
      <c r="D123" s="2" t="s">
        <v>182</v>
      </c>
      <c r="E123" s="20"/>
      <c r="F123" s="19"/>
      <c r="G123" s="19"/>
    </row>
    <row r="124" spans="1:8" ht="29.1" customHeight="1" x14ac:dyDescent="0.2">
      <c r="A124" s="17"/>
      <c r="B124" s="205" t="s">
        <v>900</v>
      </c>
      <c r="C124" s="206"/>
      <c r="D124" s="2" t="s">
        <v>903</v>
      </c>
      <c r="E124" s="20"/>
      <c r="F124" s="19"/>
      <c r="G124" s="19"/>
    </row>
    <row r="125" spans="1:8" ht="17.100000000000001" customHeight="1" x14ac:dyDescent="0.2">
      <c r="A125" s="17"/>
      <c r="B125" s="205" t="s">
        <v>184</v>
      </c>
      <c r="C125" s="206"/>
      <c r="D125" s="12" t="s">
        <v>152</v>
      </c>
      <c r="E125" s="20"/>
      <c r="F125" s="19"/>
      <c r="G125" s="19"/>
    </row>
    <row r="126" spans="1:8" ht="25.5" x14ac:dyDescent="0.2">
      <c r="A126" s="21"/>
      <c r="B126" s="22" t="s">
        <v>152</v>
      </c>
      <c r="C126" s="22" t="s">
        <v>185</v>
      </c>
      <c r="D126" s="22" t="s">
        <v>186</v>
      </c>
      <c r="E126" s="21"/>
      <c r="F126" s="21"/>
      <c r="G126" s="21"/>
    </row>
    <row r="127" spans="1:8" ht="18" customHeight="1" x14ac:dyDescent="0.2">
      <c r="A127" s="21"/>
      <c r="B127" s="23" t="s">
        <v>187</v>
      </c>
      <c r="C127" s="22" t="s">
        <v>188</v>
      </c>
      <c r="D127" s="22" t="s">
        <v>189</v>
      </c>
      <c r="E127" s="21"/>
      <c r="F127" s="21"/>
      <c r="G127" s="21"/>
    </row>
    <row r="128" spans="1:8" ht="17.100000000000001" customHeight="1" x14ac:dyDescent="0.2">
      <c r="A128" s="21"/>
      <c r="B128" s="4" t="s">
        <v>190</v>
      </c>
      <c r="C128" s="24">
        <v>28.319199999999999</v>
      </c>
      <c r="D128" s="24">
        <v>29.869599999999998</v>
      </c>
      <c r="E128" s="21"/>
      <c r="F128" s="18"/>
      <c r="G128" s="25"/>
    </row>
    <row r="129" spans="1:7" ht="17.100000000000001" customHeight="1" x14ac:dyDescent="0.2">
      <c r="A129" s="21"/>
      <c r="B129" s="4" t="s">
        <v>1033</v>
      </c>
      <c r="C129" s="24">
        <v>26.084</v>
      </c>
      <c r="D129" s="24">
        <v>26.194600000000001</v>
      </c>
      <c r="E129" s="21"/>
      <c r="F129" s="18"/>
      <c r="G129" s="25"/>
    </row>
    <row r="130" spans="1:7" ht="17.100000000000001" customHeight="1" x14ac:dyDescent="0.2">
      <c r="A130" s="21"/>
      <c r="B130" s="4" t="s">
        <v>191</v>
      </c>
      <c r="C130" s="24">
        <v>27.582799999999999</v>
      </c>
      <c r="D130" s="24">
        <v>29.0884</v>
      </c>
      <c r="E130" s="21"/>
      <c r="F130" s="18"/>
      <c r="G130" s="25"/>
    </row>
    <row r="131" spans="1:7" ht="17.100000000000001" customHeight="1" x14ac:dyDescent="0.2">
      <c r="A131" s="21"/>
      <c r="B131" s="4" t="s">
        <v>1034</v>
      </c>
      <c r="C131" s="24">
        <v>25.382000000000001</v>
      </c>
      <c r="D131" s="24">
        <v>25.450199999999999</v>
      </c>
      <c r="E131" s="21"/>
      <c r="F131" s="18"/>
      <c r="G131" s="25"/>
    </row>
    <row r="132" spans="1:7" ht="14.1" customHeight="1" x14ac:dyDescent="0.2">
      <c r="A132" s="21"/>
      <c r="B132" s="21"/>
      <c r="C132" s="21"/>
      <c r="D132" s="21"/>
      <c r="E132" s="21"/>
      <c r="F132" s="21"/>
      <c r="G132" s="21"/>
    </row>
    <row r="133" spans="1:7" ht="17.100000000000001" customHeight="1" x14ac:dyDescent="0.2">
      <c r="A133" s="21"/>
      <c r="B133" s="205" t="s">
        <v>1035</v>
      </c>
      <c r="C133" s="206"/>
      <c r="D133" s="2" t="s">
        <v>152</v>
      </c>
      <c r="E133" s="21"/>
      <c r="F133" s="21"/>
      <c r="G133" s="21"/>
    </row>
    <row r="134" spans="1:7" ht="18" customHeight="1" x14ac:dyDescent="0.2">
      <c r="A134" s="21"/>
      <c r="B134" s="29" t="s">
        <v>187</v>
      </c>
      <c r="C134" s="30" t="s">
        <v>470</v>
      </c>
      <c r="D134" s="30" t="s">
        <v>471</v>
      </c>
      <c r="E134" s="21"/>
      <c r="F134" s="21"/>
      <c r="G134" s="21"/>
    </row>
    <row r="135" spans="1:7" ht="17.100000000000001" customHeight="1" x14ac:dyDescent="0.2">
      <c r="A135" s="21"/>
      <c r="B135" s="4" t="s">
        <v>1033</v>
      </c>
      <c r="C135" s="31">
        <v>1.2689999999999999</v>
      </c>
      <c r="D135" s="8" t="s">
        <v>472</v>
      </c>
      <c r="E135" s="21"/>
      <c r="F135" s="18"/>
      <c r="G135" s="25"/>
    </row>
    <row r="136" spans="1:7" ht="17.100000000000001" customHeight="1" x14ac:dyDescent="0.2">
      <c r="A136" s="21"/>
      <c r="B136" s="4" t="s">
        <v>1034</v>
      </c>
      <c r="C136" s="31">
        <v>1.2689999999999999</v>
      </c>
      <c r="D136" s="31">
        <v>1.2689999999999999</v>
      </c>
      <c r="E136" s="21"/>
      <c r="F136" s="18"/>
      <c r="G136" s="25"/>
    </row>
    <row r="137" spans="1:7" ht="14.1" customHeight="1" x14ac:dyDescent="0.2">
      <c r="A137" s="21"/>
      <c r="B137" s="32"/>
      <c r="C137" s="32"/>
      <c r="D137" s="33"/>
      <c r="E137" s="21"/>
      <c r="F137" s="18"/>
      <c r="G137" s="25"/>
    </row>
    <row r="138" spans="1:7" ht="29.1" customHeight="1" x14ac:dyDescent="0.2">
      <c r="A138" s="21"/>
      <c r="B138" s="205" t="s">
        <v>192</v>
      </c>
      <c r="C138" s="206"/>
      <c r="D138" s="2" t="s">
        <v>182</v>
      </c>
      <c r="E138" s="27"/>
      <c r="F138" s="21"/>
      <c r="G138" s="21"/>
    </row>
    <row r="139" spans="1:7" ht="29.1" customHeight="1" x14ac:dyDescent="0.2">
      <c r="A139" s="21"/>
      <c r="B139" s="205" t="s">
        <v>193</v>
      </c>
      <c r="C139" s="206"/>
      <c r="D139" s="2" t="s">
        <v>182</v>
      </c>
      <c r="E139" s="27"/>
      <c r="F139" s="21"/>
      <c r="G139" s="21"/>
    </row>
    <row r="140" spans="1:7" ht="17.100000000000001" customHeight="1" x14ac:dyDescent="0.2">
      <c r="A140" s="21"/>
      <c r="B140" s="205" t="s">
        <v>194</v>
      </c>
      <c r="C140" s="206"/>
      <c r="D140" s="2" t="s">
        <v>182</v>
      </c>
      <c r="E140" s="27"/>
      <c r="F140" s="21"/>
      <c r="G140" s="21"/>
    </row>
    <row r="141" spans="1:7" ht="17.100000000000001" customHeight="1" x14ac:dyDescent="0.2">
      <c r="A141" s="21"/>
      <c r="B141" s="205" t="s">
        <v>195</v>
      </c>
      <c r="C141" s="206"/>
      <c r="D141" s="28">
        <v>0.1024301634658524</v>
      </c>
      <c r="E141" s="21"/>
      <c r="F141" s="18"/>
      <c r="G141" s="25"/>
    </row>
    <row r="157" spans="10:14" x14ac:dyDescent="0.2">
      <c r="J157" s="198"/>
      <c r="K157" s="198"/>
      <c r="L157" s="198"/>
      <c r="M157" s="198"/>
      <c r="N157" s="198"/>
    </row>
  </sheetData>
  <mergeCells count="14">
    <mergeCell ref="B141:C141"/>
    <mergeCell ref="B124:C124"/>
    <mergeCell ref="B125:C125"/>
    <mergeCell ref="B133:C133"/>
    <mergeCell ref="B138:C138"/>
    <mergeCell ref="B139:C139"/>
    <mergeCell ref="B140:C140"/>
    <mergeCell ref="J2:N2"/>
    <mergeCell ref="B123:C123"/>
    <mergeCell ref="B120:F120"/>
    <mergeCell ref="B122:D122"/>
    <mergeCell ref="A1:H1"/>
    <mergeCell ref="A2:H2"/>
    <mergeCell ref="A3:H3"/>
  </mergeCells>
  <hyperlinks>
    <hyperlink ref="I1" location="Index!B10" display="Index" xr:uid="{0934DDFE-B8C5-4943-8612-56A1CAB2E9F8}"/>
  </hyperlink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504</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403</v>
      </c>
      <c r="C7" s="4" t="s">
        <v>404</v>
      </c>
      <c r="D7" s="4" t="s">
        <v>267</v>
      </c>
      <c r="E7" s="5">
        <v>6546</v>
      </c>
      <c r="F7" s="6">
        <v>228.31138799999999</v>
      </c>
      <c r="G7" s="7">
        <v>5.5717740000000002E-2</v>
      </c>
      <c r="H7" s="113"/>
    </row>
    <row r="8" spans="1:15" ht="17.100000000000001" customHeight="1" x14ac:dyDescent="0.2">
      <c r="A8" s="3">
        <v>2</v>
      </c>
      <c r="B8" s="4" t="s">
        <v>399</v>
      </c>
      <c r="C8" s="4" t="s">
        <v>400</v>
      </c>
      <c r="D8" s="4" t="s">
        <v>28</v>
      </c>
      <c r="E8" s="5">
        <v>205102</v>
      </c>
      <c r="F8" s="6">
        <v>216.38261</v>
      </c>
      <c r="G8" s="7">
        <v>5.2806609999999997E-2</v>
      </c>
      <c r="H8" s="113"/>
    </row>
    <row r="9" spans="1:15" ht="17.100000000000001" customHeight="1" x14ac:dyDescent="0.2">
      <c r="A9" s="3">
        <v>3</v>
      </c>
      <c r="B9" s="4" t="s">
        <v>35</v>
      </c>
      <c r="C9" s="4" t="s">
        <v>36</v>
      </c>
      <c r="D9" s="4" t="s">
        <v>34</v>
      </c>
      <c r="E9" s="5">
        <v>5766</v>
      </c>
      <c r="F9" s="6">
        <v>199.89280500000001</v>
      </c>
      <c r="G9" s="7">
        <v>4.8782390000000002E-2</v>
      </c>
      <c r="H9" s="113"/>
    </row>
    <row r="10" spans="1:15" ht="17.100000000000001" customHeight="1" x14ac:dyDescent="0.2">
      <c r="A10" s="3">
        <v>4</v>
      </c>
      <c r="B10" s="4" t="s">
        <v>401</v>
      </c>
      <c r="C10" s="4" t="s">
        <v>402</v>
      </c>
      <c r="D10" s="4" t="s">
        <v>56</v>
      </c>
      <c r="E10" s="5">
        <v>9824</v>
      </c>
      <c r="F10" s="6">
        <v>191.700624</v>
      </c>
      <c r="G10" s="7">
        <v>4.6783150000000003E-2</v>
      </c>
      <c r="H10" s="113"/>
    </row>
    <row r="11" spans="1:15" ht="17.100000000000001" customHeight="1" x14ac:dyDescent="0.2">
      <c r="A11" s="3">
        <v>5</v>
      </c>
      <c r="B11" s="4" t="s">
        <v>129</v>
      </c>
      <c r="C11" s="4" t="s">
        <v>130</v>
      </c>
      <c r="D11" s="4" t="s">
        <v>56</v>
      </c>
      <c r="E11" s="5">
        <v>43069</v>
      </c>
      <c r="F11" s="6">
        <v>184.421458</v>
      </c>
      <c r="G11" s="7">
        <v>4.500672E-2</v>
      </c>
      <c r="H11" s="113"/>
    </row>
    <row r="12" spans="1:15" ht="17.100000000000001" customHeight="1" x14ac:dyDescent="0.2">
      <c r="A12" s="3">
        <v>6</v>
      </c>
      <c r="B12" s="4" t="s">
        <v>49</v>
      </c>
      <c r="C12" s="4" t="s">
        <v>50</v>
      </c>
      <c r="D12" s="4" t="s">
        <v>34</v>
      </c>
      <c r="E12" s="5">
        <v>5475</v>
      </c>
      <c r="F12" s="6">
        <v>177.9073875</v>
      </c>
      <c r="G12" s="7">
        <v>4.3417009999999999E-2</v>
      </c>
      <c r="H12" s="113"/>
    </row>
    <row r="13" spans="1:15" ht="17.100000000000001" customHeight="1" x14ac:dyDescent="0.2">
      <c r="A13" s="3">
        <v>7</v>
      </c>
      <c r="B13" s="4" t="s">
        <v>71</v>
      </c>
      <c r="C13" s="4" t="s">
        <v>72</v>
      </c>
      <c r="D13" s="4" t="s">
        <v>73</v>
      </c>
      <c r="E13" s="5">
        <v>18429</v>
      </c>
      <c r="F13" s="6">
        <v>165.2620575</v>
      </c>
      <c r="G13" s="7">
        <v>4.033101E-2</v>
      </c>
      <c r="H13" s="113"/>
    </row>
    <row r="14" spans="1:15" ht="17.100000000000001" customHeight="1" x14ac:dyDescent="0.2">
      <c r="A14" s="3">
        <v>8</v>
      </c>
      <c r="B14" s="4" t="s">
        <v>342</v>
      </c>
      <c r="C14" s="4" t="s">
        <v>343</v>
      </c>
      <c r="D14" s="4" t="s">
        <v>267</v>
      </c>
      <c r="E14" s="5">
        <v>4793</v>
      </c>
      <c r="F14" s="6">
        <v>153.3688105</v>
      </c>
      <c r="G14" s="7">
        <v>3.7428549999999998E-2</v>
      </c>
      <c r="H14" s="113"/>
      <c r="J14" s="194" t="s">
        <v>1154</v>
      </c>
    </row>
    <row r="15" spans="1:15" ht="17.100000000000001" customHeight="1" x14ac:dyDescent="0.2">
      <c r="A15" s="3">
        <v>9</v>
      </c>
      <c r="B15" s="4" t="s">
        <v>411</v>
      </c>
      <c r="C15" s="4" t="s">
        <v>412</v>
      </c>
      <c r="D15" s="4" t="s">
        <v>210</v>
      </c>
      <c r="E15" s="5">
        <v>35324</v>
      </c>
      <c r="F15" s="6">
        <v>129.10921999999999</v>
      </c>
      <c r="G15" s="7">
        <v>3.1508170000000002E-2</v>
      </c>
      <c r="H15" s="113"/>
    </row>
    <row r="16" spans="1:15" ht="17.100000000000001" customHeight="1" x14ac:dyDescent="0.2">
      <c r="A16" s="3">
        <v>10</v>
      </c>
      <c r="B16" s="4" t="s">
        <v>47</v>
      </c>
      <c r="C16" s="4" t="s">
        <v>48</v>
      </c>
      <c r="D16" s="4" t="s">
        <v>34</v>
      </c>
      <c r="E16" s="5">
        <v>4869</v>
      </c>
      <c r="F16" s="6">
        <v>113.403879</v>
      </c>
      <c r="G16" s="7">
        <v>2.7675390000000001E-2</v>
      </c>
      <c r="H16" s="113"/>
    </row>
    <row r="17" spans="1:8" ht="17.100000000000001" customHeight="1" x14ac:dyDescent="0.2">
      <c r="A17" s="3">
        <v>11</v>
      </c>
      <c r="B17" s="4" t="s">
        <v>413</v>
      </c>
      <c r="C17" s="4" t="s">
        <v>414</v>
      </c>
      <c r="D17" s="4" t="s">
        <v>262</v>
      </c>
      <c r="E17" s="5">
        <v>35822</v>
      </c>
      <c r="F17" s="6">
        <v>108.648126</v>
      </c>
      <c r="G17" s="7">
        <v>2.651479E-2</v>
      </c>
      <c r="H17" s="113"/>
    </row>
    <row r="18" spans="1:8" ht="17.100000000000001" customHeight="1" x14ac:dyDescent="0.2">
      <c r="A18" s="3">
        <v>12</v>
      </c>
      <c r="B18" s="4" t="s">
        <v>417</v>
      </c>
      <c r="C18" s="4" t="s">
        <v>418</v>
      </c>
      <c r="D18" s="4" t="s">
        <v>53</v>
      </c>
      <c r="E18" s="5">
        <v>12457</v>
      </c>
      <c r="F18" s="6">
        <v>96.871860499999997</v>
      </c>
      <c r="G18" s="7">
        <v>2.3640870000000001E-2</v>
      </c>
      <c r="H18" s="113"/>
    </row>
    <row r="19" spans="1:8" ht="29.1" customHeight="1" x14ac:dyDescent="0.2">
      <c r="A19" s="3">
        <v>13</v>
      </c>
      <c r="B19" s="4" t="s">
        <v>95</v>
      </c>
      <c r="C19" s="4" t="s">
        <v>96</v>
      </c>
      <c r="D19" s="4" t="s">
        <v>25</v>
      </c>
      <c r="E19" s="5">
        <v>2480</v>
      </c>
      <c r="F19" s="6">
        <v>93.948599999999999</v>
      </c>
      <c r="G19" s="7">
        <v>2.2927469999999998E-2</v>
      </c>
      <c r="H19" s="113"/>
    </row>
    <row r="20" spans="1:8" ht="17.100000000000001" customHeight="1" x14ac:dyDescent="0.2">
      <c r="A20" s="3">
        <v>14</v>
      </c>
      <c r="B20" s="4" t="s">
        <v>316</v>
      </c>
      <c r="C20" s="4" t="s">
        <v>317</v>
      </c>
      <c r="D20" s="4" t="s">
        <v>56</v>
      </c>
      <c r="E20" s="5">
        <v>11837</v>
      </c>
      <c r="F20" s="6">
        <v>91.375721499999997</v>
      </c>
      <c r="G20" s="7">
        <v>2.2299579999999999E-2</v>
      </c>
      <c r="H20" s="113"/>
    </row>
    <row r="21" spans="1:8" ht="29.1" customHeight="1" x14ac:dyDescent="0.2">
      <c r="A21" s="3">
        <v>15</v>
      </c>
      <c r="B21" s="4" t="s">
        <v>220</v>
      </c>
      <c r="C21" s="4" t="s">
        <v>221</v>
      </c>
      <c r="D21" s="4" t="s">
        <v>222</v>
      </c>
      <c r="E21" s="5">
        <v>2356</v>
      </c>
      <c r="F21" s="6">
        <v>90.781391999999997</v>
      </c>
      <c r="G21" s="7">
        <v>2.215454E-2</v>
      </c>
      <c r="H21" s="113"/>
    </row>
    <row r="22" spans="1:8" ht="17.100000000000001" customHeight="1" x14ac:dyDescent="0.2">
      <c r="A22" s="3">
        <v>16</v>
      </c>
      <c r="B22" s="4" t="s">
        <v>407</v>
      </c>
      <c r="C22" s="4" t="s">
        <v>408</v>
      </c>
      <c r="D22" s="4" t="s">
        <v>257</v>
      </c>
      <c r="E22" s="5">
        <v>5434</v>
      </c>
      <c r="F22" s="6">
        <v>90.152777</v>
      </c>
      <c r="G22" s="7">
        <v>2.2001130000000001E-2</v>
      </c>
      <c r="H22" s="113"/>
    </row>
    <row r="23" spans="1:8" ht="17.100000000000001" customHeight="1" x14ac:dyDescent="0.2">
      <c r="A23" s="3">
        <v>17</v>
      </c>
      <c r="B23" s="4" t="s">
        <v>419</v>
      </c>
      <c r="C23" s="4" t="s">
        <v>420</v>
      </c>
      <c r="D23" s="4" t="s">
        <v>245</v>
      </c>
      <c r="E23" s="5">
        <v>6161</v>
      </c>
      <c r="F23" s="6">
        <v>87.553971000000004</v>
      </c>
      <c r="G23" s="7">
        <v>2.1366909999999999E-2</v>
      </c>
      <c r="H23" s="113"/>
    </row>
    <row r="24" spans="1:8" ht="29.1" customHeight="1" x14ac:dyDescent="0.2">
      <c r="A24" s="3">
        <v>18</v>
      </c>
      <c r="B24" s="4" t="s">
        <v>437</v>
      </c>
      <c r="C24" s="4" t="s">
        <v>438</v>
      </c>
      <c r="D24" s="4" t="s">
        <v>76</v>
      </c>
      <c r="E24" s="5">
        <v>3181</v>
      </c>
      <c r="F24" s="6">
        <v>78.989001500000001</v>
      </c>
      <c r="G24" s="7">
        <v>1.9276689999999999E-2</v>
      </c>
      <c r="H24" s="113"/>
    </row>
    <row r="25" spans="1:8" ht="17.100000000000001" customHeight="1" x14ac:dyDescent="0.2">
      <c r="A25" s="3">
        <v>19</v>
      </c>
      <c r="B25" s="4" t="s">
        <v>421</v>
      </c>
      <c r="C25" s="4" t="s">
        <v>422</v>
      </c>
      <c r="D25" s="4" t="s">
        <v>53</v>
      </c>
      <c r="E25" s="5">
        <v>60160</v>
      </c>
      <c r="F25" s="6">
        <v>76.192639999999997</v>
      </c>
      <c r="G25" s="7">
        <v>1.8594260000000001E-2</v>
      </c>
      <c r="H25" s="113"/>
    </row>
    <row r="26" spans="1:8" ht="17.100000000000001" customHeight="1" x14ac:dyDescent="0.2">
      <c r="A26" s="3">
        <v>20</v>
      </c>
      <c r="B26" s="4" t="s">
        <v>425</v>
      </c>
      <c r="C26" s="4" t="s">
        <v>426</v>
      </c>
      <c r="D26" s="4" t="s">
        <v>245</v>
      </c>
      <c r="E26" s="5">
        <v>9165</v>
      </c>
      <c r="F26" s="6">
        <v>74.864302499999994</v>
      </c>
      <c r="G26" s="7">
        <v>1.8270089999999999E-2</v>
      </c>
      <c r="H26" s="113"/>
    </row>
    <row r="27" spans="1:8" ht="29.1" customHeight="1" x14ac:dyDescent="0.2">
      <c r="A27" s="3">
        <v>21</v>
      </c>
      <c r="B27" s="4" t="s">
        <v>439</v>
      </c>
      <c r="C27" s="4" t="s">
        <v>440</v>
      </c>
      <c r="D27" s="4" t="s">
        <v>225</v>
      </c>
      <c r="E27" s="5">
        <v>18366</v>
      </c>
      <c r="F27" s="6">
        <v>72.582431999999997</v>
      </c>
      <c r="G27" s="7">
        <v>1.7713219999999998E-2</v>
      </c>
      <c r="H27" s="113"/>
    </row>
    <row r="28" spans="1:8" ht="17.100000000000001" customHeight="1" x14ac:dyDescent="0.2">
      <c r="A28" s="3">
        <v>22</v>
      </c>
      <c r="B28" s="4" t="s">
        <v>452</v>
      </c>
      <c r="C28" s="4" t="s">
        <v>453</v>
      </c>
      <c r="D28" s="4" t="s">
        <v>245</v>
      </c>
      <c r="E28" s="5">
        <v>31256</v>
      </c>
      <c r="F28" s="6">
        <v>71.498099999999994</v>
      </c>
      <c r="G28" s="7">
        <v>1.744859E-2</v>
      </c>
      <c r="H28" s="113"/>
    </row>
    <row r="29" spans="1:8" ht="17.100000000000001" customHeight="1" x14ac:dyDescent="0.2">
      <c r="A29" s="3">
        <v>23</v>
      </c>
      <c r="B29" s="4" t="s">
        <v>429</v>
      </c>
      <c r="C29" s="4" t="s">
        <v>430</v>
      </c>
      <c r="D29" s="4" t="s">
        <v>892</v>
      </c>
      <c r="E29" s="5">
        <v>5354</v>
      </c>
      <c r="F29" s="6">
        <v>69.928594000000004</v>
      </c>
      <c r="G29" s="7">
        <v>1.7065569999999999E-2</v>
      </c>
      <c r="H29" s="113"/>
    </row>
    <row r="30" spans="1:8" ht="17.100000000000001" customHeight="1" x14ac:dyDescent="0.2">
      <c r="A30" s="3">
        <v>24</v>
      </c>
      <c r="B30" s="4" t="s">
        <v>409</v>
      </c>
      <c r="C30" s="4" t="s">
        <v>410</v>
      </c>
      <c r="D30" s="4" t="s">
        <v>13</v>
      </c>
      <c r="E30" s="5">
        <v>50158</v>
      </c>
      <c r="F30" s="6">
        <v>69.845015000000004</v>
      </c>
      <c r="G30" s="7">
        <v>1.7045169999999998E-2</v>
      </c>
      <c r="H30" s="113"/>
    </row>
    <row r="31" spans="1:8" ht="29.1" customHeight="1" x14ac:dyDescent="0.2">
      <c r="A31" s="3">
        <v>25</v>
      </c>
      <c r="B31" s="4" t="s">
        <v>433</v>
      </c>
      <c r="C31" s="4" t="s">
        <v>434</v>
      </c>
      <c r="D31" s="4" t="s">
        <v>31</v>
      </c>
      <c r="E31" s="5">
        <v>3088</v>
      </c>
      <c r="F31" s="6">
        <v>68.192303999999993</v>
      </c>
      <c r="G31" s="7">
        <v>1.6641840000000001E-2</v>
      </c>
      <c r="H31" s="113"/>
    </row>
    <row r="32" spans="1:8" ht="17.100000000000001" customHeight="1" x14ac:dyDescent="0.2">
      <c r="A32" s="3">
        <v>26</v>
      </c>
      <c r="B32" s="4" t="s">
        <v>450</v>
      </c>
      <c r="C32" s="4" t="s">
        <v>451</v>
      </c>
      <c r="D32" s="4" t="s">
        <v>53</v>
      </c>
      <c r="E32" s="5">
        <v>7127</v>
      </c>
      <c r="F32" s="6">
        <v>66.288227000000006</v>
      </c>
      <c r="G32" s="7">
        <v>1.6177159999999999E-2</v>
      </c>
      <c r="H32" s="113"/>
    </row>
    <row r="33" spans="1:8" ht="17.100000000000001" customHeight="1" x14ac:dyDescent="0.2">
      <c r="A33" s="3">
        <v>27</v>
      </c>
      <c r="B33" s="4" t="s">
        <v>497</v>
      </c>
      <c r="C33" s="4" t="s">
        <v>498</v>
      </c>
      <c r="D33" s="4" t="s">
        <v>13</v>
      </c>
      <c r="E33" s="5">
        <v>8885</v>
      </c>
      <c r="F33" s="6">
        <v>63.012419999999999</v>
      </c>
      <c r="G33" s="7">
        <v>1.5377719999999999E-2</v>
      </c>
      <c r="H33" s="113"/>
    </row>
    <row r="34" spans="1:8" ht="17.100000000000001" customHeight="1" x14ac:dyDescent="0.2">
      <c r="A34" s="3">
        <v>28</v>
      </c>
      <c r="B34" s="4" t="s">
        <v>435</v>
      </c>
      <c r="C34" s="4" t="s">
        <v>436</v>
      </c>
      <c r="D34" s="4" t="s">
        <v>53</v>
      </c>
      <c r="E34" s="5">
        <v>10654</v>
      </c>
      <c r="F34" s="6">
        <v>60.200426999999998</v>
      </c>
      <c r="G34" s="7">
        <v>1.469148E-2</v>
      </c>
      <c r="H34" s="113"/>
    </row>
    <row r="35" spans="1:8" ht="17.100000000000001" customHeight="1" x14ac:dyDescent="0.2">
      <c r="A35" s="3">
        <v>29</v>
      </c>
      <c r="B35" s="4" t="s">
        <v>427</v>
      </c>
      <c r="C35" s="4" t="s">
        <v>428</v>
      </c>
      <c r="D35" s="4" t="s">
        <v>56</v>
      </c>
      <c r="E35" s="5">
        <v>5528</v>
      </c>
      <c r="F35" s="6">
        <v>57.488436</v>
      </c>
      <c r="G35" s="7">
        <v>1.4029639999999999E-2</v>
      </c>
      <c r="H35" s="113"/>
    </row>
    <row r="36" spans="1:8" ht="29.1" customHeight="1" x14ac:dyDescent="0.2">
      <c r="A36" s="3">
        <v>30</v>
      </c>
      <c r="B36" s="4" t="s">
        <v>495</v>
      </c>
      <c r="C36" s="4" t="s">
        <v>496</v>
      </c>
      <c r="D36" s="4" t="s">
        <v>483</v>
      </c>
      <c r="E36" s="5">
        <v>8921</v>
      </c>
      <c r="F36" s="6">
        <v>57.428937500000004</v>
      </c>
      <c r="G36" s="7">
        <v>1.4015120000000001E-2</v>
      </c>
      <c r="H36" s="113"/>
    </row>
    <row r="37" spans="1:8" ht="29.1" customHeight="1" x14ac:dyDescent="0.2">
      <c r="A37" s="3">
        <v>31</v>
      </c>
      <c r="B37" s="4" t="s">
        <v>441</v>
      </c>
      <c r="C37" s="4" t="s">
        <v>442</v>
      </c>
      <c r="D37" s="4" t="s">
        <v>443</v>
      </c>
      <c r="E37" s="5">
        <v>35853</v>
      </c>
      <c r="F37" s="6">
        <v>54.173882999999996</v>
      </c>
      <c r="G37" s="7">
        <v>1.322074E-2</v>
      </c>
      <c r="H37" s="113"/>
    </row>
    <row r="38" spans="1:8" ht="17.100000000000001" customHeight="1" x14ac:dyDescent="0.2">
      <c r="A38" s="3">
        <v>32</v>
      </c>
      <c r="B38" s="4" t="s">
        <v>468</v>
      </c>
      <c r="C38" s="4" t="s">
        <v>469</v>
      </c>
      <c r="D38" s="4" t="s">
        <v>28</v>
      </c>
      <c r="E38" s="5">
        <v>12767</v>
      </c>
      <c r="F38" s="6">
        <v>53.449045499999997</v>
      </c>
      <c r="G38" s="7">
        <v>1.3043849999999999E-2</v>
      </c>
      <c r="H38" s="113"/>
    </row>
    <row r="39" spans="1:8" ht="17.100000000000001" customHeight="1" x14ac:dyDescent="0.2">
      <c r="A39" s="3">
        <v>33</v>
      </c>
      <c r="B39" s="4" t="s">
        <v>230</v>
      </c>
      <c r="C39" s="4" t="s">
        <v>231</v>
      </c>
      <c r="D39" s="4" t="s">
        <v>107</v>
      </c>
      <c r="E39" s="5">
        <v>692</v>
      </c>
      <c r="F39" s="6">
        <v>53.424821999999999</v>
      </c>
      <c r="G39" s="7">
        <v>1.303794E-2</v>
      </c>
      <c r="H39" s="113"/>
    </row>
    <row r="40" spans="1:8" ht="29.1" customHeight="1" x14ac:dyDescent="0.2">
      <c r="A40" s="3">
        <v>34</v>
      </c>
      <c r="B40" s="4" t="s">
        <v>444</v>
      </c>
      <c r="C40" s="4" t="s">
        <v>445</v>
      </c>
      <c r="D40" s="4" t="s">
        <v>215</v>
      </c>
      <c r="E40" s="5">
        <v>8645</v>
      </c>
      <c r="F40" s="6">
        <v>48.144005</v>
      </c>
      <c r="G40" s="7">
        <v>1.17492E-2</v>
      </c>
      <c r="H40" s="113"/>
    </row>
    <row r="41" spans="1:8" ht="17.100000000000001" customHeight="1" x14ac:dyDescent="0.2">
      <c r="A41" s="3">
        <v>35</v>
      </c>
      <c r="B41" s="4" t="s">
        <v>456</v>
      </c>
      <c r="C41" s="4" t="s">
        <v>457</v>
      </c>
      <c r="D41" s="4" t="s">
        <v>56</v>
      </c>
      <c r="E41" s="5">
        <v>10328</v>
      </c>
      <c r="F41" s="6">
        <v>46.470835999999998</v>
      </c>
      <c r="G41" s="7">
        <v>1.1340869999999999E-2</v>
      </c>
      <c r="H41" s="113"/>
    </row>
    <row r="42" spans="1:8" ht="17.100000000000001" customHeight="1" x14ac:dyDescent="0.2">
      <c r="A42" s="3">
        <v>36</v>
      </c>
      <c r="B42" s="4" t="s">
        <v>431</v>
      </c>
      <c r="C42" s="4" t="s">
        <v>432</v>
      </c>
      <c r="D42" s="4" t="s">
        <v>315</v>
      </c>
      <c r="E42" s="5">
        <v>5116</v>
      </c>
      <c r="F42" s="6">
        <v>45.281716000000003</v>
      </c>
      <c r="G42" s="7">
        <v>1.105067E-2</v>
      </c>
      <c r="H42" s="113"/>
    </row>
    <row r="43" spans="1:8" ht="17.100000000000001" customHeight="1" x14ac:dyDescent="0.2">
      <c r="A43" s="3">
        <v>37</v>
      </c>
      <c r="B43" s="4" t="s">
        <v>296</v>
      </c>
      <c r="C43" s="4" t="s">
        <v>297</v>
      </c>
      <c r="D43" s="4" t="s">
        <v>53</v>
      </c>
      <c r="E43" s="5">
        <v>4021</v>
      </c>
      <c r="F43" s="6">
        <v>41.820410500000001</v>
      </c>
      <c r="G43" s="7">
        <v>1.020597E-2</v>
      </c>
      <c r="H43" s="113"/>
    </row>
    <row r="44" spans="1:8" ht="29.1" customHeight="1" x14ac:dyDescent="0.2">
      <c r="A44" s="3">
        <v>38</v>
      </c>
      <c r="B44" s="4" t="s">
        <v>499</v>
      </c>
      <c r="C44" s="4" t="s">
        <v>500</v>
      </c>
      <c r="D44" s="4" t="s">
        <v>501</v>
      </c>
      <c r="E44" s="5">
        <v>8445</v>
      </c>
      <c r="F44" s="6">
        <v>38.365634999999997</v>
      </c>
      <c r="G44" s="7">
        <v>9.3628600000000006E-3</v>
      </c>
      <c r="H44" s="113"/>
    </row>
    <row r="45" spans="1:8" ht="29.1" customHeight="1" x14ac:dyDescent="0.2">
      <c r="A45" s="3">
        <v>39</v>
      </c>
      <c r="B45" s="4" t="s">
        <v>493</v>
      </c>
      <c r="C45" s="4" t="s">
        <v>494</v>
      </c>
      <c r="D45" s="4" t="s">
        <v>31</v>
      </c>
      <c r="E45" s="5">
        <v>6260</v>
      </c>
      <c r="F45" s="6">
        <v>37.754060000000003</v>
      </c>
      <c r="G45" s="7">
        <v>9.2136000000000006E-3</v>
      </c>
      <c r="H45" s="113"/>
    </row>
    <row r="46" spans="1:8" ht="17.100000000000001" customHeight="1" x14ac:dyDescent="0.2">
      <c r="A46" s="3">
        <v>40</v>
      </c>
      <c r="B46" s="4" t="s">
        <v>87</v>
      </c>
      <c r="C46" s="4" t="s">
        <v>88</v>
      </c>
      <c r="D46" s="4" t="s">
        <v>34</v>
      </c>
      <c r="E46" s="5">
        <v>4549</v>
      </c>
      <c r="F46" s="6">
        <v>36.630822500000001</v>
      </c>
      <c r="G46" s="7">
        <v>8.9394899999999996E-3</v>
      </c>
      <c r="H46" s="113"/>
    </row>
    <row r="47" spans="1:8" ht="17.100000000000001" customHeight="1" x14ac:dyDescent="0.2">
      <c r="A47" s="3">
        <v>41</v>
      </c>
      <c r="B47" s="4" t="s">
        <v>448</v>
      </c>
      <c r="C47" s="4" t="s">
        <v>449</v>
      </c>
      <c r="D47" s="4" t="s">
        <v>99</v>
      </c>
      <c r="E47" s="5">
        <v>3248</v>
      </c>
      <c r="F47" s="6">
        <v>34.886767999999996</v>
      </c>
      <c r="G47" s="7">
        <v>8.5138599999999998E-3</v>
      </c>
      <c r="H47" s="113"/>
    </row>
    <row r="48" spans="1:8" ht="29.1" customHeight="1" x14ac:dyDescent="0.2">
      <c r="A48" s="3">
        <v>42</v>
      </c>
      <c r="B48" s="4" t="s">
        <v>502</v>
      </c>
      <c r="C48" s="4" t="s">
        <v>503</v>
      </c>
      <c r="D48" s="4" t="s">
        <v>56</v>
      </c>
      <c r="E48" s="5">
        <v>2514</v>
      </c>
      <c r="F48" s="6">
        <v>28.061267999999998</v>
      </c>
      <c r="G48" s="7">
        <v>6.8481499999999999E-3</v>
      </c>
      <c r="H48" s="113"/>
    </row>
    <row r="49" spans="1:8" ht="29.1" customHeight="1" x14ac:dyDescent="0.2">
      <c r="A49" s="3">
        <v>43</v>
      </c>
      <c r="B49" s="4" t="s">
        <v>460</v>
      </c>
      <c r="C49" s="4" t="s">
        <v>461</v>
      </c>
      <c r="D49" s="4" t="s">
        <v>225</v>
      </c>
      <c r="E49" s="5">
        <v>482</v>
      </c>
      <c r="F49" s="6">
        <v>23.848154999999998</v>
      </c>
      <c r="G49" s="7">
        <v>5.8199699999999998E-3</v>
      </c>
      <c r="H49" s="113"/>
    </row>
    <row r="50" spans="1:8" ht="17.100000000000001" customHeight="1" x14ac:dyDescent="0.2">
      <c r="A50" s="3">
        <v>44</v>
      </c>
      <c r="B50" s="4" t="s">
        <v>462</v>
      </c>
      <c r="C50" s="4" t="s">
        <v>463</v>
      </c>
      <c r="D50" s="4" t="s">
        <v>34</v>
      </c>
      <c r="E50" s="5">
        <v>2157</v>
      </c>
      <c r="F50" s="6">
        <v>20.872210500000001</v>
      </c>
      <c r="G50" s="7">
        <v>5.0937100000000004E-3</v>
      </c>
      <c r="H50" s="113"/>
    </row>
    <row r="51" spans="1:8" ht="17.100000000000001" customHeight="1" x14ac:dyDescent="0.2">
      <c r="A51" s="3">
        <v>45</v>
      </c>
      <c r="B51" s="4" t="s">
        <v>309</v>
      </c>
      <c r="C51" s="4" t="s">
        <v>310</v>
      </c>
      <c r="D51" s="4" t="s">
        <v>53</v>
      </c>
      <c r="E51" s="5">
        <v>692</v>
      </c>
      <c r="F51" s="6">
        <v>10.461309999999999</v>
      </c>
      <c r="G51" s="7">
        <v>2.5530100000000001E-3</v>
      </c>
      <c r="H51" s="113"/>
    </row>
    <row r="52" spans="1:8" ht="29.1" customHeight="1" x14ac:dyDescent="0.2">
      <c r="A52" s="3">
        <v>46</v>
      </c>
      <c r="B52" s="4" t="s">
        <v>466</v>
      </c>
      <c r="C52" s="4" t="s">
        <v>467</v>
      </c>
      <c r="D52" s="4" t="s">
        <v>222</v>
      </c>
      <c r="E52" s="5">
        <v>1745</v>
      </c>
      <c r="F52" s="6">
        <v>8.7939275000000006</v>
      </c>
      <c r="G52" s="7">
        <v>2.1460899999999998E-3</v>
      </c>
      <c r="H52" s="113"/>
    </row>
    <row r="53" spans="1:8" ht="14.1" customHeight="1" x14ac:dyDescent="0.2">
      <c r="A53" s="1"/>
      <c r="B53" s="1"/>
      <c r="C53" s="2" t="s">
        <v>151</v>
      </c>
      <c r="D53" s="1"/>
      <c r="E53" s="1" t="s">
        <v>152</v>
      </c>
      <c r="F53" s="9">
        <v>3888.0423985000002</v>
      </c>
      <c r="G53" s="10">
        <v>0.94884855999999995</v>
      </c>
      <c r="H53" s="113"/>
    </row>
    <row r="54" spans="1:8" ht="14.1" customHeight="1" x14ac:dyDescent="0.2">
      <c r="A54" s="1"/>
      <c r="B54" s="1"/>
      <c r="C54" s="11"/>
      <c r="D54" s="1"/>
      <c r="E54" s="1"/>
      <c r="F54" s="12"/>
      <c r="G54" s="12"/>
      <c r="H54" s="113"/>
    </row>
    <row r="55" spans="1:8" ht="14.1" customHeight="1" x14ac:dyDescent="0.2">
      <c r="A55" s="1"/>
      <c r="B55" s="1"/>
      <c r="C55" s="2" t="s">
        <v>153</v>
      </c>
      <c r="D55" s="1"/>
      <c r="E55" s="1"/>
      <c r="F55" s="1"/>
      <c r="G55" s="1"/>
      <c r="H55" s="113"/>
    </row>
    <row r="56" spans="1:8" ht="14.1" customHeight="1" x14ac:dyDescent="0.2">
      <c r="A56" s="1"/>
      <c r="B56" s="1"/>
      <c r="C56" s="2" t="s">
        <v>151</v>
      </c>
      <c r="D56" s="1"/>
      <c r="E56" s="1" t="s">
        <v>152</v>
      </c>
      <c r="F56" s="13" t="s">
        <v>154</v>
      </c>
      <c r="G56" s="10">
        <v>0</v>
      </c>
      <c r="H56" s="113"/>
    </row>
    <row r="57" spans="1:8" ht="14.1" customHeight="1" x14ac:dyDescent="0.2">
      <c r="A57" s="1"/>
      <c r="B57" s="1"/>
      <c r="C57" s="11"/>
      <c r="D57" s="1"/>
      <c r="E57" s="1"/>
      <c r="F57" s="12"/>
      <c r="G57" s="12"/>
      <c r="H57" s="113"/>
    </row>
    <row r="58" spans="1:8" ht="14.1" customHeight="1" x14ac:dyDescent="0.2">
      <c r="A58" s="1"/>
      <c r="B58" s="1"/>
      <c r="C58" s="2" t="s">
        <v>155</v>
      </c>
      <c r="D58" s="1"/>
      <c r="E58" s="1"/>
      <c r="F58" s="1"/>
      <c r="G58" s="1"/>
      <c r="H58" s="113"/>
    </row>
    <row r="59" spans="1:8" ht="14.1" customHeight="1" x14ac:dyDescent="0.2">
      <c r="A59" s="1"/>
      <c r="B59" s="1"/>
      <c r="C59" s="2" t="s">
        <v>151</v>
      </c>
      <c r="D59" s="1"/>
      <c r="E59" s="1" t="s">
        <v>152</v>
      </c>
      <c r="F59" s="13" t="s">
        <v>154</v>
      </c>
      <c r="G59" s="10">
        <v>0</v>
      </c>
      <c r="H59" s="113"/>
    </row>
    <row r="60" spans="1:8" ht="14.1" customHeight="1" x14ac:dyDescent="0.2">
      <c r="A60" s="1"/>
      <c r="B60" s="1"/>
      <c r="C60" s="11"/>
      <c r="D60" s="1"/>
      <c r="E60" s="1"/>
      <c r="F60" s="12"/>
      <c r="G60" s="12"/>
      <c r="H60" s="113"/>
    </row>
    <row r="61" spans="1:8" ht="14.1" customHeight="1" x14ac:dyDescent="0.2">
      <c r="A61" s="1"/>
      <c r="B61" s="1"/>
      <c r="C61" s="2" t="s">
        <v>156</v>
      </c>
      <c r="D61" s="1"/>
      <c r="E61" s="1"/>
      <c r="F61" s="1"/>
      <c r="G61" s="1"/>
      <c r="H61" s="113"/>
    </row>
    <row r="62" spans="1:8" ht="29.1" customHeight="1" x14ac:dyDescent="0.2">
      <c r="A62" s="3">
        <v>1</v>
      </c>
      <c r="B62" s="4" t="s">
        <v>318</v>
      </c>
      <c r="C62" s="4" t="s">
        <v>898</v>
      </c>
      <c r="D62" s="4" t="s">
        <v>107</v>
      </c>
      <c r="E62" s="5">
        <v>80272</v>
      </c>
      <c r="F62" s="6">
        <v>8.508832</v>
      </c>
      <c r="G62" s="7">
        <v>2.0765200000000001E-3</v>
      </c>
      <c r="H62" s="113"/>
    </row>
    <row r="63" spans="1:8" ht="38.25" x14ac:dyDescent="0.2">
      <c r="A63" s="3">
        <v>2</v>
      </c>
      <c r="B63" s="4" t="s">
        <v>319</v>
      </c>
      <c r="C63" s="4" t="s">
        <v>899</v>
      </c>
      <c r="D63" s="4" t="s">
        <v>53</v>
      </c>
      <c r="E63" s="5">
        <v>80</v>
      </c>
      <c r="F63" s="6">
        <v>8.0013600000000008E-3</v>
      </c>
      <c r="G63" s="7" t="s">
        <v>150</v>
      </c>
      <c r="H63" s="113"/>
    </row>
    <row r="64" spans="1:8" ht="14.1" customHeight="1" x14ac:dyDescent="0.2">
      <c r="A64" s="1"/>
      <c r="B64" s="1"/>
      <c r="C64" s="2" t="s">
        <v>151</v>
      </c>
      <c r="D64" s="1"/>
      <c r="E64" s="1" t="s">
        <v>152</v>
      </c>
      <c r="F64" s="9">
        <v>8.5168333599999997</v>
      </c>
      <c r="G64" s="10">
        <v>2.0784699999999998E-3</v>
      </c>
      <c r="H64" s="113"/>
    </row>
    <row r="65" spans="1:8" ht="14.1" customHeight="1" x14ac:dyDescent="0.2">
      <c r="A65" s="1"/>
      <c r="B65" s="1"/>
      <c r="C65" s="11"/>
      <c r="D65" s="1"/>
      <c r="E65" s="1"/>
      <c r="F65" s="12"/>
      <c r="G65" s="12"/>
      <c r="H65" s="113"/>
    </row>
    <row r="66" spans="1:8" ht="14.1" customHeight="1" x14ac:dyDescent="0.2">
      <c r="A66" s="1"/>
      <c r="B66" s="1"/>
      <c r="C66" s="2" t="s">
        <v>157</v>
      </c>
      <c r="D66" s="1"/>
      <c r="E66" s="1"/>
      <c r="F66" s="12"/>
      <c r="G66" s="12"/>
      <c r="H66" s="113"/>
    </row>
    <row r="67" spans="1:8" ht="14.1" customHeight="1" x14ac:dyDescent="0.2">
      <c r="A67" s="1"/>
      <c r="B67" s="1"/>
      <c r="C67" s="2" t="s">
        <v>151</v>
      </c>
      <c r="D67" s="1"/>
      <c r="E67" s="1" t="s">
        <v>152</v>
      </c>
      <c r="F67" s="13" t="s">
        <v>154</v>
      </c>
      <c r="G67" s="10">
        <v>0</v>
      </c>
      <c r="H67" s="113"/>
    </row>
    <row r="68" spans="1:8" ht="14.1" customHeight="1" x14ac:dyDescent="0.2">
      <c r="A68" s="1"/>
      <c r="B68" s="1"/>
      <c r="C68" s="11"/>
      <c r="D68" s="1"/>
      <c r="E68" s="1"/>
      <c r="F68" s="12"/>
      <c r="G68" s="12"/>
      <c r="H68" s="113"/>
    </row>
    <row r="69" spans="1:8" ht="14.1" customHeight="1" x14ac:dyDescent="0.2">
      <c r="A69" s="1"/>
      <c r="B69" s="1"/>
      <c r="C69" s="2" t="s">
        <v>158</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8" customHeight="1" x14ac:dyDescent="0.2">
      <c r="A72" s="1"/>
      <c r="B72" s="1"/>
      <c r="C72" s="2" t="s">
        <v>159</v>
      </c>
      <c r="D72" s="1"/>
      <c r="E72" s="1"/>
      <c r="F72" s="9">
        <v>3896.5592318600002</v>
      </c>
      <c r="G72" s="10">
        <v>0.95092703000000001</v>
      </c>
      <c r="H72" s="113"/>
    </row>
    <row r="73" spans="1:8" ht="14.1" customHeight="1" x14ac:dyDescent="0.2">
      <c r="A73" s="1"/>
      <c r="B73" s="1"/>
      <c r="C73" s="11"/>
      <c r="D73" s="1"/>
      <c r="E73" s="1"/>
      <c r="F73" s="12"/>
      <c r="G73" s="12"/>
      <c r="H73" s="113"/>
    </row>
    <row r="74" spans="1:8" ht="14.1" customHeight="1" x14ac:dyDescent="0.2">
      <c r="A74" s="1"/>
      <c r="B74" s="1"/>
      <c r="C74" s="2" t="s">
        <v>160</v>
      </c>
      <c r="D74" s="1"/>
      <c r="E74" s="1"/>
      <c r="F74" s="12"/>
      <c r="G74" s="12"/>
      <c r="H74" s="113"/>
    </row>
    <row r="75" spans="1:8" ht="24" customHeight="1" x14ac:dyDescent="0.2">
      <c r="A75" s="1"/>
      <c r="B75" s="1"/>
      <c r="C75" s="2" t="s">
        <v>10</v>
      </c>
      <c r="D75" s="1"/>
      <c r="E75" s="1"/>
      <c r="F75" s="12"/>
      <c r="G75" s="12"/>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161</v>
      </c>
      <c r="D78" s="1"/>
      <c r="E78" s="1"/>
      <c r="F78" s="1"/>
      <c r="G78" s="1"/>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162</v>
      </c>
      <c r="D81" s="1"/>
      <c r="E81" s="1"/>
      <c r="F81" s="1"/>
      <c r="G81" s="1"/>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163</v>
      </c>
      <c r="D84" s="1"/>
      <c r="E84" s="1"/>
      <c r="F84" s="12"/>
      <c r="G84" s="12"/>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164</v>
      </c>
      <c r="D87" s="1"/>
      <c r="E87" s="1"/>
      <c r="F87" s="9">
        <v>0</v>
      </c>
      <c r="G87" s="10">
        <v>0</v>
      </c>
      <c r="H87" s="113"/>
    </row>
    <row r="88" spans="1:8" ht="14.1" customHeight="1" x14ac:dyDescent="0.2">
      <c r="A88" s="1"/>
      <c r="B88" s="1"/>
      <c r="C88" s="11"/>
      <c r="D88" s="1"/>
      <c r="E88" s="1"/>
      <c r="F88" s="12"/>
      <c r="G88" s="12"/>
      <c r="H88" s="113"/>
    </row>
    <row r="89" spans="1:8" ht="14.1" customHeight="1" x14ac:dyDescent="0.2">
      <c r="A89" s="1"/>
      <c r="B89" s="1"/>
      <c r="C89" s="2" t="s">
        <v>165</v>
      </c>
      <c r="D89" s="1"/>
      <c r="E89" s="1"/>
      <c r="F89" s="12"/>
      <c r="G89" s="12"/>
      <c r="H89" s="113"/>
    </row>
    <row r="90" spans="1:8" ht="14.1" customHeight="1" x14ac:dyDescent="0.2">
      <c r="A90" s="1"/>
      <c r="B90" s="1"/>
      <c r="C90" s="2" t="s">
        <v>166</v>
      </c>
      <c r="D90" s="1"/>
      <c r="E90" s="1"/>
      <c r="F90" s="12"/>
      <c r="G90" s="12"/>
      <c r="H90" s="113"/>
    </row>
    <row r="91" spans="1:8" ht="14.1" customHeight="1" x14ac:dyDescent="0.2">
      <c r="A91" s="1"/>
      <c r="B91" s="1"/>
      <c r="C91" s="2" t="s">
        <v>151</v>
      </c>
      <c r="D91" s="1"/>
      <c r="E91" s="1" t="s">
        <v>152</v>
      </c>
      <c r="F91" s="13" t="s">
        <v>154</v>
      </c>
      <c r="G91" s="10">
        <v>0</v>
      </c>
      <c r="H91" s="113"/>
    </row>
    <row r="92" spans="1:8" ht="14.1" customHeight="1" x14ac:dyDescent="0.2">
      <c r="A92" s="1"/>
      <c r="B92" s="1"/>
      <c r="C92" s="11"/>
      <c r="D92" s="1"/>
      <c r="E92" s="1"/>
      <c r="F92" s="12"/>
      <c r="G92" s="12"/>
      <c r="H92" s="113"/>
    </row>
    <row r="93" spans="1:8" ht="14.1" customHeight="1" x14ac:dyDescent="0.2">
      <c r="A93" s="1"/>
      <c r="B93" s="1"/>
      <c r="C93" s="2" t="s">
        <v>167</v>
      </c>
      <c r="D93" s="1"/>
      <c r="E93" s="1"/>
      <c r="F93" s="12"/>
      <c r="G93" s="12"/>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4.1" customHeight="1" x14ac:dyDescent="0.2">
      <c r="A96" s="1"/>
      <c r="B96" s="1"/>
      <c r="C96" s="2" t="s">
        <v>168</v>
      </c>
      <c r="D96" s="1"/>
      <c r="E96" s="1"/>
      <c r="F96" s="12"/>
      <c r="G96" s="12"/>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169</v>
      </c>
      <c r="D99" s="1"/>
      <c r="E99" s="1"/>
      <c r="F99" s="12"/>
      <c r="G99" s="12"/>
      <c r="H99" s="113"/>
    </row>
    <row r="100" spans="1:8" ht="17.100000000000001" customHeight="1" x14ac:dyDescent="0.2">
      <c r="A100" s="3">
        <v>1</v>
      </c>
      <c r="B100" s="4"/>
      <c r="C100" s="4" t="s">
        <v>170</v>
      </c>
      <c r="D100" s="4"/>
      <c r="E100" s="8"/>
      <c r="F100" s="6">
        <v>215.09922500100001</v>
      </c>
      <c r="G100" s="7">
        <v>5.2493400000000003E-2</v>
      </c>
      <c r="H100" s="113">
        <v>6.7600000000000016</v>
      </c>
    </row>
    <row r="101" spans="1:8" ht="14.1" customHeight="1" x14ac:dyDescent="0.2">
      <c r="A101" s="1"/>
      <c r="B101" s="1"/>
      <c r="C101" s="2" t="s">
        <v>151</v>
      </c>
      <c r="D101" s="1"/>
      <c r="E101" s="1" t="s">
        <v>152</v>
      </c>
      <c r="F101" s="9">
        <v>215.09922500100001</v>
      </c>
      <c r="G101" s="10">
        <v>5.2493400000000003E-2</v>
      </c>
      <c r="H101" s="113"/>
    </row>
    <row r="102" spans="1:8" ht="14.1" customHeight="1" x14ac:dyDescent="0.2">
      <c r="A102" s="1"/>
      <c r="B102" s="1"/>
      <c r="C102" s="11"/>
      <c r="D102" s="1"/>
      <c r="E102" s="1"/>
      <c r="F102" s="12"/>
      <c r="G102" s="12"/>
      <c r="H102" s="113"/>
    </row>
    <row r="103" spans="1:8" ht="14.1" customHeight="1" x14ac:dyDescent="0.2">
      <c r="A103" s="1"/>
      <c r="B103" s="1"/>
      <c r="C103" s="2" t="s">
        <v>171</v>
      </c>
      <c r="D103" s="1"/>
      <c r="E103" s="1"/>
      <c r="F103" s="9">
        <v>215.09922500100001</v>
      </c>
      <c r="G103" s="10">
        <v>5.2493400000000003E-2</v>
      </c>
      <c r="H103" s="113"/>
    </row>
    <row r="104" spans="1:8" ht="14.1" customHeight="1" x14ac:dyDescent="0.2">
      <c r="A104" s="1"/>
      <c r="B104" s="1"/>
      <c r="C104" s="12"/>
      <c r="D104" s="1"/>
      <c r="E104" s="1"/>
      <c r="F104" s="1"/>
      <c r="G104" s="1"/>
      <c r="H104" s="113"/>
    </row>
    <row r="105" spans="1:8" ht="14.1" customHeight="1" x14ac:dyDescent="0.2">
      <c r="A105" s="1"/>
      <c r="B105" s="1"/>
      <c r="C105" s="2" t="s">
        <v>172</v>
      </c>
      <c r="D105" s="1"/>
      <c r="E105" s="1"/>
      <c r="F105" s="1"/>
      <c r="G105" s="1"/>
      <c r="H105" s="113"/>
    </row>
    <row r="106" spans="1:8" ht="14.1" customHeight="1" x14ac:dyDescent="0.2">
      <c r="A106" s="1"/>
      <c r="B106" s="1"/>
      <c r="C106" s="2" t="s">
        <v>173</v>
      </c>
      <c r="D106" s="1"/>
      <c r="E106" s="1"/>
      <c r="F106" s="1"/>
      <c r="G106" s="1"/>
      <c r="H106" s="113"/>
    </row>
    <row r="107" spans="1:8" ht="14.1" customHeight="1" x14ac:dyDescent="0.2">
      <c r="A107" s="1"/>
      <c r="B107" s="1"/>
      <c r="C107" s="2" t="s">
        <v>151</v>
      </c>
      <c r="D107" s="1"/>
      <c r="E107" s="1" t="s">
        <v>152</v>
      </c>
      <c r="F107" s="13" t="s">
        <v>154</v>
      </c>
      <c r="G107" s="10">
        <v>0</v>
      </c>
      <c r="H107" s="113"/>
    </row>
    <row r="108" spans="1:8" ht="14.1" customHeight="1" x14ac:dyDescent="0.2">
      <c r="A108" s="1"/>
      <c r="B108" s="1"/>
      <c r="C108" s="11"/>
      <c r="D108" s="1"/>
      <c r="E108" s="1"/>
      <c r="F108" s="12"/>
      <c r="G108" s="12"/>
      <c r="H108" s="113"/>
    </row>
    <row r="109" spans="1:8" ht="14.1" customHeight="1" x14ac:dyDescent="0.2">
      <c r="A109" s="1"/>
      <c r="B109" s="1"/>
      <c r="C109" s="2" t="s">
        <v>174</v>
      </c>
      <c r="D109" s="1"/>
      <c r="E109" s="1"/>
      <c r="F109" s="1"/>
      <c r="G109" s="1"/>
      <c r="H109" s="113"/>
    </row>
    <row r="110" spans="1:8" ht="14.1" customHeight="1" x14ac:dyDescent="0.2">
      <c r="A110" s="1"/>
      <c r="B110" s="1"/>
      <c r="C110" s="2" t="s">
        <v>175</v>
      </c>
      <c r="D110" s="1"/>
      <c r="E110" s="1"/>
      <c r="F110" s="1"/>
      <c r="G110" s="1"/>
      <c r="H110" s="113"/>
    </row>
    <row r="111" spans="1:8" ht="14.1" customHeight="1" x14ac:dyDescent="0.2">
      <c r="A111" s="1"/>
      <c r="B111" s="1"/>
      <c r="C111" s="2" t="s">
        <v>151</v>
      </c>
      <c r="D111" s="1"/>
      <c r="E111" s="1" t="s">
        <v>152</v>
      </c>
      <c r="F111" s="13" t="s">
        <v>154</v>
      </c>
      <c r="G111" s="10">
        <v>0</v>
      </c>
      <c r="H111" s="113"/>
    </row>
    <row r="112" spans="1:8" ht="14.1" customHeight="1" x14ac:dyDescent="0.2">
      <c r="A112" s="1"/>
      <c r="B112" s="1"/>
      <c r="C112" s="11"/>
      <c r="D112" s="1"/>
      <c r="E112" s="1"/>
      <c r="F112" s="12"/>
      <c r="G112" s="12"/>
      <c r="H112" s="113"/>
    </row>
    <row r="113" spans="1:8" ht="24" customHeight="1" x14ac:dyDescent="0.2">
      <c r="A113" s="1"/>
      <c r="B113" s="1"/>
      <c r="C113" s="2" t="s">
        <v>176</v>
      </c>
      <c r="D113" s="1"/>
      <c r="E113" s="1"/>
      <c r="F113" s="12"/>
      <c r="G113" s="12"/>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14.1" customHeight="1" x14ac:dyDescent="0.2">
      <c r="A116" s="1"/>
      <c r="B116" s="4"/>
      <c r="C116" s="4"/>
      <c r="D116" s="2"/>
      <c r="E116" s="1"/>
      <c r="F116" s="4"/>
      <c r="G116" s="8"/>
      <c r="H116" s="113"/>
    </row>
    <row r="117" spans="1:8" ht="18" customHeight="1" x14ac:dyDescent="0.2">
      <c r="A117" s="8"/>
      <c r="B117" s="4"/>
      <c r="C117" s="4" t="s">
        <v>177</v>
      </c>
      <c r="D117" s="4"/>
      <c r="E117" s="8"/>
      <c r="F117" s="6">
        <v>-14.01554144</v>
      </c>
      <c r="G117" s="7">
        <v>-3.4203900000000001E-3</v>
      </c>
      <c r="H117" s="113"/>
    </row>
    <row r="118" spans="1:8" ht="14.1" customHeight="1" x14ac:dyDescent="0.2">
      <c r="A118" s="11"/>
      <c r="B118" s="11"/>
      <c r="C118" s="2" t="s">
        <v>178</v>
      </c>
      <c r="D118" s="12"/>
      <c r="E118" s="12"/>
      <c r="F118" s="9">
        <v>4097.642915421</v>
      </c>
      <c r="G118" s="14">
        <v>1.00000004</v>
      </c>
      <c r="H118" s="113"/>
    </row>
    <row r="119" spans="1:8" ht="14.1" customHeight="1" x14ac:dyDescent="0.2">
      <c r="A119" s="15"/>
      <c r="B119" s="15"/>
      <c r="C119" s="15"/>
      <c r="D119" s="16"/>
      <c r="E119" s="16"/>
      <c r="F119" s="16"/>
      <c r="G119" s="16"/>
    </row>
    <row r="120" spans="1:8" ht="17.100000000000001" customHeight="1" x14ac:dyDescent="0.2">
      <c r="A120" s="17"/>
      <c r="B120" s="207" t="s">
        <v>179</v>
      </c>
      <c r="C120" s="207"/>
      <c r="D120" s="207"/>
      <c r="E120" s="207"/>
      <c r="F120" s="207"/>
      <c r="G120" s="19"/>
    </row>
    <row r="121" spans="1:8" ht="14.1" customHeight="1" x14ac:dyDescent="0.2">
      <c r="A121" s="17"/>
      <c r="B121" s="17"/>
      <c r="C121" s="17"/>
      <c r="D121" s="19"/>
      <c r="E121" s="19"/>
      <c r="F121" s="19"/>
      <c r="G121" s="19"/>
    </row>
    <row r="122" spans="1:8" ht="14.1" customHeight="1" x14ac:dyDescent="0.2">
      <c r="A122" s="17"/>
      <c r="B122" s="208" t="s">
        <v>180</v>
      </c>
      <c r="C122" s="209"/>
      <c r="D122" s="210"/>
      <c r="E122" s="20"/>
      <c r="F122" s="19"/>
      <c r="G122" s="19"/>
    </row>
    <row r="123" spans="1:8" ht="29.1" customHeight="1" x14ac:dyDescent="0.2">
      <c r="A123" s="17"/>
      <c r="B123" s="205" t="s">
        <v>181</v>
      </c>
      <c r="C123" s="206"/>
      <c r="D123" s="2" t="s">
        <v>182</v>
      </c>
      <c r="E123" s="20"/>
      <c r="F123" s="19"/>
      <c r="G123" s="19"/>
    </row>
    <row r="124" spans="1:8" ht="29.1" customHeight="1" x14ac:dyDescent="0.2">
      <c r="A124" s="17"/>
      <c r="B124" s="205" t="s">
        <v>900</v>
      </c>
      <c r="C124" s="206"/>
      <c r="D124" s="2" t="s">
        <v>902</v>
      </c>
      <c r="E124" s="20"/>
      <c r="F124" s="19"/>
      <c r="G124" s="19"/>
    </row>
    <row r="125" spans="1:8" ht="17.100000000000001" customHeight="1" x14ac:dyDescent="0.2">
      <c r="A125" s="17"/>
      <c r="B125" s="205" t="s">
        <v>184</v>
      </c>
      <c r="C125" s="206"/>
      <c r="D125" s="12" t="s">
        <v>152</v>
      </c>
      <c r="E125" s="20"/>
      <c r="F125" s="19"/>
      <c r="G125" s="19"/>
    </row>
    <row r="126" spans="1:8" ht="25.5" x14ac:dyDescent="0.2">
      <c r="A126" s="21"/>
      <c r="B126" s="22" t="s">
        <v>152</v>
      </c>
      <c r="C126" s="22" t="s">
        <v>185</v>
      </c>
      <c r="D126" s="22" t="s">
        <v>186</v>
      </c>
      <c r="E126" s="21"/>
      <c r="F126" s="21"/>
      <c r="G126" s="21"/>
    </row>
    <row r="127" spans="1:8" ht="18" customHeight="1" x14ac:dyDescent="0.2">
      <c r="A127" s="21"/>
      <c r="B127" s="23" t="s">
        <v>187</v>
      </c>
      <c r="C127" s="22" t="s">
        <v>188</v>
      </c>
      <c r="D127" s="22" t="s">
        <v>189</v>
      </c>
      <c r="E127" s="21"/>
      <c r="F127" s="21"/>
      <c r="G127" s="21"/>
    </row>
    <row r="128" spans="1:8" ht="17.100000000000001" customHeight="1" x14ac:dyDescent="0.2">
      <c r="A128" s="21"/>
      <c r="B128" s="4" t="s">
        <v>190</v>
      </c>
      <c r="C128" s="24">
        <v>24.411899999999999</v>
      </c>
      <c r="D128" s="24">
        <v>25.743500000000001</v>
      </c>
      <c r="E128" s="21"/>
      <c r="F128" s="18"/>
      <c r="G128" s="25"/>
    </row>
    <row r="129" spans="1:7" ht="17.100000000000001" customHeight="1" x14ac:dyDescent="0.2">
      <c r="A129" s="21"/>
      <c r="B129" s="4" t="s">
        <v>1033</v>
      </c>
      <c r="C129" s="24">
        <v>24.411899999999999</v>
      </c>
      <c r="D129" s="24">
        <v>24.502500000000001</v>
      </c>
      <c r="E129" s="21"/>
      <c r="F129" s="18"/>
      <c r="G129" s="25"/>
    </row>
    <row r="130" spans="1:7" ht="17.100000000000001" customHeight="1" x14ac:dyDescent="0.2">
      <c r="A130" s="21"/>
      <c r="B130" s="4" t="s">
        <v>191</v>
      </c>
      <c r="C130" s="24">
        <v>23.918800000000001</v>
      </c>
      <c r="D130" s="24">
        <v>25.2211</v>
      </c>
      <c r="E130" s="21"/>
      <c r="F130" s="18"/>
      <c r="G130" s="25"/>
    </row>
    <row r="131" spans="1:7" ht="17.100000000000001" customHeight="1" x14ac:dyDescent="0.2">
      <c r="A131" s="21"/>
      <c r="B131" s="4" t="s">
        <v>1034</v>
      </c>
      <c r="C131" s="24">
        <v>23.918500000000002</v>
      </c>
      <c r="D131" s="24">
        <v>23.979900000000001</v>
      </c>
      <c r="E131" s="21"/>
      <c r="F131" s="18"/>
      <c r="G131" s="25"/>
    </row>
    <row r="132" spans="1:7" ht="14.1" customHeight="1" x14ac:dyDescent="0.2">
      <c r="A132" s="21"/>
      <c r="B132" s="21"/>
      <c r="C132" s="21"/>
      <c r="D132" s="21"/>
      <c r="E132" s="21"/>
      <c r="F132" s="21"/>
      <c r="G132" s="21"/>
    </row>
    <row r="133" spans="1:7" ht="17.100000000000001" customHeight="1" x14ac:dyDescent="0.2">
      <c r="A133" s="21"/>
      <c r="B133" s="205" t="s">
        <v>1035</v>
      </c>
      <c r="C133" s="206"/>
      <c r="D133" s="2" t="s">
        <v>152</v>
      </c>
      <c r="E133" s="21"/>
      <c r="F133" s="21"/>
      <c r="G133" s="21"/>
    </row>
    <row r="134" spans="1:7" ht="18" customHeight="1" x14ac:dyDescent="0.2">
      <c r="A134" s="21"/>
      <c r="B134" s="29" t="s">
        <v>187</v>
      </c>
      <c r="C134" s="30" t="s">
        <v>470</v>
      </c>
      <c r="D134" s="30" t="s">
        <v>471</v>
      </c>
      <c r="E134" s="21"/>
      <c r="F134" s="21"/>
      <c r="G134" s="21"/>
    </row>
    <row r="135" spans="1:7" ht="17.100000000000001" customHeight="1" x14ac:dyDescent="0.2">
      <c r="A135" s="21"/>
      <c r="B135" s="4" t="s">
        <v>1033</v>
      </c>
      <c r="C135" s="31">
        <v>1.196</v>
      </c>
      <c r="D135" s="8" t="s">
        <v>472</v>
      </c>
      <c r="E135" s="21"/>
      <c r="F135" s="18"/>
      <c r="G135" s="25"/>
    </row>
    <row r="136" spans="1:7" ht="17.100000000000001" customHeight="1" x14ac:dyDescent="0.2">
      <c r="A136" s="21"/>
      <c r="B136" s="4" t="s">
        <v>1034</v>
      </c>
      <c r="C136" s="31">
        <v>1.196</v>
      </c>
      <c r="D136" s="8" t="s">
        <v>472</v>
      </c>
      <c r="E136" s="21"/>
      <c r="F136" s="18"/>
      <c r="G136" s="25"/>
    </row>
    <row r="137" spans="1:7" ht="14.1" customHeight="1" x14ac:dyDescent="0.2">
      <c r="A137" s="21"/>
      <c r="B137" s="18"/>
      <c r="C137" s="18"/>
      <c r="D137" s="21"/>
      <c r="E137" s="21"/>
      <c r="F137" s="21"/>
      <c r="G137" s="21"/>
    </row>
    <row r="138" spans="1:7" ht="29.1" customHeight="1" x14ac:dyDescent="0.2">
      <c r="A138" s="21"/>
      <c r="B138" s="205" t="s">
        <v>192</v>
      </c>
      <c r="C138" s="206"/>
      <c r="D138" s="2" t="s">
        <v>182</v>
      </c>
      <c r="E138" s="27"/>
      <c r="F138" s="21"/>
      <c r="G138" s="21"/>
    </row>
    <row r="139" spans="1:7" ht="29.1" customHeight="1" x14ac:dyDescent="0.2">
      <c r="A139" s="21"/>
      <c r="B139" s="205" t="s">
        <v>193</v>
      </c>
      <c r="C139" s="206"/>
      <c r="D139" s="2" t="s">
        <v>182</v>
      </c>
      <c r="E139" s="27"/>
      <c r="F139" s="21"/>
      <c r="G139" s="21"/>
    </row>
    <row r="140" spans="1:7" ht="17.100000000000001" customHeight="1" x14ac:dyDescent="0.2">
      <c r="A140" s="21"/>
      <c r="B140" s="205" t="s">
        <v>194</v>
      </c>
      <c r="C140" s="206"/>
      <c r="D140" s="2" t="s">
        <v>182</v>
      </c>
      <c r="E140" s="27"/>
      <c r="F140" s="21"/>
      <c r="G140" s="21"/>
    </row>
    <row r="141" spans="1:7" ht="17.100000000000001" customHeight="1" x14ac:dyDescent="0.2">
      <c r="A141" s="21"/>
      <c r="B141" s="205" t="s">
        <v>195</v>
      </c>
      <c r="C141" s="206"/>
      <c r="D141" s="28">
        <v>0.10214910086189598</v>
      </c>
      <c r="E141" s="21"/>
      <c r="F141" s="18"/>
      <c r="G141" s="25"/>
    </row>
    <row r="156" spans="10:14" x14ac:dyDescent="0.2">
      <c r="J156" s="198"/>
      <c r="K156" s="198"/>
      <c r="L156" s="198"/>
      <c r="M156" s="198"/>
      <c r="N156" s="198"/>
    </row>
  </sheetData>
  <mergeCells count="14">
    <mergeCell ref="B141:C141"/>
    <mergeCell ref="B124:C124"/>
    <mergeCell ref="B125:C125"/>
    <mergeCell ref="B133:C133"/>
    <mergeCell ref="B138:C138"/>
    <mergeCell ref="B139:C139"/>
    <mergeCell ref="B140:C140"/>
    <mergeCell ref="J2:N2"/>
    <mergeCell ref="B123:C123"/>
    <mergeCell ref="B120:F120"/>
    <mergeCell ref="B122:D122"/>
    <mergeCell ref="A1:H1"/>
    <mergeCell ref="A2:H2"/>
    <mergeCell ref="A3:H3"/>
  </mergeCells>
  <hyperlinks>
    <hyperlink ref="I1" location="Index!B11" display="Index" xr:uid="{62EAA00A-6312-4827-AC1B-A431B3CC486A}"/>
  </hyperlink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505</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35</v>
      </c>
      <c r="C7" s="4" t="s">
        <v>36</v>
      </c>
      <c r="D7" s="4" t="s">
        <v>34</v>
      </c>
      <c r="E7" s="5">
        <v>4677</v>
      </c>
      <c r="F7" s="6">
        <v>162.13989749999999</v>
      </c>
      <c r="G7" s="7">
        <v>4.8369059999999998E-2</v>
      </c>
      <c r="H7" s="113"/>
    </row>
    <row r="8" spans="1:15" ht="17.100000000000001" customHeight="1" x14ac:dyDescent="0.2">
      <c r="A8" s="3">
        <v>2</v>
      </c>
      <c r="B8" s="4" t="s">
        <v>403</v>
      </c>
      <c r="C8" s="4" t="s">
        <v>404</v>
      </c>
      <c r="D8" s="4" t="s">
        <v>267</v>
      </c>
      <c r="E8" s="5">
        <v>4631</v>
      </c>
      <c r="F8" s="6">
        <v>161.52001799999999</v>
      </c>
      <c r="G8" s="7">
        <v>4.818414E-2</v>
      </c>
      <c r="H8" s="113"/>
    </row>
    <row r="9" spans="1:15" ht="17.100000000000001" customHeight="1" x14ac:dyDescent="0.2">
      <c r="A9" s="3">
        <v>3</v>
      </c>
      <c r="B9" s="4" t="s">
        <v>129</v>
      </c>
      <c r="C9" s="4" t="s">
        <v>130</v>
      </c>
      <c r="D9" s="4" t="s">
        <v>56</v>
      </c>
      <c r="E9" s="5">
        <v>36188</v>
      </c>
      <c r="F9" s="6">
        <v>154.95701600000001</v>
      </c>
      <c r="G9" s="7">
        <v>4.6226280000000002E-2</v>
      </c>
      <c r="H9" s="113"/>
    </row>
    <row r="10" spans="1:15" ht="17.100000000000001" customHeight="1" x14ac:dyDescent="0.2">
      <c r="A10" s="3">
        <v>4</v>
      </c>
      <c r="B10" s="4" t="s">
        <v>399</v>
      </c>
      <c r="C10" s="4" t="s">
        <v>400</v>
      </c>
      <c r="D10" s="4" t="s">
        <v>28</v>
      </c>
      <c r="E10" s="5">
        <v>141618</v>
      </c>
      <c r="F10" s="6">
        <v>149.40699000000001</v>
      </c>
      <c r="G10" s="7">
        <v>4.4570619999999998E-2</v>
      </c>
      <c r="H10" s="113"/>
    </row>
    <row r="11" spans="1:15" ht="17.100000000000001" customHeight="1" x14ac:dyDescent="0.2">
      <c r="A11" s="3">
        <v>5</v>
      </c>
      <c r="B11" s="4" t="s">
        <v>49</v>
      </c>
      <c r="C11" s="4" t="s">
        <v>50</v>
      </c>
      <c r="D11" s="4" t="s">
        <v>34</v>
      </c>
      <c r="E11" s="5">
        <v>4458</v>
      </c>
      <c r="F11" s="6">
        <v>144.86048099999999</v>
      </c>
      <c r="G11" s="7">
        <v>4.3214320000000001E-2</v>
      </c>
      <c r="H11" s="113"/>
    </row>
    <row r="12" spans="1:15" ht="17.100000000000001" customHeight="1" x14ac:dyDescent="0.2">
      <c r="A12" s="3">
        <v>6</v>
      </c>
      <c r="B12" s="4" t="s">
        <v>401</v>
      </c>
      <c r="C12" s="4" t="s">
        <v>402</v>
      </c>
      <c r="D12" s="4" t="s">
        <v>56</v>
      </c>
      <c r="E12" s="5">
        <v>6658</v>
      </c>
      <c r="F12" s="6">
        <v>129.920883</v>
      </c>
      <c r="G12" s="7">
        <v>3.8757590000000001E-2</v>
      </c>
      <c r="H12" s="113"/>
    </row>
    <row r="13" spans="1:15" ht="17.100000000000001" customHeight="1" x14ac:dyDescent="0.2">
      <c r="A13" s="3">
        <v>7</v>
      </c>
      <c r="B13" s="4" t="s">
        <v>71</v>
      </c>
      <c r="C13" s="4" t="s">
        <v>72</v>
      </c>
      <c r="D13" s="4" t="s">
        <v>73</v>
      </c>
      <c r="E13" s="5">
        <v>14229</v>
      </c>
      <c r="F13" s="6">
        <v>127.5985575</v>
      </c>
      <c r="G13" s="7">
        <v>3.8064800000000003E-2</v>
      </c>
      <c r="H13" s="113"/>
    </row>
    <row r="14" spans="1:15" ht="17.100000000000001" customHeight="1" x14ac:dyDescent="0.2">
      <c r="A14" s="3">
        <v>8</v>
      </c>
      <c r="B14" s="4" t="s">
        <v>342</v>
      </c>
      <c r="C14" s="4" t="s">
        <v>343</v>
      </c>
      <c r="D14" s="4" t="s">
        <v>267</v>
      </c>
      <c r="E14" s="5">
        <v>3908</v>
      </c>
      <c r="F14" s="6">
        <v>125.050138</v>
      </c>
      <c r="G14" s="7">
        <v>3.730456E-2</v>
      </c>
      <c r="H14" s="113"/>
      <c r="J14" s="194" t="s">
        <v>1155</v>
      </c>
    </row>
    <row r="15" spans="1:15" ht="17.100000000000001" customHeight="1" x14ac:dyDescent="0.2">
      <c r="A15" s="3">
        <v>9</v>
      </c>
      <c r="B15" s="4" t="s">
        <v>407</v>
      </c>
      <c r="C15" s="4" t="s">
        <v>408</v>
      </c>
      <c r="D15" s="4" t="s">
        <v>257</v>
      </c>
      <c r="E15" s="5">
        <v>5857</v>
      </c>
      <c r="F15" s="6">
        <v>97.170558499999999</v>
      </c>
      <c r="G15" s="7">
        <v>2.898761E-2</v>
      </c>
      <c r="H15" s="113"/>
    </row>
    <row r="16" spans="1:15" ht="17.100000000000001" customHeight="1" x14ac:dyDescent="0.2">
      <c r="A16" s="3">
        <v>10</v>
      </c>
      <c r="B16" s="4" t="s">
        <v>417</v>
      </c>
      <c r="C16" s="4" t="s">
        <v>418</v>
      </c>
      <c r="D16" s="4" t="s">
        <v>53</v>
      </c>
      <c r="E16" s="5">
        <v>12229</v>
      </c>
      <c r="F16" s="6">
        <v>95.098818499999993</v>
      </c>
      <c r="G16" s="7">
        <v>2.8369579999999998E-2</v>
      </c>
      <c r="H16" s="113"/>
    </row>
    <row r="17" spans="1:8" ht="17.100000000000001" customHeight="1" x14ac:dyDescent="0.2">
      <c r="A17" s="3">
        <v>11</v>
      </c>
      <c r="B17" s="4" t="s">
        <v>413</v>
      </c>
      <c r="C17" s="4" t="s">
        <v>414</v>
      </c>
      <c r="D17" s="4" t="s">
        <v>262</v>
      </c>
      <c r="E17" s="5">
        <v>31050</v>
      </c>
      <c r="F17" s="6">
        <v>94.17465</v>
      </c>
      <c r="G17" s="7">
        <v>2.8093880000000002E-2</v>
      </c>
      <c r="H17" s="113"/>
    </row>
    <row r="18" spans="1:8" ht="17.100000000000001" customHeight="1" x14ac:dyDescent="0.2">
      <c r="A18" s="3">
        <v>12</v>
      </c>
      <c r="B18" s="4" t="s">
        <v>411</v>
      </c>
      <c r="C18" s="4" t="s">
        <v>412</v>
      </c>
      <c r="D18" s="4" t="s">
        <v>210</v>
      </c>
      <c r="E18" s="5">
        <v>24965</v>
      </c>
      <c r="F18" s="6">
        <v>91.247074999999995</v>
      </c>
      <c r="G18" s="7">
        <v>2.7220540000000001E-2</v>
      </c>
      <c r="H18" s="113"/>
    </row>
    <row r="19" spans="1:8" ht="17.100000000000001" customHeight="1" x14ac:dyDescent="0.2">
      <c r="A19" s="3">
        <v>13</v>
      </c>
      <c r="B19" s="4" t="s">
        <v>419</v>
      </c>
      <c r="C19" s="4" t="s">
        <v>420</v>
      </c>
      <c r="D19" s="4" t="s">
        <v>245</v>
      </c>
      <c r="E19" s="5">
        <v>5601</v>
      </c>
      <c r="F19" s="6">
        <v>79.595810999999998</v>
      </c>
      <c r="G19" s="7">
        <v>2.3744769999999998E-2</v>
      </c>
      <c r="H19" s="113"/>
    </row>
    <row r="20" spans="1:8" ht="17.100000000000001" customHeight="1" x14ac:dyDescent="0.2">
      <c r="A20" s="3">
        <v>14</v>
      </c>
      <c r="B20" s="4" t="s">
        <v>452</v>
      </c>
      <c r="C20" s="4" t="s">
        <v>453</v>
      </c>
      <c r="D20" s="4" t="s">
        <v>245</v>
      </c>
      <c r="E20" s="5">
        <v>33431</v>
      </c>
      <c r="F20" s="6">
        <v>76.473412499999995</v>
      </c>
      <c r="G20" s="7">
        <v>2.281331E-2</v>
      </c>
      <c r="H20" s="113"/>
    </row>
    <row r="21" spans="1:8" ht="17.100000000000001" customHeight="1" x14ac:dyDescent="0.2">
      <c r="A21" s="3">
        <v>15</v>
      </c>
      <c r="B21" s="4" t="s">
        <v>409</v>
      </c>
      <c r="C21" s="4" t="s">
        <v>410</v>
      </c>
      <c r="D21" s="4" t="s">
        <v>13</v>
      </c>
      <c r="E21" s="5">
        <v>51989</v>
      </c>
      <c r="F21" s="6">
        <v>72.394682500000002</v>
      </c>
      <c r="G21" s="7">
        <v>2.1596549999999999E-2</v>
      </c>
      <c r="H21" s="113"/>
    </row>
    <row r="22" spans="1:8" ht="29.1" customHeight="1" x14ac:dyDescent="0.2">
      <c r="A22" s="3">
        <v>16</v>
      </c>
      <c r="B22" s="4" t="s">
        <v>220</v>
      </c>
      <c r="C22" s="4" t="s">
        <v>221</v>
      </c>
      <c r="D22" s="4" t="s">
        <v>222</v>
      </c>
      <c r="E22" s="5">
        <v>1852</v>
      </c>
      <c r="F22" s="6">
        <v>71.361264000000006</v>
      </c>
      <c r="G22" s="7">
        <v>2.1288270000000001E-2</v>
      </c>
      <c r="H22" s="113"/>
    </row>
    <row r="23" spans="1:8" ht="17.100000000000001" customHeight="1" x14ac:dyDescent="0.2">
      <c r="A23" s="3">
        <v>17</v>
      </c>
      <c r="B23" s="4" t="s">
        <v>316</v>
      </c>
      <c r="C23" s="4" t="s">
        <v>317</v>
      </c>
      <c r="D23" s="4" t="s">
        <v>56</v>
      </c>
      <c r="E23" s="5">
        <v>9198</v>
      </c>
      <c r="F23" s="6">
        <v>71.003961000000004</v>
      </c>
      <c r="G23" s="7">
        <v>2.1181680000000001E-2</v>
      </c>
      <c r="H23" s="113"/>
    </row>
    <row r="24" spans="1:8" ht="17.100000000000001" customHeight="1" x14ac:dyDescent="0.2">
      <c r="A24" s="3">
        <v>18</v>
      </c>
      <c r="B24" s="4" t="s">
        <v>47</v>
      </c>
      <c r="C24" s="4" t="s">
        <v>48</v>
      </c>
      <c r="D24" s="4" t="s">
        <v>34</v>
      </c>
      <c r="E24" s="5">
        <v>3026</v>
      </c>
      <c r="F24" s="6">
        <v>70.478566000000001</v>
      </c>
      <c r="G24" s="7">
        <v>2.1024939999999999E-2</v>
      </c>
      <c r="H24" s="113"/>
    </row>
    <row r="25" spans="1:8" ht="29.1" customHeight="1" x14ac:dyDescent="0.2">
      <c r="A25" s="3">
        <v>19</v>
      </c>
      <c r="B25" s="4" t="s">
        <v>439</v>
      </c>
      <c r="C25" s="4" t="s">
        <v>440</v>
      </c>
      <c r="D25" s="4" t="s">
        <v>225</v>
      </c>
      <c r="E25" s="5">
        <v>17579</v>
      </c>
      <c r="F25" s="6">
        <v>69.472207999999995</v>
      </c>
      <c r="G25" s="7">
        <v>2.072473E-2</v>
      </c>
      <c r="H25" s="113"/>
    </row>
    <row r="26" spans="1:8" ht="29.1" customHeight="1" x14ac:dyDescent="0.2">
      <c r="A26" s="3">
        <v>20</v>
      </c>
      <c r="B26" s="4" t="s">
        <v>433</v>
      </c>
      <c r="C26" s="4" t="s">
        <v>434</v>
      </c>
      <c r="D26" s="4" t="s">
        <v>31</v>
      </c>
      <c r="E26" s="5">
        <v>3057</v>
      </c>
      <c r="F26" s="6">
        <v>67.507731000000007</v>
      </c>
      <c r="G26" s="7">
        <v>2.0138690000000001E-2</v>
      </c>
      <c r="H26" s="113"/>
    </row>
    <row r="27" spans="1:8" ht="17.100000000000001" customHeight="1" x14ac:dyDescent="0.2">
      <c r="A27" s="3">
        <v>21</v>
      </c>
      <c r="B27" s="4" t="s">
        <v>425</v>
      </c>
      <c r="C27" s="4" t="s">
        <v>426</v>
      </c>
      <c r="D27" s="4" t="s">
        <v>245</v>
      </c>
      <c r="E27" s="5">
        <v>8090</v>
      </c>
      <c r="F27" s="6">
        <v>66.083164999999994</v>
      </c>
      <c r="G27" s="7">
        <v>1.9713720000000001E-2</v>
      </c>
      <c r="H27" s="113"/>
    </row>
    <row r="28" spans="1:8" ht="29.1" customHeight="1" x14ac:dyDescent="0.2">
      <c r="A28" s="3">
        <v>22</v>
      </c>
      <c r="B28" s="4" t="s">
        <v>273</v>
      </c>
      <c r="C28" s="4" t="s">
        <v>274</v>
      </c>
      <c r="D28" s="4" t="s">
        <v>225</v>
      </c>
      <c r="E28" s="5">
        <v>15078</v>
      </c>
      <c r="F28" s="6">
        <v>64.865555999999998</v>
      </c>
      <c r="G28" s="7">
        <v>1.9350490000000001E-2</v>
      </c>
      <c r="H28" s="113"/>
    </row>
    <row r="29" spans="1:8" ht="17.100000000000001" customHeight="1" x14ac:dyDescent="0.2">
      <c r="A29" s="3">
        <v>23</v>
      </c>
      <c r="B29" s="4" t="s">
        <v>429</v>
      </c>
      <c r="C29" s="4" t="s">
        <v>430</v>
      </c>
      <c r="D29" s="4" t="s">
        <v>892</v>
      </c>
      <c r="E29" s="5">
        <v>4552</v>
      </c>
      <c r="F29" s="6">
        <v>59.453671999999997</v>
      </c>
      <c r="G29" s="7">
        <v>1.773603E-2</v>
      </c>
      <c r="H29" s="113"/>
    </row>
    <row r="30" spans="1:8" ht="17.100000000000001" customHeight="1" x14ac:dyDescent="0.2">
      <c r="A30" s="3">
        <v>24</v>
      </c>
      <c r="B30" s="4" t="s">
        <v>450</v>
      </c>
      <c r="C30" s="4" t="s">
        <v>451</v>
      </c>
      <c r="D30" s="4" t="s">
        <v>53</v>
      </c>
      <c r="E30" s="5">
        <v>6095</v>
      </c>
      <c r="F30" s="6">
        <v>56.689594999999997</v>
      </c>
      <c r="G30" s="7">
        <v>1.691146E-2</v>
      </c>
      <c r="H30" s="113"/>
    </row>
    <row r="31" spans="1:8" ht="29.1" customHeight="1" x14ac:dyDescent="0.2">
      <c r="A31" s="3">
        <v>25</v>
      </c>
      <c r="B31" s="4" t="s">
        <v>437</v>
      </c>
      <c r="C31" s="4" t="s">
        <v>438</v>
      </c>
      <c r="D31" s="4" t="s">
        <v>76</v>
      </c>
      <c r="E31" s="5">
        <v>2217</v>
      </c>
      <c r="F31" s="6">
        <v>55.051435499999997</v>
      </c>
      <c r="G31" s="7">
        <v>1.642277E-2</v>
      </c>
      <c r="H31" s="113"/>
    </row>
    <row r="32" spans="1:8" ht="17.100000000000001" customHeight="1" x14ac:dyDescent="0.2">
      <c r="A32" s="3">
        <v>26</v>
      </c>
      <c r="B32" s="4" t="s">
        <v>497</v>
      </c>
      <c r="C32" s="4" t="s">
        <v>498</v>
      </c>
      <c r="D32" s="4" t="s">
        <v>13</v>
      </c>
      <c r="E32" s="5">
        <v>6941</v>
      </c>
      <c r="F32" s="6">
        <v>49.225572</v>
      </c>
      <c r="G32" s="7">
        <v>1.4684819999999999E-2</v>
      </c>
      <c r="H32" s="113"/>
    </row>
    <row r="33" spans="1:8" ht="17.100000000000001" customHeight="1" x14ac:dyDescent="0.2">
      <c r="A33" s="3">
        <v>27</v>
      </c>
      <c r="B33" s="4" t="s">
        <v>435</v>
      </c>
      <c r="C33" s="4" t="s">
        <v>436</v>
      </c>
      <c r="D33" s="4" t="s">
        <v>53</v>
      </c>
      <c r="E33" s="5">
        <v>8701</v>
      </c>
      <c r="F33" s="6">
        <v>49.165000499999998</v>
      </c>
      <c r="G33" s="7">
        <v>1.4666749999999999E-2</v>
      </c>
      <c r="H33" s="113"/>
    </row>
    <row r="34" spans="1:8" ht="17.100000000000001" customHeight="1" x14ac:dyDescent="0.2">
      <c r="A34" s="3">
        <v>28</v>
      </c>
      <c r="B34" s="4" t="s">
        <v>421</v>
      </c>
      <c r="C34" s="4" t="s">
        <v>422</v>
      </c>
      <c r="D34" s="4" t="s">
        <v>53</v>
      </c>
      <c r="E34" s="5">
        <v>38726</v>
      </c>
      <c r="F34" s="6">
        <v>49.046478999999998</v>
      </c>
      <c r="G34" s="7">
        <v>1.4631389999999999E-2</v>
      </c>
      <c r="H34" s="113"/>
    </row>
    <row r="35" spans="1:8" ht="17.100000000000001" customHeight="1" x14ac:dyDescent="0.2">
      <c r="A35" s="3">
        <v>29</v>
      </c>
      <c r="B35" s="4" t="s">
        <v>427</v>
      </c>
      <c r="C35" s="4" t="s">
        <v>428</v>
      </c>
      <c r="D35" s="4" t="s">
        <v>56</v>
      </c>
      <c r="E35" s="5">
        <v>4636</v>
      </c>
      <c r="F35" s="6">
        <v>48.212082000000002</v>
      </c>
      <c r="G35" s="7">
        <v>1.438248E-2</v>
      </c>
      <c r="H35" s="113"/>
    </row>
    <row r="36" spans="1:8" ht="29.1" customHeight="1" x14ac:dyDescent="0.2">
      <c r="A36" s="3">
        <v>30</v>
      </c>
      <c r="B36" s="4" t="s">
        <v>95</v>
      </c>
      <c r="C36" s="4" t="s">
        <v>96</v>
      </c>
      <c r="D36" s="4" t="s">
        <v>25</v>
      </c>
      <c r="E36" s="5">
        <v>1255</v>
      </c>
      <c r="F36" s="6">
        <v>47.542537500000002</v>
      </c>
      <c r="G36" s="7">
        <v>1.4182739999999999E-2</v>
      </c>
      <c r="H36" s="113"/>
    </row>
    <row r="37" spans="1:8" ht="17.100000000000001" customHeight="1" x14ac:dyDescent="0.2">
      <c r="A37" s="3">
        <v>31</v>
      </c>
      <c r="B37" s="4" t="s">
        <v>230</v>
      </c>
      <c r="C37" s="4" t="s">
        <v>231</v>
      </c>
      <c r="D37" s="4" t="s">
        <v>107</v>
      </c>
      <c r="E37" s="5">
        <v>601</v>
      </c>
      <c r="F37" s="6">
        <v>46.399303500000002</v>
      </c>
      <c r="G37" s="7">
        <v>1.384169E-2</v>
      </c>
      <c r="H37" s="113"/>
    </row>
    <row r="38" spans="1:8" ht="17.100000000000001" customHeight="1" x14ac:dyDescent="0.2">
      <c r="A38" s="3">
        <v>32</v>
      </c>
      <c r="B38" s="4" t="s">
        <v>468</v>
      </c>
      <c r="C38" s="4" t="s">
        <v>469</v>
      </c>
      <c r="D38" s="4" t="s">
        <v>28</v>
      </c>
      <c r="E38" s="5">
        <v>10993</v>
      </c>
      <c r="F38" s="6">
        <v>46.022194499999998</v>
      </c>
      <c r="G38" s="7">
        <v>1.37292E-2</v>
      </c>
      <c r="H38" s="113"/>
    </row>
    <row r="39" spans="1:8" ht="29.1" customHeight="1" x14ac:dyDescent="0.2">
      <c r="A39" s="3">
        <v>33</v>
      </c>
      <c r="B39" s="4" t="s">
        <v>441</v>
      </c>
      <c r="C39" s="4" t="s">
        <v>442</v>
      </c>
      <c r="D39" s="4" t="s">
        <v>443</v>
      </c>
      <c r="E39" s="5">
        <v>29151</v>
      </c>
      <c r="F39" s="6">
        <v>44.047161000000003</v>
      </c>
      <c r="G39" s="7">
        <v>1.3140010000000001E-2</v>
      </c>
      <c r="H39" s="113"/>
    </row>
    <row r="40" spans="1:8" ht="17.100000000000001" customHeight="1" x14ac:dyDescent="0.2">
      <c r="A40" s="3">
        <v>34</v>
      </c>
      <c r="B40" s="4" t="s">
        <v>431</v>
      </c>
      <c r="C40" s="4" t="s">
        <v>432</v>
      </c>
      <c r="D40" s="4" t="s">
        <v>315</v>
      </c>
      <c r="E40" s="5">
        <v>4877</v>
      </c>
      <c r="F40" s="6">
        <v>43.166327000000003</v>
      </c>
      <c r="G40" s="7">
        <v>1.287724E-2</v>
      </c>
      <c r="H40" s="113"/>
    </row>
    <row r="41" spans="1:8" ht="29.1" customHeight="1" x14ac:dyDescent="0.2">
      <c r="A41" s="3">
        <v>35</v>
      </c>
      <c r="B41" s="4" t="s">
        <v>499</v>
      </c>
      <c r="C41" s="4" t="s">
        <v>500</v>
      </c>
      <c r="D41" s="4" t="s">
        <v>501</v>
      </c>
      <c r="E41" s="5">
        <v>9388</v>
      </c>
      <c r="F41" s="6">
        <v>42.649684000000001</v>
      </c>
      <c r="G41" s="7">
        <v>1.2723119999999999E-2</v>
      </c>
      <c r="H41" s="113"/>
    </row>
    <row r="42" spans="1:8" ht="17.100000000000001" customHeight="1" x14ac:dyDescent="0.2">
      <c r="A42" s="3">
        <v>36</v>
      </c>
      <c r="B42" s="4" t="s">
        <v>456</v>
      </c>
      <c r="C42" s="4" t="s">
        <v>457</v>
      </c>
      <c r="D42" s="4" t="s">
        <v>56</v>
      </c>
      <c r="E42" s="5">
        <v>9015</v>
      </c>
      <c r="F42" s="6">
        <v>40.5629925</v>
      </c>
      <c r="G42" s="7">
        <v>1.2100619999999999E-2</v>
      </c>
      <c r="H42" s="113"/>
    </row>
    <row r="43" spans="1:8" ht="29.1" customHeight="1" x14ac:dyDescent="0.2">
      <c r="A43" s="3">
        <v>37</v>
      </c>
      <c r="B43" s="4" t="s">
        <v>495</v>
      </c>
      <c r="C43" s="4" t="s">
        <v>496</v>
      </c>
      <c r="D43" s="4" t="s">
        <v>483</v>
      </c>
      <c r="E43" s="5">
        <v>6151</v>
      </c>
      <c r="F43" s="6">
        <v>39.5970625</v>
      </c>
      <c r="G43" s="7">
        <v>1.181247E-2</v>
      </c>
      <c r="H43" s="113"/>
    </row>
    <row r="44" spans="1:8" ht="17.100000000000001" customHeight="1" x14ac:dyDescent="0.2">
      <c r="A44" s="3">
        <v>38</v>
      </c>
      <c r="B44" s="4" t="s">
        <v>296</v>
      </c>
      <c r="C44" s="4" t="s">
        <v>297</v>
      </c>
      <c r="D44" s="4" t="s">
        <v>53</v>
      </c>
      <c r="E44" s="5">
        <v>3287</v>
      </c>
      <c r="F44" s="6">
        <v>34.186443500000003</v>
      </c>
      <c r="G44" s="7">
        <v>1.019839E-2</v>
      </c>
      <c r="H44" s="113"/>
    </row>
    <row r="45" spans="1:8" ht="17.100000000000001" customHeight="1" x14ac:dyDescent="0.2">
      <c r="A45" s="3">
        <v>39</v>
      </c>
      <c r="B45" s="4" t="s">
        <v>87</v>
      </c>
      <c r="C45" s="4" t="s">
        <v>88</v>
      </c>
      <c r="D45" s="4" t="s">
        <v>34</v>
      </c>
      <c r="E45" s="5">
        <v>3949</v>
      </c>
      <c r="F45" s="6">
        <v>31.799322499999999</v>
      </c>
      <c r="G45" s="7">
        <v>9.4862699999999998E-3</v>
      </c>
      <c r="H45" s="113"/>
    </row>
    <row r="46" spans="1:8" ht="17.100000000000001" customHeight="1" x14ac:dyDescent="0.2">
      <c r="A46" s="3">
        <v>40</v>
      </c>
      <c r="B46" s="4" t="s">
        <v>448</v>
      </c>
      <c r="C46" s="4" t="s">
        <v>449</v>
      </c>
      <c r="D46" s="4" t="s">
        <v>99</v>
      </c>
      <c r="E46" s="5">
        <v>2470</v>
      </c>
      <c r="F46" s="6">
        <v>26.530270000000002</v>
      </c>
      <c r="G46" s="7">
        <v>7.9144300000000001E-3</v>
      </c>
      <c r="H46" s="113"/>
    </row>
    <row r="47" spans="1:8" ht="29.1" customHeight="1" x14ac:dyDescent="0.2">
      <c r="A47" s="3">
        <v>41</v>
      </c>
      <c r="B47" s="4" t="s">
        <v>460</v>
      </c>
      <c r="C47" s="4" t="s">
        <v>461</v>
      </c>
      <c r="D47" s="4" t="s">
        <v>225</v>
      </c>
      <c r="E47" s="5">
        <v>536</v>
      </c>
      <c r="F47" s="6">
        <v>26.519939999999998</v>
      </c>
      <c r="G47" s="7">
        <v>7.9113399999999993E-3</v>
      </c>
      <c r="H47" s="113"/>
    </row>
    <row r="48" spans="1:8" ht="29.1" customHeight="1" x14ac:dyDescent="0.2">
      <c r="A48" s="3">
        <v>42</v>
      </c>
      <c r="B48" s="4" t="s">
        <v>502</v>
      </c>
      <c r="C48" s="4" t="s">
        <v>503</v>
      </c>
      <c r="D48" s="4" t="s">
        <v>56</v>
      </c>
      <c r="E48" s="5">
        <v>2262</v>
      </c>
      <c r="F48" s="6">
        <v>25.248443999999999</v>
      </c>
      <c r="G48" s="7">
        <v>7.5320400000000003E-3</v>
      </c>
      <c r="H48" s="113"/>
    </row>
    <row r="49" spans="1:8" ht="17.100000000000001" customHeight="1" x14ac:dyDescent="0.2">
      <c r="A49" s="3">
        <v>43</v>
      </c>
      <c r="B49" s="4" t="s">
        <v>462</v>
      </c>
      <c r="C49" s="4" t="s">
        <v>463</v>
      </c>
      <c r="D49" s="4" t="s">
        <v>34</v>
      </c>
      <c r="E49" s="5">
        <v>2121</v>
      </c>
      <c r="F49" s="6">
        <v>20.523856500000001</v>
      </c>
      <c r="G49" s="7">
        <v>6.1226099999999997E-3</v>
      </c>
      <c r="H49" s="113"/>
    </row>
    <row r="50" spans="1:8" ht="29.1" customHeight="1" x14ac:dyDescent="0.2">
      <c r="A50" s="3">
        <v>44</v>
      </c>
      <c r="B50" s="4" t="s">
        <v>464</v>
      </c>
      <c r="C50" s="4" t="s">
        <v>465</v>
      </c>
      <c r="D50" s="4" t="s">
        <v>56</v>
      </c>
      <c r="E50" s="5">
        <v>6110</v>
      </c>
      <c r="F50" s="6">
        <v>18.995989999999999</v>
      </c>
      <c r="G50" s="7">
        <v>5.6668200000000004E-3</v>
      </c>
      <c r="H50" s="113"/>
    </row>
    <row r="51" spans="1:8" ht="29.1" customHeight="1" x14ac:dyDescent="0.2">
      <c r="A51" s="3">
        <v>45</v>
      </c>
      <c r="B51" s="4" t="s">
        <v>444</v>
      </c>
      <c r="C51" s="4" t="s">
        <v>445</v>
      </c>
      <c r="D51" s="4" t="s">
        <v>215</v>
      </c>
      <c r="E51" s="5">
        <v>2505</v>
      </c>
      <c r="F51" s="6">
        <v>13.950345</v>
      </c>
      <c r="G51" s="7">
        <v>4.1616200000000004E-3</v>
      </c>
      <c r="H51" s="113"/>
    </row>
    <row r="52" spans="1:8" ht="29.1" customHeight="1" x14ac:dyDescent="0.2">
      <c r="A52" s="3">
        <v>46</v>
      </c>
      <c r="B52" s="4" t="s">
        <v>466</v>
      </c>
      <c r="C52" s="4" t="s">
        <v>467</v>
      </c>
      <c r="D52" s="4" t="s">
        <v>222</v>
      </c>
      <c r="E52" s="5">
        <v>1926</v>
      </c>
      <c r="F52" s="6">
        <v>9.7060770000000005</v>
      </c>
      <c r="G52" s="7">
        <v>2.8954900000000001E-3</v>
      </c>
      <c r="H52" s="113"/>
    </row>
    <row r="53" spans="1:8" ht="17.100000000000001" customHeight="1" x14ac:dyDescent="0.2">
      <c r="A53" s="3">
        <v>47</v>
      </c>
      <c r="B53" s="4" t="s">
        <v>309</v>
      </c>
      <c r="C53" s="4" t="s">
        <v>310</v>
      </c>
      <c r="D53" s="4" t="s">
        <v>53</v>
      </c>
      <c r="E53" s="5">
        <v>601</v>
      </c>
      <c r="F53" s="6">
        <v>9.0856174999999997</v>
      </c>
      <c r="G53" s="7">
        <v>2.71039E-3</v>
      </c>
      <c r="H53" s="113"/>
    </row>
    <row r="54" spans="1:8" ht="14.1" customHeight="1" x14ac:dyDescent="0.2">
      <c r="A54" s="1"/>
      <c r="B54" s="1"/>
      <c r="C54" s="2" t="s">
        <v>151</v>
      </c>
      <c r="D54" s="1"/>
      <c r="E54" s="1" t="s">
        <v>152</v>
      </c>
      <c r="F54" s="9">
        <v>3175.7588445000001</v>
      </c>
      <c r="G54" s="10">
        <v>0.94738232</v>
      </c>
      <c r="H54" s="113"/>
    </row>
    <row r="55" spans="1:8" ht="14.1" customHeight="1" x14ac:dyDescent="0.2">
      <c r="A55" s="1"/>
      <c r="B55" s="1"/>
      <c r="C55" s="11"/>
      <c r="D55" s="1"/>
      <c r="E55" s="1"/>
      <c r="F55" s="12"/>
      <c r="G55" s="12"/>
      <c r="H55" s="113"/>
    </row>
    <row r="56" spans="1:8" ht="14.1" customHeight="1" x14ac:dyDescent="0.2">
      <c r="A56" s="1"/>
      <c r="B56" s="1"/>
      <c r="C56" s="2" t="s">
        <v>153</v>
      </c>
      <c r="D56" s="1"/>
      <c r="E56" s="1"/>
      <c r="F56" s="1"/>
      <c r="G56" s="1"/>
      <c r="H56" s="113"/>
    </row>
    <row r="57" spans="1:8" ht="14.1" customHeight="1" x14ac:dyDescent="0.2">
      <c r="A57" s="1"/>
      <c r="B57" s="1"/>
      <c r="C57" s="2" t="s">
        <v>151</v>
      </c>
      <c r="D57" s="1"/>
      <c r="E57" s="1" t="s">
        <v>152</v>
      </c>
      <c r="F57" s="13" t="s">
        <v>154</v>
      </c>
      <c r="G57" s="10">
        <v>0</v>
      </c>
      <c r="H57" s="113"/>
    </row>
    <row r="58" spans="1:8" ht="14.1" customHeight="1" x14ac:dyDescent="0.2">
      <c r="A58" s="1"/>
      <c r="B58" s="1"/>
      <c r="C58" s="11"/>
      <c r="D58" s="1"/>
      <c r="E58" s="1"/>
      <c r="F58" s="12"/>
      <c r="G58" s="12"/>
      <c r="H58" s="113"/>
    </row>
    <row r="59" spans="1:8" ht="14.1" customHeight="1" x14ac:dyDescent="0.2">
      <c r="A59" s="1"/>
      <c r="B59" s="1"/>
      <c r="C59" s="2" t="s">
        <v>155</v>
      </c>
      <c r="D59" s="1"/>
      <c r="E59" s="1"/>
      <c r="F59" s="1"/>
      <c r="G59" s="1"/>
      <c r="H59" s="113"/>
    </row>
    <row r="60" spans="1:8" ht="14.1" customHeight="1" x14ac:dyDescent="0.2">
      <c r="A60" s="1"/>
      <c r="B60" s="1"/>
      <c r="C60" s="2" t="s">
        <v>151</v>
      </c>
      <c r="D60" s="1"/>
      <c r="E60" s="1" t="s">
        <v>152</v>
      </c>
      <c r="F60" s="13" t="s">
        <v>154</v>
      </c>
      <c r="G60" s="10">
        <v>0</v>
      </c>
      <c r="H60" s="113"/>
    </row>
    <row r="61" spans="1:8" ht="14.1" customHeight="1" x14ac:dyDescent="0.2">
      <c r="A61" s="1"/>
      <c r="B61" s="1"/>
      <c r="C61" s="11"/>
      <c r="D61" s="1"/>
      <c r="E61" s="1"/>
      <c r="F61" s="12"/>
      <c r="G61" s="12"/>
      <c r="H61" s="113"/>
    </row>
    <row r="62" spans="1:8" ht="14.1" customHeight="1" x14ac:dyDescent="0.2">
      <c r="A62" s="1"/>
      <c r="B62" s="1"/>
      <c r="C62" s="2" t="s">
        <v>156</v>
      </c>
      <c r="D62" s="1"/>
      <c r="E62" s="1"/>
      <c r="F62" s="1"/>
      <c r="G62" s="1"/>
      <c r="H62" s="113"/>
    </row>
    <row r="63" spans="1:8" ht="29.1" customHeight="1" x14ac:dyDescent="0.2">
      <c r="A63" s="3">
        <v>1</v>
      </c>
      <c r="B63" s="4" t="s">
        <v>318</v>
      </c>
      <c r="C63" s="4" t="s">
        <v>898</v>
      </c>
      <c r="D63" s="4" t="s">
        <v>107</v>
      </c>
      <c r="E63" s="5">
        <v>69716</v>
      </c>
      <c r="F63" s="6">
        <v>7.3898960000000002</v>
      </c>
      <c r="G63" s="7">
        <v>2.2045300000000001E-3</v>
      </c>
      <c r="H63" s="113"/>
    </row>
    <row r="64" spans="1:8" ht="38.25" x14ac:dyDescent="0.2">
      <c r="A64" s="3">
        <v>2</v>
      </c>
      <c r="B64" s="4" t="s">
        <v>319</v>
      </c>
      <c r="C64" s="4" t="s">
        <v>899</v>
      </c>
      <c r="D64" s="4" t="s">
        <v>53</v>
      </c>
      <c r="E64" s="5">
        <v>69</v>
      </c>
      <c r="F64" s="6">
        <v>6.901173E-3</v>
      </c>
      <c r="G64" s="7" t="s">
        <v>150</v>
      </c>
      <c r="H64" s="113"/>
    </row>
    <row r="65" spans="1:8" ht="14.1" customHeight="1" x14ac:dyDescent="0.2">
      <c r="A65" s="1"/>
      <c r="B65" s="1"/>
      <c r="C65" s="2" t="s">
        <v>151</v>
      </c>
      <c r="D65" s="1"/>
      <c r="E65" s="1" t="s">
        <v>152</v>
      </c>
      <c r="F65" s="9">
        <v>7.3967971730000004</v>
      </c>
      <c r="G65" s="10">
        <v>2.20659E-3</v>
      </c>
      <c r="H65" s="113"/>
    </row>
    <row r="66" spans="1:8" ht="14.1" customHeight="1" x14ac:dyDescent="0.2">
      <c r="A66" s="1"/>
      <c r="B66" s="1"/>
      <c r="C66" s="11"/>
      <c r="D66" s="1"/>
      <c r="E66" s="1"/>
      <c r="F66" s="12"/>
      <c r="G66" s="12"/>
      <c r="H66" s="113"/>
    </row>
    <row r="67" spans="1:8" ht="14.1" customHeight="1" x14ac:dyDescent="0.2">
      <c r="A67" s="1"/>
      <c r="B67" s="1"/>
      <c r="C67" s="2" t="s">
        <v>157</v>
      </c>
      <c r="D67" s="1"/>
      <c r="E67" s="1"/>
      <c r="F67" s="12"/>
      <c r="G67" s="12"/>
      <c r="H67" s="113"/>
    </row>
    <row r="68" spans="1:8" ht="14.1" customHeight="1" x14ac:dyDescent="0.2">
      <c r="A68" s="1"/>
      <c r="B68" s="1"/>
      <c r="C68" s="2" t="s">
        <v>151</v>
      </c>
      <c r="D68" s="1"/>
      <c r="E68" s="1" t="s">
        <v>152</v>
      </c>
      <c r="F68" s="13" t="s">
        <v>154</v>
      </c>
      <c r="G68" s="10">
        <v>0</v>
      </c>
      <c r="H68" s="113"/>
    </row>
    <row r="69" spans="1:8" ht="14.1" customHeight="1" x14ac:dyDescent="0.2">
      <c r="A69" s="1"/>
      <c r="B69" s="1"/>
      <c r="C69" s="11"/>
      <c r="D69" s="1"/>
      <c r="E69" s="1"/>
      <c r="F69" s="12"/>
      <c r="G69" s="12"/>
      <c r="H69" s="113"/>
    </row>
    <row r="70" spans="1:8" ht="14.1" customHeight="1" x14ac:dyDescent="0.2">
      <c r="A70" s="1"/>
      <c r="B70" s="1"/>
      <c r="C70" s="2" t="s">
        <v>158</v>
      </c>
      <c r="D70" s="1"/>
      <c r="E70" s="1"/>
      <c r="F70" s="12"/>
      <c r="G70" s="12"/>
      <c r="H70" s="113"/>
    </row>
    <row r="71" spans="1:8" ht="14.1" customHeight="1" x14ac:dyDescent="0.2">
      <c r="A71" s="1"/>
      <c r="B71" s="1"/>
      <c r="C71" s="2" t="s">
        <v>151</v>
      </c>
      <c r="D71" s="1"/>
      <c r="E71" s="1" t="s">
        <v>152</v>
      </c>
      <c r="F71" s="13" t="s">
        <v>154</v>
      </c>
      <c r="G71" s="10">
        <v>0</v>
      </c>
      <c r="H71" s="113"/>
    </row>
    <row r="72" spans="1:8" ht="14.1" customHeight="1" x14ac:dyDescent="0.2">
      <c r="A72" s="1"/>
      <c r="B72" s="1"/>
      <c r="C72" s="11"/>
      <c r="D72" s="1"/>
      <c r="E72" s="1"/>
      <c r="F72" s="12"/>
      <c r="G72" s="12"/>
      <c r="H72" s="113"/>
    </row>
    <row r="73" spans="1:8" ht="18" customHeight="1" x14ac:dyDescent="0.2">
      <c r="A73" s="1"/>
      <c r="B73" s="1"/>
      <c r="C73" s="2" t="s">
        <v>159</v>
      </c>
      <c r="D73" s="1"/>
      <c r="E73" s="1"/>
      <c r="F73" s="9">
        <v>3183.155641673</v>
      </c>
      <c r="G73" s="10">
        <v>0.94958891000000001</v>
      </c>
      <c r="H73" s="113"/>
    </row>
    <row r="74" spans="1:8" ht="14.1" customHeight="1" x14ac:dyDescent="0.2">
      <c r="A74" s="1"/>
      <c r="B74" s="1"/>
      <c r="C74" s="11"/>
      <c r="D74" s="1"/>
      <c r="E74" s="1"/>
      <c r="F74" s="12"/>
      <c r="G74" s="12"/>
      <c r="H74" s="113"/>
    </row>
    <row r="75" spans="1:8" ht="14.1" customHeight="1" x14ac:dyDescent="0.2">
      <c r="A75" s="1"/>
      <c r="B75" s="1"/>
      <c r="C75" s="2" t="s">
        <v>160</v>
      </c>
      <c r="D75" s="1"/>
      <c r="E75" s="1"/>
      <c r="F75" s="12"/>
      <c r="G75" s="12"/>
      <c r="H75" s="113"/>
    </row>
    <row r="76" spans="1:8" ht="24" customHeight="1" x14ac:dyDescent="0.2">
      <c r="A76" s="1"/>
      <c r="B76" s="1"/>
      <c r="C76" s="2" t="s">
        <v>10</v>
      </c>
      <c r="D76" s="1"/>
      <c r="E76" s="1"/>
      <c r="F76" s="12"/>
      <c r="G76" s="12"/>
      <c r="H76" s="113"/>
    </row>
    <row r="77" spans="1:8" ht="14.1" customHeight="1" x14ac:dyDescent="0.2">
      <c r="A77" s="1"/>
      <c r="B77" s="1"/>
      <c r="C77" s="2" t="s">
        <v>151</v>
      </c>
      <c r="D77" s="1"/>
      <c r="E77" s="1" t="s">
        <v>152</v>
      </c>
      <c r="F77" s="13" t="s">
        <v>154</v>
      </c>
      <c r="G77" s="10">
        <v>0</v>
      </c>
      <c r="H77" s="113"/>
    </row>
    <row r="78" spans="1:8" ht="14.1" customHeight="1" x14ac:dyDescent="0.2">
      <c r="A78" s="1"/>
      <c r="B78" s="1"/>
      <c r="C78" s="11"/>
      <c r="D78" s="1"/>
      <c r="E78" s="1"/>
      <c r="F78" s="12"/>
      <c r="G78" s="12"/>
      <c r="H78" s="113"/>
    </row>
    <row r="79" spans="1:8" ht="14.1" customHeight="1" x14ac:dyDescent="0.2">
      <c r="A79" s="1"/>
      <c r="B79" s="1"/>
      <c r="C79" s="2" t="s">
        <v>161</v>
      </c>
      <c r="D79" s="1"/>
      <c r="E79" s="1"/>
      <c r="F79" s="1"/>
      <c r="G79" s="1"/>
      <c r="H79" s="113"/>
    </row>
    <row r="80" spans="1:8" ht="14.1" customHeight="1" x14ac:dyDescent="0.2">
      <c r="A80" s="1"/>
      <c r="B80" s="1"/>
      <c r="C80" s="2" t="s">
        <v>151</v>
      </c>
      <c r="D80" s="1"/>
      <c r="E80" s="1" t="s">
        <v>152</v>
      </c>
      <c r="F80" s="13" t="s">
        <v>154</v>
      </c>
      <c r="G80" s="10">
        <v>0</v>
      </c>
      <c r="H80" s="113"/>
    </row>
    <row r="81" spans="1:8" ht="14.1" customHeight="1" x14ac:dyDescent="0.2">
      <c r="A81" s="1"/>
      <c r="B81" s="1"/>
      <c r="C81" s="11"/>
      <c r="D81" s="1"/>
      <c r="E81" s="1"/>
      <c r="F81" s="12"/>
      <c r="G81" s="12"/>
      <c r="H81" s="113"/>
    </row>
    <row r="82" spans="1:8" ht="14.1" customHeight="1" x14ac:dyDescent="0.2">
      <c r="A82" s="1"/>
      <c r="B82" s="1"/>
      <c r="C82" s="2" t="s">
        <v>162</v>
      </c>
      <c r="D82" s="1"/>
      <c r="E82" s="1"/>
      <c r="F82" s="1"/>
      <c r="G82" s="1"/>
      <c r="H82" s="113"/>
    </row>
    <row r="83" spans="1:8" ht="14.1" customHeight="1" x14ac:dyDescent="0.2">
      <c r="A83" s="1"/>
      <c r="B83" s="1"/>
      <c r="C83" s="2" t="s">
        <v>151</v>
      </c>
      <c r="D83" s="1"/>
      <c r="E83" s="1" t="s">
        <v>152</v>
      </c>
      <c r="F83" s="13" t="s">
        <v>154</v>
      </c>
      <c r="G83" s="10">
        <v>0</v>
      </c>
      <c r="H83" s="113"/>
    </row>
    <row r="84" spans="1:8" ht="14.1" customHeight="1" x14ac:dyDescent="0.2">
      <c r="A84" s="1"/>
      <c r="B84" s="1"/>
      <c r="C84" s="11"/>
      <c r="D84" s="1"/>
      <c r="E84" s="1"/>
      <c r="F84" s="12"/>
      <c r="G84" s="12"/>
      <c r="H84" s="113"/>
    </row>
    <row r="85" spans="1:8" ht="14.1" customHeight="1" x14ac:dyDescent="0.2">
      <c r="A85" s="1"/>
      <c r="B85" s="1"/>
      <c r="C85" s="2" t="s">
        <v>163</v>
      </c>
      <c r="D85" s="1"/>
      <c r="E85" s="1"/>
      <c r="F85" s="12"/>
      <c r="G85" s="12"/>
      <c r="H85" s="113"/>
    </row>
    <row r="86" spans="1:8" ht="14.1" customHeight="1" x14ac:dyDescent="0.2">
      <c r="A86" s="1"/>
      <c r="B86" s="1"/>
      <c r="C86" s="2" t="s">
        <v>151</v>
      </c>
      <c r="D86" s="1"/>
      <c r="E86" s="1" t="s">
        <v>152</v>
      </c>
      <c r="F86" s="13" t="s">
        <v>154</v>
      </c>
      <c r="G86" s="10">
        <v>0</v>
      </c>
      <c r="H86" s="113"/>
    </row>
    <row r="87" spans="1:8" ht="14.1" customHeight="1" x14ac:dyDescent="0.2">
      <c r="A87" s="1"/>
      <c r="B87" s="1"/>
      <c r="C87" s="11"/>
      <c r="D87" s="1"/>
      <c r="E87" s="1"/>
      <c r="F87" s="12"/>
      <c r="G87" s="12"/>
      <c r="H87" s="113"/>
    </row>
    <row r="88" spans="1:8" ht="14.1" customHeight="1" x14ac:dyDescent="0.2">
      <c r="A88" s="1"/>
      <c r="B88" s="1"/>
      <c r="C88" s="2" t="s">
        <v>164</v>
      </c>
      <c r="D88" s="1"/>
      <c r="E88" s="1"/>
      <c r="F88" s="9">
        <v>0</v>
      </c>
      <c r="G88" s="10">
        <v>0</v>
      </c>
      <c r="H88" s="113"/>
    </row>
    <row r="89" spans="1:8" ht="14.1" customHeight="1" x14ac:dyDescent="0.2">
      <c r="A89" s="1"/>
      <c r="B89" s="1"/>
      <c r="C89" s="11"/>
      <c r="D89" s="1"/>
      <c r="E89" s="1"/>
      <c r="F89" s="12"/>
      <c r="G89" s="12"/>
      <c r="H89" s="113"/>
    </row>
    <row r="90" spans="1:8" ht="14.1" customHeight="1" x14ac:dyDescent="0.2">
      <c r="A90" s="1"/>
      <c r="B90" s="1"/>
      <c r="C90" s="2" t="s">
        <v>165</v>
      </c>
      <c r="D90" s="1"/>
      <c r="E90" s="1"/>
      <c r="F90" s="12"/>
      <c r="G90" s="12"/>
      <c r="H90" s="113"/>
    </row>
    <row r="91" spans="1:8" ht="14.1" customHeight="1" x14ac:dyDescent="0.2">
      <c r="A91" s="1"/>
      <c r="B91" s="1"/>
      <c r="C91" s="2" t="s">
        <v>166</v>
      </c>
      <c r="D91" s="1"/>
      <c r="E91" s="1"/>
      <c r="F91" s="12"/>
      <c r="G91" s="12"/>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167</v>
      </c>
      <c r="D94" s="1"/>
      <c r="E94" s="1"/>
      <c r="F94" s="12"/>
      <c r="G94" s="12"/>
      <c r="H94" s="113"/>
    </row>
    <row r="95" spans="1:8" ht="14.1" customHeight="1" x14ac:dyDescent="0.2">
      <c r="A95" s="1"/>
      <c r="B95" s="1"/>
      <c r="C95" s="2" t="s">
        <v>151</v>
      </c>
      <c r="D95" s="1"/>
      <c r="E95" s="1" t="s">
        <v>152</v>
      </c>
      <c r="F95" s="13" t="s">
        <v>154</v>
      </c>
      <c r="G95" s="10">
        <v>0</v>
      </c>
      <c r="H95" s="113"/>
    </row>
    <row r="96" spans="1:8" ht="14.1" customHeight="1" x14ac:dyDescent="0.2">
      <c r="A96" s="1"/>
      <c r="B96" s="1"/>
      <c r="C96" s="11"/>
      <c r="D96" s="1"/>
      <c r="E96" s="1"/>
      <c r="F96" s="12"/>
      <c r="G96" s="12"/>
      <c r="H96" s="113"/>
    </row>
    <row r="97" spans="1:8" ht="14.1" customHeight="1" x14ac:dyDescent="0.2">
      <c r="A97" s="1"/>
      <c r="B97" s="1"/>
      <c r="C97" s="2" t="s">
        <v>168</v>
      </c>
      <c r="D97" s="1"/>
      <c r="E97" s="1"/>
      <c r="F97" s="12"/>
      <c r="G97" s="12"/>
      <c r="H97" s="113"/>
    </row>
    <row r="98" spans="1:8" ht="14.1" customHeight="1" x14ac:dyDescent="0.2">
      <c r="A98" s="1"/>
      <c r="B98" s="1"/>
      <c r="C98" s="2" t="s">
        <v>151</v>
      </c>
      <c r="D98" s="1"/>
      <c r="E98" s="1" t="s">
        <v>152</v>
      </c>
      <c r="F98" s="13" t="s">
        <v>154</v>
      </c>
      <c r="G98" s="10">
        <v>0</v>
      </c>
      <c r="H98" s="113"/>
    </row>
    <row r="99" spans="1:8" ht="14.1" customHeight="1" x14ac:dyDescent="0.2">
      <c r="A99" s="1"/>
      <c r="B99" s="1"/>
      <c r="C99" s="11"/>
      <c r="D99" s="1"/>
      <c r="E99" s="1"/>
      <c r="F99" s="12"/>
      <c r="G99" s="12"/>
      <c r="H99" s="113"/>
    </row>
    <row r="100" spans="1:8" ht="14.1" customHeight="1" x14ac:dyDescent="0.2">
      <c r="A100" s="1"/>
      <c r="B100" s="1"/>
      <c r="C100" s="2" t="s">
        <v>169</v>
      </c>
      <c r="D100" s="1"/>
      <c r="E100" s="1"/>
      <c r="F100" s="12"/>
      <c r="G100" s="12"/>
      <c r="H100" s="113"/>
    </row>
    <row r="101" spans="1:8" ht="17.100000000000001" customHeight="1" x14ac:dyDescent="0.2">
      <c r="A101" s="3">
        <v>1</v>
      </c>
      <c r="B101" s="4"/>
      <c r="C101" s="4" t="s">
        <v>170</v>
      </c>
      <c r="D101" s="4"/>
      <c r="E101" s="8"/>
      <c r="F101" s="6">
        <v>191.882608</v>
      </c>
      <c r="G101" s="7">
        <v>5.7241809999999997E-2</v>
      </c>
      <c r="H101" s="113">
        <v>6.7600000000000016</v>
      </c>
    </row>
    <row r="102" spans="1:8" ht="14.1" customHeight="1" x14ac:dyDescent="0.2">
      <c r="A102" s="1"/>
      <c r="B102" s="1"/>
      <c r="C102" s="2" t="s">
        <v>151</v>
      </c>
      <c r="D102" s="1"/>
      <c r="E102" s="1" t="s">
        <v>152</v>
      </c>
      <c r="F102" s="9">
        <v>191.882608</v>
      </c>
      <c r="G102" s="10">
        <v>5.7241809999999997E-2</v>
      </c>
      <c r="H102" s="113"/>
    </row>
    <row r="103" spans="1:8" ht="14.1" customHeight="1" x14ac:dyDescent="0.2">
      <c r="A103" s="1"/>
      <c r="B103" s="1"/>
      <c r="C103" s="11"/>
      <c r="D103" s="1"/>
      <c r="E103" s="1"/>
      <c r="F103" s="12"/>
      <c r="G103" s="12"/>
      <c r="H103" s="113"/>
    </row>
    <row r="104" spans="1:8" ht="14.1" customHeight="1" x14ac:dyDescent="0.2">
      <c r="A104" s="1"/>
      <c r="B104" s="1"/>
      <c r="C104" s="2" t="s">
        <v>171</v>
      </c>
      <c r="D104" s="1"/>
      <c r="E104" s="1"/>
      <c r="F104" s="9">
        <v>191.882608</v>
      </c>
      <c r="G104" s="10">
        <v>5.7241809999999997E-2</v>
      </c>
      <c r="H104" s="113"/>
    </row>
    <row r="105" spans="1:8" ht="14.1" customHeight="1" x14ac:dyDescent="0.2">
      <c r="A105" s="1"/>
      <c r="B105" s="1"/>
      <c r="C105" s="12"/>
      <c r="D105" s="1"/>
      <c r="E105" s="1"/>
      <c r="F105" s="1"/>
      <c r="G105" s="1"/>
      <c r="H105" s="113"/>
    </row>
    <row r="106" spans="1:8" ht="14.1" customHeight="1" x14ac:dyDescent="0.2">
      <c r="A106" s="1"/>
      <c r="B106" s="1"/>
      <c r="C106" s="2" t="s">
        <v>172</v>
      </c>
      <c r="D106" s="1"/>
      <c r="E106" s="1"/>
      <c r="F106" s="1"/>
      <c r="G106" s="1"/>
      <c r="H106" s="113"/>
    </row>
    <row r="107" spans="1:8" ht="14.1" customHeight="1" x14ac:dyDescent="0.2">
      <c r="A107" s="1"/>
      <c r="B107" s="1"/>
      <c r="C107" s="2" t="s">
        <v>173</v>
      </c>
      <c r="D107" s="1"/>
      <c r="E107" s="1"/>
      <c r="F107" s="1"/>
      <c r="G107" s="1"/>
      <c r="H107" s="113"/>
    </row>
    <row r="108" spans="1:8" ht="14.1" customHeight="1" x14ac:dyDescent="0.2">
      <c r="A108" s="1"/>
      <c r="B108" s="1"/>
      <c r="C108" s="2" t="s">
        <v>151</v>
      </c>
      <c r="D108" s="1"/>
      <c r="E108" s="1" t="s">
        <v>152</v>
      </c>
      <c r="F108" s="13" t="s">
        <v>154</v>
      </c>
      <c r="G108" s="10">
        <v>0</v>
      </c>
      <c r="H108" s="113"/>
    </row>
    <row r="109" spans="1:8" ht="14.1" customHeight="1" x14ac:dyDescent="0.2">
      <c r="A109" s="1"/>
      <c r="B109" s="1"/>
      <c r="C109" s="11"/>
      <c r="D109" s="1"/>
      <c r="E109" s="1"/>
      <c r="F109" s="12"/>
      <c r="G109" s="12"/>
      <c r="H109" s="113"/>
    </row>
    <row r="110" spans="1:8" ht="14.1" customHeight="1" x14ac:dyDescent="0.2">
      <c r="A110" s="1"/>
      <c r="B110" s="1"/>
      <c r="C110" s="2" t="s">
        <v>174</v>
      </c>
      <c r="D110" s="1"/>
      <c r="E110" s="1"/>
      <c r="F110" s="1"/>
      <c r="G110" s="1"/>
      <c r="H110" s="113"/>
    </row>
    <row r="111" spans="1:8" ht="14.1" customHeight="1" x14ac:dyDescent="0.2">
      <c r="A111" s="1"/>
      <c r="B111" s="1"/>
      <c r="C111" s="2" t="s">
        <v>175</v>
      </c>
      <c r="D111" s="1"/>
      <c r="E111" s="1"/>
      <c r="F111" s="1"/>
      <c r="G111" s="1"/>
      <c r="H111" s="113"/>
    </row>
    <row r="112" spans="1:8" ht="14.1" customHeight="1" x14ac:dyDescent="0.2">
      <c r="A112" s="1"/>
      <c r="B112" s="1"/>
      <c r="C112" s="2" t="s">
        <v>151</v>
      </c>
      <c r="D112" s="1"/>
      <c r="E112" s="1" t="s">
        <v>152</v>
      </c>
      <c r="F112" s="13" t="s">
        <v>154</v>
      </c>
      <c r="G112" s="10">
        <v>0</v>
      </c>
      <c r="H112" s="113"/>
    </row>
    <row r="113" spans="1:8" ht="14.1" customHeight="1" x14ac:dyDescent="0.2">
      <c r="A113" s="1"/>
      <c r="B113" s="1"/>
      <c r="C113" s="11"/>
      <c r="D113" s="1"/>
      <c r="E113" s="1"/>
      <c r="F113" s="12"/>
      <c r="G113" s="12"/>
      <c r="H113" s="113"/>
    </row>
    <row r="114" spans="1:8" ht="24" customHeight="1" x14ac:dyDescent="0.2">
      <c r="A114" s="1"/>
      <c r="B114" s="1"/>
      <c r="C114" s="2" t="s">
        <v>176</v>
      </c>
      <c r="D114" s="1"/>
      <c r="E114" s="1"/>
      <c r="F114" s="12"/>
      <c r="G114" s="12"/>
      <c r="H114" s="113"/>
    </row>
    <row r="115" spans="1:8" ht="14.1" customHeight="1" x14ac:dyDescent="0.2">
      <c r="A115" s="1"/>
      <c r="B115" s="1"/>
      <c r="C115" s="2" t="s">
        <v>151</v>
      </c>
      <c r="D115" s="1"/>
      <c r="E115" s="1" t="s">
        <v>152</v>
      </c>
      <c r="F115" s="13" t="s">
        <v>154</v>
      </c>
      <c r="G115" s="10">
        <v>0</v>
      </c>
      <c r="H115" s="113"/>
    </row>
    <row r="116" spans="1:8" ht="14.1" customHeight="1" x14ac:dyDescent="0.2">
      <c r="A116" s="1"/>
      <c r="B116" s="1"/>
      <c r="C116" s="11"/>
      <c r="D116" s="1"/>
      <c r="E116" s="1"/>
      <c r="F116" s="12"/>
      <c r="G116" s="12"/>
      <c r="H116" s="113"/>
    </row>
    <row r="117" spans="1:8" ht="14.1" customHeight="1" x14ac:dyDescent="0.2">
      <c r="A117" s="1"/>
      <c r="B117" s="4"/>
      <c r="C117" s="4"/>
      <c r="D117" s="2"/>
      <c r="E117" s="1"/>
      <c r="F117" s="4"/>
      <c r="G117" s="8"/>
      <c r="H117" s="113"/>
    </row>
    <row r="118" spans="1:8" ht="18" customHeight="1" x14ac:dyDescent="0.2">
      <c r="A118" s="8"/>
      <c r="B118" s="4"/>
      <c r="C118" s="4" t="s">
        <v>177</v>
      </c>
      <c r="D118" s="4"/>
      <c r="E118" s="8"/>
      <c r="F118" s="6">
        <v>-22.897381379999999</v>
      </c>
      <c r="G118" s="7">
        <v>-6.8306699999999996E-3</v>
      </c>
      <c r="H118" s="113"/>
    </row>
    <row r="119" spans="1:8" ht="14.1" customHeight="1" x14ac:dyDescent="0.2">
      <c r="A119" s="11"/>
      <c r="B119" s="11"/>
      <c r="C119" s="2" t="s">
        <v>178</v>
      </c>
      <c r="D119" s="12"/>
      <c r="E119" s="12"/>
      <c r="F119" s="9">
        <v>3352.140868293</v>
      </c>
      <c r="G119" s="14">
        <v>1.0000000499999999</v>
      </c>
      <c r="H119" s="113"/>
    </row>
    <row r="120" spans="1:8" ht="14.1" customHeight="1" x14ac:dyDescent="0.2">
      <c r="A120" s="15"/>
      <c r="B120" s="15"/>
      <c r="C120" s="15"/>
      <c r="D120" s="16"/>
      <c r="E120" s="16"/>
      <c r="F120" s="16"/>
      <c r="G120" s="16"/>
    </row>
    <row r="121" spans="1:8" ht="17.100000000000001" customHeight="1" x14ac:dyDescent="0.2">
      <c r="A121" s="17"/>
      <c r="B121" s="207" t="s">
        <v>179</v>
      </c>
      <c r="C121" s="207"/>
      <c r="D121" s="207"/>
      <c r="E121" s="207"/>
      <c r="F121" s="207"/>
      <c r="G121" s="19"/>
    </row>
    <row r="122" spans="1:8" ht="14.1" customHeight="1" x14ac:dyDescent="0.2">
      <c r="A122" s="17"/>
      <c r="B122" s="17"/>
      <c r="C122" s="17"/>
      <c r="D122" s="19"/>
      <c r="E122" s="19"/>
      <c r="F122" s="19"/>
      <c r="G122" s="19"/>
    </row>
    <row r="123" spans="1:8" ht="14.1" customHeight="1" x14ac:dyDescent="0.2">
      <c r="A123" s="17"/>
      <c r="B123" s="208" t="s">
        <v>180</v>
      </c>
      <c r="C123" s="209"/>
      <c r="D123" s="210"/>
      <c r="E123" s="20"/>
      <c r="F123" s="19"/>
      <c r="G123" s="19"/>
    </row>
    <row r="124" spans="1:8" ht="29.1" customHeight="1" x14ac:dyDescent="0.2">
      <c r="A124" s="17"/>
      <c r="B124" s="205" t="s">
        <v>181</v>
      </c>
      <c r="C124" s="206"/>
      <c r="D124" s="2" t="s">
        <v>182</v>
      </c>
      <c r="E124" s="20"/>
      <c r="F124" s="19"/>
      <c r="G124" s="19"/>
    </row>
    <row r="125" spans="1:8" ht="29.1" customHeight="1" x14ac:dyDescent="0.2">
      <c r="A125" s="17"/>
      <c r="B125" s="205" t="s">
        <v>900</v>
      </c>
      <c r="C125" s="206"/>
      <c r="D125" s="2" t="s">
        <v>902</v>
      </c>
      <c r="E125" s="20"/>
      <c r="F125" s="19"/>
      <c r="G125" s="19"/>
    </row>
    <row r="126" spans="1:8" ht="17.100000000000001" customHeight="1" x14ac:dyDescent="0.2">
      <c r="A126" s="17"/>
      <c r="B126" s="205" t="s">
        <v>184</v>
      </c>
      <c r="C126" s="206"/>
      <c r="D126" s="12" t="s">
        <v>152</v>
      </c>
      <c r="E126" s="20"/>
      <c r="F126" s="19"/>
      <c r="G126" s="19"/>
    </row>
    <row r="127" spans="1:8" ht="25.5" x14ac:dyDescent="0.2">
      <c r="A127" s="21"/>
      <c r="B127" s="22" t="s">
        <v>152</v>
      </c>
      <c r="C127" s="22" t="s">
        <v>185</v>
      </c>
      <c r="D127" s="22" t="s">
        <v>186</v>
      </c>
      <c r="E127" s="21"/>
      <c r="F127" s="21"/>
      <c r="G127" s="21"/>
    </row>
    <row r="128" spans="1:8" ht="18" customHeight="1" x14ac:dyDescent="0.2">
      <c r="A128" s="21"/>
      <c r="B128" s="23" t="s">
        <v>187</v>
      </c>
      <c r="C128" s="22" t="s">
        <v>188</v>
      </c>
      <c r="D128" s="22" t="s">
        <v>189</v>
      </c>
      <c r="E128" s="21"/>
      <c r="F128" s="21"/>
      <c r="G128" s="21"/>
    </row>
    <row r="129" spans="1:7" ht="17.100000000000001" customHeight="1" x14ac:dyDescent="0.2">
      <c r="A129" s="21"/>
      <c r="B129" s="4" t="s">
        <v>190</v>
      </c>
      <c r="C129" s="24">
        <v>23.368500000000001</v>
      </c>
      <c r="D129" s="24">
        <v>24.7149</v>
      </c>
      <c r="E129" s="21"/>
      <c r="F129" s="18"/>
      <c r="G129" s="25"/>
    </row>
    <row r="130" spans="1:7" ht="17.100000000000001" customHeight="1" x14ac:dyDescent="0.2">
      <c r="A130" s="21"/>
      <c r="B130" s="4" t="s">
        <v>1033</v>
      </c>
      <c r="C130" s="24">
        <v>23.368500000000001</v>
      </c>
      <c r="D130" s="24">
        <v>23.529900000000001</v>
      </c>
      <c r="E130" s="21"/>
      <c r="F130" s="18"/>
      <c r="G130" s="25"/>
    </row>
    <row r="131" spans="1:7" ht="17.100000000000001" customHeight="1" x14ac:dyDescent="0.2">
      <c r="A131" s="21"/>
      <c r="B131" s="4" t="s">
        <v>191</v>
      </c>
      <c r="C131" s="24">
        <v>22.8033</v>
      </c>
      <c r="D131" s="24">
        <v>24.1127</v>
      </c>
      <c r="E131" s="21"/>
      <c r="F131" s="18"/>
      <c r="G131" s="25"/>
    </row>
    <row r="132" spans="1:7" ht="17.100000000000001" customHeight="1" x14ac:dyDescent="0.2">
      <c r="A132" s="21"/>
      <c r="B132" s="4" t="s">
        <v>1034</v>
      </c>
      <c r="C132" s="24">
        <v>22.8034</v>
      </c>
      <c r="D132" s="24">
        <v>22.927900000000001</v>
      </c>
      <c r="E132" s="21"/>
      <c r="F132" s="18"/>
      <c r="G132" s="25"/>
    </row>
    <row r="133" spans="1:7" ht="14.1" customHeight="1" x14ac:dyDescent="0.2">
      <c r="A133" s="21"/>
      <c r="B133" s="21"/>
      <c r="C133" s="21"/>
      <c r="D133" s="21"/>
      <c r="E133" s="21"/>
      <c r="F133" s="21"/>
      <c r="G133" s="21"/>
    </row>
    <row r="134" spans="1:7" ht="17.100000000000001" customHeight="1" x14ac:dyDescent="0.2">
      <c r="A134" s="21"/>
      <c r="B134" s="205" t="s">
        <v>1035</v>
      </c>
      <c r="C134" s="206"/>
      <c r="D134" s="2" t="s">
        <v>152</v>
      </c>
      <c r="E134" s="21"/>
      <c r="F134" s="21"/>
      <c r="G134" s="21"/>
    </row>
    <row r="135" spans="1:7" ht="18" customHeight="1" x14ac:dyDescent="0.2">
      <c r="A135" s="21"/>
      <c r="B135" s="29" t="s">
        <v>187</v>
      </c>
      <c r="C135" s="30" t="s">
        <v>470</v>
      </c>
      <c r="D135" s="30" t="s">
        <v>471</v>
      </c>
      <c r="E135" s="21"/>
      <c r="F135" s="21"/>
      <c r="G135" s="21"/>
    </row>
    <row r="136" spans="1:7" ht="17.100000000000001" customHeight="1" x14ac:dyDescent="0.2">
      <c r="A136" s="21"/>
      <c r="B136" s="4" t="s">
        <v>1033</v>
      </c>
      <c r="C136" s="31">
        <v>1.1399999999999999</v>
      </c>
      <c r="D136" s="8" t="s">
        <v>472</v>
      </c>
      <c r="E136" s="21"/>
      <c r="F136" s="18"/>
      <c r="G136" s="25"/>
    </row>
    <row r="137" spans="1:7" ht="17.100000000000001" customHeight="1" x14ac:dyDescent="0.2">
      <c r="A137" s="21"/>
      <c r="B137" s="4" t="s">
        <v>1034</v>
      </c>
      <c r="C137" s="31">
        <v>1.1399999999999999</v>
      </c>
      <c r="D137" s="31">
        <v>1.1399999999999999</v>
      </c>
      <c r="E137" s="21"/>
      <c r="F137" s="18"/>
      <c r="G137" s="25"/>
    </row>
    <row r="138" spans="1:7" ht="14.1" customHeight="1" x14ac:dyDescent="0.2">
      <c r="A138" s="21"/>
      <c r="B138" s="18"/>
      <c r="C138" s="18"/>
      <c r="D138" s="21"/>
      <c r="E138" s="21"/>
      <c r="F138" s="21"/>
      <c r="G138" s="21"/>
    </row>
    <row r="139" spans="1:7" ht="29.1" customHeight="1" x14ac:dyDescent="0.2">
      <c r="A139" s="21"/>
      <c r="B139" s="205" t="s">
        <v>192</v>
      </c>
      <c r="C139" s="206"/>
      <c r="D139" s="2" t="s">
        <v>182</v>
      </c>
      <c r="E139" s="27"/>
      <c r="F139" s="21"/>
      <c r="G139" s="21"/>
    </row>
    <row r="140" spans="1:7" ht="29.1" customHeight="1" x14ac:dyDescent="0.2">
      <c r="A140" s="21"/>
      <c r="B140" s="205" t="s">
        <v>193</v>
      </c>
      <c r="C140" s="206"/>
      <c r="D140" s="2" t="s">
        <v>182</v>
      </c>
      <c r="E140" s="27"/>
      <c r="F140" s="21"/>
      <c r="G140" s="21"/>
    </row>
    <row r="141" spans="1:7" ht="17.100000000000001" customHeight="1" x14ac:dyDescent="0.2">
      <c r="A141" s="21"/>
      <c r="B141" s="205" t="s">
        <v>194</v>
      </c>
      <c r="C141" s="206"/>
      <c r="D141" s="2" t="s">
        <v>182</v>
      </c>
      <c r="E141" s="27"/>
      <c r="F141" s="21"/>
      <c r="G141" s="21"/>
    </row>
    <row r="142" spans="1:7" ht="17.100000000000001" customHeight="1" x14ac:dyDescent="0.2">
      <c r="A142" s="21"/>
      <c r="B142" s="205" t="s">
        <v>195</v>
      </c>
      <c r="C142" s="206"/>
      <c r="D142" s="28">
        <v>0.10785787809976306</v>
      </c>
      <c r="E142" s="21"/>
      <c r="F142" s="18"/>
      <c r="G142" s="25"/>
    </row>
    <row r="155" spans="10:14" x14ac:dyDescent="0.2">
      <c r="J155" s="198"/>
      <c r="K155" s="198"/>
      <c r="L155" s="198"/>
      <c r="M155" s="198"/>
      <c r="N155" s="198"/>
    </row>
  </sheetData>
  <mergeCells count="14">
    <mergeCell ref="B142:C142"/>
    <mergeCell ref="B125:C125"/>
    <mergeCell ref="B126:C126"/>
    <mergeCell ref="B134:C134"/>
    <mergeCell ref="B139:C139"/>
    <mergeCell ref="B140:C140"/>
    <mergeCell ref="B141:C141"/>
    <mergeCell ref="J2:N2"/>
    <mergeCell ref="B124:C124"/>
    <mergeCell ref="B121:F121"/>
    <mergeCell ref="B123:D123"/>
    <mergeCell ref="A1:H1"/>
    <mergeCell ref="A2:H2"/>
    <mergeCell ref="A3:H3"/>
  </mergeCells>
  <hyperlinks>
    <hyperlink ref="I1" location="Index!B12" display="Index" xr:uid="{893D3DD2-EF3A-4312-82AE-466D02A0F727}"/>
  </hyperlink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506</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403</v>
      </c>
      <c r="C7" s="4" t="s">
        <v>404</v>
      </c>
      <c r="D7" s="4" t="s">
        <v>267</v>
      </c>
      <c r="E7" s="5">
        <v>6199</v>
      </c>
      <c r="F7" s="6">
        <v>216.20872199999999</v>
      </c>
      <c r="G7" s="7">
        <v>5.1903240000000003E-2</v>
      </c>
      <c r="H7" s="113"/>
    </row>
    <row r="8" spans="1:15" ht="17.100000000000001" customHeight="1" x14ac:dyDescent="0.2">
      <c r="A8" s="3">
        <v>2</v>
      </c>
      <c r="B8" s="4" t="s">
        <v>35</v>
      </c>
      <c r="C8" s="4" t="s">
        <v>36</v>
      </c>
      <c r="D8" s="4" t="s">
        <v>34</v>
      </c>
      <c r="E8" s="5">
        <v>5959</v>
      </c>
      <c r="F8" s="6">
        <v>206.58363249999999</v>
      </c>
      <c r="G8" s="7">
        <v>4.9592629999999999E-2</v>
      </c>
      <c r="H8" s="113"/>
    </row>
    <row r="9" spans="1:15" ht="17.100000000000001" customHeight="1" x14ac:dyDescent="0.2">
      <c r="A9" s="3">
        <v>3</v>
      </c>
      <c r="B9" s="4" t="s">
        <v>401</v>
      </c>
      <c r="C9" s="4" t="s">
        <v>402</v>
      </c>
      <c r="D9" s="4" t="s">
        <v>56</v>
      </c>
      <c r="E9" s="5">
        <v>10034</v>
      </c>
      <c r="F9" s="6">
        <v>195.79845900000001</v>
      </c>
      <c r="G9" s="7">
        <v>4.7003540000000003E-2</v>
      </c>
      <c r="H9" s="113"/>
    </row>
    <row r="10" spans="1:15" ht="17.100000000000001" customHeight="1" x14ac:dyDescent="0.2">
      <c r="A10" s="3">
        <v>4</v>
      </c>
      <c r="B10" s="4" t="s">
        <v>399</v>
      </c>
      <c r="C10" s="4" t="s">
        <v>400</v>
      </c>
      <c r="D10" s="4" t="s">
        <v>28</v>
      </c>
      <c r="E10" s="5">
        <v>180840</v>
      </c>
      <c r="F10" s="6">
        <v>190.78620000000001</v>
      </c>
      <c r="G10" s="7">
        <v>4.580029E-2</v>
      </c>
      <c r="H10" s="113"/>
    </row>
    <row r="11" spans="1:15" ht="17.100000000000001" customHeight="1" x14ac:dyDescent="0.2">
      <c r="A11" s="3">
        <v>5</v>
      </c>
      <c r="B11" s="4" t="s">
        <v>49</v>
      </c>
      <c r="C11" s="4" t="s">
        <v>50</v>
      </c>
      <c r="D11" s="4" t="s">
        <v>34</v>
      </c>
      <c r="E11" s="5">
        <v>5793</v>
      </c>
      <c r="F11" s="6">
        <v>188.24063849999999</v>
      </c>
      <c r="G11" s="7">
        <v>4.5189199999999999E-2</v>
      </c>
      <c r="H11" s="113"/>
    </row>
    <row r="12" spans="1:15" ht="17.100000000000001" customHeight="1" x14ac:dyDescent="0.2">
      <c r="A12" s="3">
        <v>6</v>
      </c>
      <c r="B12" s="4" t="s">
        <v>129</v>
      </c>
      <c r="C12" s="4" t="s">
        <v>130</v>
      </c>
      <c r="D12" s="4" t="s">
        <v>56</v>
      </c>
      <c r="E12" s="5">
        <v>39326</v>
      </c>
      <c r="F12" s="6">
        <v>168.39393200000001</v>
      </c>
      <c r="G12" s="7">
        <v>4.042478E-2</v>
      </c>
      <c r="H12" s="113"/>
    </row>
    <row r="13" spans="1:15" ht="17.100000000000001" customHeight="1" x14ac:dyDescent="0.2">
      <c r="A13" s="3">
        <v>7</v>
      </c>
      <c r="B13" s="4" t="s">
        <v>71</v>
      </c>
      <c r="C13" s="4" t="s">
        <v>72</v>
      </c>
      <c r="D13" s="4" t="s">
        <v>73</v>
      </c>
      <c r="E13" s="5">
        <v>17357</v>
      </c>
      <c r="F13" s="6">
        <v>155.6488975</v>
      </c>
      <c r="G13" s="7">
        <v>3.7365200000000001E-2</v>
      </c>
      <c r="H13" s="113"/>
    </row>
    <row r="14" spans="1:15" ht="17.100000000000001" customHeight="1" x14ac:dyDescent="0.2">
      <c r="A14" s="3">
        <v>8</v>
      </c>
      <c r="B14" s="4" t="s">
        <v>342</v>
      </c>
      <c r="C14" s="4" t="s">
        <v>343</v>
      </c>
      <c r="D14" s="4" t="s">
        <v>267</v>
      </c>
      <c r="E14" s="5">
        <v>4750</v>
      </c>
      <c r="F14" s="6">
        <v>151.992875</v>
      </c>
      <c r="G14" s="7">
        <v>3.6487529999999997E-2</v>
      </c>
      <c r="H14" s="113"/>
      <c r="J14" s="194" t="s">
        <v>1156</v>
      </c>
    </row>
    <row r="15" spans="1:15" ht="17.100000000000001" customHeight="1" x14ac:dyDescent="0.2">
      <c r="A15" s="3">
        <v>9</v>
      </c>
      <c r="B15" s="4" t="s">
        <v>405</v>
      </c>
      <c r="C15" s="4" t="s">
        <v>406</v>
      </c>
      <c r="D15" s="4" t="s">
        <v>34</v>
      </c>
      <c r="E15" s="5">
        <v>8741</v>
      </c>
      <c r="F15" s="6">
        <v>132.22510700000001</v>
      </c>
      <c r="G15" s="7">
        <v>3.1742069999999997E-2</v>
      </c>
      <c r="H15" s="113"/>
    </row>
    <row r="16" spans="1:15" ht="17.100000000000001" customHeight="1" x14ac:dyDescent="0.2">
      <c r="A16" s="3">
        <v>10</v>
      </c>
      <c r="B16" s="4" t="s">
        <v>411</v>
      </c>
      <c r="C16" s="4" t="s">
        <v>412</v>
      </c>
      <c r="D16" s="4" t="s">
        <v>210</v>
      </c>
      <c r="E16" s="5">
        <v>32339</v>
      </c>
      <c r="F16" s="6">
        <v>118.199045</v>
      </c>
      <c r="G16" s="7">
        <v>2.8374960000000001E-2</v>
      </c>
      <c r="H16" s="113"/>
    </row>
    <row r="17" spans="1:8" ht="17.100000000000001" customHeight="1" x14ac:dyDescent="0.2">
      <c r="A17" s="3">
        <v>11</v>
      </c>
      <c r="B17" s="4" t="s">
        <v>413</v>
      </c>
      <c r="C17" s="4" t="s">
        <v>414</v>
      </c>
      <c r="D17" s="4" t="s">
        <v>262</v>
      </c>
      <c r="E17" s="5">
        <v>37340</v>
      </c>
      <c r="F17" s="6">
        <v>113.25221999999999</v>
      </c>
      <c r="G17" s="7">
        <v>2.718742E-2</v>
      </c>
      <c r="H17" s="113"/>
    </row>
    <row r="18" spans="1:8" ht="17.100000000000001" customHeight="1" x14ac:dyDescent="0.2">
      <c r="A18" s="3">
        <v>12</v>
      </c>
      <c r="B18" s="4" t="s">
        <v>407</v>
      </c>
      <c r="C18" s="4" t="s">
        <v>408</v>
      </c>
      <c r="D18" s="4" t="s">
        <v>257</v>
      </c>
      <c r="E18" s="5">
        <v>6584</v>
      </c>
      <c r="F18" s="6">
        <v>109.231852</v>
      </c>
      <c r="G18" s="7">
        <v>2.6222289999999999E-2</v>
      </c>
      <c r="H18" s="113"/>
    </row>
    <row r="19" spans="1:8" ht="17.100000000000001" customHeight="1" x14ac:dyDescent="0.2">
      <c r="A19" s="3">
        <v>13</v>
      </c>
      <c r="B19" s="4" t="s">
        <v>419</v>
      </c>
      <c r="C19" s="4" t="s">
        <v>420</v>
      </c>
      <c r="D19" s="4" t="s">
        <v>245</v>
      </c>
      <c r="E19" s="5">
        <v>6371</v>
      </c>
      <c r="F19" s="6">
        <v>90.538280999999998</v>
      </c>
      <c r="G19" s="7">
        <v>2.1734690000000001E-2</v>
      </c>
      <c r="H19" s="113"/>
    </row>
    <row r="20" spans="1:8" ht="29.1" customHeight="1" x14ac:dyDescent="0.2">
      <c r="A20" s="3">
        <v>14</v>
      </c>
      <c r="B20" s="4" t="s">
        <v>95</v>
      </c>
      <c r="C20" s="4" t="s">
        <v>96</v>
      </c>
      <c r="D20" s="4" t="s">
        <v>25</v>
      </c>
      <c r="E20" s="5">
        <v>2267</v>
      </c>
      <c r="F20" s="6">
        <v>85.879627499999998</v>
      </c>
      <c r="G20" s="7">
        <v>2.0616329999999999E-2</v>
      </c>
      <c r="H20" s="113"/>
    </row>
    <row r="21" spans="1:8" ht="17.100000000000001" customHeight="1" x14ac:dyDescent="0.2">
      <c r="A21" s="3">
        <v>15</v>
      </c>
      <c r="B21" s="4" t="s">
        <v>417</v>
      </c>
      <c r="C21" s="4" t="s">
        <v>418</v>
      </c>
      <c r="D21" s="4" t="s">
        <v>53</v>
      </c>
      <c r="E21" s="5">
        <v>11039</v>
      </c>
      <c r="F21" s="6">
        <v>85.844783500000005</v>
      </c>
      <c r="G21" s="7">
        <v>2.060797E-2</v>
      </c>
      <c r="H21" s="113"/>
    </row>
    <row r="22" spans="1:8" ht="17.100000000000001" customHeight="1" x14ac:dyDescent="0.2">
      <c r="A22" s="3">
        <v>16</v>
      </c>
      <c r="B22" s="4" t="s">
        <v>316</v>
      </c>
      <c r="C22" s="4" t="s">
        <v>317</v>
      </c>
      <c r="D22" s="4" t="s">
        <v>56</v>
      </c>
      <c r="E22" s="5">
        <v>10705</v>
      </c>
      <c r="F22" s="6">
        <v>82.637247500000001</v>
      </c>
      <c r="G22" s="7">
        <v>1.9837960000000002E-2</v>
      </c>
      <c r="H22" s="113"/>
    </row>
    <row r="23" spans="1:8" ht="29.1" customHeight="1" x14ac:dyDescent="0.2">
      <c r="A23" s="3">
        <v>17</v>
      </c>
      <c r="B23" s="4" t="s">
        <v>220</v>
      </c>
      <c r="C23" s="4" t="s">
        <v>221</v>
      </c>
      <c r="D23" s="4" t="s">
        <v>222</v>
      </c>
      <c r="E23" s="5">
        <v>2136</v>
      </c>
      <c r="F23" s="6">
        <v>82.304351999999994</v>
      </c>
      <c r="G23" s="7">
        <v>1.9758049999999999E-2</v>
      </c>
      <c r="H23" s="113"/>
    </row>
    <row r="24" spans="1:8" ht="17.100000000000001" customHeight="1" x14ac:dyDescent="0.2">
      <c r="A24" s="3">
        <v>18</v>
      </c>
      <c r="B24" s="4" t="s">
        <v>421</v>
      </c>
      <c r="C24" s="4" t="s">
        <v>422</v>
      </c>
      <c r="D24" s="4" t="s">
        <v>53</v>
      </c>
      <c r="E24" s="5">
        <v>62770</v>
      </c>
      <c r="F24" s="6">
        <v>79.498204999999999</v>
      </c>
      <c r="G24" s="7">
        <v>1.9084400000000001E-2</v>
      </c>
      <c r="H24" s="113"/>
    </row>
    <row r="25" spans="1:8" ht="17.100000000000001" customHeight="1" x14ac:dyDescent="0.2">
      <c r="A25" s="3">
        <v>19</v>
      </c>
      <c r="B25" s="4" t="s">
        <v>425</v>
      </c>
      <c r="C25" s="4" t="s">
        <v>426</v>
      </c>
      <c r="D25" s="4" t="s">
        <v>245</v>
      </c>
      <c r="E25" s="5">
        <v>9506</v>
      </c>
      <c r="F25" s="6">
        <v>77.649760999999998</v>
      </c>
      <c r="G25" s="7">
        <v>1.864066E-2</v>
      </c>
      <c r="H25" s="113"/>
    </row>
    <row r="26" spans="1:8" ht="17.100000000000001" customHeight="1" x14ac:dyDescent="0.2">
      <c r="A26" s="3">
        <v>20</v>
      </c>
      <c r="B26" s="4" t="s">
        <v>452</v>
      </c>
      <c r="C26" s="4" t="s">
        <v>453</v>
      </c>
      <c r="D26" s="4" t="s">
        <v>245</v>
      </c>
      <c r="E26" s="5">
        <v>32152</v>
      </c>
      <c r="F26" s="6">
        <v>73.547700000000006</v>
      </c>
      <c r="G26" s="7">
        <v>1.7655919999999999E-2</v>
      </c>
      <c r="H26" s="113"/>
    </row>
    <row r="27" spans="1:8" ht="17.100000000000001" customHeight="1" x14ac:dyDescent="0.2">
      <c r="A27" s="3">
        <v>21</v>
      </c>
      <c r="B27" s="4" t="s">
        <v>497</v>
      </c>
      <c r="C27" s="4" t="s">
        <v>498</v>
      </c>
      <c r="D27" s="4" t="s">
        <v>13</v>
      </c>
      <c r="E27" s="5">
        <v>10323</v>
      </c>
      <c r="F27" s="6">
        <v>73.210716000000005</v>
      </c>
      <c r="G27" s="7">
        <v>1.757502E-2</v>
      </c>
      <c r="H27" s="113"/>
    </row>
    <row r="28" spans="1:8" ht="29.1" customHeight="1" x14ac:dyDescent="0.2">
      <c r="A28" s="3">
        <v>22</v>
      </c>
      <c r="B28" s="4" t="s">
        <v>437</v>
      </c>
      <c r="C28" s="4" t="s">
        <v>438</v>
      </c>
      <c r="D28" s="4" t="s">
        <v>76</v>
      </c>
      <c r="E28" s="5">
        <v>2903</v>
      </c>
      <c r="F28" s="6">
        <v>72.085844499999993</v>
      </c>
      <c r="G28" s="7">
        <v>1.7304989999999999E-2</v>
      </c>
      <c r="H28" s="113"/>
    </row>
    <row r="29" spans="1:8" ht="17.100000000000001" customHeight="1" x14ac:dyDescent="0.2">
      <c r="A29" s="3">
        <v>23</v>
      </c>
      <c r="B29" s="4" t="s">
        <v>429</v>
      </c>
      <c r="C29" s="4" t="s">
        <v>430</v>
      </c>
      <c r="D29" s="4" t="s">
        <v>892</v>
      </c>
      <c r="E29" s="5">
        <v>5426</v>
      </c>
      <c r="F29" s="6">
        <v>70.868986000000007</v>
      </c>
      <c r="G29" s="7">
        <v>1.7012869999999999E-2</v>
      </c>
      <c r="H29" s="113"/>
    </row>
    <row r="30" spans="1:8" ht="29.1" customHeight="1" x14ac:dyDescent="0.2">
      <c r="A30" s="3">
        <v>24</v>
      </c>
      <c r="B30" s="4" t="s">
        <v>433</v>
      </c>
      <c r="C30" s="4" t="s">
        <v>434</v>
      </c>
      <c r="D30" s="4" t="s">
        <v>31</v>
      </c>
      <c r="E30" s="5">
        <v>3200</v>
      </c>
      <c r="F30" s="6">
        <v>70.665599999999998</v>
      </c>
      <c r="G30" s="7">
        <v>1.696404E-2</v>
      </c>
      <c r="H30" s="113"/>
    </row>
    <row r="31" spans="1:8" ht="29.1" customHeight="1" x14ac:dyDescent="0.2">
      <c r="A31" s="3">
        <v>25</v>
      </c>
      <c r="B31" s="4" t="s">
        <v>439</v>
      </c>
      <c r="C31" s="4" t="s">
        <v>440</v>
      </c>
      <c r="D31" s="4" t="s">
        <v>225</v>
      </c>
      <c r="E31" s="5">
        <v>17769</v>
      </c>
      <c r="F31" s="6">
        <v>70.223088000000004</v>
      </c>
      <c r="G31" s="7">
        <v>1.6857810000000001E-2</v>
      </c>
      <c r="H31" s="113"/>
    </row>
    <row r="32" spans="1:8" ht="17.100000000000001" customHeight="1" x14ac:dyDescent="0.2">
      <c r="A32" s="3">
        <v>26</v>
      </c>
      <c r="B32" s="4" t="s">
        <v>409</v>
      </c>
      <c r="C32" s="4" t="s">
        <v>410</v>
      </c>
      <c r="D32" s="4" t="s">
        <v>13</v>
      </c>
      <c r="E32" s="5">
        <v>48779</v>
      </c>
      <c r="F32" s="6">
        <v>67.924757499999998</v>
      </c>
      <c r="G32" s="7">
        <v>1.6306069999999999E-2</v>
      </c>
      <c r="H32" s="113"/>
    </row>
    <row r="33" spans="1:8" ht="29.1" customHeight="1" x14ac:dyDescent="0.2">
      <c r="A33" s="3">
        <v>27</v>
      </c>
      <c r="B33" s="4" t="s">
        <v>493</v>
      </c>
      <c r="C33" s="4" t="s">
        <v>494</v>
      </c>
      <c r="D33" s="4" t="s">
        <v>31</v>
      </c>
      <c r="E33" s="5">
        <v>11058</v>
      </c>
      <c r="F33" s="6">
        <v>66.690798000000001</v>
      </c>
      <c r="G33" s="7">
        <v>1.6009849999999999E-2</v>
      </c>
      <c r="H33" s="113"/>
    </row>
    <row r="34" spans="1:8" ht="29.1" customHeight="1" x14ac:dyDescent="0.2">
      <c r="A34" s="3">
        <v>28</v>
      </c>
      <c r="B34" s="4" t="s">
        <v>273</v>
      </c>
      <c r="C34" s="4" t="s">
        <v>274</v>
      </c>
      <c r="D34" s="4" t="s">
        <v>225</v>
      </c>
      <c r="E34" s="5">
        <v>14944</v>
      </c>
      <c r="F34" s="6">
        <v>64.289088000000007</v>
      </c>
      <c r="G34" s="7">
        <v>1.5433290000000001E-2</v>
      </c>
      <c r="H34" s="113"/>
    </row>
    <row r="35" spans="1:8" ht="17.100000000000001" customHeight="1" x14ac:dyDescent="0.2">
      <c r="A35" s="3">
        <v>29</v>
      </c>
      <c r="B35" s="4" t="s">
        <v>435</v>
      </c>
      <c r="C35" s="4" t="s">
        <v>436</v>
      </c>
      <c r="D35" s="4" t="s">
        <v>53</v>
      </c>
      <c r="E35" s="5">
        <v>10868</v>
      </c>
      <c r="F35" s="6">
        <v>61.409633999999997</v>
      </c>
      <c r="G35" s="7">
        <v>1.474205E-2</v>
      </c>
      <c r="H35" s="113"/>
    </row>
    <row r="36" spans="1:8" ht="29.1" customHeight="1" x14ac:dyDescent="0.2">
      <c r="A36" s="3">
        <v>30</v>
      </c>
      <c r="B36" s="4" t="s">
        <v>441</v>
      </c>
      <c r="C36" s="4" t="s">
        <v>442</v>
      </c>
      <c r="D36" s="4" t="s">
        <v>443</v>
      </c>
      <c r="E36" s="5">
        <v>39723</v>
      </c>
      <c r="F36" s="6">
        <v>60.021453000000001</v>
      </c>
      <c r="G36" s="7">
        <v>1.4408799999999999E-2</v>
      </c>
      <c r="H36" s="113"/>
    </row>
    <row r="37" spans="1:8" ht="29.1" customHeight="1" x14ac:dyDescent="0.2">
      <c r="A37" s="3">
        <v>31</v>
      </c>
      <c r="B37" s="4" t="s">
        <v>495</v>
      </c>
      <c r="C37" s="4" t="s">
        <v>496</v>
      </c>
      <c r="D37" s="4" t="s">
        <v>483</v>
      </c>
      <c r="E37" s="5">
        <v>9296</v>
      </c>
      <c r="F37" s="6">
        <v>59.843000000000004</v>
      </c>
      <c r="G37" s="7">
        <v>1.4365960000000001E-2</v>
      </c>
      <c r="H37" s="113"/>
    </row>
    <row r="38" spans="1:8" ht="17.100000000000001" customHeight="1" x14ac:dyDescent="0.2">
      <c r="A38" s="3">
        <v>32</v>
      </c>
      <c r="B38" s="4" t="s">
        <v>450</v>
      </c>
      <c r="C38" s="4" t="s">
        <v>451</v>
      </c>
      <c r="D38" s="4" t="s">
        <v>53</v>
      </c>
      <c r="E38" s="5">
        <v>6413</v>
      </c>
      <c r="F38" s="6">
        <v>59.647312999999997</v>
      </c>
      <c r="G38" s="7">
        <v>1.431898E-2</v>
      </c>
      <c r="H38" s="113"/>
    </row>
    <row r="39" spans="1:8" ht="29.1" customHeight="1" x14ac:dyDescent="0.2">
      <c r="A39" s="3">
        <v>33</v>
      </c>
      <c r="B39" s="4" t="s">
        <v>415</v>
      </c>
      <c r="C39" s="4" t="s">
        <v>416</v>
      </c>
      <c r="D39" s="4" t="s">
        <v>225</v>
      </c>
      <c r="E39" s="5">
        <v>3650</v>
      </c>
      <c r="F39" s="6">
        <v>59.299725000000002</v>
      </c>
      <c r="G39" s="7">
        <v>1.423554E-2</v>
      </c>
      <c r="H39" s="113"/>
    </row>
    <row r="40" spans="1:8" ht="17.100000000000001" customHeight="1" x14ac:dyDescent="0.2">
      <c r="A40" s="3">
        <v>34</v>
      </c>
      <c r="B40" s="4" t="s">
        <v>427</v>
      </c>
      <c r="C40" s="4" t="s">
        <v>428</v>
      </c>
      <c r="D40" s="4" t="s">
        <v>56</v>
      </c>
      <c r="E40" s="5">
        <v>5457</v>
      </c>
      <c r="F40" s="6">
        <v>56.750071499999997</v>
      </c>
      <c r="G40" s="7">
        <v>1.362347E-2</v>
      </c>
      <c r="H40" s="113"/>
    </row>
    <row r="41" spans="1:8" ht="17.100000000000001" customHeight="1" x14ac:dyDescent="0.2">
      <c r="A41" s="3">
        <v>35</v>
      </c>
      <c r="B41" s="4" t="s">
        <v>230</v>
      </c>
      <c r="C41" s="4" t="s">
        <v>231</v>
      </c>
      <c r="D41" s="4" t="s">
        <v>107</v>
      </c>
      <c r="E41" s="5">
        <v>707</v>
      </c>
      <c r="F41" s="6">
        <v>54.582874500000003</v>
      </c>
      <c r="G41" s="7">
        <v>1.3103210000000001E-2</v>
      </c>
      <c r="H41" s="113"/>
    </row>
    <row r="42" spans="1:8" ht="17.100000000000001" customHeight="1" x14ac:dyDescent="0.2">
      <c r="A42" s="3">
        <v>36</v>
      </c>
      <c r="B42" s="4" t="s">
        <v>468</v>
      </c>
      <c r="C42" s="4" t="s">
        <v>469</v>
      </c>
      <c r="D42" s="4" t="s">
        <v>28</v>
      </c>
      <c r="E42" s="5">
        <v>12704</v>
      </c>
      <c r="F42" s="6">
        <v>53.185296000000001</v>
      </c>
      <c r="G42" s="7">
        <v>1.276771E-2</v>
      </c>
      <c r="H42" s="113"/>
    </row>
    <row r="43" spans="1:8" ht="17.100000000000001" customHeight="1" x14ac:dyDescent="0.2">
      <c r="A43" s="3">
        <v>37</v>
      </c>
      <c r="B43" s="4" t="s">
        <v>456</v>
      </c>
      <c r="C43" s="4" t="s">
        <v>457</v>
      </c>
      <c r="D43" s="4" t="s">
        <v>56</v>
      </c>
      <c r="E43" s="5">
        <v>11129</v>
      </c>
      <c r="F43" s="6">
        <v>50.074935500000002</v>
      </c>
      <c r="G43" s="7">
        <v>1.202103E-2</v>
      </c>
      <c r="H43" s="113"/>
    </row>
    <row r="44" spans="1:8" ht="29.1" customHeight="1" x14ac:dyDescent="0.2">
      <c r="A44" s="3">
        <v>38</v>
      </c>
      <c r="B44" s="4" t="s">
        <v>499</v>
      </c>
      <c r="C44" s="4" t="s">
        <v>500</v>
      </c>
      <c r="D44" s="4" t="s">
        <v>501</v>
      </c>
      <c r="E44" s="5">
        <v>9504</v>
      </c>
      <c r="F44" s="6">
        <v>43.176672000000003</v>
      </c>
      <c r="G44" s="7">
        <v>1.0365030000000001E-2</v>
      </c>
      <c r="H44" s="113"/>
    </row>
    <row r="45" spans="1:8" ht="17.100000000000001" customHeight="1" x14ac:dyDescent="0.2">
      <c r="A45" s="3">
        <v>39</v>
      </c>
      <c r="B45" s="4" t="s">
        <v>296</v>
      </c>
      <c r="C45" s="4" t="s">
        <v>297</v>
      </c>
      <c r="D45" s="4" t="s">
        <v>53</v>
      </c>
      <c r="E45" s="5">
        <v>4105</v>
      </c>
      <c r="F45" s="6">
        <v>42.694052499999998</v>
      </c>
      <c r="G45" s="7">
        <v>1.024917E-2</v>
      </c>
      <c r="H45" s="113"/>
    </row>
    <row r="46" spans="1:8" ht="17.100000000000001" customHeight="1" x14ac:dyDescent="0.2">
      <c r="A46" s="3">
        <v>40</v>
      </c>
      <c r="B46" s="4" t="s">
        <v>87</v>
      </c>
      <c r="C46" s="4" t="s">
        <v>88</v>
      </c>
      <c r="D46" s="4" t="s">
        <v>34</v>
      </c>
      <c r="E46" s="5">
        <v>4646</v>
      </c>
      <c r="F46" s="6">
        <v>37.411915</v>
      </c>
      <c r="G46" s="7">
        <v>8.9811300000000004E-3</v>
      </c>
      <c r="H46" s="113"/>
    </row>
    <row r="47" spans="1:8" ht="29.1" customHeight="1" x14ac:dyDescent="0.2">
      <c r="A47" s="3">
        <v>41</v>
      </c>
      <c r="B47" s="4" t="s">
        <v>444</v>
      </c>
      <c r="C47" s="4" t="s">
        <v>445</v>
      </c>
      <c r="D47" s="4" t="s">
        <v>215</v>
      </c>
      <c r="E47" s="5">
        <v>5842</v>
      </c>
      <c r="F47" s="6">
        <v>32.534098</v>
      </c>
      <c r="G47" s="7">
        <v>7.81016E-3</v>
      </c>
      <c r="H47" s="113"/>
    </row>
    <row r="48" spans="1:8" ht="29.1" customHeight="1" x14ac:dyDescent="0.2">
      <c r="A48" s="3">
        <v>42</v>
      </c>
      <c r="B48" s="4" t="s">
        <v>460</v>
      </c>
      <c r="C48" s="4" t="s">
        <v>461</v>
      </c>
      <c r="D48" s="4" t="s">
        <v>225</v>
      </c>
      <c r="E48" s="5">
        <v>546</v>
      </c>
      <c r="F48" s="6">
        <v>27.014714999999999</v>
      </c>
      <c r="G48" s="7">
        <v>6.4851700000000002E-3</v>
      </c>
      <c r="H48" s="113"/>
    </row>
    <row r="49" spans="1:8" ht="29.1" customHeight="1" x14ac:dyDescent="0.2">
      <c r="A49" s="3">
        <v>43</v>
      </c>
      <c r="B49" s="4" t="s">
        <v>502</v>
      </c>
      <c r="C49" s="4" t="s">
        <v>503</v>
      </c>
      <c r="D49" s="4" t="s">
        <v>56</v>
      </c>
      <c r="E49" s="5">
        <v>2285</v>
      </c>
      <c r="F49" s="6">
        <v>25.50517</v>
      </c>
      <c r="G49" s="7">
        <v>6.1227900000000004E-3</v>
      </c>
      <c r="H49" s="113"/>
    </row>
    <row r="50" spans="1:8" ht="17.100000000000001" customHeight="1" x14ac:dyDescent="0.2">
      <c r="A50" s="3">
        <v>44</v>
      </c>
      <c r="B50" s="4" t="s">
        <v>462</v>
      </c>
      <c r="C50" s="4" t="s">
        <v>463</v>
      </c>
      <c r="D50" s="4" t="s">
        <v>34</v>
      </c>
      <c r="E50" s="5">
        <v>2302</v>
      </c>
      <c r="F50" s="6">
        <v>22.275303000000001</v>
      </c>
      <c r="G50" s="7">
        <v>5.3474300000000002E-3</v>
      </c>
      <c r="H50" s="113"/>
    </row>
    <row r="51" spans="1:8" ht="29.1" customHeight="1" x14ac:dyDescent="0.2">
      <c r="A51" s="3">
        <v>45</v>
      </c>
      <c r="B51" s="4" t="s">
        <v>464</v>
      </c>
      <c r="C51" s="4" t="s">
        <v>465</v>
      </c>
      <c r="D51" s="4" t="s">
        <v>56</v>
      </c>
      <c r="E51" s="5">
        <v>4172</v>
      </c>
      <c r="F51" s="6">
        <v>12.970748</v>
      </c>
      <c r="G51" s="7">
        <v>3.1137700000000001E-3</v>
      </c>
      <c r="H51" s="113"/>
    </row>
    <row r="52" spans="1:8" ht="17.100000000000001" customHeight="1" x14ac:dyDescent="0.2">
      <c r="A52" s="3">
        <v>46</v>
      </c>
      <c r="B52" s="4" t="s">
        <v>309</v>
      </c>
      <c r="C52" s="4" t="s">
        <v>310</v>
      </c>
      <c r="D52" s="4" t="s">
        <v>53</v>
      </c>
      <c r="E52" s="5">
        <v>707</v>
      </c>
      <c r="F52" s="6">
        <v>10.688072500000001</v>
      </c>
      <c r="G52" s="7">
        <v>2.5657900000000001E-3</v>
      </c>
      <c r="H52" s="113"/>
    </row>
    <row r="53" spans="1:8" ht="29.1" customHeight="1" x14ac:dyDescent="0.2">
      <c r="A53" s="3">
        <v>47</v>
      </c>
      <c r="B53" s="4" t="s">
        <v>466</v>
      </c>
      <c r="C53" s="4" t="s">
        <v>467</v>
      </c>
      <c r="D53" s="4" t="s">
        <v>222</v>
      </c>
      <c r="E53" s="5">
        <v>1792</v>
      </c>
      <c r="F53" s="6">
        <v>9.0307840000000006</v>
      </c>
      <c r="G53" s="7">
        <v>2.1679400000000001E-3</v>
      </c>
      <c r="H53" s="113"/>
    </row>
    <row r="54" spans="1:8" ht="14.1" customHeight="1" x14ac:dyDescent="0.2">
      <c r="A54" s="1"/>
      <c r="B54" s="1"/>
      <c r="C54" s="2" t="s">
        <v>151</v>
      </c>
      <c r="D54" s="1"/>
      <c r="E54" s="1" t="s">
        <v>152</v>
      </c>
      <c r="F54" s="9">
        <v>3938.5362485000001</v>
      </c>
      <c r="G54" s="10">
        <v>0.9454882</v>
      </c>
      <c r="H54" s="113"/>
    </row>
    <row r="55" spans="1:8" ht="14.1" customHeight="1" x14ac:dyDescent="0.2">
      <c r="A55" s="1"/>
      <c r="B55" s="1"/>
      <c r="C55" s="11"/>
      <c r="D55" s="1"/>
      <c r="E55" s="1"/>
      <c r="F55" s="12"/>
      <c r="G55" s="12"/>
      <c r="H55" s="113"/>
    </row>
    <row r="56" spans="1:8" ht="14.1" customHeight="1" x14ac:dyDescent="0.2">
      <c r="A56" s="1"/>
      <c r="B56" s="1"/>
      <c r="C56" s="2" t="s">
        <v>153</v>
      </c>
      <c r="D56" s="1"/>
      <c r="E56" s="1"/>
      <c r="F56" s="1"/>
      <c r="G56" s="1"/>
      <c r="H56" s="113"/>
    </row>
    <row r="57" spans="1:8" ht="14.1" customHeight="1" x14ac:dyDescent="0.2">
      <c r="A57" s="1"/>
      <c r="B57" s="1"/>
      <c r="C57" s="2" t="s">
        <v>151</v>
      </c>
      <c r="D57" s="1"/>
      <c r="E57" s="1" t="s">
        <v>152</v>
      </c>
      <c r="F57" s="13" t="s">
        <v>154</v>
      </c>
      <c r="G57" s="10">
        <v>0</v>
      </c>
      <c r="H57" s="113"/>
    </row>
    <row r="58" spans="1:8" ht="14.1" customHeight="1" x14ac:dyDescent="0.2">
      <c r="A58" s="1"/>
      <c r="B58" s="1"/>
      <c r="C58" s="11"/>
      <c r="D58" s="1"/>
      <c r="E58" s="1"/>
      <c r="F58" s="12"/>
      <c r="G58" s="12"/>
      <c r="H58" s="113"/>
    </row>
    <row r="59" spans="1:8" ht="14.1" customHeight="1" x14ac:dyDescent="0.2">
      <c r="A59" s="1"/>
      <c r="B59" s="1"/>
      <c r="C59" s="2" t="s">
        <v>155</v>
      </c>
      <c r="D59" s="1"/>
      <c r="E59" s="1"/>
      <c r="F59" s="1"/>
      <c r="G59" s="1"/>
      <c r="H59" s="113"/>
    </row>
    <row r="60" spans="1:8" ht="14.1" customHeight="1" x14ac:dyDescent="0.2">
      <c r="A60" s="1"/>
      <c r="B60" s="1"/>
      <c r="C60" s="2" t="s">
        <v>151</v>
      </c>
      <c r="D60" s="1"/>
      <c r="E60" s="1" t="s">
        <v>152</v>
      </c>
      <c r="F60" s="13" t="s">
        <v>154</v>
      </c>
      <c r="G60" s="10">
        <v>0</v>
      </c>
      <c r="H60" s="113"/>
    </row>
    <row r="61" spans="1:8" ht="14.1" customHeight="1" x14ac:dyDescent="0.2">
      <c r="A61" s="1"/>
      <c r="B61" s="1"/>
      <c r="C61" s="11"/>
      <c r="D61" s="1"/>
      <c r="E61" s="1"/>
      <c r="F61" s="12"/>
      <c r="G61" s="12"/>
      <c r="H61" s="113"/>
    </row>
    <row r="62" spans="1:8" ht="14.1" customHeight="1" x14ac:dyDescent="0.2">
      <c r="A62" s="1"/>
      <c r="B62" s="1"/>
      <c r="C62" s="2" t="s">
        <v>156</v>
      </c>
      <c r="D62" s="1"/>
      <c r="E62" s="1"/>
      <c r="F62" s="1"/>
      <c r="G62" s="1"/>
      <c r="H62" s="113"/>
    </row>
    <row r="63" spans="1:8" ht="29.1" customHeight="1" x14ac:dyDescent="0.2">
      <c r="A63" s="3">
        <v>1</v>
      </c>
      <c r="B63" s="4" t="s">
        <v>318</v>
      </c>
      <c r="C63" s="4" t="s">
        <v>898</v>
      </c>
      <c r="D63" s="4" t="s">
        <v>107</v>
      </c>
      <c r="E63" s="5">
        <v>82012</v>
      </c>
      <c r="F63" s="6">
        <v>8.6932720000000003</v>
      </c>
      <c r="G63" s="7">
        <v>2.08691E-3</v>
      </c>
      <c r="H63" s="113"/>
    </row>
    <row r="64" spans="1:8" ht="38.25" x14ac:dyDescent="0.2">
      <c r="A64" s="3">
        <v>2</v>
      </c>
      <c r="B64" s="4" t="s">
        <v>319</v>
      </c>
      <c r="C64" s="4" t="s">
        <v>899</v>
      </c>
      <c r="D64" s="4" t="s">
        <v>53</v>
      </c>
      <c r="E64" s="5">
        <v>82</v>
      </c>
      <c r="F64" s="6">
        <v>8.2013940000000007E-3</v>
      </c>
      <c r="G64" s="7" t="s">
        <v>150</v>
      </c>
      <c r="H64" s="113"/>
    </row>
    <row r="65" spans="1:8" ht="14.1" customHeight="1" x14ac:dyDescent="0.2">
      <c r="A65" s="1"/>
      <c r="B65" s="1"/>
      <c r="C65" s="2" t="s">
        <v>151</v>
      </c>
      <c r="D65" s="1"/>
      <c r="E65" s="1" t="s">
        <v>152</v>
      </c>
      <c r="F65" s="9">
        <v>8.7014733940000006</v>
      </c>
      <c r="G65" s="10">
        <v>2.08888E-3</v>
      </c>
      <c r="H65" s="113"/>
    </row>
    <row r="66" spans="1:8" ht="14.1" customHeight="1" x14ac:dyDescent="0.2">
      <c r="A66" s="1"/>
      <c r="B66" s="1"/>
      <c r="C66" s="11"/>
      <c r="D66" s="1"/>
      <c r="E66" s="1"/>
      <c r="F66" s="12"/>
      <c r="G66" s="12"/>
      <c r="H66" s="113"/>
    </row>
    <row r="67" spans="1:8" ht="14.1" customHeight="1" x14ac:dyDescent="0.2">
      <c r="A67" s="1"/>
      <c r="B67" s="1"/>
      <c r="C67" s="2" t="s">
        <v>157</v>
      </c>
      <c r="D67" s="1"/>
      <c r="E67" s="1"/>
      <c r="F67" s="12"/>
      <c r="G67" s="12"/>
      <c r="H67" s="113"/>
    </row>
    <row r="68" spans="1:8" ht="14.1" customHeight="1" x14ac:dyDescent="0.2">
      <c r="A68" s="1"/>
      <c r="B68" s="1"/>
      <c r="C68" s="2" t="s">
        <v>151</v>
      </c>
      <c r="D68" s="1"/>
      <c r="E68" s="1" t="s">
        <v>152</v>
      </c>
      <c r="F68" s="13" t="s">
        <v>154</v>
      </c>
      <c r="G68" s="10">
        <v>0</v>
      </c>
      <c r="H68" s="113"/>
    </row>
    <row r="69" spans="1:8" ht="14.1" customHeight="1" x14ac:dyDescent="0.2">
      <c r="A69" s="1"/>
      <c r="B69" s="1"/>
      <c r="C69" s="11"/>
      <c r="D69" s="1"/>
      <c r="E69" s="1"/>
      <c r="F69" s="12"/>
      <c r="G69" s="12"/>
      <c r="H69" s="113"/>
    </row>
    <row r="70" spans="1:8" ht="14.1" customHeight="1" x14ac:dyDescent="0.2">
      <c r="A70" s="1"/>
      <c r="B70" s="1"/>
      <c r="C70" s="2" t="s">
        <v>158</v>
      </c>
      <c r="D70" s="1"/>
      <c r="E70" s="1"/>
      <c r="F70" s="12"/>
      <c r="G70" s="12"/>
      <c r="H70" s="113"/>
    </row>
    <row r="71" spans="1:8" ht="14.1" customHeight="1" x14ac:dyDescent="0.2">
      <c r="A71" s="1"/>
      <c r="B71" s="1"/>
      <c r="C71" s="2" t="s">
        <v>151</v>
      </c>
      <c r="D71" s="1"/>
      <c r="E71" s="1" t="s">
        <v>152</v>
      </c>
      <c r="F71" s="13" t="s">
        <v>154</v>
      </c>
      <c r="G71" s="10">
        <v>0</v>
      </c>
      <c r="H71" s="113"/>
    </row>
    <row r="72" spans="1:8" ht="14.1" customHeight="1" x14ac:dyDescent="0.2">
      <c r="A72" s="1"/>
      <c r="B72" s="1"/>
      <c r="C72" s="11"/>
      <c r="D72" s="1"/>
      <c r="E72" s="1"/>
      <c r="F72" s="12"/>
      <c r="G72" s="12"/>
      <c r="H72" s="113"/>
    </row>
    <row r="73" spans="1:8" ht="18" customHeight="1" x14ac:dyDescent="0.2">
      <c r="A73" s="1"/>
      <c r="B73" s="1"/>
      <c r="C73" s="2" t="s">
        <v>159</v>
      </c>
      <c r="D73" s="1"/>
      <c r="E73" s="1"/>
      <c r="F73" s="9">
        <v>3947.2377218940001</v>
      </c>
      <c r="G73" s="10">
        <v>0.94757707999999996</v>
      </c>
      <c r="H73" s="113"/>
    </row>
    <row r="74" spans="1:8" ht="14.1" customHeight="1" x14ac:dyDescent="0.2">
      <c r="A74" s="1"/>
      <c r="B74" s="1"/>
      <c r="C74" s="11"/>
      <c r="D74" s="1"/>
      <c r="E74" s="1"/>
      <c r="F74" s="12"/>
      <c r="G74" s="12"/>
      <c r="H74" s="113"/>
    </row>
    <row r="75" spans="1:8" ht="14.1" customHeight="1" x14ac:dyDescent="0.2">
      <c r="A75" s="1"/>
      <c r="B75" s="1"/>
      <c r="C75" s="2" t="s">
        <v>160</v>
      </c>
      <c r="D75" s="1"/>
      <c r="E75" s="1"/>
      <c r="F75" s="12"/>
      <c r="G75" s="12"/>
      <c r="H75" s="113"/>
    </row>
    <row r="76" spans="1:8" ht="24" customHeight="1" x14ac:dyDescent="0.2">
      <c r="A76" s="1"/>
      <c r="B76" s="1"/>
      <c r="C76" s="2" t="s">
        <v>10</v>
      </c>
      <c r="D76" s="1"/>
      <c r="E76" s="1"/>
      <c r="F76" s="12"/>
      <c r="G76" s="12"/>
      <c r="H76" s="113"/>
    </row>
    <row r="77" spans="1:8" ht="14.1" customHeight="1" x14ac:dyDescent="0.2">
      <c r="A77" s="1"/>
      <c r="B77" s="1"/>
      <c r="C77" s="2" t="s">
        <v>151</v>
      </c>
      <c r="D77" s="1"/>
      <c r="E77" s="1" t="s">
        <v>152</v>
      </c>
      <c r="F77" s="13" t="s">
        <v>154</v>
      </c>
      <c r="G77" s="10">
        <v>0</v>
      </c>
      <c r="H77" s="113"/>
    </row>
    <row r="78" spans="1:8" ht="14.1" customHeight="1" x14ac:dyDescent="0.2">
      <c r="A78" s="1"/>
      <c r="B78" s="1"/>
      <c r="C78" s="11"/>
      <c r="D78" s="1"/>
      <c r="E78" s="1"/>
      <c r="F78" s="12"/>
      <c r="G78" s="12"/>
      <c r="H78" s="113"/>
    </row>
    <row r="79" spans="1:8" ht="14.1" customHeight="1" x14ac:dyDescent="0.2">
      <c r="A79" s="1"/>
      <c r="B79" s="1"/>
      <c r="C79" s="2" t="s">
        <v>161</v>
      </c>
      <c r="D79" s="1"/>
      <c r="E79" s="1"/>
      <c r="F79" s="1"/>
      <c r="G79" s="1"/>
      <c r="H79" s="113"/>
    </row>
    <row r="80" spans="1:8" ht="14.1" customHeight="1" x14ac:dyDescent="0.2">
      <c r="A80" s="1"/>
      <c r="B80" s="1"/>
      <c r="C80" s="2" t="s">
        <v>151</v>
      </c>
      <c r="D80" s="1"/>
      <c r="E80" s="1" t="s">
        <v>152</v>
      </c>
      <c r="F80" s="13" t="s">
        <v>154</v>
      </c>
      <c r="G80" s="10">
        <v>0</v>
      </c>
      <c r="H80" s="113"/>
    </row>
    <row r="81" spans="1:8" ht="14.1" customHeight="1" x14ac:dyDescent="0.2">
      <c r="A81" s="1"/>
      <c r="B81" s="1"/>
      <c r="C81" s="11"/>
      <c r="D81" s="1"/>
      <c r="E81" s="1"/>
      <c r="F81" s="12"/>
      <c r="G81" s="12"/>
      <c r="H81" s="113"/>
    </row>
    <row r="82" spans="1:8" ht="14.1" customHeight="1" x14ac:dyDescent="0.2">
      <c r="A82" s="1"/>
      <c r="B82" s="1"/>
      <c r="C82" s="2" t="s">
        <v>162</v>
      </c>
      <c r="D82" s="1"/>
      <c r="E82" s="1"/>
      <c r="F82" s="1"/>
      <c r="G82" s="1"/>
      <c r="H82" s="113"/>
    </row>
    <row r="83" spans="1:8" ht="14.1" customHeight="1" x14ac:dyDescent="0.2">
      <c r="A83" s="1"/>
      <c r="B83" s="1"/>
      <c r="C83" s="2" t="s">
        <v>151</v>
      </c>
      <c r="D83" s="1"/>
      <c r="E83" s="1" t="s">
        <v>152</v>
      </c>
      <c r="F83" s="13" t="s">
        <v>154</v>
      </c>
      <c r="G83" s="10">
        <v>0</v>
      </c>
      <c r="H83" s="113"/>
    </row>
    <row r="84" spans="1:8" ht="14.1" customHeight="1" x14ac:dyDescent="0.2">
      <c r="A84" s="1"/>
      <c r="B84" s="1"/>
      <c r="C84" s="11"/>
      <c r="D84" s="1"/>
      <c r="E84" s="1"/>
      <c r="F84" s="12"/>
      <c r="G84" s="12"/>
      <c r="H84" s="113"/>
    </row>
    <row r="85" spans="1:8" ht="14.1" customHeight="1" x14ac:dyDescent="0.2">
      <c r="A85" s="1"/>
      <c r="B85" s="1"/>
      <c r="C85" s="2" t="s">
        <v>163</v>
      </c>
      <c r="D85" s="1"/>
      <c r="E85" s="1"/>
      <c r="F85" s="12"/>
      <c r="G85" s="12"/>
      <c r="H85" s="113"/>
    </row>
    <row r="86" spans="1:8" ht="14.1" customHeight="1" x14ac:dyDescent="0.2">
      <c r="A86" s="1"/>
      <c r="B86" s="1"/>
      <c r="C86" s="2" t="s">
        <v>151</v>
      </c>
      <c r="D86" s="1"/>
      <c r="E86" s="1" t="s">
        <v>152</v>
      </c>
      <c r="F86" s="13" t="s">
        <v>154</v>
      </c>
      <c r="G86" s="10">
        <v>0</v>
      </c>
      <c r="H86" s="113"/>
    </row>
    <row r="87" spans="1:8" ht="14.1" customHeight="1" x14ac:dyDescent="0.2">
      <c r="A87" s="1"/>
      <c r="B87" s="1"/>
      <c r="C87" s="11"/>
      <c r="D87" s="1"/>
      <c r="E87" s="1"/>
      <c r="F87" s="12"/>
      <c r="G87" s="12"/>
      <c r="H87" s="113"/>
    </row>
    <row r="88" spans="1:8" ht="14.1" customHeight="1" x14ac:dyDescent="0.2">
      <c r="A88" s="1"/>
      <c r="B88" s="1"/>
      <c r="C88" s="2" t="s">
        <v>164</v>
      </c>
      <c r="D88" s="1"/>
      <c r="E88" s="1"/>
      <c r="F88" s="9">
        <v>0</v>
      </c>
      <c r="G88" s="10">
        <v>0</v>
      </c>
      <c r="H88" s="113"/>
    </row>
    <row r="89" spans="1:8" ht="14.1" customHeight="1" x14ac:dyDescent="0.2">
      <c r="A89" s="1"/>
      <c r="B89" s="1"/>
      <c r="C89" s="11"/>
      <c r="D89" s="1"/>
      <c r="E89" s="1"/>
      <c r="F89" s="12"/>
      <c r="G89" s="12"/>
      <c r="H89" s="113"/>
    </row>
    <row r="90" spans="1:8" ht="14.1" customHeight="1" x14ac:dyDescent="0.2">
      <c r="A90" s="1"/>
      <c r="B90" s="1"/>
      <c r="C90" s="2" t="s">
        <v>165</v>
      </c>
      <c r="D90" s="1"/>
      <c r="E90" s="1"/>
      <c r="F90" s="12"/>
      <c r="G90" s="12"/>
      <c r="H90" s="113"/>
    </row>
    <row r="91" spans="1:8" ht="14.1" customHeight="1" x14ac:dyDescent="0.2">
      <c r="A91" s="1"/>
      <c r="B91" s="1"/>
      <c r="C91" s="2" t="s">
        <v>166</v>
      </c>
      <c r="D91" s="1"/>
      <c r="E91" s="1"/>
      <c r="F91" s="12"/>
      <c r="G91" s="12"/>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167</v>
      </c>
      <c r="D94" s="1"/>
      <c r="E94" s="1"/>
      <c r="F94" s="12"/>
      <c r="G94" s="12"/>
      <c r="H94" s="113"/>
    </row>
    <row r="95" spans="1:8" ht="14.1" customHeight="1" x14ac:dyDescent="0.2">
      <c r="A95" s="1"/>
      <c r="B95" s="1"/>
      <c r="C95" s="2" t="s">
        <v>151</v>
      </c>
      <c r="D95" s="1"/>
      <c r="E95" s="1" t="s">
        <v>152</v>
      </c>
      <c r="F95" s="13" t="s">
        <v>154</v>
      </c>
      <c r="G95" s="10">
        <v>0</v>
      </c>
      <c r="H95" s="113"/>
    </row>
    <row r="96" spans="1:8" ht="14.1" customHeight="1" x14ac:dyDescent="0.2">
      <c r="A96" s="1"/>
      <c r="B96" s="1"/>
      <c r="C96" s="11"/>
      <c r="D96" s="1"/>
      <c r="E96" s="1"/>
      <c r="F96" s="12"/>
      <c r="G96" s="12"/>
      <c r="H96" s="113"/>
    </row>
    <row r="97" spans="1:8" ht="14.1" customHeight="1" x14ac:dyDescent="0.2">
      <c r="A97" s="1"/>
      <c r="B97" s="1"/>
      <c r="C97" s="2" t="s">
        <v>168</v>
      </c>
      <c r="D97" s="1"/>
      <c r="E97" s="1"/>
      <c r="F97" s="12"/>
      <c r="G97" s="12"/>
      <c r="H97" s="113"/>
    </row>
    <row r="98" spans="1:8" ht="14.1" customHeight="1" x14ac:dyDescent="0.2">
      <c r="A98" s="1"/>
      <c r="B98" s="1"/>
      <c r="C98" s="2" t="s">
        <v>151</v>
      </c>
      <c r="D98" s="1"/>
      <c r="E98" s="1" t="s">
        <v>152</v>
      </c>
      <c r="F98" s="13" t="s">
        <v>154</v>
      </c>
      <c r="G98" s="10">
        <v>0</v>
      </c>
      <c r="H98" s="113"/>
    </row>
    <row r="99" spans="1:8" ht="14.1" customHeight="1" x14ac:dyDescent="0.2">
      <c r="A99" s="1"/>
      <c r="B99" s="1"/>
      <c r="C99" s="11"/>
      <c r="D99" s="1"/>
      <c r="E99" s="1"/>
      <c r="F99" s="12"/>
      <c r="G99" s="12"/>
      <c r="H99" s="113"/>
    </row>
    <row r="100" spans="1:8" ht="14.1" customHeight="1" x14ac:dyDescent="0.2">
      <c r="A100" s="1"/>
      <c r="B100" s="1"/>
      <c r="C100" s="2" t="s">
        <v>169</v>
      </c>
      <c r="D100" s="1"/>
      <c r="E100" s="1"/>
      <c r="F100" s="12"/>
      <c r="G100" s="12"/>
      <c r="H100" s="113"/>
    </row>
    <row r="101" spans="1:8" ht="17.100000000000001" customHeight="1" x14ac:dyDescent="0.2">
      <c r="A101" s="3">
        <v>1</v>
      </c>
      <c r="B101" s="4"/>
      <c r="C101" s="4" t="s">
        <v>170</v>
      </c>
      <c r="D101" s="4"/>
      <c r="E101" s="8"/>
      <c r="F101" s="6">
        <v>254.83817899900001</v>
      </c>
      <c r="G101" s="7">
        <v>6.1176660000000001E-2</v>
      </c>
      <c r="H101" s="113">
        <v>6.7600000000000016</v>
      </c>
    </row>
    <row r="102" spans="1:8" ht="14.1" customHeight="1" x14ac:dyDescent="0.2">
      <c r="A102" s="1"/>
      <c r="B102" s="1"/>
      <c r="C102" s="2" t="s">
        <v>151</v>
      </c>
      <c r="D102" s="1"/>
      <c r="E102" s="1" t="s">
        <v>152</v>
      </c>
      <c r="F102" s="9">
        <v>254.83817899900001</v>
      </c>
      <c r="G102" s="10">
        <v>6.1176660000000001E-2</v>
      </c>
      <c r="H102" s="113"/>
    </row>
    <row r="103" spans="1:8" ht="14.1" customHeight="1" x14ac:dyDescent="0.2">
      <c r="A103" s="1"/>
      <c r="B103" s="1"/>
      <c r="C103" s="11"/>
      <c r="D103" s="1"/>
      <c r="E103" s="1"/>
      <c r="F103" s="12"/>
      <c r="G103" s="12"/>
      <c r="H103" s="113"/>
    </row>
    <row r="104" spans="1:8" ht="14.1" customHeight="1" x14ac:dyDescent="0.2">
      <c r="A104" s="1"/>
      <c r="B104" s="1"/>
      <c r="C104" s="2" t="s">
        <v>171</v>
      </c>
      <c r="D104" s="1"/>
      <c r="E104" s="1"/>
      <c r="F104" s="9">
        <v>254.83817899900001</v>
      </c>
      <c r="G104" s="10">
        <v>6.1176660000000001E-2</v>
      </c>
      <c r="H104" s="113"/>
    </row>
    <row r="105" spans="1:8" ht="14.1" customHeight="1" x14ac:dyDescent="0.2">
      <c r="A105" s="1"/>
      <c r="B105" s="1"/>
      <c r="C105" s="12"/>
      <c r="D105" s="1"/>
      <c r="E105" s="1"/>
      <c r="F105" s="1"/>
      <c r="G105" s="1"/>
      <c r="H105" s="113"/>
    </row>
    <row r="106" spans="1:8" ht="14.1" customHeight="1" x14ac:dyDescent="0.2">
      <c r="A106" s="1"/>
      <c r="B106" s="1"/>
      <c r="C106" s="2" t="s">
        <v>172</v>
      </c>
      <c r="D106" s="1"/>
      <c r="E106" s="1"/>
      <c r="F106" s="1"/>
      <c r="G106" s="1"/>
      <c r="H106" s="113"/>
    </row>
    <row r="107" spans="1:8" ht="14.1" customHeight="1" x14ac:dyDescent="0.2">
      <c r="A107" s="1"/>
      <c r="B107" s="1"/>
      <c r="C107" s="2" t="s">
        <v>173</v>
      </c>
      <c r="D107" s="1"/>
      <c r="E107" s="1"/>
      <c r="F107" s="1"/>
      <c r="G107" s="1"/>
      <c r="H107" s="113"/>
    </row>
    <row r="108" spans="1:8" ht="14.1" customHeight="1" x14ac:dyDescent="0.2">
      <c r="A108" s="1"/>
      <c r="B108" s="1"/>
      <c r="C108" s="2" t="s">
        <v>151</v>
      </c>
      <c r="D108" s="1"/>
      <c r="E108" s="1" t="s">
        <v>152</v>
      </c>
      <c r="F108" s="13" t="s">
        <v>154</v>
      </c>
      <c r="G108" s="10">
        <v>0</v>
      </c>
      <c r="H108" s="113"/>
    </row>
    <row r="109" spans="1:8" ht="14.1" customHeight="1" x14ac:dyDescent="0.2">
      <c r="A109" s="1"/>
      <c r="B109" s="1"/>
      <c r="C109" s="11"/>
      <c r="D109" s="1"/>
      <c r="E109" s="1"/>
      <c r="F109" s="12"/>
      <c r="G109" s="12"/>
      <c r="H109" s="113"/>
    </row>
    <row r="110" spans="1:8" ht="14.1" customHeight="1" x14ac:dyDescent="0.2">
      <c r="A110" s="1"/>
      <c r="B110" s="1"/>
      <c r="C110" s="2" t="s">
        <v>174</v>
      </c>
      <c r="D110" s="1"/>
      <c r="E110" s="1"/>
      <c r="F110" s="1"/>
      <c r="G110" s="1"/>
      <c r="H110" s="113"/>
    </row>
    <row r="111" spans="1:8" ht="14.1" customHeight="1" x14ac:dyDescent="0.2">
      <c r="A111" s="1"/>
      <c r="B111" s="1"/>
      <c r="C111" s="2" t="s">
        <v>175</v>
      </c>
      <c r="D111" s="1"/>
      <c r="E111" s="1"/>
      <c r="F111" s="1"/>
      <c r="G111" s="1"/>
      <c r="H111" s="113"/>
    </row>
    <row r="112" spans="1:8" ht="14.1" customHeight="1" x14ac:dyDescent="0.2">
      <c r="A112" s="1"/>
      <c r="B112" s="1"/>
      <c r="C112" s="2" t="s">
        <v>151</v>
      </c>
      <c r="D112" s="1"/>
      <c r="E112" s="1" t="s">
        <v>152</v>
      </c>
      <c r="F112" s="13" t="s">
        <v>154</v>
      </c>
      <c r="G112" s="10">
        <v>0</v>
      </c>
      <c r="H112" s="113"/>
    </row>
    <row r="113" spans="1:8" ht="14.1" customHeight="1" x14ac:dyDescent="0.2">
      <c r="A113" s="1"/>
      <c r="B113" s="1"/>
      <c r="C113" s="11"/>
      <c r="D113" s="1"/>
      <c r="E113" s="1"/>
      <c r="F113" s="12"/>
      <c r="G113" s="12"/>
      <c r="H113" s="113"/>
    </row>
    <row r="114" spans="1:8" ht="24" customHeight="1" x14ac:dyDescent="0.2">
      <c r="A114" s="1"/>
      <c r="B114" s="1"/>
      <c r="C114" s="2" t="s">
        <v>176</v>
      </c>
      <c r="D114" s="1"/>
      <c r="E114" s="1"/>
      <c r="F114" s="12"/>
      <c r="G114" s="12"/>
      <c r="H114" s="113"/>
    </row>
    <row r="115" spans="1:8" ht="14.1" customHeight="1" x14ac:dyDescent="0.2">
      <c r="A115" s="1"/>
      <c r="B115" s="1"/>
      <c r="C115" s="2" t="s">
        <v>151</v>
      </c>
      <c r="D115" s="1"/>
      <c r="E115" s="1" t="s">
        <v>152</v>
      </c>
      <c r="F115" s="13" t="s">
        <v>154</v>
      </c>
      <c r="G115" s="10">
        <v>0</v>
      </c>
      <c r="H115" s="113"/>
    </row>
    <row r="116" spans="1:8" ht="14.1" customHeight="1" x14ac:dyDescent="0.2">
      <c r="A116" s="1"/>
      <c r="B116" s="1"/>
      <c r="C116" s="11"/>
      <c r="D116" s="1"/>
      <c r="E116" s="1"/>
      <c r="F116" s="12"/>
      <c r="G116" s="12"/>
      <c r="H116" s="113"/>
    </row>
    <row r="117" spans="1:8" ht="14.1" customHeight="1" x14ac:dyDescent="0.2">
      <c r="A117" s="1"/>
      <c r="B117" s="4"/>
      <c r="C117" s="4"/>
      <c r="D117" s="2"/>
      <c r="E117" s="1"/>
      <c r="F117" s="4"/>
      <c r="G117" s="8"/>
      <c r="H117" s="113"/>
    </row>
    <row r="118" spans="1:8" ht="18" customHeight="1" x14ac:dyDescent="0.2">
      <c r="A118" s="8"/>
      <c r="B118" s="4"/>
      <c r="C118" s="4" t="s">
        <v>177</v>
      </c>
      <c r="D118" s="4"/>
      <c r="E118" s="8"/>
      <c r="F118" s="6">
        <v>-36.464573129999998</v>
      </c>
      <c r="G118" s="7">
        <v>-8.7537199999999996E-3</v>
      </c>
      <c r="H118" s="113"/>
    </row>
    <row r="119" spans="1:8" ht="14.1" customHeight="1" x14ac:dyDescent="0.2">
      <c r="A119" s="11"/>
      <c r="B119" s="11"/>
      <c r="C119" s="2" t="s">
        <v>178</v>
      </c>
      <c r="D119" s="12"/>
      <c r="E119" s="12"/>
      <c r="F119" s="9">
        <v>4165.6113277630002</v>
      </c>
      <c r="G119" s="14">
        <v>1.0000000200000001</v>
      </c>
      <c r="H119" s="113"/>
    </row>
    <row r="120" spans="1:8" ht="14.1" customHeight="1" x14ac:dyDescent="0.2">
      <c r="A120" s="15"/>
      <c r="B120" s="15"/>
      <c r="C120" s="15"/>
      <c r="D120" s="16"/>
      <c r="E120" s="16"/>
      <c r="F120" s="16"/>
      <c r="G120" s="16"/>
    </row>
    <row r="121" spans="1:8" ht="17.100000000000001" customHeight="1" x14ac:dyDescent="0.2">
      <c r="A121" s="17"/>
      <c r="B121" s="207" t="s">
        <v>179</v>
      </c>
      <c r="C121" s="207"/>
      <c r="D121" s="207"/>
      <c r="E121" s="207"/>
      <c r="F121" s="207"/>
      <c r="G121" s="19"/>
    </row>
    <row r="122" spans="1:8" ht="14.1" customHeight="1" x14ac:dyDescent="0.2">
      <c r="A122" s="17"/>
      <c r="B122" s="17"/>
      <c r="C122" s="17"/>
      <c r="D122" s="19"/>
      <c r="E122" s="19"/>
      <c r="F122" s="19"/>
      <c r="G122" s="19"/>
    </row>
    <row r="123" spans="1:8" ht="14.1" customHeight="1" x14ac:dyDescent="0.2">
      <c r="A123" s="17"/>
      <c r="B123" s="208" t="s">
        <v>180</v>
      </c>
      <c r="C123" s="209"/>
      <c r="D123" s="210"/>
      <c r="E123" s="20"/>
      <c r="F123" s="19"/>
      <c r="G123" s="19"/>
    </row>
    <row r="124" spans="1:8" ht="29.1" customHeight="1" x14ac:dyDescent="0.2">
      <c r="A124" s="17"/>
      <c r="B124" s="205" t="s">
        <v>181</v>
      </c>
      <c r="C124" s="206"/>
      <c r="D124" s="2" t="s">
        <v>182</v>
      </c>
      <c r="E124" s="20"/>
      <c r="F124" s="19"/>
      <c r="G124" s="19"/>
    </row>
    <row r="125" spans="1:8" ht="29.1" customHeight="1" x14ac:dyDescent="0.2">
      <c r="A125" s="17"/>
      <c r="B125" s="205" t="s">
        <v>900</v>
      </c>
      <c r="C125" s="206"/>
      <c r="D125" s="2" t="s">
        <v>902</v>
      </c>
      <c r="E125" s="20"/>
      <c r="F125" s="19"/>
      <c r="G125" s="19"/>
    </row>
    <row r="126" spans="1:8" ht="17.100000000000001" customHeight="1" x14ac:dyDescent="0.2">
      <c r="A126" s="17"/>
      <c r="B126" s="205" t="s">
        <v>184</v>
      </c>
      <c r="C126" s="206"/>
      <c r="D126" s="12" t="s">
        <v>152</v>
      </c>
      <c r="E126" s="20"/>
      <c r="F126" s="19"/>
      <c r="G126" s="19"/>
    </row>
    <row r="127" spans="1:8" ht="25.5" x14ac:dyDescent="0.2">
      <c r="A127" s="21"/>
      <c r="B127" s="22" t="s">
        <v>152</v>
      </c>
      <c r="C127" s="22" t="s">
        <v>185</v>
      </c>
      <c r="D127" s="22" t="s">
        <v>186</v>
      </c>
      <c r="E127" s="21"/>
      <c r="F127" s="21"/>
      <c r="G127" s="21"/>
    </row>
    <row r="128" spans="1:8" ht="18" customHeight="1" x14ac:dyDescent="0.2">
      <c r="A128" s="21"/>
      <c r="B128" s="23" t="s">
        <v>187</v>
      </c>
      <c r="C128" s="22" t="s">
        <v>188</v>
      </c>
      <c r="D128" s="22" t="s">
        <v>189</v>
      </c>
      <c r="E128" s="21"/>
      <c r="F128" s="21"/>
      <c r="G128" s="21"/>
    </row>
    <row r="129" spans="1:7" ht="17.100000000000001" customHeight="1" x14ac:dyDescent="0.2">
      <c r="A129" s="21"/>
      <c r="B129" s="4" t="s">
        <v>190</v>
      </c>
      <c r="C129" s="24">
        <v>23.0715</v>
      </c>
      <c r="D129" s="24">
        <v>24.283100000000001</v>
      </c>
      <c r="E129" s="21"/>
      <c r="F129" s="18"/>
      <c r="G129" s="25"/>
    </row>
    <row r="130" spans="1:7" ht="17.100000000000001" customHeight="1" x14ac:dyDescent="0.2">
      <c r="A130" s="21"/>
      <c r="B130" s="4" t="s">
        <v>1033</v>
      </c>
      <c r="C130" s="24">
        <v>23.0715</v>
      </c>
      <c r="D130" s="24">
        <v>23.502600000000001</v>
      </c>
      <c r="E130" s="21"/>
      <c r="F130" s="18"/>
      <c r="G130" s="25"/>
    </row>
    <row r="131" spans="1:7" ht="17.100000000000001" customHeight="1" x14ac:dyDescent="0.2">
      <c r="A131" s="21"/>
      <c r="B131" s="4" t="s">
        <v>191</v>
      </c>
      <c r="C131" s="24">
        <v>22.0975</v>
      </c>
      <c r="D131" s="24">
        <v>23.2532</v>
      </c>
      <c r="E131" s="21"/>
      <c r="F131" s="18"/>
      <c r="G131" s="25"/>
    </row>
    <row r="132" spans="1:7" ht="17.100000000000001" customHeight="1" x14ac:dyDescent="0.2">
      <c r="A132" s="21"/>
      <c r="B132" s="4" t="s">
        <v>1034</v>
      </c>
      <c r="C132" s="24">
        <v>22.0974</v>
      </c>
      <c r="D132" s="24">
        <v>22.4727</v>
      </c>
      <c r="E132" s="21"/>
      <c r="F132" s="18"/>
      <c r="G132" s="25"/>
    </row>
    <row r="133" spans="1:7" ht="14.1" customHeight="1" x14ac:dyDescent="0.2">
      <c r="A133" s="21"/>
      <c r="B133" s="21"/>
      <c r="C133" s="21"/>
      <c r="D133" s="21"/>
      <c r="E133" s="21"/>
      <c r="F133" s="21"/>
      <c r="G133" s="21"/>
    </row>
    <row r="134" spans="1:7" ht="17.100000000000001" customHeight="1" x14ac:dyDescent="0.2">
      <c r="A134" s="21"/>
      <c r="B134" s="205" t="s">
        <v>1035</v>
      </c>
      <c r="C134" s="206"/>
      <c r="D134" s="2" t="s">
        <v>152</v>
      </c>
      <c r="E134" s="21"/>
      <c r="F134" s="21"/>
      <c r="G134" s="21"/>
    </row>
    <row r="135" spans="1:7" ht="18" customHeight="1" x14ac:dyDescent="0.2">
      <c r="A135" s="21"/>
      <c r="B135" s="29" t="s">
        <v>187</v>
      </c>
      <c r="C135" s="30" t="s">
        <v>470</v>
      </c>
      <c r="D135" s="30" t="s">
        <v>471</v>
      </c>
      <c r="E135" s="21"/>
      <c r="F135" s="21"/>
      <c r="G135" s="21"/>
    </row>
    <row r="136" spans="1:7" ht="17.100000000000001" customHeight="1" x14ac:dyDescent="0.2">
      <c r="A136" s="21"/>
      <c r="B136" s="4" t="s">
        <v>1033</v>
      </c>
      <c r="C136" s="31">
        <v>0.75</v>
      </c>
      <c r="D136" s="8" t="s">
        <v>472</v>
      </c>
      <c r="E136" s="21"/>
      <c r="F136" s="18"/>
      <c r="G136" s="25"/>
    </row>
    <row r="137" spans="1:7" ht="17.100000000000001" customHeight="1" x14ac:dyDescent="0.2">
      <c r="A137" s="21"/>
      <c r="B137" s="4" t="s">
        <v>1034</v>
      </c>
      <c r="C137" s="31">
        <v>0.75</v>
      </c>
      <c r="D137" s="8" t="s">
        <v>472</v>
      </c>
      <c r="E137" s="21"/>
      <c r="F137" s="18"/>
      <c r="G137" s="25"/>
    </row>
    <row r="138" spans="1:7" ht="14.1" customHeight="1" x14ac:dyDescent="0.2">
      <c r="A138" s="21"/>
      <c r="B138" s="32"/>
      <c r="C138" s="32"/>
      <c r="D138" s="33"/>
      <c r="E138" s="21"/>
      <c r="F138" s="18"/>
      <c r="G138" s="25"/>
    </row>
    <row r="139" spans="1:7" ht="29.1" customHeight="1" x14ac:dyDescent="0.2">
      <c r="A139" s="21"/>
      <c r="B139" s="205" t="s">
        <v>192</v>
      </c>
      <c r="C139" s="206"/>
      <c r="D139" s="2" t="s">
        <v>182</v>
      </c>
      <c r="E139" s="27"/>
      <c r="F139" s="21"/>
      <c r="G139" s="21"/>
    </row>
    <row r="140" spans="1:7" ht="29.1" customHeight="1" x14ac:dyDescent="0.2">
      <c r="A140" s="21"/>
      <c r="B140" s="205" t="s">
        <v>193</v>
      </c>
      <c r="C140" s="206"/>
      <c r="D140" s="2" t="s">
        <v>182</v>
      </c>
      <c r="E140" s="27"/>
      <c r="F140" s="21"/>
      <c r="G140" s="21"/>
    </row>
    <row r="141" spans="1:7" ht="17.100000000000001" customHeight="1" x14ac:dyDescent="0.2">
      <c r="A141" s="21"/>
      <c r="B141" s="205" t="s">
        <v>194</v>
      </c>
      <c r="C141" s="206"/>
      <c r="D141" s="2" t="s">
        <v>182</v>
      </c>
      <c r="E141" s="27"/>
      <c r="F141" s="21"/>
      <c r="G141" s="21"/>
    </row>
    <row r="142" spans="1:7" ht="17.100000000000001" customHeight="1" x14ac:dyDescent="0.2">
      <c r="A142" s="21"/>
      <c r="B142" s="205" t="s">
        <v>195</v>
      </c>
      <c r="C142" s="206"/>
      <c r="D142" s="28">
        <v>0.11533755300736254</v>
      </c>
      <c r="E142" s="21"/>
      <c r="F142" s="18"/>
      <c r="G142" s="25"/>
    </row>
    <row r="158" spans="10:14" x14ac:dyDescent="0.2">
      <c r="J158" s="198"/>
      <c r="K158" s="198"/>
      <c r="L158" s="198"/>
      <c r="M158" s="198"/>
      <c r="N158" s="198"/>
    </row>
  </sheetData>
  <mergeCells count="14">
    <mergeCell ref="B142:C142"/>
    <mergeCell ref="B125:C125"/>
    <mergeCell ref="B126:C126"/>
    <mergeCell ref="B134:C134"/>
    <mergeCell ref="B139:C139"/>
    <mergeCell ref="B140:C140"/>
    <mergeCell ref="B141:C141"/>
    <mergeCell ref="J2:N2"/>
    <mergeCell ref="B124:C124"/>
    <mergeCell ref="B121:F121"/>
    <mergeCell ref="B123:D123"/>
    <mergeCell ref="A1:H1"/>
    <mergeCell ref="A2:H2"/>
    <mergeCell ref="A3:H3"/>
  </mergeCells>
  <hyperlinks>
    <hyperlink ref="I1" location="Index!B13" display="Index" xr:uid="{59B45179-108F-4902-86D2-7358550B2AC8}"/>
  </hyperlink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6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507</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342</v>
      </c>
      <c r="C7" s="4" t="s">
        <v>343</v>
      </c>
      <c r="D7" s="4" t="s">
        <v>267</v>
      </c>
      <c r="E7" s="5">
        <v>293271</v>
      </c>
      <c r="F7" s="6">
        <v>9384.2320935000007</v>
      </c>
      <c r="G7" s="7">
        <v>3.1199009999999999E-2</v>
      </c>
      <c r="H7" s="113"/>
    </row>
    <row r="8" spans="1:14" ht="29.1" customHeight="1" x14ac:dyDescent="0.2">
      <c r="A8" s="3">
        <v>2</v>
      </c>
      <c r="B8" s="4" t="s">
        <v>508</v>
      </c>
      <c r="C8" s="4" t="s">
        <v>509</v>
      </c>
      <c r="D8" s="4" t="s">
        <v>225</v>
      </c>
      <c r="E8" s="5">
        <v>1271712</v>
      </c>
      <c r="F8" s="6">
        <v>9191.9343360000003</v>
      </c>
      <c r="G8" s="7">
        <v>3.055969E-2</v>
      </c>
      <c r="H8" s="113"/>
    </row>
    <row r="9" spans="1:14" ht="17.100000000000001" customHeight="1" x14ac:dyDescent="0.2">
      <c r="A9" s="3">
        <v>3</v>
      </c>
      <c r="B9" s="4" t="s">
        <v>49</v>
      </c>
      <c r="C9" s="4" t="s">
        <v>50</v>
      </c>
      <c r="D9" s="4" t="s">
        <v>34</v>
      </c>
      <c r="E9" s="5">
        <v>277474</v>
      </c>
      <c r="F9" s="6">
        <v>9016.3788929999992</v>
      </c>
      <c r="G9" s="7">
        <v>2.9976039999999999E-2</v>
      </c>
      <c r="H9" s="113"/>
    </row>
    <row r="10" spans="1:14" ht="17.100000000000001" customHeight="1" x14ac:dyDescent="0.2">
      <c r="A10" s="3">
        <v>4</v>
      </c>
      <c r="B10" s="4" t="s">
        <v>35</v>
      </c>
      <c r="C10" s="4" t="s">
        <v>36</v>
      </c>
      <c r="D10" s="4" t="s">
        <v>34</v>
      </c>
      <c r="E10" s="5">
        <v>248570</v>
      </c>
      <c r="F10" s="6">
        <v>8617.300475</v>
      </c>
      <c r="G10" s="7">
        <v>2.8649250000000001E-2</v>
      </c>
      <c r="H10" s="113"/>
    </row>
    <row r="11" spans="1:14" ht="17.100000000000001" customHeight="1" x14ac:dyDescent="0.2">
      <c r="A11" s="3">
        <v>5</v>
      </c>
      <c r="B11" s="4" t="s">
        <v>417</v>
      </c>
      <c r="C11" s="4" t="s">
        <v>418</v>
      </c>
      <c r="D11" s="4" t="s">
        <v>53</v>
      </c>
      <c r="E11" s="5">
        <v>1102494</v>
      </c>
      <c r="F11" s="6">
        <v>8573.5445909999999</v>
      </c>
      <c r="G11" s="7">
        <v>2.8503779999999999E-2</v>
      </c>
      <c r="H11" s="113"/>
    </row>
    <row r="12" spans="1:14" ht="17.100000000000001" customHeight="1" x14ac:dyDescent="0.2">
      <c r="A12" s="3">
        <v>6</v>
      </c>
      <c r="B12" s="4" t="s">
        <v>26</v>
      </c>
      <c r="C12" s="4" t="s">
        <v>27</v>
      </c>
      <c r="D12" s="4" t="s">
        <v>28</v>
      </c>
      <c r="E12" s="5">
        <v>775149</v>
      </c>
      <c r="F12" s="6">
        <v>7725.1349339999997</v>
      </c>
      <c r="G12" s="7">
        <v>2.568314E-2</v>
      </c>
      <c r="H12" s="113"/>
    </row>
    <row r="13" spans="1:14" ht="17.100000000000001" customHeight="1" x14ac:dyDescent="0.2">
      <c r="A13" s="3">
        <v>7</v>
      </c>
      <c r="B13" s="4" t="s">
        <v>296</v>
      </c>
      <c r="C13" s="4" t="s">
        <v>297</v>
      </c>
      <c r="D13" s="4" t="s">
        <v>53</v>
      </c>
      <c r="E13" s="5">
        <v>700492</v>
      </c>
      <c r="F13" s="6">
        <v>7285.4670459999998</v>
      </c>
      <c r="G13" s="7">
        <v>2.4221409999999999E-2</v>
      </c>
      <c r="H13" s="113"/>
      <c r="J13" s="194" t="s">
        <v>1157</v>
      </c>
    </row>
    <row r="14" spans="1:14" ht="17.100000000000001" customHeight="1" x14ac:dyDescent="0.2">
      <c r="A14" s="3">
        <v>8</v>
      </c>
      <c r="B14" s="4" t="s">
        <v>435</v>
      </c>
      <c r="C14" s="4" t="s">
        <v>436</v>
      </c>
      <c r="D14" s="4" t="s">
        <v>53</v>
      </c>
      <c r="E14" s="5">
        <v>1219075</v>
      </c>
      <c r="F14" s="6">
        <v>6888.3832874999998</v>
      </c>
      <c r="G14" s="7">
        <v>2.290126E-2</v>
      </c>
      <c r="H14" s="113"/>
    </row>
    <row r="15" spans="1:14" ht="17.100000000000001" customHeight="1" x14ac:dyDescent="0.2">
      <c r="A15" s="3">
        <v>9</v>
      </c>
      <c r="B15" s="4" t="s">
        <v>510</v>
      </c>
      <c r="C15" s="4" t="s">
        <v>511</v>
      </c>
      <c r="D15" s="4" t="s">
        <v>295</v>
      </c>
      <c r="E15" s="5">
        <v>410580</v>
      </c>
      <c r="F15" s="6">
        <v>6808.4428500000004</v>
      </c>
      <c r="G15" s="7">
        <v>2.2635490000000001E-2</v>
      </c>
      <c r="H15" s="113"/>
    </row>
    <row r="16" spans="1:14" ht="17.100000000000001" customHeight="1" x14ac:dyDescent="0.2">
      <c r="A16" s="3">
        <v>10</v>
      </c>
      <c r="B16" s="4" t="s">
        <v>110</v>
      </c>
      <c r="C16" s="4" t="s">
        <v>111</v>
      </c>
      <c r="D16" s="4" t="s">
        <v>53</v>
      </c>
      <c r="E16" s="5">
        <v>1754986</v>
      </c>
      <c r="F16" s="6">
        <v>6714.5764360000003</v>
      </c>
      <c r="G16" s="7">
        <v>2.232342E-2</v>
      </c>
      <c r="H16" s="113"/>
    </row>
    <row r="17" spans="1:10" ht="17.100000000000001" customHeight="1" x14ac:dyDescent="0.2">
      <c r="A17" s="3">
        <v>11</v>
      </c>
      <c r="B17" s="4" t="s">
        <v>129</v>
      </c>
      <c r="C17" s="4" t="s">
        <v>130</v>
      </c>
      <c r="D17" s="4" t="s">
        <v>56</v>
      </c>
      <c r="E17" s="5">
        <v>1528052</v>
      </c>
      <c r="F17" s="6">
        <v>6543.1186639999996</v>
      </c>
      <c r="G17" s="7">
        <v>2.1753390000000001E-2</v>
      </c>
      <c r="H17" s="113"/>
    </row>
    <row r="18" spans="1:10" ht="17.100000000000001" customHeight="1" x14ac:dyDescent="0.2">
      <c r="A18" s="3">
        <v>12</v>
      </c>
      <c r="B18" s="4" t="s">
        <v>401</v>
      </c>
      <c r="C18" s="4" t="s">
        <v>402</v>
      </c>
      <c r="D18" s="4" t="s">
        <v>56</v>
      </c>
      <c r="E18" s="5">
        <v>335006</v>
      </c>
      <c r="F18" s="6">
        <v>6537.1395810000004</v>
      </c>
      <c r="G18" s="7">
        <v>2.1733510000000001E-2</v>
      </c>
      <c r="H18" s="113"/>
    </row>
    <row r="19" spans="1:10" ht="17.100000000000001" customHeight="1" x14ac:dyDescent="0.2">
      <c r="A19" s="3">
        <v>13</v>
      </c>
      <c r="B19" s="4" t="s">
        <v>512</v>
      </c>
      <c r="C19" s="4" t="s">
        <v>513</v>
      </c>
      <c r="D19" s="4" t="s">
        <v>892</v>
      </c>
      <c r="E19" s="5">
        <v>262702</v>
      </c>
      <c r="F19" s="6">
        <v>6024.1509130000004</v>
      </c>
      <c r="G19" s="7">
        <v>2.0028020000000001E-2</v>
      </c>
      <c r="H19" s="113"/>
    </row>
    <row r="20" spans="1:10" ht="17.100000000000001" customHeight="1" x14ac:dyDescent="0.2">
      <c r="A20" s="3">
        <v>14</v>
      </c>
      <c r="B20" s="4" t="s">
        <v>71</v>
      </c>
      <c r="C20" s="4" t="s">
        <v>72</v>
      </c>
      <c r="D20" s="4" t="s">
        <v>73</v>
      </c>
      <c r="E20" s="5">
        <v>661106</v>
      </c>
      <c r="F20" s="6">
        <v>5928.4680550000003</v>
      </c>
      <c r="G20" s="7">
        <v>1.9709910000000001E-2</v>
      </c>
      <c r="H20" s="113"/>
    </row>
    <row r="21" spans="1:10" ht="17.100000000000001" customHeight="1" x14ac:dyDescent="0.2">
      <c r="A21" s="3">
        <v>15</v>
      </c>
      <c r="B21" s="4" t="s">
        <v>425</v>
      </c>
      <c r="C21" s="4" t="s">
        <v>426</v>
      </c>
      <c r="D21" s="4" t="s">
        <v>245</v>
      </c>
      <c r="E21" s="5">
        <v>722140</v>
      </c>
      <c r="F21" s="6">
        <v>5898.8005899999998</v>
      </c>
      <c r="G21" s="7">
        <v>1.961127E-2</v>
      </c>
      <c r="H21" s="113"/>
    </row>
    <row r="22" spans="1:10" ht="17.100000000000001" customHeight="1" x14ac:dyDescent="0.2">
      <c r="A22" s="3">
        <v>16</v>
      </c>
      <c r="B22" s="4" t="s">
        <v>399</v>
      </c>
      <c r="C22" s="4" t="s">
        <v>400</v>
      </c>
      <c r="D22" s="4" t="s">
        <v>28</v>
      </c>
      <c r="E22" s="5">
        <v>5314047</v>
      </c>
      <c r="F22" s="6">
        <v>5606.3195850000002</v>
      </c>
      <c r="G22" s="7">
        <v>1.8638890000000002E-2</v>
      </c>
      <c r="H22" s="113"/>
    </row>
    <row r="23" spans="1:10" ht="17.100000000000001" customHeight="1" x14ac:dyDescent="0.2">
      <c r="A23" s="3">
        <v>17</v>
      </c>
      <c r="B23" s="4" t="s">
        <v>62</v>
      </c>
      <c r="C23" s="4" t="s">
        <v>63</v>
      </c>
      <c r="D23" s="4" t="s">
        <v>28</v>
      </c>
      <c r="E23" s="5">
        <v>842743</v>
      </c>
      <c r="F23" s="6">
        <v>5410.8314314999998</v>
      </c>
      <c r="G23" s="7">
        <v>1.7988959999999998E-2</v>
      </c>
      <c r="H23" s="113"/>
    </row>
    <row r="24" spans="1:10" ht="17.100000000000001" customHeight="1" x14ac:dyDescent="0.2">
      <c r="A24" s="3">
        <v>18</v>
      </c>
      <c r="B24" s="4" t="s">
        <v>514</v>
      </c>
      <c r="C24" s="4" t="s">
        <v>515</v>
      </c>
      <c r="D24" s="4" t="s">
        <v>891</v>
      </c>
      <c r="E24" s="5">
        <v>711442</v>
      </c>
      <c r="F24" s="6">
        <v>5177.8748759999999</v>
      </c>
      <c r="G24" s="7">
        <v>1.7214469999999999E-2</v>
      </c>
      <c r="H24" s="113"/>
      <c r="J24" s="194" t="s">
        <v>1158</v>
      </c>
    </row>
    <row r="25" spans="1:10" ht="29.1" customHeight="1" x14ac:dyDescent="0.2">
      <c r="A25" s="3">
        <v>19</v>
      </c>
      <c r="B25" s="4" t="s">
        <v>415</v>
      </c>
      <c r="C25" s="4" t="s">
        <v>416</v>
      </c>
      <c r="D25" s="4" t="s">
        <v>225</v>
      </c>
      <c r="E25" s="5">
        <v>311732</v>
      </c>
      <c r="F25" s="6">
        <v>5064.553938</v>
      </c>
      <c r="G25" s="7">
        <v>1.683772E-2</v>
      </c>
      <c r="H25" s="113"/>
    </row>
    <row r="26" spans="1:10" ht="17.100000000000001" customHeight="1" x14ac:dyDescent="0.2">
      <c r="A26" s="3">
        <v>20</v>
      </c>
      <c r="B26" s="4" t="s">
        <v>516</v>
      </c>
      <c r="C26" s="4" t="s">
        <v>517</v>
      </c>
      <c r="D26" s="4" t="s">
        <v>267</v>
      </c>
      <c r="E26" s="5">
        <v>85868</v>
      </c>
      <c r="F26" s="6">
        <v>4911.4349300000003</v>
      </c>
      <c r="G26" s="7">
        <v>1.6328659999999998E-2</v>
      </c>
      <c r="H26" s="113"/>
    </row>
    <row r="27" spans="1:10" ht="17.100000000000001" customHeight="1" x14ac:dyDescent="0.2">
      <c r="A27" s="3">
        <v>21</v>
      </c>
      <c r="B27" s="4" t="s">
        <v>321</v>
      </c>
      <c r="C27" s="4" t="s">
        <v>322</v>
      </c>
      <c r="D27" s="4" t="s">
        <v>28</v>
      </c>
      <c r="E27" s="5">
        <v>265432</v>
      </c>
      <c r="F27" s="6">
        <v>4536.8964599999999</v>
      </c>
      <c r="G27" s="7">
        <v>1.508346E-2</v>
      </c>
      <c r="H27" s="113"/>
    </row>
    <row r="28" spans="1:10" ht="17.100000000000001" customHeight="1" x14ac:dyDescent="0.2">
      <c r="A28" s="3">
        <v>22</v>
      </c>
      <c r="B28" s="4" t="s">
        <v>239</v>
      </c>
      <c r="C28" s="4" t="s">
        <v>240</v>
      </c>
      <c r="D28" s="4" t="s">
        <v>891</v>
      </c>
      <c r="E28" s="5">
        <v>70837</v>
      </c>
      <c r="F28" s="6">
        <v>4444.5967280000004</v>
      </c>
      <c r="G28" s="7">
        <v>1.4776600000000001E-2</v>
      </c>
      <c r="H28" s="113"/>
    </row>
    <row r="29" spans="1:10" ht="17.100000000000001" customHeight="1" x14ac:dyDescent="0.2">
      <c r="A29" s="3">
        <v>23</v>
      </c>
      <c r="B29" s="4" t="s">
        <v>407</v>
      </c>
      <c r="C29" s="4" t="s">
        <v>408</v>
      </c>
      <c r="D29" s="4" t="s">
        <v>257</v>
      </c>
      <c r="E29" s="5">
        <v>260719</v>
      </c>
      <c r="F29" s="6">
        <v>4325.4585694999996</v>
      </c>
      <c r="G29" s="7">
        <v>1.4380510000000001E-2</v>
      </c>
      <c r="H29" s="113"/>
    </row>
    <row r="30" spans="1:10" ht="17.100000000000001" customHeight="1" x14ac:dyDescent="0.2">
      <c r="A30" s="3">
        <v>24</v>
      </c>
      <c r="B30" s="4" t="s">
        <v>249</v>
      </c>
      <c r="C30" s="4" t="s">
        <v>250</v>
      </c>
      <c r="D30" s="4" t="s">
        <v>245</v>
      </c>
      <c r="E30" s="5">
        <v>592238</v>
      </c>
      <c r="F30" s="6">
        <v>4124.6415509999997</v>
      </c>
      <c r="G30" s="7">
        <v>1.371287E-2</v>
      </c>
      <c r="H30" s="113"/>
    </row>
    <row r="31" spans="1:10" ht="17.100000000000001" customHeight="1" x14ac:dyDescent="0.2">
      <c r="A31" s="3">
        <v>25</v>
      </c>
      <c r="B31" s="4" t="s">
        <v>87</v>
      </c>
      <c r="C31" s="4" t="s">
        <v>88</v>
      </c>
      <c r="D31" s="4" t="s">
        <v>34</v>
      </c>
      <c r="E31" s="5">
        <v>496826</v>
      </c>
      <c r="F31" s="6">
        <v>4000.6913650000001</v>
      </c>
      <c r="G31" s="7">
        <v>1.330078E-2</v>
      </c>
      <c r="H31" s="113"/>
    </row>
    <row r="32" spans="1:10" ht="29.1" customHeight="1" x14ac:dyDescent="0.2">
      <c r="A32" s="3">
        <v>26</v>
      </c>
      <c r="B32" s="4" t="s">
        <v>85</v>
      </c>
      <c r="C32" s="4" t="s">
        <v>86</v>
      </c>
      <c r="D32" s="4" t="s">
        <v>25</v>
      </c>
      <c r="E32" s="5">
        <v>274747</v>
      </c>
      <c r="F32" s="6">
        <v>3958.9668965000001</v>
      </c>
      <c r="G32" s="7">
        <v>1.316206E-2</v>
      </c>
      <c r="H32" s="113"/>
    </row>
    <row r="33" spans="1:8" ht="29.1" customHeight="1" x14ac:dyDescent="0.2">
      <c r="A33" s="3">
        <v>27</v>
      </c>
      <c r="B33" s="4" t="s">
        <v>518</v>
      </c>
      <c r="C33" s="4" t="s">
        <v>519</v>
      </c>
      <c r="D33" s="4" t="s">
        <v>222</v>
      </c>
      <c r="E33" s="5">
        <v>265529</v>
      </c>
      <c r="F33" s="6">
        <v>3929.9619644999998</v>
      </c>
      <c r="G33" s="7">
        <v>1.306563E-2</v>
      </c>
      <c r="H33" s="113"/>
    </row>
    <row r="34" spans="1:8" ht="29.1" customHeight="1" x14ac:dyDescent="0.2">
      <c r="A34" s="3">
        <v>28</v>
      </c>
      <c r="B34" s="4" t="s">
        <v>520</v>
      </c>
      <c r="C34" s="4" t="s">
        <v>521</v>
      </c>
      <c r="D34" s="4" t="s">
        <v>501</v>
      </c>
      <c r="E34" s="5">
        <v>2058571</v>
      </c>
      <c r="F34" s="6">
        <v>3805.2684935000002</v>
      </c>
      <c r="G34" s="7">
        <v>1.265107E-2</v>
      </c>
      <c r="H34" s="113"/>
    </row>
    <row r="35" spans="1:8" ht="17.100000000000001" customHeight="1" x14ac:dyDescent="0.2">
      <c r="A35" s="3">
        <v>29</v>
      </c>
      <c r="B35" s="4" t="s">
        <v>313</v>
      </c>
      <c r="C35" s="4" t="s">
        <v>314</v>
      </c>
      <c r="D35" s="4" t="s">
        <v>315</v>
      </c>
      <c r="E35" s="5">
        <v>452552</v>
      </c>
      <c r="F35" s="6">
        <v>3732.6488960000001</v>
      </c>
      <c r="G35" s="7">
        <v>1.240964E-2</v>
      </c>
      <c r="H35" s="113"/>
    </row>
    <row r="36" spans="1:8" ht="17.100000000000001" customHeight="1" x14ac:dyDescent="0.2">
      <c r="A36" s="3">
        <v>30</v>
      </c>
      <c r="B36" s="4" t="s">
        <v>454</v>
      </c>
      <c r="C36" s="4" t="s">
        <v>455</v>
      </c>
      <c r="D36" s="4" t="s">
        <v>34</v>
      </c>
      <c r="E36" s="5">
        <v>333607</v>
      </c>
      <c r="F36" s="6">
        <v>3714.3803379999999</v>
      </c>
      <c r="G36" s="7">
        <v>1.2348909999999999E-2</v>
      </c>
      <c r="H36" s="113"/>
    </row>
    <row r="37" spans="1:8" ht="29.1" customHeight="1" x14ac:dyDescent="0.2">
      <c r="A37" s="3">
        <v>31</v>
      </c>
      <c r="B37" s="4" t="s">
        <v>460</v>
      </c>
      <c r="C37" s="4" t="s">
        <v>461</v>
      </c>
      <c r="D37" s="4" t="s">
        <v>225</v>
      </c>
      <c r="E37" s="5">
        <v>74554</v>
      </c>
      <c r="F37" s="6">
        <v>3688.745535</v>
      </c>
      <c r="G37" s="7">
        <v>1.2263680000000001E-2</v>
      </c>
      <c r="H37" s="113"/>
    </row>
    <row r="38" spans="1:8" ht="17.100000000000001" customHeight="1" x14ac:dyDescent="0.2">
      <c r="A38" s="3">
        <v>32</v>
      </c>
      <c r="B38" s="4" t="s">
        <v>305</v>
      </c>
      <c r="C38" s="4" t="s">
        <v>306</v>
      </c>
      <c r="D38" s="4" t="s">
        <v>28</v>
      </c>
      <c r="E38" s="5">
        <v>3237028</v>
      </c>
      <c r="F38" s="6">
        <v>3644.8935280000001</v>
      </c>
      <c r="G38" s="7">
        <v>1.2117889999999999E-2</v>
      </c>
      <c r="H38" s="113"/>
    </row>
    <row r="39" spans="1:8" ht="17.100000000000001" customHeight="1" x14ac:dyDescent="0.2">
      <c r="A39" s="3">
        <v>33</v>
      </c>
      <c r="B39" s="4" t="s">
        <v>429</v>
      </c>
      <c r="C39" s="4" t="s">
        <v>430</v>
      </c>
      <c r="D39" s="4" t="s">
        <v>892</v>
      </c>
      <c r="E39" s="5">
        <v>278193</v>
      </c>
      <c r="F39" s="6">
        <v>3633.4787729999998</v>
      </c>
      <c r="G39" s="7">
        <v>1.2079940000000001E-2</v>
      </c>
      <c r="H39" s="113"/>
    </row>
    <row r="40" spans="1:8" ht="17.100000000000001" customHeight="1" x14ac:dyDescent="0.2">
      <c r="A40" s="3">
        <v>34</v>
      </c>
      <c r="B40" s="4" t="s">
        <v>522</v>
      </c>
      <c r="C40" s="4" t="s">
        <v>523</v>
      </c>
      <c r="D40" s="4" t="s">
        <v>891</v>
      </c>
      <c r="E40" s="5">
        <v>498569</v>
      </c>
      <c r="F40" s="6">
        <v>3594.9317744999998</v>
      </c>
      <c r="G40" s="7">
        <v>1.195178E-2</v>
      </c>
      <c r="H40" s="113"/>
    </row>
    <row r="41" spans="1:8" ht="17.100000000000001" customHeight="1" x14ac:dyDescent="0.2">
      <c r="A41" s="3">
        <v>35</v>
      </c>
      <c r="B41" s="4" t="s">
        <v>365</v>
      </c>
      <c r="C41" s="4" t="s">
        <v>366</v>
      </c>
      <c r="D41" s="4" t="s">
        <v>53</v>
      </c>
      <c r="E41" s="5">
        <v>48252</v>
      </c>
      <c r="F41" s="6">
        <v>3535.78593</v>
      </c>
      <c r="G41" s="7">
        <v>1.1755150000000001E-2</v>
      </c>
      <c r="H41" s="113"/>
    </row>
    <row r="42" spans="1:8" ht="17.100000000000001" customHeight="1" x14ac:dyDescent="0.2">
      <c r="A42" s="3">
        <v>36</v>
      </c>
      <c r="B42" s="4" t="s">
        <v>125</v>
      </c>
      <c r="C42" s="4" t="s">
        <v>126</v>
      </c>
      <c r="D42" s="4" t="s">
        <v>13</v>
      </c>
      <c r="E42" s="5">
        <v>815770</v>
      </c>
      <c r="F42" s="6">
        <v>3526.9815950000002</v>
      </c>
      <c r="G42" s="7">
        <v>1.1725879999999999E-2</v>
      </c>
      <c r="H42" s="113"/>
    </row>
    <row r="43" spans="1:8" ht="17.100000000000001" customHeight="1" x14ac:dyDescent="0.2">
      <c r="A43" s="3">
        <v>37</v>
      </c>
      <c r="B43" s="4" t="s">
        <v>235</v>
      </c>
      <c r="C43" s="4" t="s">
        <v>236</v>
      </c>
      <c r="D43" s="4" t="s">
        <v>61</v>
      </c>
      <c r="E43" s="5">
        <v>1129242</v>
      </c>
      <c r="F43" s="6">
        <v>3455.4805200000001</v>
      </c>
      <c r="G43" s="7">
        <v>1.1488160000000001E-2</v>
      </c>
      <c r="H43" s="113"/>
    </row>
    <row r="44" spans="1:8" ht="17.100000000000001" customHeight="1" x14ac:dyDescent="0.2">
      <c r="A44" s="3">
        <v>38</v>
      </c>
      <c r="B44" s="4" t="s">
        <v>524</v>
      </c>
      <c r="C44" s="40" t="s">
        <v>1020</v>
      </c>
      <c r="D44" s="4" t="s">
        <v>248</v>
      </c>
      <c r="E44" s="5">
        <v>618162</v>
      </c>
      <c r="F44" s="6">
        <v>3210.1152659999998</v>
      </c>
      <c r="G44" s="7">
        <v>1.067242E-2</v>
      </c>
      <c r="H44" s="113"/>
    </row>
    <row r="45" spans="1:8" ht="29.1" customHeight="1" x14ac:dyDescent="0.2">
      <c r="A45" s="3">
        <v>39</v>
      </c>
      <c r="B45" s="4" t="s">
        <v>220</v>
      </c>
      <c r="C45" s="4" t="s">
        <v>221</v>
      </c>
      <c r="D45" s="4" t="s">
        <v>222</v>
      </c>
      <c r="E45" s="5">
        <v>77717</v>
      </c>
      <c r="F45" s="6">
        <v>2994.5914440000001</v>
      </c>
      <c r="G45" s="7">
        <v>9.9558800000000003E-3</v>
      </c>
      <c r="H45" s="113"/>
    </row>
    <row r="46" spans="1:8" ht="17.100000000000001" customHeight="1" x14ac:dyDescent="0.2">
      <c r="A46" s="3">
        <v>40</v>
      </c>
      <c r="B46" s="4" t="s">
        <v>525</v>
      </c>
      <c r="C46" s="4" t="s">
        <v>526</v>
      </c>
      <c r="D46" s="4" t="s">
        <v>73</v>
      </c>
      <c r="E46" s="5">
        <v>302110</v>
      </c>
      <c r="F46" s="6">
        <v>2977.8982700000001</v>
      </c>
      <c r="G46" s="7">
        <v>9.9003800000000003E-3</v>
      </c>
      <c r="H46" s="113"/>
    </row>
    <row r="47" spans="1:8" ht="17.100000000000001" customHeight="1" x14ac:dyDescent="0.2">
      <c r="A47" s="3">
        <v>41</v>
      </c>
      <c r="B47" s="4" t="s">
        <v>527</v>
      </c>
      <c r="C47" s="4" t="s">
        <v>528</v>
      </c>
      <c r="D47" s="4" t="s">
        <v>300</v>
      </c>
      <c r="E47" s="5">
        <v>45640</v>
      </c>
      <c r="F47" s="6">
        <v>2958.7271000000001</v>
      </c>
      <c r="G47" s="7">
        <v>9.8366500000000006E-3</v>
      </c>
      <c r="H47" s="113"/>
    </row>
    <row r="48" spans="1:8" ht="17.100000000000001" customHeight="1" x14ac:dyDescent="0.2">
      <c r="A48" s="3">
        <v>42</v>
      </c>
      <c r="B48" s="4" t="s">
        <v>529</v>
      </c>
      <c r="C48" s="4" t="s">
        <v>530</v>
      </c>
      <c r="D48" s="4" t="s">
        <v>267</v>
      </c>
      <c r="E48" s="5">
        <v>160942</v>
      </c>
      <c r="F48" s="6">
        <v>2936.225848</v>
      </c>
      <c r="G48" s="7">
        <v>9.7618400000000008E-3</v>
      </c>
      <c r="H48" s="113"/>
    </row>
    <row r="49" spans="1:8" ht="17.100000000000001" customHeight="1" x14ac:dyDescent="0.2">
      <c r="A49" s="3">
        <v>43</v>
      </c>
      <c r="B49" s="4" t="s">
        <v>531</v>
      </c>
      <c r="C49" s="4" t="s">
        <v>532</v>
      </c>
      <c r="D49" s="4" t="s">
        <v>210</v>
      </c>
      <c r="E49" s="5">
        <v>94501</v>
      </c>
      <c r="F49" s="6">
        <v>2928.8694930000001</v>
      </c>
      <c r="G49" s="7">
        <v>9.7373800000000003E-3</v>
      </c>
      <c r="H49" s="113"/>
    </row>
    <row r="50" spans="1:8" ht="17.100000000000001" customHeight="1" x14ac:dyDescent="0.2">
      <c r="A50" s="3">
        <v>44</v>
      </c>
      <c r="B50" s="4" t="s">
        <v>283</v>
      </c>
      <c r="C50" s="4" t="s">
        <v>284</v>
      </c>
      <c r="D50" s="4" t="s">
        <v>891</v>
      </c>
      <c r="E50" s="5">
        <v>192980</v>
      </c>
      <c r="F50" s="6">
        <v>2921.4277299999999</v>
      </c>
      <c r="G50" s="7">
        <v>9.7126399999999998E-3</v>
      </c>
      <c r="H50" s="113"/>
    </row>
    <row r="51" spans="1:8" ht="17.100000000000001" customHeight="1" x14ac:dyDescent="0.2">
      <c r="A51" s="3">
        <v>45</v>
      </c>
      <c r="B51" s="4" t="s">
        <v>199</v>
      </c>
      <c r="C51" s="4" t="s">
        <v>200</v>
      </c>
      <c r="D51" s="4" t="s">
        <v>107</v>
      </c>
      <c r="E51" s="5">
        <v>82456</v>
      </c>
      <c r="F51" s="6">
        <v>2920.3029240000001</v>
      </c>
      <c r="G51" s="7">
        <v>9.7088999999999995E-3</v>
      </c>
      <c r="H51" s="113"/>
    </row>
    <row r="52" spans="1:8" ht="29.1" customHeight="1" x14ac:dyDescent="0.2">
      <c r="A52" s="3">
        <v>46</v>
      </c>
      <c r="B52" s="4" t="s">
        <v>533</v>
      </c>
      <c r="C52" s="4" t="s">
        <v>534</v>
      </c>
      <c r="D52" s="4" t="s">
        <v>483</v>
      </c>
      <c r="E52" s="5">
        <v>709805</v>
      </c>
      <c r="F52" s="6">
        <v>2913.3946225</v>
      </c>
      <c r="G52" s="7">
        <v>9.6859300000000006E-3</v>
      </c>
      <c r="H52" s="113"/>
    </row>
    <row r="53" spans="1:8" ht="29.1" customHeight="1" x14ac:dyDescent="0.2">
      <c r="A53" s="3">
        <v>47</v>
      </c>
      <c r="B53" s="4" t="s">
        <v>535</v>
      </c>
      <c r="C53" s="4" t="s">
        <v>536</v>
      </c>
      <c r="D53" s="4" t="s">
        <v>225</v>
      </c>
      <c r="E53" s="5">
        <v>484538</v>
      </c>
      <c r="F53" s="6">
        <v>2904.5630409999999</v>
      </c>
      <c r="G53" s="7">
        <v>9.6565699999999997E-3</v>
      </c>
      <c r="H53" s="113"/>
    </row>
    <row r="54" spans="1:8" ht="17.100000000000001" customHeight="1" x14ac:dyDescent="0.2">
      <c r="A54" s="3">
        <v>48</v>
      </c>
      <c r="B54" s="4" t="s">
        <v>117</v>
      </c>
      <c r="C54" s="4" t="s">
        <v>118</v>
      </c>
      <c r="D54" s="4" t="s">
        <v>41</v>
      </c>
      <c r="E54" s="5">
        <v>1099317</v>
      </c>
      <c r="F54" s="6">
        <v>2858.7738585000002</v>
      </c>
      <c r="G54" s="7">
        <v>9.50434E-3</v>
      </c>
      <c r="H54" s="113"/>
    </row>
    <row r="55" spans="1:8" ht="17.100000000000001" customHeight="1" x14ac:dyDescent="0.2">
      <c r="A55" s="3">
        <v>49</v>
      </c>
      <c r="B55" s="4" t="s">
        <v>537</v>
      </c>
      <c r="C55" s="4" t="s">
        <v>538</v>
      </c>
      <c r="D55" s="4" t="s">
        <v>267</v>
      </c>
      <c r="E55" s="5">
        <v>311824</v>
      </c>
      <c r="F55" s="6">
        <v>2702.2667839999999</v>
      </c>
      <c r="G55" s="7">
        <v>8.9840100000000006E-3</v>
      </c>
      <c r="H55" s="113"/>
    </row>
    <row r="56" spans="1:8" ht="17.100000000000001" customHeight="1" x14ac:dyDescent="0.2">
      <c r="A56" s="3">
        <v>50</v>
      </c>
      <c r="B56" s="4" t="s">
        <v>403</v>
      </c>
      <c r="C56" s="4" t="s">
        <v>404</v>
      </c>
      <c r="D56" s="4" t="s">
        <v>267</v>
      </c>
      <c r="E56" s="5">
        <v>74172</v>
      </c>
      <c r="F56" s="6">
        <v>2586.971016</v>
      </c>
      <c r="G56" s="7">
        <v>8.6006999999999993E-3</v>
      </c>
      <c r="H56" s="113"/>
    </row>
    <row r="57" spans="1:8" ht="17.100000000000001" customHeight="1" x14ac:dyDescent="0.2">
      <c r="A57" s="3">
        <v>51</v>
      </c>
      <c r="B57" s="4" t="s">
        <v>346</v>
      </c>
      <c r="C57" s="4" t="s">
        <v>347</v>
      </c>
      <c r="D57" s="4" t="s">
        <v>891</v>
      </c>
      <c r="E57" s="5">
        <v>40961</v>
      </c>
      <c r="F57" s="6">
        <v>2578.4744694999999</v>
      </c>
      <c r="G57" s="7">
        <v>8.5724500000000006E-3</v>
      </c>
      <c r="H57" s="113"/>
    </row>
    <row r="58" spans="1:8" ht="17.100000000000001" customHeight="1" x14ac:dyDescent="0.2">
      <c r="A58" s="3">
        <v>52</v>
      </c>
      <c r="B58" s="4" t="s">
        <v>539</v>
      </c>
      <c r="C58" s="4" t="s">
        <v>540</v>
      </c>
      <c r="D58" s="4" t="s">
        <v>210</v>
      </c>
      <c r="E58" s="5">
        <v>609647</v>
      </c>
      <c r="F58" s="6">
        <v>2498.3334060000002</v>
      </c>
      <c r="G58" s="7">
        <v>8.3060100000000008E-3</v>
      </c>
      <c r="H58" s="113"/>
    </row>
    <row r="59" spans="1:8" ht="17.100000000000001" customHeight="1" x14ac:dyDescent="0.2">
      <c r="A59" s="3">
        <v>53</v>
      </c>
      <c r="B59" s="4" t="s">
        <v>121</v>
      </c>
      <c r="C59" s="4" t="s">
        <v>122</v>
      </c>
      <c r="D59" s="4" t="s">
        <v>107</v>
      </c>
      <c r="E59" s="5">
        <v>402291</v>
      </c>
      <c r="F59" s="6">
        <v>2489.3767079999998</v>
      </c>
      <c r="G59" s="7">
        <v>8.2762300000000007E-3</v>
      </c>
      <c r="H59" s="113"/>
    </row>
    <row r="60" spans="1:8" ht="17.100000000000001" customHeight="1" x14ac:dyDescent="0.2">
      <c r="A60" s="3">
        <v>54</v>
      </c>
      <c r="B60" s="4" t="s">
        <v>468</v>
      </c>
      <c r="C60" s="4" t="s">
        <v>469</v>
      </c>
      <c r="D60" s="4" t="s">
        <v>28</v>
      </c>
      <c r="E60" s="5">
        <v>592865</v>
      </c>
      <c r="F60" s="6">
        <v>2482.0293225</v>
      </c>
      <c r="G60" s="7">
        <v>8.25181E-3</v>
      </c>
      <c r="H60" s="113"/>
    </row>
    <row r="61" spans="1:8" ht="17.100000000000001" customHeight="1" x14ac:dyDescent="0.2">
      <c r="A61" s="3">
        <v>55</v>
      </c>
      <c r="B61" s="4" t="s">
        <v>42</v>
      </c>
      <c r="C61" s="4" t="s">
        <v>43</v>
      </c>
      <c r="D61" s="4" t="s">
        <v>13</v>
      </c>
      <c r="E61" s="5">
        <v>690873</v>
      </c>
      <c r="F61" s="6">
        <v>2428.0731584999999</v>
      </c>
      <c r="G61" s="7">
        <v>8.0724200000000003E-3</v>
      </c>
      <c r="H61" s="113"/>
    </row>
    <row r="62" spans="1:8" ht="17.100000000000001" customHeight="1" x14ac:dyDescent="0.2">
      <c r="A62" s="3">
        <v>56</v>
      </c>
      <c r="B62" s="4" t="s">
        <v>357</v>
      </c>
      <c r="C62" s="4" t="s">
        <v>358</v>
      </c>
      <c r="D62" s="4" t="s">
        <v>34</v>
      </c>
      <c r="E62" s="5">
        <v>255189</v>
      </c>
      <c r="F62" s="6">
        <v>2341.6142639999998</v>
      </c>
      <c r="G62" s="7">
        <v>7.7849800000000004E-3</v>
      </c>
      <c r="H62" s="113"/>
    </row>
    <row r="63" spans="1:8" ht="17.100000000000001" customHeight="1" x14ac:dyDescent="0.2">
      <c r="A63" s="3">
        <v>57</v>
      </c>
      <c r="B63" s="4" t="s">
        <v>54</v>
      </c>
      <c r="C63" s="4" t="s">
        <v>55</v>
      </c>
      <c r="D63" s="4" t="s">
        <v>56</v>
      </c>
      <c r="E63" s="5">
        <v>33458</v>
      </c>
      <c r="F63" s="6">
        <v>2197.1032150000001</v>
      </c>
      <c r="G63" s="7">
        <v>7.3045300000000001E-3</v>
      </c>
      <c r="H63" s="113"/>
    </row>
    <row r="64" spans="1:8" ht="17.100000000000001" customHeight="1" x14ac:dyDescent="0.2">
      <c r="A64" s="3">
        <v>58</v>
      </c>
      <c r="B64" s="4" t="s">
        <v>265</v>
      </c>
      <c r="C64" s="4" t="s">
        <v>266</v>
      </c>
      <c r="D64" s="4" t="s">
        <v>267</v>
      </c>
      <c r="E64" s="5">
        <v>80661</v>
      </c>
      <c r="F64" s="6">
        <v>2138.6457540000001</v>
      </c>
      <c r="G64" s="7">
        <v>7.1101899999999997E-3</v>
      </c>
      <c r="H64" s="113"/>
    </row>
    <row r="65" spans="1:8" ht="17.100000000000001" customHeight="1" x14ac:dyDescent="0.2">
      <c r="A65" s="3">
        <v>59</v>
      </c>
      <c r="B65" s="4" t="s">
        <v>108</v>
      </c>
      <c r="C65" s="4" t="s">
        <v>109</v>
      </c>
      <c r="D65" s="4" t="s">
        <v>107</v>
      </c>
      <c r="E65" s="5">
        <v>328271</v>
      </c>
      <c r="F65" s="6">
        <v>2115.7065950000001</v>
      </c>
      <c r="G65" s="7">
        <v>7.0339199999999999E-3</v>
      </c>
      <c r="H65" s="113"/>
    </row>
    <row r="66" spans="1:8" ht="29.1" customHeight="1" x14ac:dyDescent="0.2">
      <c r="A66" s="3">
        <v>60</v>
      </c>
      <c r="B66" s="4" t="s">
        <v>541</v>
      </c>
      <c r="C66" s="4" t="s">
        <v>542</v>
      </c>
      <c r="D66" s="4" t="s">
        <v>543</v>
      </c>
      <c r="E66" s="5">
        <v>471267</v>
      </c>
      <c r="F66" s="6">
        <v>2065.3276274999998</v>
      </c>
      <c r="G66" s="7">
        <v>6.8664299999999998E-3</v>
      </c>
      <c r="H66" s="113"/>
    </row>
    <row r="67" spans="1:8" ht="17.100000000000001" customHeight="1" x14ac:dyDescent="0.2">
      <c r="A67" s="3">
        <v>61</v>
      </c>
      <c r="B67" s="4" t="s">
        <v>544</v>
      </c>
      <c r="C67" s="4" t="s">
        <v>545</v>
      </c>
      <c r="D67" s="4" t="s">
        <v>56</v>
      </c>
      <c r="E67" s="5">
        <v>884000</v>
      </c>
      <c r="F67" s="6">
        <v>2006.2380000000001</v>
      </c>
      <c r="G67" s="7">
        <v>6.6699799999999998E-3</v>
      </c>
      <c r="H67" s="113"/>
    </row>
    <row r="68" spans="1:8" ht="29.1" customHeight="1" x14ac:dyDescent="0.2">
      <c r="A68" s="3">
        <v>62</v>
      </c>
      <c r="B68" s="4" t="s">
        <v>95</v>
      </c>
      <c r="C68" s="4" t="s">
        <v>96</v>
      </c>
      <c r="D68" s="4" t="s">
        <v>25</v>
      </c>
      <c r="E68" s="5">
        <v>52854</v>
      </c>
      <c r="F68" s="6">
        <v>2002.241655</v>
      </c>
      <c r="G68" s="7">
        <v>6.6566899999999998E-3</v>
      </c>
      <c r="H68" s="113"/>
    </row>
    <row r="69" spans="1:8" ht="17.100000000000001" customHeight="1" x14ac:dyDescent="0.2">
      <c r="A69" s="3">
        <v>63</v>
      </c>
      <c r="B69" s="4" t="s">
        <v>383</v>
      </c>
      <c r="C69" s="4" t="s">
        <v>384</v>
      </c>
      <c r="D69" s="4" t="s">
        <v>385</v>
      </c>
      <c r="E69" s="5">
        <v>158000</v>
      </c>
      <c r="F69" s="6">
        <v>1976.2639999999999</v>
      </c>
      <c r="G69" s="7">
        <v>6.5703300000000001E-3</v>
      </c>
      <c r="H69" s="113"/>
    </row>
    <row r="70" spans="1:8" ht="17.100000000000001" customHeight="1" x14ac:dyDescent="0.2">
      <c r="A70" s="3">
        <v>64</v>
      </c>
      <c r="B70" s="4" t="s">
        <v>93</v>
      </c>
      <c r="C70" s="4" t="s">
        <v>94</v>
      </c>
      <c r="D70" s="4" t="s">
        <v>41</v>
      </c>
      <c r="E70" s="5">
        <v>438645</v>
      </c>
      <c r="F70" s="6">
        <v>1860.5127675000001</v>
      </c>
      <c r="G70" s="7">
        <v>6.1855E-3</v>
      </c>
      <c r="H70" s="113"/>
    </row>
    <row r="71" spans="1:8" ht="17.100000000000001" customHeight="1" x14ac:dyDescent="0.2">
      <c r="A71" s="3">
        <v>65</v>
      </c>
      <c r="B71" s="4" t="s">
        <v>390</v>
      </c>
      <c r="C71" s="4" t="s">
        <v>391</v>
      </c>
      <c r="D71" s="4" t="s">
        <v>207</v>
      </c>
      <c r="E71" s="5">
        <v>133893</v>
      </c>
      <c r="F71" s="6">
        <v>1697.6293470000001</v>
      </c>
      <c r="G71" s="7">
        <v>5.6439699999999999E-3</v>
      </c>
      <c r="H71" s="113"/>
    </row>
    <row r="72" spans="1:8" ht="17.100000000000001" customHeight="1" x14ac:dyDescent="0.2">
      <c r="A72" s="3">
        <v>66</v>
      </c>
      <c r="B72" s="4" t="s">
        <v>546</v>
      </c>
      <c r="C72" s="4" t="s">
        <v>547</v>
      </c>
      <c r="D72" s="4" t="s">
        <v>248</v>
      </c>
      <c r="E72" s="5">
        <v>46514</v>
      </c>
      <c r="F72" s="6">
        <v>1684.2719400000001</v>
      </c>
      <c r="G72" s="7">
        <v>5.5995699999999999E-3</v>
      </c>
      <c r="H72" s="113"/>
    </row>
    <row r="73" spans="1:8" ht="17.100000000000001" customHeight="1" x14ac:dyDescent="0.2">
      <c r="A73" s="3">
        <v>67</v>
      </c>
      <c r="B73" s="4" t="s">
        <v>548</v>
      </c>
      <c r="C73" s="4" t="s">
        <v>549</v>
      </c>
      <c r="D73" s="4" t="s">
        <v>53</v>
      </c>
      <c r="E73" s="5">
        <v>68336</v>
      </c>
      <c r="F73" s="6">
        <v>1665.8266719999999</v>
      </c>
      <c r="G73" s="7">
        <v>5.5382399999999998E-3</v>
      </c>
      <c r="H73" s="113"/>
    </row>
    <row r="74" spans="1:8" ht="17.100000000000001" customHeight="1" x14ac:dyDescent="0.2">
      <c r="A74" s="3">
        <v>68</v>
      </c>
      <c r="B74" s="4" t="s">
        <v>550</v>
      </c>
      <c r="C74" s="4" t="s">
        <v>551</v>
      </c>
      <c r="D74" s="4" t="s">
        <v>267</v>
      </c>
      <c r="E74" s="5">
        <v>127388</v>
      </c>
      <c r="F74" s="6">
        <v>1532.350252</v>
      </c>
      <c r="G74" s="7">
        <v>5.0944800000000002E-3</v>
      </c>
      <c r="H74" s="113"/>
    </row>
    <row r="75" spans="1:8" ht="17.100000000000001" customHeight="1" x14ac:dyDescent="0.2">
      <c r="A75" s="3">
        <v>69</v>
      </c>
      <c r="B75" s="4" t="s">
        <v>427</v>
      </c>
      <c r="C75" s="4" t="s">
        <v>428</v>
      </c>
      <c r="D75" s="4" t="s">
        <v>56</v>
      </c>
      <c r="E75" s="5">
        <v>143771</v>
      </c>
      <c r="F75" s="6">
        <v>1495.1465145</v>
      </c>
      <c r="G75" s="7">
        <v>4.9708E-3</v>
      </c>
      <c r="H75" s="113"/>
    </row>
    <row r="76" spans="1:8" ht="17.100000000000001" customHeight="1" x14ac:dyDescent="0.2">
      <c r="A76" s="3">
        <v>70</v>
      </c>
      <c r="B76" s="4" t="s">
        <v>133</v>
      </c>
      <c r="C76" s="4" t="s">
        <v>134</v>
      </c>
      <c r="D76" s="4" t="s">
        <v>34</v>
      </c>
      <c r="E76" s="5">
        <v>167457</v>
      </c>
      <c r="F76" s="6">
        <v>1477.9754820000001</v>
      </c>
      <c r="G76" s="7">
        <v>4.91371E-3</v>
      </c>
      <c r="H76" s="113"/>
    </row>
    <row r="77" spans="1:8" ht="17.100000000000001" customHeight="1" x14ac:dyDescent="0.2">
      <c r="A77" s="3">
        <v>71</v>
      </c>
      <c r="B77" s="4" t="s">
        <v>462</v>
      </c>
      <c r="C77" s="4" t="s">
        <v>463</v>
      </c>
      <c r="D77" s="4" t="s">
        <v>34</v>
      </c>
      <c r="E77" s="5">
        <v>143119</v>
      </c>
      <c r="F77" s="6">
        <v>1384.8910034999999</v>
      </c>
      <c r="G77" s="7">
        <v>4.6042399999999999E-3</v>
      </c>
      <c r="H77" s="113"/>
    </row>
    <row r="78" spans="1:8" ht="17.100000000000001" customHeight="1" x14ac:dyDescent="0.2">
      <c r="A78" s="3">
        <v>72</v>
      </c>
      <c r="B78" s="4" t="s">
        <v>379</v>
      </c>
      <c r="C78" s="4" t="s">
        <v>380</v>
      </c>
      <c r="D78" s="4" t="s">
        <v>46</v>
      </c>
      <c r="E78" s="5">
        <v>98055</v>
      </c>
      <c r="F78" s="6">
        <v>1347.6679200000001</v>
      </c>
      <c r="G78" s="7">
        <v>4.4804800000000002E-3</v>
      </c>
      <c r="H78" s="113"/>
    </row>
    <row r="79" spans="1:8" ht="17.100000000000001" customHeight="1" x14ac:dyDescent="0.2">
      <c r="A79" s="3">
        <v>73</v>
      </c>
      <c r="B79" s="4" t="s">
        <v>552</v>
      </c>
      <c r="C79" s="4" t="s">
        <v>553</v>
      </c>
      <c r="D79" s="4" t="s">
        <v>56</v>
      </c>
      <c r="E79" s="5">
        <v>14430</v>
      </c>
      <c r="F79" s="6">
        <v>1132.3653899999999</v>
      </c>
      <c r="G79" s="7">
        <v>3.7646899999999998E-3</v>
      </c>
      <c r="H79" s="113"/>
    </row>
    <row r="80" spans="1:8" ht="17.100000000000001" customHeight="1" x14ac:dyDescent="0.2">
      <c r="A80" s="3">
        <v>74</v>
      </c>
      <c r="B80" s="4" t="s">
        <v>216</v>
      </c>
      <c r="C80" s="4" t="s">
        <v>217</v>
      </c>
      <c r="D80" s="4" t="s">
        <v>891</v>
      </c>
      <c r="E80" s="5">
        <v>13822</v>
      </c>
      <c r="F80" s="6">
        <v>1021.362868</v>
      </c>
      <c r="G80" s="7">
        <v>3.3956400000000001E-3</v>
      </c>
      <c r="H80" s="113"/>
    </row>
    <row r="81" spans="1:8" ht="17.100000000000001" customHeight="1" x14ac:dyDescent="0.2">
      <c r="A81" s="3">
        <v>75</v>
      </c>
      <c r="B81" s="4" t="s">
        <v>554</v>
      </c>
      <c r="C81" s="4" t="s">
        <v>555</v>
      </c>
      <c r="D81" s="4" t="s">
        <v>207</v>
      </c>
      <c r="E81" s="5">
        <v>73365</v>
      </c>
      <c r="F81" s="6">
        <v>918.30970500000001</v>
      </c>
      <c r="G81" s="7">
        <v>3.05303E-3</v>
      </c>
      <c r="H81" s="113"/>
    </row>
    <row r="82" spans="1:8" ht="17.100000000000001" customHeight="1" x14ac:dyDescent="0.2">
      <c r="A82" s="3">
        <v>76</v>
      </c>
      <c r="B82" s="4" t="s">
        <v>556</v>
      </c>
      <c r="C82" s="4" t="s">
        <v>557</v>
      </c>
      <c r="D82" s="4" t="s">
        <v>891</v>
      </c>
      <c r="E82" s="5">
        <v>36853</v>
      </c>
      <c r="F82" s="6">
        <v>716.86455599999999</v>
      </c>
      <c r="G82" s="7">
        <v>2.3833000000000001E-3</v>
      </c>
      <c r="H82" s="113"/>
    </row>
    <row r="83" spans="1:8" ht="14.1" customHeight="1" x14ac:dyDescent="0.2">
      <c r="A83" s="1"/>
      <c r="B83" s="1"/>
      <c r="C83" s="2" t="s">
        <v>151</v>
      </c>
      <c r="D83" s="1"/>
      <c r="E83" s="1" t="s">
        <v>152</v>
      </c>
      <c r="F83" s="9">
        <v>288030.62641249999</v>
      </c>
      <c r="G83" s="10">
        <v>0.95759256000000015</v>
      </c>
      <c r="H83" s="113"/>
    </row>
    <row r="84" spans="1:8" ht="14.1" customHeight="1" x14ac:dyDescent="0.2">
      <c r="A84" s="1"/>
      <c r="B84" s="1"/>
      <c r="C84" s="11"/>
      <c r="D84" s="1"/>
      <c r="E84" s="1"/>
      <c r="F84" s="12"/>
      <c r="G84" s="12"/>
      <c r="H84" s="113"/>
    </row>
    <row r="85" spans="1:8" ht="14.1" customHeight="1" x14ac:dyDescent="0.2">
      <c r="A85" s="1"/>
      <c r="B85" s="1"/>
      <c r="C85" s="2" t="s">
        <v>153</v>
      </c>
      <c r="D85" s="1"/>
      <c r="E85" s="1"/>
      <c r="F85" s="1"/>
      <c r="G85" s="1"/>
      <c r="H85" s="113"/>
    </row>
    <row r="86" spans="1:8" ht="14.1" customHeight="1" x14ac:dyDescent="0.2">
      <c r="A86" s="1"/>
      <c r="B86" s="1"/>
      <c r="C86" s="2" t="s">
        <v>151</v>
      </c>
      <c r="D86" s="1"/>
      <c r="E86" s="1" t="s">
        <v>152</v>
      </c>
      <c r="F86" s="13" t="s">
        <v>154</v>
      </c>
      <c r="G86" s="10">
        <v>0</v>
      </c>
      <c r="H86" s="113"/>
    </row>
    <row r="87" spans="1:8" ht="14.1" customHeight="1" x14ac:dyDescent="0.2">
      <c r="A87" s="1"/>
      <c r="B87" s="1"/>
      <c r="C87" s="11"/>
      <c r="D87" s="1"/>
      <c r="E87" s="1"/>
      <c r="F87" s="12"/>
      <c r="G87" s="12"/>
      <c r="H87" s="113"/>
    </row>
    <row r="88" spans="1:8" ht="14.1" customHeight="1" x14ac:dyDescent="0.2">
      <c r="A88" s="1"/>
      <c r="B88" s="1"/>
      <c r="C88" s="2" t="s">
        <v>155</v>
      </c>
      <c r="D88" s="1"/>
      <c r="E88" s="1"/>
      <c r="F88" s="1"/>
      <c r="G88" s="1"/>
      <c r="H88" s="113"/>
    </row>
    <row r="89" spans="1:8" ht="17.100000000000001" customHeight="1" x14ac:dyDescent="0.2">
      <c r="A89" s="3">
        <v>1</v>
      </c>
      <c r="B89" s="4" t="s">
        <v>148</v>
      </c>
      <c r="C89" s="4" t="s">
        <v>908</v>
      </c>
      <c r="D89" s="4" t="s">
        <v>149</v>
      </c>
      <c r="E89" s="5">
        <v>375961</v>
      </c>
      <c r="F89" s="6">
        <v>7.5190000000000003E-6</v>
      </c>
      <c r="G89" s="8" t="s">
        <v>150</v>
      </c>
      <c r="H89" s="113"/>
    </row>
    <row r="90" spans="1:8" ht="14.1" customHeight="1" x14ac:dyDescent="0.2">
      <c r="A90" s="1"/>
      <c r="B90" s="1"/>
      <c r="C90" s="2" t="s">
        <v>151</v>
      </c>
      <c r="D90" s="1"/>
      <c r="E90" s="1" t="s">
        <v>152</v>
      </c>
      <c r="F90" s="9">
        <f>SUM(F89)</f>
        <v>7.5190000000000003E-6</v>
      </c>
      <c r="G90" s="10">
        <v>0</v>
      </c>
      <c r="H90" s="113"/>
    </row>
    <row r="91" spans="1:8" ht="14.1" customHeight="1" x14ac:dyDescent="0.2">
      <c r="A91" s="1"/>
      <c r="B91" s="1"/>
      <c r="C91" s="11"/>
      <c r="D91" s="1"/>
      <c r="E91" s="1"/>
      <c r="F91" s="12"/>
      <c r="G91" s="12"/>
      <c r="H91" s="113"/>
    </row>
    <row r="92" spans="1:8" ht="14.1" customHeight="1" x14ac:dyDescent="0.2">
      <c r="A92" s="1"/>
      <c r="B92" s="1"/>
      <c r="C92" s="2" t="s">
        <v>156</v>
      </c>
      <c r="D92" s="1"/>
      <c r="E92" s="1"/>
      <c r="F92" s="1"/>
      <c r="G92" s="1"/>
      <c r="H92" s="113"/>
    </row>
    <row r="93" spans="1:8" ht="14.1" customHeight="1" x14ac:dyDescent="0.2">
      <c r="A93" s="1"/>
      <c r="B93" s="1"/>
      <c r="C93" s="2" t="s">
        <v>151</v>
      </c>
      <c r="D93" s="1"/>
      <c r="E93" s="1" t="s">
        <v>152</v>
      </c>
      <c r="F93" s="13" t="s">
        <v>154</v>
      </c>
      <c r="G93" s="10">
        <v>0</v>
      </c>
      <c r="H93" s="113"/>
    </row>
    <row r="94" spans="1:8" ht="14.1" customHeight="1" x14ac:dyDescent="0.2">
      <c r="A94" s="1"/>
      <c r="B94" s="1"/>
      <c r="C94" s="11"/>
      <c r="D94" s="1"/>
      <c r="E94" s="1"/>
      <c r="F94" s="12"/>
      <c r="G94" s="12"/>
      <c r="H94" s="113"/>
    </row>
    <row r="95" spans="1:8" ht="14.1" customHeight="1" x14ac:dyDescent="0.2">
      <c r="A95" s="1"/>
      <c r="B95" s="1"/>
      <c r="C95" s="2" t="s">
        <v>157</v>
      </c>
      <c r="D95" s="1"/>
      <c r="E95" s="1"/>
      <c r="F95" s="12"/>
      <c r="G95" s="12"/>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14.1" customHeight="1" x14ac:dyDescent="0.2">
      <c r="A98" s="1"/>
      <c r="B98" s="1"/>
      <c r="C98" s="2" t="s">
        <v>158</v>
      </c>
      <c r="D98" s="1"/>
      <c r="E98" s="1"/>
      <c r="F98" s="12"/>
      <c r="G98" s="12"/>
      <c r="H98" s="113"/>
    </row>
    <row r="99" spans="1:8" ht="14.1" customHeight="1" x14ac:dyDescent="0.2">
      <c r="A99" s="1"/>
      <c r="B99" s="1"/>
      <c r="C99" s="2" t="s">
        <v>151</v>
      </c>
      <c r="D99" s="1"/>
      <c r="E99" s="1" t="s">
        <v>152</v>
      </c>
      <c r="F99" s="13" t="s">
        <v>154</v>
      </c>
      <c r="G99" s="10">
        <v>0</v>
      </c>
      <c r="H99" s="113"/>
    </row>
    <row r="100" spans="1:8" ht="14.1" customHeight="1" x14ac:dyDescent="0.2">
      <c r="A100" s="1"/>
      <c r="B100" s="1"/>
      <c r="C100" s="11"/>
      <c r="D100" s="1"/>
      <c r="E100" s="1"/>
      <c r="F100" s="12"/>
      <c r="G100" s="12"/>
      <c r="H100" s="113"/>
    </row>
    <row r="101" spans="1:8" ht="18" customHeight="1" x14ac:dyDescent="0.2">
      <c r="A101" s="1"/>
      <c r="B101" s="1"/>
      <c r="C101" s="2" t="s">
        <v>159</v>
      </c>
      <c r="D101" s="1"/>
      <c r="E101" s="1"/>
      <c r="F101" s="9">
        <v>288030.62642001902</v>
      </c>
      <c r="G101" s="10">
        <v>0.95759256000000004</v>
      </c>
      <c r="H101" s="113"/>
    </row>
    <row r="102" spans="1:8" ht="14.1" customHeight="1" x14ac:dyDescent="0.2">
      <c r="A102" s="1"/>
      <c r="B102" s="1"/>
      <c r="C102" s="11"/>
      <c r="D102" s="1"/>
      <c r="E102" s="1"/>
      <c r="F102" s="12"/>
      <c r="G102" s="12"/>
      <c r="H102" s="113"/>
    </row>
    <row r="103" spans="1:8" ht="14.1" customHeight="1" x14ac:dyDescent="0.2">
      <c r="A103" s="1"/>
      <c r="B103" s="1"/>
      <c r="C103" s="2" t="s">
        <v>160</v>
      </c>
      <c r="D103" s="1"/>
      <c r="E103" s="1"/>
      <c r="F103" s="12"/>
      <c r="G103" s="12"/>
      <c r="H103" s="113"/>
    </row>
    <row r="104" spans="1:8" ht="24" customHeight="1" x14ac:dyDescent="0.2">
      <c r="A104" s="1"/>
      <c r="B104" s="1"/>
      <c r="C104" s="2" t="s">
        <v>10</v>
      </c>
      <c r="D104" s="1"/>
      <c r="E104" s="1"/>
      <c r="F104" s="12"/>
      <c r="G104" s="12"/>
      <c r="H104" s="113"/>
    </row>
    <row r="105" spans="1:8" ht="14.1" customHeight="1" x14ac:dyDescent="0.2">
      <c r="A105" s="1"/>
      <c r="B105" s="1"/>
      <c r="C105" s="2" t="s">
        <v>151</v>
      </c>
      <c r="D105" s="1"/>
      <c r="E105" s="1" t="s">
        <v>152</v>
      </c>
      <c r="F105" s="13" t="s">
        <v>154</v>
      </c>
      <c r="G105" s="10">
        <v>0</v>
      </c>
      <c r="H105" s="113"/>
    </row>
    <row r="106" spans="1:8" ht="14.1" customHeight="1" x14ac:dyDescent="0.2">
      <c r="A106" s="1"/>
      <c r="B106" s="1"/>
      <c r="C106" s="11"/>
      <c r="D106" s="1"/>
      <c r="E106" s="1"/>
      <c r="F106" s="12"/>
      <c r="G106" s="12"/>
      <c r="H106" s="113"/>
    </row>
    <row r="107" spans="1:8" ht="14.1" customHeight="1" x14ac:dyDescent="0.2">
      <c r="A107" s="1"/>
      <c r="B107" s="1"/>
      <c r="C107" s="2" t="s">
        <v>161</v>
      </c>
      <c r="D107" s="1"/>
      <c r="E107" s="1"/>
      <c r="F107" s="1"/>
      <c r="G107" s="1"/>
      <c r="H107" s="113"/>
    </row>
    <row r="108" spans="1:8" ht="14.1" customHeight="1" x14ac:dyDescent="0.2">
      <c r="A108" s="1"/>
      <c r="B108" s="1"/>
      <c r="C108" s="2" t="s">
        <v>151</v>
      </c>
      <c r="D108" s="1"/>
      <c r="E108" s="1" t="s">
        <v>152</v>
      </c>
      <c r="F108" s="13" t="s">
        <v>154</v>
      </c>
      <c r="G108" s="10">
        <v>0</v>
      </c>
      <c r="H108" s="113"/>
    </row>
    <row r="109" spans="1:8" ht="14.1" customHeight="1" x14ac:dyDescent="0.2">
      <c r="A109" s="1"/>
      <c r="B109" s="1"/>
      <c r="C109" s="11"/>
      <c r="D109" s="1"/>
      <c r="E109" s="1"/>
      <c r="F109" s="12"/>
      <c r="G109" s="12"/>
      <c r="H109" s="113"/>
    </row>
    <row r="110" spans="1:8" ht="14.1" customHeight="1" x14ac:dyDescent="0.2">
      <c r="A110" s="1"/>
      <c r="B110" s="1"/>
      <c r="C110" s="2" t="s">
        <v>162</v>
      </c>
      <c r="D110" s="1"/>
      <c r="E110" s="1"/>
      <c r="F110" s="1"/>
      <c r="G110" s="1"/>
      <c r="H110" s="113"/>
    </row>
    <row r="111" spans="1:8" ht="14.1" customHeight="1" x14ac:dyDescent="0.2">
      <c r="A111" s="1"/>
      <c r="B111" s="1"/>
      <c r="C111" s="2" t="s">
        <v>151</v>
      </c>
      <c r="D111" s="1"/>
      <c r="E111" s="1" t="s">
        <v>152</v>
      </c>
      <c r="F111" s="13" t="s">
        <v>154</v>
      </c>
      <c r="G111" s="10">
        <v>0</v>
      </c>
      <c r="H111" s="113"/>
    </row>
    <row r="112" spans="1:8" ht="14.1" customHeight="1" x14ac:dyDescent="0.2">
      <c r="A112" s="1"/>
      <c r="B112" s="1"/>
      <c r="C112" s="11"/>
      <c r="D112" s="1"/>
      <c r="E112" s="1"/>
      <c r="F112" s="12"/>
      <c r="G112" s="12"/>
      <c r="H112" s="113"/>
    </row>
    <row r="113" spans="1:8" ht="14.1" customHeight="1" x14ac:dyDescent="0.2">
      <c r="A113" s="1"/>
      <c r="B113" s="1"/>
      <c r="C113" s="2" t="s">
        <v>163</v>
      </c>
      <c r="D113" s="1"/>
      <c r="E113" s="1"/>
      <c r="F113" s="12"/>
      <c r="G113" s="12"/>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14.1" customHeight="1" x14ac:dyDescent="0.2">
      <c r="A116" s="1"/>
      <c r="B116" s="1"/>
      <c r="C116" s="2" t="s">
        <v>164</v>
      </c>
      <c r="D116" s="1"/>
      <c r="E116" s="1"/>
      <c r="F116" s="9">
        <v>0</v>
      </c>
      <c r="G116" s="10">
        <v>0</v>
      </c>
      <c r="H116" s="113"/>
    </row>
    <row r="117" spans="1:8" ht="14.1" customHeight="1" x14ac:dyDescent="0.2">
      <c r="A117" s="1"/>
      <c r="B117" s="1"/>
      <c r="C117" s="11"/>
      <c r="D117" s="1"/>
      <c r="E117" s="1"/>
      <c r="F117" s="12"/>
      <c r="G117" s="12"/>
      <c r="H117" s="113"/>
    </row>
    <row r="118" spans="1:8" ht="14.1" customHeight="1" x14ac:dyDescent="0.2">
      <c r="A118" s="1"/>
      <c r="B118" s="1"/>
      <c r="C118" s="2" t="s">
        <v>165</v>
      </c>
      <c r="D118" s="1"/>
      <c r="E118" s="1"/>
      <c r="F118" s="12"/>
      <c r="G118" s="12"/>
      <c r="H118" s="113"/>
    </row>
    <row r="119" spans="1:8" ht="14.1" customHeight="1" x14ac:dyDescent="0.2">
      <c r="A119" s="1"/>
      <c r="B119" s="1"/>
      <c r="C119" s="2" t="s">
        <v>166</v>
      </c>
      <c r="D119" s="1"/>
      <c r="E119" s="1"/>
      <c r="F119" s="12"/>
      <c r="G119" s="12"/>
      <c r="H119" s="113"/>
    </row>
    <row r="120" spans="1:8" ht="14.1" customHeight="1" x14ac:dyDescent="0.2">
      <c r="A120" s="1"/>
      <c r="B120" s="1"/>
      <c r="C120" s="2" t="s">
        <v>151</v>
      </c>
      <c r="D120" s="1"/>
      <c r="E120" s="1" t="s">
        <v>152</v>
      </c>
      <c r="F120" s="13" t="s">
        <v>154</v>
      </c>
      <c r="G120" s="10">
        <v>0</v>
      </c>
      <c r="H120" s="113"/>
    </row>
    <row r="121" spans="1:8" ht="14.1" customHeight="1" x14ac:dyDescent="0.2">
      <c r="A121" s="1"/>
      <c r="B121" s="1"/>
      <c r="C121" s="11"/>
      <c r="D121" s="1"/>
      <c r="E121" s="1"/>
      <c r="F121" s="12"/>
      <c r="G121" s="12"/>
      <c r="H121" s="113"/>
    </row>
    <row r="122" spans="1:8" ht="14.1" customHeight="1" x14ac:dyDescent="0.2">
      <c r="A122" s="1"/>
      <c r="B122" s="1"/>
      <c r="C122" s="2" t="s">
        <v>167</v>
      </c>
      <c r="D122" s="1"/>
      <c r="E122" s="1"/>
      <c r="F122" s="12"/>
      <c r="G122" s="12"/>
      <c r="H122" s="113"/>
    </row>
    <row r="123" spans="1:8" ht="14.1" customHeight="1" x14ac:dyDescent="0.2">
      <c r="A123" s="1"/>
      <c r="B123" s="1"/>
      <c r="C123" s="2" t="s">
        <v>151</v>
      </c>
      <c r="D123" s="1"/>
      <c r="E123" s="1" t="s">
        <v>152</v>
      </c>
      <c r="F123" s="13" t="s">
        <v>154</v>
      </c>
      <c r="G123" s="10">
        <v>0</v>
      </c>
      <c r="H123" s="113"/>
    </row>
    <row r="124" spans="1:8" ht="14.1" customHeight="1" x14ac:dyDescent="0.2">
      <c r="A124" s="1"/>
      <c r="B124" s="1"/>
      <c r="C124" s="11"/>
      <c r="D124" s="1"/>
      <c r="E124" s="1"/>
      <c r="F124" s="12"/>
      <c r="G124" s="12"/>
      <c r="H124" s="113"/>
    </row>
    <row r="125" spans="1:8" ht="14.1" customHeight="1" x14ac:dyDescent="0.2">
      <c r="A125" s="1"/>
      <c r="B125" s="1"/>
      <c r="C125" s="2" t="s">
        <v>168</v>
      </c>
      <c r="D125" s="1"/>
      <c r="E125" s="1"/>
      <c r="F125" s="12"/>
      <c r="G125" s="12"/>
      <c r="H125" s="113"/>
    </row>
    <row r="126" spans="1:8" ht="14.1" customHeight="1" x14ac:dyDescent="0.2">
      <c r="A126" s="1"/>
      <c r="B126" s="1"/>
      <c r="C126" s="2" t="s">
        <v>151</v>
      </c>
      <c r="D126" s="1"/>
      <c r="E126" s="1" t="s">
        <v>152</v>
      </c>
      <c r="F126" s="13" t="s">
        <v>154</v>
      </c>
      <c r="G126" s="10">
        <v>0</v>
      </c>
      <c r="H126" s="113"/>
    </row>
    <row r="127" spans="1:8" ht="14.1" customHeight="1" x14ac:dyDescent="0.2">
      <c r="A127" s="1"/>
      <c r="B127" s="1"/>
      <c r="C127" s="11"/>
      <c r="D127" s="1"/>
      <c r="E127" s="1"/>
      <c r="F127" s="12"/>
      <c r="G127" s="12"/>
      <c r="H127" s="113"/>
    </row>
    <row r="128" spans="1:8" ht="14.1" customHeight="1" x14ac:dyDescent="0.2">
      <c r="A128" s="1"/>
      <c r="B128" s="1"/>
      <c r="C128" s="2" t="s">
        <v>169</v>
      </c>
      <c r="D128" s="1"/>
      <c r="E128" s="1"/>
      <c r="F128" s="12"/>
      <c r="G128" s="12"/>
      <c r="H128" s="113"/>
    </row>
    <row r="129" spans="1:8" ht="17.100000000000001" customHeight="1" x14ac:dyDescent="0.2">
      <c r="A129" s="3">
        <v>1</v>
      </c>
      <c r="B129" s="4"/>
      <c r="C129" s="4" t="s">
        <v>170</v>
      </c>
      <c r="D129" s="4"/>
      <c r="E129" s="8"/>
      <c r="F129" s="6">
        <v>12087.234085979</v>
      </c>
      <c r="G129" s="7">
        <v>4.0185470000000001E-2</v>
      </c>
      <c r="H129" s="113">
        <v>6.7600000000000016</v>
      </c>
    </row>
    <row r="130" spans="1:8" ht="14.1" customHeight="1" x14ac:dyDescent="0.2">
      <c r="A130" s="1"/>
      <c r="B130" s="1"/>
      <c r="C130" s="2" t="s">
        <v>151</v>
      </c>
      <c r="D130" s="1"/>
      <c r="E130" s="1" t="s">
        <v>152</v>
      </c>
      <c r="F130" s="9">
        <v>12087.234085979</v>
      </c>
      <c r="G130" s="10">
        <v>4.0185470000000001E-2</v>
      </c>
      <c r="H130" s="113"/>
    </row>
    <row r="131" spans="1:8" ht="14.1" customHeight="1" x14ac:dyDescent="0.2">
      <c r="A131" s="1"/>
      <c r="B131" s="1"/>
      <c r="C131" s="11"/>
      <c r="D131" s="1"/>
      <c r="E131" s="1"/>
      <c r="F131" s="12"/>
      <c r="G131" s="12"/>
      <c r="H131" s="113"/>
    </row>
    <row r="132" spans="1:8" ht="14.1" customHeight="1" x14ac:dyDescent="0.2">
      <c r="A132" s="1"/>
      <c r="B132" s="1"/>
      <c r="C132" s="2" t="s">
        <v>171</v>
      </c>
      <c r="D132" s="1"/>
      <c r="E132" s="1"/>
      <c r="F132" s="9">
        <v>12087.234085979</v>
      </c>
      <c r="G132" s="10">
        <v>4.0185470000000001E-2</v>
      </c>
      <c r="H132" s="113"/>
    </row>
    <row r="133" spans="1:8" ht="14.1" customHeight="1" x14ac:dyDescent="0.2">
      <c r="A133" s="1"/>
      <c r="B133" s="1"/>
      <c r="C133" s="12"/>
      <c r="D133" s="1"/>
      <c r="E133" s="1"/>
      <c r="F133" s="1"/>
      <c r="G133" s="1"/>
      <c r="H133" s="113"/>
    </row>
    <row r="134" spans="1:8" ht="14.1" customHeight="1" x14ac:dyDescent="0.2">
      <c r="A134" s="1"/>
      <c r="B134" s="1"/>
      <c r="C134" s="2" t="s">
        <v>172</v>
      </c>
      <c r="D134" s="1"/>
      <c r="E134" s="1"/>
      <c r="F134" s="1"/>
      <c r="G134" s="1"/>
      <c r="H134" s="113"/>
    </row>
    <row r="135" spans="1:8" ht="14.1" customHeight="1" x14ac:dyDescent="0.2">
      <c r="A135" s="1"/>
      <c r="B135" s="1"/>
      <c r="C135" s="2" t="s">
        <v>173</v>
      </c>
      <c r="D135" s="1"/>
      <c r="E135" s="1"/>
      <c r="F135" s="1"/>
      <c r="G135" s="1"/>
      <c r="H135" s="113"/>
    </row>
    <row r="136" spans="1:8" ht="14.1" customHeight="1" x14ac:dyDescent="0.2">
      <c r="A136" s="1"/>
      <c r="B136" s="1"/>
      <c r="C136" s="2" t="s">
        <v>151</v>
      </c>
      <c r="D136" s="1"/>
      <c r="E136" s="1" t="s">
        <v>152</v>
      </c>
      <c r="F136" s="13" t="s">
        <v>154</v>
      </c>
      <c r="G136" s="10">
        <v>0</v>
      </c>
      <c r="H136" s="113"/>
    </row>
    <row r="137" spans="1:8" ht="14.1" customHeight="1" x14ac:dyDescent="0.2">
      <c r="A137" s="1"/>
      <c r="B137" s="1"/>
      <c r="C137" s="11"/>
      <c r="D137" s="1"/>
      <c r="E137" s="1"/>
      <c r="F137" s="12"/>
      <c r="G137" s="12"/>
      <c r="H137" s="113"/>
    </row>
    <row r="138" spans="1:8" ht="14.1" customHeight="1" x14ac:dyDescent="0.2">
      <c r="A138" s="1"/>
      <c r="B138" s="1"/>
      <c r="C138" s="2" t="s">
        <v>174</v>
      </c>
      <c r="D138" s="1"/>
      <c r="E138" s="1"/>
      <c r="F138" s="1"/>
      <c r="G138" s="1"/>
      <c r="H138" s="113"/>
    </row>
    <row r="139" spans="1:8" ht="14.1" customHeight="1" x14ac:dyDescent="0.2">
      <c r="A139" s="1"/>
      <c r="B139" s="1"/>
      <c r="C139" s="2" t="s">
        <v>175</v>
      </c>
      <c r="D139" s="1"/>
      <c r="E139" s="1"/>
      <c r="F139" s="1"/>
      <c r="G139" s="1"/>
      <c r="H139" s="113"/>
    </row>
    <row r="140" spans="1:8" ht="14.1" customHeight="1" x14ac:dyDescent="0.2">
      <c r="A140" s="1"/>
      <c r="B140" s="1"/>
      <c r="C140" s="2" t="s">
        <v>151</v>
      </c>
      <c r="D140" s="1"/>
      <c r="E140" s="1" t="s">
        <v>152</v>
      </c>
      <c r="F140" s="13" t="s">
        <v>154</v>
      </c>
      <c r="G140" s="10">
        <v>0</v>
      </c>
      <c r="H140" s="113"/>
    </row>
    <row r="141" spans="1:8" ht="14.1" customHeight="1" x14ac:dyDescent="0.2">
      <c r="A141" s="1"/>
      <c r="B141" s="1"/>
      <c r="C141" s="11"/>
      <c r="D141" s="1"/>
      <c r="E141" s="1"/>
      <c r="F141" s="12"/>
      <c r="G141" s="12"/>
      <c r="H141" s="113"/>
    </row>
    <row r="142" spans="1:8" ht="24" customHeight="1" x14ac:dyDescent="0.2">
      <c r="A142" s="1"/>
      <c r="B142" s="1"/>
      <c r="C142" s="2" t="s">
        <v>176</v>
      </c>
      <c r="D142" s="1"/>
      <c r="E142" s="1"/>
      <c r="F142" s="12"/>
      <c r="G142" s="12"/>
      <c r="H142" s="113"/>
    </row>
    <row r="143" spans="1:8" ht="14.1" customHeight="1" x14ac:dyDescent="0.2">
      <c r="A143" s="1"/>
      <c r="B143" s="1"/>
      <c r="C143" s="2" t="s">
        <v>151</v>
      </c>
      <c r="D143" s="1"/>
      <c r="E143" s="1" t="s">
        <v>152</v>
      </c>
      <c r="F143" s="13" t="s">
        <v>154</v>
      </c>
      <c r="G143" s="10">
        <v>0</v>
      </c>
      <c r="H143" s="113"/>
    </row>
    <row r="144" spans="1:8" ht="14.1" customHeight="1" x14ac:dyDescent="0.2">
      <c r="A144" s="1"/>
      <c r="B144" s="1"/>
      <c r="C144" s="11"/>
      <c r="D144" s="1"/>
      <c r="E144" s="1"/>
      <c r="F144" s="12"/>
      <c r="G144" s="12"/>
      <c r="H144" s="113"/>
    </row>
    <row r="145" spans="1:14" ht="14.1" customHeight="1" x14ac:dyDescent="0.2">
      <c r="A145" s="1"/>
      <c r="B145" s="4"/>
      <c r="C145" s="4"/>
      <c r="D145" s="2"/>
      <c r="E145" s="1"/>
      <c r="F145" s="4"/>
      <c r="G145" s="8"/>
      <c r="H145" s="113"/>
    </row>
    <row r="146" spans="1:14" ht="18" customHeight="1" x14ac:dyDescent="0.2">
      <c r="A146" s="8"/>
      <c r="B146" s="4"/>
      <c r="C146" s="4" t="s">
        <v>177</v>
      </c>
      <c r="D146" s="4"/>
      <c r="E146" s="8"/>
      <c r="F146" s="6">
        <v>668.35629087201812</v>
      </c>
      <c r="G146" s="7">
        <v>2.2220309759851107E-3</v>
      </c>
      <c r="H146" s="113"/>
    </row>
    <row r="147" spans="1:14" ht="14.1" customHeight="1" x14ac:dyDescent="0.2">
      <c r="A147" s="11"/>
      <c r="B147" s="11"/>
      <c r="C147" s="2" t="s">
        <v>178</v>
      </c>
      <c r="D147" s="12"/>
      <c r="E147" s="12"/>
      <c r="F147" s="9">
        <v>300786.21679686999</v>
      </c>
      <c r="G147" s="14">
        <v>1.0000000499999999</v>
      </c>
      <c r="H147" s="113"/>
    </row>
    <row r="148" spans="1:14" ht="14.1" customHeight="1" x14ac:dyDescent="0.2">
      <c r="A148" s="15"/>
      <c r="B148" s="15"/>
      <c r="C148" s="15"/>
      <c r="D148" s="16"/>
      <c r="E148" s="16"/>
      <c r="F148" s="16"/>
      <c r="G148" s="16"/>
    </row>
    <row r="149" spans="1:14" ht="17.100000000000001" customHeight="1" x14ac:dyDescent="0.2">
      <c r="A149" s="17"/>
      <c r="B149" s="207" t="s">
        <v>179</v>
      </c>
      <c r="C149" s="207"/>
      <c r="D149" s="207"/>
      <c r="E149" s="207"/>
      <c r="F149" s="207"/>
      <c r="G149" s="19"/>
    </row>
    <row r="150" spans="1:14" ht="14.1" customHeight="1" x14ac:dyDescent="0.2">
      <c r="A150" s="17"/>
      <c r="B150" s="17"/>
      <c r="C150" s="17"/>
      <c r="D150" s="19"/>
      <c r="E150" s="19"/>
      <c r="F150" s="19"/>
      <c r="G150" s="19"/>
    </row>
    <row r="151" spans="1:14" ht="14.1" customHeight="1" x14ac:dyDescent="0.2">
      <c r="A151" s="17"/>
      <c r="B151" s="208" t="s">
        <v>180</v>
      </c>
      <c r="C151" s="209"/>
      <c r="D151" s="210"/>
      <c r="E151" s="20"/>
      <c r="F151" s="19"/>
      <c r="G151" s="19"/>
    </row>
    <row r="152" spans="1:14" ht="29.1" customHeight="1" x14ac:dyDescent="0.2">
      <c r="A152" s="17"/>
      <c r="B152" s="205" t="s">
        <v>181</v>
      </c>
      <c r="C152" s="206"/>
      <c r="D152" s="2" t="s">
        <v>182</v>
      </c>
      <c r="E152" s="20"/>
      <c r="F152" s="19"/>
      <c r="G152" s="19"/>
    </row>
    <row r="153" spans="1:14" ht="17.100000000000001" customHeight="1" x14ac:dyDescent="0.2">
      <c r="A153" s="45"/>
      <c r="B153" s="215" t="s">
        <v>906</v>
      </c>
      <c r="C153" s="216"/>
      <c r="D153" s="46" t="s">
        <v>907</v>
      </c>
      <c r="E153" s="47"/>
      <c r="F153" s="48"/>
      <c r="G153" s="48"/>
    </row>
    <row r="154" spans="1:14" ht="17.100000000000001" customHeight="1" x14ac:dyDescent="0.2">
      <c r="A154" s="17"/>
      <c r="B154" s="205" t="s">
        <v>184</v>
      </c>
      <c r="C154" s="206"/>
      <c r="D154" s="12" t="s">
        <v>152</v>
      </c>
      <c r="E154" s="20"/>
      <c r="F154" s="19"/>
      <c r="G154" s="19"/>
    </row>
    <row r="155" spans="1:14" ht="25.5" x14ac:dyDescent="0.2">
      <c r="A155" s="21"/>
      <c r="B155" s="22" t="s">
        <v>152</v>
      </c>
      <c r="C155" s="22" t="s">
        <v>185</v>
      </c>
      <c r="D155" s="22" t="s">
        <v>186</v>
      </c>
      <c r="E155" s="21"/>
      <c r="F155" s="21"/>
      <c r="G155" s="21"/>
      <c r="J155" s="198"/>
      <c r="K155" s="198"/>
      <c r="L155" s="198"/>
      <c r="M155" s="198"/>
      <c r="N155" s="198"/>
    </row>
    <row r="156" spans="1:14" ht="18" customHeight="1" x14ac:dyDescent="0.2">
      <c r="A156" s="21"/>
      <c r="B156" s="23" t="s">
        <v>187</v>
      </c>
      <c r="C156" s="22" t="s">
        <v>188</v>
      </c>
      <c r="D156" s="22" t="s">
        <v>189</v>
      </c>
      <c r="E156" s="21"/>
      <c r="F156" s="21"/>
      <c r="G156" s="21"/>
    </row>
    <row r="157" spans="1:14" ht="17.100000000000001" customHeight="1" x14ac:dyDescent="0.2">
      <c r="A157" s="21"/>
      <c r="B157" s="4" t="s">
        <v>190</v>
      </c>
      <c r="C157" s="24">
        <v>225.44409999999999</v>
      </c>
      <c r="D157" s="24">
        <v>236.36429999999999</v>
      </c>
      <c r="E157" s="21"/>
      <c r="F157" s="18"/>
      <c r="G157" s="25"/>
    </row>
    <row r="158" spans="1:14" ht="17.100000000000001" customHeight="1" x14ac:dyDescent="0.2">
      <c r="A158" s="21"/>
      <c r="B158" s="4" t="s">
        <v>1033</v>
      </c>
      <c r="C158" s="24">
        <v>34.1248</v>
      </c>
      <c r="D158" s="24">
        <v>35.777700000000003</v>
      </c>
      <c r="E158" s="21"/>
      <c r="F158" s="18"/>
      <c r="G158" s="25"/>
    </row>
    <row r="159" spans="1:14" ht="17.100000000000001" customHeight="1" x14ac:dyDescent="0.2">
      <c r="A159" s="21"/>
      <c r="B159" s="4" t="s">
        <v>191</v>
      </c>
      <c r="C159" s="24">
        <v>207.31319999999999</v>
      </c>
      <c r="D159" s="24">
        <v>217.14920000000001</v>
      </c>
      <c r="E159" s="21"/>
      <c r="F159" s="18"/>
      <c r="G159" s="25"/>
    </row>
    <row r="160" spans="1:14" ht="17.100000000000001" customHeight="1" x14ac:dyDescent="0.2">
      <c r="A160" s="21"/>
      <c r="B160" s="4" t="s">
        <v>1034</v>
      </c>
      <c r="C160" s="24">
        <v>30.537700000000001</v>
      </c>
      <c r="D160" s="24">
        <v>31.986599999999999</v>
      </c>
      <c r="E160" s="21"/>
      <c r="F160" s="18"/>
      <c r="G160" s="25"/>
    </row>
    <row r="161" spans="1:7" ht="14.1" customHeight="1" x14ac:dyDescent="0.2">
      <c r="A161" s="21"/>
      <c r="B161" s="21"/>
      <c r="C161" s="21"/>
      <c r="D161" s="21"/>
      <c r="E161" s="21"/>
      <c r="F161" s="21"/>
      <c r="G161" s="21"/>
    </row>
    <row r="162" spans="1:7" ht="17.100000000000001" customHeight="1" x14ac:dyDescent="0.2">
      <c r="A162" s="21"/>
      <c r="B162" s="205" t="s">
        <v>1035</v>
      </c>
      <c r="C162" s="206"/>
      <c r="D162" s="2" t="s">
        <v>182</v>
      </c>
      <c r="E162" s="21"/>
      <c r="F162" s="21"/>
      <c r="G162" s="21"/>
    </row>
    <row r="163" spans="1:7" ht="18" customHeight="1" x14ac:dyDescent="0.2">
      <c r="A163" s="21"/>
      <c r="B163" s="26"/>
      <c r="C163" s="26"/>
      <c r="D163" s="26"/>
      <c r="E163" s="21"/>
      <c r="F163" s="21"/>
      <c r="G163" s="21"/>
    </row>
    <row r="164" spans="1:7" ht="29.1" customHeight="1" x14ac:dyDescent="0.2">
      <c r="A164" s="21"/>
      <c r="B164" s="205" t="s">
        <v>192</v>
      </c>
      <c r="C164" s="206"/>
      <c r="D164" s="2" t="s">
        <v>182</v>
      </c>
      <c r="E164" s="27"/>
      <c r="F164" s="21"/>
      <c r="G164" s="21"/>
    </row>
    <row r="165" spans="1:7" ht="29.1" customHeight="1" x14ac:dyDescent="0.2">
      <c r="A165" s="21"/>
      <c r="B165" s="205" t="s">
        <v>193</v>
      </c>
      <c r="C165" s="206"/>
      <c r="D165" s="2" t="s">
        <v>182</v>
      </c>
      <c r="E165" s="27"/>
      <c r="F165" s="21"/>
      <c r="G165" s="21"/>
    </row>
    <row r="166" spans="1:7" ht="17.100000000000001" customHeight="1" x14ac:dyDescent="0.2">
      <c r="A166" s="21"/>
      <c r="B166" s="205" t="s">
        <v>194</v>
      </c>
      <c r="C166" s="206"/>
      <c r="D166" s="2" t="s">
        <v>182</v>
      </c>
      <c r="E166" s="27"/>
      <c r="F166" s="21"/>
      <c r="G166" s="21"/>
    </row>
    <row r="167" spans="1:7" ht="17.100000000000001" customHeight="1" x14ac:dyDescent="0.2">
      <c r="A167" s="21"/>
      <c r="B167" s="205" t="s">
        <v>195</v>
      </c>
      <c r="C167" s="206"/>
      <c r="D167" s="28">
        <v>0.48858109157252294</v>
      </c>
      <c r="E167" s="21"/>
      <c r="F167" s="18"/>
      <c r="G167" s="25"/>
    </row>
  </sheetData>
  <mergeCells count="14">
    <mergeCell ref="B167:C167"/>
    <mergeCell ref="B153:C153"/>
    <mergeCell ref="B154:C154"/>
    <mergeCell ref="B162:C162"/>
    <mergeCell ref="B164:C164"/>
    <mergeCell ref="B165:C165"/>
    <mergeCell ref="B166:C166"/>
    <mergeCell ref="J2:N2"/>
    <mergeCell ref="B152:C152"/>
    <mergeCell ref="B149:F149"/>
    <mergeCell ref="B151:D151"/>
    <mergeCell ref="A1:H1"/>
    <mergeCell ref="A2:H2"/>
    <mergeCell ref="A3:H3"/>
  </mergeCells>
  <hyperlinks>
    <hyperlink ref="I1" location="Index!B14" display="Index" xr:uid="{E4F6DA59-9216-47B6-9065-806F1689D654}"/>
  </hyperlink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248"/>
  <sheetViews>
    <sheetView showGridLines="0" workbookViewId="0">
      <selection activeCell="H234" sqref="H234:I23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9" width="8" customWidth="1"/>
    <col min="11" max="11" width="16.7109375" bestFit="1" customWidth="1"/>
  </cols>
  <sheetData>
    <row r="1" spans="1:16" ht="18" customHeight="1" x14ac:dyDescent="0.2">
      <c r="A1" s="211" t="s">
        <v>0</v>
      </c>
      <c r="B1" s="211"/>
      <c r="C1" s="211"/>
      <c r="D1" s="211"/>
      <c r="E1" s="211"/>
      <c r="F1" s="211"/>
      <c r="G1" s="211"/>
      <c r="H1" s="211"/>
      <c r="I1" s="211"/>
      <c r="J1" s="192" t="s">
        <v>1142</v>
      </c>
      <c r="K1" s="195"/>
      <c r="L1" s="195"/>
      <c r="M1" s="195"/>
      <c r="N1" s="195"/>
      <c r="O1" s="195"/>
    </row>
    <row r="2" spans="1:16" ht="17.100000000000001" customHeight="1" x14ac:dyDescent="0.2">
      <c r="A2" s="211" t="s">
        <v>558</v>
      </c>
      <c r="B2" s="218"/>
      <c r="C2" s="218"/>
      <c r="D2" s="218"/>
      <c r="E2" s="218"/>
      <c r="F2" s="218"/>
      <c r="G2" s="218"/>
      <c r="H2" s="218"/>
      <c r="I2" s="218"/>
      <c r="K2" s="204" t="s">
        <v>1143</v>
      </c>
      <c r="L2" s="204"/>
      <c r="M2" s="204"/>
      <c r="N2" s="204"/>
      <c r="O2" s="204"/>
    </row>
    <row r="3" spans="1:16" ht="21" customHeight="1" x14ac:dyDescent="0.2">
      <c r="A3" s="211" t="s">
        <v>1043</v>
      </c>
      <c r="B3" s="211"/>
      <c r="C3" s="211"/>
      <c r="D3" s="211"/>
      <c r="E3" s="211"/>
      <c r="F3" s="211"/>
      <c r="G3" s="211"/>
      <c r="H3" s="211"/>
      <c r="I3" s="211"/>
      <c r="K3" s="195"/>
      <c r="L3" s="195"/>
      <c r="M3" s="195"/>
      <c r="N3" s="195"/>
      <c r="O3" s="195"/>
    </row>
    <row r="4" spans="1:16" s="115" customFormat="1" ht="45" x14ac:dyDescent="0.2">
      <c r="A4" s="114" t="s">
        <v>2</v>
      </c>
      <c r="B4" s="114" t="s">
        <v>3</v>
      </c>
      <c r="C4" s="114" t="s">
        <v>4</v>
      </c>
      <c r="D4" s="114" t="s">
        <v>5</v>
      </c>
      <c r="E4" s="114" t="s">
        <v>6</v>
      </c>
      <c r="F4" s="114" t="s">
        <v>7</v>
      </c>
      <c r="G4" s="114" t="s">
        <v>8</v>
      </c>
      <c r="H4" s="112" t="s">
        <v>1048</v>
      </c>
      <c r="I4" s="112" t="s">
        <v>1031</v>
      </c>
      <c r="K4" s="196"/>
      <c r="L4" s="196"/>
      <c r="M4" s="196"/>
      <c r="N4" s="196"/>
      <c r="O4" s="196"/>
      <c r="P4"/>
    </row>
    <row r="5" spans="1:16" ht="14.1" customHeight="1" x14ac:dyDescent="0.2">
      <c r="A5" s="1"/>
      <c r="B5" s="1"/>
      <c r="C5" s="2" t="s">
        <v>9</v>
      </c>
      <c r="D5" s="1"/>
      <c r="E5" s="1"/>
      <c r="F5" s="1"/>
      <c r="G5" s="1"/>
      <c r="H5" s="113"/>
      <c r="I5" s="113"/>
      <c r="K5" s="195"/>
      <c r="L5" s="195"/>
      <c r="M5" s="195"/>
      <c r="N5" s="195"/>
      <c r="O5" s="195"/>
    </row>
    <row r="6" spans="1:16" ht="24" customHeight="1" x14ac:dyDescent="0.2">
      <c r="A6" s="1"/>
      <c r="B6" s="1"/>
      <c r="C6" s="2" t="s">
        <v>10</v>
      </c>
      <c r="D6" s="1"/>
      <c r="E6" s="1"/>
      <c r="F6" s="1"/>
      <c r="G6" s="1"/>
      <c r="H6" s="113"/>
      <c r="I6" s="113"/>
      <c r="K6" s="195"/>
      <c r="L6" s="195"/>
      <c r="M6" s="195"/>
      <c r="N6" s="195"/>
      <c r="O6" s="195"/>
    </row>
    <row r="7" spans="1:16" ht="17.100000000000001" customHeight="1" x14ac:dyDescent="0.2">
      <c r="A7" s="3">
        <v>1</v>
      </c>
      <c r="B7" s="4" t="s">
        <v>321</v>
      </c>
      <c r="C7" s="4" t="s">
        <v>322</v>
      </c>
      <c r="D7" s="4" t="s">
        <v>28</v>
      </c>
      <c r="E7" s="5">
        <v>1300750</v>
      </c>
      <c r="F7" s="6">
        <v>22233.069374999999</v>
      </c>
      <c r="G7" s="7">
        <v>5.453249821390873E-2</v>
      </c>
      <c r="H7" s="113"/>
      <c r="I7" s="113"/>
      <c r="K7" s="195"/>
      <c r="L7" s="195"/>
      <c r="M7" s="195"/>
      <c r="N7" s="195"/>
      <c r="O7" s="195"/>
    </row>
    <row r="8" spans="1:16" ht="17.100000000000001" customHeight="1" x14ac:dyDescent="0.2">
      <c r="A8" s="3">
        <v>2</v>
      </c>
      <c r="B8" s="4" t="s">
        <v>26</v>
      </c>
      <c r="C8" s="4" t="s">
        <v>27</v>
      </c>
      <c r="D8" s="4" t="s">
        <v>28</v>
      </c>
      <c r="E8" s="5">
        <v>1750000</v>
      </c>
      <c r="F8" s="6">
        <v>17440.5</v>
      </c>
      <c r="G8" s="7">
        <v>4.277745096991023E-2</v>
      </c>
      <c r="H8" s="113"/>
      <c r="I8" s="113"/>
      <c r="K8" s="195"/>
      <c r="L8" s="195"/>
      <c r="M8" s="195"/>
      <c r="N8" s="195"/>
      <c r="O8" s="195"/>
    </row>
    <row r="9" spans="1:16" ht="17.100000000000001" customHeight="1" x14ac:dyDescent="0.2">
      <c r="A9" s="3">
        <v>3</v>
      </c>
      <c r="B9" s="4" t="s">
        <v>17</v>
      </c>
      <c r="C9" s="4" t="s">
        <v>18</v>
      </c>
      <c r="D9" s="4" t="s">
        <v>19</v>
      </c>
      <c r="E9" s="5">
        <v>660000</v>
      </c>
      <c r="F9" s="6">
        <v>17060.669999999998</v>
      </c>
      <c r="G9" s="7">
        <v>4.1845817174898554E-2</v>
      </c>
      <c r="H9" s="113"/>
      <c r="I9" s="113"/>
      <c r="K9" s="195"/>
      <c r="L9" s="195"/>
      <c r="M9" s="195"/>
      <c r="N9" s="195"/>
      <c r="O9" s="195"/>
    </row>
    <row r="10" spans="1:16" ht="17.100000000000001" customHeight="1" x14ac:dyDescent="0.2">
      <c r="A10" s="3">
        <v>4</v>
      </c>
      <c r="B10" s="4" t="s">
        <v>323</v>
      </c>
      <c r="C10" s="4" t="s">
        <v>324</v>
      </c>
      <c r="D10" s="4" t="s">
        <v>891</v>
      </c>
      <c r="E10" s="5">
        <v>820000</v>
      </c>
      <c r="F10" s="6">
        <v>12651.78</v>
      </c>
      <c r="G10" s="7">
        <v>3.1031845338842973E-2</v>
      </c>
      <c r="H10" s="113"/>
      <c r="I10" s="113"/>
      <c r="K10" s="195"/>
      <c r="L10" s="195"/>
      <c r="M10" s="195"/>
      <c r="N10" s="195"/>
      <c r="O10" s="195"/>
    </row>
    <row r="11" spans="1:16" ht="17.100000000000001" customHeight="1" x14ac:dyDescent="0.2">
      <c r="A11" s="3">
        <v>5</v>
      </c>
      <c r="B11" s="4" t="s">
        <v>11</v>
      </c>
      <c r="C11" s="4" t="s">
        <v>12</v>
      </c>
      <c r="D11" s="4" t="s">
        <v>13</v>
      </c>
      <c r="E11" s="5">
        <v>317779</v>
      </c>
      <c r="F11" s="6">
        <v>11204.88754</v>
      </c>
      <c r="G11" s="7">
        <v>2.7482957906350622E-2</v>
      </c>
      <c r="H11" s="113"/>
      <c r="I11" s="113"/>
      <c r="K11" s="195"/>
      <c r="L11" s="195"/>
      <c r="M11" s="195"/>
      <c r="N11" s="195"/>
      <c r="O11" s="195"/>
    </row>
    <row r="12" spans="1:16" ht="17.100000000000001" customHeight="1" x14ac:dyDescent="0.2">
      <c r="A12" s="3">
        <v>6</v>
      </c>
      <c r="B12" s="4" t="s">
        <v>20</v>
      </c>
      <c r="C12" s="4" t="s">
        <v>21</v>
      </c>
      <c r="D12" s="4" t="s">
        <v>22</v>
      </c>
      <c r="E12" s="5">
        <v>1000000</v>
      </c>
      <c r="F12" s="6">
        <v>10322</v>
      </c>
      <c r="G12" s="7">
        <v>2.5317442098071352E-2</v>
      </c>
      <c r="H12" s="113"/>
      <c r="I12" s="113"/>
      <c r="L12" s="195"/>
      <c r="M12" s="195"/>
      <c r="N12" s="195"/>
      <c r="O12" s="195"/>
    </row>
    <row r="13" spans="1:16" ht="29.1" customHeight="1" x14ac:dyDescent="0.2">
      <c r="A13" s="3">
        <v>7</v>
      </c>
      <c r="B13" s="4" t="s">
        <v>329</v>
      </c>
      <c r="C13" s="4" t="s">
        <v>330</v>
      </c>
      <c r="D13" s="4" t="s">
        <v>225</v>
      </c>
      <c r="E13" s="5">
        <v>640000</v>
      </c>
      <c r="F13" s="6">
        <v>8060.48</v>
      </c>
      <c r="G13" s="7">
        <v>1.9770464607892089E-2</v>
      </c>
      <c r="H13" s="113"/>
      <c r="I13" s="113"/>
      <c r="K13" s="194" t="s">
        <v>1159</v>
      </c>
      <c r="L13" s="195"/>
      <c r="M13" s="195"/>
      <c r="N13" s="195"/>
      <c r="O13" s="195"/>
    </row>
    <row r="14" spans="1:16" ht="17.100000000000001" customHeight="1" x14ac:dyDescent="0.2">
      <c r="A14" s="3">
        <v>8</v>
      </c>
      <c r="B14" s="4" t="s">
        <v>201</v>
      </c>
      <c r="C14" s="4" t="s">
        <v>202</v>
      </c>
      <c r="D14" s="4" t="s">
        <v>56</v>
      </c>
      <c r="E14" s="5">
        <v>2125000</v>
      </c>
      <c r="F14" s="6">
        <v>7524.625</v>
      </c>
      <c r="G14" s="7">
        <v>1.8456138127029658E-2</v>
      </c>
      <c r="H14" s="113"/>
      <c r="I14" s="113"/>
      <c r="K14" s="195"/>
      <c r="L14" s="195"/>
      <c r="M14" s="195"/>
      <c r="N14" s="195"/>
      <c r="O14" s="195"/>
    </row>
    <row r="15" spans="1:16" ht="17.100000000000001" customHeight="1" x14ac:dyDescent="0.2">
      <c r="A15" s="3">
        <v>9</v>
      </c>
      <c r="B15" s="4" t="s">
        <v>14</v>
      </c>
      <c r="C15" s="4" t="s">
        <v>15</v>
      </c>
      <c r="D15" s="4" t="s">
        <v>16</v>
      </c>
      <c r="E15" s="5">
        <v>2100000</v>
      </c>
      <c r="F15" s="6">
        <v>6534.15</v>
      </c>
      <c r="G15" s="7">
        <v>1.6026735543994662E-2</v>
      </c>
      <c r="H15" s="113"/>
      <c r="I15" s="113"/>
      <c r="K15" s="195"/>
      <c r="L15" s="195"/>
      <c r="M15" s="195"/>
      <c r="N15" s="195"/>
      <c r="O15" s="195"/>
    </row>
    <row r="16" spans="1:16" ht="17.100000000000001" customHeight="1" x14ac:dyDescent="0.2">
      <c r="A16" s="3">
        <v>10</v>
      </c>
      <c r="B16" s="4" t="s">
        <v>62</v>
      </c>
      <c r="C16" s="4" t="s">
        <v>63</v>
      </c>
      <c r="D16" s="4" t="s">
        <v>28</v>
      </c>
      <c r="E16" s="5">
        <v>1000000</v>
      </c>
      <c r="F16" s="6">
        <v>6420.5</v>
      </c>
      <c r="G16" s="7">
        <v>1.5747978782277381E-2</v>
      </c>
      <c r="H16" s="113"/>
      <c r="I16" s="113"/>
      <c r="K16" s="195"/>
      <c r="L16" s="195"/>
      <c r="M16" s="195"/>
      <c r="N16" s="195"/>
      <c r="O16" s="195"/>
    </row>
    <row r="17" spans="1:15" ht="17.100000000000001" customHeight="1" x14ac:dyDescent="0.2">
      <c r="A17" s="3">
        <v>11</v>
      </c>
      <c r="B17" s="4" t="s">
        <v>325</v>
      </c>
      <c r="C17" s="4" t="s">
        <v>326</v>
      </c>
      <c r="D17" s="4" t="s">
        <v>28</v>
      </c>
      <c r="E17" s="5">
        <v>580000</v>
      </c>
      <c r="F17" s="6">
        <v>6393.34</v>
      </c>
      <c r="G17" s="7">
        <v>1.56813616802251E-2</v>
      </c>
      <c r="H17" s="113"/>
      <c r="I17" s="113"/>
      <c r="K17" s="195"/>
      <c r="L17" s="195"/>
      <c r="M17" s="195"/>
      <c r="N17" s="195"/>
      <c r="O17" s="195"/>
    </row>
    <row r="18" spans="1:15" ht="17.100000000000001" customHeight="1" x14ac:dyDescent="0.2">
      <c r="A18" s="3">
        <v>12</v>
      </c>
      <c r="B18" s="4" t="s">
        <v>327</v>
      </c>
      <c r="C18" s="4" t="s">
        <v>328</v>
      </c>
      <c r="D18" s="4" t="s">
        <v>295</v>
      </c>
      <c r="E18" s="5">
        <v>475000</v>
      </c>
      <c r="F18" s="6">
        <v>5875.2749999999996</v>
      </c>
      <c r="G18" s="7">
        <v>1.4410669891759945E-2</v>
      </c>
      <c r="H18" s="113"/>
      <c r="I18" s="113"/>
      <c r="K18" s="195"/>
      <c r="L18" s="195"/>
      <c r="M18" s="195"/>
      <c r="N18" s="195"/>
      <c r="O18" s="195"/>
    </row>
    <row r="19" spans="1:15" ht="17.100000000000001" customHeight="1" x14ac:dyDescent="0.2">
      <c r="A19" s="3">
        <v>13</v>
      </c>
      <c r="B19" s="4" t="s">
        <v>559</v>
      </c>
      <c r="C19" s="4" t="s">
        <v>560</v>
      </c>
      <c r="D19" s="4" t="s">
        <v>295</v>
      </c>
      <c r="E19" s="5">
        <v>500000</v>
      </c>
      <c r="F19" s="6">
        <v>5588.75</v>
      </c>
      <c r="G19" s="7">
        <v>1.3707891351055634E-2</v>
      </c>
      <c r="H19" s="113"/>
      <c r="I19" s="113"/>
      <c r="K19" s="195"/>
      <c r="L19" s="195"/>
      <c r="M19" s="195"/>
      <c r="N19" s="195"/>
      <c r="O19" s="195"/>
    </row>
    <row r="20" spans="1:15" ht="17.100000000000001" customHeight="1" x14ac:dyDescent="0.2">
      <c r="A20" s="3">
        <v>14</v>
      </c>
      <c r="B20" s="4" t="s">
        <v>199</v>
      </c>
      <c r="C20" s="4" t="s">
        <v>200</v>
      </c>
      <c r="D20" s="4" t="s">
        <v>107</v>
      </c>
      <c r="E20" s="5">
        <v>152000</v>
      </c>
      <c r="F20" s="6">
        <v>5383.308</v>
      </c>
      <c r="G20" s="7">
        <v>1.3203990368735158E-2</v>
      </c>
      <c r="H20" s="113"/>
      <c r="I20" s="113"/>
      <c r="K20" s="195"/>
      <c r="L20" s="195"/>
      <c r="M20" s="195"/>
      <c r="N20" s="195"/>
      <c r="O20" s="195"/>
    </row>
    <row r="21" spans="1:15" ht="17.100000000000001" customHeight="1" x14ac:dyDescent="0.2">
      <c r="A21" s="3">
        <v>15</v>
      </c>
      <c r="B21" s="4" t="s">
        <v>203</v>
      </c>
      <c r="C21" s="4" t="s">
        <v>204</v>
      </c>
      <c r="D21" s="4" t="s">
        <v>53</v>
      </c>
      <c r="E21" s="5">
        <v>260000</v>
      </c>
      <c r="F21" s="6">
        <v>5338.58</v>
      </c>
      <c r="G21" s="7">
        <v>1.3094283088153628E-2</v>
      </c>
      <c r="H21" s="113"/>
      <c r="I21" s="113"/>
      <c r="K21" s="195"/>
      <c r="L21" s="195"/>
      <c r="M21" s="195"/>
      <c r="N21" s="195"/>
      <c r="O21" s="195"/>
    </row>
    <row r="22" spans="1:15" ht="17.100000000000001" customHeight="1" x14ac:dyDescent="0.2">
      <c r="A22" s="3">
        <v>16</v>
      </c>
      <c r="B22" s="4" t="s">
        <v>479</v>
      </c>
      <c r="C22" s="4" t="s">
        <v>480</v>
      </c>
      <c r="D22" s="4" t="s">
        <v>891</v>
      </c>
      <c r="E22" s="5">
        <v>354000</v>
      </c>
      <c r="F22" s="6">
        <v>5189.9939999999997</v>
      </c>
      <c r="G22" s="7">
        <v>1.2729836522412103E-2</v>
      </c>
      <c r="H22" s="113"/>
      <c r="I22" s="113"/>
      <c r="K22" s="195"/>
      <c r="L22" s="195"/>
      <c r="M22" s="195"/>
      <c r="N22" s="195"/>
      <c r="O22" s="195"/>
    </row>
    <row r="23" spans="1:15" ht="17.100000000000001" customHeight="1" x14ac:dyDescent="0.2">
      <c r="A23" s="3">
        <v>17</v>
      </c>
      <c r="B23" s="4" t="s">
        <v>335</v>
      </c>
      <c r="C23" s="4" t="s">
        <v>336</v>
      </c>
      <c r="D23" s="4" t="s">
        <v>28</v>
      </c>
      <c r="E23" s="5">
        <v>300000</v>
      </c>
      <c r="F23" s="6">
        <v>4796.8500000000004</v>
      </c>
      <c r="G23" s="7">
        <v>1.176554661190986E-2</v>
      </c>
      <c r="H23" s="113"/>
      <c r="I23" s="113"/>
      <c r="K23" s="195"/>
      <c r="L23" s="195"/>
      <c r="M23" s="195"/>
      <c r="N23" s="195"/>
      <c r="O23" s="195"/>
    </row>
    <row r="24" spans="1:15" ht="17.100000000000001" customHeight="1" x14ac:dyDescent="0.2">
      <c r="A24" s="3">
        <v>18</v>
      </c>
      <c r="B24" s="4" t="s">
        <v>386</v>
      </c>
      <c r="C24" s="4" t="s">
        <v>387</v>
      </c>
      <c r="D24" s="4" t="s">
        <v>53</v>
      </c>
      <c r="E24" s="5">
        <v>277500</v>
      </c>
      <c r="F24" s="6">
        <v>4678.0950000000003</v>
      </c>
      <c r="G24" s="7">
        <v>1.1474268483993131E-2</v>
      </c>
      <c r="H24" s="113"/>
      <c r="I24" s="113"/>
      <c r="K24" s="195"/>
      <c r="L24" s="195"/>
      <c r="M24" s="195"/>
      <c r="N24" s="195"/>
      <c r="O24" s="195"/>
    </row>
    <row r="25" spans="1:15" ht="17.100000000000001" customHeight="1" x14ac:dyDescent="0.2">
      <c r="A25" s="3">
        <v>19</v>
      </c>
      <c r="B25" s="4" t="s">
        <v>331</v>
      </c>
      <c r="C25" s="4" t="s">
        <v>332</v>
      </c>
      <c r="D25" s="4" t="s">
        <v>891</v>
      </c>
      <c r="E25" s="5">
        <v>118812</v>
      </c>
      <c r="F25" s="6">
        <v>4507.014408</v>
      </c>
      <c r="G25" s="7">
        <v>1.1054647966451591E-2</v>
      </c>
      <c r="H25" s="113"/>
      <c r="I25" s="113"/>
      <c r="K25" s="195"/>
      <c r="L25" s="195"/>
      <c r="M25" s="195"/>
      <c r="N25" s="195"/>
      <c r="O25" s="195"/>
    </row>
    <row r="26" spans="1:15" ht="29.1" customHeight="1" x14ac:dyDescent="0.2">
      <c r="A26" s="3">
        <v>20</v>
      </c>
      <c r="B26" s="4" t="s">
        <v>213</v>
      </c>
      <c r="C26" s="4" t="s">
        <v>214</v>
      </c>
      <c r="D26" s="4" t="s">
        <v>215</v>
      </c>
      <c r="E26" s="5">
        <v>355000</v>
      </c>
      <c r="F26" s="6">
        <v>4443.3575000000001</v>
      </c>
      <c r="G26" s="7">
        <v>1.0898512519597081E-2</v>
      </c>
      <c r="H26" s="113"/>
      <c r="I26" s="113"/>
      <c r="K26" s="195"/>
      <c r="L26" s="195"/>
      <c r="M26" s="195"/>
      <c r="N26" s="195"/>
      <c r="O26" s="195"/>
    </row>
    <row r="27" spans="1:15" ht="29.1" customHeight="1" x14ac:dyDescent="0.2">
      <c r="A27" s="3">
        <v>21</v>
      </c>
      <c r="B27" s="4" t="s">
        <v>23</v>
      </c>
      <c r="C27" s="4" t="s">
        <v>24</v>
      </c>
      <c r="D27" s="4" t="s">
        <v>25</v>
      </c>
      <c r="E27" s="5">
        <v>40000</v>
      </c>
      <c r="F27" s="6">
        <v>4201.22</v>
      </c>
      <c r="G27" s="7">
        <v>1.0304606092933474E-2</v>
      </c>
      <c r="H27" s="113"/>
      <c r="I27" s="113"/>
      <c r="K27" s="195"/>
      <c r="L27" s="195"/>
      <c r="M27" s="195"/>
      <c r="N27" s="195"/>
      <c r="O27" s="195"/>
    </row>
    <row r="28" spans="1:15" ht="17.100000000000001" customHeight="1" x14ac:dyDescent="0.2">
      <c r="A28" s="3">
        <v>22</v>
      </c>
      <c r="B28" s="4" t="s">
        <v>450</v>
      </c>
      <c r="C28" s="4" t="s">
        <v>451</v>
      </c>
      <c r="D28" s="4" t="s">
        <v>53</v>
      </c>
      <c r="E28" s="5">
        <v>450000</v>
      </c>
      <c r="F28" s="6">
        <v>4185.45</v>
      </c>
      <c r="G28" s="7">
        <v>1.0265925986182206E-2</v>
      </c>
      <c r="H28" s="113"/>
      <c r="I28" s="113"/>
      <c r="K28" s="195"/>
      <c r="L28" s="195"/>
      <c r="M28" s="195"/>
      <c r="N28" s="195"/>
      <c r="O28" s="195"/>
    </row>
    <row r="29" spans="1:15" ht="17.100000000000001" customHeight="1" x14ac:dyDescent="0.2">
      <c r="A29" s="3">
        <v>23</v>
      </c>
      <c r="B29" s="4" t="s">
        <v>475</v>
      </c>
      <c r="C29" s="4" t="s">
        <v>476</v>
      </c>
      <c r="D29" s="4" t="s">
        <v>234</v>
      </c>
      <c r="E29" s="5">
        <v>275000</v>
      </c>
      <c r="F29" s="6">
        <v>3939.65</v>
      </c>
      <c r="G29" s="7">
        <v>9.6630363070787442E-3</v>
      </c>
      <c r="H29" s="113"/>
      <c r="I29" s="113"/>
    </row>
    <row r="30" spans="1:15" ht="29.1" customHeight="1" x14ac:dyDescent="0.2">
      <c r="A30" s="3">
        <v>24</v>
      </c>
      <c r="B30" s="4" t="s">
        <v>481</v>
      </c>
      <c r="C30" s="4" t="s">
        <v>482</v>
      </c>
      <c r="D30" s="4" t="s">
        <v>483</v>
      </c>
      <c r="E30" s="5">
        <v>340000</v>
      </c>
      <c r="F30" s="6">
        <v>3695.12</v>
      </c>
      <c r="G30" s="7">
        <v>9.0632616397428225E-3</v>
      </c>
      <c r="H30" s="113"/>
      <c r="I30" s="113"/>
    </row>
    <row r="31" spans="1:15" ht="17.100000000000001" customHeight="1" x14ac:dyDescent="0.2">
      <c r="A31" s="3">
        <v>25</v>
      </c>
      <c r="B31" s="4" t="s">
        <v>425</v>
      </c>
      <c r="C31" s="4" t="s">
        <v>426</v>
      </c>
      <c r="D31" s="4" t="s">
        <v>245</v>
      </c>
      <c r="E31" s="5">
        <v>450000</v>
      </c>
      <c r="F31" s="6">
        <v>3675.8249999999998</v>
      </c>
      <c r="G31" s="7">
        <v>9.0159355357627511E-3</v>
      </c>
      <c r="H31" s="113"/>
      <c r="I31" s="113"/>
    </row>
    <row r="32" spans="1:15" ht="17.100000000000001" customHeight="1" x14ac:dyDescent="0.2">
      <c r="A32" s="3">
        <v>26</v>
      </c>
      <c r="B32" s="4" t="s">
        <v>348</v>
      </c>
      <c r="C32" s="4" t="s">
        <v>349</v>
      </c>
      <c r="D32" s="4" t="s">
        <v>350</v>
      </c>
      <c r="E32" s="5">
        <v>750000</v>
      </c>
      <c r="F32" s="6">
        <v>3465.75</v>
      </c>
      <c r="G32" s="7">
        <v>8.5006708924036806E-3</v>
      </c>
      <c r="H32" s="113"/>
      <c r="I32" s="113"/>
    </row>
    <row r="33" spans="1:9" ht="29.1" customHeight="1" x14ac:dyDescent="0.2">
      <c r="A33" s="3">
        <v>27</v>
      </c>
      <c r="B33" s="4" t="s">
        <v>226</v>
      </c>
      <c r="C33" s="4" t="s">
        <v>227</v>
      </c>
      <c r="D33" s="4" t="s">
        <v>225</v>
      </c>
      <c r="E33" s="5">
        <v>500000</v>
      </c>
      <c r="F33" s="6">
        <v>3446</v>
      </c>
      <c r="G33" s="7">
        <v>8.4522287802706719E-3</v>
      </c>
      <c r="H33" s="113"/>
      <c r="I33" s="113"/>
    </row>
    <row r="34" spans="1:9" ht="17.100000000000001" customHeight="1" x14ac:dyDescent="0.2">
      <c r="A34" s="3">
        <v>28</v>
      </c>
      <c r="B34" s="4" t="s">
        <v>561</v>
      </c>
      <c r="C34" s="4" t="s">
        <v>562</v>
      </c>
      <c r="D34" s="4" t="s">
        <v>248</v>
      </c>
      <c r="E34" s="5">
        <v>50000</v>
      </c>
      <c r="F34" s="6">
        <v>3398.625</v>
      </c>
      <c r="G34" s="7">
        <v>8.3360290302807345E-3</v>
      </c>
      <c r="H34" s="113"/>
      <c r="I34" s="113"/>
    </row>
    <row r="35" spans="1:9" ht="17.100000000000001" customHeight="1" x14ac:dyDescent="0.2">
      <c r="A35" s="3">
        <v>29</v>
      </c>
      <c r="B35" s="4" t="s">
        <v>59</v>
      </c>
      <c r="C35" s="4" t="s">
        <v>60</v>
      </c>
      <c r="D35" s="4" t="s">
        <v>61</v>
      </c>
      <c r="E35" s="5">
        <v>2000000</v>
      </c>
      <c r="F35" s="6">
        <v>3242</v>
      </c>
      <c r="G35" s="7">
        <v>7.9518646853271955E-3</v>
      </c>
      <c r="H35" s="113"/>
      <c r="I35" s="113"/>
    </row>
    <row r="36" spans="1:9" ht="17.100000000000001" customHeight="1" x14ac:dyDescent="0.2">
      <c r="A36" s="3">
        <v>30</v>
      </c>
      <c r="B36" s="4" t="s">
        <v>268</v>
      </c>
      <c r="C36" s="4" t="s">
        <v>269</v>
      </c>
      <c r="D36" s="4" t="s">
        <v>28</v>
      </c>
      <c r="E36" s="5">
        <v>2700000</v>
      </c>
      <c r="F36" s="6">
        <v>3215.7</v>
      </c>
      <c r="G36" s="7">
        <v>7.8873569613222283E-3</v>
      </c>
      <c r="H36" s="113"/>
      <c r="I36" s="113"/>
    </row>
    <row r="37" spans="1:9" ht="17.100000000000001" customHeight="1" x14ac:dyDescent="0.2">
      <c r="A37" s="3">
        <v>31</v>
      </c>
      <c r="B37" s="4" t="s">
        <v>105</v>
      </c>
      <c r="C37" s="4" t="s">
        <v>106</v>
      </c>
      <c r="D37" s="4" t="s">
        <v>107</v>
      </c>
      <c r="E37" s="5">
        <v>100000</v>
      </c>
      <c r="F37" s="6">
        <v>3203</v>
      </c>
      <c r="G37" s="7">
        <v>7.8562068436468253E-3</v>
      </c>
      <c r="H37" s="113"/>
      <c r="I37" s="113"/>
    </row>
    <row r="38" spans="1:9" ht="29.1" customHeight="1" x14ac:dyDescent="0.2">
      <c r="A38" s="3">
        <v>32</v>
      </c>
      <c r="B38" s="4" t="s">
        <v>77</v>
      </c>
      <c r="C38" s="4" t="s">
        <v>78</v>
      </c>
      <c r="D38" s="4" t="s">
        <v>25</v>
      </c>
      <c r="E38" s="5">
        <v>140000</v>
      </c>
      <c r="F38" s="6">
        <v>3185.28</v>
      </c>
      <c r="G38" s="7">
        <v>7.8127438448115406E-3</v>
      </c>
      <c r="H38" s="113"/>
      <c r="I38" s="113"/>
    </row>
    <row r="39" spans="1:9" ht="17.100000000000001" customHeight="1" x14ac:dyDescent="0.2">
      <c r="A39" s="3">
        <v>33</v>
      </c>
      <c r="B39" s="4" t="s">
        <v>375</v>
      </c>
      <c r="C39" s="4" t="s">
        <v>376</v>
      </c>
      <c r="D39" s="4" t="s">
        <v>248</v>
      </c>
      <c r="E39" s="5">
        <v>30000</v>
      </c>
      <c r="F39" s="6">
        <v>3090.7049999999999</v>
      </c>
      <c r="G39" s="7">
        <v>7.5807735787366418E-3</v>
      </c>
      <c r="H39" s="113"/>
      <c r="I39" s="113"/>
    </row>
    <row r="40" spans="1:9" ht="17.100000000000001" customHeight="1" x14ac:dyDescent="0.2">
      <c r="A40" s="3">
        <v>34</v>
      </c>
      <c r="B40" s="4" t="s">
        <v>265</v>
      </c>
      <c r="C40" s="4" t="s">
        <v>266</v>
      </c>
      <c r="D40" s="4" t="s">
        <v>267</v>
      </c>
      <c r="E40" s="5">
        <v>115000</v>
      </c>
      <c r="F40" s="6">
        <v>3049.11</v>
      </c>
      <c r="G40" s="7">
        <v>7.4787508114367704E-3</v>
      </c>
      <c r="H40" s="113"/>
      <c r="I40" s="113"/>
    </row>
    <row r="41" spans="1:9" ht="17.100000000000001" customHeight="1" x14ac:dyDescent="0.2">
      <c r="A41" s="3">
        <v>35</v>
      </c>
      <c r="B41" s="4" t="s">
        <v>563</v>
      </c>
      <c r="C41" s="4" t="s">
        <v>564</v>
      </c>
      <c r="D41" s="4" t="s">
        <v>248</v>
      </c>
      <c r="E41" s="5">
        <v>175000</v>
      </c>
      <c r="F41" s="6">
        <v>3026.45</v>
      </c>
      <c r="G41" s="7">
        <v>7.4231711526553026E-3</v>
      </c>
      <c r="H41" s="113"/>
      <c r="I41" s="113"/>
    </row>
    <row r="42" spans="1:9" ht="17.100000000000001" customHeight="1" x14ac:dyDescent="0.2">
      <c r="A42" s="3">
        <v>36</v>
      </c>
      <c r="B42" s="4" t="s">
        <v>565</v>
      </c>
      <c r="C42" s="4" t="s">
        <v>566</v>
      </c>
      <c r="D42" s="4" t="s">
        <v>248</v>
      </c>
      <c r="E42" s="5">
        <v>66000</v>
      </c>
      <c r="F42" s="6">
        <v>2734.71</v>
      </c>
      <c r="G42" s="7">
        <v>6.7076014415827076E-3</v>
      </c>
      <c r="H42" s="113"/>
      <c r="I42" s="113"/>
    </row>
    <row r="43" spans="1:9" ht="17.100000000000001" customHeight="1" x14ac:dyDescent="0.2">
      <c r="A43" s="3">
        <v>37</v>
      </c>
      <c r="B43" s="4" t="s">
        <v>355</v>
      </c>
      <c r="C43" s="4" t="s">
        <v>356</v>
      </c>
      <c r="D43" s="4" t="s">
        <v>350</v>
      </c>
      <c r="E43" s="5">
        <v>100000</v>
      </c>
      <c r="F43" s="6">
        <v>2663.95</v>
      </c>
      <c r="G43" s="7">
        <v>6.5340437780621171E-3</v>
      </c>
      <c r="H43" s="113"/>
      <c r="I43" s="113"/>
    </row>
    <row r="44" spans="1:9" ht="17.100000000000001" customHeight="1" x14ac:dyDescent="0.2">
      <c r="A44" s="3">
        <v>38</v>
      </c>
      <c r="B44" s="4" t="s">
        <v>285</v>
      </c>
      <c r="C44" s="4" t="s">
        <v>286</v>
      </c>
      <c r="D44" s="4" t="s">
        <v>28</v>
      </c>
      <c r="E44" s="5">
        <v>628000</v>
      </c>
      <c r="F44" s="6">
        <v>2643.252</v>
      </c>
      <c r="G44" s="7">
        <v>6.4832764445467246E-3</v>
      </c>
      <c r="H44" s="113"/>
      <c r="I44" s="113"/>
    </row>
    <row r="45" spans="1:9" ht="17.100000000000001" customHeight="1" x14ac:dyDescent="0.2">
      <c r="A45" s="3">
        <v>39</v>
      </c>
      <c r="B45" s="4" t="s">
        <v>351</v>
      </c>
      <c r="C45" s="4" t="s">
        <v>352</v>
      </c>
      <c r="D45" s="4" t="s">
        <v>248</v>
      </c>
      <c r="E45" s="5">
        <v>335000</v>
      </c>
      <c r="F45" s="6">
        <v>2612.8325</v>
      </c>
      <c r="G45" s="7">
        <v>6.4086645544186218E-3</v>
      </c>
      <c r="H45" s="113"/>
      <c r="I45" s="113"/>
    </row>
    <row r="46" spans="1:9" ht="17.100000000000001" customHeight="1" x14ac:dyDescent="0.2">
      <c r="A46" s="3">
        <v>40</v>
      </c>
      <c r="B46" s="4" t="s">
        <v>367</v>
      </c>
      <c r="C46" s="4" t="s">
        <v>368</v>
      </c>
      <c r="D46" s="4" t="s">
        <v>99</v>
      </c>
      <c r="E46" s="5">
        <v>1800000</v>
      </c>
      <c r="F46" s="6">
        <v>2512.8000000000002</v>
      </c>
      <c r="G46" s="7">
        <v>6.1633083224214005E-3</v>
      </c>
      <c r="H46" s="113"/>
      <c r="I46" s="113"/>
    </row>
    <row r="47" spans="1:9" ht="17.100000000000001" customHeight="1" x14ac:dyDescent="0.2">
      <c r="A47" s="3">
        <v>41</v>
      </c>
      <c r="B47" s="4" t="s">
        <v>131</v>
      </c>
      <c r="C47" s="4" t="s">
        <v>132</v>
      </c>
      <c r="D47" s="4" t="s">
        <v>34</v>
      </c>
      <c r="E47" s="5">
        <v>125000</v>
      </c>
      <c r="F47" s="6">
        <v>2454.9375</v>
      </c>
      <c r="G47" s="7">
        <v>6.021385197697543E-3</v>
      </c>
      <c r="H47" s="113"/>
      <c r="I47" s="113"/>
    </row>
    <row r="48" spans="1:9" ht="53.1" customHeight="1" x14ac:dyDescent="0.2">
      <c r="A48" s="3">
        <v>42</v>
      </c>
      <c r="B48" s="4" t="s">
        <v>100</v>
      </c>
      <c r="C48" s="4" t="s">
        <v>101</v>
      </c>
      <c r="D48" s="4" t="s">
        <v>102</v>
      </c>
      <c r="E48" s="5">
        <v>1350000</v>
      </c>
      <c r="F48" s="6">
        <v>2450.9250000000002</v>
      </c>
      <c r="G48" s="7">
        <v>6.0115434774477361E-3</v>
      </c>
      <c r="H48" s="113"/>
      <c r="I48" s="113"/>
    </row>
    <row r="49" spans="1:9" ht="17.100000000000001" customHeight="1" x14ac:dyDescent="0.2">
      <c r="A49" s="3">
        <v>43</v>
      </c>
      <c r="B49" s="4" t="s">
        <v>260</v>
      </c>
      <c r="C49" s="4" t="s">
        <v>261</v>
      </c>
      <c r="D49" s="4" t="s">
        <v>262</v>
      </c>
      <c r="E49" s="5">
        <v>215000</v>
      </c>
      <c r="F49" s="6">
        <v>2448.0974999999999</v>
      </c>
      <c r="G49" s="7">
        <v>6.0046082839259086E-3</v>
      </c>
      <c r="H49" s="113"/>
      <c r="I49" s="113"/>
    </row>
    <row r="50" spans="1:9" ht="17.100000000000001" customHeight="1" x14ac:dyDescent="0.2">
      <c r="A50" s="3">
        <v>44</v>
      </c>
      <c r="B50" s="4" t="s">
        <v>251</v>
      </c>
      <c r="C50" s="4" t="s">
        <v>252</v>
      </c>
      <c r="D50" s="4" t="s">
        <v>46</v>
      </c>
      <c r="E50" s="5">
        <v>625000</v>
      </c>
      <c r="F50" s="6">
        <v>2432.8125</v>
      </c>
      <c r="G50" s="7">
        <v>5.967117768282717E-3</v>
      </c>
      <c r="H50" s="113"/>
      <c r="I50" s="113"/>
    </row>
    <row r="51" spans="1:9" ht="29.1" customHeight="1" x14ac:dyDescent="0.2">
      <c r="A51" s="3">
        <v>45</v>
      </c>
      <c r="B51" s="4" t="s">
        <v>486</v>
      </c>
      <c r="C51" s="4" t="s">
        <v>487</v>
      </c>
      <c r="D51" s="4" t="s">
        <v>225</v>
      </c>
      <c r="E51" s="5">
        <v>195000</v>
      </c>
      <c r="F51" s="6">
        <v>2430.2849999999999</v>
      </c>
      <c r="G51" s="7">
        <v>5.960918404312278E-3</v>
      </c>
      <c r="H51" s="113"/>
      <c r="I51" s="113"/>
    </row>
    <row r="52" spans="1:9" ht="29.1" customHeight="1" x14ac:dyDescent="0.2">
      <c r="A52" s="3">
        <v>46</v>
      </c>
      <c r="B52" s="4" t="s">
        <v>228</v>
      </c>
      <c r="C52" s="4" t="s">
        <v>229</v>
      </c>
      <c r="D52" s="4" t="s">
        <v>225</v>
      </c>
      <c r="E52" s="5">
        <v>46000</v>
      </c>
      <c r="F52" s="6">
        <v>2393.1959999999999</v>
      </c>
      <c r="G52" s="7">
        <v>5.8699477968742458E-3</v>
      </c>
      <c r="H52" s="113"/>
      <c r="I52" s="113"/>
    </row>
    <row r="53" spans="1:9" ht="17.100000000000001" customHeight="1" x14ac:dyDescent="0.2">
      <c r="A53" s="3">
        <v>47</v>
      </c>
      <c r="B53" s="4" t="s">
        <v>241</v>
      </c>
      <c r="C53" s="4" t="s">
        <v>242</v>
      </c>
      <c r="D53" s="4" t="s">
        <v>56</v>
      </c>
      <c r="E53" s="5">
        <v>235000</v>
      </c>
      <c r="F53" s="6">
        <v>2299.1224999999999</v>
      </c>
      <c r="G53" s="7">
        <v>5.6392075925327505E-3</v>
      </c>
      <c r="H53" s="113"/>
      <c r="I53" s="113"/>
    </row>
    <row r="54" spans="1:9" ht="17.100000000000001" customHeight="1" x14ac:dyDescent="0.2">
      <c r="A54" s="3">
        <v>48</v>
      </c>
      <c r="B54" s="4" t="s">
        <v>208</v>
      </c>
      <c r="C54" s="4" t="s">
        <v>209</v>
      </c>
      <c r="D54" s="4" t="s">
        <v>210</v>
      </c>
      <c r="E54" s="5">
        <v>525000</v>
      </c>
      <c r="F54" s="6">
        <v>2200.8000000000002</v>
      </c>
      <c r="G54" s="7">
        <v>5.3980455889784378E-3</v>
      </c>
      <c r="H54" s="113"/>
      <c r="I54" s="113"/>
    </row>
    <row r="55" spans="1:9" ht="29.1" customHeight="1" x14ac:dyDescent="0.2">
      <c r="A55" s="3">
        <v>49</v>
      </c>
      <c r="B55" s="4" t="s">
        <v>287</v>
      </c>
      <c r="C55" s="4" t="s">
        <v>288</v>
      </c>
      <c r="D55" s="4" t="s">
        <v>215</v>
      </c>
      <c r="E55" s="5">
        <v>62197</v>
      </c>
      <c r="F55" s="6">
        <v>2186.7843229999999</v>
      </c>
      <c r="G55" s="7">
        <v>5.3636684245807649E-3</v>
      </c>
      <c r="H55" s="113"/>
      <c r="I55" s="113"/>
    </row>
    <row r="56" spans="1:9" ht="17.100000000000001" customHeight="1" x14ac:dyDescent="0.2">
      <c r="A56" s="3">
        <v>50</v>
      </c>
      <c r="B56" s="4" t="s">
        <v>340</v>
      </c>
      <c r="C56" s="4" t="s">
        <v>341</v>
      </c>
      <c r="D56" s="4" t="s">
        <v>28</v>
      </c>
      <c r="E56" s="5">
        <v>489500</v>
      </c>
      <c r="F56" s="6">
        <v>2141.5625</v>
      </c>
      <c r="G56" s="7">
        <v>5.252749912144054E-3</v>
      </c>
      <c r="H56" s="113"/>
      <c r="I56" s="113"/>
    </row>
    <row r="57" spans="1:9" ht="17.100000000000001" customHeight="1" x14ac:dyDescent="0.2">
      <c r="A57" s="3">
        <v>51</v>
      </c>
      <c r="B57" s="4" t="s">
        <v>567</v>
      </c>
      <c r="C57" s="4" t="s">
        <v>568</v>
      </c>
      <c r="D57" s="4" t="s">
        <v>34</v>
      </c>
      <c r="E57" s="5">
        <v>1000000</v>
      </c>
      <c r="F57" s="6">
        <v>2110</v>
      </c>
      <c r="G57" s="7">
        <v>5.1753345114251646E-3</v>
      </c>
      <c r="H57" s="113"/>
      <c r="I57" s="113"/>
    </row>
    <row r="58" spans="1:9" ht="17.100000000000001" customHeight="1" x14ac:dyDescent="0.2">
      <c r="A58" s="3">
        <v>52</v>
      </c>
      <c r="B58" s="4" t="s">
        <v>484</v>
      </c>
      <c r="C58" s="4" t="s">
        <v>485</v>
      </c>
      <c r="D58" s="4" t="s">
        <v>28</v>
      </c>
      <c r="E58" s="5">
        <v>110000</v>
      </c>
      <c r="F58" s="6">
        <v>2098.91</v>
      </c>
      <c r="G58" s="7">
        <v>5.1481333456755412E-3</v>
      </c>
      <c r="H58" s="113"/>
      <c r="I58" s="113"/>
    </row>
    <row r="59" spans="1:9" ht="17.100000000000001" customHeight="1" x14ac:dyDescent="0.2">
      <c r="A59" s="3">
        <v>53</v>
      </c>
      <c r="B59" s="4" t="s">
        <v>57</v>
      </c>
      <c r="C59" s="4" t="s">
        <v>58</v>
      </c>
      <c r="D59" s="4" t="s">
        <v>34</v>
      </c>
      <c r="E59" s="5">
        <v>37500</v>
      </c>
      <c r="F59" s="6">
        <v>2056.8187499999999</v>
      </c>
      <c r="G59" s="7">
        <v>5.0448933936594158E-3</v>
      </c>
      <c r="H59" s="113"/>
      <c r="I59" s="113"/>
    </row>
    <row r="60" spans="1:9" ht="17.100000000000001" customHeight="1" x14ac:dyDescent="0.2">
      <c r="A60" s="3">
        <v>54</v>
      </c>
      <c r="B60" s="4" t="s">
        <v>373</v>
      </c>
      <c r="C60" s="4" t="s">
        <v>374</v>
      </c>
      <c r="D60" s="4" t="s">
        <v>207</v>
      </c>
      <c r="E60" s="5">
        <v>50000</v>
      </c>
      <c r="F60" s="6">
        <v>2041.325</v>
      </c>
      <c r="G60" s="7">
        <v>5.0068908632867181E-3</v>
      </c>
      <c r="H60" s="113"/>
      <c r="I60" s="113"/>
    </row>
    <row r="61" spans="1:9" ht="17.100000000000001" customHeight="1" x14ac:dyDescent="0.2">
      <c r="A61" s="3">
        <v>55</v>
      </c>
      <c r="B61" s="4" t="s">
        <v>108</v>
      </c>
      <c r="C61" s="4" t="s">
        <v>109</v>
      </c>
      <c r="D61" s="4" t="s">
        <v>107</v>
      </c>
      <c r="E61" s="5">
        <v>300000</v>
      </c>
      <c r="F61" s="6">
        <v>1933.5</v>
      </c>
      <c r="G61" s="7">
        <v>4.7424214586922067E-3</v>
      </c>
      <c r="H61" s="113"/>
      <c r="I61" s="113"/>
    </row>
    <row r="62" spans="1:9" ht="17.100000000000001" customHeight="1" x14ac:dyDescent="0.2">
      <c r="A62" s="3">
        <v>56</v>
      </c>
      <c r="B62" s="4" t="s">
        <v>291</v>
      </c>
      <c r="C62" s="4" t="s">
        <v>292</v>
      </c>
      <c r="D62" s="4" t="s">
        <v>107</v>
      </c>
      <c r="E62" s="5">
        <v>249264</v>
      </c>
      <c r="F62" s="6">
        <v>1714.0638960000001</v>
      </c>
      <c r="G62" s="7">
        <v>4.2041962254770974E-3</v>
      </c>
      <c r="H62" s="113"/>
      <c r="I62" s="113"/>
    </row>
    <row r="63" spans="1:9" ht="29.1" customHeight="1" x14ac:dyDescent="0.2">
      <c r="A63" s="3">
        <v>57</v>
      </c>
      <c r="B63" s="4" t="s">
        <v>569</v>
      </c>
      <c r="C63" s="4" t="s">
        <v>570</v>
      </c>
      <c r="D63" s="4" t="s">
        <v>234</v>
      </c>
      <c r="E63" s="5">
        <v>320000</v>
      </c>
      <c r="F63" s="6">
        <v>1711.52</v>
      </c>
      <c r="G63" s="7">
        <v>4.1979566459689087E-3</v>
      </c>
      <c r="H63" s="113"/>
      <c r="I63" s="113"/>
    </row>
    <row r="64" spans="1:9" ht="17.100000000000001" customHeight="1" x14ac:dyDescent="0.2">
      <c r="A64" s="3">
        <v>58</v>
      </c>
      <c r="B64" s="4" t="s">
        <v>296</v>
      </c>
      <c r="C64" s="4" t="s">
        <v>297</v>
      </c>
      <c r="D64" s="4" t="s">
        <v>53</v>
      </c>
      <c r="E64" s="5">
        <v>160000</v>
      </c>
      <c r="F64" s="6">
        <v>1664.08</v>
      </c>
      <c r="G64" s="7">
        <v>4.0815974662428379E-3</v>
      </c>
      <c r="H64" s="113"/>
      <c r="I64" s="113"/>
    </row>
    <row r="65" spans="1:9" ht="17.100000000000001" customHeight="1" x14ac:dyDescent="0.2">
      <c r="A65" s="3">
        <v>59</v>
      </c>
      <c r="B65" s="4" t="s">
        <v>333</v>
      </c>
      <c r="C65" s="4" t="s">
        <v>334</v>
      </c>
      <c r="D65" s="4" t="s">
        <v>207</v>
      </c>
      <c r="E65" s="5">
        <v>1330000</v>
      </c>
      <c r="F65" s="6">
        <v>1645.21</v>
      </c>
      <c r="G65" s="7">
        <v>4.0353137874605668E-3</v>
      </c>
      <c r="H65" s="113"/>
      <c r="I65" s="113"/>
    </row>
    <row r="66" spans="1:9" ht="17.100000000000001" customHeight="1" x14ac:dyDescent="0.2">
      <c r="A66" s="3">
        <v>60</v>
      </c>
      <c r="B66" s="4" t="s">
        <v>346</v>
      </c>
      <c r="C66" s="4" t="s">
        <v>347</v>
      </c>
      <c r="D66" s="4" t="s">
        <v>891</v>
      </c>
      <c r="E66" s="5">
        <v>26000</v>
      </c>
      <c r="F66" s="6">
        <v>1636.6869999999999</v>
      </c>
      <c r="G66" s="7">
        <v>4.0144088699056481E-3</v>
      </c>
      <c r="H66" s="113"/>
      <c r="I66" s="113"/>
    </row>
    <row r="67" spans="1:9" ht="17.100000000000001" customHeight="1" x14ac:dyDescent="0.2">
      <c r="A67" s="3">
        <v>61</v>
      </c>
      <c r="B67" s="4" t="s">
        <v>258</v>
      </c>
      <c r="C67" s="4" t="s">
        <v>259</v>
      </c>
      <c r="D67" s="4" t="s">
        <v>207</v>
      </c>
      <c r="E67" s="5">
        <v>28500</v>
      </c>
      <c r="F67" s="6">
        <v>1464.9427499999999</v>
      </c>
      <c r="G67" s="7">
        <v>3.5931605551360601E-3</v>
      </c>
      <c r="H67" s="113"/>
      <c r="I67" s="113"/>
    </row>
    <row r="68" spans="1:9" ht="17.100000000000001" customHeight="1" x14ac:dyDescent="0.2">
      <c r="A68" s="3">
        <v>62</v>
      </c>
      <c r="B68" s="4" t="s">
        <v>246</v>
      </c>
      <c r="C68" s="4" t="s">
        <v>247</v>
      </c>
      <c r="D68" s="4" t="s">
        <v>248</v>
      </c>
      <c r="E68" s="5">
        <v>71000</v>
      </c>
      <c r="F68" s="6">
        <v>1438.318</v>
      </c>
      <c r="G68" s="7">
        <v>3.5278562956417158E-3</v>
      </c>
      <c r="H68" s="113"/>
      <c r="I68" s="113"/>
    </row>
    <row r="69" spans="1:9" ht="17.100000000000001" customHeight="1" x14ac:dyDescent="0.2">
      <c r="A69" s="3">
        <v>63</v>
      </c>
      <c r="B69" s="4" t="s">
        <v>97</v>
      </c>
      <c r="C69" s="4" t="s">
        <v>98</v>
      </c>
      <c r="D69" s="4" t="s">
        <v>99</v>
      </c>
      <c r="E69" s="5">
        <v>190000</v>
      </c>
      <c r="F69" s="6">
        <v>1421.39</v>
      </c>
      <c r="G69" s="7">
        <v>3.4863358868220925E-3</v>
      </c>
      <c r="H69" s="113"/>
      <c r="I69" s="113"/>
    </row>
    <row r="70" spans="1:9" ht="17.100000000000001" customHeight="1" x14ac:dyDescent="0.2">
      <c r="A70" s="3">
        <v>64</v>
      </c>
      <c r="B70" s="4" t="s">
        <v>243</v>
      </c>
      <c r="C70" s="4" t="s">
        <v>244</v>
      </c>
      <c r="D70" s="4" t="s">
        <v>245</v>
      </c>
      <c r="E70" s="5">
        <v>250000</v>
      </c>
      <c r="F70" s="6">
        <v>1412.625</v>
      </c>
      <c r="G70" s="7">
        <v>3.4648374000957219E-3</v>
      </c>
      <c r="H70" s="113"/>
      <c r="I70" s="113"/>
    </row>
    <row r="71" spans="1:9" ht="17.100000000000001" customHeight="1" x14ac:dyDescent="0.2">
      <c r="A71" s="3">
        <v>65</v>
      </c>
      <c r="B71" s="4" t="s">
        <v>571</v>
      </c>
      <c r="C71" s="4" t="s">
        <v>572</v>
      </c>
      <c r="D71" s="4" t="s">
        <v>56</v>
      </c>
      <c r="E71" s="5">
        <v>40000</v>
      </c>
      <c r="F71" s="6">
        <v>1360.96</v>
      </c>
      <c r="G71" s="7">
        <v>3.3381152875209441E-3</v>
      </c>
      <c r="H71" s="113"/>
      <c r="I71" s="113"/>
    </row>
    <row r="72" spans="1:9" ht="29.1" customHeight="1" x14ac:dyDescent="0.2">
      <c r="A72" s="3">
        <v>66</v>
      </c>
      <c r="B72" s="4" t="s">
        <v>541</v>
      </c>
      <c r="C72" s="4" t="s">
        <v>542</v>
      </c>
      <c r="D72" s="4" t="s">
        <v>543</v>
      </c>
      <c r="E72" s="5">
        <v>305783</v>
      </c>
      <c r="F72" s="6">
        <v>1340.0939974999999</v>
      </c>
      <c r="G72" s="7">
        <v>3.2869358833248616E-3</v>
      </c>
      <c r="H72" s="113"/>
      <c r="I72" s="113"/>
    </row>
    <row r="73" spans="1:9" ht="17.100000000000001" customHeight="1" x14ac:dyDescent="0.2">
      <c r="A73" s="3">
        <v>67</v>
      </c>
      <c r="B73" s="4" t="s">
        <v>369</v>
      </c>
      <c r="C73" s="4" t="s">
        <v>370</v>
      </c>
      <c r="D73" s="4" t="s">
        <v>245</v>
      </c>
      <c r="E73" s="5">
        <v>300000</v>
      </c>
      <c r="F73" s="6">
        <v>1315.05</v>
      </c>
      <c r="G73" s="7">
        <v>3.225508838506949E-3</v>
      </c>
      <c r="H73" s="113"/>
      <c r="I73" s="113"/>
    </row>
    <row r="74" spans="1:9" ht="17.100000000000001" customHeight="1" x14ac:dyDescent="0.2">
      <c r="A74" s="3">
        <v>68</v>
      </c>
      <c r="B74" s="4" t="s">
        <v>342</v>
      </c>
      <c r="C74" s="4" t="s">
        <v>343</v>
      </c>
      <c r="D74" s="4" t="s">
        <v>267</v>
      </c>
      <c r="E74" s="5">
        <v>40000</v>
      </c>
      <c r="F74" s="6">
        <v>1279.94</v>
      </c>
      <c r="G74" s="7">
        <v>3.139392253342903E-3</v>
      </c>
      <c r="H74" s="113"/>
      <c r="I74" s="113"/>
    </row>
    <row r="75" spans="1:9" ht="17.100000000000001" customHeight="1" x14ac:dyDescent="0.2">
      <c r="A75" s="3">
        <v>69</v>
      </c>
      <c r="B75" s="4" t="s">
        <v>139</v>
      </c>
      <c r="C75" s="4" t="s">
        <v>140</v>
      </c>
      <c r="D75" s="4" t="s">
        <v>46</v>
      </c>
      <c r="E75" s="5">
        <v>615448</v>
      </c>
      <c r="F75" s="6">
        <v>1219.8179359999999</v>
      </c>
      <c r="G75" s="7">
        <v>2.9919269487375414E-3</v>
      </c>
      <c r="H75" s="113"/>
      <c r="I75" s="113"/>
    </row>
    <row r="76" spans="1:9" ht="29.1" customHeight="1" x14ac:dyDescent="0.2">
      <c r="A76" s="3">
        <v>70</v>
      </c>
      <c r="B76" s="4" t="s">
        <v>223</v>
      </c>
      <c r="C76" s="4" t="s">
        <v>224</v>
      </c>
      <c r="D76" s="4" t="s">
        <v>225</v>
      </c>
      <c r="E76" s="5">
        <v>85000</v>
      </c>
      <c r="F76" s="6">
        <v>1124.5074999999999</v>
      </c>
      <c r="G76" s="7">
        <v>2.7581528308561294E-3</v>
      </c>
      <c r="H76" s="113"/>
      <c r="I76" s="113"/>
    </row>
    <row r="77" spans="1:9" ht="29.1" customHeight="1" x14ac:dyDescent="0.2">
      <c r="A77" s="3">
        <v>71</v>
      </c>
      <c r="B77" s="4" t="s">
        <v>573</v>
      </c>
      <c r="C77" s="4" t="s">
        <v>574</v>
      </c>
      <c r="D77" s="4" t="s">
        <v>483</v>
      </c>
      <c r="E77" s="5">
        <v>200000</v>
      </c>
      <c r="F77" s="6">
        <v>1097</v>
      </c>
      <c r="G77" s="7">
        <v>2.6906833929068274E-3</v>
      </c>
      <c r="H77" s="113"/>
      <c r="I77" s="113"/>
    </row>
    <row r="78" spans="1:9" ht="29.1" customHeight="1" x14ac:dyDescent="0.2">
      <c r="A78" s="3">
        <v>72</v>
      </c>
      <c r="B78" s="4" t="s">
        <v>575</v>
      </c>
      <c r="C78" s="4" t="s">
        <v>576</v>
      </c>
      <c r="D78" s="4" t="s">
        <v>145</v>
      </c>
      <c r="E78" s="5">
        <v>97208</v>
      </c>
      <c r="F78" s="6">
        <v>995.75014799999997</v>
      </c>
      <c r="G78" s="7">
        <v>2.4423412823228034E-3</v>
      </c>
      <c r="H78" s="113"/>
      <c r="I78" s="113"/>
    </row>
    <row r="79" spans="1:9" ht="17.100000000000001" customHeight="1" x14ac:dyDescent="0.2">
      <c r="A79" s="3">
        <v>73</v>
      </c>
      <c r="B79" s="4" t="s">
        <v>390</v>
      </c>
      <c r="C79" s="4" t="s">
        <v>391</v>
      </c>
      <c r="D79" s="4" t="s">
        <v>207</v>
      </c>
      <c r="E79" s="5">
        <v>77500</v>
      </c>
      <c r="F79" s="6">
        <v>982.62249999999995</v>
      </c>
      <c r="G79" s="7">
        <v>2.4101422445274284E-3</v>
      </c>
      <c r="H79" s="113"/>
      <c r="I79" s="113"/>
    </row>
    <row r="80" spans="1:9" ht="17.100000000000001" customHeight="1" x14ac:dyDescent="0.2">
      <c r="A80" s="3">
        <v>74</v>
      </c>
      <c r="B80" s="4" t="s">
        <v>577</v>
      </c>
      <c r="C80" s="4" t="s">
        <v>578</v>
      </c>
      <c r="D80" s="4" t="s">
        <v>891</v>
      </c>
      <c r="E80" s="5">
        <v>75000</v>
      </c>
      <c r="F80" s="6">
        <v>954.48749999999995</v>
      </c>
      <c r="G80" s="7">
        <v>2.3411336964331408E-3</v>
      </c>
      <c r="H80" s="113"/>
      <c r="I80" s="113"/>
    </row>
    <row r="81" spans="1:9" ht="17.100000000000001" customHeight="1" x14ac:dyDescent="0.2">
      <c r="A81" s="3">
        <v>75</v>
      </c>
      <c r="B81" s="4" t="s">
        <v>47</v>
      </c>
      <c r="C81" s="4" t="s">
        <v>48</v>
      </c>
      <c r="D81" s="4" t="s">
        <v>34</v>
      </c>
      <c r="E81" s="5">
        <v>40000</v>
      </c>
      <c r="F81" s="6">
        <v>931.64</v>
      </c>
      <c r="G81" s="7">
        <v>2.285094144182057E-3</v>
      </c>
      <c r="H81" s="113"/>
      <c r="I81" s="113"/>
    </row>
    <row r="82" spans="1:9" ht="17.100000000000001" customHeight="1" x14ac:dyDescent="0.2">
      <c r="A82" s="3">
        <v>76</v>
      </c>
      <c r="B82" s="4" t="s">
        <v>309</v>
      </c>
      <c r="C82" s="4" t="s">
        <v>310</v>
      </c>
      <c r="D82" s="4" t="s">
        <v>53</v>
      </c>
      <c r="E82" s="5">
        <v>5000</v>
      </c>
      <c r="F82" s="6">
        <v>75.587500000000006</v>
      </c>
      <c r="G82" s="7">
        <v>1.8539838738499984E-4</v>
      </c>
      <c r="H82" s="113"/>
      <c r="I82" s="113"/>
    </row>
    <row r="83" spans="1:9" ht="14.1" customHeight="1" x14ac:dyDescent="0.2">
      <c r="A83" s="1"/>
      <c r="B83" s="1"/>
      <c r="C83" s="2" t="s">
        <v>151</v>
      </c>
      <c r="D83" s="1"/>
      <c r="E83" s="1" t="s">
        <v>152</v>
      </c>
      <c r="F83" s="9">
        <v>297300.02562350006</v>
      </c>
      <c r="G83" s="10">
        <v>0.72920714827340549</v>
      </c>
      <c r="H83" s="113"/>
      <c r="I83" s="113"/>
    </row>
    <row r="84" spans="1:9" ht="14.1" customHeight="1" x14ac:dyDescent="0.2">
      <c r="A84" s="1"/>
      <c r="B84" s="1"/>
      <c r="C84" s="11"/>
      <c r="D84" s="1"/>
      <c r="E84" s="1"/>
      <c r="F84" s="12"/>
      <c r="G84" s="12"/>
      <c r="H84" s="113"/>
      <c r="I84" s="113"/>
    </row>
    <row r="85" spans="1:9" ht="14.1" customHeight="1" x14ac:dyDescent="0.2">
      <c r="A85" s="1"/>
      <c r="B85" s="1"/>
      <c r="C85" s="2" t="s">
        <v>153</v>
      </c>
      <c r="D85" s="1"/>
      <c r="E85" s="1"/>
      <c r="F85" s="1"/>
      <c r="G85" s="1"/>
      <c r="H85" s="113"/>
      <c r="I85" s="113"/>
    </row>
    <row r="86" spans="1:9" ht="14.1" customHeight="1" x14ac:dyDescent="0.2">
      <c r="A86" s="1"/>
      <c r="B86" s="1"/>
      <c r="C86" s="2" t="s">
        <v>151</v>
      </c>
      <c r="D86" s="1"/>
      <c r="E86" s="1" t="s">
        <v>152</v>
      </c>
      <c r="F86" s="13" t="s">
        <v>154</v>
      </c>
      <c r="G86" s="10">
        <v>0</v>
      </c>
      <c r="H86" s="113"/>
      <c r="I86" s="113"/>
    </row>
    <row r="87" spans="1:9" ht="14.1" customHeight="1" x14ac:dyDescent="0.2">
      <c r="A87" s="1"/>
      <c r="B87" s="1"/>
      <c r="C87" s="11"/>
      <c r="D87" s="1"/>
      <c r="E87" s="1"/>
      <c r="F87" s="12"/>
      <c r="G87" s="12"/>
      <c r="H87" s="113"/>
      <c r="I87" s="113"/>
    </row>
    <row r="88" spans="1:9" ht="14.1" customHeight="1" x14ac:dyDescent="0.2">
      <c r="A88" s="1"/>
      <c r="B88" s="1"/>
      <c r="C88" s="2" t="s">
        <v>155</v>
      </c>
      <c r="D88" s="1"/>
      <c r="E88" s="1"/>
      <c r="F88" s="1"/>
      <c r="G88" s="1"/>
      <c r="H88" s="113"/>
      <c r="I88" s="113"/>
    </row>
    <row r="89" spans="1:9" ht="17.100000000000001" customHeight="1" x14ac:dyDescent="0.2">
      <c r="A89" s="3">
        <v>1</v>
      </c>
      <c r="B89" s="4" t="s">
        <v>579</v>
      </c>
      <c r="C89" s="40" t="s">
        <v>952</v>
      </c>
      <c r="D89" s="4" t="s">
        <v>245</v>
      </c>
      <c r="E89" s="5">
        <v>30579</v>
      </c>
      <c r="F89" s="6">
        <v>1.3607655000000001</v>
      </c>
      <c r="G89" s="44" t="s">
        <v>150</v>
      </c>
      <c r="H89" s="113"/>
      <c r="I89" s="113"/>
    </row>
    <row r="90" spans="1:9" ht="14.1" customHeight="1" x14ac:dyDescent="0.2">
      <c r="A90" s="1"/>
      <c r="B90" s="1"/>
      <c r="C90" s="2" t="s">
        <v>151</v>
      </c>
      <c r="D90" s="1"/>
      <c r="E90" s="1" t="s">
        <v>152</v>
      </c>
      <c r="F90" s="9">
        <v>1.3607655000000001</v>
      </c>
      <c r="G90" s="10">
        <v>3.3376382246951284E-6</v>
      </c>
      <c r="H90" s="113"/>
      <c r="I90" s="113"/>
    </row>
    <row r="91" spans="1:9" ht="14.1" customHeight="1" x14ac:dyDescent="0.2">
      <c r="A91" s="1"/>
      <c r="B91" s="1"/>
      <c r="C91" s="11"/>
      <c r="D91" s="1"/>
      <c r="E91" s="1"/>
      <c r="F91" s="12"/>
      <c r="G91" s="12"/>
      <c r="H91" s="113"/>
      <c r="I91" s="113"/>
    </row>
    <row r="92" spans="1:9" ht="14.1" customHeight="1" x14ac:dyDescent="0.2">
      <c r="A92" s="1"/>
      <c r="B92" s="1"/>
      <c r="C92" s="2" t="s">
        <v>156</v>
      </c>
      <c r="D92" s="1"/>
      <c r="E92" s="1"/>
      <c r="F92" s="1"/>
      <c r="G92" s="1"/>
      <c r="H92" s="113"/>
      <c r="I92" s="113"/>
    </row>
    <row r="93" spans="1:9" ht="29.1" customHeight="1" x14ac:dyDescent="0.2">
      <c r="A93" s="3">
        <v>1</v>
      </c>
      <c r="B93" s="4" t="s">
        <v>318</v>
      </c>
      <c r="C93" s="4" t="s">
        <v>898</v>
      </c>
      <c r="D93" s="4" t="s">
        <v>107</v>
      </c>
      <c r="E93" s="5">
        <v>15000000</v>
      </c>
      <c r="F93" s="6">
        <v>1590</v>
      </c>
      <c r="G93" s="7">
        <v>3.8998966223535601E-3</v>
      </c>
      <c r="H93" s="113"/>
      <c r="I93" s="113"/>
    </row>
    <row r="94" spans="1:9" ht="38.25" x14ac:dyDescent="0.2">
      <c r="A94" s="3">
        <v>2</v>
      </c>
      <c r="B94" s="4" t="s">
        <v>319</v>
      </c>
      <c r="C94" s="4" t="s">
        <v>899</v>
      </c>
      <c r="D94" s="4" t="s">
        <v>53</v>
      </c>
      <c r="E94" s="5">
        <v>91</v>
      </c>
      <c r="F94" s="6">
        <v>9.1015469999999998E-3</v>
      </c>
      <c r="G94" s="44" t="s">
        <v>150</v>
      </c>
      <c r="H94" s="113"/>
      <c r="I94" s="113"/>
    </row>
    <row r="95" spans="1:9" ht="14.1" customHeight="1" x14ac:dyDescent="0.2">
      <c r="A95" s="1"/>
      <c r="B95" s="1"/>
      <c r="C95" s="2" t="s">
        <v>151</v>
      </c>
      <c r="D95" s="1"/>
      <c r="E95" s="1" t="s">
        <v>152</v>
      </c>
      <c r="F95" s="9">
        <v>1590.009101547</v>
      </c>
      <c r="G95" s="10">
        <v>3.8999189463110465E-3</v>
      </c>
      <c r="H95" s="113"/>
      <c r="I95" s="113"/>
    </row>
    <row r="96" spans="1:9" ht="14.1" customHeight="1" x14ac:dyDescent="0.2">
      <c r="A96" s="1"/>
      <c r="B96" s="1"/>
      <c r="C96" s="11"/>
      <c r="D96" s="1"/>
      <c r="E96" s="1"/>
      <c r="F96" s="12"/>
      <c r="G96" s="12"/>
      <c r="H96" s="113"/>
      <c r="I96" s="113"/>
    </row>
    <row r="97" spans="1:9" ht="14.1" customHeight="1" x14ac:dyDescent="0.2">
      <c r="A97" s="1"/>
      <c r="B97" s="1"/>
      <c r="C97" s="2" t="s">
        <v>157</v>
      </c>
      <c r="D97" s="1"/>
      <c r="E97" s="1"/>
      <c r="F97" s="12"/>
      <c r="G97" s="12"/>
      <c r="H97" s="113"/>
      <c r="I97" s="113"/>
    </row>
    <row r="98" spans="1:9" ht="14.1" customHeight="1" x14ac:dyDescent="0.2">
      <c r="A98" s="1"/>
      <c r="B98" s="1"/>
      <c r="C98" s="2" t="s">
        <v>151</v>
      </c>
      <c r="D98" s="1"/>
      <c r="E98" s="1" t="s">
        <v>152</v>
      </c>
      <c r="F98" s="13" t="s">
        <v>154</v>
      </c>
      <c r="G98" s="10">
        <v>0</v>
      </c>
      <c r="H98" s="113"/>
      <c r="I98" s="113"/>
    </row>
    <row r="99" spans="1:9" ht="14.1" customHeight="1" x14ac:dyDescent="0.2">
      <c r="A99" s="49"/>
      <c r="B99" s="49"/>
      <c r="C99" s="50"/>
      <c r="D99" s="49"/>
      <c r="E99" s="49"/>
      <c r="F99" s="51"/>
      <c r="G99" s="51"/>
      <c r="H99" s="113"/>
      <c r="I99" s="113"/>
    </row>
    <row r="100" spans="1:9" ht="14.1" customHeight="1" x14ac:dyDescent="0.2">
      <c r="A100" s="49"/>
      <c r="B100" s="49"/>
      <c r="C100" s="46" t="s">
        <v>909</v>
      </c>
      <c r="D100" s="49"/>
      <c r="E100" s="49"/>
      <c r="F100" s="51"/>
      <c r="G100" s="51"/>
      <c r="H100" s="113"/>
      <c r="I100" s="113"/>
    </row>
    <row r="101" spans="1:9" ht="29.1" customHeight="1" x14ac:dyDescent="0.2">
      <c r="A101" s="41">
        <v>1</v>
      </c>
      <c r="B101" s="40" t="s">
        <v>910</v>
      </c>
      <c r="C101" s="40" t="s">
        <v>911</v>
      </c>
      <c r="D101" s="40" t="s">
        <v>912</v>
      </c>
      <c r="E101" s="42">
        <v>1750</v>
      </c>
      <c r="F101" s="43">
        <v>1789.2838775</v>
      </c>
      <c r="G101" s="86">
        <v>4.3886931762854913E-3</v>
      </c>
      <c r="H101" s="113">
        <v>8.5221499999999999</v>
      </c>
      <c r="I101" s="113"/>
    </row>
    <row r="102" spans="1:9" ht="14.1" customHeight="1" x14ac:dyDescent="0.2">
      <c r="A102" s="49"/>
      <c r="B102" s="49"/>
      <c r="C102" s="46" t="s">
        <v>151</v>
      </c>
      <c r="D102" s="49"/>
      <c r="E102" s="49" t="s">
        <v>152</v>
      </c>
      <c r="F102" s="52">
        <v>1789.2838775</v>
      </c>
      <c r="G102" s="87">
        <v>4.3886931762854913E-3</v>
      </c>
      <c r="H102" s="113"/>
      <c r="I102" s="113"/>
    </row>
    <row r="103" spans="1:9" ht="14.1" customHeight="1" x14ac:dyDescent="0.2">
      <c r="A103" s="1"/>
      <c r="B103" s="1"/>
      <c r="C103" s="11"/>
      <c r="D103" s="1"/>
      <c r="E103" s="1"/>
      <c r="F103" s="12"/>
      <c r="G103" s="12"/>
      <c r="H103" s="113"/>
      <c r="I103" s="113"/>
    </row>
    <row r="104" spans="1:9" ht="14.1" customHeight="1" x14ac:dyDescent="0.2">
      <c r="A104" s="1"/>
      <c r="B104" s="1"/>
      <c r="C104" s="46" t="s">
        <v>913</v>
      </c>
      <c r="D104" s="1"/>
      <c r="E104" s="1"/>
      <c r="F104" s="12"/>
      <c r="G104" s="12"/>
      <c r="H104" s="113"/>
      <c r="I104" s="113"/>
    </row>
    <row r="105" spans="1:9" ht="14.1" customHeight="1" x14ac:dyDescent="0.2">
      <c r="A105" s="1"/>
      <c r="B105" s="1"/>
      <c r="C105" s="2" t="s">
        <v>151</v>
      </c>
      <c r="D105" s="1"/>
      <c r="E105" s="1" t="s">
        <v>152</v>
      </c>
      <c r="F105" s="13" t="s">
        <v>154</v>
      </c>
      <c r="G105" s="10">
        <v>0</v>
      </c>
      <c r="H105" s="113"/>
      <c r="I105" s="113"/>
    </row>
    <row r="106" spans="1:9" ht="14.1" customHeight="1" x14ac:dyDescent="0.2">
      <c r="A106" s="1"/>
      <c r="B106" s="1"/>
      <c r="C106" s="11"/>
      <c r="D106" s="1"/>
      <c r="E106" s="1"/>
      <c r="F106" s="12"/>
      <c r="G106" s="12"/>
      <c r="H106" s="113"/>
      <c r="I106" s="113"/>
    </row>
    <row r="107" spans="1:9" ht="18" customHeight="1" x14ac:dyDescent="0.2">
      <c r="A107" s="1"/>
      <c r="B107" s="1"/>
      <c r="C107" s="2" t="s">
        <v>159</v>
      </c>
      <c r="D107" s="1"/>
      <c r="E107" s="1"/>
      <c r="F107" s="9">
        <v>300680.67936804704</v>
      </c>
      <c r="G107" s="10">
        <v>0.73749909803422675</v>
      </c>
      <c r="H107" s="113"/>
      <c r="I107" s="113"/>
    </row>
    <row r="108" spans="1:9" ht="14.1" customHeight="1" x14ac:dyDescent="0.2">
      <c r="A108" s="1"/>
      <c r="B108" s="1"/>
      <c r="C108" s="11"/>
      <c r="D108" s="1"/>
      <c r="E108" s="1"/>
      <c r="F108" s="12"/>
      <c r="G108" s="12"/>
      <c r="H108" s="113"/>
      <c r="I108" s="113"/>
    </row>
    <row r="109" spans="1:9" ht="14.1" customHeight="1" x14ac:dyDescent="0.2">
      <c r="A109" s="1"/>
      <c r="B109" s="1"/>
      <c r="C109" s="2" t="s">
        <v>160</v>
      </c>
      <c r="D109" s="1"/>
      <c r="E109" s="1"/>
      <c r="F109" s="12"/>
      <c r="G109" s="12"/>
      <c r="H109" s="113"/>
      <c r="I109" s="113"/>
    </row>
    <row r="110" spans="1:9" ht="24" customHeight="1" x14ac:dyDescent="0.2">
      <c r="A110" s="1"/>
      <c r="B110" s="1"/>
      <c r="C110" s="2" t="s">
        <v>10</v>
      </c>
      <c r="D110" s="1"/>
      <c r="E110" s="1"/>
      <c r="F110" s="12"/>
      <c r="G110" s="12"/>
      <c r="H110" s="113"/>
      <c r="I110" s="113"/>
    </row>
    <row r="111" spans="1:9" ht="29.1" customHeight="1" x14ac:dyDescent="0.2">
      <c r="A111" s="3">
        <v>1</v>
      </c>
      <c r="B111" s="4" t="s">
        <v>580</v>
      </c>
      <c r="C111" s="4" t="s">
        <v>581</v>
      </c>
      <c r="D111" s="4" t="s">
        <v>582</v>
      </c>
      <c r="E111" s="5">
        <v>300</v>
      </c>
      <c r="F111" s="6">
        <v>2995.1550000000002</v>
      </c>
      <c r="G111" s="7">
        <v>7.3464118666197349E-3</v>
      </c>
      <c r="H111" s="113">
        <v>7.9</v>
      </c>
      <c r="I111" s="113"/>
    </row>
    <row r="112" spans="1:9" ht="29.1" customHeight="1" x14ac:dyDescent="0.2">
      <c r="A112" s="3">
        <v>2</v>
      </c>
      <c r="B112" s="4" t="s">
        <v>583</v>
      </c>
      <c r="C112" s="4" t="s">
        <v>584</v>
      </c>
      <c r="D112" s="4" t="s">
        <v>582</v>
      </c>
      <c r="E112" s="5">
        <v>2500</v>
      </c>
      <c r="F112" s="6">
        <v>2541.395</v>
      </c>
      <c r="G112" s="7">
        <v>6.2334451424944821E-3</v>
      </c>
      <c r="H112" s="113">
        <v>7.62</v>
      </c>
      <c r="I112" s="113"/>
    </row>
    <row r="113" spans="1:9" ht="29.1" customHeight="1" x14ac:dyDescent="0.2">
      <c r="A113" s="3">
        <v>3</v>
      </c>
      <c r="B113" s="4" t="s">
        <v>585</v>
      </c>
      <c r="C113" s="4" t="s">
        <v>586</v>
      </c>
      <c r="D113" s="4" t="s">
        <v>582</v>
      </c>
      <c r="E113" s="5">
        <v>250</v>
      </c>
      <c r="F113" s="6">
        <v>2534.7249999999999</v>
      </c>
      <c r="G113" s="7">
        <v>6.2170851988019669E-3</v>
      </c>
      <c r="H113" s="113">
        <v>7.8</v>
      </c>
      <c r="I113" s="113"/>
    </row>
    <row r="114" spans="1:9" ht="29.1" customHeight="1" x14ac:dyDescent="0.2">
      <c r="A114" s="3">
        <v>4</v>
      </c>
      <c r="B114" s="4" t="s">
        <v>587</v>
      </c>
      <c r="C114" s="4" t="s">
        <v>588</v>
      </c>
      <c r="D114" s="4" t="s">
        <v>582</v>
      </c>
      <c r="E114" s="5">
        <v>2500</v>
      </c>
      <c r="F114" s="6">
        <v>2503.1950000000002</v>
      </c>
      <c r="G114" s="7">
        <v>6.139749512951145E-3</v>
      </c>
      <c r="H114" s="113">
        <v>7.7614999999999998</v>
      </c>
      <c r="I114" s="113"/>
    </row>
    <row r="115" spans="1:9" ht="29.1" customHeight="1" x14ac:dyDescent="0.2">
      <c r="A115" s="3">
        <v>5</v>
      </c>
      <c r="B115" s="4" t="s">
        <v>589</v>
      </c>
      <c r="C115" s="4" t="s">
        <v>590</v>
      </c>
      <c r="D115" s="4" t="s">
        <v>582</v>
      </c>
      <c r="E115" s="5">
        <v>2500</v>
      </c>
      <c r="F115" s="6">
        <v>2500.34</v>
      </c>
      <c r="G115" s="7">
        <v>6.1327468683871076E-3</v>
      </c>
      <c r="H115" s="113">
        <v>7.6475999999999997</v>
      </c>
      <c r="I115" s="113"/>
    </row>
    <row r="116" spans="1:9" ht="29.1" customHeight="1" x14ac:dyDescent="0.2">
      <c r="A116" s="3">
        <v>6</v>
      </c>
      <c r="B116" s="4" t="s">
        <v>591</v>
      </c>
      <c r="C116" s="4" t="s">
        <v>592</v>
      </c>
      <c r="D116" s="4" t="s">
        <v>582</v>
      </c>
      <c r="E116" s="5">
        <v>2500</v>
      </c>
      <c r="F116" s="6">
        <v>2490.165</v>
      </c>
      <c r="G116" s="7">
        <v>6.1077899827692156E-3</v>
      </c>
      <c r="H116" s="113">
        <v>7.73</v>
      </c>
      <c r="I116" s="113"/>
    </row>
    <row r="117" spans="1:9" ht="29.1" customHeight="1" x14ac:dyDescent="0.2">
      <c r="A117" s="3">
        <v>7</v>
      </c>
      <c r="B117" s="4" t="s">
        <v>594</v>
      </c>
      <c r="C117" s="4" t="s">
        <v>595</v>
      </c>
      <c r="D117" s="4" t="s">
        <v>582</v>
      </c>
      <c r="E117" s="5">
        <v>2500</v>
      </c>
      <c r="F117" s="6">
        <v>2486.6975000000002</v>
      </c>
      <c r="G117" s="7">
        <v>6.0992850195377632E-3</v>
      </c>
      <c r="H117" s="113">
        <v>7.7850000000000001</v>
      </c>
      <c r="I117" s="113"/>
    </row>
    <row r="118" spans="1:9" ht="29.1" customHeight="1" x14ac:dyDescent="0.2">
      <c r="A118" s="3">
        <v>8</v>
      </c>
      <c r="B118" s="4" t="s">
        <v>596</v>
      </c>
      <c r="C118" s="4" t="s">
        <v>597</v>
      </c>
      <c r="D118" s="4" t="s">
        <v>582</v>
      </c>
      <c r="E118" s="5">
        <v>2500</v>
      </c>
      <c r="F118" s="6">
        <v>2476.9450000000002</v>
      </c>
      <c r="G118" s="7">
        <v>6.0753644272047418E-3</v>
      </c>
      <c r="H118" s="113">
        <v>7.8</v>
      </c>
      <c r="I118" s="113"/>
    </row>
    <row r="119" spans="1:9" ht="17.100000000000001" customHeight="1" x14ac:dyDescent="0.2">
      <c r="A119" s="3">
        <v>9</v>
      </c>
      <c r="B119" s="4" t="s">
        <v>598</v>
      </c>
      <c r="C119" s="4" t="s">
        <v>599</v>
      </c>
      <c r="D119" s="4" t="s">
        <v>582</v>
      </c>
      <c r="E119" s="5">
        <v>250</v>
      </c>
      <c r="F119" s="6">
        <v>2475.19</v>
      </c>
      <c r="G119" s="7">
        <v>6.0710598243291251E-3</v>
      </c>
      <c r="H119" s="113">
        <v>7.7050000000000001</v>
      </c>
      <c r="I119" s="113"/>
    </row>
    <row r="120" spans="1:9" ht="17.100000000000001" customHeight="1" x14ac:dyDescent="0.2">
      <c r="A120" s="3">
        <v>10</v>
      </c>
      <c r="B120" s="4" t="s">
        <v>600</v>
      </c>
      <c r="C120" s="4" t="s">
        <v>601</v>
      </c>
      <c r="D120" s="4" t="s">
        <v>582</v>
      </c>
      <c r="E120" s="5">
        <v>200</v>
      </c>
      <c r="F120" s="6">
        <v>2009.444</v>
      </c>
      <c r="G120" s="7">
        <v>4.9286942568607722E-3</v>
      </c>
      <c r="H120" s="113">
        <v>7.79</v>
      </c>
      <c r="I120" s="113"/>
    </row>
    <row r="121" spans="1:9" ht="29.1" customHeight="1" x14ac:dyDescent="0.2">
      <c r="A121" s="3">
        <v>11</v>
      </c>
      <c r="B121" s="4" t="s">
        <v>602</v>
      </c>
      <c r="C121" s="4" t="s">
        <v>603</v>
      </c>
      <c r="D121" s="4" t="s">
        <v>582</v>
      </c>
      <c r="E121" s="5">
        <v>2000</v>
      </c>
      <c r="F121" s="6">
        <v>2004.4680000000001</v>
      </c>
      <c r="G121" s="7">
        <v>4.9164892973684255E-3</v>
      </c>
      <c r="H121" s="113">
        <v>7.6</v>
      </c>
      <c r="I121" s="113"/>
    </row>
    <row r="122" spans="1:9" ht="29.1" customHeight="1" x14ac:dyDescent="0.2">
      <c r="A122" s="3">
        <v>12</v>
      </c>
      <c r="B122" s="4" t="s">
        <v>604</v>
      </c>
      <c r="C122" s="4" t="s">
        <v>605</v>
      </c>
      <c r="D122" s="4" t="s">
        <v>582</v>
      </c>
      <c r="E122" s="5">
        <v>1500</v>
      </c>
      <c r="F122" s="6">
        <v>1511.4765</v>
      </c>
      <c r="G122" s="7">
        <v>3.7072969164256482E-3</v>
      </c>
      <c r="H122" s="113">
        <v>7.6475</v>
      </c>
      <c r="I122" s="113"/>
    </row>
    <row r="123" spans="1:9" ht="29.1" customHeight="1" x14ac:dyDescent="0.2">
      <c r="A123" s="3">
        <v>13</v>
      </c>
      <c r="B123" s="4" t="s">
        <v>606</v>
      </c>
      <c r="C123" s="4" t="s">
        <v>607</v>
      </c>
      <c r="D123" s="4" t="s">
        <v>582</v>
      </c>
      <c r="E123" s="5">
        <v>1500</v>
      </c>
      <c r="F123" s="6">
        <v>1503.999</v>
      </c>
      <c r="G123" s="7">
        <v>3.688956364857316E-3</v>
      </c>
      <c r="H123" s="113">
        <v>7.6818999999999997</v>
      </c>
      <c r="I123" s="113"/>
    </row>
    <row r="124" spans="1:9" ht="17.100000000000001" customHeight="1" x14ac:dyDescent="0.2">
      <c r="A124" s="3">
        <v>14</v>
      </c>
      <c r="B124" s="4" t="s">
        <v>608</v>
      </c>
      <c r="C124" s="4" t="s">
        <v>609</v>
      </c>
      <c r="D124" s="4" t="s">
        <v>582</v>
      </c>
      <c r="E124" s="5">
        <v>1500</v>
      </c>
      <c r="F124" s="6">
        <v>1501.1054999999999</v>
      </c>
      <c r="G124" s="7">
        <v>3.6818592888341836E-3</v>
      </c>
      <c r="H124" s="113">
        <v>7.6280999999999999</v>
      </c>
      <c r="I124" s="113"/>
    </row>
    <row r="125" spans="1:9" ht="29.1" customHeight="1" x14ac:dyDescent="0.2">
      <c r="A125" s="3">
        <v>15</v>
      </c>
      <c r="B125" s="4" t="s">
        <v>610</v>
      </c>
      <c r="C125" s="4" t="s">
        <v>611</v>
      </c>
      <c r="D125" s="4" t="s">
        <v>582</v>
      </c>
      <c r="E125" s="5">
        <v>1500</v>
      </c>
      <c r="F125" s="6">
        <v>1500.78</v>
      </c>
      <c r="G125" s="7">
        <v>3.6810609137709282E-3</v>
      </c>
      <c r="H125" s="113">
        <v>7.75</v>
      </c>
      <c r="I125" s="113"/>
    </row>
    <row r="126" spans="1:9" ht="38.25" x14ac:dyDescent="0.2">
      <c r="A126" s="3">
        <v>16</v>
      </c>
      <c r="B126" s="4" t="s">
        <v>612</v>
      </c>
      <c r="C126" s="40" t="s">
        <v>1032</v>
      </c>
      <c r="D126" s="4" t="s">
        <v>1047</v>
      </c>
      <c r="E126" s="5">
        <v>150</v>
      </c>
      <c r="F126" s="6">
        <v>1499.4165</v>
      </c>
      <c r="G126" s="7">
        <v>3.6777165684598722E-3</v>
      </c>
      <c r="H126" s="113">
        <v>8.5503999999999998</v>
      </c>
      <c r="I126" s="113">
        <v>8.2549989313999994</v>
      </c>
    </row>
    <row r="127" spans="1:9" ht="29.1" customHeight="1" x14ac:dyDescent="0.2">
      <c r="A127" s="3">
        <v>17</v>
      </c>
      <c r="B127" s="4" t="s">
        <v>613</v>
      </c>
      <c r="C127" s="4" t="s">
        <v>614</v>
      </c>
      <c r="D127" s="4" t="s">
        <v>582</v>
      </c>
      <c r="E127" s="5">
        <v>1500</v>
      </c>
      <c r="F127" s="6">
        <v>1497.3705</v>
      </c>
      <c r="G127" s="7">
        <v>3.6726982109194098E-3</v>
      </c>
      <c r="H127" s="113">
        <v>8.0437999999999992</v>
      </c>
      <c r="I127" s="113"/>
    </row>
    <row r="128" spans="1:9" ht="17.100000000000001" customHeight="1" x14ac:dyDescent="0.2">
      <c r="A128" s="3">
        <v>18</v>
      </c>
      <c r="B128" s="4" t="s">
        <v>615</v>
      </c>
      <c r="C128" s="4" t="s">
        <v>975</v>
      </c>
      <c r="D128" s="4" t="s">
        <v>582</v>
      </c>
      <c r="E128" s="5">
        <v>1500</v>
      </c>
      <c r="F128" s="6">
        <v>1497.0764999999999</v>
      </c>
      <c r="G128" s="7">
        <v>3.67197709795905E-3</v>
      </c>
      <c r="H128" s="113">
        <v>7.82</v>
      </c>
      <c r="I128" s="113"/>
    </row>
    <row r="129" spans="1:9" ht="29.1" customHeight="1" x14ac:dyDescent="0.2">
      <c r="A129" s="3">
        <v>19</v>
      </c>
      <c r="B129" s="4" t="s">
        <v>616</v>
      </c>
      <c r="C129" s="4" t="s">
        <v>617</v>
      </c>
      <c r="D129" s="4" t="s">
        <v>582</v>
      </c>
      <c r="E129" s="5">
        <v>1500</v>
      </c>
      <c r="F129" s="6">
        <v>1492.1324999999999</v>
      </c>
      <c r="G129" s="7">
        <v>3.6598506269521847E-3</v>
      </c>
      <c r="H129" s="113">
        <v>8.42</v>
      </c>
      <c r="I129" s="113"/>
    </row>
    <row r="130" spans="1:9" ht="29.1" customHeight="1" x14ac:dyDescent="0.2">
      <c r="A130" s="3">
        <v>20</v>
      </c>
      <c r="B130" s="4" t="s">
        <v>618</v>
      </c>
      <c r="C130" s="4" t="s">
        <v>619</v>
      </c>
      <c r="D130" s="4" t="s">
        <v>582</v>
      </c>
      <c r="E130" s="5">
        <v>150</v>
      </c>
      <c r="F130" s="6">
        <v>1489.5540000000001</v>
      </c>
      <c r="G130" s="7">
        <v>3.6535261719580097E-3</v>
      </c>
      <c r="H130" s="113">
        <v>7.8</v>
      </c>
      <c r="I130" s="113"/>
    </row>
    <row r="131" spans="1:9" ht="17.100000000000001" customHeight="1" x14ac:dyDescent="0.2">
      <c r="A131" s="3">
        <v>21</v>
      </c>
      <c r="B131" s="4" t="s">
        <v>620</v>
      </c>
      <c r="C131" s="4" t="s">
        <v>976</v>
      </c>
      <c r="D131" s="4" t="s">
        <v>582</v>
      </c>
      <c r="E131" s="5">
        <v>150</v>
      </c>
      <c r="F131" s="6">
        <v>1489.02</v>
      </c>
      <c r="G131" s="7">
        <v>3.6522163953565398E-3</v>
      </c>
      <c r="H131" s="113">
        <v>8.0383999999999993</v>
      </c>
      <c r="I131" s="113"/>
    </row>
    <row r="132" spans="1:9" ht="29.1" customHeight="1" x14ac:dyDescent="0.2">
      <c r="A132" s="3">
        <v>22</v>
      </c>
      <c r="B132" s="4" t="s">
        <v>621</v>
      </c>
      <c r="C132" s="4" t="s">
        <v>622</v>
      </c>
      <c r="D132" s="4" t="s">
        <v>582</v>
      </c>
      <c r="E132" s="5">
        <v>150</v>
      </c>
      <c r="F132" s="6">
        <v>1485.444</v>
      </c>
      <c r="G132" s="7">
        <v>3.643445307104001E-3</v>
      </c>
      <c r="H132" s="113">
        <v>7.7549999999999999</v>
      </c>
      <c r="I132" s="113"/>
    </row>
    <row r="133" spans="1:9" ht="29.1" customHeight="1" x14ac:dyDescent="0.2">
      <c r="A133" s="3">
        <v>23</v>
      </c>
      <c r="B133" s="4" t="s">
        <v>623</v>
      </c>
      <c r="C133" s="4" t="s">
        <v>624</v>
      </c>
      <c r="D133" s="4" t="s">
        <v>582</v>
      </c>
      <c r="E133" s="5">
        <v>150</v>
      </c>
      <c r="F133" s="6">
        <v>1466.04</v>
      </c>
      <c r="G133" s="7">
        <v>3.59585185172026E-3</v>
      </c>
      <c r="H133" s="113">
        <v>7.9</v>
      </c>
      <c r="I133" s="113"/>
    </row>
    <row r="134" spans="1:9" ht="17.100000000000001" customHeight="1" x14ac:dyDescent="0.2">
      <c r="A134" s="3">
        <v>24</v>
      </c>
      <c r="B134" s="4" t="s">
        <v>625</v>
      </c>
      <c r="C134" s="4" t="s">
        <v>626</v>
      </c>
      <c r="D134" s="4" t="s">
        <v>582</v>
      </c>
      <c r="E134" s="5">
        <v>100</v>
      </c>
      <c r="F134" s="6">
        <v>998.03200000000004</v>
      </c>
      <c r="G134" s="7">
        <v>2.4479381294344456E-3</v>
      </c>
      <c r="H134" s="113">
        <v>7.81</v>
      </c>
      <c r="I134" s="113"/>
    </row>
    <row r="135" spans="1:9" ht="29.1" customHeight="1" x14ac:dyDescent="0.2">
      <c r="A135" s="3">
        <v>25</v>
      </c>
      <c r="B135" s="4" t="s">
        <v>627</v>
      </c>
      <c r="C135" s="4" t="s">
        <v>628</v>
      </c>
      <c r="D135" s="4" t="s">
        <v>593</v>
      </c>
      <c r="E135" s="5">
        <v>100</v>
      </c>
      <c r="F135" s="6">
        <v>995.03599999999994</v>
      </c>
      <c r="G135" s="7">
        <v>2.4405896449812559E-3</v>
      </c>
      <c r="H135" s="113">
        <v>7.7466999999999997</v>
      </c>
      <c r="I135" s="113"/>
    </row>
    <row r="136" spans="1:9" ht="17.100000000000001" customHeight="1" x14ac:dyDescent="0.2">
      <c r="A136" s="3">
        <v>26</v>
      </c>
      <c r="B136" s="4" t="s">
        <v>629</v>
      </c>
      <c r="C136" s="4" t="s">
        <v>630</v>
      </c>
      <c r="D136" s="4" t="s">
        <v>582</v>
      </c>
      <c r="E136" s="5">
        <v>1000</v>
      </c>
      <c r="F136" s="6">
        <v>994.00800000000004</v>
      </c>
      <c r="G136" s="7">
        <v>2.4380682023851684E-3</v>
      </c>
      <c r="H136" s="113">
        <v>7.7450000000000001</v>
      </c>
      <c r="I136" s="113"/>
    </row>
    <row r="137" spans="1:9" ht="17.100000000000001" customHeight="1" x14ac:dyDescent="0.2">
      <c r="A137" s="3">
        <v>27</v>
      </c>
      <c r="B137" s="4" t="s">
        <v>631</v>
      </c>
      <c r="C137" s="4" t="s">
        <v>632</v>
      </c>
      <c r="D137" s="4" t="s">
        <v>582</v>
      </c>
      <c r="E137" s="5">
        <v>1000</v>
      </c>
      <c r="F137" s="6">
        <v>993.18499999999995</v>
      </c>
      <c r="G137" s="7">
        <v>2.4360495766491954E-3</v>
      </c>
      <c r="H137" s="113">
        <v>7.7450000000000001</v>
      </c>
      <c r="I137" s="113"/>
    </row>
    <row r="138" spans="1:9" ht="29.1" customHeight="1" x14ac:dyDescent="0.2">
      <c r="A138" s="3">
        <v>28</v>
      </c>
      <c r="B138" s="4" t="s">
        <v>633</v>
      </c>
      <c r="C138" s="4" t="s">
        <v>634</v>
      </c>
      <c r="D138" s="4" t="s">
        <v>582</v>
      </c>
      <c r="E138" s="5">
        <v>100</v>
      </c>
      <c r="F138" s="6">
        <v>993.10299999999995</v>
      </c>
      <c r="G138" s="7">
        <v>2.4358484499051492E-3</v>
      </c>
      <c r="H138" s="113">
        <v>7.8</v>
      </c>
      <c r="I138" s="113"/>
    </row>
    <row r="139" spans="1:9" ht="29.1" customHeight="1" x14ac:dyDescent="0.2">
      <c r="A139" s="3">
        <v>29</v>
      </c>
      <c r="B139" s="4" t="s">
        <v>635</v>
      </c>
      <c r="C139" s="4" t="s">
        <v>636</v>
      </c>
      <c r="D139" s="4" t="s">
        <v>582</v>
      </c>
      <c r="E139" s="5">
        <v>100</v>
      </c>
      <c r="F139" s="6">
        <v>991.87</v>
      </c>
      <c r="G139" s="7">
        <v>2.4328241904489471E-3</v>
      </c>
      <c r="H139" s="113">
        <v>7.76</v>
      </c>
      <c r="I139" s="113"/>
    </row>
    <row r="140" spans="1:9" ht="17.100000000000001" customHeight="1" x14ac:dyDescent="0.2">
      <c r="A140" s="3">
        <v>30</v>
      </c>
      <c r="B140" s="4" t="s">
        <v>639</v>
      </c>
      <c r="C140" s="4" t="s">
        <v>977</v>
      </c>
      <c r="D140" s="4" t="s">
        <v>582</v>
      </c>
      <c r="E140" s="5">
        <v>500</v>
      </c>
      <c r="F140" s="6">
        <v>498.09649999999999</v>
      </c>
      <c r="G140" s="7">
        <v>1.2217137471422202E-3</v>
      </c>
      <c r="H140" s="113">
        <v>8.0379000000000005</v>
      </c>
      <c r="I140" s="113"/>
    </row>
    <row r="141" spans="1:9" ht="29.1" customHeight="1" x14ac:dyDescent="0.2">
      <c r="A141" s="3">
        <v>31</v>
      </c>
      <c r="B141" s="4" t="s">
        <v>640</v>
      </c>
      <c r="C141" s="4" t="s">
        <v>641</v>
      </c>
      <c r="D141" s="4" t="s">
        <v>582</v>
      </c>
      <c r="E141" s="5">
        <v>20</v>
      </c>
      <c r="F141" s="6">
        <v>197.0812</v>
      </c>
      <c r="G141" s="7">
        <v>4.8339390327634368E-4</v>
      </c>
      <c r="H141" s="113">
        <v>7.82</v>
      </c>
      <c r="I141" s="113"/>
    </row>
    <row r="142" spans="1:9" ht="14.1" customHeight="1" x14ac:dyDescent="0.2">
      <c r="A142" s="1"/>
      <c r="B142" s="1"/>
      <c r="C142" s="2" t="s">
        <v>151</v>
      </c>
      <c r="D142" s="1"/>
      <c r="E142" s="1" t="s">
        <v>152</v>
      </c>
      <c r="F142" s="9">
        <v>51611.546200000004</v>
      </c>
      <c r="G142" s="10">
        <v>0.12659100295586462</v>
      </c>
      <c r="H142" s="113"/>
      <c r="I142" s="113"/>
    </row>
    <row r="143" spans="1:9" ht="14.1" customHeight="1" x14ac:dyDescent="0.2">
      <c r="A143" s="1"/>
      <c r="B143" s="1"/>
      <c r="C143" s="11"/>
      <c r="D143" s="1"/>
      <c r="E143" s="1"/>
      <c r="F143" s="12"/>
      <c r="G143" s="12"/>
      <c r="H143" s="113"/>
      <c r="I143" s="113"/>
    </row>
    <row r="144" spans="1:9" ht="14.1" customHeight="1" x14ac:dyDescent="0.2">
      <c r="A144" s="1"/>
      <c r="B144" s="1"/>
      <c r="C144" s="2" t="s">
        <v>161</v>
      </c>
      <c r="D144" s="1"/>
      <c r="E144" s="1"/>
      <c r="F144" s="1"/>
      <c r="G144" s="1"/>
      <c r="H144" s="113"/>
      <c r="I144" s="113"/>
    </row>
    <row r="145" spans="1:9" ht="17.100000000000001" customHeight="1" x14ac:dyDescent="0.2">
      <c r="A145" s="3">
        <v>1</v>
      </c>
      <c r="B145" s="4" t="s">
        <v>637</v>
      </c>
      <c r="C145" s="4" t="s">
        <v>638</v>
      </c>
      <c r="D145" s="4" t="s">
        <v>582</v>
      </c>
      <c r="E145" s="5">
        <v>50</v>
      </c>
      <c r="F145" s="6">
        <v>501.54300000000001</v>
      </c>
      <c r="G145" s="7">
        <v>1.2301672023050764E-3</v>
      </c>
      <c r="H145" s="113">
        <v>8.6150000000000002</v>
      </c>
      <c r="I145" s="113"/>
    </row>
    <row r="146" spans="1:9" ht="14.1" customHeight="1" x14ac:dyDescent="0.2">
      <c r="A146" s="1"/>
      <c r="B146" s="1"/>
      <c r="C146" s="2" t="s">
        <v>151</v>
      </c>
      <c r="D146" s="1"/>
      <c r="E146" s="1" t="s">
        <v>152</v>
      </c>
      <c r="F146" s="9">
        <v>501.54300000000001</v>
      </c>
      <c r="G146" s="10">
        <v>1.2301672023050764E-3</v>
      </c>
      <c r="H146" s="113"/>
      <c r="I146" s="113"/>
    </row>
    <row r="147" spans="1:9" ht="14.1" customHeight="1" x14ac:dyDescent="0.2">
      <c r="A147" s="1"/>
      <c r="B147" s="1"/>
      <c r="C147" s="11"/>
      <c r="D147" s="1"/>
      <c r="E147" s="1"/>
      <c r="F147" s="12"/>
      <c r="G147" s="12"/>
      <c r="H147" s="113"/>
      <c r="I147" s="113"/>
    </row>
    <row r="148" spans="1:9" ht="14.1" customHeight="1" x14ac:dyDescent="0.2">
      <c r="A148" s="1"/>
      <c r="B148" s="1"/>
      <c r="C148" s="2" t="s">
        <v>162</v>
      </c>
      <c r="D148" s="1"/>
      <c r="E148" s="1"/>
      <c r="F148" s="1"/>
      <c r="G148" s="1"/>
      <c r="H148" s="113"/>
      <c r="I148" s="113"/>
    </row>
    <row r="149" spans="1:9" ht="29.1" customHeight="1" x14ac:dyDescent="0.2">
      <c r="A149" s="3">
        <v>1</v>
      </c>
      <c r="B149" s="4" t="s">
        <v>642</v>
      </c>
      <c r="C149" s="4" t="s">
        <v>643</v>
      </c>
      <c r="D149" s="4" t="s">
        <v>644</v>
      </c>
      <c r="E149" s="5">
        <v>10000000</v>
      </c>
      <c r="F149" s="6">
        <v>10044.75</v>
      </c>
      <c r="G149" s="7">
        <v>2.4637412954330768E-2</v>
      </c>
      <c r="H149" s="113">
        <v>7.3198999999999996</v>
      </c>
      <c r="I149" s="113"/>
    </row>
    <row r="150" spans="1:9" ht="29.1" customHeight="1" x14ac:dyDescent="0.2">
      <c r="A150" s="3">
        <v>2</v>
      </c>
      <c r="B150" s="4" t="s">
        <v>645</v>
      </c>
      <c r="C150" s="4" t="s">
        <v>646</v>
      </c>
      <c r="D150" s="4" t="s">
        <v>644</v>
      </c>
      <c r="E150" s="5">
        <v>8500000</v>
      </c>
      <c r="F150" s="6">
        <v>8601.5494999999992</v>
      </c>
      <c r="G150" s="7">
        <v>2.1097581032740221E-2</v>
      </c>
      <c r="H150" s="113">
        <v>7.3977000000000004</v>
      </c>
      <c r="I150" s="113"/>
    </row>
    <row r="151" spans="1:9" ht="29.1" customHeight="1" x14ac:dyDescent="0.2">
      <c r="A151" s="3">
        <v>3</v>
      </c>
      <c r="B151" s="4" t="s">
        <v>647</v>
      </c>
      <c r="C151" s="4" t="s">
        <v>972</v>
      </c>
      <c r="D151" s="4" t="s">
        <v>644</v>
      </c>
      <c r="E151" s="5">
        <v>8000000</v>
      </c>
      <c r="F151" s="6">
        <v>8001.2719999999999</v>
      </c>
      <c r="G151" s="7">
        <v>1.9625241287630261E-2</v>
      </c>
      <c r="H151" s="113">
        <v>7.3047000000000004</v>
      </c>
      <c r="I151" s="113"/>
    </row>
    <row r="152" spans="1:9" ht="29.1" customHeight="1" x14ac:dyDescent="0.2">
      <c r="A152" s="3">
        <v>4</v>
      </c>
      <c r="B152" s="4" t="s">
        <v>648</v>
      </c>
      <c r="C152" s="4" t="s">
        <v>649</v>
      </c>
      <c r="D152" s="4" t="s">
        <v>644</v>
      </c>
      <c r="E152" s="5">
        <v>2500000</v>
      </c>
      <c r="F152" s="6">
        <v>2522.1624999999999</v>
      </c>
      <c r="G152" s="7">
        <v>6.1862723363376171E-3</v>
      </c>
      <c r="H152" s="113">
        <v>7.2115999999999998</v>
      </c>
      <c r="I152" s="113"/>
    </row>
    <row r="153" spans="1:9" ht="29.1" customHeight="1" x14ac:dyDescent="0.2">
      <c r="A153" s="3">
        <v>5</v>
      </c>
      <c r="B153" s="4" t="s">
        <v>650</v>
      </c>
      <c r="C153" s="4" t="s">
        <v>651</v>
      </c>
      <c r="D153" s="4" t="s">
        <v>644</v>
      </c>
      <c r="E153" s="5">
        <v>2500000</v>
      </c>
      <c r="F153" s="6">
        <v>2496.2874999999999</v>
      </c>
      <c r="G153" s="7">
        <v>6.1228070375304484E-3</v>
      </c>
      <c r="H153" s="113">
        <v>7.2577999999999996</v>
      </c>
      <c r="I153" s="113"/>
    </row>
    <row r="154" spans="1:9" ht="29.1" customHeight="1" x14ac:dyDescent="0.2">
      <c r="A154" s="3">
        <v>6</v>
      </c>
      <c r="B154" s="4" t="s">
        <v>652</v>
      </c>
      <c r="C154" s="40" t="s">
        <v>653</v>
      </c>
      <c r="D154" s="4" t="s">
        <v>644</v>
      </c>
      <c r="E154" s="5">
        <v>2000000</v>
      </c>
      <c r="F154" s="6">
        <v>1932.598</v>
      </c>
      <c r="G154" s="7">
        <v>4.7402090645077017E-3</v>
      </c>
      <c r="H154" s="113">
        <v>7.1773999999999996</v>
      </c>
      <c r="I154" s="113"/>
    </row>
    <row r="155" spans="1:9" ht="41.1" customHeight="1" x14ac:dyDescent="0.2">
      <c r="A155" s="3">
        <v>7</v>
      </c>
      <c r="B155" s="4" t="s">
        <v>654</v>
      </c>
      <c r="C155" s="40" t="s">
        <v>969</v>
      </c>
      <c r="D155" s="4" t="s">
        <v>644</v>
      </c>
      <c r="E155" s="5">
        <v>1500000</v>
      </c>
      <c r="F155" s="6">
        <v>1491.2460000000001</v>
      </c>
      <c r="G155" s="7">
        <v>3.6576762506278348E-3</v>
      </c>
      <c r="H155" s="113">
        <v>7.593200613051386</v>
      </c>
      <c r="I155" s="113"/>
    </row>
    <row r="156" spans="1:9" ht="29.1" customHeight="1" x14ac:dyDescent="0.2">
      <c r="A156" s="3">
        <v>8</v>
      </c>
      <c r="B156" s="4" t="s">
        <v>655</v>
      </c>
      <c r="C156" s="40" t="s">
        <v>971</v>
      </c>
      <c r="D156" s="4" t="s">
        <v>644</v>
      </c>
      <c r="E156" s="5">
        <v>1500000</v>
      </c>
      <c r="F156" s="6">
        <v>1485.4590000000001</v>
      </c>
      <c r="G156" s="7">
        <v>3.6434820985815708E-3</v>
      </c>
      <c r="H156" s="113">
        <v>7.4259000000000004</v>
      </c>
      <c r="I156" s="113"/>
    </row>
    <row r="157" spans="1:9" ht="29.1" customHeight="1" x14ac:dyDescent="0.2">
      <c r="A157" s="3">
        <v>9</v>
      </c>
      <c r="B157" s="4" t="s">
        <v>656</v>
      </c>
      <c r="C157" s="4" t="s">
        <v>657</v>
      </c>
      <c r="D157" s="4" t="s">
        <v>644</v>
      </c>
      <c r="E157" s="5">
        <v>400000</v>
      </c>
      <c r="F157" s="6">
        <v>404.51</v>
      </c>
      <c r="G157" s="7">
        <v>9.9216803943914388E-4</v>
      </c>
      <c r="H157" s="113">
        <v>7.5425000000000004</v>
      </c>
      <c r="I157" s="113"/>
    </row>
    <row r="158" spans="1:9" ht="29.1" customHeight="1" x14ac:dyDescent="0.2">
      <c r="A158" s="3">
        <v>10</v>
      </c>
      <c r="B158" s="4" t="s">
        <v>658</v>
      </c>
      <c r="C158" s="4" t="s">
        <v>659</v>
      </c>
      <c r="D158" s="4" t="s">
        <v>644</v>
      </c>
      <c r="E158" s="5">
        <v>400000</v>
      </c>
      <c r="F158" s="6">
        <v>403.05239999999998</v>
      </c>
      <c r="G158" s="7">
        <v>9.885928889254692E-4</v>
      </c>
      <c r="H158" s="113">
        <v>7.5217000000000001</v>
      </c>
      <c r="I158" s="113"/>
    </row>
    <row r="159" spans="1:9" ht="29.1" customHeight="1" x14ac:dyDescent="0.2">
      <c r="A159" s="3">
        <v>11</v>
      </c>
      <c r="B159" s="4" t="s">
        <v>660</v>
      </c>
      <c r="C159" s="4" t="s">
        <v>661</v>
      </c>
      <c r="D159" s="4" t="s">
        <v>644</v>
      </c>
      <c r="E159" s="5">
        <v>400000</v>
      </c>
      <c r="F159" s="6">
        <v>402.7364</v>
      </c>
      <c r="G159" s="7">
        <v>9.8781781513134111E-4</v>
      </c>
      <c r="H159" s="113">
        <v>7.532</v>
      </c>
      <c r="I159" s="113"/>
    </row>
    <row r="160" spans="1:9" ht="14.1" customHeight="1" x14ac:dyDescent="0.2">
      <c r="A160" s="1"/>
      <c r="B160" s="1"/>
      <c r="C160" s="2" t="s">
        <v>151</v>
      </c>
      <c r="D160" s="1"/>
      <c r="E160" s="1" t="s">
        <v>152</v>
      </c>
      <c r="F160" s="9">
        <v>37785.623299999999</v>
      </c>
      <c r="G160" s="10">
        <v>9.2679260805782385E-2</v>
      </c>
      <c r="H160" s="113"/>
      <c r="I160" s="113"/>
    </row>
    <row r="161" spans="1:9" ht="14.1" customHeight="1" x14ac:dyDescent="0.2">
      <c r="A161" s="1"/>
      <c r="B161" s="1"/>
      <c r="C161" s="11"/>
      <c r="D161" s="1"/>
      <c r="E161" s="1"/>
      <c r="F161" s="12"/>
      <c r="G161" s="12"/>
      <c r="H161" s="113"/>
      <c r="I161" s="113"/>
    </row>
    <row r="162" spans="1:9" ht="14.1" customHeight="1" x14ac:dyDescent="0.2">
      <c r="A162" s="1"/>
      <c r="B162" s="1"/>
      <c r="C162" s="2" t="s">
        <v>163</v>
      </c>
      <c r="D162" s="1"/>
      <c r="E162" s="1"/>
      <c r="F162" s="12"/>
      <c r="G162" s="12"/>
      <c r="H162" s="113"/>
      <c r="I162" s="113"/>
    </row>
    <row r="163" spans="1:9" ht="14.1" customHeight="1" x14ac:dyDescent="0.2">
      <c r="A163" s="1"/>
      <c r="B163" s="1"/>
      <c r="C163" s="2" t="s">
        <v>151</v>
      </c>
      <c r="D163" s="1"/>
      <c r="E163" s="1" t="s">
        <v>152</v>
      </c>
      <c r="F163" s="13" t="s">
        <v>154</v>
      </c>
      <c r="G163" s="10">
        <v>0</v>
      </c>
      <c r="H163" s="113"/>
      <c r="I163" s="113"/>
    </row>
    <row r="164" spans="1:9" ht="14.1" customHeight="1" x14ac:dyDescent="0.2">
      <c r="A164" s="1"/>
      <c r="B164" s="1"/>
      <c r="C164" s="11"/>
      <c r="D164" s="1"/>
      <c r="E164" s="1"/>
      <c r="F164" s="12"/>
      <c r="G164" s="12"/>
      <c r="H164" s="113"/>
      <c r="I164" s="113"/>
    </row>
    <row r="165" spans="1:9" ht="14.1" customHeight="1" x14ac:dyDescent="0.2">
      <c r="A165" s="1"/>
      <c r="B165" s="1"/>
      <c r="C165" s="2" t="s">
        <v>164</v>
      </c>
      <c r="D165" s="1"/>
      <c r="E165" s="1"/>
      <c r="F165" s="9">
        <v>89898.712499999994</v>
      </c>
      <c r="G165" s="10">
        <v>0.22050043096395205</v>
      </c>
      <c r="H165" s="113"/>
      <c r="I165" s="113"/>
    </row>
    <row r="166" spans="1:9" ht="14.1" customHeight="1" x14ac:dyDescent="0.2">
      <c r="A166" s="1"/>
      <c r="B166" s="1"/>
      <c r="C166" s="11"/>
      <c r="D166" s="1"/>
      <c r="E166" s="1"/>
      <c r="F166" s="12"/>
      <c r="G166" s="12"/>
      <c r="H166" s="113"/>
      <c r="I166" s="113"/>
    </row>
    <row r="167" spans="1:9" ht="14.1" customHeight="1" x14ac:dyDescent="0.2">
      <c r="A167" s="1"/>
      <c r="B167" s="1"/>
      <c r="C167" s="2" t="s">
        <v>165</v>
      </c>
      <c r="D167" s="1"/>
      <c r="E167" s="1"/>
      <c r="F167" s="12"/>
      <c r="G167" s="12"/>
      <c r="H167" s="113"/>
      <c r="I167" s="113"/>
    </row>
    <row r="168" spans="1:9" ht="14.1" customHeight="1" x14ac:dyDescent="0.2">
      <c r="A168" s="1"/>
      <c r="B168" s="1"/>
      <c r="C168" s="2" t="s">
        <v>166</v>
      </c>
      <c r="D168" s="1"/>
      <c r="E168" s="1"/>
      <c r="F168" s="12"/>
      <c r="G168" s="12"/>
      <c r="H168" s="113"/>
      <c r="I168" s="113"/>
    </row>
    <row r="169" spans="1:9" ht="17.100000000000001" customHeight="1" x14ac:dyDescent="0.2">
      <c r="A169" s="3">
        <v>1</v>
      </c>
      <c r="B169" s="4" t="s">
        <v>662</v>
      </c>
      <c r="C169" s="4" t="s">
        <v>663</v>
      </c>
      <c r="D169" s="4" t="s">
        <v>664</v>
      </c>
      <c r="E169" s="5">
        <v>500</v>
      </c>
      <c r="F169" s="6">
        <v>2482.5025000000001</v>
      </c>
      <c r="G169" s="7">
        <v>6.0889956696441941E-3</v>
      </c>
      <c r="H169" s="113">
        <v>7.3501000000000003</v>
      </c>
      <c r="I169" s="113"/>
    </row>
    <row r="170" spans="1:9" ht="14.1" customHeight="1" x14ac:dyDescent="0.2">
      <c r="A170" s="1"/>
      <c r="B170" s="1"/>
      <c r="C170" s="2" t="s">
        <v>151</v>
      </c>
      <c r="D170" s="1"/>
      <c r="E170" s="1" t="s">
        <v>152</v>
      </c>
      <c r="F170" s="9">
        <v>2482.5025000000001</v>
      </c>
      <c r="G170" s="10">
        <v>6.0889956696441941E-3</v>
      </c>
      <c r="H170" s="113"/>
      <c r="I170" s="113"/>
    </row>
    <row r="171" spans="1:9" ht="14.1" customHeight="1" x14ac:dyDescent="0.2">
      <c r="A171" s="1"/>
      <c r="B171" s="1"/>
      <c r="C171" s="11"/>
      <c r="D171" s="1"/>
      <c r="E171" s="1"/>
      <c r="F171" s="12"/>
      <c r="G171" s="12"/>
      <c r="H171" s="113"/>
      <c r="I171" s="113"/>
    </row>
    <row r="172" spans="1:9" ht="14.1" customHeight="1" x14ac:dyDescent="0.2">
      <c r="A172" s="1"/>
      <c r="B172" s="1"/>
      <c r="C172" s="2" t="s">
        <v>167</v>
      </c>
      <c r="D172" s="1"/>
      <c r="E172" s="1"/>
      <c r="F172" s="12"/>
      <c r="G172" s="12"/>
      <c r="H172" s="113"/>
      <c r="I172" s="113"/>
    </row>
    <row r="173" spans="1:9" ht="14.1" customHeight="1" x14ac:dyDescent="0.2">
      <c r="A173" s="1"/>
      <c r="B173" s="1"/>
      <c r="C173" s="2" t="s">
        <v>151</v>
      </c>
      <c r="D173" s="1"/>
      <c r="E173" s="1" t="s">
        <v>152</v>
      </c>
      <c r="F173" s="13" t="s">
        <v>154</v>
      </c>
      <c r="G173" s="10">
        <v>0</v>
      </c>
      <c r="H173" s="113"/>
      <c r="I173" s="113"/>
    </row>
    <row r="174" spans="1:9" ht="14.1" customHeight="1" x14ac:dyDescent="0.2">
      <c r="A174" s="1"/>
      <c r="B174" s="1"/>
      <c r="C174" s="11"/>
      <c r="D174" s="1"/>
      <c r="E174" s="1"/>
      <c r="F174" s="12"/>
      <c r="G174" s="12"/>
      <c r="H174" s="113"/>
      <c r="I174" s="113"/>
    </row>
    <row r="175" spans="1:9" ht="14.1" customHeight="1" x14ac:dyDescent="0.2">
      <c r="A175" s="1"/>
      <c r="B175" s="1"/>
      <c r="C175" s="2" t="s">
        <v>168</v>
      </c>
      <c r="D175" s="1"/>
      <c r="E175" s="1"/>
      <c r="F175" s="12"/>
      <c r="G175" s="12"/>
      <c r="H175" s="113"/>
      <c r="I175" s="113"/>
    </row>
    <row r="176" spans="1:9" ht="17.100000000000001" customHeight="1" x14ac:dyDescent="0.2">
      <c r="A176" s="3">
        <v>1</v>
      </c>
      <c r="B176" s="4" t="s">
        <v>665</v>
      </c>
      <c r="C176" s="4" t="s">
        <v>666</v>
      </c>
      <c r="D176" s="4" t="s">
        <v>644</v>
      </c>
      <c r="E176" s="5">
        <v>1000000</v>
      </c>
      <c r="F176" s="6">
        <v>984.98299999999995</v>
      </c>
      <c r="G176" s="7">
        <v>2.415931996714262E-3</v>
      </c>
      <c r="H176" s="113">
        <v>6.87</v>
      </c>
      <c r="I176" s="113"/>
    </row>
    <row r="177" spans="1:9" ht="14.1" customHeight="1" x14ac:dyDescent="0.2">
      <c r="A177" s="1"/>
      <c r="B177" s="1"/>
      <c r="C177" s="2" t="s">
        <v>151</v>
      </c>
      <c r="D177" s="1"/>
      <c r="E177" s="1" t="s">
        <v>152</v>
      </c>
      <c r="F177" s="9">
        <v>984.98299999999995</v>
      </c>
      <c r="G177" s="10">
        <v>2.415931996714262E-3</v>
      </c>
      <c r="H177" s="113"/>
      <c r="I177" s="113"/>
    </row>
    <row r="178" spans="1:9" ht="14.1" customHeight="1" x14ac:dyDescent="0.2">
      <c r="A178" s="1"/>
      <c r="B178" s="1"/>
      <c r="C178" s="11"/>
      <c r="D178" s="1"/>
      <c r="E178" s="1"/>
      <c r="F178" s="12"/>
      <c r="G178" s="12"/>
      <c r="H178" s="113"/>
      <c r="I178" s="113"/>
    </row>
    <row r="179" spans="1:9" ht="14.1" customHeight="1" x14ac:dyDescent="0.2">
      <c r="A179" s="1"/>
      <c r="B179" s="1"/>
      <c r="C179" s="2" t="s">
        <v>169</v>
      </c>
      <c r="D179" s="1"/>
      <c r="E179" s="1"/>
      <c r="F179" s="12"/>
      <c r="G179" s="12"/>
      <c r="H179" s="113"/>
      <c r="I179" s="113"/>
    </row>
    <row r="180" spans="1:9" ht="17.100000000000001" customHeight="1" x14ac:dyDescent="0.2">
      <c r="A180" s="3">
        <v>1</v>
      </c>
      <c r="B180" s="4"/>
      <c r="C180" s="4" t="s">
        <v>170</v>
      </c>
      <c r="D180" s="4"/>
      <c r="E180" s="8"/>
      <c r="F180" s="6">
        <v>10569.409260999</v>
      </c>
      <c r="G180" s="7">
        <v>2.592427891650468E-2</v>
      </c>
      <c r="H180" s="113">
        <v>6.7600000000000016</v>
      </c>
      <c r="I180" s="113"/>
    </row>
    <row r="181" spans="1:9" ht="14.1" customHeight="1" x14ac:dyDescent="0.2">
      <c r="A181" s="1"/>
      <c r="B181" s="1"/>
      <c r="C181" s="2" t="s">
        <v>151</v>
      </c>
      <c r="D181" s="1"/>
      <c r="E181" s="1" t="s">
        <v>152</v>
      </c>
      <c r="F181" s="9">
        <v>10569.409260999</v>
      </c>
      <c r="G181" s="10">
        <v>2.592427891650468E-2</v>
      </c>
      <c r="H181" s="113"/>
      <c r="I181" s="113"/>
    </row>
    <row r="182" spans="1:9" ht="14.1" customHeight="1" x14ac:dyDescent="0.2">
      <c r="A182" s="1"/>
      <c r="B182" s="1"/>
      <c r="C182" s="11"/>
      <c r="D182" s="1"/>
      <c r="E182" s="1"/>
      <c r="F182" s="12"/>
      <c r="G182" s="12"/>
      <c r="H182" s="113"/>
      <c r="I182" s="113"/>
    </row>
    <row r="183" spans="1:9" ht="14.1" customHeight="1" x14ac:dyDescent="0.2">
      <c r="A183" s="1"/>
      <c r="B183" s="1"/>
      <c r="C183" s="2" t="s">
        <v>171</v>
      </c>
      <c r="D183" s="1"/>
      <c r="E183" s="1"/>
      <c r="F183" s="9">
        <v>14036.894760998999</v>
      </c>
      <c r="G183" s="10">
        <v>3.442920658286313E-2</v>
      </c>
      <c r="H183" s="113"/>
      <c r="I183" s="113"/>
    </row>
    <row r="184" spans="1:9" ht="14.1" customHeight="1" x14ac:dyDescent="0.2">
      <c r="A184" s="1"/>
      <c r="B184" s="1"/>
      <c r="C184" s="12"/>
      <c r="D184" s="1"/>
      <c r="E184" s="1"/>
      <c r="F184" s="1"/>
      <c r="G184" s="1"/>
      <c r="H184" s="113"/>
      <c r="I184" s="113"/>
    </row>
    <row r="185" spans="1:9" ht="14.1" customHeight="1" x14ac:dyDescent="0.2">
      <c r="A185" s="1"/>
      <c r="B185" s="1"/>
      <c r="C185" s="2" t="s">
        <v>172</v>
      </c>
      <c r="D185" s="1"/>
      <c r="E185" s="1"/>
      <c r="F185" s="1"/>
      <c r="G185" s="1"/>
      <c r="H185" s="113"/>
      <c r="I185" s="113"/>
    </row>
    <row r="186" spans="1:9" ht="14.1" customHeight="1" x14ac:dyDescent="0.2">
      <c r="A186" s="1"/>
      <c r="B186" s="1"/>
      <c r="C186" s="2" t="s">
        <v>173</v>
      </c>
      <c r="D186" s="1"/>
      <c r="E186" s="1"/>
      <c r="F186" s="1"/>
      <c r="G186" s="1"/>
      <c r="H186" s="113"/>
      <c r="I186" s="113"/>
    </row>
    <row r="187" spans="1:9" ht="14.1" customHeight="1" x14ac:dyDescent="0.2">
      <c r="A187" s="1"/>
      <c r="B187" s="1"/>
      <c r="C187" s="2" t="s">
        <v>151</v>
      </c>
      <c r="D187" s="1"/>
      <c r="E187" s="1" t="s">
        <v>152</v>
      </c>
      <c r="F187" s="13" t="s">
        <v>154</v>
      </c>
      <c r="G187" s="10">
        <v>0</v>
      </c>
      <c r="H187" s="113"/>
      <c r="I187" s="113"/>
    </row>
    <row r="188" spans="1:9" ht="14.1" customHeight="1" x14ac:dyDescent="0.2">
      <c r="A188" s="1"/>
      <c r="B188" s="1"/>
      <c r="C188" s="11"/>
      <c r="D188" s="1"/>
      <c r="E188" s="1"/>
      <c r="F188" s="12"/>
      <c r="G188" s="12"/>
      <c r="H188" s="113"/>
      <c r="I188" s="113"/>
    </row>
    <row r="189" spans="1:9" ht="14.1" customHeight="1" x14ac:dyDescent="0.2">
      <c r="A189" s="1"/>
      <c r="B189" s="1"/>
      <c r="C189" s="2" t="s">
        <v>174</v>
      </c>
      <c r="D189" s="1"/>
      <c r="E189" s="1"/>
      <c r="F189" s="1"/>
      <c r="G189" s="1"/>
      <c r="H189" s="113"/>
      <c r="I189" s="113"/>
    </row>
    <row r="190" spans="1:9" ht="14.1" customHeight="1" x14ac:dyDescent="0.2">
      <c r="A190" s="1"/>
      <c r="B190" s="1"/>
      <c r="C190" s="2" t="s">
        <v>175</v>
      </c>
      <c r="D190" s="1"/>
      <c r="E190" s="1"/>
      <c r="F190" s="1"/>
      <c r="G190" s="1"/>
      <c r="H190" s="113"/>
      <c r="I190" s="113"/>
    </row>
    <row r="191" spans="1:9" ht="14.1" customHeight="1" x14ac:dyDescent="0.2">
      <c r="A191" s="1"/>
      <c r="B191" s="1"/>
      <c r="C191" s="2" t="s">
        <v>151</v>
      </c>
      <c r="D191" s="1"/>
      <c r="E191" s="1" t="s">
        <v>152</v>
      </c>
      <c r="F191" s="13" t="s">
        <v>154</v>
      </c>
      <c r="G191" s="10">
        <v>0</v>
      </c>
      <c r="H191" s="113"/>
      <c r="I191" s="113"/>
    </row>
    <row r="192" spans="1:9" ht="14.1" customHeight="1" x14ac:dyDescent="0.2">
      <c r="A192" s="1"/>
      <c r="B192" s="1"/>
      <c r="C192" s="11"/>
      <c r="D192" s="1"/>
      <c r="E192" s="1"/>
      <c r="F192" s="12"/>
      <c r="G192" s="12"/>
      <c r="H192" s="113"/>
      <c r="I192" s="113"/>
    </row>
    <row r="193" spans="1:16" ht="24" customHeight="1" x14ac:dyDescent="0.2">
      <c r="A193" s="1"/>
      <c r="B193" s="1"/>
      <c r="C193" s="2" t="s">
        <v>176</v>
      </c>
      <c r="D193" s="1"/>
      <c r="E193" s="1"/>
      <c r="F193" s="12"/>
      <c r="G193" s="12"/>
      <c r="H193" s="113"/>
      <c r="I193" s="113"/>
    </row>
    <row r="194" spans="1:16" ht="14.1" customHeight="1" x14ac:dyDescent="0.2">
      <c r="A194" s="1"/>
      <c r="B194" s="1"/>
      <c r="C194" s="2" t="s">
        <v>151</v>
      </c>
      <c r="D194" s="1"/>
      <c r="E194" s="1" t="s">
        <v>152</v>
      </c>
      <c r="F194" s="13" t="s">
        <v>154</v>
      </c>
      <c r="G194" s="10">
        <v>0</v>
      </c>
      <c r="H194" s="113"/>
      <c r="I194" s="113"/>
    </row>
    <row r="195" spans="1:16" ht="14.1" customHeight="1" x14ac:dyDescent="0.2">
      <c r="A195" s="1"/>
      <c r="B195" s="1"/>
      <c r="C195" s="11"/>
      <c r="D195" s="1"/>
      <c r="E195" s="1"/>
      <c r="F195" s="12"/>
      <c r="G195" s="12"/>
      <c r="H195" s="113"/>
      <c r="I195" s="113"/>
    </row>
    <row r="196" spans="1:16" ht="14.1" customHeight="1" x14ac:dyDescent="0.2">
      <c r="A196" s="1"/>
      <c r="B196" s="4"/>
      <c r="C196" s="4"/>
      <c r="D196" s="2"/>
      <c r="E196" s="1"/>
      <c r="F196" s="4"/>
      <c r="G196" s="8"/>
      <c r="H196" s="113"/>
      <c r="I196" s="113"/>
    </row>
    <row r="197" spans="1:16" ht="18" customHeight="1" x14ac:dyDescent="0.2">
      <c r="A197" s="8"/>
      <c r="B197" s="4"/>
      <c r="C197" s="40" t="s">
        <v>982</v>
      </c>
      <c r="D197" s="4"/>
      <c r="E197" s="8"/>
      <c r="F197" s="6">
        <v>3086.8280859400002</v>
      </c>
      <c r="G197" s="7">
        <v>7.5712644189581835E-3</v>
      </c>
      <c r="H197" s="113"/>
      <c r="I197" s="113"/>
    </row>
    <row r="198" spans="1:16" ht="14.1" customHeight="1" x14ac:dyDescent="0.2">
      <c r="A198" s="11"/>
      <c r="B198" s="11"/>
      <c r="C198" s="2" t="s">
        <v>178</v>
      </c>
      <c r="D198" s="12"/>
      <c r="E198" s="12"/>
      <c r="F198" s="9">
        <v>407703.114714986</v>
      </c>
      <c r="G198" s="14">
        <v>1</v>
      </c>
      <c r="H198" s="113"/>
      <c r="I198" s="113"/>
    </row>
    <row r="199" spans="1:16" ht="14.1" customHeight="1" x14ac:dyDescent="0.2">
      <c r="A199" s="15"/>
      <c r="B199" s="15"/>
      <c r="C199" s="15"/>
      <c r="D199" s="16"/>
      <c r="E199" s="16"/>
      <c r="F199" s="16"/>
      <c r="G199" s="16"/>
    </row>
    <row r="200" spans="1:16" ht="14.1" customHeight="1" x14ac:dyDescent="0.2">
      <c r="A200" s="45"/>
      <c r="B200" s="217" t="s">
        <v>980</v>
      </c>
      <c r="C200" s="217"/>
      <c r="D200" s="217"/>
      <c r="E200" s="217"/>
      <c r="F200" s="217"/>
      <c r="G200" s="48"/>
    </row>
    <row r="201" spans="1:16" ht="17.100000000000001" customHeight="1" x14ac:dyDescent="0.2">
      <c r="A201" s="45"/>
      <c r="B201" s="217" t="s">
        <v>981</v>
      </c>
      <c r="C201" s="217"/>
      <c r="D201" s="217"/>
      <c r="E201" s="217"/>
      <c r="F201" s="217"/>
      <c r="G201" s="48"/>
      <c r="P201" s="90"/>
    </row>
    <row r="202" spans="1:16" s="90" customFormat="1" ht="17.100000000000001" customHeight="1" x14ac:dyDescent="0.25">
      <c r="A202" s="88"/>
      <c r="B202" s="217" t="s">
        <v>179</v>
      </c>
      <c r="C202" s="217"/>
      <c r="D202" s="217"/>
      <c r="E202" s="217"/>
      <c r="F202" s="217"/>
      <c r="G202" s="89"/>
      <c r="J202"/>
      <c r="K202"/>
      <c r="L202"/>
      <c r="M202"/>
      <c r="N202"/>
      <c r="O202"/>
      <c r="P202" s="59"/>
    </row>
    <row r="203" spans="1:16" s="59" customFormat="1" ht="69.75" customHeight="1" x14ac:dyDescent="0.25">
      <c r="A203" s="57"/>
      <c r="B203" s="219" t="s">
        <v>970</v>
      </c>
      <c r="C203" s="219"/>
      <c r="D203" s="219"/>
      <c r="E203" s="219"/>
      <c r="F203" s="219"/>
      <c r="G203" s="58"/>
      <c r="J203"/>
      <c r="K203"/>
      <c r="L203"/>
      <c r="M203"/>
      <c r="N203"/>
      <c r="O203"/>
      <c r="P203"/>
    </row>
    <row r="204" spans="1:16" ht="14.1" customHeight="1" x14ac:dyDescent="0.2">
      <c r="A204" s="17"/>
      <c r="B204" s="17"/>
      <c r="C204" s="17"/>
      <c r="D204" s="19"/>
      <c r="E204" s="19"/>
      <c r="F204" s="19"/>
      <c r="G204" s="19"/>
    </row>
    <row r="205" spans="1:16" ht="14.1" customHeight="1" x14ac:dyDescent="0.2">
      <c r="A205" s="17"/>
      <c r="B205" s="208" t="s">
        <v>180</v>
      </c>
      <c r="C205" s="209"/>
      <c r="D205" s="210"/>
      <c r="E205" s="20"/>
      <c r="F205" s="19"/>
      <c r="G205" s="19"/>
    </row>
    <row r="206" spans="1:16" ht="29.1" customHeight="1" x14ac:dyDescent="0.2">
      <c r="A206" s="17"/>
      <c r="B206" s="205" t="s">
        <v>181</v>
      </c>
      <c r="C206" s="206"/>
      <c r="D206" s="53" t="s">
        <v>1012</v>
      </c>
      <c r="E206" s="20"/>
      <c r="F206" s="19"/>
      <c r="G206" s="19"/>
    </row>
    <row r="207" spans="1:16" ht="29.1" customHeight="1" x14ac:dyDescent="0.2">
      <c r="A207" s="17"/>
      <c r="B207" s="205" t="s">
        <v>900</v>
      </c>
      <c r="C207" s="206"/>
      <c r="D207" s="2" t="s">
        <v>904</v>
      </c>
      <c r="E207" s="20"/>
      <c r="F207" s="19"/>
      <c r="G207" s="19"/>
    </row>
    <row r="208" spans="1:16" ht="17.100000000000001" customHeight="1" x14ac:dyDescent="0.2">
      <c r="A208" s="17"/>
      <c r="B208" s="205" t="s">
        <v>184</v>
      </c>
      <c r="C208" s="206"/>
      <c r="D208" s="12" t="s">
        <v>152</v>
      </c>
      <c r="E208" s="20"/>
      <c r="F208" s="19"/>
      <c r="G208" s="19"/>
    </row>
    <row r="209" spans="1:7" ht="25.5" x14ac:dyDescent="0.2">
      <c r="A209" s="21"/>
      <c r="B209" s="22" t="s">
        <v>152</v>
      </c>
      <c r="C209" s="22" t="s">
        <v>185</v>
      </c>
      <c r="D209" s="22" t="s">
        <v>186</v>
      </c>
      <c r="E209" s="21"/>
      <c r="F209" s="21"/>
      <c r="G209" s="21"/>
    </row>
    <row r="210" spans="1:7" ht="18" customHeight="1" x14ac:dyDescent="0.2">
      <c r="A210" s="21"/>
      <c r="B210" s="23" t="s">
        <v>187</v>
      </c>
      <c r="C210" s="22" t="s">
        <v>188</v>
      </c>
      <c r="D210" s="22" t="s">
        <v>189</v>
      </c>
      <c r="E210" s="21"/>
      <c r="F210" s="21"/>
      <c r="G210" s="21"/>
    </row>
    <row r="211" spans="1:7" ht="17.100000000000001" customHeight="1" x14ac:dyDescent="0.2">
      <c r="A211" s="21"/>
      <c r="B211" s="4" t="s">
        <v>190</v>
      </c>
      <c r="C211" s="24">
        <v>144.74629999999999</v>
      </c>
      <c r="D211" s="24">
        <v>152.1344</v>
      </c>
      <c r="E211" s="21"/>
      <c r="F211" s="18"/>
      <c r="G211" s="25"/>
    </row>
    <row r="212" spans="1:7" ht="29.1" customHeight="1" x14ac:dyDescent="0.2">
      <c r="A212" s="21"/>
      <c r="B212" s="4" t="s">
        <v>1038</v>
      </c>
      <c r="C212" s="24">
        <v>39.524999999999999</v>
      </c>
      <c r="D212" s="24">
        <v>41.188400000000001</v>
      </c>
      <c r="E212" s="21"/>
      <c r="F212" s="18"/>
      <c r="G212" s="25"/>
    </row>
    <row r="213" spans="1:7" ht="17.100000000000001" customHeight="1" x14ac:dyDescent="0.2">
      <c r="A213" s="21"/>
      <c r="B213" s="4" t="s">
        <v>191</v>
      </c>
      <c r="C213" s="24">
        <v>128.614</v>
      </c>
      <c r="D213" s="24">
        <v>135.0453</v>
      </c>
      <c r="E213" s="21"/>
      <c r="F213" s="18"/>
      <c r="G213" s="25"/>
    </row>
    <row r="214" spans="1:7" ht="29.1" customHeight="1" x14ac:dyDescent="0.2">
      <c r="A214" s="21"/>
      <c r="B214" s="4" t="s">
        <v>1040</v>
      </c>
      <c r="C214" s="24">
        <v>26.510999999999999</v>
      </c>
      <c r="D214" s="24">
        <v>27.5838</v>
      </c>
      <c r="E214" s="21"/>
      <c r="F214" s="18"/>
      <c r="G214" s="25"/>
    </row>
    <row r="215" spans="1:7" ht="14.1" customHeight="1" x14ac:dyDescent="0.2">
      <c r="A215" s="21"/>
      <c r="B215" s="21"/>
      <c r="C215" s="21"/>
      <c r="D215" s="21"/>
      <c r="E215" s="21"/>
      <c r="F215" s="21"/>
      <c r="G215" s="21"/>
    </row>
    <row r="216" spans="1:7" ht="17.100000000000001" customHeight="1" x14ac:dyDescent="0.2">
      <c r="A216" s="21"/>
      <c r="B216" s="205" t="s">
        <v>1035</v>
      </c>
      <c r="C216" s="206"/>
      <c r="D216" s="2" t="s">
        <v>152</v>
      </c>
      <c r="E216" s="21"/>
      <c r="F216" s="21"/>
      <c r="G216" s="21"/>
    </row>
    <row r="217" spans="1:7" ht="18" customHeight="1" x14ac:dyDescent="0.2">
      <c r="A217" s="21"/>
      <c r="B217" s="29" t="s">
        <v>187</v>
      </c>
      <c r="C217" s="30" t="s">
        <v>470</v>
      </c>
      <c r="D217" s="30" t="s">
        <v>471</v>
      </c>
      <c r="E217" s="21"/>
      <c r="F217" s="21"/>
      <c r="G217" s="21"/>
    </row>
    <row r="218" spans="1:7" ht="29.1" customHeight="1" x14ac:dyDescent="0.2">
      <c r="A218" s="21"/>
      <c r="B218" s="40" t="s">
        <v>1038</v>
      </c>
      <c r="C218" s="31">
        <v>0.35</v>
      </c>
      <c r="D218" s="31">
        <v>0.35</v>
      </c>
      <c r="E218" s="21"/>
      <c r="F218" s="18"/>
      <c r="G218" s="25"/>
    </row>
    <row r="219" spans="1:7" ht="29.1" customHeight="1" x14ac:dyDescent="0.2">
      <c r="A219" s="21"/>
      <c r="B219" s="4" t="s">
        <v>1040</v>
      </c>
      <c r="C219" s="31">
        <v>0.25</v>
      </c>
      <c r="D219" s="31">
        <v>0.25</v>
      </c>
      <c r="E219" s="21"/>
      <c r="F219" s="18"/>
      <c r="G219" s="25"/>
    </row>
    <row r="220" spans="1:7" ht="14.1" customHeight="1" x14ac:dyDescent="0.2">
      <c r="A220" s="21"/>
      <c r="B220" s="32"/>
      <c r="C220" s="32"/>
      <c r="D220" s="33"/>
      <c r="E220" s="21"/>
      <c r="F220" s="18"/>
      <c r="G220" s="25"/>
    </row>
    <row r="221" spans="1:7" ht="29.1" customHeight="1" x14ac:dyDescent="0.2">
      <c r="A221" s="21"/>
      <c r="B221" s="205" t="s">
        <v>192</v>
      </c>
      <c r="C221" s="206"/>
      <c r="D221" s="2" t="s">
        <v>182</v>
      </c>
      <c r="E221" s="27"/>
      <c r="F221" s="21"/>
      <c r="G221" s="21"/>
    </row>
    <row r="222" spans="1:7" ht="29.1" customHeight="1" x14ac:dyDescent="0.2">
      <c r="A222" s="21"/>
      <c r="B222" s="205" t="s">
        <v>193</v>
      </c>
      <c r="C222" s="206"/>
      <c r="D222" s="2" t="s">
        <v>182</v>
      </c>
      <c r="E222" s="27"/>
      <c r="F222" s="21"/>
      <c r="G222" s="21"/>
    </row>
    <row r="223" spans="1:7" ht="17.100000000000001" customHeight="1" x14ac:dyDescent="0.2">
      <c r="A223" s="21"/>
      <c r="B223" s="205" t="s">
        <v>194</v>
      </c>
      <c r="C223" s="206"/>
      <c r="D223" s="2" t="s">
        <v>182</v>
      </c>
      <c r="E223" s="27"/>
      <c r="F223" s="21"/>
      <c r="G223" s="21"/>
    </row>
    <row r="224" spans="1:7" ht="17.100000000000001" customHeight="1" x14ac:dyDescent="0.2">
      <c r="A224" s="21"/>
      <c r="B224" s="205" t="s">
        <v>195</v>
      </c>
      <c r="C224" s="206"/>
      <c r="D224" s="28">
        <v>0.62994799129622681</v>
      </c>
      <c r="E224" s="21"/>
      <c r="F224" s="18"/>
      <c r="G224" s="25"/>
    </row>
    <row r="226" spans="2:9" x14ac:dyDescent="0.2">
      <c r="B226" s="65" t="s">
        <v>1018</v>
      </c>
      <c r="C226" s="66"/>
      <c r="D226" s="66"/>
      <c r="E226" s="66"/>
      <c r="F226" s="66"/>
      <c r="G226" s="66"/>
    </row>
    <row r="227" spans="2:9" ht="38.25" x14ac:dyDescent="0.2">
      <c r="B227" s="67" t="s">
        <v>985</v>
      </c>
      <c r="C227" s="67" t="s">
        <v>986</v>
      </c>
      <c r="D227" s="67" t="s">
        <v>987</v>
      </c>
      <c r="E227" s="67" t="s">
        <v>988</v>
      </c>
      <c r="F227" s="67" t="s">
        <v>989</v>
      </c>
      <c r="G227" s="66"/>
    </row>
    <row r="228" spans="2:9" ht="25.5" x14ac:dyDescent="0.2">
      <c r="B228" s="68" t="s">
        <v>990</v>
      </c>
      <c r="C228" s="69" t="s">
        <v>991</v>
      </c>
      <c r="D228" s="70">
        <v>0</v>
      </c>
      <c r="E228" s="71">
        <v>0</v>
      </c>
      <c r="F228" s="72">
        <v>1000</v>
      </c>
      <c r="G228" s="66"/>
    </row>
    <row r="229" spans="2:9" x14ac:dyDescent="0.2">
      <c r="B229" s="65"/>
      <c r="C229" s="66"/>
      <c r="D229" s="66"/>
      <c r="E229" s="66"/>
      <c r="F229" s="66"/>
      <c r="G229" s="66"/>
    </row>
    <row r="230" spans="2:9" x14ac:dyDescent="0.2">
      <c r="B230" s="73" t="s">
        <v>992</v>
      </c>
      <c r="C230" s="73" t="s">
        <v>993</v>
      </c>
      <c r="D230" s="220" t="s">
        <v>994</v>
      </c>
      <c r="E230" s="221"/>
      <c r="F230" s="222" t="s">
        <v>995</v>
      </c>
      <c r="G230" s="222"/>
    </row>
    <row r="231" spans="2:9" ht="25.5" x14ac:dyDescent="0.2">
      <c r="B231" s="74" t="s">
        <v>996</v>
      </c>
      <c r="C231" s="75" t="s">
        <v>997</v>
      </c>
      <c r="D231" s="223">
        <v>0</v>
      </c>
      <c r="E231" s="224"/>
      <c r="F231" s="223">
        <v>0</v>
      </c>
      <c r="G231" s="224"/>
    </row>
    <row r="232" spans="2:9" x14ac:dyDescent="0.2">
      <c r="B232" s="225" t="s">
        <v>998</v>
      </c>
      <c r="C232" s="226"/>
      <c r="D232" s="226"/>
      <c r="E232" s="226"/>
      <c r="F232" s="226"/>
      <c r="G232" s="227"/>
    </row>
    <row r="233" spans="2:9" x14ac:dyDescent="0.2">
      <c r="B233" s="222" t="s">
        <v>992</v>
      </c>
      <c r="C233" s="222" t="s">
        <v>993</v>
      </c>
      <c r="D233" s="225" t="s">
        <v>999</v>
      </c>
      <c r="E233" s="226"/>
      <c r="F233" s="227"/>
      <c r="G233" s="74"/>
    </row>
    <row r="234" spans="2:9" ht="38.25" x14ac:dyDescent="0.2">
      <c r="B234" s="222"/>
      <c r="C234" s="222"/>
      <c r="D234" s="76" t="s">
        <v>1000</v>
      </c>
      <c r="E234" s="76" t="s">
        <v>1001</v>
      </c>
      <c r="F234" s="76" t="s">
        <v>1002</v>
      </c>
      <c r="G234" s="76" t="s">
        <v>1019</v>
      </c>
      <c r="H234" s="110"/>
      <c r="I234" s="110"/>
    </row>
    <row r="235" spans="2:9" ht="25.5" x14ac:dyDescent="0.2">
      <c r="B235" s="77" t="s">
        <v>996</v>
      </c>
      <c r="C235" s="75" t="s">
        <v>997</v>
      </c>
      <c r="D235" s="78">
        <v>700</v>
      </c>
      <c r="E235" s="78">
        <v>24.098357999999998</v>
      </c>
      <c r="F235" s="79">
        <v>724.09835799999996</v>
      </c>
      <c r="G235" s="80">
        <v>1.7760432330917999E-3</v>
      </c>
      <c r="H235" s="111"/>
      <c r="I235" s="111"/>
    </row>
    <row r="236" spans="2:9" ht="24" customHeight="1" x14ac:dyDescent="0.2">
      <c r="B236" s="228" t="s">
        <v>1003</v>
      </c>
      <c r="C236" s="229"/>
      <c r="D236" s="229"/>
      <c r="E236" s="229"/>
      <c r="F236" s="229"/>
      <c r="G236" s="230"/>
    </row>
    <row r="238" spans="2:9" x14ac:dyDescent="0.2">
      <c r="B238" s="231" t="s">
        <v>1004</v>
      </c>
      <c r="C238" s="232"/>
      <c r="D238" s="233"/>
    </row>
    <row r="239" spans="2:9" ht="38.25" x14ac:dyDescent="0.2">
      <c r="B239" s="234" t="s">
        <v>1005</v>
      </c>
      <c r="C239" s="234"/>
      <c r="D239" s="81" t="s">
        <v>558</v>
      </c>
    </row>
    <row r="240" spans="2:9" x14ac:dyDescent="0.2">
      <c r="B240" s="234" t="s">
        <v>1006</v>
      </c>
      <c r="C240" s="234"/>
      <c r="D240" s="81"/>
    </row>
    <row r="241" spans="2:4" x14ac:dyDescent="0.2">
      <c r="B241" s="235"/>
      <c r="C241" s="236"/>
      <c r="D241" s="82"/>
    </row>
    <row r="242" spans="2:4" x14ac:dyDescent="0.2">
      <c r="B242" s="234" t="s">
        <v>1007</v>
      </c>
      <c r="C242" s="234"/>
      <c r="D242" s="83">
        <v>7.3282262459711509</v>
      </c>
    </row>
    <row r="243" spans="2:4" x14ac:dyDescent="0.2">
      <c r="B243" s="235"/>
      <c r="C243" s="236"/>
      <c r="D243" s="84"/>
    </row>
    <row r="244" spans="2:4" x14ac:dyDescent="0.2">
      <c r="B244" s="234" t="s">
        <v>1008</v>
      </c>
      <c r="C244" s="234"/>
      <c r="D244" s="83">
        <v>3.8147646959757084</v>
      </c>
    </row>
    <row r="245" spans="2:4" x14ac:dyDescent="0.2">
      <c r="B245" s="234" t="s">
        <v>1009</v>
      </c>
      <c r="C245" s="234"/>
      <c r="D245" s="83">
        <v>5.3589705103108738</v>
      </c>
    </row>
    <row r="246" spans="2:4" x14ac:dyDescent="0.2">
      <c r="B246" s="235"/>
      <c r="C246" s="236"/>
      <c r="D246" s="82"/>
    </row>
    <row r="247" spans="2:4" x14ac:dyDescent="0.2">
      <c r="B247" s="234" t="s">
        <v>1010</v>
      </c>
      <c r="C247" s="234"/>
      <c r="D247" s="85">
        <v>45291</v>
      </c>
    </row>
    <row r="248" spans="2:4" x14ac:dyDescent="0.2">
      <c r="B248" s="235" t="s">
        <v>1011</v>
      </c>
      <c r="C248" s="237"/>
      <c r="D248" s="236"/>
    </row>
  </sheetData>
  <mergeCells count="37">
    <mergeCell ref="B244:C244"/>
    <mergeCell ref="B245:C245"/>
    <mergeCell ref="B246:C246"/>
    <mergeCell ref="B247:C247"/>
    <mergeCell ref="B248:D248"/>
    <mergeCell ref="B239:C239"/>
    <mergeCell ref="B240:C240"/>
    <mergeCell ref="B241:C241"/>
    <mergeCell ref="B242:C242"/>
    <mergeCell ref="B243:C243"/>
    <mergeCell ref="B233:B234"/>
    <mergeCell ref="C233:C234"/>
    <mergeCell ref="D233:F233"/>
    <mergeCell ref="B236:G236"/>
    <mergeCell ref="B238:D238"/>
    <mergeCell ref="D230:E230"/>
    <mergeCell ref="F230:G230"/>
    <mergeCell ref="D231:E231"/>
    <mergeCell ref="F231:G231"/>
    <mergeCell ref="B232:G232"/>
    <mergeCell ref="B224:C224"/>
    <mergeCell ref="B207:C207"/>
    <mergeCell ref="B208:C208"/>
    <mergeCell ref="B216:C216"/>
    <mergeCell ref="B221:C221"/>
    <mergeCell ref="B222:C222"/>
    <mergeCell ref="B223:C223"/>
    <mergeCell ref="K2:O2"/>
    <mergeCell ref="A1:I1"/>
    <mergeCell ref="A2:I2"/>
    <mergeCell ref="A3:I3"/>
    <mergeCell ref="B206:C206"/>
    <mergeCell ref="B203:F203"/>
    <mergeCell ref="B205:D205"/>
    <mergeCell ref="B200:F200"/>
    <mergeCell ref="B201:F201"/>
    <mergeCell ref="B202:F202"/>
  </mergeCells>
  <hyperlinks>
    <hyperlink ref="J1" location="Index!B15" display="Index" xr:uid="{0984BA14-164B-40FC-A55B-A71C1AAF618A}"/>
  </hyperlink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667</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55000</v>
      </c>
      <c r="F7" s="6">
        <v>940.08749999999998</v>
      </c>
      <c r="G7" s="7">
        <v>8.7779176032616188E-2</v>
      </c>
      <c r="H7" s="113"/>
    </row>
    <row r="8" spans="1:15" ht="17.100000000000001" customHeight="1" x14ac:dyDescent="0.2">
      <c r="A8" s="3">
        <v>2</v>
      </c>
      <c r="B8" s="4" t="s">
        <v>255</v>
      </c>
      <c r="C8" s="4" t="s">
        <v>256</v>
      </c>
      <c r="D8" s="4" t="s">
        <v>257</v>
      </c>
      <c r="E8" s="5">
        <v>321000</v>
      </c>
      <c r="F8" s="6">
        <v>881.78700000000003</v>
      </c>
      <c r="G8" s="7">
        <v>8.2335459514430873E-2</v>
      </c>
      <c r="H8" s="113"/>
    </row>
    <row r="9" spans="1:15" ht="17.100000000000001" customHeight="1" x14ac:dyDescent="0.2">
      <c r="A9" s="3">
        <v>3</v>
      </c>
      <c r="B9" s="4" t="s">
        <v>17</v>
      </c>
      <c r="C9" s="4" t="s">
        <v>18</v>
      </c>
      <c r="D9" s="4" t="s">
        <v>19</v>
      </c>
      <c r="E9" s="5">
        <v>31000</v>
      </c>
      <c r="F9" s="6">
        <v>801.33450000000005</v>
      </c>
      <c r="G9" s="7">
        <v>7.4823335207104102E-2</v>
      </c>
      <c r="H9" s="113"/>
    </row>
    <row r="10" spans="1:15" ht="17.100000000000001" customHeight="1" x14ac:dyDescent="0.2">
      <c r="A10" s="3">
        <v>4</v>
      </c>
      <c r="B10" s="4" t="s">
        <v>26</v>
      </c>
      <c r="C10" s="4" t="s">
        <v>27</v>
      </c>
      <c r="D10" s="4" t="s">
        <v>28</v>
      </c>
      <c r="E10" s="5">
        <v>77700</v>
      </c>
      <c r="F10" s="6">
        <v>774.35820000000001</v>
      </c>
      <c r="G10" s="7">
        <v>7.230446607374294E-2</v>
      </c>
      <c r="H10" s="113"/>
    </row>
    <row r="11" spans="1:15" ht="29.1" customHeight="1" x14ac:dyDescent="0.2">
      <c r="A11" s="3">
        <v>5</v>
      </c>
      <c r="B11" s="4" t="s">
        <v>668</v>
      </c>
      <c r="C11" s="4" t="s">
        <v>669</v>
      </c>
      <c r="D11" s="4" t="s">
        <v>25</v>
      </c>
      <c r="E11" s="5">
        <v>144000</v>
      </c>
      <c r="F11" s="6">
        <v>750.096</v>
      </c>
      <c r="G11" s="7">
        <v>7.0039021713788632E-2</v>
      </c>
      <c r="H11" s="113"/>
    </row>
    <row r="12" spans="1:15" ht="17.100000000000001" customHeight="1" x14ac:dyDescent="0.2">
      <c r="A12" s="3">
        <v>6</v>
      </c>
      <c r="B12" s="4" t="s">
        <v>670</v>
      </c>
      <c r="C12" s="4" t="s">
        <v>671</v>
      </c>
      <c r="D12" s="4" t="s">
        <v>22</v>
      </c>
      <c r="E12" s="5">
        <v>329800</v>
      </c>
      <c r="F12" s="6">
        <v>656.46690000000001</v>
      </c>
      <c r="G12" s="7">
        <v>6.129655332581898E-2</v>
      </c>
      <c r="H12" s="113"/>
      <c r="J12" s="194"/>
    </row>
    <row r="13" spans="1:15" ht="17.100000000000001" customHeight="1" x14ac:dyDescent="0.2">
      <c r="A13" s="3">
        <v>7</v>
      </c>
      <c r="B13" s="4" t="s">
        <v>672</v>
      </c>
      <c r="C13" s="4" t="s">
        <v>673</v>
      </c>
      <c r="D13" s="4" t="s">
        <v>73</v>
      </c>
      <c r="E13" s="5">
        <v>85800</v>
      </c>
      <c r="F13" s="6">
        <v>623.25120000000004</v>
      </c>
      <c r="G13" s="7">
        <v>5.8195090135055812E-2</v>
      </c>
      <c r="H13" s="113"/>
    </row>
    <row r="14" spans="1:15" ht="17.100000000000001" customHeight="1" x14ac:dyDescent="0.2">
      <c r="A14" s="3">
        <v>8</v>
      </c>
      <c r="B14" s="4" t="s">
        <v>375</v>
      </c>
      <c r="C14" s="4" t="s">
        <v>376</v>
      </c>
      <c r="D14" s="4" t="s">
        <v>248</v>
      </c>
      <c r="E14" s="5">
        <v>5100</v>
      </c>
      <c r="F14" s="6">
        <v>525.41985</v>
      </c>
      <c r="G14" s="7">
        <v>4.9060243332860819E-2</v>
      </c>
      <c r="H14" s="113"/>
      <c r="J14" s="194" t="s">
        <v>1160</v>
      </c>
    </row>
    <row r="15" spans="1:15" ht="17.100000000000001" customHeight="1" x14ac:dyDescent="0.2">
      <c r="A15" s="3">
        <v>9</v>
      </c>
      <c r="B15" s="4" t="s">
        <v>674</v>
      </c>
      <c r="C15" s="4" t="s">
        <v>675</v>
      </c>
      <c r="D15" s="4" t="s">
        <v>53</v>
      </c>
      <c r="E15" s="5">
        <v>252000</v>
      </c>
      <c r="F15" s="6">
        <v>433.44</v>
      </c>
      <c r="G15" s="7">
        <v>4.047177104213933E-2</v>
      </c>
      <c r="H15" s="113"/>
    </row>
    <row r="16" spans="1:15" ht="17.100000000000001" customHeight="1" x14ac:dyDescent="0.2">
      <c r="A16" s="3">
        <v>10</v>
      </c>
      <c r="B16" s="4" t="s">
        <v>676</v>
      </c>
      <c r="C16" s="4" t="s">
        <v>677</v>
      </c>
      <c r="D16" s="4" t="s">
        <v>300</v>
      </c>
      <c r="E16" s="5">
        <v>53750</v>
      </c>
      <c r="F16" s="6">
        <v>299.495</v>
      </c>
      <c r="G16" s="7">
        <v>2.7964869574255997E-2</v>
      </c>
      <c r="H16" s="113"/>
    </row>
    <row r="17" spans="1:8" ht="29.1" customHeight="1" x14ac:dyDescent="0.2">
      <c r="A17" s="3">
        <v>11</v>
      </c>
      <c r="B17" s="4" t="s">
        <v>678</v>
      </c>
      <c r="C17" s="4" t="s">
        <v>679</v>
      </c>
      <c r="D17" s="4" t="s">
        <v>25</v>
      </c>
      <c r="E17" s="5">
        <v>12000</v>
      </c>
      <c r="F17" s="6">
        <v>265.35000000000002</v>
      </c>
      <c r="G17" s="7">
        <v>2.477663447312586E-2</v>
      </c>
      <c r="H17" s="113"/>
    </row>
    <row r="18" spans="1:8" ht="17.100000000000001" customHeight="1" x14ac:dyDescent="0.2">
      <c r="A18" s="3">
        <v>12</v>
      </c>
      <c r="B18" s="4" t="s">
        <v>484</v>
      </c>
      <c r="C18" s="4" t="s">
        <v>485</v>
      </c>
      <c r="D18" s="4" t="s">
        <v>28</v>
      </c>
      <c r="E18" s="5">
        <v>9200</v>
      </c>
      <c r="F18" s="6">
        <v>175.54519999999999</v>
      </c>
      <c r="G18" s="7">
        <v>1.6391254018887406E-2</v>
      </c>
      <c r="H18" s="113"/>
    </row>
    <row r="19" spans="1:8" ht="29.1" customHeight="1" x14ac:dyDescent="0.2">
      <c r="A19" s="3">
        <v>13</v>
      </c>
      <c r="B19" s="4" t="s">
        <v>371</v>
      </c>
      <c r="C19" s="4" t="s">
        <v>372</v>
      </c>
      <c r="D19" s="4" t="s">
        <v>225</v>
      </c>
      <c r="E19" s="5">
        <v>13200</v>
      </c>
      <c r="F19" s="6">
        <v>143.08799999999999</v>
      </c>
      <c r="G19" s="7">
        <v>1.3360614559979772E-2</v>
      </c>
      <c r="H19" s="113"/>
    </row>
    <row r="20" spans="1:8" ht="29.1" customHeight="1" x14ac:dyDescent="0.2">
      <c r="A20" s="3">
        <v>14</v>
      </c>
      <c r="B20" s="4" t="s">
        <v>481</v>
      </c>
      <c r="C20" s="4" t="s">
        <v>482</v>
      </c>
      <c r="D20" s="4" t="s">
        <v>483</v>
      </c>
      <c r="E20" s="5">
        <v>9000</v>
      </c>
      <c r="F20" s="6">
        <v>97.811999999999998</v>
      </c>
      <c r="G20" s="7">
        <v>9.1330400267020401E-3</v>
      </c>
      <c r="H20" s="113"/>
    </row>
    <row r="21" spans="1:8" ht="17.100000000000001" customHeight="1" x14ac:dyDescent="0.2">
      <c r="A21" s="3">
        <v>15</v>
      </c>
      <c r="B21" s="4" t="s">
        <v>355</v>
      </c>
      <c r="C21" s="4" t="s">
        <v>356</v>
      </c>
      <c r="D21" s="4" t="s">
        <v>350</v>
      </c>
      <c r="E21" s="5">
        <v>3300</v>
      </c>
      <c r="F21" s="6">
        <v>87.910349999999994</v>
      </c>
      <c r="G21" s="7">
        <v>8.2084891967384947E-3</v>
      </c>
      <c r="H21" s="113"/>
    </row>
    <row r="22" spans="1:8" ht="29.1" customHeight="1" x14ac:dyDescent="0.2">
      <c r="A22" s="3">
        <v>16</v>
      </c>
      <c r="B22" s="4" t="s">
        <v>226</v>
      </c>
      <c r="C22" s="4" t="s">
        <v>227</v>
      </c>
      <c r="D22" s="4" t="s">
        <v>225</v>
      </c>
      <c r="E22" s="5">
        <v>10800</v>
      </c>
      <c r="F22" s="6">
        <v>74.433599999999998</v>
      </c>
      <c r="G22" s="7">
        <v>6.9501190869374818E-3</v>
      </c>
      <c r="H22" s="113"/>
    </row>
    <row r="23" spans="1:8" ht="17.100000000000001" customHeight="1" x14ac:dyDescent="0.2">
      <c r="A23" s="3">
        <v>17</v>
      </c>
      <c r="B23" s="4" t="s">
        <v>89</v>
      </c>
      <c r="C23" s="4" t="s">
        <v>90</v>
      </c>
      <c r="D23" s="4" t="s">
        <v>41</v>
      </c>
      <c r="E23" s="5">
        <v>1200</v>
      </c>
      <c r="F23" s="6">
        <v>48.296399999999998</v>
      </c>
      <c r="G23" s="7">
        <v>4.5095995823172252E-3</v>
      </c>
      <c r="H23" s="113"/>
    </row>
    <row r="24" spans="1:8" ht="17.100000000000001" customHeight="1" x14ac:dyDescent="0.2">
      <c r="A24" s="3">
        <v>18</v>
      </c>
      <c r="B24" s="4" t="s">
        <v>348</v>
      </c>
      <c r="C24" s="4" t="s">
        <v>349</v>
      </c>
      <c r="D24" s="4" t="s">
        <v>350</v>
      </c>
      <c r="E24" s="5">
        <v>9600</v>
      </c>
      <c r="F24" s="6">
        <v>44.361600000000003</v>
      </c>
      <c r="G24" s="7">
        <v>4.1421938867270405E-3</v>
      </c>
      <c r="H24" s="113"/>
    </row>
    <row r="25" spans="1:8" ht="17.100000000000001" customHeight="1" x14ac:dyDescent="0.2">
      <c r="A25" s="3">
        <v>19</v>
      </c>
      <c r="B25" s="4" t="s">
        <v>331</v>
      </c>
      <c r="C25" s="4" t="s">
        <v>332</v>
      </c>
      <c r="D25" s="4" t="s">
        <v>891</v>
      </c>
      <c r="E25" s="5">
        <v>875</v>
      </c>
      <c r="F25" s="6">
        <v>33.192250000000001</v>
      </c>
      <c r="G25" s="7">
        <v>3.0992735842872124E-3</v>
      </c>
      <c r="H25" s="113"/>
    </row>
    <row r="26" spans="1:8" ht="17.100000000000001" customHeight="1" x14ac:dyDescent="0.2">
      <c r="A26" s="3">
        <v>20</v>
      </c>
      <c r="B26" s="4" t="s">
        <v>59</v>
      </c>
      <c r="C26" s="4" t="s">
        <v>60</v>
      </c>
      <c r="D26" s="4" t="s">
        <v>61</v>
      </c>
      <c r="E26" s="5">
        <v>18300</v>
      </c>
      <c r="F26" s="6">
        <v>29.664300000000001</v>
      </c>
      <c r="G26" s="7">
        <v>2.7698568607542771E-3</v>
      </c>
      <c r="H26" s="113"/>
    </row>
    <row r="27" spans="1:8" ht="17.100000000000001" customHeight="1" x14ac:dyDescent="0.2">
      <c r="A27" s="3">
        <v>21</v>
      </c>
      <c r="B27" s="4" t="s">
        <v>680</v>
      </c>
      <c r="C27" s="4" t="s">
        <v>681</v>
      </c>
      <c r="D27" s="4" t="s">
        <v>53</v>
      </c>
      <c r="E27" s="5">
        <v>16200</v>
      </c>
      <c r="F27" s="6">
        <v>26.956800000000001</v>
      </c>
      <c r="G27" s="7">
        <v>2.5170483518566389E-3</v>
      </c>
      <c r="H27" s="113"/>
    </row>
    <row r="28" spans="1:8" ht="14.1" customHeight="1" x14ac:dyDescent="0.2">
      <c r="A28" s="1"/>
      <c r="B28" s="1"/>
      <c r="C28" s="2" t="s">
        <v>151</v>
      </c>
      <c r="D28" s="1"/>
      <c r="E28" s="1" t="s">
        <v>152</v>
      </c>
      <c r="F28" s="9">
        <v>7712.3466500000004</v>
      </c>
      <c r="G28" s="10">
        <v>0.72012810958012718</v>
      </c>
      <c r="H28" s="113"/>
    </row>
    <row r="29" spans="1:8" ht="14.1" customHeight="1" x14ac:dyDescent="0.2">
      <c r="A29" s="1"/>
      <c r="B29" s="1"/>
      <c r="C29" s="11"/>
      <c r="D29" s="1"/>
      <c r="E29" s="1"/>
      <c r="F29" s="12"/>
      <c r="G29" s="12"/>
      <c r="H29" s="113"/>
    </row>
    <row r="30" spans="1:8" ht="14.1" customHeight="1" x14ac:dyDescent="0.2">
      <c r="A30" s="1"/>
      <c r="B30" s="1"/>
      <c r="C30" s="2" t="s">
        <v>153</v>
      </c>
      <c r="D30" s="1"/>
      <c r="E30" s="1"/>
      <c r="F30" s="1"/>
      <c r="G30" s="1"/>
      <c r="H30" s="113"/>
    </row>
    <row r="31" spans="1:8" ht="14.1" customHeight="1" x14ac:dyDescent="0.2">
      <c r="A31" s="1"/>
      <c r="B31" s="1"/>
      <c r="C31" s="2" t="s">
        <v>151</v>
      </c>
      <c r="D31" s="1"/>
      <c r="E31" s="1" t="s">
        <v>152</v>
      </c>
      <c r="F31" s="13" t="s">
        <v>154</v>
      </c>
      <c r="G31" s="10">
        <v>0</v>
      </c>
      <c r="H31" s="113"/>
    </row>
    <row r="32" spans="1:8" ht="14.1" customHeight="1" x14ac:dyDescent="0.2">
      <c r="A32" s="1"/>
      <c r="B32" s="1"/>
      <c r="C32" s="11"/>
      <c r="D32" s="1"/>
      <c r="E32" s="1"/>
      <c r="F32" s="12"/>
      <c r="G32" s="12"/>
      <c r="H32" s="113"/>
    </row>
    <row r="33" spans="1:8" ht="14.1" customHeight="1" x14ac:dyDescent="0.2">
      <c r="A33" s="1"/>
      <c r="B33" s="1"/>
      <c r="C33" s="2" t="s">
        <v>155</v>
      </c>
      <c r="D33" s="1"/>
      <c r="E33" s="1"/>
      <c r="F33" s="1"/>
      <c r="G33" s="1"/>
      <c r="H33" s="113"/>
    </row>
    <row r="34" spans="1:8" ht="14.1" customHeight="1" x14ac:dyDescent="0.2">
      <c r="A34" s="1"/>
      <c r="B34" s="1"/>
      <c r="C34" s="2" t="s">
        <v>151</v>
      </c>
      <c r="D34" s="1"/>
      <c r="E34" s="1" t="s">
        <v>152</v>
      </c>
      <c r="F34" s="13" t="s">
        <v>154</v>
      </c>
      <c r="G34" s="10">
        <v>0</v>
      </c>
      <c r="H34" s="113"/>
    </row>
    <row r="35" spans="1:8" ht="14.1" customHeight="1" x14ac:dyDescent="0.2">
      <c r="A35" s="1"/>
      <c r="B35" s="1"/>
      <c r="C35" s="11"/>
      <c r="D35" s="1"/>
      <c r="E35" s="1"/>
      <c r="F35" s="12"/>
      <c r="G35" s="12"/>
      <c r="H35" s="113"/>
    </row>
    <row r="36" spans="1:8" ht="14.1" customHeight="1" x14ac:dyDescent="0.2">
      <c r="A36" s="1"/>
      <c r="B36" s="1"/>
      <c r="C36" s="2" t="s">
        <v>156</v>
      </c>
      <c r="D36" s="1"/>
      <c r="E36" s="1"/>
      <c r="F36" s="1"/>
      <c r="G36" s="1"/>
      <c r="H36" s="113"/>
    </row>
    <row r="37" spans="1:8" ht="14.1" customHeight="1" x14ac:dyDescent="0.2">
      <c r="A37" s="1"/>
      <c r="B37" s="1"/>
      <c r="C37" s="2" t="s">
        <v>151</v>
      </c>
      <c r="D37" s="1"/>
      <c r="E37" s="1" t="s">
        <v>152</v>
      </c>
      <c r="F37" s="13" t="s">
        <v>154</v>
      </c>
      <c r="G37" s="10">
        <v>0</v>
      </c>
      <c r="H37" s="113"/>
    </row>
    <row r="38" spans="1:8" ht="14.1" customHeight="1" x14ac:dyDescent="0.2">
      <c r="A38" s="1"/>
      <c r="B38" s="1"/>
      <c r="C38" s="11"/>
      <c r="D38" s="1"/>
      <c r="E38" s="1"/>
      <c r="F38" s="12"/>
      <c r="G38" s="12"/>
      <c r="H38" s="113"/>
    </row>
    <row r="39" spans="1:8" ht="14.1" customHeight="1" x14ac:dyDescent="0.2">
      <c r="A39" s="1"/>
      <c r="B39" s="1"/>
      <c r="C39" s="2" t="s">
        <v>157</v>
      </c>
      <c r="D39" s="1"/>
      <c r="E39" s="1"/>
      <c r="F39" s="12"/>
      <c r="G39" s="12"/>
      <c r="H39" s="113"/>
    </row>
    <row r="40" spans="1:8" ht="14.1" customHeight="1" x14ac:dyDescent="0.2">
      <c r="A40" s="1"/>
      <c r="B40" s="1"/>
      <c r="C40" s="2" t="s">
        <v>151</v>
      </c>
      <c r="D40" s="1"/>
      <c r="E40" s="1" t="s">
        <v>152</v>
      </c>
      <c r="F40" s="13" t="s">
        <v>154</v>
      </c>
      <c r="G40" s="10">
        <v>0</v>
      </c>
      <c r="H40" s="113"/>
    </row>
    <row r="41" spans="1:8" ht="14.1" customHeight="1" x14ac:dyDescent="0.2">
      <c r="A41" s="1"/>
      <c r="B41" s="1"/>
      <c r="C41" s="11"/>
      <c r="D41" s="1"/>
      <c r="E41" s="1"/>
      <c r="F41" s="12"/>
      <c r="G41" s="12"/>
      <c r="H41" s="113"/>
    </row>
    <row r="42" spans="1:8" ht="14.1" customHeight="1" x14ac:dyDescent="0.2">
      <c r="A42" s="1"/>
      <c r="B42" s="1"/>
      <c r="C42" s="2" t="s">
        <v>158</v>
      </c>
      <c r="D42" s="1"/>
      <c r="E42" s="1"/>
      <c r="F42" s="12"/>
      <c r="G42" s="12"/>
      <c r="H42" s="113"/>
    </row>
    <row r="43" spans="1:8" ht="17.100000000000001" customHeight="1" x14ac:dyDescent="0.2">
      <c r="A43" s="3">
        <v>1</v>
      </c>
      <c r="B43" s="4"/>
      <c r="C43" s="4" t="s">
        <v>914</v>
      </c>
      <c r="D43" s="4" t="s">
        <v>682</v>
      </c>
      <c r="E43" s="5">
        <v>-16200</v>
      </c>
      <c r="F43" s="6">
        <v>-27.1998</v>
      </c>
      <c r="G43" s="7">
        <v>-2.5397380906053467E-3</v>
      </c>
      <c r="H43" s="113"/>
    </row>
    <row r="44" spans="1:8" ht="17.100000000000001" customHeight="1" x14ac:dyDescent="0.2">
      <c r="A44" s="3">
        <v>2</v>
      </c>
      <c r="B44" s="4"/>
      <c r="C44" s="4" t="s">
        <v>915</v>
      </c>
      <c r="D44" s="4" t="s">
        <v>682</v>
      </c>
      <c r="E44" s="5">
        <v>-18300</v>
      </c>
      <c r="F44" s="6">
        <v>-29.847300000000001</v>
      </c>
      <c r="G44" s="7">
        <v>-2.786944194873674E-3</v>
      </c>
      <c r="H44" s="113"/>
    </row>
    <row r="45" spans="1:8" ht="29.1" customHeight="1" x14ac:dyDescent="0.2">
      <c r="A45" s="3">
        <v>3</v>
      </c>
      <c r="B45" s="4"/>
      <c r="C45" s="4" t="s">
        <v>916</v>
      </c>
      <c r="D45" s="4" t="s">
        <v>682</v>
      </c>
      <c r="E45" s="5">
        <v>-875</v>
      </c>
      <c r="F45" s="6">
        <v>-33.399625</v>
      </c>
      <c r="G45" s="7">
        <v>-3.1186368952872668E-3</v>
      </c>
      <c r="H45" s="113"/>
    </row>
    <row r="46" spans="1:8" ht="17.100000000000001" customHeight="1" x14ac:dyDescent="0.2">
      <c r="A46" s="3">
        <v>4</v>
      </c>
      <c r="B46" s="4"/>
      <c r="C46" s="4" t="s">
        <v>917</v>
      </c>
      <c r="D46" s="4" t="s">
        <v>682</v>
      </c>
      <c r="E46" s="5">
        <v>-9600</v>
      </c>
      <c r="F46" s="6">
        <v>-44.750399999999999</v>
      </c>
      <c r="G46" s="7">
        <v>-4.1784974687249727E-3</v>
      </c>
      <c r="H46" s="113"/>
    </row>
    <row r="47" spans="1:8" ht="17.100000000000001" customHeight="1" x14ac:dyDescent="0.2">
      <c r="A47" s="3">
        <v>5</v>
      </c>
      <c r="B47" s="4"/>
      <c r="C47" s="4" t="s">
        <v>918</v>
      </c>
      <c r="D47" s="4" t="s">
        <v>682</v>
      </c>
      <c r="E47" s="5">
        <v>-1200</v>
      </c>
      <c r="F47" s="6">
        <v>-48.609000000000002</v>
      </c>
      <c r="G47" s="7">
        <v>-4.5387881104359332E-3</v>
      </c>
      <c r="H47" s="113"/>
    </row>
    <row r="48" spans="1:8" ht="17.100000000000001" customHeight="1" x14ac:dyDescent="0.2">
      <c r="A48" s="3">
        <v>6</v>
      </c>
      <c r="B48" s="4"/>
      <c r="C48" s="4" t="s">
        <v>919</v>
      </c>
      <c r="D48" s="4" t="s">
        <v>682</v>
      </c>
      <c r="E48" s="5">
        <v>-10800</v>
      </c>
      <c r="F48" s="6">
        <v>-75.114000000000004</v>
      </c>
      <c r="G48" s="7">
        <v>-7.0136503554338644E-3</v>
      </c>
      <c r="H48" s="113"/>
    </row>
    <row r="49" spans="1:8" ht="17.100000000000001" customHeight="1" x14ac:dyDescent="0.2">
      <c r="A49" s="3">
        <v>7</v>
      </c>
      <c r="B49" s="4"/>
      <c r="C49" s="4" t="s">
        <v>920</v>
      </c>
      <c r="D49" s="4" t="s">
        <v>682</v>
      </c>
      <c r="E49" s="5">
        <v>-3300</v>
      </c>
      <c r="F49" s="6">
        <v>-88.489500000000007</v>
      </c>
      <c r="G49" s="7">
        <v>-8.2625664074229156E-3</v>
      </c>
      <c r="H49" s="113"/>
    </row>
    <row r="50" spans="1:8" ht="29.1" customHeight="1" x14ac:dyDescent="0.2">
      <c r="A50" s="3">
        <v>8</v>
      </c>
      <c r="B50" s="4"/>
      <c r="C50" s="4" t="s">
        <v>921</v>
      </c>
      <c r="D50" s="4" t="s">
        <v>682</v>
      </c>
      <c r="E50" s="5">
        <v>-9000</v>
      </c>
      <c r="F50" s="6">
        <v>-97.546499999999995</v>
      </c>
      <c r="G50" s="7">
        <v>-9.1082493862173416E-3</v>
      </c>
      <c r="H50" s="113"/>
    </row>
    <row r="51" spans="1:8" ht="17.100000000000001" customHeight="1" x14ac:dyDescent="0.2">
      <c r="A51" s="3">
        <v>9</v>
      </c>
      <c r="B51" s="4"/>
      <c r="C51" s="4" t="s">
        <v>922</v>
      </c>
      <c r="D51" s="4" t="s">
        <v>682</v>
      </c>
      <c r="E51" s="5">
        <v>-13200</v>
      </c>
      <c r="F51" s="6">
        <v>-144.13740000000001</v>
      </c>
      <c r="G51" s="7">
        <v>-1.3458600616946415E-2</v>
      </c>
      <c r="H51" s="113"/>
    </row>
    <row r="52" spans="1:8" ht="29.1" customHeight="1" x14ac:dyDescent="0.2">
      <c r="A52" s="3">
        <v>10</v>
      </c>
      <c r="B52" s="4"/>
      <c r="C52" s="4" t="s">
        <v>923</v>
      </c>
      <c r="D52" s="4" t="s">
        <v>682</v>
      </c>
      <c r="E52" s="5">
        <v>-9200</v>
      </c>
      <c r="F52" s="6">
        <v>-176.56639999999999</v>
      </c>
      <c r="G52" s="7">
        <v>-1.6486606945678273E-2</v>
      </c>
      <c r="H52" s="113"/>
    </row>
    <row r="53" spans="1:8" ht="17.100000000000001" customHeight="1" x14ac:dyDescent="0.2">
      <c r="A53" s="3">
        <v>11</v>
      </c>
      <c r="B53" s="4"/>
      <c r="C53" s="4" t="s">
        <v>924</v>
      </c>
      <c r="D53" s="4" t="s">
        <v>682</v>
      </c>
      <c r="E53" s="5">
        <v>-12000</v>
      </c>
      <c r="F53" s="6">
        <v>-266.97000000000003</v>
      </c>
      <c r="G53" s="7">
        <v>-2.4927899398117247E-2</v>
      </c>
      <c r="H53" s="113"/>
    </row>
    <row r="54" spans="1:8" ht="17.100000000000001" customHeight="1" x14ac:dyDescent="0.2">
      <c r="A54" s="3">
        <v>12</v>
      </c>
      <c r="B54" s="4"/>
      <c r="C54" s="4" t="s">
        <v>925</v>
      </c>
      <c r="D54" s="4" t="s">
        <v>682</v>
      </c>
      <c r="E54" s="5">
        <v>-53750</v>
      </c>
      <c r="F54" s="6">
        <v>-301.56437499999998</v>
      </c>
      <c r="G54" s="7">
        <v>-2.8158094175585655E-2</v>
      </c>
      <c r="H54" s="113"/>
    </row>
    <row r="55" spans="1:8" ht="29.1" customHeight="1" x14ac:dyDescent="0.2">
      <c r="A55" s="3">
        <v>13</v>
      </c>
      <c r="B55" s="4"/>
      <c r="C55" s="4" t="s">
        <v>926</v>
      </c>
      <c r="D55" s="4" t="s">
        <v>682</v>
      </c>
      <c r="E55" s="5">
        <v>-252000</v>
      </c>
      <c r="F55" s="6">
        <v>-436.464</v>
      </c>
      <c r="G55" s="7">
        <v>-4.0754132235456583E-2</v>
      </c>
      <c r="H55" s="113"/>
    </row>
    <row r="56" spans="1:8" ht="17.100000000000001" customHeight="1" x14ac:dyDescent="0.2">
      <c r="A56" s="3">
        <v>14</v>
      </c>
      <c r="B56" s="4"/>
      <c r="C56" s="4" t="s">
        <v>927</v>
      </c>
      <c r="D56" s="4" t="s">
        <v>682</v>
      </c>
      <c r="E56" s="5">
        <v>-5100</v>
      </c>
      <c r="F56" s="6">
        <v>-530.09400000000005</v>
      </c>
      <c r="G56" s="7">
        <v>-4.9496684659495686E-2</v>
      </c>
      <c r="H56" s="113"/>
    </row>
    <row r="57" spans="1:8" ht="17.100000000000001" customHeight="1" x14ac:dyDescent="0.2">
      <c r="A57" s="3">
        <v>15</v>
      </c>
      <c r="B57" s="4"/>
      <c r="C57" s="4" t="s">
        <v>928</v>
      </c>
      <c r="D57" s="4" t="s">
        <v>682</v>
      </c>
      <c r="E57" s="5">
        <v>-85800</v>
      </c>
      <c r="F57" s="6">
        <v>-627.24090000000001</v>
      </c>
      <c r="G57" s="7">
        <v>-5.8567622030881818E-2</v>
      </c>
      <c r="H57" s="113"/>
    </row>
    <row r="58" spans="1:8" ht="17.100000000000001" customHeight="1" x14ac:dyDescent="0.2">
      <c r="A58" s="3">
        <v>16</v>
      </c>
      <c r="B58" s="4"/>
      <c r="C58" s="4" t="s">
        <v>929</v>
      </c>
      <c r="D58" s="4" t="s">
        <v>682</v>
      </c>
      <c r="E58" s="5">
        <v>-329800</v>
      </c>
      <c r="F58" s="6">
        <v>-661.90859999999998</v>
      </c>
      <c r="G58" s="7">
        <v>-6.1804663413674292E-2</v>
      </c>
      <c r="H58" s="113"/>
    </row>
    <row r="59" spans="1:8" ht="17.100000000000001" customHeight="1" x14ac:dyDescent="0.2">
      <c r="A59" s="3">
        <v>17</v>
      </c>
      <c r="B59" s="4"/>
      <c r="C59" s="4" t="s">
        <v>930</v>
      </c>
      <c r="D59" s="4" t="s">
        <v>682</v>
      </c>
      <c r="E59" s="5">
        <v>-144000</v>
      </c>
      <c r="F59" s="6">
        <v>-757.51199999999994</v>
      </c>
      <c r="G59" s="7">
        <v>-7.0731478925971411E-2</v>
      </c>
      <c r="H59" s="113"/>
    </row>
    <row r="60" spans="1:8" ht="17.100000000000001" customHeight="1" x14ac:dyDescent="0.2">
      <c r="A60" s="3">
        <v>18</v>
      </c>
      <c r="B60" s="4"/>
      <c r="C60" s="4" t="s">
        <v>931</v>
      </c>
      <c r="D60" s="4" t="s">
        <v>682</v>
      </c>
      <c r="E60" s="5">
        <v>-77700</v>
      </c>
      <c r="F60" s="6">
        <v>-781.11810000000003</v>
      </c>
      <c r="G60" s="7">
        <v>-7.2935660991304205E-2</v>
      </c>
      <c r="H60" s="113"/>
    </row>
    <row r="61" spans="1:8" ht="17.100000000000001" customHeight="1" x14ac:dyDescent="0.2">
      <c r="A61" s="3">
        <v>19</v>
      </c>
      <c r="B61" s="4"/>
      <c r="C61" s="4" t="s">
        <v>932</v>
      </c>
      <c r="D61" s="4" t="s">
        <v>682</v>
      </c>
      <c r="E61" s="5">
        <v>-31000</v>
      </c>
      <c r="F61" s="6">
        <v>-807.08500000000004</v>
      </c>
      <c r="G61" s="7">
        <v>-7.5360279004118277E-2</v>
      </c>
      <c r="H61" s="113"/>
    </row>
    <row r="62" spans="1:8" ht="29.1" customHeight="1" x14ac:dyDescent="0.2">
      <c r="A62" s="3">
        <v>20</v>
      </c>
      <c r="B62" s="4"/>
      <c r="C62" s="4" t="s">
        <v>933</v>
      </c>
      <c r="D62" s="4" t="s">
        <v>682</v>
      </c>
      <c r="E62" s="5">
        <v>-321000</v>
      </c>
      <c r="F62" s="6">
        <v>-889.97249999999997</v>
      </c>
      <c r="G62" s="7">
        <v>-8.3099767565984556E-2</v>
      </c>
      <c r="H62" s="113"/>
    </row>
    <row r="63" spans="1:8" ht="17.100000000000001" customHeight="1" x14ac:dyDescent="0.2">
      <c r="A63" s="3">
        <v>21</v>
      </c>
      <c r="B63" s="4"/>
      <c r="C63" s="4" t="s">
        <v>934</v>
      </c>
      <c r="D63" s="4" t="s">
        <v>682</v>
      </c>
      <c r="E63" s="5">
        <v>-55000</v>
      </c>
      <c r="F63" s="6">
        <v>-945.89</v>
      </c>
      <c r="G63" s="7">
        <v>-8.8320975246975755E-2</v>
      </c>
      <c r="H63" s="113"/>
    </row>
    <row r="64" spans="1:8" ht="14.1" customHeight="1" x14ac:dyDescent="0.2">
      <c r="A64" s="1"/>
      <c r="B64" s="1"/>
      <c r="C64" s="2" t="s">
        <v>151</v>
      </c>
      <c r="D64" s="1"/>
      <c r="E64" s="1" t="s">
        <v>152</v>
      </c>
      <c r="F64" s="9">
        <v>-7771.4794000000002</v>
      </c>
      <c r="G64" s="10">
        <v>-0.72564953611919147</v>
      </c>
      <c r="H64" s="113"/>
    </row>
    <row r="65" spans="1:8" ht="14.1" customHeight="1" x14ac:dyDescent="0.2">
      <c r="A65" s="1"/>
      <c r="B65" s="1"/>
      <c r="C65" s="11"/>
      <c r="D65" s="1"/>
      <c r="E65" s="1"/>
      <c r="F65" s="12"/>
      <c r="G65" s="12"/>
      <c r="H65" s="113"/>
    </row>
    <row r="66" spans="1:8" ht="18" customHeight="1" x14ac:dyDescent="0.2">
      <c r="A66" s="1"/>
      <c r="B66" s="1"/>
      <c r="C66" s="2" t="s">
        <v>159</v>
      </c>
      <c r="D66" s="1"/>
      <c r="E66" s="1"/>
      <c r="F66" s="9">
        <v>7712.3466500000004</v>
      </c>
      <c r="G66" s="10">
        <v>0.72012810958012718</v>
      </c>
      <c r="H66" s="113"/>
    </row>
    <row r="67" spans="1:8" ht="14.1" customHeight="1" x14ac:dyDescent="0.2">
      <c r="A67" s="1"/>
      <c r="B67" s="1"/>
      <c r="C67" s="11"/>
      <c r="D67" s="1"/>
      <c r="E67" s="1"/>
      <c r="F67" s="12"/>
      <c r="G67" s="12"/>
      <c r="H67" s="113"/>
    </row>
    <row r="68" spans="1:8" ht="14.1" customHeight="1" x14ac:dyDescent="0.2">
      <c r="A68" s="1"/>
      <c r="B68" s="1"/>
      <c r="C68" s="2" t="s">
        <v>160</v>
      </c>
      <c r="D68" s="1"/>
      <c r="E68" s="1"/>
      <c r="F68" s="12"/>
      <c r="G68" s="12"/>
      <c r="H68" s="113"/>
    </row>
    <row r="69" spans="1:8" ht="24" customHeight="1" x14ac:dyDescent="0.2">
      <c r="A69" s="1"/>
      <c r="B69" s="1"/>
      <c r="C69" s="2" t="s">
        <v>10</v>
      </c>
      <c r="D69" s="1"/>
      <c r="E69" s="1"/>
      <c r="F69" s="12"/>
      <c r="G69" s="12"/>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4.1" customHeight="1" x14ac:dyDescent="0.2">
      <c r="A72" s="1"/>
      <c r="B72" s="1"/>
      <c r="C72" s="2" t="s">
        <v>161</v>
      </c>
      <c r="D72" s="1"/>
      <c r="E72" s="1"/>
      <c r="F72" s="1"/>
      <c r="G72" s="1"/>
      <c r="H72" s="113"/>
    </row>
    <row r="73" spans="1:8" ht="14.1" customHeight="1" x14ac:dyDescent="0.2">
      <c r="A73" s="1"/>
      <c r="B73" s="1"/>
      <c r="C73" s="2" t="s">
        <v>151</v>
      </c>
      <c r="D73" s="1"/>
      <c r="E73" s="1" t="s">
        <v>152</v>
      </c>
      <c r="F73" s="13" t="s">
        <v>154</v>
      </c>
      <c r="G73" s="10">
        <v>0</v>
      </c>
      <c r="H73" s="113"/>
    </row>
    <row r="74" spans="1:8" ht="14.1" customHeight="1" x14ac:dyDescent="0.2">
      <c r="A74" s="1"/>
      <c r="B74" s="1"/>
      <c r="C74" s="11"/>
      <c r="D74" s="1"/>
      <c r="E74" s="1"/>
      <c r="F74" s="12"/>
      <c r="G74" s="12"/>
      <c r="H74" s="113"/>
    </row>
    <row r="75" spans="1:8" ht="14.1" customHeight="1" x14ac:dyDescent="0.2">
      <c r="A75" s="1"/>
      <c r="B75" s="1"/>
      <c r="C75" s="2" t="s">
        <v>162</v>
      </c>
      <c r="D75" s="1"/>
      <c r="E75" s="1"/>
      <c r="F75" s="1"/>
      <c r="G75" s="1"/>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163</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164</v>
      </c>
      <c r="D81" s="1"/>
      <c r="E81" s="1"/>
      <c r="F81" s="9">
        <v>0</v>
      </c>
      <c r="G81" s="10">
        <v>0</v>
      </c>
      <c r="H81" s="113"/>
    </row>
    <row r="82" spans="1:8" ht="14.1" customHeight="1" x14ac:dyDescent="0.2">
      <c r="A82" s="1"/>
      <c r="B82" s="1"/>
      <c r="C82" s="11"/>
      <c r="D82" s="1"/>
      <c r="E82" s="1"/>
      <c r="F82" s="12"/>
      <c r="G82" s="12"/>
      <c r="H82" s="113"/>
    </row>
    <row r="83" spans="1:8" ht="14.1" customHeight="1" x14ac:dyDescent="0.2">
      <c r="A83" s="1"/>
      <c r="B83" s="1"/>
      <c r="C83" s="2" t="s">
        <v>165</v>
      </c>
      <c r="D83" s="1"/>
      <c r="E83" s="1"/>
      <c r="F83" s="12"/>
      <c r="G83" s="12"/>
      <c r="H83" s="113"/>
    </row>
    <row r="84" spans="1:8" ht="14.1" customHeight="1" x14ac:dyDescent="0.2">
      <c r="A84" s="1"/>
      <c r="B84" s="1"/>
      <c r="C84" s="2" t="s">
        <v>166</v>
      </c>
      <c r="D84" s="1"/>
      <c r="E84" s="1"/>
      <c r="F84" s="12"/>
      <c r="G84" s="12"/>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167</v>
      </c>
      <c r="D87" s="1"/>
      <c r="E87" s="1"/>
      <c r="F87" s="12"/>
      <c r="G87" s="12"/>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4.1" customHeight="1" x14ac:dyDescent="0.2">
      <c r="A90" s="1"/>
      <c r="B90" s="1"/>
      <c r="C90" s="2" t="s">
        <v>168</v>
      </c>
      <c r="D90" s="1"/>
      <c r="E90" s="1"/>
      <c r="F90" s="12"/>
      <c r="G90" s="12"/>
      <c r="H90" s="113"/>
    </row>
    <row r="91" spans="1:8" ht="17.100000000000001" customHeight="1" x14ac:dyDescent="0.2">
      <c r="A91" s="3">
        <v>1</v>
      </c>
      <c r="B91" s="4" t="s">
        <v>683</v>
      </c>
      <c r="C91" s="40" t="s">
        <v>1021</v>
      </c>
      <c r="D91" s="4" t="s">
        <v>644</v>
      </c>
      <c r="E91" s="5">
        <v>1000000</v>
      </c>
      <c r="F91" s="6">
        <v>986.36800000000005</v>
      </c>
      <c r="G91" s="7">
        <v>9.2100544156729636E-2</v>
      </c>
      <c r="H91" s="113">
        <v>6.91</v>
      </c>
    </row>
    <row r="92" spans="1:8" ht="17.100000000000001" customHeight="1" x14ac:dyDescent="0.2">
      <c r="A92" s="3">
        <v>2</v>
      </c>
      <c r="B92" s="4" t="s">
        <v>684</v>
      </c>
      <c r="C92" s="40" t="s">
        <v>1022</v>
      </c>
      <c r="D92" s="4" t="s">
        <v>644</v>
      </c>
      <c r="E92" s="5">
        <v>500000</v>
      </c>
      <c r="F92" s="6">
        <v>475.762</v>
      </c>
      <c r="G92" s="7">
        <v>4.4423520520834009E-2</v>
      </c>
      <c r="H92" s="113">
        <v>7.0975000000000001</v>
      </c>
    </row>
    <row r="93" spans="1:8" ht="17.100000000000001" customHeight="1" x14ac:dyDescent="0.2">
      <c r="A93" s="3">
        <v>3</v>
      </c>
      <c r="B93" s="4" t="s">
        <v>685</v>
      </c>
      <c r="C93" s="40" t="s">
        <v>1023</v>
      </c>
      <c r="D93" s="4" t="s">
        <v>644</v>
      </c>
      <c r="E93" s="5">
        <v>500000</v>
      </c>
      <c r="F93" s="6">
        <v>473.91149999999999</v>
      </c>
      <c r="G93" s="7">
        <v>4.4250733024725021E-2</v>
      </c>
      <c r="H93" s="113">
        <v>7.1</v>
      </c>
    </row>
    <row r="94" spans="1:8" ht="17.100000000000001" customHeight="1" x14ac:dyDescent="0.2">
      <c r="A94" s="3">
        <v>4</v>
      </c>
      <c r="B94" s="4" t="s">
        <v>686</v>
      </c>
      <c r="C94" s="40" t="s">
        <v>1024</v>
      </c>
      <c r="D94" s="4" t="s">
        <v>644</v>
      </c>
      <c r="E94" s="5">
        <v>500000</v>
      </c>
      <c r="F94" s="6">
        <v>473.3005</v>
      </c>
      <c r="G94" s="7">
        <v>4.4193681870916546E-2</v>
      </c>
      <c r="H94" s="113">
        <v>7.1</v>
      </c>
    </row>
    <row r="95" spans="1:8" ht="14.1" customHeight="1" x14ac:dyDescent="0.2">
      <c r="A95" s="1"/>
      <c r="B95" s="1"/>
      <c r="C95" s="2" t="s">
        <v>151</v>
      </c>
      <c r="D95" s="1"/>
      <c r="E95" s="1" t="s">
        <v>152</v>
      </c>
      <c r="F95" s="9">
        <v>2409.3420000000001</v>
      </c>
      <c r="G95" s="10">
        <v>0.22496847957320523</v>
      </c>
      <c r="H95" s="113"/>
    </row>
    <row r="96" spans="1:8" ht="14.1" customHeight="1" x14ac:dyDescent="0.2">
      <c r="A96" s="1"/>
      <c r="B96" s="1"/>
      <c r="C96" s="11"/>
      <c r="D96" s="1"/>
      <c r="E96" s="1"/>
      <c r="F96" s="12"/>
      <c r="G96" s="12"/>
      <c r="H96" s="113"/>
    </row>
    <row r="97" spans="1:8" ht="14.1" customHeight="1" x14ac:dyDescent="0.2">
      <c r="A97" s="1"/>
      <c r="B97" s="1"/>
      <c r="C97" s="2" t="s">
        <v>169</v>
      </c>
      <c r="D97" s="1"/>
      <c r="E97" s="1"/>
      <c r="F97" s="12"/>
      <c r="G97" s="12"/>
      <c r="H97" s="113"/>
    </row>
    <row r="98" spans="1:8" ht="17.100000000000001" customHeight="1" x14ac:dyDescent="0.2">
      <c r="A98" s="3">
        <v>1</v>
      </c>
      <c r="B98" s="4"/>
      <c r="C98" s="4" t="s">
        <v>170</v>
      </c>
      <c r="D98" s="4"/>
      <c r="E98" s="8"/>
      <c r="F98" s="6">
        <v>637.40155100300001</v>
      </c>
      <c r="G98" s="7">
        <v>5.9516356667815414E-2</v>
      </c>
      <c r="H98" s="113">
        <v>6.7600000000000016</v>
      </c>
    </row>
    <row r="99" spans="1:8" ht="14.1" customHeight="1" x14ac:dyDescent="0.2">
      <c r="A99" s="1"/>
      <c r="B99" s="1"/>
      <c r="C99" s="2" t="s">
        <v>151</v>
      </c>
      <c r="D99" s="1"/>
      <c r="E99" s="1" t="s">
        <v>152</v>
      </c>
      <c r="F99" s="9">
        <v>637.40155100300001</v>
      </c>
      <c r="G99" s="10">
        <v>5.9516356667815414E-2</v>
      </c>
      <c r="H99" s="113"/>
    </row>
    <row r="100" spans="1:8" ht="14.1" customHeight="1" x14ac:dyDescent="0.2">
      <c r="A100" s="1"/>
      <c r="B100" s="1"/>
      <c r="C100" s="11"/>
      <c r="D100" s="1"/>
      <c r="E100" s="1"/>
      <c r="F100" s="12"/>
      <c r="G100" s="12"/>
      <c r="H100" s="113"/>
    </row>
    <row r="101" spans="1:8" ht="14.1" customHeight="1" x14ac:dyDescent="0.2">
      <c r="A101" s="1"/>
      <c r="B101" s="1"/>
      <c r="C101" s="2" t="s">
        <v>171</v>
      </c>
      <c r="D101" s="1"/>
      <c r="E101" s="1"/>
      <c r="F101" s="9">
        <v>3046.743551003</v>
      </c>
      <c r="G101" s="10">
        <v>0.28448483624102061</v>
      </c>
      <c r="H101" s="113"/>
    </row>
    <row r="102" spans="1:8" ht="14.1" customHeight="1" x14ac:dyDescent="0.2">
      <c r="A102" s="1"/>
      <c r="B102" s="1"/>
      <c r="C102" s="12"/>
      <c r="D102" s="1"/>
      <c r="E102" s="1"/>
      <c r="F102" s="1"/>
      <c r="G102" s="1"/>
      <c r="H102" s="113"/>
    </row>
    <row r="103" spans="1:8" ht="14.1" customHeight="1" x14ac:dyDescent="0.2">
      <c r="A103" s="1"/>
      <c r="B103" s="1"/>
      <c r="C103" s="2" t="s">
        <v>172</v>
      </c>
      <c r="D103" s="1"/>
      <c r="E103" s="1"/>
      <c r="F103" s="1"/>
      <c r="G103" s="1"/>
      <c r="H103" s="113"/>
    </row>
    <row r="104" spans="1:8" ht="14.1" customHeight="1" x14ac:dyDescent="0.2">
      <c r="A104" s="1"/>
      <c r="B104" s="1"/>
      <c r="C104" s="2" t="s">
        <v>173</v>
      </c>
      <c r="D104" s="1"/>
      <c r="E104" s="1"/>
      <c r="F104" s="1"/>
      <c r="G104" s="1"/>
      <c r="H104" s="113"/>
    </row>
    <row r="105" spans="1:8" ht="14.1" customHeight="1" x14ac:dyDescent="0.2">
      <c r="A105" s="1"/>
      <c r="B105" s="1"/>
      <c r="C105" s="2" t="s">
        <v>151</v>
      </c>
      <c r="D105" s="1"/>
      <c r="E105" s="1" t="s">
        <v>152</v>
      </c>
      <c r="F105" s="13" t="s">
        <v>154</v>
      </c>
      <c r="G105" s="10">
        <v>0</v>
      </c>
      <c r="H105" s="113"/>
    </row>
    <row r="106" spans="1:8" ht="14.1" customHeight="1" x14ac:dyDescent="0.2">
      <c r="A106" s="1"/>
      <c r="B106" s="1"/>
      <c r="C106" s="11"/>
      <c r="D106" s="1"/>
      <c r="E106" s="1"/>
      <c r="F106" s="12"/>
      <c r="G106" s="12"/>
      <c r="H106" s="113"/>
    </row>
    <row r="107" spans="1:8" ht="14.1" customHeight="1" x14ac:dyDescent="0.2">
      <c r="A107" s="1"/>
      <c r="B107" s="1"/>
      <c r="C107" s="2" t="s">
        <v>174</v>
      </c>
      <c r="D107" s="1"/>
      <c r="E107" s="1"/>
      <c r="F107" s="1"/>
      <c r="G107" s="1"/>
      <c r="H107" s="113"/>
    </row>
    <row r="108" spans="1:8" ht="14.1" customHeight="1" x14ac:dyDescent="0.2">
      <c r="A108" s="1"/>
      <c r="B108" s="1"/>
      <c r="C108" s="2" t="s">
        <v>175</v>
      </c>
      <c r="D108" s="1"/>
      <c r="E108" s="1"/>
      <c r="F108" s="1"/>
      <c r="G108" s="1"/>
      <c r="H108" s="113"/>
    </row>
    <row r="109" spans="1:8" ht="14.1" customHeight="1" x14ac:dyDescent="0.2">
      <c r="A109" s="1"/>
      <c r="B109" s="1"/>
      <c r="C109" s="2" t="s">
        <v>151</v>
      </c>
      <c r="D109" s="1"/>
      <c r="E109" s="1" t="s">
        <v>152</v>
      </c>
      <c r="F109" s="13" t="s">
        <v>154</v>
      </c>
      <c r="G109" s="10">
        <v>0</v>
      </c>
      <c r="H109" s="113"/>
    </row>
    <row r="110" spans="1:8" ht="14.1" customHeight="1" x14ac:dyDescent="0.2">
      <c r="A110" s="1"/>
      <c r="B110" s="1"/>
      <c r="C110" s="11"/>
      <c r="D110" s="1"/>
      <c r="E110" s="1"/>
      <c r="F110" s="12"/>
      <c r="G110" s="12"/>
      <c r="H110" s="113"/>
    </row>
    <row r="111" spans="1:8" ht="24" customHeight="1" x14ac:dyDescent="0.2">
      <c r="A111" s="1"/>
      <c r="B111" s="1"/>
      <c r="C111" s="2" t="s">
        <v>176</v>
      </c>
      <c r="D111" s="1"/>
      <c r="E111" s="1"/>
      <c r="F111" s="12"/>
      <c r="G111" s="12"/>
      <c r="H111" s="113"/>
    </row>
    <row r="112" spans="1:8" ht="14.1" customHeight="1" x14ac:dyDescent="0.2">
      <c r="A112" s="1"/>
      <c r="B112" s="1"/>
      <c r="C112" s="2" t="s">
        <v>151</v>
      </c>
      <c r="D112" s="1"/>
      <c r="E112" s="1" t="s">
        <v>152</v>
      </c>
      <c r="F112" s="13" t="s">
        <v>154</v>
      </c>
      <c r="G112" s="10">
        <v>0</v>
      </c>
      <c r="H112" s="113"/>
    </row>
    <row r="113" spans="1:14" ht="14.1" customHeight="1" x14ac:dyDescent="0.2">
      <c r="A113" s="1"/>
      <c r="B113" s="1"/>
      <c r="C113" s="11"/>
      <c r="D113" s="1"/>
      <c r="E113" s="1"/>
      <c r="F113" s="12"/>
      <c r="G113" s="12"/>
      <c r="H113" s="113"/>
    </row>
    <row r="114" spans="1:14" ht="18" customHeight="1" x14ac:dyDescent="0.2">
      <c r="A114" s="8"/>
      <c r="B114" s="4"/>
      <c r="C114" s="4" t="s">
        <v>687</v>
      </c>
      <c r="D114" s="4"/>
      <c r="E114" s="8"/>
      <c r="F114" s="6">
        <v>6.4371470999999998</v>
      </c>
      <c r="G114" s="7">
        <v>6.0105837854321513E-4</v>
      </c>
      <c r="H114" s="113"/>
    </row>
    <row r="115" spans="1:14" ht="18" customHeight="1" x14ac:dyDescent="0.2">
      <c r="A115" s="8"/>
      <c r="B115" s="4"/>
      <c r="C115" s="40" t="s">
        <v>982</v>
      </c>
      <c r="D115" s="4"/>
      <c r="E115" s="8"/>
      <c r="F115" s="6">
        <v>-55.840352969999998</v>
      </c>
      <c r="G115" s="7">
        <v>-5.2140041996910419E-3</v>
      </c>
      <c r="H115" s="113"/>
    </row>
    <row r="116" spans="1:14" ht="14.1" customHeight="1" x14ac:dyDescent="0.2">
      <c r="A116" s="11"/>
      <c r="B116" s="11"/>
      <c r="C116" s="2" t="s">
        <v>178</v>
      </c>
      <c r="D116" s="12"/>
      <c r="E116" s="12"/>
      <c r="F116" s="9">
        <v>10709.686995133001</v>
      </c>
      <c r="G116" s="14">
        <v>1</v>
      </c>
      <c r="H116" s="113"/>
    </row>
    <row r="117" spans="1:14" ht="14.1" customHeight="1" x14ac:dyDescent="0.2">
      <c r="A117" s="15"/>
      <c r="B117" s="15"/>
      <c r="C117" s="15"/>
      <c r="D117" s="16"/>
      <c r="E117" s="16"/>
      <c r="F117" s="55"/>
      <c r="G117" s="56"/>
      <c r="J117" s="195"/>
      <c r="K117" s="195"/>
      <c r="L117" s="195"/>
      <c r="M117" s="195"/>
      <c r="N117" s="195"/>
    </row>
    <row r="118" spans="1:14" ht="17.100000000000001" customHeight="1" x14ac:dyDescent="0.2">
      <c r="A118" s="45"/>
      <c r="B118" s="217" t="s">
        <v>981</v>
      </c>
      <c r="C118" s="217"/>
      <c r="D118" s="217"/>
      <c r="E118" s="217"/>
      <c r="F118" s="217"/>
      <c r="G118" s="48"/>
      <c r="J118" s="199"/>
      <c r="K118" s="199"/>
      <c r="L118" s="199"/>
      <c r="M118" s="199"/>
      <c r="N118" s="199"/>
    </row>
    <row r="119" spans="1:14" ht="14.1" customHeight="1" x14ac:dyDescent="0.2">
      <c r="A119" s="45"/>
      <c r="B119" s="238" t="s">
        <v>1025</v>
      </c>
      <c r="C119" s="238"/>
      <c r="D119" s="238"/>
      <c r="E119" s="238"/>
      <c r="F119" s="238"/>
      <c r="G119" s="48"/>
    </row>
    <row r="120" spans="1:14" ht="14.1" customHeight="1" x14ac:dyDescent="0.2">
      <c r="A120" s="17"/>
      <c r="B120" s="17"/>
      <c r="C120" s="17"/>
      <c r="D120" s="19"/>
      <c r="E120" s="19"/>
      <c r="F120" s="19"/>
      <c r="G120" s="19"/>
    </row>
    <row r="121" spans="1:14" ht="14.1" customHeight="1" x14ac:dyDescent="0.2">
      <c r="A121" s="17"/>
      <c r="B121" s="208" t="s">
        <v>180</v>
      </c>
      <c r="C121" s="209"/>
      <c r="D121" s="210"/>
      <c r="E121" s="20"/>
      <c r="F121" s="19"/>
      <c r="G121" s="19"/>
    </row>
    <row r="122" spans="1:14" ht="29.1" customHeight="1" x14ac:dyDescent="0.2">
      <c r="A122" s="17"/>
      <c r="B122" s="205" t="s">
        <v>181</v>
      </c>
      <c r="C122" s="206"/>
      <c r="D122" s="95" t="s">
        <v>1012</v>
      </c>
      <c r="E122" s="20"/>
      <c r="F122" s="19"/>
      <c r="G122" s="19"/>
    </row>
    <row r="123" spans="1:14" ht="17.100000000000001" customHeight="1" x14ac:dyDescent="0.2">
      <c r="A123" s="17"/>
      <c r="B123" s="205" t="s">
        <v>183</v>
      </c>
      <c r="C123" s="206"/>
      <c r="D123" s="2" t="s">
        <v>182</v>
      </c>
      <c r="E123" s="20"/>
      <c r="F123" s="19"/>
      <c r="G123" s="19"/>
    </row>
    <row r="124" spans="1:14" ht="17.100000000000001" customHeight="1" x14ac:dyDescent="0.2">
      <c r="A124" s="17"/>
      <c r="B124" s="205" t="s">
        <v>184</v>
      </c>
      <c r="C124" s="206"/>
      <c r="D124" s="12" t="s">
        <v>152</v>
      </c>
      <c r="E124" s="20"/>
      <c r="F124" s="19"/>
      <c r="G124" s="19"/>
    </row>
    <row r="125" spans="1:14" ht="25.5" x14ac:dyDescent="0.2">
      <c r="A125" s="21"/>
      <c r="B125" s="22" t="s">
        <v>152</v>
      </c>
      <c r="C125" s="22" t="s">
        <v>185</v>
      </c>
      <c r="D125" s="22" t="s">
        <v>186</v>
      </c>
      <c r="E125" s="21"/>
      <c r="F125" s="21"/>
      <c r="G125" s="21"/>
    </row>
    <row r="126" spans="1:14" ht="18" customHeight="1" x14ac:dyDescent="0.2">
      <c r="A126" s="21"/>
      <c r="B126" s="23" t="s">
        <v>187</v>
      </c>
      <c r="C126" s="22" t="s">
        <v>188</v>
      </c>
      <c r="D126" s="22" t="s">
        <v>189</v>
      </c>
      <c r="E126" s="21"/>
      <c r="F126" s="21"/>
      <c r="G126" s="21"/>
    </row>
    <row r="127" spans="1:14" ht="17.100000000000001" customHeight="1" x14ac:dyDescent="0.2">
      <c r="A127" s="21"/>
      <c r="B127" s="4" t="s">
        <v>190</v>
      </c>
      <c r="C127" s="24">
        <v>13.5306</v>
      </c>
      <c r="D127" s="24">
        <v>13.613200000000001</v>
      </c>
      <c r="E127" s="21"/>
      <c r="F127" s="18"/>
      <c r="G127" s="25"/>
    </row>
    <row r="128" spans="1:14" ht="25.5" x14ac:dyDescent="0.2">
      <c r="A128" s="21"/>
      <c r="B128" s="4" t="s">
        <v>1038</v>
      </c>
      <c r="C128" s="24">
        <v>11.7004</v>
      </c>
      <c r="D128" s="24">
        <v>11.7719</v>
      </c>
      <c r="E128" s="21"/>
      <c r="F128" s="18"/>
      <c r="G128" s="25"/>
    </row>
    <row r="129" spans="1:15" ht="17.100000000000001" customHeight="1" x14ac:dyDescent="0.2">
      <c r="A129" s="21"/>
      <c r="B129" s="4" t="s">
        <v>191</v>
      </c>
      <c r="C129" s="24">
        <v>12.975199999999999</v>
      </c>
      <c r="D129" s="24">
        <v>13.0479</v>
      </c>
      <c r="E129" s="21"/>
      <c r="F129" s="18"/>
      <c r="G129" s="25"/>
    </row>
    <row r="130" spans="1:15" ht="25.5" x14ac:dyDescent="0.2">
      <c r="A130" s="21"/>
      <c r="B130" s="4" t="s">
        <v>1040</v>
      </c>
      <c r="C130" s="24">
        <v>11.4079</v>
      </c>
      <c r="D130" s="24">
        <v>11.4718</v>
      </c>
      <c r="E130" s="21"/>
      <c r="F130" s="18"/>
      <c r="G130" s="25"/>
    </row>
    <row r="131" spans="1:15" ht="14.1" customHeight="1" x14ac:dyDescent="0.2">
      <c r="A131" s="21"/>
      <c r="B131" s="21"/>
      <c r="C131" s="21"/>
      <c r="D131" s="21"/>
      <c r="E131" s="21"/>
      <c r="F131" s="21"/>
      <c r="G131" s="21"/>
    </row>
    <row r="132" spans="1:15" ht="17.100000000000001" customHeight="1" x14ac:dyDescent="0.2">
      <c r="A132" s="21"/>
      <c r="B132" s="205" t="s">
        <v>1035</v>
      </c>
      <c r="C132" s="206"/>
      <c r="D132" s="2" t="s">
        <v>182</v>
      </c>
      <c r="E132" s="21"/>
      <c r="F132" s="21"/>
      <c r="G132" s="21"/>
    </row>
    <row r="133" spans="1:15" ht="18" customHeight="1" x14ac:dyDescent="0.2">
      <c r="A133" s="21"/>
      <c r="B133" s="26"/>
      <c r="C133" s="26"/>
      <c r="D133" s="26"/>
      <c r="E133" s="21"/>
      <c r="F133" s="21"/>
      <c r="G133" s="21"/>
    </row>
    <row r="134" spans="1:15" ht="29.1" customHeight="1" x14ac:dyDescent="0.2">
      <c r="A134" s="21"/>
      <c r="B134" s="205" t="s">
        <v>192</v>
      </c>
      <c r="C134" s="206"/>
      <c r="D134" s="46" t="s">
        <v>983</v>
      </c>
      <c r="E134" s="27"/>
      <c r="F134" s="21"/>
      <c r="G134" s="21"/>
    </row>
    <row r="135" spans="1:15" ht="29.1" customHeight="1" x14ac:dyDescent="0.2">
      <c r="A135" s="21"/>
      <c r="B135" s="205" t="s">
        <v>193</v>
      </c>
      <c r="C135" s="206"/>
      <c r="D135" s="2" t="s">
        <v>182</v>
      </c>
      <c r="E135" s="27"/>
      <c r="F135" s="21"/>
      <c r="G135" s="21"/>
    </row>
    <row r="136" spans="1:15" ht="17.100000000000001" customHeight="1" x14ac:dyDescent="0.2">
      <c r="A136" s="21"/>
      <c r="B136" s="205" t="s">
        <v>194</v>
      </c>
      <c r="C136" s="206"/>
      <c r="D136" s="2" t="s">
        <v>182</v>
      </c>
      <c r="E136" s="27"/>
      <c r="F136" s="21"/>
      <c r="G136" s="21"/>
    </row>
    <row r="137" spans="1:15" ht="17.100000000000001" customHeight="1" x14ac:dyDescent="0.2">
      <c r="A137" s="21"/>
      <c r="B137" s="205" t="s">
        <v>195</v>
      </c>
      <c r="C137" s="206"/>
      <c r="D137" s="28">
        <v>10.202134282161895</v>
      </c>
      <c r="E137" s="21"/>
      <c r="F137" s="18"/>
      <c r="G137" s="25"/>
    </row>
    <row r="139" spans="1:15" x14ac:dyDescent="0.2">
      <c r="B139" s="91" t="s">
        <v>1018</v>
      </c>
      <c r="C139" s="91"/>
      <c r="D139" s="91"/>
      <c r="E139" s="92"/>
      <c r="F139" s="93"/>
    </row>
    <row r="140" spans="1:15" ht="38.25" x14ac:dyDescent="0.2">
      <c r="B140" s="67" t="s">
        <v>985</v>
      </c>
      <c r="C140" s="67" t="s">
        <v>986</v>
      </c>
      <c r="D140" s="67" t="s">
        <v>987</v>
      </c>
      <c r="E140" s="67" t="s">
        <v>988</v>
      </c>
      <c r="F140" s="67" t="s">
        <v>989</v>
      </c>
    </row>
    <row r="141" spans="1:15" s="66" customFormat="1" ht="25.5" x14ac:dyDescent="0.2">
      <c r="B141" s="68" t="s">
        <v>990</v>
      </c>
      <c r="C141" s="69" t="s">
        <v>991</v>
      </c>
      <c r="D141" s="70">
        <v>0</v>
      </c>
      <c r="E141" s="71">
        <v>0</v>
      </c>
      <c r="F141" s="72">
        <v>50</v>
      </c>
      <c r="I141"/>
      <c r="O141"/>
    </row>
    <row r="143" spans="1:15" x14ac:dyDescent="0.2">
      <c r="B143" s="231" t="s">
        <v>1004</v>
      </c>
      <c r="C143" s="232"/>
      <c r="D143" s="233"/>
    </row>
    <row r="144" spans="1:15" ht="25.5" x14ac:dyDescent="0.2">
      <c r="B144" s="234" t="s">
        <v>1005</v>
      </c>
      <c r="C144" s="234"/>
      <c r="D144" s="81" t="s">
        <v>667</v>
      </c>
    </row>
    <row r="145" spans="2:15" x14ac:dyDescent="0.2">
      <c r="B145" s="234" t="s">
        <v>1006</v>
      </c>
      <c r="C145" s="234"/>
      <c r="D145" s="94"/>
      <c r="I145" s="66"/>
      <c r="O145" s="66"/>
    </row>
    <row r="146" spans="2:15" x14ac:dyDescent="0.2">
      <c r="B146" s="235"/>
      <c r="C146" s="236"/>
      <c r="D146" s="82"/>
    </row>
    <row r="147" spans="2:15" x14ac:dyDescent="0.2">
      <c r="B147" s="234" t="s">
        <v>1007</v>
      </c>
      <c r="C147" s="234"/>
      <c r="D147" s="83">
        <v>6.9783051287030835</v>
      </c>
    </row>
    <row r="148" spans="2:15" x14ac:dyDescent="0.2">
      <c r="B148" s="235"/>
      <c r="C148" s="236"/>
      <c r="D148" s="82"/>
    </row>
    <row r="149" spans="2:15" x14ac:dyDescent="0.2">
      <c r="B149" s="234" t="s">
        <v>1008</v>
      </c>
      <c r="C149" s="234"/>
      <c r="D149" s="83">
        <v>0.42975220084892457</v>
      </c>
    </row>
    <row r="150" spans="2:15" x14ac:dyDescent="0.2">
      <c r="B150" s="234" t="s">
        <v>1009</v>
      </c>
      <c r="C150" s="234"/>
      <c r="D150" s="83">
        <v>0.42975220084892457</v>
      </c>
    </row>
    <row r="151" spans="2:15" x14ac:dyDescent="0.2">
      <c r="B151" s="235"/>
      <c r="C151" s="236"/>
      <c r="D151" s="82"/>
    </row>
    <row r="152" spans="2:15" x14ac:dyDescent="0.2">
      <c r="B152" s="234" t="s">
        <v>1010</v>
      </c>
      <c r="C152" s="234"/>
      <c r="D152" s="85">
        <v>45291</v>
      </c>
    </row>
    <row r="153" spans="2:15" ht="12.75" customHeight="1" x14ac:dyDescent="0.2">
      <c r="B153" s="235" t="s">
        <v>1011</v>
      </c>
      <c r="C153" s="237"/>
      <c r="D153" s="236"/>
    </row>
  </sheetData>
  <mergeCells count="26">
    <mergeCell ref="B153:D153"/>
    <mergeCell ref="B148:C148"/>
    <mergeCell ref="B149:C149"/>
    <mergeCell ref="B150:C150"/>
    <mergeCell ref="B151:C151"/>
    <mergeCell ref="B152:C152"/>
    <mergeCell ref="B143:D143"/>
    <mergeCell ref="B144:C144"/>
    <mergeCell ref="B145:C145"/>
    <mergeCell ref="B146:C146"/>
    <mergeCell ref="B147:C147"/>
    <mergeCell ref="A1:H1"/>
    <mergeCell ref="A2:H2"/>
    <mergeCell ref="A3:H3"/>
    <mergeCell ref="B137:C137"/>
    <mergeCell ref="B123:C123"/>
    <mergeCell ref="B124:C124"/>
    <mergeCell ref="B132:C132"/>
    <mergeCell ref="B134:C134"/>
    <mergeCell ref="B135:C135"/>
    <mergeCell ref="B136:C136"/>
    <mergeCell ref="J2:N2"/>
    <mergeCell ref="B122:C122"/>
    <mergeCell ref="B119:F119"/>
    <mergeCell ref="B121:D121"/>
    <mergeCell ref="B118:F118"/>
  </mergeCells>
  <hyperlinks>
    <hyperlink ref="I1" location="Index!B16" display="Index" xr:uid="{EF64853C-EBE0-43F1-832A-4D511E3097CA}"/>
  </hyperlinks>
  <pageMargins left="5.000000074505806E-2" right="5.000000074505806E-2" top="0.30000001192092896" bottom="0.20000000298023224" header="0" footer="0"/>
  <pageSetup paperSize="9"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21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c r="J1" s="195"/>
      <c r="K1" s="195"/>
      <c r="L1" s="195"/>
      <c r="M1" s="195"/>
      <c r="N1" s="195"/>
    </row>
    <row r="2" spans="1:15" ht="17.100000000000001" customHeight="1" x14ac:dyDescent="0.2">
      <c r="A2" s="212" t="s">
        <v>688</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c r="J3" s="195"/>
      <c r="K3" s="195"/>
      <c r="L3" s="195"/>
      <c r="M3" s="195"/>
      <c r="N3" s="195"/>
    </row>
    <row r="4" spans="1:15" s="115" customFormat="1" ht="30" x14ac:dyDescent="0.2">
      <c r="A4" s="114" t="s">
        <v>2</v>
      </c>
      <c r="B4" s="114" t="s">
        <v>3</v>
      </c>
      <c r="C4" s="114" t="s">
        <v>4</v>
      </c>
      <c r="D4" s="114" t="s">
        <v>5</v>
      </c>
      <c r="E4" s="114" t="s">
        <v>6</v>
      </c>
      <c r="F4" s="114" t="s">
        <v>7</v>
      </c>
      <c r="G4" s="114" t="s">
        <v>8</v>
      </c>
      <c r="H4" s="112" t="s">
        <v>1048</v>
      </c>
      <c r="J4" s="196"/>
      <c r="K4" s="196"/>
      <c r="L4" s="196"/>
      <c r="M4" s="196"/>
      <c r="N4" s="196"/>
      <c r="O4"/>
    </row>
    <row r="5" spans="1:15" ht="14.1" customHeight="1" x14ac:dyDescent="0.2">
      <c r="A5" s="1"/>
      <c r="B5" s="1"/>
      <c r="C5" s="2" t="s">
        <v>9</v>
      </c>
      <c r="D5" s="1"/>
      <c r="E5" s="1"/>
      <c r="F5" s="1"/>
      <c r="G5" s="1"/>
      <c r="H5" s="113"/>
      <c r="J5" s="195"/>
      <c r="K5" s="195"/>
      <c r="L5" s="195"/>
      <c r="M5" s="195"/>
      <c r="N5" s="195"/>
    </row>
    <row r="6" spans="1:15" ht="24" customHeight="1" x14ac:dyDescent="0.2">
      <c r="A6" s="1"/>
      <c r="B6" s="1"/>
      <c r="C6" s="2" t="s">
        <v>10</v>
      </c>
      <c r="D6" s="1"/>
      <c r="E6" s="1"/>
      <c r="F6" s="1"/>
      <c r="G6" s="1"/>
      <c r="H6" s="113"/>
      <c r="J6" s="195"/>
      <c r="K6" s="195"/>
      <c r="L6" s="195"/>
      <c r="M6" s="195"/>
      <c r="N6" s="195"/>
    </row>
    <row r="7" spans="1:15" ht="17.100000000000001" customHeight="1" x14ac:dyDescent="0.2">
      <c r="A7" s="3">
        <v>1</v>
      </c>
      <c r="B7" s="4" t="s">
        <v>321</v>
      </c>
      <c r="C7" s="4" t="s">
        <v>322</v>
      </c>
      <c r="D7" s="4" t="s">
        <v>28</v>
      </c>
      <c r="E7" s="5">
        <v>721600</v>
      </c>
      <c r="F7" s="6">
        <v>12333.948</v>
      </c>
      <c r="G7" s="7">
        <v>7.8645692660502101E-2</v>
      </c>
      <c r="H7" s="113"/>
      <c r="J7" s="195"/>
      <c r="K7" s="195"/>
      <c r="L7" s="195"/>
      <c r="M7" s="195"/>
      <c r="N7" s="195"/>
    </row>
    <row r="8" spans="1:15" ht="17.100000000000001" customHeight="1" x14ac:dyDescent="0.2">
      <c r="A8" s="3">
        <v>2</v>
      </c>
      <c r="B8" s="4" t="s">
        <v>26</v>
      </c>
      <c r="C8" s="4" t="s">
        <v>27</v>
      </c>
      <c r="D8" s="4" t="s">
        <v>28</v>
      </c>
      <c r="E8" s="5">
        <v>988000</v>
      </c>
      <c r="F8" s="6">
        <v>9846.4079999999994</v>
      </c>
      <c r="G8" s="7">
        <v>6.2784242107872451E-2</v>
      </c>
      <c r="H8" s="113"/>
      <c r="J8" s="195"/>
      <c r="K8" s="195"/>
      <c r="L8" s="195"/>
      <c r="M8" s="195"/>
      <c r="N8" s="195"/>
    </row>
    <row r="9" spans="1:15" ht="17.100000000000001" customHeight="1" x14ac:dyDescent="0.2">
      <c r="A9" s="3">
        <v>3</v>
      </c>
      <c r="B9" s="4" t="s">
        <v>17</v>
      </c>
      <c r="C9" s="4" t="s">
        <v>18</v>
      </c>
      <c r="D9" s="4" t="s">
        <v>19</v>
      </c>
      <c r="E9" s="5">
        <v>301500</v>
      </c>
      <c r="F9" s="6">
        <v>7793.6242499999998</v>
      </c>
      <c r="G9" s="7">
        <v>4.9694953917183385E-2</v>
      </c>
      <c r="H9" s="113"/>
      <c r="J9" s="195"/>
      <c r="K9" s="195"/>
      <c r="L9" s="195"/>
      <c r="M9" s="195"/>
      <c r="N9" s="195"/>
    </row>
    <row r="10" spans="1:15" ht="17.100000000000001" customHeight="1" x14ac:dyDescent="0.2">
      <c r="A10" s="3">
        <v>4</v>
      </c>
      <c r="B10" s="4" t="s">
        <v>323</v>
      </c>
      <c r="C10" s="4" t="s">
        <v>324</v>
      </c>
      <c r="D10" s="4" t="s">
        <v>891</v>
      </c>
      <c r="E10" s="5">
        <v>443200</v>
      </c>
      <c r="F10" s="6">
        <v>6838.1328000000003</v>
      </c>
      <c r="G10" s="7">
        <v>4.3602396455741398E-2</v>
      </c>
      <c r="H10" s="113"/>
      <c r="J10" s="195"/>
      <c r="K10" s="195"/>
      <c r="L10" s="195"/>
      <c r="M10" s="195"/>
      <c r="N10" s="195"/>
    </row>
    <row r="11" spans="1:15" ht="17.100000000000001" customHeight="1" x14ac:dyDescent="0.2">
      <c r="A11" s="3">
        <v>5</v>
      </c>
      <c r="B11" s="4" t="s">
        <v>11</v>
      </c>
      <c r="C11" s="4" t="s">
        <v>12</v>
      </c>
      <c r="D11" s="4" t="s">
        <v>13</v>
      </c>
      <c r="E11" s="5">
        <v>103000</v>
      </c>
      <c r="F11" s="6">
        <v>3631.78</v>
      </c>
      <c r="G11" s="7">
        <v>2.3157536718215316E-2</v>
      </c>
      <c r="H11" s="113"/>
      <c r="J11" s="90"/>
      <c r="K11" s="90"/>
      <c r="L11" s="90"/>
      <c r="M11" s="90"/>
      <c r="N11" s="90"/>
    </row>
    <row r="12" spans="1:15" ht="17.100000000000001" customHeight="1" x14ac:dyDescent="0.2">
      <c r="A12" s="3">
        <v>6</v>
      </c>
      <c r="B12" s="4" t="s">
        <v>375</v>
      </c>
      <c r="C12" s="4" t="s">
        <v>376</v>
      </c>
      <c r="D12" s="4" t="s">
        <v>248</v>
      </c>
      <c r="E12" s="5">
        <v>32300</v>
      </c>
      <c r="F12" s="6">
        <v>3327.6590500000002</v>
      </c>
      <c r="G12" s="7">
        <v>2.1218352057689755E-2</v>
      </c>
      <c r="H12" s="113"/>
      <c r="N12" s="195"/>
    </row>
    <row r="13" spans="1:15" ht="17.100000000000001" customHeight="1" x14ac:dyDescent="0.2">
      <c r="A13" s="3">
        <v>7</v>
      </c>
      <c r="B13" s="40" t="s">
        <v>894</v>
      </c>
      <c r="C13" s="40" t="s">
        <v>895</v>
      </c>
      <c r="D13" s="40" t="s">
        <v>73</v>
      </c>
      <c r="E13" s="42">
        <v>1008699</v>
      </c>
      <c r="F13" s="43">
        <v>3274.7413000000001</v>
      </c>
      <c r="G13" s="7">
        <v>2.0880929433337414E-2</v>
      </c>
      <c r="H13" s="113"/>
      <c r="K13" s="195"/>
      <c r="L13" s="195"/>
      <c r="M13" s="195"/>
      <c r="N13" s="195"/>
    </row>
    <row r="14" spans="1:15" ht="17.100000000000001" customHeight="1" x14ac:dyDescent="0.2">
      <c r="A14" s="3">
        <v>8</v>
      </c>
      <c r="B14" s="4" t="s">
        <v>201</v>
      </c>
      <c r="C14" s="4" t="s">
        <v>202</v>
      </c>
      <c r="D14" s="4" t="s">
        <v>56</v>
      </c>
      <c r="E14" s="5">
        <v>900000</v>
      </c>
      <c r="F14" s="6">
        <v>3186.9</v>
      </c>
      <c r="G14" s="7">
        <v>2.0320821681731927E-2</v>
      </c>
      <c r="H14" s="113"/>
      <c r="J14" s="194" t="s">
        <v>1161</v>
      </c>
      <c r="K14" s="195"/>
      <c r="L14" s="195"/>
      <c r="M14" s="195"/>
      <c r="N14" s="195"/>
    </row>
    <row r="15" spans="1:15" ht="17.100000000000001" customHeight="1" x14ac:dyDescent="0.2">
      <c r="A15" s="3">
        <v>9</v>
      </c>
      <c r="B15" s="4" t="s">
        <v>20</v>
      </c>
      <c r="C15" s="4" t="s">
        <v>21</v>
      </c>
      <c r="D15" s="4" t="s">
        <v>22</v>
      </c>
      <c r="E15" s="5">
        <v>275000</v>
      </c>
      <c r="F15" s="6">
        <v>2838.55</v>
      </c>
      <c r="G15" s="7">
        <v>1.8099616675979844E-2</v>
      </c>
      <c r="H15" s="113"/>
      <c r="J15" s="195"/>
      <c r="K15" s="195"/>
      <c r="L15" s="195"/>
      <c r="M15" s="195"/>
      <c r="N15" s="195"/>
    </row>
    <row r="16" spans="1:15" ht="17.100000000000001" customHeight="1" x14ac:dyDescent="0.2">
      <c r="A16" s="3">
        <v>10</v>
      </c>
      <c r="B16" s="4" t="s">
        <v>484</v>
      </c>
      <c r="C16" s="4" t="s">
        <v>485</v>
      </c>
      <c r="D16" s="4" t="s">
        <v>28</v>
      </c>
      <c r="E16" s="5">
        <v>146100</v>
      </c>
      <c r="F16" s="6">
        <v>2787.7341000000001</v>
      </c>
      <c r="G16" s="7">
        <v>1.7775596203892009E-2</v>
      </c>
      <c r="H16" s="113"/>
      <c r="J16" s="195"/>
      <c r="K16" s="195"/>
      <c r="L16" s="195"/>
      <c r="M16" s="195"/>
      <c r="N16" s="90"/>
    </row>
    <row r="17" spans="1:14" ht="17.100000000000001" customHeight="1" x14ac:dyDescent="0.2">
      <c r="A17" s="3">
        <v>11</v>
      </c>
      <c r="B17" s="4" t="s">
        <v>325</v>
      </c>
      <c r="C17" s="4" t="s">
        <v>326</v>
      </c>
      <c r="D17" s="4" t="s">
        <v>28</v>
      </c>
      <c r="E17" s="5">
        <v>247125</v>
      </c>
      <c r="F17" s="6">
        <v>2724.0588750000002</v>
      </c>
      <c r="G17" s="7">
        <v>1.7369580046256328E-2</v>
      </c>
      <c r="H17" s="113"/>
      <c r="J17" s="90"/>
      <c r="K17" s="90"/>
      <c r="L17" s="90"/>
      <c r="M17" s="90"/>
      <c r="N17" s="195"/>
    </row>
    <row r="18" spans="1:14" ht="17.100000000000001" customHeight="1" x14ac:dyDescent="0.2">
      <c r="A18" s="3">
        <v>12</v>
      </c>
      <c r="B18" s="4" t="s">
        <v>351</v>
      </c>
      <c r="C18" s="4" t="s">
        <v>352</v>
      </c>
      <c r="D18" s="4" t="s">
        <v>248</v>
      </c>
      <c r="E18" s="5">
        <v>318900</v>
      </c>
      <c r="F18" s="6">
        <v>2487.26055</v>
      </c>
      <c r="G18" s="7">
        <v>1.5859668678827852E-2</v>
      </c>
      <c r="H18" s="113"/>
      <c r="J18" s="195"/>
      <c r="K18" s="195"/>
      <c r="L18" s="195"/>
      <c r="M18" s="195"/>
      <c r="N18" s="195"/>
    </row>
    <row r="19" spans="1:14" ht="17.100000000000001" customHeight="1" x14ac:dyDescent="0.2">
      <c r="A19" s="3">
        <v>13</v>
      </c>
      <c r="B19" s="4" t="s">
        <v>62</v>
      </c>
      <c r="C19" s="4" t="s">
        <v>63</v>
      </c>
      <c r="D19" s="4" t="s">
        <v>28</v>
      </c>
      <c r="E19" s="5">
        <v>355000</v>
      </c>
      <c r="F19" s="6">
        <v>2279.2775000000001</v>
      </c>
      <c r="G19" s="7">
        <v>1.4533493878277872E-2</v>
      </c>
      <c r="H19" s="113"/>
      <c r="J19" s="195"/>
      <c r="K19" s="195"/>
      <c r="L19" s="195"/>
      <c r="M19" s="195"/>
      <c r="N19" s="195"/>
    </row>
    <row r="20" spans="1:14" ht="17.100000000000001" customHeight="1" x14ac:dyDescent="0.2">
      <c r="A20" s="3">
        <v>14</v>
      </c>
      <c r="B20" s="4" t="s">
        <v>14</v>
      </c>
      <c r="C20" s="4" t="s">
        <v>15</v>
      </c>
      <c r="D20" s="4" t="s">
        <v>16</v>
      </c>
      <c r="E20" s="5">
        <v>700000</v>
      </c>
      <c r="F20" s="6">
        <v>2178.0500000000002</v>
      </c>
      <c r="G20" s="7">
        <v>1.3888030896449913E-2</v>
      </c>
      <c r="H20" s="113"/>
      <c r="J20" s="195"/>
      <c r="K20" s="195"/>
      <c r="L20" s="195"/>
      <c r="M20" s="195"/>
      <c r="N20" s="195"/>
    </row>
    <row r="21" spans="1:14" ht="17.100000000000001" customHeight="1" x14ac:dyDescent="0.2">
      <c r="A21" s="3">
        <v>15</v>
      </c>
      <c r="B21" s="4" t="s">
        <v>477</v>
      </c>
      <c r="C21" s="4" t="s">
        <v>478</v>
      </c>
      <c r="D21" s="4" t="s">
        <v>28</v>
      </c>
      <c r="E21" s="5">
        <v>930150</v>
      </c>
      <c r="F21" s="6">
        <v>2149.57665</v>
      </c>
      <c r="G21" s="7">
        <v>1.3706474566464176E-2</v>
      </c>
      <c r="H21" s="113"/>
      <c r="J21" s="195"/>
      <c r="K21" s="195"/>
      <c r="L21" s="195"/>
      <c r="M21" s="195"/>
      <c r="N21" s="195"/>
    </row>
    <row r="22" spans="1:14" ht="17.100000000000001" customHeight="1" x14ac:dyDescent="0.2">
      <c r="A22" s="3">
        <v>16</v>
      </c>
      <c r="B22" s="4" t="s">
        <v>563</v>
      </c>
      <c r="C22" s="4" t="s">
        <v>564</v>
      </c>
      <c r="D22" s="4" t="s">
        <v>248</v>
      </c>
      <c r="E22" s="5">
        <v>116600</v>
      </c>
      <c r="F22" s="6">
        <v>2016.4803999999999</v>
      </c>
      <c r="G22" s="7">
        <v>1.2857804961908898E-2</v>
      </c>
      <c r="H22" s="113"/>
      <c r="J22" s="195"/>
      <c r="K22" s="195"/>
      <c r="L22" s="195"/>
      <c r="M22" s="195"/>
    </row>
    <row r="23" spans="1:14" ht="17.100000000000001" customHeight="1" x14ac:dyDescent="0.2">
      <c r="A23" s="3">
        <v>17</v>
      </c>
      <c r="B23" s="4" t="s">
        <v>331</v>
      </c>
      <c r="C23" s="4" t="s">
        <v>332</v>
      </c>
      <c r="D23" s="4" t="s">
        <v>891</v>
      </c>
      <c r="E23" s="5">
        <v>53102</v>
      </c>
      <c r="F23" s="6">
        <v>2014.3712680000001</v>
      </c>
      <c r="G23" s="7">
        <v>1.2844356376990881E-2</v>
      </c>
      <c r="H23" s="113"/>
    </row>
    <row r="24" spans="1:14" ht="17.100000000000001" customHeight="1" x14ac:dyDescent="0.2">
      <c r="A24" s="3">
        <v>18</v>
      </c>
      <c r="B24" s="4" t="s">
        <v>199</v>
      </c>
      <c r="C24" s="4" t="s">
        <v>200</v>
      </c>
      <c r="D24" s="4" t="s">
        <v>107</v>
      </c>
      <c r="E24" s="5">
        <v>55000</v>
      </c>
      <c r="F24" s="6">
        <v>1947.9075</v>
      </c>
      <c r="G24" s="7">
        <v>1.2420559465313702E-2</v>
      </c>
      <c r="H24" s="113"/>
      <c r="J24" s="195"/>
      <c r="K24" s="195"/>
      <c r="L24" s="195"/>
      <c r="M24" s="195"/>
      <c r="N24" s="195"/>
    </row>
    <row r="25" spans="1:14" ht="17.100000000000001" customHeight="1" x14ac:dyDescent="0.2">
      <c r="A25" s="3">
        <v>19</v>
      </c>
      <c r="B25" s="4" t="s">
        <v>348</v>
      </c>
      <c r="C25" s="4" t="s">
        <v>349</v>
      </c>
      <c r="D25" s="4" t="s">
        <v>350</v>
      </c>
      <c r="E25" s="5">
        <v>408200</v>
      </c>
      <c r="F25" s="6">
        <v>1886.2922000000001</v>
      </c>
      <c r="G25" s="7">
        <v>1.2027678131049553E-2</v>
      </c>
      <c r="H25" s="113"/>
      <c r="J25" s="195"/>
      <c r="K25" s="195"/>
      <c r="L25" s="195"/>
      <c r="M25" s="195"/>
      <c r="N25" s="195"/>
    </row>
    <row r="26" spans="1:14" ht="17.100000000000001" customHeight="1" x14ac:dyDescent="0.2">
      <c r="A26" s="3">
        <v>20</v>
      </c>
      <c r="B26" s="4" t="s">
        <v>386</v>
      </c>
      <c r="C26" s="4" t="s">
        <v>387</v>
      </c>
      <c r="D26" s="4" t="s">
        <v>53</v>
      </c>
      <c r="E26" s="5">
        <v>108500</v>
      </c>
      <c r="F26" s="6">
        <v>1829.0930000000001</v>
      </c>
      <c r="G26" s="7">
        <v>1.1662955440178261E-2</v>
      </c>
      <c r="H26" s="113"/>
      <c r="J26" s="195"/>
      <c r="K26" s="195"/>
      <c r="L26" s="195"/>
      <c r="M26" s="195"/>
      <c r="N26" s="195"/>
    </row>
    <row r="27" spans="1:14" ht="17.100000000000001" customHeight="1" x14ac:dyDescent="0.2">
      <c r="A27" s="3">
        <v>21</v>
      </c>
      <c r="B27" s="4" t="s">
        <v>559</v>
      </c>
      <c r="C27" s="4" t="s">
        <v>560</v>
      </c>
      <c r="D27" s="4" t="s">
        <v>295</v>
      </c>
      <c r="E27" s="5">
        <v>162000</v>
      </c>
      <c r="F27" s="6">
        <v>1810.7550000000001</v>
      </c>
      <c r="G27" s="7">
        <v>1.1546025750511313E-2</v>
      </c>
      <c r="H27" s="113"/>
      <c r="J27" s="195"/>
      <c r="K27" s="195"/>
      <c r="L27" s="195"/>
      <c r="M27" s="195"/>
      <c r="N27" s="195"/>
    </row>
    <row r="28" spans="1:14" ht="17.100000000000001" customHeight="1" x14ac:dyDescent="0.2">
      <c r="A28" s="3">
        <v>22</v>
      </c>
      <c r="B28" s="4" t="s">
        <v>203</v>
      </c>
      <c r="C28" s="4" t="s">
        <v>204</v>
      </c>
      <c r="D28" s="4" t="s">
        <v>53</v>
      </c>
      <c r="E28" s="5">
        <v>87000</v>
      </c>
      <c r="F28" s="6">
        <v>1786.3710000000001</v>
      </c>
      <c r="G28" s="7">
        <v>1.1390544588288665E-2</v>
      </c>
      <c r="H28" s="113"/>
      <c r="J28" s="195"/>
      <c r="K28" s="195"/>
      <c r="L28" s="195"/>
      <c r="M28" s="195"/>
      <c r="N28" s="195"/>
    </row>
    <row r="29" spans="1:14" ht="17.100000000000001" customHeight="1" x14ac:dyDescent="0.2">
      <c r="A29" s="3">
        <v>23</v>
      </c>
      <c r="B29" s="4" t="s">
        <v>479</v>
      </c>
      <c r="C29" s="4" t="s">
        <v>480</v>
      </c>
      <c r="D29" s="4" t="s">
        <v>891</v>
      </c>
      <c r="E29" s="5">
        <v>116000</v>
      </c>
      <c r="F29" s="6">
        <v>1700.6759999999999</v>
      </c>
      <c r="G29" s="7">
        <v>1.0844122418149653E-2</v>
      </c>
      <c r="H29" s="113"/>
      <c r="J29" s="195"/>
      <c r="K29" s="195"/>
      <c r="L29" s="195"/>
      <c r="M29" s="195"/>
      <c r="N29" s="195"/>
    </row>
    <row r="30" spans="1:14" ht="29.1" customHeight="1" x14ac:dyDescent="0.2">
      <c r="A30" s="3">
        <v>24</v>
      </c>
      <c r="B30" s="4" t="s">
        <v>486</v>
      </c>
      <c r="C30" s="4" t="s">
        <v>487</v>
      </c>
      <c r="D30" s="4" t="s">
        <v>225</v>
      </c>
      <c r="E30" s="5">
        <v>133200</v>
      </c>
      <c r="F30" s="6">
        <v>1660.0716</v>
      </c>
      <c r="G30" s="7">
        <v>1.058521414619455E-2</v>
      </c>
      <c r="H30" s="113"/>
      <c r="J30" s="195"/>
      <c r="K30" s="195"/>
      <c r="L30" s="195"/>
      <c r="M30" s="195"/>
      <c r="N30" s="195"/>
    </row>
    <row r="31" spans="1:14" ht="17.100000000000001" customHeight="1" x14ac:dyDescent="0.2">
      <c r="A31" s="3">
        <v>25</v>
      </c>
      <c r="B31" s="4" t="s">
        <v>335</v>
      </c>
      <c r="C31" s="4" t="s">
        <v>336</v>
      </c>
      <c r="D31" s="4" t="s">
        <v>28</v>
      </c>
      <c r="E31" s="5">
        <v>102500</v>
      </c>
      <c r="F31" s="6">
        <v>1638.9237499999999</v>
      </c>
      <c r="G31" s="7">
        <v>1.04503678413836E-2</v>
      </c>
      <c r="H31" s="113"/>
      <c r="J31" s="195"/>
      <c r="K31" s="195"/>
      <c r="L31" s="195"/>
      <c r="M31" s="195"/>
      <c r="N31" s="195"/>
    </row>
    <row r="32" spans="1:14" ht="29.1" customHeight="1" x14ac:dyDescent="0.2">
      <c r="A32" s="3">
        <v>26</v>
      </c>
      <c r="B32" s="4" t="s">
        <v>329</v>
      </c>
      <c r="C32" s="4" t="s">
        <v>330</v>
      </c>
      <c r="D32" s="4" t="s">
        <v>225</v>
      </c>
      <c r="E32" s="5">
        <v>130000</v>
      </c>
      <c r="F32" s="6">
        <v>1637.2850000000001</v>
      </c>
      <c r="G32" s="7">
        <v>1.0439918581434768E-2</v>
      </c>
      <c r="H32" s="113"/>
      <c r="J32" s="195"/>
      <c r="K32" s="195"/>
      <c r="L32" s="195"/>
      <c r="M32" s="195"/>
      <c r="N32" s="195"/>
    </row>
    <row r="33" spans="1:14" ht="29.1" customHeight="1" x14ac:dyDescent="0.2">
      <c r="A33" s="3">
        <v>27</v>
      </c>
      <c r="B33" s="4" t="s">
        <v>213</v>
      </c>
      <c r="C33" s="4" t="s">
        <v>214</v>
      </c>
      <c r="D33" s="4" t="s">
        <v>215</v>
      </c>
      <c r="E33" s="5">
        <v>117500</v>
      </c>
      <c r="F33" s="6">
        <v>1470.68875</v>
      </c>
      <c r="G33" s="7">
        <v>9.3776409169033324E-3</v>
      </c>
      <c r="H33" s="113"/>
      <c r="J33" s="195"/>
      <c r="K33" s="195"/>
      <c r="L33" s="195"/>
      <c r="M33" s="195"/>
      <c r="N33" s="195"/>
    </row>
    <row r="34" spans="1:14" ht="29.1" customHeight="1" x14ac:dyDescent="0.2">
      <c r="A34" s="3">
        <v>28</v>
      </c>
      <c r="B34" s="4" t="s">
        <v>226</v>
      </c>
      <c r="C34" s="4" t="s">
        <v>227</v>
      </c>
      <c r="D34" s="4" t="s">
        <v>225</v>
      </c>
      <c r="E34" s="5">
        <v>200000</v>
      </c>
      <c r="F34" s="6">
        <v>1378.4</v>
      </c>
      <c r="G34" s="7">
        <v>8.7891746230190134E-3</v>
      </c>
      <c r="H34" s="113"/>
      <c r="J34" s="195"/>
      <c r="K34" s="195"/>
      <c r="L34" s="195"/>
      <c r="M34" s="195"/>
      <c r="N34" s="195"/>
    </row>
    <row r="35" spans="1:14" ht="17.100000000000001" customHeight="1" x14ac:dyDescent="0.2">
      <c r="A35" s="3">
        <v>29</v>
      </c>
      <c r="B35" s="4" t="s">
        <v>327</v>
      </c>
      <c r="C35" s="4" t="s">
        <v>328</v>
      </c>
      <c r="D35" s="4" t="s">
        <v>295</v>
      </c>
      <c r="E35" s="5">
        <v>110000</v>
      </c>
      <c r="F35" s="6">
        <v>1360.59</v>
      </c>
      <c r="G35" s="7">
        <v>8.6756116514316861E-3</v>
      </c>
      <c r="H35" s="113"/>
    </row>
    <row r="36" spans="1:14" ht="29.1" customHeight="1" x14ac:dyDescent="0.2">
      <c r="A36" s="3">
        <v>30</v>
      </c>
      <c r="B36" s="4" t="s">
        <v>23</v>
      </c>
      <c r="C36" s="4" t="s">
        <v>24</v>
      </c>
      <c r="D36" s="4" t="s">
        <v>25</v>
      </c>
      <c r="E36" s="5">
        <v>12700</v>
      </c>
      <c r="F36" s="6">
        <v>1333.88735</v>
      </c>
      <c r="G36" s="7">
        <v>8.5053459420966915E-3</v>
      </c>
      <c r="H36" s="113"/>
    </row>
    <row r="37" spans="1:14" ht="17.100000000000001" customHeight="1" x14ac:dyDescent="0.2">
      <c r="A37" s="3">
        <v>31</v>
      </c>
      <c r="B37" s="4" t="s">
        <v>97</v>
      </c>
      <c r="C37" s="4" t="s">
        <v>98</v>
      </c>
      <c r="D37" s="4" t="s">
        <v>99</v>
      </c>
      <c r="E37" s="5">
        <v>166250</v>
      </c>
      <c r="F37" s="6">
        <v>1243.7162499999999</v>
      </c>
      <c r="G37" s="7">
        <v>7.9303825469648637E-3</v>
      </c>
      <c r="H37" s="113"/>
    </row>
    <row r="38" spans="1:14" ht="17.100000000000001" customHeight="1" x14ac:dyDescent="0.2">
      <c r="A38" s="3">
        <v>32</v>
      </c>
      <c r="B38" s="4" t="s">
        <v>561</v>
      </c>
      <c r="C38" s="4" t="s">
        <v>562</v>
      </c>
      <c r="D38" s="4" t="s">
        <v>248</v>
      </c>
      <c r="E38" s="5">
        <v>18125</v>
      </c>
      <c r="F38" s="6">
        <v>1232.0015625000001</v>
      </c>
      <c r="G38" s="7">
        <v>7.8556854821857022E-3</v>
      </c>
      <c r="H38" s="113"/>
    </row>
    <row r="39" spans="1:14" ht="17.100000000000001" customHeight="1" x14ac:dyDescent="0.2">
      <c r="A39" s="3">
        <v>33</v>
      </c>
      <c r="B39" s="4" t="s">
        <v>689</v>
      </c>
      <c r="C39" s="4" t="s">
        <v>690</v>
      </c>
      <c r="D39" s="4" t="s">
        <v>73</v>
      </c>
      <c r="E39" s="5">
        <v>989100</v>
      </c>
      <c r="F39" s="6">
        <v>1210.1638499999999</v>
      </c>
      <c r="G39" s="7">
        <v>7.7164403657247428E-3</v>
      </c>
      <c r="H39" s="113"/>
    </row>
    <row r="40" spans="1:14" ht="17.100000000000001" customHeight="1" x14ac:dyDescent="0.2">
      <c r="A40" s="3">
        <v>34</v>
      </c>
      <c r="B40" s="4" t="s">
        <v>365</v>
      </c>
      <c r="C40" s="4" t="s">
        <v>366</v>
      </c>
      <c r="D40" s="4" t="s">
        <v>53</v>
      </c>
      <c r="E40" s="5">
        <v>16250</v>
      </c>
      <c r="F40" s="6">
        <v>1190.7593750000001</v>
      </c>
      <c r="G40" s="7">
        <v>7.592710447527554E-3</v>
      </c>
      <c r="H40" s="113"/>
    </row>
    <row r="41" spans="1:14" ht="17.100000000000001" customHeight="1" x14ac:dyDescent="0.2">
      <c r="A41" s="3">
        <v>35</v>
      </c>
      <c r="B41" s="4" t="s">
        <v>47</v>
      </c>
      <c r="C41" s="4" t="s">
        <v>48</v>
      </c>
      <c r="D41" s="4" t="s">
        <v>34</v>
      </c>
      <c r="E41" s="5">
        <v>50000</v>
      </c>
      <c r="F41" s="6">
        <v>1164.55</v>
      </c>
      <c r="G41" s="7">
        <v>7.4255900371712064E-3</v>
      </c>
      <c r="H41" s="113"/>
    </row>
    <row r="42" spans="1:14" ht="17.100000000000001" customHeight="1" x14ac:dyDescent="0.2">
      <c r="A42" s="3">
        <v>36</v>
      </c>
      <c r="B42" s="4" t="s">
        <v>105</v>
      </c>
      <c r="C42" s="4" t="s">
        <v>106</v>
      </c>
      <c r="D42" s="4" t="s">
        <v>107</v>
      </c>
      <c r="E42" s="5">
        <v>35000</v>
      </c>
      <c r="F42" s="6">
        <v>1121.05</v>
      </c>
      <c r="G42" s="7">
        <v>7.1482183772021641E-3</v>
      </c>
      <c r="H42" s="113"/>
    </row>
    <row r="43" spans="1:14" ht="29.1" customHeight="1" x14ac:dyDescent="0.2">
      <c r="A43" s="3">
        <v>37</v>
      </c>
      <c r="B43" s="4" t="s">
        <v>481</v>
      </c>
      <c r="C43" s="4" t="s">
        <v>482</v>
      </c>
      <c r="D43" s="4" t="s">
        <v>483</v>
      </c>
      <c r="E43" s="5">
        <v>100000</v>
      </c>
      <c r="F43" s="6">
        <v>1086.8</v>
      </c>
      <c r="G43" s="7">
        <v>6.9298280472265394E-3</v>
      </c>
      <c r="H43" s="113"/>
    </row>
    <row r="44" spans="1:14" ht="17.100000000000001" customHeight="1" x14ac:dyDescent="0.2">
      <c r="A44" s="3">
        <v>38</v>
      </c>
      <c r="B44" s="4" t="s">
        <v>57</v>
      </c>
      <c r="C44" s="4" t="s">
        <v>58</v>
      </c>
      <c r="D44" s="4" t="s">
        <v>34</v>
      </c>
      <c r="E44" s="5">
        <v>18750</v>
      </c>
      <c r="F44" s="6">
        <v>1028.409375</v>
      </c>
      <c r="G44" s="7">
        <v>6.5575084016430956E-3</v>
      </c>
      <c r="H44" s="113"/>
    </row>
    <row r="45" spans="1:14" ht="17.100000000000001" customHeight="1" x14ac:dyDescent="0.2">
      <c r="A45" s="3">
        <v>39</v>
      </c>
      <c r="B45" s="4" t="s">
        <v>367</v>
      </c>
      <c r="C45" s="4" t="s">
        <v>368</v>
      </c>
      <c r="D45" s="4" t="s">
        <v>99</v>
      </c>
      <c r="E45" s="5">
        <v>700000</v>
      </c>
      <c r="F45" s="6">
        <v>977.2</v>
      </c>
      <c r="G45" s="7">
        <v>6.2309789913045409E-3</v>
      </c>
      <c r="H45" s="113"/>
    </row>
    <row r="46" spans="1:14" ht="17.100000000000001" customHeight="1" x14ac:dyDescent="0.2">
      <c r="A46" s="3">
        <v>40</v>
      </c>
      <c r="B46" s="4" t="s">
        <v>59</v>
      </c>
      <c r="C46" s="4" t="s">
        <v>60</v>
      </c>
      <c r="D46" s="4" t="s">
        <v>61</v>
      </c>
      <c r="E46" s="5">
        <v>600000</v>
      </c>
      <c r="F46" s="6">
        <v>972.6</v>
      </c>
      <c r="G46" s="7">
        <v>6.2016477353078149E-3</v>
      </c>
      <c r="H46" s="113"/>
    </row>
    <row r="47" spans="1:14" ht="25.5" x14ac:dyDescent="0.2">
      <c r="A47" s="3">
        <v>41</v>
      </c>
      <c r="B47" s="40" t="s">
        <v>896</v>
      </c>
      <c r="C47" s="40" t="s">
        <v>897</v>
      </c>
      <c r="D47" s="40" t="s">
        <v>16</v>
      </c>
      <c r="E47" s="42">
        <v>1000916</v>
      </c>
      <c r="F47" s="43">
        <v>967.78569999999991</v>
      </c>
      <c r="G47" s="7">
        <v>6.1709500253632399E-3</v>
      </c>
      <c r="H47" s="113"/>
    </row>
    <row r="48" spans="1:14" ht="17.100000000000001" customHeight="1" x14ac:dyDescent="0.2">
      <c r="A48" s="3">
        <v>42</v>
      </c>
      <c r="B48" s="4" t="s">
        <v>265</v>
      </c>
      <c r="C48" s="4" t="s">
        <v>266</v>
      </c>
      <c r="D48" s="4" t="s">
        <v>267</v>
      </c>
      <c r="E48" s="5">
        <v>36118</v>
      </c>
      <c r="F48" s="6">
        <v>957.63265200000001</v>
      </c>
      <c r="G48" s="7">
        <v>6.1062105362251866E-3</v>
      </c>
      <c r="H48" s="113"/>
    </row>
    <row r="49" spans="1:8" ht="17.100000000000001" customHeight="1" x14ac:dyDescent="0.2">
      <c r="A49" s="3">
        <v>43</v>
      </c>
      <c r="B49" s="4" t="s">
        <v>355</v>
      </c>
      <c r="C49" s="4" t="s">
        <v>356</v>
      </c>
      <c r="D49" s="4" t="s">
        <v>350</v>
      </c>
      <c r="E49" s="5">
        <v>35000</v>
      </c>
      <c r="F49" s="6">
        <v>932.38250000000005</v>
      </c>
      <c r="G49" s="7">
        <v>5.945206477036437E-3</v>
      </c>
      <c r="H49" s="113"/>
    </row>
    <row r="50" spans="1:8" ht="17.100000000000001" customHeight="1" x14ac:dyDescent="0.2">
      <c r="A50" s="3">
        <v>44</v>
      </c>
      <c r="B50" s="4" t="s">
        <v>475</v>
      </c>
      <c r="C50" s="4" t="s">
        <v>476</v>
      </c>
      <c r="D50" s="4" t="s">
        <v>234</v>
      </c>
      <c r="E50" s="5">
        <v>65000</v>
      </c>
      <c r="F50" s="6">
        <v>931.19</v>
      </c>
      <c r="G50" s="7">
        <v>5.9376026677372858E-3</v>
      </c>
      <c r="H50" s="113"/>
    </row>
    <row r="51" spans="1:8" ht="29.1" customHeight="1" x14ac:dyDescent="0.2">
      <c r="A51" s="3">
        <v>45</v>
      </c>
      <c r="B51" s="4" t="s">
        <v>77</v>
      </c>
      <c r="C51" s="4" t="s">
        <v>78</v>
      </c>
      <c r="D51" s="4" t="s">
        <v>25</v>
      </c>
      <c r="E51" s="5">
        <v>40000</v>
      </c>
      <c r="F51" s="6">
        <v>910.08</v>
      </c>
      <c r="G51" s="7">
        <v>5.8029977081523092E-3</v>
      </c>
      <c r="H51" s="113"/>
    </row>
    <row r="52" spans="1:8" ht="17.100000000000001" customHeight="1" x14ac:dyDescent="0.2">
      <c r="A52" s="3">
        <v>46</v>
      </c>
      <c r="B52" s="4" t="s">
        <v>565</v>
      </c>
      <c r="C52" s="4" t="s">
        <v>566</v>
      </c>
      <c r="D52" s="4" t="s">
        <v>248</v>
      </c>
      <c r="E52" s="5">
        <v>20825</v>
      </c>
      <c r="F52" s="6">
        <v>862.88387499999999</v>
      </c>
      <c r="G52" s="7">
        <v>5.5020582245808979E-3</v>
      </c>
      <c r="H52" s="113"/>
    </row>
    <row r="53" spans="1:8" ht="17.100000000000001" customHeight="1" x14ac:dyDescent="0.2">
      <c r="A53" s="3">
        <v>47</v>
      </c>
      <c r="B53" s="4" t="s">
        <v>268</v>
      </c>
      <c r="C53" s="4" t="s">
        <v>269</v>
      </c>
      <c r="D53" s="4" t="s">
        <v>28</v>
      </c>
      <c r="E53" s="5">
        <v>700000</v>
      </c>
      <c r="F53" s="6">
        <v>833.7</v>
      </c>
      <c r="G53" s="7">
        <v>5.3159713314066678E-3</v>
      </c>
      <c r="H53" s="113"/>
    </row>
    <row r="54" spans="1:8" ht="29.1" customHeight="1" x14ac:dyDescent="0.2">
      <c r="A54" s="3">
        <v>48</v>
      </c>
      <c r="B54" s="4" t="s">
        <v>228</v>
      </c>
      <c r="C54" s="4" t="s">
        <v>229</v>
      </c>
      <c r="D54" s="4" t="s">
        <v>225</v>
      </c>
      <c r="E54" s="5">
        <v>15087</v>
      </c>
      <c r="F54" s="6">
        <v>784.91626199999996</v>
      </c>
      <c r="G54" s="7">
        <v>5.0049086558077056E-3</v>
      </c>
      <c r="H54" s="113"/>
    </row>
    <row r="55" spans="1:8" ht="17.100000000000001" customHeight="1" x14ac:dyDescent="0.2">
      <c r="A55" s="3">
        <v>49</v>
      </c>
      <c r="B55" s="4" t="s">
        <v>263</v>
      </c>
      <c r="C55" s="4" t="s">
        <v>264</v>
      </c>
      <c r="D55" s="4" t="s">
        <v>56</v>
      </c>
      <c r="E55" s="5">
        <v>60000</v>
      </c>
      <c r="F55" s="6">
        <v>763.32</v>
      </c>
      <c r="G55" s="7">
        <v>4.8672031146567559E-3</v>
      </c>
      <c r="H55" s="113"/>
    </row>
    <row r="56" spans="1:8" ht="17.100000000000001" customHeight="1" x14ac:dyDescent="0.2">
      <c r="A56" s="3">
        <v>50</v>
      </c>
      <c r="B56" s="4" t="s">
        <v>346</v>
      </c>
      <c r="C56" s="4" t="s">
        <v>347</v>
      </c>
      <c r="D56" s="4" t="s">
        <v>891</v>
      </c>
      <c r="E56" s="5">
        <v>12000</v>
      </c>
      <c r="F56" s="6">
        <v>755.39400000000001</v>
      </c>
      <c r="G56" s="7">
        <v>4.8166640853023971E-3</v>
      </c>
      <c r="H56" s="113"/>
    </row>
    <row r="57" spans="1:8" ht="17.100000000000001" customHeight="1" x14ac:dyDescent="0.2">
      <c r="A57" s="3">
        <v>51</v>
      </c>
      <c r="B57" s="4" t="s">
        <v>208</v>
      </c>
      <c r="C57" s="4" t="s">
        <v>209</v>
      </c>
      <c r="D57" s="4" t="s">
        <v>210</v>
      </c>
      <c r="E57" s="5">
        <v>180000</v>
      </c>
      <c r="F57" s="6">
        <v>754.56</v>
      </c>
      <c r="G57" s="7">
        <v>4.8113462010629902E-3</v>
      </c>
      <c r="H57" s="113"/>
    </row>
    <row r="58" spans="1:8" ht="17.100000000000001" customHeight="1" x14ac:dyDescent="0.2">
      <c r="A58" s="3">
        <v>52</v>
      </c>
      <c r="B58" s="4" t="s">
        <v>260</v>
      </c>
      <c r="C58" s="4" t="s">
        <v>261</v>
      </c>
      <c r="D58" s="4" t="s">
        <v>262</v>
      </c>
      <c r="E58" s="5">
        <v>65100</v>
      </c>
      <c r="F58" s="6">
        <v>741.26115000000004</v>
      </c>
      <c r="G58" s="7">
        <v>4.7265479458864553E-3</v>
      </c>
      <c r="H58" s="113"/>
    </row>
    <row r="59" spans="1:8" ht="17.100000000000001" customHeight="1" x14ac:dyDescent="0.2">
      <c r="A59" s="3">
        <v>53</v>
      </c>
      <c r="B59" s="4" t="s">
        <v>241</v>
      </c>
      <c r="C59" s="4" t="s">
        <v>242</v>
      </c>
      <c r="D59" s="4" t="s">
        <v>56</v>
      </c>
      <c r="E59" s="5">
        <v>75000</v>
      </c>
      <c r="F59" s="6">
        <v>733.76250000000005</v>
      </c>
      <c r="G59" s="7">
        <v>4.6787338539777922E-3</v>
      </c>
      <c r="H59" s="113"/>
    </row>
    <row r="60" spans="1:8" ht="17.100000000000001" customHeight="1" x14ac:dyDescent="0.2">
      <c r="A60" s="3">
        <v>54</v>
      </c>
      <c r="B60" s="4" t="s">
        <v>577</v>
      </c>
      <c r="C60" s="4" t="s">
        <v>578</v>
      </c>
      <c r="D60" s="4" t="s">
        <v>891</v>
      </c>
      <c r="E60" s="5">
        <v>57000</v>
      </c>
      <c r="F60" s="6">
        <v>725.41049999999996</v>
      </c>
      <c r="G60" s="7">
        <v>4.6254784952637351E-3</v>
      </c>
      <c r="H60" s="113"/>
    </row>
    <row r="61" spans="1:8" ht="17.100000000000001" customHeight="1" x14ac:dyDescent="0.2">
      <c r="A61" s="3">
        <v>55</v>
      </c>
      <c r="B61" s="4" t="s">
        <v>108</v>
      </c>
      <c r="C61" s="4" t="s">
        <v>109</v>
      </c>
      <c r="D61" s="4" t="s">
        <v>107</v>
      </c>
      <c r="E61" s="5">
        <v>110000</v>
      </c>
      <c r="F61" s="6">
        <v>708.95</v>
      </c>
      <c r="G61" s="7">
        <v>4.5205204214954506E-3</v>
      </c>
      <c r="H61" s="113"/>
    </row>
    <row r="62" spans="1:8" ht="17.100000000000001" customHeight="1" x14ac:dyDescent="0.2">
      <c r="A62" s="3">
        <v>56</v>
      </c>
      <c r="B62" s="4" t="s">
        <v>296</v>
      </c>
      <c r="C62" s="4" t="s">
        <v>297</v>
      </c>
      <c r="D62" s="4" t="s">
        <v>53</v>
      </c>
      <c r="E62" s="5">
        <v>65000</v>
      </c>
      <c r="F62" s="6">
        <v>676.03250000000003</v>
      </c>
      <c r="G62" s="7">
        <v>4.3106265912188774E-3</v>
      </c>
      <c r="H62" s="113"/>
    </row>
    <row r="63" spans="1:8" ht="29.1" customHeight="1" x14ac:dyDescent="0.2">
      <c r="A63" s="3">
        <v>57</v>
      </c>
      <c r="B63" s="4" t="s">
        <v>223</v>
      </c>
      <c r="C63" s="4" t="s">
        <v>224</v>
      </c>
      <c r="D63" s="4" t="s">
        <v>225</v>
      </c>
      <c r="E63" s="5">
        <v>40000</v>
      </c>
      <c r="F63" s="6">
        <v>529.17999999999995</v>
      </c>
      <c r="G63" s="7">
        <v>3.3742421844233897E-3</v>
      </c>
      <c r="H63" s="113"/>
    </row>
    <row r="64" spans="1:8" ht="29.1" customHeight="1" x14ac:dyDescent="0.2">
      <c r="A64" s="3">
        <v>58</v>
      </c>
      <c r="B64" s="4" t="s">
        <v>573</v>
      </c>
      <c r="C64" s="4" t="s">
        <v>574</v>
      </c>
      <c r="D64" s="4" t="s">
        <v>483</v>
      </c>
      <c r="E64" s="5">
        <v>90000</v>
      </c>
      <c r="F64" s="6">
        <v>493.65</v>
      </c>
      <c r="G64" s="7">
        <v>3.1476901136486763E-3</v>
      </c>
      <c r="H64" s="113"/>
    </row>
    <row r="65" spans="1:8" ht="17.100000000000001" customHeight="1" x14ac:dyDescent="0.2">
      <c r="A65" s="3">
        <v>59</v>
      </c>
      <c r="B65" s="4" t="s">
        <v>258</v>
      </c>
      <c r="C65" s="4" t="s">
        <v>259</v>
      </c>
      <c r="D65" s="4" t="s">
        <v>207</v>
      </c>
      <c r="E65" s="5">
        <v>9500</v>
      </c>
      <c r="F65" s="6">
        <v>488.31425000000002</v>
      </c>
      <c r="G65" s="7">
        <v>3.1136674507824739E-3</v>
      </c>
      <c r="H65" s="113"/>
    </row>
    <row r="66" spans="1:8" ht="29.1" customHeight="1" x14ac:dyDescent="0.2">
      <c r="A66" s="3">
        <v>60</v>
      </c>
      <c r="B66" s="4" t="s">
        <v>569</v>
      </c>
      <c r="C66" s="4" t="s">
        <v>570</v>
      </c>
      <c r="D66" s="4" t="s">
        <v>234</v>
      </c>
      <c r="E66" s="5">
        <v>85500</v>
      </c>
      <c r="F66" s="6">
        <v>457.29674999999997</v>
      </c>
      <c r="G66" s="7">
        <v>2.9158887045045482E-3</v>
      </c>
      <c r="H66" s="113"/>
    </row>
    <row r="67" spans="1:8" ht="17.100000000000001" customHeight="1" x14ac:dyDescent="0.2">
      <c r="A67" s="3">
        <v>61</v>
      </c>
      <c r="B67" s="4" t="s">
        <v>139</v>
      </c>
      <c r="C67" s="4" t="s">
        <v>140</v>
      </c>
      <c r="D67" s="4" t="s">
        <v>46</v>
      </c>
      <c r="E67" s="5">
        <v>203072</v>
      </c>
      <c r="F67" s="6">
        <v>402.48870399999998</v>
      </c>
      <c r="G67" s="7">
        <v>2.5664128723509945E-3</v>
      </c>
      <c r="H67" s="113"/>
    </row>
    <row r="68" spans="1:8" ht="14.1" customHeight="1" x14ac:dyDescent="0.2">
      <c r="A68" s="1"/>
      <c r="B68" s="1"/>
      <c r="C68" s="2" t="s">
        <v>151</v>
      </c>
      <c r="D68" s="1"/>
      <c r="E68" s="1" t="s">
        <v>152</v>
      </c>
      <c r="F68" s="9">
        <v>119786.9356485</v>
      </c>
      <c r="G68" s="10">
        <v>0.76380462490641876</v>
      </c>
      <c r="H68" s="113"/>
    </row>
    <row r="69" spans="1:8" ht="14.1" customHeight="1" x14ac:dyDescent="0.2">
      <c r="A69" s="1"/>
      <c r="B69" s="1"/>
      <c r="C69" s="11"/>
      <c r="D69" s="1"/>
      <c r="E69" s="1"/>
      <c r="F69" s="12"/>
      <c r="G69" s="12"/>
      <c r="H69" s="113"/>
    </row>
    <row r="70" spans="1:8" ht="14.1" customHeight="1" x14ac:dyDescent="0.2">
      <c r="A70" s="1"/>
      <c r="B70" s="1"/>
      <c r="C70" s="2" t="s">
        <v>153</v>
      </c>
      <c r="D70" s="1"/>
      <c r="E70" s="1"/>
      <c r="F70" s="1"/>
      <c r="G70" s="1"/>
      <c r="H70" s="113"/>
    </row>
    <row r="71" spans="1:8" ht="14.1" customHeight="1" x14ac:dyDescent="0.2">
      <c r="A71" s="1"/>
      <c r="B71" s="1"/>
      <c r="C71" s="2" t="s">
        <v>151</v>
      </c>
      <c r="D71" s="1"/>
      <c r="E71" s="1" t="s">
        <v>152</v>
      </c>
      <c r="F71" s="13" t="s">
        <v>154</v>
      </c>
      <c r="G71" s="10">
        <v>0</v>
      </c>
      <c r="H71" s="113"/>
    </row>
    <row r="72" spans="1:8" ht="14.1" customHeight="1" x14ac:dyDescent="0.2">
      <c r="A72" s="1"/>
      <c r="B72" s="1"/>
      <c r="C72" s="11"/>
      <c r="D72" s="1"/>
      <c r="E72" s="1"/>
      <c r="F72" s="12"/>
      <c r="G72" s="12"/>
      <c r="H72" s="113"/>
    </row>
    <row r="73" spans="1:8" ht="14.1" customHeight="1" x14ac:dyDescent="0.2">
      <c r="A73" s="1"/>
      <c r="B73" s="1"/>
      <c r="C73" s="2" t="s">
        <v>155</v>
      </c>
      <c r="D73" s="1"/>
      <c r="E73" s="1"/>
      <c r="F73" s="1"/>
      <c r="G73" s="1"/>
      <c r="H73" s="113"/>
    </row>
    <row r="74" spans="1:8" ht="14.1" customHeight="1" x14ac:dyDescent="0.2">
      <c r="A74" s="1"/>
      <c r="B74" s="1"/>
      <c r="C74" s="2" t="s">
        <v>151</v>
      </c>
      <c r="D74" s="1"/>
      <c r="E74" s="1" t="s">
        <v>152</v>
      </c>
      <c r="F74" s="13" t="s">
        <v>154</v>
      </c>
      <c r="G74" s="10">
        <v>0</v>
      </c>
      <c r="H74" s="113"/>
    </row>
    <row r="75" spans="1:8" ht="14.1" customHeight="1" x14ac:dyDescent="0.2">
      <c r="A75" s="1"/>
      <c r="B75" s="1"/>
      <c r="C75" s="11"/>
      <c r="D75" s="1"/>
      <c r="E75" s="1"/>
      <c r="F75" s="12"/>
      <c r="G75" s="12"/>
      <c r="H75" s="113"/>
    </row>
    <row r="76" spans="1:8" ht="14.1" customHeight="1" x14ac:dyDescent="0.2">
      <c r="A76" s="1"/>
      <c r="B76" s="1"/>
      <c r="C76" s="2" t="s">
        <v>156</v>
      </c>
      <c r="D76" s="1"/>
      <c r="E76" s="1"/>
      <c r="F76" s="1"/>
      <c r="G76" s="1"/>
      <c r="H76" s="113"/>
    </row>
    <row r="77" spans="1:8" ht="29.1" customHeight="1" x14ac:dyDescent="0.2">
      <c r="A77" s="3">
        <v>1</v>
      </c>
      <c r="B77" s="4" t="s">
        <v>318</v>
      </c>
      <c r="C77" s="4" t="s">
        <v>898</v>
      </c>
      <c r="D77" s="4" t="s">
        <v>107</v>
      </c>
      <c r="E77" s="5">
        <v>1870814</v>
      </c>
      <c r="F77" s="6">
        <v>198.30628400000001</v>
      </c>
      <c r="G77" s="7">
        <v>1.2644722569051083E-3</v>
      </c>
      <c r="H77" s="113"/>
    </row>
    <row r="78" spans="1:8" ht="14.1" customHeight="1" x14ac:dyDescent="0.2">
      <c r="A78" s="1"/>
      <c r="B78" s="1"/>
      <c r="C78" s="2" t="s">
        <v>151</v>
      </c>
      <c r="D78" s="1"/>
      <c r="E78" s="1" t="s">
        <v>152</v>
      </c>
      <c r="F78" s="9">
        <v>198.30628400000001</v>
      </c>
      <c r="G78" s="10">
        <v>1.2644722569051083E-3</v>
      </c>
      <c r="H78" s="113"/>
    </row>
    <row r="79" spans="1:8" ht="14.1" customHeight="1" x14ac:dyDescent="0.2">
      <c r="A79" s="1"/>
      <c r="B79" s="1"/>
      <c r="C79" s="11"/>
      <c r="D79" s="1"/>
      <c r="E79" s="1"/>
      <c r="F79" s="12"/>
      <c r="G79" s="12"/>
      <c r="H79" s="113"/>
    </row>
    <row r="80" spans="1:8" ht="14.1" customHeight="1" x14ac:dyDescent="0.2">
      <c r="A80" s="1"/>
      <c r="B80" s="1"/>
      <c r="C80" s="2" t="s">
        <v>157</v>
      </c>
      <c r="D80" s="1"/>
      <c r="E80" s="1"/>
      <c r="F80" s="12"/>
      <c r="G80" s="12"/>
      <c r="H80" s="113"/>
    </row>
    <row r="81" spans="1:8" ht="14.1" customHeight="1" x14ac:dyDescent="0.2">
      <c r="A81" s="1"/>
      <c r="B81" s="1"/>
      <c r="C81" s="2" t="s">
        <v>151</v>
      </c>
      <c r="D81" s="1"/>
      <c r="E81" s="1" t="s">
        <v>152</v>
      </c>
      <c r="F81" s="13" t="s">
        <v>154</v>
      </c>
      <c r="G81" s="10">
        <v>0</v>
      </c>
      <c r="H81" s="113"/>
    </row>
    <row r="82" spans="1:8" ht="14.1" customHeight="1" x14ac:dyDescent="0.2">
      <c r="A82" s="49"/>
      <c r="B82" s="49"/>
      <c r="C82" s="50"/>
      <c r="D82" s="49"/>
      <c r="E82" s="49"/>
      <c r="F82" s="51"/>
      <c r="G82" s="51"/>
      <c r="H82" s="113"/>
    </row>
    <row r="83" spans="1:8" ht="14.1" customHeight="1" x14ac:dyDescent="0.2">
      <c r="A83" s="49"/>
      <c r="B83" s="49"/>
      <c r="C83" s="46" t="s">
        <v>909</v>
      </c>
      <c r="D83" s="49"/>
      <c r="E83" s="49"/>
      <c r="F83" s="51"/>
      <c r="G83" s="51"/>
      <c r="H83" s="113"/>
    </row>
    <row r="84" spans="1:8" ht="29.1" customHeight="1" x14ac:dyDescent="0.2">
      <c r="A84" s="41">
        <v>1</v>
      </c>
      <c r="B84" s="40" t="s">
        <v>910</v>
      </c>
      <c r="C84" s="40" t="s">
        <v>911</v>
      </c>
      <c r="D84" s="40" t="s">
        <v>912</v>
      </c>
      <c r="E84" s="42">
        <v>750</v>
      </c>
      <c r="F84" s="43">
        <v>766.83594749999997</v>
      </c>
      <c r="G84" s="7">
        <v>4.8896220616553533E-3</v>
      </c>
      <c r="H84" s="113">
        <v>8.5221499999999999</v>
      </c>
    </row>
    <row r="85" spans="1:8" ht="14.1" customHeight="1" x14ac:dyDescent="0.2">
      <c r="A85" s="49"/>
      <c r="B85" s="49"/>
      <c r="C85" s="46" t="s">
        <v>151</v>
      </c>
      <c r="D85" s="49"/>
      <c r="E85" s="49" t="s">
        <v>152</v>
      </c>
      <c r="F85" s="52">
        <v>766.83594749999997</v>
      </c>
      <c r="G85" s="10">
        <v>4.8896220616553533E-3</v>
      </c>
      <c r="H85" s="113"/>
    </row>
    <row r="86" spans="1:8" ht="14.1" customHeight="1" x14ac:dyDescent="0.2">
      <c r="A86" s="1"/>
      <c r="B86" s="1"/>
      <c r="C86" s="11"/>
      <c r="D86" s="1"/>
      <c r="E86" s="1"/>
      <c r="F86" s="12"/>
      <c r="G86" s="12"/>
      <c r="H86" s="113"/>
    </row>
    <row r="87" spans="1:8" ht="14.1" customHeight="1" x14ac:dyDescent="0.2">
      <c r="A87" s="1"/>
      <c r="B87" s="1"/>
      <c r="C87" s="2" t="s">
        <v>913</v>
      </c>
      <c r="D87" s="1"/>
      <c r="E87" s="1"/>
      <c r="F87" s="12"/>
      <c r="G87" s="12"/>
      <c r="H87" s="113"/>
    </row>
    <row r="88" spans="1:8" ht="17.100000000000001" customHeight="1" x14ac:dyDescent="0.2">
      <c r="A88" s="3">
        <v>1</v>
      </c>
      <c r="B88" s="4"/>
      <c r="C88" s="4" t="s">
        <v>917</v>
      </c>
      <c r="D88" s="4" t="s">
        <v>682</v>
      </c>
      <c r="E88" s="5">
        <v>-107200</v>
      </c>
      <c r="F88" s="6">
        <v>-499.71280000000002</v>
      </c>
      <c r="G88" s="7">
        <v>-3.1863487090523614E-3</v>
      </c>
      <c r="H88" s="113"/>
    </row>
    <row r="89" spans="1:8" ht="17.100000000000001" customHeight="1" x14ac:dyDescent="0.2">
      <c r="A89" s="3">
        <v>2</v>
      </c>
      <c r="B89" s="4"/>
      <c r="C89" s="4" t="s">
        <v>935</v>
      </c>
      <c r="D89" s="4" t="s">
        <v>682</v>
      </c>
      <c r="E89" s="5">
        <v>-77000</v>
      </c>
      <c r="F89" s="6">
        <v>-867.71299999999997</v>
      </c>
      <c r="G89" s="7">
        <v>-5.5328504640624609E-3</v>
      </c>
      <c r="H89" s="113"/>
    </row>
    <row r="90" spans="1:8" ht="17.100000000000001" customHeight="1" x14ac:dyDescent="0.2">
      <c r="A90" s="3">
        <v>3</v>
      </c>
      <c r="B90" s="4"/>
      <c r="C90" s="4" t="s">
        <v>936</v>
      </c>
      <c r="D90" s="4" t="s">
        <v>682</v>
      </c>
      <c r="E90" s="5">
        <v>-83200</v>
      </c>
      <c r="F90" s="6">
        <v>-1046.5727999999999</v>
      </c>
      <c r="G90" s="7">
        <v>-6.6733249382631681E-3</v>
      </c>
      <c r="H90" s="113"/>
    </row>
    <row r="91" spans="1:8" ht="17.100000000000001" customHeight="1" x14ac:dyDescent="0.2">
      <c r="A91" s="3">
        <v>4</v>
      </c>
      <c r="B91" s="4"/>
      <c r="C91" s="4" t="s">
        <v>932</v>
      </c>
      <c r="D91" s="4" t="s">
        <v>682</v>
      </c>
      <c r="E91" s="5">
        <v>-40500</v>
      </c>
      <c r="F91" s="6">
        <v>-1054.4175</v>
      </c>
      <c r="G91" s="7">
        <v>-6.7233455695495858E-3</v>
      </c>
      <c r="H91" s="113"/>
    </row>
    <row r="92" spans="1:8" ht="29.1" customHeight="1" x14ac:dyDescent="0.2">
      <c r="A92" s="3">
        <v>5</v>
      </c>
      <c r="B92" s="4"/>
      <c r="C92" s="4" t="s">
        <v>937</v>
      </c>
      <c r="D92" s="4" t="s">
        <v>682</v>
      </c>
      <c r="E92" s="5">
        <v>-61600</v>
      </c>
      <c r="F92" s="6">
        <v>-1066.1112000000001</v>
      </c>
      <c r="G92" s="7">
        <v>-6.7979088104732641E-3</v>
      </c>
      <c r="H92" s="113"/>
    </row>
    <row r="93" spans="1:8" ht="17.100000000000001" customHeight="1" x14ac:dyDescent="0.2">
      <c r="A93" s="3">
        <v>6</v>
      </c>
      <c r="B93" s="4"/>
      <c r="C93" s="4" t="s">
        <v>938</v>
      </c>
      <c r="D93" s="4" t="s">
        <v>691</v>
      </c>
      <c r="E93" s="5">
        <v>-5000</v>
      </c>
      <c r="F93" s="6">
        <v>-1094.2974999999999</v>
      </c>
      <c r="G93" s="7">
        <v>-6.9776348063212033E-3</v>
      </c>
      <c r="H93" s="113"/>
    </row>
    <row r="94" spans="1:8" ht="17.100000000000001" customHeight="1" x14ac:dyDescent="0.2">
      <c r="A94" s="3">
        <v>7</v>
      </c>
      <c r="B94" s="4"/>
      <c r="C94" s="4" t="s">
        <v>939</v>
      </c>
      <c r="D94" s="4" t="s">
        <v>682</v>
      </c>
      <c r="E94" s="5">
        <v>-16250</v>
      </c>
      <c r="F94" s="6">
        <v>-1198.9087500000001</v>
      </c>
      <c r="G94" s="7">
        <v>-7.6446737962967536E-3</v>
      </c>
      <c r="H94" s="113"/>
    </row>
    <row r="95" spans="1:8" ht="17.100000000000001" customHeight="1" x14ac:dyDescent="0.2">
      <c r="A95" s="3">
        <v>8</v>
      </c>
      <c r="B95" s="4"/>
      <c r="C95" s="4" t="s">
        <v>940</v>
      </c>
      <c r="D95" s="4" t="s">
        <v>682</v>
      </c>
      <c r="E95" s="5">
        <v>-166250</v>
      </c>
      <c r="F95" s="6">
        <v>-1252.776875</v>
      </c>
      <c r="G95" s="7">
        <v>-7.9881563537834172E-3</v>
      </c>
      <c r="H95" s="113"/>
    </row>
    <row r="96" spans="1:8" ht="17.100000000000001" customHeight="1" x14ac:dyDescent="0.2">
      <c r="A96" s="3">
        <v>9</v>
      </c>
      <c r="B96" s="4"/>
      <c r="C96" s="4" t="s">
        <v>941</v>
      </c>
      <c r="D96" s="4" t="s">
        <v>682</v>
      </c>
      <c r="E96" s="5">
        <v>-162450</v>
      </c>
      <c r="F96" s="6">
        <v>-1278.0753749999999</v>
      </c>
      <c r="G96" s="7">
        <v>-8.1494686972254111E-3</v>
      </c>
      <c r="H96" s="113"/>
    </row>
    <row r="97" spans="1:8" ht="17.100000000000001" customHeight="1" x14ac:dyDescent="0.2">
      <c r="A97" s="3">
        <v>10</v>
      </c>
      <c r="B97" s="4"/>
      <c r="C97" s="4" t="s">
        <v>927</v>
      </c>
      <c r="D97" s="4" t="s">
        <v>682</v>
      </c>
      <c r="E97" s="5">
        <v>-19600</v>
      </c>
      <c r="F97" s="6">
        <v>-2037.2239999999999</v>
      </c>
      <c r="G97" s="7">
        <v>-1.2990073623190136E-2</v>
      </c>
      <c r="H97" s="113"/>
    </row>
    <row r="98" spans="1:8" ht="29.1" customHeight="1" x14ac:dyDescent="0.2">
      <c r="A98" s="3">
        <v>11</v>
      </c>
      <c r="B98" s="4"/>
      <c r="C98" s="4" t="s">
        <v>923</v>
      </c>
      <c r="D98" s="4" t="s">
        <v>682</v>
      </c>
      <c r="E98" s="5">
        <v>-109200</v>
      </c>
      <c r="F98" s="6">
        <v>-2095.7664</v>
      </c>
      <c r="G98" s="7">
        <v>-1.3363361040812472E-2</v>
      </c>
      <c r="H98" s="113"/>
    </row>
    <row r="99" spans="1:8" ht="17.100000000000001" customHeight="1" x14ac:dyDescent="0.2">
      <c r="A99" s="3">
        <v>12</v>
      </c>
      <c r="B99" s="4"/>
      <c r="C99" s="4" t="s">
        <v>942</v>
      </c>
      <c r="D99" s="4" t="s">
        <v>682</v>
      </c>
      <c r="E99" s="5">
        <v>-930150</v>
      </c>
      <c r="F99" s="6">
        <v>-2168.6447250000001</v>
      </c>
      <c r="G99" s="7">
        <v>-1.3828059477157607E-2</v>
      </c>
      <c r="H99" s="113"/>
    </row>
    <row r="100" spans="1:8" ht="17.100000000000001" customHeight="1" x14ac:dyDescent="0.2">
      <c r="A100" s="3">
        <v>13</v>
      </c>
      <c r="B100" s="4"/>
      <c r="C100" s="4" t="s">
        <v>943</v>
      </c>
      <c r="D100" s="4" t="s">
        <v>682</v>
      </c>
      <c r="E100" s="5">
        <v>-143200</v>
      </c>
      <c r="F100" s="6">
        <v>-2223.7528000000002</v>
      </c>
      <c r="G100" s="7">
        <v>-1.4179448402225387E-2</v>
      </c>
      <c r="H100" s="113"/>
    </row>
    <row r="101" spans="1:8" ht="17.100000000000001" customHeight="1" x14ac:dyDescent="0.2">
      <c r="A101" s="3">
        <v>14</v>
      </c>
      <c r="B101" s="4"/>
      <c r="C101" s="4" t="s">
        <v>931</v>
      </c>
      <c r="D101" s="4" t="s">
        <v>682</v>
      </c>
      <c r="E101" s="5">
        <v>-238000</v>
      </c>
      <c r="F101" s="6">
        <v>-2392.614</v>
      </c>
      <c r="G101" s="7">
        <v>-1.525616820333721E-2</v>
      </c>
      <c r="H101" s="113"/>
    </row>
    <row r="102" spans="1:8" ht="17.100000000000001" customHeight="1" x14ac:dyDescent="0.2">
      <c r="A102" s="3">
        <v>15</v>
      </c>
      <c r="B102" s="4"/>
      <c r="C102" s="4" t="s">
        <v>934</v>
      </c>
      <c r="D102" s="4" t="s">
        <v>682</v>
      </c>
      <c r="E102" s="5">
        <v>-168300</v>
      </c>
      <c r="F102" s="6">
        <v>-2894.4234000000001</v>
      </c>
      <c r="G102" s="7">
        <v>-1.8455885588764081E-2</v>
      </c>
      <c r="H102" s="113"/>
    </row>
    <row r="103" spans="1:8" ht="14.1" customHeight="1" x14ac:dyDescent="0.2">
      <c r="A103" s="1"/>
      <c r="B103" s="1"/>
      <c r="C103" s="2" t="s">
        <v>151</v>
      </c>
      <c r="D103" s="1"/>
      <c r="E103" s="1" t="s">
        <v>152</v>
      </c>
      <c r="F103" s="9">
        <v>-23171.011125000001</v>
      </c>
      <c r="G103" s="10">
        <v>-0.14774670848051449</v>
      </c>
      <c r="H103" s="113"/>
    </row>
    <row r="104" spans="1:8" ht="14.1" customHeight="1" x14ac:dyDescent="0.2">
      <c r="A104" s="1"/>
      <c r="B104" s="1"/>
      <c r="C104" s="11"/>
      <c r="D104" s="1"/>
      <c r="E104" s="1"/>
      <c r="F104" s="12"/>
      <c r="G104" s="12"/>
      <c r="H104" s="113"/>
    </row>
    <row r="105" spans="1:8" ht="18" customHeight="1" x14ac:dyDescent="0.2">
      <c r="A105" s="1"/>
      <c r="B105" s="1"/>
      <c r="C105" s="2" t="s">
        <v>159</v>
      </c>
      <c r="D105" s="1"/>
      <c r="E105" s="1"/>
      <c r="F105" s="9">
        <v>120752.07788000001</v>
      </c>
      <c r="G105" s="10">
        <v>0.76995871922497916</v>
      </c>
      <c r="H105" s="113"/>
    </row>
    <row r="106" spans="1:8" ht="14.1" customHeight="1" x14ac:dyDescent="0.2">
      <c r="A106" s="1"/>
      <c r="B106" s="1"/>
      <c r="C106" s="11"/>
      <c r="D106" s="1"/>
      <c r="E106" s="1"/>
      <c r="F106" s="12"/>
      <c r="G106" s="12"/>
      <c r="H106" s="113"/>
    </row>
    <row r="107" spans="1:8" ht="14.1" customHeight="1" x14ac:dyDescent="0.2">
      <c r="A107" s="1"/>
      <c r="B107" s="1"/>
      <c r="C107" s="2" t="s">
        <v>160</v>
      </c>
      <c r="D107" s="1"/>
      <c r="E107" s="1"/>
      <c r="F107" s="12"/>
      <c r="G107" s="12"/>
      <c r="H107" s="113"/>
    </row>
    <row r="108" spans="1:8" ht="24" customHeight="1" x14ac:dyDescent="0.2">
      <c r="A108" s="1"/>
      <c r="B108" s="1"/>
      <c r="C108" s="2" t="s">
        <v>10</v>
      </c>
      <c r="D108" s="1"/>
      <c r="E108" s="1"/>
      <c r="F108" s="12"/>
      <c r="G108" s="12"/>
      <c r="H108" s="113"/>
    </row>
    <row r="109" spans="1:8" ht="17.100000000000001" customHeight="1" x14ac:dyDescent="0.2">
      <c r="A109" s="3">
        <v>1</v>
      </c>
      <c r="B109" s="4" t="s">
        <v>692</v>
      </c>
      <c r="C109" s="4" t="s">
        <v>978</v>
      </c>
      <c r="D109" s="4" t="s">
        <v>582</v>
      </c>
      <c r="E109" s="5">
        <v>250</v>
      </c>
      <c r="F109" s="6">
        <v>2477.6574999999998</v>
      </c>
      <c r="G109" s="7">
        <v>1.5798436174936686E-2</v>
      </c>
      <c r="H109" s="113">
        <v>8.0379000000000005</v>
      </c>
    </row>
    <row r="110" spans="1:8" ht="29.1" customHeight="1" x14ac:dyDescent="0.2">
      <c r="A110" s="3">
        <v>2</v>
      </c>
      <c r="B110" s="4" t="s">
        <v>585</v>
      </c>
      <c r="C110" s="4" t="s">
        <v>586</v>
      </c>
      <c r="D110" s="4" t="s">
        <v>582</v>
      </c>
      <c r="E110" s="5">
        <v>150</v>
      </c>
      <c r="F110" s="6">
        <v>1520.835</v>
      </c>
      <c r="G110" s="7">
        <v>9.6973914595176441E-3</v>
      </c>
      <c r="H110" s="113">
        <v>7.8</v>
      </c>
    </row>
    <row r="111" spans="1:8" ht="29.1" customHeight="1" x14ac:dyDescent="0.2">
      <c r="A111" s="3">
        <v>3</v>
      </c>
      <c r="B111" s="4" t="s">
        <v>591</v>
      </c>
      <c r="C111" s="4" t="s">
        <v>592</v>
      </c>
      <c r="D111" s="4" t="s">
        <v>582</v>
      </c>
      <c r="E111" s="5">
        <v>1500</v>
      </c>
      <c r="F111" s="6">
        <v>1494.0989999999999</v>
      </c>
      <c r="G111" s="7">
        <v>9.5269130985766708E-3</v>
      </c>
      <c r="H111" s="113">
        <v>7.73</v>
      </c>
    </row>
    <row r="112" spans="1:8" ht="29.1" customHeight="1" x14ac:dyDescent="0.2">
      <c r="A112" s="3">
        <v>4</v>
      </c>
      <c r="B112" s="4" t="s">
        <v>594</v>
      </c>
      <c r="C112" s="4" t="s">
        <v>595</v>
      </c>
      <c r="D112" s="4" t="s">
        <v>582</v>
      </c>
      <c r="E112" s="5">
        <v>1500</v>
      </c>
      <c r="F112" s="6">
        <v>1492.0184999999999</v>
      </c>
      <c r="G112" s="7">
        <v>9.5136470815981502E-3</v>
      </c>
      <c r="H112" s="113">
        <v>7.7850000000000001</v>
      </c>
    </row>
    <row r="113" spans="1:8" ht="29.1" customHeight="1" x14ac:dyDescent="0.2">
      <c r="A113" s="3">
        <v>5</v>
      </c>
      <c r="B113" s="4" t="s">
        <v>604</v>
      </c>
      <c r="C113" s="4" t="s">
        <v>605</v>
      </c>
      <c r="D113" s="4" t="s">
        <v>582</v>
      </c>
      <c r="E113" s="5">
        <v>1000</v>
      </c>
      <c r="F113" s="6">
        <v>1007.651</v>
      </c>
      <c r="G113" s="7">
        <v>6.4251455296428688E-3</v>
      </c>
      <c r="H113" s="113">
        <v>7.6475</v>
      </c>
    </row>
    <row r="114" spans="1:8" ht="29.1" customHeight="1" x14ac:dyDescent="0.2">
      <c r="A114" s="3">
        <v>6</v>
      </c>
      <c r="B114" s="4" t="s">
        <v>580</v>
      </c>
      <c r="C114" s="4" t="s">
        <v>581</v>
      </c>
      <c r="D114" s="4" t="s">
        <v>582</v>
      </c>
      <c r="E114" s="5">
        <v>100</v>
      </c>
      <c r="F114" s="6">
        <v>998.38499999999999</v>
      </c>
      <c r="G114" s="7">
        <v>6.3660621778894632E-3</v>
      </c>
      <c r="H114" s="113">
        <v>7.9</v>
      </c>
    </row>
    <row r="115" spans="1:8" ht="17.100000000000001" customHeight="1" x14ac:dyDescent="0.2">
      <c r="A115" s="3">
        <v>7</v>
      </c>
      <c r="B115" s="4" t="s">
        <v>615</v>
      </c>
      <c r="C115" s="4" t="s">
        <v>975</v>
      </c>
      <c r="D115" s="4" t="s">
        <v>582</v>
      </c>
      <c r="E115" s="5">
        <v>1000</v>
      </c>
      <c r="F115" s="6">
        <v>998.05100000000004</v>
      </c>
      <c r="G115" s="7">
        <v>6.3639324736497012E-3</v>
      </c>
      <c r="H115" s="113">
        <v>7.82</v>
      </c>
    </row>
    <row r="116" spans="1:8" ht="17.100000000000001" customHeight="1" x14ac:dyDescent="0.2">
      <c r="A116" s="3">
        <v>8</v>
      </c>
      <c r="B116" s="4" t="s">
        <v>629</v>
      </c>
      <c r="C116" s="4" t="s">
        <v>630</v>
      </c>
      <c r="D116" s="4" t="s">
        <v>582</v>
      </c>
      <c r="E116" s="5">
        <v>1000</v>
      </c>
      <c r="F116" s="6">
        <v>994.00800000000004</v>
      </c>
      <c r="G116" s="7">
        <v>6.3381528501725787E-3</v>
      </c>
      <c r="H116" s="113">
        <v>7.7450000000000001</v>
      </c>
    </row>
    <row r="117" spans="1:8" ht="17.100000000000001" customHeight="1" x14ac:dyDescent="0.2">
      <c r="A117" s="3">
        <v>9</v>
      </c>
      <c r="B117" s="4" t="s">
        <v>693</v>
      </c>
      <c r="C117" s="4" t="s">
        <v>979</v>
      </c>
      <c r="D117" s="4" t="s">
        <v>582</v>
      </c>
      <c r="E117" s="5">
        <v>100</v>
      </c>
      <c r="F117" s="6">
        <v>993.971</v>
      </c>
      <c r="G117" s="7">
        <v>6.337916924852605E-3</v>
      </c>
      <c r="H117" s="113">
        <v>8.0397999999999996</v>
      </c>
    </row>
    <row r="118" spans="1:8" ht="29.1" customHeight="1" x14ac:dyDescent="0.2">
      <c r="A118" s="3">
        <v>10</v>
      </c>
      <c r="B118" s="4" t="s">
        <v>635</v>
      </c>
      <c r="C118" s="4" t="s">
        <v>636</v>
      </c>
      <c r="D118" s="4" t="s">
        <v>582</v>
      </c>
      <c r="E118" s="5">
        <v>100</v>
      </c>
      <c r="F118" s="6">
        <v>991.87</v>
      </c>
      <c r="G118" s="7">
        <v>6.3245201924940998E-3</v>
      </c>
      <c r="H118" s="113">
        <v>7.76</v>
      </c>
    </row>
    <row r="119" spans="1:8" ht="17.100000000000001" customHeight="1" x14ac:dyDescent="0.2">
      <c r="A119" s="3">
        <v>11</v>
      </c>
      <c r="B119" s="4" t="s">
        <v>600</v>
      </c>
      <c r="C119" s="4" t="s">
        <v>601</v>
      </c>
      <c r="D119" s="4" t="s">
        <v>582</v>
      </c>
      <c r="E119" s="5">
        <v>50</v>
      </c>
      <c r="F119" s="6">
        <v>502.36099999999999</v>
      </c>
      <c r="G119" s="7">
        <v>3.2032345856024768E-3</v>
      </c>
      <c r="H119" s="113">
        <v>7.79</v>
      </c>
    </row>
    <row r="120" spans="1:8" ht="29.1" customHeight="1" x14ac:dyDescent="0.2">
      <c r="A120" s="3">
        <v>12</v>
      </c>
      <c r="B120" s="4" t="s">
        <v>640</v>
      </c>
      <c r="C120" s="4" t="s">
        <v>641</v>
      </c>
      <c r="D120" s="4" t="s">
        <v>582</v>
      </c>
      <c r="E120" s="5">
        <v>30</v>
      </c>
      <c r="F120" s="6">
        <v>295.62180000000001</v>
      </c>
      <c r="G120" s="7">
        <v>1.8849910204376103E-3</v>
      </c>
      <c r="H120" s="113">
        <v>7.82</v>
      </c>
    </row>
    <row r="121" spans="1:8" ht="29.1" customHeight="1" x14ac:dyDescent="0.2">
      <c r="A121" s="3">
        <v>13</v>
      </c>
      <c r="B121" s="4" t="s">
        <v>694</v>
      </c>
      <c r="C121" s="4" t="s">
        <v>695</v>
      </c>
      <c r="D121" s="4" t="s">
        <v>582</v>
      </c>
      <c r="E121" s="5">
        <v>10</v>
      </c>
      <c r="F121" s="6">
        <v>100.105</v>
      </c>
      <c r="G121" s="7">
        <v>6.3830551772875671E-4</v>
      </c>
      <c r="H121" s="113">
        <v>7.45</v>
      </c>
    </row>
    <row r="122" spans="1:8" ht="14.1" customHeight="1" x14ac:dyDescent="0.2">
      <c r="A122" s="1"/>
      <c r="B122" s="1"/>
      <c r="C122" s="2" t="s">
        <v>151</v>
      </c>
      <c r="D122" s="1"/>
      <c r="E122" s="1" t="s">
        <v>152</v>
      </c>
      <c r="F122" s="9">
        <v>13866.6338</v>
      </c>
      <c r="G122" s="10">
        <v>8.8418649087099344E-2</v>
      </c>
      <c r="H122" s="113"/>
    </row>
    <row r="123" spans="1:8" ht="14.1" customHeight="1" x14ac:dyDescent="0.2">
      <c r="A123" s="1"/>
      <c r="B123" s="1"/>
      <c r="C123" s="11"/>
      <c r="D123" s="1"/>
      <c r="E123" s="1"/>
      <c r="F123" s="12"/>
      <c r="G123" s="12"/>
      <c r="H123" s="113"/>
    </row>
    <row r="124" spans="1:8" ht="14.1" customHeight="1" x14ac:dyDescent="0.2">
      <c r="A124" s="1"/>
      <c r="B124" s="1"/>
      <c r="C124" s="2" t="s">
        <v>161</v>
      </c>
      <c r="D124" s="1"/>
      <c r="E124" s="1"/>
      <c r="F124" s="1"/>
      <c r="G124" s="1"/>
      <c r="H124" s="113"/>
    </row>
    <row r="125" spans="1:8" ht="14.1" customHeight="1" x14ac:dyDescent="0.2">
      <c r="A125" s="1"/>
      <c r="B125" s="1"/>
      <c r="C125" s="2" t="s">
        <v>151</v>
      </c>
      <c r="D125" s="1"/>
      <c r="E125" s="1" t="s">
        <v>152</v>
      </c>
      <c r="F125" s="13" t="s">
        <v>154</v>
      </c>
      <c r="G125" s="10">
        <v>0</v>
      </c>
      <c r="H125" s="113"/>
    </row>
    <row r="126" spans="1:8" ht="14.1" customHeight="1" x14ac:dyDescent="0.2">
      <c r="A126" s="1"/>
      <c r="B126" s="1"/>
      <c r="C126" s="11"/>
      <c r="D126" s="1"/>
      <c r="E126" s="1"/>
      <c r="F126" s="12"/>
      <c r="G126" s="12"/>
      <c r="H126" s="113"/>
    </row>
    <row r="127" spans="1:8" ht="14.1" customHeight="1" x14ac:dyDescent="0.2">
      <c r="A127" s="1"/>
      <c r="B127" s="1"/>
      <c r="C127" s="2" t="s">
        <v>162</v>
      </c>
      <c r="D127" s="1"/>
      <c r="E127" s="1"/>
      <c r="F127" s="1"/>
      <c r="G127" s="1"/>
      <c r="H127" s="113"/>
    </row>
    <row r="128" spans="1:8" ht="29.1" customHeight="1" x14ac:dyDescent="0.2">
      <c r="A128" s="3">
        <v>1</v>
      </c>
      <c r="B128" s="4" t="s">
        <v>648</v>
      </c>
      <c r="C128" s="40" t="s">
        <v>1026</v>
      </c>
      <c r="D128" s="4" t="s">
        <v>644</v>
      </c>
      <c r="E128" s="5">
        <v>4000000</v>
      </c>
      <c r="F128" s="6">
        <v>4035.46</v>
      </c>
      <c r="G128" s="7">
        <v>2.5731545722728021E-2</v>
      </c>
      <c r="H128" s="113">
        <v>7.2115999999999998</v>
      </c>
    </row>
    <row r="129" spans="1:8" ht="29.1" customHeight="1" x14ac:dyDescent="0.2">
      <c r="A129" s="3">
        <v>2</v>
      </c>
      <c r="B129" s="4" t="s">
        <v>642</v>
      </c>
      <c r="C129" s="4" t="s">
        <v>643</v>
      </c>
      <c r="D129" s="4" t="s">
        <v>644</v>
      </c>
      <c r="E129" s="5">
        <v>3500000</v>
      </c>
      <c r="F129" s="6">
        <v>3515.6624999999999</v>
      </c>
      <c r="G129" s="7">
        <v>2.2417129735997951E-2</v>
      </c>
      <c r="H129" s="113">
        <v>7.3198999999999996</v>
      </c>
    </row>
    <row r="130" spans="1:8" ht="29.1" customHeight="1" x14ac:dyDescent="0.2">
      <c r="A130" s="3">
        <v>3</v>
      </c>
      <c r="B130" s="4" t="s">
        <v>645</v>
      </c>
      <c r="C130" s="4" t="s">
        <v>646</v>
      </c>
      <c r="D130" s="4" t="s">
        <v>644</v>
      </c>
      <c r="E130" s="5">
        <v>3000000</v>
      </c>
      <c r="F130" s="6">
        <v>3035.8409999999999</v>
      </c>
      <c r="G130" s="7">
        <v>1.9357615116599433E-2</v>
      </c>
      <c r="H130" s="113">
        <v>7.3977000000000004</v>
      </c>
    </row>
    <row r="131" spans="1:8" ht="29.1" customHeight="1" x14ac:dyDescent="0.2">
      <c r="A131" s="3">
        <v>4</v>
      </c>
      <c r="B131" s="4" t="s">
        <v>696</v>
      </c>
      <c r="C131" s="4" t="s">
        <v>697</v>
      </c>
      <c r="D131" s="4" t="s">
        <v>644</v>
      </c>
      <c r="E131" s="5">
        <v>2000000</v>
      </c>
      <c r="F131" s="6">
        <v>1950.43</v>
      </c>
      <c r="G131" s="7">
        <v>1.2436643833411906E-2</v>
      </c>
      <c r="H131" s="113">
        <v>7.1624999999999996</v>
      </c>
    </row>
    <row r="132" spans="1:8" ht="29.1" customHeight="1" x14ac:dyDescent="0.2">
      <c r="A132" s="3">
        <v>5</v>
      </c>
      <c r="B132" s="4" t="s">
        <v>647</v>
      </c>
      <c r="C132" s="40" t="s">
        <v>972</v>
      </c>
      <c r="D132" s="4" t="s">
        <v>644</v>
      </c>
      <c r="E132" s="5">
        <v>1500000</v>
      </c>
      <c r="F132" s="6">
        <v>1500.2384999999999</v>
      </c>
      <c r="G132" s="7">
        <v>9.5660607607923002E-3</v>
      </c>
      <c r="H132" s="113">
        <v>7.3047000000000004</v>
      </c>
    </row>
    <row r="133" spans="1:8" ht="25.5" x14ac:dyDescent="0.2">
      <c r="A133" s="3">
        <v>6</v>
      </c>
      <c r="B133" s="4" t="s">
        <v>698</v>
      </c>
      <c r="C133" s="40" t="s">
        <v>973</v>
      </c>
      <c r="D133" s="4" t="s">
        <v>644</v>
      </c>
      <c r="E133" s="5">
        <v>1000000</v>
      </c>
      <c r="F133" s="6">
        <v>1009.615</v>
      </c>
      <c r="G133" s="7">
        <v>6.4376687006814717E-3</v>
      </c>
      <c r="H133" s="113">
        <v>7.2655000000000003</v>
      </c>
    </row>
    <row r="134" spans="1:8" ht="29.1" customHeight="1" x14ac:dyDescent="0.2">
      <c r="A134" s="3">
        <v>7</v>
      </c>
      <c r="B134" s="4" t="s">
        <v>699</v>
      </c>
      <c r="C134" s="40" t="s">
        <v>974</v>
      </c>
      <c r="D134" s="4" t="s">
        <v>644</v>
      </c>
      <c r="E134" s="5">
        <v>1000000</v>
      </c>
      <c r="F134" s="6">
        <v>1001.448</v>
      </c>
      <c r="G134" s="7">
        <v>6.3855929685672835E-3</v>
      </c>
      <c r="H134" s="113">
        <v>7.2653999999999996</v>
      </c>
    </row>
    <row r="135" spans="1:8" ht="41.1" customHeight="1" x14ac:dyDescent="0.2">
      <c r="A135" s="3">
        <v>8</v>
      </c>
      <c r="B135" s="4" t="s">
        <v>654</v>
      </c>
      <c r="C135" s="40" t="s">
        <v>969</v>
      </c>
      <c r="D135" s="4" t="s">
        <v>644</v>
      </c>
      <c r="E135" s="5">
        <v>500000</v>
      </c>
      <c r="F135" s="6">
        <v>497.08199999999999</v>
      </c>
      <c r="G135" s="7">
        <v>3.1695737811662339E-3</v>
      </c>
      <c r="H135" s="113">
        <v>7.593200613051386</v>
      </c>
    </row>
    <row r="136" spans="1:8" ht="29.1" customHeight="1" x14ac:dyDescent="0.2">
      <c r="A136" s="3">
        <v>9</v>
      </c>
      <c r="B136" s="4" t="s">
        <v>652</v>
      </c>
      <c r="C136" s="4" t="s">
        <v>653</v>
      </c>
      <c r="D136" s="4" t="s">
        <v>644</v>
      </c>
      <c r="E136" s="5">
        <v>500000</v>
      </c>
      <c r="F136" s="6">
        <v>483.14949999999999</v>
      </c>
      <c r="G136" s="7">
        <v>3.0807351454761492E-3</v>
      </c>
      <c r="H136" s="113">
        <v>7.1773999999999996</v>
      </c>
    </row>
    <row r="137" spans="1:8" ht="29.1" customHeight="1" x14ac:dyDescent="0.2">
      <c r="A137" s="3">
        <v>10</v>
      </c>
      <c r="B137" s="4" t="s">
        <v>656</v>
      </c>
      <c r="C137" s="4" t="s">
        <v>657</v>
      </c>
      <c r="D137" s="4" t="s">
        <v>644</v>
      </c>
      <c r="E137" s="5">
        <v>100000</v>
      </c>
      <c r="F137" s="6">
        <v>101.1275</v>
      </c>
      <c r="G137" s="7">
        <v>6.4482534582802899E-4</v>
      </c>
      <c r="H137" s="113">
        <v>7.5425000000000004</v>
      </c>
    </row>
    <row r="138" spans="1:8" ht="29.1" customHeight="1" x14ac:dyDescent="0.2">
      <c r="A138" s="3">
        <v>11</v>
      </c>
      <c r="B138" s="4" t="s">
        <v>658</v>
      </c>
      <c r="C138" s="4" t="s">
        <v>659</v>
      </c>
      <c r="D138" s="4" t="s">
        <v>644</v>
      </c>
      <c r="E138" s="5">
        <v>100000</v>
      </c>
      <c r="F138" s="6">
        <v>100.76309999999999</v>
      </c>
      <c r="G138" s="7">
        <v>6.4250180024428834E-4</v>
      </c>
      <c r="H138" s="113">
        <v>7.5217000000000001</v>
      </c>
    </row>
    <row r="139" spans="1:8" ht="29.1" customHeight="1" x14ac:dyDescent="0.2">
      <c r="A139" s="3">
        <v>12</v>
      </c>
      <c r="B139" s="4" t="s">
        <v>660</v>
      </c>
      <c r="C139" s="4" t="s">
        <v>661</v>
      </c>
      <c r="D139" s="4" t="s">
        <v>644</v>
      </c>
      <c r="E139" s="5">
        <v>100000</v>
      </c>
      <c r="F139" s="6">
        <v>100.6841</v>
      </c>
      <c r="G139" s="7">
        <v>6.4199806780434457E-4</v>
      </c>
      <c r="H139" s="113">
        <v>7.532</v>
      </c>
    </row>
    <row r="140" spans="1:8" ht="14.1" customHeight="1" x14ac:dyDescent="0.2">
      <c r="A140" s="1"/>
      <c r="B140" s="1"/>
      <c r="C140" s="2" t="s">
        <v>151</v>
      </c>
      <c r="D140" s="1"/>
      <c r="E140" s="1" t="s">
        <v>152</v>
      </c>
      <c r="F140" s="9">
        <v>17331.501199999999</v>
      </c>
      <c r="G140" s="10">
        <v>0.11051189097929742</v>
      </c>
      <c r="H140" s="113"/>
    </row>
    <row r="141" spans="1:8" ht="14.1" customHeight="1" x14ac:dyDescent="0.2">
      <c r="A141" s="1"/>
      <c r="B141" s="1"/>
      <c r="C141" s="11"/>
      <c r="D141" s="1"/>
      <c r="E141" s="1"/>
      <c r="F141" s="12"/>
      <c r="G141" s="12"/>
      <c r="H141" s="113"/>
    </row>
    <row r="142" spans="1:8" ht="14.1" customHeight="1" x14ac:dyDescent="0.2">
      <c r="A142" s="1"/>
      <c r="B142" s="1"/>
      <c r="C142" s="2" t="s">
        <v>163</v>
      </c>
      <c r="D142" s="1"/>
      <c r="E142" s="1"/>
      <c r="F142" s="12"/>
      <c r="G142" s="12"/>
      <c r="H142" s="113"/>
    </row>
    <row r="143" spans="1:8" ht="14.1" customHeight="1" x14ac:dyDescent="0.2">
      <c r="A143" s="1"/>
      <c r="B143" s="1"/>
      <c r="C143" s="2" t="s">
        <v>151</v>
      </c>
      <c r="D143" s="1"/>
      <c r="E143" s="1" t="s">
        <v>152</v>
      </c>
      <c r="F143" s="13" t="s">
        <v>154</v>
      </c>
      <c r="G143" s="10">
        <v>0</v>
      </c>
      <c r="H143" s="113"/>
    </row>
    <row r="144" spans="1:8" ht="14.1" customHeight="1" x14ac:dyDescent="0.2">
      <c r="A144" s="1"/>
      <c r="B144" s="1"/>
      <c r="C144" s="11"/>
      <c r="D144" s="1"/>
      <c r="E144" s="1"/>
      <c r="F144" s="12"/>
      <c r="G144" s="12"/>
      <c r="H144" s="113"/>
    </row>
    <row r="145" spans="1:8" ht="14.1" customHeight="1" x14ac:dyDescent="0.2">
      <c r="A145" s="1"/>
      <c r="B145" s="1"/>
      <c r="C145" s="2" t="s">
        <v>164</v>
      </c>
      <c r="D145" s="1"/>
      <c r="E145" s="1"/>
      <c r="F145" s="9">
        <v>31198.134999999998</v>
      </c>
      <c r="G145" s="10">
        <v>0.19893054006639677</v>
      </c>
      <c r="H145" s="113"/>
    </row>
    <row r="146" spans="1:8" ht="14.1" customHeight="1" x14ac:dyDescent="0.2">
      <c r="A146" s="1"/>
      <c r="B146" s="1"/>
      <c r="C146" s="11"/>
      <c r="D146" s="1"/>
      <c r="E146" s="1"/>
      <c r="F146" s="12"/>
      <c r="G146" s="12"/>
      <c r="H146" s="113"/>
    </row>
    <row r="147" spans="1:8" ht="14.1" customHeight="1" x14ac:dyDescent="0.2">
      <c r="A147" s="1"/>
      <c r="B147" s="1"/>
      <c r="C147" s="2" t="s">
        <v>165</v>
      </c>
      <c r="D147" s="1"/>
      <c r="E147" s="1"/>
      <c r="F147" s="12"/>
      <c r="G147" s="12"/>
      <c r="H147" s="113"/>
    </row>
    <row r="148" spans="1:8" ht="14.1" customHeight="1" x14ac:dyDescent="0.2">
      <c r="A148" s="1"/>
      <c r="B148" s="1"/>
      <c r="C148" s="2" t="s">
        <v>166</v>
      </c>
      <c r="D148" s="1"/>
      <c r="E148" s="1"/>
      <c r="F148" s="12"/>
      <c r="G148" s="12"/>
      <c r="H148" s="113"/>
    </row>
    <row r="149" spans="1:8" ht="14.1" customHeight="1" x14ac:dyDescent="0.2">
      <c r="A149" s="1"/>
      <c r="B149" s="1"/>
      <c r="C149" s="2" t="s">
        <v>151</v>
      </c>
      <c r="D149" s="1"/>
      <c r="E149" s="1" t="s">
        <v>152</v>
      </c>
      <c r="F149" s="13" t="s">
        <v>154</v>
      </c>
      <c r="G149" s="10">
        <v>0</v>
      </c>
      <c r="H149" s="113"/>
    </row>
    <row r="150" spans="1:8" ht="14.1" customHeight="1" x14ac:dyDescent="0.2">
      <c r="A150" s="1"/>
      <c r="B150" s="1"/>
      <c r="C150" s="11"/>
      <c r="D150" s="1"/>
      <c r="E150" s="1"/>
      <c r="F150" s="12"/>
      <c r="G150" s="12"/>
      <c r="H150" s="113"/>
    </row>
    <row r="151" spans="1:8" ht="14.1" customHeight="1" x14ac:dyDescent="0.2">
      <c r="A151" s="1"/>
      <c r="B151" s="1"/>
      <c r="C151" s="2" t="s">
        <v>167</v>
      </c>
      <c r="D151" s="1"/>
      <c r="E151" s="1"/>
      <c r="F151" s="12"/>
      <c r="G151" s="12"/>
      <c r="H151" s="113"/>
    </row>
    <row r="152" spans="1:8" ht="14.1" customHeight="1" x14ac:dyDescent="0.2">
      <c r="A152" s="1"/>
      <c r="B152" s="1"/>
      <c r="C152" s="2" t="s">
        <v>151</v>
      </c>
      <c r="D152" s="1"/>
      <c r="E152" s="1" t="s">
        <v>152</v>
      </c>
      <c r="F152" s="13" t="s">
        <v>154</v>
      </c>
      <c r="G152" s="10">
        <v>0</v>
      </c>
      <c r="H152" s="113"/>
    </row>
    <row r="153" spans="1:8" ht="14.1" customHeight="1" x14ac:dyDescent="0.2">
      <c r="A153" s="1"/>
      <c r="B153" s="1"/>
      <c r="C153" s="11"/>
      <c r="D153" s="1"/>
      <c r="E153" s="1"/>
      <c r="F153" s="12"/>
      <c r="G153" s="12"/>
      <c r="H153" s="113"/>
    </row>
    <row r="154" spans="1:8" ht="14.1" customHeight="1" x14ac:dyDescent="0.2">
      <c r="A154" s="1"/>
      <c r="B154" s="1"/>
      <c r="C154" s="2" t="s">
        <v>168</v>
      </c>
      <c r="D154" s="1"/>
      <c r="E154" s="1"/>
      <c r="F154" s="12"/>
      <c r="G154" s="12"/>
      <c r="H154" s="113"/>
    </row>
    <row r="155" spans="1:8" ht="14.1" customHeight="1" x14ac:dyDescent="0.2">
      <c r="A155" s="1"/>
      <c r="B155" s="1"/>
      <c r="C155" s="2" t="s">
        <v>151</v>
      </c>
      <c r="D155" s="1"/>
      <c r="E155" s="1" t="s">
        <v>152</v>
      </c>
      <c r="F155" s="13" t="s">
        <v>154</v>
      </c>
      <c r="G155" s="10">
        <v>0</v>
      </c>
      <c r="H155" s="113"/>
    </row>
    <row r="156" spans="1:8" ht="14.1" customHeight="1" x14ac:dyDescent="0.2">
      <c r="A156" s="1"/>
      <c r="B156" s="1"/>
      <c r="C156" s="11"/>
      <c r="D156" s="1"/>
      <c r="E156" s="1"/>
      <c r="F156" s="12"/>
      <c r="G156" s="12"/>
      <c r="H156" s="113"/>
    </row>
    <row r="157" spans="1:8" ht="14.1" customHeight="1" x14ac:dyDescent="0.2">
      <c r="A157" s="1"/>
      <c r="B157" s="1"/>
      <c r="C157" s="2" t="s">
        <v>169</v>
      </c>
      <c r="D157" s="1"/>
      <c r="E157" s="1"/>
      <c r="F157" s="12"/>
      <c r="G157" s="12"/>
      <c r="H157" s="113"/>
    </row>
    <row r="158" spans="1:8" ht="17.100000000000001" customHeight="1" x14ac:dyDescent="0.2">
      <c r="A158" s="3">
        <v>1</v>
      </c>
      <c r="B158" s="4"/>
      <c r="C158" s="4" t="s">
        <v>170</v>
      </c>
      <c r="D158" s="4"/>
      <c r="E158" s="8"/>
      <c r="F158" s="6">
        <v>901.96550100100001</v>
      </c>
      <c r="G158" s="7">
        <v>5.7512567413208204E-3</v>
      </c>
      <c r="H158" s="113">
        <v>6.7600000000000016</v>
      </c>
    </row>
    <row r="159" spans="1:8" ht="14.1" customHeight="1" x14ac:dyDescent="0.2">
      <c r="A159" s="1"/>
      <c r="B159" s="1"/>
      <c r="C159" s="2" t="s">
        <v>151</v>
      </c>
      <c r="D159" s="1"/>
      <c r="E159" s="1" t="s">
        <v>152</v>
      </c>
      <c r="F159" s="9">
        <v>901.96550100100001</v>
      </c>
      <c r="G159" s="10">
        <v>5.7512567413208204E-3</v>
      </c>
      <c r="H159" s="113"/>
    </row>
    <row r="160" spans="1:8" ht="14.1" customHeight="1" x14ac:dyDescent="0.2">
      <c r="A160" s="1"/>
      <c r="B160" s="1"/>
      <c r="C160" s="11"/>
      <c r="D160" s="1"/>
      <c r="E160" s="1"/>
      <c r="F160" s="12"/>
      <c r="G160" s="12"/>
      <c r="H160" s="113"/>
    </row>
    <row r="161" spans="1:8" ht="14.1" customHeight="1" x14ac:dyDescent="0.2">
      <c r="A161" s="1"/>
      <c r="B161" s="1"/>
      <c r="C161" s="2" t="s">
        <v>171</v>
      </c>
      <c r="D161" s="1"/>
      <c r="E161" s="1"/>
      <c r="F161" s="9">
        <v>901.96550100100001</v>
      </c>
      <c r="G161" s="10">
        <v>5.7512567413208204E-3</v>
      </c>
      <c r="H161" s="113"/>
    </row>
    <row r="162" spans="1:8" ht="14.1" customHeight="1" x14ac:dyDescent="0.2">
      <c r="A162" s="1"/>
      <c r="B162" s="1"/>
      <c r="C162" s="12"/>
      <c r="D162" s="1"/>
      <c r="E162" s="1"/>
      <c r="F162" s="1"/>
      <c r="G162" s="1"/>
      <c r="H162" s="113"/>
    </row>
    <row r="163" spans="1:8" ht="14.1" customHeight="1" x14ac:dyDescent="0.2">
      <c r="A163" s="1"/>
      <c r="B163" s="1"/>
      <c r="C163" s="2" t="s">
        <v>172</v>
      </c>
      <c r="D163" s="1"/>
      <c r="E163" s="1"/>
      <c r="F163" s="1"/>
      <c r="G163" s="1"/>
      <c r="H163" s="113"/>
    </row>
    <row r="164" spans="1:8" ht="14.1" customHeight="1" x14ac:dyDescent="0.2">
      <c r="A164" s="1"/>
      <c r="B164" s="1"/>
      <c r="C164" s="2" t="s">
        <v>173</v>
      </c>
      <c r="D164" s="1"/>
      <c r="E164" s="1"/>
      <c r="F164" s="1"/>
      <c r="G164" s="1"/>
      <c r="H164" s="113"/>
    </row>
    <row r="165" spans="1:8" ht="14.1" customHeight="1" x14ac:dyDescent="0.2">
      <c r="A165" s="1"/>
      <c r="B165" s="1"/>
      <c r="C165" s="2" t="s">
        <v>151</v>
      </c>
      <c r="D165" s="1"/>
      <c r="E165" s="1" t="s">
        <v>152</v>
      </c>
      <c r="F165" s="13" t="s">
        <v>154</v>
      </c>
      <c r="G165" s="10">
        <v>0</v>
      </c>
      <c r="H165" s="113"/>
    </row>
    <row r="166" spans="1:8" ht="14.1" customHeight="1" x14ac:dyDescent="0.2">
      <c r="A166" s="1"/>
      <c r="B166" s="1"/>
      <c r="C166" s="11"/>
      <c r="D166" s="1"/>
      <c r="E166" s="1"/>
      <c r="F166" s="12"/>
      <c r="G166" s="12"/>
      <c r="H166" s="113"/>
    </row>
    <row r="167" spans="1:8" ht="14.1" customHeight="1" x14ac:dyDescent="0.2">
      <c r="A167" s="1"/>
      <c r="B167" s="1"/>
      <c r="C167" s="2" t="s">
        <v>174</v>
      </c>
      <c r="D167" s="1"/>
      <c r="E167" s="1"/>
      <c r="F167" s="1"/>
      <c r="G167" s="1"/>
      <c r="H167" s="113"/>
    </row>
    <row r="168" spans="1:8" ht="14.1" customHeight="1" x14ac:dyDescent="0.2">
      <c r="A168" s="1"/>
      <c r="B168" s="1"/>
      <c r="C168" s="2" t="s">
        <v>175</v>
      </c>
      <c r="D168" s="1"/>
      <c r="E168" s="1"/>
      <c r="F168" s="1"/>
      <c r="G168" s="1"/>
      <c r="H168" s="113"/>
    </row>
    <row r="169" spans="1:8" ht="14.1" customHeight="1" x14ac:dyDescent="0.2">
      <c r="A169" s="1"/>
      <c r="B169" s="1"/>
      <c r="C169" s="2" t="s">
        <v>151</v>
      </c>
      <c r="D169" s="1"/>
      <c r="E169" s="1" t="s">
        <v>152</v>
      </c>
      <c r="F169" s="13" t="s">
        <v>154</v>
      </c>
      <c r="G169" s="10">
        <v>0</v>
      </c>
      <c r="H169" s="113"/>
    </row>
    <row r="170" spans="1:8" ht="14.1" customHeight="1" x14ac:dyDescent="0.2">
      <c r="A170" s="1"/>
      <c r="B170" s="1"/>
      <c r="C170" s="11"/>
      <c r="D170" s="1"/>
      <c r="E170" s="1"/>
      <c r="F170" s="12"/>
      <c r="G170" s="12"/>
      <c r="H170" s="113"/>
    </row>
    <row r="171" spans="1:8" ht="24" customHeight="1" x14ac:dyDescent="0.2">
      <c r="A171" s="1"/>
      <c r="B171" s="1"/>
      <c r="C171" s="2" t="s">
        <v>176</v>
      </c>
      <c r="D171" s="1"/>
      <c r="E171" s="1"/>
      <c r="F171" s="12"/>
      <c r="G171" s="12"/>
      <c r="H171" s="113"/>
    </row>
    <row r="172" spans="1:8" ht="14.1" customHeight="1" x14ac:dyDescent="0.2">
      <c r="A172" s="1"/>
      <c r="B172" s="1"/>
      <c r="C172" s="2" t="s">
        <v>151</v>
      </c>
      <c r="D172" s="1"/>
      <c r="E172" s="1" t="s">
        <v>152</v>
      </c>
      <c r="F172" s="13" t="s">
        <v>154</v>
      </c>
      <c r="G172" s="10">
        <v>0</v>
      </c>
      <c r="H172" s="113"/>
    </row>
    <row r="173" spans="1:8" ht="14.1" customHeight="1" x14ac:dyDescent="0.2">
      <c r="A173" s="1"/>
      <c r="B173" s="1"/>
      <c r="C173" s="11"/>
      <c r="D173" s="1"/>
      <c r="E173" s="1"/>
      <c r="F173" s="12"/>
      <c r="G173" s="12"/>
      <c r="H173" s="113"/>
    </row>
    <row r="174" spans="1:8" ht="18" customHeight="1" x14ac:dyDescent="0.2">
      <c r="A174" s="8"/>
      <c r="B174" s="4"/>
      <c r="C174" s="4" t="s">
        <v>687</v>
      </c>
      <c r="D174" s="4"/>
      <c r="E174" s="8"/>
      <c r="F174" s="6">
        <v>3211.7025898000002</v>
      </c>
      <c r="G174" s="7">
        <v>2.0478971923211405E-2</v>
      </c>
      <c r="H174" s="113"/>
    </row>
    <row r="175" spans="1:8" ht="18" customHeight="1" x14ac:dyDescent="0.2">
      <c r="A175" s="8"/>
      <c r="B175" s="4"/>
      <c r="C175" s="40" t="s">
        <v>982</v>
      </c>
      <c r="D175" s="4"/>
      <c r="E175" s="8"/>
      <c r="F175" s="6">
        <v>765.407213828983</v>
      </c>
      <c r="G175" s="7">
        <v>4.8805120440917251E-3</v>
      </c>
      <c r="H175" s="113"/>
    </row>
    <row r="176" spans="1:8" ht="14.1" customHeight="1" x14ac:dyDescent="0.2">
      <c r="A176" s="11"/>
      <c r="B176" s="11"/>
      <c r="C176" s="2" t="s">
        <v>178</v>
      </c>
      <c r="D176" s="12"/>
      <c r="E176" s="12"/>
      <c r="F176" s="9">
        <v>156829.28818462999</v>
      </c>
      <c r="G176" s="14">
        <v>0.99999999999999989</v>
      </c>
      <c r="H176" s="113"/>
    </row>
    <row r="177" spans="1:14" ht="14.1" customHeight="1" x14ac:dyDescent="0.25">
      <c r="A177" s="15"/>
      <c r="B177" s="15"/>
      <c r="C177" s="15"/>
      <c r="D177" s="16"/>
      <c r="E177" s="16"/>
      <c r="F177" s="16"/>
      <c r="G177" s="16"/>
      <c r="I177" s="59"/>
    </row>
    <row r="178" spans="1:14" ht="14.1" customHeight="1" x14ac:dyDescent="0.2">
      <c r="A178" s="45"/>
      <c r="B178" s="217" t="s">
        <v>980</v>
      </c>
      <c r="C178" s="217"/>
      <c r="D178" s="217"/>
      <c r="E178" s="217"/>
      <c r="F178" s="217"/>
      <c r="G178" s="48"/>
    </row>
    <row r="179" spans="1:14" ht="17.100000000000001" customHeight="1" x14ac:dyDescent="0.2">
      <c r="A179" s="45"/>
      <c r="B179" s="217" t="s">
        <v>981</v>
      </c>
      <c r="C179" s="217"/>
      <c r="D179" s="217"/>
      <c r="E179" s="217"/>
      <c r="F179" s="217"/>
      <c r="G179" s="48"/>
    </row>
    <row r="180" spans="1:14" s="59" customFormat="1" ht="69.75" customHeight="1" x14ac:dyDescent="0.25">
      <c r="A180" s="57"/>
      <c r="B180" s="219" t="s">
        <v>970</v>
      </c>
      <c r="C180" s="219"/>
      <c r="D180" s="219"/>
      <c r="E180" s="219"/>
      <c r="F180" s="219"/>
      <c r="G180" s="58"/>
      <c r="I180"/>
      <c r="J180"/>
      <c r="K180"/>
      <c r="L180"/>
      <c r="M180"/>
      <c r="N180"/>
    </row>
    <row r="181" spans="1:14" ht="14.1" customHeight="1" x14ac:dyDescent="0.2">
      <c r="A181" s="45"/>
      <c r="B181" s="238" t="s">
        <v>1025</v>
      </c>
      <c r="C181" s="238"/>
      <c r="D181" s="238"/>
      <c r="E181" s="238"/>
      <c r="F181" s="238"/>
      <c r="G181" s="48"/>
    </row>
    <row r="182" spans="1:14" ht="14.1" customHeight="1" x14ac:dyDescent="0.2">
      <c r="A182" s="17"/>
      <c r="B182" s="17"/>
      <c r="C182" s="17"/>
      <c r="D182" s="19"/>
      <c r="E182" s="19"/>
      <c r="F182" s="19"/>
      <c r="G182" s="19"/>
    </row>
    <row r="183" spans="1:14" ht="14.1" customHeight="1" x14ac:dyDescent="0.2">
      <c r="A183" s="17"/>
      <c r="B183" s="208" t="s">
        <v>180</v>
      </c>
      <c r="C183" s="209"/>
      <c r="D183" s="210"/>
      <c r="E183" s="20"/>
      <c r="F183" s="19"/>
      <c r="G183" s="19"/>
    </row>
    <row r="184" spans="1:14" ht="29.1" customHeight="1" x14ac:dyDescent="0.2">
      <c r="A184" s="17"/>
      <c r="B184" s="205" t="s">
        <v>181</v>
      </c>
      <c r="C184" s="206"/>
      <c r="D184" s="2" t="s">
        <v>182</v>
      </c>
      <c r="E184" s="20"/>
      <c r="F184" s="19"/>
      <c r="G184" s="19"/>
    </row>
    <row r="185" spans="1:14" ht="17.100000000000001" customHeight="1" x14ac:dyDescent="0.2">
      <c r="A185" s="17"/>
      <c r="B185" s="205" t="s">
        <v>183</v>
      </c>
      <c r="C185" s="206"/>
      <c r="D185" s="2" t="s">
        <v>182</v>
      </c>
      <c r="E185" s="20"/>
      <c r="F185" s="19"/>
      <c r="G185" s="19"/>
    </row>
    <row r="186" spans="1:14" ht="17.100000000000001" customHeight="1" x14ac:dyDescent="0.2">
      <c r="A186" s="17"/>
      <c r="B186" s="205" t="s">
        <v>184</v>
      </c>
      <c r="C186" s="206"/>
      <c r="D186" s="12" t="s">
        <v>152</v>
      </c>
      <c r="E186" s="20"/>
      <c r="F186" s="19"/>
      <c r="G186" s="19"/>
    </row>
    <row r="187" spans="1:14" ht="25.5" x14ac:dyDescent="0.2">
      <c r="A187" s="21"/>
      <c r="B187" s="22" t="s">
        <v>152</v>
      </c>
      <c r="C187" s="22" t="s">
        <v>185</v>
      </c>
      <c r="D187" s="22" t="s">
        <v>186</v>
      </c>
      <c r="E187" s="21"/>
      <c r="F187" s="21"/>
      <c r="G187" s="21"/>
    </row>
    <row r="188" spans="1:14" ht="18" customHeight="1" x14ac:dyDescent="0.2">
      <c r="A188" s="21"/>
      <c r="B188" s="23" t="s">
        <v>187</v>
      </c>
      <c r="C188" s="22" t="s">
        <v>188</v>
      </c>
      <c r="D188" s="22" t="s">
        <v>189</v>
      </c>
      <c r="E188" s="21"/>
      <c r="F188" s="21"/>
      <c r="G188" s="21"/>
    </row>
    <row r="189" spans="1:14" ht="17.100000000000001" customHeight="1" x14ac:dyDescent="0.2">
      <c r="A189" s="21"/>
      <c r="B189" s="4" t="s">
        <v>190</v>
      </c>
      <c r="C189" s="24">
        <v>33.328800000000001</v>
      </c>
      <c r="D189" s="24">
        <v>34.883299999999998</v>
      </c>
      <c r="E189" s="21"/>
      <c r="F189" s="18"/>
      <c r="G189" s="25"/>
    </row>
    <row r="190" spans="1:14" ht="29.1" customHeight="1" x14ac:dyDescent="0.2">
      <c r="A190" s="21"/>
      <c r="B190" s="4" t="s">
        <v>1038</v>
      </c>
      <c r="C190" s="24">
        <v>17.444299999999998</v>
      </c>
      <c r="D190" s="24">
        <v>18.161799999999999</v>
      </c>
      <c r="E190" s="21"/>
      <c r="F190" s="18"/>
      <c r="G190" s="25"/>
    </row>
    <row r="191" spans="1:14" ht="17.100000000000001" customHeight="1" x14ac:dyDescent="0.2">
      <c r="A191" s="21"/>
      <c r="B191" s="4" t="s">
        <v>191</v>
      </c>
      <c r="C191" s="24">
        <v>29.084399999999999</v>
      </c>
      <c r="D191" s="24">
        <v>30.402799999999999</v>
      </c>
      <c r="E191" s="21"/>
      <c r="F191" s="18"/>
      <c r="G191" s="25"/>
    </row>
    <row r="192" spans="1:14" ht="29.1" customHeight="1" x14ac:dyDescent="0.2">
      <c r="A192" s="21"/>
      <c r="B192" s="4" t="s">
        <v>1040</v>
      </c>
      <c r="C192" s="24">
        <v>14.614699999999999</v>
      </c>
      <c r="D192" s="24">
        <v>15.196300000000001</v>
      </c>
      <c r="E192" s="21"/>
      <c r="F192" s="18"/>
      <c r="G192" s="25"/>
    </row>
    <row r="193" spans="1:7" ht="14.1" customHeight="1" x14ac:dyDescent="0.2">
      <c r="A193" s="21"/>
      <c r="B193" s="21"/>
      <c r="C193" s="21"/>
      <c r="D193" s="21"/>
      <c r="E193" s="21"/>
      <c r="F193" s="21"/>
      <c r="G193" s="21"/>
    </row>
    <row r="194" spans="1:7" ht="17.100000000000001" customHeight="1" x14ac:dyDescent="0.2">
      <c r="A194" s="21"/>
      <c r="B194" s="205" t="s">
        <v>1035</v>
      </c>
      <c r="C194" s="206"/>
      <c r="D194" s="2" t="s">
        <v>152</v>
      </c>
      <c r="E194" s="21"/>
      <c r="F194" s="21"/>
      <c r="G194" s="21"/>
    </row>
    <row r="195" spans="1:7" ht="18" customHeight="1" x14ac:dyDescent="0.2">
      <c r="A195" s="21"/>
      <c r="B195" s="29" t="s">
        <v>187</v>
      </c>
      <c r="C195" s="30" t="s">
        <v>470</v>
      </c>
      <c r="D195" s="30" t="s">
        <v>471</v>
      </c>
      <c r="E195" s="21"/>
      <c r="F195" s="21"/>
      <c r="G195" s="21"/>
    </row>
    <row r="196" spans="1:7" ht="29.1" customHeight="1" x14ac:dyDescent="0.2">
      <c r="A196" s="21"/>
      <c r="B196" s="4" t="s">
        <v>1038</v>
      </c>
      <c r="C196" s="31">
        <v>9.5000000000000001E-2</v>
      </c>
      <c r="D196" s="8" t="s">
        <v>472</v>
      </c>
      <c r="E196" s="21"/>
      <c r="F196" s="18"/>
      <c r="G196" s="25"/>
    </row>
    <row r="197" spans="1:7" ht="29.1" customHeight="1" x14ac:dyDescent="0.2">
      <c r="A197" s="21"/>
      <c r="B197" s="4" t="s">
        <v>1040</v>
      </c>
      <c r="C197" s="31">
        <v>0.08</v>
      </c>
      <c r="D197" s="31">
        <v>0.08</v>
      </c>
      <c r="E197" s="21"/>
      <c r="F197" s="18"/>
      <c r="G197" s="25"/>
    </row>
    <row r="198" spans="1:7" ht="14.1" customHeight="1" x14ac:dyDescent="0.2">
      <c r="A198" s="21"/>
      <c r="B198" s="32"/>
      <c r="C198" s="32"/>
      <c r="D198" s="33"/>
      <c r="E198" s="21"/>
      <c r="F198" s="18"/>
      <c r="G198" s="25"/>
    </row>
    <row r="199" spans="1:7" ht="29.1" customHeight="1" x14ac:dyDescent="0.2">
      <c r="A199" s="21"/>
      <c r="B199" s="205" t="s">
        <v>192</v>
      </c>
      <c r="C199" s="206"/>
      <c r="D199" s="46" t="s">
        <v>983</v>
      </c>
      <c r="E199" s="27"/>
      <c r="F199" s="21"/>
      <c r="G199" s="21"/>
    </row>
    <row r="200" spans="1:7" ht="29.1" customHeight="1" x14ac:dyDescent="0.2">
      <c r="A200" s="21"/>
      <c r="B200" s="205" t="s">
        <v>193</v>
      </c>
      <c r="C200" s="206"/>
      <c r="D200" s="2" t="s">
        <v>182</v>
      </c>
      <c r="E200" s="27"/>
      <c r="F200" s="21"/>
      <c r="G200" s="21"/>
    </row>
    <row r="201" spans="1:7" ht="17.100000000000001" customHeight="1" x14ac:dyDescent="0.2">
      <c r="A201" s="21"/>
      <c r="B201" s="205" t="s">
        <v>194</v>
      </c>
      <c r="C201" s="206"/>
      <c r="D201" s="2" t="s">
        <v>182</v>
      </c>
      <c r="E201" s="27"/>
      <c r="F201" s="21"/>
      <c r="G201" s="21"/>
    </row>
    <row r="202" spans="1:7" ht="17.100000000000001" customHeight="1" x14ac:dyDescent="0.2">
      <c r="A202" s="21"/>
      <c r="B202" s="205" t="s">
        <v>195</v>
      </c>
      <c r="C202" s="206"/>
      <c r="D202" s="28">
        <v>2.7238088816251711</v>
      </c>
      <c r="E202" s="21"/>
      <c r="F202" s="18"/>
      <c r="G202" s="25"/>
    </row>
    <row r="204" spans="1:7" x14ac:dyDescent="0.2">
      <c r="B204" s="231" t="s">
        <v>1004</v>
      </c>
      <c r="C204" s="232"/>
      <c r="D204" s="233"/>
    </row>
    <row r="205" spans="1:7" ht="25.5" x14ac:dyDescent="0.2">
      <c r="B205" s="234" t="s">
        <v>1005</v>
      </c>
      <c r="C205" s="234"/>
      <c r="D205" s="81" t="s">
        <v>688</v>
      </c>
    </row>
    <row r="206" spans="1:7" x14ac:dyDescent="0.2">
      <c r="B206" s="234" t="s">
        <v>1006</v>
      </c>
      <c r="C206" s="234"/>
      <c r="D206" s="94"/>
    </row>
    <row r="207" spans="1:7" x14ac:dyDescent="0.2">
      <c r="B207" s="235"/>
      <c r="C207" s="236"/>
      <c r="D207" s="82"/>
    </row>
    <row r="208" spans="1:7" x14ac:dyDescent="0.2">
      <c r="B208" s="234" t="s">
        <v>1007</v>
      </c>
      <c r="C208" s="234"/>
      <c r="D208" s="83">
        <v>7.3263986689463936</v>
      </c>
    </row>
    <row r="209" spans="2:4" x14ac:dyDescent="0.2">
      <c r="B209" s="235"/>
      <c r="C209" s="236"/>
      <c r="D209" s="82"/>
    </row>
    <row r="210" spans="2:4" x14ac:dyDescent="0.2">
      <c r="B210" s="234" t="s">
        <v>1008</v>
      </c>
      <c r="C210" s="234"/>
      <c r="D210" s="83">
        <v>3.4748042355669964</v>
      </c>
    </row>
    <row r="211" spans="2:4" x14ac:dyDescent="0.2">
      <c r="B211" s="234" t="s">
        <v>1009</v>
      </c>
      <c r="C211" s="234"/>
      <c r="D211" s="83">
        <v>4.665286986945123</v>
      </c>
    </row>
    <row r="212" spans="2:4" x14ac:dyDescent="0.2">
      <c r="B212" s="235"/>
      <c r="C212" s="236"/>
      <c r="D212" s="82"/>
    </row>
    <row r="213" spans="2:4" x14ac:dyDescent="0.2">
      <c r="B213" s="234" t="s">
        <v>1010</v>
      </c>
      <c r="C213" s="234"/>
      <c r="D213" s="85">
        <v>45291</v>
      </c>
    </row>
    <row r="214" spans="2:4" x14ac:dyDescent="0.2">
      <c r="B214" s="235" t="s">
        <v>1011</v>
      </c>
      <c r="C214" s="237"/>
      <c r="D214" s="236"/>
    </row>
  </sheetData>
  <mergeCells count="28">
    <mergeCell ref="B214:D214"/>
    <mergeCell ref="B181:F181"/>
    <mergeCell ref="B209:C209"/>
    <mergeCell ref="B210:C210"/>
    <mergeCell ref="B211:C211"/>
    <mergeCell ref="B212:C212"/>
    <mergeCell ref="B213:C213"/>
    <mergeCell ref="B204:D204"/>
    <mergeCell ref="B205:C205"/>
    <mergeCell ref="B206:C206"/>
    <mergeCell ref="B207:C207"/>
    <mergeCell ref="B208:C208"/>
    <mergeCell ref="B202:C202"/>
    <mergeCell ref="B185:C185"/>
    <mergeCell ref="B186:C186"/>
    <mergeCell ref="B194:C194"/>
    <mergeCell ref="B199:C199"/>
    <mergeCell ref="B200:C200"/>
    <mergeCell ref="B201:C201"/>
    <mergeCell ref="B184:C184"/>
    <mergeCell ref="B183:D183"/>
    <mergeCell ref="J2:N2"/>
    <mergeCell ref="A1:H1"/>
    <mergeCell ref="B180:F180"/>
    <mergeCell ref="B178:F178"/>
    <mergeCell ref="B179:F179"/>
    <mergeCell ref="A2:H2"/>
    <mergeCell ref="A3:H3"/>
  </mergeCells>
  <hyperlinks>
    <hyperlink ref="I1" location="Index!B17" display="Index" xr:uid="{0FE93A17-18B4-4C9F-9EEC-88F9E77D3A43}"/>
  </hyperlinks>
  <pageMargins left="5.000000074505806E-2" right="5.000000074505806E-2" top="0.30000001192092896" bottom="0.20000000298023224" header="0" footer="0"/>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700</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255000</v>
      </c>
      <c r="F7" s="6">
        <v>4358.5874999999996</v>
      </c>
      <c r="G7" s="7">
        <v>5.9967279999999998E-2</v>
      </c>
      <c r="H7" s="113"/>
    </row>
    <row r="8" spans="1:15" ht="17.100000000000001" customHeight="1" x14ac:dyDescent="0.2">
      <c r="A8" s="3">
        <v>2</v>
      </c>
      <c r="B8" s="4" t="s">
        <v>14</v>
      </c>
      <c r="C8" s="4" t="s">
        <v>15</v>
      </c>
      <c r="D8" s="4" t="s">
        <v>16</v>
      </c>
      <c r="E8" s="5">
        <v>1200000</v>
      </c>
      <c r="F8" s="6">
        <v>3733.8</v>
      </c>
      <c r="G8" s="7">
        <v>5.1371189999999997E-2</v>
      </c>
      <c r="H8" s="113"/>
    </row>
    <row r="9" spans="1:15" ht="17.100000000000001" customHeight="1" x14ac:dyDescent="0.2">
      <c r="A9" s="3">
        <v>3</v>
      </c>
      <c r="B9" s="4" t="s">
        <v>17</v>
      </c>
      <c r="C9" s="4" t="s">
        <v>18</v>
      </c>
      <c r="D9" s="4" t="s">
        <v>19</v>
      </c>
      <c r="E9" s="5">
        <v>110000</v>
      </c>
      <c r="F9" s="6">
        <v>2843.4450000000002</v>
      </c>
      <c r="G9" s="7">
        <v>3.9121309999999999E-2</v>
      </c>
      <c r="H9" s="113"/>
    </row>
    <row r="10" spans="1:15" ht="17.100000000000001" customHeight="1" x14ac:dyDescent="0.2">
      <c r="A10" s="3">
        <v>4</v>
      </c>
      <c r="B10" s="4" t="s">
        <v>323</v>
      </c>
      <c r="C10" s="4" t="s">
        <v>324</v>
      </c>
      <c r="D10" s="4" t="s">
        <v>891</v>
      </c>
      <c r="E10" s="5">
        <v>170000</v>
      </c>
      <c r="F10" s="6">
        <v>2622.93</v>
      </c>
      <c r="G10" s="7">
        <v>3.6087370000000001E-2</v>
      </c>
      <c r="H10" s="113"/>
    </row>
    <row r="11" spans="1:15" ht="17.100000000000001" customHeight="1" x14ac:dyDescent="0.2">
      <c r="A11" s="3">
        <v>5</v>
      </c>
      <c r="B11" s="4" t="s">
        <v>26</v>
      </c>
      <c r="C11" s="4" t="s">
        <v>27</v>
      </c>
      <c r="D11" s="4" t="s">
        <v>28</v>
      </c>
      <c r="E11" s="5">
        <v>235000</v>
      </c>
      <c r="F11" s="6">
        <v>2342.0100000000002</v>
      </c>
      <c r="G11" s="7">
        <v>3.2222359999999999E-2</v>
      </c>
      <c r="H11" s="113"/>
    </row>
    <row r="12" spans="1:15" ht="17.100000000000001" customHeight="1" x14ac:dyDescent="0.2">
      <c r="A12" s="3">
        <v>6</v>
      </c>
      <c r="B12" s="4" t="s">
        <v>348</v>
      </c>
      <c r="C12" s="4" t="s">
        <v>349</v>
      </c>
      <c r="D12" s="4" t="s">
        <v>350</v>
      </c>
      <c r="E12" s="5">
        <v>433000</v>
      </c>
      <c r="F12" s="6">
        <v>2000.893</v>
      </c>
      <c r="G12" s="7">
        <v>2.7529129999999999E-2</v>
      </c>
      <c r="H12" s="113"/>
    </row>
    <row r="13" spans="1:15" ht="17.100000000000001" customHeight="1" x14ac:dyDescent="0.2">
      <c r="A13" s="3">
        <v>7</v>
      </c>
      <c r="B13" s="4" t="s">
        <v>11</v>
      </c>
      <c r="C13" s="4" t="s">
        <v>12</v>
      </c>
      <c r="D13" s="4" t="s">
        <v>13</v>
      </c>
      <c r="E13" s="5">
        <v>54000</v>
      </c>
      <c r="F13" s="6">
        <v>1904.04</v>
      </c>
      <c r="G13" s="7">
        <v>2.6196580000000001E-2</v>
      </c>
      <c r="H13" s="113"/>
    </row>
    <row r="14" spans="1:15" ht="29.1" customHeight="1" x14ac:dyDescent="0.2">
      <c r="A14" s="3">
        <v>8</v>
      </c>
      <c r="B14" s="4" t="s">
        <v>29</v>
      </c>
      <c r="C14" s="4" t="s">
        <v>30</v>
      </c>
      <c r="D14" s="4" t="s">
        <v>31</v>
      </c>
      <c r="E14" s="5">
        <v>940000</v>
      </c>
      <c r="F14" s="6">
        <v>1731.48</v>
      </c>
      <c r="G14" s="7">
        <v>2.3822429999999999E-2</v>
      </c>
      <c r="H14" s="113"/>
      <c r="J14" s="200" t="s">
        <v>1162</v>
      </c>
    </row>
    <row r="15" spans="1:15" ht="17.100000000000001" customHeight="1" x14ac:dyDescent="0.2">
      <c r="A15" s="3">
        <v>9</v>
      </c>
      <c r="B15" s="4" t="s">
        <v>112</v>
      </c>
      <c r="C15" s="4" t="s">
        <v>113</v>
      </c>
      <c r="D15" s="4" t="s">
        <v>114</v>
      </c>
      <c r="E15" s="5">
        <v>450000</v>
      </c>
      <c r="F15" s="6">
        <v>1692</v>
      </c>
      <c r="G15" s="7">
        <v>2.3279250000000001E-2</v>
      </c>
      <c r="H15" s="113"/>
    </row>
    <row r="16" spans="1:15" ht="17.100000000000001" customHeight="1" x14ac:dyDescent="0.2">
      <c r="A16" s="3">
        <v>10</v>
      </c>
      <c r="B16" s="4" t="s">
        <v>110</v>
      </c>
      <c r="C16" s="4" t="s">
        <v>111</v>
      </c>
      <c r="D16" s="4" t="s">
        <v>53</v>
      </c>
      <c r="E16" s="5">
        <v>390000</v>
      </c>
      <c r="F16" s="6">
        <v>1492.14</v>
      </c>
      <c r="G16" s="7">
        <v>2.0529490000000001E-2</v>
      </c>
      <c r="H16" s="113"/>
    </row>
    <row r="17" spans="1:10" ht="17.100000000000001" customHeight="1" x14ac:dyDescent="0.2">
      <c r="A17" s="3">
        <v>11</v>
      </c>
      <c r="B17" s="4" t="s">
        <v>62</v>
      </c>
      <c r="C17" s="4" t="s">
        <v>63</v>
      </c>
      <c r="D17" s="4" t="s">
        <v>28</v>
      </c>
      <c r="E17" s="5">
        <v>231000</v>
      </c>
      <c r="F17" s="6">
        <v>1483.1355000000001</v>
      </c>
      <c r="G17" s="7">
        <v>2.0405599999999999E-2</v>
      </c>
      <c r="H17" s="113"/>
    </row>
    <row r="18" spans="1:10" ht="17.100000000000001" customHeight="1" x14ac:dyDescent="0.2">
      <c r="A18" s="3">
        <v>12</v>
      </c>
      <c r="B18" s="4" t="s">
        <v>331</v>
      </c>
      <c r="C18" s="4" t="s">
        <v>332</v>
      </c>
      <c r="D18" s="4" t="s">
        <v>891</v>
      </c>
      <c r="E18" s="5">
        <v>38603</v>
      </c>
      <c r="F18" s="6">
        <v>1464.3662019999999</v>
      </c>
      <c r="G18" s="7">
        <v>2.0147370000000001E-2</v>
      </c>
      <c r="H18" s="113"/>
    </row>
    <row r="19" spans="1:10" ht="29.1" customHeight="1" x14ac:dyDescent="0.2">
      <c r="A19" s="3">
        <v>13</v>
      </c>
      <c r="B19" s="4" t="s">
        <v>23</v>
      </c>
      <c r="C19" s="4" t="s">
        <v>24</v>
      </c>
      <c r="D19" s="4" t="s">
        <v>25</v>
      </c>
      <c r="E19" s="5">
        <v>12000</v>
      </c>
      <c r="F19" s="6">
        <v>1260.366</v>
      </c>
      <c r="G19" s="7">
        <v>1.7340649999999999E-2</v>
      </c>
      <c r="H19" s="113"/>
    </row>
    <row r="20" spans="1:10" ht="17.100000000000001" customHeight="1" x14ac:dyDescent="0.2">
      <c r="A20" s="3">
        <v>14</v>
      </c>
      <c r="B20" s="4" t="s">
        <v>479</v>
      </c>
      <c r="C20" s="4" t="s">
        <v>480</v>
      </c>
      <c r="D20" s="4" t="s">
        <v>891</v>
      </c>
      <c r="E20" s="5">
        <v>84000</v>
      </c>
      <c r="F20" s="6">
        <v>1231.5239999999999</v>
      </c>
      <c r="G20" s="7">
        <v>1.694383E-2</v>
      </c>
      <c r="H20" s="113"/>
    </row>
    <row r="21" spans="1:10" ht="29.1" customHeight="1" x14ac:dyDescent="0.2">
      <c r="A21" s="3">
        <v>15</v>
      </c>
      <c r="B21" s="4" t="s">
        <v>329</v>
      </c>
      <c r="C21" s="4" t="s">
        <v>330</v>
      </c>
      <c r="D21" s="4" t="s">
        <v>225</v>
      </c>
      <c r="E21" s="5">
        <v>95000</v>
      </c>
      <c r="F21" s="6">
        <v>1196.4775</v>
      </c>
      <c r="G21" s="7">
        <v>1.646164E-2</v>
      </c>
      <c r="H21" s="113"/>
    </row>
    <row r="22" spans="1:10" ht="17.100000000000001" customHeight="1" x14ac:dyDescent="0.2">
      <c r="A22" s="3">
        <v>16</v>
      </c>
      <c r="B22" s="4" t="s">
        <v>355</v>
      </c>
      <c r="C22" s="4" t="s">
        <v>356</v>
      </c>
      <c r="D22" s="4" t="s">
        <v>350</v>
      </c>
      <c r="E22" s="5">
        <v>43000</v>
      </c>
      <c r="F22" s="6">
        <v>1145.4984999999999</v>
      </c>
      <c r="G22" s="7">
        <v>1.576025E-2</v>
      </c>
      <c r="H22" s="113"/>
    </row>
    <row r="23" spans="1:10" ht="17.100000000000001" customHeight="1" x14ac:dyDescent="0.2">
      <c r="A23" s="3">
        <v>17</v>
      </c>
      <c r="B23" s="4" t="s">
        <v>561</v>
      </c>
      <c r="C23" s="4" t="s">
        <v>562</v>
      </c>
      <c r="D23" s="4" t="s">
        <v>248</v>
      </c>
      <c r="E23" s="5">
        <v>16000</v>
      </c>
      <c r="F23" s="6">
        <v>1087.56</v>
      </c>
      <c r="G23" s="7">
        <v>1.496311E-2</v>
      </c>
      <c r="H23" s="113"/>
      <c r="J23" s="194" t="s">
        <v>1163</v>
      </c>
    </row>
    <row r="24" spans="1:10" ht="17.100000000000001" customHeight="1" x14ac:dyDescent="0.2">
      <c r="A24" s="3">
        <v>18</v>
      </c>
      <c r="B24" s="4" t="s">
        <v>37</v>
      </c>
      <c r="C24" s="4" t="s">
        <v>38</v>
      </c>
      <c r="D24" s="4" t="s">
        <v>16</v>
      </c>
      <c r="E24" s="5">
        <v>437333</v>
      </c>
      <c r="F24" s="6">
        <v>1037.3538759999999</v>
      </c>
      <c r="G24" s="7">
        <v>1.427235E-2</v>
      </c>
      <c r="H24" s="113"/>
    </row>
    <row r="25" spans="1:10" ht="17.100000000000001" customHeight="1" x14ac:dyDescent="0.2">
      <c r="A25" s="3">
        <v>19</v>
      </c>
      <c r="B25" s="4" t="s">
        <v>701</v>
      </c>
      <c r="C25" s="4" t="s">
        <v>702</v>
      </c>
      <c r="D25" s="4" t="s">
        <v>16</v>
      </c>
      <c r="E25" s="5">
        <v>1600000</v>
      </c>
      <c r="F25" s="6">
        <v>1033.5999999999999</v>
      </c>
      <c r="G25" s="7">
        <v>1.4220699999999999E-2</v>
      </c>
      <c r="H25" s="113"/>
    </row>
    <row r="26" spans="1:10" ht="17.100000000000001" customHeight="1" x14ac:dyDescent="0.2">
      <c r="A26" s="3">
        <v>20</v>
      </c>
      <c r="B26" s="4" t="s">
        <v>340</v>
      </c>
      <c r="C26" s="4" t="s">
        <v>341</v>
      </c>
      <c r="D26" s="4" t="s">
        <v>28</v>
      </c>
      <c r="E26" s="5">
        <v>235822</v>
      </c>
      <c r="F26" s="6">
        <v>1031.7212500000001</v>
      </c>
      <c r="G26" s="7">
        <v>1.419486E-2</v>
      </c>
      <c r="H26" s="113"/>
    </row>
    <row r="27" spans="1:10" ht="17.100000000000001" customHeight="1" x14ac:dyDescent="0.2">
      <c r="A27" s="3">
        <v>21</v>
      </c>
      <c r="B27" s="4" t="s">
        <v>305</v>
      </c>
      <c r="C27" s="4" t="s">
        <v>306</v>
      </c>
      <c r="D27" s="4" t="s">
        <v>28</v>
      </c>
      <c r="E27" s="5">
        <v>850000</v>
      </c>
      <c r="F27" s="6">
        <v>957.1</v>
      </c>
      <c r="G27" s="7">
        <v>1.316818E-2</v>
      </c>
      <c r="H27" s="113"/>
    </row>
    <row r="28" spans="1:10" ht="17.100000000000001" customHeight="1" x14ac:dyDescent="0.2">
      <c r="A28" s="3">
        <v>22</v>
      </c>
      <c r="B28" s="4" t="s">
        <v>577</v>
      </c>
      <c r="C28" s="4" t="s">
        <v>578</v>
      </c>
      <c r="D28" s="4" t="s">
        <v>891</v>
      </c>
      <c r="E28" s="5">
        <v>75000</v>
      </c>
      <c r="F28" s="6">
        <v>954.48749999999995</v>
      </c>
      <c r="G28" s="7">
        <v>1.313224E-2</v>
      </c>
      <c r="H28" s="113"/>
    </row>
    <row r="29" spans="1:10" ht="17.100000000000001" customHeight="1" x14ac:dyDescent="0.2">
      <c r="A29" s="3">
        <v>23</v>
      </c>
      <c r="B29" s="4" t="s">
        <v>342</v>
      </c>
      <c r="C29" s="4" t="s">
        <v>343</v>
      </c>
      <c r="D29" s="4" t="s">
        <v>267</v>
      </c>
      <c r="E29" s="5">
        <v>29000</v>
      </c>
      <c r="F29" s="6">
        <v>927.95650000000001</v>
      </c>
      <c r="G29" s="7">
        <v>1.2767219999999999E-2</v>
      </c>
      <c r="H29" s="113"/>
    </row>
    <row r="30" spans="1:10" ht="17.100000000000001" customHeight="1" x14ac:dyDescent="0.2">
      <c r="A30" s="3">
        <v>24</v>
      </c>
      <c r="B30" s="4" t="s">
        <v>367</v>
      </c>
      <c r="C30" s="4" t="s">
        <v>368</v>
      </c>
      <c r="D30" s="4" t="s">
        <v>99</v>
      </c>
      <c r="E30" s="5">
        <v>650000</v>
      </c>
      <c r="F30" s="6">
        <v>907.4</v>
      </c>
      <c r="G30" s="7">
        <v>1.248439E-2</v>
      </c>
      <c r="H30" s="113"/>
    </row>
    <row r="31" spans="1:10" ht="29.1" customHeight="1" x14ac:dyDescent="0.2">
      <c r="A31" s="3">
        <v>25</v>
      </c>
      <c r="B31" s="4" t="s">
        <v>541</v>
      </c>
      <c r="C31" s="4" t="s">
        <v>542</v>
      </c>
      <c r="D31" s="4" t="s">
        <v>543</v>
      </c>
      <c r="E31" s="5">
        <v>201000</v>
      </c>
      <c r="F31" s="6">
        <v>880.88250000000005</v>
      </c>
      <c r="G31" s="7">
        <v>1.211955E-2</v>
      </c>
      <c r="H31" s="113"/>
    </row>
    <row r="32" spans="1:10" ht="17.100000000000001" customHeight="1" x14ac:dyDescent="0.2">
      <c r="A32" s="3">
        <v>26</v>
      </c>
      <c r="B32" s="4" t="s">
        <v>335</v>
      </c>
      <c r="C32" s="4" t="s">
        <v>336</v>
      </c>
      <c r="D32" s="4" t="s">
        <v>28</v>
      </c>
      <c r="E32" s="5">
        <v>54000</v>
      </c>
      <c r="F32" s="6">
        <v>863.43299999999999</v>
      </c>
      <c r="G32" s="7">
        <v>1.187947E-2</v>
      </c>
      <c r="H32" s="113"/>
    </row>
    <row r="33" spans="1:8" ht="17.100000000000001" customHeight="1" x14ac:dyDescent="0.2">
      <c r="A33" s="3">
        <v>27</v>
      </c>
      <c r="B33" s="4" t="s">
        <v>20</v>
      </c>
      <c r="C33" s="4" t="s">
        <v>21</v>
      </c>
      <c r="D33" s="4" t="s">
        <v>22</v>
      </c>
      <c r="E33" s="5">
        <v>83000</v>
      </c>
      <c r="F33" s="6">
        <v>856.726</v>
      </c>
      <c r="G33" s="7">
        <v>1.1787199999999999E-2</v>
      </c>
      <c r="H33" s="113"/>
    </row>
    <row r="34" spans="1:8" ht="17.100000000000001" customHeight="1" x14ac:dyDescent="0.2">
      <c r="A34" s="3">
        <v>28</v>
      </c>
      <c r="B34" s="4" t="s">
        <v>59</v>
      </c>
      <c r="C34" s="4" t="s">
        <v>60</v>
      </c>
      <c r="D34" s="4" t="s">
        <v>61</v>
      </c>
      <c r="E34" s="5">
        <v>525000</v>
      </c>
      <c r="F34" s="6">
        <v>851.02499999999998</v>
      </c>
      <c r="G34" s="7">
        <v>1.170876E-2</v>
      </c>
      <c r="H34" s="113"/>
    </row>
    <row r="35" spans="1:8" ht="17.100000000000001" customHeight="1" x14ac:dyDescent="0.2">
      <c r="A35" s="3">
        <v>29</v>
      </c>
      <c r="B35" s="4" t="s">
        <v>51</v>
      </c>
      <c r="C35" s="4" t="s">
        <v>52</v>
      </c>
      <c r="D35" s="4" t="s">
        <v>53</v>
      </c>
      <c r="E35" s="5">
        <v>200000</v>
      </c>
      <c r="F35" s="6">
        <v>825.7</v>
      </c>
      <c r="G35" s="7">
        <v>1.136033E-2</v>
      </c>
      <c r="H35" s="113"/>
    </row>
    <row r="36" spans="1:8" ht="17.100000000000001" customHeight="1" x14ac:dyDescent="0.2">
      <c r="A36" s="3">
        <v>30</v>
      </c>
      <c r="B36" s="4" t="s">
        <v>68</v>
      </c>
      <c r="C36" s="4" t="s">
        <v>69</v>
      </c>
      <c r="D36" s="4" t="s">
        <v>70</v>
      </c>
      <c r="E36" s="5">
        <v>400000</v>
      </c>
      <c r="F36" s="6">
        <v>820.2</v>
      </c>
      <c r="G36" s="7">
        <v>1.128466E-2</v>
      </c>
      <c r="H36" s="113"/>
    </row>
    <row r="37" spans="1:8" ht="17.100000000000001" customHeight="1" x14ac:dyDescent="0.2">
      <c r="A37" s="3">
        <v>31</v>
      </c>
      <c r="B37" s="4" t="s">
        <v>325</v>
      </c>
      <c r="C37" s="4" t="s">
        <v>326</v>
      </c>
      <c r="D37" s="4" t="s">
        <v>28</v>
      </c>
      <c r="E37" s="5">
        <v>74000</v>
      </c>
      <c r="F37" s="6">
        <v>815.702</v>
      </c>
      <c r="G37" s="7">
        <v>1.122277E-2</v>
      </c>
      <c r="H37" s="113"/>
    </row>
    <row r="38" spans="1:8" ht="29.1" customHeight="1" x14ac:dyDescent="0.2">
      <c r="A38" s="3">
        <v>32</v>
      </c>
      <c r="B38" s="4" t="s">
        <v>508</v>
      </c>
      <c r="C38" s="4" t="s">
        <v>509</v>
      </c>
      <c r="D38" s="4" t="s">
        <v>225</v>
      </c>
      <c r="E38" s="5">
        <v>110000</v>
      </c>
      <c r="F38" s="6">
        <v>795.08</v>
      </c>
      <c r="G38" s="7">
        <v>1.0939050000000001E-2</v>
      </c>
      <c r="H38" s="113"/>
    </row>
    <row r="39" spans="1:8" ht="17.100000000000001" customHeight="1" x14ac:dyDescent="0.2">
      <c r="A39" s="3">
        <v>33</v>
      </c>
      <c r="B39" s="4" t="s">
        <v>197</v>
      </c>
      <c r="C39" s="4" t="s">
        <v>198</v>
      </c>
      <c r="D39" s="4" t="s">
        <v>28</v>
      </c>
      <c r="E39" s="5">
        <v>500000</v>
      </c>
      <c r="F39" s="6">
        <v>780.75</v>
      </c>
      <c r="G39" s="7">
        <v>1.074189E-2</v>
      </c>
      <c r="H39" s="113"/>
    </row>
    <row r="40" spans="1:8" ht="17.100000000000001" customHeight="1" x14ac:dyDescent="0.2">
      <c r="A40" s="3">
        <v>34</v>
      </c>
      <c r="B40" s="4" t="s">
        <v>119</v>
      </c>
      <c r="C40" s="4" t="s">
        <v>120</v>
      </c>
      <c r="D40" s="4" t="s">
        <v>19</v>
      </c>
      <c r="E40" s="5">
        <v>600000</v>
      </c>
      <c r="F40" s="6">
        <v>779.1</v>
      </c>
      <c r="G40" s="7">
        <v>1.071919E-2</v>
      </c>
      <c r="H40" s="113"/>
    </row>
    <row r="41" spans="1:8" ht="29.1" customHeight="1" x14ac:dyDescent="0.2">
      <c r="A41" s="3">
        <v>35</v>
      </c>
      <c r="B41" s="4" t="s">
        <v>228</v>
      </c>
      <c r="C41" s="4" t="s">
        <v>229</v>
      </c>
      <c r="D41" s="4" t="s">
        <v>225</v>
      </c>
      <c r="E41" s="5">
        <v>14700</v>
      </c>
      <c r="F41" s="6">
        <v>764.78219999999999</v>
      </c>
      <c r="G41" s="7">
        <v>1.0522200000000001E-2</v>
      </c>
      <c r="H41" s="113"/>
    </row>
    <row r="42" spans="1:8" ht="17.100000000000001" customHeight="1" x14ac:dyDescent="0.2">
      <c r="A42" s="3">
        <v>36</v>
      </c>
      <c r="B42" s="4" t="s">
        <v>703</v>
      </c>
      <c r="C42" s="4" t="s">
        <v>704</v>
      </c>
      <c r="D42" s="4" t="s">
        <v>34</v>
      </c>
      <c r="E42" s="5">
        <v>20500</v>
      </c>
      <c r="F42" s="6">
        <v>756.34749999999997</v>
      </c>
      <c r="G42" s="7">
        <v>1.0406149999999999E-2</v>
      </c>
      <c r="H42" s="113"/>
    </row>
    <row r="43" spans="1:8" ht="17.100000000000001" customHeight="1" x14ac:dyDescent="0.2">
      <c r="A43" s="3">
        <v>37</v>
      </c>
      <c r="B43" s="4" t="s">
        <v>239</v>
      </c>
      <c r="C43" s="4" t="s">
        <v>240</v>
      </c>
      <c r="D43" s="4" t="s">
        <v>891</v>
      </c>
      <c r="E43" s="5">
        <v>12000</v>
      </c>
      <c r="F43" s="6">
        <v>752.928</v>
      </c>
      <c r="G43" s="7">
        <v>1.03591E-2</v>
      </c>
      <c r="H43" s="113"/>
    </row>
    <row r="44" spans="1:8" ht="17.100000000000001" customHeight="1" x14ac:dyDescent="0.2">
      <c r="A44" s="3">
        <v>38</v>
      </c>
      <c r="B44" s="4" t="s">
        <v>454</v>
      </c>
      <c r="C44" s="4" t="s">
        <v>455</v>
      </c>
      <c r="D44" s="4" t="s">
        <v>34</v>
      </c>
      <c r="E44" s="5">
        <v>63000</v>
      </c>
      <c r="F44" s="6">
        <v>701.44200000000001</v>
      </c>
      <c r="G44" s="7">
        <v>9.6507299999999997E-3</v>
      </c>
      <c r="H44" s="113"/>
    </row>
    <row r="45" spans="1:8" ht="17.100000000000001" customHeight="1" x14ac:dyDescent="0.2">
      <c r="A45" s="3">
        <v>39</v>
      </c>
      <c r="B45" s="4" t="s">
        <v>359</v>
      </c>
      <c r="C45" s="4" t="s">
        <v>360</v>
      </c>
      <c r="D45" s="4" t="s">
        <v>56</v>
      </c>
      <c r="E45" s="5">
        <v>19000</v>
      </c>
      <c r="F45" s="6">
        <v>698.33550000000002</v>
      </c>
      <c r="G45" s="7">
        <v>9.6079900000000003E-3</v>
      </c>
      <c r="H45" s="113"/>
    </row>
    <row r="46" spans="1:8" ht="17.100000000000001" customHeight="1" x14ac:dyDescent="0.2">
      <c r="A46" s="3">
        <v>40</v>
      </c>
      <c r="B46" s="4" t="s">
        <v>346</v>
      </c>
      <c r="C46" s="4" t="s">
        <v>347</v>
      </c>
      <c r="D46" s="4" t="s">
        <v>891</v>
      </c>
      <c r="E46" s="5">
        <v>11000</v>
      </c>
      <c r="F46" s="6">
        <v>692.44449999999995</v>
      </c>
      <c r="G46" s="7">
        <v>9.5269399999999994E-3</v>
      </c>
      <c r="H46" s="113"/>
    </row>
    <row r="47" spans="1:8" ht="17.100000000000001" customHeight="1" x14ac:dyDescent="0.2">
      <c r="A47" s="3">
        <v>41</v>
      </c>
      <c r="B47" s="4" t="s">
        <v>563</v>
      </c>
      <c r="C47" s="4" t="s">
        <v>564</v>
      </c>
      <c r="D47" s="4" t="s">
        <v>248</v>
      </c>
      <c r="E47" s="5">
        <v>40000</v>
      </c>
      <c r="F47" s="6">
        <v>691.76</v>
      </c>
      <c r="G47" s="7">
        <v>9.5175299999999997E-3</v>
      </c>
      <c r="H47" s="113"/>
    </row>
    <row r="48" spans="1:8" ht="17.100000000000001" customHeight="1" x14ac:dyDescent="0.2">
      <c r="A48" s="3">
        <v>42</v>
      </c>
      <c r="B48" s="4" t="s">
        <v>705</v>
      </c>
      <c r="C48" s="4" t="s">
        <v>706</v>
      </c>
      <c r="D48" s="4" t="s">
        <v>56</v>
      </c>
      <c r="E48" s="5">
        <v>73000</v>
      </c>
      <c r="F48" s="6">
        <v>691.31</v>
      </c>
      <c r="G48" s="7">
        <v>9.5113300000000001E-3</v>
      </c>
      <c r="H48" s="113"/>
    </row>
    <row r="49" spans="1:8" ht="17.100000000000001" customHeight="1" x14ac:dyDescent="0.2">
      <c r="A49" s="3">
        <v>43</v>
      </c>
      <c r="B49" s="4" t="s">
        <v>79</v>
      </c>
      <c r="C49" s="4" t="s">
        <v>80</v>
      </c>
      <c r="D49" s="4" t="s">
        <v>46</v>
      </c>
      <c r="E49" s="5">
        <v>22000</v>
      </c>
      <c r="F49" s="6">
        <v>652.76199999999994</v>
      </c>
      <c r="G49" s="7">
        <v>8.9809699999999996E-3</v>
      </c>
      <c r="H49" s="113"/>
    </row>
    <row r="50" spans="1:8" ht="17.100000000000001" customHeight="1" x14ac:dyDescent="0.2">
      <c r="A50" s="3">
        <v>44</v>
      </c>
      <c r="B50" s="4" t="s">
        <v>386</v>
      </c>
      <c r="C50" s="4" t="s">
        <v>387</v>
      </c>
      <c r="D50" s="4" t="s">
        <v>53</v>
      </c>
      <c r="E50" s="5">
        <v>38000</v>
      </c>
      <c r="F50" s="6">
        <v>640.60400000000004</v>
      </c>
      <c r="G50" s="7">
        <v>8.8137000000000007E-3</v>
      </c>
      <c r="H50" s="113"/>
    </row>
    <row r="51" spans="1:8" ht="17.100000000000001" customHeight="1" x14ac:dyDescent="0.2">
      <c r="A51" s="3">
        <v>45</v>
      </c>
      <c r="B51" s="4" t="s">
        <v>524</v>
      </c>
      <c r="C51" s="40" t="s">
        <v>1020</v>
      </c>
      <c r="D51" s="4" t="s">
        <v>248</v>
      </c>
      <c r="E51" s="5">
        <v>120000</v>
      </c>
      <c r="F51" s="6">
        <v>623.16</v>
      </c>
      <c r="G51" s="7">
        <v>8.5737000000000001E-3</v>
      </c>
      <c r="H51" s="113"/>
    </row>
    <row r="52" spans="1:8" ht="17.100000000000001" customHeight="1" x14ac:dyDescent="0.2">
      <c r="A52" s="3">
        <v>46</v>
      </c>
      <c r="B52" s="4" t="s">
        <v>512</v>
      </c>
      <c r="C52" s="4" t="s">
        <v>513</v>
      </c>
      <c r="D52" s="4" t="s">
        <v>892</v>
      </c>
      <c r="E52" s="5">
        <v>27000</v>
      </c>
      <c r="F52" s="6">
        <v>619.15049999999997</v>
      </c>
      <c r="G52" s="7">
        <v>8.5185299999999999E-3</v>
      </c>
      <c r="H52" s="113"/>
    </row>
    <row r="53" spans="1:8" ht="17.100000000000001" customHeight="1" x14ac:dyDescent="0.2">
      <c r="A53" s="3">
        <v>47</v>
      </c>
      <c r="B53" s="4" t="s">
        <v>203</v>
      </c>
      <c r="C53" s="4" t="s">
        <v>204</v>
      </c>
      <c r="D53" s="4" t="s">
        <v>53</v>
      </c>
      <c r="E53" s="5">
        <v>30000</v>
      </c>
      <c r="F53" s="6">
        <v>615.99</v>
      </c>
      <c r="G53" s="7">
        <v>8.4750499999999996E-3</v>
      </c>
      <c r="H53" s="113"/>
    </row>
    <row r="54" spans="1:8" ht="17.100000000000001" customHeight="1" x14ac:dyDescent="0.2">
      <c r="A54" s="3">
        <v>48</v>
      </c>
      <c r="B54" s="4" t="s">
        <v>235</v>
      </c>
      <c r="C54" s="4" t="s">
        <v>236</v>
      </c>
      <c r="D54" s="4" t="s">
        <v>61</v>
      </c>
      <c r="E54" s="5">
        <v>200000</v>
      </c>
      <c r="F54" s="6">
        <v>612</v>
      </c>
      <c r="G54" s="7">
        <v>8.4201499999999995E-3</v>
      </c>
      <c r="H54" s="113"/>
    </row>
    <row r="55" spans="1:8" ht="17.100000000000001" customHeight="1" x14ac:dyDescent="0.2">
      <c r="A55" s="3">
        <v>49</v>
      </c>
      <c r="B55" s="4" t="s">
        <v>117</v>
      </c>
      <c r="C55" s="4" t="s">
        <v>118</v>
      </c>
      <c r="D55" s="4" t="s">
        <v>41</v>
      </c>
      <c r="E55" s="5">
        <v>229000</v>
      </c>
      <c r="F55" s="6">
        <v>595.5145</v>
      </c>
      <c r="G55" s="7">
        <v>8.1933400000000003E-3</v>
      </c>
      <c r="H55" s="113"/>
    </row>
    <row r="56" spans="1:8" ht="17.100000000000001" customHeight="1" x14ac:dyDescent="0.2">
      <c r="A56" s="3">
        <v>50</v>
      </c>
      <c r="B56" s="4" t="s">
        <v>475</v>
      </c>
      <c r="C56" s="4" t="s">
        <v>476</v>
      </c>
      <c r="D56" s="4" t="s">
        <v>234</v>
      </c>
      <c r="E56" s="5">
        <v>41000</v>
      </c>
      <c r="F56" s="6">
        <v>587.36599999999999</v>
      </c>
      <c r="G56" s="7">
        <v>8.08123E-3</v>
      </c>
      <c r="H56" s="113"/>
    </row>
    <row r="57" spans="1:8" ht="17.100000000000001" customHeight="1" x14ac:dyDescent="0.2">
      <c r="A57" s="3">
        <v>51</v>
      </c>
      <c r="B57" s="4" t="s">
        <v>44</v>
      </c>
      <c r="C57" s="4" t="s">
        <v>45</v>
      </c>
      <c r="D57" s="4" t="s">
        <v>46</v>
      </c>
      <c r="E57" s="5">
        <v>68282</v>
      </c>
      <c r="F57" s="6">
        <v>586.98621300000002</v>
      </c>
      <c r="G57" s="7">
        <v>8.0759999999999998E-3</v>
      </c>
      <c r="H57" s="113"/>
    </row>
    <row r="58" spans="1:8" ht="17.100000000000001" customHeight="1" x14ac:dyDescent="0.2">
      <c r="A58" s="3">
        <v>52</v>
      </c>
      <c r="B58" s="4" t="s">
        <v>230</v>
      </c>
      <c r="C58" s="4" t="s">
        <v>231</v>
      </c>
      <c r="D58" s="4" t="s">
        <v>107</v>
      </c>
      <c r="E58" s="5">
        <v>7500</v>
      </c>
      <c r="F58" s="6">
        <v>579.02625</v>
      </c>
      <c r="G58" s="7">
        <v>7.9664899999999997E-3</v>
      </c>
      <c r="H58" s="113"/>
    </row>
    <row r="59" spans="1:8" ht="17.100000000000001" customHeight="1" x14ac:dyDescent="0.2">
      <c r="A59" s="3">
        <v>53</v>
      </c>
      <c r="B59" s="4" t="s">
        <v>131</v>
      </c>
      <c r="C59" s="4" t="s">
        <v>132</v>
      </c>
      <c r="D59" s="4" t="s">
        <v>34</v>
      </c>
      <c r="E59" s="5">
        <v>29000</v>
      </c>
      <c r="F59" s="6">
        <v>569.54549999999995</v>
      </c>
      <c r="G59" s="7">
        <v>7.8360500000000007E-3</v>
      </c>
      <c r="H59" s="113"/>
    </row>
    <row r="60" spans="1:8" ht="29.1" customHeight="1" x14ac:dyDescent="0.2">
      <c r="A60" s="3">
        <v>54</v>
      </c>
      <c r="B60" s="4" t="s">
        <v>213</v>
      </c>
      <c r="C60" s="4" t="s">
        <v>214</v>
      </c>
      <c r="D60" s="4" t="s">
        <v>215</v>
      </c>
      <c r="E60" s="5">
        <v>45000</v>
      </c>
      <c r="F60" s="6">
        <v>563.24249999999995</v>
      </c>
      <c r="G60" s="7">
        <v>7.7493299999999996E-3</v>
      </c>
      <c r="H60" s="113"/>
    </row>
    <row r="61" spans="1:8" ht="17.100000000000001" customHeight="1" x14ac:dyDescent="0.2">
      <c r="A61" s="3">
        <v>55</v>
      </c>
      <c r="B61" s="4" t="s">
        <v>375</v>
      </c>
      <c r="C61" s="4" t="s">
        <v>376</v>
      </c>
      <c r="D61" s="4" t="s">
        <v>248</v>
      </c>
      <c r="E61" s="5">
        <v>5400</v>
      </c>
      <c r="F61" s="6">
        <v>556.32690000000002</v>
      </c>
      <c r="G61" s="7">
        <v>7.65418E-3</v>
      </c>
      <c r="H61" s="113"/>
    </row>
    <row r="62" spans="1:8" ht="29.1" customHeight="1" x14ac:dyDescent="0.2">
      <c r="A62" s="3">
        <v>56</v>
      </c>
      <c r="B62" s="4" t="s">
        <v>371</v>
      </c>
      <c r="C62" s="4" t="s">
        <v>372</v>
      </c>
      <c r="D62" s="4" t="s">
        <v>225</v>
      </c>
      <c r="E62" s="5">
        <v>50000</v>
      </c>
      <c r="F62" s="6">
        <v>542</v>
      </c>
      <c r="G62" s="7">
        <v>7.4570599999999997E-3</v>
      </c>
      <c r="H62" s="113"/>
    </row>
    <row r="63" spans="1:8" ht="17.100000000000001" customHeight="1" x14ac:dyDescent="0.2">
      <c r="A63" s="3">
        <v>57</v>
      </c>
      <c r="B63" s="4" t="s">
        <v>283</v>
      </c>
      <c r="C63" s="4" t="s">
        <v>284</v>
      </c>
      <c r="D63" s="4" t="s">
        <v>891</v>
      </c>
      <c r="E63" s="5">
        <v>35500</v>
      </c>
      <c r="F63" s="6">
        <v>537.41674999999998</v>
      </c>
      <c r="G63" s="7">
        <v>7.3940100000000003E-3</v>
      </c>
      <c r="H63" s="113"/>
    </row>
    <row r="64" spans="1:8" ht="17.100000000000001" customHeight="1" x14ac:dyDescent="0.2">
      <c r="A64" s="3">
        <v>58</v>
      </c>
      <c r="B64" s="4" t="s">
        <v>707</v>
      </c>
      <c r="C64" s="4" t="s">
        <v>708</v>
      </c>
      <c r="D64" s="4" t="s">
        <v>262</v>
      </c>
      <c r="E64" s="5">
        <v>9850</v>
      </c>
      <c r="F64" s="6">
        <v>525.83732499999996</v>
      </c>
      <c r="G64" s="7">
        <v>7.2346900000000002E-3</v>
      </c>
      <c r="H64" s="113"/>
    </row>
    <row r="65" spans="1:8" ht="17.100000000000001" customHeight="1" x14ac:dyDescent="0.2">
      <c r="A65" s="3">
        <v>59</v>
      </c>
      <c r="B65" s="4" t="s">
        <v>403</v>
      </c>
      <c r="C65" s="4" t="s">
        <v>404</v>
      </c>
      <c r="D65" s="4" t="s">
        <v>267</v>
      </c>
      <c r="E65" s="5">
        <v>15000</v>
      </c>
      <c r="F65" s="6">
        <v>523.16999999999996</v>
      </c>
      <c r="G65" s="7">
        <v>7.1979899999999996E-3</v>
      </c>
      <c r="H65" s="113"/>
    </row>
    <row r="66" spans="1:8" ht="29.1" customHeight="1" x14ac:dyDescent="0.2">
      <c r="A66" s="3">
        <v>60</v>
      </c>
      <c r="B66" s="4" t="s">
        <v>486</v>
      </c>
      <c r="C66" s="4" t="s">
        <v>487</v>
      </c>
      <c r="D66" s="4" t="s">
        <v>225</v>
      </c>
      <c r="E66" s="5">
        <v>40000</v>
      </c>
      <c r="F66" s="6">
        <v>498.52</v>
      </c>
      <c r="G66" s="7">
        <v>6.8588499999999997E-3</v>
      </c>
      <c r="H66" s="113"/>
    </row>
    <row r="67" spans="1:8" ht="29.1" customHeight="1" x14ac:dyDescent="0.2">
      <c r="A67" s="3">
        <v>61</v>
      </c>
      <c r="B67" s="4" t="s">
        <v>220</v>
      </c>
      <c r="C67" s="4" t="s">
        <v>221</v>
      </c>
      <c r="D67" s="4" t="s">
        <v>222</v>
      </c>
      <c r="E67" s="5">
        <v>12675</v>
      </c>
      <c r="F67" s="6">
        <v>488.3931</v>
      </c>
      <c r="G67" s="7">
        <v>6.7195199999999997E-3</v>
      </c>
      <c r="H67" s="113"/>
    </row>
    <row r="68" spans="1:8" ht="17.100000000000001" customHeight="1" x14ac:dyDescent="0.2">
      <c r="A68" s="3">
        <v>62</v>
      </c>
      <c r="B68" s="4" t="s">
        <v>394</v>
      </c>
      <c r="C68" s="4" t="s">
        <v>395</v>
      </c>
      <c r="D68" s="4" t="s">
        <v>315</v>
      </c>
      <c r="E68" s="5">
        <v>1200</v>
      </c>
      <c r="F68" s="6">
        <v>462.15300000000002</v>
      </c>
      <c r="G68" s="7">
        <v>6.3584999999999996E-3</v>
      </c>
      <c r="H68" s="113"/>
    </row>
    <row r="69" spans="1:8" ht="17.100000000000001" customHeight="1" x14ac:dyDescent="0.2">
      <c r="A69" s="3">
        <v>63</v>
      </c>
      <c r="B69" s="4" t="s">
        <v>559</v>
      </c>
      <c r="C69" s="4" t="s">
        <v>560</v>
      </c>
      <c r="D69" s="4" t="s">
        <v>295</v>
      </c>
      <c r="E69" s="5">
        <v>40000</v>
      </c>
      <c r="F69" s="6">
        <v>447.1</v>
      </c>
      <c r="G69" s="7">
        <v>6.1513899999999996E-3</v>
      </c>
      <c r="H69" s="113"/>
    </row>
    <row r="70" spans="1:8" ht="17.100000000000001" customHeight="1" x14ac:dyDescent="0.2">
      <c r="A70" s="3">
        <v>64</v>
      </c>
      <c r="B70" s="4" t="s">
        <v>484</v>
      </c>
      <c r="C70" s="4" t="s">
        <v>485</v>
      </c>
      <c r="D70" s="4" t="s">
        <v>28</v>
      </c>
      <c r="E70" s="5">
        <v>20000</v>
      </c>
      <c r="F70" s="6">
        <v>381.62</v>
      </c>
      <c r="G70" s="7">
        <v>5.25049E-3</v>
      </c>
      <c r="H70" s="113"/>
    </row>
    <row r="71" spans="1:8" ht="17.100000000000001" customHeight="1" x14ac:dyDescent="0.2">
      <c r="A71" s="3">
        <v>65</v>
      </c>
      <c r="B71" s="4" t="s">
        <v>427</v>
      </c>
      <c r="C71" s="4" t="s">
        <v>428</v>
      </c>
      <c r="D71" s="4" t="s">
        <v>56</v>
      </c>
      <c r="E71" s="5">
        <v>35328</v>
      </c>
      <c r="F71" s="6">
        <v>367.39353599999998</v>
      </c>
      <c r="G71" s="7">
        <v>5.0547600000000002E-3</v>
      </c>
      <c r="H71" s="113"/>
    </row>
    <row r="72" spans="1:8" ht="29.1" customHeight="1" x14ac:dyDescent="0.2">
      <c r="A72" s="3">
        <v>66</v>
      </c>
      <c r="B72" s="4" t="s">
        <v>709</v>
      </c>
      <c r="C72" s="4" t="s">
        <v>710</v>
      </c>
      <c r="D72" s="4" t="s">
        <v>711</v>
      </c>
      <c r="E72" s="5">
        <v>10516</v>
      </c>
      <c r="F72" s="6">
        <v>358.25382999999999</v>
      </c>
      <c r="G72" s="7">
        <v>4.9290100000000002E-3</v>
      </c>
      <c r="H72" s="113"/>
    </row>
    <row r="73" spans="1:8" ht="29.1" customHeight="1" x14ac:dyDescent="0.2">
      <c r="A73" s="3">
        <v>67</v>
      </c>
      <c r="B73" s="4" t="s">
        <v>301</v>
      </c>
      <c r="C73" s="4" t="s">
        <v>302</v>
      </c>
      <c r="D73" s="4" t="s">
        <v>225</v>
      </c>
      <c r="E73" s="5">
        <v>4400</v>
      </c>
      <c r="F73" s="6">
        <v>354.97219999999999</v>
      </c>
      <c r="G73" s="7">
        <v>4.8838600000000003E-3</v>
      </c>
      <c r="H73" s="113"/>
    </row>
    <row r="74" spans="1:8" ht="17.100000000000001" customHeight="1" x14ac:dyDescent="0.2">
      <c r="A74" s="3">
        <v>68</v>
      </c>
      <c r="B74" s="4" t="s">
        <v>712</v>
      </c>
      <c r="C74" s="4" t="s">
        <v>713</v>
      </c>
      <c r="D74" s="4" t="s">
        <v>892</v>
      </c>
      <c r="E74" s="5">
        <v>30010</v>
      </c>
      <c r="F74" s="6">
        <v>354.16301499999997</v>
      </c>
      <c r="G74" s="7">
        <v>4.8727199999999997E-3</v>
      </c>
      <c r="H74" s="113"/>
    </row>
    <row r="75" spans="1:8" ht="17.100000000000001" customHeight="1" x14ac:dyDescent="0.2">
      <c r="A75" s="3">
        <v>69</v>
      </c>
      <c r="B75" s="4" t="s">
        <v>714</v>
      </c>
      <c r="C75" s="4" t="s">
        <v>715</v>
      </c>
      <c r="D75" s="4" t="s">
        <v>267</v>
      </c>
      <c r="E75" s="5">
        <v>45000</v>
      </c>
      <c r="F75" s="6">
        <v>323.10000000000002</v>
      </c>
      <c r="G75" s="7">
        <v>4.4453499999999998E-3</v>
      </c>
      <c r="H75" s="113"/>
    </row>
    <row r="76" spans="1:8" ht="17.100000000000001" customHeight="1" x14ac:dyDescent="0.2">
      <c r="A76" s="3">
        <v>70</v>
      </c>
      <c r="B76" s="4" t="s">
        <v>716</v>
      </c>
      <c r="C76" s="4" t="s">
        <v>717</v>
      </c>
      <c r="D76" s="4" t="s">
        <v>53</v>
      </c>
      <c r="E76" s="5">
        <v>94000</v>
      </c>
      <c r="F76" s="6">
        <v>218.97300000000001</v>
      </c>
      <c r="G76" s="7">
        <v>3.01272E-3</v>
      </c>
      <c r="H76" s="113"/>
    </row>
    <row r="77" spans="1:8" ht="17.100000000000001" customHeight="1" x14ac:dyDescent="0.2">
      <c r="A77" s="3">
        <v>71</v>
      </c>
      <c r="B77" s="4" t="s">
        <v>718</v>
      </c>
      <c r="C77" s="4" t="s">
        <v>719</v>
      </c>
      <c r="D77" s="4" t="s">
        <v>56</v>
      </c>
      <c r="E77" s="5">
        <v>27000</v>
      </c>
      <c r="F77" s="6">
        <v>188.09549999999999</v>
      </c>
      <c r="G77" s="7">
        <v>2.5879000000000002E-3</v>
      </c>
      <c r="H77" s="113"/>
    </row>
    <row r="78" spans="1:8" ht="17.100000000000001" customHeight="1" x14ac:dyDescent="0.2">
      <c r="A78" s="3">
        <v>72</v>
      </c>
      <c r="B78" s="4" t="s">
        <v>407</v>
      </c>
      <c r="C78" s="4" t="s">
        <v>408</v>
      </c>
      <c r="D78" s="4" t="s">
        <v>257</v>
      </c>
      <c r="E78" s="5">
        <v>11268</v>
      </c>
      <c r="F78" s="6">
        <v>186.941754</v>
      </c>
      <c r="G78" s="7">
        <v>2.5720199999999999E-3</v>
      </c>
      <c r="H78" s="113"/>
    </row>
    <row r="79" spans="1:8" ht="17.100000000000001" customHeight="1" x14ac:dyDescent="0.2">
      <c r="A79" s="3">
        <v>73</v>
      </c>
      <c r="B79" s="4" t="s">
        <v>309</v>
      </c>
      <c r="C79" s="4" t="s">
        <v>310</v>
      </c>
      <c r="D79" s="4" t="s">
        <v>53</v>
      </c>
      <c r="E79" s="5">
        <v>6010</v>
      </c>
      <c r="F79" s="6">
        <v>90.856174999999993</v>
      </c>
      <c r="G79" s="7">
        <v>1.25004E-3</v>
      </c>
      <c r="H79" s="113"/>
    </row>
    <row r="80" spans="1:8" ht="17.100000000000001" customHeight="1" x14ac:dyDescent="0.2">
      <c r="A80" s="3">
        <v>74</v>
      </c>
      <c r="B80" s="4" t="s">
        <v>383</v>
      </c>
      <c r="C80" s="4" t="s">
        <v>384</v>
      </c>
      <c r="D80" s="4" t="s">
        <v>385</v>
      </c>
      <c r="E80" s="5">
        <v>2616</v>
      </c>
      <c r="F80" s="6">
        <v>32.720928000000001</v>
      </c>
      <c r="G80" s="7">
        <v>4.5019E-4</v>
      </c>
      <c r="H80" s="113"/>
    </row>
    <row r="81" spans="1:8" ht="14.1" customHeight="1" x14ac:dyDescent="0.2">
      <c r="A81" s="1"/>
      <c r="B81" s="1"/>
      <c r="C81" s="2" t="s">
        <v>151</v>
      </c>
      <c r="D81" s="1"/>
      <c r="E81" s="1" t="s">
        <v>152</v>
      </c>
      <c r="F81" s="9">
        <v>69141.175004000004</v>
      </c>
      <c r="G81" s="10">
        <v>0.9512734100000001</v>
      </c>
      <c r="H81" s="113"/>
    </row>
    <row r="82" spans="1:8" ht="14.1" customHeight="1" x14ac:dyDescent="0.2">
      <c r="A82" s="1"/>
      <c r="B82" s="1"/>
      <c r="C82" s="11"/>
      <c r="D82" s="1"/>
      <c r="E82" s="1"/>
      <c r="F82" s="12"/>
      <c r="G82" s="12"/>
      <c r="H82" s="113"/>
    </row>
    <row r="83" spans="1:8" ht="14.1" customHeight="1" x14ac:dyDescent="0.2">
      <c r="A83" s="1"/>
      <c r="B83" s="1"/>
      <c r="C83" s="2" t="s">
        <v>153</v>
      </c>
      <c r="D83" s="1"/>
      <c r="E83" s="1"/>
      <c r="F83" s="1"/>
      <c r="G83" s="1"/>
      <c r="H83" s="113"/>
    </row>
    <row r="84" spans="1:8" ht="14.1" customHeight="1" x14ac:dyDescent="0.2">
      <c r="A84" s="1"/>
      <c r="B84" s="1"/>
      <c r="C84" s="2" t="s">
        <v>151</v>
      </c>
      <c r="D84" s="1"/>
      <c r="E84" s="1" t="s">
        <v>152</v>
      </c>
      <c r="F84" s="13" t="s">
        <v>154</v>
      </c>
      <c r="G84" s="10">
        <v>0</v>
      </c>
      <c r="H84" s="113"/>
    </row>
    <row r="85" spans="1:8" ht="14.1" customHeight="1" x14ac:dyDescent="0.2">
      <c r="A85" s="1"/>
      <c r="B85" s="1"/>
      <c r="C85" s="11"/>
      <c r="D85" s="1"/>
      <c r="E85" s="1"/>
      <c r="F85" s="12"/>
      <c r="G85" s="12"/>
      <c r="H85" s="113"/>
    </row>
    <row r="86" spans="1:8" ht="14.1" customHeight="1" x14ac:dyDescent="0.2">
      <c r="A86" s="1"/>
      <c r="B86" s="1"/>
      <c r="C86" s="2" t="s">
        <v>155</v>
      </c>
      <c r="D86" s="1"/>
      <c r="E86" s="1"/>
      <c r="F86" s="1"/>
      <c r="G86" s="1"/>
      <c r="H86" s="113"/>
    </row>
    <row r="87" spans="1:8" ht="17.100000000000001" customHeight="1" x14ac:dyDescent="0.2">
      <c r="A87" s="3">
        <v>1</v>
      </c>
      <c r="B87" s="4" t="s">
        <v>720</v>
      </c>
      <c r="C87" s="40" t="s">
        <v>953</v>
      </c>
      <c r="D87" s="4"/>
      <c r="E87" s="5">
        <v>50000</v>
      </c>
      <c r="F87" s="6">
        <v>4.9999999999999998E-7</v>
      </c>
      <c r="G87" s="8" t="s">
        <v>150</v>
      </c>
      <c r="H87" s="113"/>
    </row>
    <row r="88" spans="1:8" ht="17.100000000000001" customHeight="1" x14ac:dyDescent="0.2">
      <c r="A88" s="3">
        <v>2</v>
      </c>
      <c r="B88" s="4" t="s">
        <v>721</v>
      </c>
      <c r="C88" s="40" t="s">
        <v>955</v>
      </c>
      <c r="D88" s="4"/>
      <c r="E88" s="5">
        <v>200000</v>
      </c>
      <c r="F88" s="6">
        <v>1.9999999999999999E-6</v>
      </c>
      <c r="G88" s="8" t="s">
        <v>150</v>
      </c>
      <c r="H88" s="113"/>
    </row>
    <row r="89" spans="1:8" ht="17.100000000000001" customHeight="1" x14ac:dyDescent="0.2">
      <c r="A89" s="3">
        <v>3</v>
      </c>
      <c r="B89" s="4" t="s">
        <v>722</v>
      </c>
      <c r="C89" s="40" t="s">
        <v>954</v>
      </c>
      <c r="D89" s="4"/>
      <c r="E89" s="5">
        <v>50000</v>
      </c>
      <c r="F89" s="6">
        <v>4.9999999999999998E-7</v>
      </c>
      <c r="G89" s="8" t="s">
        <v>150</v>
      </c>
      <c r="H89" s="113"/>
    </row>
    <row r="90" spans="1:8" ht="17.100000000000001" customHeight="1" x14ac:dyDescent="0.2">
      <c r="A90" s="3">
        <v>4</v>
      </c>
      <c r="B90" s="4" t="s">
        <v>723</v>
      </c>
      <c r="C90" s="40" t="s">
        <v>956</v>
      </c>
      <c r="D90" s="4"/>
      <c r="E90" s="5">
        <v>20</v>
      </c>
      <c r="F90" s="6">
        <v>0</v>
      </c>
      <c r="G90" s="8" t="s">
        <v>150</v>
      </c>
      <c r="H90" s="113"/>
    </row>
    <row r="91" spans="1:8" ht="14.1" customHeight="1" x14ac:dyDescent="0.2">
      <c r="A91" s="1"/>
      <c r="B91" s="1"/>
      <c r="C91" s="2" t="s">
        <v>151</v>
      </c>
      <c r="D91" s="1"/>
      <c r="E91" s="1" t="s">
        <v>152</v>
      </c>
      <c r="F91" s="9">
        <f>SUM(F87:F90)</f>
        <v>2.9999999999999997E-6</v>
      </c>
      <c r="G91" s="10">
        <v>0</v>
      </c>
      <c r="H91" s="113"/>
    </row>
    <row r="92" spans="1:8" ht="14.1" customHeight="1" x14ac:dyDescent="0.2">
      <c r="A92" s="1"/>
      <c r="B92" s="1"/>
      <c r="C92" s="11"/>
      <c r="D92" s="1"/>
      <c r="E92" s="1"/>
      <c r="F92" s="12"/>
      <c r="G92" s="12"/>
      <c r="H92" s="113"/>
    </row>
    <row r="93" spans="1:8" ht="14.1" customHeight="1" x14ac:dyDescent="0.2">
      <c r="A93" s="1"/>
      <c r="B93" s="1"/>
      <c r="C93" s="2" t="s">
        <v>156</v>
      </c>
      <c r="D93" s="1"/>
      <c r="E93" s="1"/>
      <c r="F93" s="1"/>
      <c r="G93" s="1"/>
      <c r="H93" s="113"/>
    </row>
    <row r="94" spans="1:8" ht="29.1" customHeight="1" x14ac:dyDescent="0.2">
      <c r="A94" s="3">
        <v>1</v>
      </c>
      <c r="B94" s="4" t="s">
        <v>318</v>
      </c>
      <c r="C94" s="4" t="s">
        <v>898</v>
      </c>
      <c r="D94" s="4" t="s">
        <v>107</v>
      </c>
      <c r="E94" s="5">
        <v>697160</v>
      </c>
      <c r="F94" s="6">
        <v>73.898960000000002</v>
      </c>
      <c r="G94" s="7">
        <v>1.01673E-3</v>
      </c>
      <c r="H94" s="113"/>
    </row>
    <row r="95" spans="1:8" ht="38.25" x14ac:dyDescent="0.2">
      <c r="A95" s="3">
        <v>2</v>
      </c>
      <c r="B95" s="4" t="s">
        <v>319</v>
      </c>
      <c r="C95" s="4" t="s">
        <v>899</v>
      </c>
      <c r="D95" s="4" t="s">
        <v>53</v>
      </c>
      <c r="E95" s="5">
        <v>697</v>
      </c>
      <c r="F95" s="6">
        <v>6.9711849000000006E-2</v>
      </c>
      <c r="G95" s="44" t="s">
        <v>150</v>
      </c>
      <c r="H95" s="113"/>
    </row>
    <row r="96" spans="1:8" ht="14.1" customHeight="1" x14ac:dyDescent="0.2">
      <c r="A96" s="1"/>
      <c r="B96" s="1"/>
      <c r="C96" s="2" t="s">
        <v>151</v>
      </c>
      <c r="D96" s="1"/>
      <c r="E96" s="1" t="s">
        <v>152</v>
      </c>
      <c r="F96" s="9">
        <v>73.968671849000003</v>
      </c>
      <c r="G96" s="10">
        <v>1.0176899999999999E-3</v>
      </c>
      <c r="H96" s="113"/>
    </row>
    <row r="97" spans="1:8" ht="14.1" customHeight="1" x14ac:dyDescent="0.2">
      <c r="A97" s="1"/>
      <c r="B97" s="1"/>
      <c r="C97" s="11"/>
      <c r="D97" s="1"/>
      <c r="E97" s="1"/>
      <c r="F97" s="12"/>
      <c r="G97" s="12"/>
      <c r="H97" s="113"/>
    </row>
    <row r="98" spans="1:8" ht="14.1" customHeight="1" x14ac:dyDescent="0.2">
      <c r="A98" s="1"/>
      <c r="B98" s="1"/>
      <c r="C98" s="2" t="s">
        <v>157</v>
      </c>
      <c r="D98" s="1"/>
      <c r="E98" s="1"/>
      <c r="F98" s="12"/>
      <c r="G98" s="12"/>
      <c r="H98" s="113"/>
    </row>
    <row r="99" spans="1:8" ht="14.1" customHeight="1" x14ac:dyDescent="0.2">
      <c r="A99" s="1"/>
      <c r="B99" s="1"/>
      <c r="C99" s="2" t="s">
        <v>151</v>
      </c>
      <c r="D99" s="1"/>
      <c r="E99" s="1" t="s">
        <v>152</v>
      </c>
      <c r="F99" s="13" t="s">
        <v>154</v>
      </c>
      <c r="G99" s="10">
        <v>0</v>
      </c>
      <c r="H99" s="113"/>
    </row>
    <row r="100" spans="1:8" ht="14.1" customHeight="1" x14ac:dyDescent="0.2">
      <c r="A100" s="1"/>
      <c r="B100" s="1"/>
      <c r="C100" s="11"/>
      <c r="D100" s="1"/>
      <c r="E100" s="1"/>
      <c r="F100" s="12"/>
      <c r="G100" s="12"/>
      <c r="H100" s="113"/>
    </row>
    <row r="101" spans="1:8" ht="14.1" customHeight="1" x14ac:dyDescent="0.2">
      <c r="A101" s="1"/>
      <c r="B101" s="1"/>
      <c r="C101" s="2" t="s">
        <v>158</v>
      </c>
      <c r="D101" s="1"/>
      <c r="E101" s="1"/>
      <c r="F101" s="12"/>
      <c r="G101" s="12"/>
      <c r="H101" s="113"/>
    </row>
    <row r="102" spans="1:8" ht="14.1" customHeight="1" x14ac:dyDescent="0.2">
      <c r="A102" s="1"/>
      <c r="B102" s="1"/>
      <c r="C102" s="2" t="s">
        <v>151</v>
      </c>
      <c r="D102" s="1"/>
      <c r="E102" s="1" t="s">
        <v>152</v>
      </c>
      <c r="F102" s="13" t="s">
        <v>154</v>
      </c>
      <c r="G102" s="10">
        <v>0</v>
      </c>
      <c r="H102" s="113"/>
    </row>
    <row r="103" spans="1:8" ht="14.1" customHeight="1" x14ac:dyDescent="0.2">
      <c r="A103" s="1"/>
      <c r="B103" s="1"/>
      <c r="C103" s="11"/>
      <c r="D103" s="1"/>
      <c r="E103" s="1"/>
      <c r="F103" s="12"/>
      <c r="G103" s="12"/>
      <c r="H103" s="113"/>
    </row>
    <row r="104" spans="1:8" ht="18" customHeight="1" x14ac:dyDescent="0.2">
      <c r="A104" s="1"/>
      <c r="B104" s="1"/>
      <c r="C104" s="2" t="s">
        <v>159</v>
      </c>
      <c r="D104" s="1"/>
      <c r="E104" s="1"/>
      <c r="F104" s="9">
        <v>69215.143678848995</v>
      </c>
      <c r="G104" s="10">
        <v>0.95229109999999995</v>
      </c>
      <c r="H104" s="113"/>
    </row>
    <row r="105" spans="1:8" ht="14.1" customHeight="1" x14ac:dyDescent="0.2">
      <c r="A105" s="1"/>
      <c r="B105" s="1"/>
      <c r="C105" s="11"/>
      <c r="D105" s="1"/>
      <c r="E105" s="1"/>
      <c r="F105" s="12"/>
      <c r="G105" s="12"/>
      <c r="H105" s="113"/>
    </row>
    <row r="106" spans="1:8" ht="14.1" customHeight="1" x14ac:dyDescent="0.2">
      <c r="A106" s="1"/>
      <c r="B106" s="1"/>
      <c r="C106" s="2" t="s">
        <v>160</v>
      </c>
      <c r="D106" s="1"/>
      <c r="E106" s="1"/>
      <c r="F106" s="12"/>
      <c r="G106" s="12"/>
      <c r="H106" s="113"/>
    </row>
    <row r="107" spans="1:8" ht="24" customHeight="1" x14ac:dyDescent="0.2">
      <c r="A107" s="1"/>
      <c r="B107" s="1"/>
      <c r="C107" s="2" t="s">
        <v>10</v>
      </c>
      <c r="D107" s="1"/>
      <c r="E107" s="1"/>
      <c r="F107" s="12"/>
      <c r="G107" s="12"/>
      <c r="H107" s="113"/>
    </row>
    <row r="108" spans="1:8" ht="29.1" customHeight="1" x14ac:dyDescent="0.2">
      <c r="A108" s="3">
        <v>1</v>
      </c>
      <c r="B108" s="4" t="s">
        <v>724</v>
      </c>
      <c r="C108" s="4" t="s">
        <v>725</v>
      </c>
      <c r="D108" s="4" t="s">
        <v>582</v>
      </c>
      <c r="E108" s="5">
        <v>4200</v>
      </c>
      <c r="F108" s="6">
        <v>1.20541806</v>
      </c>
      <c r="G108" s="44" t="s">
        <v>150</v>
      </c>
      <c r="H108" s="113">
        <v>7.7874999999999996</v>
      </c>
    </row>
    <row r="109" spans="1:8" ht="14.1" customHeight="1" x14ac:dyDescent="0.2">
      <c r="A109" s="1"/>
      <c r="B109" s="1"/>
      <c r="C109" s="2" t="s">
        <v>151</v>
      </c>
      <c r="D109" s="1"/>
      <c r="E109" s="1" t="s">
        <v>152</v>
      </c>
      <c r="F109" s="9">
        <v>1.20541806</v>
      </c>
      <c r="G109" s="203" t="s">
        <v>150</v>
      </c>
      <c r="H109" s="113"/>
    </row>
    <row r="110" spans="1:8" ht="14.1" customHeight="1" x14ac:dyDescent="0.2">
      <c r="A110" s="1"/>
      <c r="B110" s="1"/>
      <c r="C110" s="11"/>
      <c r="D110" s="1"/>
      <c r="E110" s="1"/>
      <c r="F110" s="12"/>
      <c r="G110" s="12"/>
      <c r="H110" s="113"/>
    </row>
    <row r="111" spans="1:8" ht="14.1" customHeight="1" x14ac:dyDescent="0.2">
      <c r="A111" s="1"/>
      <c r="B111" s="1"/>
      <c r="C111" s="2" t="s">
        <v>161</v>
      </c>
      <c r="D111" s="1"/>
      <c r="E111" s="1"/>
      <c r="F111" s="1"/>
      <c r="G111" s="1"/>
      <c r="H111" s="113"/>
    </row>
    <row r="112" spans="1:8" ht="14.1" customHeight="1" x14ac:dyDescent="0.2">
      <c r="A112" s="1"/>
      <c r="B112" s="1"/>
      <c r="C112" s="2" t="s">
        <v>151</v>
      </c>
      <c r="D112" s="1"/>
      <c r="E112" s="1" t="s">
        <v>152</v>
      </c>
      <c r="F112" s="13" t="s">
        <v>154</v>
      </c>
      <c r="G112" s="10">
        <v>0</v>
      </c>
      <c r="H112" s="113"/>
    </row>
    <row r="113" spans="1:14" ht="14.1" customHeight="1" x14ac:dyDescent="0.2">
      <c r="A113" s="1"/>
      <c r="B113" s="1"/>
      <c r="C113" s="11"/>
      <c r="D113" s="1"/>
      <c r="E113" s="1"/>
      <c r="F113" s="12"/>
      <c r="G113" s="12"/>
      <c r="H113" s="113"/>
    </row>
    <row r="114" spans="1:14" ht="14.1" customHeight="1" x14ac:dyDescent="0.2">
      <c r="A114" s="1"/>
      <c r="B114" s="1"/>
      <c r="C114" s="2" t="s">
        <v>162</v>
      </c>
      <c r="D114" s="1"/>
      <c r="E114" s="1"/>
      <c r="F114" s="1"/>
      <c r="G114" s="1"/>
      <c r="H114" s="113"/>
    </row>
    <row r="115" spans="1:14" ht="14.1" customHeight="1" x14ac:dyDescent="0.2">
      <c r="A115" s="1"/>
      <c r="B115" s="1"/>
      <c r="C115" s="2" t="s">
        <v>151</v>
      </c>
      <c r="D115" s="1"/>
      <c r="E115" s="1" t="s">
        <v>152</v>
      </c>
      <c r="F115" s="13" t="s">
        <v>154</v>
      </c>
      <c r="G115" s="10">
        <v>0</v>
      </c>
      <c r="H115" s="113"/>
    </row>
    <row r="116" spans="1:14" ht="14.1" customHeight="1" x14ac:dyDescent="0.2">
      <c r="A116" s="1"/>
      <c r="B116" s="1"/>
      <c r="C116" s="11"/>
      <c r="D116" s="1"/>
      <c r="E116" s="1"/>
      <c r="F116" s="12"/>
      <c r="G116" s="12"/>
      <c r="H116" s="113"/>
    </row>
    <row r="117" spans="1:14" ht="14.1" customHeight="1" x14ac:dyDescent="0.2">
      <c r="A117" s="1"/>
      <c r="B117" s="1"/>
      <c r="C117" s="2" t="s">
        <v>163</v>
      </c>
      <c r="D117" s="1"/>
      <c r="E117" s="1"/>
      <c r="F117" s="12"/>
      <c r="G117" s="12"/>
      <c r="H117" s="113"/>
    </row>
    <row r="118" spans="1:14" ht="14.1" customHeight="1" x14ac:dyDescent="0.2">
      <c r="A118" s="1"/>
      <c r="B118" s="1"/>
      <c r="C118" s="2" t="s">
        <v>151</v>
      </c>
      <c r="D118" s="1"/>
      <c r="E118" s="1" t="s">
        <v>152</v>
      </c>
      <c r="F118" s="13" t="s">
        <v>154</v>
      </c>
      <c r="G118" s="10">
        <v>0</v>
      </c>
      <c r="H118" s="113"/>
    </row>
    <row r="119" spans="1:14" ht="14.1" customHeight="1" x14ac:dyDescent="0.2">
      <c r="A119" s="1"/>
      <c r="B119" s="1"/>
      <c r="C119" s="11"/>
      <c r="D119" s="1"/>
      <c r="E119" s="1"/>
      <c r="F119" s="12"/>
      <c r="G119" s="12"/>
      <c r="H119" s="113"/>
    </row>
    <row r="120" spans="1:14" ht="14.1" customHeight="1" x14ac:dyDescent="0.2">
      <c r="A120" s="1"/>
      <c r="B120" s="1"/>
      <c r="C120" s="2" t="s">
        <v>164</v>
      </c>
      <c r="D120" s="1"/>
      <c r="E120" s="1"/>
      <c r="F120" s="9">
        <v>1.20541806</v>
      </c>
      <c r="G120" s="10">
        <v>1.6589999999999999E-5</v>
      </c>
      <c r="H120" s="113"/>
    </row>
    <row r="121" spans="1:14" ht="14.1" customHeight="1" x14ac:dyDescent="0.2">
      <c r="A121" s="1"/>
      <c r="B121" s="1"/>
      <c r="C121" s="11"/>
      <c r="D121" s="1"/>
      <c r="E121" s="1"/>
      <c r="F121" s="12"/>
      <c r="G121" s="12"/>
      <c r="H121" s="113"/>
      <c r="J121" s="195"/>
      <c r="K121" s="195"/>
      <c r="L121" s="195"/>
      <c r="M121" s="195"/>
      <c r="N121" s="195"/>
    </row>
    <row r="122" spans="1:14" ht="14.1" customHeight="1" x14ac:dyDescent="0.2">
      <c r="A122" s="1"/>
      <c r="B122" s="1"/>
      <c r="C122" s="2" t="s">
        <v>165</v>
      </c>
      <c r="D122" s="1"/>
      <c r="E122" s="1"/>
      <c r="F122" s="12"/>
      <c r="G122" s="12"/>
      <c r="H122" s="113"/>
    </row>
    <row r="123" spans="1:14" ht="14.1" customHeight="1" x14ac:dyDescent="0.2">
      <c r="A123" s="1"/>
      <c r="B123" s="1"/>
      <c r="C123" s="2" t="s">
        <v>166</v>
      </c>
      <c r="D123" s="1"/>
      <c r="E123" s="1"/>
      <c r="F123" s="12"/>
      <c r="G123" s="12"/>
      <c r="H123" s="113"/>
    </row>
    <row r="124" spans="1:14" ht="14.1" customHeight="1" x14ac:dyDescent="0.2">
      <c r="A124" s="1"/>
      <c r="B124" s="1"/>
      <c r="C124" s="2" t="s">
        <v>151</v>
      </c>
      <c r="D124" s="1"/>
      <c r="E124" s="1" t="s">
        <v>152</v>
      </c>
      <c r="F124" s="13" t="s">
        <v>154</v>
      </c>
      <c r="G124" s="10">
        <v>0</v>
      </c>
      <c r="H124" s="113"/>
    </row>
    <row r="125" spans="1:14" ht="14.1" customHeight="1" x14ac:dyDescent="0.2">
      <c r="A125" s="1"/>
      <c r="B125" s="1"/>
      <c r="C125" s="11"/>
      <c r="D125" s="1"/>
      <c r="E125" s="1"/>
      <c r="F125" s="12"/>
      <c r="G125" s="12"/>
      <c r="H125" s="113"/>
    </row>
    <row r="126" spans="1:14" ht="14.1" customHeight="1" x14ac:dyDescent="0.2">
      <c r="A126" s="1"/>
      <c r="B126" s="1"/>
      <c r="C126" s="2" t="s">
        <v>167</v>
      </c>
      <c r="D126" s="1"/>
      <c r="E126" s="1"/>
      <c r="F126" s="12"/>
      <c r="G126" s="12"/>
      <c r="H126" s="113"/>
    </row>
    <row r="127" spans="1:14" ht="14.1" customHeight="1" x14ac:dyDescent="0.2">
      <c r="A127" s="1"/>
      <c r="B127" s="1"/>
      <c r="C127" s="2" t="s">
        <v>151</v>
      </c>
      <c r="D127" s="1"/>
      <c r="E127" s="1" t="s">
        <v>152</v>
      </c>
      <c r="F127" s="13" t="s">
        <v>154</v>
      </c>
      <c r="G127" s="10">
        <v>0</v>
      </c>
      <c r="H127" s="113"/>
    </row>
    <row r="128" spans="1:14" ht="14.1" customHeight="1" x14ac:dyDescent="0.2">
      <c r="A128" s="1"/>
      <c r="B128" s="1"/>
      <c r="C128" s="11"/>
      <c r="D128" s="1"/>
      <c r="E128" s="1"/>
      <c r="F128" s="12"/>
      <c r="G128" s="12"/>
      <c r="H128" s="113"/>
    </row>
    <row r="129" spans="1:8" ht="14.1" customHeight="1" x14ac:dyDescent="0.2">
      <c r="A129" s="1"/>
      <c r="B129" s="1"/>
      <c r="C129" s="2" t="s">
        <v>168</v>
      </c>
      <c r="D129" s="1"/>
      <c r="E129" s="1"/>
      <c r="F129" s="12"/>
      <c r="G129" s="12"/>
      <c r="H129" s="113"/>
    </row>
    <row r="130" spans="1:8" ht="14.1" customHeight="1" x14ac:dyDescent="0.2">
      <c r="A130" s="1"/>
      <c r="B130" s="1"/>
      <c r="C130" s="2" t="s">
        <v>151</v>
      </c>
      <c r="D130" s="1"/>
      <c r="E130" s="1" t="s">
        <v>152</v>
      </c>
      <c r="F130" s="13" t="s">
        <v>154</v>
      </c>
      <c r="G130" s="10">
        <v>0</v>
      </c>
      <c r="H130" s="113"/>
    </row>
    <row r="131" spans="1:8" ht="14.1" customHeight="1" x14ac:dyDescent="0.2">
      <c r="A131" s="1"/>
      <c r="B131" s="1"/>
      <c r="C131" s="11"/>
      <c r="D131" s="1"/>
      <c r="E131" s="1"/>
      <c r="F131" s="12"/>
      <c r="G131" s="12"/>
      <c r="H131" s="113"/>
    </row>
    <row r="132" spans="1:8" ht="14.1" customHeight="1" x14ac:dyDescent="0.2">
      <c r="A132" s="1"/>
      <c r="B132" s="1"/>
      <c r="C132" s="2" t="s">
        <v>169</v>
      </c>
      <c r="D132" s="1"/>
      <c r="E132" s="1"/>
      <c r="F132" s="12"/>
      <c r="G132" s="12"/>
      <c r="H132" s="113"/>
    </row>
    <row r="133" spans="1:8" ht="17.100000000000001" customHeight="1" x14ac:dyDescent="0.2">
      <c r="A133" s="3">
        <v>1</v>
      </c>
      <c r="B133" s="4"/>
      <c r="C133" s="4" t="s">
        <v>170</v>
      </c>
      <c r="D133" s="4"/>
      <c r="E133" s="8"/>
      <c r="F133" s="6">
        <v>3316.1035320000001</v>
      </c>
      <c r="G133" s="7">
        <v>4.5624350000000001E-2</v>
      </c>
      <c r="H133" s="113">
        <v>6.7600000000000016</v>
      </c>
    </row>
    <row r="134" spans="1:8" ht="14.1" customHeight="1" x14ac:dyDescent="0.2">
      <c r="A134" s="1"/>
      <c r="B134" s="1"/>
      <c r="C134" s="2" t="s">
        <v>151</v>
      </c>
      <c r="D134" s="1"/>
      <c r="E134" s="1" t="s">
        <v>152</v>
      </c>
      <c r="F134" s="9">
        <v>3316.1035320000001</v>
      </c>
      <c r="G134" s="10">
        <v>4.5624350000000001E-2</v>
      </c>
      <c r="H134" s="113"/>
    </row>
    <row r="135" spans="1:8" ht="14.1" customHeight="1" x14ac:dyDescent="0.2">
      <c r="A135" s="1"/>
      <c r="B135" s="1"/>
      <c r="C135" s="11"/>
      <c r="D135" s="1"/>
      <c r="E135" s="1"/>
      <c r="F135" s="12"/>
      <c r="G135" s="12"/>
      <c r="H135" s="113"/>
    </row>
    <row r="136" spans="1:8" ht="14.1" customHeight="1" x14ac:dyDescent="0.2">
      <c r="A136" s="1"/>
      <c r="B136" s="1"/>
      <c r="C136" s="2" t="s">
        <v>171</v>
      </c>
      <c r="D136" s="1"/>
      <c r="E136" s="1"/>
      <c r="F136" s="9">
        <v>3316.1035320000001</v>
      </c>
      <c r="G136" s="10">
        <v>4.5624350000000001E-2</v>
      </c>
      <c r="H136" s="113"/>
    </row>
    <row r="137" spans="1:8" ht="14.1" customHeight="1" x14ac:dyDescent="0.2">
      <c r="A137" s="1"/>
      <c r="B137" s="1"/>
      <c r="C137" s="12"/>
      <c r="D137" s="1"/>
      <c r="E137" s="1"/>
      <c r="F137" s="1"/>
      <c r="G137" s="1"/>
      <c r="H137" s="113"/>
    </row>
    <row r="138" spans="1:8" ht="14.1" customHeight="1" x14ac:dyDescent="0.2">
      <c r="A138" s="1"/>
      <c r="B138" s="1"/>
      <c r="C138" s="2" t="s">
        <v>172</v>
      </c>
      <c r="D138" s="1"/>
      <c r="E138" s="1"/>
      <c r="F138" s="1"/>
      <c r="G138" s="1"/>
      <c r="H138" s="113"/>
    </row>
    <row r="139" spans="1:8" ht="14.1" customHeight="1" x14ac:dyDescent="0.2">
      <c r="A139" s="1"/>
      <c r="B139" s="1"/>
      <c r="C139" s="2" t="s">
        <v>173</v>
      </c>
      <c r="D139" s="1"/>
      <c r="E139" s="1"/>
      <c r="F139" s="1"/>
      <c r="G139" s="1"/>
      <c r="H139" s="113"/>
    </row>
    <row r="140" spans="1:8" ht="14.1" customHeight="1" x14ac:dyDescent="0.2">
      <c r="A140" s="1"/>
      <c r="B140" s="1"/>
      <c r="C140" s="2" t="s">
        <v>151</v>
      </c>
      <c r="D140" s="1"/>
      <c r="E140" s="1" t="s">
        <v>152</v>
      </c>
      <c r="F140" s="13" t="s">
        <v>154</v>
      </c>
      <c r="G140" s="10">
        <v>0</v>
      </c>
      <c r="H140" s="113"/>
    </row>
    <row r="141" spans="1:8" ht="14.1" customHeight="1" x14ac:dyDescent="0.2">
      <c r="A141" s="1"/>
      <c r="B141" s="1"/>
      <c r="C141" s="11"/>
      <c r="D141" s="1"/>
      <c r="E141" s="1"/>
      <c r="F141" s="12"/>
      <c r="G141" s="12"/>
      <c r="H141" s="113"/>
    </row>
    <row r="142" spans="1:8" ht="14.1" customHeight="1" x14ac:dyDescent="0.2">
      <c r="A142" s="1"/>
      <c r="B142" s="1"/>
      <c r="C142" s="2" t="s">
        <v>174</v>
      </c>
      <c r="D142" s="1"/>
      <c r="E142" s="1"/>
      <c r="F142" s="1"/>
      <c r="G142" s="1"/>
      <c r="H142" s="113"/>
    </row>
    <row r="143" spans="1:8" ht="14.1" customHeight="1" x14ac:dyDescent="0.2">
      <c r="A143" s="1"/>
      <c r="B143" s="1"/>
      <c r="C143" s="2" t="s">
        <v>175</v>
      </c>
      <c r="D143" s="1"/>
      <c r="E143" s="1"/>
      <c r="F143" s="1"/>
      <c r="G143" s="1"/>
      <c r="H143" s="113"/>
    </row>
    <row r="144" spans="1:8" ht="14.1" customHeight="1" x14ac:dyDescent="0.2">
      <c r="A144" s="1"/>
      <c r="B144" s="1"/>
      <c r="C144" s="2" t="s">
        <v>151</v>
      </c>
      <c r="D144" s="1"/>
      <c r="E144" s="1" t="s">
        <v>152</v>
      </c>
      <c r="F144" s="13" t="s">
        <v>154</v>
      </c>
      <c r="G144" s="10">
        <v>0</v>
      </c>
      <c r="H144" s="113"/>
    </row>
    <row r="145" spans="1:8" ht="14.1" customHeight="1" x14ac:dyDescent="0.2">
      <c r="A145" s="1"/>
      <c r="B145" s="1"/>
      <c r="C145" s="11"/>
      <c r="D145" s="1"/>
      <c r="E145" s="1"/>
      <c r="F145" s="12"/>
      <c r="G145" s="12"/>
      <c r="H145" s="113"/>
    </row>
    <row r="146" spans="1:8" ht="24" customHeight="1" x14ac:dyDescent="0.2">
      <c r="A146" s="1"/>
      <c r="B146" s="1"/>
      <c r="C146" s="2" t="s">
        <v>176</v>
      </c>
      <c r="D146" s="1"/>
      <c r="E146" s="1"/>
      <c r="F146" s="12"/>
      <c r="G146" s="12"/>
      <c r="H146" s="113"/>
    </row>
    <row r="147" spans="1:8" ht="14.1" customHeight="1" x14ac:dyDescent="0.2">
      <c r="A147" s="1"/>
      <c r="B147" s="1"/>
      <c r="C147" s="2" t="s">
        <v>151</v>
      </c>
      <c r="D147" s="1"/>
      <c r="E147" s="1" t="s">
        <v>152</v>
      </c>
      <c r="F147" s="13" t="s">
        <v>154</v>
      </c>
      <c r="G147" s="10">
        <v>0</v>
      </c>
      <c r="H147" s="113"/>
    </row>
    <row r="148" spans="1:8" ht="14.1" customHeight="1" x14ac:dyDescent="0.2">
      <c r="A148" s="1"/>
      <c r="B148" s="1"/>
      <c r="C148" s="11"/>
      <c r="D148" s="1"/>
      <c r="E148" s="1"/>
      <c r="F148" s="12"/>
      <c r="G148" s="12"/>
      <c r="H148" s="113"/>
    </row>
    <row r="149" spans="1:8" ht="14.1" customHeight="1" x14ac:dyDescent="0.2">
      <c r="A149" s="1"/>
      <c r="B149" s="4"/>
      <c r="C149" s="4"/>
      <c r="D149" s="2"/>
      <c r="E149" s="1"/>
      <c r="F149" s="4"/>
      <c r="G149" s="8"/>
      <c r="H149" s="113"/>
    </row>
    <row r="150" spans="1:8" ht="18" customHeight="1" x14ac:dyDescent="0.2">
      <c r="A150" s="8"/>
      <c r="B150" s="4"/>
      <c r="C150" s="40" t="s">
        <v>982</v>
      </c>
      <c r="D150" s="4"/>
      <c r="E150" s="8"/>
      <c r="F150" s="6">
        <v>150.30940745999999</v>
      </c>
      <c r="G150" s="7">
        <v>2.0680199999999998E-3</v>
      </c>
      <c r="H150" s="113"/>
    </row>
    <row r="151" spans="1:8" ht="14.1" customHeight="1" x14ac:dyDescent="0.2">
      <c r="A151" s="11"/>
      <c r="B151" s="11"/>
      <c r="C151" s="2" t="s">
        <v>178</v>
      </c>
      <c r="D151" s="12"/>
      <c r="E151" s="12"/>
      <c r="F151" s="9">
        <v>72682.762036368993</v>
      </c>
      <c r="G151" s="14">
        <v>1.0000000600000001</v>
      </c>
      <c r="H151" s="113"/>
    </row>
    <row r="152" spans="1:8" ht="14.1" customHeight="1" x14ac:dyDescent="0.2">
      <c r="A152" s="15"/>
      <c r="B152" s="15"/>
      <c r="C152" s="15"/>
      <c r="D152" s="16"/>
      <c r="E152" s="16"/>
      <c r="F152" s="16"/>
      <c r="G152" s="16"/>
    </row>
    <row r="153" spans="1:8" ht="14.1" customHeight="1" x14ac:dyDescent="0.2">
      <c r="A153" s="45"/>
      <c r="B153" s="217" t="s">
        <v>980</v>
      </c>
      <c r="C153" s="217"/>
      <c r="D153" s="217"/>
      <c r="E153" s="217"/>
      <c r="F153" s="217"/>
      <c r="G153" s="48"/>
    </row>
    <row r="154" spans="1:8" ht="17.100000000000001" customHeight="1" x14ac:dyDescent="0.2">
      <c r="A154" s="45"/>
      <c r="B154" s="217" t="s">
        <v>981</v>
      </c>
      <c r="C154" s="217"/>
      <c r="D154" s="217"/>
      <c r="E154" s="217"/>
      <c r="F154" s="217"/>
      <c r="G154" s="48"/>
    </row>
    <row r="155" spans="1:8" ht="17.100000000000001" customHeight="1" x14ac:dyDescent="0.2">
      <c r="A155" s="17"/>
      <c r="B155" s="207" t="s">
        <v>179</v>
      </c>
      <c r="C155" s="207"/>
      <c r="D155" s="207"/>
      <c r="E155" s="207"/>
      <c r="F155" s="207"/>
      <c r="G155" s="19"/>
    </row>
    <row r="156" spans="1:8" ht="14.1" customHeight="1" x14ac:dyDescent="0.2">
      <c r="A156" s="17"/>
      <c r="B156" s="17"/>
      <c r="C156" s="17"/>
      <c r="D156" s="19"/>
      <c r="E156" s="19"/>
      <c r="F156" s="19"/>
      <c r="G156" s="19"/>
    </row>
    <row r="157" spans="1:8" ht="14.1" customHeight="1" x14ac:dyDescent="0.2">
      <c r="A157" s="17"/>
      <c r="B157" s="208" t="s">
        <v>180</v>
      </c>
      <c r="C157" s="209"/>
      <c r="D157" s="210"/>
      <c r="E157" s="20"/>
      <c r="F157" s="19"/>
      <c r="G157" s="19"/>
    </row>
    <row r="158" spans="1:8" ht="29.1" customHeight="1" x14ac:dyDescent="0.2">
      <c r="A158" s="17"/>
      <c r="B158" s="205" t="s">
        <v>181</v>
      </c>
      <c r="C158" s="206"/>
      <c r="D158" s="95" t="s">
        <v>1012</v>
      </c>
      <c r="E158" s="20"/>
      <c r="F158" s="19"/>
      <c r="G158" s="19"/>
    </row>
    <row r="159" spans="1:8" ht="24.75" customHeight="1" x14ac:dyDescent="0.2">
      <c r="A159" s="45"/>
      <c r="B159" s="215" t="s">
        <v>900</v>
      </c>
      <c r="C159" s="216"/>
      <c r="D159" s="53" t="s">
        <v>1180</v>
      </c>
      <c r="E159" s="47"/>
      <c r="F159" s="48"/>
      <c r="G159" s="48"/>
    </row>
    <row r="160" spans="1:8" ht="17.100000000000001" customHeight="1" x14ac:dyDescent="0.2">
      <c r="A160" s="17"/>
      <c r="B160" s="205" t="s">
        <v>184</v>
      </c>
      <c r="C160" s="206"/>
      <c r="D160" s="12" t="s">
        <v>152</v>
      </c>
      <c r="E160" s="20"/>
      <c r="F160" s="19"/>
      <c r="G160" s="19"/>
    </row>
    <row r="161" spans="1:7" ht="25.5" x14ac:dyDescent="0.2">
      <c r="A161" s="21"/>
      <c r="B161" s="22" t="s">
        <v>152</v>
      </c>
      <c r="C161" s="22" t="s">
        <v>185</v>
      </c>
      <c r="D161" s="22" t="s">
        <v>186</v>
      </c>
      <c r="E161" s="21"/>
      <c r="F161" s="21"/>
      <c r="G161" s="21"/>
    </row>
    <row r="162" spans="1:7" ht="18" customHeight="1" x14ac:dyDescent="0.2">
      <c r="A162" s="21"/>
      <c r="B162" s="23" t="s">
        <v>187</v>
      </c>
      <c r="C162" s="22" t="s">
        <v>188</v>
      </c>
      <c r="D162" s="22" t="s">
        <v>189</v>
      </c>
      <c r="E162" s="21"/>
      <c r="F162" s="21"/>
      <c r="G162" s="21"/>
    </row>
    <row r="163" spans="1:7" ht="17.100000000000001" customHeight="1" x14ac:dyDescent="0.2">
      <c r="A163" s="21"/>
      <c r="B163" s="4" t="s">
        <v>190</v>
      </c>
      <c r="C163" s="24">
        <v>115.8614</v>
      </c>
      <c r="D163" s="24">
        <v>125.2514</v>
      </c>
      <c r="E163" s="21"/>
      <c r="F163" s="18"/>
      <c r="G163" s="25"/>
    </row>
    <row r="164" spans="1:7" ht="29.1" customHeight="1" x14ac:dyDescent="0.2">
      <c r="A164" s="21"/>
      <c r="B164" s="4" t="s">
        <v>1036</v>
      </c>
      <c r="C164" s="24">
        <v>57.615099999999998</v>
      </c>
      <c r="D164" s="24">
        <v>62.284500000000001</v>
      </c>
      <c r="E164" s="21"/>
      <c r="F164" s="18"/>
      <c r="G164" s="25"/>
    </row>
    <row r="165" spans="1:7" ht="17.100000000000001" customHeight="1" x14ac:dyDescent="0.2">
      <c r="A165" s="21"/>
      <c r="B165" s="4" t="s">
        <v>191</v>
      </c>
      <c r="C165" s="24">
        <v>108.38979999999999</v>
      </c>
      <c r="D165" s="24">
        <v>117.04040000000001</v>
      </c>
      <c r="E165" s="21"/>
      <c r="F165" s="18"/>
      <c r="G165" s="25"/>
    </row>
    <row r="166" spans="1:7" ht="29.1" customHeight="1" x14ac:dyDescent="0.2">
      <c r="A166" s="21"/>
      <c r="B166" s="4" t="s">
        <v>1037</v>
      </c>
      <c r="C166" s="24">
        <v>35.140500000000003</v>
      </c>
      <c r="D166" s="24">
        <v>37.945099999999996</v>
      </c>
      <c r="E166" s="21"/>
      <c r="F166" s="18"/>
      <c r="G166" s="25"/>
    </row>
    <row r="167" spans="1:7" ht="14.1" customHeight="1" x14ac:dyDescent="0.2">
      <c r="A167" s="21"/>
      <c r="B167" s="21"/>
      <c r="C167" s="21"/>
      <c r="D167" s="21"/>
      <c r="E167" s="21"/>
      <c r="F167" s="21"/>
      <c r="G167" s="21"/>
    </row>
    <row r="168" spans="1:7" ht="17.100000000000001" customHeight="1" x14ac:dyDescent="0.2">
      <c r="A168" s="21"/>
      <c r="B168" s="205" t="s">
        <v>1035</v>
      </c>
      <c r="C168" s="206"/>
      <c r="D168" s="2" t="s">
        <v>182</v>
      </c>
      <c r="E168" s="21"/>
      <c r="F168" s="21"/>
      <c r="G168" s="21"/>
    </row>
    <row r="169" spans="1:7" ht="18" customHeight="1" x14ac:dyDescent="0.2">
      <c r="A169" s="21"/>
      <c r="B169" s="26"/>
      <c r="C169" s="26"/>
      <c r="D169" s="26"/>
      <c r="E169" s="21"/>
      <c r="F169" s="21"/>
      <c r="G169" s="21"/>
    </row>
    <row r="170" spans="1:7" ht="29.1" customHeight="1" x14ac:dyDescent="0.2">
      <c r="A170" s="21"/>
      <c r="B170" s="205" t="s">
        <v>192</v>
      </c>
      <c r="C170" s="206"/>
      <c r="D170" s="2" t="s">
        <v>182</v>
      </c>
      <c r="E170" s="27"/>
      <c r="F170" s="21"/>
      <c r="G170" s="21"/>
    </row>
    <row r="171" spans="1:7" ht="29.1" customHeight="1" x14ac:dyDescent="0.2">
      <c r="A171" s="21"/>
      <c r="B171" s="205" t="s">
        <v>193</v>
      </c>
      <c r="C171" s="206"/>
      <c r="D171" s="2" t="s">
        <v>182</v>
      </c>
      <c r="E171" s="27"/>
      <c r="F171" s="21"/>
      <c r="G171" s="21"/>
    </row>
    <row r="172" spans="1:7" ht="17.100000000000001" customHeight="1" x14ac:dyDescent="0.2">
      <c r="A172" s="21"/>
      <c r="B172" s="205" t="s">
        <v>194</v>
      </c>
      <c r="C172" s="206"/>
      <c r="D172" s="2" t="s">
        <v>182</v>
      </c>
      <c r="E172" s="27"/>
      <c r="F172" s="21"/>
      <c r="G172" s="21"/>
    </row>
    <row r="173" spans="1:7" ht="17.100000000000001" customHeight="1" x14ac:dyDescent="0.2">
      <c r="A173" s="21"/>
      <c r="B173" s="205" t="s">
        <v>195</v>
      </c>
      <c r="C173" s="206"/>
      <c r="D173" s="28">
        <v>0.29004839558367151</v>
      </c>
      <c r="E173" s="21"/>
      <c r="F173" s="18"/>
      <c r="G173" s="25"/>
    </row>
    <row r="175" spans="1:7" x14ac:dyDescent="0.2">
      <c r="B175" s="91" t="s">
        <v>1018</v>
      </c>
      <c r="C175" s="91"/>
      <c r="D175" s="91"/>
      <c r="E175" s="96"/>
      <c r="F175" s="97"/>
    </row>
    <row r="176" spans="1:7" ht="38.25" x14ac:dyDescent="0.2">
      <c r="B176" s="98" t="s">
        <v>985</v>
      </c>
      <c r="C176" s="99" t="s">
        <v>986</v>
      </c>
      <c r="D176" s="99" t="s">
        <v>987</v>
      </c>
      <c r="E176" s="99" t="s">
        <v>988</v>
      </c>
      <c r="F176" s="99" t="s">
        <v>989</v>
      </c>
    </row>
    <row r="177" spans="2:6" ht="25.5" x14ac:dyDescent="0.2">
      <c r="B177" s="100" t="s">
        <v>1013</v>
      </c>
      <c r="C177" s="101" t="s">
        <v>1014</v>
      </c>
      <c r="D177" s="102">
        <v>0</v>
      </c>
      <c r="E177" s="103">
        <v>0</v>
      </c>
      <c r="F177" s="104">
        <v>241.97234</v>
      </c>
    </row>
    <row r="178" spans="2:6" ht="25.5" x14ac:dyDescent="0.2">
      <c r="B178" s="100" t="s">
        <v>1015</v>
      </c>
      <c r="C178" s="101" t="s">
        <v>1014</v>
      </c>
      <c r="D178" s="102">
        <v>0</v>
      </c>
      <c r="E178" s="103">
        <v>0</v>
      </c>
      <c r="F178" s="104">
        <v>23.186299999999999</v>
      </c>
    </row>
  </sheetData>
  <mergeCells count="16">
    <mergeCell ref="B173:C173"/>
    <mergeCell ref="B159:C159"/>
    <mergeCell ref="B160:C160"/>
    <mergeCell ref="B168:C168"/>
    <mergeCell ref="B170:C170"/>
    <mergeCell ref="B171:C171"/>
    <mergeCell ref="B172:C172"/>
    <mergeCell ref="J2:N2"/>
    <mergeCell ref="A1:H1"/>
    <mergeCell ref="A2:H2"/>
    <mergeCell ref="A3:H3"/>
    <mergeCell ref="B158:C158"/>
    <mergeCell ref="B155:F155"/>
    <mergeCell ref="B157:D157"/>
    <mergeCell ref="B153:F153"/>
    <mergeCell ref="B154:F154"/>
  </mergeCells>
  <hyperlinks>
    <hyperlink ref="I1" location="Index!B18" display="Index" xr:uid="{79C136F3-18AC-472D-9A2B-F21939EEB9B0}"/>
  </hyperlinks>
  <pageMargins left="5.000000074505806E-2" right="5.000000074505806E-2" top="0.30000001192092896" bottom="0.20000000298023224" header="0" footer="0"/>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20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726</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1048</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376913</v>
      </c>
      <c r="F7" s="6">
        <v>6442.3854524999997</v>
      </c>
      <c r="G7" s="7">
        <v>8.7809159999999997E-2</v>
      </c>
      <c r="H7" s="113"/>
    </row>
    <row r="8" spans="1:15" ht="17.100000000000001" customHeight="1" x14ac:dyDescent="0.2">
      <c r="A8" s="3">
        <v>2</v>
      </c>
      <c r="B8" s="4" t="s">
        <v>17</v>
      </c>
      <c r="C8" s="4" t="s">
        <v>18</v>
      </c>
      <c r="D8" s="4" t="s">
        <v>19</v>
      </c>
      <c r="E8" s="5">
        <v>156000</v>
      </c>
      <c r="F8" s="6">
        <v>4032.5219999999999</v>
      </c>
      <c r="G8" s="7">
        <v>5.496293E-2</v>
      </c>
      <c r="H8" s="113"/>
    </row>
    <row r="9" spans="1:15" ht="17.100000000000001" customHeight="1" x14ac:dyDescent="0.2">
      <c r="A9" s="3">
        <v>3</v>
      </c>
      <c r="B9" s="4" t="s">
        <v>26</v>
      </c>
      <c r="C9" s="4" t="s">
        <v>27</v>
      </c>
      <c r="D9" s="4" t="s">
        <v>28</v>
      </c>
      <c r="E9" s="5">
        <v>360800</v>
      </c>
      <c r="F9" s="6">
        <v>3595.7328000000002</v>
      </c>
      <c r="G9" s="7">
        <v>4.9009530000000003E-2</v>
      </c>
      <c r="H9" s="113"/>
    </row>
    <row r="10" spans="1:15" ht="17.100000000000001" customHeight="1" x14ac:dyDescent="0.2">
      <c r="A10" s="3">
        <v>4</v>
      </c>
      <c r="B10" s="4" t="s">
        <v>323</v>
      </c>
      <c r="C10" s="4" t="s">
        <v>324</v>
      </c>
      <c r="D10" s="4" t="s">
        <v>891</v>
      </c>
      <c r="E10" s="5">
        <v>185100</v>
      </c>
      <c r="F10" s="6">
        <v>2855.9079000000002</v>
      </c>
      <c r="G10" s="7">
        <v>3.892578E-2</v>
      </c>
      <c r="H10" s="113"/>
    </row>
    <row r="11" spans="1:15" ht="17.100000000000001" customHeight="1" x14ac:dyDescent="0.2">
      <c r="A11" s="3">
        <v>5</v>
      </c>
      <c r="B11" s="4" t="s">
        <v>325</v>
      </c>
      <c r="C11" s="4" t="s">
        <v>326</v>
      </c>
      <c r="D11" s="4" t="s">
        <v>28</v>
      </c>
      <c r="E11" s="5">
        <v>249000</v>
      </c>
      <c r="F11" s="6">
        <v>2744.7269999999999</v>
      </c>
      <c r="G11" s="7">
        <v>3.7410390000000002E-2</v>
      </c>
      <c r="H11" s="113"/>
      <c r="K11" s="201"/>
      <c r="L11" s="201"/>
      <c r="M11" s="201"/>
      <c r="N11" s="201"/>
    </row>
    <row r="12" spans="1:15" ht="17.100000000000001" customHeight="1" x14ac:dyDescent="0.2">
      <c r="A12" s="3">
        <v>6</v>
      </c>
      <c r="B12" s="4" t="s">
        <v>355</v>
      </c>
      <c r="C12" s="4" t="s">
        <v>356</v>
      </c>
      <c r="D12" s="4" t="s">
        <v>350</v>
      </c>
      <c r="E12" s="5">
        <v>63000</v>
      </c>
      <c r="F12" s="6">
        <v>1678.2885000000001</v>
      </c>
      <c r="G12" s="7">
        <v>2.2874930000000002E-2</v>
      </c>
      <c r="H12" s="113"/>
    </row>
    <row r="13" spans="1:15" ht="17.100000000000001" customHeight="1" x14ac:dyDescent="0.2">
      <c r="A13" s="3">
        <v>7</v>
      </c>
      <c r="B13" s="4" t="s">
        <v>351</v>
      </c>
      <c r="C13" s="4" t="s">
        <v>352</v>
      </c>
      <c r="D13" s="4" t="s">
        <v>248</v>
      </c>
      <c r="E13" s="5">
        <v>213750</v>
      </c>
      <c r="F13" s="6">
        <v>1667.1431250000001</v>
      </c>
      <c r="G13" s="7">
        <v>2.272302E-2</v>
      </c>
      <c r="H13" s="113"/>
      <c r="J13" s="194" t="s">
        <v>1164</v>
      </c>
    </row>
    <row r="14" spans="1:15" ht="17.100000000000001" customHeight="1" x14ac:dyDescent="0.2">
      <c r="A14" s="3">
        <v>8</v>
      </c>
      <c r="B14" s="4" t="s">
        <v>11</v>
      </c>
      <c r="C14" s="4" t="s">
        <v>12</v>
      </c>
      <c r="D14" s="4" t="s">
        <v>13</v>
      </c>
      <c r="E14" s="5">
        <v>42440</v>
      </c>
      <c r="F14" s="6">
        <v>1496.4344000000001</v>
      </c>
      <c r="G14" s="7">
        <v>2.0396270000000001E-2</v>
      </c>
      <c r="H14" s="113"/>
    </row>
    <row r="15" spans="1:15" ht="17.100000000000001" customHeight="1" x14ac:dyDescent="0.2">
      <c r="A15" s="3">
        <v>9</v>
      </c>
      <c r="B15" s="4" t="s">
        <v>365</v>
      </c>
      <c r="C15" s="4" t="s">
        <v>366</v>
      </c>
      <c r="D15" s="4" t="s">
        <v>53</v>
      </c>
      <c r="E15" s="5">
        <v>19000</v>
      </c>
      <c r="F15" s="6">
        <v>1392.2725</v>
      </c>
      <c r="G15" s="7">
        <v>1.897656E-2</v>
      </c>
      <c r="H15" s="113"/>
    </row>
    <row r="16" spans="1:15" ht="17.100000000000001" customHeight="1" x14ac:dyDescent="0.2">
      <c r="A16" s="3">
        <v>10</v>
      </c>
      <c r="B16" s="4" t="s">
        <v>342</v>
      </c>
      <c r="C16" s="4" t="s">
        <v>343</v>
      </c>
      <c r="D16" s="4" t="s">
        <v>267</v>
      </c>
      <c r="E16" s="5">
        <v>39000</v>
      </c>
      <c r="F16" s="6">
        <v>1247.9414999999999</v>
      </c>
      <c r="G16" s="7">
        <v>1.7009340000000001E-2</v>
      </c>
      <c r="H16" s="113"/>
    </row>
    <row r="17" spans="1:14" ht="17.100000000000001" customHeight="1" x14ac:dyDescent="0.2">
      <c r="A17" s="3">
        <v>11</v>
      </c>
      <c r="B17" s="4" t="s">
        <v>375</v>
      </c>
      <c r="C17" s="4" t="s">
        <v>376</v>
      </c>
      <c r="D17" s="4" t="s">
        <v>248</v>
      </c>
      <c r="E17" s="5">
        <v>10400</v>
      </c>
      <c r="F17" s="6">
        <v>1071.4444000000001</v>
      </c>
      <c r="G17" s="7">
        <v>1.4603700000000001E-2</v>
      </c>
      <c r="H17" s="113"/>
    </row>
    <row r="18" spans="1:14" ht="17.100000000000001" customHeight="1" x14ac:dyDescent="0.2">
      <c r="A18" s="3">
        <v>12</v>
      </c>
      <c r="B18" s="4" t="s">
        <v>62</v>
      </c>
      <c r="C18" s="4" t="s">
        <v>63</v>
      </c>
      <c r="D18" s="4" t="s">
        <v>28</v>
      </c>
      <c r="E18" s="5">
        <v>156500</v>
      </c>
      <c r="F18" s="6">
        <v>1004.80825</v>
      </c>
      <c r="G18" s="7">
        <v>1.369545E-2</v>
      </c>
      <c r="H18" s="113"/>
    </row>
    <row r="19" spans="1:14" ht="17.100000000000001" customHeight="1" x14ac:dyDescent="0.2">
      <c r="A19" s="3">
        <v>13</v>
      </c>
      <c r="B19" s="4" t="s">
        <v>524</v>
      </c>
      <c r="C19" s="40" t="s">
        <v>1020</v>
      </c>
      <c r="D19" s="4" t="s">
        <v>248</v>
      </c>
      <c r="E19" s="5">
        <v>193000</v>
      </c>
      <c r="F19" s="6">
        <v>1002.249</v>
      </c>
      <c r="G19" s="7">
        <v>1.366057E-2</v>
      </c>
      <c r="H19" s="113"/>
    </row>
    <row r="20" spans="1:14" ht="17.100000000000001" customHeight="1" x14ac:dyDescent="0.2">
      <c r="A20" s="3">
        <v>14</v>
      </c>
      <c r="B20" s="4" t="s">
        <v>117</v>
      </c>
      <c r="C20" s="4" t="s">
        <v>118</v>
      </c>
      <c r="D20" s="4" t="s">
        <v>41</v>
      </c>
      <c r="E20" s="5">
        <v>375418</v>
      </c>
      <c r="F20" s="6">
        <v>976.27450899999997</v>
      </c>
      <c r="G20" s="7">
        <v>1.330654E-2</v>
      </c>
      <c r="H20" s="113"/>
    </row>
    <row r="21" spans="1:14" ht="29.1" customHeight="1" x14ac:dyDescent="0.2">
      <c r="A21" s="3">
        <v>15</v>
      </c>
      <c r="B21" s="4" t="s">
        <v>541</v>
      </c>
      <c r="C21" s="4" t="s">
        <v>542</v>
      </c>
      <c r="D21" s="4" t="s">
        <v>543</v>
      </c>
      <c r="E21" s="5">
        <v>222034</v>
      </c>
      <c r="F21" s="6">
        <v>973.06400499999995</v>
      </c>
      <c r="G21" s="7">
        <v>1.326278E-2</v>
      </c>
      <c r="H21" s="113"/>
    </row>
    <row r="22" spans="1:14" ht="29.1" customHeight="1" x14ac:dyDescent="0.2">
      <c r="A22" s="3">
        <v>16</v>
      </c>
      <c r="B22" s="4" t="s">
        <v>329</v>
      </c>
      <c r="C22" s="4" t="s">
        <v>330</v>
      </c>
      <c r="D22" s="4" t="s">
        <v>225</v>
      </c>
      <c r="E22" s="5">
        <v>76500</v>
      </c>
      <c r="F22" s="6">
        <v>963.47924999999998</v>
      </c>
      <c r="G22" s="7">
        <v>1.313214E-2</v>
      </c>
      <c r="H22" s="113"/>
    </row>
    <row r="23" spans="1:14" ht="29.1" customHeight="1" x14ac:dyDescent="0.2">
      <c r="A23" s="3">
        <v>17</v>
      </c>
      <c r="B23" s="4" t="s">
        <v>228</v>
      </c>
      <c r="C23" s="4" t="s">
        <v>229</v>
      </c>
      <c r="D23" s="4" t="s">
        <v>225</v>
      </c>
      <c r="E23" s="5">
        <v>18000</v>
      </c>
      <c r="F23" s="6">
        <v>936.46799999999996</v>
      </c>
      <c r="G23" s="7">
        <v>1.2763979999999999E-2</v>
      </c>
      <c r="H23" s="113"/>
    </row>
    <row r="24" spans="1:14" ht="17.100000000000001" customHeight="1" x14ac:dyDescent="0.2">
      <c r="A24" s="3">
        <v>18</v>
      </c>
      <c r="B24" s="4" t="s">
        <v>293</v>
      </c>
      <c r="C24" s="4" t="s">
        <v>294</v>
      </c>
      <c r="D24" s="4" t="s">
        <v>295</v>
      </c>
      <c r="E24" s="5">
        <v>50000</v>
      </c>
      <c r="F24" s="6">
        <v>892.57500000000005</v>
      </c>
      <c r="G24" s="7">
        <v>1.216572E-2</v>
      </c>
      <c r="H24" s="113"/>
    </row>
    <row r="25" spans="1:14" ht="29.1" customHeight="1" x14ac:dyDescent="0.2">
      <c r="A25" s="3">
        <v>19</v>
      </c>
      <c r="B25" s="4" t="s">
        <v>353</v>
      </c>
      <c r="C25" s="4" t="s">
        <v>354</v>
      </c>
      <c r="D25" s="4" t="s">
        <v>225</v>
      </c>
      <c r="E25" s="5">
        <v>15000</v>
      </c>
      <c r="F25" s="6">
        <v>869.68499999999995</v>
      </c>
      <c r="G25" s="7">
        <v>1.185373E-2</v>
      </c>
      <c r="H25" s="113"/>
    </row>
    <row r="26" spans="1:14" ht="17.100000000000001" customHeight="1" x14ac:dyDescent="0.2">
      <c r="A26" s="3">
        <v>20</v>
      </c>
      <c r="B26" s="4" t="s">
        <v>577</v>
      </c>
      <c r="C26" s="4" t="s">
        <v>578</v>
      </c>
      <c r="D26" s="4" t="s">
        <v>891</v>
      </c>
      <c r="E26" s="5">
        <v>68000</v>
      </c>
      <c r="F26" s="6">
        <v>865.40200000000004</v>
      </c>
      <c r="G26" s="7">
        <v>1.179536E-2</v>
      </c>
      <c r="H26" s="113"/>
    </row>
    <row r="27" spans="1:14" ht="17.100000000000001" customHeight="1" x14ac:dyDescent="0.2">
      <c r="A27" s="3">
        <v>21</v>
      </c>
      <c r="B27" s="4" t="s">
        <v>516</v>
      </c>
      <c r="C27" s="4" t="s">
        <v>517</v>
      </c>
      <c r="D27" s="4" t="s">
        <v>267</v>
      </c>
      <c r="E27" s="5">
        <v>15000</v>
      </c>
      <c r="F27" s="6">
        <v>857.96249999999998</v>
      </c>
      <c r="G27" s="7">
        <v>1.169396E-2</v>
      </c>
      <c r="H27" s="113"/>
    </row>
    <row r="28" spans="1:14" ht="17.100000000000001" customHeight="1" x14ac:dyDescent="0.2">
      <c r="A28" s="3">
        <v>22</v>
      </c>
      <c r="B28" s="4" t="s">
        <v>197</v>
      </c>
      <c r="C28" s="4" t="s">
        <v>198</v>
      </c>
      <c r="D28" s="4" t="s">
        <v>28</v>
      </c>
      <c r="E28" s="5">
        <v>507794</v>
      </c>
      <c r="F28" s="6">
        <v>792.92033100000003</v>
      </c>
      <c r="G28" s="7">
        <v>1.080744E-2</v>
      </c>
      <c r="H28" s="113"/>
    </row>
    <row r="29" spans="1:14" ht="29.1" customHeight="1" x14ac:dyDescent="0.2">
      <c r="A29" s="3">
        <v>23</v>
      </c>
      <c r="B29" s="4" t="s">
        <v>502</v>
      </c>
      <c r="C29" s="4" t="s">
        <v>503</v>
      </c>
      <c r="D29" s="4" t="s">
        <v>56</v>
      </c>
      <c r="E29" s="5">
        <v>70000</v>
      </c>
      <c r="F29" s="6">
        <v>781.34</v>
      </c>
      <c r="G29" s="7">
        <v>1.06496E-2</v>
      </c>
      <c r="H29" s="113"/>
    </row>
    <row r="30" spans="1:14" ht="17.100000000000001" customHeight="1" x14ac:dyDescent="0.2">
      <c r="A30" s="3">
        <v>24</v>
      </c>
      <c r="B30" s="4" t="s">
        <v>93</v>
      </c>
      <c r="C30" s="4" t="s">
        <v>94</v>
      </c>
      <c r="D30" s="4" t="s">
        <v>41</v>
      </c>
      <c r="E30" s="5">
        <v>184000</v>
      </c>
      <c r="F30" s="6">
        <v>780.43600000000004</v>
      </c>
      <c r="G30" s="7">
        <v>1.0637280000000001E-2</v>
      </c>
      <c r="H30" s="113"/>
    </row>
    <row r="31" spans="1:14" ht="17.100000000000001" customHeight="1" x14ac:dyDescent="0.2">
      <c r="A31" s="3">
        <v>25</v>
      </c>
      <c r="B31" s="4" t="s">
        <v>367</v>
      </c>
      <c r="C31" s="4" t="s">
        <v>368</v>
      </c>
      <c r="D31" s="4" t="s">
        <v>99</v>
      </c>
      <c r="E31" s="5">
        <v>484000</v>
      </c>
      <c r="F31" s="6">
        <v>675.66399999999999</v>
      </c>
      <c r="G31" s="7">
        <v>9.2092400000000005E-3</v>
      </c>
      <c r="H31" s="113"/>
      <c r="J31" s="201"/>
      <c r="K31" s="201"/>
      <c r="L31" s="201"/>
      <c r="M31" s="201"/>
      <c r="N31" s="201"/>
    </row>
    <row r="32" spans="1:14" ht="17.100000000000001" customHeight="1" x14ac:dyDescent="0.2">
      <c r="A32" s="3">
        <v>26</v>
      </c>
      <c r="B32" s="4" t="s">
        <v>363</v>
      </c>
      <c r="C32" s="4" t="s">
        <v>364</v>
      </c>
      <c r="D32" s="4" t="s">
        <v>207</v>
      </c>
      <c r="E32" s="5">
        <v>371000</v>
      </c>
      <c r="F32" s="6">
        <v>645.35450000000003</v>
      </c>
      <c r="G32" s="7">
        <v>8.7961299999999992E-3</v>
      </c>
      <c r="H32" s="113"/>
    </row>
    <row r="33" spans="1:8" ht="29.1" customHeight="1" x14ac:dyDescent="0.2">
      <c r="A33" s="3">
        <v>27</v>
      </c>
      <c r="B33" s="4" t="s">
        <v>396</v>
      </c>
      <c r="C33" s="4" t="s">
        <v>397</v>
      </c>
      <c r="D33" s="4" t="s">
        <v>225</v>
      </c>
      <c r="E33" s="5">
        <v>31678</v>
      </c>
      <c r="F33" s="6">
        <v>628.01634999999999</v>
      </c>
      <c r="G33" s="7">
        <v>8.5598099999999993E-3</v>
      </c>
      <c r="H33" s="113"/>
    </row>
    <row r="34" spans="1:8" ht="17.100000000000001" customHeight="1" x14ac:dyDescent="0.2">
      <c r="A34" s="3">
        <v>28</v>
      </c>
      <c r="B34" s="4" t="s">
        <v>277</v>
      </c>
      <c r="C34" s="4" t="s">
        <v>278</v>
      </c>
      <c r="D34" s="4" t="s">
        <v>19</v>
      </c>
      <c r="E34" s="5">
        <v>153900</v>
      </c>
      <c r="F34" s="6">
        <v>613.90710000000001</v>
      </c>
      <c r="G34" s="7">
        <v>8.3674999999999999E-3</v>
      </c>
      <c r="H34" s="113"/>
    </row>
    <row r="35" spans="1:8" ht="29.1" customHeight="1" x14ac:dyDescent="0.2">
      <c r="A35" s="3">
        <v>29</v>
      </c>
      <c r="B35" s="4" t="s">
        <v>211</v>
      </c>
      <c r="C35" s="4" t="s">
        <v>212</v>
      </c>
      <c r="D35" s="4" t="s">
        <v>53</v>
      </c>
      <c r="E35" s="5">
        <v>48000</v>
      </c>
      <c r="F35" s="6">
        <v>604.70399999999995</v>
      </c>
      <c r="G35" s="7">
        <v>8.2420600000000007E-3</v>
      </c>
      <c r="H35" s="113"/>
    </row>
    <row r="36" spans="1:8" ht="17.100000000000001" customHeight="1" x14ac:dyDescent="0.2">
      <c r="A36" s="3">
        <v>30</v>
      </c>
      <c r="B36" s="4" t="s">
        <v>335</v>
      </c>
      <c r="C36" s="4" t="s">
        <v>336</v>
      </c>
      <c r="D36" s="4" t="s">
        <v>28</v>
      </c>
      <c r="E36" s="5">
        <v>34000</v>
      </c>
      <c r="F36" s="6">
        <v>543.64300000000003</v>
      </c>
      <c r="G36" s="7">
        <v>7.4098100000000002E-3</v>
      </c>
      <c r="H36" s="113"/>
    </row>
    <row r="37" spans="1:8" ht="17.100000000000001" customHeight="1" x14ac:dyDescent="0.2">
      <c r="A37" s="3">
        <v>31</v>
      </c>
      <c r="B37" s="4" t="s">
        <v>546</v>
      </c>
      <c r="C37" s="4" t="s">
        <v>547</v>
      </c>
      <c r="D37" s="4" t="s">
        <v>248</v>
      </c>
      <c r="E37" s="5">
        <v>14930</v>
      </c>
      <c r="F37" s="6">
        <v>540.61530000000005</v>
      </c>
      <c r="G37" s="7">
        <v>7.3685399999999998E-3</v>
      </c>
      <c r="H37" s="113"/>
    </row>
    <row r="38" spans="1:8" ht="29.1" customHeight="1" x14ac:dyDescent="0.2">
      <c r="A38" s="3">
        <v>32</v>
      </c>
      <c r="B38" s="4" t="s">
        <v>23</v>
      </c>
      <c r="C38" s="4" t="s">
        <v>24</v>
      </c>
      <c r="D38" s="4" t="s">
        <v>25</v>
      </c>
      <c r="E38" s="5">
        <v>5000</v>
      </c>
      <c r="F38" s="6">
        <v>525.15250000000003</v>
      </c>
      <c r="G38" s="7">
        <v>7.1577799999999999E-3</v>
      </c>
      <c r="H38" s="113"/>
    </row>
    <row r="39" spans="1:8" ht="17.100000000000001" customHeight="1" x14ac:dyDescent="0.2">
      <c r="A39" s="3">
        <v>33</v>
      </c>
      <c r="B39" s="4" t="s">
        <v>79</v>
      </c>
      <c r="C39" s="4" t="s">
        <v>80</v>
      </c>
      <c r="D39" s="4" t="s">
        <v>46</v>
      </c>
      <c r="E39" s="5">
        <v>17000</v>
      </c>
      <c r="F39" s="6">
        <v>504.40699999999998</v>
      </c>
      <c r="G39" s="7">
        <v>6.8750199999999999E-3</v>
      </c>
      <c r="H39" s="113"/>
    </row>
    <row r="40" spans="1:8" ht="17.100000000000001" customHeight="1" x14ac:dyDescent="0.2">
      <c r="A40" s="3">
        <v>34</v>
      </c>
      <c r="B40" s="4" t="s">
        <v>57</v>
      </c>
      <c r="C40" s="4" t="s">
        <v>58</v>
      </c>
      <c r="D40" s="4" t="s">
        <v>34</v>
      </c>
      <c r="E40" s="5">
        <v>9000</v>
      </c>
      <c r="F40" s="6">
        <v>493.63650000000001</v>
      </c>
      <c r="G40" s="7">
        <v>6.72822E-3</v>
      </c>
      <c r="H40" s="113"/>
    </row>
    <row r="41" spans="1:8" ht="53.1" customHeight="1" x14ac:dyDescent="0.2">
      <c r="A41" s="3">
        <v>35</v>
      </c>
      <c r="B41" s="4" t="s">
        <v>100</v>
      </c>
      <c r="C41" s="4" t="s">
        <v>101</v>
      </c>
      <c r="D41" s="4" t="s">
        <v>102</v>
      </c>
      <c r="E41" s="5">
        <v>266000</v>
      </c>
      <c r="F41" s="6">
        <v>482.923</v>
      </c>
      <c r="G41" s="7">
        <v>6.5821999999999999E-3</v>
      </c>
      <c r="H41" s="113"/>
    </row>
    <row r="42" spans="1:8" ht="29.1" customHeight="1" x14ac:dyDescent="0.2">
      <c r="A42" s="3">
        <v>36</v>
      </c>
      <c r="B42" s="4" t="s">
        <v>371</v>
      </c>
      <c r="C42" s="4" t="s">
        <v>372</v>
      </c>
      <c r="D42" s="4" t="s">
        <v>225</v>
      </c>
      <c r="E42" s="5">
        <v>44000</v>
      </c>
      <c r="F42" s="6">
        <v>476.96</v>
      </c>
      <c r="G42" s="7">
        <v>6.5009200000000003E-3</v>
      </c>
      <c r="H42" s="113"/>
    </row>
    <row r="43" spans="1:8" ht="17.100000000000001" customHeight="1" x14ac:dyDescent="0.2">
      <c r="A43" s="3">
        <v>37</v>
      </c>
      <c r="B43" s="4" t="s">
        <v>359</v>
      </c>
      <c r="C43" s="4" t="s">
        <v>360</v>
      </c>
      <c r="D43" s="4" t="s">
        <v>56</v>
      </c>
      <c r="E43" s="5">
        <v>12000</v>
      </c>
      <c r="F43" s="6">
        <v>441.05399999999997</v>
      </c>
      <c r="G43" s="7">
        <v>6.0115300000000002E-3</v>
      </c>
      <c r="H43" s="113"/>
    </row>
    <row r="44" spans="1:8" ht="17.100000000000001" customHeight="1" x14ac:dyDescent="0.2">
      <c r="A44" s="3">
        <v>38</v>
      </c>
      <c r="B44" s="4" t="s">
        <v>477</v>
      </c>
      <c r="C44" s="4" t="s">
        <v>478</v>
      </c>
      <c r="D44" s="4" t="s">
        <v>28</v>
      </c>
      <c r="E44" s="5">
        <v>187200</v>
      </c>
      <c r="F44" s="6">
        <v>432.61919999999998</v>
      </c>
      <c r="G44" s="7">
        <v>5.8965600000000003E-3</v>
      </c>
      <c r="H44" s="113"/>
    </row>
    <row r="45" spans="1:8" ht="17.100000000000001" customHeight="1" x14ac:dyDescent="0.2">
      <c r="A45" s="3">
        <v>39</v>
      </c>
      <c r="B45" s="4" t="s">
        <v>340</v>
      </c>
      <c r="C45" s="4" t="s">
        <v>341</v>
      </c>
      <c r="D45" s="4" t="s">
        <v>28</v>
      </c>
      <c r="E45" s="5">
        <v>95000</v>
      </c>
      <c r="F45" s="6">
        <v>415.625</v>
      </c>
      <c r="G45" s="7">
        <v>5.6649300000000003E-3</v>
      </c>
      <c r="H45" s="113"/>
    </row>
    <row r="46" spans="1:8" ht="17.100000000000001" customHeight="1" x14ac:dyDescent="0.2">
      <c r="A46" s="3">
        <v>40</v>
      </c>
      <c r="B46" s="4" t="s">
        <v>258</v>
      </c>
      <c r="C46" s="4" t="s">
        <v>259</v>
      </c>
      <c r="D46" s="4" t="s">
        <v>207</v>
      </c>
      <c r="E46" s="5">
        <v>8000</v>
      </c>
      <c r="F46" s="6">
        <v>411.21199999999999</v>
      </c>
      <c r="G46" s="7">
        <v>5.6047800000000002E-3</v>
      </c>
      <c r="H46" s="113"/>
    </row>
    <row r="47" spans="1:8" ht="17.100000000000001" customHeight="1" x14ac:dyDescent="0.2">
      <c r="A47" s="3">
        <v>41</v>
      </c>
      <c r="B47" s="4" t="s">
        <v>712</v>
      </c>
      <c r="C47" s="4" t="s">
        <v>713</v>
      </c>
      <c r="D47" s="4" t="s">
        <v>892</v>
      </c>
      <c r="E47" s="5">
        <v>34734</v>
      </c>
      <c r="F47" s="6">
        <v>409.91330099999999</v>
      </c>
      <c r="G47" s="7">
        <v>5.5870800000000003E-3</v>
      </c>
      <c r="H47" s="113"/>
    </row>
    <row r="48" spans="1:8" ht="29.1" customHeight="1" x14ac:dyDescent="0.2">
      <c r="A48" s="3">
        <v>42</v>
      </c>
      <c r="B48" s="4" t="s">
        <v>486</v>
      </c>
      <c r="C48" s="4" t="s">
        <v>487</v>
      </c>
      <c r="D48" s="4" t="s">
        <v>225</v>
      </c>
      <c r="E48" s="5">
        <v>30000</v>
      </c>
      <c r="F48" s="6">
        <v>373.89</v>
      </c>
      <c r="G48" s="7">
        <v>5.0960900000000002E-3</v>
      </c>
      <c r="H48" s="113"/>
    </row>
    <row r="49" spans="1:8" ht="29.1" customHeight="1" x14ac:dyDescent="0.2">
      <c r="A49" s="3">
        <v>43</v>
      </c>
      <c r="B49" s="4" t="s">
        <v>77</v>
      </c>
      <c r="C49" s="4" t="s">
        <v>78</v>
      </c>
      <c r="D49" s="4" t="s">
        <v>25</v>
      </c>
      <c r="E49" s="5">
        <v>15869</v>
      </c>
      <c r="F49" s="6">
        <v>361.05148800000001</v>
      </c>
      <c r="G49" s="7">
        <v>4.9211000000000003E-3</v>
      </c>
      <c r="H49" s="113"/>
    </row>
    <row r="50" spans="1:8" ht="17.100000000000001" customHeight="1" x14ac:dyDescent="0.2">
      <c r="A50" s="3">
        <v>44</v>
      </c>
      <c r="B50" s="4" t="s">
        <v>125</v>
      </c>
      <c r="C50" s="4" t="s">
        <v>126</v>
      </c>
      <c r="D50" s="4" t="s">
        <v>13</v>
      </c>
      <c r="E50" s="5">
        <v>74833</v>
      </c>
      <c r="F50" s="6">
        <v>323.54047550000001</v>
      </c>
      <c r="G50" s="7">
        <v>4.40983E-3</v>
      </c>
      <c r="H50" s="113"/>
    </row>
    <row r="51" spans="1:8" ht="29.1" customHeight="1" x14ac:dyDescent="0.2">
      <c r="A51" s="3">
        <v>45</v>
      </c>
      <c r="B51" s="4" t="s">
        <v>727</v>
      </c>
      <c r="C51" s="4" t="s">
        <v>728</v>
      </c>
      <c r="D51" s="4" t="s">
        <v>222</v>
      </c>
      <c r="E51" s="5">
        <v>20000</v>
      </c>
      <c r="F51" s="6">
        <v>309.82</v>
      </c>
      <c r="G51" s="7">
        <v>4.2228200000000004E-3</v>
      </c>
      <c r="H51" s="113"/>
    </row>
    <row r="52" spans="1:8" ht="17.100000000000001" customHeight="1" x14ac:dyDescent="0.2">
      <c r="A52" s="3">
        <v>46</v>
      </c>
      <c r="B52" s="4" t="s">
        <v>263</v>
      </c>
      <c r="C52" s="4" t="s">
        <v>264</v>
      </c>
      <c r="D52" s="4" t="s">
        <v>56</v>
      </c>
      <c r="E52" s="5">
        <v>21793</v>
      </c>
      <c r="F52" s="6">
        <v>277.25054599999999</v>
      </c>
      <c r="G52" s="7">
        <v>3.7789E-3</v>
      </c>
      <c r="H52" s="113"/>
    </row>
    <row r="53" spans="1:8" ht="17.100000000000001" customHeight="1" x14ac:dyDescent="0.2">
      <c r="A53" s="3">
        <v>47</v>
      </c>
      <c r="B53" s="4" t="s">
        <v>556</v>
      </c>
      <c r="C53" s="4" t="s">
        <v>557</v>
      </c>
      <c r="D53" s="4" t="s">
        <v>891</v>
      </c>
      <c r="E53" s="5">
        <v>14000</v>
      </c>
      <c r="F53" s="6">
        <v>272.32799999999997</v>
      </c>
      <c r="G53" s="7">
        <v>3.7118099999999998E-3</v>
      </c>
      <c r="H53" s="113"/>
    </row>
    <row r="54" spans="1:8" ht="17.100000000000001" customHeight="1" x14ac:dyDescent="0.2">
      <c r="A54" s="3">
        <v>48</v>
      </c>
      <c r="B54" s="4" t="s">
        <v>348</v>
      </c>
      <c r="C54" s="4" t="s">
        <v>349</v>
      </c>
      <c r="D54" s="4" t="s">
        <v>350</v>
      </c>
      <c r="E54" s="5">
        <v>49600</v>
      </c>
      <c r="F54" s="6">
        <v>229.20160000000001</v>
      </c>
      <c r="G54" s="7">
        <v>3.124E-3</v>
      </c>
      <c r="H54" s="113"/>
    </row>
    <row r="55" spans="1:8" ht="17.100000000000001" customHeight="1" x14ac:dyDescent="0.2">
      <c r="A55" s="3">
        <v>49</v>
      </c>
      <c r="B55" s="4" t="s">
        <v>331</v>
      </c>
      <c r="C55" s="4" t="s">
        <v>332</v>
      </c>
      <c r="D55" s="4" t="s">
        <v>891</v>
      </c>
      <c r="E55" s="5">
        <v>5858</v>
      </c>
      <c r="F55" s="6">
        <v>222.21737200000001</v>
      </c>
      <c r="G55" s="7">
        <v>3.0287999999999999E-3</v>
      </c>
      <c r="H55" s="113"/>
    </row>
    <row r="56" spans="1:8" ht="17.100000000000001" customHeight="1" x14ac:dyDescent="0.2">
      <c r="A56" s="3">
        <v>50</v>
      </c>
      <c r="B56" s="4" t="s">
        <v>559</v>
      </c>
      <c r="C56" s="4" t="s">
        <v>560</v>
      </c>
      <c r="D56" s="4" t="s">
        <v>295</v>
      </c>
      <c r="E56" s="5">
        <v>18200</v>
      </c>
      <c r="F56" s="6">
        <v>203.43049999999999</v>
      </c>
      <c r="G56" s="7">
        <v>2.7727400000000001E-3</v>
      </c>
      <c r="H56" s="113"/>
    </row>
    <row r="57" spans="1:8" ht="29.1" customHeight="1" x14ac:dyDescent="0.2">
      <c r="A57" s="3">
        <v>51</v>
      </c>
      <c r="B57" s="4" t="s">
        <v>678</v>
      </c>
      <c r="C57" s="4" t="s">
        <v>679</v>
      </c>
      <c r="D57" s="4" t="s">
        <v>25</v>
      </c>
      <c r="E57" s="5">
        <v>8700</v>
      </c>
      <c r="F57" s="6">
        <v>192.37875</v>
      </c>
      <c r="G57" s="7">
        <v>2.62211E-3</v>
      </c>
      <c r="H57" s="113"/>
    </row>
    <row r="58" spans="1:8" ht="17.100000000000001" customHeight="1" x14ac:dyDescent="0.2">
      <c r="A58" s="3">
        <v>52</v>
      </c>
      <c r="B58" s="4" t="s">
        <v>14</v>
      </c>
      <c r="C58" s="4" t="s">
        <v>15</v>
      </c>
      <c r="D58" s="4" t="s">
        <v>16</v>
      </c>
      <c r="E58" s="5">
        <v>57000</v>
      </c>
      <c r="F58" s="6">
        <v>177.35550000000001</v>
      </c>
      <c r="G58" s="7">
        <v>2.41734E-3</v>
      </c>
      <c r="H58" s="113"/>
    </row>
    <row r="59" spans="1:8" ht="17.100000000000001" customHeight="1" x14ac:dyDescent="0.2">
      <c r="A59" s="3">
        <v>53</v>
      </c>
      <c r="B59" s="4" t="s">
        <v>39</v>
      </c>
      <c r="C59" s="4" t="s">
        <v>40</v>
      </c>
      <c r="D59" s="4" t="s">
        <v>41</v>
      </c>
      <c r="E59" s="5">
        <v>3785</v>
      </c>
      <c r="F59" s="6">
        <v>176.9430725</v>
      </c>
      <c r="G59" s="7">
        <v>2.41172E-3</v>
      </c>
      <c r="H59" s="113"/>
    </row>
    <row r="60" spans="1:8" ht="17.100000000000001" customHeight="1" x14ac:dyDescent="0.2">
      <c r="A60" s="3">
        <v>54</v>
      </c>
      <c r="B60" s="4" t="s">
        <v>729</v>
      </c>
      <c r="C60" s="4" t="s">
        <v>730</v>
      </c>
      <c r="D60" s="4" t="s">
        <v>99</v>
      </c>
      <c r="E60" s="5">
        <v>19575</v>
      </c>
      <c r="F60" s="6">
        <v>172.30893750000001</v>
      </c>
      <c r="G60" s="7">
        <v>2.34856E-3</v>
      </c>
      <c r="H60" s="113"/>
    </row>
    <row r="61" spans="1:8" ht="29.1" customHeight="1" x14ac:dyDescent="0.2">
      <c r="A61" s="3">
        <v>55</v>
      </c>
      <c r="B61" s="4" t="s">
        <v>481</v>
      </c>
      <c r="C61" s="4" t="s">
        <v>482</v>
      </c>
      <c r="D61" s="4" t="s">
        <v>483</v>
      </c>
      <c r="E61" s="5">
        <v>15300</v>
      </c>
      <c r="F61" s="6">
        <v>166.28039999999999</v>
      </c>
      <c r="G61" s="7">
        <v>2.2663900000000001E-3</v>
      </c>
      <c r="H61" s="113"/>
    </row>
    <row r="62" spans="1:8" ht="17.100000000000001" customHeight="1" x14ac:dyDescent="0.2">
      <c r="A62" s="3">
        <v>56</v>
      </c>
      <c r="B62" s="4" t="s">
        <v>383</v>
      </c>
      <c r="C62" s="4" t="s">
        <v>384</v>
      </c>
      <c r="D62" s="4" t="s">
        <v>385</v>
      </c>
      <c r="E62" s="5">
        <v>9765</v>
      </c>
      <c r="F62" s="6">
        <v>122.14062</v>
      </c>
      <c r="G62" s="7">
        <v>1.6647700000000001E-3</v>
      </c>
      <c r="H62" s="113"/>
    </row>
    <row r="63" spans="1:8" ht="17.100000000000001" customHeight="1" x14ac:dyDescent="0.2">
      <c r="A63" s="3">
        <v>57</v>
      </c>
      <c r="B63" s="4" t="s">
        <v>716</v>
      </c>
      <c r="C63" s="4" t="s">
        <v>717</v>
      </c>
      <c r="D63" s="4" t="s">
        <v>53</v>
      </c>
      <c r="E63" s="5">
        <v>36000</v>
      </c>
      <c r="F63" s="6">
        <v>83.861999999999995</v>
      </c>
      <c r="G63" s="7">
        <v>1.14303E-3</v>
      </c>
      <c r="H63" s="113"/>
    </row>
    <row r="64" spans="1:8" ht="29.1" customHeight="1" x14ac:dyDescent="0.2">
      <c r="A64" s="3">
        <v>58</v>
      </c>
      <c r="B64" s="4" t="s">
        <v>668</v>
      </c>
      <c r="C64" s="4" t="s">
        <v>669</v>
      </c>
      <c r="D64" s="4" t="s">
        <v>25</v>
      </c>
      <c r="E64" s="5">
        <v>9000</v>
      </c>
      <c r="F64" s="6">
        <v>46.881</v>
      </c>
      <c r="G64" s="7">
        <v>6.3898000000000004E-4</v>
      </c>
      <c r="H64" s="113"/>
    </row>
    <row r="65" spans="1:8" ht="17.100000000000001" customHeight="1" x14ac:dyDescent="0.2">
      <c r="A65" s="3">
        <v>59</v>
      </c>
      <c r="B65" s="4" t="s">
        <v>571</v>
      </c>
      <c r="C65" s="4" t="s">
        <v>572</v>
      </c>
      <c r="D65" s="4" t="s">
        <v>56</v>
      </c>
      <c r="E65" s="5">
        <v>1200</v>
      </c>
      <c r="F65" s="6">
        <v>40.828800000000001</v>
      </c>
      <c r="G65" s="7">
        <v>5.5648999999999998E-4</v>
      </c>
      <c r="H65" s="113"/>
    </row>
    <row r="66" spans="1:8" ht="17.100000000000001" customHeight="1" x14ac:dyDescent="0.2">
      <c r="A66" s="3">
        <v>60</v>
      </c>
      <c r="B66" s="4" t="s">
        <v>731</v>
      </c>
      <c r="C66" s="4" t="s">
        <v>732</v>
      </c>
      <c r="D66" s="4" t="s">
        <v>53</v>
      </c>
      <c r="E66" s="5">
        <v>6120</v>
      </c>
      <c r="F66" s="6">
        <v>12.76632</v>
      </c>
      <c r="G66" s="7">
        <v>1.74E-4</v>
      </c>
      <c r="H66" s="113"/>
    </row>
    <row r="67" spans="1:8" ht="14.1" customHeight="1" x14ac:dyDescent="0.2">
      <c r="A67" s="1"/>
      <c r="B67" s="1"/>
      <c r="C67" s="2" t="s">
        <v>151</v>
      </c>
      <c r="D67" s="1"/>
      <c r="E67" s="1" t="s">
        <v>152</v>
      </c>
      <c r="F67" s="9">
        <v>52531.345555</v>
      </c>
      <c r="G67" s="10">
        <v>0.71599774999999999</v>
      </c>
      <c r="H67" s="113"/>
    </row>
    <row r="68" spans="1:8" ht="14.1" customHeight="1" x14ac:dyDescent="0.2">
      <c r="A68" s="1"/>
      <c r="B68" s="1"/>
      <c r="C68" s="11"/>
      <c r="D68" s="1"/>
      <c r="E68" s="1"/>
      <c r="F68" s="12"/>
      <c r="G68" s="12"/>
      <c r="H68" s="113"/>
    </row>
    <row r="69" spans="1:8" ht="14.1" customHeight="1" x14ac:dyDescent="0.2">
      <c r="A69" s="1"/>
      <c r="B69" s="1"/>
      <c r="C69" s="2" t="s">
        <v>153</v>
      </c>
      <c r="D69" s="1"/>
      <c r="E69" s="1"/>
      <c r="F69" s="1"/>
      <c r="G69" s="1"/>
      <c r="H69" s="113"/>
    </row>
    <row r="70" spans="1:8" ht="14.1" customHeight="1" x14ac:dyDescent="0.2">
      <c r="A70" s="1"/>
      <c r="B70" s="1"/>
      <c r="C70" s="2" t="s">
        <v>151</v>
      </c>
      <c r="D70" s="1"/>
      <c r="E70" s="1" t="s">
        <v>152</v>
      </c>
      <c r="F70" s="13" t="s">
        <v>154</v>
      </c>
      <c r="G70" s="10">
        <v>0</v>
      </c>
      <c r="H70" s="113"/>
    </row>
    <row r="71" spans="1:8" ht="14.1" customHeight="1" x14ac:dyDescent="0.2">
      <c r="A71" s="1"/>
      <c r="B71" s="1"/>
      <c r="C71" s="11"/>
      <c r="D71" s="1"/>
      <c r="E71" s="1"/>
      <c r="F71" s="12"/>
      <c r="G71" s="12"/>
      <c r="H71" s="113"/>
    </row>
    <row r="72" spans="1:8" ht="14.1" customHeight="1" x14ac:dyDescent="0.2">
      <c r="A72" s="1"/>
      <c r="B72" s="1"/>
      <c r="C72" s="2" t="s">
        <v>155</v>
      </c>
      <c r="D72" s="1"/>
      <c r="E72" s="1"/>
      <c r="F72" s="1"/>
      <c r="G72" s="1"/>
      <c r="H72" s="113"/>
    </row>
    <row r="73" spans="1:8" ht="14.1" customHeight="1" x14ac:dyDescent="0.2">
      <c r="A73" s="1"/>
      <c r="B73" s="1"/>
      <c r="C73" s="2" t="s">
        <v>151</v>
      </c>
      <c r="D73" s="1"/>
      <c r="E73" s="1" t="s">
        <v>152</v>
      </c>
      <c r="F73" s="13" t="s">
        <v>154</v>
      </c>
      <c r="G73" s="10">
        <v>0</v>
      </c>
      <c r="H73" s="113"/>
    </row>
    <row r="74" spans="1:8" ht="14.1" customHeight="1" x14ac:dyDescent="0.2">
      <c r="A74" s="1"/>
      <c r="B74" s="1"/>
      <c r="C74" s="11"/>
      <c r="D74" s="1"/>
      <c r="E74" s="1"/>
      <c r="F74" s="12"/>
      <c r="G74" s="12"/>
      <c r="H74" s="113"/>
    </row>
    <row r="75" spans="1:8" ht="14.1" customHeight="1" x14ac:dyDescent="0.2">
      <c r="A75" s="1"/>
      <c r="B75" s="1"/>
      <c r="C75" s="2" t="s">
        <v>156</v>
      </c>
      <c r="D75" s="1"/>
      <c r="E75" s="1"/>
      <c r="F75" s="1"/>
      <c r="G75" s="1"/>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157</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158</v>
      </c>
      <c r="D81" s="1"/>
      <c r="E81" s="1"/>
      <c r="F81" s="12"/>
      <c r="G81" s="12"/>
      <c r="H81" s="113"/>
    </row>
    <row r="82" spans="1:8" ht="17.100000000000001" customHeight="1" x14ac:dyDescent="0.2">
      <c r="A82" s="3">
        <v>1</v>
      </c>
      <c r="B82" s="4"/>
      <c r="C82" s="4" t="s">
        <v>930</v>
      </c>
      <c r="D82" s="4" t="s">
        <v>682</v>
      </c>
      <c r="E82" s="5">
        <v>-9000</v>
      </c>
      <c r="F82" s="6">
        <v>-47.344499999999996</v>
      </c>
      <c r="G82" s="7">
        <v>-6.4530000000000002E-4</v>
      </c>
      <c r="H82" s="113"/>
    </row>
    <row r="83" spans="1:8" ht="29.1" customHeight="1" x14ac:dyDescent="0.2">
      <c r="A83" s="3">
        <v>2</v>
      </c>
      <c r="B83" s="4"/>
      <c r="C83" s="4" t="s">
        <v>944</v>
      </c>
      <c r="D83" s="4" t="s">
        <v>682</v>
      </c>
      <c r="E83" s="5">
        <v>-10500</v>
      </c>
      <c r="F83" s="6">
        <v>-132.95099999999999</v>
      </c>
      <c r="G83" s="7">
        <v>-1.81211E-3</v>
      </c>
      <c r="H83" s="113"/>
    </row>
    <row r="84" spans="1:8" ht="17.100000000000001" customHeight="1" x14ac:dyDescent="0.2">
      <c r="A84" s="3">
        <v>3</v>
      </c>
      <c r="B84" s="4"/>
      <c r="C84" s="4" t="s">
        <v>927</v>
      </c>
      <c r="D84" s="4" t="s">
        <v>682</v>
      </c>
      <c r="E84" s="5">
        <v>-1400</v>
      </c>
      <c r="F84" s="6">
        <v>-145.51599999999999</v>
      </c>
      <c r="G84" s="7">
        <v>-1.9833699999999999E-3</v>
      </c>
      <c r="H84" s="113"/>
    </row>
    <row r="85" spans="1:8" ht="29.1" customHeight="1" x14ac:dyDescent="0.2">
      <c r="A85" s="3">
        <v>4</v>
      </c>
      <c r="B85" s="4"/>
      <c r="C85" s="4" t="s">
        <v>921</v>
      </c>
      <c r="D85" s="4" t="s">
        <v>682</v>
      </c>
      <c r="E85" s="5">
        <v>-15300</v>
      </c>
      <c r="F85" s="6">
        <v>-165.82905</v>
      </c>
      <c r="G85" s="7">
        <v>-2.2602400000000002E-3</v>
      </c>
      <c r="H85" s="113"/>
    </row>
    <row r="86" spans="1:8" ht="17.100000000000001" customHeight="1" x14ac:dyDescent="0.2">
      <c r="A86" s="3">
        <v>5</v>
      </c>
      <c r="B86" s="4"/>
      <c r="C86" s="4" t="s">
        <v>945</v>
      </c>
      <c r="D86" s="4" t="s">
        <v>682</v>
      </c>
      <c r="E86" s="5">
        <v>-19575</v>
      </c>
      <c r="F86" s="6">
        <v>-173.57152500000001</v>
      </c>
      <c r="G86" s="7">
        <v>-2.3657600000000002E-3</v>
      </c>
      <c r="H86" s="113"/>
    </row>
    <row r="87" spans="1:8" ht="17.100000000000001" customHeight="1" x14ac:dyDescent="0.2">
      <c r="A87" s="3">
        <v>6</v>
      </c>
      <c r="B87" s="4"/>
      <c r="C87" s="4" t="s">
        <v>946</v>
      </c>
      <c r="D87" s="4" t="s">
        <v>682</v>
      </c>
      <c r="E87" s="5">
        <v>-57000</v>
      </c>
      <c r="F87" s="6">
        <v>-178.49549999999999</v>
      </c>
      <c r="G87" s="7">
        <v>-2.4328800000000001E-3</v>
      </c>
      <c r="H87" s="113"/>
    </row>
    <row r="88" spans="1:8" ht="17.100000000000001" customHeight="1" x14ac:dyDescent="0.2">
      <c r="A88" s="3">
        <v>7</v>
      </c>
      <c r="B88" s="4"/>
      <c r="C88" s="4" t="s">
        <v>924</v>
      </c>
      <c r="D88" s="4" t="s">
        <v>682</v>
      </c>
      <c r="E88" s="5">
        <v>-8700</v>
      </c>
      <c r="F88" s="6">
        <v>-193.55324999999999</v>
      </c>
      <c r="G88" s="7">
        <v>-2.6381100000000004E-3</v>
      </c>
      <c r="H88" s="113"/>
    </row>
    <row r="89" spans="1:8" ht="17.100000000000001" customHeight="1" x14ac:dyDescent="0.2">
      <c r="A89" s="3">
        <v>8</v>
      </c>
      <c r="B89" s="4"/>
      <c r="C89" s="4" t="s">
        <v>935</v>
      </c>
      <c r="D89" s="4" t="s">
        <v>682</v>
      </c>
      <c r="E89" s="5">
        <v>-18200</v>
      </c>
      <c r="F89" s="6">
        <v>-205.0958</v>
      </c>
      <c r="G89" s="7">
        <v>-2.7954400000000002E-3</v>
      </c>
      <c r="H89" s="113"/>
    </row>
    <row r="90" spans="1:8" ht="17.100000000000001" customHeight="1" x14ac:dyDescent="0.2">
      <c r="A90" s="3">
        <v>9</v>
      </c>
      <c r="B90" s="4"/>
      <c r="C90" s="4" t="s">
        <v>917</v>
      </c>
      <c r="D90" s="4" t="s">
        <v>682</v>
      </c>
      <c r="E90" s="5">
        <v>-49600</v>
      </c>
      <c r="F90" s="6">
        <v>-231.21039999999999</v>
      </c>
      <c r="G90" s="7">
        <v>-3.1513799999999996E-3</v>
      </c>
      <c r="H90" s="113"/>
    </row>
    <row r="91" spans="1:8" ht="17.100000000000001" customHeight="1" x14ac:dyDescent="0.2">
      <c r="A91" s="3">
        <v>10</v>
      </c>
      <c r="B91" s="4"/>
      <c r="C91" s="4" t="s">
        <v>947</v>
      </c>
      <c r="D91" s="4" t="s">
        <v>682</v>
      </c>
      <c r="E91" s="5">
        <v>-37500</v>
      </c>
      <c r="F91" s="6">
        <v>-242.79374999999999</v>
      </c>
      <c r="G91" s="7">
        <v>-3.3092600000000001E-3</v>
      </c>
      <c r="H91" s="113"/>
    </row>
    <row r="92" spans="1:8" ht="17.100000000000001" customHeight="1" x14ac:dyDescent="0.2">
      <c r="A92" s="3">
        <v>11</v>
      </c>
      <c r="B92" s="4"/>
      <c r="C92" s="4" t="s">
        <v>939</v>
      </c>
      <c r="D92" s="4" t="s">
        <v>682</v>
      </c>
      <c r="E92" s="5">
        <v>-5000</v>
      </c>
      <c r="F92" s="6">
        <v>-368.89499999999998</v>
      </c>
      <c r="G92" s="7">
        <v>-5.0280100000000003E-3</v>
      </c>
      <c r="H92" s="113"/>
    </row>
    <row r="93" spans="1:8" ht="17.100000000000001" customHeight="1" x14ac:dyDescent="0.2">
      <c r="A93" s="3">
        <v>12</v>
      </c>
      <c r="B93" s="4"/>
      <c r="C93" s="4" t="s">
        <v>942</v>
      </c>
      <c r="D93" s="4" t="s">
        <v>682</v>
      </c>
      <c r="E93" s="5">
        <v>-187200</v>
      </c>
      <c r="F93" s="6">
        <v>-436.45679999999999</v>
      </c>
      <c r="G93" s="7">
        <v>-5.9488700000000002E-3</v>
      </c>
      <c r="H93" s="113"/>
    </row>
    <row r="94" spans="1:8" ht="17.100000000000001" customHeight="1" x14ac:dyDescent="0.2">
      <c r="A94" s="3">
        <v>13</v>
      </c>
      <c r="B94" s="4"/>
      <c r="C94" s="4" t="s">
        <v>922</v>
      </c>
      <c r="D94" s="4" t="s">
        <v>682</v>
      </c>
      <c r="E94" s="5">
        <v>-44000</v>
      </c>
      <c r="F94" s="6">
        <v>-480.45800000000003</v>
      </c>
      <c r="G94" s="7">
        <v>-6.5485999999999999E-3</v>
      </c>
      <c r="H94" s="113"/>
    </row>
    <row r="95" spans="1:8" ht="29.1" customHeight="1" x14ac:dyDescent="0.2">
      <c r="A95" s="3">
        <v>14</v>
      </c>
      <c r="B95" s="4"/>
      <c r="C95" s="4" t="s">
        <v>948</v>
      </c>
      <c r="D95" s="4" t="s">
        <v>682</v>
      </c>
      <c r="E95" s="5">
        <v>-153900</v>
      </c>
      <c r="F95" s="6">
        <v>-616.98509999999999</v>
      </c>
      <c r="G95" s="7">
        <v>-8.4094500000000006E-3</v>
      </c>
      <c r="H95" s="113"/>
    </row>
    <row r="96" spans="1:8" ht="17.100000000000001" customHeight="1" x14ac:dyDescent="0.2">
      <c r="A96" s="3">
        <v>15</v>
      </c>
      <c r="B96" s="4"/>
      <c r="C96" s="4" t="s">
        <v>949</v>
      </c>
      <c r="D96" s="4" t="s">
        <v>682</v>
      </c>
      <c r="E96" s="5">
        <v>-484000</v>
      </c>
      <c r="F96" s="6">
        <v>-680.74599999999998</v>
      </c>
      <c r="G96" s="7">
        <v>-9.2785100000000002E-3</v>
      </c>
      <c r="H96" s="113"/>
    </row>
    <row r="97" spans="1:8" ht="17.100000000000001" customHeight="1" x14ac:dyDescent="0.2">
      <c r="A97" s="3">
        <v>16</v>
      </c>
      <c r="B97" s="4"/>
      <c r="C97" s="4" t="s">
        <v>950</v>
      </c>
      <c r="D97" s="4" t="s">
        <v>682</v>
      </c>
      <c r="E97" s="5">
        <v>-28800</v>
      </c>
      <c r="F97" s="6">
        <v>-1023.1488000000001</v>
      </c>
      <c r="G97" s="7">
        <v>-1.3945430000000002E-2</v>
      </c>
      <c r="H97" s="113"/>
    </row>
    <row r="98" spans="1:8" ht="17.100000000000001" customHeight="1" x14ac:dyDescent="0.2">
      <c r="A98" s="3">
        <v>17</v>
      </c>
      <c r="B98" s="4"/>
      <c r="C98" s="4" t="s">
        <v>920</v>
      </c>
      <c r="D98" s="4" t="s">
        <v>682</v>
      </c>
      <c r="E98" s="5">
        <v>-42600</v>
      </c>
      <c r="F98" s="6">
        <v>-1142.319</v>
      </c>
      <c r="G98" s="7">
        <v>-1.556971E-2</v>
      </c>
      <c r="H98" s="113"/>
    </row>
    <row r="99" spans="1:8" ht="17.100000000000001" customHeight="1" x14ac:dyDescent="0.2">
      <c r="A99" s="3">
        <v>18</v>
      </c>
      <c r="B99" s="4"/>
      <c r="C99" s="4" t="s">
        <v>941</v>
      </c>
      <c r="D99" s="4" t="s">
        <v>682</v>
      </c>
      <c r="E99" s="5">
        <v>-213750</v>
      </c>
      <c r="F99" s="6">
        <v>-1681.6781249999999</v>
      </c>
      <c r="G99" s="7">
        <v>-2.2921130000000001E-2</v>
      </c>
      <c r="H99" s="113"/>
    </row>
    <row r="100" spans="1:8" ht="17.100000000000001" customHeight="1" x14ac:dyDescent="0.2">
      <c r="A100" s="3">
        <v>19</v>
      </c>
      <c r="B100" s="4"/>
      <c r="C100" s="4" t="s">
        <v>943</v>
      </c>
      <c r="D100" s="4" t="s">
        <v>682</v>
      </c>
      <c r="E100" s="5">
        <v>-146800</v>
      </c>
      <c r="F100" s="6">
        <v>-2279.6572000000001</v>
      </c>
      <c r="G100" s="7">
        <v>-3.107153E-2</v>
      </c>
      <c r="H100" s="113"/>
    </row>
    <row r="101" spans="1:8" ht="17.100000000000001" customHeight="1" x14ac:dyDescent="0.2">
      <c r="A101" s="3">
        <v>20</v>
      </c>
      <c r="B101" s="4"/>
      <c r="C101" s="4" t="s">
        <v>951</v>
      </c>
      <c r="D101" s="4" t="s">
        <v>682</v>
      </c>
      <c r="E101" s="5">
        <v>-210000</v>
      </c>
      <c r="F101" s="6">
        <v>-2332.7849999999999</v>
      </c>
      <c r="G101" s="7">
        <v>-3.1795659999999996E-2</v>
      </c>
      <c r="H101" s="113"/>
    </row>
    <row r="102" spans="1:8" ht="17.100000000000001" customHeight="1" x14ac:dyDescent="0.2">
      <c r="A102" s="3">
        <v>21</v>
      </c>
      <c r="B102" s="4"/>
      <c r="C102" s="4" t="s">
        <v>931</v>
      </c>
      <c r="D102" s="4" t="s">
        <v>682</v>
      </c>
      <c r="E102" s="5">
        <v>-254800</v>
      </c>
      <c r="F102" s="6">
        <v>-2561.5043999999998</v>
      </c>
      <c r="G102" s="7">
        <v>-3.4913090000000001E-2</v>
      </c>
      <c r="H102" s="113"/>
    </row>
    <row r="103" spans="1:8" ht="17.100000000000001" customHeight="1" x14ac:dyDescent="0.2">
      <c r="A103" s="3">
        <v>22</v>
      </c>
      <c r="B103" s="4"/>
      <c r="C103" s="4" t="s">
        <v>932</v>
      </c>
      <c r="D103" s="4" t="s">
        <v>682</v>
      </c>
      <c r="E103" s="5">
        <v>-120000</v>
      </c>
      <c r="F103" s="6">
        <v>-3124.2</v>
      </c>
      <c r="G103" s="7">
        <v>-4.2582579999999995E-2</v>
      </c>
      <c r="H103" s="113"/>
    </row>
    <row r="104" spans="1:8" ht="17.100000000000001" customHeight="1" x14ac:dyDescent="0.2">
      <c r="A104" s="3">
        <v>23</v>
      </c>
      <c r="B104" s="4"/>
      <c r="C104" s="4" t="s">
        <v>934</v>
      </c>
      <c r="D104" s="4" t="s">
        <v>682</v>
      </c>
      <c r="E104" s="5">
        <v>-252450</v>
      </c>
      <c r="F104" s="6">
        <v>-4341.6351000000004</v>
      </c>
      <c r="G104" s="7">
        <v>-5.9176109999999997E-2</v>
      </c>
      <c r="H104" s="113"/>
    </row>
    <row r="105" spans="1:8" ht="14.1" customHeight="1" x14ac:dyDescent="0.2">
      <c r="A105" s="1"/>
      <c r="B105" s="1"/>
      <c r="C105" s="2" t="s">
        <v>151</v>
      </c>
      <c r="D105" s="1"/>
      <c r="E105" s="1" t="s">
        <v>152</v>
      </c>
      <c r="F105" s="9">
        <v>-22786.829300000001</v>
      </c>
      <c r="G105" s="10">
        <v>-0.31058255000000001</v>
      </c>
      <c r="H105" s="113"/>
    </row>
    <row r="106" spans="1:8" ht="14.1" customHeight="1" x14ac:dyDescent="0.2">
      <c r="A106" s="1"/>
      <c r="B106" s="1"/>
      <c r="C106" s="11"/>
      <c r="D106" s="1"/>
      <c r="E106" s="1"/>
      <c r="F106" s="12"/>
      <c r="G106" s="12"/>
      <c r="H106" s="113"/>
    </row>
    <row r="107" spans="1:8" ht="18" customHeight="1" x14ac:dyDescent="0.2">
      <c r="A107" s="1"/>
      <c r="B107" s="1"/>
      <c r="C107" s="2" t="s">
        <v>159</v>
      </c>
      <c r="D107" s="1"/>
      <c r="E107" s="1"/>
      <c r="F107" s="9">
        <v>52531.345555</v>
      </c>
      <c r="G107" s="10">
        <v>0.71599774999999999</v>
      </c>
      <c r="H107" s="113"/>
    </row>
    <row r="108" spans="1:8" ht="14.1" customHeight="1" x14ac:dyDescent="0.2">
      <c r="A108" s="1"/>
      <c r="B108" s="1"/>
      <c r="C108" s="11"/>
      <c r="D108" s="1"/>
      <c r="E108" s="1"/>
      <c r="F108" s="12"/>
      <c r="G108" s="12"/>
      <c r="H108" s="113"/>
    </row>
    <row r="109" spans="1:8" ht="14.1" customHeight="1" x14ac:dyDescent="0.2">
      <c r="A109" s="1"/>
      <c r="B109" s="1"/>
      <c r="C109" s="2" t="s">
        <v>160</v>
      </c>
      <c r="D109" s="1"/>
      <c r="E109" s="1"/>
      <c r="F109" s="12"/>
      <c r="G109" s="12"/>
      <c r="H109" s="113"/>
    </row>
    <row r="110" spans="1:8" ht="24" customHeight="1" x14ac:dyDescent="0.2">
      <c r="A110" s="1"/>
      <c r="B110" s="1"/>
      <c r="C110" s="2" t="s">
        <v>10</v>
      </c>
      <c r="D110" s="1"/>
      <c r="E110" s="1"/>
      <c r="F110" s="12"/>
      <c r="G110" s="12"/>
      <c r="H110" s="113"/>
    </row>
    <row r="111" spans="1:8" ht="29.1" customHeight="1" x14ac:dyDescent="0.2">
      <c r="A111" s="3">
        <v>1</v>
      </c>
      <c r="B111" s="4" t="s">
        <v>596</v>
      </c>
      <c r="C111" s="4" t="s">
        <v>597</v>
      </c>
      <c r="D111" s="4" t="s">
        <v>582</v>
      </c>
      <c r="E111" s="5">
        <v>1500</v>
      </c>
      <c r="F111" s="6">
        <v>1486.1669999999999</v>
      </c>
      <c r="G111" s="7">
        <v>2.0256329999999999E-2</v>
      </c>
      <c r="H111" s="113">
        <v>7.8</v>
      </c>
    </row>
    <row r="112" spans="1:8" ht="29.1" customHeight="1" x14ac:dyDescent="0.2">
      <c r="A112" s="3">
        <v>2</v>
      </c>
      <c r="B112" s="4" t="s">
        <v>733</v>
      </c>
      <c r="C112" s="4" t="s">
        <v>734</v>
      </c>
      <c r="D112" s="4" t="s">
        <v>582</v>
      </c>
      <c r="E112" s="5">
        <v>1000</v>
      </c>
      <c r="F112" s="6">
        <v>992.74800000000005</v>
      </c>
      <c r="G112" s="7">
        <v>1.3531069999999999E-2</v>
      </c>
      <c r="H112" s="113">
        <v>7.7850000000000001</v>
      </c>
    </row>
    <row r="113" spans="1:8" ht="29.1" customHeight="1" x14ac:dyDescent="0.2">
      <c r="A113" s="3">
        <v>3</v>
      </c>
      <c r="B113" s="4" t="s">
        <v>621</v>
      </c>
      <c r="C113" s="4" t="s">
        <v>622</v>
      </c>
      <c r="D113" s="4" t="s">
        <v>582</v>
      </c>
      <c r="E113" s="5">
        <v>100</v>
      </c>
      <c r="F113" s="6">
        <v>990.29600000000005</v>
      </c>
      <c r="G113" s="7">
        <v>1.349765E-2</v>
      </c>
      <c r="H113" s="113">
        <v>7.7549999999999999</v>
      </c>
    </row>
    <row r="114" spans="1:8" ht="29.1" customHeight="1" x14ac:dyDescent="0.2">
      <c r="A114" s="3">
        <v>4</v>
      </c>
      <c r="B114" s="4" t="s">
        <v>694</v>
      </c>
      <c r="C114" s="4" t="s">
        <v>695</v>
      </c>
      <c r="D114" s="4" t="s">
        <v>582</v>
      </c>
      <c r="E114" s="5">
        <v>5</v>
      </c>
      <c r="F114" s="6">
        <v>50.052500000000002</v>
      </c>
      <c r="G114" s="7">
        <v>6.8221000000000004E-4</v>
      </c>
      <c r="H114" s="113">
        <v>7.45</v>
      </c>
    </row>
    <row r="115" spans="1:8" ht="29.1" customHeight="1" x14ac:dyDescent="0.2">
      <c r="A115" s="3">
        <v>5</v>
      </c>
      <c r="B115" s="4" t="s">
        <v>724</v>
      </c>
      <c r="C115" s="4" t="s">
        <v>725</v>
      </c>
      <c r="D115" s="4" t="s">
        <v>582</v>
      </c>
      <c r="E115" s="5">
        <v>1640</v>
      </c>
      <c r="F115" s="6">
        <v>0.47068705199999999</v>
      </c>
      <c r="G115" s="44" t="s">
        <v>150</v>
      </c>
      <c r="H115" s="113">
        <v>7.7874999999999996</v>
      </c>
    </row>
    <row r="116" spans="1:8" ht="14.1" customHeight="1" x14ac:dyDescent="0.2">
      <c r="A116" s="1"/>
      <c r="B116" s="1"/>
      <c r="C116" s="2" t="s">
        <v>151</v>
      </c>
      <c r="D116" s="1"/>
      <c r="E116" s="1" t="s">
        <v>152</v>
      </c>
      <c r="F116" s="9">
        <v>3519.7341870519999</v>
      </c>
      <c r="G116" s="10">
        <v>4.7973679999999998E-2</v>
      </c>
      <c r="H116" s="113"/>
    </row>
    <row r="117" spans="1:8" ht="14.1" customHeight="1" x14ac:dyDescent="0.2">
      <c r="A117" s="1"/>
      <c r="B117" s="1"/>
      <c r="C117" s="11"/>
      <c r="D117" s="1"/>
      <c r="E117" s="1"/>
      <c r="F117" s="12"/>
      <c r="G117" s="12"/>
      <c r="H117" s="113"/>
    </row>
    <row r="118" spans="1:8" ht="14.1" customHeight="1" x14ac:dyDescent="0.2">
      <c r="A118" s="1"/>
      <c r="B118" s="1"/>
      <c r="C118" s="2" t="s">
        <v>161</v>
      </c>
      <c r="D118" s="1"/>
      <c r="E118" s="1"/>
      <c r="F118" s="1"/>
      <c r="G118" s="1"/>
      <c r="H118" s="113"/>
    </row>
    <row r="119" spans="1:8" ht="14.1" customHeight="1" x14ac:dyDescent="0.2">
      <c r="A119" s="1"/>
      <c r="B119" s="1"/>
      <c r="C119" s="2" t="s">
        <v>151</v>
      </c>
      <c r="D119" s="1"/>
      <c r="E119" s="1" t="s">
        <v>152</v>
      </c>
      <c r="F119" s="13" t="s">
        <v>154</v>
      </c>
      <c r="G119" s="10">
        <v>0</v>
      </c>
      <c r="H119" s="113"/>
    </row>
    <row r="120" spans="1:8" ht="14.1" customHeight="1" x14ac:dyDescent="0.2">
      <c r="A120" s="1"/>
      <c r="B120" s="1"/>
      <c r="C120" s="11"/>
      <c r="D120" s="1"/>
      <c r="E120" s="1"/>
      <c r="F120" s="12"/>
      <c r="G120" s="12"/>
      <c r="H120" s="113"/>
    </row>
    <row r="121" spans="1:8" ht="14.1" customHeight="1" x14ac:dyDescent="0.2">
      <c r="A121" s="1"/>
      <c r="B121" s="1"/>
      <c r="C121" s="2" t="s">
        <v>162</v>
      </c>
      <c r="D121" s="1"/>
      <c r="E121" s="1"/>
      <c r="F121" s="1"/>
      <c r="G121" s="1"/>
      <c r="H121" s="113"/>
    </row>
    <row r="122" spans="1:8" ht="29.1" customHeight="1" x14ac:dyDescent="0.2">
      <c r="A122" s="3">
        <v>1</v>
      </c>
      <c r="B122" s="4" t="s">
        <v>696</v>
      </c>
      <c r="C122" s="40" t="s">
        <v>1027</v>
      </c>
      <c r="D122" s="4" t="s">
        <v>644</v>
      </c>
      <c r="E122" s="5">
        <v>1500000</v>
      </c>
      <c r="F122" s="6">
        <v>1462.8225</v>
      </c>
      <c r="G122" s="7">
        <v>1.9938150000000002E-2</v>
      </c>
      <c r="H122" s="113">
        <v>7.1624999999999996</v>
      </c>
    </row>
    <row r="123" spans="1:8" ht="29.1" customHeight="1" x14ac:dyDescent="0.2">
      <c r="A123" s="3">
        <v>2</v>
      </c>
      <c r="B123" s="4" t="s">
        <v>735</v>
      </c>
      <c r="C123" s="4" t="s">
        <v>736</v>
      </c>
      <c r="D123" s="4" t="s">
        <v>644</v>
      </c>
      <c r="E123" s="5">
        <v>500000</v>
      </c>
      <c r="F123" s="6">
        <v>483.91550000000001</v>
      </c>
      <c r="G123" s="7">
        <v>6.5957300000000002E-3</v>
      </c>
      <c r="H123" s="113">
        <v>7.1473000000000004</v>
      </c>
    </row>
    <row r="124" spans="1:8" ht="29.1" customHeight="1" x14ac:dyDescent="0.2">
      <c r="A124" s="3">
        <v>3</v>
      </c>
      <c r="B124" s="4" t="s">
        <v>737</v>
      </c>
      <c r="C124" s="4" t="s">
        <v>738</v>
      </c>
      <c r="D124" s="4" t="s">
        <v>644</v>
      </c>
      <c r="E124" s="5">
        <v>100000</v>
      </c>
      <c r="F124" s="6">
        <v>100.9526</v>
      </c>
      <c r="G124" s="7">
        <v>1.37598E-3</v>
      </c>
      <c r="H124" s="113">
        <v>7.5425000000000004</v>
      </c>
    </row>
    <row r="125" spans="1:8" ht="14.1" customHeight="1" x14ac:dyDescent="0.2">
      <c r="A125" s="1"/>
      <c r="B125" s="1"/>
      <c r="C125" s="2" t="s">
        <v>151</v>
      </c>
      <c r="D125" s="1"/>
      <c r="E125" s="1" t="s">
        <v>152</v>
      </c>
      <c r="F125" s="9">
        <v>2047.6905999999999</v>
      </c>
      <c r="G125" s="10">
        <v>2.7909860000000002E-2</v>
      </c>
      <c r="H125" s="113"/>
    </row>
    <row r="126" spans="1:8" ht="14.1" customHeight="1" x14ac:dyDescent="0.2">
      <c r="A126" s="1"/>
      <c r="B126" s="1"/>
      <c r="C126" s="11"/>
      <c r="D126" s="1"/>
      <c r="E126" s="1"/>
      <c r="F126" s="12"/>
      <c r="G126" s="12"/>
      <c r="H126" s="113"/>
    </row>
    <row r="127" spans="1:8" ht="14.1" customHeight="1" x14ac:dyDescent="0.2">
      <c r="A127" s="1"/>
      <c r="B127" s="1"/>
      <c r="C127" s="2" t="s">
        <v>163</v>
      </c>
      <c r="D127" s="1"/>
      <c r="E127" s="1"/>
      <c r="F127" s="12"/>
      <c r="G127" s="12"/>
      <c r="H127" s="113"/>
    </row>
    <row r="128" spans="1:8" ht="14.1" customHeight="1" x14ac:dyDescent="0.2">
      <c r="A128" s="1"/>
      <c r="B128" s="1"/>
      <c r="C128" s="2" t="s">
        <v>151</v>
      </c>
      <c r="D128" s="1"/>
      <c r="E128" s="1" t="s">
        <v>152</v>
      </c>
      <c r="F128" s="13" t="s">
        <v>154</v>
      </c>
      <c r="G128" s="10">
        <v>0</v>
      </c>
      <c r="H128" s="113"/>
    </row>
    <row r="129" spans="1:8" ht="14.1" customHeight="1" x14ac:dyDescent="0.2">
      <c r="A129" s="1"/>
      <c r="B129" s="1"/>
      <c r="C129" s="11"/>
      <c r="D129" s="1"/>
      <c r="E129" s="1"/>
      <c r="F129" s="12"/>
      <c r="G129" s="12"/>
      <c r="H129" s="113"/>
    </row>
    <row r="130" spans="1:8" ht="14.1" customHeight="1" x14ac:dyDescent="0.2">
      <c r="A130" s="1"/>
      <c r="B130" s="1"/>
      <c r="C130" s="2" t="s">
        <v>164</v>
      </c>
      <c r="D130" s="1"/>
      <c r="E130" s="1"/>
      <c r="F130" s="9">
        <v>5567.4247870520003</v>
      </c>
      <c r="G130" s="10">
        <v>7.5883539999999999E-2</v>
      </c>
      <c r="H130" s="113"/>
    </row>
    <row r="131" spans="1:8" ht="14.1" customHeight="1" x14ac:dyDescent="0.2">
      <c r="A131" s="1"/>
      <c r="B131" s="1"/>
      <c r="C131" s="11"/>
      <c r="D131" s="1"/>
      <c r="E131" s="1"/>
      <c r="F131" s="12"/>
      <c r="G131" s="12"/>
      <c r="H131" s="113"/>
    </row>
    <row r="132" spans="1:8" ht="14.1" customHeight="1" x14ac:dyDescent="0.2">
      <c r="A132" s="1"/>
      <c r="B132" s="1"/>
      <c r="C132" s="2" t="s">
        <v>165</v>
      </c>
      <c r="D132" s="1"/>
      <c r="E132" s="1"/>
      <c r="F132" s="12"/>
      <c r="G132" s="12"/>
      <c r="H132" s="113"/>
    </row>
    <row r="133" spans="1:8" ht="14.1" customHeight="1" x14ac:dyDescent="0.2">
      <c r="A133" s="1"/>
      <c r="B133" s="1"/>
      <c r="C133" s="2" t="s">
        <v>166</v>
      </c>
      <c r="D133" s="1"/>
      <c r="E133" s="1"/>
      <c r="F133" s="12"/>
      <c r="G133" s="12"/>
      <c r="H133" s="113"/>
    </row>
    <row r="134" spans="1:8" ht="14.1" customHeight="1" x14ac:dyDescent="0.2">
      <c r="A134" s="1"/>
      <c r="B134" s="1"/>
      <c r="C134" s="2" t="s">
        <v>151</v>
      </c>
      <c r="D134" s="1"/>
      <c r="E134" s="1" t="s">
        <v>152</v>
      </c>
      <c r="F134" s="13" t="s">
        <v>154</v>
      </c>
      <c r="G134" s="10">
        <v>0</v>
      </c>
      <c r="H134" s="113"/>
    </row>
    <row r="135" spans="1:8" ht="14.1" customHeight="1" x14ac:dyDescent="0.2">
      <c r="A135" s="1"/>
      <c r="B135" s="1"/>
      <c r="C135" s="11"/>
      <c r="D135" s="1"/>
      <c r="E135" s="1"/>
      <c r="F135" s="12"/>
      <c r="G135" s="12"/>
      <c r="H135" s="113"/>
    </row>
    <row r="136" spans="1:8" ht="14.1" customHeight="1" x14ac:dyDescent="0.2">
      <c r="A136" s="1"/>
      <c r="B136" s="1"/>
      <c r="C136" s="2" t="s">
        <v>167</v>
      </c>
      <c r="D136" s="1"/>
      <c r="E136" s="1"/>
      <c r="F136" s="12"/>
      <c r="G136" s="12"/>
      <c r="H136" s="113"/>
    </row>
    <row r="137" spans="1:8" ht="14.1" customHeight="1" x14ac:dyDescent="0.2">
      <c r="A137" s="1"/>
      <c r="B137" s="1"/>
      <c r="C137" s="2" t="s">
        <v>151</v>
      </c>
      <c r="D137" s="1"/>
      <c r="E137" s="1" t="s">
        <v>152</v>
      </c>
      <c r="F137" s="13" t="s">
        <v>154</v>
      </c>
      <c r="G137" s="10">
        <v>0</v>
      </c>
      <c r="H137" s="113"/>
    </row>
    <row r="138" spans="1:8" ht="14.1" customHeight="1" x14ac:dyDescent="0.2">
      <c r="A138" s="1"/>
      <c r="B138" s="1"/>
      <c r="C138" s="11"/>
      <c r="D138" s="1"/>
      <c r="E138" s="1"/>
      <c r="F138" s="12"/>
      <c r="G138" s="12"/>
      <c r="H138" s="113"/>
    </row>
    <row r="139" spans="1:8" ht="14.1" customHeight="1" x14ac:dyDescent="0.2">
      <c r="A139" s="1"/>
      <c r="B139" s="1"/>
      <c r="C139" s="2" t="s">
        <v>168</v>
      </c>
      <c r="D139" s="1"/>
      <c r="E139" s="1"/>
      <c r="F139" s="12"/>
      <c r="G139" s="12"/>
      <c r="H139" s="113"/>
    </row>
    <row r="140" spans="1:8" ht="17.100000000000001" customHeight="1" x14ac:dyDescent="0.2">
      <c r="A140" s="3">
        <v>1</v>
      </c>
      <c r="B140" s="4" t="s">
        <v>739</v>
      </c>
      <c r="C140" s="40" t="s">
        <v>1028</v>
      </c>
      <c r="D140" s="4" t="s">
        <v>644</v>
      </c>
      <c r="E140" s="5">
        <v>5000000</v>
      </c>
      <c r="F140" s="6">
        <v>4938.2950000000001</v>
      </c>
      <c r="G140" s="7">
        <v>6.730854E-2</v>
      </c>
      <c r="H140" s="113">
        <v>6.91</v>
      </c>
    </row>
    <row r="141" spans="1:8" ht="17.100000000000001" customHeight="1" x14ac:dyDescent="0.2">
      <c r="A141" s="3">
        <v>2</v>
      </c>
      <c r="B141" s="4" t="s">
        <v>665</v>
      </c>
      <c r="C141" s="40" t="s">
        <v>1029</v>
      </c>
      <c r="D141" s="4" t="s">
        <v>644</v>
      </c>
      <c r="E141" s="5">
        <v>1000000</v>
      </c>
      <c r="F141" s="6">
        <v>984.98299999999995</v>
      </c>
      <c r="G141" s="7">
        <v>1.342523E-2</v>
      </c>
      <c r="H141" s="113">
        <v>6.87</v>
      </c>
    </row>
    <row r="142" spans="1:8" ht="14.1" customHeight="1" x14ac:dyDescent="0.2">
      <c r="A142" s="1"/>
      <c r="B142" s="1"/>
      <c r="C142" s="2" t="s">
        <v>151</v>
      </c>
      <c r="D142" s="1"/>
      <c r="E142" s="1" t="s">
        <v>152</v>
      </c>
      <c r="F142" s="9">
        <v>5923.2780000000002</v>
      </c>
      <c r="G142" s="10">
        <v>8.0733769999999996E-2</v>
      </c>
      <c r="H142" s="113"/>
    </row>
    <row r="143" spans="1:8" ht="14.1" customHeight="1" x14ac:dyDescent="0.2">
      <c r="A143" s="1"/>
      <c r="B143" s="1"/>
      <c r="C143" s="11"/>
      <c r="D143" s="1"/>
      <c r="E143" s="1"/>
      <c r="F143" s="12"/>
      <c r="G143" s="12"/>
      <c r="H143" s="113"/>
    </row>
    <row r="144" spans="1:8" ht="14.1" customHeight="1" x14ac:dyDescent="0.2">
      <c r="A144" s="1"/>
      <c r="B144" s="1"/>
      <c r="C144" s="2" t="s">
        <v>169</v>
      </c>
      <c r="D144" s="1"/>
      <c r="E144" s="1"/>
      <c r="F144" s="12"/>
      <c r="G144" s="12"/>
      <c r="H144" s="113"/>
    </row>
    <row r="145" spans="1:8" ht="17.100000000000001" customHeight="1" x14ac:dyDescent="0.2">
      <c r="A145" s="3">
        <v>1</v>
      </c>
      <c r="B145" s="4"/>
      <c r="C145" s="4" t="s">
        <v>170</v>
      </c>
      <c r="D145" s="4"/>
      <c r="E145" s="8"/>
      <c r="F145" s="6">
        <v>7981.8362640019996</v>
      </c>
      <c r="G145" s="7">
        <v>0.10879175000000001</v>
      </c>
      <c r="H145" s="113">
        <v>6.7600000000000016</v>
      </c>
    </row>
    <row r="146" spans="1:8" ht="14.1" customHeight="1" x14ac:dyDescent="0.2">
      <c r="A146" s="1"/>
      <c r="B146" s="1"/>
      <c r="C146" s="2" t="s">
        <v>151</v>
      </c>
      <c r="D146" s="1"/>
      <c r="E146" s="1" t="s">
        <v>152</v>
      </c>
      <c r="F146" s="9">
        <v>7981.8362640019996</v>
      </c>
      <c r="G146" s="10">
        <v>0.10879175000000001</v>
      </c>
      <c r="H146" s="113"/>
    </row>
    <row r="147" spans="1:8" ht="14.1" customHeight="1" x14ac:dyDescent="0.2">
      <c r="A147" s="1"/>
      <c r="B147" s="1"/>
      <c r="C147" s="11"/>
      <c r="D147" s="1"/>
      <c r="E147" s="1"/>
      <c r="F147" s="12"/>
      <c r="G147" s="12"/>
      <c r="H147" s="113"/>
    </row>
    <row r="148" spans="1:8" ht="14.1" customHeight="1" x14ac:dyDescent="0.2">
      <c r="A148" s="1"/>
      <c r="B148" s="1"/>
      <c r="C148" s="2" t="s">
        <v>171</v>
      </c>
      <c r="D148" s="1"/>
      <c r="E148" s="1"/>
      <c r="F148" s="9">
        <v>13905.114264002001</v>
      </c>
      <c r="G148" s="10">
        <v>0.18952552</v>
      </c>
      <c r="H148" s="113"/>
    </row>
    <row r="149" spans="1:8" ht="14.1" customHeight="1" x14ac:dyDescent="0.2">
      <c r="A149" s="1"/>
      <c r="B149" s="1"/>
      <c r="C149" s="12"/>
      <c r="D149" s="1"/>
      <c r="E149" s="1"/>
      <c r="F149" s="1"/>
      <c r="G149" s="1"/>
      <c r="H149" s="113"/>
    </row>
    <row r="150" spans="1:8" ht="14.1" customHeight="1" x14ac:dyDescent="0.2">
      <c r="A150" s="1"/>
      <c r="B150" s="1"/>
      <c r="C150" s="2" t="s">
        <v>172</v>
      </c>
      <c r="D150" s="1"/>
      <c r="E150" s="1"/>
      <c r="F150" s="1"/>
      <c r="G150" s="1"/>
      <c r="H150" s="113"/>
    </row>
    <row r="151" spans="1:8" ht="14.1" customHeight="1" x14ac:dyDescent="0.2">
      <c r="A151" s="1"/>
      <c r="B151" s="1"/>
      <c r="C151" s="2" t="s">
        <v>173</v>
      </c>
      <c r="D151" s="1"/>
      <c r="E151" s="1"/>
      <c r="F151" s="1"/>
      <c r="G151" s="1"/>
      <c r="H151" s="113"/>
    </row>
    <row r="152" spans="1:8" ht="14.1" customHeight="1" x14ac:dyDescent="0.2">
      <c r="A152" s="1"/>
      <c r="B152" s="1"/>
      <c r="C152" s="2" t="s">
        <v>151</v>
      </c>
      <c r="D152" s="1"/>
      <c r="E152" s="1" t="s">
        <v>152</v>
      </c>
      <c r="F152" s="13" t="s">
        <v>154</v>
      </c>
      <c r="G152" s="10">
        <v>0</v>
      </c>
      <c r="H152" s="113"/>
    </row>
    <row r="153" spans="1:8" ht="14.1" customHeight="1" x14ac:dyDescent="0.2">
      <c r="A153" s="1"/>
      <c r="B153" s="1"/>
      <c r="C153" s="11"/>
      <c r="D153" s="1"/>
      <c r="E153" s="1"/>
      <c r="F153" s="12"/>
      <c r="G153" s="12"/>
      <c r="H153" s="113"/>
    </row>
    <row r="154" spans="1:8" ht="14.1" customHeight="1" x14ac:dyDescent="0.2">
      <c r="A154" s="1"/>
      <c r="B154" s="1"/>
      <c r="C154" s="2" t="s">
        <v>174</v>
      </c>
      <c r="D154" s="1"/>
      <c r="E154" s="1"/>
      <c r="F154" s="1"/>
      <c r="G154" s="1"/>
      <c r="H154" s="113"/>
    </row>
    <row r="155" spans="1:8" ht="14.1" customHeight="1" x14ac:dyDescent="0.2">
      <c r="A155" s="1"/>
      <c r="B155" s="1"/>
      <c r="C155" s="2" t="s">
        <v>175</v>
      </c>
      <c r="D155" s="1"/>
      <c r="E155" s="1"/>
      <c r="F155" s="1"/>
      <c r="G155" s="1"/>
      <c r="H155" s="113"/>
    </row>
    <row r="156" spans="1:8" ht="14.1" customHeight="1" x14ac:dyDescent="0.2">
      <c r="A156" s="1"/>
      <c r="B156" s="1"/>
      <c r="C156" s="2" t="s">
        <v>151</v>
      </c>
      <c r="D156" s="1"/>
      <c r="E156" s="1" t="s">
        <v>152</v>
      </c>
      <c r="F156" s="13" t="s">
        <v>154</v>
      </c>
      <c r="G156" s="10">
        <v>0</v>
      </c>
      <c r="H156" s="113"/>
    </row>
    <row r="157" spans="1:8" ht="14.1" customHeight="1" x14ac:dyDescent="0.2">
      <c r="A157" s="1"/>
      <c r="B157" s="1"/>
      <c r="C157" s="11"/>
      <c r="D157" s="1"/>
      <c r="E157" s="1"/>
      <c r="F157" s="12"/>
      <c r="G157" s="12"/>
      <c r="H157" s="113"/>
    </row>
    <row r="158" spans="1:8" ht="24" customHeight="1" x14ac:dyDescent="0.2">
      <c r="A158" s="1"/>
      <c r="B158" s="1"/>
      <c r="C158" s="2" t="s">
        <v>176</v>
      </c>
      <c r="D158" s="1"/>
      <c r="E158" s="1"/>
      <c r="F158" s="12"/>
      <c r="G158" s="12"/>
      <c r="H158" s="113"/>
    </row>
    <row r="159" spans="1:8" ht="14.1" customHeight="1" x14ac:dyDescent="0.2">
      <c r="A159" s="1"/>
      <c r="B159" s="1"/>
      <c r="C159" s="2" t="s">
        <v>151</v>
      </c>
      <c r="D159" s="1"/>
      <c r="E159" s="1" t="s">
        <v>152</v>
      </c>
      <c r="F159" s="13" t="s">
        <v>154</v>
      </c>
      <c r="G159" s="10">
        <v>0</v>
      </c>
      <c r="H159" s="113"/>
    </row>
    <row r="160" spans="1:8" ht="14.1" customHeight="1" x14ac:dyDescent="0.2">
      <c r="A160" s="1"/>
      <c r="B160" s="1"/>
      <c r="C160" s="11"/>
      <c r="D160" s="1"/>
      <c r="E160" s="1"/>
      <c r="F160" s="12"/>
      <c r="G160" s="12"/>
      <c r="H160" s="113"/>
    </row>
    <row r="161" spans="1:8" ht="18" customHeight="1" x14ac:dyDescent="0.2">
      <c r="A161" s="8"/>
      <c r="B161" s="4"/>
      <c r="C161" s="4" t="s">
        <v>687</v>
      </c>
      <c r="D161" s="4"/>
      <c r="E161" s="8"/>
      <c r="F161" s="6">
        <v>1183.6252242</v>
      </c>
      <c r="G161" s="7">
        <v>1.6132710466844044E-2</v>
      </c>
      <c r="H161" s="113"/>
    </row>
    <row r="162" spans="1:8" ht="18" customHeight="1" x14ac:dyDescent="0.2">
      <c r="A162" s="8"/>
      <c r="B162" s="4"/>
      <c r="C162" s="40" t="s">
        <v>982</v>
      </c>
      <c r="D162" s="4"/>
      <c r="E162" s="8"/>
      <c r="F162" s="6">
        <v>180.52256781</v>
      </c>
      <c r="G162" s="7">
        <v>2.4605071433640292E-3</v>
      </c>
      <c r="H162" s="113"/>
    </row>
    <row r="163" spans="1:8" ht="14.1" customHeight="1" x14ac:dyDescent="0.2">
      <c r="A163" s="11"/>
      <c r="B163" s="11"/>
      <c r="C163" s="2" t="s">
        <v>178</v>
      </c>
      <c r="D163" s="12"/>
      <c r="E163" s="12"/>
      <c r="F163" s="9">
        <v>73368.032398063995</v>
      </c>
      <c r="G163" s="14">
        <v>1.0000000099999999</v>
      </c>
      <c r="H163" s="113"/>
    </row>
    <row r="164" spans="1:8" ht="14.1" customHeight="1" x14ac:dyDescent="0.2">
      <c r="A164" s="15"/>
      <c r="B164" s="15"/>
      <c r="C164" s="15"/>
      <c r="D164" s="16"/>
      <c r="E164" s="16"/>
      <c r="F164" s="16"/>
      <c r="G164" s="16"/>
    </row>
    <row r="165" spans="1:8" ht="14.1" customHeight="1" x14ac:dyDescent="0.2">
      <c r="A165" s="45"/>
      <c r="B165" s="217" t="s">
        <v>980</v>
      </c>
      <c r="C165" s="217"/>
      <c r="D165" s="217"/>
      <c r="E165" s="217"/>
      <c r="F165" s="217"/>
      <c r="G165" s="48"/>
    </row>
    <row r="166" spans="1:8" ht="17.100000000000001" customHeight="1" x14ac:dyDescent="0.2">
      <c r="A166" s="45"/>
      <c r="B166" s="217" t="s">
        <v>981</v>
      </c>
      <c r="C166" s="217"/>
      <c r="D166" s="217"/>
      <c r="E166" s="217"/>
      <c r="F166" s="217"/>
      <c r="G166" s="48"/>
    </row>
    <row r="167" spans="1:8" ht="17.100000000000001" customHeight="1" x14ac:dyDescent="0.2">
      <c r="A167" s="17"/>
      <c r="B167" s="207" t="s">
        <v>179</v>
      </c>
      <c r="C167" s="207"/>
      <c r="D167" s="207"/>
      <c r="E167" s="207"/>
      <c r="F167" s="207"/>
      <c r="G167" s="19"/>
    </row>
    <row r="168" spans="1:8" ht="14.1" customHeight="1" x14ac:dyDescent="0.2">
      <c r="A168" s="45"/>
      <c r="B168" s="238" t="s">
        <v>1025</v>
      </c>
      <c r="C168" s="238"/>
      <c r="D168" s="238"/>
      <c r="E168" s="238"/>
      <c r="F168" s="238"/>
      <c r="G168" s="48"/>
    </row>
    <row r="169" spans="1:8" ht="14.1" customHeight="1" x14ac:dyDescent="0.2">
      <c r="A169" s="17"/>
      <c r="B169" s="17"/>
      <c r="C169" s="17"/>
      <c r="D169" s="19"/>
      <c r="E169" s="19"/>
      <c r="F169" s="19"/>
      <c r="G169" s="19"/>
    </row>
    <row r="170" spans="1:8" ht="14.1" customHeight="1" x14ac:dyDescent="0.2">
      <c r="A170" s="17"/>
      <c r="B170" s="208" t="s">
        <v>180</v>
      </c>
      <c r="C170" s="209"/>
      <c r="D170" s="210"/>
      <c r="E170" s="20"/>
      <c r="F170" s="19"/>
      <c r="G170" s="19"/>
    </row>
    <row r="171" spans="1:8" ht="29.1" customHeight="1" x14ac:dyDescent="0.2">
      <c r="A171" s="17"/>
      <c r="B171" s="205" t="s">
        <v>181</v>
      </c>
      <c r="C171" s="206"/>
      <c r="D171" s="2" t="s">
        <v>182</v>
      </c>
      <c r="E171" s="20"/>
      <c r="F171" s="19"/>
      <c r="G171" s="19"/>
    </row>
    <row r="172" spans="1:8" ht="17.100000000000001" customHeight="1" x14ac:dyDescent="0.2">
      <c r="A172" s="17"/>
      <c r="B172" s="205" t="s">
        <v>183</v>
      </c>
      <c r="C172" s="206"/>
      <c r="D172" s="2" t="s">
        <v>182</v>
      </c>
      <c r="E172" s="20"/>
      <c r="F172" s="19"/>
      <c r="G172" s="19"/>
    </row>
    <row r="173" spans="1:8" ht="17.100000000000001" customHeight="1" x14ac:dyDescent="0.2">
      <c r="A173" s="17"/>
      <c r="B173" s="205" t="s">
        <v>184</v>
      </c>
      <c r="C173" s="206"/>
      <c r="D173" s="12" t="s">
        <v>152</v>
      </c>
      <c r="E173" s="20"/>
      <c r="F173" s="19"/>
      <c r="G173" s="19"/>
    </row>
    <row r="174" spans="1:8" ht="25.5" x14ac:dyDescent="0.2">
      <c r="A174" s="21"/>
      <c r="B174" s="22" t="s">
        <v>152</v>
      </c>
      <c r="C174" s="22" t="s">
        <v>185</v>
      </c>
      <c r="D174" s="22" t="s">
        <v>186</v>
      </c>
      <c r="E174" s="21"/>
      <c r="F174" s="21"/>
      <c r="G174" s="21"/>
    </row>
    <row r="175" spans="1:8" ht="18" customHeight="1" x14ac:dyDescent="0.2">
      <c r="A175" s="21"/>
      <c r="B175" s="23" t="s">
        <v>187</v>
      </c>
      <c r="C175" s="22" t="s">
        <v>188</v>
      </c>
      <c r="D175" s="22" t="s">
        <v>189</v>
      </c>
      <c r="E175" s="21"/>
      <c r="F175" s="21"/>
      <c r="G175" s="21"/>
    </row>
    <row r="176" spans="1:8" ht="17.100000000000001" customHeight="1" x14ac:dyDescent="0.2">
      <c r="A176" s="21"/>
      <c r="B176" s="4" t="s">
        <v>190</v>
      </c>
      <c r="C176" s="24">
        <v>66.650599999999997</v>
      </c>
      <c r="D176" s="24">
        <v>68.125299999999996</v>
      </c>
      <c r="E176" s="21"/>
      <c r="F176" s="18"/>
      <c r="G176" s="25"/>
    </row>
    <row r="177" spans="1:14" ht="29.1" customHeight="1" x14ac:dyDescent="0.2">
      <c r="A177" s="21"/>
      <c r="B177" s="4" t="s">
        <v>1045</v>
      </c>
      <c r="C177" s="24">
        <v>15.3187</v>
      </c>
      <c r="D177" s="24">
        <v>15.66</v>
      </c>
      <c r="E177" s="21"/>
      <c r="F177" s="18"/>
      <c r="G177" s="25"/>
    </row>
    <row r="178" spans="1:14" ht="29.1" customHeight="1" x14ac:dyDescent="0.2">
      <c r="A178" s="21"/>
      <c r="B178" s="4" t="s">
        <v>1039</v>
      </c>
      <c r="C178" s="24">
        <v>22.740100000000002</v>
      </c>
      <c r="D178" s="24">
        <v>22.839300000000001</v>
      </c>
      <c r="E178" s="21"/>
      <c r="F178" s="18"/>
      <c r="G178" s="25"/>
      <c r="J178" s="195"/>
      <c r="K178" s="195"/>
      <c r="L178" s="195"/>
      <c r="M178" s="195"/>
      <c r="N178" s="195"/>
    </row>
    <row r="179" spans="1:14" ht="17.100000000000001" customHeight="1" x14ac:dyDescent="0.2">
      <c r="A179" s="21"/>
      <c r="B179" s="4" t="s">
        <v>191</v>
      </c>
      <c r="C179" s="24">
        <v>58.920499999999997</v>
      </c>
      <c r="D179" s="24">
        <v>60.135100000000001</v>
      </c>
      <c r="E179" s="21"/>
      <c r="F179" s="18"/>
      <c r="G179" s="25"/>
    </row>
    <row r="180" spans="1:14" ht="29.1" customHeight="1" x14ac:dyDescent="0.2">
      <c r="A180" s="21"/>
      <c r="B180" s="4" t="s">
        <v>1046</v>
      </c>
      <c r="C180" s="24">
        <v>14.655200000000001</v>
      </c>
      <c r="D180" s="24">
        <v>14.9573</v>
      </c>
      <c r="E180" s="21"/>
      <c r="F180" s="18"/>
      <c r="G180" s="25"/>
    </row>
    <row r="181" spans="1:14" ht="29.1" customHeight="1" x14ac:dyDescent="0.2">
      <c r="A181" s="21"/>
      <c r="B181" s="4" t="s">
        <v>1041</v>
      </c>
      <c r="C181" s="24">
        <v>16.0702</v>
      </c>
      <c r="D181" s="24">
        <v>16.116399999999999</v>
      </c>
      <c r="E181" s="21"/>
      <c r="F181" s="18"/>
      <c r="G181" s="25"/>
    </row>
    <row r="182" spans="1:14" ht="14.1" customHeight="1" x14ac:dyDescent="0.2">
      <c r="A182" s="21"/>
      <c r="B182" s="21"/>
      <c r="C182" s="21"/>
      <c r="D182" s="21"/>
      <c r="E182" s="21"/>
      <c r="F182" s="21"/>
      <c r="G182" s="21"/>
    </row>
    <row r="183" spans="1:14" ht="17.100000000000001" customHeight="1" x14ac:dyDescent="0.2">
      <c r="A183" s="21"/>
      <c r="B183" s="205" t="s">
        <v>1035</v>
      </c>
      <c r="C183" s="206"/>
      <c r="D183" s="2" t="s">
        <v>152</v>
      </c>
      <c r="E183" s="21"/>
      <c r="F183" s="21"/>
      <c r="G183" s="21"/>
    </row>
    <row r="184" spans="1:14" ht="18" customHeight="1" x14ac:dyDescent="0.2">
      <c r="A184" s="21"/>
      <c r="B184" s="29" t="s">
        <v>187</v>
      </c>
      <c r="C184" s="30" t="s">
        <v>470</v>
      </c>
      <c r="D184" s="30" t="s">
        <v>471</v>
      </c>
      <c r="E184" s="21"/>
      <c r="F184" s="21"/>
      <c r="G184" s="21"/>
    </row>
    <row r="185" spans="1:14" ht="29.1" customHeight="1" x14ac:dyDescent="0.2">
      <c r="A185" s="21"/>
      <c r="B185" s="4" t="s">
        <v>1039</v>
      </c>
      <c r="C185" s="31">
        <v>0.39800000000000002</v>
      </c>
      <c r="D185" s="8" t="s">
        <v>472</v>
      </c>
      <c r="E185" s="21"/>
      <c r="F185" s="18"/>
      <c r="G185" s="25"/>
    </row>
    <row r="186" spans="1:14" ht="29.1" customHeight="1" x14ac:dyDescent="0.2">
      <c r="A186" s="21"/>
      <c r="B186" s="4" t="s">
        <v>1041</v>
      </c>
      <c r="C186" s="31">
        <v>0.28100000000000003</v>
      </c>
      <c r="D186" s="31">
        <v>0.28100000000000003</v>
      </c>
      <c r="E186" s="21"/>
      <c r="F186" s="18"/>
      <c r="G186" s="25"/>
    </row>
    <row r="187" spans="1:14" ht="14.1" customHeight="1" x14ac:dyDescent="0.2">
      <c r="A187" s="21"/>
      <c r="B187" s="32"/>
      <c r="C187" s="32"/>
      <c r="D187" s="33"/>
      <c r="E187" s="21"/>
      <c r="F187" s="18"/>
      <c r="G187" s="25"/>
    </row>
    <row r="188" spans="1:14" ht="29.1" customHeight="1" x14ac:dyDescent="0.2">
      <c r="A188" s="21"/>
      <c r="B188" s="205" t="s">
        <v>192</v>
      </c>
      <c r="C188" s="206"/>
      <c r="D188" s="46" t="s">
        <v>983</v>
      </c>
      <c r="E188" s="27"/>
      <c r="F188" s="21"/>
      <c r="G188" s="21"/>
    </row>
    <row r="189" spans="1:14" ht="29.1" customHeight="1" x14ac:dyDescent="0.2">
      <c r="A189" s="21"/>
      <c r="B189" s="205" t="s">
        <v>193</v>
      </c>
      <c r="C189" s="206"/>
      <c r="D189" s="2" t="s">
        <v>182</v>
      </c>
      <c r="E189" s="27"/>
      <c r="F189" s="21"/>
      <c r="G189" s="21"/>
    </row>
    <row r="190" spans="1:14" ht="17.100000000000001" customHeight="1" x14ac:dyDescent="0.2">
      <c r="A190" s="21"/>
      <c r="B190" s="205" t="s">
        <v>194</v>
      </c>
      <c r="C190" s="206"/>
      <c r="D190" s="2" t="s">
        <v>182</v>
      </c>
      <c r="E190" s="27"/>
      <c r="F190" s="21"/>
      <c r="G190" s="21"/>
    </row>
    <row r="191" spans="1:14" ht="17.100000000000001" customHeight="1" x14ac:dyDescent="0.2">
      <c r="A191" s="21"/>
      <c r="B191" s="205" t="s">
        <v>195</v>
      </c>
      <c r="C191" s="206"/>
      <c r="D191" s="28">
        <v>4.2151255031096495</v>
      </c>
      <c r="E191" s="21"/>
      <c r="F191" s="18"/>
      <c r="G191" s="25"/>
    </row>
    <row r="193" spans="2:4" x14ac:dyDescent="0.2">
      <c r="B193" s="231" t="s">
        <v>1004</v>
      </c>
      <c r="C193" s="232"/>
      <c r="D193" s="233"/>
    </row>
    <row r="194" spans="2:4" ht="25.5" x14ac:dyDescent="0.2">
      <c r="B194" s="234" t="s">
        <v>1005</v>
      </c>
      <c r="C194" s="234"/>
      <c r="D194" s="81" t="s">
        <v>726</v>
      </c>
    </row>
    <row r="195" spans="2:4" x14ac:dyDescent="0.2">
      <c r="B195" s="234" t="s">
        <v>1006</v>
      </c>
      <c r="C195" s="234"/>
      <c r="D195" s="94"/>
    </row>
    <row r="196" spans="2:4" x14ac:dyDescent="0.2">
      <c r="B196" s="235"/>
      <c r="C196" s="236"/>
      <c r="D196" s="82"/>
    </row>
    <row r="197" spans="2:4" x14ac:dyDescent="0.2">
      <c r="B197" s="234" t="s">
        <v>1007</v>
      </c>
      <c r="C197" s="234"/>
      <c r="D197" s="83">
        <v>7.0362003344294912</v>
      </c>
    </row>
    <row r="198" spans="2:4" x14ac:dyDescent="0.2">
      <c r="B198" s="235"/>
      <c r="C198" s="236"/>
      <c r="D198" s="82"/>
    </row>
    <row r="199" spans="2:4" x14ac:dyDescent="0.2">
      <c r="B199" s="234" t="s">
        <v>1008</v>
      </c>
      <c r="C199" s="234"/>
      <c r="D199" s="83">
        <v>0.57644354769658412</v>
      </c>
    </row>
    <row r="200" spans="2:4" x14ac:dyDescent="0.2">
      <c r="B200" s="234" t="s">
        <v>1009</v>
      </c>
      <c r="C200" s="234"/>
      <c r="D200" s="83">
        <v>0.61097608633417333</v>
      </c>
    </row>
    <row r="201" spans="2:4" x14ac:dyDescent="0.2">
      <c r="B201" s="235"/>
      <c r="C201" s="236"/>
      <c r="D201" s="82"/>
    </row>
    <row r="202" spans="2:4" x14ac:dyDescent="0.2">
      <c r="B202" s="234" t="s">
        <v>1010</v>
      </c>
      <c r="C202" s="234"/>
      <c r="D202" s="85">
        <v>45291</v>
      </c>
    </row>
    <row r="203" spans="2:4" ht="12.75" customHeight="1" x14ac:dyDescent="0.2">
      <c r="B203" s="235" t="s">
        <v>1011</v>
      </c>
      <c r="C203" s="237"/>
      <c r="D203" s="236"/>
    </row>
  </sheetData>
  <mergeCells count="28">
    <mergeCell ref="B203:D203"/>
    <mergeCell ref="B168:F168"/>
    <mergeCell ref="B198:C198"/>
    <mergeCell ref="B199:C199"/>
    <mergeCell ref="B200:C200"/>
    <mergeCell ref="B201:C201"/>
    <mergeCell ref="B202:C202"/>
    <mergeCell ref="B193:D193"/>
    <mergeCell ref="B194:C194"/>
    <mergeCell ref="B195:C195"/>
    <mergeCell ref="B196:C196"/>
    <mergeCell ref="B197:C197"/>
    <mergeCell ref="B191:C191"/>
    <mergeCell ref="B172:C172"/>
    <mergeCell ref="B173:C173"/>
    <mergeCell ref="B183:C183"/>
    <mergeCell ref="B188:C188"/>
    <mergeCell ref="B189:C189"/>
    <mergeCell ref="B190:C190"/>
    <mergeCell ref="B171:C171"/>
    <mergeCell ref="B167:F167"/>
    <mergeCell ref="B170:D170"/>
    <mergeCell ref="J2:N2"/>
    <mergeCell ref="B165:F165"/>
    <mergeCell ref="B166:F166"/>
    <mergeCell ref="A1:H1"/>
    <mergeCell ref="A2:H2"/>
    <mergeCell ref="A3:H3"/>
  </mergeCells>
  <hyperlinks>
    <hyperlink ref="I1" location="Index!B19" display="Index" xr:uid="{ACA15700-77B1-4C27-B5E4-345C862FF00B}"/>
  </hyperlinks>
  <pageMargins left="5.000000074505806E-2" right="5.000000074505806E-2" top="0.30000001192092896" bottom="0.20000000298023224" header="0" footer="0"/>
  <pageSetup paperSize="9"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11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740</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514000</v>
      </c>
      <c r="F7" s="6">
        <v>8785.5450000000001</v>
      </c>
      <c r="G7" s="7">
        <v>8.7198029999999996E-2</v>
      </c>
      <c r="H7" s="113"/>
    </row>
    <row r="8" spans="1:15" ht="17.100000000000001" customHeight="1" x14ac:dyDescent="0.2">
      <c r="A8" s="3">
        <v>2</v>
      </c>
      <c r="B8" s="4" t="s">
        <v>17</v>
      </c>
      <c r="C8" s="4" t="s">
        <v>18</v>
      </c>
      <c r="D8" s="4" t="s">
        <v>19</v>
      </c>
      <c r="E8" s="5">
        <v>278000</v>
      </c>
      <c r="F8" s="6">
        <v>7186.1610000000001</v>
      </c>
      <c r="G8" s="7">
        <v>7.1323869999999998E-2</v>
      </c>
      <c r="H8" s="113"/>
    </row>
    <row r="9" spans="1:15" ht="17.100000000000001" customHeight="1" x14ac:dyDescent="0.2">
      <c r="A9" s="3">
        <v>3</v>
      </c>
      <c r="B9" s="4" t="s">
        <v>323</v>
      </c>
      <c r="C9" s="4" t="s">
        <v>324</v>
      </c>
      <c r="D9" s="4" t="s">
        <v>891</v>
      </c>
      <c r="E9" s="5">
        <v>373000</v>
      </c>
      <c r="F9" s="6">
        <v>5755.0169999999998</v>
      </c>
      <c r="G9" s="7">
        <v>5.711952E-2</v>
      </c>
      <c r="H9" s="113"/>
    </row>
    <row r="10" spans="1:15" ht="17.100000000000001" customHeight="1" x14ac:dyDescent="0.2">
      <c r="A10" s="3">
        <v>4</v>
      </c>
      <c r="B10" s="4" t="s">
        <v>26</v>
      </c>
      <c r="C10" s="4" t="s">
        <v>27</v>
      </c>
      <c r="D10" s="4" t="s">
        <v>28</v>
      </c>
      <c r="E10" s="5">
        <v>562000</v>
      </c>
      <c r="F10" s="6">
        <v>5600.8919999999998</v>
      </c>
      <c r="G10" s="7">
        <v>5.5589810000000003E-2</v>
      </c>
      <c r="H10" s="113"/>
    </row>
    <row r="11" spans="1:15" ht="17.100000000000001" customHeight="1" x14ac:dyDescent="0.2">
      <c r="A11" s="3">
        <v>5</v>
      </c>
      <c r="B11" s="4" t="s">
        <v>11</v>
      </c>
      <c r="C11" s="4" t="s">
        <v>12</v>
      </c>
      <c r="D11" s="4" t="s">
        <v>13</v>
      </c>
      <c r="E11" s="5">
        <v>152535</v>
      </c>
      <c r="F11" s="6">
        <v>5378.3841000000002</v>
      </c>
      <c r="G11" s="7">
        <v>5.3381379999999999E-2</v>
      </c>
      <c r="H11" s="113"/>
    </row>
    <row r="12" spans="1:15" ht="17.100000000000001" customHeight="1" x14ac:dyDescent="0.2">
      <c r="A12" s="3">
        <v>6</v>
      </c>
      <c r="B12" s="4" t="s">
        <v>741</v>
      </c>
      <c r="C12" s="4" t="s">
        <v>742</v>
      </c>
      <c r="D12" s="4" t="s">
        <v>262</v>
      </c>
      <c r="E12" s="5">
        <v>16400</v>
      </c>
      <c r="F12" s="6">
        <v>4359.1692000000003</v>
      </c>
      <c r="G12" s="7">
        <v>4.3265499999999998E-2</v>
      </c>
      <c r="H12" s="113"/>
    </row>
    <row r="13" spans="1:15" ht="17.100000000000001" customHeight="1" x14ac:dyDescent="0.2">
      <c r="A13" s="3">
        <v>7</v>
      </c>
      <c r="B13" s="4" t="s">
        <v>62</v>
      </c>
      <c r="C13" s="4" t="s">
        <v>63</v>
      </c>
      <c r="D13" s="4" t="s">
        <v>28</v>
      </c>
      <c r="E13" s="5">
        <v>603000</v>
      </c>
      <c r="F13" s="6">
        <v>3871.5614999999998</v>
      </c>
      <c r="G13" s="7">
        <v>3.8425910000000001E-2</v>
      </c>
      <c r="H13" s="113"/>
      <c r="J13" s="194" t="s">
        <v>1165</v>
      </c>
    </row>
    <row r="14" spans="1:15" ht="17.100000000000001" customHeight="1" x14ac:dyDescent="0.2">
      <c r="A14" s="3">
        <v>8</v>
      </c>
      <c r="B14" s="4" t="s">
        <v>340</v>
      </c>
      <c r="C14" s="4" t="s">
        <v>341</v>
      </c>
      <c r="D14" s="4" t="s">
        <v>28</v>
      </c>
      <c r="E14" s="5">
        <v>790000</v>
      </c>
      <c r="F14" s="6">
        <v>3456.25</v>
      </c>
      <c r="G14" s="7">
        <v>3.430387E-2</v>
      </c>
      <c r="H14" s="113"/>
    </row>
    <row r="15" spans="1:15" ht="17.100000000000001" customHeight="1" x14ac:dyDescent="0.2">
      <c r="A15" s="3">
        <v>9</v>
      </c>
      <c r="B15" s="4" t="s">
        <v>373</v>
      </c>
      <c r="C15" s="4" t="s">
        <v>374</v>
      </c>
      <c r="D15" s="4" t="s">
        <v>207</v>
      </c>
      <c r="E15" s="5">
        <v>84000</v>
      </c>
      <c r="F15" s="6">
        <v>3429.4259999999999</v>
      </c>
      <c r="G15" s="7">
        <v>3.4037640000000001E-2</v>
      </c>
      <c r="H15" s="113"/>
    </row>
    <row r="16" spans="1:15" ht="17.100000000000001" customHeight="1" x14ac:dyDescent="0.2">
      <c r="A16" s="3">
        <v>10</v>
      </c>
      <c r="B16" s="4" t="s">
        <v>577</v>
      </c>
      <c r="C16" s="4" t="s">
        <v>578</v>
      </c>
      <c r="D16" s="4" t="s">
        <v>891</v>
      </c>
      <c r="E16" s="5">
        <v>240000</v>
      </c>
      <c r="F16" s="6">
        <v>3054.36</v>
      </c>
      <c r="G16" s="7">
        <v>3.0315040000000001E-2</v>
      </c>
      <c r="H16" s="113"/>
    </row>
    <row r="17" spans="1:10" ht="29.1" customHeight="1" x14ac:dyDescent="0.2">
      <c r="A17" s="3">
        <v>11</v>
      </c>
      <c r="B17" s="4" t="s">
        <v>211</v>
      </c>
      <c r="C17" s="4" t="s">
        <v>212</v>
      </c>
      <c r="D17" s="4" t="s">
        <v>53</v>
      </c>
      <c r="E17" s="5">
        <v>225000</v>
      </c>
      <c r="F17" s="6">
        <v>2834.55</v>
      </c>
      <c r="G17" s="7">
        <v>2.8133390000000001E-2</v>
      </c>
      <c r="H17" s="113"/>
    </row>
    <row r="18" spans="1:10" ht="17.100000000000001" customHeight="1" x14ac:dyDescent="0.2">
      <c r="A18" s="3">
        <v>12</v>
      </c>
      <c r="B18" s="4" t="s">
        <v>333</v>
      </c>
      <c r="C18" s="4" t="s">
        <v>334</v>
      </c>
      <c r="D18" s="4" t="s">
        <v>207</v>
      </c>
      <c r="E18" s="5">
        <v>2198000</v>
      </c>
      <c r="F18" s="6">
        <v>2718.9259999999999</v>
      </c>
      <c r="G18" s="7">
        <v>2.6985800000000001E-2</v>
      </c>
      <c r="H18" s="113"/>
    </row>
    <row r="19" spans="1:10" ht="17.100000000000001" customHeight="1" x14ac:dyDescent="0.2">
      <c r="A19" s="3">
        <v>13</v>
      </c>
      <c r="B19" s="4" t="s">
        <v>365</v>
      </c>
      <c r="C19" s="4" t="s">
        <v>366</v>
      </c>
      <c r="D19" s="4" t="s">
        <v>53</v>
      </c>
      <c r="E19" s="5">
        <v>37000</v>
      </c>
      <c r="F19" s="6">
        <v>2711.2674999999999</v>
      </c>
      <c r="G19" s="7">
        <v>2.6909789999999999E-2</v>
      </c>
      <c r="H19" s="113"/>
    </row>
    <row r="20" spans="1:10" ht="29.1" customHeight="1" x14ac:dyDescent="0.2">
      <c r="A20" s="3">
        <v>14</v>
      </c>
      <c r="B20" s="4" t="s">
        <v>29</v>
      </c>
      <c r="C20" s="4" t="s">
        <v>30</v>
      </c>
      <c r="D20" s="4" t="s">
        <v>31</v>
      </c>
      <c r="E20" s="5">
        <v>1460000</v>
      </c>
      <c r="F20" s="6">
        <v>2689.32</v>
      </c>
      <c r="G20" s="7">
        <v>2.6691960000000001E-2</v>
      </c>
      <c r="H20" s="113"/>
    </row>
    <row r="21" spans="1:10" ht="29.1" customHeight="1" x14ac:dyDescent="0.2">
      <c r="A21" s="3">
        <v>15</v>
      </c>
      <c r="B21" s="4" t="s">
        <v>329</v>
      </c>
      <c r="C21" s="4" t="s">
        <v>330</v>
      </c>
      <c r="D21" s="4" t="s">
        <v>225</v>
      </c>
      <c r="E21" s="5">
        <v>209000</v>
      </c>
      <c r="F21" s="6">
        <v>2632.2505000000001</v>
      </c>
      <c r="G21" s="7">
        <v>2.6125530000000001E-2</v>
      </c>
      <c r="H21" s="113"/>
    </row>
    <row r="22" spans="1:10" ht="17.100000000000001" customHeight="1" x14ac:dyDescent="0.2">
      <c r="A22" s="3">
        <v>16</v>
      </c>
      <c r="B22" s="4" t="s">
        <v>346</v>
      </c>
      <c r="C22" s="4" t="s">
        <v>347</v>
      </c>
      <c r="D22" s="4" t="s">
        <v>891</v>
      </c>
      <c r="E22" s="5">
        <v>41000</v>
      </c>
      <c r="F22" s="6">
        <v>2580.9295000000002</v>
      </c>
      <c r="G22" s="7">
        <v>2.5616159999999999E-2</v>
      </c>
      <c r="H22" s="113"/>
      <c r="J22" s="194" t="s">
        <v>1166</v>
      </c>
    </row>
    <row r="23" spans="1:10" ht="17.100000000000001" customHeight="1" x14ac:dyDescent="0.2">
      <c r="A23" s="3">
        <v>17</v>
      </c>
      <c r="B23" s="4" t="s">
        <v>516</v>
      </c>
      <c r="C23" s="4" t="s">
        <v>517</v>
      </c>
      <c r="D23" s="4" t="s">
        <v>267</v>
      </c>
      <c r="E23" s="5">
        <v>45000</v>
      </c>
      <c r="F23" s="6">
        <v>2573.8874999999998</v>
      </c>
      <c r="G23" s="7">
        <v>2.5546269999999999E-2</v>
      </c>
      <c r="H23" s="113"/>
    </row>
    <row r="24" spans="1:10" ht="17.100000000000001" customHeight="1" x14ac:dyDescent="0.2">
      <c r="A24" s="3">
        <v>18</v>
      </c>
      <c r="B24" s="4" t="s">
        <v>363</v>
      </c>
      <c r="C24" s="4" t="s">
        <v>364</v>
      </c>
      <c r="D24" s="4" t="s">
        <v>207</v>
      </c>
      <c r="E24" s="5">
        <v>1468000</v>
      </c>
      <c r="F24" s="6">
        <v>2553.5859999999998</v>
      </c>
      <c r="G24" s="7">
        <v>2.5344780000000001E-2</v>
      </c>
      <c r="H24" s="113"/>
    </row>
    <row r="25" spans="1:10" ht="29.1" customHeight="1" x14ac:dyDescent="0.2">
      <c r="A25" s="3">
        <v>19</v>
      </c>
      <c r="B25" s="4" t="s">
        <v>371</v>
      </c>
      <c r="C25" s="4" t="s">
        <v>372</v>
      </c>
      <c r="D25" s="4" t="s">
        <v>225</v>
      </c>
      <c r="E25" s="5">
        <v>233000</v>
      </c>
      <c r="F25" s="6">
        <v>2525.7199999999998</v>
      </c>
      <c r="G25" s="7">
        <v>2.5068199999999999E-2</v>
      </c>
      <c r="H25" s="113"/>
    </row>
    <row r="26" spans="1:10" ht="17.100000000000001" customHeight="1" x14ac:dyDescent="0.2">
      <c r="A26" s="3">
        <v>20</v>
      </c>
      <c r="B26" s="4" t="s">
        <v>93</v>
      </c>
      <c r="C26" s="4" t="s">
        <v>94</v>
      </c>
      <c r="D26" s="4" t="s">
        <v>41</v>
      </c>
      <c r="E26" s="5">
        <v>568000</v>
      </c>
      <c r="F26" s="6">
        <v>2409.172</v>
      </c>
      <c r="G26" s="7">
        <v>2.3911439999999999E-2</v>
      </c>
      <c r="H26" s="113"/>
    </row>
    <row r="27" spans="1:10" ht="17.100000000000001" customHeight="1" x14ac:dyDescent="0.2">
      <c r="A27" s="3">
        <v>21</v>
      </c>
      <c r="B27" s="4" t="s">
        <v>258</v>
      </c>
      <c r="C27" s="4" t="s">
        <v>259</v>
      </c>
      <c r="D27" s="4" t="s">
        <v>207</v>
      </c>
      <c r="E27" s="5">
        <v>46000</v>
      </c>
      <c r="F27" s="6">
        <v>2364.4690000000001</v>
      </c>
      <c r="G27" s="7">
        <v>2.3467760000000001E-2</v>
      </c>
      <c r="H27" s="113"/>
    </row>
    <row r="28" spans="1:10" ht="29.1" customHeight="1" x14ac:dyDescent="0.2">
      <c r="A28" s="3">
        <v>22</v>
      </c>
      <c r="B28" s="4" t="s">
        <v>353</v>
      </c>
      <c r="C28" s="4" t="s">
        <v>354</v>
      </c>
      <c r="D28" s="4" t="s">
        <v>225</v>
      </c>
      <c r="E28" s="5">
        <v>38500</v>
      </c>
      <c r="F28" s="6">
        <v>2232.1914999999999</v>
      </c>
      <c r="G28" s="7">
        <v>2.2154879999999998E-2</v>
      </c>
      <c r="H28" s="113"/>
    </row>
    <row r="29" spans="1:10" ht="53.1" customHeight="1" x14ac:dyDescent="0.2">
      <c r="A29" s="3">
        <v>23</v>
      </c>
      <c r="B29" s="4" t="s">
        <v>100</v>
      </c>
      <c r="C29" s="4" t="s">
        <v>101</v>
      </c>
      <c r="D29" s="4" t="s">
        <v>102</v>
      </c>
      <c r="E29" s="5">
        <v>1215000</v>
      </c>
      <c r="F29" s="6">
        <v>2205.8325</v>
      </c>
      <c r="G29" s="7">
        <v>2.1893260000000001E-2</v>
      </c>
      <c r="H29" s="113"/>
    </row>
    <row r="30" spans="1:10" ht="17.100000000000001" customHeight="1" x14ac:dyDescent="0.2">
      <c r="A30" s="3">
        <v>24</v>
      </c>
      <c r="B30" s="4" t="s">
        <v>293</v>
      </c>
      <c r="C30" s="4" t="s">
        <v>294</v>
      </c>
      <c r="D30" s="4" t="s">
        <v>295</v>
      </c>
      <c r="E30" s="5">
        <v>119000</v>
      </c>
      <c r="F30" s="6">
        <v>2124.3285000000001</v>
      </c>
      <c r="G30" s="7">
        <v>2.108432E-2</v>
      </c>
      <c r="H30" s="113"/>
    </row>
    <row r="31" spans="1:10" ht="17.100000000000001" customHeight="1" x14ac:dyDescent="0.2">
      <c r="A31" s="3">
        <v>25</v>
      </c>
      <c r="B31" s="4" t="s">
        <v>108</v>
      </c>
      <c r="C31" s="4" t="s">
        <v>109</v>
      </c>
      <c r="D31" s="4" t="s">
        <v>107</v>
      </c>
      <c r="E31" s="5">
        <v>319788</v>
      </c>
      <c r="F31" s="6">
        <v>2061.0336600000001</v>
      </c>
      <c r="G31" s="7">
        <v>2.045611E-2</v>
      </c>
      <c r="H31" s="113"/>
    </row>
    <row r="32" spans="1:10" ht="17.100000000000001" customHeight="1" x14ac:dyDescent="0.2">
      <c r="A32" s="3">
        <v>26</v>
      </c>
      <c r="B32" s="4" t="s">
        <v>39</v>
      </c>
      <c r="C32" s="4" t="s">
        <v>40</v>
      </c>
      <c r="D32" s="4" t="s">
        <v>41</v>
      </c>
      <c r="E32" s="5">
        <v>39000</v>
      </c>
      <c r="F32" s="6">
        <v>1823.1914999999999</v>
      </c>
      <c r="G32" s="7">
        <v>1.8095489999999999E-2</v>
      </c>
      <c r="H32" s="113"/>
    </row>
    <row r="33" spans="1:8" ht="17.100000000000001" customHeight="1" x14ac:dyDescent="0.2">
      <c r="A33" s="3">
        <v>27</v>
      </c>
      <c r="B33" s="4" t="s">
        <v>117</v>
      </c>
      <c r="C33" s="4" t="s">
        <v>118</v>
      </c>
      <c r="D33" s="4" t="s">
        <v>41</v>
      </c>
      <c r="E33" s="5">
        <v>663000</v>
      </c>
      <c r="F33" s="6">
        <v>1724.1315</v>
      </c>
      <c r="G33" s="7">
        <v>1.71123E-2</v>
      </c>
      <c r="H33" s="113"/>
    </row>
    <row r="34" spans="1:8" ht="17.100000000000001" customHeight="1" x14ac:dyDescent="0.2">
      <c r="A34" s="3">
        <v>28</v>
      </c>
      <c r="B34" s="4" t="s">
        <v>548</v>
      </c>
      <c r="C34" s="4" t="s">
        <v>549</v>
      </c>
      <c r="D34" s="4" t="s">
        <v>53</v>
      </c>
      <c r="E34" s="5">
        <v>68336</v>
      </c>
      <c r="F34" s="6">
        <v>1665.8266719999999</v>
      </c>
      <c r="G34" s="7">
        <v>1.6533610000000001E-2</v>
      </c>
      <c r="H34" s="113"/>
    </row>
    <row r="35" spans="1:8" ht="29.1" customHeight="1" x14ac:dyDescent="0.2">
      <c r="A35" s="3">
        <v>29</v>
      </c>
      <c r="B35" s="4" t="s">
        <v>541</v>
      </c>
      <c r="C35" s="4" t="s">
        <v>542</v>
      </c>
      <c r="D35" s="4" t="s">
        <v>543</v>
      </c>
      <c r="E35" s="5">
        <v>375000</v>
      </c>
      <c r="F35" s="6">
        <v>1643.4375</v>
      </c>
      <c r="G35" s="7">
        <v>1.63114E-2</v>
      </c>
      <c r="H35" s="113"/>
    </row>
    <row r="36" spans="1:8" ht="17.100000000000001" customHeight="1" x14ac:dyDescent="0.2">
      <c r="A36" s="3">
        <v>30</v>
      </c>
      <c r="B36" s="4" t="s">
        <v>239</v>
      </c>
      <c r="C36" s="4" t="s">
        <v>240</v>
      </c>
      <c r="D36" s="4" t="s">
        <v>891</v>
      </c>
      <c r="E36" s="5">
        <v>21210</v>
      </c>
      <c r="F36" s="6">
        <v>1330.80024</v>
      </c>
      <c r="G36" s="7">
        <v>1.320842E-2</v>
      </c>
      <c r="H36" s="113"/>
    </row>
    <row r="37" spans="1:8" ht="14.1" customHeight="1" x14ac:dyDescent="0.2">
      <c r="A37" s="1"/>
      <c r="B37" s="1"/>
      <c r="C37" s="2" t="s">
        <v>151</v>
      </c>
      <c r="D37" s="1"/>
      <c r="E37" s="1" t="s">
        <v>152</v>
      </c>
      <c r="F37" s="9">
        <v>96281.617371999993</v>
      </c>
      <c r="G37" s="10">
        <v>0.95561143999999998</v>
      </c>
      <c r="H37" s="113"/>
    </row>
    <row r="38" spans="1:8" ht="14.1" customHeight="1" x14ac:dyDescent="0.2">
      <c r="A38" s="1"/>
      <c r="B38" s="1"/>
      <c r="C38" s="11"/>
      <c r="D38" s="1"/>
      <c r="E38" s="1"/>
      <c r="F38" s="12"/>
      <c r="G38" s="12"/>
      <c r="H38" s="113"/>
    </row>
    <row r="39" spans="1:8" ht="14.1" customHeight="1" x14ac:dyDescent="0.2">
      <c r="A39" s="1"/>
      <c r="B39" s="1"/>
      <c r="C39" s="2" t="s">
        <v>153</v>
      </c>
      <c r="D39" s="1"/>
      <c r="E39" s="1"/>
      <c r="F39" s="1"/>
      <c r="G39" s="1"/>
      <c r="H39" s="113"/>
    </row>
    <row r="40" spans="1:8" ht="14.1" customHeight="1" x14ac:dyDescent="0.2">
      <c r="A40" s="1"/>
      <c r="B40" s="1"/>
      <c r="C40" s="2" t="s">
        <v>151</v>
      </c>
      <c r="D40" s="1"/>
      <c r="E40" s="1" t="s">
        <v>152</v>
      </c>
      <c r="F40" s="13" t="s">
        <v>154</v>
      </c>
      <c r="G40" s="10">
        <v>0</v>
      </c>
      <c r="H40" s="113"/>
    </row>
    <row r="41" spans="1:8" ht="14.1" customHeight="1" x14ac:dyDescent="0.2">
      <c r="A41" s="1"/>
      <c r="B41" s="1"/>
      <c r="C41" s="11"/>
      <c r="D41" s="1"/>
      <c r="E41" s="1"/>
      <c r="F41" s="12"/>
      <c r="G41" s="12"/>
      <c r="H41" s="113"/>
    </row>
    <row r="42" spans="1:8" ht="14.1" customHeight="1" x14ac:dyDescent="0.2">
      <c r="A42" s="1"/>
      <c r="B42" s="1"/>
      <c r="C42" s="2" t="s">
        <v>155</v>
      </c>
      <c r="D42" s="1"/>
      <c r="E42" s="1"/>
      <c r="F42" s="1"/>
      <c r="G42" s="1"/>
      <c r="H42" s="113"/>
    </row>
    <row r="43" spans="1:8" ht="14.1" customHeight="1" x14ac:dyDescent="0.2">
      <c r="A43" s="1"/>
      <c r="B43" s="1"/>
      <c r="C43" s="2" t="s">
        <v>151</v>
      </c>
      <c r="D43" s="1"/>
      <c r="E43" s="1" t="s">
        <v>152</v>
      </c>
      <c r="F43" s="13" t="s">
        <v>154</v>
      </c>
      <c r="G43" s="10">
        <v>0</v>
      </c>
      <c r="H43" s="113"/>
    </row>
    <row r="44" spans="1:8" ht="14.1" customHeight="1" x14ac:dyDescent="0.2">
      <c r="A44" s="1"/>
      <c r="B44" s="1"/>
      <c r="C44" s="11"/>
      <c r="D44" s="1"/>
      <c r="E44" s="1"/>
      <c r="F44" s="12"/>
      <c r="G44" s="12"/>
      <c r="H44" s="113"/>
    </row>
    <row r="45" spans="1:8" ht="14.1" customHeight="1" x14ac:dyDescent="0.2">
      <c r="A45" s="1"/>
      <c r="B45" s="1"/>
      <c r="C45" s="2" t="s">
        <v>156</v>
      </c>
      <c r="D45" s="1"/>
      <c r="E45" s="1"/>
      <c r="F45" s="1"/>
      <c r="G45" s="1"/>
      <c r="H45" s="113"/>
    </row>
    <row r="46" spans="1:8" ht="14.1" customHeight="1" x14ac:dyDescent="0.2">
      <c r="A46" s="1"/>
      <c r="B46" s="1"/>
      <c r="C46" s="2" t="s">
        <v>151</v>
      </c>
      <c r="D46" s="1"/>
      <c r="E46" s="1" t="s">
        <v>152</v>
      </c>
      <c r="F46" s="13" t="s">
        <v>154</v>
      </c>
      <c r="G46" s="10">
        <v>0</v>
      </c>
      <c r="H46" s="113"/>
    </row>
    <row r="47" spans="1:8" ht="14.1" customHeight="1" x14ac:dyDescent="0.2">
      <c r="A47" s="1"/>
      <c r="B47" s="1"/>
      <c r="C47" s="11"/>
      <c r="D47" s="1"/>
      <c r="E47" s="1"/>
      <c r="F47" s="12"/>
      <c r="G47" s="12"/>
      <c r="H47" s="113"/>
    </row>
    <row r="48" spans="1:8" ht="14.1" customHeight="1" x14ac:dyDescent="0.2">
      <c r="A48" s="1"/>
      <c r="B48" s="1"/>
      <c r="C48" s="2" t="s">
        <v>157</v>
      </c>
      <c r="D48" s="1"/>
      <c r="E48" s="1"/>
      <c r="F48" s="12"/>
      <c r="G48" s="12"/>
      <c r="H48" s="113"/>
    </row>
    <row r="49" spans="1:8" ht="14.1" customHeight="1" x14ac:dyDescent="0.2">
      <c r="A49" s="1"/>
      <c r="B49" s="1"/>
      <c r="C49" s="2" t="s">
        <v>151</v>
      </c>
      <c r="D49" s="1"/>
      <c r="E49" s="1" t="s">
        <v>152</v>
      </c>
      <c r="F49" s="13" t="s">
        <v>154</v>
      </c>
      <c r="G49" s="10">
        <v>0</v>
      </c>
      <c r="H49" s="113"/>
    </row>
    <row r="50" spans="1:8" ht="14.1" customHeight="1" x14ac:dyDescent="0.2">
      <c r="A50" s="1"/>
      <c r="B50" s="1"/>
      <c r="C50" s="11"/>
      <c r="D50" s="1"/>
      <c r="E50" s="1"/>
      <c r="F50" s="12"/>
      <c r="G50" s="12"/>
      <c r="H50" s="113"/>
    </row>
    <row r="51" spans="1:8" ht="14.1" customHeight="1" x14ac:dyDescent="0.2">
      <c r="A51" s="1"/>
      <c r="B51" s="1"/>
      <c r="C51" s="2" t="s">
        <v>158</v>
      </c>
      <c r="D51" s="1"/>
      <c r="E51" s="1"/>
      <c r="F51" s="12"/>
      <c r="G51" s="12"/>
      <c r="H51" s="113"/>
    </row>
    <row r="52" spans="1:8" ht="14.1" customHeight="1" x14ac:dyDescent="0.2">
      <c r="A52" s="1"/>
      <c r="B52" s="1"/>
      <c r="C52" s="2" t="s">
        <v>151</v>
      </c>
      <c r="D52" s="1"/>
      <c r="E52" s="1" t="s">
        <v>152</v>
      </c>
      <c r="F52" s="13" t="s">
        <v>154</v>
      </c>
      <c r="G52" s="10">
        <v>0</v>
      </c>
      <c r="H52" s="113"/>
    </row>
    <row r="53" spans="1:8" ht="14.1" customHeight="1" x14ac:dyDescent="0.2">
      <c r="A53" s="1"/>
      <c r="B53" s="1"/>
      <c r="C53" s="11"/>
      <c r="D53" s="1"/>
      <c r="E53" s="1"/>
      <c r="F53" s="12"/>
      <c r="G53" s="12"/>
      <c r="H53" s="113"/>
    </row>
    <row r="54" spans="1:8" ht="18" customHeight="1" x14ac:dyDescent="0.2">
      <c r="A54" s="1"/>
      <c r="B54" s="1"/>
      <c r="C54" s="2" t="s">
        <v>159</v>
      </c>
      <c r="D54" s="1"/>
      <c r="E54" s="1"/>
      <c r="F54" s="9">
        <v>96281.617371999993</v>
      </c>
      <c r="G54" s="10">
        <v>0.95561143999999998</v>
      </c>
      <c r="H54" s="113"/>
    </row>
    <row r="55" spans="1:8" ht="14.1" customHeight="1" x14ac:dyDescent="0.2">
      <c r="A55" s="1"/>
      <c r="B55" s="1"/>
      <c r="C55" s="11"/>
      <c r="D55" s="1"/>
      <c r="E55" s="1"/>
      <c r="F55" s="12"/>
      <c r="G55" s="12"/>
      <c r="H55" s="113"/>
    </row>
    <row r="56" spans="1:8" ht="14.1" customHeight="1" x14ac:dyDescent="0.2">
      <c r="A56" s="1"/>
      <c r="B56" s="1"/>
      <c r="C56" s="2" t="s">
        <v>160</v>
      </c>
      <c r="D56" s="1"/>
      <c r="E56" s="1"/>
      <c r="F56" s="12"/>
      <c r="G56" s="12"/>
      <c r="H56" s="113"/>
    </row>
    <row r="57" spans="1:8" ht="24" customHeight="1" x14ac:dyDescent="0.2">
      <c r="A57" s="1"/>
      <c r="B57" s="1"/>
      <c r="C57" s="2" t="s">
        <v>10</v>
      </c>
      <c r="D57" s="1"/>
      <c r="E57" s="1"/>
      <c r="F57" s="12"/>
      <c r="G57" s="12"/>
      <c r="H57" s="113"/>
    </row>
    <row r="58" spans="1:8" ht="14.1" customHeight="1" x14ac:dyDescent="0.2">
      <c r="A58" s="1"/>
      <c r="B58" s="1"/>
      <c r="C58" s="2" t="s">
        <v>151</v>
      </c>
      <c r="D58" s="1"/>
      <c r="E58" s="1" t="s">
        <v>152</v>
      </c>
      <c r="F58" s="13" t="s">
        <v>154</v>
      </c>
      <c r="G58" s="10">
        <v>0</v>
      </c>
      <c r="H58" s="113"/>
    </row>
    <row r="59" spans="1:8" ht="14.1" customHeight="1" x14ac:dyDescent="0.2">
      <c r="A59" s="1"/>
      <c r="B59" s="1"/>
      <c r="C59" s="11"/>
      <c r="D59" s="1"/>
      <c r="E59" s="1"/>
      <c r="F59" s="12"/>
      <c r="G59" s="12"/>
      <c r="H59" s="113"/>
    </row>
    <row r="60" spans="1:8" ht="14.1" customHeight="1" x14ac:dyDescent="0.2">
      <c r="A60" s="1"/>
      <c r="B60" s="1"/>
      <c r="C60" s="2" t="s">
        <v>161</v>
      </c>
      <c r="D60" s="1"/>
      <c r="E60" s="1"/>
      <c r="F60" s="1"/>
      <c r="G60" s="1"/>
      <c r="H60" s="113"/>
    </row>
    <row r="61" spans="1:8" ht="14.1" customHeight="1" x14ac:dyDescent="0.2">
      <c r="A61" s="1"/>
      <c r="B61" s="1"/>
      <c r="C61" s="2" t="s">
        <v>151</v>
      </c>
      <c r="D61" s="1"/>
      <c r="E61" s="1" t="s">
        <v>152</v>
      </c>
      <c r="F61" s="13" t="s">
        <v>154</v>
      </c>
      <c r="G61" s="10">
        <v>0</v>
      </c>
      <c r="H61" s="113"/>
    </row>
    <row r="62" spans="1:8" ht="14.1" customHeight="1" x14ac:dyDescent="0.2">
      <c r="A62" s="1"/>
      <c r="B62" s="1"/>
      <c r="C62" s="11"/>
      <c r="D62" s="1"/>
      <c r="E62" s="1"/>
      <c r="F62" s="12"/>
      <c r="G62" s="12"/>
      <c r="H62" s="113"/>
    </row>
    <row r="63" spans="1:8" ht="14.1" customHeight="1" x14ac:dyDescent="0.2">
      <c r="A63" s="1"/>
      <c r="B63" s="1"/>
      <c r="C63" s="2" t="s">
        <v>162</v>
      </c>
      <c r="D63" s="1"/>
      <c r="E63" s="1"/>
      <c r="F63" s="1"/>
      <c r="G63" s="1"/>
      <c r="H63" s="113"/>
    </row>
    <row r="64" spans="1:8" ht="14.1" customHeight="1" x14ac:dyDescent="0.2">
      <c r="A64" s="1"/>
      <c r="B64" s="1"/>
      <c r="C64" s="2" t="s">
        <v>151</v>
      </c>
      <c r="D64" s="1"/>
      <c r="E64" s="1" t="s">
        <v>152</v>
      </c>
      <c r="F64" s="13" t="s">
        <v>154</v>
      </c>
      <c r="G64" s="10">
        <v>0</v>
      </c>
      <c r="H64" s="113"/>
    </row>
    <row r="65" spans="1:8" ht="14.1" customHeight="1" x14ac:dyDescent="0.2">
      <c r="A65" s="1"/>
      <c r="B65" s="1"/>
      <c r="C65" s="11"/>
      <c r="D65" s="1"/>
      <c r="E65" s="1"/>
      <c r="F65" s="12"/>
      <c r="G65" s="12"/>
      <c r="H65" s="113"/>
    </row>
    <row r="66" spans="1:8" ht="14.1" customHeight="1" x14ac:dyDescent="0.2">
      <c r="A66" s="1"/>
      <c r="B66" s="1"/>
      <c r="C66" s="2" t="s">
        <v>163</v>
      </c>
      <c r="D66" s="1"/>
      <c r="E66" s="1"/>
      <c r="F66" s="12"/>
      <c r="G66" s="12"/>
      <c r="H66" s="113"/>
    </row>
    <row r="67" spans="1:8" ht="14.1" customHeight="1" x14ac:dyDescent="0.2">
      <c r="A67" s="1"/>
      <c r="B67" s="1"/>
      <c r="C67" s="2" t="s">
        <v>151</v>
      </c>
      <c r="D67" s="1"/>
      <c r="E67" s="1" t="s">
        <v>152</v>
      </c>
      <c r="F67" s="13" t="s">
        <v>154</v>
      </c>
      <c r="G67" s="10">
        <v>0</v>
      </c>
      <c r="H67" s="113"/>
    </row>
    <row r="68" spans="1:8" ht="14.1" customHeight="1" x14ac:dyDescent="0.2">
      <c r="A68" s="1"/>
      <c r="B68" s="1"/>
      <c r="C68" s="11"/>
      <c r="D68" s="1"/>
      <c r="E68" s="1"/>
      <c r="F68" s="12"/>
      <c r="G68" s="12"/>
      <c r="H68" s="113"/>
    </row>
    <row r="69" spans="1:8" ht="14.1" customHeight="1" x14ac:dyDescent="0.2">
      <c r="A69" s="1"/>
      <c r="B69" s="1"/>
      <c r="C69" s="2" t="s">
        <v>164</v>
      </c>
      <c r="D69" s="1"/>
      <c r="E69" s="1"/>
      <c r="F69" s="9">
        <v>0</v>
      </c>
      <c r="G69" s="10">
        <v>0</v>
      </c>
      <c r="H69" s="113"/>
    </row>
    <row r="70" spans="1:8" ht="14.1" customHeight="1" x14ac:dyDescent="0.2">
      <c r="A70" s="1"/>
      <c r="B70" s="1"/>
      <c r="C70" s="11"/>
      <c r="D70" s="1"/>
      <c r="E70" s="1"/>
      <c r="F70" s="12"/>
      <c r="G70" s="12"/>
      <c r="H70" s="113"/>
    </row>
    <row r="71" spans="1:8" ht="14.1" customHeight="1" x14ac:dyDescent="0.2">
      <c r="A71" s="1"/>
      <c r="B71" s="1"/>
      <c r="C71" s="2" t="s">
        <v>165</v>
      </c>
      <c r="D71" s="1"/>
      <c r="E71" s="1"/>
      <c r="F71" s="12"/>
      <c r="G71" s="12"/>
      <c r="H71" s="113"/>
    </row>
    <row r="72" spans="1:8" ht="14.1" customHeight="1" x14ac:dyDescent="0.2">
      <c r="A72" s="1"/>
      <c r="B72" s="1"/>
      <c r="C72" s="2" t="s">
        <v>166</v>
      </c>
      <c r="D72" s="1"/>
      <c r="E72" s="1"/>
      <c r="F72" s="12"/>
      <c r="G72" s="12"/>
      <c r="H72" s="113"/>
    </row>
    <row r="73" spans="1:8" ht="14.1" customHeight="1" x14ac:dyDescent="0.2">
      <c r="A73" s="1"/>
      <c r="B73" s="1"/>
      <c r="C73" s="2" t="s">
        <v>151</v>
      </c>
      <c r="D73" s="1"/>
      <c r="E73" s="1" t="s">
        <v>152</v>
      </c>
      <c r="F73" s="13" t="s">
        <v>154</v>
      </c>
      <c r="G73" s="10">
        <v>0</v>
      </c>
      <c r="H73" s="113"/>
    </row>
    <row r="74" spans="1:8" ht="14.1" customHeight="1" x14ac:dyDescent="0.2">
      <c r="A74" s="1"/>
      <c r="B74" s="1"/>
      <c r="C74" s="11"/>
      <c r="D74" s="1"/>
      <c r="E74" s="1"/>
      <c r="F74" s="12"/>
      <c r="G74" s="12"/>
      <c r="H74" s="113"/>
    </row>
    <row r="75" spans="1:8" ht="14.1" customHeight="1" x14ac:dyDescent="0.2">
      <c r="A75" s="1"/>
      <c r="B75" s="1"/>
      <c r="C75" s="2" t="s">
        <v>167</v>
      </c>
      <c r="D75" s="1"/>
      <c r="E75" s="1"/>
      <c r="F75" s="12"/>
      <c r="G75" s="12"/>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168</v>
      </c>
      <c r="D78" s="1"/>
      <c r="E78" s="1"/>
      <c r="F78" s="12"/>
      <c r="G78" s="12"/>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169</v>
      </c>
      <c r="D81" s="1"/>
      <c r="E81" s="1"/>
      <c r="F81" s="12"/>
      <c r="G81" s="12"/>
      <c r="H81" s="113"/>
    </row>
    <row r="82" spans="1:8" ht="17.100000000000001" customHeight="1" x14ac:dyDescent="0.2">
      <c r="A82" s="3">
        <v>1</v>
      </c>
      <c r="B82" s="4"/>
      <c r="C82" s="4" t="s">
        <v>170</v>
      </c>
      <c r="D82" s="4"/>
      <c r="E82" s="8"/>
      <c r="F82" s="6">
        <v>4801.0397650000004</v>
      </c>
      <c r="G82" s="7">
        <v>4.7651140000000002E-2</v>
      </c>
      <c r="H82" s="113">
        <v>6.7600000000000016</v>
      </c>
    </row>
    <row r="83" spans="1:8" ht="14.1" customHeight="1" x14ac:dyDescent="0.2">
      <c r="A83" s="1"/>
      <c r="B83" s="1"/>
      <c r="C83" s="2" t="s">
        <v>151</v>
      </c>
      <c r="D83" s="1"/>
      <c r="E83" s="1" t="s">
        <v>152</v>
      </c>
      <c r="F83" s="9">
        <v>4801.0397650000004</v>
      </c>
      <c r="G83" s="10">
        <v>4.7651140000000002E-2</v>
      </c>
      <c r="H83" s="113"/>
    </row>
    <row r="84" spans="1:8" ht="14.1" customHeight="1" x14ac:dyDescent="0.2">
      <c r="A84" s="1"/>
      <c r="B84" s="1"/>
      <c r="C84" s="11"/>
      <c r="D84" s="1"/>
      <c r="E84" s="1"/>
      <c r="F84" s="12"/>
      <c r="G84" s="12"/>
      <c r="H84" s="113"/>
    </row>
    <row r="85" spans="1:8" ht="14.1" customHeight="1" x14ac:dyDescent="0.2">
      <c r="A85" s="1"/>
      <c r="B85" s="1"/>
      <c r="C85" s="2" t="s">
        <v>171</v>
      </c>
      <c r="D85" s="1"/>
      <c r="E85" s="1"/>
      <c r="F85" s="9">
        <v>4801.0397650000004</v>
      </c>
      <c r="G85" s="10">
        <v>4.7651140000000002E-2</v>
      </c>
      <c r="H85" s="113"/>
    </row>
    <row r="86" spans="1:8" ht="14.1" customHeight="1" x14ac:dyDescent="0.2">
      <c r="A86" s="1"/>
      <c r="B86" s="1"/>
      <c r="C86" s="12"/>
      <c r="D86" s="1"/>
      <c r="E86" s="1"/>
      <c r="F86" s="1"/>
      <c r="G86" s="1"/>
      <c r="H86" s="113"/>
    </row>
    <row r="87" spans="1:8" ht="14.1" customHeight="1" x14ac:dyDescent="0.2">
      <c r="A87" s="1"/>
      <c r="B87" s="1"/>
      <c r="C87" s="2" t="s">
        <v>172</v>
      </c>
      <c r="D87" s="1"/>
      <c r="E87" s="1"/>
      <c r="F87" s="1"/>
      <c r="G87" s="1"/>
      <c r="H87" s="113"/>
    </row>
    <row r="88" spans="1:8" ht="14.1" customHeight="1" x14ac:dyDescent="0.2">
      <c r="A88" s="1"/>
      <c r="B88" s="1"/>
      <c r="C88" s="2" t="s">
        <v>173</v>
      </c>
      <c r="D88" s="1"/>
      <c r="E88" s="1"/>
      <c r="F88" s="1"/>
      <c r="G88" s="1"/>
      <c r="H88" s="113"/>
    </row>
    <row r="89" spans="1:8" ht="14.1" customHeight="1" x14ac:dyDescent="0.2">
      <c r="A89" s="1"/>
      <c r="B89" s="1"/>
      <c r="C89" s="2" t="s">
        <v>151</v>
      </c>
      <c r="D89" s="1"/>
      <c r="E89" s="1" t="s">
        <v>152</v>
      </c>
      <c r="F89" s="13" t="s">
        <v>154</v>
      </c>
      <c r="G89" s="10">
        <v>0</v>
      </c>
      <c r="H89" s="113"/>
    </row>
    <row r="90" spans="1:8" ht="14.1" customHeight="1" x14ac:dyDescent="0.2">
      <c r="A90" s="1"/>
      <c r="B90" s="1"/>
      <c r="C90" s="11"/>
      <c r="D90" s="1"/>
      <c r="E90" s="1"/>
      <c r="F90" s="12"/>
      <c r="G90" s="12"/>
      <c r="H90" s="113"/>
    </row>
    <row r="91" spans="1:8" ht="14.1" customHeight="1" x14ac:dyDescent="0.2">
      <c r="A91" s="1"/>
      <c r="B91" s="1"/>
      <c r="C91" s="2" t="s">
        <v>174</v>
      </c>
      <c r="D91" s="1"/>
      <c r="E91" s="1"/>
      <c r="F91" s="1"/>
      <c r="G91" s="1"/>
      <c r="H91" s="113"/>
    </row>
    <row r="92" spans="1:8" ht="14.1" customHeight="1" x14ac:dyDescent="0.2">
      <c r="A92" s="1"/>
      <c r="B92" s="1"/>
      <c r="C92" s="2" t="s">
        <v>175</v>
      </c>
      <c r="D92" s="1"/>
      <c r="E92" s="1"/>
      <c r="F92" s="1"/>
      <c r="G92" s="1"/>
      <c r="H92" s="113"/>
    </row>
    <row r="93" spans="1:8" ht="14.1" customHeight="1" x14ac:dyDescent="0.2">
      <c r="A93" s="1"/>
      <c r="B93" s="1"/>
      <c r="C93" s="2" t="s">
        <v>151</v>
      </c>
      <c r="D93" s="1"/>
      <c r="E93" s="1" t="s">
        <v>152</v>
      </c>
      <c r="F93" s="13" t="s">
        <v>154</v>
      </c>
      <c r="G93" s="10">
        <v>0</v>
      </c>
      <c r="H93" s="113"/>
    </row>
    <row r="94" spans="1:8" ht="14.1" customHeight="1" x14ac:dyDescent="0.2">
      <c r="A94" s="1"/>
      <c r="B94" s="1"/>
      <c r="C94" s="11"/>
      <c r="D94" s="1"/>
      <c r="E94" s="1"/>
      <c r="F94" s="12"/>
      <c r="G94" s="12"/>
      <c r="H94" s="113"/>
    </row>
    <row r="95" spans="1:8" ht="24" customHeight="1" x14ac:dyDescent="0.2">
      <c r="A95" s="1"/>
      <c r="B95" s="1"/>
      <c r="C95" s="2" t="s">
        <v>176</v>
      </c>
      <c r="D95" s="1"/>
      <c r="E95" s="1"/>
      <c r="F95" s="12"/>
      <c r="G95" s="12"/>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14.1" customHeight="1" x14ac:dyDescent="0.2">
      <c r="A98" s="1"/>
      <c r="B98" s="4"/>
      <c r="C98" s="4"/>
      <c r="D98" s="2"/>
      <c r="E98" s="1"/>
      <c r="F98" s="4"/>
      <c r="G98" s="8"/>
      <c r="H98" s="113"/>
    </row>
    <row r="99" spans="1:8" ht="18" customHeight="1" x14ac:dyDescent="0.2">
      <c r="A99" s="8"/>
      <c r="B99" s="4"/>
      <c r="C99" s="4" t="s">
        <v>177</v>
      </c>
      <c r="D99" s="4"/>
      <c r="E99" s="8"/>
      <c r="F99" s="6">
        <v>-328.71571559</v>
      </c>
      <c r="G99" s="7">
        <v>-3.2625599999999999E-3</v>
      </c>
      <c r="H99" s="113"/>
    </row>
    <row r="100" spans="1:8" ht="14.1" customHeight="1" x14ac:dyDescent="0.2">
      <c r="A100" s="11"/>
      <c r="B100" s="11"/>
      <c r="C100" s="2" t="s">
        <v>178</v>
      </c>
      <c r="D100" s="12"/>
      <c r="E100" s="12"/>
      <c r="F100" s="9">
        <v>100753.94142141</v>
      </c>
      <c r="G100" s="14">
        <v>1.0000000200000001</v>
      </c>
      <c r="H100" s="113"/>
    </row>
    <row r="101" spans="1:8" ht="14.1" customHeight="1" x14ac:dyDescent="0.2">
      <c r="A101" s="15"/>
      <c r="B101" s="15"/>
      <c r="C101" s="15"/>
      <c r="D101" s="16"/>
      <c r="E101" s="16"/>
      <c r="F101" s="16"/>
      <c r="G101" s="16"/>
    </row>
    <row r="102" spans="1:8" ht="14.1" customHeight="1" x14ac:dyDescent="0.2">
      <c r="A102" s="17"/>
      <c r="B102" s="17"/>
      <c r="C102" s="17"/>
      <c r="D102" s="19"/>
      <c r="E102" s="19"/>
      <c r="F102" s="19"/>
      <c r="G102" s="19"/>
    </row>
    <row r="103" spans="1:8" ht="14.1" customHeight="1" x14ac:dyDescent="0.2">
      <c r="A103" s="17"/>
      <c r="B103" s="208" t="s">
        <v>180</v>
      </c>
      <c r="C103" s="209"/>
      <c r="D103" s="210"/>
      <c r="E103" s="20"/>
      <c r="F103" s="19"/>
      <c r="G103" s="19"/>
    </row>
    <row r="104" spans="1:8" ht="29.1" customHeight="1" x14ac:dyDescent="0.2">
      <c r="A104" s="17"/>
      <c r="B104" s="205" t="s">
        <v>181</v>
      </c>
      <c r="C104" s="206"/>
      <c r="D104" s="2" t="s">
        <v>182</v>
      </c>
      <c r="E104" s="20"/>
      <c r="F104" s="19"/>
      <c r="G104" s="19"/>
    </row>
    <row r="105" spans="1:8" ht="17.100000000000001" customHeight="1" x14ac:dyDescent="0.2">
      <c r="A105" s="17"/>
      <c r="B105" s="205" t="s">
        <v>183</v>
      </c>
      <c r="C105" s="206"/>
      <c r="D105" s="2" t="s">
        <v>182</v>
      </c>
      <c r="E105" s="20"/>
      <c r="F105" s="19"/>
      <c r="G105" s="19"/>
    </row>
    <row r="106" spans="1:8" ht="17.100000000000001" customHeight="1" x14ac:dyDescent="0.2">
      <c r="A106" s="17"/>
      <c r="B106" s="205" t="s">
        <v>184</v>
      </c>
      <c r="C106" s="206"/>
      <c r="D106" s="12" t="s">
        <v>152</v>
      </c>
      <c r="E106" s="20"/>
      <c r="F106" s="19"/>
      <c r="G106" s="19"/>
    </row>
    <row r="107" spans="1:8" ht="25.5" x14ac:dyDescent="0.2">
      <c r="A107" s="21"/>
      <c r="B107" s="22" t="s">
        <v>152</v>
      </c>
      <c r="C107" s="22" t="s">
        <v>185</v>
      </c>
      <c r="D107" s="22" t="s">
        <v>186</v>
      </c>
      <c r="E107" s="21"/>
      <c r="F107" s="21"/>
      <c r="G107" s="21"/>
    </row>
    <row r="108" spans="1:8" ht="18" customHeight="1" x14ac:dyDescent="0.2">
      <c r="A108" s="21"/>
      <c r="B108" s="23" t="s">
        <v>187</v>
      </c>
      <c r="C108" s="22" t="s">
        <v>188</v>
      </c>
      <c r="D108" s="22" t="s">
        <v>189</v>
      </c>
      <c r="E108" s="21"/>
      <c r="F108" s="21"/>
      <c r="G108" s="21"/>
    </row>
    <row r="109" spans="1:8" ht="17.100000000000001" customHeight="1" x14ac:dyDescent="0.2">
      <c r="A109" s="21"/>
      <c r="B109" s="4" t="s">
        <v>190</v>
      </c>
      <c r="C109" s="24">
        <v>139.38579999999999</v>
      </c>
      <c r="D109" s="24">
        <v>149.1234</v>
      </c>
      <c r="E109" s="21"/>
      <c r="F109" s="18"/>
      <c r="G109" s="25"/>
    </row>
    <row r="110" spans="1:8" ht="29.1" customHeight="1" x14ac:dyDescent="0.2">
      <c r="A110" s="21"/>
      <c r="B110" s="4" t="s">
        <v>1036</v>
      </c>
      <c r="C110" s="24">
        <v>39.594200000000001</v>
      </c>
      <c r="D110" s="24">
        <v>42.360199999999999</v>
      </c>
      <c r="E110" s="21"/>
      <c r="F110" s="18"/>
      <c r="G110" s="25"/>
    </row>
    <row r="111" spans="1:8" ht="17.100000000000001" customHeight="1" x14ac:dyDescent="0.2">
      <c r="A111" s="21"/>
      <c r="B111" s="4" t="s">
        <v>191</v>
      </c>
      <c r="C111" s="24">
        <v>127.9499</v>
      </c>
      <c r="D111" s="24">
        <v>136.76939999999999</v>
      </c>
      <c r="E111" s="21"/>
      <c r="F111" s="18"/>
      <c r="G111" s="25"/>
    </row>
    <row r="112" spans="1:8" ht="29.1" customHeight="1" x14ac:dyDescent="0.2">
      <c r="A112" s="21"/>
      <c r="B112" s="4" t="s">
        <v>1037</v>
      </c>
      <c r="C112" s="24">
        <v>37.018599999999999</v>
      </c>
      <c r="D112" s="24">
        <v>39.5702</v>
      </c>
      <c r="E112" s="21"/>
      <c r="F112" s="18"/>
      <c r="G112" s="25"/>
    </row>
    <row r="113" spans="1:7" ht="14.1" customHeight="1" x14ac:dyDescent="0.2">
      <c r="A113" s="21"/>
      <c r="B113" s="21"/>
      <c r="C113" s="21"/>
      <c r="D113" s="21"/>
      <c r="E113" s="21"/>
      <c r="F113" s="21"/>
      <c r="G113" s="21"/>
    </row>
    <row r="114" spans="1:7" ht="17.100000000000001" customHeight="1" x14ac:dyDescent="0.2">
      <c r="A114" s="21"/>
      <c r="B114" s="205" t="s">
        <v>1035</v>
      </c>
      <c r="C114" s="206"/>
      <c r="D114" s="2" t="s">
        <v>182</v>
      </c>
      <c r="E114" s="21"/>
      <c r="F114" s="21"/>
      <c r="G114" s="21"/>
    </row>
    <row r="115" spans="1:7" ht="18" customHeight="1" x14ac:dyDescent="0.2">
      <c r="A115" s="21"/>
      <c r="B115" s="26"/>
      <c r="C115" s="26"/>
      <c r="D115" s="26"/>
      <c r="E115" s="21"/>
      <c r="F115" s="21"/>
      <c r="G115" s="21"/>
    </row>
    <row r="116" spans="1:7" ht="29.1" customHeight="1" x14ac:dyDescent="0.2">
      <c r="A116" s="21"/>
      <c r="B116" s="205" t="s">
        <v>192</v>
      </c>
      <c r="C116" s="206"/>
      <c r="D116" s="2" t="s">
        <v>182</v>
      </c>
      <c r="E116" s="27"/>
      <c r="F116" s="21"/>
      <c r="G116" s="21"/>
    </row>
    <row r="117" spans="1:7" ht="29.1" customHeight="1" x14ac:dyDescent="0.2">
      <c r="A117" s="21"/>
      <c r="B117" s="205" t="s">
        <v>193</v>
      </c>
      <c r="C117" s="206"/>
      <c r="D117" s="2" t="s">
        <v>182</v>
      </c>
      <c r="E117" s="27"/>
      <c r="F117" s="21"/>
      <c r="G117" s="21"/>
    </row>
    <row r="118" spans="1:7" ht="17.100000000000001" customHeight="1" x14ac:dyDescent="0.2">
      <c r="A118" s="21"/>
      <c r="B118" s="205" t="s">
        <v>194</v>
      </c>
      <c r="C118" s="206"/>
      <c r="D118" s="2" t="s">
        <v>182</v>
      </c>
      <c r="E118" s="27"/>
      <c r="F118" s="21"/>
      <c r="G118" s="21"/>
    </row>
    <row r="119" spans="1:7" ht="17.100000000000001" customHeight="1" x14ac:dyDescent="0.2">
      <c r="A119" s="21"/>
      <c r="B119" s="205" t="s">
        <v>195</v>
      </c>
      <c r="C119" s="206"/>
      <c r="D119" s="28">
        <v>0.48090723325181289</v>
      </c>
      <c r="E119" s="21"/>
      <c r="F119" s="18"/>
      <c r="G119" s="25"/>
    </row>
  </sheetData>
  <mergeCells count="13">
    <mergeCell ref="B119:C119"/>
    <mergeCell ref="B105:C105"/>
    <mergeCell ref="B106:C106"/>
    <mergeCell ref="B114:C114"/>
    <mergeCell ref="B116:C116"/>
    <mergeCell ref="B117:C117"/>
    <mergeCell ref="B118:C118"/>
    <mergeCell ref="J2:N2"/>
    <mergeCell ref="B104:C104"/>
    <mergeCell ref="B103:D103"/>
    <mergeCell ref="A1:H1"/>
    <mergeCell ref="A2:H2"/>
    <mergeCell ref="A3:H3"/>
  </mergeCells>
  <hyperlinks>
    <hyperlink ref="I1" location="Index!B20" display="Index" xr:uid="{B8326137-948C-476E-9718-268E1D53B3A0}"/>
  </hyperlink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1.140625" bestFit="1"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743</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26</v>
      </c>
      <c r="C7" s="4" t="s">
        <v>27</v>
      </c>
      <c r="D7" s="4" t="s">
        <v>28</v>
      </c>
      <c r="E7" s="5">
        <v>1379228</v>
      </c>
      <c r="F7" s="6">
        <v>13745.386248000001</v>
      </c>
      <c r="G7" s="7">
        <v>5.8639860000000002E-2</v>
      </c>
      <c r="H7" s="113"/>
    </row>
    <row r="8" spans="1:14" ht="17.100000000000001" customHeight="1" x14ac:dyDescent="0.2">
      <c r="A8" s="3">
        <v>2</v>
      </c>
      <c r="B8" s="4" t="s">
        <v>321</v>
      </c>
      <c r="C8" s="4" t="s">
        <v>322</v>
      </c>
      <c r="D8" s="4" t="s">
        <v>28</v>
      </c>
      <c r="E8" s="5">
        <v>648743</v>
      </c>
      <c r="F8" s="6">
        <v>11088.6397275</v>
      </c>
      <c r="G8" s="7">
        <v>4.730579E-2</v>
      </c>
      <c r="H8" s="113"/>
    </row>
    <row r="9" spans="1:14" ht="17.100000000000001" customHeight="1" x14ac:dyDescent="0.2">
      <c r="A9" s="3">
        <v>3</v>
      </c>
      <c r="B9" s="4" t="s">
        <v>17</v>
      </c>
      <c r="C9" s="4" t="s">
        <v>18</v>
      </c>
      <c r="D9" s="4" t="s">
        <v>19</v>
      </c>
      <c r="E9" s="5">
        <v>402999</v>
      </c>
      <c r="F9" s="6">
        <v>10417.3226505</v>
      </c>
      <c r="G9" s="7">
        <v>4.4441849999999998E-2</v>
      </c>
      <c r="H9" s="113"/>
    </row>
    <row r="10" spans="1:14" ht="17.100000000000001" customHeight="1" x14ac:dyDescent="0.2">
      <c r="A10" s="3">
        <v>4</v>
      </c>
      <c r="B10" s="4" t="s">
        <v>110</v>
      </c>
      <c r="C10" s="4" t="s">
        <v>111</v>
      </c>
      <c r="D10" s="4" t="s">
        <v>53</v>
      </c>
      <c r="E10" s="5">
        <v>2076501</v>
      </c>
      <c r="F10" s="6">
        <v>7944.6928260000004</v>
      </c>
      <c r="G10" s="7">
        <v>3.3893239999999998E-2</v>
      </c>
      <c r="H10" s="113"/>
    </row>
    <row r="11" spans="1:14" ht="17.100000000000001" customHeight="1" x14ac:dyDescent="0.2">
      <c r="A11" s="3">
        <v>5</v>
      </c>
      <c r="B11" s="4" t="s">
        <v>14</v>
      </c>
      <c r="C11" s="4" t="s">
        <v>15</v>
      </c>
      <c r="D11" s="4" t="s">
        <v>16</v>
      </c>
      <c r="E11" s="5">
        <v>2433441</v>
      </c>
      <c r="F11" s="6">
        <v>7571.6516714999998</v>
      </c>
      <c r="G11" s="7">
        <v>3.2301789999999997E-2</v>
      </c>
      <c r="H11" s="113"/>
    </row>
    <row r="12" spans="1:14" ht="17.100000000000001" customHeight="1" x14ac:dyDescent="0.2">
      <c r="A12" s="3">
        <v>6</v>
      </c>
      <c r="B12" s="4" t="s">
        <v>35</v>
      </c>
      <c r="C12" s="4" t="s">
        <v>36</v>
      </c>
      <c r="D12" s="4" t="s">
        <v>34</v>
      </c>
      <c r="E12" s="5">
        <v>189783</v>
      </c>
      <c r="F12" s="6">
        <v>6579.3021525000004</v>
      </c>
      <c r="G12" s="7">
        <v>2.8068280000000001E-2</v>
      </c>
      <c r="H12" s="113"/>
    </row>
    <row r="13" spans="1:14" ht="17.100000000000001" customHeight="1" x14ac:dyDescent="0.2">
      <c r="A13" s="3">
        <v>7</v>
      </c>
      <c r="B13" s="4" t="s">
        <v>323</v>
      </c>
      <c r="C13" s="4" t="s">
        <v>324</v>
      </c>
      <c r="D13" s="4" t="s">
        <v>891</v>
      </c>
      <c r="E13" s="5">
        <v>351069</v>
      </c>
      <c r="F13" s="6">
        <v>5416.6436009999998</v>
      </c>
      <c r="G13" s="7">
        <v>2.3108210000000001E-2</v>
      </c>
      <c r="H13" s="113"/>
    </row>
    <row r="14" spans="1:14" ht="29.1" customHeight="1" x14ac:dyDescent="0.2">
      <c r="A14" s="3">
        <v>8</v>
      </c>
      <c r="B14" s="4" t="s">
        <v>329</v>
      </c>
      <c r="C14" s="4" t="s">
        <v>330</v>
      </c>
      <c r="D14" s="4" t="s">
        <v>225</v>
      </c>
      <c r="E14" s="5">
        <v>421000</v>
      </c>
      <c r="F14" s="6">
        <v>5302.2844999999998</v>
      </c>
      <c r="G14" s="7">
        <v>2.2620330000000001E-2</v>
      </c>
      <c r="H14" s="113"/>
      <c r="J14" s="194" t="s">
        <v>1167</v>
      </c>
    </row>
    <row r="15" spans="1:14" ht="17.100000000000001" customHeight="1" x14ac:dyDescent="0.2">
      <c r="A15" s="3">
        <v>9</v>
      </c>
      <c r="B15" s="4" t="s">
        <v>208</v>
      </c>
      <c r="C15" s="4" t="s">
        <v>209</v>
      </c>
      <c r="D15" s="4" t="s">
        <v>210</v>
      </c>
      <c r="E15" s="5">
        <v>1233335</v>
      </c>
      <c r="F15" s="6">
        <v>5170.1403200000004</v>
      </c>
      <c r="G15" s="7">
        <v>2.2056590000000001E-2</v>
      </c>
      <c r="H15" s="113"/>
    </row>
    <row r="16" spans="1:14" ht="17.100000000000001" customHeight="1" x14ac:dyDescent="0.2">
      <c r="A16" s="3">
        <v>10</v>
      </c>
      <c r="B16" s="4" t="s">
        <v>49</v>
      </c>
      <c r="C16" s="4" t="s">
        <v>50</v>
      </c>
      <c r="D16" s="4" t="s">
        <v>34</v>
      </c>
      <c r="E16" s="5">
        <v>151692</v>
      </c>
      <c r="F16" s="6">
        <v>4929.155694</v>
      </c>
      <c r="G16" s="7">
        <v>2.102851E-2</v>
      </c>
      <c r="H16" s="113"/>
    </row>
    <row r="17" spans="1:10" ht="29.1" customHeight="1" x14ac:dyDescent="0.2">
      <c r="A17" s="3">
        <v>11</v>
      </c>
      <c r="B17" s="4" t="s">
        <v>211</v>
      </c>
      <c r="C17" s="4" t="s">
        <v>212</v>
      </c>
      <c r="D17" s="4" t="s">
        <v>53</v>
      </c>
      <c r="E17" s="5">
        <v>388492</v>
      </c>
      <c r="F17" s="6">
        <v>4894.2222160000001</v>
      </c>
      <c r="G17" s="7">
        <v>2.0879479999999999E-2</v>
      </c>
      <c r="H17" s="113"/>
    </row>
    <row r="18" spans="1:10" ht="17.100000000000001" customHeight="1" x14ac:dyDescent="0.2">
      <c r="A18" s="3">
        <v>12</v>
      </c>
      <c r="B18" s="4" t="s">
        <v>230</v>
      </c>
      <c r="C18" s="4" t="s">
        <v>231</v>
      </c>
      <c r="D18" s="4" t="s">
        <v>107</v>
      </c>
      <c r="E18" s="5">
        <v>60373</v>
      </c>
      <c r="F18" s="6">
        <v>4661.0069055000004</v>
      </c>
      <c r="G18" s="7">
        <v>1.9884550000000001E-2</v>
      </c>
      <c r="H18" s="113"/>
    </row>
    <row r="19" spans="1:10" ht="17.100000000000001" customHeight="1" x14ac:dyDescent="0.2">
      <c r="A19" s="3">
        <v>13</v>
      </c>
      <c r="B19" s="4" t="s">
        <v>348</v>
      </c>
      <c r="C19" s="4" t="s">
        <v>349</v>
      </c>
      <c r="D19" s="4" t="s">
        <v>350</v>
      </c>
      <c r="E19" s="5">
        <v>1000200</v>
      </c>
      <c r="F19" s="6">
        <v>4621.9242000000004</v>
      </c>
      <c r="G19" s="7">
        <v>1.971782E-2</v>
      </c>
      <c r="H19" s="113"/>
    </row>
    <row r="20" spans="1:10" ht="17.100000000000001" customHeight="1" x14ac:dyDescent="0.2">
      <c r="A20" s="3">
        <v>14</v>
      </c>
      <c r="B20" s="4" t="s">
        <v>62</v>
      </c>
      <c r="C20" s="4" t="s">
        <v>63</v>
      </c>
      <c r="D20" s="4" t="s">
        <v>28</v>
      </c>
      <c r="E20" s="5">
        <v>717380</v>
      </c>
      <c r="F20" s="6">
        <v>4605.9382900000001</v>
      </c>
      <c r="G20" s="7">
        <v>1.964962E-2</v>
      </c>
      <c r="H20" s="113"/>
    </row>
    <row r="21" spans="1:10" ht="17.100000000000001" customHeight="1" x14ac:dyDescent="0.2">
      <c r="A21" s="3">
        <v>15</v>
      </c>
      <c r="B21" s="4" t="s">
        <v>386</v>
      </c>
      <c r="C21" s="4" t="s">
        <v>387</v>
      </c>
      <c r="D21" s="4" t="s">
        <v>53</v>
      </c>
      <c r="E21" s="5">
        <v>264123</v>
      </c>
      <c r="F21" s="6">
        <v>4452.5855339999998</v>
      </c>
      <c r="G21" s="7">
        <v>1.8995390000000001E-2</v>
      </c>
      <c r="H21" s="113"/>
    </row>
    <row r="22" spans="1:10" ht="17.100000000000001" customHeight="1" x14ac:dyDescent="0.2">
      <c r="A22" s="3">
        <v>16</v>
      </c>
      <c r="B22" s="4" t="s">
        <v>71</v>
      </c>
      <c r="C22" s="4" t="s">
        <v>72</v>
      </c>
      <c r="D22" s="4" t="s">
        <v>73</v>
      </c>
      <c r="E22" s="5">
        <v>489157</v>
      </c>
      <c r="F22" s="6">
        <v>4386.5153975000003</v>
      </c>
      <c r="G22" s="7">
        <v>1.8713529999999999E-2</v>
      </c>
      <c r="H22" s="113"/>
    </row>
    <row r="23" spans="1:10" ht="17.100000000000001" customHeight="1" x14ac:dyDescent="0.2">
      <c r="A23" s="3">
        <v>17</v>
      </c>
      <c r="B23" s="4" t="s">
        <v>203</v>
      </c>
      <c r="C23" s="4" t="s">
        <v>204</v>
      </c>
      <c r="D23" s="4" t="s">
        <v>53</v>
      </c>
      <c r="E23" s="5">
        <v>213050</v>
      </c>
      <c r="F23" s="6">
        <v>4374.5556500000002</v>
      </c>
      <c r="G23" s="7">
        <v>1.866251E-2</v>
      </c>
      <c r="H23" s="113"/>
    </row>
    <row r="24" spans="1:10" ht="29.1" customHeight="1" x14ac:dyDescent="0.2">
      <c r="A24" s="3">
        <v>18</v>
      </c>
      <c r="B24" s="4" t="s">
        <v>508</v>
      </c>
      <c r="C24" s="4" t="s">
        <v>509</v>
      </c>
      <c r="D24" s="4" t="s">
        <v>225</v>
      </c>
      <c r="E24" s="5">
        <v>592187</v>
      </c>
      <c r="F24" s="6">
        <v>4280.327636</v>
      </c>
      <c r="G24" s="7">
        <v>1.8260510000000001E-2</v>
      </c>
      <c r="H24" s="113"/>
      <c r="J24" s="194" t="s">
        <v>1168</v>
      </c>
    </row>
    <row r="25" spans="1:10" ht="17.100000000000001" customHeight="1" x14ac:dyDescent="0.2">
      <c r="A25" s="3">
        <v>19</v>
      </c>
      <c r="B25" s="4" t="s">
        <v>57</v>
      </c>
      <c r="C25" s="4" t="s">
        <v>58</v>
      </c>
      <c r="D25" s="4" t="s">
        <v>34</v>
      </c>
      <c r="E25" s="5">
        <v>73900</v>
      </c>
      <c r="F25" s="6">
        <v>4053.3041499999999</v>
      </c>
      <c r="G25" s="7">
        <v>1.7291999999999998E-2</v>
      </c>
      <c r="H25" s="113"/>
    </row>
    <row r="26" spans="1:10" ht="17.100000000000001" customHeight="1" x14ac:dyDescent="0.2">
      <c r="A26" s="3">
        <v>20</v>
      </c>
      <c r="B26" s="4" t="s">
        <v>744</v>
      </c>
      <c r="C26" s="4" t="s">
        <v>745</v>
      </c>
      <c r="D26" s="4" t="s">
        <v>746</v>
      </c>
      <c r="E26" s="5">
        <v>10845</v>
      </c>
      <c r="F26" s="6">
        <v>4046.1773174999998</v>
      </c>
      <c r="G26" s="7">
        <v>1.726159E-2</v>
      </c>
      <c r="H26" s="113"/>
    </row>
    <row r="27" spans="1:10" ht="29.1" customHeight="1" x14ac:dyDescent="0.2">
      <c r="A27" s="3">
        <v>21</v>
      </c>
      <c r="B27" s="4" t="s">
        <v>415</v>
      </c>
      <c r="C27" s="4" t="s">
        <v>416</v>
      </c>
      <c r="D27" s="4" t="s">
        <v>225</v>
      </c>
      <c r="E27" s="5">
        <v>247344</v>
      </c>
      <c r="F27" s="6">
        <v>4018.4742959999999</v>
      </c>
      <c r="G27" s="7">
        <v>1.7143410000000001E-2</v>
      </c>
      <c r="H27" s="113"/>
    </row>
    <row r="28" spans="1:10" ht="29.1" customHeight="1" x14ac:dyDescent="0.2">
      <c r="A28" s="3">
        <v>22</v>
      </c>
      <c r="B28" s="4" t="s">
        <v>85</v>
      </c>
      <c r="C28" s="4" t="s">
        <v>86</v>
      </c>
      <c r="D28" s="4" t="s">
        <v>25</v>
      </c>
      <c r="E28" s="5">
        <v>278332</v>
      </c>
      <c r="F28" s="6">
        <v>4010.6249539999999</v>
      </c>
      <c r="G28" s="7">
        <v>1.7109920000000001E-2</v>
      </c>
      <c r="H28" s="113"/>
    </row>
    <row r="29" spans="1:10" ht="17.100000000000001" customHeight="1" x14ac:dyDescent="0.2">
      <c r="A29" s="3">
        <v>23</v>
      </c>
      <c r="B29" s="4" t="s">
        <v>263</v>
      </c>
      <c r="C29" s="4" t="s">
        <v>264</v>
      </c>
      <c r="D29" s="4" t="s">
        <v>56</v>
      </c>
      <c r="E29" s="5">
        <v>314277</v>
      </c>
      <c r="F29" s="6">
        <v>3998.2319940000002</v>
      </c>
      <c r="G29" s="7">
        <v>1.7057050000000001E-2</v>
      </c>
      <c r="H29" s="113"/>
    </row>
    <row r="30" spans="1:10" ht="17.100000000000001" customHeight="1" x14ac:dyDescent="0.2">
      <c r="A30" s="3">
        <v>24</v>
      </c>
      <c r="B30" s="4" t="s">
        <v>355</v>
      </c>
      <c r="C30" s="4" t="s">
        <v>356</v>
      </c>
      <c r="D30" s="4" t="s">
        <v>350</v>
      </c>
      <c r="E30" s="5">
        <v>147869</v>
      </c>
      <c r="F30" s="6">
        <v>3939.1562254999999</v>
      </c>
      <c r="G30" s="7">
        <v>1.6805029999999999E-2</v>
      </c>
      <c r="H30" s="113"/>
    </row>
    <row r="31" spans="1:10" ht="17.100000000000001" customHeight="1" x14ac:dyDescent="0.2">
      <c r="A31" s="3">
        <v>25</v>
      </c>
      <c r="B31" s="4" t="s">
        <v>51</v>
      </c>
      <c r="C31" s="4" t="s">
        <v>52</v>
      </c>
      <c r="D31" s="4" t="s">
        <v>53</v>
      </c>
      <c r="E31" s="5">
        <v>952516</v>
      </c>
      <c r="F31" s="6">
        <v>3932.4623059999999</v>
      </c>
      <c r="G31" s="7">
        <v>1.6776470000000002E-2</v>
      </c>
      <c r="H31" s="113"/>
    </row>
    <row r="32" spans="1:10" ht="17.100000000000001" customHeight="1" x14ac:dyDescent="0.2">
      <c r="A32" s="3">
        <v>26</v>
      </c>
      <c r="B32" s="4" t="s">
        <v>331</v>
      </c>
      <c r="C32" s="4" t="s">
        <v>332</v>
      </c>
      <c r="D32" s="4" t="s">
        <v>891</v>
      </c>
      <c r="E32" s="5">
        <v>100495</v>
      </c>
      <c r="F32" s="6">
        <v>3812.17733</v>
      </c>
      <c r="G32" s="7">
        <v>1.6263320000000001E-2</v>
      </c>
      <c r="H32" s="113"/>
    </row>
    <row r="33" spans="1:8" ht="29.1" customHeight="1" x14ac:dyDescent="0.2">
      <c r="A33" s="3">
        <v>27</v>
      </c>
      <c r="B33" s="4" t="s">
        <v>237</v>
      </c>
      <c r="C33" s="4" t="s">
        <v>238</v>
      </c>
      <c r="D33" s="4" t="s">
        <v>107</v>
      </c>
      <c r="E33" s="5">
        <v>21650</v>
      </c>
      <c r="F33" s="6">
        <v>3465.4938499999998</v>
      </c>
      <c r="G33" s="7">
        <v>1.478431E-2</v>
      </c>
      <c r="H33" s="113"/>
    </row>
    <row r="34" spans="1:8" ht="17.100000000000001" customHeight="1" x14ac:dyDescent="0.2">
      <c r="A34" s="3">
        <v>28</v>
      </c>
      <c r="B34" s="4" t="s">
        <v>199</v>
      </c>
      <c r="C34" s="4" t="s">
        <v>200</v>
      </c>
      <c r="D34" s="4" t="s">
        <v>107</v>
      </c>
      <c r="E34" s="5">
        <v>97327</v>
      </c>
      <c r="F34" s="6">
        <v>3446.9816955000001</v>
      </c>
      <c r="G34" s="7">
        <v>1.4705340000000001E-2</v>
      </c>
      <c r="H34" s="113"/>
    </row>
    <row r="35" spans="1:8" ht="17.100000000000001" customHeight="1" x14ac:dyDescent="0.2">
      <c r="A35" s="3">
        <v>29</v>
      </c>
      <c r="B35" s="4" t="s">
        <v>275</v>
      </c>
      <c r="C35" s="4" t="s">
        <v>276</v>
      </c>
      <c r="D35" s="4" t="s">
        <v>53</v>
      </c>
      <c r="E35" s="5">
        <v>220779</v>
      </c>
      <c r="F35" s="6">
        <v>3382.8862275000001</v>
      </c>
      <c r="G35" s="7">
        <v>1.4431899999999999E-2</v>
      </c>
      <c r="H35" s="113"/>
    </row>
    <row r="36" spans="1:8" ht="17.100000000000001" customHeight="1" x14ac:dyDescent="0.2">
      <c r="A36" s="3">
        <v>30</v>
      </c>
      <c r="B36" s="4" t="s">
        <v>429</v>
      </c>
      <c r="C36" s="4" t="s">
        <v>430</v>
      </c>
      <c r="D36" s="4" t="s">
        <v>892</v>
      </c>
      <c r="E36" s="5">
        <v>253698</v>
      </c>
      <c r="F36" s="6">
        <v>3313.5495780000001</v>
      </c>
      <c r="G36" s="7">
        <v>1.41361E-2</v>
      </c>
      <c r="H36" s="113"/>
    </row>
    <row r="37" spans="1:8" ht="17.100000000000001" customHeight="1" x14ac:dyDescent="0.2">
      <c r="A37" s="3">
        <v>31</v>
      </c>
      <c r="B37" s="4" t="s">
        <v>239</v>
      </c>
      <c r="C37" s="4" t="s">
        <v>240</v>
      </c>
      <c r="D37" s="4" t="s">
        <v>891</v>
      </c>
      <c r="E37" s="5">
        <v>51509</v>
      </c>
      <c r="F37" s="6">
        <v>3231.8806960000002</v>
      </c>
      <c r="G37" s="7">
        <v>1.378768E-2</v>
      </c>
      <c r="H37" s="113"/>
    </row>
    <row r="38" spans="1:8" ht="17.100000000000001" customHeight="1" x14ac:dyDescent="0.2">
      <c r="A38" s="3">
        <v>32</v>
      </c>
      <c r="B38" s="4" t="s">
        <v>375</v>
      </c>
      <c r="C38" s="4" t="s">
        <v>376</v>
      </c>
      <c r="D38" s="4" t="s">
        <v>248</v>
      </c>
      <c r="E38" s="5">
        <v>31300</v>
      </c>
      <c r="F38" s="6">
        <v>3224.63555</v>
      </c>
      <c r="G38" s="7">
        <v>1.375678E-2</v>
      </c>
      <c r="H38" s="113"/>
    </row>
    <row r="39" spans="1:8" ht="17.100000000000001" customHeight="1" x14ac:dyDescent="0.2">
      <c r="A39" s="3">
        <v>33</v>
      </c>
      <c r="B39" s="4" t="s">
        <v>108</v>
      </c>
      <c r="C39" s="4" t="s">
        <v>109</v>
      </c>
      <c r="D39" s="4" t="s">
        <v>107</v>
      </c>
      <c r="E39" s="5">
        <v>470129</v>
      </c>
      <c r="F39" s="6">
        <v>3029.981405</v>
      </c>
      <c r="G39" s="7">
        <v>1.292635E-2</v>
      </c>
      <c r="H39" s="113"/>
    </row>
    <row r="40" spans="1:8" ht="17.100000000000001" customHeight="1" x14ac:dyDescent="0.2">
      <c r="A40" s="3">
        <v>34</v>
      </c>
      <c r="B40" s="4" t="s">
        <v>705</v>
      </c>
      <c r="C40" s="4" t="s">
        <v>706</v>
      </c>
      <c r="D40" s="4" t="s">
        <v>56</v>
      </c>
      <c r="E40" s="5">
        <v>312000</v>
      </c>
      <c r="F40" s="6">
        <v>2954.64</v>
      </c>
      <c r="G40" s="7">
        <v>1.260493E-2</v>
      </c>
      <c r="H40" s="113"/>
    </row>
    <row r="41" spans="1:8" ht="17.100000000000001" customHeight="1" x14ac:dyDescent="0.2">
      <c r="A41" s="3">
        <v>35</v>
      </c>
      <c r="B41" s="4" t="s">
        <v>747</v>
      </c>
      <c r="C41" s="4" t="s">
        <v>748</v>
      </c>
      <c r="D41" s="4" t="s">
        <v>56</v>
      </c>
      <c r="E41" s="5">
        <v>90000</v>
      </c>
      <c r="F41" s="6">
        <v>2821.86</v>
      </c>
      <c r="G41" s="7">
        <v>1.2038470000000001E-2</v>
      </c>
      <c r="H41" s="113"/>
    </row>
    <row r="42" spans="1:8" ht="17.100000000000001" customHeight="1" x14ac:dyDescent="0.2">
      <c r="A42" s="3">
        <v>36</v>
      </c>
      <c r="B42" s="4" t="s">
        <v>243</v>
      </c>
      <c r="C42" s="4" t="s">
        <v>244</v>
      </c>
      <c r="D42" s="4" t="s">
        <v>245</v>
      </c>
      <c r="E42" s="5">
        <v>483688</v>
      </c>
      <c r="F42" s="6">
        <v>2733.0790440000001</v>
      </c>
      <c r="G42" s="7">
        <v>1.165972E-2</v>
      </c>
      <c r="H42" s="113"/>
    </row>
    <row r="43" spans="1:8" ht="29.1" customHeight="1" x14ac:dyDescent="0.2">
      <c r="A43" s="3">
        <v>37</v>
      </c>
      <c r="B43" s="4" t="s">
        <v>29</v>
      </c>
      <c r="C43" s="4" t="s">
        <v>30</v>
      </c>
      <c r="D43" s="4" t="s">
        <v>31</v>
      </c>
      <c r="E43" s="5">
        <v>1468484</v>
      </c>
      <c r="F43" s="6">
        <v>2704.9475280000001</v>
      </c>
      <c r="G43" s="7">
        <v>1.153971E-2</v>
      </c>
      <c r="H43" s="113"/>
    </row>
    <row r="44" spans="1:8" ht="17.100000000000001" customHeight="1" x14ac:dyDescent="0.2">
      <c r="A44" s="3">
        <v>38</v>
      </c>
      <c r="B44" s="4" t="s">
        <v>47</v>
      </c>
      <c r="C44" s="4" t="s">
        <v>48</v>
      </c>
      <c r="D44" s="4" t="s">
        <v>34</v>
      </c>
      <c r="E44" s="5">
        <v>114387</v>
      </c>
      <c r="F44" s="6">
        <v>2664.187617</v>
      </c>
      <c r="G44" s="7">
        <v>1.136582E-2</v>
      </c>
      <c r="H44" s="113"/>
    </row>
    <row r="45" spans="1:8" ht="17.100000000000001" customHeight="1" x14ac:dyDescent="0.2">
      <c r="A45" s="3">
        <v>39</v>
      </c>
      <c r="B45" s="4" t="s">
        <v>265</v>
      </c>
      <c r="C45" s="4" t="s">
        <v>266</v>
      </c>
      <c r="D45" s="4" t="s">
        <v>267</v>
      </c>
      <c r="E45" s="5">
        <v>97518</v>
      </c>
      <c r="F45" s="6">
        <v>2585.5922519999999</v>
      </c>
      <c r="G45" s="7">
        <v>1.103052E-2</v>
      </c>
      <c r="H45" s="113"/>
    </row>
    <row r="46" spans="1:8" ht="17.100000000000001" customHeight="1" x14ac:dyDescent="0.2">
      <c r="A46" s="3">
        <v>40</v>
      </c>
      <c r="B46" s="4" t="s">
        <v>561</v>
      </c>
      <c r="C46" s="4" t="s">
        <v>562</v>
      </c>
      <c r="D46" s="4" t="s">
        <v>248</v>
      </c>
      <c r="E46" s="5">
        <v>36306</v>
      </c>
      <c r="F46" s="6">
        <v>2467.809585</v>
      </c>
      <c r="G46" s="7">
        <v>1.0528040000000001E-2</v>
      </c>
      <c r="H46" s="113"/>
    </row>
    <row r="47" spans="1:8" ht="29.1" customHeight="1" x14ac:dyDescent="0.2">
      <c r="A47" s="3">
        <v>41</v>
      </c>
      <c r="B47" s="4" t="s">
        <v>220</v>
      </c>
      <c r="C47" s="4" t="s">
        <v>221</v>
      </c>
      <c r="D47" s="4" t="s">
        <v>222</v>
      </c>
      <c r="E47" s="5">
        <v>63195</v>
      </c>
      <c r="F47" s="6">
        <v>2435.0297399999999</v>
      </c>
      <c r="G47" s="7">
        <v>1.03882E-2</v>
      </c>
      <c r="H47" s="113"/>
    </row>
    <row r="48" spans="1:8" ht="17.100000000000001" customHeight="1" x14ac:dyDescent="0.2">
      <c r="A48" s="3">
        <v>42</v>
      </c>
      <c r="B48" s="4" t="s">
        <v>20</v>
      </c>
      <c r="C48" s="4" t="s">
        <v>21</v>
      </c>
      <c r="D48" s="4" t="s">
        <v>22</v>
      </c>
      <c r="E48" s="5">
        <v>234818</v>
      </c>
      <c r="F48" s="6">
        <v>2423.7913960000001</v>
      </c>
      <c r="G48" s="7">
        <v>1.034025E-2</v>
      </c>
      <c r="H48" s="113"/>
    </row>
    <row r="49" spans="1:8" ht="17.100000000000001" customHeight="1" x14ac:dyDescent="0.2">
      <c r="A49" s="3">
        <v>43</v>
      </c>
      <c r="B49" s="4" t="s">
        <v>258</v>
      </c>
      <c r="C49" s="4" t="s">
        <v>259</v>
      </c>
      <c r="D49" s="4" t="s">
        <v>207</v>
      </c>
      <c r="E49" s="5">
        <v>45677</v>
      </c>
      <c r="F49" s="6">
        <v>2347.8663154999999</v>
      </c>
      <c r="G49" s="7">
        <v>1.001635E-2</v>
      </c>
      <c r="H49" s="113"/>
    </row>
    <row r="50" spans="1:8" ht="17.100000000000001" customHeight="1" x14ac:dyDescent="0.2">
      <c r="A50" s="3">
        <v>44</v>
      </c>
      <c r="B50" s="4" t="s">
        <v>516</v>
      </c>
      <c r="C50" s="4" t="s">
        <v>517</v>
      </c>
      <c r="D50" s="4" t="s">
        <v>267</v>
      </c>
      <c r="E50" s="5">
        <v>39927</v>
      </c>
      <c r="F50" s="6">
        <v>2283.7245825</v>
      </c>
      <c r="G50" s="7">
        <v>9.7427099999999999E-3</v>
      </c>
      <c r="H50" s="113"/>
    </row>
    <row r="51" spans="1:8" ht="17.100000000000001" customHeight="1" x14ac:dyDescent="0.2">
      <c r="A51" s="3">
        <v>45</v>
      </c>
      <c r="B51" s="4" t="s">
        <v>260</v>
      </c>
      <c r="C51" s="4" t="s">
        <v>261</v>
      </c>
      <c r="D51" s="4" t="s">
        <v>262</v>
      </c>
      <c r="E51" s="5">
        <v>199432</v>
      </c>
      <c r="F51" s="6">
        <v>2270.8324680000001</v>
      </c>
      <c r="G51" s="7">
        <v>9.6877100000000004E-3</v>
      </c>
      <c r="H51" s="113"/>
    </row>
    <row r="52" spans="1:8" ht="17.100000000000001" customHeight="1" x14ac:dyDescent="0.2">
      <c r="A52" s="3">
        <v>46</v>
      </c>
      <c r="B52" s="4" t="s">
        <v>289</v>
      </c>
      <c r="C52" s="4" t="s">
        <v>290</v>
      </c>
      <c r="D52" s="4" t="s">
        <v>56</v>
      </c>
      <c r="E52" s="5">
        <v>170074</v>
      </c>
      <c r="F52" s="6">
        <v>2213.8532580000001</v>
      </c>
      <c r="G52" s="7">
        <v>9.4446300000000007E-3</v>
      </c>
      <c r="H52" s="113"/>
    </row>
    <row r="53" spans="1:8" ht="17.100000000000001" customHeight="1" x14ac:dyDescent="0.2">
      <c r="A53" s="3">
        <v>47</v>
      </c>
      <c r="B53" s="4" t="s">
        <v>105</v>
      </c>
      <c r="C53" s="4" t="s">
        <v>106</v>
      </c>
      <c r="D53" s="4" t="s">
        <v>107</v>
      </c>
      <c r="E53" s="5">
        <v>68171</v>
      </c>
      <c r="F53" s="6">
        <v>2183.5171300000002</v>
      </c>
      <c r="G53" s="7">
        <v>9.3152100000000009E-3</v>
      </c>
      <c r="H53" s="113"/>
    </row>
    <row r="54" spans="1:8" ht="29.1" customHeight="1" x14ac:dyDescent="0.2">
      <c r="A54" s="3">
        <v>48</v>
      </c>
      <c r="B54" s="4" t="s">
        <v>518</v>
      </c>
      <c r="C54" s="4" t="s">
        <v>519</v>
      </c>
      <c r="D54" s="4" t="s">
        <v>222</v>
      </c>
      <c r="E54" s="5">
        <v>142944</v>
      </c>
      <c r="F54" s="6">
        <v>2115.6426719999999</v>
      </c>
      <c r="G54" s="7">
        <v>9.0256499999999996E-3</v>
      </c>
      <c r="H54" s="113"/>
    </row>
    <row r="55" spans="1:8" ht="17.100000000000001" customHeight="1" x14ac:dyDescent="0.2">
      <c r="A55" s="3">
        <v>49</v>
      </c>
      <c r="B55" s="4" t="s">
        <v>249</v>
      </c>
      <c r="C55" s="4" t="s">
        <v>250</v>
      </c>
      <c r="D55" s="4" t="s">
        <v>245</v>
      </c>
      <c r="E55" s="5">
        <v>292443</v>
      </c>
      <c r="F55" s="6">
        <v>2036.7192735000001</v>
      </c>
      <c r="G55" s="7">
        <v>8.6889500000000008E-3</v>
      </c>
      <c r="H55" s="113"/>
    </row>
    <row r="56" spans="1:8" ht="29.1" customHeight="1" x14ac:dyDescent="0.2">
      <c r="A56" s="3">
        <v>50</v>
      </c>
      <c r="B56" s="4" t="s">
        <v>287</v>
      </c>
      <c r="C56" s="4" t="s">
        <v>288</v>
      </c>
      <c r="D56" s="4" t="s">
        <v>215</v>
      </c>
      <c r="E56" s="5">
        <v>51220</v>
      </c>
      <c r="F56" s="6">
        <v>1800.8439800000001</v>
      </c>
      <c r="G56" s="7">
        <v>7.68267E-3</v>
      </c>
      <c r="H56" s="113"/>
    </row>
    <row r="57" spans="1:8" ht="17.100000000000001" customHeight="1" x14ac:dyDescent="0.2">
      <c r="A57" s="3">
        <v>51</v>
      </c>
      <c r="B57" s="4" t="s">
        <v>379</v>
      </c>
      <c r="C57" s="4" t="s">
        <v>380</v>
      </c>
      <c r="D57" s="4" t="s">
        <v>46</v>
      </c>
      <c r="E57" s="5">
        <v>130496</v>
      </c>
      <c r="F57" s="6">
        <v>1793.537024</v>
      </c>
      <c r="G57" s="7">
        <v>7.6515000000000003E-3</v>
      </c>
      <c r="H57" s="113"/>
    </row>
    <row r="58" spans="1:8" ht="29.1" customHeight="1" x14ac:dyDescent="0.2">
      <c r="A58" s="3">
        <v>52</v>
      </c>
      <c r="B58" s="4" t="s">
        <v>541</v>
      </c>
      <c r="C58" s="4" t="s">
        <v>542</v>
      </c>
      <c r="D58" s="4" t="s">
        <v>543</v>
      </c>
      <c r="E58" s="5">
        <v>376621</v>
      </c>
      <c r="F58" s="6">
        <v>1650.5415324999999</v>
      </c>
      <c r="G58" s="7">
        <v>7.0414600000000003E-3</v>
      </c>
      <c r="H58" s="113"/>
    </row>
    <row r="59" spans="1:8" ht="17.100000000000001" customHeight="1" x14ac:dyDescent="0.2">
      <c r="A59" s="3">
        <v>53</v>
      </c>
      <c r="B59" s="4" t="s">
        <v>423</v>
      </c>
      <c r="C59" s="4" t="s">
        <v>424</v>
      </c>
      <c r="D59" s="4" t="s">
        <v>53</v>
      </c>
      <c r="E59" s="5">
        <v>89694</v>
      </c>
      <c r="F59" s="6">
        <v>1432.0095570000001</v>
      </c>
      <c r="G59" s="7">
        <v>6.1091699999999997E-3</v>
      </c>
      <c r="H59" s="113"/>
    </row>
    <row r="60" spans="1:8" ht="17.100000000000001" customHeight="1" x14ac:dyDescent="0.2">
      <c r="A60" s="3">
        <v>54</v>
      </c>
      <c r="B60" s="4" t="s">
        <v>407</v>
      </c>
      <c r="C60" s="4" t="s">
        <v>408</v>
      </c>
      <c r="D60" s="4" t="s">
        <v>257</v>
      </c>
      <c r="E60" s="5">
        <v>83000</v>
      </c>
      <c r="F60" s="6">
        <v>1377.0115000000001</v>
      </c>
      <c r="G60" s="7">
        <v>5.8745400000000001E-3</v>
      </c>
      <c r="H60" s="113"/>
    </row>
    <row r="61" spans="1:8" ht="17.100000000000001" customHeight="1" x14ac:dyDescent="0.2">
      <c r="A61" s="3">
        <v>55</v>
      </c>
      <c r="B61" s="4" t="s">
        <v>83</v>
      </c>
      <c r="C61" s="4" t="s">
        <v>84</v>
      </c>
      <c r="D61" s="4" t="s">
        <v>34</v>
      </c>
      <c r="E61" s="5">
        <v>85238</v>
      </c>
      <c r="F61" s="6">
        <v>1309.937584</v>
      </c>
      <c r="G61" s="7">
        <v>5.5883900000000004E-3</v>
      </c>
      <c r="H61" s="113"/>
    </row>
    <row r="62" spans="1:8" ht="17.100000000000001" customHeight="1" x14ac:dyDescent="0.2">
      <c r="A62" s="3">
        <v>56</v>
      </c>
      <c r="B62" s="4" t="s">
        <v>285</v>
      </c>
      <c r="C62" s="4" t="s">
        <v>286</v>
      </c>
      <c r="D62" s="4" t="s">
        <v>28</v>
      </c>
      <c r="E62" s="5">
        <v>307561</v>
      </c>
      <c r="F62" s="6">
        <v>1294.5242490000001</v>
      </c>
      <c r="G62" s="7">
        <v>5.5226299999999997E-3</v>
      </c>
      <c r="H62" s="113"/>
    </row>
    <row r="63" spans="1:8" ht="17.100000000000001" customHeight="1" x14ac:dyDescent="0.2">
      <c r="A63" s="3">
        <v>57</v>
      </c>
      <c r="B63" s="4" t="s">
        <v>123</v>
      </c>
      <c r="C63" s="4" t="s">
        <v>124</v>
      </c>
      <c r="D63" s="4" t="s">
        <v>34</v>
      </c>
      <c r="E63" s="5">
        <v>66435</v>
      </c>
      <c r="F63" s="6">
        <v>1267.2808425000001</v>
      </c>
      <c r="G63" s="7">
        <v>5.4064100000000004E-3</v>
      </c>
      <c r="H63" s="113"/>
    </row>
    <row r="64" spans="1:8" ht="17.100000000000001" customHeight="1" x14ac:dyDescent="0.2">
      <c r="A64" s="3">
        <v>58</v>
      </c>
      <c r="B64" s="4" t="s">
        <v>749</v>
      </c>
      <c r="C64" s="4" t="s">
        <v>750</v>
      </c>
      <c r="D64" s="4" t="s">
        <v>210</v>
      </c>
      <c r="E64" s="5">
        <v>74997</v>
      </c>
      <c r="F64" s="6">
        <v>1258.5621555</v>
      </c>
      <c r="G64" s="7">
        <v>5.3692100000000001E-3</v>
      </c>
      <c r="H64" s="113"/>
    </row>
    <row r="65" spans="1:8" ht="17.100000000000001" customHeight="1" x14ac:dyDescent="0.2">
      <c r="A65" s="3">
        <v>59</v>
      </c>
      <c r="B65" s="4" t="s">
        <v>305</v>
      </c>
      <c r="C65" s="4" t="s">
        <v>306</v>
      </c>
      <c r="D65" s="4" t="s">
        <v>28</v>
      </c>
      <c r="E65" s="5">
        <v>1079009</v>
      </c>
      <c r="F65" s="6">
        <v>1214.9641340000001</v>
      </c>
      <c r="G65" s="7">
        <v>5.1832199999999997E-3</v>
      </c>
      <c r="H65" s="113"/>
    </row>
    <row r="66" spans="1:8" ht="29.1" customHeight="1" x14ac:dyDescent="0.2">
      <c r="A66" s="3">
        <v>60</v>
      </c>
      <c r="B66" s="4" t="s">
        <v>146</v>
      </c>
      <c r="C66" s="4" t="s">
        <v>147</v>
      </c>
      <c r="D66" s="4" t="s">
        <v>53</v>
      </c>
      <c r="E66" s="5">
        <v>1106220</v>
      </c>
      <c r="F66" s="6">
        <v>1137.19416</v>
      </c>
      <c r="G66" s="7">
        <v>4.8514400000000003E-3</v>
      </c>
      <c r="H66" s="113"/>
    </row>
    <row r="67" spans="1:8" ht="17.100000000000001" customHeight="1" x14ac:dyDescent="0.2">
      <c r="A67" s="3">
        <v>61</v>
      </c>
      <c r="B67" s="4" t="s">
        <v>11</v>
      </c>
      <c r="C67" s="4" t="s">
        <v>12</v>
      </c>
      <c r="D67" s="4" t="s">
        <v>13</v>
      </c>
      <c r="E67" s="5">
        <v>30000</v>
      </c>
      <c r="F67" s="6">
        <v>1057.8</v>
      </c>
      <c r="G67" s="7">
        <v>4.5127300000000004E-3</v>
      </c>
      <c r="H67" s="113"/>
    </row>
    <row r="68" spans="1:8" ht="17.100000000000001" customHeight="1" x14ac:dyDescent="0.2">
      <c r="A68" s="3">
        <v>62</v>
      </c>
      <c r="B68" s="4" t="s">
        <v>567</v>
      </c>
      <c r="C68" s="4" t="s">
        <v>568</v>
      </c>
      <c r="D68" s="4" t="s">
        <v>34</v>
      </c>
      <c r="E68" s="5">
        <v>356519</v>
      </c>
      <c r="F68" s="6">
        <v>752.25509</v>
      </c>
      <c r="G68" s="7">
        <v>3.20923E-3</v>
      </c>
      <c r="H68" s="113"/>
    </row>
    <row r="69" spans="1:8" ht="17.100000000000001" customHeight="1" x14ac:dyDescent="0.2">
      <c r="A69" s="3">
        <v>63</v>
      </c>
      <c r="B69" s="4" t="s">
        <v>316</v>
      </c>
      <c r="C69" s="4" t="s">
        <v>317</v>
      </c>
      <c r="D69" s="4" t="s">
        <v>56</v>
      </c>
      <c r="E69" s="5">
        <v>31599</v>
      </c>
      <c r="F69" s="6">
        <v>243.92848050000001</v>
      </c>
      <c r="G69" s="7">
        <v>1.04064E-3</v>
      </c>
      <c r="H69" s="113"/>
    </row>
    <row r="70" spans="1:8" ht="17.100000000000001" customHeight="1" x14ac:dyDescent="0.2">
      <c r="A70" s="3">
        <v>64</v>
      </c>
      <c r="B70" s="4" t="s">
        <v>359</v>
      </c>
      <c r="C70" s="4" t="s">
        <v>360</v>
      </c>
      <c r="D70" s="4" t="s">
        <v>56</v>
      </c>
      <c r="E70" s="5">
        <v>1654</v>
      </c>
      <c r="F70" s="6">
        <v>60.791943000000003</v>
      </c>
      <c r="G70" s="7">
        <v>2.5934999999999999E-4</v>
      </c>
      <c r="H70" s="113"/>
    </row>
    <row r="71" spans="1:8" ht="14.1" customHeight="1" x14ac:dyDescent="0.2">
      <c r="A71" s="1"/>
      <c r="B71" s="1"/>
      <c r="C71" s="2" t="s">
        <v>151</v>
      </c>
      <c r="D71" s="1"/>
      <c r="E71" s="1" t="s">
        <v>152</v>
      </c>
      <c r="F71" s="9">
        <v>226242.58788849998</v>
      </c>
      <c r="G71" s="10">
        <v>0.96518457000000024</v>
      </c>
      <c r="H71" s="113"/>
    </row>
    <row r="72" spans="1:8" ht="14.1" customHeight="1" x14ac:dyDescent="0.2">
      <c r="A72" s="1"/>
      <c r="B72" s="1"/>
      <c r="C72" s="11"/>
      <c r="D72" s="1"/>
      <c r="E72" s="1"/>
      <c r="F72" s="12"/>
      <c r="G72" s="12"/>
      <c r="H72" s="113"/>
    </row>
    <row r="73" spans="1:8" ht="14.1" customHeight="1" x14ac:dyDescent="0.2">
      <c r="A73" s="1"/>
      <c r="B73" s="1"/>
      <c r="C73" s="2" t="s">
        <v>153</v>
      </c>
      <c r="D73" s="1"/>
      <c r="E73" s="1"/>
      <c r="F73" s="1"/>
      <c r="G73" s="1"/>
      <c r="H73" s="113"/>
    </row>
    <row r="74" spans="1:8" ht="14.1" customHeight="1" x14ac:dyDescent="0.2">
      <c r="A74" s="1"/>
      <c r="B74" s="1"/>
      <c r="C74" s="2" t="s">
        <v>151</v>
      </c>
      <c r="D74" s="1"/>
      <c r="E74" s="1" t="s">
        <v>152</v>
      </c>
      <c r="F74" s="13" t="s">
        <v>154</v>
      </c>
      <c r="G74" s="10">
        <v>0</v>
      </c>
      <c r="H74" s="113"/>
    </row>
    <row r="75" spans="1:8" ht="14.1" customHeight="1" x14ac:dyDescent="0.2">
      <c r="A75" s="1"/>
      <c r="B75" s="1"/>
      <c r="C75" s="11"/>
      <c r="D75" s="1"/>
      <c r="E75" s="1"/>
      <c r="F75" s="12"/>
      <c r="G75" s="12"/>
      <c r="H75" s="113"/>
    </row>
    <row r="76" spans="1:8" ht="14.1" customHeight="1" x14ac:dyDescent="0.2">
      <c r="A76" s="1"/>
      <c r="B76" s="1"/>
      <c r="C76" s="2" t="s">
        <v>155</v>
      </c>
      <c r="D76" s="1"/>
      <c r="E76" s="1"/>
      <c r="F76" s="1"/>
      <c r="G76" s="1"/>
      <c r="H76" s="113"/>
    </row>
    <row r="77" spans="1:8" ht="17.100000000000001" customHeight="1" x14ac:dyDescent="0.2">
      <c r="A77" s="3">
        <v>1</v>
      </c>
      <c r="B77" s="54" t="s">
        <v>579</v>
      </c>
      <c r="C77" s="40" t="s">
        <v>952</v>
      </c>
      <c r="D77" s="4" t="s">
        <v>245</v>
      </c>
      <c r="E77" s="5">
        <v>511578</v>
      </c>
      <c r="F77" s="6">
        <v>22.765221</v>
      </c>
      <c r="G77" s="7">
        <v>9.7120000000000005E-5</v>
      </c>
      <c r="H77" s="113"/>
    </row>
    <row r="78" spans="1:8" ht="17.100000000000001" customHeight="1" x14ac:dyDescent="0.2">
      <c r="A78" s="3">
        <v>2</v>
      </c>
      <c r="B78" s="54" t="s">
        <v>751</v>
      </c>
      <c r="C78" s="40" t="s">
        <v>957</v>
      </c>
      <c r="D78" s="4" t="s">
        <v>267</v>
      </c>
      <c r="E78" s="5">
        <v>39500</v>
      </c>
      <c r="F78" s="6">
        <v>17.075849999999999</v>
      </c>
      <c r="G78" s="7">
        <v>7.2849999999999995E-5</v>
      </c>
      <c r="H78" s="113"/>
    </row>
    <row r="79" spans="1:8" ht="29.1" customHeight="1" x14ac:dyDescent="0.2">
      <c r="A79" s="3">
        <v>3</v>
      </c>
      <c r="B79" s="54" t="s">
        <v>752</v>
      </c>
      <c r="C79" s="40" t="s">
        <v>958</v>
      </c>
      <c r="D79" s="4" t="s">
        <v>753</v>
      </c>
      <c r="E79" s="5">
        <v>50800</v>
      </c>
      <c r="F79" s="6">
        <v>5.0800000000000003E-3</v>
      </c>
      <c r="G79" s="44" t="s">
        <v>150</v>
      </c>
      <c r="H79" s="113"/>
    </row>
    <row r="80" spans="1:8" ht="29.1" customHeight="1" x14ac:dyDescent="0.2">
      <c r="A80" s="3">
        <v>4</v>
      </c>
      <c r="B80" s="54" t="s">
        <v>754</v>
      </c>
      <c r="C80" s="40" t="s">
        <v>959</v>
      </c>
      <c r="D80" s="4"/>
      <c r="E80" s="5">
        <v>54000</v>
      </c>
      <c r="F80" s="6">
        <v>5.4000000000000002E-7</v>
      </c>
      <c r="G80" s="8" t="s">
        <v>150</v>
      </c>
      <c r="H80" s="113"/>
    </row>
    <row r="81" spans="1:8" ht="41.1" customHeight="1" x14ac:dyDescent="0.2">
      <c r="A81" s="3">
        <v>5</v>
      </c>
      <c r="B81" s="54" t="s">
        <v>755</v>
      </c>
      <c r="C81" s="40" t="s">
        <v>960</v>
      </c>
      <c r="D81" s="4" t="s">
        <v>756</v>
      </c>
      <c r="E81" s="5">
        <v>200000</v>
      </c>
      <c r="F81" s="6">
        <v>1.9999999999999999E-6</v>
      </c>
      <c r="G81" s="8" t="s">
        <v>150</v>
      </c>
      <c r="H81" s="113"/>
    </row>
    <row r="82" spans="1:8" ht="17.100000000000001" customHeight="1" x14ac:dyDescent="0.2">
      <c r="A82" s="3">
        <v>6</v>
      </c>
      <c r="B82" s="54" t="s">
        <v>757</v>
      </c>
      <c r="C82" s="40" t="s">
        <v>961</v>
      </c>
      <c r="D82" s="4"/>
      <c r="E82" s="5">
        <v>200</v>
      </c>
      <c r="F82" s="6">
        <v>2.0000000000000001E-9</v>
      </c>
      <c r="G82" s="8" t="s">
        <v>150</v>
      </c>
      <c r="H82" s="113"/>
    </row>
    <row r="83" spans="1:8" ht="17.100000000000001" customHeight="1" x14ac:dyDescent="0.2">
      <c r="A83" s="3">
        <v>7</v>
      </c>
      <c r="B83" s="54" t="s">
        <v>758</v>
      </c>
      <c r="C83" s="40" t="s">
        <v>962</v>
      </c>
      <c r="D83" s="4"/>
      <c r="E83" s="5">
        <v>93200</v>
      </c>
      <c r="F83" s="6">
        <v>9.3200000000000003E-7</v>
      </c>
      <c r="G83" s="8" t="s">
        <v>150</v>
      </c>
      <c r="H83" s="113"/>
    </row>
    <row r="84" spans="1:8" ht="17.100000000000001" customHeight="1" x14ac:dyDescent="0.2">
      <c r="A84" s="3">
        <v>8</v>
      </c>
      <c r="B84" s="54" t="s">
        <v>759</v>
      </c>
      <c r="C84" s="40" t="s">
        <v>963</v>
      </c>
      <c r="D84" s="4"/>
      <c r="E84" s="5">
        <v>176305</v>
      </c>
      <c r="F84" s="6">
        <v>1.7630000000000001E-6</v>
      </c>
      <c r="G84" s="8" t="s">
        <v>150</v>
      </c>
      <c r="H84" s="113"/>
    </row>
    <row r="85" spans="1:8" ht="14.1" customHeight="1" x14ac:dyDescent="0.2">
      <c r="A85" s="1"/>
      <c r="B85" s="1"/>
      <c r="C85" s="2" t="s">
        <v>151</v>
      </c>
      <c r="D85" s="1"/>
      <c r="E85" s="1" t="s">
        <v>152</v>
      </c>
      <c r="F85" s="9">
        <v>39.846156237000002</v>
      </c>
      <c r="G85" s="10">
        <v>1.6997E-4</v>
      </c>
      <c r="H85" s="113"/>
    </row>
    <row r="86" spans="1:8" ht="14.1" customHeight="1" x14ac:dyDescent="0.2">
      <c r="A86" s="1"/>
      <c r="B86" s="1"/>
      <c r="C86" s="11"/>
      <c r="D86" s="1"/>
      <c r="E86" s="1"/>
      <c r="F86" s="12"/>
      <c r="G86" s="12"/>
      <c r="H86" s="113"/>
    </row>
    <row r="87" spans="1:8" ht="14.1" customHeight="1" x14ac:dyDescent="0.2">
      <c r="A87" s="1"/>
      <c r="B87" s="1"/>
      <c r="C87" s="2" t="s">
        <v>156</v>
      </c>
      <c r="D87" s="1"/>
      <c r="E87" s="1"/>
      <c r="F87" s="1"/>
      <c r="G87" s="1"/>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4.1" customHeight="1" x14ac:dyDescent="0.2">
      <c r="A90" s="1"/>
      <c r="B90" s="1"/>
      <c r="C90" s="2" t="s">
        <v>157</v>
      </c>
      <c r="D90" s="1"/>
      <c r="E90" s="1"/>
      <c r="F90" s="12"/>
      <c r="G90" s="12"/>
      <c r="H90" s="113"/>
    </row>
    <row r="91" spans="1:8" ht="14.1" customHeight="1" x14ac:dyDescent="0.2">
      <c r="A91" s="1"/>
      <c r="B91" s="1"/>
      <c r="C91" s="2" t="s">
        <v>151</v>
      </c>
      <c r="D91" s="1"/>
      <c r="E91" s="1" t="s">
        <v>152</v>
      </c>
      <c r="F91" s="13" t="s">
        <v>154</v>
      </c>
      <c r="G91" s="10">
        <v>0</v>
      </c>
      <c r="H91" s="113"/>
    </row>
    <row r="92" spans="1:8" ht="14.1" customHeight="1" x14ac:dyDescent="0.2">
      <c r="A92" s="1"/>
      <c r="B92" s="1"/>
      <c r="C92" s="11"/>
      <c r="D92" s="1"/>
      <c r="E92" s="1"/>
      <c r="F92" s="12"/>
      <c r="G92" s="12"/>
      <c r="H92" s="113"/>
    </row>
    <row r="93" spans="1:8" ht="14.1" customHeight="1" x14ac:dyDescent="0.2">
      <c r="A93" s="1"/>
      <c r="B93" s="1"/>
      <c r="C93" s="2" t="s">
        <v>158</v>
      </c>
      <c r="D93" s="1"/>
      <c r="E93" s="1"/>
      <c r="F93" s="12"/>
      <c r="G93" s="12"/>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8" customHeight="1" x14ac:dyDescent="0.2">
      <c r="A96" s="1"/>
      <c r="B96" s="1"/>
      <c r="C96" s="2" t="s">
        <v>159</v>
      </c>
      <c r="D96" s="1"/>
      <c r="E96" s="1"/>
      <c r="F96" s="9">
        <v>226282.43404473699</v>
      </c>
      <c r="G96" s="10">
        <v>0.96535455999999997</v>
      </c>
      <c r="H96" s="113"/>
    </row>
    <row r="97" spans="1:8" ht="14.1" customHeight="1" x14ac:dyDescent="0.2">
      <c r="A97" s="1"/>
      <c r="B97" s="1"/>
      <c r="C97" s="11"/>
      <c r="D97" s="1"/>
      <c r="E97" s="1"/>
      <c r="F97" s="12"/>
      <c r="G97" s="12"/>
      <c r="H97" s="113"/>
    </row>
    <row r="98" spans="1:8" ht="14.1" customHeight="1" x14ac:dyDescent="0.2">
      <c r="A98" s="1"/>
      <c r="B98" s="1"/>
      <c r="C98" s="2" t="s">
        <v>160</v>
      </c>
      <c r="D98" s="1"/>
      <c r="E98" s="1"/>
      <c r="F98" s="12"/>
      <c r="G98" s="12"/>
      <c r="H98" s="113"/>
    </row>
    <row r="99" spans="1:8" ht="24" customHeight="1" x14ac:dyDescent="0.2">
      <c r="A99" s="1"/>
      <c r="B99" s="1"/>
      <c r="C99" s="2" t="s">
        <v>10</v>
      </c>
      <c r="D99" s="1"/>
      <c r="E99" s="1"/>
      <c r="F99" s="12"/>
      <c r="G99" s="12"/>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14.1" customHeight="1" x14ac:dyDescent="0.2">
      <c r="A102" s="1"/>
      <c r="B102" s="1"/>
      <c r="C102" s="2" t="s">
        <v>161</v>
      </c>
      <c r="D102" s="1"/>
      <c r="E102" s="1"/>
      <c r="F102" s="1"/>
      <c r="G102" s="1"/>
      <c r="H102" s="113"/>
    </row>
    <row r="103" spans="1:8" ht="14.1" customHeight="1" x14ac:dyDescent="0.2">
      <c r="A103" s="1"/>
      <c r="B103" s="1"/>
      <c r="C103" s="2" t="s">
        <v>151</v>
      </c>
      <c r="D103" s="1"/>
      <c r="E103" s="1" t="s">
        <v>152</v>
      </c>
      <c r="F103" s="13" t="s">
        <v>154</v>
      </c>
      <c r="G103" s="10">
        <v>0</v>
      </c>
      <c r="H103" s="113"/>
    </row>
    <row r="104" spans="1:8" ht="14.1" customHeight="1" x14ac:dyDescent="0.2">
      <c r="A104" s="1"/>
      <c r="B104" s="1"/>
      <c r="C104" s="11"/>
      <c r="D104" s="1"/>
      <c r="E104" s="1"/>
      <c r="F104" s="12"/>
      <c r="G104" s="12"/>
      <c r="H104" s="113"/>
    </row>
    <row r="105" spans="1:8" ht="14.1" customHeight="1" x14ac:dyDescent="0.2">
      <c r="A105" s="1"/>
      <c r="B105" s="1"/>
      <c r="C105" s="2" t="s">
        <v>162</v>
      </c>
      <c r="D105" s="1"/>
      <c r="E105" s="1"/>
      <c r="F105" s="1"/>
      <c r="G105" s="1"/>
      <c r="H105" s="113"/>
    </row>
    <row r="106" spans="1:8" ht="14.1" customHeight="1" x14ac:dyDescent="0.2">
      <c r="A106" s="1"/>
      <c r="B106" s="1"/>
      <c r="C106" s="2" t="s">
        <v>151</v>
      </c>
      <c r="D106" s="1"/>
      <c r="E106" s="1" t="s">
        <v>152</v>
      </c>
      <c r="F106" s="13" t="s">
        <v>154</v>
      </c>
      <c r="G106" s="10">
        <v>0</v>
      </c>
      <c r="H106" s="113"/>
    </row>
    <row r="107" spans="1:8" ht="14.1" customHeight="1" x14ac:dyDescent="0.2">
      <c r="A107" s="1"/>
      <c r="B107" s="1"/>
      <c r="C107" s="11"/>
      <c r="D107" s="1"/>
      <c r="E107" s="1"/>
      <c r="F107" s="12"/>
      <c r="G107" s="12"/>
      <c r="H107" s="113"/>
    </row>
    <row r="108" spans="1:8" ht="14.1" customHeight="1" x14ac:dyDescent="0.2">
      <c r="A108" s="1"/>
      <c r="B108" s="1"/>
      <c r="C108" s="2" t="s">
        <v>163</v>
      </c>
      <c r="D108" s="1"/>
      <c r="E108" s="1"/>
      <c r="F108" s="12"/>
      <c r="G108" s="12"/>
      <c r="H108" s="113"/>
    </row>
    <row r="109" spans="1:8" ht="14.1" customHeight="1" x14ac:dyDescent="0.2">
      <c r="A109" s="1"/>
      <c r="B109" s="1"/>
      <c r="C109" s="2" t="s">
        <v>151</v>
      </c>
      <c r="D109" s="1"/>
      <c r="E109" s="1" t="s">
        <v>152</v>
      </c>
      <c r="F109" s="13" t="s">
        <v>154</v>
      </c>
      <c r="G109" s="10">
        <v>0</v>
      </c>
      <c r="H109" s="113"/>
    </row>
    <row r="110" spans="1:8" ht="14.1" customHeight="1" x14ac:dyDescent="0.2">
      <c r="A110" s="1"/>
      <c r="B110" s="1"/>
      <c r="C110" s="11"/>
      <c r="D110" s="1"/>
      <c r="E110" s="1"/>
      <c r="F110" s="12"/>
      <c r="G110" s="12"/>
      <c r="H110" s="113"/>
    </row>
    <row r="111" spans="1:8" ht="14.1" customHeight="1" x14ac:dyDescent="0.2">
      <c r="A111" s="1"/>
      <c r="B111" s="1"/>
      <c r="C111" s="2" t="s">
        <v>164</v>
      </c>
      <c r="D111" s="1"/>
      <c r="E111" s="1"/>
      <c r="F111" s="9">
        <v>0</v>
      </c>
      <c r="G111" s="10">
        <v>0</v>
      </c>
      <c r="H111" s="113"/>
    </row>
    <row r="112" spans="1:8" ht="14.1" customHeight="1" x14ac:dyDescent="0.2">
      <c r="A112" s="1"/>
      <c r="B112" s="1"/>
      <c r="C112" s="11"/>
      <c r="D112" s="1"/>
      <c r="E112" s="1"/>
      <c r="F112" s="12"/>
      <c r="G112" s="12"/>
      <c r="H112" s="113"/>
    </row>
    <row r="113" spans="1:8" ht="14.1" customHeight="1" x14ac:dyDescent="0.2">
      <c r="A113" s="1"/>
      <c r="B113" s="1"/>
      <c r="C113" s="2" t="s">
        <v>165</v>
      </c>
      <c r="D113" s="1"/>
      <c r="E113" s="1"/>
      <c r="F113" s="12"/>
      <c r="G113" s="12"/>
      <c r="H113" s="113"/>
    </row>
    <row r="114" spans="1:8" ht="14.1" customHeight="1" x14ac:dyDescent="0.2">
      <c r="A114" s="1"/>
      <c r="B114" s="1"/>
      <c r="C114" s="2" t="s">
        <v>166</v>
      </c>
      <c r="D114" s="1"/>
      <c r="E114" s="1"/>
      <c r="F114" s="12"/>
      <c r="G114" s="12"/>
      <c r="H114" s="113"/>
    </row>
    <row r="115" spans="1:8" ht="14.1" customHeight="1" x14ac:dyDescent="0.2">
      <c r="A115" s="1"/>
      <c r="B115" s="1"/>
      <c r="C115" s="2" t="s">
        <v>151</v>
      </c>
      <c r="D115" s="1"/>
      <c r="E115" s="1" t="s">
        <v>152</v>
      </c>
      <c r="F115" s="13" t="s">
        <v>154</v>
      </c>
      <c r="G115" s="10">
        <v>0</v>
      </c>
      <c r="H115" s="113"/>
    </row>
    <row r="116" spans="1:8" ht="14.1" customHeight="1" x14ac:dyDescent="0.2">
      <c r="A116" s="1"/>
      <c r="B116" s="1"/>
      <c r="C116" s="11"/>
      <c r="D116" s="1"/>
      <c r="E116" s="1"/>
      <c r="F116" s="12"/>
      <c r="G116" s="12"/>
      <c r="H116" s="113"/>
    </row>
    <row r="117" spans="1:8" ht="14.1" customHeight="1" x14ac:dyDescent="0.2">
      <c r="A117" s="1"/>
      <c r="B117" s="1"/>
      <c r="C117" s="2" t="s">
        <v>167</v>
      </c>
      <c r="D117" s="1"/>
      <c r="E117" s="1"/>
      <c r="F117" s="12"/>
      <c r="G117" s="12"/>
      <c r="H117" s="113"/>
    </row>
    <row r="118" spans="1:8" ht="14.1" customHeight="1" x14ac:dyDescent="0.2">
      <c r="A118" s="1"/>
      <c r="B118" s="1"/>
      <c r="C118" s="2" t="s">
        <v>151</v>
      </c>
      <c r="D118" s="1"/>
      <c r="E118" s="1" t="s">
        <v>152</v>
      </c>
      <c r="F118" s="13" t="s">
        <v>154</v>
      </c>
      <c r="G118" s="10">
        <v>0</v>
      </c>
      <c r="H118" s="113"/>
    </row>
    <row r="119" spans="1:8" ht="14.1" customHeight="1" x14ac:dyDescent="0.2">
      <c r="A119" s="1"/>
      <c r="B119" s="1"/>
      <c r="C119" s="11"/>
      <c r="D119" s="1"/>
      <c r="E119" s="1"/>
      <c r="F119" s="12"/>
      <c r="G119" s="12"/>
      <c r="H119" s="113"/>
    </row>
    <row r="120" spans="1:8" ht="14.1" customHeight="1" x14ac:dyDescent="0.2">
      <c r="A120" s="1"/>
      <c r="B120" s="1"/>
      <c r="C120" s="2" t="s">
        <v>168</v>
      </c>
      <c r="D120" s="1"/>
      <c r="E120" s="1"/>
      <c r="F120" s="12"/>
      <c r="G120" s="12"/>
      <c r="H120" s="113"/>
    </row>
    <row r="121" spans="1:8" ht="14.1" customHeight="1" x14ac:dyDescent="0.2">
      <c r="A121" s="1"/>
      <c r="B121" s="1"/>
      <c r="C121" s="2" t="s">
        <v>151</v>
      </c>
      <c r="D121" s="1"/>
      <c r="E121" s="1" t="s">
        <v>152</v>
      </c>
      <c r="F121" s="13" t="s">
        <v>154</v>
      </c>
      <c r="G121" s="10">
        <v>0</v>
      </c>
      <c r="H121" s="113"/>
    </row>
    <row r="122" spans="1:8" ht="14.1" customHeight="1" x14ac:dyDescent="0.2">
      <c r="A122" s="1"/>
      <c r="B122" s="1"/>
      <c r="C122" s="11"/>
      <c r="D122" s="1"/>
      <c r="E122" s="1"/>
      <c r="F122" s="12"/>
      <c r="G122" s="12"/>
      <c r="H122" s="113"/>
    </row>
    <row r="123" spans="1:8" ht="14.1" customHeight="1" x14ac:dyDescent="0.2">
      <c r="A123" s="1"/>
      <c r="B123" s="1"/>
      <c r="C123" s="2" t="s">
        <v>169</v>
      </c>
      <c r="D123" s="1"/>
      <c r="E123" s="1"/>
      <c r="F123" s="12"/>
      <c r="G123" s="12"/>
      <c r="H123" s="113"/>
    </row>
    <row r="124" spans="1:8" ht="17.100000000000001" customHeight="1" x14ac:dyDescent="0.2">
      <c r="A124" s="3">
        <v>1</v>
      </c>
      <c r="B124" s="4"/>
      <c r="C124" s="4" t="s">
        <v>170</v>
      </c>
      <c r="D124" s="4"/>
      <c r="E124" s="8"/>
      <c r="F124" s="6">
        <v>8247.6731839999993</v>
      </c>
      <c r="G124" s="7">
        <v>3.5185800000000003E-2</v>
      </c>
      <c r="H124" s="113">
        <v>6.7600000000000016</v>
      </c>
    </row>
    <row r="125" spans="1:8" ht="14.1" customHeight="1" x14ac:dyDescent="0.2">
      <c r="A125" s="1"/>
      <c r="B125" s="1"/>
      <c r="C125" s="2" t="s">
        <v>151</v>
      </c>
      <c r="D125" s="1"/>
      <c r="E125" s="1" t="s">
        <v>152</v>
      </c>
      <c r="F125" s="9">
        <v>8247.6731839999993</v>
      </c>
      <c r="G125" s="10">
        <v>3.5185800000000003E-2</v>
      </c>
      <c r="H125" s="113"/>
    </row>
    <row r="126" spans="1:8" ht="14.1" customHeight="1" x14ac:dyDescent="0.2">
      <c r="A126" s="1"/>
      <c r="B126" s="1"/>
      <c r="C126" s="11"/>
      <c r="D126" s="1"/>
      <c r="E126" s="1"/>
      <c r="F126" s="12"/>
      <c r="G126" s="12"/>
      <c r="H126" s="113"/>
    </row>
    <row r="127" spans="1:8" ht="14.1" customHeight="1" x14ac:dyDescent="0.2">
      <c r="A127" s="1"/>
      <c r="B127" s="1"/>
      <c r="C127" s="2" t="s">
        <v>171</v>
      </c>
      <c r="D127" s="1"/>
      <c r="E127" s="1"/>
      <c r="F127" s="9">
        <v>8247.6731839999993</v>
      </c>
      <c r="G127" s="10">
        <v>3.5185800000000003E-2</v>
      </c>
      <c r="H127" s="113"/>
    </row>
    <row r="128" spans="1:8" ht="14.1" customHeight="1" x14ac:dyDescent="0.2">
      <c r="A128" s="1"/>
      <c r="B128" s="1"/>
      <c r="C128" s="12"/>
      <c r="D128" s="1"/>
      <c r="E128" s="1"/>
      <c r="F128" s="1"/>
      <c r="G128" s="1"/>
      <c r="H128" s="113"/>
    </row>
    <row r="129" spans="1:8" ht="14.1" customHeight="1" x14ac:dyDescent="0.2">
      <c r="A129" s="1"/>
      <c r="B129" s="1"/>
      <c r="C129" s="2" t="s">
        <v>172</v>
      </c>
      <c r="D129" s="1"/>
      <c r="E129" s="1"/>
      <c r="F129" s="1"/>
      <c r="G129" s="1"/>
      <c r="H129" s="113"/>
    </row>
    <row r="130" spans="1:8" ht="14.1" customHeight="1" x14ac:dyDescent="0.2">
      <c r="A130" s="1"/>
      <c r="B130" s="1"/>
      <c r="C130" s="2" t="s">
        <v>173</v>
      </c>
      <c r="D130" s="1"/>
      <c r="E130" s="1"/>
      <c r="F130" s="1"/>
      <c r="G130" s="1"/>
      <c r="H130" s="113"/>
    </row>
    <row r="131" spans="1:8" ht="14.1" customHeight="1" x14ac:dyDescent="0.2">
      <c r="A131" s="1"/>
      <c r="B131" s="1"/>
      <c r="C131" s="2" t="s">
        <v>151</v>
      </c>
      <c r="D131" s="1"/>
      <c r="E131" s="1" t="s">
        <v>152</v>
      </c>
      <c r="F131" s="13" t="s">
        <v>154</v>
      </c>
      <c r="G131" s="10">
        <v>0</v>
      </c>
      <c r="H131" s="113"/>
    </row>
    <row r="132" spans="1:8" ht="14.1" customHeight="1" x14ac:dyDescent="0.2">
      <c r="A132" s="1"/>
      <c r="B132" s="1"/>
      <c r="C132" s="11"/>
      <c r="D132" s="1"/>
      <c r="E132" s="1"/>
      <c r="F132" s="12"/>
      <c r="G132" s="12"/>
      <c r="H132" s="113"/>
    </row>
    <row r="133" spans="1:8" ht="14.1" customHeight="1" x14ac:dyDescent="0.2">
      <c r="A133" s="1"/>
      <c r="B133" s="1"/>
      <c r="C133" s="2" t="s">
        <v>174</v>
      </c>
      <c r="D133" s="1"/>
      <c r="E133" s="1"/>
      <c r="F133" s="1"/>
      <c r="G133" s="1"/>
      <c r="H133" s="113"/>
    </row>
    <row r="134" spans="1:8" ht="14.1" customHeight="1" x14ac:dyDescent="0.2">
      <c r="A134" s="1"/>
      <c r="B134" s="1"/>
      <c r="C134" s="2" t="s">
        <v>175</v>
      </c>
      <c r="D134" s="1"/>
      <c r="E134" s="1"/>
      <c r="F134" s="1"/>
      <c r="G134" s="1"/>
      <c r="H134" s="113"/>
    </row>
    <row r="135" spans="1:8" ht="14.1" customHeight="1" x14ac:dyDescent="0.2">
      <c r="A135" s="1"/>
      <c r="B135" s="1"/>
      <c r="C135" s="2" t="s">
        <v>151</v>
      </c>
      <c r="D135" s="1"/>
      <c r="E135" s="1" t="s">
        <v>152</v>
      </c>
      <c r="F135" s="13" t="s">
        <v>154</v>
      </c>
      <c r="G135" s="10">
        <v>0</v>
      </c>
      <c r="H135" s="113"/>
    </row>
    <row r="136" spans="1:8" ht="14.1" customHeight="1" x14ac:dyDescent="0.2">
      <c r="A136" s="1"/>
      <c r="B136" s="1"/>
      <c r="C136" s="11"/>
      <c r="D136" s="1"/>
      <c r="E136" s="1"/>
      <c r="F136" s="12"/>
      <c r="G136" s="12"/>
      <c r="H136" s="113"/>
    </row>
    <row r="137" spans="1:8" ht="24" customHeight="1" x14ac:dyDescent="0.2">
      <c r="A137" s="1"/>
      <c r="B137" s="1"/>
      <c r="C137" s="2" t="s">
        <v>176</v>
      </c>
      <c r="D137" s="1"/>
      <c r="E137" s="1"/>
      <c r="F137" s="12"/>
      <c r="G137" s="12"/>
      <c r="H137" s="113"/>
    </row>
    <row r="138" spans="1:8" ht="14.1" customHeight="1" x14ac:dyDescent="0.2">
      <c r="A138" s="1"/>
      <c r="B138" s="1"/>
      <c r="C138" s="2" t="s">
        <v>151</v>
      </c>
      <c r="D138" s="1"/>
      <c r="E138" s="1" t="s">
        <v>152</v>
      </c>
      <c r="F138" s="13" t="s">
        <v>154</v>
      </c>
      <c r="G138" s="10">
        <v>0</v>
      </c>
      <c r="H138" s="113"/>
    </row>
    <row r="139" spans="1:8" ht="14.1" customHeight="1" x14ac:dyDescent="0.2">
      <c r="A139" s="1"/>
      <c r="B139" s="1"/>
      <c r="C139" s="11"/>
      <c r="D139" s="1"/>
      <c r="E139" s="1"/>
      <c r="F139" s="12"/>
      <c r="G139" s="12"/>
      <c r="H139" s="113"/>
    </row>
    <row r="140" spans="1:8" ht="14.1" customHeight="1" x14ac:dyDescent="0.2">
      <c r="A140" s="1"/>
      <c r="B140" s="4"/>
      <c r="C140" s="4"/>
      <c r="D140" s="2"/>
      <c r="E140" s="1"/>
      <c r="F140" s="4"/>
      <c r="G140" s="8"/>
      <c r="H140" s="113"/>
    </row>
    <row r="141" spans="1:8" ht="18" customHeight="1" x14ac:dyDescent="0.2">
      <c r="A141" s="8"/>
      <c r="B141" s="4"/>
      <c r="C141" s="4" t="s">
        <v>177</v>
      </c>
      <c r="D141" s="4"/>
      <c r="E141" s="8"/>
      <c r="F141" s="6">
        <v>-126.64848492</v>
      </c>
      <c r="G141" s="7">
        <v>-5.4029999999999996E-4</v>
      </c>
      <c r="H141" s="113"/>
    </row>
    <row r="142" spans="1:8" ht="14.1" customHeight="1" x14ac:dyDescent="0.2">
      <c r="A142" s="11"/>
      <c r="B142" s="11"/>
      <c r="C142" s="2" t="s">
        <v>178</v>
      </c>
      <c r="D142" s="12"/>
      <c r="E142" s="12"/>
      <c r="F142" s="9">
        <v>234403.458743817</v>
      </c>
      <c r="G142" s="14">
        <v>1.0000000600000001</v>
      </c>
      <c r="H142" s="113"/>
    </row>
    <row r="143" spans="1:8" ht="14.1" customHeight="1" x14ac:dyDescent="0.2">
      <c r="A143" s="15"/>
      <c r="B143" s="15"/>
      <c r="C143" s="15"/>
      <c r="D143" s="16"/>
      <c r="E143" s="16"/>
      <c r="F143" s="16"/>
      <c r="G143" s="16"/>
    </row>
    <row r="144" spans="1:8" ht="17.100000000000001" customHeight="1" x14ac:dyDescent="0.2">
      <c r="A144" s="17"/>
      <c r="B144" s="207" t="s">
        <v>179</v>
      </c>
      <c r="C144" s="207"/>
      <c r="D144" s="207"/>
      <c r="E144" s="207"/>
      <c r="F144" s="207"/>
      <c r="G144" s="19"/>
    </row>
    <row r="145" spans="1:7" ht="14.1" customHeight="1" x14ac:dyDescent="0.2">
      <c r="A145" s="17"/>
      <c r="B145" s="17"/>
      <c r="C145" s="17"/>
      <c r="D145" s="19"/>
      <c r="E145" s="19"/>
      <c r="F145" s="19"/>
      <c r="G145" s="19"/>
    </row>
    <row r="146" spans="1:7" ht="14.1" customHeight="1" x14ac:dyDescent="0.2">
      <c r="A146" s="17"/>
      <c r="B146" s="208" t="s">
        <v>180</v>
      </c>
      <c r="C146" s="209"/>
      <c r="D146" s="210"/>
      <c r="E146" s="20"/>
      <c r="F146" s="19"/>
      <c r="G146" s="19"/>
    </row>
    <row r="147" spans="1:7" ht="29.1" customHeight="1" x14ac:dyDescent="0.2">
      <c r="A147" s="17"/>
      <c r="B147" s="205" t="s">
        <v>181</v>
      </c>
      <c r="C147" s="206"/>
      <c r="D147" s="95" t="s">
        <v>1012</v>
      </c>
      <c r="E147" s="20"/>
      <c r="F147" s="19"/>
      <c r="G147" s="19"/>
    </row>
    <row r="148" spans="1:7" ht="17.100000000000001" customHeight="1" x14ac:dyDescent="0.2">
      <c r="A148" s="45"/>
      <c r="B148" s="215" t="s">
        <v>906</v>
      </c>
      <c r="C148" s="216"/>
      <c r="D148" s="46" t="s">
        <v>964</v>
      </c>
      <c r="E148" s="47"/>
      <c r="F148" s="48"/>
      <c r="G148" s="48"/>
    </row>
    <row r="149" spans="1:7" ht="17.100000000000001" customHeight="1" x14ac:dyDescent="0.2">
      <c r="A149" s="17"/>
      <c r="B149" s="205" t="s">
        <v>184</v>
      </c>
      <c r="C149" s="206"/>
      <c r="D149" s="12" t="s">
        <v>152</v>
      </c>
      <c r="E149" s="20"/>
      <c r="F149" s="19"/>
      <c r="G149" s="19"/>
    </row>
    <row r="150" spans="1:7" ht="25.5" x14ac:dyDescent="0.2">
      <c r="A150" s="21"/>
      <c r="B150" s="22" t="s">
        <v>152</v>
      </c>
      <c r="C150" s="22" t="s">
        <v>185</v>
      </c>
      <c r="D150" s="22" t="s">
        <v>186</v>
      </c>
      <c r="E150" s="21"/>
      <c r="F150" s="21"/>
      <c r="G150" s="21"/>
    </row>
    <row r="151" spans="1:7" ht="18" customHeight="1" x14ac:dyDescent="0.2">
      <c r="A151" s="21"/>
      <c r="B151" s="23" t="s">
        <v>187</v>
      </c>
      <c r="C151" s="22" t="s">
        <v>188</v>
      </c>
      <c r="D151" s="22" t="s">
        <v>189</v>
      </c>
      <c r="E151" s="21"/>
      <c r="F151" s="21"/>
      <c r="G151" s="21"/>
    </row>
    <row r="152" spans="1:7" ht="17.100000000000001" customHeight="1" x14ac:dyDescent="0.2">
      <c r="A152" s="21"/>
      <c r="B152" s="4" t="s">
        <v>190</v>
      </c>
      <c r="C152" s="24">
        <v>318.49619999999999</v>
      </c>
      <c r="D152" s="24">
        <v>342.01209999999998</v>
      </c>
      <c r="E152" s="21"/>
      <c r="F152" s="18"/>
      <c r="G152" s="25"/>
    </row>
    <row r="153" spans="1:7" ht="29.1" customHeight="1" x14ac:dyDescent="0.2">
      <c r="A153" s="21"/>
      <c r="B153" s="4" t="s">
        <v>1036</v>
      </c>
      <c r="C153" s="24">
        <v>75.884100000000004</v>
      </c>
      <c r="D153" s="24">
        <v>81.486900000000006</v>
      </c>
      <c r="E153" s="21"/>
      <c r="F153" s="18"/>
      <c r="G153" s="25"/>
    </row>
    <row r="154" spans="1:7" ht="17.100000000000001" customHeight="1" x14ac:dyDescent="0.2">
      <c r="A154" s="21"/>
      <c r="B154" s="4" t="s">
        <v>191</v>
      </c>
      <c r="C154" s="24">
        <v>291.2038</v>
      </c>
      <c r="D154" s="24">
        <v>312.40839999999997</v>
      </c>
      <c r="E154" s="21"/>
      <c r="F154" s="18"/>
      <c r="G154" s="25"/>
    </row>
    <row r="155" spans="1:7" ht="29.1" customHeight="1" x14ac:dyDescent="0.2">
      <c r="A155" s="21"/>
      <c r="B155" s="4" t="s">
        <v>1037</v>
      </c>
      <c r="C155" s="24">
        <v>57.278700000000001</v>
      </c>
      <c r="D155" s="24">
        <v>61.4495</v>
      </c>
      <c r="E155" s="21"/>
      <c r="F155" s="18"/>
      <c r="G155" s="25"/>
    </row>
    <row r="156" spans="1:7" ht="14.1" customHeight="1" x14ac:dyDescent="0.2">
      <c r="A156" s="21"/>
      <c r="B156" s="21"/>
      <c r="C156" s="21"/>
      <c r="D156" s="21"/>
      <c r="E156" s="21"/>
      <c r="F156" s="21"/>
      <c r="G156" s="21"/>
    </row>
    <row r="157" spans="1:7" ht="17.100000000000001" customHeight="1" x14ac:dyDescent="0.2">
      <c r="A157" s="21"/>
      <c r="B157" s="205" t="s">
        <v>1035</v>
      </c>
      <c r="C157" s="206"/>
      <c r="D157" s="2" t="s">
        <v>182</v>
      </c>
      <c r="E157" s="21"/>
      <c r="F157" s="21"/>
      <c r="G157" s="21"/>
    </row>
    <row r="158" spans="1:7" ht="18" customHeight="1" x14ac:dyDescent="0.2">
      <c r="A158" s="21"/>
      <c r="B158" s="26"/>
      <c r="C158" s="26"/>
      <c r="D158" s="26"/>
      <c r="E158" s="21"/>
      <c r="F158" s="21"/>
      <c r="G158" s="21"/>
    </row>
    <row r="159" spans="1:7" ht="29.1" customHeight="1" x14ac:dyDescent="0.2">
      <c r="A159" s="21"/>
      <c r="B159" s="205" t="s">
        <v>192</v>
      </c>
      <c r="C159" s="206"/>
      <c r="D159" s="2" t="s">
        <v>182</v>
      </c>
      <c r="E159" s="27"/>
      <c r="F159" s="21"/>
      <c r="G159" s="21"/>
    </row>
    <row r="160" spans="1:7" ht="29.1" customHeight="1" x14ac:dyDescent="0.2">
      <c r="A160" s="21"/>
      <c r="B160" s="205" t="s">
        <v>193</v>
      </c>
      <c r="C160" s="206"/>
      <c r="D160" s="2" t="s">
        <v>182</v>
      </c>
      <c r="E160" s="27"/>
      <c r="F160" s="21"/>
      <c r="G160" s="21"/>
    </row>
    <row r="161" spans="1:7" ht="17.100000000000001" customHeight="1" x14ac:dyDescent="0.2">
      <c r="A161" s="21"/>
      <c r="B161" s="205" t="s">
        <v>194</v>
      </c>
      <c r="C161" s="206"/>
      <c r="D161" s="2" t="s">
        <v>182</v>
      </c>
      <c r="E161" s="27"/>
      <c r="F161" s="21"/>
      <c r="G161" s="21"/>
    </row>
    <row r="162" spans="1:7" ht="17.100000000000001" customHeight="1" x14ac:dyDescent="0.2">
      <c r="A162" s="21"/>
      <c r="B162" s="205" t="s">
        <v>195</v>
      </c>
      <c r="C162" s="206"/>
      <c r="D162" s="28">
        <v>0.65724824688478745</v>
      </c>
      <c r="E162" s="21"/>
      <c r="F162" s="18"/>
      <c r="G162" s="25"/>
    </row>
    <row r="164" spans="1:7" x14ac:dyDescent="0.2">
      <c r="B164" s="105" t="s">
        <v>1018</v>
      </c>
    </row>
    <row r="165" spans="1:7" ht="38.25" x14ac:dyDescent="0.2">
      <c r="B165" s="67" t="s">
        <v>985</v>
      </c>
      <c r="C165" s="67" t="s">
        <v>986</v>
      </c>
      <c r="D165" s="67" t="s">
        <v>987</v>
      </c>
      <c r="E165" s="67" t="s">
        <v>988</v>
      </c>
      <c r="F165" s="67" t="s">
        <v>989</v>
      </c>
    </row>
    <row r="166" spans="1:7" x14ac:dyDescent="0.2">
      <c r="B166" s="106" t="s">
        <v>1016</v>
      </c>
      <c r="C166" s="101" t="s">
        <v>1014</v>
      </c>
      <c r="D166" s="102">
        <v>0</v>
      </c>
      <c r="E166" s="103">
        <v>0</v>
      </c>
      <c r="F166" s="104">
        <v>29.407129999999999</v>
      </c>
    </row>
  </sheetData>
  <mergeCells count="14">
    <mergeCell ref="B162:C162"/>
    <mergeCell ref="B148:C148"/>
    <mergeCell ref="B149:C149"/>
    <mergeCell ref="B157:C157"/>
    <mergeCell ref="B159:C159"/>
    <mergeCell ref="B160:C160"/>
    <mergeCell ref="B161:C161"/>
    <mergeCell ref="J2:N2"/>
    <mergeCell ref="B147:C147"/>
    <mergeCell ref="B144:F144"/>
    <mergeCell ref="B146:D146"/>
    <mergeCell ref="A1:H1"/>
    <mergeCell ref="A2:H2"/>
    <mergeCell ref="A3:H3"/>
  </mergeCells>
  <hyperlinks>
    <hyperlink ref="I1" location="Index!B21" display="Index" xr:uid="{3B165E09-91E0-4A07-B6C2-9CD69DE3AE64}"/>
  </hyperlink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9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760</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761</v>
      </c>
      <c r="C7" s="4" t="s">
        <v>762</v>
      </c>
      <c r="D7" s="4" t="s">
        <v>16</v>
      </c>
      <c r="E7" s="5">
        <v>5962</v>
      </c>
      <c r="F7" s="6">
        <v>95.213139999999996</v>
      </c>
      <c r="G7" s="7">
        <v>1.3279849999999999E-2</v>
      </c>
      <c r="H7" s="113"/>
    </row>
    <row r="8" spans="1:14" ht="17.100000000000001" customHeight="1" x14ac:dyDescent="0.2">
      <c r="A8" s="3">
        <v>2</v>
      </c>
      <c r="B8" s="4" t="s">
        <v>763</v>
      </c>
      <c r="C8" s="4" t="s">
        <v>764</v>
      </c>
      <c r="D8" s="4" t="s">
        <v>61</v>
      </c>
      <c r="E8" s="5">
        <v>9497</v>
      </c>
      <c r="F8" s="6">
        <v>93.825611499999994</v>
      </c>
      <c r="G8" s="7">
        <v>1.308633E-2</v>
      </c>
      <c r="H8" s="113"/>
    </row>
    <row r="9" spans="1:14" ht="29.1" customHeight="1" x14ac:dyDescent="0.2">
      <c r="A9" s="3">
        <v>3</v>
      </c>
      <c r="B9" s="4" t="s">
        <v>64</v>
      </c>
      <c r="C9" s="4" t="s">
        <v>65</v>
      </c>
      <c r="D9" s="4" t="s">
        <v>31</v>
      </c>
      <c r="E9" s="5">
        <v>3091</v>
      </c>
      <c r="F9" s="6">
        <v>86.671639999999996</v>
      </c>
      <c r="G9" s="7">
        <v>1.208853E-2</v>
      </c>
      <c r="H9" s="113"/>
    </row>
    <row r="10" spans="1:14" ht="17.100000000000001" customHeight="1" x14ac:dyDescent="0.2">
      <c r="A10" s="3">
        <v>4</v>
      </c>
      <c r="B10" s="4" t="s">
        <v>205</v>
      </c>
      <c r="C10" s="4" t="s">
        <v>206</v>
      </c>
      <c r="D10" s="4" t="s">
        <v>207</v>
      </c>
      <c r="E10" s="5">
        <v>2808</v>
      </c>
      <c r="F10" s="6">
        <v>85.782995999999997</v>
      </c>
      <c r="G10" s="7">
        <v>1.1964580000000001E-2</v>
      </c>
      <c r="H10" s="113"/>
    </row>
    <row r="11" spans="1:14" ht="17.100000000000001" customHeight="1" x14ac:dyDescent="0.2">
      <c r="A11" s="3">
        <v>5</v>
      </c>
      <c r="B11" s="4" t="s">
        <v>119</v>
      </c>
      <c r="C11" s="4" t="s">
        <v>120</v>
      </c>
      <c r="D11" s="4" t="s">
        <v>19</v>
      </c>
      <c r="E11" s="5">
        <v>65395</v>
      </c>
      <c r="F11" s="6">
        <v>84.915407500000001</v>
      </c>
      <c r="G11" s="7">
        <v>1.1843579999999999E-2</v>
      </c>
      <c r="H11" s="113"/>
    </row>
    <row r="12" spans="1:14" ht="17.100000000000001" customHeight="1" x14ac:dyDescent="0.2">
      <c r="A12" s="3">
        <v>6</v>
      </c>
      <c r="B12" s="4" t="s">
        <v>672</v>
      </c>
      <c r="C12" s="4" t="s">
        <v>673</v>
      </c>
      <c r="D12" s="4" t="s">
        <v>73</v>
      </c>
      <c r="E12" s="5">
        <v>11495</v>
      </c>
      <c r="F12" s="6">
        <v>83.499679999999998</v>
      </c>
      <c r="G12" s="7">
        <v>1.1646119999999999E-2</v>
      </c>
      <c r="H12" s="113"/>
    </row>
    <row r="13" spans="1:14" ht="17.100000000000001" customHeight="1" x14ac:dyDescent="0.2">
      <c r="A13" s="3">
        <v>7</v>
      </c>
      <c r="B13" s="4" t="s">
        <v>765</v>
      </c>
      <c r="C13" s="4" t="s">
        <v>766</v>
      </c>
      <c r="D13" s="4" t="s">
        <v>248</v>
      </c>
      <c r="E13" s="5">
        <v>1960</v>
      </c>
      <c r="F13" s="6">
        <v>81.135180000000005</v>
      </c>
      <c r="G13" s="7">
        <v>1.1316329999999999E-2</v>
      </c>
      <c r="H13" s="113"/>
      <c r="J13" s="194" t="s">
        <v>1169</v>
      </c>
    </row>
    <row r="14" spans="1:14" ht="17.100000000000001" customHeight="1" x14ac:dyDescent="0.2">
      <c r="A14" s="3">
        <v>8</v>
      </c>
      <c r="B14" s="4" t="s">
        <v>59</v>
      </c>
      <c r="C14" s="4" t="s">
        <v>60</v>
      </c>
      <c r="D14" s="4" t="s">
        <v>61</v>
      </c>
      <c r="E14" s="5">
        <v>49507</v>
      </c>
      <c r="F14" s="6">
        <v>80.250846999999993</v>
      </c>
      <c r="G14" s="7">
        <v>1.119299E-2</v>
      </c>
      <c r="H14" s="113"/>
    </row>
    <row r="15" spans="1:14" ht="29.1" customHeight="1" x14ac:dyDescent="0.2">
      <c r="A15" s="3">
        <v>9</v>
      </c>
      <c r="B15" s="4" t="s">
        <v>29</v>
      </c>
      <c r="C15" s="4" t="s">
        <v>30</v>
      </c>
      <c r="D15" s="4" t="s">
        <v>31</v>
      </c>
      <c r="E15" s="5">
        <v>43471</v>
      </c>
      <c r="F15" s="6">
        <v>80.073582000000002</v>
      </c>
      <c r="G15" s="7">
        <v>1.1168259999999999E-2</v>
      </c>
      <c r="H15" s="113"/>
    </row>
    <row r="16" spans="1:14" ht="17.100000000000001" customHeight="1" x14ac:dyDescent="0.2">
      <c r="A16" s="3">
        <v>10</v>
      </c>
      <c r="B16" s="4" t="s">
        <v>561</v>
      </c>
      <c r="C16" s="4" t="s">
        <v>562</v>
      </c>
      <c r="D16" s="4" t="s">
        <v>248</v>
      </c>
      <c r="E16" s="5">
        <v>1178</v>
      </c>
      <c r="F16" s="6">
        <v>80.071605000000005</v>
      </c>
      <c r="G16" s="7">
        <v>1.1167989999999999E-2</v>
      </c>
      <c r="H16" s="113"/>
    </row>
    <row r="17" spans="1:8" ht="17.100000000000001" customHeight="1" x14ac:dyDescent="0.2">
      <c r="A17" s="3">
        <v>11</v>
      </c>
      <c r="B17" s="4" t="s">
        <v>246</v>
      </c>
      <c r="C17" s="4" t="s">
        <v>247</v>
      </c>
      <c r="D17" s="4" t="s">
        <v>248</v>
      </c>
      <c r="E17" s="5">
        <v>3935</v>
      </c>
      <c r="F17" s="6">
        <v>79.715230000000005</v>
      </c>
      <c r="G17" s="7">
        <v>1.1118279999999999E-2</v>
      </c>
      <c r="H17" s="113"/>
    </row>
    <row r="18" spans="1:8" ht="17.100000000000001" customHeight="1" x14ac:dyDescent="0.2">
      <c r="A18" s="3">
        <v>12</v>
      </c>
      <c r="B18" s="4" t="s">
        <v>112</v>
      </c>
      <c r="C18" s="4" t="s">
        <v>113</v>
      </c>
      <c r="D18" s="4" t="s">
        <v>114</v>
      </c>
      <c r="E18" s="5">
        <v>20915</v>
      </c>
      <c r="F18" s="6">
        <v>78.6404</v>
      </c>
      <c r="G18" s="7">
        <v>1.096837E-2</v>
      </c>
      <c r="H18" s="113"/>
    </row>
    <row r="19" spans="1:8" ht="17.100000000000001" customHeight="1" x14ac:dyDescent="0.2">
      <c r="A19" s="3">
        <v>13</v>
      </c>
      <c r="B19" s="4" t="s">
        <v>14</v>
      </c>
      <c r="C19" s="4" t="s">
        <v>15</v>
      </c>
      <c r="D19" s="4" t="s">
        <v>16</v>
      </c>
      <c r="E19" s="5">
        <v>25235</v>
      </c>
      <c r="F19" s="6">
        <v>78.518702500000003</v>
      </c>
      <c r="G19" s="7">
        <v>1.09514E-2</v>
      </c>
      <c r="H19" s="113"/>
    </row>
    <row r="20" spans="1:8" ht="17.100000000000001" customHeight="1" x14ac:dyDescent="0.2">
      <c r="A20" s="3">
        <v>14</v>
      </c>
      <c r="B20" s="4" t="s">
        <v>337</v>
      </c>
      <c r="C20" s="4" t="s">
        <v>338</v>
      </c>
      <c r="D20" s="4" t="s">
        <v>339</v>
      </c>
      <c r="E20" s="5">
        <v>12663</v>
      </c>
      <c r="F20" s="6">
        <v>77.858455500000005</v>
      </c>
      <c r="G20" s="7">
        <v>1.085931E-2</v>
      </c>
      <c r="H20" s="113"/>
    </row>
    <row r="21" spans="1:8" ht="29.1" customHeight="1" x14ac:dyDescent="0.2">
      <c r="A21" s="3">
        <v>15</v>
      </c>
      <c r="B21" s="4" t="s">
        <v>767</v>
      </c>
      <c r="C21" s="4" t="s">
        <v>768</v>
      </c>
      <c r="D21" s="4" t="s">
        <v>245</v>
      </c>
      <c r="E21" s="5">
        <v>8739</v>
      </c>
      <c r="F21" s="6">
        <v>77.558625000000006</v>
      </c>
      <c r="G21" s="7">
        <v>1.0817490000000001E-2</v>
      </c>
      <c r="H21" s="113"/>
    </row>
    <row r="22" spans="1:8" ht="17.100000000000001" customHeight="1" x14ac:dyDescent="0.2">
      <c r="A22" s="3">
        <v>16</v>
      </c>
      <c r="B22" s="4" t="s">
        <v>769</v>
      </c>
      <c r="C22" s="4" t="s">
        <v>770</v>
      </c>
      <c r="D22" s="4" t="s">
        <v>234</v>
      </c>
      <c r="E22" s="5">
        <v>9315</v>
      </c>
      <c r="F22" s="6">
        <v>77.547375000000002</v>
      </c>
      <c r="G22" s="7">
        <v>1.081592E-2</v>
      </c>
      <c r="H22" s="113"/>
    </row>
    <row r="23" spans="1:8" ht="17.100000000000001" customHeight="1" x14ac:dyDescent="0.2">
      <c r="A23" s="3">
        <v>17</v>
      </c>
      <c r="B23" s="4" t="s">
        <v>137</v>
      </c>
      <c r="C23" s="4" t="s">
        <v>138</v>
      </c>
      <c r="D23" s="4" t="s">
        <v>19</v>
      </c>
      <c r="E23" s="5">
        <v>17108</v>
      </c>
      <c r="F23" s="6">
        <v>77.097201999999996</v>
      </c>
      <c r="G23" s="7">
        <v>1.075313E-2</v>
      </c>
      <c r="H23" s="113"/>
    </row>
    <row r="24" spans="1:8" ht="29.1" customHeight="1" x14ac:dyDescent="0.2">
      <c r="A24" s="3">
        <v>18</v>
      </c>
      <c r="B24" s="4" t="s">
        <v>23</v>
      </c>
      <c r="C24" s="4" t="s">
        <v>24</v>
      </c>
      <c r="D24" s="4" t="s">
        <v>25</v>
      </c>
      <c r="E24" s="5">
        <v>733</v>
      </c>
      <c r="F24" s="6">
        <v>76.987356500000004</v>
      </c>
      <c r="G24" s="7">
        <v>1.073781E-2</v>
      </c>
      <c r="H24" s="113"/>
    </row>
    <row r="25" spans="1:8" ht="17.100000000000001" customHeight="1" x14ac:dyDescent="0.2">
      <c r="A25" s="3">
        <v>19</v>
      </c>
      <c r="B25" s="4" t="s">
        <v>771</v>
      </c>
      <c r="C25" s="4" t="s">
        <v>772</v>
      </c>
      <c r="D25" s="4" t="s">
        <v>16</v>
      </c>
      <c r="E25" s="5">
        <v>7351</v>
      </c>
      <c r="F25" s="6">
        <v>76.873082499999995</v>
      </c>
      <c r="G25" s="7">
        <v>1.072187E-2</v>
      </c>
      <c r="H25" s="113"/>
    </row>
    <row r="26" spans="1:8" ht="17.100000000000001" customHeight="1" x14ac:dyDescent="0.2">
      <c r="A26" s="3">
        <v>20</v>
      </c>
      <c r="B26" s="4" t="s">
        <v>66</v>
      </c>
      <c r="C26" s="4" t="s">
        <v>67</v>
      </c>
      <c r="D26" s="4" t="s">
        <v>16</v>
      </c>
      <c r="E26" s="5">
        <v>23063</v>
      </c>
      <c r="F26" s="6">
        <v>76.603754499999994</v>
      </c>
      <c r="G26" s="7">
        <v>1.0684310000000001E-2</v>
      </c>
      <c r="H26" s="113"/>
    </row>
    <row r="27" spans="1:8" ht="17.100000000000001" customHeight="1" x14ac:dyDescent="0.2">
      <c r="A27" s="3">
        <v>21</v>
      </c>
      <c r="B27" s="4" t="s">
        <v>327</v>
      </c>
      <c r="C27" s="4" t="s">
        <v>328</v>
      </c>
      <c r="D27" s="4" t="s">
        <v>295</v>
      </c>
      <c r="E27" s="5">
        <v>6189</v>
      </c>
      <c r="F27" s="6">
        <v>76.551741000000007</v>
      </c>
      <c r="G27" s="7">
        <v>1.067706E-2</v>
      </c>
      <c r="H27" s="113"/>
    </row>
    <row r="28" spans="1:8" ht="29.1" customHeight="1" x14ac:dyDescent="0.2">
      <c r="A28" s="3">
        <v>22</v>
      </c>
      <c r="B28" s="4" t="s">
        <v>773</v>
      </c>
      <c r="C28" s="4" t="s">
        <v>774</v>
      </c>
      <c r="D28" s="4" t="s">
        <v>225</v>
      </c>
      <c r="E28" s="5">
        <v>3263</v>
      </c>
      <c r="F28" s="6">
        <v>75.230096500000002</v>
      </c>
      <c r="G28" s="7">
        <v>1.0492720000000001E-2</v>
      </c>
      <c r="H28" s="113"/>
    </row>
    <row r="29" spans="1:8" ht="29.1" customHeight="1" x14ac:dyDescent="0.2">
      <c r="A29" s="3">
        <v>23</v>
      </c>
      <c r="B29" s="4" t="s">
        <v>575</v>
      </c>
      <c r="C29" s="4" t="s">
        <v>576</v>
      </c>
      <c r="D29" s="4" t="s">
        <v>145</v>
      </c>
      <c r="E29" s="5">
        <v>7337</v>
      </c>
      <c r="F29" s="6">
        <v>75.1565595</v>
      </c>
      <c r="G29" s="7">
        <v>1.0482460000000001E-2</v>
      </c>
      <c r="H29" s="113"/>
    </row>
    <row r="30" spans="1:8" ht="17.100000000000001" customHeight="1" x14ac:dyDescent="0.2">
      <c r="A30" s="3">
        <v>24</v>
      </c>
      <c r="B30" s="4" t="s">
        <v>79</v>
      </c>
      <c r="C30" s="4" t="s">
        <v>80</v>
      </c>
      <c r="D30" s="4" t="s">
        <v>46</v>
      </c>
      <c r="E30" s="5">
        <v>2493</v>
      </c>
      <c r="F30" s="6">
        <v>73.969802999999999</v>
      </c>
      <c r="G30" s="7">
        <v>1.031694E-2</v>
      </c>
      <c r="H30" s="113"/>
    </row>
    <row r="31" spans="1:8" ht="17.100000000000001" customHeight="1" x14ac:dyDescent="0.2">
      <c r="A31" s="3">
        <v>25</v>
      </c>
      <c r="B31" s="4" t="s">
        <v>775</v>
      </c>
      <c r="C31" s="4" t="s">
        <v>776</v>
      </c>
      <c r="D31" s="4" t="s">
        <v>300</v>
      </c>
      <c r="E31" s="5">
        <v>2905</v>
      </c>
      <c r="F31" s="6">
        <v>73.487785000000002</v>
      </c>
      <c r="G31" s="7">
        <v>1.024971E-2</v>
      </c>
      <c r="H31" s="113"/>
    </row>
    <row r="32" spans="1:8" ht="29.1" customHeight="1" x14ac:dyDescent="0.2">
      <c r="A32" s="3">
        <v>26</v>
      </c>
      <c r="B32" s="4" t="s">
        <v>481</v>
      </c>
      <c r="C32" s="4" t="s">
        <v>482</v>
      </c>
      <c r="D32" s="4" t="s">
        <v>483</v>
      </c>
      <c r="E32" s="5">
        <v>6719</v>
      </c>
      <c r="F32" s="6">
        <v>73.022092000000001</v>
      </c>
      <c r="G32" s="7">
        <v>1.0184759999999999E-2</v>
      </c>
      <c r="H32" s="113"/>
    </row>
    <row r="33" spans="1:8" ht="17.100000000000001" customHeight="1" x14ac:dyDescent="0.2">
      <c r="A33" s="3">
        <v>27</v>
      </c>
      <c r="B33" s="4" t="s">
        <v>258</v>
      </c>
      <c r="C33" s="4" t="s">
        <v>259</v>
      </c>
      <c r="D33" s="4" t="s">
        <v>207</v>
      </c>
      <c r="E33" s="5">
        <v>1413</v>
      </c>
      <c r="F33" s="6">
        <v>72.630319499999999</v>
      </c>
      <c r="G33" s="7">
        <v>1.0130109999999999E-2</v>
      </c>
      <c r="H33" s="113"/>
    </row>
    <row r="34" spans="1:8" ht="29.1" customHeight="1" x14ac:dyDescent="0.2">
      <c r="A34" s="3">
        <v>28</v>
      </c>
      <c r="B34" s="4" t="s">
        <v>668</v>
      </c>
      <c r="C34" s="4" t="s">
        <v>669</v>
      </c>
      <c r="D34" s="4" t="s">
        <v>25</v>
      </c>
      <c r="E34" s="5">
        <v>13906</v>
      </c>
      <c r="F34" s="6">
        <v>72.436353999999994</v>
      </c>
      <c r="G34" s="7">
        <v>1.0103060000000001E-2</v>
      </c>
      <c r="H34" s="113"/>
    </row>
    <row r="35" spans="1:8" ht="17.100000000000001" customHeight="1" x14ac:dyDescent="0.2">
      <c r="A35" s="3">
        <v>29</v>
      </c>
      <c r="B35" s="4" t="s">
        <v>11</v>
      </c>
      <c r="C35" s="4" t="s">
        <v>12</v>
      </c>
      <c r="D35" s="4" t="s">
        <v>13</v>
      </c>
      <c r="E35" s="5">
        <v>2054</v>
      </c>
      <c r="F35" s="6">
        <v>72.424040000000005</v>
      </c>
      <c r="G35" s="7">
        <v>1.010134E-2</v>
      </c>
      <c r="H35" s="113"/>
    </row>
    <row r="36" spans="1:8" ht="17.100000000000001" customHeight="1" x14ac:dyDescent="0.2">
      <c r="A36" s="3">
        <v>30</v>
      </c>
      <c r="B36" s="4" t="s">
        <v>333</v>
      </c>
      <c r="C36" s="4" t="s">
        <v>334</v>
      </c>
      <c r="D36" s="4" t="s">
        <v>207</v>
      </c>
      <c r="E36" s="5">
        <v>58442</v>
      </c>
      <c r="F36" s="6">
        <v>72.292754000000002</v>
      </c>
      <c r="G36" s="7">
        <v>1.008303E-2</v>
      </c>
      <c r="H36" s="113"/>
    </row>
    <row r="37" spans="1:8" ht="17.100000000000001" customHeight="1" x14ac:dyDescent="0.2">
      <c r="A37" s="3">
        <v>31</v>
      </c>
      <c r="B37" s="4" t="s">
        <v>777</v>
      </c>
      <c r="C37" s="4" t="s">
        <v>778</v>
      </c>
      <c r="D37" s="4" t="s">
        <v>28</v>
      </c>
      <c r="E37" s="5">
        <v>75325</v>
      </c>
      <c r="F37" s="6">
        <v>72.123687500000003</v>
      </c>
      <c r="G37" s="7">
        <v>1.0059449999999999E-2</v>
      </c>
      <c r="H37" s="113"/>
    </row>
    <row r="38" spans="1:8" ht="17.100000000000001" customHeight="1" x14ac:dyDescent="0.2">
      <c r="A38" s="3">
        <v>32</v>
      </c>
      <c r="B38" s="4" t="s">
        <v>37</v>
      </c>
      <c r="C38" s="4" t="s">
        <v>38</v>
      </c>
      <c r="D38" s="4" t="s">
        <v>16</v>
      </c>
      <c r="E38" s="5">
        <v>30281</v>
      </c>
      <c r="F38" s="6">
        <v>71.826532</v>
      </c>
      <c r="G38" s="7">
        <v>1.0018010000000001E-2</v>
      </c>
      <c r="H38" s="113"/>
    </row>
    <row r="39" spans="1:8" ht="17.100000000000001" customHeight="1" x14ac:dyDescent="0.2">
      <c r="A39" s="3">
        <v>33</v>
      </c>
      <c r="B39" s="4" t="s">
        <v>565</v>
      </c>
      <c r="C39" s="4" t="s">
        <v>566</v>
      </c>
      <c r="D39" s="4" t="s">
        <v>248</v>
      </c>
      <c r="E39" s="5">
        <v>1726</v>
      </c>
      <c r="F39" s="6">
        <v>71.516810000000007</v>
      </c>
      <c r="G39" s="7">
        <v>9.9748100000000006E-3</v>
      </c>
      <c r="H39" s="113"/>
    </row>
    <row r="40" spans="1:8" ht="17.100000000000001" customHeight="1" x14ac:dyDescent="0.2">
      <c r="A40" s="3">
        <v>34</v>
      </c>
      <c r="B40" s="4" t="s">
        <v>779</v>
      </c>
      <c r="C40" s="4" t="s">
        <v>780</v>
      </c>
      <c r="D40" s="4" t="s">
        <v>53</v>
      </c>
      <c r="E40" s="5">
        <v>4836</v>
      </c>
      <c r="F40" s="6">
        <v>71.393867999999998</v>
      </c>
      <c r="G40" s="7">
        <v>9.9576600000000001E-3</v>
      </c>
      <c r="H40" s="113"/>
    </row>
    <row r="41" spans="1:8" ht="17.100000000000001" customHeight="1" x14ac:dyDescent="0.2">
      <c r="A41" s="3">
        <v>35</v>
      </c>
      <c r="B41" s="4" t="s">
        <v>340</v>
      </c>
      <c r="C41" s="4" t="s">
        <v>341</v>
      </c>
      <c r="D41" s="4" t="s">
        <v>28</v>
      </c>
      <c r="E41" s="5">
        <v>16251</v>
      </c>
      <c r="F41" s="6">
        <v>71.098124999999996</v>
      </c>
      <c r="G41" s="7">
        <v>9.9164100000000005E-3</v>
      </c>
      <c r="H41" s="113"/>
    </row>
    <row r="42" spans="1:8" ht="17.100000000000001" customHeight="1" x14ac:dyDescent="0.2">
      <c r="A42" s="3">
        <v>36</v>
      </c>
      <c r="B42" s="4" t="s">
        <v>346</v>
      </c>
      <c r="C42" s="4" t="s">
        <v>347</v>
      </c>
      <c r="D42" s="4" t="s">
        <v>891</v>
      </c>
      <c r="E42" s="5">
        <v>1112</v>
      </c>
      <c r="F42" s="6">
        <v>69.999843999999996</v>
      </c>
      <c r="G42" s="7">
        <v>9.7632299999999995E-3</v>
      </c>
      <c r="H42" s="113"/>
    </row>
    <row r="43" spans="1:8" ht="17.100000000000001" customHeight="1" x14ac:dyDescent="0.2">
      <c r="A43" s="3">
        <v>37</v>
      </c>
      <c r="B43" s="4" t="s">
        <v>707</v>
      </c>
      <c r="C43" s="4" t="s">
        <v>708</v>
      </c>
      <c r="D43" s="4" t="s">
        <v>262</v>
      </c>
      <c r="E43" s="5">
        <v>1305</v>
      </c>
      <c r="F43" s="6">
        <v>69.666772499999993</v>
      </c>
      <c r="G43" s="7">
        <v>9.7167699999999996E-3</v>
      </c>
      <c r="H43" s="113"/>
    </row>
    <row r="44" spans="1:8" ht="29.1" customHeight="1" x14ac:dyDescent="0.2">
      <c r="A44" s="3">
        <v>38</v>
      </c>
      <c r="B44" s="4" t="s">
        <v>781</v>
      </c>
      <c r="C44" s="4" t="s">
        <v>782</v>
      </c>
      <c r="D44" s="4" t="s">
        <v>783</v>
      </c>
      <c r="E44" s="5">
        <v>2444</v>
      </c>
      <c r="F44" s="6">
        <v>69.628337999999999</v>
      </c>
      <c r="G44" s="7">
        <v>9.7114100000000002E-3</v>
      </c>
      <c r="H44" s="113"/>
    </row>
    <row r="45" spans="1:8" ht="17.100000000000001" customHeight="1" x14ac:dyDescent="0.2">
      <c r="A45" s="3">
        <v>39</v>
      </c>
      <c r="B45" s="4" t="s">
        <v>784</v>
      </c>
      <c r="C45" s="4" t="s">
        <v>785</v>
      </c>
      <c r="D45" s="4" t="s">
        <v>107</v>
      </c>
      <c r="E45" s="5">
        <v>313</v>
      </c>
      <c r="F45" s="6">
        <v>69.497894000000002</v>
      </c>
      <c r="G45" s="7">
        <v>9.6932200000000007E-3</v>
      </c>
      <c r="H45" s="113"/>
    </row>
    <row r="46" spans="1:8" ht="17.100000000000001" customHeight="1" x14ac:dyDescent="0.2">
      <c r="A46" s="3">
        <v>40</v>
      </c>
      <c r="B46" s="4" t="s">
        <v>786</v>
      </c>
      <c r="C46" s="4" t="s">
        <v>787</v>
      </c>
      <c r="D46" s="4" t="s">
        <v>300</v>
      </c>
      <c r="E46" s="5">
        <v>6118</v>
      </c>
      <c r="F46" s="6">
        <v>69.206816000000003</v>
      </c>
      <c r="G46" s="7">
        <v>9.6526200000000006E-3</v>
      </c>
      <c r="H46" s="113"/>
    </row>
    <row r="47" spans="1:8" ht="17.100000000000001" customHeight="1" x14ac:dyDescent="0.2">
      <c r="A47" s="3">
        <v>41</v>
      </c>
      <c r="B47" s="4" t="s">
        <v>741</v>
      </c>
      <c r="C47" s="4" t="s">
        <v>742</v>
      </c>
      <c r="D47" s="4" t="s">
        <v>262</v>
      </c>
      <c r="E47" s="5">
        <v>260</v>
      </c>
      <c r="F47" s="6">
        <v>69.108779999999996</v>
      </c>
      <c r="G47" s="7">
        <v>9.6389500000000003E-3</v>
      </c>
      <c r="H47" s="113"/>
    </row>
    <row r="48" spans="1:8" ht="17.100000000000001" customHeight="1" x14ac:dyDescent="0.2">
      <c r="A48" s="3">
        <v>42</v>
      </c>
      <c r="B48" s="4" t="s">
        <v>479</v>
      </c>
      <c r="C48" s="4" t="s">
        <v>480</v>
      </c>
      <c r="D48" s="4" t="s">
        <v>891</v>
      </c>
      <c r="E48" s="5">
        <v>4701</v>
      </c>
      <c r="F48" s="6">
        <v>68.921361000000005</v>
      </c>
      <c r="G48" s="7">
        <v>9.6128099999999994E-3</v>
      </c>
      <c r="H48" s="113"/>
    </row>
    <row r="49" spans="1:8" ht="29.1" customHeight="1" x14ac:dyDescent="0.2">
      <c r="A49" s="3">
        <v>43</v>
      </c>
      <c r="B49" s="4" t="s">
        <v>226</v>
      </c>
      <c r="C49" s="4" t="s">
        <v>227</v>
      </c>
      <c r="D49" s="4" t="s">
        <v>225</v>
      </c>
      <c r="E49" s="5">
        <v>9935</v>
      </c>
      <c r="F49" s="6">
        <v>68.472020000000001</v>
      </c>
      <c r="G49" s="7">
        <v>9.5501400000000004E-3</v>
      </c>
      <c r="H49" s="113"/>
    </row>
    <row r="50" spans="1:8" ht="17.100000000000001" customHeight="1" x14ac:dyDescent="0.2">
      <c r="A50" s="3">
        <v>44</v>
      </c>
      <c r="B50" s="4" t="s">
        <v>490</v>
      </c>
      <c r="C50" s="4" t="s">
        <v>491</v>
      </c>
      <c r="D50" s="4" t="s">
        <v>891</v>
      </c>
      <c r="E50" s="5">
        <v>14510</v>
      </c>
      <c r="F50" s="6">
        <v>68.385630000000006</v>
      </c>
      <c r="G50" s="7">
        <v>9.5380900000000008E-3</v>
      </c>
      <c r="H50" s="113"/>
    </row>
    <row r="51" spans="1:8" ht="17.100000000000001" customHeight="1" x14ac:dyDescent="0.2">
      <c r="A51" s="3">
        <v>45</v>
      </c>
      <c r="B51" s="4" t="s">
        <v>20</v>
      </c>
      <c r="C51" s="4" t="s">
        <v>21</v>
      </c>
      <c r="D51" s="4" t="s">
        <v>22</v>
      </c>
      <c r="E51" s="5">
        <v>6583</v>
      </c>
      <c r="F51" s="6">
        <v>67.949725999999998</v>
      </c>
      <c r="G51" s="7">
        <v>9.4772899999999993E-3</v>
      </c>
      <c r="H51" s="113"/>
    </row>
    <row r="52" spans="1:8" ht="17.100000000000001" customHeight="1" x14ac:dyDescent="0.2">
      <c r="A52" s="3">
        <v>46</v>
      </c>
      <c r="B52" s="4" t="s">
        <v>788</v>
      </c>
      <c r="C52" s="4" t="s">
        <v>789</v>
      </c>
      <c r="D52" s="4" t="s">
        <v>790</v>
      </c>
      <c r="E52" s="5">
        <v>26231</v>
      </c>
      <c r="F52" s="6">
        <v>67.8202505</v>
      </c>
      <c r="G52" s="7">
        <v>9.4592300000000008E-3</v>
      </c>
      <c r="H52" s="113"/>
    </row>
    <row r="53" spans="1:8" ht="17.100000000000001" customHeight="1" x14ac:dyDescent="0.2">
      <c r="A53" s="3">
        <v>47</v>
      </c>
      <c r="B53" s="4" t="s">
        <v>729</v>
      </c>
      <c r="C53" s="4" t="s">
        <v>730</v>
      </c>
      <c r="D53" s="4" t="s">
        <v>99</v>
      </c>
      <c r="E53" s="5">
        <v>7687</v>
      </c>
      <c r="F53" s="6">
        <v>67.664817499999998</v>
      </c>
      <c r="G53" s="7">
        <v>9.4375499999999994E-3</v>
      </c>
      <c r="H53" s="113"/>
    </row>
    <row r="54" spans="1:8" ht="17.100000000000001" customHeight="1" x14ac:dyDescent="0.2">
      <c r="A54" s="3">
        <v>48</v>
      </c>
      <c r="B54" s="4" t="s">
        <v>335</v>
      </c>
      <c r="C54" s="4" t="s">
        <v>336</v>
      </c>
      <c r="D54" s="4" t="s">
        <v>28</v>
      </c>
      <c r="E54" s="5">
        <v>4217</v>
      </c>
      <c r="F54" s="6">
        <v>67.427721500000004</v>
      </c>
      <c r="G54" s="7">
        <v>9.4044799999999998E-3</v>
      </c>
      <c r="H54" s="113"/>
    </row>
    <row r="55" spans="1:8" ht="17.100000000000001" customHeight="1" x14ac:dyDescent="0.2">
      <c r="A55" s="3">
        <v>49</v>
      </c>
      <c r="B55" s="4" t="s">
        <v>791</v>
      </c>
      <c r="C55" s="4" t="s">
        <v>792</v>
      </c>
      <c r="D55" s="4" t="s">
        <v>210</v>
      </c>
      <c r="E55" s="5">
        <v>1182</v>
      </c>
      <c r="F55" s="6">
        <v>67.422461999999996</v>
      </c>
      <c r="G55" s="7">
        <v>9.4037500000000007E-3</v>
      </c>
      <c r="H55" s="113"/>
    </row>
    <row r="56" spans="1:8" ht="17.100000000000001" customHeight="1" x14ac:dyDescent="0.2">
      <c r="A56" s="3">
        <v>50</v>
      </c>
      <c r="B56" s="4" t="s">
        <v>359</v>
      </c>
      <c r="C56" s="4" t="s">
        <v>360</v>
      </c>
      <c r="D56" s="4" t="s">
        <v>56</v>
      </c>
      <c r="E56" s="5">
        <v>1828</v>
      </c>
      <c r="F56" s="6">
        <v>67.187225999999995</v>
      </c>
      <c r="G56" s="7">
        <v>9.3709399999999995E-3</v>
      </c>
      <c r="H56" s="113"/>
    </row>
    <row r="57" spans="1:8" ht="17.100000000000001" customHeight="1" x14ac:dyDescent="0.2">
      <c r="A57" s="3">
        <v>51</v>
      </c>
      <c r="B57" s="4" t="s">
        <v>373</v>
      </c>
      <c r="C57" s="4" t="s">
        <v>374</v>
      </c>
      <c r="D57" s="4" t="s">
        <v>207</v>
      </c>
      <c r="E57" s="5">
        <v>1644</v>
      </c>
      <c r="F57" s="6">
        <v>67.118765999999994</v>
      </c>
      <c r="G57" s="7">
        <v>9.3613900000000007E-3</v>
      </c>
      <c r="H57" s="113"/>
    </row>
    <row r="58" spans="1:8" ht="17.100000000000001" customHeight="1" x14ac:dyDescent="0.2">
      <c r="A58" s="3">
        <v>52</v>
      </c>
      <c r="B58" s="4" t="s">
        <v>321</v>
      </c>
      <c r="C58" s="4" t="s">
        <v>322</v>
      </c>
      <c r="D58" s="4" t="s">
        <v>28</v>
      </c>
      <c r="E58" s="5">
        <v>3907</v>
      </c>
      <c r="F58" s="6">
        <v>66.780397500000007</v>
      </c>
      <c r="G58" s="7">
        <v>9.3141999999999999E-3</v>
      </c>
      <c r="H58" s="113"/>
    </row>
    <row r="59" spans="1:8" ht="29.1" customHeight="1" x14ac:dyDescent="0.2">
      <c r="A59" s="3">
        <v>53</v>
      </c>
      <c r="B59" s="4" t="s">
        <v>329</v>
      </c>
      <c r="C59" s="4" t="s">
        <v>330</v>
      </c>
      <c r="D59" s="4" t="s">
        <v>225</v>
      </c>
      <c r="E59" s="5">
        <v>5297</v>
      </c>
      <c r="F59" s="6">
        <v>66.713066499999996</v>
      </c>
      <c r="G59" s="7">
        <v>9.3048100000000002E-3</v>
      </c>
      <c r="H59" s="113"/>
    </row>
    <row r="60" spans="1:8" ht="29.1" customHeight="1" x14ac:dyDescent="0.2">
      <c r="A60" s="3">
        <v>54</v>
      </c>
      <c r="B60" s="4" t="s">
        <v>392</v>
      </c>
      <c r="C60" s="4" t="s">
        <v>393</v>
      </c>
      <c r="D60" s="4" t="s">
        <v>222</v>
      </c>
      <c r="E60" s="5">
        <v>2677</v>
      </c>
      <c r="F60" s="6">
        <v>66.369522500000002</v>
      </c>
      <c r="G60" s="7">
        <v>9.2568900000000003E-3</v>
      </c>
      <c r="H60" s="113"/>
    </row>
    <row r="61" spans="1:8" ht="17.100000000000001" customHeight="1" x14ac:dyDescent="0.2">
      <c r="A61" s="3">
        <v>55</v>
      </c>
      <c r="B61" s="4" t="s">
        <v>17</v>
      </c>
      <c r="C61" s="4" t="s">
        <v>18</v>
      </c>
      <c r="D61" s="4" t="s">
        <v>19</v>
      </c>
      <c r="E61" s="5">
        <v>2565</v>
      </c>
      <c r="F61" s="6">
        <v>66.303967499999999</v>
      </c>
      <c r="G61" s="7">
        <v>9.2477500000000008E-3</v>
      </c>
      <c r="H61" s="113"/>
    </row>
    <row r="62" spans="1:8" ht="17.100000000000001" customHeight="1" x14ac:dyDescent="0.2">
      <c r="A62" s="3">
        <v>56</v>
      </c>
      <c r="B62" s="4" t="s">
        <v>475</v>
      </c>
      <c r="C62" s="4" t="s">
        <v>476</v>
      </c>
      <c r="D62" s="4" t="s">
        <v>234</v>
      </c>
      <c r="E62" s="5">
        <v>4628</v>
      </c>
      <c r="F62" s="6">
        <v>66.300728000000007</v>
      </c>
      <c r="G62" s="7">
        <v>9.2473E-3</v>
      </c>
      <c r="H62" s="113"/>
    </row>
    <row r="63" spans="1:8" ht="29.1" customHeight="1" x14ac:dyDescent="0.2">
      <c r="A63" s="3">
        <v>57</v>
      </c>
      <c r="B63" s="4" t="s">
        <v>793</v>
      </c>
      <c r="C63" s="4" t="s">
        <v>794</v>
      </c>
      <c r="D63" s="4" t="s">
        <v>25</v>
      </c>
      <c r="E63" s="5">
        <v>231</v>
      </c>
      <c r="F63" s="6">
        <v>66.189122999999995</v>
      </c>
      <c r="G63" s="7">
        <v>9.2317300000000005E-3</v>
      </c>
      <c r="H63" s="113"/>
    </row>
    <row r="64" spans="1:8" ht="17.100000000000001" customHeight="1" x14ac:dyDescent="0.2">
      <c r="A64" s="3">
        <v>58</v>
      </c>
      <c r="B64" s="4" t="s">
        <v>559</v>
      </c>
      <c r="C64" s="4" t="s">
        <v>560</v>
      </c>
      <c r="D64" s="4" t="s">
        <v>295</v>
      </c>
      <c r="E64" s="5">
        <v>5920</v>
      </c>
      <c r="F64" s="6">
        <v>66.1708</v>
      </c>
      <c r="G64" s="7">
        <v>9.2291700000000001E-3</v>
      </c>
      <c r="H64" s="113"/>
    </row>
    <row r="65" spans="1:8" ht="17.100000000000001" customHeight="1" x14ac:dyDescent="0.2">
      <c r="A65" s="3">
        <v>59</v>
      </c>
      <c r="B65" s="4" t="s">
        <v>39</v>
      </c>
      <c r="C65" s="4" t="s">
        <v>40</v>
      </c>
      <c r="D65" s="4" t="s">
        <v>41</v>
      </c>
      <c r="E65" s="5">
        <v>1412</v>
      </c>
      <c r="F65" s="6">
        <v>66.008882</v>
      </c>
      <c r="G65" s="7">
        <v>9.2065900000000006E-3</v>
      </c>
      <c r="H65" s="113"/>
    </row>
    <row r="66" spans="1:8" ht="17.100000000000001" customHeight="1" x14ac:dyDescent="0.2">
      <c r="A66" s="3">
        <v>60</v>
      </c>
      <c r="B66" s="4" t="s">
        <v>89</v>
      </c>
      <c r="C66" s="4" t="s">
        <v>90</v>
      </c>
      <c r="D66" s="4" t="s">
        <v>41</v>
      </c>
      <c r="E66" s="5">
        <v>1636</v>
      </c>
      <c r="F66" s="6">
        <v>65.844092000000003</v>
      </c>
      <c r="G66" s="7">
        <v>9.18361E-3</v>
      </c>
      <c r="H66" s="113"/>
    </row>
    <row r="67" spans="1:8" ht="17.100000000000001" customHeight="1" x14ac:dyDescent="0.2">
      <c r="A67" s="3">
        <v>61</v>
      </c>
      <c r="B67" s="4" t="s">
        <v>68</v>
      </c>
      <c r="C67" s="4" t="s">
        <v>69</v>
      </c>
      <c r="D67" s="4" t="s">
        <v>70</v>
      </c>
      <c r="E67" s="5">
        <v>32061</v>
      </c>
      <c r="F67" s="6">
        <v>65.741080499999995</v>
      </c>
      <c r="G67" s="7">
        <v>9.1692400000000004E-3</v>
      </c>
      <c r="H67" s="113"/>
    </row>
    <row r="68" spans="1:8" ht="29.1" customHeight="1" x14ac:dyDescent="0.2">
      <c r="A68" s="3">
        <v>62</v>
      </c>
      <c r="B68" s="4" t="s">
        <v>795</v>
      </c>
      <c r="C68" s="4" t="s">
        <v>796</v>
      </c>
      <c r="D68" s="4" t="s">
        <v>25</v>
      </c>
      <c r="E68" s="5">
        <v>3066</v>
      </c>
      <c r="F68" s="6">
        <v>65.452967999999998</v>
      </c>
      <c r="G68" s="7">
        <v>9.1290499999999997E-3</v>
      </c>
      <c r="H68" s="113"/>
    </row>
    <row r="69" spans="1:8" ht="17.100000000000001" customHeight="1" x14ac:dyDescent="0.2">
      <c r="A69" s="3">
        <v>63</v>
      </c>
      <c r="B69" s="4" t="s">
        <v>325</v>
      </c>
      <c r="C69" s="4" t="s">
        <v>326</v>
      </c>
      <c r="D69" s="4" t="s">
        <v>28</v>
      </c>
      <c r="E69" s="5">
        <v>5931</v>
      </c>
      <c r="F69" s="6">
        <v>65.377413000000004</v>
      </c>
      <c r="G69" s="7">
        <v>9.1185199999999998E-3</v>
      </c>
      <c r="H69" s="113"/>
    </row>
    <row r="70" spans="1:8" ht="17.100000000000001" customHeight="1" x14ac:dyDescent="0.2">
      <c r="A70" s="3">
        <v>64</v>
      </c>
      <c r="B70" s="4" t="s">
        <v>563</v>
      </c>
      <c r="C70" s="4" t="s">
        <v>564</v>
      </c>
      <c r="D70" s="4" t="s">
        <v>248</v>
      </c>
      <c r="E70" s="5">
        <v>3778</v>
      </c>
      <c r="F70" s="6">
        <v>65.336731999999998</v>
      </c>
      <c r="G70" s="7">
        <v>9.1128400000000005E-3</v>
      </c>
      <c r="H70" s="113"/>
    </row>
    <row r="71" spans="1:8" ht="29.1" customHeight="1" x14ac:dyDescent="0.2">
      <c r="A71" s="3">
        <v>65</v>
      </c>
      <c r="B71" s="4" t="s">
        <v>797</v>
      </c>
      <c r="C71" s="4" t="s">
        <v>798</v>
      </c>
      <c r="D71" s="4" t="s">
        <v>222</v>
      </c>
      <c r="E71" s="5">
        <v>2398</v>
      </c>
      <c r="F71" s="6">
        <v>65.108097999999998</v>
      </c>
      <c r="G71" s="7">
        <v>9.0809500000000008E-3</v>
      </c>
      <c r="H71" s="113"/>
    </row>
    <row r="72" spans="1:8" ht="17.100000000000001" customHeight="1" x14ac:dyDescent="0.2">
      <c r="A72" s="3">
        <v>66</v>
      </c>
      <c r="B72" s="4" t="s">
        <v>477</v>
      </c>
      <c r="C72" s="4" t="s">
        <v>478</v>
      </c>
      <c r="D72" s="4" t="s">
        <v>28</v>
      </c>
      <c r="E72" s="5">
        <v>28098</v>
      </c>
      <c r="F72" s="6">
        <v>64.934477999999999</v>
      </c>
      <c r="G72" s="7">
        <v>9.0567400000000006E-3</v>
      </c>
      <c r="H72" s="113"/>
    </row>
    <row r="73" spans="1:8" ht="17.100000000000001" customHeight="1" x14ac:dyDescent="0.2">
      <c r="A73" s="3">
        <v>67</v>
      </c>
      <c r="B73" s="4" t="s">
        <v>367</v>
      </c>
      <c r="C73" s="4" t="s">
        <v>368</v>
      </c>
      <c r="D73" s="4" t="s">
        <v>99</v>
      </c>
      <c r="E73" s="5">
        <v>46481</v>
      </c>
      <c r="F73" s="6">
        <v>64.887476000000007</v>
      </c>
      <c r="G73" s="7">
        <v>9.0501799999999997E-3</v>
      </c>
      <c r="H73" s="113"/>
    </row>
    <row r="74" spans="1:8" ht="17.100000000000001" customHeight="1" x14ac:dyDescent="0.2">
      <c r="A74" s="3">
        <v>68</v>
      </c>
      <c r="B74" s="4" t="s">
        <v>203</v>
      </c>
      <c r="C74" s="4" t="s">
        <v>204</v>
      </c>
      <c r="D74" s="4" t="s">
        <v>53</v>
      </c>
      <c r="E74" s="5">
        <v>3160</v>
      </c>
      <c r="F74" s="6">
        <v>64.884280000000004</v>
      </c>
      <c r="G74" s="7">
        <v>9.0497400000000006E-3</v>
      </c>
      <c r="H74" s="113"/>
    </row>
    <row r="75" spans="1:8" ht="17.100000000000001" customHeight="1" x14ac:dyDescent="0.2">
      <c r="A75" s="3">
        <v>69</v>
      </c>
      <c r="B75" s="4" t="s">
        <v>62</v>
      </c>
      <c r="C75" s="4" t="s">
        <v>63</v>
      </c>
      <c r="D75" s="4" t="s">
        <v>28</v>
      </c>
      <c r="E75" s="5">
        <v>10092</v>
      </c>
      <c r="F75" s="6">
        <v>64.795686000000003</v>
      </c>
      <c r="G75" s="7">
        <v>9.0373799999999994E-3</v>
      </c>
      <c r="H75" s="113"/>
    </row>
    <row r="76" spans="1:8" ht="17.100000000000001" customHeight="1" x14ac:dyDescent="0.2">
      <c r="A76" s="3">
        <v>70</v>
      </c>
      <c r="B76" s="4" t="s">
        <v>484</v>
      </c>
      <c r="C76" s="4" t="s">
        <v>485</v>
      </c>
      <c r="D76" s="4" t="s">
        <v>28</v>
      </c>
      <c r="E76" s="5">
        <v>3390</v>
      </c>
      <c r="F76" s="6">
        <v>64.68459</v>
      </c>
      <c r="G76" s="7">
        <v>9.0218799999999995E-3</v>
      </c>
      <c r="H76" s="113"/>
    </row>
    <row r="77" spans="1:8" ht="17.100000000000001" customHeight="1" x14ac:dyDescent="0.2">
      <c r="A77" s="3">
        <v>71</v>
      </c>
      <c r="B77" s="4" t="s">
        <v>97</v>
      </c>
      <c r="C77" s="4" t="s">
        <v>98</v>
      </c>
      <c r="D77" s="4" t="s">
        <v>99</v>
      </c>
      <c r="E77" s="5">
        <v>8621</v>
      </c>
      <c r="F77" s="6">
        <v>64.493701000000001</v>
      </c>
      <c r="G77" s="7">
        <v>8.9952599999999997E-3</v>
      </c>
      <c r="H77" s="113"/>
    </row>
    <row r="78" spans="1:8" ht="29.1" customHeight="1" x14ac:dyDescent="0.2">
      <c r="A78" s="3">
        <v>72</v>
      </c>
      <c r="B78" s="4" t="s">
        <v>799</v>
      </c>
      <c r="C78" s="4" t="s">
        <v>800</v>
      </c>
      <c r="D78" s="4" t="s">
        <v>234</v>
      </c>
      <c r="E78" s="5">
        <v>4536</v>
      </c>
      <c r="F78" s="6">
        <v>64.415735999999995</v>
      </c>
      <c r="G78" s="7">
        <v>8.9843900000000001E-3</v>
      </c>
      <c r="H78" s="113"/>
    </row>
    <row r="79" spans="1:8" ht="17.100000000000001" customHeight="1" x14ac:dyDescent="0.2">
      <c r="A79" s="3">
        <v>73</v>
      </c>
      <c r="B79" s="4" t="s">
        <v>355</v>
      </c>
      <c r="C79" s="4" t="s">
        <v>356</v>
      </c>
      <c r="D79" s="4" t="s">
        <v>350</v>
      </c>
      <c r="E79" s="5">
        <v>2418</v>
      </c>
      <c r="F79" s="6">
        <v>64.414310999999998</v>
      </c>
      <c r="G79" s="7">
        <v>8.9841899999999995E-3</v>
      </c>
      <c r="H79" s="113"/>
    </row>
    <row r="80" spans="1:8" ht="17.100000000000001" customHeight="1" x14ac:dyDescent="0.2">
      <c r="A80" s="3">
        <v>74</v>
      </c>
      <c r="B80" s="4" t="s">
        <v>386</v>
      </c>
      <c r="C80" s="4" t="s">
        <v>387</v>
      </c>
      <c r="D80" s="4" t="s">
        <v>53</v>
      </c>
      <c r="E80" s="5">
        <v>3811</v>
      </c>
      <c r="F80" s="6">
        <v>64.245838000000006</v>
      </c>
      <c r="G80" s="7">
        <v>8.9606900000000003E-3</v>
      </c>
      <c r="H80" s="113"/>
    </row>
    <row r="81" spans="1:8" ht="17.100000000000001" customHeight="1" x14ac:dyDescent="0.2">
      <c r="A81" s="3">
        <v>75</v>
      </c>
      <c r="B81" s="4" t="s">
        <v>351</v>
      </c>
      <c r="C81" s="4" t="s">
        <v>352</v>
      </c>
      <c r="D81" s="4" t="s">
        <v>248</v>
      </c>
      <c r="E81" s="5">
        <v>8222</v>
      </c>
      <c r="F81" s="6">
        <v>64.127488999999997</v>
      </c>
      <c r="G81" s="7">
        <v>8.9441799999999995E-3</v>
      </c>
      <c r="H81" s="113"/>
    </row>
    <row r="82" spans="1:8" ht="29.1" customHeight="1" x14ac:dyDescent="0.2">
      <c r="A82" s="3">
        <v>76</v>
      </c>
      <c r="B82" s="4" t="s">
        <v>486</v>
      </c>
      <c r="C82" s="4" t="s">
        <v>487</v>
      </c>
      <c r="D82" s="4" t="s">
        <v>225</v>
      </c>
      <c r="E82" s="5">
        <v>5133</v>
      </c>
      <c r="F82" s="6">
        <v>63.972579000000003</v>
      </c>
      <c r="G82" s="7">
        <v>8.9225799999999994E-3</v>
      </c>
      <c r="H82" s="113"/>
    </row>
    <row r="83" spans="1:8" ht="29.1" customHeight="1" x14ac:dyDescent="0.2">
      <c r="A83" s="3">
        <v>77</v>
      </c>
      <c r="B83" s="4" t="s">
        <v>353</v>
      </c>
      <c r="C83" s="4" t="s">
        <v>354</v>
      </c>
      <c r="D83" s="4" t="s">
        <v>225</v>
      </c>
      <c r="E83" s="5">
        <v>1101</v>
      </c>
      <c r="F83" s="6">
        <v>63.834879000000001</v>
      </c>
      <c r="G83" s="7">
        <v>8.9033700000000007E-3</v>
      </c>
      <c r="H83" s="113"/>
    </row>
    <row r="84" spans="1:8" ht="17.100000000000001" customHeight="1" x14ac:dyDescent="0.2">
      <c r="A84" s="3">
        <v>78</v>
      </c>
      <c r="B84" s="4" t="s">
        <v>331</v>
      </c>
      <c r="C84" s="4" t="s">
        <v>332</v>
      </c>
      <c r="D84" s="4" t="s">
        <v>891</v>
      </c>
      <c r="E84" s="5">
        <v>1680</v>
      </c>
      <c r="F84" s="6">
        <v>63.729120000000002</v>
      </c>
      <c r="G84" s="7">
        <v>8.8886199999999999E-3</v>
      </c>
      <c r="H84" s="113"/>
    </row>
    <row r="85" spans="1:8" ht="17.100000000000001" customHeight="1" x14ac:dyDescent="0.2">
      <c r="A85" s="3">
        <v>79</v>
      </c>
      <c r="B85" s="4" t="s">
        <v>323</v>
      </c>
      <c r="C85" s="4" t="s">
        <v>324</v>
      </c>
      <c r="D85" s="4" t="s">
        <v>891</v>
      </c>
      <c r="E85" s="5">
        <v>4111</v>
      </c>
      <c r="F85" s="6">
        <v>63.428618999999998</v>
      </c>
      <c r="G85" s="7">
        <v>8.8467100000000007E-3</v>
      </c>
      <c r="H85" s="113"/>
    </row>
    <row r="86" spans="1:8" ht="17.100000000000001" customHeight="1" x14ac:dyDescent="0.2">
      <c r="A86" s="3">
        <v>80</v>
      </c>
      <c r="B86" s="4" t="s">
        <v>26</v>
      </c>
      <c r="C86" s="4" t="s">
        <v>27</v>
      </c>
      <c r="D86" s="4" t="s">
        <v>28</v>
      </c>
      <c r="E86" s="5">
        <v>6336</v>
      </c>
      <c r="F86" s="6">
        <v>63.144576000000001</v>
      </c>
      <c r="G86" s="7">
        <v>8.8070900000000001E-3</v>
      </c>
      <c r="H86" s="113"/>
    </row>
    <row r="87" spans="1:8" ht="29.1" customHeight="1" x14ac:dyDescent="0.2">
      <c r="A87" s="3">
        <v>81</v>
      </c>
      <c r="B87" s="4" t="s">
        <v>211</v>
      </c>
      <c r="C87" s="4" t="s">
        <v>212</v>
      </c>
      <c r="D87" s="4" t="s">
        <v>53</v>
      </c>
      <c r="E87" s="5">
        <v>5004</v>
      </c>
      <c r="F87" s="6">
        <v>63.040391999999997</v>
      </c>
      <c r="G87" s="7">
        <v>8.7925599999999996E-3</v>
      </c>
      <c r="H87" s="113"/>
    </row>
    <row r="88" spans="1:8" ht="17.100000000000001" customHeight="1" x14ac:dyDescent="0.2">
      <c r="A88" s="3">
        <v>82</v>
      </c>
      <c r="B88" s="4" t="s">
        <v>801</v>
      </c>
      <c r="C88" s="4" t="s">
        <v>802</v>
      </c>
      <c r="D88" s="4" t="s">
        <v>53</v>
      </c>
      <c r="E88" s="5">
        <v>818</v>
      </c>
      <c r="F88" s="6">
        <v>62.778227999999999</v>
      </c>
      <c r="G88" s="7">
        <v>8.75599E-3</v>
      </c>
      <c r="H88" s="113"/>
    </row>
    <row r="89" spans="1:8" ht="17.100000000000001" customHeight="1" x14ac:dyDescent="0.2">
      <c r="A89" s="3">
        <v>83</v>
      </c>
      <c r="B89" s="4" t="s">
        <v>803</v>
      </c>
      <c r="C89" s="4" t="s">
        <v>804</v>
      </c>
      <c r="D89" s="4" t="s">
        <v>107</v>
      </c>
      <c r="E89" s="5">
        <v>61408</v>
      </c>
      <c r="F89" s="6">
        <v>62.605455999999997</v>
      </c>
      <c r="G89" s="7">
        <v>8.7319000000000008E-3</v>
      </c>
      <c r="H89" s="113"/>
    </row>
    <row r="90" spans="1:8" ht="17.100000000000001" customHeight="1" x14ac:dyDescent="0.2">
      <c r="A90" s="3">
        <v>84</v>
      </c>
      <c r="B90" s="4" t="s">
        <v>348</v>
      </c>
      <c r="C90" s="4" t="s">
        <v>349</v>
      </c>
      <c r="D90" s="4" t="s">
        <v>350</v>
      </c>
      <c r="E90" s="5">
        <v>13546</v>
      </c>
      <c r="F90" s="6">
        <v>62.596066</v>
      </c>
      <c r="G90" s="7">
        <v>8.7305899999999999E-3</v>
      </c>
      <c r="H90" s="113"/>
    </row>
    <row r="91" spans="1:8" ht="29.1" customHeight="1" x14ac:dyDescent="0.2">
      <c r="A91" s="3">
        <v>85</v>
      </c>
      <c r="B91" s="4" t="s">
        <v>287</v>
      </c>
      <c r="C91" s="4" t="s">
        <v>288</v>
      </c>
      <c r="D91" s="4" t="s">
        <v>215</v>
      </c>
      <c r="E91" s="5">
        <v>1767</v>
      </c>
      <c r="F91" s="6">
        <v>62.125953000000003</v>
      </c>
      <c r="G91" s="7">
        <v>8.6650200000000007E-3</v>
      </c>
      <c r="H91" s="113"/>
    </row>
    <row r="92" spans="1:8" ht="29.1" customHeight="1" x14ac:dyDescent="0.2">
      <c r="A92" s="3">
        <v>86</v>
      </c>
      <c r="B92" s="4" t="s">
        <v>805</v>
      </c>
      <c r="C92" s="4" t="s">
        <v>806</v>
      </c>
      <c r="D92" s="4" t="s">
        <v>483</v>
      </c>
      <c r="E92" s="5">
        <v>17503</v>
      </c>
      <c r="F92" s="6">
        <v>62.118147</v>
      </c>
      <c r="G92" s="7">
        <v>8.6639300000000002E-3</v>
      </c>
      <c r="H92" s="113"/>
    </row>
    <row r="93" spans="1:8" ht="29.1" customHeight="1" x14ac:dyDescent="0.2">
      <c r="A93" s="3">
        <v>87</v>
      </c>
      <c r="B93" s="4" t="s">
        <v>361</v>
      </c>
      <c r="C93" s="4" t="s">
        <v>362</v>
      </c>
      <c r="D93" s="4" t="s">
        <v>225</v>
      </c>
      <c r="E93" s="5">
        <v>1586</v>
      </c>
      <c r="F93" s="6">
        <v>61.915854000000003</v>
      </c>
      <c r="G93" s="7">
        <v>8.6357099999999996E-3</v>
      </c>
      <c r="H93" s="113"/>
    </row>
    <row r="94" spans="1:8" ht="17.100000000000001" customHeight="1" x14ac:dyDescent="0.2">
      <c r="A94" s="3">
        <v>88</v>
      </c>
      <c r="B94" s="4" t="s">
        <v>571</v>
      </c>
      <c r="C94" s="4" t="s">
        <v>572</v>
      </c>
      <c r="D94" s="4" t="s">
        <v>56</v>
      </c>
      <c r="E94" s="5">
        <v>1814</v>
      </c>
      <c r="F94" s="6">
        <v>61.719535999999998</v>
      </c>
      <c r="G94" s="7">
        <v>8.6083300000000008E-3</v>
      </c>
      <c r="H94" s="113"/>
    </row>
    <row r="95" spans="1:8" ht="17.100000000000001" customHeight="1" x14ac:dyDescent="0.2">
      <c r="A95" s="3">
        <v>89</v>
      </c>
      <c r="B95" s="4" t="s">
        <v>807</v>
      </c>
      <c r="C95" s="4" t="s">
        <v>808</v>
      </c>
      <c r="D95" s="4" t="s">
        <v>56</v>
      </c>
      <c r="E95" s="5">
        <v>9959</v>
      </c>
      <c r="F95" s="6">
        <v>60.217093499999997</v>
      </c>
      <c r="G95" s="7">
        <v>8.3987799999999998E-3</v>
      </c>
      <c r="H95" s="113"/>
    </row>
    <row r="96" spans="1:8" ht="17.100000000000001" customHeight="1" x14ac:dyDescent="0.2">
      <c r="A96" s="3">
        <v>90</v>
      </c>
      <c r="B96" s="4" t="s">
        <v>676</v>
      </c>
      <c r="C96" s="4" t="s">
        <v>677</v>
      </c>
      <c r="D96" s="4" t="s">
        <v>300</v>
      </c>
      <c r="E96" s="5">
        <v>10761</v>
      </c>
      <c r="F96" s="6">
        <v>59.960292000000003</v>
      </c>
      <c r="G96" s="7">
        <v>8.3629599999999991E-3</v>
      </c>
      <c r="H96" s="113"/>
    </row>
    <row r="97" spans="1:8" ht="17.100000000000001" customHeight="1" x14ac:dyDescent="0.2">
      <c r="A97" s="3">
        <v>91</v>
      </c>
      <c r="B97" s="4" t="s">
        <v>809</v>
      </c>
      <c r="C97" s="4" t="s">
        <v>810</v>
      </c>
      <c r="D97" s="4" t="s">
        <v>234</v>
      </c>
      <c r="E97" s="5">
        <v>9236</v>
      </c>
      <c r="F97" s="6">
        <v>59.729211999999997</v>
      </c>
      <c r="G97" s="7">
        <v>8.3307299999999997E-3</v>
      </c>
      <c r="H97" s="113"/>
    </row>
    <row r="98" spans="1:8" ht="29.1" customHeight="1" x14ac:dyDescent="0.2">
      <c r="A98" s="3">
        <v>92</v>
      </c>
      <c r="B98" s="4" t="s">
        <v>811</v>
      </c>
      <c r="C98" s="4" t="s">
        <v>812</v>
      </c>
      <c r="D98" s="4" t="s">
        <v>300</v>
      </c>
      <c r="E98" s="5">
        <v>342</v>
      </c>
      <c r="F98" s="6">
        <v>59.391891000000001</v>
      </c>
      <c r="G98" s="7">
        <v>8.2836899999999998E-3</v>
      </c>
      <c r="H98" s="113"/>
    </row>
    <row r="99" spans="1:8" ht="17.100000000000001" customHeight="1" x14ac:dyDescent="0.2">
      <c r="A99" s="3">
        <v>93</v>
      </c>
      <c r="B99" s="4" t="s">
        <v>577</v>
      </c>
      <c r="C99" s="4" t="s">
        <v>578</v>
      </c>
      <c r="D99" s="4" t="s">
        <v>891</v>
      </c>
      <c r="E99" s="5">
        <v>4658</v>
      </c>
      <c r="F99" s="6">
        <v>59.280037</v>
      </c>
      <c r="G99" s="7">
        <v>8.2680800000000006E-3</v>
      </c>
      <c r="H99" s="113"/>
    </row>
    <row r="100" spans="1:8" ht="17.100000000000001" customHeight="1" x14ac:dyDescent="0.2">
      <c r="A100" s="3">
        <v>94</v>
      </c>
      <c r="B100" s="4" t="s">
        <v>375</v>
      </c>
      <c r="C100" s="4" t="s">
        <v>376</v>
      </c>
      <c r="D100" s="4" t="s">
        <v>248</v>
      </c>
      <c r="E100" s="5">
        <v>568</v>
      </c>
      <c r="F100" s="6">
        <v>58.517347999999998</v>
      </c>
      <c r="G100" s="7">
        <v>8.1617100000000008E-3</v>
      </c>
      <c r="H100" s="113"/>
    </row>
    <row r="101" spans="1:8" ht="17.100000000000001" customHeight="1" x14ac:dyDescent="0.2">
      <c r="A101" s="3">
        <v>95</v>
      </c>
      <c r="B101" s="4" t="s">
        <v>813</v>
      </c>
      <c r="C101" s="4" t="s">
        <v>814</v>
      </c>
      <c r="D101" s="4" t="s">
        <v>56</v>
      </c>
      <c r="E101" s="5">
        <v>4271</v>
      </c>
      <c r="F101" s="6">
        <v>58.425144500000002</v>
      </c>
      <c r="G101" s="7">
        <v>8.1488499999999991E-3</v>
      </c>
      <c r="H101" s="113"/>
    </row>
    <row r="102" spans="1:8" ht="17.100000000000001" customHeight="1" x14ac:dyDescent="0.2">
      <c r="A102" s="3">
        <v>96</v>
      </c>
      <c r="B102" s="4" t="s">
        <v>815</v>
      </c>
      <c r="C102" s="4" t="s">
        <v>816</v>
      </c>
      <c r="D102" s="4" t="s">
        <v>53</v>
      </c>
      <c r="E102" s="5">
        <v>7605</v>
      </c>
      <c r="F102" s="6">
        <v>57.771382500000001</v>
      </c>
      <c r="G102" s="7">
        <v>8.0576599999999995E-3</v>
      </c>
      <c r="H102" s="113"/>
    </row>
    <row r="103" spans="1:8" ht="29.1" customHeight="1" x14ac:dyDescent="0.2">
      <c r="A103" s="3">
        <v>97</v>
      </c>
      <c r="B103" s="4" t="s">
        <v>817</v>
      </c>
      <c r="C103" s="4" t="s">
        <v>818</v>
      </c>
      <c r="D103" s="4" t="s">
        <v>215</v>
      </c>
      <c r="E103" s="5">
        <v>9724</v>
      </c>
      <c r="F103" s="6">
        <v>57.104190000000003</v>
      </c>
      <c r="G103" s="7">
        <v>7.9646100000000004E-3</v>
      </c>
      <c r="H103" s="113"/>
    </row>
    <row r="104" spans="1:8" ht="29.1" customHeight="1" x14ac:dyDescent="0.2">
      <c r="A104" s="3">
        <v>98</v>
      </c>
      <c r="B104" s="4" t="s">
        <v>573</v>
      </c>
      <c r="C104" s="4" t="s">
        <v>574</v>
      </c>
      <c r="D104" s="4" t="s">
        <v>483</v>
      </c>
      <c r="E104" s="5">
        <v>10309</v>
      </c>
      <c r="F104" s="6">
        <v>56.544865000000001</v>
      </c>
      <c r="G104" s="7">
        <v>7.8866000000000006E-3</v>
      </c>
      <c r="H104" s="113"/>
    </row>
    <row r="105" spans="1:8" ht="17.100000000000001" customHeight="1" x14ac:dyDescent="0.2">
      <c r="A105" s="3">
        <v>99</v>
      </c>
      <c r="B105" s="4" t="s">
        <v>365</v>
      </c>
      <c r="C105" s="4" t="s">
        <v>366</v>
      </c>
      <c r="D105" s="4" t="s">
        <v>53</v>
      </c>
      <c r="E105" s="5">
        <v>762</v>
      </c>
      <c r="F105" s="6">
        <v>55.837454999999999</v>
      </c>
      <c r="G105" s="7">
        <v>7.7879300000000002E-3</v>
      </c>
      <c r="H105" s="113"/>
    </row>
    <row r="106" spans="1:8" ht="29.1" customHeight="1" x14ac:dyDescent="0.2">
      <c r="A106" s="3">
        <v>100</v>
      </c>
      <c r="B106" s="4" t="s">
        <v>569</v>
      </c>
      <c r="C106" s="4" t="s">
        <v>570</v>
      </c>
      <c r="D106" s="4" t="s">
        <v>234</v>
      </c>
      <c r="E106" s="5">
        <v>10359</v>
      </c>
      <c r="F106" s="6">
        <v>55.405111499999997</v>
      </c>
      <c r="G106" s="7">
        <v>7.7276300000000001E-3</v>
      </c>
      <c r="H106" s="113"/>
    </row>
    <row r="107" spans="1:8" ht="17.100000000000001" customHeight="1" x14ac:dyDescent="0.2">
      <c r="A107" s="3">
        <v>101</v>
      </c>
      <c r="B107" s="4" t="s">
        <v>524</v>
      </c>
      <c r="C107" s="40" t="s">
        <v>1020</v>
      </c>
      <c r="D107" s="4" t="s">
        <v>248</v>
      </c>
      <c r="E107" s="5">
        <v>2182</v>
      </c>
      <c r="F107" s="6">
        <v>11.331125999999999</v>
      </c>
      <c r="G107" s="7">
        <v>1.58041E-3</v>
      </c>
      <c r="H107" s="113"/>
    </row>
    <row r="108" spans="1:8" ht="14.1" customHeight="1" x14ac:dyDescent="0.2">
      <c r="A108" s="1"/>
      <c r="B108" s="1"/>
      <c r="C108" s="2" t="s">
        <v>151</v>
      </c>
      <c r="D108" s="1"/>
      <c r="E108" s="1" t="s">
        <v>152</v>
      </c>
      <c r="F108" s="9">
        <v>6915.5838729999996</v>
      </c>
      <c r="G108" s="10">
        <v>0.96455117000000001</v>
      </c>
      <c r="H108" s="113"/>
    </row>
    <row r="109" spans="1:8" ht="14.1" customHeight="1" x14ac:dyDescent="0.2">
      <c r="A109" s="1"/>
      <c r="B109" s="1"/>
      <c r="C109" s="11"/>
      <c r="D109" s="1"/>
      <c r="E109" s="1"/>
      <c r="F109" s="12"/>
      <c r="G109" s="12"/>
      <c r="H109" s="113"/>
    </row>
    <row r="110" spans="1:8" ht="14.1" customHeight="1" x14ac:dyDescent="0.2">
      <c r="A110" s="1"/>
      <c r="B110" s="1"/>
      <c r="C110" s="2" t="s">
        <v>153</v>
      </c>
      <c r="D110" s="1"/>
      <c r="E110" s="1"/>
      <c r="F110" s="1"/>
      <c r="G110" s="1"/>
      <c r="H110" s="113"/>
    </row>
    <row r="111" spans="1:8" ht="14.1" customHeight="1" x14ac:dyDescent="0.2">
      <c r="A111" s="1"/>
      <c r="B111" s="1"/>
      <c r="C111" s="2" t="s">
        <v>151</v>
      </c>
      <c r="D111" s="1"/>
      <c r="E111" s="1" t="s">
        <v>152</v>
      </c>
      <c r="F111" s="13" t="s">
        <v>154</v>
      </c>
      <c r="G111" s="10">
        <v>0</v>
      </c>
      <c r="H111" s="113"/>
    </row>
    <row r="112" spans="1:8" ht="14.1" customHeight="1" x14ac:dyDescent="0.2">
      <c r="A112" s="1"/>
      <c r="B112" s="1"/>
      <c r="C112" s="11"/>
      <c r="D112" s="1"/>
      <c r="E112" s="1"/>
      <c r="F112" s="12"/>
      <c r="G112" s="12"/>
      <c r="H112" s="113"/>
    </row>
    <row r="113" spans="1:8" ht="14.1" customHeight="1" x14ac:dyDescent="0.2">
      <c r="A113" s="1"/>
      <c r="B113" s="1"/>
      <c r="C113" s="2" t="s">
        <v>155</v>
      </c>
      <c r="D113" s="1"/>
      <c r="E113" s="1"/>
      <c r="F113" s="1"/>
      <c r="G113" s="1"/>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14.1" customHeight="1" x14ac:dyDescent="0.2">
      <c r="A116" s="1"/>
      <c r="B116" s="1"/>
      <c r="C116" s="2" t="s">
        <v>156</v>
      </c>
      <c r="D116" s="1"/>
      <c r="E116" s="1"/>
      <c r="F116" s="1"/>
      <c r="G116" s="1"/>
      <c r="H116" s="113"/>
    </row>
    <row r="117" spans="1:8" ht="14.1" customHeight="1" x14ac:dyDescent="0.2">
      <c r="A117" s="1"/>
      <c r="B117" s="1"/>
      <c r="C117" s="2" t="s">
        <v>151</v>
      </c>
      <c r="D117" s="1"/>
      <c r="E117" s="1" t="s">
        <v>152</v>
      </c>
      <c r="F117" s="13" t="s">
        <v>154</v>
      </c>
      <c r="G117" s="10">
        <v>0</v>
      </c>
      <c r="H117" s="113"/>
    </row>
    <row r="118" spans="1:8" ht="14.1" customHeight="1" x14ac:dyDescent="0.2">
      <c r="A118" s="1"/>
      <c r="B118" s="1"/>
      <c r="C118" s="11"/>
      <c r="D118" s="1"/>
      <c r="E118" s="1"/>
      <c r="F118" s="12"/>
      <c r="G118" s="12"/>
      <c r="H118" s="113"/>
    </row>
    <row r="119" spans="1:8" ht="14.1" customHeight="1" x14ac:dyDescent="0.2">
      <c r="A119" s="1"/>
      <c r="B119" s="1"/>
      <c r="C119" s="2" t="s">
        <v>157</v>
      </c>
      <c r="D119" s="1"/>
      <c r="E119" s="1"/>
      <c r="F119" s="12"/>
      <c r="G119" s="12"/>
      <c r="H119" s="113"/>
    </row>
    <row r="120" spans="1:8" ht="14.1" customHeight="1" x14ac:dyDescent="0.2">
      <c r="A120" s="1"/>
      <c r="B120" s="1"/>
      <c r="C120" s="2" t="s">
        <v>151</v>
      </c>
      <c r="D120" s="1"/>
      <c r="E120" s="1" t="s">
        <v>152</v>
      </c>
      <c r="F120" s="13" t="s">
        <v>154</v>
      </c>
      <c r="G120" s="10">
        <v>0</v>
      </c>
      <c r="H120" s="113"/>
    </row>
    <row r="121" spans="1:8" ht="14.1" customHeight="1" x14ac:dyDescent="0.2">
      <c r="A121" s="1"/>
      <c r="B121" s="1"/>
      <c r="C121" s="11"/>
      <c r="D121" s="1"/>
      <c r="E121" s="1"/>
      <c r="F121" s="12"/>
      <c r="G121" s="12"/>
      <c r="H121" s="113"/>
    </row>
    <row r="122" spans="1:8" ht="14.1" customHeight="1" x14ac:dyDescent="0.2">
      <c r="A122" s="1"/>
      <c r="B122" s="1"/>
      <c r="C122" s="2" t="s">
        <v>158</v>
      </c>
      <c r="D122" s="1"/>
      <c r="E122" s="1"/>
      <c r="F122" s="12"/>
      <c r="G122" s="12"/>
      <c r="H122" s="113"/>
    </row>
    <row r="123" spans="1:8" ht="14.1" customHeight="1" x14ac:dyDescent="0.2">
      <c r="A123" s="1"/>
      <c r="B123" s="1"/>
      <c r="C123" s="2" t="s">
        <v>151</v>
      </c>
      <c r="D123" s="1"/>
      <c r="E123" s="1" t="s">
        <v>152</v>
      </c>
      <c r="F123" s="13" t="s">
        <v>154</v>
      </c>
      <c r="G123" s="10">
        <v>0</v>
      </c>
      <c r="H123" s="113"/>
    </row>
    <row r="124" spans="1:8" ht="14.1" customHeight="1" x14ac:dyDescent="0.2">
      <c r="A124" s="1"/>
      <c r="B124" s="1"/>
      <c r="C124" s="11"/>
      <c r="D124" s="1"/>
      <c r="E124" s="1"/>
      <c r="F124" s="12"/>
      <c r="G124" s="12"/>
      <c r="H124" s="113"/>
    </row>
    <row r="125" spans="1:8" ht="18" customHeight="1" x14ac:dyDescent="0.2">
      <c r="A125" s="1"/>
      <c r="B125" s="1"/>
      <c r="C125" s="2" t="s">
        <v>159</v>
      </c>
      <c r="D125" s="1"/>
      <c r="E125" s="1"/>
      <c r="F125" s="9">
        <v>6915.5838729999996</v>
      </c>
      <c r="G125" s="10">
        <v>0.96455117000000001</v>
      </c>
      <c r="H125" s="113"/>
    </row>
    <row r="126" spans="1:8" ht="14.1" customHeight="1" x14ac:dyDescent="0.2">
      <c r="A126" s="1"/>
      <c r="B126" s="1"/>
      <c r="C126" s="11"/>
      <c r="D126" s="1"/>
      <c r="E126" s="1"/>
      <c r="F126" s="12"/>
      <c r="G126" s="12"/>
      <c r="H126" s="113"/>
    </row>
    <row r="127" spans="1:8" ht="14.1" customHeight="1" x14ac:dyDescent="0.2">
      <c r="A127" s="1"/>
      <c r="B127" s="1"/>
      <c r="C127" s="2" t="s">
        <v>160</v>
      </c>
      <c r="D127" s="1"/>
      <c r="E127" s="1"/>
      <c r="F127" s="12"/>
      <c r="G127" s="12"/>
      <c r="H127" s="113"/>
    </row>
    <row r="128" spans="1:8" ht="24" customHeight="1" x14ac:dyDescent="0.2">
      <c r="A128" s="1"/>
      <c r="B128" s="1"/>
      <c r="C128" s="2" t="s">
        <v>10</v>
      </c>
      <c r="D128" s="1"/>
      <c r="E128" s="1"/>
      <c r="F128" s="12"/>
      <c r="G128" s="12"/>
      <c r="H128" s="113"/>
    </row>
    <row r="129" spans="1:8" ht="29.1" customHeight="1" x14ac:dyDescent="0.2">
      <c r="A129" s="3">
        <v>1</v>
      </c>
      <c r="B129" s="4" t="s">
        <v>724</v>
      </c>
      <c r="C129" s="4" t="s">
        <v>725</v>
      </c>
      <c r="D129" s="4" t="s">
        <v>582</v>
      </c>
      <c r="E129" s="5">
        <v>828</v>
      </c>
      <c r="F129" s="6">
        <v>0.23763956</v>
      </c>
      <c r="G129" s="44" t="s">
        <v>150</v>
      </c>
      <c r="H129" s="113">
        <v>7.7874999999999996</v>
      </c>
    </row>
    <row r="130" spans="1:8" ht="14.1" customHeight="1" x14ac:dyDescent="0.2">
      <c r="A130" s="1"/>
      <c r="B130" s="1"/>
      <c r="C130" s="2" t="s">
        <v>151</v>
      </c>
      <c r="D130" s="1"/>
      <c r="E130" s="1" t="s">
        <v>152</v>
      </c>
      <c r="F130" s="9">
        <v>0.23763956</v>
      </c>
      <c r="G130" s="10">
        <v>3.3149999999999999E-5</v>
      </c>
      <c r="H130" s="113"/>
    </row>
    <row r="131" spans="1:8" ht="14.1" customHeight="1" x14ac:dyDescent="0.2">
      <c r="A131" s="1"/>
      <c r="B131" s="1"/>
      <c r="C131" s="11"/>
      <c r="D131" s="1"/>
      <c r="E131" s="1"/>
      <c r="F131" s="12"/>
      <c r="G131" s="12"/>
      <c r="H131" s="113"/>
    </row>
    <row r="132" spans="1:8" ht="14.1" customHeight="1" x14ac:dyDescent="0.2">
      <c r="A132" s="1"/>
      <c r="B132" s="1"/>
      <c r="C132" s="2" t="s">
        <v>161</v>
      </c>
      <c r="D132" s="1"/>
      <c r="E132" s="1"/>
      <c r="F132" s="1"/>
      <c r="G132" s="1"/>
      <c r="H132" s="113"/>
    </row>
    <row r="133" spans="1:8" ht="14.1" customHeight="1" x14ac:dyDescent="0.2">
      <c r="A133" s="1"/>
      <c r="B133" s="1"/>
      <c r="C133" s="2" t="s">
        <v>151</v>
      </c>
      <c r="D133" s="1"/>
      <c r="E133" s="1" t="s">
        <v>152</v>
      </c>
      <c r="F133" s="13" t="s">
        <v>154</v>
      </c>
      <c r="G133" s="10">
        <v>0</v>
      </c>
      <c r="H133" s="113"/>
    </row>
    <row r="134" spans="1:8" ht="14.1" customHeight="1" x14ac:dyDescent="0.2">
      <c r="A134" s="1"/>
      <c r="B134" s="1"/>
      <c r="C134" s="11"/>
      <c r="D134" s="1"/>
      <c r="E134" s="1"/>
      <c r="F134" s="12"/>
      <c r="G134" s="12"/>
      <c r="H134" s="113"/>
    </row>
    <row r="135" spans="1:8" ht="14.1" customHeight="1" x14ac:dyDescent="0.2">
      <c r="A135" s="1"/>
      <c r="B135" s="1"/>
      <c r="C135" s="2" t="s">
        <v>162</v>
      </c>
      <c r="D135" s="1"/>
      <c r="E135" s="1"/>
      <c r="F135" s="1"/>
      <c r="G135" s="1"/>
      <c r="H135" s="113"/>
    </row>
    <row r="136" spans="1:8" ht="14.1" customHeight="1" x14ac:dyDescent="0.2">
      <c r="A136" s="1"/>
      <c r="B136" s="1"/>
      <c r="C136" s="2" t="s">
        <v>151</v>
      </c>
      <c r="D136" s="1"/>
      <c r="E136" s="1" t="s">
        <v>152</v>
      </c>
      <c r="F136" s="13" t="s">
        <v>154</v>
      </c>
      <c r="G136" s="10">
        <v>0</v>
      </c>
      <c r="H136" s="113"/>
    </row>
    <row r="137" spans="1:8" ht="14.1" customHeight="1" x14ac:dyDescent="0.2">
      <c r="A137" s="1"/>
      <c r="B137" s="1"/>
      <c r="C137" s="11"/>
      <c r="D137" s="1"/>
      <c r="E137" s="1"/>
      <c r="F137" s="12"/>
      <c r="G137" s="12"/>
      <c r="H137" s="113"/>
    </row>
    <row r="138" spans="1:8" ht="14.1" customHeight="1" x14ac:dyDescent="0.2">
      <c r="A138" s="1"/>
      <c r="B138" s="1"/>
      <c r="C138" s="2" t="s">
        <v>163</v>
      </c>
      <c r="D138" s="1"/>
      <c r="E138" s="1"/>
      <c r="F138" s="12"/>
      <c r="G138" s="12"/>
      <c r="H138" s="113"/>
    </row>
    <row r="139" spans="1:8" ht="14.1" customHeight="1" x14ac:dyDescent="0.2">
      <c r="A139" s="1"/>
      <c r="B139" s="1"/>
      <c r="C139" s="2" t="s">
        <v>151</v>
      </c>
      <c r="D139" s="1"/>
      <c r="E139" s="1" t="s">
        <v>152</v>
      </c>
      <c r="F139" s="13" t="s">
        <v>154</v>
      </c>
      <c r="G139" s="10">
        <v>0</v>
      </c>
      <c r="H139" s="113"/>
    </row>
    <row r="140" spans="1:8" ht="14.1" customHeight="1" x14ac:dyDescent="0.2">
      <c r="A140" s="1"/>
      <c r="B140" s="1"/>
      <c r="C140" s="11"/>
      <c r="D140" s="1"/>
      <c r="E140" s="1"/>
      <c r="F140" s="12"/>
      <c r="G140" s="12"/>
      <c r="H140" s="113"/>
    </row>
    <row r="141" spans="1:8" ht="14.1" customHeight="1" x14ac:dyDescent="0.2">
      <c r="A141" s="1"/>
      <c r="B141" s="1"/>
      <c r="C141" s="2" t="s">
        <v>164</v>
      </c>
      <c r="D141" s="1"/>
      <c r="E141" s="1"/>
      <c r="F141" s="9">
        <v>0.23763956</v>
      </c>
      <c r="G141" s="10">
        <v>3.3149999999999999E-5</v>
      </c>
      <c r="H141" s="113"/>
    </row>
    <row r="142" spans="1:8" ht="14.1" customHeight="1" x14ac:dyDescent="0.2">
      <c r="A142" s="1"/>
      <c r="B142" s="1"/>
      <c r="C142" s="11"/>
      <c r="D142" s="1"/>
      <c r="E142" s="1"/>
      <c r="F142" s="12"/>
      <c r="G142" s="12"/>
      <c r="H142" s="113"/>
    </row>
    <row r="143" spans="1:8" ht="14.1" customHeight="1" x14ac:dyDescent="0.2">
      <c r="A143" s="1"/>
      <c r="B143" s="1"/>
      <c r="C143" s="2" t="s">
        <v>165</v>
      </c>
      <c r="D143" s="1"/>
      <c r="E143" s="1"/>
      <c r="F143" s="12"/>
      <c r="G143" s="12"/>
      <c r="H143" s="113"/>
    </row>
    <row r="144" spans="1:8" ht="14.1" customHeight="1" x14ac:dyDescent="0.2">
      <c r="A144" s="1"/>
      <c r="B144" s="1"/>
      <c r="C144" s="2" t="s">
        <v>166</v>
      </c>
      <c r="D144" s="1"/>
      <c r="E144" s="1"/>
      <c r="F144" s="12"/>
      <c r="G144" s="12"/>
      <c r="H144" s="113"/>
    </row>
    <row r="145" spans="1:8" ht="14.1" customHeight="1" x14ac:dyDescent="0.2">
      <c r="A145" s="1"/>
      <c r="B145" s="1"/>
      <c r="C145" s="2" t="s">
        <v>151</v>
      </c>
      <c r="D145" s="1"/>
      <c r="E145" s="1" t="s">
        <v>152</v>
      </c>
      <c r="F145" s="13" t="s">
        <v>154</v>
      </c>
      <c r="G145" s="10">
        <v>0</v>
      </c>
      <c r="H145" s="113"/>
    </row>
    <row r="146" spans="1:8" ht="14.1" customHeight="1" x14ac:dyDescent="0.2">
      <c r="A146" s="1"/>
      <c r="B146" s="1"/>
      <c r="C146" s="11"/>
      <c r="D146" s="1"/>
      <c r="E146" s="1"/>
      <c r="F146" s="12"/>
      <c r="G146" s="12"/>
      <c r="H146" s="113"/>
    </row>
    <row r="147" spans="1:8" ht="14.1" customHeight="1" x14ac:dyDescent="0.2">
      <c r="A147" s="1"/>
      <c r="B147" s="1"/>
      <c r="C147" s="2" t="s">
        <v>167</v>
      </c>
      <c r="D147" s="1"/>
      <c r="E147" s="1"/>
      <c r="F147" s="12"/>
      <c r="G147" s="12"/>
      <c r="H147" s="113"/>
    </row>
    <row r="148" spans="1:8" ht="14.1" customHeight="1" x14ac:dyDescent="0.2">
      <c r="A148" s="1"/>
      <c r="B148" s="1"/>
      <c r="C148" s="2" t="s">
        <v>151</v>
      </c>
      <c r="D148" s="1"/>
      <c r="E148" s="1" t="s">
        <v>152</v>
      </c>
      <c r="F148" s="13" t="s">
        <v>154</v>
      </c>
      <c r="G148" s="10">
        <v>0</v>
      </c>
      <c r="H148" s="113"/>
    </row>
    <row r="149" spans="1:8" ht="14.1" customHeight="1" x14ac:dyDescent="0.2">
      <c r="A149" s="1"/>
      <c r="B149" s="1"/>
      <c r="C149" s="11"/>
      <c r="D149" s="1"/>
      <c r="E149" s="1"/>
      <c r="F149" s="12"/>
      <c r="G149" s="12"/>
      <c r="H149" s="113"/>
    </row>
    <row r="150" spans="1:8" ht="14.1" customHeight="1" x14ac:dyDescent="0.2">
      <c r="A150" s="1"/>
      <c r="B150" s="1"/>
      <c r="C150" s="2" t="s">
        <v>168</v>
      </c>
      <c r="D150" s="1"/>
      <c r="E150" s="1"/>
      <c r="F150" s="12"/>
      <c r="G150" s="12"/>
      <c r="H150" s="113"/>
    </row>
    <row r="151" spans="1:8" ht="14.1" customHeight="1" x14ac:dyDescent="0.2">
      <c r="A151" s="1"/>
      <c r="B151" s="1"/>
      <c r="C151" s="2" t="s">
        <v>151</v>
      </c>
      <c r="D151" s="1"/>
      <c r="E151" s="1" t="s">
        <v>152</v>
      </c>
      <c r="F151" s="13" t="s">
        <v>154</v>
      </c>
      <c r="G151" s="10">
        <v>0</v>
      </c>
      <c r="H151" s="113"/>
    </row>
    <row r="152" spans="1:8" ht="14.1" customHeight="1" x14ac:dyDescent="0.2">
      <c r="A152" s="1"/>
      <c r="B152" s="1"/>
      <c r="C152" s="11"/>
      <c r="D152" s="1"/>
      <c r="E152" s="1"/>
      <c r="F152" s="12"/>
      <c r="G152" s="12"/>
      <c r="H152" s="113"/>
    </row>
    <row r="153" spans="1:8" ht="14.1" customHeight="1" x14ac:dyDescent="0.2">
      <c r="A153" s="1"/>
      <c r="B153" s="1"/>
      <c r="C153" s="2" t="s">
        <v>169</v>
      </c>
      <c r="D153" s="1"/>
      <c r="E153" s="1"/>
      <c r="F153" s="12"/>
      <c r="G153" s="12"/>
      <c r="H153" s="113"/>
    </row>
    <row r="154" spans="1:8" ht="17.100000000000001" customHeight="1" x14ac:dyDescent="0.2">
      <c r="A154" s="3">
        <v>1</v>
      </c>
      <c r="B154" s="4"/>
      <c r="C154" s="4" t="s">
        <v>170</v>
      </c>
      <c r="D154" s="4"/>
      <c r="E154" s="8"/>
      <c r="F154" s="6">
        <v>262.67165999999997</v>
      </c>
      <c r="G154" s="7">
        <v>3.6636130000000003E-2</v>
      </c>
      <c r="H154" s="113">
        <v>6.7600000000000016</v>
      </c>
    </row>
    <row r="155" spans="1:8" ht="14.1" customHeight="1" x14ac:dyDescent="0.2">
      <c r="A155" s="1"/>
      <c r="B155" s="1"/>
      <c r="C155" s="2" t="s">
        <v>151</v>
      </c>
      <c r="D155" s="1"/>
      <c r="E155" s="1" t="s">
        <v>152</v>
      </c>
      <c r="F155" s="9">
        <v>262.67165999999997</v>
      </c>
      <c r="G155" s="10">
        <v>3.6636130000000003E-2</v>
      </c>
      <c r="H155" s="113"/>
    </row>
    <row r="156" spans="1:8" ht="14.1" customHeight="1" x14ac:dyDescent="0.2">
      <c r="A156" s="1"/>
      <c r="B156" s="1"/>
      <c r="C156" s="11"/>
      <c r="D156" s="1"/>
      <c r="E156" s="1"/>
      <c r="F156" s="12"/>
      <c r="G156" s="12"/>
      <c r="H156" s="113"/>
    </row>
    <row r="157" spans="1:8" ht="14.1" customHeight="1" x14ac:dyDescent="0.2">
      <c r="A157" s="1"/>
      <c r="B157" s="1"/>
      <c r="C157" s="2" t="s">
        <v>171</v>
      </c>
      <c r="D157" s="1"/>
      <c r="E157" s="1"/>
      <c r="F157" s="9">
        <v>262.67165999999997</v>
      </c>
      <c r="G157" s="10">
        <v>3.6636130000000003E-2</v>
      </c>
      <c r="H157" s="113"/>
    </row>
    <row r="158" spans="1:8" ht="14.1" customHeight="1" x14ac:dyDescent="0.2">
      <c r="A158" s="1"/>
      <c r="B158" s="1"/>
      <c r="C158" s="12"/>
      <c r="D158" s="1"/>
      <c r="E158" s="1"/>
      <c r="F158" s="1"/>
      <c r="G158" s="1"/>
      <c r="H158" s="113"/>
    </row>
    <row r="159" spans="1:8" ht="14.1" customHeight="1" x14ac:dyDescent="0.2">
      <c r="A159" s="1"/>
      <c r="B159" s="1"/>
      <c r="C159" s="2" t="s">
        <v>172</v>
      </c>
      <c r="D159" s="1"/>
      <c r="E159" s="1"/>
      <c r="F159" s="1"/>
      <c r="G159" s="1"/>
      <c r="H159" s="113"/>
    </row>
    <row r="160" spans="1:8" ht="14.1" customHeight="1" x14ac:dyDescent="0.2">
      <c r="A160" s="1"/>
      <c r="B160" s="1"/>
      <c r="C160" s="2" t="s">
        <v>173</v>
      </c>
      <c r="D160" s="1"/>
      <c r="E160" s="1"/>
      <c r="F160" s="1"/>
      <c r="G160" s="1"/>
      <c r="H160" s="113"/>
    </row>
    <row r="161" spans="1:14" ht="14.1" customHeight="1" x14ac:dyDescent="0.2">
      <c r="A161" s="1"/>
      <c r="B161" s="1"/>
      <c r="C161" s="2" t="s">
        <v>151</v>
      </c>
      <c r="D161" s="1"/>
      <c r="E161" s="1" t="s">
        <v>152</v>
      </c>
      <c r="F161" s="13" t="s">
        <v>154</v>
      </c>
      <c r="G161" s="10">
        <v>0</v>
      </c>
      <c r="H161" s="113"/>
    </row>
    <row r="162" spans="1:14" ht="14.1" customHeight="1" x14ac:dyDescent="0.2">
      <c r="A162" s="1"/>
      <c r="B162" s="1"/>
      <c r="C162" s="11"/>
      <c r="D162" s="1"/>
      <c r="E162" s="1"/>
      <c r="F162" s="12"/>
      <c r="G162" s="12"/>
      <c r="H162" s="113"/>
    </row>
    <row r="163" spans="1:14" ht="14.1" customHeight="1" x14ac:dyDescent="0.2">
      <c r="A163" s="1"/>
      <c r="B163" s="1"/>
      <c r="C163" s="2" t="s">
        <v>174</v>
      </c>
      <c r="D163" s="1"/>
      <c r="E163" s="1"/>
      <c r="F163" s="1"/>
      <c r="G163" s="1"/>
      <c r="H163" s="113"/>
    </row>
    <row r="164" spans="1:14" ht="14.1" customHeight="1" x14ac:dyDescent="0.2">
      <c r="A164" s="1"/>
      <c r="B164" s="1"/>
      <c r="C164" s="2" t="s">
        <v>175</v>
      </c>
      <c r="D164" s="1"/>
      <c r="E164" s="1"/>
      <c r="F164" s="1"/>
      <c r="G164" s="1"/>
      <c r="H164" s="113"/>
    </row>
    <row r="165" spans="1:14" ht="14.1" customHeight="1" x14ac:dyDescent="0.2">
      <c r="A165" s="1"/>
      <c r="B165" s="1"/>
      <c r="C165" s="2" t="s">
        <v>151</v>
      </c>
      <c r="D165" s="1"/>
      <c r="E165" s="1" t="s">
        <v>152</v>
      </c>
      <c r="F165" s="13" t="s">
        <v>154</v>
      </c>
      <c r="G165" s="10">
        <v>0</v>
      </c>
      <c r="H165" s="113"/>
    </row>
    <row r="166" spans="1:14" ht="14.1" customHeight="1" x14ac:dyDescent="0.2">
      <c r="A166" s="1"/>
      <c r="B166" s="1"/>
      <c r="C166" s="11"/>
      <c r="D166" s="1"/>
      <c r="E166" s="1"/>
      <c r="F166" s="12"/>
      <c r="G166" s="12"/>
      <c r="H166" s="113"/>
    </row>
    <row r="167" spans="1:14" ht="24" customHeight="1" x14ac:dyDescent="0.2">
      <c r="A167" s="1"/>
      <c r="B167" s="1"/>
      <c r="C167" s="2" t="s">
        <v>176</v>
      </c>
      <c r="D167" s="1"/>
      <c r="E167" s="1"/>
      <c r="F167" s="12"/>
      <c r="G167" s="12"/>
      <c r="H167" s="113"/>
    </row>
    <row r="168" spans="1:14" ht="14.1" customHeight="1" x14ac:dyDescent="0.2">
      <c r="A168" s="1"/>
      <c r="B168" s="1"/>
      <c r="C168" s="2" t="s">
        <v>151</v>
      </c>
      <c r="D168" s="1"/>
      <c r="E168" s="1" t="s">
        <v>152</v>
      </c>
      <c r="F168" s="13" t="s">
        <v>154</v>
      </c>
      <c r="G168" s="10">
        <v>0</v>
      </c>
      <c r="H168" s="113"/>
    </row>
    <row r="169" spans="1:14" ht="14.1" customHeight="1" x14ac:dyDescent="0.2">
      <c r="A169" s="1"/>
      <c r="B169" s="1"/>
      <c r="C169" s="11"/>
      <c r="D169" s="1"/>
      <c r="E169" s="1"/>
      <c r="F169" s="12"/>
      <c r="G169" s="12"/>
      <c r="H169" s="113"/>
    </row>
    <row r="170" spans="1:14" ht="14.1" customHeight="1" x14ac:dyDescent="0.2">
      <c r="A170" s="1"/>
      <c r="B170" s="4"/>
      <c r="C170" s="4"/>
      <c r="D170" s="2"/>
      <c r="E170" s="1"/>
      <c r="F170" s="4"/>
      <c r="G170" s="8"/>
      <c r="H170" s="113"/>
    </row>
    <row r="171" spans="1:14" ht="18" customHeight="1" x14ac:dyDescent="0.2">
      <c r="A171" s="8"/>
      <c r="B171" s="4"/>
      <c r="C171" s="40" t="s">
        <v>982</v>
      </c>
      <c r="D171" s="4"/>
      <c r="E171" s="8"/>
      <c r="F171" s="6">
        <v>-8.7499484600000006</v>
      </c>
      <c r="G171" s="7">
        <v>-1.2204E-3</v>
      </c>
      <c r="H171" s="113"/>
    </row>
    <row r="172" spans="1:14" ht="14.1" customHeight="1" x14ac:dyDescent="0.2">
      <c r="A172" s="11"/>
      <c r="B172" s="11"/>
      <c r="C172" s="2" t="s">
        <v>178</v>
      </c>
      <c r="D172" s="12"/>
      <c r="E172" s="12"/>
      <c r="F172" s="9">
        <v>7169.7432240999997</v>
      </c>
      <c r="G172" s="14">
        <v>1.0000000499999999</v>
      </c>
      <c r="H172" s="113"/>
    </row>
    <row r="173" spans="1:14" ht="14.1" customHeight="1" x14ac:dyDescent="0.2">
      <c r="A173" s="15"/>
      <c r="B173" s="15"/>
      <c r="C173" s="15"/>
      <c r="D173" s="16"/>
      <c r="E173" s="16"/>
      <c r="F173" s="16"/>
      <c r="G173" s="16"/>
    </row>
    <row r="174" spans="1:14" ht="14.1" customHeight="1" x14ac:dyDescent="0.2">
      <c r="A174" s="45"/>
      <c r="B174" s="217" t="s">
        <v>980</v>
      </c>
      <c r="C174" s="217"/>
      <c r="D174" s="217"/>
      <c r="E174" s="217"/>
      <c r="F174" s="217"/>
      <c r="G174" s="48"/>
    </row>
    <row r="175" spans="1:14" ht="17.100000000000001" customHeight="1" x14ac:dyDescent="0.2">
      <c r="A175" s="45"/>
      <c r="B175" s="217" t="s">
        <v>981</v>
      </c>
      <c r="C175" s="217"/>
      <c r="D175" s="217"/>
      <c r="E175" s="217"/>
      <c r="F175" s="217"/>
      <c r="G175" s="48"/>
    </row>
    <row r="176" spans="1:14" ht="17.100000000000001" customHeight="1" x14ac:dyDescent="0.2">
      <c r="A176" s="17"/>
      <c r="B176" s="207" t="s">
        <v>179</v>
      </c>
      <c r="C176" s="207"/>
      <c r="D176" s="207"/>
      <c r="E176" s="207"/>
      <c r="F176" s="207"/>
      <c r="G176" s="19"/>
      <c r="J176" s="195"/>
      <c r="K176" s="195"/>
      <c r="L176" s="195"/>
      <c r="M176" s="195"/>
      <c r="N176" s="195"/>
    </row>
    <row r="177" spans="1:7" ht="14.1" customHeight="1" x14ac:dyDescent="0.2">
      <c r="A177" s="17"/>
      <c r="B177" s="17"/>
      <c r="C177" s="17"/>
      <c r="D177" s="19"/>
      <c r="E177" s="19"/>
      <c r="F177" s="19"/>
      <c r="G177" s="19"/>
    </row>
    <row r="178" spans="1:7" ht="14.1" customHeight="1" x14ac:dyDescent="0.2">
      <c r="A178" s="17"/>
      <c r="B178" s="208" t="s">
        <v>180</v>
      </c>
      <c r="C178" s="209"/>
      <c r="D178" s="210"/>
      <c r="E178" s="20"/>
      <c r="F178" s="19"/>
      <c r="G178" s="19"/>
    </row>
    <row r="179" spans="1:7" ht="29.1" customHeight="1" x14ac:dyDescent="0.2">
      <c r="A179" s="17"/>
      <c r="B179" s="205" t="s">
        <v>181</v>
      </c>
      <c r="C179" s="206"/>
      <c r="D179" s="2" t="s">
        <v>182</v>
      </c>
      <c r="E179" s="20"/>
      <c r="F179" s="19"/>
      <c r="G179" s="19"/>
    </row>
    <row r="180" spans="1:7" ht="17.100000000000001" customHeight="1" x14ac:dyDescent="0.2">
      <c r="A180" s="17"/>
      <c r="B180" s="205" t="s">
        <v>183</v>
      </c>
      <c r="C180" s="206"/>
      <c r="D180" s="2" t="s">
        <v>182</v>
      </c>
      <c r="E180" s="20"/>
      <c r="F180" s="19"/>
      <c r="G180" s="19"/>
    </row>
    <row r="181" spans="1:7" ht="17.100000000000001" customHeight="1" x14ac:dyDescent="0.2">
      <c r="A181" s="17"/>
      <c r="B181" s="205" t="s">
        <v>184</v>
      </c>
      <c r="C181" s="206"/>
      <c r="D181" s="12" t="s">
        <v>152</v>
      </c>
      <c r="E181" s="20"/>
      <c r="F181" s="19"/>
      <c r="G181" s="19"/>
    </row>
    <row r="182" spans="1:7" ht="25.5" x14ac:dyDescent="0.2">
      <c r="A182" s="21"/>
      <c r="B182" s="22" t="s">
        <v>152</v>
      </c>
      <c r="C182" s="22" t="s">
        <v>185</v>
      </c>
      <c r="D182" s="22" t="s">
        <v>186</v>
      </c>
      <c r="E182" s="21"/>
      <c r="F182" s="21"/>
      <c r="G182" s="21"/>
    </row>
    <row r="183" spans="1:7" ht="18" customHeight="1" x14ac:dyDescent="0.2">
      <c r="A183" s="21"/>
      <c r="B183" s="23" t="s">
        <v>187</v>
      </c>
      <c r="C183" s="22" t="s">
        <v>188</v>
      </c>
      <c r="D183" s="22" t="s">
        <v>189</v>
      </c>
      <c r="E183" s="21"/>
      <c r="F183" s="21"/>
      <c r="G183" s="21"/>
    </row>
    <row r="184" spans="1:7" ht="17.100000000000001" customHeight="1" x14ac:dyDescent="0.2">
      <c r="A184" s="21"/>
      <c r="B184" s="4" t="s">
        <v>190</v>
      </c>
      <c r="C184" s="24">
        <v>136.6885</v>
      </c>
      <c r="D184" s="24">
        <v>149.5111</v>
      </c>
      <c r="E184" s="21"/>
      <c r="F184" s="18"/>
      <c r="G184" s="25"/>
    </row>
    <row r="185" spans="1:7" ht="17.100000000000001" customHeight="1" x14ac:dyDescent="0.2">
      <c r="A185" s="21"/>
      <c r="B185" s="4" t="s">
        <v>1033</v>
      </c>
      <c r="C185" s="24">
        <v>69.446100000000001</v>
      </c>
      <c r="D185" s="24">
        <v>75.960800000000006</v>
      </c>
      <c r="E185" s="21"/>
      <c r="F185" s="18"/>
      <c r="G185" s="25"/>
    </row>
    <row r="186" spans="1:7" ht="17.100000000000001" customHeight="1" x14ac:dyDescent="0.2">
      <c r="A186" s="21"/>
      <c r="B186" s="4" t="s">
        <v>191</v>
      </c>
      <c r="C186" s="24">
        <v>130.78909999999999</v>
      </c>
      <c r="D186" s="24">
        <v>143.0025</v>
      </c>
      <c r="E186" s="21"/>
      <c r="F186" s="18"/>
      <c r="G186" s="25"/>
    </row>
    <row r="187" spans="1:7" ht="17.100000000000001" customHeight="1" x14ac:dyDescent="0.2">
      <c r="A187" s="21"/>
      <c r="B187" s="4" t="s">
        <v>1034</v>
      </c>
      <c r="C187" s="24">
        <v>66.450800000000001</v>
      </c>
      <c r="D187" s="24">
        <v>72.656199999999998</v>
      </c>
      <c r="E187" s="21"/>
      <c r="F187" s="18"/>
      <c r="G187" s="25"/>
    </row>
    <row r="188" spans="1:7" ht="14.1" customHeight="1" x14ac:dyDescent="0.2">
      <c r="A188" s="21"/>
      <c r="B188" s="21"/>
      <c r="C188" s="21"/>
      <c r="D188" s="21"/>
      <c r="E188" s="21"/>
      <c r="F188" s="21"/>
      <c r="G188" s="21"/>
    </row>
    <row r="189" spans="1:7" ht="17.100000000000001" customHeight="1" x14ac:dyDescent="0.2">
      <c r="A189" s="21"/>
      <c r="B189" s="205" t="s">
        <v>1035</v>
      </c>
      <c r="C189" s="206"/>
      <c r="D189" s="2" t="s">
        <v>182</v>
      </c>
      <c r="E189" s="21"/>
      <c r="F189" s="21"/>
      <c r="G189" s="21"/>
    </row>
    <row r="190" spans="1:7" ht="18" customHeight="1" x14ac:dyDescent="0.2">
      <c r="A190" s="21"/>
      <c r="B190" s="26"/>
      <c r="C190" s="26"/>
      <c r="D190" s="26"/>
      <c r="E190" s="21"/>
      <c r="F190" s="21"/>
      <c r="G190" s="21"/>
    </row>
    <row r="191" spans="1:7" ht="29.1" customHeight="1" x14ac:dyDescent="0.2">
      <c r="A191" s="21"/>
      <c r="B191" s="205" t="s">
        <v>192</v>
      </c>
      <c r="C191" s="206"/>
      <c r="D191" s="2" t="s">
        <v>182</v>
      </c>
      <c r="E191" s="27"/>
      <c r="F191" s="21"/>
      <c r="G191" s="21"/>
    </row>
    <row r="192" spans="1:7" ht="29.1" customHeight="1" x14ac:dyDescent="0.2">
      <c r="A192" s="21"/>
      <c r="B192" s="205" t="s">
        <v>193</v>
      </c>
      <c r="C192" s="206"/>
      <c r="D192" s="2" t="s">
        <v>182</v>
      </c>
      <c r="E192" s="27"/>
      <c r="F192" s="21"/>
      <c r="G192" s="21"/>
    </row>
    <row r="193" spans="1:7" ht="17.100000000000001" customHeight="1" x14ac:dyDescent="0.2">
      <c r="A193" s="21"/>
      <c r="B193" s="205" t="s">
        <v>194</v>
      </c>
      <c r="C193" s="206"/>
      <c r="D193" s="2" t="s">
        <v>182</v>
      </c>
      <c r="E193" s="27"/>
      <c r="F193" s="21"/>
      <c r="G193" s="21"/>
    </row>
    <row r="194" spans="1:7" ht="17.100000000000001" customHeight="1" x14ac:dyDescent="0.2">
      <c r="A194" s="21"/>
      <c r="B194" s="205" t="s">
        <v>195</v>
      </c>
      <c r="C194" s="206"/>
      <c r="D194" s="28">
        <v>0.29763408758378868</v>
      </c>
      <c r="E194" s="21"/>
      <c r="F194" s="18"/>
      <c r="G194" s="25"/>
    </row>
  </sheetData>
  <mergeCells count="16">
    <mergeCell ref="B194:C194"/>
    <mergeCell ref="B180:C180"/>
    <mergeCell ref="B181:C181"/>
    <mergeCell ref="B189:C189"/>
    <mergeCell ref="B191:C191"/>
    <mergeCell ref="B192:C192"/>
    <mergeCell ref="B193:C193"/>
    <mergeCell ref="J2:N2"/>
    <mergeCell ref="A1:H1"/>
    <mergeCell ref="A2:H2"/>
    <mergeCell ref="A3:H3"/>
    <mergeCell ref="B179:C179"/>
    <mergeCell ref="B176:F176"/>
    <mergeCell ref="B178:D178"/>
    <mergeCell ref="B174:F174"/>
    <mergeCell ref="B175:F175"/>
  </mergeCells>
  <hyperlinks>
    <hyperlink ref="I1" location="Index!B22" display="Index" xr:uid="{9C6BC94A-6302-45D8-A994-9DD98BC89C79}"/>
  </hyperlinks>
  <pageMargins left="5.000000074505806E-2" right="5.000000074505806E-2" top="0.30000001192092896" bottom="0.20000000298023224" header="0" footer="0"/>
  <pageSetup paperSize="9"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6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819</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321</v>
      </c>
      <c r="C7" s="4" t="s">
        <v>322</v>
      </c>
      <c r="D7" s="4" t="s">
        <v>28</v>
      </c>
      <c r="E7" s="5">
        <v>606077</v>
      </c>
      <c r="F7" s="6">
        <v>10359.371122500001</v>
      </c>
      <c r="G7" s="7">
        <v>8.6841219999999997E-2</v>
      </c>
      <c r="H7" s="113"/>
    </row>
    <row r="8" spans="1:14" ht="17.100000000000001" customHeight="1" x14ac:dyDescent="0.2">
      <c r="A8" s="3">
        <v>2</v>
      </c>
      <c r="B8" s="4" t="s">
        <v>17</v>
      </c>
      <c r="C8" s="4" t="s">
        <v>18</v>
      </c>
      <c r="D8" s="4" t="s">
        <v>19</v>
      </c>
      <c r="E8" s="5">
        <v>274000</v>
      </c>
      <c r="F8" s="6">
        <v>7082.7629999999999</v>
      </c>
      <c r="G8" s="7">
        <v>5.9373849999999999E-2</v>
      </c>
      <c r="H8" s="113"/>
    </row>
    <row r="9" spans="1:14" ht="17.100000000000001" customHeight="1" x14ac:dyDescent="0.2">
      <c r="A9" s="3">
        <v>3</v>
      </c>
      <c r="B9" s="4" t="s">
        <v>26</v>
      </c>
      <c r="C9" s="4" t="s">
        <v>27</v>
      </c>
      <c r="D9" s="4" t="s">
        <v>28</v>
      </c>
      <c r="E9" s="5">
        <v>661000</v>
      </c>
      <c r="F9" s="6">
        <v>6587.5259999999998</v>
      </c>
      <c r="G9" s="7">
        <v>5.5222350000000003E-2</v>
      </c>
      <c r="H9" s="113"/>
    </row>
    <row r="10" spans="1:14" ht="17.100000000000001" customHeight="1" x14ac:dyDescent="0.2">
      <c r="A10" s="3">
        <v>4</v>
      </c>
      <c r="B10" s="4" t="s">
        <v>323</v>
      </c>
      <c r="C10" s="4" t="s">
        <v>324</v>
      </c>
      <c r="D10" s="4" t="s">
        <v>891</v>
      </c>
      <c r="E10" s="5">
        <v>313000</v>
      </c>
      <c r="F10" s="6">
        <v>4829.277</v>
      </c>
      <c r="G10" s="7">
        <v>4.0483180000000001E-2</v>
      </c>
      <c r="H10" s="113"/>
    </row>
    <row r="11" spans="1:14" ht="17.100000000000001" customHeight="1" x14ac:dyDescent="0.2">
      <c r="A11" s="3">
        <v>5</v>
      </c>
      <c r="B11" s="4" t="s">
        <v>62</v>
      </c>
      <c r="C11" s="4" t="s">
        <v>63</v>
      </c>
      <c r="D11" s="4" t="s">
        <v>28</v>
      </c>
      <c r="E11" s="5">
        <v>539000</v>
      </c>
      <c r="F11" s="6">
        <v>3460.6495</v>
      </c>
      <c r="G11" s="7">
        <v>2.901016E-2</v>
      </c>
      <c r="H11" s="113"/>
    </row>
    <row r="12" spans="1:14" ht="17.100000000000001" customHeight="1" x14ac:dyDescent="0.2">
      <c r="A12" s="3">
        <v>6</v>
      </c>
      <c r="B12" s="4" t="s">
        <v>325</v>
      </c>
      <c r="C12" s="4" t="s">
        <v>326</v>
      </c>
      <c r="D12" s="4" t="s">
        <v>28</v>
      </c>
      <c r="E12" s="5">
        <v>311000</v>
      </c>
      <c r="F12" s="6">
        <v>3428.1529999999998</v>
      </c>
      <c r="G12" s="7">
        <v>2.8737749999999999E-2</v>
      </c>
      <c r="H12" s="113"/>
      <c r="J12" s="194" t="s">
        <v>1170</v>
      </c>
    </row>
    <row r="13" spans="1:14" ht="29.1" customHeight="1" x14ac:dyDescent="0.2">
      <c r="A13" s="3">
        <v>7</v>
      </c>
      <c r="B13" s="4" t="s">
        <v>329</v>
      </c>
      <c r="C13" s="4" t="s">
        <v>330</v>
      </c>
      <c r="D13" s="4" t="s">
        <v>225</v>
      </c>
      <c r="E13" s="5">
        <v>233000</v>
      </c>
      <c r="F13" s="6">
        <v>2934.5185000000001</v>
      </c>
      <c r="G13" s="7">
        <v>2.4599679999999999E-2</v>
      </c>
      <c r="H13" s="113"/>
    </row>
    <row r="14" spans="1:14" ht="17.100000000000001" customHeight="1" x14ac:dyDescent="0.2">
      <c r="A14" s="3">
        <v>8</v>
      </c>
      <c r="B14" s="4" t="s">
        <v>57</v>
      </c>
      <c r="C14" s="4" t="s">
        <v>58</v>
      </c>
      <c r="D14" s="4" t="s">
        <v>34</v>
      </c>
      <c r="E14" s="5">
        <v>46000</v>
      </c>
      <c r="F14" s="6">
        <v>2523.0309999999999</v>
      </c>
      <c r="G14" s="7">
        <v>2.1150229999999999E-2</v>
      </c>
      <c r="H14" s="113"/>
    </row>
    <row r="15" spans="1:14" ht="17.100000000000001" customHeight="1" x14ac:dyDescent="0.2">
      <c r="A15" s="3">
        <v>9</v>
      </c>
      <c r="B15" s="4" t="s">
        <v>11</v>
      </c>
      <c r="C15" s="4" t="s">
        <v>12</v>
      </c>
      <c r="D15" s="4" t="s">
        <v>13</v>
      </c>
      <c r="E15" s="5">
        <v>69021</v>
      </c>
      <c r="F15" s="6">
        <v>2433.68046</v>
      </c>
      <c r="G15" s="7">
        <v>2.0401220000000001E-2</v>
      </c>
      <c r="H15" s="113"/>
    </row>
    <row r="16" spans="1:14" ht="17.100000000000001" customHeight="1" x14ac:dyDescent="0.2">
      <c r="A16" s="3">
        <v>10</v>
      </c>
      <c r="B16" s="4" t="s">
        <v>365</v>
      </c>
      <c r="C16" s="4" t="s">
        <v>366</v>
      </c>
      <c r="D16" s="4" t="s">
        <v>53</v>
      </c>
      <c r="E16" s="5">
        <v>32000</v>
      </c>
      <c r="F16" s="6">
        <v>2344.88</v>
      </c>
      <c r="G16" s="7">
        <v>1.965681E-2</v>
      </c>
      <c r="H16" s="113"/>
    </row>
    <row r="17" spans="1:10" ht="17.100000000000001" customHeight="1" x14ac:dyDescent="0.2">
      <c r="A17" s="3">
        <v>11</v>
      </c>
      <c r="B17" s="4" t="s">
        <v>331</v>
      </c>
      <c r="C17" s="4" t="s">
        <v>332</v>
      </c>
      <c r="D17" s="4" t="s">
        <v>891</v>
      </c>
      <c r="E17" s="5">
        <v>61324</v>
      </c>
      <c r="F17" s="6">
        <v>2326.2646159999999</v>
      </c>
      <c r="G17" s="7">
        <v>1.9500759999999999E-2</v>
      </c>
      <c r="H17" s="113"/>
    </row>
    <row r="18" spans="1:10" ht="29.1" customHeight="1" x14ac:dyDescent="0.2">
      <c r="A18" s="3">
        <v>12</v>
      </c>
      <c r="B18" s="4" t="s">
        <v>23</v>
      </c>
      <c r="C18" s="4" t="s">
        <v>24</v>
      </c>
      <c r="D18" s="4" t="s">
        <v>25</v>
      </c>
      <c r="E18" s="5">
        <v>22000</v>
      </c>
      <c r="F18" s="6">
        <v>2310.6709999999998</v>
      </c>
      <c r="G18" s="7">
        <v>1.937005E-2</v>
      </c>
      <c r="H18" s="113"/>
    </row>
    <row r="19" spans="1:10" ht="17.100000000000001" customHeight="1" x14ac:dyDescent="0.2">
      <c r="A19" s="3">
        <v>13</v>
      </c>
      <c r="B19" s="4" t="s">
        <v>351</v>
      </c>
      <c r="C19" s="4" t="s">
        <v>352</v>
      </c>
      <c r="D19" s="4" t="s">
        <v>248</v>
      </c>
      <c r="E19" s="5">
        <v>288000</v>
      </c>
      <c r="F19" s="6">
        <v>2246.2559999999999</v>
      </c>
      <c r="G19" s="7">
        <v>1.8830059999999999E-2</v>
      </c>
      <c r="H19" s="113"/>
    </row>
    <row r="20" spans="1:10" ht="17.100000000000001" customHeight="1" x14ac:dyDescent="0.2">
      <c r="A20" s="3">
        <v>14</v>
      </c>
      <c r="B20" s="4" t="s">
        <v>546</v>
      </c>
      <c r="C20" s="4" t="s">
        <v>547</v>
      </c>
      <c r="D20" s="4" t="s">
        <v>248</v>
      </c>
      <c r="E20" s="5">
        <v>59013</v>
      </c>
      <c r="F20" s="6">
        <v>2136.8607299999999</v>
      </c>
      <c r="G20" s="7">
        <v>1.7913020000000002E-2</v>
      </c>
      <c r="H20" s="113"/>
    </row>
    <row r="21" spans="1:10" ht="17.100000000000001" customHeight="1" x14ac:dyDescent="0.2">
      <c r="A21" s="3">
        <v>15</v>
      </c>
      <c r="B21" s="4" t="s">
        <v>477</v>
      </c>
      <c r="C21" s="4" t="s">
        <v>478</v>
      </c>
      <c r="D21" s="4" t="s">
        <v>28</v>
      </c>
      <c r="E21" s="5">
        <v>906000</v>
      </c>
      <c r="F21" s="6">
        <v>2093.7660000000001</v>
      </c>
      <c r="G21" s="7">
        <v>1.755176E-2</v>
      </c>
      <c r="H21" s="113"/>
    </row>
    <row r="22" spans="1:10" ht="17.100000000000001" customHeight="1" x14ac:dyDescent="0.2">
      <c r="A22" s="3">
        <v>16</v>
      </c>
      <c r="B22" s="4" t="s">
        <v>293</v>
      </c>
      <c r="C22" s="4" t="s">
        <v>294</v>
      </c>
      <c r="D22" s="4" t="s">
        <v>295</v>
      </c>
      <c r="E22" s="5">
        <v>115000</v>
      </c>
      <c r="F22" s="6">
        <v>2052.9225000000001</v>
      </c>
      <c r="G22" s="7">
        <v>1.7209370000000002E-2</v>
      </c>
      <c r="H22" s="113"/>
      <c r="J22" s="194" t="s">
        <v>1171</v>
      </c>
    </row>
    <row r="23" spans="1:10" ht="17.100000000000001" customHeight="1" x14ac:dyDescent="0.2">
      <c r="A23" s="3">
        <v>17</v>
      </c>
      <c r="B23" s="4" t="s">
        <v>342</v>
      </c>
      <c r="C23" s="4" t="s">
        <v>343</v>
      </c>
      <c r="D23" s="4" t="s">
        <v>267</v>
      </c>
      <c r="E23" s="5">
        <v>64000</v>
      </c>
      <c r="F23" s="6">
        <v>2047.904</v>
      </c>
      <c r="G23" s="7">
        <v>1.71673E-2</v>
      </c>
      <c r="H23" s="113"/>
    </row>
    <row r="24" spans="1:10" ht="17.100000000000001" customHeight="1" x14ac:dyDescent="0.2">
      <c r="A24" s="3">
        <v>18</v>
      </c>
      <c r="B24" s="4" t="s">
        <v>355</v>
      </c>
      <c r="C24" s="4" t="s">
        <v>356</v>
      </c>
      <c r="D24" s="4" t="s">
        <v>350</v>
      </c>
      <c r="E24" s="5">
        <v>73000</v>
      </c>
      <c r="F24" s="6">
        <v>1944.6835000000001</v>
      </c>
      <c r="G24" s="7">
        <v>1.630202E-2</v>
      </c>
      <c r="H24" s="113"/>
    </row>
    <row r="25" spans="1:10" ht="17.100000000000001" customHeight="1" x14ac:dyDescent="0.2">
      <c r="A25" s="3">
        <v>19</v>
      </c>
      <c r="B25" s="4" t="s">
        <v>373</v>
      </c>
      <c r="C25" s="4" t="s">
        <v>374</v>
      </c>
      <c r="D25" s="4" t="s">
        <v>207</v>
      </c>
      <c r="E25" s="5">
        <v>47000</v>
      </c>
      <c r="F25" s="6">
        <v>1918.8454999999999</v>
      </c>
      <c r="G25" s="7">
        <v>1.608542E-2</v>
      </c>
      <c r="H25" s="113"/>
    </row>
    <row r="26" spans="1:10" ht="17.100000000000001" customHeight="1" x14ac:dyDescent="0.2">
      <c r="A26" s="3">
        <v>20</v>
      </c>
      <c r="B26" s="4" t="s">
        <v>516</v>
      </c>
      <c r="C26" s="4" t="s">
        <v>517</v>
      </c>
      <c r="D26" s="4" t="s">
        <v>267</v>
      </c>
      <c r="E26" s="5">
        <v>33000</v>
      </c>
      <c r="F26" s="6">
        <v>1887.5174999999999</v>
      </c>
      <c r="G26" s="7">
        <v>1.582281E-2</v>
      </c>
      <c r="H26" s="113"/>
    </row>
    <row r="27" spans="1:10" ht="17.100000000000001" customHeight="1" x14ac:dyDescent="0.2">
      <c r="A27" s="3">
        <v>21</v>
      </c>
      <c r="B27" s="4" t="s">
        <v>79</v>
      </c>
      <c r="C27" s="4" t="s">
        <v>80</v>
      </c>
      <c r="D27" s="4" t="s">
        <v>46</v>
      </c>
      <c r="E27" s="5">
        <v>63000</v>
      </c>
      <c r="F27" s="6">
        <v>1869.2729999999999</v>
      </c>
      <c r="G27" s="7">
        <v>1.5669869999999999E-2</v>
      </c>
      <c r="H27" s="113"/>
    </row>
    <row r="28" spans="1:10" ht="17.100000000000001" customHeight="1" x14ac:dyDescent="0.2">
      <c r="A28" s="3">
        <v>22</v>
      </c>
      <c r="B28" s="4" t="s">
        <v>488</v>
      </c>
      <c r="C28" s="40" t="s">
        <v>893</v>
      </c>
      <c r="D28" s="4" t="s">
        <v>22</v>
      </c>
      <c r="E28" s="5">
        <v>283000</v>
      </c>
      <c r="F28" s="6">
        <v>1805.1155000000001</v>
      </c>
      <c r="G28" s="7">
        <v>1.5132039999999999E-2</v>
      </c>
      <c r="H28" s="113"/>
    </row>
    <row r="29" spans="1:10" ht="17.100000000000001" customHeight="1" x14ac:dyDescent="0.2">
      <c r="A29" s="3">
        <v>23</v>
      </c>
      <c r="B29" s="4" t="s">
        <v>243</v>
      </c>
      <c r="C29" s="4" t="s">
        <v>244</v>
      </c>
      <c r="D29" s="4" t="s">
        <v>245</v>
      </c>
      <c r="E29" s="5">
        <v>317000</v>
      </c>
      <c r="F29" s="6">
        <v>1791.2085</v>
      </c>
      <c r="G29" s="7">
        <v>1.501546E-2</v>
      </c>
      <c r="H29" s="113"/>
    </row>
    <row r="30" spans="1:10" ht="29.1" customHeight="1" x14ac:dyDescent="0.2">
      <c r="A30" s="3">
        <v>24</v>
      </c>
      <c r="B30" s="4" t="s">
        <v>211</v>
      </c>
      <c r="C30" s="4" t="s">
        <v>212</v>
      </c>
      <c r="D30" s="4" t="s">
        <v>53</v>
      </c>
      <c r="E30" s="5">
        <v>142000</v>
      </c>
      <c r="F30" s="6">
        <v>1788.9159999999999</v>
      </c>
      <c r="G30" s="7">
        <v>1.4996239999999999E-2</v>
      </c>
      <c r="H30" s="113"/>
    </row>
    <row r="31" spans="1:10" ht="17.100000000000001" customHeight="1" x14ac:dyDescent="0.2">
      <c r="A31" s="3">
        <v>25</v>
      </c>
      <c r="B31" s="4" t="s">
        <v>577</v>
      </c>
      <c r="C31" s="4" t="s">
        <v>578</v>
      </c>
      <c r="D31" s="4" t="s">
        <v>891</v>
      </c>
      <c r="E31" s="5">
        <v>130000</v>
      </c>
      <c r="F31" s="6">
        <v>1654.4449999999999</v>
      </c>
      <c r="G31" s="7">
        <v>1.3868989999999999E-2</v>
      </c>
      <c r="H31" s="113"/>
    </row>
    <row r="32" spans="1:10" ht="17.100000000000001" customHeight="1" x14ac:dyDescent="0.2">
      <c r="A32" s="3">
        <v>26</v>
      </c>
      <c r="B32" s="4" t="s">
        <v>375</v>
      </c>
      <c r="C32" s="4" t="s">
        <v>376</v>
      </c>
      <c r="D32" s="4" t="s">
        <v>248</v>
      </c>
      <c r="E32" s="5">
        <v>16000</v>
      </c>
      <c r="F32" s="6">
        <v>1648.376</v>
      </c>
      <c r="G32" s="7">
        <v>1.381812E-2</v>
      </c>
      <c r="H32" s="113"/>
    </row>
    <row r="33" spans="1:8" ht="53.1" customHeight="1" x14ac:dyDescent="0.2">
      <c r="A33" s="3">
        <v>27</v>
      </c>
      <c r="B33" s="4" t="s">
        <v>100</v>
      </c>
      <c r="C33" s="4" t="s">
        <v>101</v>
      </c>
      <c r="D33" s="4" t="s">
        <v>102</v>
      </c>
      <c r="E33" s="5">
        <v>885000</v>
      </c>
      <c r="F33" s="6">
        <v>1606.7175</v>
      </c>
      <c r="G33" s="7">
        <v>1.3468900000000001E-2</v>
      </c>
      <c r="H33" s="113"/>
    </row>
    <row r="34" spans="1:8" ht="17.100000000000001" customHeight="1" x14ac:dyDescent="0.2">
      <c r="A34" s="3">
        <v>28</v>
      </c>
      <c r="B34" s="4" t="s">
        <v>359</v>
      </c>
      <c r="C34" s="4" t="s">
        <v>360</v>
      </c>
      <c r="D34" s="4" t="s">
        <v>56</v>
      </c>
      <c r="E34" s="5">
        <v>40000</v>
      </c>
      <c r="F34" s="6">
        <v>1470.18</v>
      </c>
      <c r="G34" s="7">
        <v>1.232432E-2</v>
      </c>
      <c r="H34" s="113"/>
    </row>
    <row r="35" spans="1:8" ht="17.100000000000001" customHeight="1" x14ac:dyDescent="0.2">
      <c r="A35" s="3">
        <v>29</v>
      </c>
      <c r="B35" s="4" t="s">
        <v>239</v>
      </c>
      <c r="C35" s="4" t="s">
        <v>240</v>
      </c>
      <c r="D35" s="4" t="s">
        <v>891</v>
      </c>
      <c r="E35" s="5">
        <v>22302</v>
      </c>
      <c r="F35" s="6">
        <v>1399.3166880000001</v>
      </c>
      <c r="G35" s="7">
        <v>1.1730279999999999E-2</v>
      </c>
      <c r="H35" s="113"/>
    </row>
    <row r="36" spans="1:8" ht="29.1" customHeight="1" x14ac:dyDescent="0.2">
      <c r="A36" s="3">
        <v>30</v>
      </c>
      <c r="B36" s="4" t="s">
        <v>486</v>
      </c>
      <c r="C36" s="4" t="s">
        <v>487</v>
      </c>
      <c r="D36" s="4" t="s">
        <v>225</v>
      </c>
      <c r="E36" s="5">
        <v>102000</v>
      </c>
      <c r="F36" s="6">
        <v>1271.2260000000001</v>
      </c>
      <c r="G36" s="7">
        <v>1.0656519999999999E-2</v>
      </c>
      <c r="H36" s="113"/>
    </row>
    <row r="37" spans="1:8" ht="17.100000000000001" customHeight="1" x14ac:dyDescent="0.2">
      <c r="A37" s="3">
        <v>31</v>
      </c>
      <c r="B37" s="4" t="s">
        <v>346</v>
      </c>
      <c r="C37" s="4" t="s">
        <v>347</v>
      </c>
      <c r="D37" s="4" t="s">
        <v>891</v>
      </c>
      <c r="E37" s="5">
        <v>20000</v>
      </c>
      <c r="F37" s="6">
        <v>1258.99</v>
      </c>
      <c r="G37" s="7">
        <v>1.055394E-2</v>
      </c>
      <c r="H37" s="113"/>
    </row>
    <row r="38" spans="1:8" ht="17.100000000000001" customHeight="1" x14ac:dyDescent="0.2">
      <c r="A38" s="3">
        <v>32</v>
      </c>
      <c r="B38" s="4" t="s">
        <v>232</v>
      </c>
      <c r="C38" s="4" t="s">
        <v>233</v>
      </c>
      <c r="D38" s="4" t="s">
        <v>234</v>
      </c>
      <c r="E38" s="5">
        <v>130000</v>
      </c>
      <c r="F38" s="6">
        <v>1240.5899999999999</v>
      </c>
      <c r="G38" s="7">
        <v>1.03997E-2</v>
      </c>
      <c r="H38" s="113"/>
    </row>
    <row r="39" spans="1:8" ht="17.100000000000001" customHeight="1" x14ac:dyDescent="0.2">
      <c r="A39" s="3">
        <v>33</v>
      </c>
      <c r="B39" s="4" t="s">
        <v>197</v>
      </c>
      <c r="C39" s="4" t="s">
        <v>198</v>
      </c>
      <c r="D39" s="4" t="s">
        <v>28</v>
      </c>
      <c r="E39" s="5">
        <v>761794</v>
      </c>
      <c r="F39" s="6">
        <v>1189.5413309999999</v>
      </c>
      <c r="G39" s="7">
        <v>9.9717699999999996E-3</v>
      </c>
      <c r="H39" s="113"/>
    </row>
    <row r="40" spans="1:8" ht="17.100000000000001" customHeight="1" x14ac:dyDescent="0.2">
      <c r="A40" s="3">
        <v>34</v>
      </c>
      <c r="B40" s="4" t="s">
        <v>705</v>
      </c>
      <c r="C40" s="4" t="s">
        <v>706</v>
      </c>
      <c r="D40" s="4" t="s">
        <v>56</v>
      </c>
      <c r="E40" s="5">
        <v>122749</v>
      </c>
      <c r="F40" s="6">
        <v>1162.4330299999999</v>
      </c>
      <c r="G40" s="7">
        <v>9.7445199999999996E-3</v>
      </c>
      <c r="H40" s="113"/>
    </row>
    <row r="41" spans="1:8" ht="17.100000000000001" customHeight="1" x14ac:dyDescent="0.2">
      <c r="A41" s="3">
        <v>35</v>
      </c>
      <c r="B41" s="4" t="s">
        <v>258</v>
      </c>
      <c r="C41" s="4" t="s">
        <v>259</v>
      </c>
      <c r="D41" s="4" t="s">
        <v>207</v>
      </c>
      <c r="E41" s="5">
        <v>22000</v>
      </c>
      <c r="F41" s="6">
        <v>1130.8330000000001</v>
      </c>
      <c r="G41" s="7">
        <v>9.4796199999999994E-3</v>
      </c>
      <c r="H41" s="113"/>
    </row>
    <row r="42" spans="1:8" ht="17.100000000000001" customHeight="1" x14ac:dyDescent="0.2">
      <c r="A42" s="3">
        <v>36</v>
      </c>
      <c r="B42" s="4" t="s">
        <v>39</v>
      </c>
      <c r="C42" s="4" t="s">
        <v>40</v>
      </c>
      <c r="D42" s="4" t="s">
        <v>41</v>
      </c>
      <c r="E42" s="5">
        <v>23000</v>
      </c>
      <c r="F42" s="6">
        <v>1075.2155</v>
      </c>
      <c r="G42" s="7">
        <v>9.0133899999999996E-3</v>
      </c>
      <c r="H42" s="113"/>
    </row>
    <row r="43" spans="1:8" ht="53.1" customHeight="1" x14ac:dyDescent="0.2">
      <c r="A43" s="3">
        <v>37</v>
      </c>
      <c r="B43" s="4" t="s">
        <v>135</v>
      </c>
      <c r="C43" s="4" t="s">
        <v>136</v>
      </c>
      <c r="D43" s="4" t="s">
        <v>102</v>
      </c>
      <c r="E43" s="5">
        <v>38000</v>
      </c>
      <c r="F43" s="6">
        <v>1075.096</v>
      </c>
      <c r="G43" s="7">
        <v>9.0123900000000003E-3</v>
      </c>
      <c r="H43" s="113"/>
    </row>
    <row r="44" spans="1:8" ht="17.100000000000001" customHeight="1" x14ac:dyDescent="0.2">
      <c r="A44" s="3">
        <v>38</v>
      </c>
      <c r="B44" s="4" t="s">
        <v>820</v>
      </c>
      <c r="C44" s="4" t="s">
        <v>821</v>
      </c>
      <c r="D44" s="4" t="s">
        <v>56</v>
      </c>
      <c r="E44" s="5">
        <v>65000</v>
      </c>
      <c r="F44" s="6">
        <v>1073.4100000000001</v>
      </c>
      <c r="G44" s="7">
        <v>8.9982499999999993E-3</v>
      </c>
      <c r="H44" s="113"/>
    </row>
    <row r="45" spans="1:8" ht="29.1" customHeight="1" x14ac:dyDescent="0.2">
      <c r="A45" s="3">
        <v>39</v>
      </c>
      <c r="B45" s="4" t="s">
        <v>396</v>
      </c>
      <c r="C45" s="4" t="s">
        <v>397</v>
      </c>
      <c r="D45" s="4" t="s">
        <v>225</v>
      </c>
      <c r="E45" s="5">
        <v>53410</v>
      </c>
      <c r="F45" s="6">
        <v>1058.8532499999999</v>
      </c>
      <c r="G45" s="7">
        <v>8.8762300000000006E-3</v>
      </c>
      <c r="H45" s="113"/>
    </row>
    <row r="46" spans="1:8" ht="29.1" customHeight="1" x14ac:dyDescent="0.2">
      <c r="A46" s="3">
        <v>40</v>
      </c>
      <c r="B46" s="4" t="s">
        <v>353</v>
      </c>
      <c r="C46" s="4" t="s">
        <v>354</v>
      </c>
      <c r="D46" s="4" t="s">
        <v>225</v>
      </c>
      <c r="E46" s="5">
        <v>18000</v>
      </c>
      <c r="F46" s="6">
        <v>1043.6220000000001</v>
      </c>
      <c r="G46" s="7">
        <v>8.7485400000000008E-3</v>
      </c>
      <c r="H46" s="113"/>
    </row>
    <row r="47" spans="1:8" ht="29.1" customHeight="1" x14ac:dyDescent="0.2">
      <c r="A47" s="3">
        <v>41</v>
      </c>
      <c r="B47" s="4" t="s">
        <v>481</v>
      </c>
      <c r="C47" s="4" t="s">
        <v>482</v>
      </c>
      <c r="D47" s="4" t="s">
        <v>483</v>
      </c>
      <c r="E47" s="5">
        <v>92000</v>
      </c>
      <c r="F47" s="6">
        <v>999.85599999999999</v>
      </c>
      <c r="G47" s="7">
        <v>8.3816600000000008E-3</v>
      </c>
      <c r="H47" s="113"/>
    </row>
    <row r="48" spans="1:8" ht="17.100000000000001" customHeight="1" x14ac:dyDescent="0.2">
      <c r="A48" s="3">
        <v>42</v>
      </c>
      <c r="B48" s="4" t="s">
        <v>417</v>
      </c>
      <c r="C48" s="4" t="s">
        <v>418</v>
      </c>
      <c r="D48" s="4" t="s">
        <v>53</v>
      </c>
      <c r="E48" s="5">
        <v>125000</v>
      </c>
      <c r="F48" s="6">
        <v>972.0625</v>
      </c>
      <c r="G48" s="7">
        <v>8.1486700000000002E-3</v>
      </c>
      <c r="H48" s="113"/>
    </row>
    <row r="49" spans="1:8" ht="17.100000000000001" customHeight="1" x14ac:dyDescent="0.2">
      <c r="A49" s="3">
        <v>43</v>
      </c>
      <c r="B49" s="4" t="s">
        <v>367</v>
      </c>
      <c r="C49" s="4" t="s">
        <v>368</v>
      </c>
      <c r="D49" s="4" t="s">
        <v>99</v>
      </c>
      <c r="E49" s="5">
        <v>690000</v>
      </c>
      <c r="F49" s="6">
        <v>963.24</v>
      </c>
      <c r="G49" s="7">
        <v>8.0747100000000006E-3</v>
      </c>
      <c r="H49" s="113"/>
    </row>
    <row r="50" spans="1:8" ht="17.100000000000001" customHeight="1" x14ac:dyDescent="0.2">
      <c r="A50" s="3">
        <v>44</v>
      </c>
      <c r="B50" s="4" t="s">
        <v>335</v>
      </c>
      <c r="C50" s="4" t="s">
        <v>336</v>
      </c>
      <c r="D50" s="4" t="s">
        <v>28</v>
      </c>
      <c r="E50" s="5">
        <v>60000</v>
      </c>
      <c r="F50" s="6">
        <v>959.37</v>
      </c>
      <c r="G50" s="7">
        <v>8.0422700000000007E-3</v>
      </c>
      <c r="H50" s="113"/>
    </row>
    <row r="51" spans="1:8" ht="17.100000000000001" customHeight="1" x14ac:dyDescent="0.2">
      <c r="A51" s="3">
        <v>45</v>
      </c>
      <c r="B51" s="4" t="s">
        <v>484</v>
      </c>
      <c r="C51" s="4" t="s">
        <v>485</v>
      </c>
      <c r="D51" s="4" t="s">
        <v>28</v>
      </c>
      <c r="E51" s="5">
        <v>50000</v>
      </c>
      <c r="F51" s="6">
        <v>954.05</v>
      </c>
      <c r="G51" s="7">
        <v>7.9976700000000001E-3</v>
      </c>
      <c r="H51" s="113"/>
    </row>
    <row r="52" spans="1:8" ht="29.1" customHeight="1" x14ac:dyDescent="0.2">
      <c r="A52" s="3">
        <v>46</v>
      </c>
      <c r="B52" s="4" t="s">
        <v>228</v>
      </c>
      <c r="C52" s="4" t="s">
        <v>229</v>
      </c>
      <c r="D52" s="4" t="s">
        <v>225</v>
      </c>
      <c r="E52" s="5">
        <v>18000</v>
      </c>
      <c r="F52" s="6">
        <v>936.46799999999996</v>
      </c>
      <c r="G52" s="7">
        <v>7.8502899999999994E-3</v>
      </c>
      <c r="H52" s="113"/>
    </row>
    <row r="53" spans="1:8" ht="17.100000000000001" customHeight="1" x14ac:dyDescent="0.2">
      <c r="A53" s="3">
        <v>47</v>
      </c>
      <c r="B53" s="4" t="s">
        <v>363</v>
      </c>
      <c r="C53" s="4" t="s">
        <v>364</v>
      </c>
      <c r="D53" s="4" t="s">
        <v>207</v>
      </c>
      <c r="E53" s="5">
        <v>524000</v>
      </c>
      <c r="F53" s="6">
        <v>911.49800000000005</v>
      </c>
      <c r="G53" s="7">
        <v>7.6409700000000004E-3</v>
      </c>
      <c r="H53" s="113"/>
    </row>
    <row r="54" spans="1:8" ht="29.1" customHeight="1" x14ac:dyDescent="0.2">
      <c r="A54" s="3">
        <v>48</v>
      </c>
      <c r="B54" s="4" t="s">
        <v>822</v>
      </c>
      <c r="C54" s="4" t="s">
        <v>823</v>
      </c>
      <c r="D54" s="4" t="s">
        <v>225</v>
      </c>
      <c r="E54" s="5">
        <v>79880</v>
      </c>
      <c r="F54" s="6">
        <v>889.18421999999998</v>
      </c>
      <c r="G54" s="7">
        <v>7.4539100000000002E-3</v>
      </c>
      <c r="H54" s="113"/>
    </row>
    <row r="55" spans="1:8" ht="17.100000000000001" customHeight="1" x14ac:dyDescent="0.2">
      <c r="A55" s="3">
        <v>49</v>
      </c>
      <c r="B55" s="4" t="s">
        <v>340</v>
      </c>
      <c r="C55" s="4" t="s">
        <v>341</v>
      </c>
      <c r="D55" s="4" t="s">
        <v>28</v>
      </c>
      <c r="E55" s="5">
        <v>194000</v>
      </c>
      <c r="F55" s="6">
        <v>848.75</v>
      </c>
      <c r="G55" s="7">
        <v>7.11496E-3</v>
      </c>
      <c r="H55" s="113"/>
    </row>
    <row r="56" spans="1:8" ht="17.100000000000001" customHeight="1" x14ac:dyDescent="0.2">
      <c r="A56" s="3">
        <v>50</v>
      </c>
      <c r="B56" s="4" t="s">
        <v>741</v>
      </c>
      <c r="C56" s="4" t="s">
        <v>742</v>
      </c>
      <c r="D56" s="4" t="s">
        <v>262</v>
      </c>
      <c r="E56" s="5">
        <v>3000</v>
      </c>
      <c r="F56" s="6">
        <v>797.40899999999999</v>
      </c>
      <c r="G56" s="7">
        <v>6.6845699999999999E-3</v>
      </c>
      <c r="H56" s="113"/>
    </row>
    <row r="57" spans="1:8" ht="29.1" customHeight="1" x14ac:dyDescent="0.2">
      <c r="A57" s="3">
        <v>51</v>
      </c>
      <c r="B57" s="4" t="s">
        <v>727</v>
      </c>
      <c r="C57" s="4" t="s">
        <v>728</v>
      </c>
      <c r="D57" s="4" t="s">
        <v>222</v>
      </c>
      <c r="E57" s="5">
        <v>50000</v>
      </c>
      <c r="F57" s="6">
        <v>774.55</v>
      </c>
      <c r="G57" s="7">
        <v>6.4929499999999999E-3</v>
      </c>
      <c r="H57" s="113"/>
    </row>
    <row r="58" spans="1:8" ht="29.1" customHeight="1" x14ac:dyDescent="0.2">
      <c r="A58" s="3">
        <v>52</v>
      </c>
      <c r="B58" s="4" t="s">
        <v>371</v>
      </c>
      <c r="C58" s="4" t="s">
        <v>372</v>
      </c>
      <c r="D58" s="4" t="s">
        <v>225</v>
      </c>
      <c r="E58" s="5">
        <v>70000</v>
      </c>
      <c r="F58" s="6">
        <v>758.8</v>
      </c>
      <c r="G58" s="7">
        <v>6.3609199999999999E-3</v>
      </c>
      <c r="H58" s="113"/>
    </row>
    <row r="59" spans="1:8" ht="17.100000000000001" customHeight="1" x14ac:dyDescent="0.2">
      <c r="A59" s="3">
        <v>53</v>
      </c>
      <c r="B59" s="4" t="s">
        <v>707</v>
      </c>
      <c r="C59" s="4" t="s">
        <v>708</v>
      </c>
      <c r="D59" s="4" t="s">
        <v>262</v>
      </c>
      <c r="E59" s="5">
        <v>14000</v>
      </c>
      <c r="F59" s="6">
        <v>747.38300000000004</v>
      </c>
      <c r="G59" s="7">
        <v>6.2652100000000002E-3</v>
      </c>
      <c r="H59" s="113"/>
    </row>
    <row r="60" spans="1:8" ht="17.100000000000001" customHeight="1" x14ac:dyDescent="0.2">
      <c r="A60" s="3">
        <v>54</v>
      </c>
      <c r="B60" s="4" t="s">
        <v>348</v>
      </c>
      <c r="C60" s="4" t="s">
        <v>349</v>
      </c>
      <c r="D60" s="4" t="s">
        <v>350</v>
      </c>
      <c r="E60" s="5">
        <v>159000</v>
      </c>
      <c r="F60" s="6">
        <v>734.73900000000003</v>
      </c>
      <c r="G60" s="7">
        <v>6.15922E-3</v>
      </c>
      <c r="H60" s="113"/>
    </row>
    <row r="61" spans="1:8" ht="17.100000000000001" customHeight="1" x14ac:dyDescent="0.2">
      <c r="A61" s="3">
        <v>55</v>
      </c>
      <c r="B61" s="4" t="s">
        <v>115</v>
      </c>
      <c r="C61" s="4" t="s">
        <v>116</v>
      </c>
      <c r="D61" s="4" t="s">
        <v>34</v>
      </c>
      <c r="E61" s="5">
        <v>100000</v>
      </c>
      <c r="F61" s="6">
        <v>655.45</v>
      </c>
      <c r="G61" s="7">
        <v>5.49455E-3</v>
      </c>
      <c r="H61" s="113"/>
    </row>
    <row r="62" spans="1:8" ht="17.100000000000001" customHeight="1" x14ac:dyDescent="0.2">
      <c r="A62" s="3">
        <v>56</v>
      </c>
      <c r="B62" s="4" t="s">
        <v>824</v>
      </c>
      <c r="C62" s="4" t="s">
        <v>825</v>
      </c>
      <c r="D62" s="4" t="s">
        <v>107</v>
      </c>
      <c r="E62" s="5">
        <v>120629</v>
      </c>
      <c r="F62" s="6">
        <v>653.62823649999996</v>
      </c>
      <c r="G62" s="7">
        <v>5.4792799999999996E-3</v>
      </c>
      <c r="H62" s="113"/>
    </row>
    <row r="63" spans="1:8" ht="17.100000000000001" customHeight="1" x14ac:dyDescent="0.2">
      <c r="A63" s="3">
        <v>57</v>
      </c>
      <c r="B63" s="4" t="s">
        <v>556</v>
      </c>
      <c r="C63" s="4" t="s">
        <v>557</v>
      </c>
      <c r="D63" s="4" t="s">
        <v>891</v>
      </c>
      <c r="E63" s="5">
        <v>33000</v>
      </c>
      <c r="F63" s="6">
        <v>641.91600000000005</v>
      </c>
      <c r="G63" s="7">
        <v>5.3810999999999998E-3</v>
      </c>
      <c r="H63" s="113"/>
    </row>
    <row r="64" spans="1:8" ht="17.100000000000001" customHeight="1" x14ac:dyDescent="0.2">
      <c r="A64" s="3">
        <v>58</v>
      </c>
      <c r="B64" s="4" t="s">
        <v>716</v>
      </c>
      <c r="C64" s="4" t="s">
        <v>717</v>
      </c>
      <c r="D64" s="4" t="s">
        <v>53</v>
      </c>
      <c r="E64" s="5">
        <v>274000</v>
      </c>
      <c r="F64" s="6">
        <v>638.28300000000002</v>
      </c>
      <c r="G64" s="7">
        <v>5.3506400000000003E-3</v>
      </c>
      <c r="H64" s="113"/>
    </row>
    <row r="65" spans="1:8" ht="17.100000000000001" customHeight="1" x14ac:dyDescent="0.2">
      <c r="A65" s="3">
        <v>59</v>
      </c>
      <c r="B65" s="4" t="s">
        <v>826</v>
      </c>
      <c r="C65" s="4" t="s">
        <v>827</v>
      </c>
      <c r="D65" s="4" t="s">
        <v>262</v>
      </c>
      <c r="E65" s="5">
        <v>35000</v>
      </c>
      <c r="F65" s="6">
        <v>588.38499999999999</v>
      </c>
      <c r="G65" s="7">
        <v>4.9323500000000003E-3</v>
      </c>
      <c r="H65" s="113"/>
    </row>
    <row r="66" spans="1:8" ht="17.100000000000001" customHeight="1" x14ac:dyDescent="0.2">
      <c r="A66" s="3">
        <v>60</v>
      </c>
      <c r="B66" s="4" t="s">
        <v>559</v>
      </c>
      <c r="C66" s="4" t="s">
        <v>560</v>
      </c>
      <c r="D66" s="4" t="s">
        <v>295</v>
      </c>
      <c r="E66" s="5">
        <v>52000</v>
      </c>
      <c r="F66" s="6">
        <v>581.23</v>
      </c>
      <c r="G66" s="7">
        <v>4.87237E-3</v>
      </c>
      <c r="H66" s="113"/>
    </row>
    <row r="67" spans="1:8" ht="17.100000000000001" customHeight="1" x14ac:dyDescent="0.2">
      <c r="A67" s="3">
        <v>61</v>
      </c>
      <c r="B67" s="4" t="s">
        <v>571</v>
      </c>
      <c r="C67" s="4" t="s">
        <v>572</v>
      </c>
      <c r="D67" s="4" t="s">
        <v>56</v>
      </c>
      <c r="E67" s="5">
        <v>17000</v>
      </c>
      <c r="F67" s="6">
        <v>578.40800000000002</v>
      </c>
      <c r="G67" s="7">
        <v>4.8487199999999999E-3</v>
      </c>
      <c r="H67" s="113"/>
    </row>
    <row r="68" spans="1:8" ht="17.100000000000001" customHeight="1" x14ac:dyDescent="0.2">
      <c r="A68" s="3">
        <v>62</v>
      </c>
      <c r="B68" s="4" t="s">
        <v>255</v>
      </c>
      <c r="C68" s="4" t="s">
        <v>256</v>
      </c>
      <c r="D68" s="4" t="s">
        <v>257</v>
      </c>
      <c r="E68" s="5">
        <v>200000</v>
      </c>
      <c r="F68" s="6">
        <v>549.4</v>
      </c>
      <c r="G68" s="7">
        <v>4.6055499999999999E-3</v>
      </c>
      <c r="H68" s="113"/>
    </row>
    <row r="69" spans="1:8" ht="29.1" customHeight="1" x14ac:dyDescent="0.2">
      <c r="A69" s="3">
        <v>63</v>
      </c>
      <c r="B69" s="4" t="s">
        <v>508</v>
      </c>
      <c r="C69" s="4" t="s">
        <v>509</v>
      </c>
      <c r="D69" s="4" t="s">
        <v>225</v>
      </c>
      <c r="E69" s="5">
        <v>75951</v>
      </c>
      <c r="F69" s="6">
        <v>548.97382800000003</v>
      </c>
      <c r="G69" s="7">
        <v>4.6019700000000004E-3</v>
      </c>
      <c r="H69" s="113"/>
    </row>
    <row r="70" spans="1:8" ht="17.100000000000001" customHeight="1" x14ac:dyDescent="0.2">
      <c r="A70" s="3">
        <v>64</v>
      </c>
      <c r="B70" s="4" t="s">
        <v>91</v>
      </c>
      <c r="C70" s="4" t="s">
        <v>92</v>
      </c>
      <c r="D70" s="4" t="s">
        <v>73</v>
      </c>
      <c r="E70" s="5">
        <v>38000</v>
      </c>
      <c r="F70" s="6">
        <v>548.47299999999996</v>
      </c>
      <c r="G70" s="7">
        <v>4.5977800000000001E-3</v>
      </c>
      <c r="H70" s="113"/>
    </row>
    <row r="71" spans="1:8" ht="17.100000000000001" customHeight="1" x14ac:dyDescent="0.2">
      <c r="A71" s="3">
        <v>65</v>
      </c>
      <c r="B71" s="4" t="s">
        <v>125</v>
      </c>
      <c r="C71" s="4" t="s">
        <v>126</v>
      </c>
      <c r="D71" s="4" t="s">
        <v>13</v>
      </c>
      <c r="E71" s="5">
        <v>126172</v>
      </c>
      <c r="F71" s="6">
        <v>545.50464199999999</v>
      </c>
      <c r="G71" s="7">
        <v>4.5728899999999996E-3</v>
      </c>
      <c r="H71" s="113"/>
    </row>
    <row r="72" spans="1:8" ht="29.1" customHeight="1" x14ac:dyDescent="0.2">
      <c r="A72" s="3">
        <v>66</v>
      </c>
      <c r="B72" s="4" t="s">
        <v>77</v>
      </c>
      <c r="C72" s="4" t="s">
        <v>78</v>
      </c>
      <c r="D72" s="4" t="s">
        <v>25</v>
      </c>
      <c r="E72" s="5">
        <v>21069</v>
      </c>
      <c r="F72" s="6">
        <v>479.36188800000002</v>
      </c>
      <c r="G72" s="7">
        <v>4.0184299999999999E-3</v>
      </c>
      <c r="H72" s="113"/>
    </row>
    <row r="73" spans="1:8" ht="17.100000000000001" customHeight="1" x14ac:dyDescent="0.2">
      <c r="A73" s="3">
        <v>67</v>
      </c>
      <c r="B73" s="4" t="s">
        <v>333</v>
      </c>
      <c r="C73" s="4" t="s">
        <v>334</v>
      </c>
      <c r="D73" s="4" t="s">
        <v>207</v>
      </c>
      <c r="E73" s="5">
        <v>370890</v>
      </c>
      <c r="F73" s="6">
        <v>458.79093</v>
      </c>
      <c r="G73" s="7">
        <v>3.8459800000000001E-3</v>
      </c>
      <c r="H73" s="113"/>
    </row>
    <row r="74" spans="1:8" ht="17.100000000000001" customHeight="1" x14ac:dyDescent="0.2">
      <c r="A74" s="3">
        <v>68</v>
      </c>
      <c r="B74" s="4" t="s">
        <v>105</v>
      </c>
      <c r="C74" s="4" t="s">
        <v>106</v>
      </c>
      <c r="D74" s="4" t="s">
        <v>107</v>
      </c>
      <c r="E74" s="5">
        <v>12000</v>
      </c>
      <c r="F74" s="6">
        <v>384.36</v>
      </c>
      <c r="G74" s="7">
        <v>3.2220399999999998E-3</v>
      </c>
      <c r="H74" s="113"/>
    </row>
    <row r="75" spans="1:8" ht="17.100000000000001" customHeight="1" x14ac:dyDescent="0.2">
      <c r="A75" s="3">
        <v>69</v>
      </c>
      <c r="B75" s="4" t="s">
        <v>419</v>
      </c>
      <c r="C75" s="4" t="s">
        <v>420</v>
      </c>
      <c r="D75" s="4" t="s">
        <v>245</v>
      </c>
      <c r="E75" s="5">
        <v>26000</v>
      </c>
      <c r="F75" s="6">
        <v>369.48599999999999</v>
      </c>
      <c r="G75" s="7">
        <v>3.09735E-3</v>
      </c>
      <c r="H75" s="113"/>
    </row>
    <row r="76" spans="1:8" ht="29.1" customHeight="1" x14ac:dyDescent="0.2">
      <c r="A76" s="3">
        <v>70</v>
      </c>
      <c r="B76" s="4" t="s">
        <v>220</v>
      </c>
      <c r="C76" s="4" t="s">
        <v>221</v>
      </c>
      <c r="D76" s="4" t="s">
        <v>222</v>
      </c>
      <c r="E76" s="5">
        <v>7000</v>
      </c>
      <c r="F76" s="6">
        <v>269.72399999999999</v>
      </c>
      <c r="G76" s="7">
        <v>2.2610600000000001E-3</v>
      </c>
      <c r="H76" s="113"/>
    </row>
    <row r="77" spans="1:8" ht="17.100000000000001" customHeight="1" x14ac:dyDescent="0.2">
      <c r="A77" s="3">
        <v>71</v>
      </c>
      <c r="B77" s="4" t="s">
        <v>731</v>
      </c>
      <c r="C77" s="4" t="s">
        <v>732</v>
      </c>
      <c r="D77" s="4" t="s">
        <v>53</v>
      </c>
      <c r="E77" s="5">
        <v>53206</v>
      </c>
      <c r="F77" s="6">
        <v>110.98771600000001</v>
      </c>
      <c r="G77" s="7">
        <v>9.3039999999999996E-4</v>
      </c>
      <c r="H77" s="113"/>
    </row>
    <row r="78" spans="1:8" ht="14.1" customHeight="1" x14ac:dyDescent="0.2">
      <c r="A78" s="1"/>
      <c r="B78" s="1"/>
      <c r="C78" s="2" t="s">
        <v>151</v>
      </c>
      <c r="D78" s="1"/>
      <c r="E78" s="1" t="s">
        <v>152</v>
      </c>
      <c r="F78" s="9">
        <v>115412.621188</v>
      </c>
      <c r="G78" s="10">
        <v>0.96748855</v>
      </c>
      <c r="H78" s="113"/>
    </row>
    <row r="79" spans="1:8" ht="14.1" customHeight="1" x14ac:dyDescent="0.2">
      <c r="A79" s="1"/>
      <c r="B79" s="1"/>
      <c r="C79" s="11"/>
      <c r="D79" s="1"/>
      <c r="E79" s="1"/>
      <c r="F79" s="12"/>
      <c r="G79" s="12"/>
      <c r="H79" s="113"/>
    </row>
    <row r="80" spans="1:8" ht="14.1" customHeight="1" x14ac:dyDescent="0.2">
      <c r="A80" s="1"/>
      <c r="B80" s="1"/>
      <c r="C80" s="2" t="s">
        <v>153</v>
      </c>
      <c r="D80" s="1"/>
      <c r="E80" s="1"/>
      <c r="F80" s="1"/>
      <c r="G80" s="1"/>
      <c r="H80" s="113"/>
    </row>
    <row r="81" spans="1:8" ht="14.1" customHeight="1" x14ac:dyDescent="0.2">
      <c r="A81" s="1"/>
      <c r="B81" s="1"/>
      <c r="C81" s="2" t="s">
        <v>151</v>
      </c>
      <c r="D81" s="1"/>
      <c r="E81" s="1" t="s">
        <v>152</v>
      </c>
      <c r="F81" s="13" t="s">
        <v>154</v>
      </c>
      <c r="G81" s="10">
        <v>0</v>
      </c>
      <c r="H81" s="113"/>
    </row>
    <row r="82" spans="1:8" ht="14.1" customHeight="1" x14ac:dyDescent="0.2">
      <c r="A82" s="1"/>
      <c r="B82" s="1"/>
      <c r="C82" s="11"/>
      <c r="D82" s="1"/>
      <c r="E82" s="1"/>
      <c r="F82" s="12"/>
      <c r="G82" s="12"/>
      <c r="H82" s="113"/>
    </row>
    <row r="83" spans="1:8" ht="14.1" customHeight="1" x14ac:dyDescent="0.2">
      <c r="A83" s="1"/>
      <c r="B83" s="1"/>
      <c r="C83" s="2" t="s">
        <v>155</v>
      </c>
      <c r="D83" s="1"/>
      <c r="E83" s="1"/>
      <c r="F83" s="1"/>
      <c r="G83" s="1"/>
      <c r="H83" s="113"/>
    </row>
    <row r="84" spans="1:8" ht="17.100000000000001" customHeight="1" x14ac:dyDescent="0.2">
      <c r="A84" s="3">
        <v>1</v>
      </c>
      <c r="B84" s="4" t="s">
        <v>579</v>
      </c>
      <c r="C84" s="40" t="s">
        <v>952</v>
      </c>
      <c r="D84" s="4" t="s">
        <v>245</v>
      </c>
      <c r="E84" s="5">
        <v>374002</v>
      </c>
      <c r="F84" s="6">
        <v>16.643089</v>
      </c>
      <c r="G84" s="7">
        <v>1.3951999999999999E-4</v>
      </c>
      <c r="H84" s="113"/>
    </row>
    <row r="85" spans="1:8" ht="17.100000000000001" customHeight="1" x14ac:dyDescent="0.2">
      <c r="A85" s="3">
        <v>2</v>
      </c>
      <c r="B85" s="4" t="s">
        <v>759</v>
      </c>
      <c r="C85" s="40" t="s">
        <v>963</v>
      </c>
      <c r="D85" s="4"/>
      <c r="E85" s="5">
        <v>200000</v>
      </c>
      <c r="F85" s="6">
        <v>1.9999999999999999E-6</v>
      </c>
      <c r="G85" s="8" t="s">
        <v>150</v>
      </c>
      <c r="H85" s="113"/>
    </row>
    <row r="86" spans="1:8" ht="14.1" customHeight="1" x14ac:dyDescent="0.2">
      <c r="A86" s="1"/>
      <c r="B86" s="1"/>
      <c r="C86" s="2" t="s">
        <v>151</v>
      </c>
      <c r="D86" s="1"/>
      <c r="E86" s="1" t="s">
        <v>152</v>
      </c>
      <c r="F86" s="9">
        <v>16.643090999999998</v>
      </c>
      <c r="G86" s="10">
        <v>1.3951999999999999E-4</v>
      </c>
      <c r="H86" s="113"/>
    </row>
    <row r="87" spans="1:8" ht="14.1" customHeight="1" x14ac:dyDescent="0.2">
      <c r="A87" s="1"/>
      <c r="B87" s="1"/>
      <c r="C87" s="11"/>
      <c r="D87" s="1"/>
      <c r="E87" s="1"/>
      <c r="F87" s="12"/>
      <c r="G87" s="12"/>
      <c r="H87" s="113"/>
    </row>
    <row r="88" spans="1:8" ht="14.1" customHeight="1" x14ac:dyDescent="0.2">
      <c r="A88" s="1"/>
      <c r="B88" s="1"/>
      <c r="C88" s="2" t="s">
        <v>156</v>
      </c>
      <c r="D88" s="1"/>
      <c r="E88" s="1"/>
      <c r="F88" s="1"/>
      <c r="G88" s="1"/>
      <c r="H88" s="113"/>
    </row>
    <row r="89" spans="1:8" ht="14.1" customHeight="1" x14ac:dyDescent="0.2">
      <c r="A89" s="1"/>
      <c r="B89" s="1"/>
      <c r="C89" s="2" t="s">
        <v>151</v>
      </c>
      <c r="D89" s="1"/>
      <c r="E89" s="1" t="s">
        <v>152</v>
      </c>
      <c r="F89" s="13" t="s">
        <v>154</v>
      </c>
      <c r="G89" s="10">
        <v>0</v>
      </c>
      <c r="H89" s="113"/>
    </row>
    <row r="90" spans="1:8" ht="14.1" customHeight="1" x14ac:dyDescent="0.2">
      <c r="A90" s="1"/>
      <c r="B90" s="1"/>
      <c r="C90" s="11"/>
      <c r="D90" s="1"/>
      <c r="E90" s="1"/>
      <c r="F90" s="12"/>
      <c r="G90" s="12"/>
      <c r="H90" s="113"/>
    </row>
    <row r="91" spans="1:8" ht="14.1" customHeight="1" x14ac:dyDescent="0.2">
      <c r="A91" s="1"/>
      <c r="B91" s="1"/>
      <c r="C91" s="2" t="s">
        <v>157</v>
      </c>
      <c r="D91" s="1"/>
      <c r="E91" s="1"/>
      <c r="F91" s="12"/>
      <c r="G91" s="12"/>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158</v>
      </c>
      <c r="D94" s="1"/>
      <c r="E94" s="1"/>
      <c r="F94" s="12"/>
      <c r="G94" s="12"/>
      <c r="H94" s="113"/>
    </row>
    <row r="95" spans="1:8" ht="14.1" customHeight="1" x14ac:dyDescent="0.2">
      <c r="A95" s="1"/>
      <c r="B95" s="1"/>
      <c r="C95" s="2" t="s">
        <v>151</v>
      </c>
      <c r="D95" s="1"/>
      <c r="E95" s="1" t="s">
        <v>152</v>
      </c>
      <c r="F95" s="13" t="s">
        <v>154</v>
      </c>
      <c r="G95" s="10">
        <v>0</v>
      </c>
      <c r="H95" s="113"/>
    </row>
    <row r="96" spans="1:8" ht="14.1" customHeight="1" x14ac:dyDescent="0.2">
      <c r="A96" s="1"/>
      <c r="B96" s="1"/>
      <c r="C96" s="11"/>
      <c r="D96" s="1"/>
      <c r="E96" s="1"/>
      <c r="F96" s="12"/>
      <c r="G96" s="12"/>
      <c r="H96" s="113"/>
    </row>
    <row r="97" spans="1:8" ht="18" customHeight="1" x14ac:dyDescent="0.2">
      <c r="A97" s="1"/>
      <c r="B97" s="1"/>
      <c r="C97" s="2" t="s">
        <v>159</v>
      </c>
      <c r="D97" s="1"/>
      <c r="E97" s="1"/>
      <c r="F97" s="9">
        <v>115429.264279</v>
      </c>
      <c r="G97" s="10">
        <v>0.96762806999999995</v>
      </c>
      <c r="H97" s="113"/>
    </row>
    <row r="98" spans="1:8" ht="14.1" customHeight="1" x14ac:dyDescent="0.2">
      <c r="A98" s="1"/>
      <c r="B98" s="1"/>
      <c r="C98" s="11"/>
      <c r="D98" s="1"/>
      <c r="E98" s="1"/>
      <c r="F98" s="12"/>
      <c r="G98" s="12"/>
      <c r="H98" s="113"/>
    </row>
    <row r="99" spans="1:8" ht="14.1" customHeight="1" x14ac:dyDescent="0.2">
      <c r="A99" s="1"/>
      <c r="B99" s="1"/>
      <c r="C99" s="2" t="s">
        <v>160</v>
      </c>
      <c r="D99" s="1"/>
      <c r="E99" s="1"/>
      <c r="F99" s="12"/>
      <c r="G99" s="12"/>
      <c r="H99" s="113"/>
    </row>
    <row r="100" spans="1:8" ht="24" customHeight="1" x14ac:dyDescent="0.2">
      <c r="A100" s="1"/>
      <c r="B100" s="1"/>
      <c r="C100" s="2" t="s">
        <v>10</v>
      </c>
      <c r="D100" s="1"/>
      <c r="E100" s="1"/>
      <c r="F100" s="12"/>
      <c r="G100" s="12"/>
      <c r="H100" s="113"/>
    </row>
    <row r="101" spans="1:8" ht="14.1" customHeight="1" x14ac:dyDescent="0.2">
      <c r="A101" s="1"/>
      <c r="B101" s="1"/>
      <c r="C101" s="2" t="s">
        <v>151</v>
      </c>
      <c r="D101" s="1"/>
      <c r="E101" s="1" t="s">
        <v>152</v>
      </c>
      <c r="F101" s="13" t="s">
        <v>154</v>
      </c>
      <c r="G101" s="10">
        <v>0</v>
      </c>
      <c r="H101" s="113"/>
    </row>
    <row r="102" spans="1:8" ht="14.1" customHeight="1" x14ac:dyDescent="0.2">
      <c r="A102" s="1"/>
      <c r="B102" s="1"/>
      <c r="C102" s="11"/>
      <c r="D102" s="1"/>
      <c r="E102" s="1"/>
      <c r="F102" s="12"/>
      <c r="G102" s="12"/>
      <c r="H102" s="113"/>
    </row>
    <row r="103" spans="1:8" ht="14.1" customHeight="1" x14ac:dyDescent="0.2">
      <c r="A103" s="1"/>
      <c r="B103" s="1"/>
      <c r="C103" s="2" t="s">
        <v>161</v>
      </c>
      <c r="D103" s="1"/>
      <c r="E103" s="1"/>
      <c r="F103" s="1"/>
      <c r="G103" s="1"/>
      <c r="H103" s="113"/>
    </row>
    <row r="104" spans="1:8" ht="14.1" customHeight="1" x14ac:dyDescent="0.2">
      <c r="A104" s="1"/>
      <c r="B104" s="1"/>
      <c r="C104" s="2" t="s">
        <v>151</v>
      </c>
      <c r="D104" s="1"/>
      <c r="E104" s="1" t="s">
        <v>152</v>
      </c>
      <c r="F104" s="13" t="s">
        <v>154</v>
      </c>
      <c r="G104" s="10">
        <v>0</v>
      </c>
      <c r="H104" s="113"/>
    </row>
    <row r="105" spans="1:8" ht="14.1" customHeight="1" x14ac:dyDescent="0.2">
      <c r="A105" s="1"/>
      <c r="B105" s="1"/>
      <c r="C105" s="11"/>
      <c r="D105" s="1"/>
      <c r="E105" s="1"/>
      <c r="F105" s="12"/>
      <c r="G105" s="12"/>
      <c r="H105" s="113"/>
    </row>
    <row r="106" spans="1:8" ht="14.1" customHeight="1" x14ac:dyDescent="0.2">
      <c r="A106" s="1"/>
      <c r="B106" s="1"/>
      <c r="C106" s="2" t="s">
        <v>162</v>
      </c>
      <c r="D106" s="1"/>
      <c r="E106" s="1"/>
      <c r="F106" s="1"/>
      <c r="G106" s="1"/>
      <c r="H106" s="113"/>
    </row>
    <row r="107" spans="1:8" ht="14.1" customHeight="1" x14ac:dyDescent="0.2">
      <c r="A107" s="1"/>
      <c r="B107" s="1"/>
      <c r="C107" s="2" t="s">
        <v>151</v>
      </c>
      <c r="D107" s="1"/>
      <c r="E107" s="1" t="s">
        <v>152</v>
      </c>
      <c r="F107" s="13" t="s">
        <v>154</v>
      </c>
      <c r="G107" s="10">
        <v>0</v>
      </c>
      <c r="H107" s="113"/>
    </row>
    <row r="108" spans="1:8" ht="14.1" customHeight="1" x14ac:dyDescent="0.2">
      <c r="A108" s="1"/>
      <c r="B108" s="1"/>
      <c r="C108" s="11"/>
      <c r="D108" s="1"/>
      <c r="E108" s="1"/>
      <c r="F108" s="12"/>
      <c r="G108" s="12"/>
      <c r="H108" s="113"/>
    </row>
    <row r="109" spans="1:8" ht="14.1" customHeight="1" x14ac:dyDescent="0.2">
      <c r="A109" s="1"/>
      <c r="B109" s="1"/>
      <c r="C109" s="2" t="s">
        <v>163</v>
      </c>
      <c r="D109" s="1"/>
      <c r="E109" s="1"/>
      <c r="F109" s="12"/>
      <c r="G109" s="12"/>
      <c r="H109" s="113"/>
    </row>
    <row r="110" spans="1:8" ht="14.1" customHeight="1" x14ac:dyDescent="0.2">
      <c r="A110" s="1"/>
      <c r="B110" s="1"/>
      <c r="C110" s="2" t="s">
        <v>151</v>
      </c>
      <c r="D110" s="1"/>
      <c r="E110" s="1" t="s">
        <v>152</v>
      </c>
      <c r="F110" s="13" t="s">
        <v>154</v>
      </c>
      <c r="G110" s="10">
        <v>0</v>
      </c>
      <c r="H110" s="113"/>
    </row>
    <row r="111" spans="1:8" ht="14.1" customHeight="1" x14ac:dyDescent="0.2">
      <c r="A111" s="1"/>
      <c r="B111" s="1"/>
      <c r="C111" s="11"/>
      <c r="D111" s="1"/>
      <c r="E111" s="1"/>
      <c r="F111" s="12"/>
      <c r="G111" s="12"/>
      <c r="H111" s="113"/>
    </row>
    <row r="112" spans="1:8" ht="14.1" customHeight="1" x14ac:dyDescent="0.2">
      <c r="A112" s="1"/>
      <c r="B112" s="1"/>
      <c r="C112" s="2" t="s">
        <v>164</v>
      </c>
      <c r="D112" s="1"/>
      <c r="E112" s="1"/>
      <c r="F112" s="9">
        <v>0</v>
      </c>
      <c r="G112" s="10">
        <v>0</v>
      </c>
      <c r="H112" s="113"/>
    </row>
    <row r="113" spans="1:8" ht="14.1" customHeight="1" x14ac:dyDescent="0.2">
      <c r="A113" s="1"/>
      <c r="B113" s="1"/>
      <c r="C113" s="11"/>
      <c r="D113" s="1"/>
      <c r="E113" s="1"/>
      <c r="F113" s="12"/>
      <c r="G113" s="12"/>
      <c r="H113" s="113"/>
    </row>
    <row r="114" spans="1:8" ht="14.1" customHeight="1" x14ac:dyDescent="0.2">
      <c r="A114" s="1"/>
      <c r="B114" s="1"/>
      <c r="C114" s="2" t="s">
        <v>165</v>
      </c>
      <c r="D114" s="1"/>
      <c r="E114" s="1"/>
      <c r="F114" s="12"/>
      <c r="G114" s="12"/>
      <c r="H114" s="113"/>
    </row>
    <row r="115" spans="1:8" ht="14.1" customHeight="1" x14ac:dyDescent="0.2">
      <c r="A115" s="1"/>
      <c r="B115" s="1"/>
      <c r="C115" s="2" t="s">
        <v>166</v>
      </c>
      <c r="D115" s="1"/>
      <c r="E115" s="1"/>
      <c r="F115" s="12"/>
      <c r="G115" s="12"/>
      <c r="H115" s="113"/>
    </row>
    <row r="116" spans="1:8" ht="14.1" customHeight="1" x14ac:dyDescent="0.2">
      <c r="A116" s="1"/>
      <c r="B116" s="1"/>
      <c r="C116" s="2" t="s">
        <v>151</v>
      </c>
      <c r="D116" s="1"/>
      <c r="E116" s="1" t="s">
        <v>152</v>
      </c>
      <c r="F116" s="13" t="s">
        <v>154</v>
      </c>
      <c r="G116" s="10">
        <v>0</v>
      </c>
      <c r="H116" s="113"/>
    </row>
    <row r="117" spans="1:8" ht="14.1" customHeight="1" x14ac:dyDescent="0.2">
      <c r="A117" s="1"/>
      <c r="B117" s="1"/>
      <c r="C117" s="11"/>
      <c r="D117" s="1"/>
      <c r="E117" s="1"/>
      <c r="F117" s="12"/>
      <c r="G117" s="12"/>
      <c r="H117" s="113"/>
    </row>
    <row r="118" spans="1:8" ht="14.1" customHeight="1" x14ac:dyDescent="0.2">
      <c r="A118" s="1"/>
      <c r="B118" s="1"/>
      <c r="C118" s="2" t="s">
        <v>167</v>
      </c>
      <c r="D118" s="1"/>
      <c r="E118" s="1"/>
      <c r="F118" s="12"/>
      <c r="G118" s="12"/>
      <c r="H118" s="113"/>
    </row>
    <row r="119" spans="1:8" ht="14.1" customHeight="1" x14ac:dyDescent="0.2">
      <c r="A119" s="1"/>
      <c r="B119" s="1"/>
      <c r="C119" s="2" t="s">
        <v>151</v>
      </c>
      <c r="D119" s="1"/>
      <c r="E119" s="1" t="s">
        <v>152</v>
      </c>
      <c r="F119" s="13" t="s">
        <v>154</v>
      </c>
      <c r="G119" s="10">
        <v>0</v>
      </c>
      <c r="H119" s="113"/>
    </row>
    <row r="120" spans="1:8" ht="14.1" customHeight="1" x14ac:dyDescent="0.2">
      <c r="A120" s="1"/>
      <c r="B120" s="1"/>
      <c r="C120" s="11"/>
      <c r="D120" s="1"/>
      <c r="E120" s="1"/>
      <c r="F120" s="12"/>
      <c r="G120" s="12"/>
      <c r="H120" s="113"/>
    </row>
    <row r="121" spans="1:8" ht="14.1" customHeight="1" x14ac:dyDescent="0.2">
      <c r="A121" s="1"/>
      <c r="B121" s="1"/>
      <c r="C121" s="2" t="s">
        <v>168</v>
      </c>
      <c r="D121" s="1"/>
      <c r="E121" s="1"/>
      <c r="F121" s="12"/>
      <c r="G121" s="12"/>
      <c r="H121" s="113"/>
    </row>
    <row r="122" spans="1:8" ht="14.1" customHeight="1" x14ac:dyDescent="0.2">
      <c r="A122" s="1"/>
      <c r="B122" s="1"/>
      <c r="C122" s="2" t="s">
        <v>151</v>
      </c>
      <c r="D122" s="1"/>
      <c r="E122" s="1" t="s">
        <v>152</v>
      </c>
      <c r="F122" s="13" t="s">
        <v>154</v>
      </c>
      <c r="G122" s="10">
        <v>0</v>
      </c>
      <c r="H122" s="113"/>
    </row>
    <row r="123" spans="1:8" ht="14.1" customHeight="1" x14ac:dyDescent="0.2">
      <c r="A123" s="1"/>
      <c r="B123" s="1"/>
      <c r="C123" s="11"/>
      <c r="D123" s="1"/>
      <c r="E123" s="1"/>
      <c r="F123" s="12"/>
      <c r="G123" s="12"/>
      <c r="H123" s="113"/>
    </row>
    <row r="124" spans="1:8" ht="14.1" customHeight="1" x14ac:dyDescent="0.2">
      <c r="A124" s="1"/>
      <c r="B124" s="1"/>
      <c r="C124" s="2" t="s">
        <v>169</v>
      </c>
      <c r="D124" s="1"/>
      <c r="E124" s="1"/>
      <c r="F124" s="12"/>
      <c r="G124" s="12"/>
      <c r="H124" s="113"/>
    </row>
    <row r="125" spans="1:8" ht="17.100000000000001" customHeight="1" x14ac:dyDescent="0.2">
      <c r="A125" s="3">
        <v>1</v>
      </c>
      <c r="B125" s="4"/>
      <c r="C125" s="4" t="s">
        <v>170</v>
      </c>
      <c r="D125" s="4"/>
      <c r="E125" s="8"/>
      <c r="F125" s="6">
        <v>4175.177024007</v>
      </c>
      <c r="G125" s="7">
        <v>3.4999950000000002E-2</v>
      </c>
      <c r="H125" s="113">
        <v>6.7600000000000016</v>
      </c>
    </row>
    <row r="126" spans="1:8" ht="14.1" customHeight="1" x14ac:dyDescent="0.2">
      <c r="A126" s="1"/>
      <c r="B126" s="1"/>
      <c r="C126" s="2" t="s">
        <v>151</v>
      </c>
      <c r="D126" s="1"/>
      <c r="E126" s="1" t="s">
        <v>152</v>
      </c>
      <c r="F126" s="9">
        <v>4175.177024007</v>
      </c>
      <c r="G126" s="10">
        <v>3.4999950000000002E-2</v>
      </c>
      <c r="H126" s="113"/>
    </row>
    <row r="127" spans="1:8" ht="14.1" customHeight="1" x14ac:dyDescent="0.2">
      <c r="A127" s="1"/>
      <c r="B127" s="1"/>
      <c r="C127" s="11"/>
      <c r="D127" s="1"/>
      <c r="E127" s="1"/>
      <c r="F127" s="12"/>
      <c r="G127" s="12"/>
      <c r="H127" s="113"/>
    </row>
    <row r="128" spans="1:8" ht="14.1" customHeight="1" x14ac:dyDescent="0.2">
      <c r="A128" s="1"/>
      <c r="B128" s="1"/>
      <c r="C128" s="2" t="s">
        <v>171</v>
      </c>
      <c r="D128" s="1"/>
      <c r="E128" s="1"/>
      <c r="F128" s="9">
        <v>4175.177024007</v>
      </c>
      <c r="G128" s="10">
        <v>3.4999950000000002E-2</v>
      </c>
      <c r="H128" s="113"/>
    </row>
    <row r="129" spans="1:8" ht="14.1" customHeight="1" x14ac:dyDescent="0.2">
      <c r="A129" s="1"/>
      <c r="B129" s="1"/>
      <c r="C129" s="12"/>
      <c r="D129" s="1"/>
      <c r="E129" s="1"/>
      <c r="F129" s="1"/>
      <c r="G129" s="1"/>
      <c r="H129" s="113"/>
    </row>
    <row r="130" spans="1:8" ht="14.1" customHeight="1" x14ac:dyDescent="0.2">
      <c r="A130" s="1"/>
      <c r="B130" s="1"/>
      <c r="C130" s="2" t="s">
        <v>172</v>
      </c>
      <c r="D130" s="1"/>
      <c r="E130" s="1"/>
      <c r="F130" s="1"/>
      <c r="G130" s="1"/>
      <c r="H130" s="113"/>
    </row>
    <row r="131" spans="1:8" ht="14.1" customHeight="1" x14ac:dyDescent="0.2">
      <c r="A131" s="1"/>
      <c r="B131" s="1"/>
      <c r="C131" s="2" t="s">
        <v>173</v>
      </c>
      <c r="D131" s="1"/>
      <c r="E131" s="1"/>
      <c r="F131" s="1"/>
      <c r="G131" s="1"/>
      <c r="H131" s="113"/>
    </row>
    <row r="132" spans="1:8" ht="14.1" customHeight="1" x14ac:dyDescent="0.2">
      <c r="A132" s="1"/>
      <c r="B132" s="1"/>
      <c r="C132" s="2" t="s">
        <v>151</v>
      </c>
      <c r="D132" s="1"/>
      <c r="E132" s="1" t="s">
        <v>152</v>
      </c>
      <c r="F132" s="13" t="s">
        <v>154</v>
      </c>
      <c r="G132" s="10">
        <v>0</v>
      </c>
      <c r="H132" s="113"/>
    </row>
    <row r="133" spans="1:8" ht="14.1" customHeight="1" x14ac:dyDescent="0.2">
      <c r="A133" s="1"/>
      <c r="B133" s="1"/>
      <c r="C133" s="11"/>
      <c r="D133" s="1"/>
      <c r="E133" s="1"/>
      <c r="F133" s="12"/>
      <c r="G133" s="12"/>
      <c r="H133" s="113"/>
    </row>
    <row r="134" spans="1:8" ht="14.1" customHeight="1" x14ac:dyDescent="0.2">
      <c r="A134" s="1"/>
      <c r="B134" s="1"/>
      <c r="C134" s="2" t="s">
        <v>174</v>
      </c>
      <c r="D134" s="1"/>
      <c r="E134" s="1"/>
      <c r="F134" s="1"/>
      <c r="G134" s="1"/>
      <c r="H134" s="113"/>
    </row>
    <row r="135" spans="1:8" ht="14.1" customHeight="1" x14ac:dyDescent="0.2">
      <c r="A135" s="1"/>
      <c r="B135" s="1"/>
      <c r="C135" s="2" t="s">
        <v>175</v>
      </c>
      <c r="D135" s="1"/>
      <c r="E135" s="1"/>
      <c r="F135" s="1"/>
      <c r="G135" s="1"/>
      <c r="H135" s="113"/>
    </row>
    <row r="136" spans="1:8" ht="14.1" customHeight="1" x14ac:dyDescent="0.2">
      <c r="A136" s="1"/>
      <c r="B136" s="1"/>
      <c r="C136" s="2" t="s">
        <v>151</v>
      </c>
      <c r="D136" s="1"/>
      <c r="E136" s="1" t="s">
        <v>152</v>
      </c>
      <c r="F136" s="13" t="s">
        <v>154</v>
      </c>
      <c r="G136" s="10">
        <v>0</v>
      </c>
      <c r="H136" s="113"/>
    </row>
    <row r="137" spans="1:8" ht="14.1" customHeight="1" x14ac:dyDescent="0.2">
      <c r="A137" s="1"/>
      <c r="B137" s="1"/>
      <c r="C137" s="11"/>
      <c r="D137" s="1"/>
      <c r="E137" s="1"/>
      <c r="F137" s="12"/>
      <c r="G137" s="12"/>
      <c r="H137" s="113"/>
    </row>
    <row r="138" spans="1:8" ht="24" customHeight="1" x14ac:dyDescent="0.2">
      <c r="A138" s="1"/>
      <c r="B138" s="1"/>
      <c r="C138" s="2" t="s">
        <v>176</v>
      </c>
      <c r="D138" s="1"/>
      <c r="E138" s="1"/>
      <c r="F138" s="12"/>
      <c r="G138" s="12"/>
      <c r="H138" s="113"/>
    </row>
    <row r="139" spans="1:8" ht="14.1" customHeight="1" x14ac:dyDescent="0.2">
      <c r="A139" s="1"/>
      <c r="B139" s="1"/>
      <c r="C139" s="2" t="s">
        <v>151</v>
      </c>
      <c r="D139" s="1"/>
      <c r="E139" s="1" t="s">
        <v>152</v>
      </c>
      <c r="F139" s="13" t="s">
        <v>154</v>
      </c>
      <c r="G139" s="10">
        <v>0</v>
      </c>
      <c r="H139" s="113"/>
    </row>
    <row r="140" spans="1:8" ht="14.1" customHeight="1" x14ac:dyDescent="0.2">
      <c r="A140" s="1"/>
      <c r="B140" s="1"/>
      <c r="C140" s="11"/>
      <c r="D140" s="1"/>
      <c r="E140" s="1"/>
      <c r="F140" s="12"/>
      <c r="G140" s="12"/>
      <c r="H140" s="113"/>
    </row>
    <row r="141" spans="1:8" ht="14.1" customHeight="1" x14ac:dyDescent="0.2">
      <c r="A141" s="1"/>
      <c r="B141" s="4"/>
      <c r="C141" s="4"/>
      <c r="D141" s="2"/>
      <c r="E141" s="1"/>
      <c r="F141" s="4"/>
      <c r="G141" s="8"/>
      <c r="H141" s="113"/>
    </row>
    <row r="142" spans="1:8" ht="18" customHeight="1" x14ac:dyDescent="0.2">
      <c r="A142" s="8"/>
      <c r="B142" s="4"/>
      <c r="C142" s="4" t="s">
        <v>177</v>
      </c>
      <c r="D142" s="4"/>
      <c r="E142" s="8"/>
      <c r="F142" s="6">
        <v>-313.49327187</v>
      </c>
      <c r="G142" s="7">
        <v>-2.6279699999999999E-3</v>
      </c>
      <c r="H142" s="113"/>
    </row>
    <row r="143" spans="1:8" ht="14.1" customHeight="1" x14ac:dyDescent="0.2">
      <c r="A143" s="11"/>
      <c r="B143" s="11"/>
      <c r="C143" s="2" t="s">
        <v>178</v>
      </c>
      <c r="D143" s="12"/>
      <c r="E143" s="12"/>
      <c r="F143" s="9">
        <v>119290.948031137</v>
      </c>
      <c r="G143" s="14">
        <v>1.0000000499999999</v>
      </c>
      <c r="H143" s="113"/>
    </row>
    <row r="144" spans="1:8" ht="14.1" customHeight="1" x14ac:dyDescent="0.2">
      <c r="A144" s="15"/>
      <c r="B144" s="15"/>
      <c r="C144" s="15"/>
      <c r="D144" s="16"/>
      <c r="E144" s="16"/>
      <c r="F144" s="16"/>
      <c r="G144" s="16"/>
    </row>
    <row r="145" spans="1:7" ht="17.100000000000001" customHeight="1" x14ac:dyDescent="0.2">
      <c r="A145" s="17"/>
      <c r="B145" s="207" t="s">
        <v>179</v>
      </c>
      <c r="C145" s="207"/>
      <c r="D145" s="207"/>
      <c r="E145" s="207"/>
      <c r="F145" s="207"/>
      <c r="G145" s="19"/>
    </row>
    <row r="146" spans="1:7" ht="14.1" customHeight="1" x14ac:dyDescent="0.2">
      <c r="A146" s="17"/>
      <c r="B146" s="17"/>
      <c r="C146" s="17"/>
      <c r="D146" s="19"/>
      <c r="E146" s="19"/>
      <c r="F146" s="19"/>
      <c r="G146" s="19"/>
    </row>
    <row r="147" spans="1:7" ht="14.1" customHeight="1" x14ac:dyDescent="0.2">
      <c r="A147" s="17"/>
      <c r="B147" s="208" t="s">
        <v>180</v>
      </c>
      <c r="C147" s="209"/>
      <c r="D147" s="210"/>
      <c r="E147" s="20"/>
      <c r="F147" s="19"/>
      <c r="G147" s="19"/>
    </row>
    <row r="148" spans="1:7" ht="29.1" customHeight="1" x14ac:dyDescent="0.2">
      <c r="A148" s="17"/>
      <c r="B148" s="205" t="s">
        <v>181</v>
      </c>
      <c r="C148" s="206"/>
      <c r="D148" s="95" t="s">
        <v>1012</v>
      </c>
      <c r="E148" s="20"/>
      <c r="F148" s="19"/>
      <c r="G148" s="19"/>
    </row>
    <row r="149" spans="1:7" ht="17.100000000000001" customHeight="1" x14ac:dyDescent="0.2">
      <c r="A149" s="45"/>
      <c r="B149" s="215" t="s">
        <v>906</v>
      </c>
      <c r="C149" s="216"/>
      <c r="D149" s="46" t="s">
        <v>965</v>
      </c>
      <c r="E149" s="47"/>
      <c r="F149" s="48"/>
      <c r="G149" s="48"/>
    </row>
    <row r="150" spans="1:7" ht="17.100000000000001" customHeight="1" x14ac:dyDescent="0.2">
      <c r="A150" s="17"/>
      <c r="B150" s="205" t="s">
        <v>184</v>
      </c>
      <c r="C150" s="206"/>
      <c r="D150" s="12" t="s">
        <v>152</v>
      </c>
      <c r="E150" s="20"/>
      <c r="F150" s="19"/>
      <c r="G150" s="19"/>
    </row>
    <row r="151" spans="1:7" ht="25.5" x14ac:dyDescent="0.2">
      <c r="A151" s="21"/>
      <c r="B151" s="22" t="s">
        <v>152</v>
      </c>
      <c r="C151" s="22" t="s">
        <v>185</v>
      </c>
      <c r="D151" s="22" t="s">
        <v>186</v>
      </c>
      <c r="E151" s="21"/>
      <c r="F151" s="21"/>
      <c r="G151" s="21"/>
    </row>
    <row r="152" spans="1:7" ht="18" customHeight="1" x14ac:dyDescent="0.2">
      <c r="A152" s="21"/>
      <c r="B152" s="23" t="s">
        <v>187</v>
      </c>
      <c r="C152" s="22" t="s">
        <v>188</v>
      </c>
      <c r="D152" s="22" t="s">
        <v>189</v>
      </c>
      <c r="E152" s="21"/>
      <c r="F152" s="21"/>
      <c r="G152" s="21"/>
    </row>
    <row r="153" spans="1:7" ht="17.100000000000001" customHeight="1" x14ac:dyDescent="0.2">
      <c r="A153" s="21"/>
      <c r="B153" s="4" t="s">
        <v>190</v>
      </c>
      <c r="C153" s="24">
        <v>423.62369999999999</v>
      </c>
      <c r="D153" s="24">
        <v>449.11810000000003</v>
      </c>
      <c r="E153" s="21"/>
      <c r="F153" s="18"/>
      <c r="G153" s="25"/>
    </row>
    <row r="154" spans="1:7" ht="29.1" customHeight="1" x14ac:dyDescent="0.2">
      <c r="A154" s="21"/>
      <c r="B154" s="4" t="s">
        <v>1036</v>
      </c>
      <c r="C154" s="24">
        <v>423.21469999999999</v>
      </c>
      <c r="D154" s="24">
        <v>448.68439999999998</v>
      </c>
      <c r="E154" s="21"/>
      <c r="F154" s="18"/>
      <c r="G154" s="25"/>
    </row>
    <row r="155" spans="1:7" ht="17.100000000000001" customHeight="1" x14ac:dyDescent="0.2">
      <c r="A155" s="21"/>
      <c r="B155" s="4" t="s">
        <v>191</v>
      </c>
      <c r="C155" s="24">
        <v>399.76979999999998</v>
      </c>
      <c r="D155" s="24">
        <v>423.61689999999999</v>
      </c>
      <c r="E155" s="21"/>
      <c r="F155" s="18"/>
      <c r="G155" s="25"/>
    </row>
    <row r="156" spans="1:7" ht="29.1" customHeight="1" x14ac:dyDescent="0.2">
      <c r="A156" s="21"/>
      <c r="B156" s="4" t="s">
        <v>1037</v>
      </c>
      <c r="C156" s="24">
        <v>358.69909999999999</v>
      </c>
      <c r="D156" s="24">
        <v>380.09620000000001</v>
      </c>
      <c r="E156" s="21"/>
      <c r="F156" s="18"/>
      <c r="G156" s="25"/>
    </row>
    <row r="157" spans="1:7" ht="14.1" customHeight="1" x14ac:dyDescent="0.2">
      <c r="A157" s="21"/>
      <c r="B157" s="21"/>
      <c r="C157" s="21"/>
      <c r="D157" s="21"/>
      <c r="E157" s="21"/>
      <c r="F157" s="21"/>
      <c r="G157" s="21"/>
    </row>
    <row r="158" spans="1:7" ht="17.100000000000001" customHeight="1" x14ac:dyDescent="0.2">
      <c r="A158" s="21"/>
      <c r="B158" s="205" t="s">
        <v>1035</v>
      </c>
      <c r="C158" s="206"/>
      <c r="D158" s="2" t="s">
        <v>182</v>
      </c>
      <c r="E158" s="21"/>
      <c r="F158" s="21"/>
      <c r="G158" s="21"/>
    </row>
    <row r="159" spans="1:7" ht="18" customHeight="1" x14ac:dyDescent="0.2">
      <c r="A159" s="21"/>
      <c r="B159" s="26"/>
      <c r="C159" s="26"/>
      <c r="D159" s="26"/>
      <c r="E159" s="21"/>
      <c r="F159" s="21"/>
      <c r="G159" s="21"/>
    </row>
    <row r="160" spans="1:7" ht="29.1" customHeight="1" x14ac:dyDescent="0.2">
      <c r="A160" s="21"/>
      <c r="B160" s="205" t="s">
        <v>192</v>
      </c>
      <c r="C160" s="206"/>
      <c r="D160" s="2" t="s">
        <v>182</v>
      </c>
      <c r="E160" s="27"/>
      <c r="F160" s="21"/>
      <c r="G160" s="21"/>
    </row>
    <row r="161" spans="1:7" ht="29.1" customHeight="1" x14ac:dyDescent="0.2">
      <c r="A161" s="21"/>
      <c r="B161" s="205" t="s">
        <v>193</v>
      </c>
      <c r="C161" s="206"/>
      <c r="D161" s="2" t="s">
        <v>182</v>
      </c>
      <c r="E161" s="27"/>
      <c r="F161" s="21"/>
      <c r="G161" s="21"/>
    </row>
    <row r="162" spans="1:7" ht="17.100000000000001" customHeight="1" x14ac:dyDescent="0.2">
      <c r="A162" s="21"/>
      <c r="B162" s="205" t="s">
        <v>194</v>
      </c>
      <c r="C162" s="206"/>
      <c r="D162" s="2" t="s">
        <v>182</v>
      </c>
      <c r="E162" s="27"/>
      <c r="F162" s="21"/>
      <c r="G162" s="21"/>
    </row>
    <row r="163" spans="1:7" ht="17.100000000000001" customHeight="1" x14ac:dyDescent="0.2">
      <c r="A163" s="21"/>
      <c r="B163" s="205" t="s">
        <v>195</v>
      </c>
      <c r="C163" s="206"/>
      <c r="D163" s="28">
        <v>0.34391927374262671</v>
      </c>
      <c r="E163" s="21"/>
      <c r="F163" s="18"/>
      <c r="G163" s="25"/>
    </row>
    <row r="165" spans="1:7" x14ac:dyDescent="0.2">
      <c r="B165" s="91" t="s">
        <v>1018</v>
      </c>
      <c r="C165" s="91"/>
      <c r="D165" s="91"/>
      <c r="E165" s="96"/>
      <c r="F165" s="97"/>
    </row>
    <row r="166" spans="1:7" ht="38.25" x14ac:dyDescent="0.2">
      <c r="B166" s="99" t="s">
        <v>985</v>
      </c>
      <c r="C166" s="99" t="s">
        <v>986</v>
      </c>
      <c r="D166" s="99" t="s">
        <v>987</v>
      </c>
      <c r="E166" s="99" t="s">
        <v>988</v>
      </c>
      <c r="F166" s="99" t="s">
        <v>989</v>
      </c>
    </row>
    <row r="167" spans="1:7" x14ac:dyDescent="0.2">
      <c r="B167" s="106" t="s">
        <v>1017</v>
      </c>
      <c r="C167" s="101" t="s">
        <v>1014</v>
      </c>
      <c r="D167" s="107">
        <v>0</v>
      </c>
      <c r="E167" s="108">
        <v>0</v>
      </c>
      <c r="F167" s="109">
        <v>0.54925000000000002</v>
      </c>
    </row>
  </sheetData>
  <mergeCells count="14">
    <mergeCell ref="B163:C163"/>
    <mergeCell ref="B149:C149"/>
    <mergeCell ref="B150:C150"/>
    <mergeCell ref="B158:C158"/>
    <mergeCell ref="B160:C160"/>
    <mergeCell ref="B161:C161"/>
    <mergeCell ref="B162:C162"/>
    <mergeCell ref="J2:N2"/>
    <mergeCell ref="B148:C148"/>
    <mergeCell ref="B145:F145"/>
    <mergeCell ref="B147:D147"/>
    <mergeCell ref="A1:H1"/>
    <mergeCell ref="A2:H2"/>
    <mergeCell ref="A3:H3"/>
  </mergeCells>
  <hyperlinks>
    <hyperlink ref="I1" location="Index!B23" display="Index" xr:uid="{599A145E-A4FB-4D15-BEFE-57449E2C18BD}"/>
  </hyperlinks>
  <pageMargins left="5.000000074505806E-2" right="5.000000074505806E-2" top="0.30000001192092896" bottom="0.20000000298023224" header="0" footer="0"/>
  <pageSetup paperSize="9"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828</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348</v>
      </c>
      <c r="C7" s="4" t="s">
        <v>349</v>
      </c>
      <c r="D7" s="4" t="s">
        <v>350</v>
      </c>
      <c r="E7" s="5">
        <v>2449660</v>
      </c>
      <c r="F7" s="6">
        <v>11319.878860000001</v>
      </c>
      <c r="G7" s="7">
        <v>8.1210199999999996E-2</v>
      </c>
      <c r="H7" s="113"/>
    </row>
    <row r="8" spans="1:14" ht="17.100000000000001" customHeight="1" x14ac:dyDescent="0.2">
      <c r="A8" s="3">
        <v>2</v>
      </c>
      <c r="B8" s="4" t="s">
        <v>355</v>
      </c>
      <c r="C8" s="4" t="s">
        <v>356</v>
      </c>
      <c r="D8" s="4" t="s">
        <v>350</v>
      </c>
      <c r="E8" s="5">
        <v>371782</v>
      </c>
      <c r="F8" s="6">
        <v>9904.0865890000005</v>
      </c>
      <c r="G8" s="7">
        <v>7.1053130000000006E-2</v>
      </c>
      <c r="H8" s="113"/>
    </row>
    <row r="9" spans="1:14" ht="17.100000000000001" customHeight="1" x14ac:dyDescent="0.2">
      <c r="A9" s="3">
        <v>3</v>
      </c>
      <c r="B9" s="4" t="s">
        <v>359</v>
      </c>
      <c r="C9" s="4" t="s">
        <v>360</v>
      </c>
      <c r="D9" s="4" t="s">
        <v>56</v>
      </c>
      <c r="E9" s="5">
        <v>255389</v>
      </c>
      <c r="F9" s="6">
        <v>9386.6950004999999</v>
      </c>
      <c r="G9" s="7">
        <v>6.7341300000000007E-2</v>
      </c>
      <c r="H9" s="113"/>
    </row>
    <row r="10" spans="1:14" ht="17.100000000000001" customHeight="1" x14ac:dyDescent="0.2">
      <c r="A10" s="3">
        <v>4</v>
      </c>
      <c r="B10" s="4" t="s">
        <v>20</v>
      </c>
      <c r="C10" s="4" t="s">
        <v>21</v>
      </c>
      <c r="D10" s="4" t="s">
        <v>22</v>
      </c>
      <c r="E10" s="5">
        <v>901929</v>
      </c>
      <c r="F10" s="6">
        <v>9309.7111380000006</v>
      </c>
      <c r="G10" s="7">
        <v>6.6789009999999996E-2</v>
      </c>
      <c r="H10" s="113"/>
    </row>
    <row r="11" spans="1:14" ht="17.100000000000001" customHeight="1" x14ac:dyDescent="0.2">
      <c r="A11" s="3">
        <v>5</v>
      </c>
      <c r="B11" s="4" t="s">
        <v>201</v>
      </c>
      <c r="C11" s="4" t="s">
        <v>202</v>
      </c>
      <c r="D11" s="4" t="s">
        <v>56</v>
      </c>
      <c r="E11" s="5">
        <v>2570913</v>
      </c>
      <c r="F11" s="6">
        <v>9103.6029330000001</v>
      </c>
      <c r="G11" s="7">
        <v>6.5310359999999998E-2</v>
      </c>
      <c r="H11" s="113"/>
    </row>
    <row r="12" spans="1:14" ht="17.100000000000001" customHeight="1" x14ac:dyDescent="0.2">
      <c r="A12" s="3">
        <v>6</v>
      </c>
      <c r="B12" s="4" t="s">
        <v>563</v>
      </c>
      <c r="C12" s="4" t="s">
        <v>564</v>
      </c>
      <c r="D12" s="4" t="s">
        <v>248</v>
      </c>
      <c r="E12" s="5">
        <v>407736</v>
      </c>
      <c r="F12" s="6">
        <v>7051.3863840000004</v>
      </c>
      <c r="G12" s="7">
        <v>5.0587510000000002E-2</v>
      </c>
      <c r="H12" s="113"/>
      <c r="J12" s="194"/>
    </row>
    <row r="13" spans="1:14" ht="17.100000000000001" customHeight="1" x14ac:dyDescent="0.2">
      <c r="A13" s="3">
        <v>7</v>
      </c>
      <c r="B13" s="4" t="s">
        <v>375</v>
      </c>
      <c r="C13" s="4" t="s">
        <v>376</v>
      </c>
      <c r="D13" s="4" t="s">
        <v>248</v>
      </c>
      <c r="E13" s="5">
        <v>63703</v>
      </c>
      <c r="F13" s="6">
        <v>6562.9060204999996</v>
      </c>
      <c r="G13" s="7">
        <v>4.7083090000000001E-2</v>
      </c>
      <c r="H13" s="113"/>
    </row>
    <row r="14" spans="1:14" ht="17.100000000000001" customHeight="1" x14ac:dyDescent="0.2">
      <c r="A14" s="3">
        <v>8</v>
      </c>
      <c r="B14" s="4" t="s">
        <v>559</v>
      </c>
      <c r="C14" s="4" t="s">
        <v>560</v>
      </c>
      <c r="D14" s="4" t="s">
        <v>295</v>
      </c>
      <c r="E14" s="5">
        <v>499998</v>
      </c>
      <c r="F14" s="6">
        <v>5588.7276449999999</v>
      </c>
      <c r="G14" s="7">
        <v>4.009422E-2</v>
      </c>
      <c r="H14" s="113"/>
      <c r="J14" s="194" t="s">
        <v>1172</v>
      </c>
    </row>
    <row r="15" spans="1:14" ht="17.100000000000001" customHeight="1" x14ac:dyDescent="0.2">
      <c r="A15" s="3">
        <v>9</v>
      </c>
      <c r="B15" s="4" t="s">
        <v>401</v>
      </c>
      <c r="C15" s="4" t="s">
        <v>402</v>
      </c>
      <c r="D15" s="4" t="s">
        <v>56</v>
      </c>
      <c r="E15" s="5">
        <v>246492</v>
      </c>
      <c r="F15" s="6">
        <v>4809.9216420000002</v>
      </c>
      <c r="G15" s="7">
        <v>3.4506969999999998E-2</v>
      </c>
      <c r="H15" s="113"/>
    </row>
    <row r="16" spans="1:14" ht="17.100000000000001" customHeight="1" x14ac:dyDescent="0.2">
      <c r="A16" s="3">
        <v>10</v>
      </c>
      <c r="B16" s="4" t="s">
        <v>741</v>
      </c>
      <c r="C16" s="4" t="s">
        <v>742</v>
      </c>
      <c r="D16" s="4" t="s">
        <v>262</v>
      </c>
      <c r="E16" s="5">
        <v>16917</v>
      </c>
      <c r="F16" s="6">
        <v>4496.5893509999996</v>
      </c>
      <c r="G16" s="7">
        <v>3.2259080000000002E-2</v>
      </c>
      <c r="H16" s="113"/>
    </row>
    <row r="17" spans="1:8" ht="17.100000000000001" customHeight="1" x14ac:dyDescent="0.2">
      <c r="A17" s="3">
        <v>11</v>
      </c>
      <c r="B17" s="4" t="s">
        <v>571</v>
      </c>
      <c r="C17" s="4" t="s">
        <v>572</v>
      </c>
      <c r="D17" s="4" t="s">
        <v>56</v>
      </c>
      <c r="E17" s="5">
        <v>121208</v>
      </c>
      <c r="F17" s="6">
        <v>4123.9809919999998</v>
      </c>
      <c r="G17" s="7">
        <v>2.9585940000000002E-2</v>
      </c>
      <c r="H17" s="113"/>
    </row>
    <row r="18" spans="1:8" ht="17.100000000000001" customHeight="1" x14ac:dyDescent="0.2">
      <c r="A18" s="3">
        <v>12</v>
      </c>
      <c r="B18" s="4" t="s">
        <v>791</v>
      </c>
      <c r="C18" s="4" t="s">
        <v>792</v>
      </c>
      <c r="D18" s="4" t="s">
        <v>210</v>
      </c>
      <c r="E18" s="5">
        <v>68048</v>
      </c>
      <c r="F18" s="6">
        <v>3881.5259679999999</v>
      </c>
      <c r="G18" s="7">
        <v>2.7846539999999999E-2</v>
      </c>
      <c r="H18" s="113"/>
    </row>
    <row r="19" spans="1:8" ht="17.100000000000001" customHeight="1" x14ac:dyDescent="0.2">
      <c r="A19" s="3">
        <v>13</v>
      </c>
      <c r="B19" s="4" t="s">
        <v>298</v>
      </c>
      <c r="C19" s="4" t="s">
        <v>299</v>
      </c>
      <c r="D19" s="4" t="s">
        <v>300</v>
      </c>
      <c r="E19" s="5">
        <v>616731</v>
      </c>
      <c r="F19" s="6">
        <v>3476.8210125000001</v>
      </c>
      <c r="G19" s="7">
        <v>2.4943139999999999E-2</v>
      </c>
      <c r="H19" s="113"/>
    </row>
    <row r="20" spans="1:8" ht="17.100000000000001" customHeight="1" x14ac:dyDescent="0.2">
      <c r="A20" s="3">
        <v>14</v>
      </c>
      <c r="B20" s="4" t="s">
        <v>829</v>
      </c>
      <c r="C20" s="4" t="s">
        <v>830</v>
      </c>
      <c r="D20" s="4" t="s">
        <v>207</v>
      </c>
      <c r="E20" s="5">
        <v>1675508</v>
      </c>
      <c r="F20" s="6">
        <v>3424.7383519999998</v>
      </c>
      <c r="G20" s="7">
        <v>2.4569489999999999E-2</v>
      </c>
      <c r="H20" s="113"/>
    </row>
    <row r="21" spans="1:8" ht="17.100000000000001" customHeight="1" x14ac:dyDescent="0.2">
      <c r="A21" s="3">
        <v>15</v>
      </c>
      <c r="B21" s="4" t="s">
        <v>801</v>
      </c>
      <c r="C21" s="4" t="s">
        <v>802</v>
      </c>
      <c r="D21" s="4" t="s">
        <v>53</v>
      </c>
      <c r="E21" s="5">
        <v>42124</v>
      </c>
      <c r="F21" s="6">
        <v>3232.848504</v>
      </c>
      <c r="G21" s="7">
        <v>2.3192850000000001E-2</v>
      </c>
      <c r="H21" s="113"/>
    </row>
    <row r="22" spans="1:8" ht="17.100000000000001" customHeight="1" x14ac:dyDescent="0.2">
      <c r="A22" s="3">
        <v>16</v>
      </c>
      <c r="B22" s="4" t="s">
        <v>327</v>
      </c>
      <c r="C22" s="4" t="s">
        <v>328</v>
      </c>
      <c r="D22" s="4" t="s">
        <v>295</v>
      </c>
      <c r="E22" s="5">
        <v>237937</v>
      </c>
      <c r="F22" s="6">
        <v>2943.0427530000002</v>
      </c>
      <c r="G22" s="7">
        <v>2.1113750000000001E-2</v>
      </c>
      <c r="H22" s="113"/>
    </row>
    <row r="23" spans="1:8" ht="17.100000000000001" customHeight="1" x14ac:dyDescent="0.2">
      <c r="A23" s="3">
        <v>17</v>
      </c>
      <c r="B23" s="4" t="s">
        <v>258</v>
      </c>
      <c r="C23" s="4" t="s">
        <v>259</v>
      </c>
      <c r="D23" s="4" t="s">
        <v>207</v>
      </c>
      <c r="E23" s="5">
        <v>55782</v>
      </c>
      <c r="F23" s="6">
        <v>2867.2784729999998</v>
      </c>
      <c r="G23" s="7">
        <v>2.0570209999999998E-2</v>
      </c>
      <c r="H23" s="113"/>
    </row>
    <row r="24" spans="1:8" ht="17.100000000000001" customHeight="1" x14ac:dyDescent="0.2">
      <c r="A24" s="3">
        <v>18</v>
      </c>
      <c r="B24" s="4" t="s">
        <v>707</v>
      </c>
      <c r="C24" s="4" t="s">
        <v>708</v>
      </c>
      <c r="D24" s="4" t="s">
        <v>262</v>
      </c>
      <c r="E24" s="5">
        <v>51578</v>
      </c>
      <c r="F24" s="6">
        <v>2753.465741</v>
      </c>
      <c r="G24" s="7">
        <v>1.9753699999999999E-2</v>
      </c>
      <c r="H24" s="113"/>
    </row>
    <row r="25" spans="1:8" ht="17.100000000000001" customHeight="1" x14ac:dyDescent="0.2">
      <c r="A25" s="3">
        <v>19</v>
      </c>
      <c r="B25" s="4" t="s">
        <v>255</v>
      </c>
      <c r="C25" s="4" t="s">
        <v>256</v>
      </c>
      <c r="D25" s="4" t="s">
        <v>257</v>
      </c>
      <c r="E25" s="5">
        <v>901597</v>
      </c>
      <c r="F25" s="6">
        <v>2476.6869590000001</v>
      </c>
      <c r="G25" s="7">
        <v>1.7768059999999999E-2</v>
      </c>
      <c r="H25" s="113"/>
    </row>
    <row r="26" spans="1:8" ht="17.100000000000001" customHeight="1" x14ac:dyDescent="0.2">
      <c r="A26" s="3">
        <v>20</v>
      </c>
      <c r="B26" s="4" t="s">
        <v>425</v>
      </c>
      <c r="C26" s="4" t="s">
        <v>426</v>
      </c>
      <c r="D26" s="4" t="s">
        <v>245</v>
      </c>
      <c r="E26" s="5">
        <v>295409</v>
      </c>
      <c r="F26" s="6">
        <v>2413.0484164999998</v>
      </c>
      <c r="G26" s="7">
        <v>1.73115E-2</v>
      </c>
      <c r="H26" s="113"/>
    </row>
    <row r="27" spans="1:8" ht="17.100000000000001" customHeight="1" x14ac:dyDescent="0.2">
      <c r="A27" s="3">
        <v>21</v>
      </c>
      <c r="B27" s="4" t="s">
        <v>129</v>
      </c>
      <c r="C27" s="4" t="s">
        <v>130</v>
      </c>
      <c r="D27" s="4" t="s">
        <v>56</v>
      </c>
      <c r="E27" s="5">
        <v>556462</v>
      </c>
      <c r="F27" s="6">
        <v>2382.7702840000002</v>
      </c>
      <c r="G27" s="7">
        <v>1.7094290000000002E-2</v>
      </c>
      <c r="H27" s="113"/>
    </row>
    <row r="28" spans="1:8" ht="17.100000000000001" customHeight="1" x14ac:dyDescent="0.2">
      <c r="A28" s="3">
        <v>22</v>
      </c>
      <c r="B28" s="4" t="s">
        <v>71</v>
      </c>
      <c r="C28" s="4" t="s">
        <v>72</v>
      </c>
      <c r="D28" s="4" t="s">
        <v>73</v>
      </c>
      <c r="E28" s="5">
        <v>262525</v>
      </c>
      <c r="F28" s="6">
        <v>2354.1929375</v>
      </c>
      <c r="G28" s="7">
        <v>1.6889270000000001E-2</v>
      </c>
      <c r="H28" s="113"/>
    </row>
    <row r="29" spans="1:8" ht="17.100000000000001" customHeight="1" x14ac:dyDescent="0.2">
      <c r="A29" s="3">
        <v>23</v>
      </c>
      <c r="B29" s="4" t="s">
        <v>831</v>
      </c>
      <c r="C29" s="4" t="s">
        <v>832</v>
      </c>
      <c r="D29" s="4" t="s">
        <v>245</v>
      </c>
      <c r="E29" s="5">
        <v>1127000</v>
      </c>
      <c r="F29" s="6">
        <v>2183.5625</v>
      </c>
      <c r="G29" s="7">
        <v>1.5665140000000001E-2</v>
      </c>
      <c r="H29" s="113"/>
    </row>
    <row r="30" spans="1:8" ht="17.100000000000001" customHeight="1" x14ac:dyDescent="0.2">
      <c r="A30" s="3">
        <v>24</v>
      </c>
      <c r="B30" s="4" t="s">
        <v>394</v>
      </c>
      <c r="C30" s="4" t="s">
        <v>395</v>
      </c>
      <c r="D30" s="4" t="s">
        <v>315</v>
      </c>
      <c r="E30" s="5">
        <v>5467</v>
      </c>
      <c r="F30" s="6">
        <v>2105.4920425</v>
      </c>
      <c r="G30" s="7">
        <v>1.510506E-2</v>
      </c>
      <c r="H30" s="113"/>
    </row>
    <row r="31" spans="1:8" ht="17.100000000000001" customHeight="1" x14ac:dyDescent="0.2">
      <c r="A31" s="3">
        <v>25</v>
      </c>
      <c r="B31" s="4" t="s">
        <v>373</v>
      </c>
      <c r="C31" s="4" t="s">
        <v>374</v>
      </c>
      <c r="D31" s="4" t="s">
        <v>207</v>
      </c>
      <c r="E31" s="5">
        <v>50167</v>
      </c>
      <c r="F31" s="6">
        <v>2048.1430255</v>
      </c>
      <c r="G31" s="7">
        <v>1.4693629999999999E-2</v>
      </c>
      <c r="H31" s="113"/>
    </row>
    <row r="32" spans="1:8" ht="17.100000000000001" customHeight="1" x14ac:dyDescent="0.2">
      <c r="A32" s="3">
        <v>26</v>
      </c>
      <c r="B32" s="4" t="s">
        <v>833</v>
      </c>
      <c r="C32" s="4" t="s">
        <v>834</v>
      </c>
      <c r="D32" s="4" t="s">
        <v>56</v>
      </c>
      <c r="E32" s="5">
        <v>150000</v>
      </c>
      <c r="F32" s="6">
        <v>1860.6</v>
      </c>
      <c r="G32" s="7">
        <v>1.3348169999999999E-2</v>
      </c>
      <c r="H32" s="113"/>
    </row>
    <row r="33" spans="1:8" ht="17.100000000000001" customHeight="1" x14ac:dyDescent="0.2">
      <c r="A33" s="3">
        <v>27</v>
      </c>
      <c r="B33" s="4" t="s">
        <v>427</v>
      </c>
      <c r="C33" s="4" t="s">
        <v>428</v>
      </c>
      <c r="D33" s="4" t="s">
        <v>56</v>
      </c>
      <c r="E33" s="5">
        <v>174506</v>
      </c>
      <c r="F33" s="6">
        <v>1814.7751470000001</v>
      </c>
      <c r="G33" s="7">
        <v>1.301942E-2</v>
      </c>
      <c r="H33" s="113"/>
    </row>
    <row r="34" spans="1:8" ht="17.100000000000001" customHeight="1" x14ac:dyDescent="0.2">
      <c r="A34" s="3">
        <v>28</v>
      </c>
      <c r="B34" s="4" t="s">
        <v>561</v>
      </c>
      <c r="C34" s="4" t="s">
        <v>562</v>
      </c>
      <c r="D34" s="4" t="s">
        <v>248</v>
      </c>
      <c r="E34" s="5">
        <v>26000</v>
      </c>
      <c r="F34" s="6">
        <v>1767.2850000000001</v>
      </c>
      <c r="G34" s="7">
        <v>1.2678719999999999E-2</v>
      </c>
      <c r="H34" s="113"/>
    </row>
    <row r="35" spans="1:8" ht="17.100000000000001" customHeight="1" x14ac:dyDescent="0.2">
      <c r="A35" s="3">
        <v>29</v>
      </c>
      <c r="B35" s="4" t="s">
        <v>260</v>
      </c>
      <c r="C35" s="4" t="s">
        <v>261</v>
      </c>
      <c r="D35" s="4" t="s">
        <v>262</v>
      </c>
      <c r="E35" s="5">
        <v>149150</v>
      </c>
      <c r="F35" s="6">
        <v>1698.2964750000001</v>
      </c>
      <c r="G35" s="7">
        <v>1.218379E-2</v>
      </c>
      <c r="H35" s="113"/>
    </row>
    <row r="36" spans="1:8" ht="17.100000000000001" customHeight="1" x14ac:dyDescent="0.2">
      <c r="A36" s="3">
        <v>30</v>
      </c>
      <c r="B36" s="4" t="s">
        <v>121</v>
      </c>
      <c r="C36" s="4" t="s">
        <v>122</v>
      </c>
      <c r="D36" s="4" t="s">
        <v>107</v>
      </c>
      <c r="E36" s="5">
        <v>250000</v>
      </c>
      <c r="F36" s="6">
        <v>1547</v>
      </c>
      <c r="G36" s="7">
        <v>1.109837E-2</v>
      </c>
      <c r="H36" s="113"/>
    </row>
    <row r="37" spans="1:8" ht="17.100000000000001" customHeight="1" x14ac:dyDescent="0.2">
      <c r="A37" s="3">
        <v>31</v>
      </c>
      <c r="B37" s="4" t="s">
        <v>293</v>
      </c>
      <c r="C37" s="4" t="s">
        <v>294</v>
      </c>
      <c r="D37" s="4" t="s">
        <v>295</v>
      </c>
      <c r="E37" s="5">
        <v>82792</v>
      </c>
      <c r="F37" s="6">
        <v>1477.9613879999999</v>
      </c>
      <c r="G37" s="7">
        <v>1.0603080000000001E-2</v>
      </c>
      <c r="H37" s="113"/>
    </row>
    <row r="38" spans="1:8" ht="17.100000000000001" customHeight="1" x14ac:dyDescent="0.2">
      <c r="A38" s="3">
        <v>32</v>
      </c>
      <c r="B38" s="4" t="s">
        <v>820</v>
      </c>
      <c r="C38" s="4" t="s">
        <v>821</v>
      </c>
      <c r="D38" s="4" t="s">
        <v>56</v>
      </c>
      <c r="E38" s="5">
        <v>83900</v>
      </c>
      <c r="F38" s="6">
        <v>1385.5246</v>
      </c>
      <c r="G38" s="7">
        <v>9.9399199999999997E-3</v>
      </c>
      <c r="H38" s="113"/>
    </row>
    <row r="39" spans="1:8" ht="17.100000000000001" customHeight="1" x14ac:dyDescent="0.2">
      <c r="A39" s="3">
        <v>33</v>
      </c>
      <c r="B39" s="4" t="s">
        <v>835</v>
      </c>
      <c r="C39" s="4" t="s">
        <v>836</v>
      </c>
      <c r="D39" s="4" t="s">
        <v>56</v>
      </c>
      <c r="E39" s="5">
        <v>196518</v>
      </c>
      <c r="F39" s="6">
        <v>1001.357469</v>
      </c>
      <c r="G39" s="7">
        <v>7.1838600000000002E-3</v>
      </c>
      <c r="H39" s="113"/>
    </row>
    <row r="40" spans="1:8" ht="17.100000000000001" customHeight="1" x14ac:dyDescent="0.2">
      <c r="A40" s="3">
        <v>34</v>
      </c>
      <c r="B40" s="4" t="s">
        <v>407</v>
      </c>
      <c r="C40" s="4" t="s">
        <v>408</v>
      </c>
      <c r="D40" s="4" t="s">
        <v>257</v>
      </c>
      <c r="E40" s="5">
        <v>38000</v>
      </c>
      <c r="F40" s="6">
        <v>630.43899999999996</v>
      </c>
      <c r="G40" s="7">
        <v>4.5228500000000001E-3</v>
      </c>
      <c r="H40" s="113"/>
    </row>
    <row r="41" spans="1:8" ht="17.100000000000001" customHeight="1" x14ac:dyDescent="0.2">
      <c r="A41" s="3">
        <v>35</v>
      </c>
      <c r="B41" s="4" t="s">
        <v>837</v>
      </c>
      <c r="C41" s="4" t="s">
        <v>838</v>
      </c>
      <c r="D41" s="4" t="s">
        <v>207</v>
      </c>
      <c r="E41" s="5">
        <v>25000</v>
      </c>
      <c r="F41" s="6">
        <v>501.17500000000001</v>
      </c>
      <c r="G41" s="7">
        <v>3.5954899999999998E-3</v>
      </c>
      <c r="H41" s="113"/>
    </row>
    <row r="42" spans="1:8" ht="17.100000000000001" customHeight="1" x14ac:dyDescent="0.2">
      <c r="A42" s="3">
        <v>36</v>
      </c>
      <c r="B42" s="4" t="s">
        <v>249</v>
      </c>
      <c r="C42" s="4" t="s">
        <v>250</v>
      </c>
      <c r="D42" s="4" t="s">
        <v>245</v>
      </c>
      <c r="E42" s="5">
        <v>24600</v>
      </c>
      <c r="F42" s="6">
        <v>171.32669999999999</v>
      </c>
      <c r="G42" s="7">
        <v>1.22912E-3</v>
      </c>
      <c r="H42" s="113"/>
    </row>
    <row r="43" spans="1:8" ht="17.100000000000001" customHeight="1" x14ac:dyDescent="0.2">
      <c r="A43" s="3">
        <v>37</v>
      </c>
      <c r="B43" s="4" t="s">
        <v>383</v>
      </c>
      <c r="C43" s="4" t="s">
        <v>384</v>
      </c>
      <c r="D43" s="4" t="s">
        <v>385</v>
      </c>
      <c r="E43" s="5">
        <v>8719</v>
      </c>
      <c r="F43" s="6">
        <v>109.05725200000001</v>
      </c>
      <c r="G43" s="7">
        <v>7.8239E-4</v>
      </c>
      <c r="H43" s="113"/>
    </row>
    <row r="44" spans="1:8" ht="14.1" customHeight="1" x14ac:dyDescent="0.2">
      <c r="A44" s="1"/>
      <c r="B44" s="1"/>
      <c r="C44" s="2" t="s">
        <v>151</v>
      </c>
      <c r="D44" s="1"/>
      <c r="E44" s="1" t="s">
        <v>152</v>
      </c>
      <c r="F44" s="9">
        <v>134165.90155449999</v>
      </c>
      <c r="G44" s="10">
        <v>0.96252262</v>
      </c>
      <c r="H44" s="113"/>
    </row>
    <row r="45" spans="1:8" ht="14.1" customHeight="1" x14ac:dyDescent="0.2">
      <c r="A45" s="1"/>
      <c r="B45" s="1"/>
      <c r="C45" s="11"/>
      <c r="D45" s="1"/>
      <c r="E45" s="1"/>
      <c r="F45" s="12"/>
      <c r="G45" s="12"/>
      <c r="H45" s="113"/>
    </row>
    <row r="46" spans="1:8" ht="14.1" customHeight="1" x14ac:dyDescent="0.2">
      <c r="A46" s="1"/>
      <c r="B46" s="1"/>
      <c r="C46" s="2" t="s">
        <v>153</v>
      </c>
      <c r="D46" s="1"/>
      <c r="E46" s="1"/>
      <c r="F46" s="1"/>
      <c r="G46" s="1"/>
      <c r="H46" s="113"/>
    </row>
    <row r="47" spans="1:8" ht="14.1" customHeight="1" x14ac:dyDescent="0.2">
      <c r="A47" s="1"/>
      <c r="B47" s="1"/>
      <c r="C47" s="2" t="s">
        <v>151</v>
      </c>
      <c r="D47" s="1"/>
      <c r="E47" s="1" t="s">
        <v>152</v>
      </c>
      <c r="F47" s="13" t="s">
        <v>154</v>
      </c>
      <c r="G47" s="10">
        <v>0</v>
      </c>
      <c r="H47" s="113"/>
    </row>
    <row r="48" spans="1:8" ht="14.1" customHeight="1" x14ac:dyDescent="0.2">
      <c r="A48" s="1"/>
      <c r="B48" s="1"/>
      <c r="C48" s="11"/>
      <c r="D48" s="1"/>
      <c r="E48" s="1"/>
      <c r="F48" s="12"/>
      <c r="G48" s="12"/>
      <c r="H48" s="113"/>
    </row>
    <row r="49" spans="1:8" ht="14.1" customHeight="1" x14ac:dyDescent="0.2">
      <c r="A49" s="1"/>
      <c r="B49" s="1"/>
      <c r="C49" s="2" t="s">
        <v>155</v>
      </c>
      <c r="D49" s="1"/>
      <c r="E49" s="1"/>
      <c r="F49" s="1"/>
      <c r="G49" s="1"/>
      <c r="H49" s="113"/>
    </row>
    <row r="50" spans="1:8" ht="14.1" customHeight="1" x14ac:dyDescent="0.2">
      <c r="A50" s="1"/>
      <c r="B50" s="1"/>
      <c r="C50" s="2" t="s">
        <v>151</v>
      </c>
      <c r="D50" s="1"/>
      <c r="E50" s="1" t="s">
        <v>152</v>
      </c>
      <c r="F50" s="13" t="s">
        <v>154</v>
      </c>
      <c r="G50" s="10">
        <v>0</v>
      </c>
      <c r="H50" s="113"/>
    </row>
    <row r="51" spans="1:8" ht="14.1" customHeight="1" x14ac:dyDescent="0.2">
      <c r="A51" s="1"/>
      <c r="B51" s="1"/>
      <c r="C51" s="11"/>
      <c r="D51" s="1"/>
      <c r="E51" s="1"/>
      <c r="F51" s="12"/>
      <c r="G51" s="12"/>
      <c r="H51" s="113"/>
    </row>
    <row r="52" spans="1:8" ht="14.1" customHeight="1" x14ac:dyDescent="0.2">
      <c r="A52" s="1"/>
      <c r="B52" s="1"/>
      <c r="C52" s="2" t="s">
        <v>156</v>
      </c>
      <c r="D52" s="1"/>
      <c r="E52" s="1"/>
      <c r="F52" s="1"/>
      <c r="G52" s="1"/>
      <c r="H52" s="113"/>
    </row>
    <row r="53" spans="1:8" ht="14.1" customHeight="1" x14ac:dyDescent="0.2">
      <c r="A53" s="1"/>
      <c r="B53" s="1"/>
      <c r="C53" s="2" t="s">
        <v>151</v>
      </c>
      <c r="D53" s="1"/>
      <c r="E53" s="1" t="s">
        <v>152</v>
      </c>
      <c r="F53" s="13" t="s">
        <v>154</v>
      </c>
      <c r="G53" s="10">
        <v>0</v>
      </c>
      <c r="H53" s="113"/>
    </row>
    <row r="54" spans="1:8" ht="14.1" customHeight="1" x14ac:dyDescent="0.2">
      <c r="A54" s="1"/>
      <c r="B54" s="1"/>
      <c r="C54" s="11"/>
      <c r="D54" s="1"/>
      <c r="E54" s="1"/>
      <c r="F54" s="12"/>
      <c r="G54" s="12"/>
      <c r="H54" s="113"/>
    </row>
    <row r="55" spans="1:8" ht="14.1" customHeight="1" x14ac:dyDescent="0.2">
      <c r="A55" s="1"/>
      <c r="B55" s="1"/>
      <c r="C55" s="2" t="s">
        <v>157</v>
      </c>
      <c r="D55" s="1"/>
      <c r="E55" s="1"/>
      <c r="F55" s="12"/>
      <c r="G55" s="12"/>
      <c r="H55" s="113"/>
    </row>
    <row r="56" spans="1:8" ht="14.1" customHeight="1" x14ac:dyDescent="0.2">
      <c r="A56" s="1"/>
      <c r="B56" s="1"/>
      <c r="C56" s="2" t="s">
        <v>151</v>
      </c>
      <c r="D56" s="1"/>
      <c r="E56" s="1" t="s">
        <v>152</v>
      </c>
      <c r="F56" s="13" t="s">
        <v>154</v>
      </c>
      <c r="G56" s="10">
        <v>0</v>
      </c>
      <c r="H56" s="113"/>
    </row>
    <row r="57" spans="1:8" ht="14.1" customHeight="1" x14ac:dyDescent="0.2">
      <c r="A57" s="1"/>
      <c r="B57" s="1"/>
      <c r="C57" s="11"/>
      <c r="D57" s="1"/>
      <c r="E57" s="1"/>
      <c r="F57" s="12"/>
      <c r="G57" s="12"/>
      <c r="H57" s="113"/>
    </row>
    <row r="58" spans="1:8" ht="14.1" customHeight="1" x14ac:dyDescent="0.2">
      <c r="A58" s="1"/>
      <c r="B58" s="1"/>
      <c r="C58" s="2" t="s">
        <v>158</v>
      </c>
      <c r="D58" s="1"/>
      <c r="E58" s="1"/>
      <c r="F58" s="12"/>
      <c r="G58" s="12"/>
      <c r="H58" s="113"/>
    </row>
    <row r="59" spans="1:8" ht="14.1" customHeight="1" x14ac:dyDescent="0.2">
      <c r="A59" s="1"/>
      <c r="B59" s="1"/>
      <c r="C59" s="2" t="s">
        <v>151</v>
      </c>
      <c r="D59" s="1"/>
      <c r="E59" s="1" t="s">
        <v>152</v>
      </c>
      <c r="F59" s="13" t="s">
        <v>154</v>
      </c>
      <c r="G59" s="10">
        <v>0</v>
      </c>
      <c r="H59" s="113"/>
    </row>
    <row r="60" spans="1:8" ht="14.1" customHeight="1" x14ac:dyDescent="0.2">
      <c r="A60" s="1"/>
      <c r="B60" s="1"/>
      <c r="C60" s="11"/>
      <c r="D60" s="1"/>
      <c r="E60" s="1"/>
      <c r="F60" s="12"/>
      <c r="G60" s="12"/>
      <c r="H60" s="113"/>
    </row>
    <row r="61" spans="1:8" ht="18" customHeight="1" x14ac:dyDescent="0.2">
      <c r="A61" s="1"/>
      <c r="B61" s="1"/>
      <c r="C61" s="2" t="s">
        <v>159</v>
      </c>
      <c r="D61" s="1"/>
      <c r="E61" s="1"/>
      <c r="F61" s="9">
        <v>134165.90155449999</v>
      </c>
      <c r="G61" s="10">
        <v>0.96252262</v>
      </c>
      <c r="H61" s="113"/>
    </row>
    <row r="62" spans="1:8" ht="14.1" customHeight="1" x14ac:dyDescent="0.2">
      <c r="A62" s="1"/>
      <c r="B62" s="1"/>
      <c r="C62" s="11"/>
      <c r="D62" s="1"/>
      <c r="E62" s="1"/>
      <c r="F62" s="12"/>
      <c r="G62" s="12"/>
      <c r="H62" s="113"/>
    </row>
    <row r="63" spans="1:8" ht="14.1" customHeight="1" x14ac:dyDescent="0.2">
      <c r="A63" s="1"/>
      <c r="B63" s="1"/>
      <c r="C63" s="2" t="s">
        <v>160</v>
      </c>
      <c r="D63" s="1"/>
      <c r="E63" s="1"/>
      <c r="F63" s="12"/>
      <c r="G63" s="12"/>
      <c r="H63" s="113"/>
    </row>
    <row r="64" spans="1:8" ht="24" customHeight="1" x14ac:dyDescent="0.2">
      <c r="A64" s="1"/>
      <c r="B64" s="1"/>
      <c r="C64" s="2" t="s">
        <v>10</v>
      </c>
      <c r="D64" s="1"/>
      <c r="E64" s="1"/>
      <c r="F64" s="12"/>
      <c r="G64" s="12"/>
      <c r="H64" s="113"/>
    </row>
    <row r="65" spans="1:8" ht="14.1" customHeight="1" x14ac:dyDescent="0.2">
      <c r="A65" s="1"/>
      <c r="B65" s="1"/>
      <c r="C65" s="2" t="s">
        <v>151</v>
      </c>
      <c r="D65" s="1"/>
      <c r="E65" s="1" t="s">
        <v>152</v>
      </c>
      <c r="F65" s="13" t="s">
        <v>154</v>
      </c>
      <c r="G65" s="10">
        <v>0</v>
      </c>
      <c r="H65" s="113"/>
    </row>
    <row r="66" spans="1:8" ht="14.1" customHeight="1" x14ac:dyDescent="0.2">
      <c r="A66" s="1"/>
      <c r="B66" s="1"/>
      <c r="C66" s="11"/>
      <c r="D66" s="1"/>
      <c r="E66" s="1"/>
      <c r="F66" s="12"/>
      <c r="G66" s="12"/>
      <c r="H66" s="113"/>
    </row>
    <row r="67" spans="1:8" ht="14.1" customHeight="1" x14ac:dyDescent="0.2">
      <c r="A67" s="1"/>
      <c r="B67" s="1"/>
      <c r="C67" s="2" t="s">
        <v>161</v>
      </c>
      <c r="D67" s="1"/>
      <c r="E67" s="1"/>
      <c r="F67" s="1"/>
      <c r="G67" s="1"/>
      <c r="H67" s="113"/>
    </row>
    <row r="68" spans="1:8" ht="14.1" customHeight="1" x14ac:dyDescent="0.2">
      <c r="A68" s="1"/>
      <c r="B68" s="1"/>
      <c r="C68" s="2" t="s">
        <v>151</v>
      </c>
      <c r="D68" s="1"/>
      <c r="E68" s="1" t="s">
        <v>152</v>
      </c>
      <c r="F68" s="13" t="s">
        <v>154</v>
      </c>
      <c r="G68" s="10">
        <v>0</v>
      </c>
      <c r="H68" s="113"/>
    </row>
    <row r="69" spans="1:8" ht="14.1" customHeight="1" x14ac:dyDescent="0.2">
      <c r="A69" s="1"/>
      <c r="B69" s="1"/>
      <c r="C69" s="11"/>
      <c r="D69" s="1"/>
      <c r="E69" s="1"/>
      <c r="F69" s="12"/>
      <c r="G69" s="12"/>
      <c r="H69" s="113"/>
    </row>
    <row r="70" spans="1:8" ht="14.1" customHeight="1" x14ac:dyDescent="0.2">
      <c r="A70" s="1"/>
      <c r="B70" s="1"/>
      <c r="C70" s="2" t="s">
        <v>162</v>
      </c>
      <c r="D70" s="1"/>
      <c r="E70" s="1"/>
      <c r="F70" s="1"/>
      <c r="G70" s="1"/>
      <c r="H70" s="113"/>
    </row>
    <row r="71" spans="1:8" ht="14.1" customHeight="1" x14ac:dyDescent="0.2">
      <c r="A71" s="1"/>
      <c r="B71" s="1"/>
      <c r="C71" s="2" t="s">
        <v>151</v>
      </c>
      <c r="D71" s="1"/>
      <c r="E71" s="1" t="s">
        <v>152</v>
      </c>
      <c r="F71" s="13" t="s">
        <v>154</v>
      </c>
      <c r="G71" s="10">
        <v>0</v>
      </c>
      <c r="H71" s="113"/>
    </row>
    <row r="72" spans="1:8" ht="14.1" customHeight="1" x14ac:dyDescent="0.2">
      <c r="A72" s="1"/>
      <c r="B72" s="1"/>
      <c r="C72" s="11"/>
      <c r="D72" s="1"/>
      <c r="E72" s="1"/>
      <c r="F72" s="12"/>
      <c r="G72" s="12"/>
      <c r="H72" s="113"/>
    </row>
    <row r="73" spans="1:8" ht="14.1" customHeight="1" x14ac:dyDescent="0.2">
      <c r="A73" s="1"/>
      <c r="B73" s="1"/>
      <c r="C73" s="2" t="s">
        <v>163</v>
      </c>
      <c r="D73" s="1"/>
      <c r="E73" s="1"/>
      <c r="F73" s="12"/>
      <c r="G73" s="12"/>
      <c r="H73" s="113"/>
    </row>
    <row r="74" spans="1:8" ht="14.1" customHeight="1" x14ac:dyDescent="0.2">
      <c r="A74" s="1"/>
      <c r="B74" s="1"/>
      <c r="C74" s="2" t="s">
        <v>151</v>
      </c>
      <c r="D74" s="1"/>
      <c r="E74" s="1" t="s">
        <v>152</v>
      </c>
      <c r="F74" s="13" t="s">
        <v>154</v>
      </c>
      <c r="G74" s="10">
        <v>0</v>
      </c>
      <c r="H74" s="113"/>
    </row>
    <row r="75" spans="1:8" ht="14.1" customHeight="1" x14ac:dyDescent="0.2">
      <c r="A75" s="1"/>
      <c r="B75" s="1"/>
      <c r="C75" s="11"/>
      <c r="D75" s="1"/>
      <c r="E75" s="1"/>
      <c r="F75" s="12"/>
      <c r="G75" s="12"/>
      <c r="H75" s="113"/>
    </row>
    <row r="76" spans="1:8" ht="14.1" customHeight="1" x14ac:dyDescent="0.2">
      <c r="A76" s="1"/>
      <c r="B76" s="1"/>
      <c r="C76" s="2" t="s">
        <v>164</v>
      </c>
      <c r="D76" s="1"/>
      <c r="E76" s="1"/>
      <c r="F76" s="9">
        <v>0</v>
      </c>
      <c r="G76" s="10">
        <v>0</v>
      </c>
      <c r="H76" s="113"/>
    </row>
    <row r="77" spans="1:8" ht="14.1" customHeight="1" x14ac:dyDescent="0.2">
      <c r="A77" s="1"/>
      <c r="B77" s="1"/>
      <c r="C77" s="11"/>
      <c r="D77" s="1"/>
      <c r="E77" s="1"/>
      <c r="F77" s="12"/>
      <c r="G77" s="12"/>
      <c r="H77" s="113"/>
    </row>
    <row r="78" spans="1:8" ht="14.1" customHeight="1" x14ac:dyDescent="0.2">
      <c r="A78" s="1"/>
      <c r="B78" s="1"/>
      <c r="C78" s="2" t="s">
        <v>165</v>
      </c>
      <c r="D78" s="1"/>
      <c r="E78" s="1"/>
      <c r="F78" s="12"/>
      <c r="G78" s="12"/>
      <c r="H78" s="113"/>
    </row>
    <row r="79" spans="1:8" ht="14.1" customHeight="1" x14ac:dyDescent="0.2">
      <c r="A79" s="1"/>
      <c r="B79" s="1"/>
      <c r="C79" s="2" t="s">
        <v>166</v>
      </c>
      <c r="D79" s="1"/>
      <c r="E79" s="1"/>
      <c r="F79" s="12"/>
      <c r="G79" s="12"/>
      <c r="H79" s="113"/>
    </row>
    <row r="80" spans="1:8" ht="14.1" customHeight="1" x14ac:dyDescent="0.2">
      <c r="A80" s="1"/>
      <c r="B80" s="1"/>
      <c r="C80" s="2" t="s">
        <v>151</v>
      </c>
      <c r="D80" s="1"/>
      <c r="E80" s="1" t="s">
        <v>152</v>
      </c>
      <c r="F80" s="13" t="s">
        <v>154</v>
      </c>
      <c r="G80" s="10">
        <v>0</v>
      </c>
      <c r="H80" s="113"/>
    </row>
    <row r="81" spans="1:8" ht="14.1" customHeight="1" x14ac:dyDescent="0.2">
      <c r="A81" s="1"/>
      <c r="B81" s="1"/>
      <c r="C81" s="11"/>
      <c r="D81" s="1"/>
      <c r="E81" s="1"/>
      <c r="F81" s="12"/>
      <c r="G81" s="12"/>
      <c r="H81" s="113"/>
    </row>
    <row r="82" spans="1:8" ht="14.1" customHeight="1" x14ac:dyDescent="0.2">
      <c r="A82" s="1"/>
      <c r="B82" s="1"/>
      <c r="C82" s="2" t="s">
        <v>167</v>
      </c>
      <c r="D82" s="1"/>
      <c r="E82" s="1"/>
      <c r="F82" s="12"/>
      <c r="G82" s="12"/>
      <c r="H82" s="113"/>
    </row>
    <row r="83" spans="1:8" ht="14.1" customHeight="1" x14ac:dyDescent="0.2">
      <c r="A83" s="1"/>
      <c r="B83" s="1"/>
      <c r="C83" s="2" t="s">
        <v>151</v>
      </c>
      <c r="D83" s="1"/>
      <c r="E83" s="1" t="s">
        <v>152</v>
      </c>
      <c r="F83" s="13" t="s">
        <v>154</v>
      </c>
      <c r="G83" s="10">
        <v>0</v>
      </c>
      <c r="H83" s="113"/>
    </row>
    <row r="84" spans="1:8" ht="14.1" customHeight="1" x14ac:dyDescent="0.2">
      <c r="A84" s="1"/>
      <c r="B84" s="1"/>
      <c r="C84" s="11"/>
      <c r="D84" s="1"/>
      <c r="E84" s="1"/>
      <c r="F84" s="12"/>
      <c r="G84" s="12"/>
      <c r="H84" s="113"/>
    </row>
    <row r="85" spans="1:8" ht="14.1" customHeight="1" x14ac:dyDescent="0.2">
      <c r="A85" s="1"/>
      <c r="B85" s="1"/>
      <c r="C85" s="2" t="s">
        <v>168</v>
      </c>
      <c r="D85" s="1"/>
      <c r="E85" s="1"/>
      <c r="F85" s="12"/>
      <c r="G85" s="12"/>
      <c r="H85" s="113"/>
    </row>
    <row r="86" spans="1:8" ht="14.1" customHeight="1" x14ac:dyDescent="0.2">
      <c r="A86" s="1"/>
      <c r="B86" s="1"/>
      <c r="C86" s="2" t="s">
        <v>151</v>
      </c>
      <c r="D86" s="1"/>
      <c r="E86" s="1" t="s">
        <v>152</v>
      </c>
      <c r="F86" s="13" t="s">
        <v>154</v>
      </c>
      <c r="G86" s="10">
        <v>0</v>
      </c>
      <c r="H86" s="113"/>
    </row>
    <row r="87" spans="1:8" ht="14.1" customHeight="1" x14ac:dyDescent="0.2">
      <c r="A87" s="1"/>
      <c r="B87" s="1"/>
      <c r="C87" s="11"/>
      <c r="D87" s="1"/>
      <c r="E87" s="1"/>
      <c r="F87" s="12"/>
      <c r="G87" s="12"/>
      <c r="H87" s="113"/>
    </row>
    <row r="88" spans="1:8" ht="14.1" customHeight="1" x14ac:dyDescent="0.2">
      <c r="A88" s="1"/>
      <c r="B88" s="1"/>
      <c r="C88" s="2" t="s">
        <v>169</v>
      </c>
      <c r="D88" s="1"/>
      <c r="E88" s="1"/>
      <c r="F88" s="12"/>
      <c r="G88" s="12"/>
      <c r="H88" s="113"/>
    </row>
    <row r="89" spans="1:8" ht="17.100000000000001" customHeight="1" x14ac:dyDescent="0.2">
      <c r="A89" s="3">
        <v>1</v>
      </c>
      <c r="B89" s="4"/>
      <c r="C89" s="4" t="s">
        <v>170</v>
      </c>
      <c r="D89" s="4"/>
      <c r="E89" s="8"/>
      <c r="F89" s="6">
        <v>5610.7763479719997</v>
      </c>
      <c r="G89" s="7">
        <v>4.0252400000000001E-2</v>
      </c>
      <c r="H89" s="113">
        <v>6.7600000000000016</v>
      </c>
    </row>
    <row r="90" spans="1:8" ht="14.1" customHeight="1" x14ac:dyDescent="0.2">
      <c r="A90" s="1"/>
      <c r="B90" s="1"/>
      <c r="C90" s="2" t="s">
        <v>151</v>
      </c>
      <c r="D90" s="1"/>
      <c r="E90" s="1" t="s">
        <v>152</v>
      </c>
      <c r="F90" s="9">
        <v>5610.7763479719997</v>
      </c>
      <c r="G90" s="10">
        <v>4.0252400000000001E-2</v>
      </c>
      <c r="H90" s="113"/>
    </row>
    <row r="91" spans="1:8" ht="14.1" customHeight="1" x14ac:dyDescent="0.2">
      <c r="A91" s="1"/>
      <c r="B91" s="1"/>
      <c r="C91" s="11"/>
      <c r="D91" s="1"/>
      <c r="E91" s="1"/>
      <c r="F91" s="12"/>
      <c r="G91" s="12"/>
      <c r="H91" s="113"/>
    </row>
    <row r="92" spans="1:8" ht="14.1" customHeight="1" x14ac:dyDescent="0.2">
      <c r="A92" s="1"/>
      <c r="B92" s="1"/>
      <c r="C92" s="2" t="s">
        <v>171</v>
      </c>
      <c r="D92" s="1"/>
      <c r="E92" s="1"/>
      <c r="F92" s="9">
        <v>5610.7763479719997</v>
      </c>
      <c r="G92" s="10">
        <v>4.0252400000000001E-2</v>
      </c>
      <c r="H92" s="113"/>
    </row>
    <row r="93" spans="1:8" ht="14.1" customHeight="1" x14ac:dyDescent="0.2">
      <c r="A93" s="1"/>
      <c r="B93" s="1"/>
      <c r="C93" s="12"/>
      <c r="D93" s="1"/>
      <c r="E93" s="1"/>
      <c r="F93" s="1"/>
      <c r="G93" s="1"/>
      <c r="H93" s="113"/>
    </row>
    <row r="94" spans="1:8" ht="14.1" customHeight="1" x14ac:dyDescent="0.2">
      <c r="A94" s="1"/>
      <c r="B94" s="1"/>
      <c r="C94" s="2" t="s">
        <v>172</v>
      </c>
      <c r="D94" s="1"/>
      <c r="E94" s="1"/>
      <c r="F94" s="1"/>
      <c r="G94" s="1"/>
      <c r="H94" s="113"/>
    </row>
    <row r="95" spans="1:8" ht="14.1" customHeight="1" x14ac:dyDescent="0.2">
      <c r="A95" s="1"/>
      <c r="B95" s="1"/>
      <c r="C95" s="2" t="s">
        <v>173</v>
      </c>
      <c r="D95" s="1"/>
      <c r="E95" s="1"/>
      <c r="F95" s="1"/>
      <c r="G95" s="1"/>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14.1" customHeight="1" x14ac:dyDescent="0.2">
      <c r="A98" s="1"/>
      <c r="B98" s="1"/>
      <c r="C98" s="2" t="s">
        <v>174</v>
      </c>
      <c r="D98" s="1"/>
      <c r="E98" s="1"/>
      <c r="F98" s="1"/>
      <c r="G98" s="1"/>
      <c r="H98" s="113"/>
    </row>
    <row r="99" spans="1:8" ht="14.1" customHeight="1" x14ac:dyDescent="0.2">
      <c r="A99" s="1"/>
      <c r="B99" s="1"/>
      <c r="C99" s="2" t="s">
        <v>175</v>
      </c>
      <c r="D99" s="1"/>
      <c r="E99" s="1"/>
      <c r="F99" s="1"/>
      <c r="G99" s="1"/>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24" customHeight="1" x14ac:dyDescent="0.2">
      <c r="A102" s="1"/>
      <c r="B102" s="1"/>
      <c r="C102" s="2" t="s">
        <v>176</v>
      </c>
      <c r="D102" s="1"/>
      <c r="E102" s="1"/>
      <c r="F102" s="12"/>
      <c r="G102" s="12"/>
      <c r="H102" s="113"/>
    </row>
    <row r="103" spans="1:8" ht="14.1" customHeight="1" x14ac:dyDescent="0.2">
      <c r="A103" s="1"/>
      <c r="B103" s="1"/>
      <c r="C103" s="2" t="s">
        <v>151</v>
      </c>
      <c r="D103" s="1"/>
      <c r="E103" s="1" t="s">
        <v>152</v>
      </c>
      <c r="F103" s="13" t="s">
        <v>154</v>
      </c>
      <c r="G103" s="10">
        <v>0</v>
      </c>
      <c r="H103" s="113"/>
    </row>
    <row r="104" spans="1:8" ht="14.1" customHeight="1" x14ac:dyDescent="0.2">
      <c r="A104" s="1"/>
      <c r="B104" s="1"/>
      <c r="C104" s="11"/>
      <c r="D104" s="1"/>
      <c r="E104" s="1"/>
      <c r="F104" s="12"/>
      <c r="G104" s="12"/>
      <c r="H104" s="113"/>
    </row>
    <row r="105" spans="1:8" ht="14.1" customHeight="1" x14ac:dyDescent="0.2">
      <c r="A105" s="1"/>
      <c r="B105" s="4"/>
      <c r="C105" s="4"/>
      <c r="D105" s="2"/>
      <c r="E105" s="1"/>
      <c r="F105" s="4"/>
      <c r="G105" s="8"/>
      <c r="H105" s="113"/>
    </row>
    <row r="106" spans="1:8" ht="18" customHeight="1" x14ac:dyDescent="0.2">
      <c r="A106" s="8"/>
      <c r="B106" s="4"/>
      <c r="C106" s="4" t="s">
        <v>177</v>
      </c>
      <c r="D106" s="4"/>
      <c r="E106" s="8"/>
      <c r="F106" s="6">
        <v>-386.80359048000003</v>
      </c>
      <c r="G106" s="7">
        <v>-2.7749799999999998E-3</v>
      </c>
      <c r="H106" s="113"/>
    </row>
    <row r="107" spans="1:8" ht="14.1" customHeight="1" x14ac:dyDescent="0.2">
      <c r="A107" s="11"/>
      <c r="B107" s="11"/>
      <c r="C107" s="2" t="s">
        <v>178</v>
      </c>
      <c r="D107" s="12"/>
      <c r="E107" s="12"/>
      <c r="F107" s="9">
        <v>139389.874311992</v>
      </c>
      <c r="G107" s="14">
        <v>1.00000004</v>
      </c>
      <c r="H107" s="113"/>
    </row>
    <row r="108" spans="1:8" ht="14.1" customHeight="1" x14ac:dyDescent="0.2">
      <c r="A108" s="15"/>
      <c r="B108" s="15"/>
      <c r="C108" s="15"/>
      <c r="D108" s="16"/>
      <c r="E108" s="16"/>
      <c r="F108" s="16"/>
      <c r="G108" s="16"/>
    </row>
    <row r="109" spans="1:8" ht="14.1" customHeight="1" x14ac:dyDescent="0.2">
      <c r="A109" s="17"/>
      <c r="B109" s="17"/>
      <c r="C109" s="17"/>
      <c r="D109" s="19"/>
      <c r="E109" s="19"/>
      <c r="F109" s="19"/>
      <c r="G109" s="19"/>
    </row>
    <row r="110" spans="1:8" ht="14.1" customHeight="1" x14ac:dyDescent="0.2">
      <c r="A110" s="17"/>
      <c r="B110" s="208" t="s">
        <v>180</v>
      </c>
      <c r="C110" s="209"/>
      <c r="D110" s="210"/>
      <c r="E110" s="20"/>
      <c r="F110" s="19"/>
      <c r="G110" s="19"/>
    </row>
    <row r="111" spans="1:8" ht="29.1" customHeight="1" x14ac:dyDescent="0.2">
      <c r="A111" s="17"/>
      <c r="B111" s="205" t="s">
        <v>181</v>
      </c>
      <c r="C111" s="206"/>
      <c r="D111" s="2" t="s">
        <v>182</v>
      </c>
      <c r="E111" s="20"/>
      <c r="F111" s="19"/>
      <c r="G111" s="19"/>
    </row>
    <row r="112" spans="1:8" ht="17.100000000000001" customHeight="1" x14ac:dyDescent="0.2">
      <c r="A112" s="17"/>
      <c r="B112" s="205" t="s">
        <v>183</v>
      </c>
      <c r="C112" s="206"/>
      <c r="D112" s="2" t="s">
        <v>182</v>
      </c>
      <c r="E112" s="20"/>
      <c r="F112" s="19"/>
      <c r="G112" s="19"/>
    </row>
    <row r="113" spans="1:7" ht="17.100000000000001" customHeight="1" x14ac:dyDescent="0.2">
      <c r="A113" s="17"/>
      <c r="B113" s="205" t="s">
        <v>184</v>
      </c>
      <c r="C113" s="206"/>
      <c r="D113" s="12" t="s">
        <v>152</v>
      </c>
      <c r="E113" s="20"/>
      <c r="F113" s="19"/>
      <c r="G113" s="19"/>
    </row>
    <row r="114" spans="1:7" ht="25.5" x14ac:dyDescent="0.2">
      <c r="A114" s="21"/>
      <c r="B114" s="22" t="s">
        <v>152</v>
      </c>
      <c r="C114" s="22" t="s">
        <v>185</v>
      </c>
      <c r="D114" s="22" t="s">
        <v>186</v>
      </c>
      <c r="E114" s="21"/>
      <c r="F114" s="21"/>
      <c r="G114" s="21"/>
    </row>
    <row r="115" spans="1:7" ht="18" customHeight="1" x14ac:dyDescent="0.2">
      <c r="A115" s="21"/>
      <c r="B115" s="23" t="s">
        <v>187</v>
      </c>
      <c r="C115" s="22" t="s">
        <v>188</v>
      </c>
      <c r="D115" s="22" t="s">
        <v>189</v>
      </c>
      <c r="E115" s="21"/>
      <c r="F115" s="21"/>
      <c r="G115" s="21"/>
    </row>
    <row r="116" spans="1:7" ht="17.100000000000001" customHeight="1" x14ac:dyDescent="0.2">
      <c r="A116" s="21"/>
      <c r="B116" s="4" t="s">
        <v>190</v>
      </c>
      <c r="C116" s="24">
        <v>84.705799999999996</v>
      </c>
      <c r="D116" s="24">
        <v>88.2821</v>
      </c>
      <c r="E116" s="21"/>
      <c r="F116" s="18"/>
      <c r="G116" s="25"/>
    </row>
    <row r="117" spans="1:7" ht="17.100000000000001" customHeight="1" x14ac:dyDescent="0.2">
      <c r="A117" s="21"/>
      <c r="B117" s="4" t="s">
        <v>1033</v>
      </c>
      <c r="C117" s="24">
        <v>28.207100000000001</v>
      </c>
      <c r="D117" s="24">
        <v>29.398</v>
      </c>
      <c r="E117" s="21"/>
      <c r="F117" s="18"/>
      <c r="G117" s="25"/>
    </row>
    <row r="118" spans="1:7" ht="17.100000000000001" customHeight="1" x14ac:dyDescent="0.2">
      <c r="A118" s="21"/>
      <c r="B118" s="4" t="s">
        <v>191</v>
      </c>
      <c r="C118" s="24">
        <v>78.373900000000006</v>
      </c>
      <c r="D118" s="24">
        <v>81.622600000000006</v>
      </c>
      <c r="E118" s="21"/>
      <c r="F118" s="18"/>
      <c r="G118" s="25"/>
    </row>
    <row r="119" spans="1:7" ht="17.100000000000001" customHeight="1" x14ac:dyDescent="0.2">
      <c r="A119" s="21"/>
      <c r="B119" s="4" t="s">
        <v>1034</v>
      </c>
      <c r="C119" s="24">
        <v>25.666499999999999</v>
      </c>
      <c r="D119" s="24">
        <v>26.730399999999999</v>
      </c>
      <c r="E119" s="21"/>
      <c r="F119" s="18"/>
      <c r="G119" s="25"/>
    </row>
    <row r="120" spans="1:7" ht="14.1" customHeight="1" x14ac:dyDescent="0.2">
      <c r="A120" s="21"/>
      <c r="B120" s="21"/>
      <c r="C120" s="21"/>
      <c r="D120" s="21"/>
      <c r="E120" s="21"/>
      <c r="F120" s="21"/>
      <c r="G120" s="21"/>
    </row>
    <row r="121" spans="1:7" ht="17.100000000000001" customHeight="1" x14ac:dyDescent="0.2">
      <c r="A121" s="21"/>
      <c r="B121" s="205" t="s">
        <v>1035</v>
      </c>
      <c r="C121" s="206"/>
      <c r="D121" s="2" t="s">
        <v>182</v>
      </c>
      <c r="E121" s="21"/>
      <c r="F121" s="21"/>
      <c r="G121" s="21"/>
    </row>
    <row r="122" spans="1:7" ht="18" customHeight="1" x14ac:dyDescent="0.2">
      <c r="A122" s="21"/>
      <c r="B122" s="26"/>
      <c r="C122" s="26"/>
      <c r="D122" s="26"/>
      <c r="E122" s="21"/>
      <c r="F122" s="21"/>
      <c r="G122" s="21"/>
    </row>
    <row r="123" spans="1:7" ht="29.1" customHeight="1" x14ac:dyDescent="0.2">
      <c r="A123" s="21"/>
      <c r="B123" s="205" t="s">
        <v>192</v>
      </c>
      <c r="C123" s="206"/>
      <c r="D123" s="2" t="s">
        <v>182</v>
      </c>
      <c r="E123" s="27"/>
      <c r="F123" s="21"/>
      <c r="G123" s="21"/>
    </row>
    <row r="124" spans="1:7" ht="29.1" customHeight="1" x14ac:dyDescent="0.2">
      <c r="A124" s="21"/>
      <c r="B124" s="205" t="s">
        <v>193</v>
      </c>
      <c r="C124" s="206"/>
      <c r="D124" s="2" t="s">
        <v>182</v>
      </c>
      <c r="E124" s="27"/>
      <c r="F124" s="21"/>
      <c r="G124" s="21"/>
    </row>
    <row r="125" spans="1:7" ht="17.100000000000001" customHeight="1" x14ac:dyDescent="0.2">
      <c r="A125" s="21"/>
      <c r="B125" s="205" t="s">
        <v>194</v>
      </c>
      <c r="C125" s="206"/>
      <c r="D125" s="2" t="s">
        <v>182</v>
      </c>
      <c r="E125" s="27"/>
      <c r="F125" s="21"/>
      <c r="G125" s="21"/>
    </row>
    <row r="126" spans="1:7" ht="17.100000000000001" customHeight="1" x14ac:dyDescent="0.2">
      <c r="A126" s="21"/>
      <c r="B126" s="205" t="s">
        <v>195</v>
      </c>
      <c r="C126" s="206"/>
      <c r="D126" s="28">
        <v>0.31928109712206137</v>
      </c>
      <c r="E126" s="21"/>
      <c r="F126" s="18"/>
      <c r="G126" s="25"/>
    </row>
  </sheetData>
  <mergeCells count="13">
    <mergeCell ref="B126:C126"/>
    <mergeCell ref="B112:C112"/>
    <mergeCell ref="B113:C113"/>
    <mergeCell ref="B121:C121"/>
    <mergeCell ref="B123:C123"/>
    <mergeCell ref="B124:C124"/>
    <mergeCell ref="B125:C125"/>
    <mergeCell ref="J2:N2"/>
    <mergeCell ref="B111:C111"/>
    <mergeCell ref="B110:D110"/>
    <mergeCell ref="A1:H1"/>
    <mergeCell ref="A2:H2"/>
    <mergeCell ref="A3:H3"/>
  </mergeCells>
  <hyperlinks>
    <hyperlink ref="I1" location="Index!B24" display="Index" xr:uid="{36713801-773D-4E14-B060-BBA8105848C4}"/>
  </hyperlink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839</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26</v>
      </c>
      <c r="C7" s="4" t="s">
        <v>27</v>
      </c>
      <c r="D7" s="4" t="s">
        <v>28</v>
      </c>
      <c r="E7" s="5">
        <v>3070295</v>
      </c>
      <c r="F7" s="6">
        <v>30598.559969999998</v>
      </c>
      <c r="G7" s="7">
        <v>9.5304899999999998E-2</v>
      </c>
      <c r="H7" s="113"/>
    </row>
    <row r="8" spans="1:14" ht="17.100000000000001" customHeight="1" x14ac:dyDescent="0.2">
      <c r="A8" s="3">
        <v>2</v>
      </c>
      <c r="B8" s="4" t="s">
        <v>321</v>
      </c>
      <c r="C8" s="4" t="s">
        <v>322</v>
      </c>
      <c r="D8" s="4" t="s">
        <v>28</v>
      </c>
      <c r="E8" s="5">
        <v>1765688</v>
      </c>
      <c r="F8" s="6">
        <v>30180.022140000001</v>
      </c>
      <c r="G8" s="7">
        <v>9.4001290000000001E-2</v>
      </c>
      <c r="H8" s="113"/>
    </row>
    <row r="9" spans="1:14" ht="17.100000000000001" customHeight="1" x14ac:dyDescent="0.2">
      <c r="A9" s="3">
        <v>3</v>
      </c>
      <c r="B9" s="4" t="s">
        <v>20</v>
      </c>
      <c r="C9" s="4" t="s">
        <v>21</v>
      </c>
      <c r="D9" s="4" t="s">
        <v>22</v>
      </c>
      <c r="E9" s="5">
        <v>2277503</v>
      </c>
      <c r="F9" s="6">
        <v>23508.385966000002</v>
      </c>
      <c r="G9" s="7">
        <v>7.3221240000000007E-2</v>
      </c>
      <c r="H9" s="113"/>
    </row>
    <row r="10" spans="1:14" ht="17.100000000000001" customHeight="1" x14ac:dyDescent="0.2">
      <c r="A10" s="3">
        <v>4</v>
      </c>
      <c r="B10" s="4" t="s">
        <v>17</v>
      </c>
      <c r="C10" s="4" t="s">
        <v>18</v>
      </c>
      <c r="D10" s="4" t="s">
        <v>19</v>
      </c>
      <c r="E10" s="5">
        <v>556486</v>
      </c>
      <c r="F10" s="6">
        <v>14384.884856999999</v>
      </c>
      <c r="G10" s="7">
        <v>4.4804400000000001E-2</v>
      </c>
      <c r="H10" s="113"/>
    </row>
    <row r="11" spans="1:14" ht="17.100000000000001" customHeight="1" x14ac:dyDescent="0.2">
      <c r="A11" s="3">
        <v>5</v>
      </c>
      <c r="B11" s="4" t="s">
        <v>791</v>
      </c>
      <c r="C11" s="4" t="s">
        <v>792</v>
      </c>
      <c r="D11" s="4" t="s">
        <v>210</v>
      </c>
      <c r="E11" s="5">
        <v>159237</v>
      </c>
      <c r="F11" s="6">
        <v>9083.0377169999992</v>
      </c>
      <c r="G11" s="7">
        <v>2.829081E-2</v>
      </c>
      <c r="H11" s="113"/>
    </row>
    <row r="12" spans="1:14" ht="17.100000000000001" customHeight="1" x14ac:dyDescent="0.2">
      <c r="A12" s="3">
        <v>6</v>
      </c>
      <c r="B12" s="4" t="s">
        <v>296</v>
      </c>
      <c r="C12" s="4" t="s">
        <v>297</v>
      </c>
      <c r="D12" s="4" t="s">
        <v>53</v>
      </c>
      <c r="E12" s="5">
        <v>872919</v>
      </c>
      <c r="F12" s="6">
        <v>9078.7940595</v>
      </c>
      <c r="G12" s="7">
        <v>2.8277589999999998E-2</v>
      </c>
      <c r="H12" s="113"/>
    </row>
    <row r="13" spans="1:14" ht="17.100000000000001" customHeight="1" x14ac:dyDescent="0.2">
      <c r="A13" s="3">
        <v>7</v>
      </c>
      <c r="B13" s="4" t="s">
        <v>359</v>
      </c>
      <c r="C13" s="4" t="s">
        <v>360</v>
      </c>
      <c r="D13" s="4" t="s">
        <v>56</v>
      </c>
      <c r="E13" s="5">
        <v>241855</v>
      </c>
      <c r="F13" s="6">
        <v>8889.2595975000004</v>
      </c>
      <c r="G13" s="7">
        <v>2.768725E-2</v>
      </c>
      <c r="H13" s="113"/>
      <c r="J13" s="194" t="s">
        <v>1173</v>
      </c>
    </row>
    <row r="14" spans="1:14" ht="17.100000000000001" customHeight="1" x14ac:dyDescent="0.2">
      <c r="A14" s="3">
        <v>8</v>
      </c>
      <c r="B14" s="4" t="s">
        <v>255</v>
      </c>
      <c r="C14" s="4" t="s">
        <v>256</v>
      </c>
      <c r="D14" s="4" t="s">
        <v>257</v>
      </c>
      <c r="E14" s="5">
        <v>3118735</v>
      </c>
      <c r="F14" s="6">
        <v>8567.1650449999997</v>
      </c>
      <c r="G14" s="7">
        <v>2.6684030000000001E-2</v>
      </c>
      <c r="H14" s="113"/>
    </row>
    <row r="15" spans="1:14" ht="17.100000000000001" customHeight="1" x14ac:dyDescent="0.2">
      <c r="A15" s="3">
        <v>9</v>
      </c>
      <c r="B15" s="4" t="s">
        <v>335</v>
      </c>
      <c r="C15" s="4" t="s">
        <v>336</v>
      </c>
      <c r="D15" s="4" t="s">
        <v>28</v>
      </c>
      <c r="E15" s="5">
        <v>533213</v>
      </c>
      <c r="F15" s="6">
        <v>8525.8092634999994</v>
      </c>
      <c r="G15" s="7">
        <v>2.6555220000000001E-2</v>
      </c>
      <c r="H15" s="113"/>
    </row>
    <row r="16" spans="1:14" ht="17.100000000000001" customHeight="1" x14ac:dyDescent="0.2">
      <c r="A16" s="3">
        <v>10</v>
      </c>
      <c r="B16" s="4" t="s">
        <v>325</v>
      </c>
      <c r="C16" s="4" t="s">
        <v>326</v>
      </c>
      <c r="D16" s="4" t="s">
        <v>28</v>
      </c>
      <c r="E16" s="5">
        <v>688147</v>
      </c>
      <c r="F16" s="6">
        <v>7585.4443810000002</v>
      </c>
      <c r="G16" s="7">
        <v>2.362628E-2</v>
      </c>
      <c r="H16" s="113"/>
    </row>
    <row r="17" spans="1:10" ht="17.100000000000001" customHeight="1" x14ac:dyDescent="0.2">
      <c r="A17" s="3">
        <v>11</v>
      </c>
      <c r="B17" s="4" t="s">
        <v>399</v>
      </c>
      <c r="C17" s="4" t="s">
        <v>400</v>
      </c>
      <c r="D17" s="4" t="s">
        <v>28</v>
      </c>
      <c r="E17" s="5">
        <v>6586836</v>
      </c>
      <c r="F17" s="6">
        <v>6949.1119799999997</v>
      </c>
      <c r="G17" s="7">
        <v>2.1644300000000002E-2</v>
      </c>
      <c r="H17" s="113"/>
    </row>
    <row r="18" spans="1:10" ht="17.100000000000001" customHeight="1" x14ac:dyDescent="0.2">
      <c r="A18" s="3">
        <v>12</v>
      </c>
      <c r="B18" s="4" t="s">
        <v>346</v>
      </c>
      <c r="C18" s="4" t="s">
        <v>347</v>
      </c>
      <c r="D18" s="4" t="s">
        <v>891</v>
      </c>
      <c r="E18" s="5">
        <v>110011</v>
      </c>
      <c r="F18" s="6">
        <v>6925.1374445000001</v>
      </c>
      <c r="G18" s="7">
        <v>2.1569629999999999E-2</v>
      </c>
      <c r="H18" s="113"/>
    </row>
    <row r="19" spans="1:10" ht="29.1" customHeight="1" x14ac:dyDescent="0.2">
      <c r="A19" s="3">
        <v>13</v>
      </c>
      <c r="B19" s="4" t="s">
        <v>569</v>
      </c>
      <c r="C19" s="4" t="s">
        <v>570</v>
      </c>
      <c r="D19" s="4" t="s">
        <v>234</v>
      </c>
      <c r="E19" s="5">
        <v>1278652</v>
      </c>
      <c r="F19" s="6">
        <v>6838.8702219999996</v>
      </c>
      <c r="G19" s="7">
        <v>2.1300929999999999E-2</v>
      </c>
      <c r="H19" s="113"/>
    </row>
    <row r="20" spans="1:10" ht="17.100000000000001" customHeight="1" x14ac:dyDescent="0.2">
      <c r="A20" s="3">
        <v>14</v>
      </c>
      <c r="B20" s="4" t="s">
        <v>407</v>
      </c>
      <c r="C20" s="4" t="s">
        <v>408</v>
      </c>
      <c r="D20" s="4" t="s">
        <v>257</v>
      </c>
      <c r="E20" s="5">
        <v>399510</v>
      </c>
      <c r="F20" s="6">
        <v>6628.0706550000004</v>
      </c>
      <c r="G20" s="7">
        <v>2.064436E-2</v>
      </c>
      <c r="H20" s="113"/>
    </row>
    <row r="21" spans="1:10" ht="17.100000000000001" customHeight="1" x14ac:dyDescent="0.2">
      <c r="A21" s="3">
        <v>15</v>
      </c>
      <c r="B21" s="4" t="s">
        <v>435</v>
      </c>
      <c r="C21" s="4" t="s">
        <v>436</v>
      </c>
      <c r="D21" s="4" t="s">
        <v>53</v>
      </c>
      <c r="E21" s="5">
        <v>1129253</v>
      </c>
      <c r="F21" s="6">
        <v>6380.8440764999996</v>
      </c>
      <c r="G21" s="7">
        <v>1.9874329999999999E-2</v>
      </c>
      <c r="H21" s="113"/>
    </row>
    <row r="22" spans="1:10" ht="17.100000000000001" customHeight="1" x14ac:dyDescent="0.2">
      <c r="A22" s="3">
        <v>16</v>
      </c>
      <c r="B22" s="4" t="s">
        <v>342</v>
      </c>
      <c r="C22" s="4" t="s">
        <v>343</v>
      </c>
      <c r="D22" s="4" t="s">
        <v>267</v>
      </c>
      <c r="E22" s="5">
        <v>195671</v>
      </c>
      <c r="F22" s="6">
        <v>6261.1784934999996</v>
      </c>
      <c r="G22" s="7">
        <v>1.9501600000000001E-2</v>
      </c>
      <c r="H22" s="113"/>
    </row>
    <row r="23" spans="1:10" ht="17.100000000000001" customHeight="1" x14ac:dyDescent="0.2">
      <c r="A23" s="3">
        <v>17</v>
      </c>
      <c r="B23" s="4" t="s">
        <v>208</v>
      </c>
      <c r="C23" s="4" t="s">
        <v>209</v>
      </c>
      <c r="D23" s="4" t="s">
        <v>210</v>
      </c>
      <c r="E23" s="5">
        <v>1408236</v>
      </c>
      <c r="F23" s="6">
        <v>5903.3253119999999</v>
      </c>
      <c r="G23" s="7">
        <v>1.8387000000000001E-2</v>
      </c>
      <c r="H23" s="113"/>
    </row>
    <row r="24" spans="1:10" ht="17.100000000000001" customHeight="1" x14ac:dyDescent="0.2">
      <c r="A24" s="3">
        <v>18</v>
      </c>
      <c r="B24" s="4" t="s">
        <v>425</v>
      </c>
      <c r="C24" s="4" t="s">
        <v>426</v>
      </c>
      <c r="D24" s="4" t="s">
        <v>245</v>
      </c>
      <c r="E24" s="5">
        <v>670992</v>
      </c>
      <c r="F24" s="6">
        <v>5480.9981520000001</v>
      </c>
      <c r="G24" s="7">
        <v>1.7071590000000001E-2</v>
      </c>
      <c r="H24" s="113"/>
    </row>
    <row r="25" spans="1:10" ht="17.100000000000001" customHeight="1" x14ac:dyDescent="0.2">
      <c r="A25" s="3">
        <v>19</v>
      </c>
      <c r="B25" s="4" t="s">
        <v>475</v>
      </c>
      <c r="C25" s="4" t="s">
        <v>476</v>
      </c>
      <c r="D25" s="4" t="s">
        <v>234</v>
      </c>
      <c r="E25" s="5">
        <v>378452</v>
      </c>
      <c r="F25" s="6">
        <v>5421.7033520000005</v>
      </c>
      <c r="G25" s="7">
        <v>1.68869E-2</v>
      </c>
      <c r="H25" s="113"/>
      <c r="J25" s="194" t="s">
        <v>1174</v>
      </c>
    </row>
    <row r="26" spans="1:10" ht="17.100000000000001" customHeight="1" x14ac:dyDescent="0.2">
      <c r="A26" s="3">
        <v>20</v>
      </c>
      <c r="B26" s="4" t="s">
        <v>417</v>
      </c>
      <c r="C26" s="4" t="s">
        <v>418</v>
      </c>
      <c r="D26" s="4" t="s">
        <v>53</v>
      </c>
      <c r="E26" s="5">
        <v>684127</v>
      </c>
      <c r="F26" s="6">
        <v>5320.1136155000004</v>
      </c>
      <c r="G26" s="7">
        <v>1.6570479999999999E-2</v>
      </c>
      <c r="H26" s="113"/>
    </row>
    <row r="27" spans="1:10" ht="17.100000000000001" customHeight="1" x14ac:dyDescent="0.2">
      <c r="A27" s="3">
        <v>21</v>
      </c>
      <c r="B27" s="4" t="s">
        <v>514</v>
      </c>
      <c r="C27" s="4" t="s">
        <v>515</v>
      </c>
      <c r="D27" s="4" t="s">
        <v>891</v>
      </c>
      <c r="E27" s="5">
        <v>721901</v>
      </c>
      <c r="F27" s="6">
        <v>5253.9954779999998</v>
      </c>
      <c r="G27" s="7">
        <v>1.6364549999999999E-2</v>
      </c>
      <c r="H27" s="113"/>
    </row>
    <row r="28" spans="1:10" ht="17.100000000000001" customHeight="1" x14ac:dyDescent="0.2">
      <c r="A28" s="3">
        <v>22</v>
      </c>
      <c r="B28" s="4" t="s">
        <v>249</v>
      </c>
      <c r="C28" s="4" t="s">
        <v>250</v>
      </c>
      <c r="D28" s="4" t="s">
        <v>245</v>
      </c>
      <c r="E28" s="5">
        <v>748590</v>
      </c>
      <c r="F28" s="6">
        <v>5213.5550549999998</v>
      </c>
      <c r="G28" s="7">
        <v>1.6238590000000001E-2</v>
      </c>
      <c r="H28" s="113"/>
    </row>
    <row r="29" spans="1:10" ht="17.100000000000001" customHeight="1" x14ac:dyDescent="0.2">
      <c r="A29" s="3">
        <v>23</v>
      </c>
      <c r="B29" s="4" t="s">
        <v>365</v>
      </c>
      <c r="C29" s="4" t="s">
        <v>366</v>
      </c>
      <c r="D29" s="4" t="s">
        <v>53</v>
      </c>
      <c r="E29" s="5">
        <v>69824</v>
      </c>
      <c r="F29" s="6">
        <v>5116.5281599999998</v>
      </c>
      <c r="G29" s="7">
        <v>1.593638E-2</v>
      </c>
      <c r="H29" s="113"/>
    </row>
    <row r="30" spans="1:10" ht="17.100000000000001" customHeight="1" x14ac:dyDescent="0.2">
      <c r="A30" s="3">
        <v>24</v>
      </c>
      <c r="B30" s="4" t="s">
        <v>429</v>
      </c>
      <c r="C30" s="4" t="s">
        <v>430</v>
      </c>
      <c r="D30" s="4" t="s">
        <v>892</v>
      </c>
      <c r="E30" s="5">
        <v>377955</v>
      </c>
      <c r="F30" s="6">
        <v>4936.4702550000002</v>
      </c>
      <c r="G30" s="7">
        <v>1.537555E-2</v>
      </c>
      <c r="H30" s="113"/>
    </row>
    <row r="31" spans="1:10" ht="17.100000000000001" customHeight="1" x14ac:dyDescent="0.2">
      <c r="A31" s="3">
        <v>25</v>
      </c>
      <c r="B31" s="4" t="s">
        <v>44</v>
      </c>
      <c r="C31" s="4" t="s">
        <v>45</v>
      </c>
      <c r="D31" s="4" t="s">
        <v>46</v>
      </c>
      <c r="E31" s="5">
        <v>557919</v>
      </c>
      <c r="F31" s="6">
        <v>4796.1506835</v>
      </c>
      <c r="G31" s="7">
        <v>1.49385E-2</v>
      </c>
      <c r="H31" s="113"/>
    </row>
    <row r="32" spans="1:10" ht="17.100000000000001" customHeight="1" x14ac:dyDescent="0.2">
      <c r="A32" s="3">
        <v>26</v>
      </c>
      <c r="B32" s="4" t="s">
        <v>840</v>
      </c>
      <c r="C32" s="4" t="s">
        <v>841</v>
      </c>
      <c r="D32" s="4" t="s">
        <v>61</v>
      </c>
      <c r="E32" s="5">
        <v>1084270</v>
      </c>
      <c r="F32" s="6">
        <v>4536.0435450000004</v>
      </c>
      <c r="G32" s="7">
        <v>1.412835E-2</v>
      </c>
      <c r="H32" s="113"/>
    </row>
    <row r="33" spans="1:8" ht="17.100000000000001" customHeight="1" x14ac:dyDescent="0.2">
      <c r="A33" s="3">
        <v>27</v>
      </c>
      <c r="B33" s="4" t="s">
        <v>394</v>
      </c>
      <c r="C33" s="4" t="s">
        <v>395</v>
      </c>
      <c r="D33" s="4" t="s">
        <v>315</v>
      </c>
      <c r="E33" s="5">
        <v>11684</v>
      </c>
      <c r="F33" s="6">
        <v>4499.82971</v>
      </c>
      <c r="G33" s="7">
        <v>1.401556E-2</v>
      </c>
      <c r="H33" s="113"/>
    </row>
    <row r="34" spans="1:8" ht="17.100000000000001" customHeight="1" x14ac:dyDescent="0.2">
      <c r="A34" s="3">
        <v>28</v>
      </c>
      <c r="B34" s="4" t="s">
        <v>446</v>
      </c>
      <c r="C34" s="4" t="s">
        <v>447</v>
      </c>
      <c r="D34" s="4" t="s">
        <v>73</v>
      </c>
      <c r="E34" s="5">
        <v>195979</v>
      </c>
      <c r="F34" s="6">
        <v>4399.0426235000004</v>
      </c>
      <c r="G34" s="7">
        <v>1.3701639999999999E-2</v>
      </c>
      <c r="H34" s="113"/>
    </row>
    <row r="35" spans="1:8" ht="17.100000000000001" customHeight="1" x14ac:dyDescent="0.2">
      <c r="A35" s="3">
        <v>29</v>
      </c>
      <c r="B35" s="4" t="s">
        <v>239</v>
      </c>
      <c r="C35" s="4" t="s">
        <v>240</v>
      </c>
      <c r="D35" s="4" t="s">
        <v>891</v>
      </c>
      <c r="E35" s="5">
        <v>69495</v>
      </c>
      <c r="F35" s="6">
        <v>4360.3942800000004</v>
      </c>
      <c r="G35" s="7">
        <v>1.358126E-2</v>
      </c>
      <c r="H35" s="113"/>
    </row>
    <row r="36" spans="1:8" ht="17.100000000000001" customHeight="1" x14ac:dyDescent="0.2">
      <c r="A36" s="3">
        <v>30</v>
      </c>
      <c r="B36" s="4" t="s">
        <v>275</v>
      </c>
      <c r="C36" s="4" t="s">
        <v>276</v>
      </c>
      <c r="D36" s="4" t="s">
        <v>53</v>
      </c>
      <c r="E36" s="5">
        <v>265869</v>
      </c>
      <c r="F36" s="6">
        <v>4073.7777525000001</v>
      </c>
      <c r="G36" s="7">
        <v>1.268854E-2</v>
      </c>
      <c r="H36" s="113"/>
    </row>
    <row r="37" spans="1:8" ht="17.100000000000001" customHeight="1" x14ac:dyDescent="0.2">
      <c r="A37" s="3">
        <v>31</v>
      </c>
      <c r="B37" s="4" t="s">
        <v>373</v>
      </c>
      <c r="C37" s="4" t="s">
        <v>374</v>
      </c>
      <c r="D37" s="4" t="s">
        <v>207</v>
      </c>
      <c r="E37" s="5">
        <v>96945</v>
      </c>
      <c r="F37" s="6">
        <v>3957.9250425</v>
      </c>
      <c r="G37" s="7">
        <v>1.2327690000000001E-2</v>
      </c>
      <c r="H37" s="113"/>
    </row>
    <row r="38" spans="1:8" ht="17.100000000000001" customHeight="1" x14ac:dyDescent="0.2">
      <c r="A38" s="3">
        <v>32</v>
      </c>
      <c r="B38" s="4" t="s">
        <v>216</v>
      </c>
      <c r="C38" s="4" t="s">
        <v>217</v>
      </c>
      <c r="D38" s="4" t="s">
        <v>891</v>
      </c>
      <c r="E38" s="5">
        <v>51685</v>
      </c>
      <c r="F38" s="6">
        <v>3819.2113899999999</v>
      </c>
      <c r="G38" s="7">
        <v>1.1895640000000001E-2</v>
      </c>
      <c r="H38" s="113"/>
    </row>
    <row r="39" spans="1:8" ht="17.100000000000001" customHeight="1" x14ac:dyDescent="0.2">
      <c r="A39" s="3">
        <v>33</v>
      </c>
      <c r="B39" s="4" t="s">
        <v>258</v>
      </c>
      <c r="C39" s="4" t="s">
        <v>259</v>
      </c>
      <c r="D39" s="4" t="s">
        <v>207</v>
      </c>
      <c r="E39" s="5">
        <v>67293</v>
      </c>
      <c r="F39" s="6">
        <v>3458.9611395000002</v>
      </c>
      <c r="G39" s="7">
        <v>1.077358E-2</v>
      </c>
      <c r="H39" s="113"/>
    </row>
    <row r="40" spans="1:8" ht="17.100000000000001" customHeight="1" x14ac:dyDescent="0.2">
      <c r="A40" s="3">
        <v>34</v>
      </c>
      <c r="B40" s="4" t="s">
        <v>235</v>
      </c>
      <c r="C40" s="4" t="s">
        <v>236</v>
      </c>
      <c r="D40" s="4" t="s">
        <v>61</v>
      </c>
      <c r="E40" s="5">
        <v>1095226</v>
      </c>
      <c r="F40" s="6">
        <v>3351.39156</v>
      </c>
      <c r="G40" s="7">
        <v>1.043853E-2</v>
      </c>
      <c r="H40" s="113"/>
    </row>
    <row r="41" spans="1:8" ht="17.100000000000001" customHeight="1" x14ac:dyDescent="0.2">
      <c r="A41" s="3">
        <v>35</v>
      </c>
      <c r="B41" s="4" t="s">
        <v>419</v>
      </c>
      <c r="C41" s="4" t="s">
        <v>420</v>
      </c>
      <c r="D41" s="4" t="s">
        <v>245</v>
      </c>
      <c r="E41" s="5">
        <v>226690</v>
      </c>
      <c r="F41" s="6">
        <v>3221.4915900000001</v>
      </c>
      <c r="G41" s="7">
        <v>1.003393E-2</v>
      </c>
      <c r="H41" s="113"/>
    </row>
    <row r="42" spans="1:8" ht="17.100000000000001" customHeight="1" x14ac:dyDescent="0.2">
      <c r="A42" s="3">
        <v>36</v>
      </c>
      <c r="B42" s="4" t="s">
        <v>458</v>
      </c>
      <c r="C42" s="4" t="s">
        <v>459</v>
      </c>
      <c r="D42" s="4" t="s">
        <v>46</v>
      </c>
      <c r="E42" s="5">
        <v>353653</v>
      </c>
      <c r="F42" s="6">
        <v>2909.8568839999998</v>
      </c>
      <c r="G42" s="7">
        <v>9.0632899999999999E-3</v>
      </c>
      <c r="H42" s="113"/>
    </row>
    <row r="43" spans="1:8" ht="17.100000000000001" customHeight="1" x14ac:dyDescent="0.2">
      <c r="A43" s="3">
        <v>37</v>
      </c>
      <c r="B43" s="4" t="s">
        <v>718</v>
      </c>
      <c r="C43" s="4" t="s">
        <v>719</v>
      </c>
      <c r="D43" s="4" t="s">
        <v>56</v>
      </c>
      <c r="E43" s="5">
        <v>403356</v>
      </c>
      <c r="F43" s="6">
        <v>2809.979574</v>
      </c>
      <c r="G43" s="7">
        <v>8.7521999999999999E-3</v>
      </c>
      <c r="H43" s="113"/>
    </row>
    <row r="44" spans="1:8" ht="17.100000000000001" customHeight="1" x14ac:dyDescent="0.2">
      <c r="A44" s="3">
        <v>38</v>
      </c>
      <c r="B44" s="4" t="s">
        <v>539</v>
      </c>
      <c r="C44" s="4" t="s">
        <v>540</v>
      </c>
      <c r="D44" s="4" t="s">
        <v>210</v>
      </c>
      <c r="E44" s="5">
        <v>639329</v>
      </c>
      <c r="F44" s="6">
        <v>2619.9702419999999</v>
      </c>
      <c r="G44" s="7">
        <v>8.1603800000000001E-3</v>
      </c>
      <c r="H44" s="113"/>
    </row>
    <row r="45" spans="1:8" ht="29.1" customHeight="1" x14ac:dyDescent="0.2">
      <c r="A45" s="3">
        <v>39</v>
      </c>
      <c r="B45" s="4" t="s">
        <v>499</v>
      </c>
      <c r="C45" s="4" t="s">
        <v>500</v>
      </c>
      <c r="D45" s="4" t="s">
        <v>501</v>
      </c>
      <c r="E45" s="5">
        <v>557508</v>
      </c>
      <c r="F45" s="6">
        <v>2532.758844</v>
      </c>
      <c r="G45" s="7">
        <v>7.8887499999999999E-3</v>
      </c>
      <c r="H45" s="113"/>
    </row>
    <row r="46" spans="1:8" ht="17.100000000000001" customHeight="1" x14ac:dyDescent="0.2">
      <c r="A46" s="3">
        <v>40</v>
      </c>
      <c r="B46" s="4" t="s">
        <v>403</v>
      </c>
      <c r="C46" s="4" t="s">
        <v>404</v>
      </c>
      <c r="D46" s="4" t="s">
        <v>267</v>
      </c>
      <c r="E46" s="5">
        <v>67145</v>
      </c>
      <c r="F46" s="6">
        <v>2341.8833100000002</v>
      </c>
      <c r="G46" s="7">
        <v>7.2942299999999996E-3</v>
      </c>
      <c r="H46" s="113"/>
    </row>
    <row r="47" spans="1:8" ht="17.100000000000001" customHeight="1" x14ac:dyDescent="0.2">
      <c r="A47" s="3">
        <v>41</v>
      </c>
      <c r="B47" s="4" t="s">
        <v>749</v>
      </c>
      <c r="C47" s="4" t="s">
        <v>750</v>
      </c>
      <c r="D47" s="4" t="s">
        <v>210</v>
      </c>
      <c r="E47" s="5">
        <v>139519</v>
      </c>
      <c r="F47" s="6">
        <v>2341.3380984999999</v>
      </c>
      <c r="G47" s="7">
        <v>7.2925300000000002E-3</v>
      </c>
      <c r="H47" s="113"/>
    </row>
    <row r="48" spans="1:8" ht="17.100000000000001" customHeight="1" x14ac:dyDescent="0.2">
      <c r="A48" s="3">
        <v>42</v>
      </c>
      <c r="B48" s="4" t="s">
        <v>537</v>
      </c>
      <c r="C48" s="4" t="s">
        <v>538</v>
      </c>
      <c r="D48" s="4" t="s">
        <v>267</v>
      </c>
      <c r="E48" s="5">
        <v>260880</v>
      </c>
      <c r="F48" s="6">
        <v>2260.7860799999999</v>
      </c>
      <c r="G48" s="7">
        <v>7.0416400000000001E-3</v>
      </c>
      <c r="H48" s="113"/>
    </row>
    <row r="49" spans="1:8" ht="29.1" customHeight="1" x14ac:dyDescent="0.2">
      <c r="A49" s="3">
        <v>43</v>
      </c>
      <c r="B49" s="4" t="s">
        <v>799</v>
      </c>
      <c r="C49" s="4" t="s">
        <v>800</v>
      </c>
      <c r="D49" s="4" t="s">
        <v>234</v>
      </c>
      <c r="E49" s="5">
        <v>152148</v>
      </c>
      <c r="F49" s="6">
        <v>2160.6537480000002</v>
      </c>
      <c r="G49" s="7">
        <v>6.7297600000000004E-3</v>
      </c>
      <c r="H49" s="113"/>
    </row>
    <row r="50" spans="1:8" ht="29.1" customHeight="1" x14ac:dyDescent="0.2">
      <c r="A50" s="3">
        <v>44</v>
      </c>
      <c r="B50" s="4" t="s">
        <v>211</v>
      </c>
      <c r="C50" s="4" t="s">
        <v>212</v>
      </c>
      <c r="D50" s="4" t="s">
        <v>53</v>
      </c>
      <c r="E50" s="5">
        <v>169140</v>
      </c>
      <c r="F50" s="6">
        <v>2130.8257199999998</v>
      </c>
      <c r="G50" s="7">
        <v>6.6368499999999997E-3</v>
      </c>
      <c r="H50" s="113"/>
    </row>
    <row r="51" spans="1:8" ht="17.100000000000001" customHeight="1" x14ac:dyDescent="0.2">
      <c r="A51" s="3">
        <v>45</v>
      </c>
      <c r="B51" s="4" t="s">
        <v>468</v>
      </c>
      <c r="C51" s="4" t="s">
        <v>469</v>
      </c>
      <c r="D51" s="4" t="s">
        <v>28</v>
      </c>
      <c r="E51" s="5">
        <v>507664</v>
      </c>
      <c r="F51" s="6">
        <v>2125.3353360000001</v>
      </c>
      <c r="G51" s="7">
        <v>6.6197499999999998E-3</v>
      </c>
      <c r="H51" s="113"/>
    </row>
    <row r="52" spans="1:8" ht="17.100000000000001" customHeight="1" x14ac:dyDescent="0.2">
      <c r="A52" s="3">
        <v>46</v>
      </c>
      <c r="B52" s="4" t="s">
        <v>712</v>
      </c>
      <c r="C52" s="4" t="s">
        <v>713</v>
      </c>
      <c r="D52" s="4" t="s">
        <v>892</v>
      </c>
      <c r="E52" s="5">
        <v>117350</v>
      </c>
      <c r="F52" s="6">
        <v>1384.906025</v>
      </c>
      <c r="G52" s="7">
        <v>4.3135500000000002E-3</v>
      </c>
      <c r="H52" s="113"/>
    </row>
    <row r="53" spans="1:8" ht="17.100000000000001" customHeight="1" x14ac:dyDescent="0.2">
      <c r="A53" s="3">
        <v>47</v>
      </c>
      <c r="B53" s="4" t="s">
        <v>484</v>
      </c>
      <c r="C53" s="4" t="s">
        <v>485</v>
      </c>
      <c r="D53" s="4" t="s">
        <v>28</v>
      </c>
      <c r="E53" s="5">
        <v>64839</v>
      </c>
      <c r="F53" s="6">
        <v>1237.192959</v>
      </c>
      <c r="G53" s="7">
        <v>3.8534699999999999E-3</v>
      </c>
      <c r="H53" s="113"/>
    </row>
    <row r="54" spans="1:8" ht="17.100000000000001" customHeight="1" x14ac:dyDescent="0.2">
      <c r="A54" s="3">
        <v>48</v>
      </c>
      <c r="B54" s="4" t="s">
        <v>556</v>
      </c>
      <c r="C54" s="4" t="s">
        <v>557</v>
      </c>
      <c r="D54" s="4" t="s">
        <v>891</v>
      </c>
      <c r="E54" s="5">
        <v>19152</v>
      </c>
      <c r="F54" s="6">
        <v>372.54470400000002</v>
      </c>
      <c r="G54" s="7">
        <v>1.16036E-3</v>
      </c>
      <c r="H54" s="113"/>
    </row>
    <row r="55" spans="1:8" ht="14.1" customHeight="1" x14ac:dyDescent="0.2">
      <c r="A55" s="1"/>
      <c r="B55" s="1"/>
      <c r="C55" s="2" t="s">
        <v>151</v>
      </c>
      <c r="D55" s="1"/>
      <c r="E55" s="1" t="s">
        <v>152</v>
      </c>
      <c r="F55" s="9">
        <v>304733.51608849998</v>
      </c>
      <c r="G55" s="10">
        <v>0.94914918000000004</v>
      </c>
      <c r="H55" s="113"/>
    </row>
    <row r="56" spans="1:8" ht="14.1" customHeight="1" x14ac:dyDescent="0.2">
      <c r="A56" s="1"/>
      <c r="B56" s="1"/>
      <c r="C56" s="11"/>
      <c r="D56" s="1"/>
      <c r="E56" s="1"/>
      <c r="F56" s="12"/>
      <c r="G56" s="12"/>
      <c r="H56" s="113"/>
    </row>
    <row r="57" spans="1:8" ht="14.1" customHeight="1" x14ac:dyDescent="0.2">
      <c r="A57" s="1"/>
      <c r="B57" s="1"/>
      <c r="C57" s="2" t="s">
        <v>153</v>
      </c>
      <c r="D57" s="1"/>
      <c r="E57" s="1"/>
      <c r="F57" s="1"/>
      <c r="G57" s="1"/>
      <c r="H57" s="113"/>
    </row>
    <row r="58" spans="1:8" ht="17.100000000000001" customHeight="1" x14ac:dyDescent="0.2">
      <c r="A58" s="3">
        <v>1</v>
      </c>
      <c r="B58" s="4" t="s">
        <v>842</v>
      </c>
      <c r="C58" s="40" t="s">
        <v>1181</v>
      </c>
      <c r="D58" s="4" t="s">
        <v>245</v>
      </c>
      <c r="E58" s="5">
        <v>37829</v>
      </c>
      <c r="F58" s="6">
        <v>1477.149996873</v>
      </c>
      <c r="G58" s="7">
        <v>4.60086E-3</v>
      </c>
      <c r="H58" s="113"/>
    </row>
    <row r="59" spans="1:8" ht="14.1" customHeight="1" x14ac:dyDescent="0.2">
      <c r="A59" s="1"/>
      <c r="B59" s="1"/>
      <c r="C59" s="2" t="s">
        <v>151</v>
      </c>
      <c r="D59" s="1"/>
      <c r="E59" s="1" t="s">
        <v>152</v>
      </c>
      <c r="F59" s="9">
        <v>1477.149996873</v>
      </c>
      <c r="G59" s="10">
        <v>4.60086E-3</v>
      </c>
      <c r="H59" s="113"/>
    </row>
    <row r="60" spans="1:8" ht="14.1" customHeight="1" x14ac:dyDescent="0.2">
      <c r="A60" s="1"/>
      <c r="B60" s="1"/>
      <c r="C60" s="11"/>
      <c r="D60" s="1"/>
      <c r="E60" s="1"/>
      <c r="F60" s="12"/>
      <c r="G60" s="12"/>
      <c r="H60" s="113"/>
    </row>
    <row r="61" spans="1:8" ht="14.1" customHeight="1" x14ac:dyDescent="0.2">
      <c r="A61" s="1"/>
      <c r="B61" s="1"/>
      <c r="C61" s="2" t="s">
        <v>155</v>
      </c>
      <c r="D61" s="1"/>
      <c r="E61" s="1"/>
      <c r="F61" s="1"/>
      <c r="G61" s="1"/>
      <c r="H61" s="113"/>
    </row>
    <row r="62" spans="1:8" ht="14.1" customHeight="1" x14ac:dyDescent="0.2">
      <c r="A62" s="1"/>
      <c r="B62" s="1"/>
      <c r="C62" s="2" t="s">
        <v>151</v>
      </c>
      <c r="D62" s="1"/>
      <c r="E62" s="1" t="s">
        <v>152</v>
      </c>
      <c r="F62" s="13" t="s">
        <v>154</v>
      </c>
      <c r="G62" s="10">
        <v>0</v>
      </c>
      <c r="H62" s="113"/>
    </row>
    <row r="63" spans="1:8" ht="14.1" customHeight="1" x14ac:dyDescent="0.2">
      <c r="A63" s="1"/>
      <c r="B63" s="1"/>
      <c r="C63" s="11"/>
      <c r="D63" s="1"/>
      <c r="E63" s="1"/>
      <c r="F63" s="12"/>
      <c r="G63" s="12"/>
      <c r="H63" s="113"/>
    </row>
    <row r="64" spans="1:8" ht="14.1" customHeight="1" x14ac:dyDescent="0.2">
      <c r="A64" s="1"/>
      <c r="B64" s="1"/>
      <c r="C64" s="2" t="s">
        <v>156</v>
      </c>
      <c r="D64" s="1"/>
      <c r="E64" s="1"/>
      <c r="F64" s="1"/>
      <c r="G64" s="1"/>
      <c r="H64" s="113"/>
    </row>
    <row r="65" spans="1:8" ht="14.1" customHeight="1" x14ac:dyDescent="0.2">
      <c r="A65" s="1"/>
      <c r="B65" s="1"/>
      <c r="C65" s="2" t="s">
        <v>151</v>
      </c>
      <c r="D65" s="1"/>
      <c r="E65" s="1" t="s">
        <v>152</v>
      </c>
      <c r="F65" s="13" t="s">
        <v>154</v>
      </c>
      <c r="G65" s="10">
        <v>0</v>
      </c>
      <c r="H65" s="113"/>
    </row>
    <row r="66" spans="1:8" ht="14.1" customHeight="1" x14ac:dyDescent="0.2">
      <c r="A66" s="1"/>
      <c r="B66" s="1"/>
      <c r="C66" s="11"/>
      <c r="D66" s="1"/>
      <c r="E66" s="1"/>
      <c r="F66" s="12"/>
      <c r="G66" s="12"/>
      <c r="H66" s="113"/>
    </row>
    <row r="67" spans="1:8" ht="14.1" customHeight="1" x14ac:dyDescent="0.2">
      <c r="A67" s="1"/>
      <c r="B67" s="1"/>
      <c r="C67" s="2" t="s">
        <v>157</v>
      </c>
      <c r="D67" s="1"/>
      <c r="E67" s="1"/>
      <c r="F67" s="12"/>
      <c r="G67" s="12"/>
      <c r="H67" s="113"/>
    </row>
    <row r="68" spans="1:8" ht="14.1" customHeight="1" x14ac:dyDescent="0.2">
      <c r="A68" s="1"/>
      <c r="B68" s="1"/>
      <c r="C68" s="2" t="s">
        <v>151</v>
      </c>
      <c r="D68" s="1"/>
      <c r="E68" s="1" t="s">
        <v>152</v>
      </c>
      <c r="F68" s="13" t="s">
        <v>154</v>
      </c>
      <c r="G68" s="10">
        <v>0</v>
      </c>
      <c r="H68" s="113"/>
    </row>
    <row r="69" spans="1:8" ht="14.1" customHeight="1" x14ac:dyDescent="0.2">
      <c r="A69" s="1"/>
      <c r="B69" s="1"/>
      <c r="C69" s="11"/>
      <c r="D69" s="1"/>
      <c r="E69" s="1"/>
      <c r="F69" s="12"/>
      <c r="G69" s="12"/>
      <c r="H69" s="113"/>
    </row>
    <row r="70" spans="1:8" ht="14.1" customHeight="1" x14ac:dyDescent="0.2">
      <c r="A70" s="1"/>
      <c r="B70" s="1"/>
      <c r="C70" s="2" t="s">
        <v>158</v>
      </c>
      <c r="D70" s="1"/>
      <c r="E70" s="1"/>
      <c r="F70" s="12"/>
      <c r="G70" s="12"/>
      <c r="H70" s="113"/>
    </row>
    <row r="71" spans="1:8" ht="14.1" customHeight="1" x14ac:dyDescent="0.2">
      <c r="A71" s="1"/>
      <c r="B71" s="1"/>
      <c r="C71" s="2" t="s">
        <v>151</v>
      </c>
      <c r="D71" s="1"/>
      <c r="E71" s="1" t="s">
        <v>152</v>
      </c>
      <c r="F71" s="13" t="s">
        <v>154</v>
      </c>
      <c r="G71" s="10">
        <v>0</v>
      </c>
      <c r="H71" s="113"/>
    </row>
    <row r="72" spans="1:8" ht="14.1" customHeight="1" x14ac:dyDescent="0.2">
      <c r="A72" s="1"/>
      <c r="B72" s="1"/>
      <c r="C72" s="11"/>
      <c r="D72" s="1"/>
      <c r="E72" s="1"/>
      <c r="F72" s="12"/>
      <c r="G72" s="12"/>
      <c r="H72" s="113"/>
    </row>
    <row r="73" spans="1:8" ht="18" customHeight="1" x14ac:dyDescent="0.2">
      <c r="A73" s="1"/>
      <c r="B73" s="1"/>
      <c r="C73" s="2" t="s">
        <v>159</v>
      </c>
      <c r="D73" s="1"/>
      <c r="E73" s="1"/>
      <c r="F73" s="9">
        <v>306210.66608537303</v>
      </c>
      <c r="G73" s="10">
        <v>0.95375003999999997</v>
      </c>
      <c r="H73" s="113"/>
    </row>
    <row r="74" spans="1:8" ht="14.1" customHeight="1" x14ac:dyDescent="0.2">
      <c r="A74" s="1"/>
      <c r="B74" s="1"/>
      <c r="C74" s="11"/>
      <c r="D74" s="1"/>
      <c r="E74" s="1"/>
      <c r="F74" s="12"/>
      <c r="G74" s="12"/>
      <c r="H74" s="113"/>
    </row>
    <row r="75" spans="1:8" ht="14.1" customHeight="1" x14ac:dyDescent="0.2">
      <c r="A75" s="1"/>
      <c r="B75" s="1"/>
      <c r="C75" s="2" t="s">
        <v>160</v>
      </c>
      <c r="D75" s="1"/>
      <c r="E75" s="1"/>
      <c r="F75" s="12"/>
      <c r="G75" s="12"/>
      <c r="H75" s="113"/>
    </row>
    <row r="76" spans="1:8" ht="24" customHeight="1" x14ac:dyDescent="0.2">
      <c r="A76" s="1"/>
      <c r="B76" s="1"/>
      <c r="C76" s="2" t="s">
        <v>10</v>
      </c>
      <c r="D76" s="1"/>
      <c r="E76" s="1"/>
      <c r="F76" s="12"/>
      <c r="G76" s="12"/>
      <c r="H76" s="113"/>
    </row>
    <row r="77" spans="1:8" ht="14.1" customHeight="1" x14ac:dyDescent="0.2">
      <c r="A77" s="1"/>
      <c r="B77" s="1"/>
      <c r="C77" s="2" t="s">
        <v>151</v>
      </c>
      <c r="D77" s="1"/>
      <c r="E77" s="1" t="s">
        <v>152</v>
      </c>
      <c r="F77" s="13" t="s">
        <v>154</v>
      </c>
      <c r="G77" s="10">
        <v>0</v>
      </c>
      <c r="H77" s="113"/>
    </row>
    <row r="78" spans="1:8" ht="14.1" customHeight="1" x14ac:dyDescent="0.2">
      <c r="A78" s="1"/>
      <c r="B78" s="1"/>
      <c r="C78" s="11"/>
      <c r="D78" s="1"/>
      <c r="E78" s="1"/>
      <c r="F78" s="12"/>
      <c r="G78" s="12"/>
      <c r="H78" s="113"/>
    </row>
    <row r="79" spans="1:8" ht="14.1" customHeight="1" x14ac:dyDescent="0.2">
      <c r="A79" s="1"/>
      <c r="B79" s="1"/>
      <c r="C79" s="2" t="s">
        <v>161</v>
      </c>
      <c r="D79" s="1"/>
      <c r="E79" s="1"/>
      <c r="F79" s="1"/>
      <c r="G79" s="1"/>
      <c r="H79" s="113"/>
    </row>
    <row r="80" spans="1:8" ht="14.1" customHeight="1" x14ac:dyDescent="0.2">
      <c r="A80" s="1"/>
      <c r="B80" s="1"/>
      <c r="C80" s="2" t="s">
        <v>151</v>
      </c>
      <c r="D80" s="1"/>
      <c r="E80" s="1" t="s">
        <v>152</v>
      </c>
      <c r="F80" s="13" t="s">
        <v>154</v>
      </c>
      <c r="G80" s="10">
        <v>0</v>
      </c>
      <c r="H80" s="113"/>
    </row>
    <row r="81" spans="1:8" ht="14.1" customHeight="1" x14ac:dyDescent="0.2">
      <c r="A81" s="1"/>
      <c r="B81" s="1"/>
      <c r="C81" s="11"/>
      <c r="D81" s="1"/>
      <c r="E81" s="1"/>
      <c r="F81" s="12"/>
      <c r="G81" s="12"/>
      <c r="H81" s="113"/>
    </row>
    <row r="82" spans="1:8" ht="14.1" customHeight="1" x14ac:dyDescent="0.2">
      <c r="A82" s="1"/>
      <c r="B82" s="1"/>
      <c r="C82" s="2" t="s">
        <v>162</v>
      </c>
      <c r="D82" s="1"/>
      <c r="E82" s="1"/>
      <c r="F82" s="1"/>
      <c r="G82" s="1"/>
      <c r="H82" s="113"/>
    </row>
    <row r="83" spans="1:8" ht="14.1" customHeight="1" x14ac:dyDescent="0.2">
      <c r="A83" s="1"/>
      <c r="B83" s="1"/>
      <c r="C83" s="2" t="s">
        <v>151</v>
      </c>
      <c r="D83" s="1"/>
      <c r="E83" s="1" t="s">
        <v>152</v>
      </c>
      <c r="F83" s="13" t="s">
        <v>154</v>
      </c>
      <c r="G83" s="10">
        <v>0</v>
      </c>
      <c r="H83" s="113"/>
    </row>
    <row r="84" spans="1:8" ht="14.1" customHeight="1" x14ac:dyDescent="0.2">
      <c r="A84" s="1"/>
      <c r="B84" s="1"/>
      <c r="C84" s="11"/>
      <c r="D84" s="1"/>
      <c r="E84" s="1"/>
      <c r="F84" s="12"/>
      <c r="G84" s="12"/>
      <c r="H84" s="113"/>
    </row>
    <row r="85" spans="1:8" ht="14.1" customHeight="1" x14ac:dyDescent="0.2">
      <c r="A85" s="1"/>
      <c r="B85" s="1"/>
      <c r="C85" s="2" t="s">
        <v>163</v>
      </c>
      <c r="D85" s="1"/>
      <c r="E85" s="1"/>
      <c r="F85" s="12"/>
      <c r="G85" s="12"/>
      <c r="H85" s="113"/>
    </row>
    <row r="86" spans="1:8" ht="14.1" customHeight="1" x14ac:dyDescent="0.2">
      <c r="A86" s="1"/>
      <c r="B86" s="1"/>
      <c r="C86" s="2" t="s">
        <v>151</v>
      </c>
      <c r="D86" s="1"/>
      <c r="E86" s="1" t="s">
        <v>152</v>
      </c>
      <c r="F86" s="13" t="s">
        <v>154</v>
      </c>
      <c r="G86" s="10">
        <v>0</v>
      </c>
      <c r="H86" s="113"/>
    </row>
    <row r="87" spans="1:8" ht="14.1" customHeight="1" x14ac:dyDescent="0.2">
      <c r="A87" s="1"/>
      <c r="B87" s="1"/>
      <c r="C87" s="11"/>
      <c r="D87" s="1"/>
      <c r="E87" s="1"/>
      <c r="F87" s="12"/>
      <c r="G87" s="12"/>
      <c r="H87" s="113"/>
    </row>
    <row r="88" spans="1:8" ht="14.1" customHeight="1" x14ac:dyDescent="0.2">
      <c r="A88" s="1"/>
      <c r="B88" s="1"/>
      <c r="C88" s="2" t="s">
        <v>164</v>
      </c>
      <c r="D88" s="1"/>
      <c r="E88" s="1"/>
      <c r="F88" s="9">
        <v>0</v>
      </c>
      <c r="G88" s="10">
        <v>0</v>
      </c>
      <c r="H88" s="113"/>
    </row>
    <row r="89" spans="1:8" ht="14.1" customHeight="1" x14ac:dyDescent="0.2">
      <c r="A89" s="1"/>
      <c r="B89" s="1"/>
      <c r="C89" s="11"/>
      <c r="D89" s="1"/>
      <c r="E89" s="1"/>
      <c r="F89" s="12"/>
      <c r="G89" s="12"/>
      <c r="H89" s="113"/>
    </row>
    <row r="90" spans="1:8" ht="14.1" customHeight="1" x14ac:dyDescent="0.2">
      <c r="A90" s="1"/>
      <c r="B90" s="1"/>
      <c r="C90" s="2" t="s">
        <v>165</v>
      </c>
      <c r="D90" s="1"/>
      <c r="E90" s="1"/>
      <c r="F90" s="12"/>
      <c r="G90" s="12"/>
      <c r="H90" s="113"/>
    </row>
    <row r="91" spans="1:8" ht="14.1" customHeight="1" x14ac:dyDescent="0.2">
      <c r="A91" s="1"/>
      <c r="B91" s="1"/>
      <c r="C91" s="2" t="s">
        <v>166</v>
      </c>
      <c r="D91" s="1"/>
      <c r="E91" s="1"/>
      <c r="F91" s="12"/>
      <c r="G91" s="12"/>
      <c r="H91" s="113"/>
    </row>
    <row r="92" spans="1:8" ht="14.1" customHeight="1" x14ac:dyDescent="0.2">
      <c r="A92" s="1"/>
      <c r="B92" s="1"/>
      <c r="C92" s="2" t="s">
        <v>151</v>
      </c>
      <c r="D92" s="1"/>
      <c r="E92" s="1" t="s">
        <v>152</v>
      </c>
      <c r="F92" s="13" t="s">
        <v>154</v>
      </c>
      <c r="G92" s="10">
        <v>0</v>
      </c>
      <c r="H92" s="113"/>
    </row>
    <row r="93" spans="1:8" ht="14.1" customHeight="1" x14ac:dyDescent="0.2">
      <c r="A93" s="1"/>
      <c r="B93" s="1"/>
      <c r="C93" s="11"/>
      <c r="D93" s="1"/>
      <c r="E93" s="1"/>
      <c r="F93" s="12"/>
      <c r="G93" s="12"/>
      <c r="H93" s="113"/>
    </row>
    <row r="94" spans="1:8" ht="14.1" customHeight="1" x14ac:dyDescent="0.2">
      <c r="A94" s="1"/>
      <c r="B94" s="1"/>
      <c r="C94" s="2" t="s">
        <v>167</v>
      </c>
      <c r="D94" s="1"/>
      <c r="E94" s="1"/>
      <c r="F94" s="12"/>
      <c r="G94" s="12"/>
      <c r="H94" s="113"/>
    </row>
    <row r="95" spans="1:8" ht="14.1" customHeight="1" x14ac:dyDescent="0.2">
      <c r="A95" s="1"/>
      <c r="B95" s="1"/>
      <c r="C95" s="2" t="s">
        <v>151</v>
      </c>
      <c r="D95" s="1"/>
      <c r="E95" s="1" t="s">
        <v>152</v>
      </c>
      <c r="F95" s="13" t="s">
        <v>154</v>
      </c>
      <c r="G95" s="10">
        <v>0</v>
      </c>
      <c r="H95" s="113"/>
    </row>
    <row r="96" spans="1:8" ht="14.1" customHeight="1" x14ac:dyDescent="0.2">
      <c r="A96" s="1"/>
      <c r="B96" s="1"/>
      <c r="C96" s="11"/>
      <c r="D96" s="1"/>
      <c r="E96" s="1"/>
      <c r="F96" s="12"/>
      <c r="G96" s="12"/>
      <c r="H96" s="113"/>
    </row>
    <row r="97" spans="1:8" ht="14.1" customHeight="1" x14ac:dyDescent="0.2">
      <c r="A97" s="1"/>
      <c r="B97" s="1"/>
      <c r="C97" s="2" t="s">
        <v>168</v>
      </c>
      <c r="D97" s="1"/>
      <c r="E97" s="1"/>
      <c r="F97" s="12"/>
      <c r="G97" s="12"/>
      <c r="H97" s="113"/>
    </row>
    <row r="98" spans="1:8" ht="17.100000000000001" customHeight="1" x14ac:dyDescent="0.2">
      <c r="A98" s="3">
        <v>1</v>
      </c>
      <c r="B98" s="4" t="s">
        <v>685</v>
      </c>
      <c r="C98" s="40" t="s">
        <v>1023</v>
      </c>
      <c r="D98" s="4" t="s">
        <v>644</v>
      </c>
      <c r="E98" s="5">
        <v>2000000</v>
      </c>
      <c r="F98" s="6">
        <v>1895.646</v>
      </c>
      <c r="G98" s="7">
        <v>5.9043400000000001E-3</v>
      </c>
      <c r="H98" s="113">
        <v>7.1</v>
      </c>
    </row>
    <row r="99" spans="1:8" ht="14.1" customHeight="1" x14ac:dyDescent="0.2">
      <c r="A99" s="1"/>
      <c r="B99" s="1"/>
      <c r="C99" s="2" t="s">
        <v>151</v>
      </c>
      <c r="D99" s="1"/>
      <c r="E99" s="1" t="s">
        <v>152</v>
      </c>
      <c r="F99" s="9">
        <v>1895.646</v>
      </c>
      <c r="G99" s="10">
        <v>5.9043400000000001E-3</v>
      </c>
      <c r="H99" s="113"/>
    </row>
    <row r="100" spans="1:8" ht="14.1" customHeight="1" x14ac:dyDescent="0.2">
      <c r="A100" s="1"/>
      <c r="B100" s="1"/>
      <c r="C100" s="11"/>
      <c r="D100" s="1"/>
      <c r="E100" s="1"/>
      <c r="F100" s="12"/>
      <c r="G100" s="12"/>
      <c r="H100" s="113"/>
    </row>
    <row r="101" spans="1:8" ht="14.1" customHeight="1" x14ac:dyDescent="0.2">
      <c r="A101" s="1"/>
      <c r="B101" s="1"/>
      <c r="C101" s="2" t="s">
        <v>169</v>
      </c>
      <c r="D101" s="1"/>
      <c r="E101" s="1"/>
      <c r="F101" s="12"/>
      <c r="G101" s="12"/>
      <c r="H101" s="113"/>
    </row>
    <row r="102" spans="1:8" ht="17.100000000000001" customHeight="1" x14ac:dyDescent="0.2">
      <c r="A102" s="3">
        <v>1</v>
      </c>
      <c r="B102" s="4"/>
      <c r="C102" s="4" t="s">
        <v>170</v>
      </c>
      <c r="D102" s="4"/>
      <c r="E102" s="8"/>
      <c r="F102" s="6">
        <v>14696.225237033999</v>
      </c>
      <c r="G102" s="7">
        <v>4.5774130000000003E-2</v>
      </c>
      <c r="H102" s="113">
        <v>6.7600000000000016</v>
      </c>
    </row>
    <row r="103" spans="1:8" ht="14.1" customHeight="1" x14ac:dyDescent="0.2">
      <c r="A103" s="1"/>
      <c r="B103" s="1"/>
      <c r="C103" s="2" t="s">
        <v>151</v>
      </c>
      <c r="D103" s="1"/>
      <c r="E103" s="1" t="s">
        <v>152</v>
      </c>
      <c r="F103" s="9">
        <v>14696.225237033999</v>
      </c>
      <c r="G103" s="10">
        <v>4.5774130000000003E-2</v>
      </c>
      <c r="H103" s="113"/>
    </row>
    <row r="104" spans="1:8" ht="14.1" customHeight="1" x14ac:dyDescent="0.2">
      <c r="A104" s="1"/>
      <c r="B104" s="1"/>
      <c r="C104" s="11"/>
      <c r="D104" s="1"/>
      <c r="E104" s="1"/>
      <c r="F104" s="12"/>
      <c r="G104" s="12"/>
      <c r="H104" s="113"/>
    </row>
    <row r="105" spans="1:8" ht="14.1" customHeight="1" x14ac:dyDescent="0.2">
      <c r="A105" s="1"/>
      <c r="B105" s="1"/>
      <c r="C105" s="2" t="s">
        <v>171</v>
      </c>
      <c r="D105" s="1"/>
      <c r="E105" s="1"/>
      <c r="F105" s="9">
        <v>16591.871237034</v>
      </c>
      <c r="G105" s="10">
        <v>5.1678469999999997E-2</v>
      </c>
      <c r="H105" s="113"/>
    </row>
    <row r="106" spans="1:8" ht="14.1" customHeight="1" x14ac:dyDescent="0.2">
      <c r="A106" s="1"/>
      <c r="B106" s="1"/>
      <c r="C106" s="12"/>
      <c r="D106" s="1"/>
      <c r="E106" s="1"/>
      <c r="F106" s="1"/>
      <c r="G106" s="1"/>
      <c r="H106" s="113"/>
    </row>
    <row r="107" spans="1:8" ht="14.1" customHeight="1" x14ac:dyDescent="0.2">
      <c r="A107" s="1"/>
      <c r="B107" s="1"/>
      <c r="C107" s="2" t="s">
        <v>172</v>
      </c>
      <c r="D107" s="1"/>
      <c r="E107" s="1"/>
      <c r="F107" s="1"/>
      <c r="G107" s="1"/>
      <c r="H107" s="113"/>
    </row>
    <row r="108" spans="1:8" ht="14.1" customHeight="1" x14ac:dyDescent="0.2">
      <c r="A108" s="1"/>
      <c r="B108" s="1"/>
      <c r="C108" s="2" t="s">
        <v>173</v>
      </c>
      <c r="D108" s="1"/>
      <c r="E108" s="1"/>
      <c r="F108" s="1"/>
      <c r="G108" s="1"/>
      <c r="H108" s="113"/>
    </row>
    <row r="109" spans="1:8" ht="14.1" customHeight="1" x14ac:dyDescent="0.2">
      <c r="A109" s="1"/>
      <c r="B109" s="1"/>
      <c r="C109" s="2" t="s">
        <v>151</v>
      </c>
      <c r="D109" s="1"/>
      <c r="E109" s="1" t="s">
        <v>152</v>
      </c>
      <c r="F109" s="13" t="s">
        <v>154</v>
      </c>
      <c r="G109" s="10">
        <v>0</v>
      </c>
      <c r="H109" s="113"/>
    </row>
    <row r="110" spans="1:8" ht="14.1" customHeight="1" x14ac:dyDescent="0.2">
      <c r="A110" s="1"/>
      <c r="B110" s="1"/>
      <c r="C110" s="11"/>
      <c r="D110" s="1"/>
      <c r="E110" s="1"/>
      <c r="F110" s="12"/>
      <c r="G110" s="12"/>
      <c r="H110" s="113"/>
    </row>
    <row r="111" spans="1:8" ht="14.1" customHeight="1" x14ac:dyDescent="0.2">
      <c r="A111" s="1"/>
      <c r="B111" s="1"/>
      <c r="C111" s="2" t="s">
        <v>174</v>
      </c>
      <c r="D111" s="1"/>
      <c r="E111" s="1"/>
      <c r="F111" s="1"/>
      <c r="G111" s="1"/>
      <c r="H111" s="113"/>
    </row>
    <row r="112" spans="1:8" ht="14.1" customHeight="1" x14ac:dyDescent="0.2">
      <c r="A112" s="1"/>
      <c r="B112" s="1"/>
      <c r="C112" s="2" t="s">
        <v>175</v>
      </c>
      <c r="D112" s="1"/>
      <c r="E112" s="1"/>
      <c r="F112" s="1"/>
      <c r="G112" s="1"/>
      <c r="H112" s="113"/>
    </row>
    <row r="113" spans="1:8" ht="14.1" customHeight="1" x14ac:dyDescent="0.2">
      <c r="A113" s="1"/>
      <c r="B113" s="1"/>
      <c r="C113" s="2" t="s">
        <v>151</v>
      </c>
      <c r="D113" s="1"/>
      <c r="E113" s="1" t="s">
        <v>152</v>
      </c>
      <c r="F113" s="13" t="s">
        <v>154</v>
      </c>
      <c r="G113" s="10">
        <v>0</v>
      </c>
      <c r="H113" s="113"/>
    </row>
    <row r="114" spans="1:8" ht="14.1" customHeight="1" x14ac:dyDescent="0.2">
      <c r="A114" s="1"/>
      <c r="B114" s="1"/>
      <c r="C114" s="11"/>
      <c r="D114" s="1"/>
      <c r="E114" s="1"/>
      <c r="F114" s="12"/>
      <c r="G114" s="12"/>
      <c r="H114" s="113"/>
    </row>
    <row r="115" spans="1:8" ht="24" customHeight="1" x14ac:dyDescent="0.2">
      <c r="A115" s="1"/>
      <c r="B115" s="1"/>
      <c r="C115" s="2" t="s">
        <v>176</v>
      </c>
      <c r="D115" s="1"/>
      <c r="E115" s="1"/>
      <c r="F115" s="12"/>
      <c r="G115" s="12"/>
      <c r="H115" s="113"/>
    </row>
    <row r="116" spans="1:8" ht="14.1" customHeight="1" x14ac:dyDescent="0.2">
      <c r="A116" s="1"/>
      <c r="B116" s="1"/>
      <c r="C116" s="2" t="s">
        <v>151</v>
      </c>
      <c r="D116" s="1"/>
      <c r="E116" s="1" t="s">
        <v>152</v>
      </c>
      <c r="F116" s="13" t="s">
        <v>154</v>
      </c>
      <c r="G116" s="10">
        <v>0</v>
      </c>
      <c r="H116" s="113"/>
    </row>
    <row r="117" spans="1:8" ht="14.1" customHeight="1" x14ac:dyDescent="0.2">
      <c r="A117" s="1"/>
      <c r="B117" s="1"/>
      <c r="C117" s="11"/>
      <c r="D117" s="1"/>
      <c r="E117" s="1"/>
      <c r="F117" s="12"/>
      <c r="G117" s="12"/>
      <c r="H117" s="113"/>
    </row>
    <row r="118" spans="1:8" ht="14.1" customHeight="1" x14ac:dyDescent="0.2">
      <c r="A118" s="1"/>
      <c r="B118" s="4"/>
      <c r="C118" s="4"/>
      <c r="D118" s="2"/>
      <c r="E118" s="1"/>
      <c r="F118" s="4"/>
      <c r="G118" s="8"/>
      <c r="H118" s="113"/>
    </row>
    <row r="119" spans="1:8" ht="18" customHeight="1" x14ac:dyDescent="0.2">
      <c r="A119" s="8"/>
      <c r="B119" s="4"/>
      <c r="C119" s="40" t="s">
        <v>982</v>
      </c>
      <c r="D119" s="4"/>
      <c r="E119" s="8"/>
      <c r="F119" s="6">
        <v>-1742.8775217899999</v>
      </c>
      <c r="G119" s="7">
        <v>-5.42852E-3</v>
      </c>
      <c r="H119" s="113"/>
    </row>
    <row r="120" spans="1:8" ht="14.1" customHeight="1" x14ac:dyDescent="0.2">
      <c r="A120" s="11"/>
      <c r="B120" s="11"/>
      <c r="C120" s="2" t="s">
        <v>178</v>
      </c>
      <c r="D120" s="12"/>
      <c r="E120" s="12"/>
      <c r="F120" s="9">
        <v>321059.65980061702</v>
      </c>
      <c r="G120" s="14">
        <v>0.99999998999999995</v>
      </c>
      <c r="H120" s="113"/>
    </row>
    <row r="121" spans="1:8" ht="14.1" customHeight="1" x14ac:dyDescent="0.2">
      <c r="A121" s="15"/>
      <c r="B121" s="15"/>
      <c r="C121" s="15"/>
      <c r="D121" s="16"/>
      <c r="E121" s="16"/>
      <c r="F121" s="16"/>
      <c r="G121" s="16"/>
    </row>
    <row r="122" spans="1:8" ht="17.100000000000001" customHeight="1" x14ac:dyDescent="0.2">
      <c r="A122" s="45"/>
      <c r="B122" s="217" t="s">
        <v>981</v>
      </c>
      <c r="C122" s="217"/>
      <c r="D122" s="217"/>
      <c r="E122" s="217"/>
      <c r="F122" s="217"/>
      <c r="G122" s="48"/>
    </row>
    <row r="123" spans="1:8" ht="14.1" customHeight="1" x14ac:dyDescent="0.2">
      <c r="A123" s="45"/>
      <c r="B123" s="238" t="s">
        <v>1025</v>
      </c>
      <c r="C123" s="238"/>
      <c r="D123" s="238"/>
      <c r="E123" s="238"/>
      <c r="F123" s="238"/>
      <c r="G123" s="48"/>
    </row>
    <row r="124" spans="1:8" ht="14.1" customHeight="1" x14ac:dyDescent="0.2">
      <c r="A124" s="17"/>
      <c r="B124" s="17"/>
      <c r="C124" s="17"/>
      <c r="D124" s="19"/>
      <c r="E124" s="19"/>
      <c r="F124" s="19"/>
      <c r="G124" s="19"/>
    </row>
    <row r="125" spans="1:8" ht="14.1" customHeight="1" x14ac:dyDescent="0.2">
      <c r="A125" s="17"/>
      <c r="B125" s="208" t="s">
        <v>180</v>
      </c>
      <c r="C125" s="209"/>
      <c r="D125" s="210"/>
      <c r="E125" s="20"/>
      <c r="F125" s="19"/>
      <c r="G125" s="19"/>
    </row>
    <row r="126" spans="1:8" ht="29.1" customHeight="1" x14ac:dyDescent="0.2">
      <c r="A126" s="17"/>
      <c r="B126" s="205" t="s">
        <v>181</v>
      </c>
      <c r="C126" s="206"/>
      <c r="D126" s="2" t="s">
        <v>182</v>
      </c>
      <c r="E126" s="20"/>
      <c r="F126" s="19"/>
      <c r="G126" s="19"/>
    </row>
    <row r="127" spans="1:8" ht="17.100000000000001" customHeight="1" x14ac:dyDescent="0.2">
      <c r="A127" s="17"/>
      <c r="B127" s="205" t="s">
        <v>183</v>
      </c>
      <c r="C127" s="206"/>
      <c r="D127" s="2" t="s">
        <v>182</v>
      </c>
      <c r="E127" s="20"/>
      <c r="F127" s="19"/>
      <c r="G127" s="19"/>
    </row>
    <row r="128" spans="1:8" ht="17.100000000000001" customHeight="1" x14ac:dyDescent="0.2">
      <c r="A128" s="17"/>
      <c r="B128" s="205" t="s">
        <v>184</v>
      </c>
      <c r="C128" s="206"/>
      <c r="D128" s="12" t="s">
        <v>152</v>
      </c>
      <c r="E128" s="20"/>
      <c r="F128" s="19"/>
      <c r="G128" s="19"/>
    </row>
    <row r="129" spans="1:7" ht="25.5" x14ac:dyDescent="0.2">
      <c r="A129" s="21"/>
      <c r="B129" s="22" t="s">
        <v>152</v>
      </c>
      <c r="C129" s="22" t="s">
        <v>185</v>
      </c>
      <c r="D129" s="22" t="s">
        <v>186</v>
      </c>
      <c r="E129" s="21"/>
      <c r="F129" s="21"/>
      <c r="G129" s="21"/>
    </row>
    <row r="130" spans="1:7" ht="18" customHeight="1" x14ac:dyDescent="0.2">
      <c r="A130" s="21"/>
      <c r="B130" s="23" t="s">
        <v>187</v>
      </c>
      <c r="C130" s="22" t="s">
        <v>188</v>
      </c>
      <c r="D130" s="22" t="s">
        <v>189</v>
      </c>
      <c r="E130" s="21"/>
      <c r="F130" s="21"/>
      <c r="G130" s="21"/>
    </row>
    <row r="131" spans="1:7" ht="17.100000000000001" customHeight="1" x14ac:dyDescent="0.2">
      <c r="A131" s="21"/>
      <c r="B131" s="4" t="s">
        <v>190</v>
      </c>
      <c r="C131" s="24">
        <v>28.094100000000001</v>
      </c>
      <c r="D131" s="24">
        <v>29.496700000000001</v>
      </c>
      <c r="E131" s="21"/>
      <c r="F131" s="18"/>
      <c r="G131" s="25"/>
    </row>
    <row r="132" spans="1:7" ht="17.100000000000001" customHeight="1" x14ac:dyDescent="0.2">
      <c r="A132" s="21"/>
      <c r="B132" s="4" t="s">
        <v>1033</v>
      </c>
      <c r="C132" s="24">
        <v>20.7834</v>
      </c>
      <c r="D132" s="24">
        <v>21.821000000000002</v>
      </c>
      <c r="E132" s="21"/>
      <c r="F132" s="18"/>
      <c r="G132" s="25"/>
    </row>
    <row r="133" spans="1:7" ht="17.100000000000001" customHeight="1" x14ac:dyDescent="0.2">
      <c r="A133" s="21"/>
      <c r="B133" s="4" t="s">
        <v>191</v>
      </c>
      <c r="C133" s="24">
        <v>26.446300000000001</v>
      </c>
      <c r="D133" s="24">
        <v>27.739799999999999</v>
      </c>
      <c r="E133" s="21"/>
      <c r="F133" s="18"/>
      <c r="G133" s="25"/>
    </row>
    <row r="134" spans="1:7" ht="17.100000000000001" customHeight="1" x14ac:dyDescent="0.2">
      <c r="A134" s="21"/>
      <c r="B134" s="4" t="s">
        <v>1034</v>
      </c>
      <c r="C134" s="24">
        <v>19.543700000000001</v>
      </c>
      <c r="D134" s="24">
        <v>20.499600000000001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205" t="s">
        <v>1035</v>
      </c>
      <c r="C136" s="206"/>
      <c r="D136" s="2" t="s">
        <v>182</v>
      </c>
      <c r="E136" s="21"/>
      <c r="F136" s="21"/>
      <c r="G136" s="21"/>
    </row>
    <row r="137" spans="1:7" ht="18" customHeight="1" x14ac:dyDescent="0.2">
      <c r="A137" s="21"/>
      <c r="B137" s="26"/>
      <c r="C137" s="26"/>
      <c r="D137" s="26"/>
      <c r="E137" s="21"/>
      <c r="F137" s="21"/>
      <c r="G137" s="21"/>
    </row>
    <row r="138" spans="1:7" ht="29.1" customHeight="1" x14ac:dyDescent="0.2">
      <c r="A138" s="21"/>
      <c r="B138" s="205" t="s">
        <v>192</v>
      </c>
      <c r="C138" s="206"/>
      <c r="D138" s="2" t="s">
        <v>182</v>
      </c>
      <c r="E138" s="27"/>
      <c r="F138" s="21"/>
      <c r="G138" s="21"/>
    </row>
    <row r="139" spans="1:7" ht="29.1" customHeight="1" x14ac:dyDescent="0.2">
      <c r="A139" s="21"/>
      <c r="B139" s="205" t="s">
        <v>193</v>
      </c>
      <c r="C139" s="206"/>
      <c r="D139" s="46" t="s">
        <v>984</v>
      </c>
      <c r="E139" s="27"/>
      <c r="F139" s="21"/>
      <c r="G139" s="21"/>
    </row>
    <row r="140" spans="1:7" ht="17.100000000000001" customHeight="1" x14ac:dyDescent="0.2">
      <c r="A140" s="21"/>
      <c r="B140" s="205" t="s">
        <v>194</v>
      </c>
      <c r="C140" s="206"/>
      <c r="D140" s="2" t="s">
        <v>182</v>
      </c>
      <c r="E140" s="27"/>
      <c r="F140" s="21"/>
      <c r="G140" s="21"/>
    </row>
    <row r="141" spans="1:7" ht="17.100000000000001" customHeight="1" x14ac:dyDescent="0.2">
      <c r="A141" s="21"/>
      <c r="B141" s="205" t="s">
        <v>195</v>
      </c>
      <c r="C141" s="206"/>
      <c r="D141" s="28">
        <v>0.39577268468094667</v>
      </c>
      <c r="E141" s="21"/>
      <c r="F141" s="18"/>
      <c r="G141" s="25"/>
    </row>
  </sheetData>
  <mergeCells count="15">
    <mergeCell ref="A1:H1"/>
    <mergeCell ref="A2:H2"/>
    <mergeCell ref="A3:H3"/>
    <mergeCell ref="B141:C141"/>
    <mergeCell ref="B127:C127"/>
    <mergeCell ref="B128:C128"/>
    <mergeCell ref="B136:C136"/>
    <mergeCell ref="B138:C138"/>
    <mergeCell ref="B139:C139"/>
    <mergeCell ref="B140:C140"/>
    <mergeCell ref="J2:N2"/>
    <mergeCell ref="B126:C126"/>
    <mergeCell ref="B123:F123"/>
    <mergeCell ref="B125:D125"/>
    <mergeCell ref="B122:F122"/>
  </mergeCells>
  <hyperlinks>
    <hyperlink ref="I1" location="Index!B25" display="Index" xr:uid="{AA5E939B-B856-42FE-9C45-0DDD6AE36F3A}"/>
  </hyperlinks>
  <pageMargins left="5.000000074505806E-2" right="5.000000074505806E-2" top="0.30000001192092896" bottom="0.20000000298023224" header="0" footer="0"/>
  <pageSetup paperSize="9"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11" t="s">
        <v>0</v>
      </c>
      <c r="B1" s="211"/>
      <c r="C1" s="211"/>
      <c r="D1" s="211"/>
      <c r="E1" s="211"/>
      <c r="F1" s="211"/>
      <c r="G1" s="211"/>
      <c r="H1" s="211"/>
      <c r="I1" s="192" t="s">
        <v>1142</v>
      </c>
    </row>
    <row r="2" spans="1:14" ht="17.100000000000001" customHeight="1" x14ac:dyDescent="0.2">
      <c r="A2" s="212" t="s">
        <v>843</v>
      </c>
      <c r="B2" s="213"/>
      <c r="C2" s="213"/>
      <c r="D2" s="213"/>
      <c r="E2" s="213"/>
      <c r="F2" s="213"/>
      <c r="G2" s="213"/>
      <c r="H2" s="214"/>
      <c r="J2" s="204" t="s">
        <v>1143</v>
      </c>
      <c r="K2" s="204"/>
      <c r="L2" s="204"/>
      <c r="M2" s="204"/>
      <c r="N2" s="204"/>
    </row>
    <row r="3" spans="1:14" ht="21" customHeight="1" x14ac:dyDescent="0.2">
      <c r="A3" s="211" t="s">
        <v>1043</v>
      </c>
      <c r="B3" s="211"/>
      <c r="C3" s="211"/>
      <c r="D3" s="211"/>
      <c r="E3" s="211"/>
      <c r="F3" s="211"/>
      <c r="G3" s="211"/>
      <c r="H3" s="211"/>
    </row>
    <row r="4" spans="1:14" s="115" customFormat="1" ht="30" x14ac:dyDescent="0.2">
      <c r="A4" s="114" t="s">
        <v>2</v>
      </c>
      <c r="B4" s="114" t="s">
        <v>3</v>
      </c>
      <c r="C4" s="114" t="s">
        <v>4</v>
      </c>
      <c r="D4" s="114" t="s">
        <v>5</v>
      </c>
      <c r="E4" s="114" t="s">
        <v>6</v>
      </c>
      <c r="F4" s="114" t="s">
        <v>7</v>
      </c>
      <c r="G4" s="114" t="s">
        <v>8</v>
      </c>
      <c r="H4" s="112" t="s">
        <v>1030</v>
      </c>
    </row>
    <row r="5" spans="1:14" ht="14.1" customHeight="1" x14ac:dyDescent="0.2">
      <c r="A5" s="1"/>
      <c r="B5" s="1"/>
      <c r="C5" s="2" t="s">
        <v>9</v>
      </c>
      <c r="D5" s="1"/>
      <c r="E5" s="1"/>
      <c r="F5" s="1"/>
      <c r="G5" s="1"/>
      <c r="H5" s="113"/>
    </row>
    <row r="6" spans="1:14" ht="24" customHeight="1" x14ac:dyDescent="0.2">
      <c r="A6" s="1"/>
      <c r="B6" s="1"/>
      <c r="C6" s="2" t="s">
        <v>10</v>
      </c>
      <c r="D6" s="1"/>
      <c r="E6" s="1"/>
      <c r="F6" s="1"/>
      <c r="G6" s="1"/>
      <c r="H6" s="113"/>
    </row>
    <row r="7" spans="1:14" ht="17.100000000000001" customHeight="1" x14ac:dyDescent="0.2">
      <c r="A7" s="3">
        <v>1</v>
      </c>
      <c r="B7" s="4" t="s">
        <v>321</v>
      </c>
      <c r="C7" s="4" t="s">
        <v>322</v>
      </c>
      <c r="D7" s="4" t="s">
        <v>28</v>
      </c>
      <c r="E7" s="5">
        <v>929000</v>
      </c>
      <c r="F7" s="6">
        <v>15878.932500000001</v>
      </c>
      <c r="G7" s="7">
        <v>9.5078850000000006E-2</v>
      </c>
      <c r="H7" s="113"/>
    </row>
    <row r="8" spans="1:14" ht="17.100000000000001" customHeight="1" x14ac:dyDescent="0.2">
      <c r="A8" s="3">
        <v>2</v>
      </c>
      <c r="B8" s="4" t="s">
        <v>17</v>
      </c>
      <c r="C8" s="4" t="s">
        <v>18</v>
      </c>
      <c r="D8" s="4" t="s">
        <v>19</v>
      </c>
      <c r="E8" s="5">
        <v>460000</v>
      </c>
      <c r="F8" s="6">
        <v>11890.77</v>
      </c>
      <c r="G8" s="7">
        <v>7.1198789999999998E-2</v>
      </c>
      <c r="H8" s="113"/>
    </row>
    <row r="9" spans="1:14" ht="17.100000000000001" customHeight="1" x14ac:dyDescent="0.2">
      <c r="A9" s="3">
        <v>3</v>
      </c>
      <c r="B9" s="4" t="s">
        <v>26</v>
      </c>
      <c r="C9" s="4" t="s">
        <v>27</v>
      </c>
      <c r="D9" s="4" t="s">
        <v>28</v>
      </c>
      <c r="E9" s="5">
        <v>1145000</v>
      </c>
      <c r="F9" s="6">
        <v>11411.07</v>
      </c>
      <c r="G9" s="7">
        <v>6.832647E-2</v>
      </c>
      <c r="H9" s="113"/>
    </row>
    <row r="10" spans="1:14" ht="17.100000000000001" customHeight="1" x14ac:dyDescent="0.2">
      <c r="A10" s="3">
        <v>4</v>
      </c>
      <c r="B10" s="4" t="s">
        <v>323</v>
      </c>
      <c r="C10" s="4" t="s">
        <v>324</v>
      </c>
      <c r="D10" s="4" t="s">
        <v>891</v>
      </c>
      <c r="E10" s="5">
        <v>512000</v>
      </c>
      <c r="F10" s="6">
        <v>7899.6480000000001</v>
      </c>
      <c r="G10" s="7">
        <v>4.7301009999999998E-2</v>
      </c>
      <c r="H10" s="113"/>
    </row>
    <row r="11" spans="1:14" ht="17.100000000000001" customHeight="1" x14ac:dyDescent="0.2">
      <c r="A11" s="3">
        <v>5</v>
      </c>
      <c r="B11" s="4" t="s">
        <v>11</v>
      </c>
      <c r="C11" s="4" t="s">
        <v>12</v>
      </c>
      <c r="D11" s="4" t="s">
        <v>13</v>
      </c>
      <c r="E11" s="5">
        <v>156446</v>
      </c>
      <c r="F11" s="6">
        <v>5516.2859600000002</v>
      </c>
      <c r="G11" s="7">
        <v>3.303006E-2</v>
      </c>
      <c r="H11" s="113"/>
    </row>
    <row r="12" spans="1:14" ht="17.100000000000001" customHeight="1" x14ac:dyDescent="0.2">
      <c r="A12" s="3">
        <v>6</v>
      </c>
      <c r="B12" s="4" t="s">
        <v>325</v>
      </c>
      <c r="C12" s="4" t="s">
        <v>326</v>
      </c>
      <c r="D12" s="4" t="s">
        <v>28</v>
      </c>
      <c r="E12" s="5">
        <v>483000</v>
      </c>
      <c r="F12" s="6">
        <v>5324.1090000000004</v>
      </c>
      <c r="G12" s="7">
        <v>3.1879360000000002E-2</v>
      </c>
      <c r="H12" s="113"/>
    </row>
    <row r="13" spans="1:14" ht="17.100000000000001" customHeight="1" x14ac:dyDescent="0.25">
      <c r="A13" s="3">
        <v>7</v>
      </c>
      <c r="B13" s="4" t="s">
        <v>62</v>
      </c>
      <c r="C13" s="4" t="s">
        <v>63</v>
      </c>
      <c r="D13" s="4" t="s">
        <v>28</v>
      </c>
      <c r="E13" s="5">
        <v>783000</v>
      </c>
      <c r="F13" s="6">
        <v>5027.2515000000003</v>
      </c>
      <c r="G13" s="7">
        <v>3.0101849999999999E-2</v>
      </c>
      <c r="H13" s="113"/>
      <c r="J13" s="202" t="s">
        <v>1170</v>
      </c>
    </row>
    <row r="14" spans="1:14" ht="29.1" customHeight="1" x14ac:dyDescent="0.2">
      <c r="A14" s="3">
        <v>8</v>
      </c>
      <c r="B14" s="4" t="s">
        <v>329</v>
      </c>
      <c r="C14" s="4" t="s">
        <v>330</v>
      </c>
      <c r="D14" s="4" t="s">
        <v>225</v>
      </c>
      <c r="E14" s="5">
        <v>388000</v>
      </c>
      <c r="F14" s="6">
        <v>4886.6660000000002</v>
      </c>
      <c r="G14" s="7">
        <v>2.9260069999999999E-2</v>
      </c>
      <c r="H14" s="113"/>
      <c r="J14" s="194"/>
    </row>
    <row r="15" spans="1:14" ht="17.100000000000001" customHeight="1" x14ac:dyDescent="0.2">
      <c r="A15" s="3">
        <v>9</v>
      </c>
      <c r="B15" s="4" t="s">
        <v>331</v>
      </c>
      <c r="C15" s="4" t="s">
        <v>332</v>
      </c>
      <c r="D15" s="4" t="s">
        <v>891</v>
      </c>
      <c r="E15" s="5">
        <v>114734</v>
      </c>
      <c r="F15" s="6">
        <v>4352.3195560000004</v>
      </c>
      <c r="G15" s="7">
        <v>2.606054E-2</v>
      </c>
      <c r="H15" s="113"/>
    </row>
    <row r="16" spans="1:14" ht="17.100000000000001" customHeight="1" x14ac:dyDescent="0.2">
      <c r="A16" s="3">
        <v>10</v>
      </c>
      <c r="B16" s="4" t="s">
        <v>57</v>
      </c>
      <c r="C16" s="4" t="s">
        <v>58</v>
      </c>
      <c r="D16" s="4" t="s">
        <v>34</v>
      </c>
      <c r="E16" s="5">
        <v>69000</v>
      </c>
      <c r="F16" s="6">
        <v>3784.5464999999999</v>
      </c>
      <c r="G16" s="7">
        <v>2.2660860000000001E-2</v>
      </c>
      <c r="H16" s="113"/>
    </row>
    <row r="17" spans="1:10" ht="17.100000000000001" customHeight="1" x14ac:dyDescent="0.2">
      <c r="A17" s="3">
        <v>11</v>
      </c>
      <c r="B17" s="4" t="s">
        <v>351</v>
      </c>
      <c r="C17" s="4" t="s">
        <v>352</v>
      </c>
      <c r="D17" s="4" t="s">
        <v>248</v>
      </c>
      <c r="E17" s="5">
        <v>457000</v>
      </c>
      <c r="F17" s="6">
        <v>3564.3715000000002</v>
      </c>
      <c r="G17" s="7">
        <v>2.134252E-2</v>
      </c>
      <c r="H17" s="113"/>
    </row>
    <row r="18" spans="1:10" ht="17.100000000000001" customHeight="1" x14ac:dyDescent="0.2">
      <c r="A18" s="3">
        <v>12</v>
      </c>
      <c r="B18" s="4" t="s">
        <v>516</v>
      </c>
      <c r="C18" s="4" t="s">
        <v>517</v>
      </c>
      <c r="D18" s="4" t="s">
        <v>267</v>
      </c>
      <c r="E18" s="5">
        <v>61000</v>
      </c>
      <c r="F18" s="6">
        <v>3489.0475000000001</v>
      </c>
      <c r="G18" s="7">
        <v>2.0891489999999999E-2</v>
      </c>
      <c r="H18" s="113"/>
    </row>
    <row r="19" spans="1:10" ht="29.1" customHeight="1" x14ac:dyDescent="0.2">
      <c r="A19" s="3">
        <v>13</v>
      </c>
      <c r="B19" s="4" t="s">
        <v>23</v>
      </c>
      <c r="C19" s="4" t="s">
        <v>24</v>
      </c>
      <c r="D19" s="4" t="s">
        <v>25</v>
      </c>
      <c r="E19" s="5">
        <v>31000</v>
      </c>
      <c r="F19" s="6">
        <v>3255.9454999999998</v>
      </c>
      <c r="G19" s="7">
        <v>1.9495740000000001E-2</v>
      </c>
      <c r="H19" s="113"/>
    </row>
    <row r="20" spans="1:10" ht="17.100000000000001" customHeight="1" x14ac:dyDescent="0.2">
      <c r="A20" s="3">
        <v>14</v>
      </c>
      <c r="B20" s="4" t="s">
        <v>79</v>
      </c>
      <c r="C20" s="4" t="s">
        <v>80</v>
      </c>
      <c r="D20" s="4" t="s">
        <v>46</v>
      </c>
      <c r="E20" s="5">
        <v>104000</v>
      </c>
      <c r="F20" s="6">
        <v>3085.7840000000001</v>
      </c>
      <c r="G20" s="7">
        <v>1.8476860000000001E-2</v>
      </c>
      <c r="H20" s="113"/>
    </row>
    <row r="21" spans="1:10" ht="17.100000000000001" customHeight="1" x14ac:dyDescent="0.2">
      <c r="A21" s="3">
        <v>15</v>
      </c>
      <c r="B21" s="4" t="s">
        <v>386</v>
      </c>
      <c r="C21" s="4" t="s">
        <v>387</v>
      </c>
      <c r="D21" s="4" t="s">
        <v>53</v>
      </c>
      <c r="E21" s="5">
        <v>176000</v>
      </c>
      <c r="F21" s="6">
        <v>2967.0079999999998</v>
      </c>
      <c r="G21" s="7">
        <v>1.7765659999999999E-2</v>
      </c>
      <c r="H21" s="113"/>
    </row>
    <row r="22" spans="1:10" ht="29.1" customHeight="1" x14ac:dyDescent="0.2">
      <c r="A22" s="3">
        <v>16</v>
      </c>
      <c r="B22" s="4" t="s">
        <v>211</v>
      </c>
      <c r="C22" s="4" t="s">
        <v>212</v>
      </c>
      <c r="D22" s="4" t="s">
        <v>53</v>
      </c>
      <c r="E22" s="5">
        <v>231000</v>
      </c>
      <c r="F22" s="6">
        <v>2910.1379999999999</v>
      </c>
      <c r="G22" s="7">
        <v>1.7425139999999999E-2</v>
      </c>
      <c r="H22" s="113"/>
    </row>
    <row r="23" spans="1:10" ht="17.100000000000001" customHeight="1" x14ac:dyDescent="0.2">
      <c r="A23" s="3">
        <v>17</v>
      </c>
      <c r="B23" s="4" t="s">
        <v>355</v>
      </c>
      <c r="C23" s="4" t="s">
        <v>356</v>
      </c>
      <c r="D23" s="4" t="s">
        <v>350</v>
      </c>
      <c r="E23" s="5">
        <v>103000</v>
      </c>
      <c r="F23" s="6">
        <v>2743.8685</v>
      </c>
      <c r="G23" s="7">
        <v>1.6429559999999999E-2</v>
      </c>
      <c r="H23" s="113"/>
      <c r="J23" s="194" t="s">
        <v>1171</v>
      </c>
    </row>
    <row r="24" spans="1:10" ht="17.100000000000001" customHeight="1" x14ac:dyDescent="0.2">
      <c r="A24" s="3">
        <v>18</v>
      </c>
      <c r="B24" s="4" t="s">
        <v>20</v>
      </c>
      <c r="C24" s="4" t="s">
        <v>21</v>
      </c>
      <c r="D24" s="4" t="s">
        <v>22</v>
      </c>
      <c r="E24" s="5">
        <v>251000</v>
      </c>
      <c r="F24" s="6">
        <v>2590.8220000000001</v>
      </c>
      <c r="G24" s="7">
        <v>1.551316E-2</v>
      </c>
      <c r="H24" s="113"/>
    </row>
    <row r="25" spans="1:10" ht="17.100000000000001" customHeight="1" x14ac:dyDescent="0.2">
      <c r="A25" s="3">
        <v>19</v>
      </c>
      <c r="B25" s="4" t="s">
        <v>243</v>
      </c>
      <c r="C25" s="4" t="s">
        <v>244</v>
      </c>
      <c r="D25" s="4" t="s">
        <v>245</v>
      </c>
      <c r="E25" s="5">
        <v>439000</v>
      </c>
      <c r="F25" s="6">
        <v>2480.5695000000001</v>
      </c>
      <c r="G25" s="7">
        <v>1.4853E-2</v>
      </c>
      <c r="H25" s="113"/>
    </row>
    <row r="26" spans="1:10" ht="17.100000000000001" customHeight="1" x14ac:dyDescent="0.2">
      <c r="A26" s="3">
        <v>20</v>
      </c>
      <c r="B26" s="4" t="s">
        <v>375</v>
      </c>
      <c r="C26" s="4" t="s">
        <v>376</v>
      </c>
      <c r="D26" s="4" t="s">
        <v>248</v>
      </c>
      <c r="E26" s="5">
        <v>24000</v>
      </c>
      <c r="F26" s="6">
        <v>2472.5639999999999</v>
      </c>
      <c r="G26" s="7">
        <v>1.480506E-2</v>
      </c>
      <c r="H26" s="113"/>
    </row>
    <row r="27" spans="1:10" ht="53.1" customHeight="1" x14ac:dyDescent="0.2">
      <c r="A27" s="3">
        <v>21</v>
      </c>
      <c r="B27" s="4" t="s">
        <v>100</v>
      </c>
      <c r="C27" s="4" t="s">
        <v>101</v>
      </c>
      <c r="D27" s="4" t="s">
        <v>102</v>
      </c>
      <c r="E27" s="5">
        <v>1350000</v>
      </c>
      <c r="F27" s="6">
        <v>2450.9250000000002</v>
      </c>
      <c r="G27" s="7">
        <v>1.4675489999999999E-2</v>
      </c>
      <c r="H27" s="113"/>
    </row>
    <row r="28" spans="1:10" ht="17.100000000000001" customHeight="1" x14ac:dyDescent="0.2">
      <c r="A28" s="3">
        <v>22</v>
      </c>
      <c r="B28" s="4" t="s">
        <v>359</v>
      </c>
      <c r="C28" s="4" t="s">
        <v>360</v>
      </c>
      <c r="D28" s="4" t="s">
        <v>56</v>
      </c>
      <c r="E28" s="5">
        <v>64000</v>
      </c>
      <c r="F28" s="6">
        <v>2352.288</v>
      </c>
      <c r="G28" s="7">
        <v>1.4084879999999999E-2</v>
      </c>
      <c r="H28" s="113"/>
    </row>
    <row r="29" spans="1:10" ht="17.100000000000001" customHeight="1" x14ac:dyDescent="0.2">
      <c r="A29" s="3">
        <v>23</v>
      </c>
      <c r="B29" s="4" t="s">
        <v>477</v>
      </c>
      <c r="C29" s="4" t="s">
        <v>478</v>
      </c>
      <c r="D29" s="4" t="s">
        <v>28</v>
      </c>
      <c r="E29" s="5">
        <v>1000000</v>
      </c>
      <c r="F29" s="6">
        <v>2311</v>
      </c>
      <c r="G29" s="7">
        <v>1.383766E-2</v>
      </c>
      <c r="H29" s="113"/>
    </row>
    <row r="30" spans="1:10" ht="29.1" customHeight="1" x14ac:dyDescent="0.2">
      <c r="A30" s="3">
        <v>24</v>
      </c>
      <c r="B30" s="4" t="s">
        <v>228</v>
      </c>
      <c r="C30" s="4" t="s">
        <v>229</v>
      </c>
      <c r="D30" s="4" t="s">
        <v>225</v>
      </c>
      <c r="E30" s="5">
        <v>44000</v>
      </c>
      <c r="F30" s="6">
        <v>2289.1439999999998</v>
      </c>
      <c r="G30" s="7">
        <v>1.370679E-2</v>
      </c>
      <c r="H30" s="113"/>
    </row>
    <row r="31" spans="1:10" ht="17.100000000000001" customHeight="1" x14ac:dyDescent="0.2">
      <c r="A31" s="3">
        <v>25</v>
      </c>
      <c r="B31" s="4" t="s">
        <v>47</v>
      </c>
      <c r="C31" s="4" t="s">
        <v>48</v>
      </c>
      <c r="D31" s="4" t="s">
        <v>34</v>
      </c>
      <c r="E31" s="5">
        <v>98000</v>
      </c>
      <c r="F31" s="6">
        <v>2282.518</v>
      </c>
      <c r="G31" s="7">
        <v>1.366712E-2</v>
      </c>
      <c r="H31" s="113"/>
    </row>
    <row r="32" spans="1:10" ht="17.100000000000001" customHeight="1" x14ac:dyDescent="0.2">
      <c r="A32" s="3">
        <v>26</v>
      </c>
      <c r="B32" s="4" t="s">
        <v>232</v>
      </c>
      <c r="C32" s="4" t="s">
        <v>233</v>
      </c>
      <c r="D32" s="4" t="s">
        <v>234</v>
      </c>
      <c r="E32" s="5">
        <v>238000</v>
      </c>
      <c r="F32" s="6">
        <v>2271.2339999999999</v>
      </c>
      <c r="G32" s="7">
        <v>1.359955E-2</v>
      </c>
      <c r="H32" s="113"/>
    </row>
    <row r="33" spans="1:8" ht="17.100000000000001" customHeight="1" x14ac:dyDescent="0.2">
      <c r="A33" s="3">
        <v>27</v>
      </c>
      <c r="B33" s="4" t="s">
        <v>293</v>
      </c>
      <c r="C33" s="4" t="s">
        <v>294</v>
      </c>
      <c r="D33" s="4" t="s">
        <v>295</v>
      </c>
      <c r="E33" s="5">
        <v>121000</v>
      </c>
      <c r="F33" s="6">
        <v>2160.0315000000001</v>
      </c>
      <c r="G33" s="7">
        <v>1.2933699999999999E-2</v>
      </c>
      <c r="H33" s="113"/>
    </row>
    <row r="34" spans="1:8" ht="29.1" customHeight="1" x14ac:dyDescent="0.2">
      <c r="A34" s="3">
        <v>28</v>
      </c>
      <c r="B34" s="4" t="s">
        <v>486</v>
      </c>
      <c r="C34" s="4" t="s">
        <v>487</v>
      </c>
      <c r="D34" s="4" t="s">
        <v>225</v>
      </c>
      <c r="E34" s="5">
        <v>171000</v>
      </c>
      <c r="F34" s="6">
        <v>2131.1729999999998</v>
      </c>
      <c r="G34" s="7">
        <v>1.27609E-2</v>
      </c>
      <c r="H34" s="113"/>
    </row>
    <row r="35" spans="1:8" ht="17.100000000000001" customHeight="1" x14ac:dyDescent="0.2">
      <c r="A35" s="3">
        <v>29</v>
      </c>
      <c r="B35" s="4" t="s">
        <v>373</v>
      </c>
      <c r="C35" s="4" t="s">
        <v>374</v>
      </c>
      <c r="D35" s="4" t="s">
        <v>207</v>
      </c>
      <c r="E35" s="5">
        <v>52000</v>
      </c>
      <c r="F35" s="6">
        <v>2122.9780000000001</v>
      </c>
      <c r="G35" s="7">
        <v>1.271183E-2</v>
      </c>
      <c r="H35" s="113"/>
    </row>
    <row r="36" spans="1:8" ht="17.100000000000001" customHeight="1" x14ac:dyDescent="0.2">
      <c r="A36" s="3">
        <v>30</v>
      </c>
      <c r="B36" s="4" t="s">
        <v>327</v>
      </c>
      <c r="C36" s="4" t="s">
        <v>328</v>
      </c>
      <c r="D36" s="4" t="s">
        <v>295</v>
      </c>
      <c r="E36" s="5">
        <v>161000</v>
      </c>
      <c r="F36" s="6">
        <v>1991.4090000000001</v>
      </c>
      <c r="G36" s="7">
        <v>1.192403E-2</v>
      </c>
      <c r="H36" s="113"/>
    </row>
    <row r="37" spans="1:8" ht="17.100000000000001" customHeight="1" x14ac:dyDescent="0.2">
      <c r="A37" s="3">
        <v>31</v>
      </c>
      <c r="B37" s="4" t="s">
        <v>258</v>
      </c>
      <c r="C37" s="4" t="s">
        <v>259</v>
      </c>
      <c r="D37" s="4" t="s">
        <v>207</v>
      </c>
      <c r="E37" s="5">
        <v>37000</v>
      </c>
      <c r="F37" s="6">
        <v>1901.8554999999999</v>
      </c>
      <c r="G37" s="7">
        <v>1.138781E-2</v>
      </c>
      <c r="H37" s="113"/>
    </row>
    <row r="38" spans="1:8" ht="17.100000000000001" customHeight="1" x14ac:dyDescent="0.2">
      <c r="A38" s="3">
        <v>32</v>
      </c>
      <c r="B38" s="4" t="s">
        <v>346</v>
      </c>
      <c r="C38" s="4" t="s">
        <v>347</v>
      </c>
      <c r="D38" s="4" t="s">
        <v>891</v>
      </c>
      <c r="E38" s="5">
        <v>30000</v>
      </c>
      <c r="F38" s="6">
        <v>1888.4849999999999</v>
      </c>
      <c r="G38" s="7">
        <v>1.130775E-2</v>
      </c>
      <c r="H38" s="113"/>
    </row>
    <row r="39" spans="1:8" ht="17.100000000000001" customHeight="1" x14ac:dyDescent="0.2">
      <c r="A39" s="3">
        <v>33</v>
      </c>
      <c r="B39" s="4" t="s">
        <v>197</v>
      </c>
      <c r="C39" s="4" t="s">
        <v>198</v>
      </c>
      <c r="D39" s="4" t="s">
        <v>28</v>
      </c>
      <c r="E39" s="5">
        <v>1130470</v>
      </c>
      <c r="F39" s="6">
        <v>1765.2289049999999</v>
      </c>
      <c r="G39" s="7">
        <v>1.0569719999999999E-2</v>
      </c>
      <c r="H39" s="113"/>
    </row>
    <row r="40" spans="1:8" ht="29.1" customHeight="1" x14ac:dyDescent="0.2">
      <c r="A40" s="3">
        <v>34</v>
      </c>
      <c r="B40" s="4" t="s">
        <v>481</v>
      </c>
      <c r="C40" s="4" t="s">
        <v>482</v>
      </c>
      <c r="D40" s="4" t="s">
        <v>483</v>
      </c>
      <c r="E40" s="5">
        <v>162000</v>
      </c>
      <c r="F40" s="6">
        <v>1760.616</v>
      </c>
      <c r="G40" s="7">
        <v>1.05421E-2</v>
      </c>
      <c r="H40" s="113"/>
    </row>
    <row r="41" spans="1:8" ht="17.100000000000001" customHeight="1" x14ac:dyDescent="0.2">
      <c r="A41" s="3">
        <v>35</v>
      </c>
      <c r="B41" s="4" t="s">
        <v>820</v>
      </c>
      <c r="C41" s="4" t="s">
        <v>821</v>
      </c>
      <c r="D41" s="4" t="s">
        <v>56</v>
      </c>
      <c r="E41" s="5">
        <v>96000</v>
      </c>
      <c r="F41" s="6">
        <v>1585.3440000000001</v>
      </c>
      <c r="G41" s="7">
        <v>9.4926200000000002E-3</v>
      </c>
      <c r="H41" s="113"/>
    </row>
    <row r="42" spans="1:8" ht="29.1" customHeight="1" x14ac:dyDescent="0.2">
      <c r="A42" s="3">
        <v>36</v>
      </c>
      <c r="B42" s="4" t="s">
        <v>727</v>
      </c>
      <c r="C42" s="4" t="s">
        <v>728</v>
      </c>
      <c r="D42" s="4" t="s">
        <v>222</v>
      </c>
      <c r="E42" s="5">
        <v>100000</v>
      </c>
      <c r="F42" s="6">
        <v>1549.1</v>
      </c>
      <c r="G42" s="7">
        <v>9.2756000000000002E-3</v>
      </c>
      <c r="H42" s="113"/>
    </row>
    <row r="43" spans="1:8" ht="17.100000000000001" customHeight="1" x14ac:dyDescent="0.2">
      <c r="A43" s="3">
        <v>37</v>
      </c>
      <c r="B43" s="4" t="s">
        <v>340</v>
      </c>
      <c r="C43" s="4" t="s">
        <v>341</v>
      </c>
      <c r="D43" s="4" t="s">
        <v>28</v>
      </c>
      <c r="E43" s="5">
        <v>333000</v>
      </c>
      <c r="F43" s="6">
        <v>1456.875</v>
      </c>
      <c r="G43" s="7">
        <v>8.7233799999999993E-3</v>
      </c>
      <c r="H43" s="113"/>
    </row>
    <row r="44" spans="1:8" ht="17.100000000000001" customHeight="1" x14ac:dyDescent="0.2">
      <c r="A44" s="3">
        <v>38</v>
      </c>
      <c r="B44" s="4" t="s">
        <v>97</v>
      </c>
      <c r="C44" s="4" t="s">
        <v>98</v>
      </c>
      <c r="D44" s="4" t="s">
        <v>99</v>
      </c>
      <c r="E44" s="5">
        <v>194000</v>
      </c>
      <c r="F44" s="6">
        <v>1451.3140000000001</v>
      </c>
      <c r="G44" s="7">
        <v>8.6900899999999993E-3</v>
      </c>
      <c r="H44" s="113"/>
    </row>
    <row r="45" spans="1:8" ht="17.100000000000001" customHeight="1" x14ac:dyDescent="0.2">
      <c r="A45" s="3">
        <v>39</v>
      </c>
      <c r="B45" s="4" t="s">
        <v>39</v>
      </c>
      <c r="C45" s="4" t="s">
        <v>40</v>
      </c>
      <c r="D45" s="4" t="s">
        <v>41</v>
      </c>
      <c r="E45" s="5">
        <v>31000</v>
      </c>
      <c r="F45" s="6">
        <v>1449.2035000000001</v>
      </c>
      <c r="G45" s="7">
        <v>8.6774499999999997E-3</v>
      </c>
      <c r="H45" s="113"/>
    </row>
    <row r="46" spans="1:8" ht="17.100000000000001" customHeight="1" x14ac:dyDescent="0.2">
      <c r="A46" s="3">
        <v>40</v>
      </c>
      <c r="B46" s="4" t="s">
        <v>239</v>
      </c>
      <c r="C46" s="4" t="s">
        <v>240</v>
      </c>
      <c r="D46" s="4" t="s">
        <v>891</v>
      </c>
      <c r="E46" s="5">
        <v>23000</v>
      </c>
      <c r="F46" s="6">
        <v>1443.1120000000001</v>
      </c>
      <c r="G46" s="7">
        <v>8.6409699999999996E-3</v>
      </c>
      <c r="H46" s="113"/>
    </row>
    <row r="47" spans="1:8" ht="17.100000000000001" customHeight="1" x14ac:dyDescent="0.2">
      <c r="A47" s="3">
        <v>41</v>
      </c>
      <c r="B47" s="4" t="s">
        <v>577</v>
      </c>
      <c r="C47" s="4" t="s">
        <v>578</v>
      </c>
      <c r="D47" s="4" t="s">
        <v>891</v>
      </c>
      <c r="E47" s="5">
        <v>113000</v>
      </c>
      <c r="F47" s="6">
        <v>1438.0944999999999</v>
      </c>
      <c r="G47" s="7">
        <v>8.6109299999999993E-3</v>
      </c>
      <c r="H47" s="113"/>
    </row>
    <row r="48" spans="1:8" ht="17.100000000000001" customHeight="1" x14ac:dyDescent="0.2">
      <c r="A48" s="3">
        <v>42</v>
      </c>
      <c r="B48" s="4" t="s">
        <v>335</v>
      </c>
      <c r="C48" s="4" t="s">
        <v>336</v>
      </c>
      <c r="D48" s="4" t="s">
        <v>28</v>
      </c>
      <c r="E48" s="5">
        <v>84000</v>
      </c>
      <c r="F48" s="6">
        <v>1343.1179999999999</v>
      </c>
      <c r="G48" s="7">
        <v>8.0422400000000008E-3</v>
      </c>
      <c r="H48" s="113"/>
    </row>
    <row r="49" spans="1:8" ht="17.100000000000001" customHeight="1" x14ac:dyDescent="0.2">
      <c r="A49" s="3">
        <v>43</v>
      </c>
      <c r="B49" s="4" t="s">
        <v>705</v>
      </c>
      <c r="C49" s="4" t="s">
        <v>706</v>
      </c>
      <c r="D49" s="4" t="s">
        <v>56</v>
      </c>
      <c r="E49" s="5">
        <v>138229</v>
      </c>
      <c r="F49" s="6">
        <v>1309.02863</v>
      </c>
      <c r="G49" s="7">
        <v>7.8381200000000005E-3</v>
      </c>
      <c r="H49" s="113"/>
    </row>
    <row r="50" spans="1:8" ht="17.100000000000001" customHeight="1" x14ac:dyDescent="0.2">
      <c r="A50" s="3">
        <v>44</v>
      </c>
      <c r="B50" s="4" t="s">
        <v>556</v>
      </c>
      <c r="C50" s="4" t="s">
        <v>557</v>
      </c>
      <c r="D50" s="4" t="s">
        <v>891</v>
      </c>
      <c r="E50" s="5">
        <v>64884</v>
      </c>
      <c r="F50" s="6">
        <v>1262.123568</v>
      </c>
      <c r="G50" s="7">
        <v>7.5572599999999997E-3</v>
      </c>
      <c r="H50" s="113"/>
    </row>
    <row r="51" spans="1:8" ht="17.100000000000001" customHeight="1" x14ac:dyDescent="0.2">
      <c r="A51" s="3">
        <v>45</v>
      </c>
      <c r="B51" s="4" t="s">
        <v>707</v>
      </c>
      <c r="C51" s="4" t="s">
        <v>708</v>
      </c>
      <c r="D51" s="4" t="s">
        <v>262</v>
      </c>
      <c r="E51" s="5">
        <v>22000</v>
      </c>
      <c r="F51" s="6">
        <v>1174.4590000000001</v>
      </c>
      <c r="G51" s="7">
        <v>7.0323499999999997E-3</v>
      </c>
      <c r="H51" s="113"/>
    </row>
    <row r="52" spans="1:8" ht="17.100000000000001" customHeight="1" x14ac:dyDescent="0.2">
      <c r="A52" s="3">
        <v>46</v>
      </c>
      <c r="B52" s="4" t="s">
        <v>363</v>
      </c>
      <c r="C52" s="4" t="s">
        <v>364</v>
      </c>
      <c r="D52" s="4" t="s">
        <v>207</v>
      </c>
      <c r="E52" s="5">
        <v>663000</v>
      </c>
      <c r="F52" s="6">
        <v>1153.2885000000001</v>
      </c>
      <c r="G52" s="7">
        <v>6.9055899999999996E-3</v>
      </c>
      <c r="H52" s="113"/>
    </row>
    <row r="53" spans="1:8" ht="17.100000000000001" customHeight="1" x14ac:dyDescent="0.2">
      <c r="A53" s="3">
        <v>47</v>
      </c>
      <c r="B53" s="4" t="s">
        <v>826</v>
      </c>
      <c r="C53" s="4" t="s">
        <v>827</v>
      </c>
      <c r="D53" s="4" t="s">
        <v>262</v>
      </c>
      <c r="E53" s="5">
        <v>67000</v>
      </c>
      <c r="F53" s="6">
        <v>1126.337</v>
      </c>
      <c r="G53" s="7">
        <v>6.7442099999999996E-3</v>
      </c>
      <c r="H53" s="113"/>
    </row>
    <row r="54" spans="1:8" ht="17.100000000000001" customHeight="1" x14ac:dyDescent="0.2">
      <c r="A54" s="3">
        <v>48</v>
      </c>
      <c r="B54" s="4" t="s">
        <v>348</v>
      </c>
      <c r="C54" s="4" t="s">
        <v>349</v>
      </c>
      <c r="D54" s="4" t="s">
        <v>350</v>
      </c>
      <c r="E54" s="5">
        <v>240000</v>
      </c>
      <c r="F54" s="6">
        <v>1109.04</v>
      </c>
      <c r="G54" s="7">
        <v>6.6406399999999997E-3</v>
      </c>
      <c r="H54" s="113"/>
    </row>
    <row r="55" spans="1:8" ht="17.100000000000001" customHeight="1" x14ac:dyDescent="0.2">
      <c r="A55" s="3">
        <v>49</v>
      </c>
      <c r="B55" s="4" t="s">
        <v>559</v>
      </c>
      <c r="C55" s="4" t="s">
        <v>560</v>
      </c>
      <c r="D55" s="4" t="s">
        <v>295</v>
      </c>
      <c r="E55" s="5">
        <v>96000</v>
      </c>
      <c r="F55" s="6">
        <v>1073.04</v>
      </c>
      <c r="G55" s="7">
        <v>6.4250799999999997E-3</v>
      </c>
      <c r="H55" s="113"/>
    </row>
    <row r="56" spans="1:8" ht="17.100000000000001" customHeight="1" x14ac:dyDescent="0.2">
      <c r="A56" s="3">
        <v>50</v>
      </c>
      <c r="B56" s="4" t="s">
        <v>716</v>
      </c>
      <c r="C56" s="4" t="s">
        <v>717</v>
      </c>
      <c r="D56" s="4" t="s">
        <v>53</v>
      </c>
      <c r="E56" s="5">
        <v>460000</v>
      </c>
      <c r="F56" s="6">
        <v>1071.57</v>
      </c>
      <c r="G56" s="7">
        <v>6.4162799999999999E-3</v>
      </c>
      <c r="H56" s="113"/>
    </row>
    <row r="57" spans="1:8" ht="17.100000000000001" customHeight="1" x14ac:dyDescent="0.2">
      <c r="A57" s="3">
        <v>51</v>
      </c>
      <c r="B57" s="4" t="s">
        <v>741</v>
      </c>
      <c r="C57" s="4" t="s">
        <v>742</v>
      </c>
      <c r="D57" s="4" t="s">
        <v>262</v>
      </c>
      <c r="E57" s="5">
        <v>4000</v>
      </c>
      <c r="F57" s="6">
        <v>1063.212</v>
      </c>
      <c r="G57" s="7">
        <v>6.3662299999999996E-3</v>
      </c>
      <c r="H57" s="113"/>
    </row>
    <row r="58" spans="1:8" ht="17.100000000000001" customHeight="1" x14ac:dyDescent="0.2">
      <c r="A58" s="3">
        <v>52</v>
      </c>
      <c r="B58" s="4" t="s">
        <v>571</v>
      </c>
      <c r="C58" s="4" t="s">
        <v>572</v>
      </c>
      <c r="D58" s="4" t="s">
        <v>56</v>
      </c>
      <c r="E58" s="5">
        <v>29000</v>
      </c>
      <c r="F58" s="6">
        <v>986.69600000000003</v>
      </c>
      <c r="G58" s="7">
        <v>5.9080799999999996E-3</v>
      </c>
      <c r="H58" s="113"/>
    </row>
    <row r="59" spans="1:8" ht="17.100000000000001" customHeight="1" x14ac:dyDescent="0.2">
      <c r="A59" s="3">
        <v>53</v>
      </c>
      <c r="B59" s="4" t="s">
        <v>342</v>
      </c>
      <c r="C59" s="4" t="s">
        <v>343</v>
      </c>
      <c r="D59" s="4" t="s">
        <v>267</v>
      </c>
      <c r="E59" s="5">
        <v>29719</v>
      </c>
      <c r="F59" s="6">
        <v>950.96342149999998</v>
      </c>
      <c r="G59" s="7">
        <v>5.6941200000000004E-3</v>
      </c>
      <c r="H59" s="113"/>
    </row>
    <row r="60" spans="1:8" ht="17.100000000000001" customHeight="1" x14ac:dyDescent="0.2">
      <c r="A60" s="3">
        <v>54</v>
      </c>
      <c r="B60" s="4" t="s">
        <v>255</v>
      </c>
      <c r="C60" s="4" t="s">
        <v>256</v>
      </c>
      <c r="D60" s="4" t="s">
        <v>257</v>
      </c>
      <c r="E60" s="5">
        <v>300000</v>
      </c>
      <c r="F60" s="6">
        <v>824.1</v>
      </c>
      <c r="G60" s="7">
        <v>4.9344899999999997E-3</v>
      </c>
      <c r="H60" s="113"/>
    </row>
    <row r="61" spans="1:8" ht="17.100000000000001" customHeight="1" x14ac:dyDescent="0.2">
      <c r="A61" s="3">
        <v>55</v>
      </c>
      <c r="B61" s="4" t="s">
        <v>484</v>
      </c>
      <c r="C61" s="4" t="s">
        <v>485</v>
      </c>
      <c r="D61" s="4" t="s">
        <v>28</v>
      </c>
      <c r="E61" s="5">
        <v>42000</v>
      </c>
      <c r="F61" s="6">
        <v>801.40200000000004</v>
      </c>
      <c r="G61" s="7">
        <v>4.7985800000000002E-3</v>
      </c>
      <c r="H61" s="113"/>
    </row>
    <row r="62" spans="1:8" ht="17.100000000000001" customHeight="1" x14ac:dyDescent="0.2">
      <c r="A62" s="3">
        <v>56</v>
      </c>
      <c r="B62" s="4" t="s">
        <v>91</v>
      </c>
      <c r="C62" s="4" t="s">
        <v>92</v>
      </c>
      <c r="D62" s="4" t="s">
        <v>73</v>
      </c>
      <c r="E62" s="5">
        <v>55000</v>
      </c>
      <c r="F62" s="6">
        <v>793.84249999999997</v>
      </c>
      <c r="G62" s="7">
        <v>4.7533200000000001E-3</v>
      </c>
      <c r="H62" s="113"/>
    </row>
    <row r="63" spans="1:8" ht="17.100000000000001" customHeight="1" x14ac:dyDescent="0.2">
      <c r="A63" s="3">
        <v>57</v>
      </c>
      <c r="B63" s="4" t="s">
        <v>417</v>
      </c>
      <c r="C63" s="4" t="s">
        <v>418</v>
      </c>
      <c r="D63" s="4" t="s">
        <v>53</v>
      </c>
      <c r="E63" s="5">
        <v>100000</v>
      </c>
      <c r="F63" s="6">
        <v>777.65</v>
      </c>
      <c r="G63" s="7">
        <v>4.65636E-3</v>
      </c>
      <c r="H63" s="113"/>
    </row>
    <row r="64" spans="1:8" ht="29.1" customHeight="1" x14ac:dyDescent="0.2">
      <c r="A64" s="3">
        <v>58</v>
      </c>
      <c r="B64" s="4" t="s">
        <v>220</v>
      </c>
      <c r="C64" s="4" t="s">
        <v>221</v>
      </c>
      <c r="D64" s="4" t="s">
        <v>222</v>
      </c>
      <c r="E64" s="5">
        <v>20000</v>
      </c>
      <c r="F64" s="6">
        <v>770.64</v>
      </c>
      <c r="G64" s="7">
        <v>4.6143900000000003E-3</v>
      </c>
      <c r="H64" s="113"/>
    </row>
    <row r="65" spans="1:8" ht="29.1" customHeight="1" x14ac:dyDescent="0.2">
      <c r="A65" s="3">
        <v>59</v>
      </c>
      <c r="B65" s="4" t="s">
        <v>77</v>
      </c>
      <c r="C65" s="4" t="s">
        <v>78</v>
      </c>
      <c r="D65" s="4" t="s">
        <v>25</v>
      </c>
      <c r="E65" s="5">
        <v>32737</v>
      </c>
      <c r="F65" s="6">
        <v>744.832224</v>
      </c>
      <c r="G65" s="7">
        <v>4.4598600000000004E-3</v>
      </c>
      <c r="H65" s="113"/>
    </row>
    <row r="66" spans="1:8" ht="17.100000000000001" customHeight="1" x14ac:dyDescent="0.2">
      <c r="A66" s="3">
        <v>60</v>
      </c>
      <c r="B66" s="4" t="s">
        <v>419</v>
      </c>
      <c r="C66" s="4" t="s">
        <v>420</v>
      </c>
      <c r="D66" s="4" t="s">
        <v>245</v>
      </c>
      <c r="E66" s="5">
        <v>46000</v>
      </c>
      <c r="F66" s="6">
        <v>653.70600000000002</v>
      </c>
      <c r="G66" s="7">
        <v>3.9142200000000004E-3</v>
      </c>
      <c r="H66" s="113"/>
    </row>
    <row r="67" spans="1:8" ht="17.100000000000001" customHeight="1" x14ac:dyDescent="0.2">
      <c r="A67" s="3">
        <v>61</v>
      </c>
      <c r="B67" s="4" t="s">
        <v>105</v>
      </c>
      <c r="C67" s="4" t="s">
        <v>106</v>
      </c>
      <c r="D67" s="4" t="s">
        <v>107</v>
      </c>
      <c r="E67" s="5">
        <v>18000</v>
      </c>
      <c r="F67" s="6">
        <v>576.54</v>
      </c>
      <c r="G67" s="7">
        <v>3.4521700000000001E-3</v>
      </c>
      <c r="H67" s="113"/>
    </row>
    <row r="68" spans="1:8" ht="29.1" customHeight="1" x14ac:dyDescent="0.2">
      <c r="A68" s="3">
        <v>62</v>
      </c>
      <c r="B68" s="4" t="s">
        <v>371</v>
      </c>
      <c r="C68" s="4" t="s">
        <v>372</v>
      </c>
      <c r="D68" s="4" t="s">
        <v>225</v>
      </c>
      <c r="E68" s="5">
        <v>40000</v>
      </c>
      <c r="F68" s="6">
        <v>433.6</v>
      </c>
      <c r="G68" s="7">
        <v>2.5962799999999999E-3</v>
      </c>
      <c r="H68" s="113"/>
    </row>
    <row r="69" spans="1:8" ht="17.100000000000001" customHeight="1" x14ac:dyDescent="0.2">
      <c r="A69" s="3">
        <v>63</v>
      </c>
      <c r="B69" s="4" t="s">
        <v>367</v>
      </c>
      <c r="C69" s="4" t="s">
        <v>368</v>
      </c>
      <c r="D69" s="4" t="s">
        <v>99</v>
      </c>
      <c r="E69" s="5">
        <v>300000</v>
      </c>
      <c r="F69" s="6">
        <v>418.8</v>
      </c>
      <c r="G69" s="7">
        <v>2.5076600000000001E-3</v>
      </c>
      <c r="H69" s="113"/>
    </row>
    <row r="70" spans="1:8" ht="29.1" customHeight="1" x14ac:dyDescent="0.2">
      <c r="A70" s="3">
        <v>64</v>
      </c>
      <c r="B70" s="4" t="s">
        <v>508</v>
      </c>
      <c r="C70" s="4" t="s">
        <v>509</v>
      </c>
      <c r="D70" s="4" t="s">
        <v>225</v>
      </c>
      <c r="E70" s="5">
        <v>43972</v>
      </c>
      <c r="F70" s="6">
        <v>317.82961599999999</v>
      </c>
      <c r="G70" s="7">
        <v>1.9030799999999999E-3</v>
      </c>
      <c r="H70" s="113"/>
    </row>
    <row r="71" spans="1:8" ht="17.100000000000001" customHeight="1" x14ac:dyDescent="0.2">
      <c r="A71" s="3">
        <v>65</v>
      </c>
      <c r="B71" s="4" t="s">
        <v>731</v>
      </c>
      <c r="C71" s="4" t="s">
        <v>732</v>
      </c>
      <c r="D71" s="4" t="s">
        <v>53</v>
      </c>
      <c r="E71" s="5">
        <v>49718</v>
      </c>
      <c r="F71" s="6">
        <v>103.711748</v>
      </c>
      <c r="G71" s="7">
        <v>6.2100000000000002E-4</v>
      </c>
      <c r="H71" s="113"/>
    </row>
    <row r="72" spans="1:8" ht="14.1" customHeight="1" x14ac:dyDescent="0.2">
      <c r="A72" s="1"/>
      <c r="B72" s="1"/>
      <c r="C72" s="2" t="s">
        <v>151</v>
      </c>
      <c r="D72" s="1"/>
      <c r="E72" s="1" t="s">
        <v>152</v>
      </c>
      <c r="F72" s="9">
        <v>166423.17662849999</v>
      </c>
      <c r="G72" s="10">
        <v>0.99649803000000003</v>
      </c>
      <c r="H72" s="113"/>
    </row>
    <row r="73" spans="1:8" ht="14.1" customHeight="1" x14ac:dyDescent="0.2">
      <c r="A73" s="1"/>
      <c r="B73" s="1"/>
      <c r="C73" s="11"/>
      <c r="D73" s="1"/>
      <c r="E73" s="1"/>
      <c r="F73" s="12"/>
      <c r="G73" s="12"/>
      <c r="H73" s="113"/>
    </row>
    <row r="74" spans="1:8" ht="14.1" customHeight="1" x14ac:dyDescent="0.2">
      <c r="A74" s="1"/>
      <c r="B74" s="1"/>
      <c r="C74" s="2" t="s">
        <v>153</v>
      </c>
      <c r="D74" s="1"/>
      <c r="E74" s="1"/>
      <c r="F74" s="1"/>
      <c r="G74" s="1"/>
      <c r="H74" s="113"/>
    </row>
    <row r="75" spans="1:8" ht="14.1" customHeight="1" x14ac:dyDescent="0.2">
      <c r="A75" s="1"/>
      <c r="B75" s="1"/>
      <c r="C75" s="2" t="s">
        <v>151</v>
      </c>
      <c r="D75" s="1"/>
      <c r="E75" s="1" t="s">
        <v>152</v>
      </c>
      <c r="F75" s="13" t="s">
        <v>154</v>
      </c>
      <c r="G75" s="10">
        <v>0</v>
      </c>
      <c r="H75" s="113"/>
    </row>
    <row r="76" spans="1:8" ht="14.1" customHeight="1" x14ac:dyDescent="0.2">
      <c r="A76" s="1"/>
      <c r="B76" s="1"/>
      <c r="C76" s="11"/>
      <c r="D76" s="1"/>
      <c r="E76" s="1"/>
      <c r="F76" s="12"/>
      <c r="G76" s="12"/>
      <c r="H76" s="113"/>
    </row>
    <row r="77" spans="1:8" ht="14.1" customHeight="1" x14ac:dyDescent="0.2">
      <c r="A77" s="1"/>
      <c r="B77" s="1"/>
      <c r="C77" s="2" t="s">
        <v>155</v>
      </c>
      <c r="D77" s="1"/>
      <c r="E77" s="1"/>
      <c r="F77" s="1"/>
      <c r="G77" s="1"/>
      <c r="H77" s="113"/>
    </row>
    <row r="78" spans="1:8" ht="14.1" customHeight="1" x14ac:dyDescent="0.2">
      <c r="A78" s="1"/>
      <c r="B78" s="1"/>
      <c r="C78" s="2" t="s">
        <v>151</v>
      </c>
      <c r="D78" s="1"/>
      <c r="E78" s="1" t="s">
        <v>152</v>
      </c>
      <c r="F78" s="13" t="s">
        <v>154</v>
      </c>
      <c r="G78" s="10">
        <v>0</v>
      </c>
      <c r="H78" s="113"/>
    </row>
    <row r="79" spans="1:8" ht="14.1" customHeight="1" x14ac:dyDescent="0.2">
      <c r="A79" s="1"/>
      <c r="B79" s="1"/>
      <c r="C79" s="11"/>
      <c r="D79" s="1"/>
      <c r="E79" s="1"/>
      <c r="F79" s="12"/>
      <c r="G79" s="12"/>
      <c r="H79" s="113"/>
    </row>
    <row r="80" spans="1:8" ht="14.1" customHeight="1" x14ac:dyDescent="0.2">
      <c r="A80" s="1"/>
      <c r="B80" s="1"/>
      <c r="C80" s="2" t="s">
        <v>156</v>
      </c>
      <c r="D80" s="1"/>
      <c r="E80" s="1"/>
      <c r="F80" s="1"/>
      <c r="G80" s="1"/>
      <c r="H80" s="113"/>
    </row>
    <row r="81" spans="1:8" ht="14.1" customHeight="1" x14ac:dyDescent="0.2">
      <c r="A81" s="1"/>
      <c r="B81" s="1"/>
      <c r="C81" s="2" t="s">
        <v>151</v>
      </c>
      <c r="D81" s="1"/>
      <c r="E81" s="1" t="s">
        <v>152</v>
      </c>
      <c r="F81" s="13" t="s">
        <v>154</v>
      </c>
      <c r="G81" s="10">
        <v>0</v>
      </c>
      <c r="H81" s="113"/>
    </row>
    <row r="82" spans="1:8" ht="14.1" customHeight="1" x14ac:dyDescent="0.2">
      <c r="A82" s="1"/>
      <c r="B82" s="1"/>
      <c r="C82" s="11"/>
      <c r="D82" s="1"/>
      <c r="E82" s="1"/>
      <c r="F82" s="12"/>
      <c r="G82" s="12"/>
      <c r="H82" s="113"/>
    </row>
    <row r="83" spans="1:8" ht="14.1" customHeight="1" x14ac:dyDescent="0.2">
      <c r="A83" s="1"/>
      <c r="B83" s="1"/>
      <c r="C83" s="2" t="s">
        <v>157</v>
      </c>
      <c r="D83" s="1"/>
      <c r="E83" s="1"/>
      <c r="F83" s="12"/>
      <c r="G83" s="12"/>
      <c r="H83" s="113"/>
    </row>
    <row r="84" spans="1:8" ht="14.1" customHeight="1" x14ac:dyDescent="0.2">
      <c r="A84" s="1"/>
      <c r="B84" s="1"/>
      <c r="C84" s="2" t="s">
        <v>151</v>
      </c>
      <c r="D84" s="1"/>
      <c r="E84" s="1" t="s">
        <v>152</v>
      </c>
      <c r="F84" s="13" t="s">
        <v>154</v>
      </c>
      <c r="G84" s="10">
        <v>0</v>
      </c>
      <c r="H84" s="113"/>
    </row>
    <row r="85" spans="1:8" ht="14.1" customHeight="1" x14ac:dyDescent="0.2">
      <c r="A85" s="1"/>
      <c r="B85" s="1"/>
      <c r="C85" s="11"/>
      <c r="D85" s="1"/>
      <c r="E85" s="1"/>
      <c r="F85" s="12"/>
      <c r="G85" s="12"/>
      <c r="H85" s="113"/>
    </row>
    <row r="86" spans="1:8" ht="14.1" customHeight="1" x14ac:dyDescent="0.2">
      <c r="A86" s="1"/>
      <c r="B86" s="1"/>
      <c r="C86" s="2" t="s">
        <v>158</v>
      </c>
      <c r="D86" s="1"/>
      <c r="E86" s="1"/>
      <c r="F86" s="12"/>
      <c r="G86" s="12"/>
      <c r="H86" s="113"/>
    </row>
    <row r="87" spans="1:8" ht="14.1" customHeight="1" x14ac:dyDescent="0.2">
      <c r="A87" s="1"/>
      <c r="B87" s="1"/>
      <c r="C87" s="2" t="s">
        <v>151</v>
      </c>
      <c r="D87" s="1"/>
      <c r="E87" s="1" t="s">
        <v>152</v>
      </c>
      <c r="F87" s="13" t="s">
        <v>154</v>
      </c>
      <c r="G87" s="10">
        <v>0</v>
      </c>
      <c r="H87" s="113"/>
    </row>
    <row r="88" spans="1:8" ht="14.1" customHeight="1" x14ac:dyDescent="0.2">
      <c r="A88" s="1"/>
      <c r="B88" s="1"/>
      <c r="C88" s="11"/>
      <c r="D88" s="1"/>
      <c r="E88" s="1"/>
      <c r="F88" s="12"/>
      <c r="G88" s="12"/>
      <c r="H88" s="113"/>
    </row>
    <row r="89" spans="1:8" ht="18" customHeight="1" x14ac:dyDescent="0.2">
      <c r="A89" s="1"/>
      <c r="B89" s="1"/>
      <c r="C89" s="2" t="s">
        <v>159</v>
      </c>
      <c r="D89" s="1"/>
      <c r="E89" s="1"/>
      <c r="F89" s="9">
        <v>166423.17662849999</v>
      </c>
      <c r="G89" s="10">
        <v>0.99649803000000003</v>
      </c>
      <c r="H89" s="113"/>
    </row>
    <row r="90" spans="1:8" ht="14.1" customHeight="1" x14ac:dyDescent="0.2">
      <c r="A90" s="1"/>
      <c r="B90" s="1"/>
      <c r="C90" s="11"/>
      <c r="D90" s="1"/>
      <c r="E90" s="1"/>
      <c r="F90" s="12"/>
      <c r="G90" s="12"/>
      <c r="H90" s="113"/>
    </row>
    <row r="91" spans="1:8" ht="14.1" customHeight="1" x14ac:dyDescent="0.2">
      <c r="A91" s="1"/>
      <c r="B91" s="1"/>
      <c r="C91" s="2" t="s">
        <v>160</v>
      </c>
      <c r="D91" s="1"/>
      <c r="E91" s="1"/>
      <c r="F91" s="12"/>
      <c r="G91" s="12"/>
      <c r="H91" s="113"/>
    </row>
    <row r="92" spans="1:8" ht="24" customHeight="1" x14ac:dyDescent="0.2">
      <c r="A92" s="1"/>
      <c r="B92" s="1"/>
      <c r="C92" s="2" t="s">
        <v>10</v>
      </c>
      <c r="D92" s="1"/>
      <c r="E92" s="1"/>
      <c r="F92" s="12"/>
      <c r="G92" s="12"/>
      <c r="H92" s="113"/>
    </row>
    <row r="93" spans="1:8" ht="14.1" customHeight="1" x14ac:dyDescent="0.2">
      <c r="A93" s="1"/>
      <c r="B93" s="1"/>
      <c r="C93" s="2" t="s">
        <v>151</v>
      </c>
      <c r="D93" s="1"/>
      <c r="E93" s="1" t="s">
        <v>152</v>
      </c>
      <c r="F93" s="13" t="s">
        <v>154</v>
      </c>
      <c r="G93" s="10">
        <v>0</v>
      </c>
      <c r="H93" s="113"/>
    </row>
    <row r="94" spans="1:8" ht="14.1" customHeight="1" x14ac:dyDescent="0.2">
      <c r="A94" s="1"/>
      <c r="B94" s="1"/>
      <c r="C94" s="11"/>
      <c r="D94" s="1"/>
      <c r="E94" s="1"/>
      <c r="F94" s="12"/>
      <c r="G94" s="12"/>
      <c r="H94" s="113"/>
    </row>
    <row r="95" spans="1:8" ht="14.1" customHeight="1" x14ac:dyDescent="0.2">
      <c r="A95" s="1"/>
      <c r="B95" s="1"/>
      <c r="C95" s="2" t="s">
        <v>161</v>
      </c>
      <c r="D95" s="1"/>
      <c r="E95" s="1"/>
      <c r="F95" s="1"/>
      <c r="G95" s="1"/>
      <c r="H95" s="113"/>
    </row>
    <row r="96" spans="1:8" ht="14.1" customHeight="1" x14ac:dyDescent="0.2">
      <c r="A96" s="1"/>
      <c r="B96" s="1"/>
      <c r="C96" s="2" t="s">
        <v>151</v>
      </c>
      <c r="D96" s="1"/>
      <c r="E96" s="1" t="s">
        <v>152</v>
      </c>
      <c r="F96" s="13" t="s">
        <v>154</v>
      </c>
      <c r="G96" s="10">
        <v>0</v>
      </c>
      <c r="H96" s="113"/>
    </row>
    <row r="97" spans="1:8" ht="14.1" customHeight="1" x14ac:dyDescent="0.2">
      <c r="A97" s="1"/>
      <c r="B97" s="1"/>
      <c r="C97" s="11"/>
      <c r="D97" s="1"/>
      <c r="E97" s="1"/>
      <c r="F97" s="12"/>
      <c r="G97" s="12"/>
      <c r="H97" s="113"/>
    </row>
    <row r="98" spans="1:8" ht="14.1" customHeight="1" x14ac:dyDescent="0.2">
      <c r="A98" s="1"/>
      <c r="B98" s="1"/>
      <c r="C98" s="2" t="s">
        <v>162</v>
      </c>
      <c r="D98" s="1"/>
      <c r="E98" s="1"/>
      <c r="F98" s="1"/>
      <c r="G98" s="1"/>
      <c r="H98" s="113"/>
    </row>
    <row r="99" spans="1:8" ht="14.1" customHeight="1" x14ac:dyDescent="0.2">
      <c r="A99" s="1"/>
      <c r="B99" s="1"/>
      <c r="C99" s="2" t="s">
        <v>151</v>
      </c>
      <c r="D99" s="1"/>
      <c r="E99" s="1" t="s">
        <v>152</v>
      </c>
      <c r="F99" s="13" t="s">
        <v>154</v>
      </c>
      <c r="G99" s="10">
        <v>0</v>
      </c>
      <c r="H99" s="113"/>
    </row>
    <row r="100" spans="1:8" ht="14.1" customHeight="1" x14ac:dyDescent="0.2">
      <c r="A100" s="1"/>
      <c r="B100" s="1"/>
      <c r="C100" s="11"/>
      <c r="D100" s="1"/>
      <c r="E100" s="1"/>
      <c r="F100" s="12"/>
      <c r="G100" s="12"/>
      <c r="H100" s="113"/>
    </row>
    <row r="101" spans="1:8" ht="14.1" customHeight="1" x14ac:dyDescent="0.2">
      <c r="A101" s="1"/>
      <c r="B101" s="1"/>
      <c r="C101" s="2" t="s">
        <v>163</v>
      </c>
      <c r="D101" s="1"/>
      <c r="E101" s="1"/>
      <c r="F101" s="12"/>
      <c r="G101" s="12"/>
      <c r="H101" s="113"/>
    </row>
    <row r="102" spans="1:8" ht="14.1" customHeight="1" x14ac:dyDescent="0.2">
      <c r="A102" s="1"/>
      <c r="B102" s="1"/>
      <c r="C102" s="2" t="s">
        <v>151</v>
      </c>
      <c r="D102" s="1"/>
      <c r="E102" s="1" t="s">
        <v>152</v>
      </c>
      <c r="F102" s="13" t="s">
        <v>154</v>
      </c>
      <c r="G102" s="10">
        <v>0</v>
      </c>
      <c r="H102" s="113"/>
    </row>
    <row r="103" spans="1:8" ht="14.1" customHeight="1" x14ac:dyDescent="0.2">
      <c r="A103" s="1"/>
      <c r="B103" s="1"/>
      <c r="C103" s="11"/>
      <c r="D103" s="1"/>
      <c r="E103" s="1"/>
      <c r="F103" s="12"/>
      <c r="G103" s="12"/>
      <c r="H103" s="113"/>
    </row>
    <row r="104" spans="1:8" ht="14.1" customHeight="1" x14ac:dyDescent="0.2">
      <c r="A104" s="1"/>
      <c r="B104" s="1"/>
      <c r="C104" s="2" t="s">
        <v>164</v>
      </c>
      <c r="D104" s="1"/>
      <c r="E104" s="1"/>
      <c r="F104" s="9">
        <v>0</v>
      </c>
      <c r="G104" s="10">
        <v>0</v>
      </c>
      <c r="H104" s="113"/>
    </row>
    <row r="105" spans="1:8" ht="14.1" customHeight="1" x14ac:dyDescent="0.2">
      <c r="A105" s="1"/>
      <c r="B105" s="1"/>
      <c r="C105" s="11"/>
      <c r="D105" s="1"/>
      <c r="E105" s="1"/>
      <c r="F105" s="12"/>
      <c r="G105" s="12"/>
      <c r="H105" s="113"/>
    </row>
    <row r="106" spans="1:8" ht="14.1" customHeight="1" x14ac:dyDescent="0.2">
      <c r="A106" s="1"/>
      <c r="B106" s="1"/>
      <c r="C106" s="2" t="s">
        <v>165</v>
      </c>
      <c r="D106" s="1"/>
      <c r="E106" s="1"/>
      <c r="F106" s="12"/>
      <c r="G106" s="12"/>
      <c r="H106" s="113"/>
    </row>
    <row r="107" spans="1:8" ht="14.1" customHeight="1" x14ac:dyDescent="0.2">
      <c r="A107" s="1"/>
      <c r="B107" s="1"/>
      <c r="C107" s="2" t="s">
        <v>166</v>
      </c>
      <c r="D107" s="1"/>
      <c r="E107" s="1"/>
      <c r="F107" s="12"/>
      <c r="G107" s="12"/>
      <c r="H107" s="113"/>
    </row>
    <row r="108" spans="1:8" ht="14.1" customHeight="1" x14ac:dyDescent="0.2">
      <c r="A108" s="1"/>
      <c r="B108" s="1"/>
      <c r="C108" s="2" t="s">
        <v>151</v>
      </c>
      <c r="D108" s="1"/>
      <c r="E108" s="1" t="s">
        <v>152</v>
      </c>
      <c r="F108" s="13" t="s">
        <v>154</v>
      </c>
      <c r="G108" s="10">
        <v>0</v>
      </c>
      <c r="H108" s="113"/>
    </row>
    <row r="109" spans="1:8" ht="14.1" customHeight="1" x14ac:dyDescent="0.2">
      <c r="A109" s="1"/>
      <c r="B109" s="1"/>
      <c r="C109" s="11"/>
      <c r="D109" s="1"/>
      <c r="E109" s="1"/>
      <c r="F109" s="12"/>
      <c r="G109" s="12"/>
      <c r="H109" s="113"/>
    </row>
    <row r="110" spans="1:8" ht="14.1" customHeight="1" x14ac:dyDescent="0.2">
      <c r="A110" s="1"/>
      <c r="B110" s="1"/>
      <c r="C110" s="2" t="s">
        <v>167</v>
      </c>
      <c r="D110" s="1"/>
      <c r="E110" s="1"/>
      <c r="F110" s="12"/>
      <c r="G110" s="12"/>
      <c r="H110" s="113"/>
    </row>
    <row r="111" spans="1:8" ht="14.1" customHeight="1" x14ac:dyDescent="0.2">
      <c r="A111" s="1"/>
      <c r="B111" s="1"/>
      <c r="C111" s="2" t="s">
        <v>151</v>
      </c>
      <c r="D111" s="1"/>
      <c r="E111" s="1" t="s">
        <v>152</v>
      </c>
      <c r="F111" s="13" t="s">
        <v>154</v>
      </c>
      <c r="G111" s="10">
        <v>0</v>
      </c>
      <c r="H111" s="113"/>
    </row>
    <row r="112" spans="1:8" ht="14.1" customHeight="1" x14ac:dyDescent="0.2">
      <c r="A112" s="1"/>
      <c r="B112" s="1"/>
      <c r="C112" s="11"/>
      <c r="D112" s="1"/>
      <c r="E112" s="1"/>
      <c r="F112" s="12"/>
      <c r="G112" s="12"/>
      <c r="H112" s="113"/>
    </row>
    <row r="113" spans="1:8" ht="14.1" customHeight="1" x14ac:dyDescent="0.2">
      <c r="A113" s="1"/>
      <c r="B113" s="1"/>
      <c r="C113" s="2" t="s">
        <v>168</v>
      </c>
      <c r="D113" s="1"/>
      <c r="E113" s="1"/>
      <c r="F113" s="12"/>
      <c r="G113" s="12"/>
      <c r="H113" s="113"/>
    </row>
    <row r="114" spans="1:8" ht="14.1" customHeight="1" x14ac:dyDescent="0.2">
      <c r="A114" s="1"/>
      <c r="B114" s="1"/>
      <c r="C114" s="2" t="s">
        <v>151</v>
      </c>
      <c r="D114" s="1"/>
      <c r="E114" s="1" t="s">
        <v>152</v>
      </c>
      <c r="F114" s="13" t="s">
        <v>154</v>
      </c>
      <c r="G114" s="10">
        <v>0</v>
      </c>
      <c r="H114" s="113"/>
    </row>
    <row r="115" spans="1:8" ht="14.1" customHeight="1" x14ac:dyDescent="0.2">
      <c r="A115" s="1"/>
      <c r="B115" s="1"/>
      <c r="C115" s="11"/>
      <c r="D115" s="1"/>
      <c r="E115" s="1"/>
      <c r="F115" s="12"/>
      <c r="G115" s="12"/>
      <c r="H115" s="113"/>
    </row>
    <row r="116" spans="1:8" ht="14.1" customHeight="1" x14ac:dyDescent="0.2">
      <c r="A116" s="1"/>
      <c r="B116" s="1"/>
      <c r="C116" s="2" t="s">
        <v>169</v>
      </c>
      <c r="D116" s="1"/>
      <c r="E116" s="1"/>
      <c r="F116" s="12"/>
      <c r="G116" s="12"/>
      <c r="H116" s="113"/>
    </row>
    <row r="117" spans="1:8" ht="17.100000000000001" customHeight="1" x14ac:dyDescent="0.2">
      <c r="A117" s="3">
        <v>1</v>
      </c>
      <c r="B117" s="4"/>
      <c r="C117" s="4" t="s">
        <v>170</v>
      </c>
      <c r="D117" s="4"/>
      <c r="E117" s="8"/>
      <c r="F117" s="6">
        <v>1367.9203329940001</v>
      </c>
      <c r="G117" s="7">
        <v>8.1907500000000001E-3</v>
      </c>
      <c r="H117" s="113">
        <v>6.7600000000000016</v>
      </c>
    </row>
    <row r="118" spans="1:8" ht="14.1" customHeight="1" x14ac:dyDescent="0.2">
      <c r="A118" s="1"/>
      <c r="B118" s="1"/>
      <c r="C118" s="2" t="s">
        <v>151</v>
      </c>
      <c r="D118" s="1"/>
      <c r="E118" s="1" t="s">
        <v>152</v>
      </c>
      <c r="F118" s="9">
        <v>1367.9203329940001</v>
      </c>
      <c r="G118" s="10">
        <v>8.1907500000000001E-3</v>
      </c>
      <c r="H118" s="113"/>
    </row>
    <row r="119" spans="1:8" ht="14.1" customHeight="1" x14ac:dyDescent="0.2">
      <c r="A119" s="1"/>
      <c r="B119" s="1"/>
      <c r="C119" s="11"/>
      <c r="D119" s="1"/>
      <c r="E119" s="1"/>
      <c r="F119" s="12"/>
      <c r="G119" s="12"/>
      <c r="H119" s="113"/>
    </row>
    <row r="120" spans="1:8" ht="14.1" customHeight="1" x14ac:dyDescent="0.2">
      <c r="A120" s="1"/>
      <c r="B120" s="1"/>
      <c r="C120" s="2" t="s">
        <v>171</v>
      </c>
      <c r="D120" s="1"/>
      <c r="E120" s="1"/>
      <c r="F120" s="9">
        <v>1367.9203329940001</v>
      </c>
      <c r="G120" s="10">
        <v>8.1907500000000001E-3</v>
      </c>
      <c r="H120" s="113"/>
    </row>
    <row r="121" spans="1:8" ht="14.1" customHeight="1" x14ac:dyDescent="0.2">
      <c r="A121" s="1"/>
      <c r="B121" s="1"/>
      <c r="C121" s="12"/>
      <c r="D121" s="1"/>
      <c r="E121" s="1"/>
      <c r="F121" s="1"/>
      <c r="G121" s="1"/>
      <c r="H121" s="113"/>
    </row>
    <row r="122" spans="1:8" ht="14.1" customHeight="1" x14ac:dyDescent="0.2">
      <c r="A122" s="1"/>
      <c r="B122" s="1"/>
      <c r="C122" s="2" t="s">
        <v>172</v>
      </c>
      <c r="D122" s="1"/>
      <c r="E122" s="1"/>
      <c r="F122" s="1"/>
      <c r="G122" s="1"/>
      <c r="H122" s="113"/>
    </row>
    <row r="123" spans="1:8" ht="14.1" customHeight="1" x14ac:dyDescent="0.2">
      <c r="A123" s="1"/>
      <c r="B123" s="1"/>
      <c r="C123" s="2" t="s">
        <v>173</v>
      </c>
      <c r="D123" s="1"/>
      <c r="E123" s="1"/>
      <c r="F123" s="1"/>
      <c r="G123" s="1"/>
      <c r="H123" s="113"/>
    </row>
    <row r="124" spans="1:8" ht="14.1" customHeight="1" x14ac:dyDescent="0.2">
      <c r="A124" s="1"/>
      <c r="B124" s="1"/>
      <c r="C124" s="2" t="s">
        <v>151</v>
      </c>
      <c r="D124" s="1"/>
      <c r="E124" s="1" t="s">
        <v>152</v>
      </c>
      <c r="F124" s="13" t="s">
        <v>154</v>
      </c>
      <c r="G124" s="10">
        <v>0</v>
      </c>
      <c r="H124" s="113"/>
    </row>
    <row r="125" spans="1:8" ht="14.1" customHeight="1" x14ac:dyDescent="0.2">
      <c r="A125" s="1"/>
      <c r="B125" s="1"/>
      <c r="C125" s="11"/>
      <c r="D125" s="1"/>
      <c r="E125" s="1"/>
      <c r="F125" s="12"/>
      <c r="G125" s="12"/>
      <c r="H125" s="113"/>
    </row>
    <row r="126" spans="1:8" ht="14.1" customHeight="1" x14ac:dyDescent="0.2">
      <c r="A126" s="1"/>
      <c r="B126" s="1"/>
      <c r="C126" s="2" t="s">
        <v>174</v>
      </c>
      <c r="D126" s="1"/>
      <c r="E126" s="1"/>
      <c r="F126" s="1"/>
      <c r="G126" s="1"/>
      <c r="H126" s="113"/>
    </row>
    <row r="127" spans="1:8" ht="14.1" customHeight="1" x14ac:dyDescent="0.2">
      <c r="A127" s="1"/>
      <c r="B127" s="1"/>
      <c r="C127" s="2" t="s">
        <v>175</v>
      </c>
      <c r="D127" s="1"/>
      <c r="E127" s="1"/>
      <c r="F127" s="1"/>
      <c r="G127" s="1"/>
      <c r="H127" s="113"/>
    </row>
    <row r="128" spans="1:8" ht="14.1" customHeight="1" x14ac:dyDescent="0.2">
      <c r="A128" s="1"/>
      <c r="B128" s="1"/>
      <c r="C128" s="2" t="s">
        <v>151</v>
      </c>
      <c r="D128" s="1"/>
      <c r="E128" s="1" t="s">
        <v>152</v>
      </c>
      <c r="F128" s="13" t="s">
        <v>154</v>
      </c>
      <c r="G128" s="10">
        <v>0</v>
      </c>
      <c r="H128" s="113"/>
    </row>
    <row r="129" spans="1:8" ht="14.1" customHeight="1" x14ac:dyDescent="0.2">
      <c r="A129" s="1"/>
      <c r="B129" s="1"/>
      <c r="C129" s="11"/>
      <c r="D129" s="1"/>
      <c r="E129" s="1"/>
      <c r="F129" s="12"/>
      <c r="G129" s="12"/>
      <c r="H129" s="113"/>
    </row>
    <row r="130" spans="1:8" ht="24" customHeight="1" x14ac:dyDescent="0.2">
      <c r="A130" s="1"/>
      <c r="B130" s="1"/>
      <c r="C130" s="2" t="s">
        <v>176</v>
      </c>
      <c r="D130" s="1"/>
      <c r="E130" s="1"/>
      <c r="F130" s="12"/>
      <c r="G130" s="12"/>
      <c r="H130" s="113"/>
    </row>
    <row r="131" spans="1:8" ht="14.1" customHeight="1" x14ac:dyDescent="0.2">
      <c r="A131" s="1"/>
      <c r="B131" s="1"/>
      <c r="C131" s="2" t="s">
        <v>151</v>
      </c>
      <c r="D131" s="1"/>
      <c r="E131" s="1" t="s">
        <v>152</v>
      </c>
      <c r="F131" s="13" t="s">
        <v>154</v>
      </c>
      <c r="G131" s="10">
        <v>0</v>
      </c>
      <c r="H131" s="113"/>
    </row>
    <row r="132" spans="1:8" ht="14.1" customHeight="1" x14ac:dyDescent="0.2">
      <c r="A132" s="1"/>
      <c r="B132" s="1"/>
      <c r="C132" s="11"/>
      <c r="D132" s="1"/>
      <c r="E132" s="1"/>
      <c r="F132" s="12"/>
      <c r="G132" s="12"/>
      <c r="H132" s="113"/>
    </row>
    <row r="133" spans="1:8" ht="14.1" customHeight="1" x14ac:dyDescent="0.2">
      <c r="A133" s="1"/>
      <c r="B133" s="4"/>
      <c r="C133" s="4"/>
      <c r="D133" s="2"/>
      <c r="E133" s="1"/>
      <c r="F133" s="4"/>
      <c r="G133" s="8"/>
      <c r="H133" s="113"/>
    </row>
    <row r="134" spans="1:8" ht="18" customHeight="1" x14ac:dyDescent="0.2">
      <c r="A134" s="8"/>
      <c r="B134" s="4"/>
      <c r="C134" s="4" t="s">
        <v>177</v>
      </c>
      <c r="D134" s="4"/>
      <c r="E134" s="8"/>
      <c r="F134" s="6">
        <v>-783.05843103999996</v>
      </c>
      <c r="G134" s="7">
        <v>-4.6887500000000002E-3</v>
      </c>
      <c r="H134" s="113"/>
    </row>
    <row r="135" spans="1:8" ht="14.1" customHeight="1" x14ac:dyDescent="0.2">
      <c r="A135" s="11"/>
      <c r="B135" s="11"/>
      <c r="C135" s="2" t="s">
        <v>178</v>
      </c>
      <c r="D135" s="12"/>
      <c r="E135" s="12"/>
      <c r="F135" s="9">
        <v>167008.03853045401</v>
      </c>
      <c r="G135" s="14">
        <v>1.00000003</v>
      </c>
      <c r="H135" s="113"/>
    </row>
    <row r="136" spans="1:8" ht="14.1" customHeight="1" x14ac:dyDescent="0.2">
      <c r="A136" s="15"/>
      <c r="B136" s="15"/>
      <c r="C136" s="15"/>
      <c r="D136" s="16"/>
      <c r="E136" s="16"/>
      <c r="F136" s="16"/>
      <c r="G136" s="16"/>
    </row>
    <row r="137" spans="1:8" ht="14.1" customHeight="1" x14ac:dyDescent="0.2">
      <c r="A137" s="17"/>
      <c r="B137" s="17"/>
      <c r="C137" s="17"/>
      <c r="D137" s="19"/>
      <c r="E137" s="19"/>
      <c r="F137" s="19"/>
      <c r="G137" s="19"/>
    </row>
    <row r="138" spans="1:8" ht="14.1" customHeight="1" x14ac:dyDescent="0.2">
      <c r="A138" s="17"/>
      <c r="B138" s="208" t="s">
        <v>180</v>
      </c>
      <c r="C138" s="209"/>
      <c r="D138" s="210"/>
      <c r="E138" s="20"/>
      <c r="F138" s="19"/>
      <c r="G138" s="19"/>
    </row>
    <row r="139" spans="1:8" ht="29.1" customHeight="1" x14ac:dyDescent="0.2">
      <c r="A139" s="17"/>
      <c r="B139" s="205" t="s">
        <v>181</v>
      </c>
      <c r="C139" s="206"/>
      <c r="D139" s="2" t="s">
        <v>182</v>
      </c>
      <c r="E139" s="20"/>
      <c r="F139" s="19"/>
      <c r="G139" s="19"/>
    </row>
    <row r="140" spans="1:8" ht="17.100000000000001" customHeight="1" x14ac:dyDescent="0.2">
      <c r="A140" s="17"/>
      <c r="B140" s="205" t="s">
        <v>183</v>
      </c>
      <c r="C140" s="206"/>
      <c r="D140" s="2" t="s">
        <v>182</v>
      </c>
      <c r="E140" s="20"/>
      <c r="F140" s="19"/>
      <c r="G140" s="19"/>
    </row>
    <row r="141" spans="1:8" ht="17.100000000000001" customHeight="1" x14ac:dyDescent="0.2">
      <c r="A141" s="17"/>
      <c r="B141" s="205" t="s">
        <v>184</v>
      </c>
      <c r="C141" s="206"/>
      <c r="D141" s="12" t="s">
        <v>152</v>
      </c>
      <c r="E141" s="20"/>
      <c r="F141" s="19"/>
      <c r="G141" s="19"/>
    </row>
    <row r="142" spans="1:8" ht="25.5" x14ac:dyDescent="0.2">
      <c r="A142" s="21"/>
      <c r="B142" s="22" t="s">
        <v>152</v>
      </c>
      <c r="C142" s="22" t="s">
        <v>185</v>
      </c>
      <c r="D142" s="22" t="s">
        <v>186</v>
      </c>
      <c r="E142" s="21"/>
      <c r="F142" s="21"/>
      <c r="G142" s="21"/>
    </row>
    <row r="143" spans="1:8" ht="18" customHeight="1" x14ac:dyDescent="0.2">
      <c r="A143" s="21"/>
      <c r="B143" s="23" t="s">
        <v>187</v>
      </c>
      <c r="C143" s="22" t="s">
        <v>188</v>
      </c>
      <c r="D143" s="22" t="s">
        <v>189</v>
      </c>
      <c r="E143" s="21"/>
      <c r="F143" s="21"/>
      <c r="G143" s="21"/>
    </row>
    <row r="144" spans="1:8" ht="17.100000000000001" customHeight="1" x14ac:dyDescent="0.2">
      <c r="A144" s="21"/>
      <c r="B144" s="4" t="s">
        <v>190</v>
      </c>
      <c r="C144" s="24">
        <v>187.35579999999999</v>
      </c>
      <c r="D144" s="24">
        <v>199.7689</v>
      </c>
      <c r="E144" s="21"/>
      <c r="F144" s="18"/>
      <c r="G144" s="25"/>
    </row>
    <row r="145" spans="1:7" ht="17.100000000000001" customHeight="1" x14ac:dyDescent="0.2">
      <c r="A145" s="21"/>
      <c r="B145" s="4" t="s">
        <v>1033</v>
      </c>
      <c r="C145" s="24">
        <v>17.415800000000001</v>
      </c>
      <c r="D145" s="24">
        <v>18.436499999999999</v>
      </c>
      <c r="E145" s="21"/>
      <c r="F145" s="18"/>
      <c r="G145" s="25"/>
    </row>
    <row r="146" spans="1:7" ht="17.100000000000001" customHeight="1" x14ac:dyDescent="0.2">
      <c r="A146" s="21"/>
      <c r="B146" s="4" t="s">
        <v>191</v>
      </c>
      <c r="C146" s="24">
        <v>178.4554</v>
      </c>
      <c r="D146" s="24">
        <v>190.18530000000001</v>
      </c>
      <c r="E146" s="21"/>
      <c r="F146" s="18"/>
      <c r="G146" s="25"/>
    </row>
    <row r="147" spans="1:7" ht="17.100000000000001" customHeight="1" x14ac:dyDescent="0.2">
      <c r="A147" s="21"/>
      <c r="B147" s="4" t="s">
        <v>1034</v>
      </c>
      <c r="C147" s="24">
        <v>14.463100000000001</v>
      </c>
      <c r="D147" s="24">
        <v>15.303900000000001</v>
      </c>
      <c r="E147" s="21"/>
      <c r="F147" s="18"/>
      <c r="G147" s="25"/>
    </row>
    <row r="148" spans="1:7" ht="14.1" customHeight="1" x14ac:dyDescent="0.2">
      <c r="A148" s="21"/>
      <c r="B148" s="21"/>
      <c r="C148" s="21"/>
      <c r="D148" s="21"/>
      <c r="E148" s="21"/>
      <c r="F148" s="21"/>
      <c r="G148" s="21"/>
    </row>
    <row r="149" spans="1:7" ht="17.100000000000001" customHeight="1" x14ac:dyDescent="0.2">
      <c r="A149" s="21"/>
      <c r="B149" s="205" t="s">
        <v>1035</v>
      </c>
      <c r="C149" s="206"/>
      <c r="D149" s="2" t="s">
        <v>152</v>
      </c>
      <c r="E149" s="21"/>
      <c r="F149" s="21"/>
      <c r="G149" s="21"/>
    </row>
    <row r="150" spans="1:7" ht="18" customHeight="1" x14ac:dyDescent="0.2">
      <c r="A150" s="21"/>
      <c r="B150" s="29" t="s">
        <v>187</v>
      </c>
      <c r="C150" s="30" t="s">
        <v>470</v>
      </c>
      <c r="D150" s="30" t="s">
        <v>471</v>
      </c>
      <c r="E150" s="21"/>
      <c r="F150" s="21"/>
      <c r="G150" s="21"/>
    </row>
    <row r="151" spans="1:7" ht="17.100000000000001" customHeight="1" x14ac:dyDescent="0.2">
      <c r="A151" s="21"/>
      <c r="B151" s="4" t="s">
        <v>1033</v>
      </c>
      <c r="C151" s="31">
        <v>0.13100000000000001</v>
      </c>
      <c r="D151" s="31">
        <v>0.13100000000000001</v>
      </c>
      <c r="E151" s="21"/>
      <c r="F151" s="18"/>
      <c r="G151" s="25"/>
    </row>
    <row r="152" spans="1:7" ht="17.100000000000001" customHeight="1" x14ac:dyDescent="0.2">
      <c r="A152" s="21"/>
      <c r="B152" s="4" t="s">
        <v>1034</v>
      </c>
      <c r="C152" s="31">
        <v>0.108</v>
      </c>
      <c r="D152" s="31">
        <v>0.108</v>
      </c>
      <c r="E152" s="21"/>
      <c r="F152" s="18"/>
      <c r="G152" s="25"/>
    </row>
    <row r="153" spans="1:7" ht="14.1" customHeight="1" x14ac:dyDescent="0.2">
      <c r="A153" s="21"/>
      <c r="B153" s="32"/>
      <c r="C153" s="32"/>
      <c r="D153" s="33"/>
      <c r="E153" s="21"/>
      <c r="F153" s="18"/>
      <c r="G153" s="25"/>
    </row>
    <row r="154" spans="1:7" ht="29.1" customHeight="1" x14ac:dyDescent="0.2">
      <c r="A154" s="21"/>
      <c r="B154" s="205" t="s">
        <v>192</v>
      </c>
      <c r="C154" s="206"/>
      <c r="D154" s="2" t="s">
        <v>182</v>
      </c>
      <c r="E154" s="27"/>
      <c r="F154" s="21"/>
      <c r="G154" s="21"/>
    </row>
    <row r="155" spans="1:7" ht="29.1" customHeight="1" x14ac:dyDescent="0.2">
      <c r="A155" s="21"/>
      <c r="B155" s="205" t="s">
        <v>193</v>
      </c>
      <c r="C155" s="206"/>
      <c r="D155" s="2" t="s">
        <v>182</v>
      </c>
      <c r="E155" s="27"/>
      <c r="F155" s="21"/>
      <c r="G155" s="21"/>
    </row>
    <row r="156" spans="1:7" ht="17.100000000000001" customHeight="1" x14ac:dyDescent="0.2">
      <c r="A156" s="21"/>
      <c r="B156" s="205" t="s">
        <v>194</v>
      </c>
      <c r="C156" s="206"/>
      <c r="D156" s="2" t="s">
        <v>182</v>
      </c>
      <c r="E156" s="27"/>
      <c r="F156" s="21"/>
      <c r="G156" s="21"/>
    </row>
    <row r="157" spans="1:7" ht="17.100000000000001" customHeight="1" x14ac:dyDescent="0.2">
      <c r="A157" s="21"/>
      <c r="B157" s="205" t="s">
        <v>195</v>
      </c>
      <c r="C157" s="206"/>
      <c r="D157" s="28">
        <v>0.20472966160027661</v>
      </c>
      <c r="E157" s="21"/>
      <c r="F157" s="18"/>
      <c r="G157" s="25"/>
    </row>
  </sheetData>
  <mergeCells count="13">
    <mergeCell ref="B157:C157"/>
    <mergeCell ref="B140:C140"/>
    <mergeCell ref="B141:C141"/>
    <mergeCell ref="B149:C149"/>
    <mergeCell ref="B154:C154"/>
    <mergeCell ref="B155:C155"/>
    <mergeCell ref="B156:C156"/>
    <mergeCell ref="J2:N2"/>
    <mergeCell ref="B139:C139"/>
    <mergeCell ref="B138:D138"/>
    <mergeCell ref="A1:H1"/>
    <mergeCell ref="A2:H2"/>
    <mergeCell ref="A3:H3"/>
  </mergeCells>
  <hyperlinks>
    <hyperlink ref="I1" location="Index!B26" display="Index" xr:uid="{9D933265-5CAE-45CB-A980-34CE408AB8FE}"/>
  </hyperlink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844</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1839000</v>
      </c>
      <c r="F7" s="6">
        <v>31433.107499999998</v>
      </c>
      <c r="G7" s="7">
        <v>9.4155370000000002E-2</v>
      </c>
      <c r="H7" s="113"/>
    </row>
    <row r="8" spans="1:15" ht="17.100000000000001" customHeight="1" x14ac:dyDescent="0.2">
      <c r="A8" s="3">
        <v>2</v>
      </c>
      <c r="B8" s="4" t="s">
        <v>17</v>
      </c>
      <c r="C8" s="4" t="s">
        <v>18</v>
      </c>
      <c r="D8" s="4" t="s">
        <v>19</v>
      </c>
      <c r="E8" s="5">
        <v>1043000</v>
      </c>
      <c r="F8" s="6">
        <v>26961.0285</v>
      </c>
      <c r="G8" s="7">
        <v>8.0759609999999996E-2</v>
      </c>
      <c r="H8" s="113"/>
    </row>
    <row r="9" spans="1:15" ht="17.100000000000001" customHeight="1" x14ac:dyDescent="0.2">
      <c r="A9" s="3">
        <v>3</v>
      </c>
      <c r="B9" s="4" t="s">
        <v>26</v>
      </c>
      <c r="C9" s="4" t="s">
        <v>27</v>
      </c>
      <c r="D9" s="4" t="s">
        <v>28</v>
      </c>
      <c r="E9" s="5">
        <v>2485000</v>
      </c>
      <c r="F9" s="6">
        <v>24765.51</v>
      </c>
      <c r="G9" s="7">
        <v>7.4183109999999997E-2</v>
      </c>
      <c r="H9" s="113"/>
    </row>
    <row r="10" spans="1:15" ht="17.100000000000001" customHeight="1" x14ac:dyDescent="0.2">
      <c r="A10" s="3">
        <v>4</v>
      </c>
      <c r="B10" s="4" t="s">
        <v>11</v>
      </c>
      <c r="C10" s="4" t="s">
        <v>12</v>
      </c>
      <c r="D10" s="4" t="s">
        <v>13</v>
      </c>
      <c r="E10" s="5">
        <v>638000</v>
      </c>
      <c r="F10" s="6">
        <v>22495.88</v>
      </c>
      <c r="G10" s="7">
        <v>6.7384620000000006E-2</v>
      </c>
      <c r="H10" s="113"/>
    </row>
    <row r="11" spans="1:15" ht="17.100000000000001" customHeight="1" x14ac:dyDescent="0.2">
      <c r="A11" s="3">
        <v>5</v>
      </c>
      <c r="B11" s="4" t="s">
        <v>323</v>
      </c>
      <c r="C11" s="4" t="s">
        <v>324</v>
      </c>
      <c r="D11" s="4" t="s">
        <v>891</v>
      </c>
      <c r="E11" s="5">
        <v>1205000</v>
      </c>
      <c r="F11" s="6">
        <v>18591.945</v>
      </c>
      <c r="G11" s="7">
        <v>5.5690690000000001E-2</v>
      </c>
      <c r="H11" s="113"/>
    </row>
    <row r="12" spans="1:15" ht="17.100000000000001" customHeight="1" x14ac:dyDescent="0.2">
      <c r="A12" s="3">
        <v>6</v>
      </c>
      <c r="B12" s="4" t="s">
        <v>62</v>
      </c>
      <c r="C12" s="4" t="s">
        <v>63</v>
      </c>
      <c r="D12" s="4" t="s">
        <v>28</v>
      </c>
      <c r="E12" s="5">
        <v>2158000</v>
      </c>
      <c r="F12" s="6">
        <v>13855.439</v>
      </c>
      <c r="G12" s="7">
        <v>4.1502860000000003E-2</v>
      </c>
      <c r="H12" s="113"/>
    </row>
    <row r="13" spans="1:15" ht="17.100000000000001" customHeight="1" x14ac:dyDescent="0.2">
      <c r="A13" s="3">
        <v>7</v>
      </c>
      <c r="B13" s="4" t="s">
        <v>325</v>
      </c>
      <c r="C13" s="4" t="s">
        <v>326</v>
      </c>
      <c r="D13" s="4" t="s">
        <v>28</v>
      </c>
      <c r="E13" s="5">
        <v>1165000</v>
      </c>
      <c r="F13" s="6">
        <v>12841.795</v>
      </c>
      <c r="G13" s="7">
        <v>3.8466569999999999E-2</v>
      </c>
      <c r="H13" s="113"/>
      <c r="J13" s="194" t="s">
        <v>1175</v>
      </c>
    </row>
    <row r="14" spans="1:15" ht="29.1" customHeight="1" x14ac:dyDescent="0.2">
      <c r="A14" s="3">
        <v>8</v>
      </c>
      <c r="B14" s="4" t="s">
        <v>329</v>
      </c>
      <c r="C14" s="4" t="s">
        <v>330</v>
      </c>
      <c r="D14" s="4" t="s">
        <v>225</v>
      </c>
      <c r="E14" s="5">
        <v>978000</v>
      </c>
      <c r="F14" s="6">
        <v>12317.421</v>
      </c>
      <c r="G14" s="7">
        <v>3.6895850000000001E-2</v>
      </c>
      <c r="H14" s="113"/>
    </row>
    <row r="15" spans="1:15" ht="17.100000000000001" customHeight="1" x14ac:dyDescent="0.2">
      <c r="A15" s="3">
        <v>9</v>
      </c>
      <c r="B15" s="4" t="s">
        <v>20</v>
      </c>
      <c r="C15" s="4" t="s">
        <v>21</v>
      </c>
      <c r="D15" s="4" t="s">
        <v>22</v>
      </c>
      <c r="E15" s="5">
        <v>751000</v>
      </c>
      <c r="F15" s="6">
        <v>7751.8220000000001</v>
      </c>
      <c r="G15" s="7">
        <v>2.3219969999999999E-2</v>
      </c>
      <c r="H15" s="113"/>
    </row>
    <row r="16" spans="1:15" ht="17.100000000000001" customHeight="1" x14ac:dyDescent="0.2">
      <c r="A16" s="3">
        <v>10</v>
      </c>
      <c r="B16" s="4" t="s">
        <v>331</v>
      </c>
      <c r="C16" s="4" t="s">
        <v>332</v>
      </c>
      <c r="D16" s="4" t="s">
        <v>891</v>
      </c>
      <c r="E16" s="5">
        <v>203752</v>
      </c>
      <c r="F16" s="6">
        <v>7729.1283679999997</v>
      </c>
      <c r="G16" s="7">
        <v>2.3151990000000001E-2</v>
      </c>
      <c r="H16" s="113"/>
    </row>
    <row r="17" spans="1:10" ht="17.100000000000001" customHeight="1" x14ac:dyDescent="0.2">
      <c r="A17" s="3">
        <v>11</v>
      </c>
      <c r="B17" s="4" t="s">
        <v>375</v>
      </c>
      <c r="C17" s="4" t="s">
        <v>376</v>
      </c>
      <c r="D17" s="4" t="s">
        <v>248</v>
      </c>
      <c r="E17" s="5">
        <v>72000</v>
      </c>
      <c r="F17" s="6">
        <v>7417.692</v>
      </c>
      <c r="G17" s="7">
        <v>2.221911E-2</v>
      </c>
      <c r="H17" s="113"/>
    </row>
    <row r="18" spans="1:10" ht="17.100000000000001" customHeight="1" x14ac:dyDescent="0.2">
      <c r="A18" s="3">
        <v>12</v>
      </c>
      <c r="B18" s="4" t="s">
        <v>355</v>
      </c>
      <c r="C18" s="4" t="s">
        <v>356</v>
      </c>
      <c r="D18" s="4" t="s">
        <v>350</v>
      </c>
      <c r="E18" s="5">
        <v>260000</v>
      </c>
      <c r="F18" s="6">
        <v>6926.27</v>
      </c>
      <c r="G18" s="7">
        <v>2.0747089999999999E-2</v>
      </c>
      <c r="H18" s="113"/>
    </row>
    <row r="19" spans="1:10" ht="17.100000000000001" customHeight="1" x14ac:dyDescent="0.2">
      <c r="A19" s="3">
        <v>13</v>
      </c>
      <c r="B19" s="4" t="s">
        <v>524</v>
      </c>
      <c r="C19" s="40" t="s">
        <v>1020</v>
      </c>
      <c r="D19" s="4" t="s">
        <v>248</v>
      </c>
      <c r="E19" s="5">
        <v>1312000</v>
      </c>
      <c r="F19" s="6">
        <v>6813.2160000000003</v>
      </c>
      <c r="G19" s="7">
        <v>2.0408450000000002E-2</v>
      </c>
      <c r="H19" s="113"/>
    </row>
    <row r="20" spans="1:10" ht="17.100000000000001" customHeight="1" x14ac:dyDescent="0.2">
      <c r="A20" s="3">
        <v>14</v>
      </c>
      <c r="B20" s="4" t="s">
        <v>386</v>
      </c>
      <c r="C20" s="4" t="s">
        <v>387</v>
      </c>
      <c r="D20" s="4" t="s">
        <v>53</v>
      </c>
      <c r="E20" s="5">
        <v>381000</v>
      </c>
      <c r="F20" s="6">
        <v>6422.8980000000001</v>
      </c>
      <c r="G20" s="7">
        <v>1.9239280000000001E-2</v>
      </c>
      <c r="H20" s="113"/>
    </row>
    <row r="21" spans="1:10" ht="17.100000000000001" customHeight="1" x14ac:dyDescent="0.2">
      <c r="A21" s="3">
        <v>15</v>
      </c>
      <c r="B21" s="4" t="s">
        <v>335</v>
      </c>
      <c r="C21" s="4" t="s">
        <v>336</v>
      </c>
      <c r="D21" s="4" t="s">
        <v>28</v>
      </c>
      <c r="E21" s="5">
        <v>398000</v>
      </c>
      <c r="F21" s="6">
        <v>6363.8209999999999</v>
      </c>
      <c r="G21" s="7">
        <v>1.9062320000000001E-2</v>
      </c>
      <c r="H21" s="113"/>
    </row>
    <row r="22" spans="1:10" ht="29.1" customHeight="1" x14ac:dyDescent="0.2">
      <c r="A22" s="3">
        <v>16</v>
      </c>
      <c r="B22" s="4" t="s">
        <v>23</v>
      </c>
      <c r="C22" s="4" t="s">
        <v>24</v>
      </c>
      <c r="D22" s="4" t="s">
        <v>25</v>
      </c>
      <c r="E22" s="5">
        <v>59000</v>
      </c>
      <c r="F22" s="6">
        <v>6196.7995000000001</v>
      </c>
      <c r="G22" s="7">
        <v>1.8562019999999999E-2</v>
      </c>
      <c r="H22" s="113"/>
    </row>
    <row r="23" spans="1:10" ht="17.100000000000001" customHeight="1" x14ac:dyDescent="0.2">
      <c r="A23" s="3">
        <v>17</v>
      </c>
      <c r="B23" s="4" t="s">
        <v>14</v>
      </c>
      <c r="C23" s="4" t="s">
        <v>15</v>
      </c>
      <c r="D23" s="4" t="s">
        <v>16</v>
      </c>
      <c r="E23" s="5">
        <v>1967000</v>
      </c>
      <c r="F23" s="6">
        <v>6120.3204999999998</v>
      </c>
      <c r="G23" s="7">
        <v>1.8332930000000001E-2</v>
      </c>
      <c r="H23" s="113"/>
      <c r="J23" s="194" t="s">
        <v>1176</v>
      </c>
    </row>
    <row r="24" spans="1:10" ht="17.100000000000001" customHeight="1" x14ac:dyDescent="0.2">
      <c r="A24" s="3">
        <v>18</v>
      </c>
      <c r="B24" s="4" t="s">
        <v>327</v>
      </c>
      <c r="C24" s="4" t="s">
        <v>328</v>
      </c>
      <c r="D24" s="4" t="s">
        <v>295</v>
      </c>
      <c r="E24" s="5">
        <v>475000</v>
      </c>
      <c r="F24" s="6">
        <v>5875.2749999999996</v>
      </c>
      <c r="G24" s="7">
        <v>1.7598920000000001E-2</v>
      </c>
      <c r="H24" s="113"/>
    </row>
    <row r="25" spans="1:10" ht="29.1" customHeight="1" x14ac:dyDescent="0.2">
      <c r="A25" s="3">
        <v>19</v>
      </c>
      <c r="B25" s="4" t="s">
        <v>486</v>
      </c>
      <c r="C25" s="4" t="s">
        <v>487</v>
      </c>
      <c r="D25" s="4" t="s">
        <v>225</v>
      </c>
      <c r="E25" s="5">
        <v>424000</v>
      </c>
      <c r="F25" s="6">
        <v>5284.3119999999999</v>
      </c>
      <c r="G25" s="7">
        <v>1.5828740000000001E-2</v>
      </c>
      <c r="H25" s="113"/>
    </row>
    <row r="26" spans="1:10" ht="17.100000000000001" customHeight="1" x14ac:dyDescent="0.2">
      <c r="A26" s="3">
        <v>20</v>
      </c>
      <c r="B26" s="4" t="s">
        <v>79</v>
      </c>
      <c r="C26" s="4" t="s">
        <v>80</v>
      </c>
      <c r="D26" s="4" t="s">
        <v>46</v>
      </c>
      <c r="E26" s="5">
        <v>168000</v>
      </c>
      <c r="F26" s="6">
        <v>4984.7280000000001</v>
      </c>
      <c r="G26" s="7">
        <v>1.4931359999999999E-2</v>
      </c>
      <c r="H26" s="113"/>
    </row>
    <row r="27" spans="1:10" ht="53.1" customHeight="1" x14ac:dyDescent="0.2">
      <c r="A27" s="3">
        <v>21</v>
      </c>
      <c r="B27" s="4" t="s">
        <v>100</v>
      </c>
      <c r="C27" s="4" t="s">
        <v>101</v>
      </c>
      <c r="D27" s="4" t="s">
        <v>102</v>
      </c>
      <c r="E27" s="5">
        <v>2726000</v>
      </c>
      <c r="F27" s="6">
        <v>4949.0529999999999</v>
      </c>
      <c r="G27" s="7">
        <v>1.4824489999999999E-2</v>
      </c>
      <c r="H27" s="113"/>
    </row>
    <row r="28" spans="1:10" ht="29.1" customHeight="1" x14ac:dyDescent="0.2">
      <c r="A28" s="3">
        <v>22</v>
      </c>
      <c r="B28" s="4" t="s">
        <v>211</v>
      </c>
      <c r="C28" s="4" t="s">
        <v>212</v>
      </c>
      <c r="D28" s="4" t="s">
        <v>53</v>
      </c>
      <c r="E28" s="5">
        <v>391000</v>
      </c>
      <c r="F28" s="6">
        <v>4925.8180000000002</v>
      </c>
      <c r="G28" s="7">
        <v>1.47549E-2</v>
      </c>
      <c r="H28" s="113"/>
    </row>
    <row r="29" spans="1:10" ht="17.100000000000001" customHeight="1" x14ac:dyDescent="0.2">
      <c r="A29" s="3">
        <v>23</v>
      </c>
      <c r="B29" s="4" t="s">
        <v>365</v>
      </c>
      <c r="C29" s="4" t="s">
        <v>366</v>
      </c>
      <c r="D29" s="4" t="s">
        <v>53</v>
      </c>
      <c r="E29" s="5">
        <v>63000</v>
      </c>
      <c r="F29" s="6">
        <v>4616.4825000000001</v>
      </c>
      <c r="G29" s="7">
        <v>1.382831E-2</v>
      </c>
      <c r="H29" s="113"/>
    </row>
    <row r="30" spans="1:10" ht="17.100000000000001" customHeight="1" x14ac:dyDescent="0.2">
      <c r="A30" s="3">
        <v>24</v>
      </c>
      <c r="B30" s="4" t="s">
        <v>577</v>
      </c>
      <c r="C30" s="4" t="s">
        <v>578</v>
      </c>
      <c r="D30" s="4" t="s">
        <v>891</v>
      </c>
      <c r="E30" s="5">
        <v>337000</v>
      </c>
      <c r="F30" s="6">
        <v>4288.8305</v>
      </c>
      <c r="G30" s="7">
        <v>1.284685E-2</v>
      </c>
      <c r="H30" s="113"/>
    </row>
    <row r="31" spans="1:10" ht="17.100000000000001" customHeight="1" x14ac:dyDescent="0.2">
      <c r="A31" s="3">
        <v>25</v>
      </c>
      <c r="B31" s="4" t="s">
        <v>479</v>
      </c>
      <c r="C31" s="4" t="s">
        <v>480</v>
      </c>
      <c r="D31" s="4" t="s">
        <v>891</v>
      </c>
      <c r="E31" s="5">
        <v>285965</v>
      </c>
      <c r="F31" s="6">
        <v>4192.5328650000001</v>
      </c>
      <c r="G31" s="7">
        <v>1.2558400000000001E-2</v>
      </c>
      <c r="H31" s="113"/>
    </row>
    <row r="32" spans="1:10" ht="17.100000000000001" customHeight="1" x14ac:dyDescent="0.2">
      <c r="A32" s="3">
        <v>26</v>
      </c>
      <c r="B32" s="4" t="s">
        <v>348</v>
      </c>
      <c r="C32" s="4" t="s">
        <v>349</v>
      </c>
      <c r="D32" s="4" t="s">
        <v>350</v>
      </c>
      <c r="E32" s="5">
        <v>885000</v>
      </c>
      <c r="F32" s="6">
        <v>4089.585</v>
      </c>
      <c r="G32" s="7">
        <v>1.225003E-2</v>
      </c>
      <c r="H32" s="113"/>
    </row>
    <row r="33" spans="1:8" ht="17.100000000000001" customHeight="1" x14ac:dyDescent="0.2">
      <c r="A33" s="3">
        <v>27</v>
      </c>
      <c r="B33" s="4" t="s">
        <v>346</v>
      </c>
      <c r="C33" s="4" t="s">
        <v>347</v>
      </c>
      <c r="D33" s="4" t="s">
        <v>891</v>
      </c>
      <c r="E33" s="5">
        <v>60000</v>
      </c>
      <c r="F33" s="6">
        <v>3776.97</v>
      </c>
      <c r="G33" s="7">
        <v>1.131361E-2</v>
      </c>
      <c r="H33" s="113"/>
    </row>
    <row r="34" spans="1:8" ht="17.100000000000001" customHeight="1" x14ac:dyDescent="0.2">
      <c r="A34" s="3">
        <v>28</v>
      </c>
      <c r="B34" s="4" t="s">
        <v>741</v>
      </c>
      <c r="C34" s="4" t="s">
        <v>742</v>
      </c>
      <c r="D34" s="4" t="s">
        <v>262</v>
      </c>
      <c r="E34" s="5">
        <v>14000</v>
      </c>
      <c r="F34" s="6">
        <v>3721.2420000000002</v>
      </c>
      <c r="G34" s="7">
        <v>1.1146680000000001E-2</v>
      </c>
      <c r="H34" s="113"/>
    </row>
    <row r="35" spans="1:8" ht="17.100000000000001" customHeight="1" x14ac:dyDescent="0.2">
      <c r="A35" s="3">
        <v>29</v>
      </c>
      <c r="B35" s="4" t="s">
        <v>559</v>
      </c>
      <c r="C35" s="4" t="s">
        <v>560</v>
      </c>
      <c r="D35" s="4" t="s">
        <v>295</v>
      </c>
      <c r="E35" s="5">
        <v>326000</v>
      </c>
      <c r="F35" s="6">
        <v>3643.8649999999998</v>
      </c>
      <c r="G35" s="7">
        <v>1.091491E-2</v>
      </c>
      <c r="H35" s="113"/>
    </row>
    <row r="36" spans="1:8" ht="17.100000000000001" customHeight="1" x14ac:dyDescent="0.2">
      <c r="A36" s="3">
        <v>30</v>
      </c>
      <c r="B36" s="4" t="s">
        <v>359</v>
      </c>
      <c r="C36" s="4" t="s">
        <v>360</v>
      </c>
      <c r="D36" s="4" t="s">
        <v>56</v>
      </c>
      <c r="E36" s="5">
        <v>95000</v>
      </c>
      <c r="F36" s="6">
        <v>3491.6774999999998</v>
      </c>
      <c r="G36" s="7">
        <v>1.0459039999999999E-2</v>
      </c>
      <c r="H36" s="113"/>
    </row>
    <row r="37" spans="1:8" ht="29.1" customHeight="1" x14ac:dyDescent="0.2">
      <c r="A37" s="3">
        <v>31</v>
      </c>
      <c r="B37" s="4" t="s">
        <v>481</v>
      </c>
      <c r="C37" s="4" t="s">
        <v>482</v>
      </c>
      <c r="D37" s="4" t="s">
        <v>483</v>
      </c>
      <c r="E37" s="5">
        <v>305000</v>
      </c>
      <c r="F37" s="6">
        <v>3314.74</v>
      </c>
      <c r="G37" s="7">
        <v>9.9290400000000001E-3</v>
      </c>
      <c r="H37" s="113"/>
    </row>
    <row r="38" spans="1:8" ht="17.100000000000001" customHeight="1" x14ac:dyDescent="0.2">
      <c r="A38" s="3">
        <v>32</v>
      </c>
      <c r="B38" s="4" t="s">
        <v>108</v>
      </c>
      <c r="C38" s="4" t="s">
        <v>109</v>
      </c>
      <c r="D38" s="4" t="s">
        <v>107</v>
      </c>
      <c r="E38" s="5">
        <v>493000</v>
      </c>
      <c r="F38" s="6">
        <v>3177.3850000000002</v>
      </c>
      <c r="G38" s="7">
        <v>9.5175999999999993E-3</v>
      </c>
      <c r="H38" s="113"/>
    </row>
    <row r="39" spans="1:8" ht="29.1" customHeight="1" x14ac:dyDescent="0.2">
      <c r="A39" s="3">
        <v>33</v>
      </c>
      <c r="B39" s="4" t="s">
        <v>353</v>
      </c>
      <c r="C39" s="4" t="s">
        <v>354</v>
      </c>
      <c r="D39" s="4" t="s">
        <v>225</v>
      </c>
      <c r="E39" s="5">
        <v>52000</v>
      </c>
      <c r="F39" s="6">
        <v>3014.9079999999999</v>
      </c>
      <c r="G39" s="7">
        <v>9.0309199999999996E-3</v>
      </c>
      <c r="H39" s="113"/>
    </row>
    <row r="40" spans="1:8" ht="29.1" customHeight="1" x14ac:dyDescent="0.2">
      <c r="A40" s="3">
        <v>34</v>
      </c>
      <c r="B40" s="4" t="s">
        <v>811</v>
      </c>
      <c r="C40" s="4" t="s">
        <v>812</v>
      </c>
      <c r="D40" s="4" t="s">
        <v>300</v>
      </c>
      <c r="E40" s="5">
        <v>16757</v>
      </c>
      <c r="F40" s="6">
        <v>2910.0289984999999</v>
      </c>
      <c r="G40" s="7">
        <v>8.7167600000000005E-3</v>
      </c>
      <c r="H40" s="113"/>
    </row>
    <row r="41" spans="1:8" ht="17.100000000000001" customHeight="1" x14ac:dyDescent="0.2">
      <c r="A41" s="3">
        <v>35</v>
      </c>
      <c r="B41" s="4" t="s">
        <v>337</v>
      </c>
      <c r="C41" s="4" t="s">
        <v>338</v>
      </c>
      <c r="D41" s="4" t="s">
        <v>339</v>
      </c>
      <c r="E41" s="5">
        <v>466000</v>
      </c>
      <c r="F41" s="6">
        <v>2865.201</v>
      </c>
      <c r="G41" s="7">
        <v>8.58248E-3</v>
      </c>
      <c r="H41" s="113"/>
    </row>
    <row r="42" spans="1:8" ht="17.100000000000001" customHeight="1" x14ac:dyDescent="0.2">
      <c r="A42" s="3">
        <v>36</v>
      </c>
      <c r="B42" s="4" t="s">
        <v>571</v>
      </c>
      <c r="C42" s="4" t="s">
        <v>572</v>
      </c>
      <c r="D42" s="4" t="s">
        <v>56</v>
      </c>
      <c r="E42" s="5">
        <v>80000</v>
      </c>
      <c r="F42" s="6">
        <v>2721.92</v>
      </c>
      <c r="G42" s="7">
        <v>8.1532900000000005E-3</v>
      </c>
      <c r="H42" s="113"/>
    </row>
    <row r="43" spans="1:8" ht="29.1" customHeight="1" x14ac:dyDescent="0.2">
      <c r="A43" s="3">
        <v>37</v>
      </c>
      <c r="B43" s="4" t="s">
        <v>228</v>
      </c>
      <c r="C43" s="4" t="s">
        <v>229</v>
      </c>
      <c r="D43" s="4" t="s">
        <v>225</v>
      </c>
      <c r="E43" s="5">
        <v>52000</v>
      </c>
      <c r="F43" s="6">
        <v>2705.3519999999999</v>
      </c>
      <c r="G43" s="7">
        <v>8.1036700000000003E-3</v>
      </c>
      <c r="H43" s="113"/>
    </row>
    <row r="44" spans="1:8" ht="17.100000000000001" customHeight="1" x14ac:dyDescent="0.2">
      <c r="A44" s="3">
        <v>38</v>
      </c>
      <c r="B44" s="4" t="s">
        <v>373</v>
      </c>
      <c r="C44" s="4" t="s">
        <v>374</v>
      </c>
      <c r="D44" s="4" t="s">
        <v>207</v>
      </c>
      <c r="E44" s="5">
        <v>63000</v>
      </c>
      <c r="F44" s="6">
        <v>2572.0695000000001</v>
      </c>
      <c r="G44" s="7">
        <v>7.70443E-3</v>
      </c>
      <c r="H44" s="113"/>
    </row>
    <row r="45" spans="1:8" ht="17.100000000000001" customHeight="1" x14ac:dyDescent="0.2">
      <c r="A45" s="3">
        <v>39</v>
      </c>
      <c r="B45" s="4" t="s">
        <v>363</v>
      </c>
      <c r="C45" s="4" t="s">
        <v>364</v>
      </c>
      <c r="D45" s="4" t="s">
        <v>207</v>
      </c>
      <c r="E45" s="5">
        <v>1475000</v>
      </c>
      <c r="F45" s="6">
        <v>2565.7624999999998</v>
      </c>
      <c r="G45" s="7">
        <v>7.6855400000000003E-3</v>
      </c>
      <c r="H45" s="113"/>
    </row>
    <row r="46" spans="1:8" ht="17.100000000000001" customHeight="1" x14ac:dyDescent="0.2">
      <c r="A46" s="3">
        <v>40</v>
      </c>
      <c r="B46" s="4" t="s">
        <v>484</v>
      </c>
      <c r="C46" s="4" t="s">
        <v>485</v>
      </c>
      <c r="D46" s="4" t="s">
        <v>28</v>
      </c>
      <c r="E46" s="5">
        <v>130000</v>
      </c>
      <c r="F46" s="6">
        <v>2480.5300000000002</v>
      </c>
      <c r="G46" s="7">
        <v>7.4302300000000003E-3</v>
      </c>
      <c r="H46" s="113"/>
    </row>
    <row r="47" spans="1:8" ht="17.100000000000001" customHeight="1" x14ac:dyDescent="0.2">
      <c r="A47" s="3">
        <v>41</v>
      </c>
      <c r="B47" s="4" t="s">
        <v>716</v>
      </c>
      <c r="C47" s="4" t="s">
        <v>717</v>
      </c>
      <c r="D47" s="4" t="s">
        <v>53</v>
      </c>
      <c r="E47" s="5">
        <v>1043000</v>
      </c>
      <c r="F47" s="6">
        <v>2429.6685000000002</v>
      </c>
      <c r="G47" s="7">
        <v>7.2778799999999996E-3</v>
      </c>
      <c r="H47" s="113"/>
    </row>
    <row r="48" spans="1:8" ht="17.100000000000001" customHeight="1" x14ac:dyDescent="0.2">
      <c r="A48" s="3">
        <v>42</v>
      </c>
      <c r="B48" s="4" t="s">
        <v>258</v>
      </c>
      <c r="C48" s="4" t="s">
        <v>259</v>
      </c>
      <c r="D48" s="4" t="s">
        <v>207</v>
      </c>
      <c r="E48" s="5">
        <v>47000</v>
      </c>
      <c r="F48" s="6">
        <v>2415.8705</v>
      </c>
      <c r="G48" s="7">
        <v>7.2365499999999996E-3</v>
      </c>
      <c r="H48" s="113"/>
    </row>
    <row r="49" spans="1:8" ht="17.100000000000001" customHeight="1" x14ac:dyDescent="0.2">
      <c r="A49" s="3">
        <v>43</v>
      </c>
      <c r="B49" s="4" t="s">
        <v>475</v>
      </c>
      <c r="C49" s="4" t="s">
        <v>476</v>
      </c>
      <c r="D49" s="4" t="s">
        <v>234</v>
      </c>
      <c r="E49" s="5">
        <v>143000</v>
      </c>
      <c r="F49" s="6">
        <v>2048.6179999999999</v>
      </c>
      <c r="G49" s="7">
        <v>6.1364699999999998E-3</v>
      </c>
      <c r="H49" s="113"/>
    </row>
    <row r="50" spans="1:8" ht="17.100000000000001" customHeight="1" x14ac:dyDescent="0.2">
      <c r="A50" s="3">
        <v>44</v>
      </c>
      <c r="B50" s="4" t="s">
        <v>707</v>
      </c>
      <c r="C50" s="4" t="s">
        <v>708</v>
      </c>
      <c r="D50" s="4" t="s">
        <v>262</v>
      </c>
      <c r="E50" s="5">
        <v>38000</v>
      </c>
      <c r="F50" s="6">
        <v>2028.6110000000001</v>
      </c>
      <c r="G50" s="7">
        <v>6.0765400000000001E-3</v>
      </c>
      <c r="H50" s="113"/>
    </row>
    <row r="51" spans="1:8" ht="17.100000000000001" customHeight="1" x14ac:dyDescent="0.2">
      <c r="A51" s="3">
        <v>45</v>
      </c>
      <c r="B51" s="4" t="s">
        <v>813</v>
      </c>
      <c r="C51" s="4" t="s">
        <v>814</v>
      </c>
      <c r="D51" s="4" t="s">
        <v>56</v>
      </c>
      <c r="E51" s="5">
        <v>127000</v>
      </c>
      <c r="F51" s="6">
        <v>1737.2964999999999</v>
      </c>
      <c r="G51" s="7">
        <v>5.2039299999999998E-3</v>
      </c>
      <c r="H51" s="113"/>
    </row>
    <row r="52" spans="1:8" ht="29.1" customHeight="1" x14ac:dyDescent="0.2">
      <c r="A52" s="3">
        <v>46</v>
      </c>
      <c r="B52" s="4" t="s">
        <v>541</v>
      </c>
      <c r="C52" s="4" t="s">
        <v>542</v>
      </c>
      <c r="D52" s="4" t="s">
        <v>543</v>
      </c>
      <c r="E52" s="5">
        <v>370035</v>
      </c>
      <c r="F52" s="6">
        <v>1621.6783875000001</v>
      </c>
      <c r="G52" s="7">
        <v>4.8576100000000001E-3</v>
      </c>
      <c r="H52" s="113"/>
    </row>
    <row r="53" spans="1:8" ht="17.100000000000001" customHeight="1" x14ac:dyDescent="0.2">
      <c r="A53" s="3">
        <v>47</v>
      </c>
      <c r="B53" s="4" t="s">
        <v>367</v>
      </c>
      <c r="C53" s="4" t="s">
        <v>368</v>
      </c>
      <c r="D53" s="4" t="s">
        <v>99</v>
      </c>
      <c r="E53" s="5">
        <v>800000</v>
      </c>
      <c r="F53" s="6">
        <v>1116.8</v>
      </c>
      <c r="G53" s="7">
        <v>3.3452899999999999E-3</v>
      </c>
      <c r="H53" s="113"/>
    </row>
    <row r="54" spans="1:8" ht="17.100000000000001" customHeight="1" x14ac:dyDescent="0.2">
      <c r="A54" s="3">
        <v>48</v>
      </c>
      <c r="B54" s="4" t="s">
        <v>791</v>
      </c>
      <c r="C54" s="4" t="s">
        <v>792</v>
      </c>
      <c r="D54" s="4" t="s">
        <v>210</v>
      </c>
      <c r="E54" s="5">
        <v>19000</v>
      </c>
      <c r="F54" s="6">
        <v>1083.779</v>
      </c>
      <c r="G54" s="7">
        <v>3.2463700000000002E-3</v>
      </c>
      <c r="H54" s="113"/>
    </row>
    <row r="55" spans="1:8" ht="17.100000000000001" customHeight="1" x14ac:dyDescent="0.2">
      <c r="A55" s="3">
        <v>49</v>
      </c>
      <c r="B55" s="4" t="s">
        <v>340</v>
      </c>
      <c r="C55" s="4" t="s">
        <v>341</v>
      </c>
      <c r="D55" s="4" t="s">
        <v>28</v>
      </c>
      <c r="E55" s="5">
        <v>225000</v>
      </c>
      <c r="F55" s="6">
        <v>984.375</v>
      </c>
      <c r="G55" s="7">
        <v>2.9486199999999999E-3</v>
      </c>
      <c r="H55" s="113"/>
    </row>
    <row r="56" spans="1:8" ht="29.1" customHeight="1" x14ac:dyDescent="0.2">
      <c r="A56" s="3">
        <v>50</v>
      </c>
      <c r="B56" s="4" t="s">
        <v>573</v>
      </c>
      <c r="C56" s="4" t="s">
        <v>574</v>
      </c>
      <c r="D56" s="4" t="s">
        <v>483</v>
      </c>
      <c r="E56" s="5">
        <v>165000</v>
      </c>
      <c r="F56" s="6">
        <v>905.02499999999998</v>
      </c>
      <c r="G56" s="7">
        <v>2.7109299999999999E-3</v>
      </c>
      <c r="H56" s="113"/>
    </row>
    <row r="57" spans="1:8" ht="17.100000000000001" customHeight="1" x14ac:dyDescent="0.2">
      <c r="A57" s="3">
        <v>51</v>
      </c>
      <c r="B57" s="4" t="s">
        <v>39</v>
      </c>
      <c r="C57" s="4" t="s">
        <v>40</v>
      </c>
      <c r="D57" s="4" t="s">
        <v>41</v>
      </c>
      <c r="E57" s="5">
        <v>18000</v>
      </c>
      <c r="F57" s="6">
        <v>841.47299999999996</v>
      </c>
      <c r="G57" s="7">
        <v>2.5205700000000002E-3</v>
      </c>
      <c r="H57" s="113"/>
    </row>
    <row r="58" spans="1:8" ht="29.1" customHeight="1" x14ac:dyDescent="0.2">
      <c r="A58" s="3">
        <v>52</v>
      </c>
      <c r="B58" s="4" t="s">
        <v>77</v>
      </c>
      <c r="C58" s="4" t="s">
        <v>78</v>
      </c>
      <c r="D58" s="4" t="s">
        <v>25</v>
      </c>
      <c r="E58" s="5">
        <v>31690</v>
      </c>
      <c r="F58" s="6">
        <v>721.01088000000004</v>
      </c>
      <c r="G58" s="7">
        <v>2.1597299999999999E-3</v>
      </c>
      <c r="H58" s="113"/>
    </row>
    <row r="59" spans="1:8" ht="17.100000000000001" customHeight="1" x14ac:dyDescent="0.2">
      <c r="A59" s="3">
        <v>53</v>
      </c>
      <c r="B59" s="4" t="s">
        <v>351</v>
      </c>
      <c r="C59" s="4" t="s">
        <v>352</v>
      </c>
      <c r="D59" s="4" t="s">
        <v>248</v>
      </c>
      <c r="E59" s="5">
        <v>58791</v>
      </c>
      <c r="F59" s="6">
        <v>458.54040450000002</v>
      </c>
      <c r="G59" s="7">
        <v>1.37352E-3</v>
      </c>
      <c r="H59" s="113"/>
    </row>
    <row r="60" spans="1:8" ht="14.1" customHeight="1" x14ac:dyDescent="0.2">
      <c r="A60" s="1"/>
      <c r="B60" s="1"/>
      <c r="C60" s="2" t="s">
        <v>151</v>
      </c>
      <c r="D60" s="1"/>
      <c r="E60" s="1" t="s">
        <v>152</v>
      </c>
      <c r="F60" s="9">
        <v>329565.10790349997</v>
      </c>
      <c r="G60" s="10">
        <v>0.98718605000000004</v>
      </c>
      <c r="H60" s="113"/>
    </row>
    <row r="61" spans="1:8" ht="14.1" customHeight="1" x14ac:dyDescent="0.2">
      <c r="A61" s="1"/>
      <c r="B61" s="1"/>
      <c r="C61" s="11"/>
      <c r="D61" s="1"/>
      <c r="E61" s="1"/>
      <c r="F61" s="12"/>
      <c r="G61" s="12"/>
      <c r="H61" s="113"/>
    </row>
    <row r="62" spans="1:8" ht="14.1" customHeight="1" x14ac:dyDescent="0.2">
      <c r="A62" s="1"/>
      <c r="B62" s="1"/>
      <c r="C62" s="2" t="s">
        <v>153</v>
      </c>
      <c r="D62" s="1"/>
      <c r="E62" s="1"/>
      <c r="F62" s="1"/>
      <c r="G62" s="1"/>
      <c r="H62" s="113"/>
    </row>
    <row r="63" spans="1:8" ht="14.1" customHeight="1" x14ac:dyDescent="0.2">
      <c r="A63" s="1"/>
      <c r="B63" s="1"/>
      <c r="C63" s="2" t="s">
        <v>151</v>
      </c>
      <c r="D63" s="1"/>
      <c r="E63" s="1" t="s">
        <v>152</v>
      </c>
      <c r="F63" s="13" t="s">
        <v>154</v>
      </c>
      <c r="G63" s="10">
        <v>0</v>
      </c>
      <c r="H63" s="113"/>
    </row>
    <row r="64" spans="1:8" ht="14.1" customHeight="1" x14ac:dyDescent="0.2">
      <c r="A64" s="1"/>
      <c r="B64" s="1"/>
      <c r="C64" s="11"/>
      <c r="D64" s="1"/>
      <c r="E64" s="1"/>
      <c r="F64" s="12"/>
      <c r="G64" s="12"/>
      <c r="H64" s="113"/>
    </row>
    <row r="65" spans="1:8" ht="14.1" customHeight="1" x14ac:dyDescent="0.2">
      <c r="A65" s="1"/>
      <c r="B65" s="1"/>
      <c r="C65" s="2" t="s">
        <v>155</v>
      </c>
      <c r="D65" s="1"/>
      <c r="E65" s="1"/>
      <c r="F65" s="1"/>
      <c r="G65" s="1"/>
      <c r="H65" s="113"/>
    </row>
    <row r="66" spans="1:8" ht="14.1" customHeight="1" x14ac:dyDescent="0.2">
      <c r="A66" s="1"/>
      <c r="B66" s="1"/>
      <c r="C66" s="2" t="s">
        <v>151</v>
      </c>
      <c r="D66" s="1"/>
      <c r="E66" s="1" t="s">
        <v>152</v>
      </c>
      <c r="F66" s="13" t="s">
        <v>154</v>
      </c>
      <c r="G66" s="10">
        <v>0</v>
      </c>
      <c r="H66" s="113"/>
    </row>
    <row r="67" spans="1:8" ht="14.1" customHeight="1" x14ac:dyDescent="0.2">
      <c r="A67" s="1"/>
      <c r="B67" s="1"/>
      <c r="C67" s="11"/>
      <c r="D67" s="1"/>
      <c r="E67" s="1"/>
      <c r="F67" s="12"/>
      <c r="G67" s="12"/>
      <c r="H67" s="113"/>
    </row>
    <row r="68" spans="1:8" ht="14.1" customHeight="1" x14ac:dyDescent="0.2">
      <c r="A68" s="1"/>
      <c r="B68" s="1"/>
      <c r="C68" s="2" t="s">
        <v>156</v>
      </c>
      <c r="D68" s="1"/>
      <c r="E68" s="1"/>
      <c r="F68" s="1"/>
      <c r="G68" s="1"/>
      <c r="H68" s="113"/>
    </row>
    <row r="69" spans="1:8" ht="14.1" customHeight="1" x14ac:dyDescent="0.2">
      <c r="A69" s="1"/>
      <c r="B69" s="1"/>
      <c r="C69" s="2" t="s">
        <v>151</v>
      </c>
      <c r="D69" s="1"/>
      <c r="E69" s="1" t="s">
        <v>152</v>
      </c>
      <c r="F69" s="13" t="s">
        <v>154</v>
      </c>
      <c r="G69" s="10">
        <v>0</v>
      </c>
      <c r="H69" s="113"/>
    </row>
    <row r="70" spans="1:8" ht="14.1" customHeight="1" x14ac:dyDescent="0.2">
      <c r="A70" s="1"/>
      <c r="B70" s="1"/>
      <c r="C70" s="11"/>
      <c r="D70" s="1"/>
      <c r="E70" s="1"/>
      <c r="F70" s="12"/>
      <c r="G70" s="12"/>
      <c r="H70" s="113"/>
    </row>
    <row r="71" spans="1:8" ht="14.1" customHeight="1" x14ac:dyDescent="0.2">
      <c r="A71" s="1"/>
      <c r="B71" s="1"/>
      <c r="C71" s="2" t="s">
        <v>157</v>
      </c>
      <c r="D71" s="1"/>
      <c r="E71" s="1"/>
      <c r="F71" s="12"/>
      <c r="G71" s="12"/>
      <c r="H71" s="113"/>
    </row>
    <row r="72" spans="1:8" ht="14.1" customHeight="1" x14ac:dyDescent="0.2">
      <c r="A72" s="1"/>
      <c r="B72" s="1"/>
      <c r="C72" s="2" t="s">
        <v>151</v>
      </c>
      <c r="D72" s="1"/>
      <c r="E72" s="1" t="s">
        <v>152</v>
      </c>
      <c r="F72" s="13" t="s">
        <v>154</v>
      </c>
      <c r="G72" s="10">
        <v>0</v>
      </c>
      <c r="H72" s="113"/>
    </row>
    <row r="73" spans="1:8" ht="14.1" customHeight="1" x14ac:dyDescent="0.2">
      <c r="A73" s="1"/>
      <c r="B73" s="1"/>
      <c r="C73" s="11"/>
      <c r="D73" s="1"/>
      <c r="E73" s="1"/>
      <c r="F73" s="12"/>
      <c r="G73" s="12"/>
      <c r="H73" s="113"/>
    </row>
    <row r="74" spans="1:8" ht="14.1" customHeight="1" x14ac:dyDescent="0.2">
      <c r="A74" s="1"/>
      <c r="B74" s="1"/>
      <c r="C74" s="2" t="s">
        <v>158</v>
      </c>
      <c r="D74" s="1"/>
      <c r="E74" s="1"/>
      <c r="F74" s="12"/>
      <c r="G74" s="12"/>
      <c r="H74" s="113"/>
    </row>
    <row r="75" spans="1:8" ht="14.1" customHeight="1" x14ac:dyDescent="0.2">
      <c r="A75" s="1"/>
      <c r="B75" s="1"/>
      <c r="C75" s="2" t="s">
        <v>151</v>
      </c>
      <c r="D75" s="1"/>
      <c r="E75" s="1" t="s">
        <v>152</v>
      </c>
      <c r="F75" s="13" t="s">
        <v>154</v>
      </c>
      <c r="G75" s="10">
        <v>0</v>
      </c>
      <c r="H75" s="113"/>
    </row>
    <row r="76" spans="1:8" ht="14.1" customHeight="1" x14ac:dyDescent="0.2">
      <c r="A76" s="1"/>
      <c r="B76" s="1"/>
      <c r="C76" s="11"/>
      <c r="D76" s="1"/>
      <c r="E76" s="1"/>
      <c r="F76" s="12"/>
      <c r="G76" s="12"/>
      <c r="H76" s="113"/>
    </row>
    <row r="77" spans="1:8" ht="18" customHeight="1" x14ac:dyDescent="0.2">
      <c r="A77" s="1"/>
      <c r="B77" s="1"/>
      <c r="C77" s="2" t="s">
        <v>159</v>
      </c>
      <c r="D77" s="1"/>
      <c r="E77" s="1"/>
      <c r="F77" s="9">
        <v>329565.10790349997</v>
      </c>
      <c r="G77" s="10">
        <v>0.98718605000000004</v>
      </c>
      <c r="H77" s="113"/>
    </row>
    <row r="78" spans="1:8" ht="14.1" customHeight="1" x14ac:dyDescent="0.2">
      <c r="A78" s="1"/>
      <c r="B78" s="1"/>
      <c r="C78" s="11"/>
      <c r="D78" s="1"/>
      <c r="E78" s="1"/>
      <c r="F78" s="12"/>
      <c r="G78" s="12"/>
      <c r="H78" s="113"/>
    </row>
    <row r="79" spans="1:8" ht="14.1" customHeight="1" x14ac:dyDescent="0.2">
      <c r="A79" s="1"/>
      <c r="B79" s="1"/>
      <c r="C79" s="2" t="s">
        <v>160</v>
      </c>
      <c r="D79" s="1"/>
      <c r="E79" s="1"/>
      <c r="F79" s="12"/>
      <c r="G79" s="12"/>
      <c r="H79" s="113"/>
    </row>
    <row r="80" spans="1:8" ht="24" customHeight="1" x14ac:dyDescent="0.2">
      <c r="A80" s="1"/>
      <c r="B80" s="1"/>
      <c r="C80" s="2" t="s">
        <v>10</v>
      </c>
      <c r="D80" s="1"/>
      <c r="E80" s="1"/>
      <c r="F80" s="12"/>
      <c r="G80" s="12"/>
      <c r="H80" s="113"/>
    </row>
    <row r="81" spans="1:8" ht="29.1" customHeight="1" x14ac:dyDescent="0.2">
      <c r="A81" s="3">
        <v>1</v>
      </c>
      <c r="B81" s="4" t="s">
        <v>724</v>
      </c>
      <c r="C81" s="4" t="s">
        <v>725</v>
      </c>
      <c r="D81" s="4" t="s">
        <v>582</v>
      </c>
      <c r="E81" s="5">
        <v>28980</v>
      </c>
      <c r="F81" s="6">
        <v>8.3173846139999998</v>
      </c>
      <c r="G81" s="44" t="s">
        <v>150</v>
      </c>
      <c r="H81" s="113">
        <v>7.7874999999999996</v>
      </c>
    </row>
    <row r="82" spans="1:8" ht="14.1" customHeight="1" x14ac:dyDescent="0.2">
      <c r="A82" s="1"/>
      <c r="B82" s="1"/>
      <c r="C82" s="2" t="s">
        <v>151</v>
      </c>
      <c r="D82" s="1"/>
      <c r="E82" s="1" t="s">
        <v>152</v>
      </c>
      <c r="F82" s="9">
        <v>8.3173846139999998</v>
      </c>
      <c r="G82" s="10">
        <v>2.491E-5</v>
      </c>
      <c r="H82" s="113"/>
    </row>
    <row r="83" spans="1:8" ht="14.1" customHeight="1" x14ac:dyDescent="0.2">
      <c r="A83" s="1"/>
      <c r="B83" s="1"/>
      <c r="C83" s="11"/>
      <c r="D83" s="1"/>
      <c r="E83" s="1"/>
      <c r="F83" s="12"/>
      <c r="G83" s="12"/>
      <c r="H83" s="113"/>
    </row>
    <row r="84" spans="1:8" ht="14.1" customHeight="1" x14ac:dyDescent="0.2">
      <c r="A84" s="1"/>
      <c r="B84" s="1"/>
      <c r="C84" s="2" t="s">
        <v>161</v>
      </c>
      <c r="D84" s="1"/>
      <c r="E84" s="1"/>
      <c r="F84" s="1"/>
      <c r="G84" s="1"/>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162</v>
      </c>
      <c r="D87" s="1"/>
      <c r="E87" s="1"/>
      <c r="F87" s="1"/>
      <c r="G87" s="1"/>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4.1" customHeight="1" x14ac:dyDescent="0.2">
      <c r="A90" s="1"/>
      <c r="B90" s="1"/>
      <c r="C90" s="2" t="s">
        <v>163</v>
      </c>
      <c r="D90" s="1"/>
      <c r="E90" s="1"/>
      <c r="F90" s="12"/>
      <c r="G90" s="12"/>
      <c r="H90" s="113"/>
    </row>
    <row r="91" spans="1:8" ht="14.1" customHeight="1" x14ac:dyDescent="0.2">
      <c r="A91" s="1"/>
      <c r="B91" s="1"/>
      <c r="C91" s="2" t="s">
        <v>151</v>
      </c>
      <c r="D91" s="1"/>
      <c r="E91" s="1" t="s">
        <v>152</v>
      </c>
      <c r="F91" s="13" t="s">
        <v>154</v>
      </c>
      <c r="G91" s="10">
        <v>0</v>
      </c>
      <c r="H91" s="113"/>
    </row>
    <row r="92" spans="1:8" ht="14.1" customHeight="1" x14ac:dyDescent="0.2">
      <c r="A92" s="1"/>
      <c r="B92" s="1"/>
      <c r="C92" s="11"/>
      <c r="D92" s="1"/>
      <c r="E92" s="1"/>
      <c r="F92" s="12"/>
      <c r="G92" s="12"/>
      <c r="H92" s="113"/>
    </row>
    <row r="93" spans="1:8" ht="14.1" customHeight="1" x14ac:dyDescent="0.2">
      <c r="A93" s="1"/>
      <c r="B93" s="1"/>
      <c r="C93" s="2" t="s">
        <v>164</v>
      </c>
      <c r="D93" s="1"/>
      <c r="E93" s="1"/>
      <c r="F93" s="9">
        <v>8.3173846139999998</v>
      </c>
      <c r="G93" s="10">
        <v>2.491E-5</v>
      </c>
      <c r="H93" s="113"/>
    </row>
    <row r="94" spans="1:8" ht="14.1" customHeight="1" x14ac:dyDescent="0.2">
      <c r="A94" s="1"/>
      <c r="B94" s="1"/>
      <c r="C94" s="11"/>
      <c r="D94" s="1"/>
      <c r="E94" s="1"/>
      <c r="F94" s="12"/>
      <c r="G94" s="12"/>
      <c r="H94" s="113"/>
    </row>
    <row r="95" spans="1:8" ht="14.1" customHeight="1" x14ac:dyDescent="0.2">
      <c r="A95" s="1"/>
      <c r="B95" s="1"/>
      <c r="C95" s="2" t="s">
        <v>165</v>
      </c>
      <c r="D95" s="1"/>
      <c r="E95" s="1"/>
      <c r="F95" s="12"/>
      <c r="G95" s="12"/>
      <c r="H95" s="113"/>
    </row>
    <row r="96" spans="1:8" ht="14.1" customHeight="1" x14ac:dyDescent="0.2">
      <c r="A96" s="1"/>
      <c r="B96" s="1"/>
      <c r="C96" s="2" t="s">
        <v>166</v>
      </c>
      <c r="D96" s="1"/>
      <c r="E96" s="1"/>
      <c r="F96" s="12"/>
      <c r="G96" s="12"/>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167</v>
      </c>
      <c r="D99" s="1"/>
      <c r="E99" s="1"/>
      <c r="F99" s="12"/>
      <c r="G99" s="12"/>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14.1" customHeight="1" x14ac:dyDescent="0.2">
      <c r="A102" s="1"/>
      <c r="B102" s="1"/>
      <c r="C102" s="2" t="s">
        <v>168</v>
      </c>
      <c r="D102" s="1"/>
      <c r="E102" s="1"/>
      <c r="F102" s="12"/>
      <c r="G102" s="12"/>
      <c r="H102" s="113"/>
    </row>
    <row r="103" spans="1:8" ht="14.1" customHeight="1" x14ac:dyDescent="0.2">
      <c r="A103" s="1"/>
      <c r="B103" s="1"/>
      <c r="C103" s="2" t="s">
        <v>151</v>
      </c>
      <c r="D103" s="1"/>
      <c r="E103" s="1" t="s">
        <v>152</v>
      </c>
      <c r="F103" s="13" t="s">
        <v>154</v>
      </c>
      <c r="G103" s="10">
        <v>0</v>
      </c>
      <c r="H103" s="113"/>
    </row>
    <row r="104" spans="1:8" ht="14.1" customHeight="1" x14ac:dyDescent="0.2">
      <c r="A104" s="1"/>
      <c r="B104" s="1"/>
      <c r="C104" s="11"/>
      <c r="D104" s="1"/>
      <c r="E104" s="1"/>
      <c r="F104" s="12"/>
      <c r="G104" s="12"/>
      <c r="H104" s="113"/>
    </row>
    <row r="105" spans="1:8" ht="14.1" customHeight="1" x14ac:dyDescent="0.2">
      <c r="A105" s="1"/>
      <c r="B105" s="1"/>
      <c r="C105" s="2" t="s">
        <v>169</v>
      </c>
      <c r="D105" s="1"/>
      <c r="E105" s="1"/>
      <c r="F105" s="12"/>
      <c r="G105" s="12"/>
      <c r="H105" s="113"/>
    </row>
    <row r="106" spans="1:8" ht="17.100000000000001" customHeight="1" x14ac:dyDescent="0.2">
      <c r="A106" s="3">
        <v>1</v>
      </c>
      <c r="B106" s="4"/>
      <c r="C106" s="4" t="s">
        <v>170</v>
      </c>
      <c r="D106" s="4"/>
      <c r="E106" s="8"/>
      <c r="F106" s="6">
        <v>4545.8628270019999</v>
      </c>
      <c r="G106" s="7">
        <v>1.361677E-2</v>
      </c>
      <c r="H106" s="113">
        <v>6.7600000000000016</v>
      </c>
    </row>
    <row r="107" spans="1:8" ht="14.1" customHeight="1" x14ac:dyDescent="0.2">
      <c r="A107" s="1"/>
      <c r="B107" s="1"/>
      <c r="C107" s="2" t="s">
        <v>151</v>
      </c>
      <c r="D107" s="1"/>
      <c r="E107" s="1" t="s">
        <v>152</v>
      </c>
      <c r="F107" s="9">
        <v>4545.8628270019999</v>
      </c>
      <c r="G107" s="10">
        <v>1.361677E-2</v>
      </c>
      <c r="H107" s="113"/>
    </row>
    <row r="108" spans="1:8" ht="14.1" customHeight="1" x14ac:dyDescent="0.2">
      <c r="A108" s="1"/>
      <c r="B108" s="1"/>
      <c r="C108" s="11"/>
      <c r="D108" s="1"/>
      <c r="E108" s="1"/>
      <c r="F108" s="12"/>
      <c r="G108" s="12"/>
      <c r="H108" s="113"/>
    </row>
    <row r="109" spans="1:8" ht="14.1" customHeight="1" x14ac:dyDescent="0.2">
      <c r="A109" s="1"/>
      <c r="B109" s="1"/>
      <c r="C109" s="2" t="s">
        <v>171</v>
      </c>
      <c r="D109" s="1"/>
      <c r="E109" s="1"/>
      <c r="F109" s="9">
        <v>4545.8628270019999</v>
      </c>
      <c r="G109" s="10">
        <v>1.361677E-2</v>
      </c>
      <c r="H109" s="113"/>
    </row>
    <row r="110" spans="1:8" ht="14.1" customHeight="1" x14ac:dyDescent="0.2">
      <c r="A110" s="1"/>
      <c r="B110" s="1"/>
      <c r="C110" s="12"/>
      <c r="D110" s="1"/>
      <c r="E110" s="1"/>
      <c r="F110" s="1"/>
      <c r="G110" s="1"/>
      <c r="H110" s="113"/>
    </row>
    <row r="111" spans="1:8" ht="14.1" customHeight="1" x14ac:dyDescent="0.2">
      <c r="A111" s="1"/>
      <c r="B111" s="1"/>
      <c r="C111" s="2" t="s">
        <v>172</v>
      </c>
      <c r="D111" s="1"/>
      <c r="E111" s="1"/>
      <c r="F111" s="1"/>
      <c r="G111" s="1"/>
      <c r="H111" s="113"/>
    </row>
    <row r="112" spans="1:8" ht="14.1" customHeight="1" x14ac:dyDescent="0.2">
      <c r="A112" s="1"/>
      <c r="B112" s="1"/>
      <c r="C112" s="2" t="s">
        <v>173</v>
      </c>
      <c r="D112" s="1"/>
      <c r="E112" s="1"/>
      <c r="F112" s="1"/>
      <c r="G112" s="1"/>
      <c r="H112" s="113"/>
    </row>
    <row r="113" spans="1:14" ht="14.1" customHeight="1" x14ac:dyDescent="0.2">
      <c r="A113" s="1"/>
      <c r="B113" s="1"/>
      <c r="C113" s="2" t="s">
        <v>151</v>
      </c>
      <c r="D113" s="1"/>
      <c r="E113" s="1" t="s">
        <v>152</v>
      </c>
      <c r="F113" s="13" t="s">
        <v>154</v>
      </c>
      <c r="G113" s="10">
        <v>0</v>
      </c>
      <c r="H113" s="113"/>
    </row>
    <row r="114" spans="1:14" ht="14.1" customHeight="1" x14ac:dyDescent="0.2">
      <c r="A114" s="1"/>
      <c r="B114" s="1"/>
      <c r="C114" s="11"/>
      <c r="D114" s="1"/>
      <c r="E114" s="1"/>
      <c r="F114" s="12"/>
      <c r="G114" s="12"/>
      <c r="H114" s="113"/>
    </row>
    <row r="115" spans="1:14" ht="14.1" customHeight="1" x14ac:dyDescent="0.2">
      <c r="A115" s="1"/>
      <c r="B115" s="1"/>
      <c r="C115" s="2" t="s">
        <v>174</v>
      </c>
      <c r="D115" s="1"/>
      <c r="E115" s="1"/>
      <c r="F115" s="1"/>
      <c r="G115" s="1"/>
      <c r="H115" s="113"/>
    </row>
    <row r="116" spans="1:14" ht="14.1" customHeight="1" x14ac:dyDescent="0.2">
      <c r="A116" s="1"/>
      <c r="B116" s="1"/>
      <c r="C116" s="2" t="s">
        <v>175</v>
      </c>
      <c r="D116" s="1"/>
      <c r="E116" s="1"/>
      <c r="F116" s="1"/>
      <c r="G116" s="1"/>
      <c r="H116" s="113"/>
    </row>
    <row r="117" spans="1:14" ht="14.1" customHeight="1" x14ac:dyDescent="0.2">
      <c r="A117" s="1"/>
      <c r="B117" s="1"/>
      <c r="C117" s="2" t="s">
        <v>151</v>
      </c>
      <c r="D117" s="1"/>
      <c r="E117" s="1" t="s">
        <v>152</v>
      </c>
      <c r="F117" s="13" t="s">
        <v>154</v>
      </c>
      <c r="G117" s="10">
        <v>0</v>
      </c>
      <c r="H117" s="113"/>
    </row>
    <row r="118" spans="1:14" ht="14.1" customHeight="1" x14ac:dyDescent="0.2">
      <c r="A118" s="1"/>
      <c r="B118" s="1"/>
      <c r="C118" s="11"/>
      <c r="D118" s="1"/>
      <c r="E118" s="1"/>
      <c r="F118" s="12"/>
      <c r="G118" s="12"/>
      <c r="H118" s="113"/>
    </row>
    <row r="119" spans="1:14" ht="24" customHeight="1" x14ac:dyDescent="0.2">
      <c r="A119" s="1"/>
      <c r="B119" s="1"/>
      <c r="C119" s="2" t="s">
        <v>176</v>
      </c>
      <c r="D119" s="1"/>
      <c r="E119" s="1"/>
      <c r="F119" s="12"/>
      <c r="G119" s="12"/>
      <c r="H119" s="113"/>
    </row>
    <row r="120" spans="1:14" ht="14.1" customHeight="1" x14ac:dyDescent="0.2">
      <c r="A120" s="1"/>
      <c r="B120" s="1"/>
      <c r="C120" s="2" t="s">
        <v>151</v>
      </c>
      <c r="D120" s="1"/>
      <c r="E120" s="1" t="s">
        <v>152</v>
      </c>
      <c r="F120" s="13" t="s">
        <v>154</v>
      </c>
      <c r="G120" s="10">
        <v>0</v>
      </c>
      <c r="H120" s="113"/>
    </row>
    <row r="121" spans="1:14" ht="14.1" customHeight="1" x14ac:dyDescent="0.2">
      <c r="A121" s="1"/>
      <c r="B121" s="1"/>
      <c r="C121" s="11"/>
      <c r="D121" s="1"/>
      <c r="E121" s="1"/>
      <c r="F121" s="12"/>
      <c r="G121" s="12"/>
      <c r="H121" s="113"/>
    </row>
    <row r="122" spans="1:14" ht="14.1" customHeight="1" x14ac:dyDescent="0.2">
      <c r="A122" s="1"/>
      <c r="B122" s="4"/>
      <c r="C122" s="4"/>
      <c r="D122" s="2"/>
      <c r="E122" s="1"/>
      <c r="F122" s="4"/>
      <c r="G122" s="8"/>
      <c r="H122" s="113"/>
    </row>
    <row r="123" spans="1:14" ht="18" customHeight="1" x14ac:dyDescent="0.2">
      <c r="A123" s="8"/>
      <c r="B123" s="4"/>
      <c r="C123" s="40" t="s">
        <v>982</v>
      </c>
      <c r="D123" s="4"/>
      <c r="E123" s="8"/>
      <c r="F123" s="6">
        <v>-276.32084327000001</v>
      </c>
      <c r="G123" s="7">
        <v>-8.2770000000000001E-4</v>
      </c>
      <c r="H123" s="113"/>
    </row>
    <row r="124" spans="1:14" ht="14.1" customHeight="1" x14ac:dyDescent="0.2">
      <c r="A124" s="11"/>
      <c r="B124" s="11"/>
      <c r="C124" s="2" t="s">
        <v>178</v>
      </c>
      <c r="D124" s="12"/>
      <c r="E124" s="12"/>
      <c r="F124" s="9">
        <v>333842.96727184602</v>
      </c>
      <c r="G124" s="14">
        <v>1.00000003</v>
      </c>
      <c r="H124" s="113"/>
    </row>
    <row r="125" spans="1:14" ht="14.1" customHeight="1" x14ac:dyDescent="0.2">
      <c r="A125" s="15"/>
      <c r="B125" s="15"/>
      <c r="C125" s="15"/>
      <c r="D125" s="16"/>
      <c r="E125" s="16"/>
      <c r="F125" s="16"/>
      <c r="G125" s="16"/>
      <c r="J125" s="195"/>
      <c r="K125" s="195"/>
      <c r="L125" s="195"/>
      <c r="M125" s="195"/>
      <c r="N125" s="195"/>
    </row>
    <row r="126" spans="1:14" ht="14.1" customHeight="1" x14ac:dyDescent="0.2">
      <c r="A126" s="45"/>
      <c r="B126" s="217" t="s">
        <v>980</v>
      </c>
      <c r="C126" s="217"/>
      <c r="D126" s="217"/>
      <c r="E126" s="217"/>
      <c r="F126" s="217"/>
      <c r="G126" s="48"/>
    </row>
    <row r="127" spans="1:14" ht="17.100000000000001" customHeight="1" x14ac:dyDescent="0.2">
      <c r="A127" s="45"/>
      <c r="B127" s="217" t="s">
        <v>981</v>
      </c>
      <c r="C127" s="217"/>
      <c r="D127" s="217"/>
      <c r="E127" s="217"/>
      <c r="F127" s="217"/>
      <c r="G127" s="48"/>
    </row>
    <row r="128" spans="1:14" ht="17.100000000000001" customHeight="1" x14ac:dyDescent="0.2">
      <c r="A128" s="17"/>
      <c r="B128" s="207" t="s">
        <v>179</v>
      </c>
      <c r="C128" s="207"/>
      <c r="D128" s="207"/>
      <c r="E128" s="207"/>
      <c r="F128" s="207"/>
      <c r="G128" s="19"/>
    </row>
    <row r="129" spans="1:7" ht="14.1" customHeight="1" x14ac:dyDescent="0.2">
      <c r="A129" s="17"/>
      <c r="B129" s="17"/>
      <c r="C129" s="17"/>
      <c r="D129" s="19"/>
      <c r="E129" s="19"/>
      <c r="F129" s="19"/>
      <c r="G129" s="19"/>
    </row>
    <row r="130" spans="1:7" ht="14.1" customHeight="1" x14ac:dyDescent="0.2">
      <c r="A130" s="17"/>
      <c r="B130" s="208" t="s">
        <v>180</v>
      </c>
      <c r="C130" s="209"/>
      <c r="D130" s="210"/>
      <c r="E130" s="20"/>
      <c r="F130" s="19"/>
      <c r="G130" s="19"/>
    </row>
    <row r="131" spans="1:7" ht="29.1" customHeight="1" x14ac:dyDescent="0.2">
      <c r="A131" s="17"/>
      <c r="B131" s="205" t="s">
        <v>181</v>
      </c>
      <c r="C131" s="206"/>
      <c r="D131" s="2" t="s">
        <v>182</v>
      </c>
      <c r="E131" s="20"/>
      <c r="F131" s="19"/>
      <c r="G131" s="19"/>
    </row>
    <row r="132" spans="1:7" ht="17.100000000000001" customHeight="1" x14ac:dyDescent="0.2">
      <c r="A132" s="17"/>
      <c r="B132" s="205" t="s">
        <v>183</v>
      </c>
      <c r="C132" s="206"/>
      <c r="D132" s="2" t="s">
        <v>182</v>
      </c>
      <c r="E132" s="20"/>
      <c r="F132" s="19"/>
      <c r="G132" s="19"/>
    </row>
    <row r="133" spans="1:7" ht="17.100000000000001" customHeight="1" x14ac:dyDescent="0.2">
      <c r="A133" s="17"/>
      <c r="B133" s="205" t="s">
        <v>184</v>
      </c>
      <c r="C133" s="206"/>
      <c r="D133" s="12" t="s">
        <v>152</v>
      </c>
      <c r="E133" s="20"/>
      <c r="F133" s="19"/>
      <c r="G133" s="19"/>
    </row>
    <row r="134" spans="1:7" ht="25.5" x14ac:dyDescent="0.2">
      <c r="A134" s="21"/>
      <c r="B134" s="22" t="s">
        <v>152</v>
      </c>
      <c r="C134" s="22" t="s">
        <v>185</v>
      </c>
      <c r="D134" s="22" t="s">
        <v>186</v>
      </c>
      <c r="E134" s="21"/>
      <c r="F134" s="21"/>
      <c r="G134" s="21"/>
    </row>
    <row r="135" spans="1:7" ht="18" customHeight="1" x14ac:dyDescent="0.2">
      <c r="A135" s="21"/>
      <c r="B135" s="23" t="s">
        <v>187</v>
      </c>
      <c r="C135" s="22" t="s">
        <v>188</v>
      </c>
      <c r="D135" s="22" t="s">
        <v>189</v>
      </c>
      <c r="E135" s="21"/>
      <c r="F135" s="21"/>
      <c r="G135" s="21"/>
    </row>
    <row r="136" spans="1:7" ht="17.100000000000001" customHeight="1" x14ac:dyDescent="0.2">
      <c r="A136" s="21"/>
      <c r="B136" s="4" t="s">
        <v>190</v>
      </c>
      <c r="C136" s="24">
        <v>18.276900000000001</v>
      </c>
      <c r="D136" s="24">
        <v>19.6373</v>
      </c>
      <c r="E136" s="21"/>
      <c r="F136" s="18"/>
      <c r="G136" s="25"/>
    </row>
    <row r="137" spans="1:7" ht="17.100000000000001" customHeight="1" x14ac:dyDescent="0.2">
      <c r="A137" s="21"/>
      <c r="B137" s="4" t="s">
        <v>1033</v>
      </c>
      <c r="C137" s="24">
        <v>15.7568</v>
      </c>
      <c r="D137" s="24">
        <v>16.9297</v>
      </c>
      <c r="E137" s="21"/>
      <c r="F137" s="18"/>
      <c r="G137" s="25"/>
    </row>
    <row r="138" spans="1:7" ht="17.100000000000001" customHeight="1" x14ac:dyDescent="0.2">
      <c r="A138" s="21"/>
      <c r="B138" s="4" t="s">
        <v>191</v>
      </c>
      <c r="C138" s="24">
        <v>17.382899999999999</v>
      </c>
      <c r="D138" s="24">
        <v>18.656300000000002</v>
      </c>
      <c r="E138" s="21"/>
      <c r="F138" s="18"/>
      <c r="G138" s="25"/>
    </row>
    <row r="139" spans="1:7" ht="17.100000000000001" customHeight="1" x14ac:dyDescent="0.2">
      <c r="A139" s="21"/>
      <c r="B139" s="4" t="s">
        <v>1034</v>
      </c>
      <c r="C139" s="24">
        <v>14.972</v>
      </c>
      <c r="D139" s="24">
        <v>16.0688</v>
      </c>
      <c r="E139" s="21"/>
      <c r="F139" s="18"/>
      <c r="G139" s="25"/>
    </row>
    <row r="140" spans="1:7" ht="14.1" customHeight="1" x14ac:dyDescent="0.2">
      <c r="A140" s="21"/>
      <c r="B140" s="21"/>
      <c r="C140" s="21"/>
      <c r="D140" s="21"/>
      <c r="E140" s="21"/>
      <c r="F140" s="21"/>
      <c r="G140" s="21"/>
    </row>
    <row r="141" spans="1:7" ht="17.100000000000001" customHeight="1" x14ac:dyDescent="0.2">
      <c r="A141" s="21"/>
      <c r="B141" s="205" t="s">
        <v>1035</v>
      </c>
      <c r="C141" s="206"/>
      <c r="D141" s="46" t="s">
        <v>182</v>
      </c>
      <c r="E141" s="21"/>
      <c r="F141" s="21"/>
      <c r="G141" s="21"/>
    </row>
    <row r="142" spans="1:7" ht="18" customHeight="1" x14ac:dyDescent="0.2">
      <c r="A142" s="21"/>
      <c r="B142" s="26"/>
      <c r="C142" s="26"/>
      <c r="D142" s="26"/>
      <c r="E142" s="21"/>
      <c r="F142" s="21"/>
      <c r="G142" s="21"/>
    </row>
    <row r="143" spans="1:7" ht="29.1" customHeight="1" x14ac:dyDescent="0.2">
      <c r="A143" s="21"/>
      <c r="B143" s="205" t="s">
        <v>192</v>
      </c>
      <c r="C143" s="206"/>
      <c r="D143" s="2" t="s">
        <v>182</v>
      </c>
      <c r="E143" s="27"/>
      <c r="F143" s="21"/>
      <c r="G143" s="21"/>
    </row>
    <row r="144" spans="1:7" ht="29.1" customHeight="1" x14ac:dyDescent="0.2">
      <c r="A144" s="21"/>
      <c r="B144" s="205" t="s">
        <v>193</v>
      </c>
      <c r="C144" s="206"/>
      <c r="D144" s="2" t="s">
        <v>182</v>
      </c>
      <c r="E144" s="27"/>
      <c r="F144" s="21"/>
      <c r="G144" s="21"/>
    </row>
    <row r="145" spans="1:7" ht="17.100000000000001" customHeight="1" x14ac:dyDescent="0.2">
      <c r="A145" s="21"/>
      <c r="B145" s="205" t="s">
        <v>194</v>
      </c>
      <c r="C145" s="206"/>
      <c r="D145" s="2" t="s">
        <v>182</v>
      </c>
      <c r="E145" s="27"/>
      <c r="F145" s="21"/>
      <c r="G145" s="21"/>
    </row>
    <row r="146" spans="1:7" ht="17.100000000000001" customHeight="1" x14ac:dyDescent="0.2">
      <c r="A146" s="21"/>
      <c r="B146" s="205" t="s">
        <v>195</v>
      </c>
      <c r="C146" s="206"/>
      <c r="D146" s="28">
        <v>0.18934626145237229</v>
      </c>
      <c r="E146" s="21"/>
      <c r="F146" s="18"/>
      <c r="G146" s="25"/>
    </row>
  </sheetData>
  <mergeCells count="16">
    <mergeCell ref="B146:C146"/>
    <mergeCell ref="B132:C132"/>
    <mergeCell ref="B133:C133"/>
    <mergeCell ref="B141:C141"/>
    <mergeCell ref="B143:C143"/>
    <mergeCell ref="B144:C144"/>
    <mergeCell ref="B145:C145"/>
    <mergeCell ref="J2:N2"/>
    <mergeCell ref="A1:H1"/>
    <mergeCell ref="A2:H2"/>
    <mergeCell ref="A3:H3"/>
    <mergeCell ref="B131:C131"/>
    <mergeCell ref="B128:F128"/>
    <mergeCell ref="B130:D130"/>
    <mergeCell ref="B126:F126"/>
    <mergeCell ref="B127:F127"/>
  </mergeCells>
  <hyperlinks>
    <hyperlink ref="I1" location="Index!B27" display="Index" xr:uid="{45094A24-1A27-4F85-BB80-AAA943E67F80}"/>
  </hyperlinks>
  <pageMargins left="5.000000074505806E-2" right="5.000000074505806E-2" top="0.30000001192092896" bottom="0.20000000298023224" header="0" footer="0"/>
  <pageSetup paperSize="9"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2" customWidth="1"/>
  </cols>
  <sheetData>
    <row r="1" spans="1:15" ht="18" customHeight="1" x14ac:dyDescent="0.2">
      <c r="A1" s="211" t="s">
        <v>0</v>
      </c>
      <c r="B1" s="211"/>
      <c r="C1" s="211"/>
      <c r="D1" s="211"/>
      <c r="E1" s="211"/>
      <c r="F1" s="211"/>
      <c r="G1" s="211"/>
      <c r="H1" s="211"/>
      <c r="I1" s="192" t="s">
        <v>1142</v>
      </c>
      <c r="J1" s="195"/>
      <c r="K1" s="195"/>
      <c r="L1" s="195"/>
      <c r="M1" s="195"/>
      <c r="N1" s="195"/>
    </row>
    <row r="2" spans="1:15" ht="17.100000000000001" customHeight="1" x14ac:dyDescent="0.2">
      <c r="A2" s="212" t="s">
        <v>845</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c r="J3" s="195"/>
      <c r="K3" s="195"/>
      <c r="L3" s="195"/>
      <c r="M3" s="195"/>
      <c r="N3" s="195"/>
    </row>
    <row r="4" spans="1:15" s="115" customFormat="1" ht="30" x14ac:dyDescent="0.2">
      <c r="A4" s="114" t="s">
        <v>2</v>
      </c>
      <c r="B4" s="114" t="s">
        <v>3</v>
      </c>
      <c r="C4" s="114" t="s">
        <v>4</v>
      </c>
      <c r="D4" s="114" t="s">
        <v>5</v>
      </c>
      <c r="E4" s="114" t="s">
        <v>6</v>
      </c>
      <c r="F4" s="114" t="s">
        <v>7</v>
      </c>
      <c r="G4" s="114" t="s">
        <v>8</v>
      </c>
      <c r="H4" s="112" t="s">
        <v>1030</v>
      </c>
      <c r="J4" s="196"/>
      <c r="K4" s="196"/>
      <c r="L4" s="196"/>
      <c r="M4" s="196"/>
      <c r="N4" s="196"/>
      <c r="O4"/>
    </row>
    <row r="5" spans="1:15" ht="14.1" customHeight="1" x14ac:dyDescent="0.2">
      <c r="A5" s="1"/>
      <c r="B5" s="1"/>
      <c r="C5" s="2" t="s">
        <v>9</v>
      </c>
      <c r="D5" s="1"/>
      <c r="E5" s="1"/>
      <c r="F5" s="1"/>
      <c r="G5" s="1"/>
      <c r="H5" s="113"/>
      <c r="J5" s="195"/>
      <c r="K5" s="195"/>
      <c r="L5" s="195"/>
      <c r="M5" s="195"/>
      <c r="N5" s="195"/>
    </row>
    <row r="6" spans="1:15" ht="24" customHeight="1" x14ac:dyDescent="0.2">
      <c r="A6" s="1"/>
      <c r="B6" s="1"/>
      <c r="C6" s="2" t="s">
        <v>10</v>
      </c>
      <c r="D6" s="1"/>
      <c r="E6" s="1"/>
      <c r="F6" s="1"/>
      <c r="G6" s="1"/>
      <c r="H6" s="113"/>
      <c r="J6" s="195"/>
      <c r="K6" s="195"/>
      <c r="L6" s="195"/>
      <c r="M6" s="195"/>
      <c r="N6" s="195"/>
    </row>
    <row r="7" spans="1:15" ht="17.100000000000001" customHeight="1" x14ac:dyDescent="0.2">
      <c r="A7" s="3">
        <v>1</v>
      </c>
      <c r="B7" s="4" t="s">
        <v>321</v>
      </c>
      <c r="C7" s="4" t="s">
        <v>322</v>
      </c>
      <c r="D7" s="4" t="s">
        <v>28</v>
      </c>
      <c r="E7" s="5">
        <v>1122765</v>
      </c>
      <c r="F7" s="6">
        <v>19190.8607625</v>
      </c>
      <c r="G7" s="7">
        <v>8.9484859999999999E-2</v>
      </c>
      <c r="H7" s="113"/>
      <c r="J7" s="195"/>
      <c r="K7" s="195"/>
      <c r="L7" s="195"/>
      <c r="M7" s="195"/>
      <c r="N7" s="195"/>
    </row>
    <row r="8" spans="1:15" ht="17.100000000000001" customHeight="1" x14ac:dyDescent="0.2">
      <c r="A8" s="3">
        <v>2</v>
      </c>
      <c r="B8" s="4" t="s">
        <v>17</v>
      </c>
      <c r="C8" s="4" t="s">
        <v>18</v>
      </c>
      <c r="D8" s="4" t="s">
        <v>19</v>
      </c>
      <c r="E8" s="5">
        <v>548000</v>
      </c>
      <c r="F8" s="6">
        <v>14165.526</v>
      </c>
      <c r="G8" s="7">
        <v>6.6052280000000005E-2</v>
      </c>
      <c r="H8" s="113"/>
      <c r="J8" s="195"/>
      <c r="K8" s="195"/>
      <c r="L8" s="195"/>
      <c r="M8" s="195"/>
      <c r="N8" s="195"/>
    </row>
    <row r="9" spans="1:15" ht="17.100000000000001" customHeight="1" x14ac:dyDescent="0.2">
      <c r="A9" s="3">
        <v>3</v>
      </c>
      <c r="B9" s="4" t="s">
        <v>323</v>
      </c>
      <c r="C9" s="4" t="s">
        <v>324</v>
      </c>
      <c r="D9" s="4" t="s">
        <v>891</v>
      </c>
      <c r="E9" s="5">
        <v>694000</v>
      </c>
      <c r="F9" s="6">
        <v>10707.726000000001</v>
      </c>
      <c r="G9" s="7">
        <v>4.9928939999999998E-2</v>
      </c>
      <c r="H9" s="113"/>
      <c r="J9" s="195"/>
      <c r="K9" s="195"/>
      <c r="L9" s="195"/>
      <c r="M9" s="195"/>
      <c r="N9" s="195"/>
    </row>
    <row r="10" spans="1:15" ht="17.100000000000001" customHeight="1" x14ac:dyDescent="0.2">
      <c r="A10" s="3">
        <v>4</v>
      </c>
      <c r="B10" s="4" t="s">
        <v>26</v>
      </c>
      <c r="C10" s="4" t="s">
        <v>27</v>
      </c>
      <c r="D10" s="4" t="s">
        <v>28</v>
      </c>
      <c r="E10" s="5">
        <v>980000</v>
      </c>
      <c r="F10" s="6">
        <v>9766.68</v>
      </c>
      <c r="G10" s="7">
        <v>4.5540949999999997E-2</v>
      </c>
      <c r="H10" s="113"/>
      <c r="J10" s="195"/>
      <c r="K10" s="195"/>
      <c r="L10" s="195"/>
      <c r="M10" s="195"/>
      <c r="N10" s="195"/>
    </row>
    <row r="11" spans="1:15" ht="17.100000000000001" customHeight="1" x14ac:dyDescent="0.2">
      <c r="A11" s="3">
        <v>5</v>
      </c>
      <c r="B11" s="4" t="s">
        <v>11</v>
      </c>
      <c r="C11" s="4" t="s">
        <v>12</v>
      </c>
      <c r="D11" s="4" t="s">
        <v>13</v>
      </c>
      <c r="E11" s="5">
        <v>202401</v>
      </c>
      <c r="F11" s="6">
        <v>7136.6592600000004</v>
      </c>
      <c r="G11" s="7">
        <v>3.327745E-2</v>
      </c>
      <c r="H11" s="113"/>
      <c r="J11" s="195"/>
      <c r="K11" s="195"/>
      <c r="L11" s="195"/>
      <c r="M11" s="195"/>
      <c r="N11" s="195"/>
    </row>
    <row r="12" spans="1:15" ht="17.100000000000001" customHeight="1" x14ac:dyDescent="0.2">
      <c r="A12" s="3">
        <v>6</v>
      </c>
      <c r="B12" s="4" t="s">
        <v>62</v>
      </c>
      <c r="C12" s="4" t="s">
        <v>63</v>
      </c>
      <c r="D12" s="4" t="s">
        <v>28</v>
      </c>
      <c r="E12" s="5">
        <v>978000</v>
      </c>
      <c r="F12" s="6">
        <v>6279.2489999999998</v>
      </c>
      <c r="G12" s="7">
        <v>2.927944E-2</v>
      </c>
      <c r="H12" s="113"/>
      <c r="J12" s="195"/>
      <c r="K12" s="195"/>
      <c r="L12" s="195"/>
      <c r="M12" s="195"/>
      <c r="N12" s="195"/>
    </row>
    <row r="13" spans="1:15" ht="29.1" customHeight="1" x14ac:dyDescent="0.2">
      <c r="A13" s="3">
        <v>7</v>
      </c>
      <c r="B13" s="4" t="s">
        <v>23</v>
      </c>
      <c r="C13" s="4" t="s">
        <v>24</v>
      </c>
      <c r="D13" s="4" t="s">
        <v>25</v>
      </c>
      <c r="E13" s="5">
        <v>51000</v>
      </c>
      <c r="F13" s="6">
        <v>5356.5555000000004</v>
      </c>
      <c r="G13" s="7">
        <v>2.4977019999999999E-2</v>
      </c>
      <c r="H13" s="113"/>
      <c r="J13" s="194" t="s">
        <v>1177</v>
      </c>
      <c r="L13" s="195"/>
      <c r="M13" s="195"/>
      <c r="N13" s="195"/>
    </row>
    <row r="14" spans="1:15" ht="17.100000000000001" customHeight="1" x14ac:dyDescent="0.2">
      <c r="A14" s="3">
        <v>8</v>
      </c>
      <c r="B14" s="4" t="s">
        <v>93</v>
      </c>
      <c r="C14" s="4" t="s">
        <v>94</v>
      </c>
      <c r="D14" s="4" t="s">
        <v>41</v>
      </c>
      <c r="E14" s="5">
        <v>1244000</v>
      </c>
      <c r="F14" s="6">
        <v>5276.4260000000004</v>
      </c>
      <c r="G14" s="7">
        <v>2.4603389999999999E-2</v>
      </c>
      <c r="H14" s="113"/>
      <c r="J14" s="195"/>
      <c r="K14" s="195"/>
      <c r="L14" s="195"/>
      <c r="M14" s="195"/>
      <c r="N14" s="195"/>
    </row>
    <row r="15" spans="1:15" ht="17.100000000000001" customHeight="1" x14ac:dyDescent="0.2">
      <c r="A15" s="3">
        <v>9</v>
      </c>
      <c r="B15" s="4" t="s">
        <v>348</v>
      </c>
      <c r="C15" s="4" t="s">
        <v>349</v>
      </c>
      <c r="D15" s="4" t="s">
        <v>350</v>
      </c>
      <c r="E15" s="5">
        <v>1100000</v>
      </c>
      <c r="F15" s="6">
        <v>5083.1000000000004</v>
      </c>
      <c r="G15" s="7">
        <v>2.370193E-2</v>
      </c>
      <c r="H15" s="113"/>
      <c r="J15" s="195"/>
      <c r="K15" s="195"/>
      <c r="L15" s="195"/>
      <c r="M15" s="195"/>
      <c r="N15" s="195"/>
    </row>
    <row r="16" spans="1:15" ht="17.100000000000001" customHeight="1" x14ac:dyDescent="0.2">
      <c r="A16" s="3">
        <v>10</v>
      </c>
      <c r="B16" s="4" t="s">
        <v>365</v>
      </c>
      <c r="C16" s="4" t="s">
        <v>366</v>
      </c>
      <c r="D16" s="4" t="s">
        <v>53</v>
      </c>
      <c r="E16" s="5">
        <v>65000</v>
      </c>
      <c r="F16" s="6">
        <v>4763.0375000000004</v>
      </c>
      <c r="G16" s="7">
        <v>2.220952E-2</v>
      </c>
      <c r="H16" s="113"/>
      <c r="J16" s="195"/>
      <c r="K16" s="195"/>
      <c r="L16" s="195"/>
      <c r="M16" s="195"/>
      <c r="N16" s="195"/>
    </row>
    <row r="17" spans="1:14" ht="29.1" customHeight="1" x14ac:dyDescent="0.2">
      <c r="A17" s="3">
        <v>11</v>
      </c>
      <c r="B17" s="4" t="s">
        <v>329</v>
      </c>
      <c r="C17" s="4" t="s">
        <v>330</v>
      </c>
      <c r="D17" s="4" t="s">
        <v>225</v>
      </c>
      <c r="E17" s="5">
        <v>360000</v>
      </c>
      <c r="F17" s="6">
        <v>4534.0200000000004</v>
      </c>
      <c r="G17" s="7">
        <v>2.1141630000000002E-2</v>
      </c>
      <c r="H17" s="113"/>
      <c r="J17" s="195"/>
      <c r="K17" s="195"/>
      <c r="L17" s="195"/>
      <c r="M17" s="195"/>
      <c r="N17" s="195"/>
    </row>
    <row r="18" spans="1:14" ht="17.100000000000001" customHeight="1" x14ac:dyDescent="0.2">
      <c r="A18" s="3">
        <v>12</v>
      </c>
      <c r="B18" s="4" t="s">
        <v>331</v>
      </c>
      <c r="C18" s="4" t="s">
        <v>332</v>
      </c>
      <c r="D18" s="4" t="s">
        <v>891</v>
      </c>
      <c r="E18" s="5">
        <v>117702</v>
      </c>
      <c r="F18" s="6">
        <v>4464.9076679999998</v>
      </c>
      <c r="G18" s="7">
        <v>2.081937E-2</v>
      </c>
      <c r="H18" s="113"/>
      <c r="J18" s="195"/>
      <c r="K18" s="195"/>
      <c r="L18" s="195"/>
      <c r="M18" s="195"/>
      <c r="N18" s="195"/>
    </row>
    <row r="19" spans="1:14" ht="17.100000000000001" customHeight="1" x14ac:dyDescent="0.2">
      <c r="A19" s="3">
        <v>13</v>
      </c>
      <c r="B19" s="4" t="s">
        <v>325</v>
      </c>
      <c r="C19" s="4" t="s">
        <v>326</v>
      </c>
      <c r="D19" s="4" t="s">
        <v>28</v>
      </c>
      <c r="E19" s="5">
        <v>401535</v>
      </c>
      <c r="F19" s="6">
        <v>4426.1203050000004</v>
      </c>
      <c r="G19" s="7">
        <v>2.0638509999999999E-2</v>
      </c>
      <c r="H19" s="113"/>
      <c r="J19" s="195"/>
      <c r="K19" s="195"/>
      <c r="L19" s="195"/>
      <c r="M19" s="195"/>
      <c r="N19" s="195"/>
    </row>
    <row r="20" spans="1:14" ht="17.100000000000001" customHeight="1" x14ac:dyDescent="0.2">
      <c r="A20" s="3">
        <v>14</v>
      </c>
      <c r="B20" s="4" t="s">
        <v>335</v>
      </c>
      <c r="C20" s="4" t="s">
        <v>336</v>
      </c>
      <c r="D20" s="4" t="s">
        <v>28</v>
      </c>
      <c r="E20" s="5">
        <v>253000</v>
      </c>
      <c r="F20" s="6">
        <v>4045.3434999999999</v>
      </c>
      <c r="G20" s="7">
        <v>1.886299E-2</v>
      </c>
      <c r="H20" s="113"/>
      <c r="J20" s="195"/>
      <c r="K20" s="195"/>
      <c r="L20" s="195"/>
      <c r="M20" s="195"/>
      <c r="N20" s="195"/>
    </row>
    <row r="21" spans="1:14" ht="17.100000000000001" customHeight="1" x14ac:dyDescent="0.2">
      <c r="A21" s="3">
        <v>15</v>
      </c>
      <c r="B21" s="4" t="s">
        <v>79</v>
      </c>
      <c r="C21" s="4" t="s">
        <v>80</v>
      </c>
      <c r="D21" s="4" t="s">
        <v>46</v>
      </c>
      <c r="E21" s="5">
        <v>127000</v>
      </c>
      <c r="F21" s="6">
        <v>3768.2170000000001</v>
      </c>
      <c r="G21" s="7">
        <v>1.7570780000000001E-2</v>
      </c>
      <c r="H21" s="113"/>
      <c r="K21" s="195"/>
      <c r="L21" s="195"/>
      <c r="M21" s="195"/>
      <c r="N21" s="195"/>
    </row>
    <row r="22" spans="1:14" ht="17.100000000000001" customHeight="1" x14ac:dyDescent="0.2">
      <c r="A22" s="3">
        <v>16</v>
      </c>
      <c r="B22" s="4" t="s">
        <v>355</v>
      </c>
      <c r="C22" s="4" t="s">
        <v>356</v>
      </c>
      <c r="D22" s="4" t="s">
        <v>350</v>
      </c>
      <c r="E22" s="5">
        <v>140000</v>
      </c>
      <c r="F22" s="6">
        <v>3729.53</v>
      </c>
      <c r="G22" s="7">
        <v>1.7390389999999999E-2</v>
      </c>
      <c r="H22" s="113"/>
      <c r="K22" s="195"/>
      <c r="L22" s="195"/>
      <c r="M22" s="195"/>
      <c r="N22" s="195"/>
    </row>
    <row r="23" spans="1:14" ht="17.100000000000001" customHeight="1" x14ac:dyDescent="0.2">
      <c r="A23" s="3">
        <v>17</v>
      </c>
      <c r="B23" s="4" t="s">
        <v>342</v>
      </c>
      <c r="C23" s="4" t="s">
        <v>343</v>
      </c>
      <c r="D23" s="4" t="s">
        <v>267</v>
      </c>
      <c r="E23" s="5">
        <v>114000</v>
      </c>
      <c r="F23" s="6">
        <v>3647.8290000000002</v>
      </c>
      <c r="G23" s="7">
        <v>1.7009420000000001E-2</v>
      </c>
      <c r="H23" s="113"/>
      <c r="J23" s="194" t="s">
        <v>1178</v>
      </c>
      <c r="K23" s="195"/>
      <c r="L23" s="195"/>
      <c r="M23" s="195"/>
      <c r="N23" s="195"/>
    </row>
    <row r="24" spans="1:14" ht="17.100000000000001" customHeight="1" x14ac:dyDescent="0.2">
      <c r="A24" s="3">
        <v>18</v>
      </c>
      <c r="B24" s="4" t="s">
        <v>375</v>
      </c>
      <c r="C24" s="4" t="s">
        <v>376</v>
      </c>
      <c r="D24" s="4" t="s">
        <v>248</v>
      </c>
      <c r="E24" s="5">
        <v>33000</v>
      </c>
      <c r="F24" s="6">
        <v>3399.7755000000002</v>
      </c>
      <c r="G24" s="7">
        <v>1.585278E-2</v>
      </c>
      <c r="H24" s="113"/>
      <c r="J24" s="195"/>
      <c r="K24" s="195"/>
      <c r="L24" s="195"/>
      <c r="M24" s="195"/>
      <c r="N24" s="195"/>
    </row>
    <row r="25" spans="1:14" ht="29.1" customHeight="1" x14ac:dyDescent="0.2">
      <c r="A25" s="3">
        <v>19</v>
      </c>
      <c r="B25" s="4" t="s">
        <v>211</v>
      </c>
      <c r="C25" s="4" t="s">
        <v>212</v>
      </c>
      <c r="D25" s="4" t="s">
        <v>53</v>
      </c>
      <c r="E25" s="5">
        <v>269000</v>
      </c>
      <c r="F25" s="6">
        <v>3388.8620000000001</v>
      </c>
      <c r="G25" s="7">
        <v>1.5801889999999999E-2</v>
      </c>
      <c r="H25" s="113"/>
      <c r="J25" s="195"/>
      <c r="K25" s="195"/>
      <c r="L25" s="195"/>
      <c r="M25" s="195"/>
      <c r="N25" s="195"/>
    </row>
    <row r="26" spans="1:14" ht="17.100000000000001" customHeight="1" x14ac:dyDescent="0.2">
      <c r="A26" s="3">
        <v>20</v>
      </c>
      <c r="B26" s="4" t="s">
        <v>346</v>
      </c>
      <c r="C26" s="4" t="s">
        <v>347</v>
      </c>
      <c r="D26" s="4" t="s">
        <v>891</v>
      </c>
      <c r="E26" s="5">
        <v>48000</v>
      </c>
      <c r="F26" s="6">
        <v>3021.576</v>
      </c>
      <c r="G26" s="7">
        <v>1.4089269999999999E-2</v>
      </c>
      <c r="H26" s="113"/>
      <c r="J26" s="195"/>
      <c r="K26" s="195"/>
      <c r="L26" s="195"/>
      <c r="M26" s="195"/>
      <c r="N26" s="195"/>
    </row>
    <row r="27" spans="1:14" ht="29.1" customHeight="1" x14ac:dyDescent="0.2">
      <c r="A27" s="3">
        <v>21</v>
      </c>
      <c r="B27" s="4" t="s">
        <v>228</v>
      </c>
      <c r="C27" s="4" t="s">
        <v>229</v>
      </c>
      <c r="D27" s="4" t="s">
        <v>225</v>
      </c>
      <c r="E27" s="5">
        <v>55000</v>
      </c>
      <c r="F27" s="6">
        <v>2861.43</v>
      </c>
      <c r="G27" s="7">
        <v>1.334253E-2</v>
      </c>
      <c r="H27" s="113"/>
      <c r="J27" s="195"/>
      <c r="K27" s="195"/>
      <c r="L27" s="195"/>
      <c r="M27" s="195"/>
      <c r="N27" s="195"/>
    </row>
    <row r="28" spans="1:14" ht="17.100000000000001" customHeight="1" x14ac:dyDescent="0.2">
      <c r="A28" s="3">
        <v>22</v>
      </c>
      <c r="B28" s="4" t="s">
        <v>516</v>
      </c>
      <c r="C28" s="4" t="s">
        <v>517</v>
      </c>
      <c r="D28" s="4" t="s">
        <v>267</v>
      </c>
      <c r="E28" s="5">
        <v>50000</v>
      </c>
      <c r="F28" s="6">
        <v>2859.875</v>
      </c>
      <c r="G28" s="7">
        <v>1.333528E-2</v>
      </c>
      <c r="H28" s="113"/>
    </row>
    <row r="29" spans="1:14" ht="17.100000000000001" customHeight="1" x14ac:dyDescent="0.2">
      <c r="A29" s="3">
        <v>23</v>
      </c>
      <c r="B29" s="4" t="s">
        <v>359</v>
      </c>
      <c r="C29" s="4" t="s">
        <v>360</v>
      </c>
      <c r="D29" s="4" t="s">
        <v>56</v>
      </c>
      <c r="E29" s="5">
        <v>77000</v>
      </c>
      <c r="F29" s="6">
        <v>2830.0965000000001</v>
      </c>
      <c r="G29" s="7">
        <v>1.319643E-2</v>
      </c>
      <c r="H29" s="113"/>
    </row>
    <row r="30" spans="1:14" ht="17.100000000000001" customHeight="1" x14ac:dyDescent="0.2">
      <c r="A30" s="3">
        <v>24</v>
      </c>
      <c r="B30" s="4" t="s">
        <v>293</v>
      </c>
      <c r="C30" s="4" t="s">
        <v>294</v>
      </c>
      <c r="D30" s="4" t="s">
        <v>295</v>
      </c>
      <c r="E30" s="5">
        <v>157000</v>
      </c>
      <c r="F30" s="6">
        <v>2802.6855</v>
      </c>
      <c r="G30" s="7">
        <v>1.306861E-2</v>
      </c>
      <c r="H30" s="113"/>
    </row>
    <row r="31" spans="1:14" ht="53.1" customHeight="1" x14ac:dyDescent="0.2">
      <c r="A31" s="3">
        <v>25</v>
      </c>
      <c r="B31" s="4" t="s">
        <v>100</v>
      </c>
      <c r="C31" s="4" t="s">
        <v>101</v>
      </c>
      <c r="D31" s="4" t="s">
        <v>102</v>
      </c>
      <c r="E31" s="5">
        <v>1526000</v>
      </c>
      <c r="F31" s="6">
        <v>2770.453</v>
      </c>
      <c r="G31" s="7">
        <v>1.291832E-2</v>
      </c>
      <c r="H31" s="113"/>
    </row>
    <row r="32" spans="1:14" ht="17.100000000000001" customHeight="1" x14ac:dyDescent="0.2">
      <c r="A32" s="3">
        <v>26</v>
      </c>
      <c r="B32" s="4" t="s">
        <v>417</v>
      </c>
      <c r="C32" s="4" t="s">
        <v>418</v>
      </c>
      <c r="D32" s="4" t="s">
        <v>53</v>
      </c>
      <c r="E32" s="5">
        <v>352000</v>
      </c>
      <c r="F32" s="6">
        <v>2737.328</v>
      </c>
      <c r="G32" s="7">
        <v>1.276386E-2</v>
      </c>
      <c r="H32" s="113"/>
    </row>
    <row r="33" spans="1:8" ht="17.100000000000001" customHeight="1" x14ac:dyDescent="0.2">
      <c r="A33" s="3">
        <v>27</v>
      </c>
      <c r="B33" s="4" t="s">
        <v>741</v>
      </c>
      <c r="C33" s="4" t="s">
        <v>742</v>
      </c>
      <c r="D33" s="4" t="s">
        <v>262</v>
      </c>
      <c r="E33" s="5">
        <v>10000</v>
      </c>
      <c r="F33" s="6">
        <v>2658.03</v>
      </c>
      <c r="G33" s="7">
        <v>1.23941E-2</v>
      </c>
      <c r="H33" s="113"/>
    </row>
    <row r="34" spans="1:8" ht="29.1" customHeight="1" x14ac:dyDescent="0.2">
      <c r="A34" s="3">
        <v>28</v>
      </c>
      <c r="B34" s="4" t="s">
        <v>541</v>
      </c>
      <c r="C34" s="4" t="s">
        <v>542</v>
      </c>
      <c r="D34" s="4" t="s">
        <v>543</v>
      </c>
      <c r="E34" s="5">
        <v>600000</v>
      </c>
      <c r="F34" s="6">
        <v>2629.5</v>
      </c>
      <c r="G34" s="7">
        <v>1.2261070000000001E-2</v>
      </c>
      <c r="H34" s="113"/>
    </row>
    <row r="35" spans="1:8" ht="29.1" customHeight="1" x14ac:dyDescent="0.2">
      <c r="A35" s="3">
        <v>29</v>
      </c>
      <c r="B35" s="4" t="s">
        <v>486</v>
      </c>
      <c r="C35" s="4" t="s">
        <v>487</v>
      </c>
      <c r="D35" s="4" t="s">
        <v>225</v>
      </c>
      <c r="E35" s="5">
        <v>210000</v>
      </c>
      <c r="F35" s="6">
        <v>2617.23</v>
      </c>
      <c r="G35" s="7">
        <v>1.220385E-2</v>
      </c>
      <c r="H35" s="113"/>
    </row>
    <row r="36" spans="1:8" ht="17.100000000000001" customHeight="1" x14ac:dyDescent="0.2">
      <c r="A36" s="3">
        <v>30</v>
      </c>
      <c r="B36" s="4" t="s">
        <v>258</v>
      </c>
      <c r="C36" s="4" t="s">
        <v>259</v>
      </c>
      <c r="D36" s="4" t="s">
        <v>207</v>
      </c>
      <c r="E36" s="5">
        <v>50000</v>
      </c>
      <c r="F36" s="6">
        <v>2570.0749999999998</v>
      </c>
      <c r="G36" s="7">
        <v>1.198398E-2</v>
      </c>
      <c r="H36" s="113"/>
    </row>
    <row r="37" spans="1:8" ht="29.1" customHeight="1" x14ac:dyDescent="0.2">
      <c r="A37" s="3">
        <v>31</v>
      </c>
      <c r="B37" s="4" t="s">
        <v>520</v>
      </c>
      <c r="C37" s="4" t="s">
        <v>521</v>
      </c>
      <c r="D37" s="4" t="s">
        <v>501</v>
      </c>
      <c r="E37" s="5">
        <v>1360000</v>
      </c>
      <c r="F37" s="6">
        <v>2513.96</v>
      </c>
      <c r="G37" s="7">
        <v>1.172232E-2</v>
      </c>
      <c r="H37" s="113"/>
    </row>
    <row r="38" spans="1:8" ht="29.1" customHeight="1" x14ac:dyDescent="0.2">
      <c r="A38" s="3">
        <v>32</v>
      </c>
      <c r="B38" s="4" t="s">
        <v>77</v>
      </c>
      <c r="C38" s="4" t="s">
        <v>78</v>
      </c>
      <c r="D38" s="4" t="s">
        <v>25</v>
      </c>
      <c r="E38" s="5">
        <v>110137</v>
      </c>
      <c r="F38" s="6">
        <v>2505.8370239999999</v>
      </c>
      <c r="G38" s="7">
        <v>1.1684440000000001E-2</v>
      </c>
      <c r="H38" s="113"/>
    </row>
    <row r="39" spans="1:8" ht="17.100000000000001" customHeight="1" x14ac:dyDescent="0.2">
      <c r="A39" s="3">
        <v>33</v>
      </c>
      <c r="B39" s="4" t="s">
        <v>351</v>
      </c>
      <c r="C39" s="4" t="s">
        <v>352</v>
      </c>
      <c r="D39" s="4" t="s">
        <v>248</v>
      </c>
      <c r="E39" s="5">
        <v>318000</v>
      </c>
      <c r="F39" s="6">
        <v>2480.241</v>
      </c>
      <c r="G39" s="7">
        <v>1.156509E-2</v>
      </c>
      <c r="H39" s="113"/>
    </row>
    <row r="40" spans="1:8" ht="29.1" customHeight="1" x14ac:dyDescent="0.2">
      <c r="A40" s="3">
        <v>34</v>
      </c>
      <c r="B40" s="4" t="s">
        <v>353</v>
      </c>
      <c r="C40" s="4" t="s">
        <v>354</v>
      </c>
      <c r="D40" s="4" t="s">
        <v>225</v>
      </c>
      <c r="E40" s="5">
        <v>42500</v>
      </c>
      <c r="F40" s="6">
        <v>2464.1075000000001</v>
      </c>
      <c r="G40" s="7">
        <v>1.1489859999999999E-2</v>
      </c>
      <c r="H40" s="113"/>
    </row>
    <row r="41" spans="1:8" ht="29.1" customHeight="1" x14ac:dyDescent="0.2">
      <c r="A41" s="3">
        <v>35</v>
      </c>
      <c r="B41" s="4" t="s">
        <v>371</v>
      </c>
      <c r="C41" s="4" t="s">
        <v>372</v>
      </c>
      <c r="D41" s="4" t="s">
        <v>225</v>
      </c>
      <c r="E41" s="5">
        <v>226000</v>
      </c>
      <c r="F41" s="6">
        <v>2449.84</v>
      </c>
      <c r="G41" s="7">
        <v>1.1423330000000001E-2</v>
      </c>
      <c r="H41" s="113"/>
    </row>
    <row r="42" spans="1:8" ht="17.100000000000001" customHeight="1" x14ac:dyDescent="0.2">
      <c r="A42" s="3">
        <v>36</v>
      </c>
      <c r="B42" s="4" t="s">
        <v>14</v>
      </c>
      <c r="C42" s="4" t="s">
        <v>15</v>
      </c>
      <c r="D42" s="4" t="s">
        <v>16</v>
      </c>
      <c r="E42" s="5">
        <v>770000</v>
      </c>
      <c r="F42" s="6">
        <v>2395.855</v>
      </c>
      <c r="G42" s="7">
        <v>1.117161E-2</v>
      </c>
      <c r="H42" s="113"/>
    </row>
    <row r="43" spans="1:8" ht="17.100000000000001" customHeight="1" x14ac:dyDescent="0.2">
      <c r="A43" s="3">
        <v>37</v>
      </c>
      <c r="B43" s="4" t="s">
        <v>232</v>
      </c>
      <c r="C43" s="4" t="s">
        <v>233</v>
      </c>
      <c r="D43" s="4" t="s">
        <v>234</v>
      </c>
      <c r="E43" s="5">
        <v>249000</v>
      </c>
      <c r="F43" s="6">
        <v>2376.2069999999999</v>
      </c>
      <c r="G43" s="7">
        <v>1.107999E-2</v>
      </c>
      <c r="H43" s="113"/>
    </row>
    <row r="44" spans="1:8" ht="17.100000000000001" customHeight="1" x14ac:dyDescent="0.2">
      <c r="A44" s="3">
        <v>38</v>
      </c>
      <c r="B44" s="4" t="s">
        <v>749</v>
      </c>
      <c r="C44" s="4" t="s">
        <v>750</v>
      </c>
      <c r="D44" s="4" t="s">
        <v>210</v>
      </c>
      <c r="E44" s="5">
        <v>140000</v>
      </c>
      <c r="F44" s="6">
        <v>2349.41</v>
      </c>
      <c r="G44" s="7">
        <v>1.0955039999999999E-2</v>
      </c>
      <c r="H44" s="113"/>
    </row>
    <row r="45" spans="1:8" ht="17.100000000000001" customHeight="1" x14ac:dyDescent="0.2">
      <c r="A45" s="3">
        <v>39</v>
      </c>
      <c r="B45" s="4" t="s">
        <v>367</v>
      </c>
      <c r="C45" s="4" t="s">
        <v>368</v>
      </c>
      <c r="D45" s="4" t="s">
        <v>99</v>
      </c>
      <c r="E45" s="5">
        <v>1625000</v>
      </c>
      <c r="F45" s="6">
        <v>2268.5</v>
      </c>
      <c r="G45" s="7">
        <v>1.057776E-2</v>
      </c>
      <c r="H45" s="113"/>
    </row>
    <row r="46" spans="1:8" ht="17.100000000000001" customHeight="1" x14ac:dyDescent="0.2">
      <c r="A46" s="3">
        <v>40</v>
      </c>
      <c r="B46" s="4" t="s">
        <v>20</v>
      </c>
      <c r="C46" s="4" t="s">
        <v>21</v>
      </c>
      <c r="D46" s="4" t="s">
        <v>22</v>
      </c>
      <c r="E46" s="5">
        <v>215000</v>
      </c>
      <c r="F46" s="6">
        <v>2219.23</v>
      </c>
      <c r="G46" s="7">
        <v>1.0348019999999999E-2</v>
      </c>
      <c r="H46" s="113"/>
    </row>
    <row r="47" spans="1:8" ht="17.100000000000001" customHeight="1" x14ac:dyDescent="0.2">
      <c r="A47" s="3">
        <v>41</v>
      </c>
      <c r="B47" s="4" t="s">
        <v>197</v>
      </c>
      <c r="C47" s="4" t="s">
        <v>198</v>
      </c>
      <c r="D47" s="4" t="s">
        <v>28</v>
      </c>
      <c r="E47" s="5">
        <v>1416588</v>
      </c>
      <c r="F47" s="6">
        <v>2212.0021620000002</v>
      </c>
      <c r="G47" s="7">
        <v>1.031432E-2</v>
      </c>
      <c r="H47" s="113"/>
    </row>
    <row r="48" spans="1:8" ht="17.100000000000001" customHeight="1" x14ac:dyDescent="0.2">
      <c r="A48" s="3">
        <v>42</v>
      </c>
      <c r="B48" s="4" t="s">
        <v>121</v>
      </c>
      <c r="C48" s="4" t="s">
        <v>122</v>
      </c>
      <c r="D48" s="4" t="s">
        <v>107</v>
      </c>
      <c r="E48" s="5">
        <v>355000</v>
      </c>
      <c r="F48" s="6">
        <v>2196.7399999999998</v>
      </c>
      <c r="G48" s="7">
        <v>1.0243159999999999E-2</v>
      </c>
      <c r="H48" s="113"/>
    </row>
    <row r="49" spans="1:8" ht="17.100000000000001" customHeight="1" x14ac:dyDescent="0.2">
      <c r="A49" s="3">
        <v>43</v>
      </c>
      <c r="B49" s="4" t="s">
        <v>57</v>
      </c>
      <c r="C49" s="4" t="s">
        <v>58</v>
      </c>
      <c r="D49" s="4" t="s">
        <v>34</v>
      </c>
      <c r="E49" s="5">
        <v>39000</v>
      </c>
      <c r="F49" s="6">
        <v>2139.0915</v>
      </c>
      <c r="G49" s="7">
        <v>9.9743499999999999E-3</v>
      </c>
      <c r="H49" s="113"/>
    </row>
    <row r="50" spans="1:8" ht="17.100000000000001" customHeight="1" x14ac:dyDescent="0.2">
      <c r="A50" s="3">
        <v>44</v>
      </c>
      <c r="B50" s="4" t="s">
        <v>340</v>
      </c>
      <c r="C50" s="4" t="s">
        <v>341</v>
      </c>
      <c r="D50" s="4" t="s">
        <v>28</v>
      </c>
      <c r="E50" s="5">
        <v>408000</v>
      </c>
      <c r="F50" s="6">
        <v>1785</v>
      </c>
      <c r="G50" s="7">
        <v>8.3232600000000007E-3</v>
      </c>
      <c r="H50" s="113"/>
    </row>
    <row r="51" spans="1:8" ht="17.100000000000001" customHeight="1" x14ac:dyDescent="0.2">
      <c r="A51" s="3">
        <v>45</v>
      </c>
      <c r="B51" s="4" t="s">
        <v>571</v>
      </c>
      <c r="C51" s="4" t="s">
        <v>572</v>
      </c>
      <c r="D51" s="4" t="s">
        <v>56</v>
      </c>
      <c r="E51" s="5">
        <v>51000</v>
      </c>
      <c r="F51" s="6">
        <v>1735.2239999999999</v>
      </c>
      <c r="G51" s="7">
        <v>8.09116E-3</v>
      </c>
      <c r="H51" s="113"/>
    </row>
    <row r="52" spans="1:8" ht="17.100000000000001" customHeight="1" x14ac:dyDescent="0.2">
      <c r="A52" s="3">
        <v>46</v>
      </c>
      <c r="B52" s="4" t="s">
        <v>705</v>
      </c>
      <c r="C52" s="4" t="s">
        <v>706</v>
      </c>
      <c r="D52" s="4" t="s">
        <v>56</v>
      </c>
      <c r="E52" s="5">
        <v>180121</v>
      </c>
      <c r="F52" s="6">
        <v>1705.74587</v>
      </c>
      <c r="G52" s="7">
        <v>7.9536999999999993E-3</v>
      </c>
      <c r="H52" s="113"/>
    </row>
    <row r="53" spans="1:8" ht="17.100000000000001" customHeight="1" x14ac:dyDescent="0.2">
      <c r="A53" s="3">
        <v>47</v>
      </c>
      <c r="B53" s="4" t="s">
        <v>527</v>
      </c>
      <c r="C53" s="4" t="s">
        <v>528</v>
      </c>
      <c r="D53" s="4" t="s">
        <v>300</v>
      </c>
      <c r="E53" s="5">
        <v>26000</v>
      </c>
      <c r="F53" s="6">
        <v>1685.5150000000001</v>
      </c>
      <c r="G53" s="7">
        <v>7.8593699999999992E-3</v>
      </c>
      <c r="H53" s="113"/>
    </row>
    <row r="54" spans="1:8" ht="17.100000000000001" customHeight="1" x14ac:dyDescent="0.2">
      <c r="A54" s="3">
        <v>48</v>
      </c>
      <c r="B54" s="4" t="s">
        <v>577</v>
      </c>
      <c r="C54" s="4" t="s">
        <v>578</v>
      </c>
      <c r="D54" s="4" t="s">
        <v>891</v>
      </c>
      <c r="E54" s="5">
        <v>129000</v>
      </c>
      <c r="F54" s="6">
        <v>1641.7184999999999</v>
      </c>
      <c r="G54" s="7">
        <v>7.6551500000000003E-3</v>
      </c>
      <c r="H54" s="113"/>
    </row>
    <row r="55" spans="1:8" ht="17.100000000000001" customHeight="1" x14ac:dyDescent="0.2">
      <c r="A55" s="3">
        <v>49</v>
      </c>
      <c r="B55" s="4" t="s">
        <v>373</v>
      </c>
      <c r="C55" s="4" t="s">
        <v>374</v>
      </c>
      <c r="D55" s="4" t="s">
        <v>207</v>
      </c>
      <c r="E55" s="5">
        <v>40000</v>
      </c>
      <c r="F55" s="6">
        <v>1633.06</v>
      </c>
      <c r="G55" s="7">
        <v>7.6147799999999998E-3</v>
      </c>
      <c r="H55" s="113"/>
    </row>
    <row r="56" spans="1:8" ht="17.100000000000001" customHeight="1" x14ac:dyDescent="0.2">
      <c r="A56" s="3">
        <v>50</v>
      </c>
      <c r="B56" s="4" t="s">
        <v>44</v>
      </c>
      <c r="C56" s="4" t="s">
        <v>45</v>
      </c>
      <c r="D56" s="4" t="s">
        <v>46</v>
      </c>
      <c r="E56" s="5">
        <v>188000</v>
      </c>
      <c r="F56" s="6">
        <v>1616.1420000000001</v>
      </c>
      <c r="G56" s="7">
        <v>7.5358899999999999E-3</v>
      </c>
      <c r="H56" s="113"/>
    </row>
    <row r="57" spans="1:8" ht="17.100000000000001" customHeight="1" x14ac:dyDescent="0.2">
      <c r="A57" s="3">
        <v>51</v>
      </c>
      <c r="B57" s="4" t="s">
        <v>243</v>
      </c>
      <c r="C57" s="4" t="s">
        <v>244</v>
      </c>
      <c r="D57" s="4" t="s">
        <v>245</v>
      </c>
      <c r="E57" s="5">
        <v>285000</v>
      </c>
      <c r="F57" s="6">
        <v>1610.3924999999999</v>
      </c>
      <c r="G57" s="7">
        <v>7.5090799999999996E-3</v>
      </c>
      <c r="H57" s="113"/>
    </row>
    <row r="58" spans="1:8" ht="17.100000000000001" customHeight="1" x14ac:dyDescent="0.2">
      <c r="A58" s="3">
        <v>52</v>
      </c>
      <c r="B58" s="4" t="s">
        <v>550</v>
      </c>
      <c r="C58" s="4" t="s">
        <v>551</v>
      </c>
      <c r="D58" s="4" t="s">
        <v>267</v>
      </c>
      <c r="E58" s="5">
        <v>133000</v>
      </c>
      <c r="F58" s="6">
        <v>1599.857</v>
      </c>
      <c r="G58" s="7">
        <v>7.4599599999999999E-3</v>
      </c>
      <c r="H58" s="113"/>
    </row>
    <row r="59" spans="1:8" ht="17.100000000000001" customHeight="1" x14ac:dyDescent="0.2">
      <c r="A59" s="3">
        <v>53</v>
      </c>
      <c r="B59" s="4" t="s">
        <v>379</v>
      </c>
      <c r="C59" s="4" t="s">
        <v>380</v>
      </c>
      <c r="D59" s="4" t="s">
        <v>46</v>
      </c>
      <c r="E59" s="5">
        <v>104000</v>
      </c>
      <c r="F59" s="6">
        <v>1429.376</v>
      </c>
      <c r="G59" s="7">
        <v>6.6650199999999998E-3</v>
      </c>
      <c r="H59" s="113"/>
    </row>
    <row r="60" spans="1:8" ht="17.100000000000001" customHeight="1" x14ac:dyDescent="0.2">
      <c r="A60" s="3">
        <v>54</v>
      </c>
      <c r="B60" s="4" t="s">
        <v>712</v>
      </c>
      <c r="C60" s="4" t="s">
        <v>713</v>
      </c>
      <c r="D60" s="4" t="s">
        <v>892</v>
      </c>
      <c r="E60" s="5">
        <v>120000</v>
      </c>
      <c r="F60" s="6">
        <v>1416.18</v>
      </c>
      <c r="G60" s="7">
        <v>6.6034900000000001E-3</v>
      </c>
      <c r="H60" s="113"/>
    </row>
    <row r="61" spans="1:8" ht="17.100000000000001" customHeight="1" x14ac:dyDescent="0.2">
      <c r="A61" s="3">
        <v>55</v>
      </c>
      <c r="B61" s="4" t="s">
        <v>344</v>
      </c>
      <c r="C61" s="4" t="s">
        <v>345</v>
      </c>
      <c r="D61" s="4" t="s">
        <v>891</v>
      </c>
      <c r="E61" s="5">
        <v>50000</v>
      </c>
      <c r="F61" s="6">
        <v>1369.875</v>
      </c>
      <c r="G61" s="7">
        <v>6.3875800000000003E-3</v>
      </c>
      <c r="H61" s="113"/>
    </row>
    <row r="62" spans="1:8" ht="17.100000000000001" customHeight="1" x14ac:dyDescent="0.2">
      <c r="A62" s="3">
        <v>56</v>
      </c>
      <c r="B62" s="4" t="s">
        <v>37</v>
      </c>
      <c r="C62" s="4" t="s">
        <v>38</v>
      </c>
      <c r="D62" s="4" t="s">
        <v>16</v>
      </c>
      <c r="E62" s="5">
        <v>560000</v>
      </c>
      <c r="F62" s="6">
        <v>1328.32</v>
      </c>
      <c r="G62" s="7">
        <v>6.1938100000000001E-3</v>
      </c>
      <c r="H62" s="113"/>
    </row>
    <row r="63" spans="1:8" ht="17.100000000000001" customHeight="1" x14ac:dyDescent="0.2">
      <c r="A63" s="3">
        <v>57</v>
      </c>
      <c r="B63" s="4" t="s">
        <v>714</v>
      </c>
      <c r="C63" s="4" t="s">
        <v>715</v>
      </c>
      <c r="D63" s="4" t="s">
        <v>267</v>
      </c>
      <c r="E63" s="5">
        <v>185000</v>
      </c>
      <c r="F63" s="6">
        <v>1328.3</v>
      </c>
      <c r="G63" s="7">
        <v>6.1937199999999998E-3</v>
      </c>
      <c r="H63" s="113"/>
    </row>
    <row r="64" spans="1:8" ht="17.100000000000001" customHeight="1" x14ac:dyDescent="0.2">
      <c r="A64" s="3">
        <v>58</v>
      </c>
      <c r="B64" s="4" t="s">
        <v>716</v>
      </c>
      <c r="C64" s="4" t="s">
        <v>717</v>
      </c>
      <c r="D64" s="4" t="s">
        <v>53</v>
      </c>
      <c r="E64" s="5">
        <v>548000</v>
      </c>
      <c r="F64" s="6">
        <v>1276.566</v>
      </c>
      <c r="G64" s="7">
        <v>5.9524900000000004E-3</v>
      </c>
      <c r="H64" s="113"/>
    </row>
    <row r="65" spans="1:8" ht="17.100000000000001" customHeight="1" x14ac:dyDescent="0.2">
      <c r="A65" s="3">
        <v>59</v>
      </c>
      <c r="B65" s="4" t="s">
        <v>427</v>
      </c>
      <c r="C65" s="4" t="s">
        <v>428</v>
      </c>
      <c r="D65" s="4" t="s">
        <v>56</v>
      </c>
      <c r="E65" s="5">
        <v>119455</v>
      </c>
      <c r="F65" s="6">
        <v>1242.2722725000001</v>
      </c>
      <c r="G65" s="7">
        <v>5.7925800000000003E-3</v>
      </c>
      <c r="H65" s="113"/>
    </row>
    <row r="66" spans="1:8" ht="17.100000000000001" customHeight="1" x14ac:dyDescent="0.2">
      <c r="A66" s="3">
        <v>60</v>
      </c>
      <c r="B66" s="4" t="s">
        <v>363</v>
      </c>
      <c r="C66" s="4" t="s">
        <v>364</v>
      </c>
      <c r="D66" s="4" t="s">
        <v>207</v>
      </c>
      <c r="E66" s="5">
        <v>713000</v>
      </c>
      <c r="F66" s="6">
        <v>1240.2635</v>
      </c>
      <c r="G66" s="7">
        <v>5.7832100000000004E-3</v>
      </c>
      <c r="H66" s="113"/>
    </row>
    <row r="67" spans="1:8" ht="17.100000000000001" customHeight="1" x14ac:dyDescent="0.2">
      <c r="A67" s="3">
        <v>61</v>
      </c>
      <c r="B67" s="4" t="s">
        <v>548</v>
      </c>
      <c r="C67" s="4" t="s">
        <v>549</v>
      </c>
      <c r="D67" s="4" t="s">
        <v>53</v>
      </c>
      <c r="E67" s="5">
        <v>45558</v>
      </c>
      <c r="F67" s="6">
        <v>1110.567366</v>
      </c>
      <c r="G67" s="7">
        <v>5.1784500000000002E-3</v>
      </c>
      <c r="H67" s="113"/>
    </row>
    <row r="68" spans="1:8" ht="17.100000000000001" customHeight="1" x14ac:dyDescent="0.2">
      <c r="A68" s="3">
        <v>62</v>
      </c>
      <c r="B68" s="4" t="s">
        <v>255</v>
      </c>
      <c r="C68" s="4" t="s">
        <v>256</v>
      </c>
      <c r="D68" s="4" t="s">
        <v>257</v>
      </c>
      <c r="E68" s="5">
        <v>400000</v>
      </c>
      <c r="F68" s="6">
        <v>1098.8</v>
      </c>
      <c r="G68" s="7">
        <v>5.12358E-3</v>
      </c>
      <c r="H68" s="113"/>
    </row>
    <row r="69" spans="1:8" ht="17.100000000000001" customHeight="1" x14ac:dyDescent="0.2">
      <c r="A69" s="3">
        <v>63</v>
      </c>
      <c r="B69" s="4" t="s">
        <v>484</v>
      </c>
      <c r="C69" s="4" t="s">
        <v>485</v>
      </c>
      <c r="D69" s="4" t="s">
        <v>28</v>
      </c>
      <c r="E69" s="5">
        <v>50000</v>
      </c>
      <c r="F69" s="6">
        <v>954.05</v>
      </c>
      <c r="G69" s="7">
        <v>4.4486300000000003E-3</v>
      </c>
      <c r="H69" s="113"/>
    </row>
    <row r="70" spans="1:8" ht="17.100000000000001" customHeight="1" x14ac:dyDescent="0.2">
      <c r="A70" s="3">
        <v>64</v>
      </c>
      <c r="B70" s="4" t="s">
        <v>419</v>
      </c>
      <c r="C70" s="4" t="s">
        <v>420</v>
      </c>
      <c r="D70" s="4" t="s">
        <v>245</v>
      </c>
      <c r="E70" s="5">
        <v>66000</v>
      </c>
      <c r="F70" s="6">
        <v>937.92600000000004</v>
      </c>
      <c r="G70" s="7">
        <v>4.3734500000000001E-3</v>
      </c>
      <c r="H70" s="113"/>
    </row>
    <row r="71" spans="1:8" ht="17.100000000000001" customHeight="1" x14ac:dyDescent="0.2">
      <c r="A71" s="3">
        <v>65</v>
      </c>
      <c r="B71" s="4" t="s">
        <v>846</v>
      </c>
      <c r="C71" s="4" t="s">
        <v>847</v>
      </c>
      <c r="D71" s="4" t="s">
        <v>207</v>
      </c>
      <c r="E71" s="5">
        <v>410000</v>
      </c>
      <c r="F71" s="6">
        <v>917.17</v>
      </c>
      <c r="G71" s="7">
        <v>4.2766599999999998E-3</v>
      </c>
      <c r="H71" s="113"/>
    </row>
    <row r="72" spans="1:8" ht="29.1" customHeight="1" x14ac:dyDescent="0.2">
      <c r="A72" s="3">
        <v>66</v>
      </c>
      <c r="B72" s="4" t="s">
        <v>508</v>
      </c>
      <c r="C72" s="4" t="s">
        <v>509</v>
      </c>
      <c r="D72" s="4" t="s">
        <v>225</v>
      </c>
      <c r="E72" s="5">
        <v>87944</v>
      </c>
      <c r="F72" s="6">
        <v>635.65923199999997</v>
      </c>
      <c r="G72" s="7">
        <v>2.96401E-3</v>
      </c>
      <c r="H72" s="113"/>
    </row>
    <row r="73" spans="1:8" ht="14.1" customHeight="1" x14ac:dyDescent="0.2">
      <c r="A73" s="1"/>
      <c r="B73" s="1"/>
      <c r="C73" s="2" t="s">
        <v>151</v>
      </c>
      <c r="D73" s="1"/>
      <c r="E73" s="1" t="s">
        <v>152</v>
      </c>
      <c r="F73" s="9">
        <v>215357.705422</v>
      </c>
      <c r="G73" s="10">
        <v>1.0041891599999999</v>
      </c>
      <c r="H73" s="113"/>
    </row>
    <row r="74" spans="1:8" ht="14.1" customHeight="1" x14ac:dyDescent="0.2">
      <c r="A74" s="1"/>
      <c r="B74" s="1"/>
      <c r="C74" s="11"/>
      <c r="D74" s="1"/>
      <c r="E74" s="1"/>
      <c r="F74" s="12"/>
      <c r="G74" s="12"/>
      <c r="H74" s="113"/>
    </row>
    <row r="75" spans="1:8" ht="14.1" customHeight="1" x14ac:dyDescent="0.2">
      <c r="A75" s="1"/>
      <c r="B75" s="1"/>
      <c r="C75" s="2" t="s">
        <v>153</v>
      </c>
      <c r="D75" s="1"/>
      <c r="E75" s="1"/>
      <c r="F75" s="1"/>
      <c r="G75" s="1"/>
      <c r="H75" s="113"/>
    </row>
    <row r="76" spans="1:8" ht="14.1" customHeight="1" x14ac:dyDescent="0.2">
      <c r="A76" s="1"/>
      <c r="B76" s="1"/>
      <c r="C76" s="2" t="s">
        <v>151</v>
      </c>
      <c r="D76" s="1"/>
      <c r="E76" s="1" t="s">
        <v>152</v>
      </c>
      <c r="F76" s="13" t="s">
        <v>154</v>
      </c>
      <c r="G76" s="10">
        <v>0</v>
      </c>
      <c r="H76" s="113"/>
    </row>
    <row r="77" spans="1:8" ht="14.1" customHeight="1" x14ac:dyDescent="0.2">
      <c r="A77" s="1"/>
      <c r="B77" s="1"/>
      <c r="C77" s="11"/>
      <c r="D77" s="1"/>
      <c r="E77" s="1"/>
      <c r="F77" s="12"/>
      <c r="G77" s="12"/>
      <c r="H77" s="113"/>
    </row>
    <row r="78" spans="1:8" ht="14.1" customHeight="1" x14ac:dyDescent="0.2">
      <c r="A78" s="1"/>
      <c r="B78" s="1"/>
      <c r="C78" s="2" t="s">
        <v>155</v>
      </c>
      <c r="D78" s="1"/>
      <c r="E78" s="1"/>
      <c r="F78" s="1"/>
      <c r="G78" s="1"/>
      <c r="H78" s="113"/>
    </row>
    <row r="79" spans="1:8" ht="14.1" customHeight="1" x14ac:dyDescent="0.2">
      <c r="A79" s="1"/>
      <c r="B79" s="1"/>
      <c r="C79" s="2" t="s">
        <v>151</v>
      </c>
      <c r="D79" s="1"/>
      <c r="E79" s="1" t="s">
        <v>152</v>
      </c>
      <c r="F79" s="13" t="s">
        <v>154</v>
      </c>
      <c r="G79" s="10">
        <v>0</v>
      </c>
      <c r="H79" s="113"/>
    </row>
    <row r="80" spans="1:8" ht="14.1" customHeight="1" x14ac:dyDescent="0.2">
      <c r="A80" s="1"/>
      <c r="B80" s="1"/>
      <c r="C80" s="11"/>
      <c r="D80" s="1"/>
      <c r="E80" s="1"/>
      <c r="F80" s="12"/>
      <c r="G80" s="12"/>
      <c r="H80" s="113"/>
    </row>
    <row r="81" spans="1:8" ht="14.1" customHeight="1" x14ac:dyDescent="0.2">
      <c r="A81" s="1"/>
      <c r="B81" s="1"/>
      <c r="C81" s="2" t="s">
        <v>156</v>
      </c>
      <c r="D81" s="1"/>
      <c r="E81" s="1"/>
      <c r="F81" s="1"/>
      <c r="G81" s="1"/>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157</v>
      </c>
      <c r="D84" s="1"/>
      <c r="E84" s="1"/>
      <c r="F84" s="12"/>
      <c r="G84" s="12"/>
      <c r="H84" s="113"/>
    </row>
    <row r="85" spans="1:8" ht="14.1" customHeight="1" x14ac:dyDescent="0.2">
      <c r="A85" s="1"/>
      <c r="B85" s="1"/>
      <c r="C85" s="2" t="s">
        <v>151</v>
      </c>
      <c r="D85" s="1"/>
      <c r="E85" s="1" t="s">
        <v>152</v>
      </c>
      <c r="F85" s="13" t="s">
        <v>154</v>
      </c>
      <c r="G85" s="10">
        <v>0</v>
      </c>
      <c r="H85" s="113"/>
    </row>
    <row r="86" spans="1:8" ht="14.1" customHeight="1" x14ac:dyDescent="0.2">
      <c r="A86" s="1"/>
      <c r="B86" s="1"/>
      <c r="C86" s="11"/>
      <c r="D86" s="1"/>
      <c r="E86" s="1"/>
      <c r="F86" s="12"/>
      <c r="G86" s="12"/>
      <c r="H86" s="113"/>
    </row>
    <row r="87" spans="1:8" ht="14.1" customHeight="1" x14ac:dyDescent="0.2">
      <c r="A87" s="1"/>
      <c r="B87" s="1"/>
      <c r="C87" s="2" t="s">
        <v>158</v>
      </c>
      <c r="D87" s="1"/>
      <c r="E87" s="1"/>
      <c r="F87" s="12"/>
      <c r="G87" s="12"/>
      <c r="H87" s="113"/>
    </row>
    <row r="88" spans="1:8" ht="14.1" customHeight="1" x14ac:dyDescent="0.2">
      <c r="A88" s="1"/>
      <c r="B88" s="1"/>
      <c r="C88" s="2" t="s">
        <v>151</v>
      </c>
      <c r="D88" s="1"/>
      <c r="E88" s="1" t="s">
        <v>152</v>
      </c>
      <c r="F88" s="13" t="s">
        <v>154</v>
      </c>
      <c r="G88" s="10">
        <v>0</v>
      </c>
      <c r="H88" s="113"/>
    </row>
    <row r="89" spans="1:8" ht="14.1" customHeight="1" x14ac:dyDescent="0.2">
      <c r="A89" s="1"/>
      <c r="B89" s="1"/>
      <c r="C89" s="11"/>
      <c r="D89" s="1"/>
      <c r="E89" s="1"/>
      <c r="F89" s="12"/>
      <c r="G89" s="12"/>
      <c r="H89" s="113"/>
    </row>
    <row r="90" spans="1:8" ht="18" customHeight="1" x14ac:dyDescent="0.2">
      <c r="A90" s="1"/>
      <c r="B90" s="1"/>
      <c r="C90" s="2" t="s">
        <v>159</v>
      </c>
      <c r="D90" s="1"/>
      <c r="E90" s="1"/>
      <c r="F90" s="9">
        <v>215357.705422</v>
      </c>
      <c r="G90" s="10">
        <v>1.0041891599999999</v>
      </c>
      <c r="H90" s="113"/>
    </row>
    <row r="91" spans="1:8" ht="14.1" customHeight="1" x14ac:dyDescent="0.2">
      <c r="A91" s="1"/>
      <c r="B91" s="1"/>
      <c r="C91" s="11"/>
      <c r="D91" s="1"/>
      <c r="E91" s="1"/>
      <c r="F91" s="12"/>
      <c r="G91" s="12"/>
      <c r="H91" s="113"/>
    </row>
    <row r="92" spans="1:8" ht="14.1" customHeight="1" x14ac:dyDescent="0.2">
      <c r="A92" s="1"/>
      <c r="B92" s="1"/>
      <c r="C92" s="2" t="s">
        <v>160</v>
      </c>
      <c r="D92" s="1"/>
      <c r="E92" s="1"/>
      <c r="F92" s="12"/>
      <c r="G92" s="12"/>
      <c r="H92" s="113"/>
    </row>
    <row r="93" spans="1:8" ht="24" customHeight="1" x14ac:dyDescent="0.2">
      <c r="A93" s="1"/>
      <c r="B93" s="1"/>
      <c r="C93" s="2" t="s">
        <v>10</v>
      </c>
      <c r="D93" s="1"/>
      <c r="E93" s="1"/>
      <c r="F93" s="12"/>
      <c r="G93" s="12"/>
      <c r="H93" s="113"/>
    </row>
    <row r="94" spans="1:8" ht="14.1" customHeight="1" x14ac:dyDescent="0.2">
      <c r="A94" s="1"/>
      <c r="B94" s="1"/>
      <c r="C94" s="2" t="s">
        <v>151</v>
      </c>
      <c r="D94" s="1"/>
      <c r="E94" s="1" t="s">
        <v>152</v>
      </c>
      <c r="F94" s="13" t="s">
        <v>154</v>
      </c>
      <c r="G94" s="10">
        <v>0</v>
      </c>
      <c r="H94" s="113"/>
    </row>
    <row r="95" spans="1:8" ht="14.1" customHeight="1" x14ac:dyDescent="0.2">
      <c r="A95" s="1"/>
      <c r="B95" s="1"/>
      <c r="C95" s="11"/>
      <c r="D95" s="1"/>
      <c r="E95" s="1"/>
      <c r="F95" s="12"/>
      <c r="G95" s="12"/>
      <c r="H95" s="113"/>
    </row>
    <row r="96" spans="1:8" ht="14.1" customHeight="1" x14ac:dyDescent="0.2">
      <c r="A96" s="1"/>
      <c r="B96" s="1"/>
      <c r="C96" s="2" t="s">
        <v>161</v>
      </c>
      <c r="D96" s="1"/>
      <c r="E96" s="1"/>
      <c r="F96" s="1"/>
      <c r="G96" s="1"/>
      <c r="H96" s="113"/>
    </row>
    <row r="97" spans="1:8" ht="14.1" customHeight="1" x14ac:dyDescent="0.2">
      <c r="A97" s="1"/>
      <c r="B97" s="1"/>
      <c r="C97" s="2" t="s">
        <v>151</v>
      </c>
      <c r="D97" s="1"/>
      <c r="E97" s="1" t="s">
        <v>152</v>
      </c>
      <c r="F97" s="13" t="s">
        <v>154</v>
      </c>
      <c r="G97" s="10">
        <v>0</v>
      </c>
      <c r="H97" s="113"/>
    </row>
    <row r="98" spans="1:8" ht="14.1" customHeight="1" x14ac:dyDescent="0.2">
      <c r="A98" s="1"/>
      <c r="B98" s="1"/>
      <c r="C98" s="11"/>
      <c r="D98" s="1"/>
      <c r="E98" s="1"/>
      <c r="F98" s="12"/>
      <c r="G98" s="12"/>
      <c r="H98" s="113"/>
    </row>
    <row r="99" spans="1:8" ht="14.1" customHeight="1" x14ac:dyDescent="0.2">
      <c r="A99" s="1"/>
      <c r="B99" s="1"/>
      <c r="C99" s="2" t="s">
        <v>162</v>
      </c>
      <c r="D99" s="1"/>
      <c r="E99" s="1"/>
      <c r="F99" s="1"/>
      <c r="G99" s="1"/>
      <c r="H99" s="113"/>
    </row>
    <row r="100" spans="1:8" ht="14.1" customHeight="1" x14ac:dyDescent="0.2">
      <c r="A100" s="1"/>
      <c r="B100" s="1"/>
      <c r="C100" s="2" t="s">
        <v>151</v>
      </c>
      <c r="D100" s="1"/>
      <c r="E100" s="1" t="s">
        <v>152</v>
      </c>
      <c r="F100" s="13" t="s">
        <v>154</v>
      </c>
      <c r="G100" s="10">
        <v>0</v>
      </c>
      <c r="H100" s="113"/>
    </row>
    <row r="101" spans="1:8" ht="14.1" customHeight="1" x14ac:dyDescent="0.2">
      <c r="A101" s="1"/>
      <c r="B101" s="1"/>
      <c r="C101" s="11"/>
      <c r="D101" s="1"/>
      <c r="E101" s="1"/>
      <c r="F101" s="12"/>
      <c r="G101" s="12"/>
      <c r="H101" s="113"/>
    </row>
    <row r="102" spans="1:8" ht="14.1" customHeight="1" x14ac:dyDescent="0.2">
      <c r="A102" s="1"/>
      <c r="B102" s="1"/>
      <c r="C102" s="2" t="s">
        <v>163</v>
      </c>
      <c r="D102" s="1"/>
      <c r="E102" s="1"/>
      <c r="F102" s="12"/>
      <c r="G102" s="12"/>
      <c r="H102" s="113"/>
    </row>
    <row r="103" spans="1:8" ht="14.1" customHeight="1" x14ac:dyDescent="0.2">
      <c r="A103" s="1"/>
      <c r="B103" s="1"/>
      <c r="C103" s="2" t="s">
        <v>151</v>
      </c>
      <c r="D103" s="1"/>
      <c r="E103" s="1" t="s">
        <v>152</v>
      </c>
      <c r="F103" s="13" t="s">
        <v>154</v>
      </c>
      <c r="G103" s="10">
        <v>0</v>
      </c>
      <c r="H103" s="113"/>
    </row>
    <row r="104" spans="1:8" ht="14.1" customHeight="1" x14ac:dyDescent="0.2">
      <c r="A104" s="1"/>
      <c r="B104" s="1"/>
      <c r="C104" s="11"/>
      <c r="D104" s="1"/>
      <c r="E104" s="1"/>
      <c r="F104" s="12"/>
      <c r="G104" s="12"/>
      <c r="H104" s="113"/>
    </row>
    <row r="105" spans="1:8" ht="14.1" customHeight="1" x14ac:dyDescent="0.2">
      <c r="A105" s="1"/>
      <c r="B105" s="1"/>
      <c r="C105" s="2" t="s">
        <v>164</v>
      </c>
      <c r="D105" s="1"/>
      <c r="E105" s="1"/>
      <c r="F105" s="9">
        <v>0</v>
      </c>
      <c r="G105" s="10">
        <v>0</v>
      </c>
      <c r="H105" s="113"/>
    </row>
    <row r="106" spans="1:8" ht="14.1" customHeight="1" x14ac:dyDescent="0.2">
      <c r="A106" s="1"/>
      <c r="B106" s="1"/>
      <c r="C106" s="11"/>
      <c r="D106" s="1"/>
      <c r="E106" s="1"/>
      <c r="F106" s="12"/>
      <c r="G106" s="12"/>
      <c r="H106" s="113"/>
    </row>
    <row r="107" spans="1:8" ht="14.1" customHeight="1" x14ac:dyDescent="0.2">
      <c r="A107" s="1"/>
      <c r="B107" s="1"/>
      <c r="C107" s="2" t="s">
        <v>165</v>
      </c>
      <c r="D107" s="1"/>
      <c r="E107" s="1"/>
      <c r="F107" s="12"/>
      <c r="G107" s="12"/>
      <c r="H107" s="113"/>
    </row>
    <row r="108" spans="1:8" ht="14.1" customHeight="1" x14ac:dyDescent="0.2">
      <c r="A108" s="1"/>
      <c r="B108" s="1"/>
      <c r="C108" s="2" t="s">
        <v>166</v>
      </c>
      <c r="D108" s="1"/>
      <c r="E108" s="1"/>
      <c r="F108" s="12"/>
      <c r="G108" s="12"/>
      <c r="H108" s="113"/>
    </row>
    <row r="109" spans="1:8" ht="14.1" customHeight="1" x14ac:dyDescent="0.2">
      <c r="A109" s="1"/>
      <c r="B109" s="1"/>
      <c r="C109" s="2" t="s">
        <v>151</v>
      </c>
      <c r="D109" s="1"/>
      <c r="E109" s="1" t="s">
        <v>152</v>
      </c>
      <c r="F109" s="13" t="s">
        <v>154</v>
      </c>
      <c r="G109" s="10">
        <v>0</v>
      </c>
      <c r="H109" s="113"/>
    </row>
    <row r="110" spans="1:8" ht="14.1" customHeight="1" x14ac:dyDescent="0.2">
      <c r="A110" s="1"/>
      <c r="B110" s="1"/>
      <c r="C110" s="11"/>
      <c r="D110" s="1"/>
      <c r="E110" s="1"/>
      <c r="F110" s="12"/>
      <c r="G110" s="12"/>
      <c r="H110" s="113"/>
    </row>
    <row r="111" spans="1:8" ht="14.1" customHeight="1" x14ac:dyDescent="0.2">
      <c r="A111" s="1"/>
      <c r="B111" s="1"/>
      <c r="C111" s="2" t="s">
        <v>167</v>
      </c>
      <c r="D111" s="1"/>
      <c r="E111" s="1"/>
      <c r="F111" s="12"/>
      <c r="G111" s="12"/>
      <c r="H111" s="113"/>
    </row>
    <row r="112" spans="1:8" ht="14.1" customHeight="1" x14ac:dyDescent="0.2">
      <c r="A112" s="1"/>
      <c r="B112" s="1"/>
      <c r="C112" s="2" t="s">
        <v>151</v>
      </c>
      <c r="D112" s="1"/>
      <c r="E112" s="1" t="s">
        <v>152</v>
      </c>
      <c r="F112" s="13" t="s">
        <v>154</v>
      </c>
      <c r="G112" s="10">
        <v>0</v>
      </c>
      <c r="H112" s="113"/>
    </row>
    <row r="113" spans="1:8" ht="14.1" customHeight="1" x14ac:dyDescent="0.2">
      <c r="A113" s="1"/>
      <c r="B113" s="1"/>
      <c r="C113" s="11"/>
      <c r="D113" s="1"/>
      <c r="E113" s="1"/>
      <c r="F113" s="12"/>
      <c r="G113" s="12"/>
      <c r="H113" s="113"/>
    </row>
    <row r="114" spans="1:8" ht="14.1" customHeight="1" x14ac:dyDescent="0.2">
      <c r="A114" s="1"/>
      <c r="B114" s="1"/>
      <c r="C114" s="2" t="s">
        <v>168</v>
      </c>
      <c r="D114" s="1"/>
      <c r="E114" s="1"/>
      <c r="F114" s="12"/>
      <c r="G114" s="12"/>
      <c r="H114" s="113"/>
    </row>
    <row r="115" spans="1:8" ht="14.1" customHeight="1" x14ac:dyDescent="0.2">
      <c r="A115" s="1"/>
      <c r="B115" s="1"/>
      <c r="C115" s="2" t="s">
        <v>151</v>
      </c>
      <c r="D115" s="1"/>
      <c r="E115" s="1" t="s">
        <v>152</v>
      </c>
      <c r="F115" s="13" t="s">
        <v>154</v>
      </c>
      <c r="G115" s="10">
        <v>0</v>
      </c>
      <c r="H115" s="113"/>
    </row>
    <row r="116" spans="1:8" ht="14.1" customHeight="1" x14ac:dyDescent="0.2">
      <c r="A116" s="1"/>
      <c r="B116" s="1"/>
      <c r="C116" s="11"/>
      <c r="D116" s="1"/>
      <c r="E116" s="1"/>
      <c r="F116" s="12"/>
      <c r="G116" s="12"/>
      <c r="H116" s="113"/>
    </row>
    <row r="117" spans="1:8" ht="14.1" customHeight="1" x14ac:dyDescent="0.2">
      <c r="A117" s="1"/>
      <c r="B117" s="1"/>
      <c r="C117" s="2" t="s">
        <v>169</v>
      </c>
      <c r="D117" s="1"/>
      <c r="E117" s="1"/>
      <c r="F117" s="12"/>
      <c r="G117" s="12"/>
      <c r="H117" s="113"/>
    </row>
    <row r="118" spans="1:8" ht="17.100000000000001" customHeight="1" x14ac:dyDescent="0.2">
      <c r="A118" s="3">
        <v>1</v>
      </c>
      <c r="B118" s="4"/>
      <c r="C118" s="4" t="s">
        <v>170</v>
      </c>
      <c r="D118" s="4"/>
      <c r="E118" s="8"/>
      <c r="F118" s="6">
        <v>737.39405900099996</v>
      </c>
      <c r="G118" s="7">
        <v>3.4383899999999999E-3</v>
      </c>
      <c r="H118" s="113">
        <v>6.7600000000000016</v>
      </c>
    </row>
    <row r="119" spans="1:8" ht="14.1" customHeight="1" x14ac:dyDescent="0.2">
      <c r="A119" s="1"/>
      <c r="B119" s="1"/>
      <c r="C119" s="2" t="s">
        <v>151</v>
      </c>
      <c r="D119" s="1"/>
      <c r="E119" s="1" t="s">
        <v>152</v>
      </c>
      <c r="F119" s="9">
        <v>737.39405900099996</v>
      </c>
      <c r="G119" s="10">
        <v>3.4383899999999999E-3</v>
      </c>
      <c r="H119" s="113"/>
    </row>
    <row r="120" spans="1:8" ht="14.1" customHeight="1" x14ac:dyDescent="0.2">
      <c r="A120" s="1"/>
      <c r="B120" s="1"/>
      <c r="C120" s="11"/>
      <c r="D120" s="1"/>
      <c r="E120" s="1"/>
      <c r="F120" s="12"/>
      <c r="G120" s="12"/>
      <c r="H120" s="113"/>
    </row>
    <row r="121" spans="1:8" ht="14.1" customHeight="1" x14ac:dyDescent="0.2">
      <c r="A121" s="1"/>
      <c r="B121" s="1"/>
      <c r="C121" s="2" t="s">
        <v>171</v>
      </c>
      <c r="D121" s="1"/>
      <c r="E121" s="1"/>
      <c r="F121" s="9">
        <v>737.39405900099996</v>
      </c>
      <c r="G121" s="10">
        <v>3.4383899999999999E-3</v>
      </c>
      <c r="H121" s="113"/>
    </row>
    <row r="122" spans="1:8" ht="14.1" customHeight="1" x14ac:dyDescent="0.2">
      <c r="A122" s="1"/>
      <c r="B122" s="1"/>
      <c r="C122" s="12"/>
      <c r="D122" s="1"/>
      <c r="E122" s="1"/>
      <c r="F122" s="1"/>
      <c r="G122" s="1"/>
      <c r="H122" s="113"/>
    </row>
    <row r="123" spans="1:8" ht="14.1" customHeight="1" x14ac:dyDescent="0.2">
      <c r="A123" s="1"/>
      <c r="B123" s="1"/>
      <c r="C123" s="2" t="s">
        <v>172</v>
      </c>
      <c r="D123" s="1"/>
      <c r="E123" s="1"/>
      <c r="F123" s="1"/>
      <c r="G123" s="1"/>
      <c r="H123" s="113"/>
    </row>
    <row r="124" spans="1:8" ht="14.1" customHeight="1" x14ac:dyDescent="0.2">
      <c r="A124" s="1"/>
      <c r="B124" s="1"/>
      <c r="C124" s="2" t="s">
        <v>173</v>
      </c>
      <c r="D124" s="1"/>
      <c r="E124" s="1"/>
      <c r="F124" s="1"/>
      <c r="G124" s="1"/>
      <c r="H124" s="113"/>
    </row>
    <row r="125" spans="1:8" ht="14.1" customHeight="1" x14ac:dyDescent="0.2">
      <c r="A125" s="1"/>
      <c r="B125" s="1"/>
      <c r="C125" s="2" t="s">
        <v>151</v>
      </c>
      <c r="D125" s="1"/>
      <c r="E125" s="1" t="s">
        <v>152</v>
      </c>
      <c r="F125" s="13" t="s">
        <v>154</v>
      </c>
      <c r="G125" s="10">
        <v>0</v>
      </c>
      <c r="H125" s="113"/>
    </row>
    <row r="126" spans="1:8" ht="14.1" customHeight="1" x14ac:dyDescent="0.2">
      <c r="A126" s="1"/>
      <c r="B126" s="1"/>
      <c r="C126" s="11"/>
      <c r="D126" s="1"/>
      <c r="E126" s="1"/>
      <c r="F126" s="12"/>
      <c r="G126" s="12"/>
      <c r="H126" s="113"/>
    </row>
    <row r="127" spans="1:8" ht="14.1" customHeight="1" x14ac:dyDescent="0.2">
      <c r="A127" s="1"/>
      <c r="B127" s="1"/>
      <c r="C127" s="2" t="s">
        <v>174</v>
      </c>
      <c r="D127" s="1"/>
      <c r="E127" s="1"/>
      <c r="F127" s="1"/>
      <c r="G127" s="1"/>
      <c r="H127" s="113"/>
    </row>
    <row r="128" spans="1:8" ht="14.1" customHeight="1" x14ac:dyDescent="0.2">
      <c r="A128" s="1"/>
      <c r="B128" s="1"/>
      <c r="C128" s="2" t="s">
        <v>175</v>
      </c>
      <c r="D128" s="1"/>
      <c r="E128" s="1"/>
      <c r="F128" s="1"/>
      <c r="G128" s="1"/>
      <c r="H128" s="113"/>
    </row>
    <row r="129" spans="1:8" ht="14.1" customHeight="1" x14ac:dyDescent="0.2">
      <c r="A129" s="1"/>
      <c r="B129" s="1"/>
      <c r="C129" s="2" t="s">
        <v>151</v>
      </c>
      <c r="D129" s="1"/>
      <c r="E129" s="1" t="s">
        <v>152</v>
      </c>
      <c r="F129" s="13" t="s">
        <v>154</v>
      </c>
      <c r="G129" s="10">
        <v>0</v>
      </c>
      <c r="H129" s="113"/>
    </row>
    <row r="130" spans="1:8" ht="14.1" customHeight="1" x14ac:dyDescent="0.2">
      <c r="A130" s="1"/>
      <c r="B130" s="1"/>
      <c r="C130" s="11"/>
      <c r="D130" s="1"/>
      <c r="E130" s="1"/>
      <c r="F130" s="12"/>
      <c r="G130" s="12"/>
      <c r="H130" s="113"/>
    </row>
    <row r="131" spans="1:8" ht="24" customHeight="1" x14ac:dyDescent="0.2">
      <c r="A131" s="1"/>
      <c r="B131" s="1"/>
      <c r="C131" s="2" t="s">
        <v>176</v>
      </c>
      <c r="D131" s="1"/>
      <c r="E131" s="1"/>
      <c r="F131" s="12"/>
      <c r="G131" s="12"/>
      <c r="H131" s="113"/>
    </row>
    <row r="132" spans="1:8" ht="14.1" customHeight="1" x14ac:dyDescent="0.2">
      <c r="A132" s="1"/>
      <c r="B132" s="1"/>
      <c r="C132" s="2" t="s">
        <v>151</v>
      </c>
      <c r="D132" s="1"/>
      <c r="E132" s="1" t="s">
        <v>152</v>
      </c>
      <c r="F132" s="13" t="s">
        <v>154</v>
      </c>
      <c r="G132" s="10">
        <v>0</v>
      </c>
      <c r="H132" s="113"/>
    </row>
    <row r="133" spans="1:8" ht="14.1" customHeight="1" x14ac:dyDescent="0.2">
      <c r="A133" s="1"/>
      <c r="B133" s="1"/>
      <c r="C133" s="11"/>
      <c r="D133" s="1"/>
      <c r="E133" s="1"/>
      <c r="F133" s="12"/>
      <c r="G133" s="12"/>
      <c r="H133" s="113"/>
    </row>
    <row r="134" spans="1:8" ht="14.1" customHeight="1" x14ac:dyDescent="0.2">
      <c r="A134" s="1"/>
      <c r="B134" s="4"/>
      <c r="C134" s="4"/>
      <c r="D134" s="2"/>
      <c r="E134" s="1"/>
      <c r="F134" s="4"/>
      <c r="G134" s="8"/>
      <c r="H134" s="113"/>
    </row>
    <row r="135" spans="1:8" ht="18" customHeight="1" x14ac:dyDescent="0.2">
      <c r="A135" s="8"/>
      <c r="B135" s="4"/>
      <c r="C135" s="4" t="s">
        <v>177</v>
      </c>
      <c r="D135" s="4"/>
      <c r="E135" s="8"/>
      <c r="F135" s="6">
        <v>-1635.7837492900001</v>
      </c>
      <c r="G135" s="7">
        <v>-7.6274799999999999E-3</v>
      </c>
      <c r="H135" s="113"/>
    </row>
    <row r="136" spans="1:8" ht="14.1" customHeight="1" x14ac:dyDescent="0.2">
      <c r="A136" s="11"/>
      <c r="B136" s="11"/>
      <c r="C136" s="2" t="s">
        <v>178</v>
      </c>
      <c r="D136" s="12"/>
      <c r="E136" s="12"/>
      <c r="F136" s="9">
        <v>214459.31573171099</v>
      </c>
      <c r="G136" s="14">
        <v>1.00000007</v>
      </c>
      <c r="H136" s="113"/>
    </row>
    <row r="137" spans="1:8" ht="14.1" customHeight="1" x14ac:dyDescent="0.2">
      <c r="A137" s="15"/>
      <c r="B137" s="15"/>
      <c r="C137" s="15"/>
      <c r="D137" s="16"/>
      <c r="E137" s="16"/>
      <c r="F137" s="16"/>
      <c r="G137" s="16"/>
    </row>
    <row r="138" spans="1:8" ht="14.1" customHeight="1" x14ac:dyDescent="0.2">
      <c r="A138" s="17"/>
      <c r="B138" s="17"/>
      <c r="C138" s="17"/>
      <c r="D138" s="19"/>
      <c r="E138" s="19"/>
      <c r="F138" s="19"/>
      <c r="G138" s="19"/>
    </row>
    <row r="139" spans="1:8" ht="14.1" customHeight="1" x14ac:dyDescent="0.2">
      <c r="A139" s="17"/>
      <c r="B139" s="208" t="s">
        <v>180</v>
      </c>
      <c r="C139" s="209"/>
      <c r="D139" s="210"/>
      <c r="E139" s="20"/>
      <c r="F139" s="19"/>
      <c r="G139" s="19"/>
    </row>
    <row r="140" spans="1:8" ht="29.1" customHeight="1" x14ac:dyDescent="0.2">
      <c r="A140" s="17"/>
      <c r="B140" s="205" t="s">
        <v>181</v>
      </c>
      <c r="C140" s="206"/>
      <c r="D140" s="2" t="s">
        <v>182</v>
      </c>
      <c r="E140" s="20"/>
      <c r="F140" s="19"/>
      <c r="G140" s="19"/>
    </row>
    <row r="141" spans="1:8" ht="17.100000000000001" customHeight="1" x14ac:dyDescent="0.2">
      <c r="A141" s="17"/>
      <c r="B141" s="205" t="s">
        <v>183</v>
      </c>
      <c r="C141" s="206"/>
      <c r="D141" s="2" t="s">
        <v>182</v>
      </c>
      <c r="E141" s="20"/>
      <c r="F141" s="19"/>
      <c r="G141" s="19"/>
    </row>
    <row r="142" spans="1:8" ht="17.100000000000001" customHeight="1" x14ac:dyDescent="0.2">
      <c r="A142" s="17"/>
      <c r="B142" s="205" t="s">
        <v>184</v>
      </c>
      <c r="C142" s="206"/>
      <c r="D142" s="12" t="s">
        <v>152</v>
      </c>
      <c r="E142" s="20"/>
      <c r="F142" s="19"/>
      <c r="G142" s="19"/>
    </row>
    <row r="143" spans="1:8" ht="25.5" x14ac:dyDescent="0.2">
      <c r="A143" s="21"/>
      <c r="B143" s="22" t="s">
        <v>152</v>
      </c>
      <c r="C143" s="22" t="s">
        <v>185</v>
      </c>
      <c r="D143" s="22" t="s">
        <v>186</v>
      </c>
      <c r="E143" s="21"/>
      <c r="F143" s="21"/>
      <c r="G143" s="21"/>
    </row>
    <row r="144" spans="1:8" ht="18" customHeight="1" x14ac:dyDescent="0.2">
      <c r="A144" s="21"/>
      <c r="B144" s="23" t="s">
        <v>187</v>
      </c>
      <c r="C144" s="22" t="s">
        <v>188</v>
      </c>
      <c r="D144" s="22" t="s">
        <v>189</v>
      </c>
      <c r="E144" s="21"/>
      <c r="F144" s="21"/>
      <c r="G144" s="21"/>
    </row>
    <row r="145" spans="1:7" ht="17.100000000000001" customHeight="1" x14ac:dyDescent="0.2">
      <c r="A145" s="21"/>
      <c r="B145" s="4" t="s">
        <v>190</v>
      </c>
      <c r="C145" s="24">
        <v>12.016299999999999</v>
      </c>
      <c r="D145" s="24">
        <v>12.744</v>
      </c>
      <c r="E145" s="21"/>
      <c r="F145" s="18"/>
      <c r="G145" s="25"/>
    </row>
    <row r="146" spans="1:7" ht="17.100000000000001" customHeight="1" x14ac:dyDescent="0.2">
      <c r="A146" s="21"/>
      <c r="B146" s="4" t="s">
        <v>1033</v>
      </c>
      <c r="C146" s="24">
        <v>12.0162</v>
      </c>
      <c r="D146" s="24">
        <v>12.7439</v>
      </c>
      <c r="E146" s="21"/>
      <c r="F146" s="18"/>
      <c r="G146" s="25"/>
    </row>
    <row r="147" spans="1:7" ht="17.100000000000001" customHeight="1" x14ac:dyDescent="0.2">
      <c r="A147" s="21"/>
      <c r="B147" s="4" t="s">
        <v>191</v>
      </c>
      <c r="C147" s="24">
        <v>11.7561</v>
      </c>
      <c r="D147" s="24">
        <v>12.4527</v>
      </c>
      <c r="E147" s="21"/>
      <c r="F147" s="18"/>
      <c r="G147" s="25"/>
    </row>
    <row r="148" spans="1:7" ht="17.100000000000001" customHeight="1" x14ac:dyDescent="0.2">
      <c r="A148" s="21"/>
      <c r="B148" s="4" t="s">
        <v>1034</v>
      </c>
      <c r="C148" s="24">
        <v>11.7561</v>
      </c>
      <c r="D148" s="24">
        <v>12.4526</v>
      </c>
      <c r="E148" s="21"/>
      <c r="F148" s="18"/>
      <c r="G148" s="25"/>
    </row>
    <row r="149" spans="1:7" ht="14.1" customHeight="1" x14ac:dyDescent="0.2">
      <c r="A149" s="21"/>
      <c r="B149" s="21"/>
      <c r="C149" s="21"/>
      <c r="D149" s="21"/>
      <c r="E149" s="21"/>
      <c r="F149" s="21"/>
      <c r="G149" s="21"/>
    </row>
    <row r="150" spans="1:7" ht="17.100000000000001" customHeight="1" x14ac:dyDescent="0.2">
      <c r="A150" s="21"/>
      <c r="B150" s="205" t="s">
        <v>1035</v>
      </c>
      <c r="C150" s="206"/>
      <c r="D150" s="2" t="s">
        <v>182</v>
      </c>
      <c r="E150" s="21"/>
      <c r="F150" s="21"/>
      <c r="G150" s="21"/>
    </row>
    <row r="151" spans="1:7" ht="18" customHeight="1" x14ac:dyDescent="0.2">
      <c r="A151" s="21"/>
      <c r="B151" s="26"/>
      <c r="C151" s="26"/>
      <c r="D151" s="26"/>
      <c r="E151" s="21"/>
      <c r="F151" s="21"/>
      <c r="G151" s="21"/>
    </row>
    <row r="152" spans="1:7" ht="29.1" customHeight="1" x14ac:dyDescent="0.2">
      <c r="A152" s="21"/>
      <c r="B152" s="205" t="s">
        <v>192</v>
      </c>
      <c r="C152" s="206"/>
      <c r="D152" s="2" t="s">
        <v>182</v>
      </c>
      <c r="E152" s="27"/>
      <c r="F152" s="21"/>
      <c r="G152" s="21"/>
    </row>
    <row r="153" spans="1:7" ht="29.1" customHeight="1" x14ac:dyDescent="0.2">
      <c r="A153" s="21"/>
      <c r="B153" s="205" t="s">
        <v>193</v>
      </c>
      <c r="C153" s="206"/>
      <c r="D153" s="2" t="s">
        <v>182</v>
      </c>
      <c r="E153" s="27"/>
      <c r="F153" s="21"/>
      <c r="G153" s="21"/>
    </row>
    <row r="154" spans="1:7" ht="17.100000000000001" customHeight="1" x14ac:dyDescent="0.2">
      <c r="A154" s="21"/>
      <c r="B154" s="205" t="s">
        <v>194</v>
      </c>
      <c r="C154" s="206"/>
      <c r="D154" s="2" t="s">
        <v>182</v>
      </c>
      <c r="E154" s="27"/>
      <c r="F154" s="21"/>
      <c r="G154" s="21"/>
    </row>
    <row r="155" spans="1:7" ht="17.100000000000001" customHeight="1" x14ac:dyDescent="0.2">
      <c r="A155" s="21"/>
      <c r="B155" s="205" t="s">
        <v>195</v>
      </c>
      <c r="C155" s="206"/>
      <c r="D155" s="28">
        <v>0.40700574698664466</v>
      </c>
      <c r="E155" s="21"/>
      <c r="F155" s="18"/>
      <c r="G155" s="25"/>
    </row>
  </sheetData>
  <mergeCells count="13">
    <mergeCell ref="B155:C155"/>
    <mergeCell ref="B141:C141"/>
    <mergeCell ref="B142:C142"/>
    <mergeCell ref="B150:C150"/>
    <mergeCell ref="B152:C152"/>
    <mergeCell ref="B153:C153"/>
    <mergeCell ref="B154:C154"/>
    <mergeCell ref="J2:N2"/>
    <mergeCell ref="B140:C140"/>
    <mergeCell ref="B139:D139"/>
    <mergeCell ref="A1:H1"/>
    <mergeCell ref="A2:H2"/>
    <mergeCell ref="A3:H3"/>
  </mergeCells>
  <hyperlinks>
    <hyperlink ref="I1" location="Index!B28" display="Index" xr:uid="{EC817DF8-562B-43BF-B515-4E42ECBFBA21}"/>
  </hyperlinks>
  <pageMargins left="5.000000074505806E-2" right="5.000000074505806E-2" top="0.30000001192092896" bottom="0.20000000298023224" header="0" footer="0"/>
  <pageSetup paperSize="9"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11" t="s">
        <v>0</v>
      </c>
      <c r="B1" s="211"/>
      <c r="C1" s="211"/>
      <c r="D1" s="211"/>
      <c r="E1" s="211"/>
      <c r="F1" s="211"/>
      <c r="G1" s="211"/>
      <c r="H1" s="211"/>
      <c r="I1" s="192" t="s">
        <v>1142</v>
      </c>
    </row>
    <row r="2" spans="1:15" ht="17.100000000000001" customHeight="1" x14ac:dyDescent="0.2">
      <c r="A2" s="212" t="s">
        <v>848</v>
      </c>
      <c r="B2" s="213"/>
      <c r="C2" s="213"/>
      <c r="D2" s="213"/>
      <c r="E2" s="213"/>
      <c r="F2" s="213"/>
      <c r="G2" s="213"/>
      <c r="H2" s="214"/>
      <c r="J2" s="204" t="s">
        <v>1143</v>
      </c>
      <c r="K2" s="204"/>
      <c r="L2" s="204"/>
      <c r="M2" s="204"/>
      <c r="N2" s="204"/>
    </row>
    <row r="3" spans="1:15" ht="21" customHeight="1" x14ac:dyDescent="0.2">
      <c r="A3" s="211" t="s">
        <v>1043</v>
      </c>
      <c r="B3" s="211"/>
      <c r="C3" s="211"/>
      <c r="D3" s="211"/>
      <c r="E3" s="211"/>
      <c r="F3" s="211"/>
      <c r="G3" s="211"/>
      <c r="H3" s="211"/>
    </row>
    <row r="4" spans="1:15" s="115" customFormat="1" ht="30" x14ac:dyDescent="0.2">
      <c r="A4" s="114" t="s">
        <v>2</v>
      </c>
      <c r="B4" s="114" t="s">
        <v>3</v>
      </c>
      <c r="C4" s="114" t="s">
        <v>4</v>
      </c>
      <c r="D4" s="114" t="s">
        <v>5</v>
      </c>
      <c r="E4" s="114" t="s">
        <v>6</v>
      </c>
      <c r="F4" s="114" t="s">
        <v>7</v>
      </c>
      <c r="G4" s="114" t="s">
        <v>8</v>
      </c>
      <c r="H4" s="112" t="s">
        <v>1030</v>
      </c>
      <c r="O4"/>
    </row>
    <row r="5" spans="1:15" ht="14.1" customHeight="1" x14ac:dyDescent="0.2">
      <c r="A5" s="1"/>
      <c r="B5" s="1"/>
      <c r="C5" s="2" t="s">
        <v>9</v>
      </c>
      <c r="D5" s="1"/>
      <c r="E5" s="1"/>
      <c r="F5" s="1"/>
      <c r="G5" s="1"/>
      <c r="H5" s="113"/>
    </row>
    <row r="6" spans="1:15" ht="24" customHeight="1" x14ac:dyDescent="0.2">
      <c r="A6" s="1"/>
      <c r="B6" s="1"/>
      <c r="C6" s="2" t="s">
        <v>10</v>
      </c>
      <c r="D6" s="1"/>
      <c r="E6" s="1"/>
      <c r="F6" s="1"/>
      <c r="G6" s="1"/>
      <c r="H6" s="113"/>
    </row>
    <row r="7" spans="1:15" ht="17.100000000000001" customHeight="1" x14ac:dyDescent="0.2">
      <c r="A7" s="3">
        <v>1</v>
      </c>
      <c r="B7" s="4" t="s">
        <v>321</v>
      </c>
      <c r="C7" s="4" t="s">
        <v>322</v>
      </c>
      <c r="D7" s="4" t="s">
        <v>28</v>
      </c>
      <c r="E7" s="5">
        <v>1253375</v>
      </c>
      <c r="F7" s="6">
        <v>21423.3121875</v>
      </c>
      <c r="G7" s="7">
        <v>0.19742281</v>
      </c>
      <c r="H7" s="113"/>
    </row>
    <row r="8" spans="1:15" ht="17.100000000000001" customHeight="1" x14ac:dyDescent="0.2">
      <c r="A8" s="3">
        <v>2</v>
      </c>
      <c r="B8" s="4" t="s">
        <v>26</v>
      </c>
      <c r="C8" s="4" t="s">
        <v>27</v>
      </c>
      <c r="D8" s="4" t="s">
        <v>28</v>
      </c>
      <c r="E8" s="5">
        <v>2002156</v>
      </c>
      <c r="F8" s="6">
        <v>19953.486696</v>
      </c>
      <c r="G8" s="7">
        <v>0.18387788999999999</v>
      </c>
      <c r="H8" s="113"/>
    </row>
    <row r="9" spans="1:15" ht="17.100000000000001" customHeight="1" x14ac:dyDescent="0.2">
      <c r="A9" s="3">
        <v>3</v>
      </c>
      <c r="B9" s="4" t="s">
        <v>325</v>
      </c>
      <c r="C9" s="4" t="s">
        <v>326</v>
      </c>
      <c r="D9" s="4" t="s">
        <v>28</v>
      </c>
      <c r="E9" s="5">
        <v>833103</v>
      </c>
      <c r="F9" s="6">
        <v>9183.2943689999993</v>
      </c>
      <c r="G9" s="7">
        <v>8.4627049999999995E-2</v>
      </c>
      <c r="H9" s="113"/>
    </row>
    <row r="10" spans="1:15" ht="17.100000000000001" customHeight="1" x14ac:dyDescent="0.2">
      <c r="A10" s="3">
        <v>4</v>
      </c>
      <c r="B10" s="4" t="s">
        <v>62</v>
      </c>
      <c r="C10" s="4" t="s">
        <v>63</v>
      </c>
      <c r="D10" s="4" t="s">
        <v>28</v>
      </c>
      <c r="E10" s="5">
        <v>1147452</v>
      </c>
      <c r="F10" s="6">
        <v>7367.2155659999999</v>
      </c>
      <c r="G10" s="7">
        <v>6.7891290000000007E-2</v>
      </c>
      <c r="H10" s="113"/>
    </row>
    <row r="11" spans="1:15" ht="17.100000000000001" customHeight="1" x14ac:dyDescent="0.2">
      <c r="A11" s="3">
        <v>5</v>
      </c>
      <c r="B11" s="4" t="s">
        <v>110</v>
      </c>
      <c r="C11" s="4" t="s">
        <v>111</v>
      </c>
      <c r="D11" s="4" t="s">
        <v>53</v>
      </c>
      <c r="E11" s="5">
        <v>1606525</v>
      </c>
      <c r="F11" s="6">
        <v>6146.5646500000003</v>
      </c>
      <c r="G11" s="7">
        <v>5.6642600000000001E-2</v>
      </c>
      <c r="H11" s="113"/>
    </row>
    <row r="12" spans="1:15" ht="17.100000000000001" customHeight="1" x14ac:dyDescent="0.2">
      <c r="A12" s="3">
        <v>6</v>
      </c>
      <c r="B12" s="4" t="s">
        <v>296</v>
      </c>
      <c r="C12" s="4" t="s">
        <v>297</v>
      </c>
      <c r="D12" s="4" t="s">
        <v>53</v>
      </c>
      <c r="E12" s="5">
        <v>440354</v>
      </c>
      <c r="F12" s="6">
        <v>4579.901777</v>
      </c>
      <c r="G12" s="7">
        <v>4.2205289999999999E-2</v>
      </c>
      <c r="H12" s="113"/>
    </row>
    <row r="13" spans="1:15" ht="17.100000000000001" customHeight="1" x14ac:dyDescent="0.2">
      <c r="A13" s="3">
        <v>7</v>
      </c>
      <c r="B13" s="4" t="s">
        <v>435</v>
      </c>
      <c r="C13" s="4" t="s">
        <v>436</v>
      </c>
      <c r="D13" s="4" t="s">
        <v>53</v>
      </c>
      <c r="E13" s="5">
        <v>741531</v>
      </c>
      <c r="F13" s="6">
        <v>4190.0209155000002</v>
      </c>
      <c r="G13" s="7">
        <v>3.861241E-2</v>
      </c>
      <c r="H13" s="113"/>
      <c r="J13" s="194" t="s">
        <v>1179</v>
      </c>
    </row>
    <row r="14" spans="1:15" ht="17.100000000000001" customHeight="1" x14ac:dyDescent="0.2">
      <c r="A14" s="3">
        <v>8</v>
      </c>
      <c r="B14" s="4" t="s">
        <v>399</v>
      </c>
      <c r="C14" s="4" t="s">
        <v>400</v>
      </c>
      <c r="D14" s="4" t="s">
        <v>28</v>
      </c>
      <c r="E14" s="5">
        <v>3811896</v>
      </c>
      <c r="F14" s="6">
        <v>4021.5502799999999</v>
      </c>
      <c r="G14" s="7">
        <v>3.70599E-2</v>
      </c>
      <c r="H14" s="113"/>
    </row>
    <row r="15" spans="1:15" ht="17.100000000000001" customHeight="1" x14ac:dyDescent="0.2">
      <c r="A15" s="3">
        <v>9</v>
      </c>
      <c r="B15" s="4" t="s">
        <v>203</v>
      </c>
      <c r="C15" s="4" t="s">
        <v>204</v>
      </c>
      <c r="D15" s="4" t="s">
        <v>53</v>
      </c>
      <c r="E15" s="5">
        <v>178174</v>
      </c>
      <c r="F15" s="6">
        <v>3658.4467420000001</v>
      </c>
      <c r="G15" s="7">
        <v>3.3713779999999999E-2</v>
      </c>
      <c r="H15" s="113"/>
    </row>
    <row r="16" spans="1:15" ht="17.100000000000001" customHeight="1" x14ac:dyDescent="0.2">
      <c r="A16" s="3">
        <v>10</v>
      </c>
      <c r="B16" s="4" t="s">
        <v>335</v>
      </c>
      <c r="C16" s="4" t="s">
        <v>336</v>
      </c>
      <c r="D16" s="4" t="s">
        <v>28</v>
      </c>
      <c r="E16" s="5">
        <v>211236</v>
      </c>
      <c r="F16" s="6">
        <v>3377.5580220000002</v>
      </c>
      <c r="G16" s="7">
        <v>3.1125300000000002E-2</v>
      </c>
      <c r="H16" s="113"/>
    </row>
    <row r="17" spans="1:8" ht="17.100000000000001" customHeight="1" x14ac:dyDescent="0.2">
      <c r="A17" s="3">
        <v>11</v>
      </c>
      <c r="B17" s="4" t="s">
        <v>417</v>
      </c>
      <c r="C17" s="4" t="s">
        <v>418</v>
      </c>
      <c r="D17" s="4" t="s">
        <v>53</v>
      </c>
      <c r="E17" s="5">
        <v>375994</v>
      </c>
      <c r="F17" s="6">
        <v>2923.9173409999999</v>
      </c>
      <c r="G17" s="7">
        <v>2.6944849999999999E-2</v>
      </c>
      <c r="H17" s="113"/>
    </row>
    <row r="18" spans="1:8" ht="17.100000000000001" customHeight="1" x14ac:dyDescent="0.2">
      <c r="A18" s="3">
        <v>12</v>
      </c>
      <c r="B18" s="4" t="s">
        <v>365</v>
      </c>
      <c r="C18" s="4" t="s">
        <v>366</v>
      </c>
      <c r="D18" s="4" t="s">
        <v>53</v>
      </c>
      <c r="E18" s="5">
        <v>39264</v>
      </c>
      <c r="F18" s="6">
        <v>2877.1677599999998</v>
      </c>
      <c r="G18" s="7">
        <v>2.6514039999999999E-2</v>
      </c>
      <c r="H18" s="113"/>
    </row>
    <row r="19" spans="1:8" ht="17.100000000000001" customHeight="1" x14ac:dyDescent="0.2">
      <c r="A19" s="3">
        <v>13</v>
      </c>
      <c r="B19" s="4" t="s">
        <v>305</v>
      </c>
      <c r="C19" s="4" t="s">
        <v>306</v>
      </c>
      <c r="D19" s="4" t="s">
        <v>28</v>
      </c>
      <c r="E19" s="5">
        <v>1943932</v>
      </c>
      <c r="F19" s="6">
        <v>2188.867432</v>
      </c>
      <c r="G19" s="7">
        <v>2.0171129999999999E-2</v>
      </c>
      <c r="H19" s="113"/>
    </row>
    <row r="20" spans="1:8" ht="17.100000000000001" customHeight="1" x14ac:dyDescent="0.2">
      <c r="A20" s="3">
        <v>14</v>
      </c>
      <c r="B20" s="4" t="s">
        <v>275</v>
      </c>
      <c r="C20" s="4" t="s">
        <v>276</v>
      </c>
      <c r="D20" s="4" t="s">
        <v>53</v>
      </c>
      <c r="E20" s="5">
        <v>121433</v>
      </c>
      <c r="F20" s="6">
        <v>1860.6571425</v>
      </c>
      <c r="G20" s="7">
        <v>1.7146560000000002E-2</v>
      </c>
      <c r="H20" s="113"/>
    </row>
    <row r="21" spans="1:8" ht="29.1" customHeight="1" x14ac:dyDescent="0.2">
      <c r="A21" s="3">
        <v>15</v>
      </c>
      <c r="B21" s="4" t="s">
        <v>569</v>
      </c>
      <c r="C21" s="4" t="s">
        <v>570</v>
      </c>
      <c r="D21" s="4" t="s">
        <v>234</v>
      </c>
      <c r="E21" s="5">
        <v>337993</v>
      </c>
      <c r="F21" s="6">
        <v>1807.7555605</v>
      </c>
      <c r="G21" s="7">
        <v>1.665906E-2</v>
      </c>
      <c r="H21" s="113"/>
    </row>
    <row r="22" spans="1:8" ht="17.100000000000001" customHeight="1" x14ac:dyDescent="0.2">
      <c r="A22" s="3">
        <v>16</v>
      </c>
      <c r="B22" s="4" t="s">
        <v>468</v>
      </c>
      <c r="C22" s="4" t="s">
        <v>469</v>
      </c>
      <c r="D22" s="4" t="s">
        <v>28</v>
      </c>
      <c r="E22" s="5">
        <v>403301</v>
      </c>
      <c r="F22" s="6">
        <v>1688.4196365</v>
      </c>
      <c r="G22" s="7">
        <v>1.555934E-2</v>
      </c>
      <c r="H22" s="113"/>
    </row>
    <row r="23" spans="1:8" ht="17.100000000000001" customHeight="1" x14ac:dyDescent="0.2">
      <c r="A23" s="3">
        <v>17</v>
      </c>
      <c r="B23" s="4" t="s">
        <v>51</v>
      </c>
      <c r="C23" s="4" t="s">
        <v>52</v>
      </c>
      <c r="D23" s="4" t="s">
        <v>53</v>
      </c>
      <c r="E23" s="5">
        <v>388687</v>
      </c>
      <c r="F23" s="6">
        <v>1604.6942795</v>
      </c>
      <c r="G23" s="7">
        <v>1.478778E-2</v>
      </c>
      <c r="H23" s="113"/>
    </row>
    <row r="24" spans="1:8" ht="17.100000000000001" customHeight="1" x14ac:dyDescent="0.2">
      <c r="A24" s="3">
        <v>18</v>
      </c>
      <c r="B24" s="4" t="s">
        <v>475</v>
      </c>
      <c r="C24" s="4" t="s">
        <v>476</v>
      </c>
      <c r="D24" s="4" t="s">
        <v>234</v>
      </c>
      <c r="E24" s="5">
        <v>86450</v>
      </c>
      <c r="F24" s="6">
        <v>1238.4827</v>
      </c>
      <c r="G24" s="7">
        <v>1.1413019999999999E-2</v>
      </c>
      <c r="H24" s="113"/>
    </row>
    <row r="25" spans="1:8" ht="17.100000000000001" customHeight="1" x14ac:dyDescent="0.2">
      <c r="A25" s="3">
        <v>19</v>
      </c>
      <c r="B25" s="4" t="s">
        <v>342</v>
      </c>
      <c r="C25" s="4" t="s">
        <v>343</v>
      </c>
      <c r="D25" s="4" t="s">
        <v>267</v>
      </c>
      <c r="E25" s="5">
        <v>34768</v>
      </c>
      <c r="F25" s="6">
        <v>1112.523848</v>
      </c>
      <c r="G25" s="7">
        <v>1.0252270000000001E-2</v>
      </c>
      <c r="H25" s="113"/>
    </row>
    <row r="26" spans="1:8" ht="29.1" customHeight="1" x14ac:dyDescent="0.2">
      <c r="A26" s="3">
        <v>20</v>
      </c>
      <c r="B26" s="4" t="s">
        <v>211</v>
      </c>
      <c r="C26" s="4" t="s">
        <v>212</v>
      </c>
      <c r="D26" s="4" t="s">
        <v>53</v>
      </c>
      <c r="E26" s="5">
        <v>75948</v>
      </c>
      <c r="F26" s="6">
        <v>956.79290400000002</v>
      </c>
      <c r="G26" s="7">
        <v>8.8171599999999992E-3</v>
      </c>
      <c r="H26" s="113"/>
    </row>
    <row r="27" spans="1:8" ht="17.100000000000001" customHeight="1" x14ac:dyDescent="0.2">
      <c r="A27" s="3">
        <v>21</v>
      </c>
      <c r="B27" s="4" t="s">
        <v>484</v>
      </c>
      <c r="C27" s="4" t="s">
        <v>485</v>
      </c>
      <c r="D27" s="4" t="s">
        <v>28</v>
      </c>
      <c r="E27" s="5">
        <v>41132</v>
      </c>
      <c r="F27" s="6">
        <v>784.83969200000001</v>
      </c>
      <c r="G27" s="7">
        <v>7.2325499999999999E-3</v>
      </c>
      <c r="H27" s="113"/>
    </row>
    <row r="28" spans="1:8" ht="29.1" customHeight="1" x14ac:dyDescent="0.2">
      <c r="A28" s="3">
        <v>22</v>
      </c>
      <c r="B28" s="4" t="s">
        <v>799</v>
      </c>
      <c r="C28" s="4" t="s">
        <v>800</v>
      </c>
      <c r="D28" s="4" t="s">
        <v>234</v>
      </c>
      <c r="E28" s="5">
        <v>32775</v>
      </c>
      <c r="F28" s="6">
        <v>465.43777499999999</v>
      </c>
      <c r="G28" s="7">
        <v>4.2891600000000002E-3</v>
      </c>
      <c r="H28" s="113"/>
    </row>
    <row r="29" spans="1:8" ht="14.1" customHeight="1" x14ac:dyDescent="0.2">
      <c r="A29" s="1"/>
      <c r="B29" s="1"/>
      <c r="C29" s="2" t="s">
        <v>151</v>
      </c>
      <c r="D29" s="1"/>
      <c r="E29" s="1" t="s">
        <v>152</v>
      </c>
      <c r="F29" s="9">
        <v>103410.907276</v>
      </c>
      <c r="G29" s="10">
        <v>0.95296524000000005</v>
      </c>
      <c r="H29" s="113"/>
    </row>
    <row r="30" spans="1:8" ht="14.1" customHeight="1" x14ac:dyDescent="0.2">
      <c r="A30" s="1"/>
      <c r="B30" s="1"/>
      <c r="C30" s="11"/>
      <c r="D30" s="1"/>
      <c r="E30" s="1"/>
      <c r="F30" s="12"/>
      <c r="G30" s="12"/>
      <c r="H30" s="113"/>
    </row>
    <row r="31" spans="1:8" ht="14.1" customHeight="1" x14ac:dyDescent="0.2">
      <c r="A31" s="1"/>
      <c r="B31" s="1"/>
      <c r="C31" s="2" t="s">
        <v>153</v>
      </c>
      <c r="D31" s="1"/>
      <c r="E31" s="1"/>
      <c r="F31" s="1"/>
      <c r="G31" s="1"/>
      <c r="H31" s="113"/>
    </row>
    <row r="32" spans="1:8" ht="14.1" customHeight="1" x14ac:dyDescent="0.2">
      <c r="A32" s="1"/>
      <c r="B32" s="1"/>
      <c r="C32" s="2" t="s">
        <v>151</v>
      </c>
      <c r="D32" s="1"/>
      <c r="E32" s="1" t="s">
        <v>152</v>
      </c>
      <c r="F32" s="13" t="s">
        <v>154</v>
      </c>
      <c r="G32" s="10">
        <v>0</v>
      </c>
      <c r="H32" s="113"/>
    </row>
    <row r="33" spans="1:8" ht="14.1" customHeight="1" x14ac:dyDescent="0.2">
      <c r="A33" s="1"/>
      <c r="B33" s="1"/>
      <c r="C33" s="11"/>
      <c r="D33" s="1"/>
      <c r="E33" s="1"/>
      <c r="F33" s="12"/>
      <c r="G33" s="12"/>
      <c r="H33" s="113"/>
    </row>
    <row r="34" spans="1:8" ht="14.1" customHeight="1" x14ac:dyDescent="0.2">
      <c r="A34" s="1"/>
      <c r="B34" s="1"/>
      <c r="C34" s="2" t="s">
        <v>155</v>
      </c>
      <c r="D34" s="1"/>
      <c r="E34" s="1"/>
      <c r="F34" s="1"/>
      <c r="G34" s="1"/>
      <c r="H34" s="113"/>
    </row>
    <row r="35" spans="1:8" ht="14.1" customHeight="1" x14ac:dyDescent="0.2">
      <c r="A35" s="1"/>
      <c r="B35" s="1"/>
      <c r="C35" s="2" t="s">
        <v>151</v>
      </c>
      <c r="D35" s="1"/>
      <c r="E35" s="1" t="s">
        <v>152</v>
      </c>
      <c r="F35" s="13" t="s">
        <v>154</v>
      </c>
      <c r="G35" s="10">
        <v>0</v>
      </c>
      <c r="H35" s="113"/>
    </row>
    <row r="36" spans="1:8" ht="14.1" customHeight="1" x14ac:dyDescent="0.2">
      <c r="A36" s="1"/>
      <c r="B36" s="1"/>
      <c r="C36" s="11"/>
      <c r="D36" s="1"/>
      <c r="E36" s="1"/>
      <c r="F36" s="12"/>
      <c r="G36" s="12"/>
      <c r="H36" s="113"/>
    </row>
    <row r="37" spans="1:8" ht="14.1" customHeight="1" x14ac:dyDescent="0.2">
      <c r="A37" s="1"/>
      <c r="B37" s="1"/>
      <c r="C37" s="2" t="s">
        <v>156</v>
      </c>
      <c r="D37" s="1"/>
      <c r="E37" s="1"/>
      <c r="F37" s="1"/>
      <c r="G37" s="1"/>
      <c r="H37" s="113"/>
    </row>
    <row r="38" spans="1:8" ht="14.1" customHeight="1" x14ac:dyDescent="0.2">
      <c r="A38" s="1"/>
      <c r="B38" s="1"/>
      <c r="C38" s="2" t="s">
        <v>151</v>
      </c>
      <c r="D38" s="1"/>
      <c r="E38" s="1" t="s">
        <v>152</v>
      </c>
      <c r="F38" s="13" t="s">
        <v>154</v>
      </c>
      <c r="G38" s="10">
        <v>0</v>
      </c>
      <c r="H38" s="113"/>
    </row>
    <row r="39" spans="1:8" ht="14.1" customHeight="1" x14ac:dyDescent="0.2">
      <c r="A39" s="1"/>
      <c r="B39" s="1"/>
      <c r="C39" s="11"/>
      <c r="D39" s="1"/>
      <c r="E39" s="1"/>
      <c r="F39" s="12"/>
      <c r="G39" s="12"/>
      <c r="H39" s="113"/>
    </row>
    <row r="40" spans="1:8" ht="14.1" customHeight="1" x14ac:dyDescent="0.2">
      <c r="A40" s="1"/>
      <c r="B40" s="1"/>
      <c r="C40" s="2" t="s">
        <v>157</v>
      </c>
      <c r="D40" s="1"/>
      <c r="E40" s="1"/>
      <c r="F40" s="12"/>
      <c r="G40" s="12"/>
      <c r="H40" s="113"/>
    </row>
    <row r="41" spans="1:8" ht="14.1" customHeight="1" x14ac:dyDescent="0.2">
      <c r="A41" s="1"/>
      <c r="B41" s="1"/>
      <c r="C41" s="2" t="s">
        <v>151</v>
      </c>
      <c r="D41" s="1"/>
      <c r="E41" s="1" t="s">
        <v>152</v>
      </c>
      <c r="F41" s="13" t="s">
        <v>154</v>
      </c>
      <c r="G41" s="10">
        <v>0</v>
      </c>
      <c r="H41" s="113"/>
    </row>
    <row r="42" spans="1:8" ht="14.1" customHeight="1" x14ac:dyDescent="0.2">
      <c r="A42" s="1"/>
      <c r="B42" s="1"/>
      <c r="C42" s="11"/>
      <c r="D42" s="1"/>
      <c r="E42" s="1"/>
      <c r="F42" s="12"/>
      <c r="G42" s="12"/>
      <c r="H42" s="113"/>
    </row>
    <row r="43" spans="1:8" ht="14.1" customHeight="1" x14ac:dyDescent="0.2">
      <c r="A43" s="1"/>
      <c r="B43" s="1"/>
      <c r="C43" s="2" t="s">
        <v>158</v>
      </c>
      <c r="D43" s="1"/>
      <c r="E43" s="1"/>
      <c r="F43" s="12"/>
      <c r="G43" s="12"/>
      <c r="H43" s="113"/>
    </row>
    <row r="44" spans="1:8" ht="14.1" customHeight="1" x14ac:dyDescent="0.2">
      <c r="A44" s="1"/>
      <c r="B44" s="1"/>
      <c r="C44" s="2" t="s">
        <v>151</v>
      </c>
      <c r="D44" s="1"/>
      <c r="E44" s="1" t="s">
        <v>152</v>
      </c>
      <c r="F44" s="13" t="s">
        <v>154</v>
      </c>
      <c r="G44" s="10">
        <v>0</v>
      </c>
      <c r="H44" s="113"/>
    </row>
    <row r="45" spans="1:8" ht="14.1" customHeight="1" x14ac:dyDescent="0.2">
      <c r="A45" s="1"/>
      <c r="B45" s="1"/>
      <c r="C45" s="11"/>
      <c r="D45" s="1"/>
      <c r="E45" s="1"/>
      <c r="F45" s="12"/>
      <c r="G45" s="12"/>
      <c r="H45" s="113"/>
    </row>
    <row r="46" spans="1:8" ht="18" customHeight="1" x14ac:dyDescent="0.2">
      <c r="A46" s="1"/>
      <c r="B46" s="1"/>
      <c r="C46" s="2" t="s">
        <v>159</v>
      </c>
      <c r="D46" s="1"/>
      <c r="E46" s="1"/>
      <c r="F46" s="9">
        <v>103410.907276</v>
      </c>
      <c r="G46" s="10">
        <v>0.95296524000000005</v>
      </c>
      <c r="H46" s="113"/>
    </row>
    <row r="47" spans="1:8" ht="14.1" customHeight="1" x14ac:dyDescent="0.2">
      <c r="A47" s="1"/>
      <c r="B47" s="1"/>
      <c r="C47" s="11"/>
      <c r="D47" s="1"/>
      <c r="E47" s="1"/>
      <c r="F47" s="12"/>
      <c r="G47" s="12"/>
      <c r="H47" s="113"/>
    </row>
    <row r="48" spans="1:8" ht="14.1" customHeight="1" x14ac:dyDescent="0.2">
      <c r="A48" s="1"/>
      <c r="B48" s="1"/>
      <c r="C48" s="2" t="s">
        <v>160</v>
      </c>
      <c r="D48" s="1"/>
      <c r="E48" s="1"/>
      <c r="F48" s="12"/>
      <c r="G48" s="12"/>
      <c r="H48" s="113"/>
    </row>
    <row r="49" spans="1:8" ht="24" customHeight="1" x14ac:dyDescent="0.2">
      <c r="A49" s="1"/>
      <c r="B49" s="1"/>
      <c r="C49" s="2" t="s">
        <v>10</v>
      </c>
      <c r="D49" s="1"/>
      <c r="E49" s="1"/>
      <c r="F49" s="12"/>
      <c r="G49" s="12"/>
      <c r="H49" s="113"/>
    </row>
    <row r="50" spans="1:8" ht="14.1" customHeight="1" x14ac:dyDescent="0.2">
      <c r="A50" s="1"/>
      <c r="B50" s="1"/>
      <c r="C50" s="2" t="s">
        <v>151</v>
      </c>
      <c r="D50" s="1"/>
      <c r="E50" s="1" t="s">
        <v>152</v>
      </c>
      <c r="F50" s="13" t="s">
        <v>154</v>
      </c>
      <c r="G50" s="10">
        <v>0</v>
      </c>
      <c r="H50" s="113"/>
    </row>
    <row r="51" spans="1:8" ht="14.1" customHeight="1" x14ac:dyDescent="0.2">
      <c r="A51" s="1"/>
      <c r="B51" s="1"/>
      <c r="C51" s="11"/>
      <c r="D51" s="1"/>
      <c r="E51" s="1"/>
      <c r="F51" s="12"/>
      <c r="G51" s="12"/>
      <c r="H51" s="113"/>
    </row>
    <row r="52" spans="1:8" ht="14.1" customHeight="1" x14ac:dyDescent="0.2">
      <c r="A52" s="1"/>
      <c r="B52" s="1"/>
      <c r="C52" s="2" t="s">
        <v>161</v>
      </c>
      <c r="D52" s="1"/>
      <c r="E52" s="1"/>
      <c r="F52" s="1"/>
      <c r="G52" s="1"/>
      <c r="H52" s="113"/>
    </row>
    <row r="53" spans="1:8" ht="14.1" customHeight="1" x14ac:dyDescent="0.2">
      <c r="A53" s="1"/>
      <c r="B53" s="1"/>
      <c r="C53" s="2" t="s">
        <v>151</v>
      </c>
      <c r="D53" s="1"/>
      <c r="E53" s="1" t="s">
        <v>152</v>
      </c>
      <c r="F53" s="13" t="s">
        <v>154</v>
      </c>
      <c r="G53" s="10">
        <v>0</v>
      </c>
      <c r="H53" s="113"/>
    </row>
    <row r="54" spans="1:8" ht="14.1" customHeight="1" x14ac:dyDescent="0.2">
      <c r="A54" s="1"/>
      <c r="B54" s="1"/>
      <c r="C54" s="11"/>
      <c r="D54" s="1"/>
      <c r="E54" s="1"/>
      <c r="F54" s="12"/>
      <c r="G54" s="12"/>
      <c r="H54" s="113"/>
    </row>
    <row r="55" spans="1:8" ht="14.1" customHeight="1" x14ac:dyDescent="0.2">
      <c r="A55" s="1"/>
      <c r="B55" s="1"/>
      <c r="C55" s="2" t="s">
        <v>162</v>
      </c>
      <c r="D55" s="1"/>
      <c r="E55" s="1"/>
      <c r="F55" s="1"/>
      <c r="G55" s="1"/>
      <c r="H55" s="113"/>
    </row>
    <row r="56" spans="1:8" ht="14.1" customHeight="1" x14ac:dyDescent="0.2">
      <c r="A56" s="1"/>
      <c r="B56" s="1"/>
      <c r="C56" s="2" t="s">
        <v>151</v>
      </c>
      <c r="D56" s="1"/>
      <c r="E56" s="1" t="s">
        <v>152</v>
      </c>
      <c r="F56" s="13" t="s">
        <v>154</v>
      </c>
      <c r="G56" s="10">
        <v>0</v>
      </c>
      <c r="H56" s="113"/>
    </row>
    <row r="57" spans="1:8" ht="14.1" customHeight="1" x14ac:dyDescent="0.2">
      <c r="A57" s="1"/>
      <c r="B57" s="1"/>
      <c r="C57" s="11"/>
      <c r="D57" s="1"/>
      <c r="E57" s="1"/>
      <c r="F57" s="12"/>
      <c r="G57" s="12"/>
      <c r="H57" s="113"/>
    </row>
    <row r="58" spans="1:8" ht="14.1" customHeight="1" x14ac:dyDescent="0.2">
      <c r="A58" s="1"/>
      <c r="B58" s="1"/>
      <c r="C58" s="2" t="s">
        <v>163</v>
      </c>
      <c r="D58" s="1"/>
      <c r="E58" s="1"/>
      <c r="F58" s="12"/>
      <c r="G58" s="12"/>
      <c r="H58" s="113"/>
    </row>
    <row r="59" spans="1:8" ht="14.1" customHeight="1" x14ac:dyDescent="0.2">
      <c r="A59" s="1"/>
      <c r="B59" s="1"/>
      <c r="C59" s="2" t="s">
        <v>151</v>
      </c>
      <c r="D59" s="1"/>
      <c r="E59" s="1" t="s">
        <v>152</v>
      </c>
      <c r="F59" s="13" t="s">
        <v>154</v>
      </c>
      <c r="G59" s="10">
        <v>0</v>
      </c>
      <c r="H59" s="113"/>
    </row>
    <row r="60" spans="1:8" ht="14.1" customHeight="1" x14ac:dyDescent="0.2">
      <c r="A60" s="1"/>
      <c r="B60" s="1"/>
      <c r="C60" s="11"/>
      <c r="D60" s="1"/>
      <c r="E60" s="1"/>
      <c r="F60" s="12"/>
      <c r="G60" s="12"/>
      <c r="H60" s="113"/>
    </row>
    <row r="61" spans="1:8" ht="14.1" customHeight="1" x14ac:dyDescent="0.2">
      <c r="A61" s="1"/>
      <c r="B61" s="1"/>
      <c r="C61" s="2" t="s">
        <v>164</v>
      </c>
      <c r="D61" s="1"/>
      <c r="E61" s="1"/>
      <c r="F61" s="9">
        <v>0</v>
      </c>
      <c r="G61" s="10">
        <v>0</v>
      </c>
      <c r="H61" s="113"/>
    </row>
    <row r="62" spans="1:8" ht="14.1" customHeight="1" x14ac:dyDescent="0.2">
      <c r="A62" s="1"/>
      <c r="B62" s="1"/>
      <c r="C62" s="11"/>
      <c r="D62" s="1"/>
      <c r="E62" s="1"/>
      <c r="F62" s="12"/>
      <c r="G62" s="12"/>
      <c r="H62" s="113"/>
    </row>
    <row r="63" spans="1:8" ht="14.1" customHeight="1" x14ac:dyDescent="0.2">
      <c r="A63" s="1"/>
      <c r="B63" s="1"/>
      <c r="C63" s="2" t="s">
        <v>165</v>
      </c>
      <c r="D63" s="1"/>
      <c r="E63" s="1"/>
      <c r="F63" s="12"/>
      <c r="G63" s="12"/>
      <c r="H63" s="113"/>
    </row>
    <row r="64" spans="1:8" ht="14.1" customHeight="1" x14ac:dyDescent="0.2">
      <c r="A64" s="1"/>
      <c r="B64" s="1"/>
      <c r="C64" s="2" t="s">
        <v>166</v>
      </c>
      <c r="D64" s="1"/>
      <c r="E64" s="1"/>
      <c r="F64" s="12"/>
      <c r="G64" s="12"/>
      <c r="H64" s="113"/>
    </row>
    <row r="65" spans="1:8" ht="14.1" customHeight="1" x14ac:dyDescent="0.2">
      <c r="A65" s="1"/>
      <c r="B65" s="1"/>
      <c r="C65" s="2" t="s">
        <v>151</v>
      </c>
      <c r="D65" s="1"/>
      <c r="E65" s="1" t="s">
        <v>152</v>
      </c>
      <c r="F65" s="13" t="s">
        <v>154</v>
      </c>
      <c r="G65" s="10">
        <v>0</v>
      </c>
      <c r="H65" s="113"/>
    </row>
    <row r="66" spans="1:8" ht="14.1" customHeight="1" x14ac:dyDescent="0.2">
      <c r="A66" s="1"/>
      <c r="B66" s="1"/>
      <c r="C66" s="11"/>
      <c r="D66" s="1"/>
      <c r="E66" s="1"/>
      <c r="F66" s="12"/>
      <c r="G66" s="12"/>
      <c r="H66" s="113"/>
    </row>
    <row r="67" spans="1:8" ht="14.1" customHeight="1" x14ac:dyDescent="0.2">
      <c r="A67" s="1"/>
      <c r="B67" s="1"/>
      <c r="C67" s="2" t="s">
        <v>167</v>
      </c>
      <c r="D67" s="1"/>
      <c r="E67" s="1"/>
      <c r="F67" s="12"/>
      <c r="G67" s="12"/>
      <c r="H67" s="113"/>
    </row>
    <row r="68" spans="1:8" ht="14.1" customHeight="1" x14ac:dyDescent="0.2">
      <c r="A68" s="1"/>
      <c r="B68" s="1"/>
      <c r="C68" s="2" t="s">
        <v>151</v>
      </c>
      <c r="D68" s="1"/>
      <c r="E68" s="1" t="s">
        <v>152</v>
      </c>
      <c r="F68" s="13" t="s">
        <v>154</v>
      </c>
      <c r="G68" s="10">
        <v>0</v>
      </c>
      <c r="H68" s="113"/>
    </row>
    <row r="69" spans="1:8" ht="14.1" customHeight="1" x14ac:dyDescent="0.2">
      <c r="A69" s="1"/>
      <c r="B69" s="1"/>
      <c r="C69" s="11"/>
      <c r="D69" s="1"/>
      <c r="E69" s="1"/>
      <c r="F69" s="12"/>
      <c r="G69" s="12"/>
      <c r="H69" s="113"/>
    </row>
    <row r="70" spans="1:8" ht="14.1" customHeight="1" x14ac:dyDescent="0.2">
      <c r="A70" s="1"/>
      <c r="B70" s="1"/>
      <c r="C70" s="2" t="s">
        <v>168</v>
      </c>
      <c r="D70" s="1"/>
      <c r="E70" s="1"/>
      <c r="F70" s="12"/>
      <c r="G70" s="12"/>
      <c r="H70" s="113"/>
    </row>
    <row r="71" spans="1:8" ht="17.100000000000001" customHeight="1" x14ac:dyDescent="0.2">
      <c r="A71" s="3">
        <v>1</v>
      </c>
      <c r="B71" s="4" t="s">
        <v>685</v>
      </c>
      <c r="C71" s="40" t="s">
        <v>1023</v>
      </c>
      <c r="D71" s="4" t="s">
        <v>644</v>
      </c>
      <c r="E71" s="5">
        <v>500000</v>
      </c>
      <c r="F71" s="6">
        <v>473.91149999999999</v>
      </c>
      <c r="G71" s="7">
        <v>4.3672499999999996E-3</v>
      </c>
      <c r="H71" s="113">
        <v>7.1</v>
      </c>
    </row>
    <row r="72" spans="1:8" ht="14.1" customHeight="1" x14ac:dyDescent="0.2">
      <c r="A72" s="1"/>
      <c r="B72" s="1"/>
      <c r="C72" s="2" t="s">
        <v>151</v>
      </c>
      <c r="D72" s="1"/>
      <c r="E72" s="1" t="s">
        <v>152</v>
      </c>
      <c r="F72" s="9">
        <v>473.91149999999999</v>
      </c>
      <c r="G72" s="10">
        <v>4.3672499999999996E-3</v>
      </c>
      <c r="H72" s="113"/>
    </row>
    <row r="73" spans="1:8" ht="14.1" customHeight="1" x14ac:dyDescent="0.2">
      <c r="A73" s="1"/>
      <c r="B73" s="1"/>
      <c r="C73" s="11"/>
      <c r="D73" s="1"/>
      <c r="E73" s="1"/>
      <c r="F73" s="12"/>
      <c r="G73" s="12"/>
      <c r="H73" s="113"/>
    </row>
    <row r="74" spans="1:8" ht="14.1" customHeight="1" x14ac:dyDescent="0.2">
      <c r="A74" s="1"/>
      <c r="B74" s="1"/>
      <c r="C74" s="2" t="s">
        <v>169</v>
      </c>
      <c r="D74" s="1"/>
      <c r="E74" s="1"/>
      <c r="F74" s="12"/>
      <c r="G74" s="12"/>
      <c r="H74" s="113"/>
    </row>
    <row r="75" spans="1:8" ht="17.100000000000001" customHeight="1" x14ac:dyDescent="0.2">
      <c r="A75" s="3">
        <v>1</v>
      </c>
      <c r="B75" s="4"/>
      <c r="C75" s="4" t="s">
        <v>170</v>
      </c>
      <c r="D75" s="4"/>
      <c r="E75" s="8"/>
      <c r="F75" s="6">
        <v>6990.9705120239996</v>
      </c>
      <c r="G75" s="7">
        <v>6.442407E-2</v>
      </c>
      <c r="H75" s="113">
        <v>6.7600000000000016</v>
      </c>
    </row>
    <row r="76" spans="1:8" ht="14.1" customHeight="1" x14ac:dyDescent="0.2">
      <c r="A76" s="1"/>
      <c r="B76" s="1"/>
      <c r="C76" s="2" t="s">
        <v>151</v>
      </c>
      <c r="D76" s="1"/>
      <c r="E76" s="1" t="s">
        <v>152</v>
      </c>
      <c r="F76" s="9">
        <v>6990.9705120239996</v>
      </c>
      <c r="G76" s="10">
        <v>6.442407E-2</v>
      </c>
      <c r="H76" s="113"/>
    </row>
    <row r="77" spans="1:8" ht="14.1" customHeight="1" x14ac:dyDescent="0.2">
      <c r="A77" s="1"/>
      <c r="B77" s="1"/>
      <c r="C77" s="11"/>
      <c r="D77" s="1"/>
      <c r="E77" s="1"/>
      <c r="F77" s="12"/>
      <c r="G77" s="12"/>
      <c r="H77" s="113"/>
    </row>
    <row r="78" spans="1:8" ht="14.1" customHeight="1" x14ac:dyDescent="0.2">
      <c r="A78" s="1"/>
      <c r="B78" s="1"/>
      <c r="C78" s="2" t="s">
        <v>171</v>
      </c>
      <c r="D78" s="1"/>
      <c r="E78" s="1"/>
      <c r="F78" s="9">
        <v>7464.8820120239998</v>
      </c>
      <c r="G78" s="10">
        <v>6.8791320000000003E-2</v>
      </c>
      <c r="H78" s="113"/>
    </row>
    <row r="79" spans="1:8" ht="14.1" customHeight="1" x14ac:dyDescent="0.2">
      <c r="A79" s="1"/>
      <c r="B79" s="1"/>
      <c r="C79" s="12"/>
      <c r="D79" s="1"/>
      <c r="E79" s="1"/>
      <c r="F79" s="1"/>
      <c r="G79" s="1"/>
      <c r="H79" s="113"/>
    </row>
    <row r="80" spans="1:8" ht="14.1" customHeight="1" x14ac:dyDescent="0.2">
      <c r="A80" s="1"/>
      <c r="B80" s="1"/>
      <c r="C80" s="2" t="s">
        <v>172</v>
      </c>
      <c r="D80" s="1"/>
      <c r="E80" s="1"/>
      <c r="F80" s="1"/>
      <c r="G80" s="1"/>
      <c r="H80" s="113"/>
    </row>
    <row r="81" spans="1:8" ht="14.1" customHeight="1" x14ac:dyDescent="0.2">
      <c r="A81" s="1"/>
      <c r="B81" s="1"/>
      <c r="C81" s="2" t="s">
        <v>173</v>
      </c>
      <c r="D81" s="1"/>
      <c r="E81" s="1"/>
      <c r="F81" s="1"/>
      <c r="G81" s="1"/>
      <c r="H81" s="113"/>
    </row>
    <row r="82" spans="1:8" ht="14.1" customHeight="1" x14ac:dyDescent="0.2">
      <c r="A82" s="1"/>
      <c r="B82" s="1"/>
      <c r="C82" s="2" t="s">
        <v>151</v>
      </c>
      <c r="D82" s="1"/>
      <c r="E82" s="1" t="s">
        <v>152</v>
      </c>
      <c r="F82" s="13" t="s">
        <v>154</v>
      </c>
      <c r="G82" s="10">
        <v>0</v>
      </c>
      <c r="H82" s="113"/>
    </row>
    <row r="83" spans="1:8" ht="14.1" customHeight="1" x14ac:dyDescent="0.2">
      <c r="A83" s="1"/>
      <c r="B83" s="1"/>
      <c r="C83" s="11"/>
      <c r="D83" s="1"/>
      <c r="E83" s="1"/>
      <c r="F83" s="12"/>
      <c r="G83" s="12"/>
      <c r="H83" s="113"/>
    </row>
    <row r="84" spans="1:8" ht="14.1" customHeight="1" x14ac:dyDescent="0.2">
      <c r="A84" s="1"/>
      <c r="B84" s="1"/>
      <c r="C84" s="2" t="s">
        <v>174</v>
      </c>
      <c r="D84" s="1"/>
      <c r="E84" s="1"/>
      <c r="F84" s="1"/>
      <c r="G84" s="1"/>
      <c r="H84" s="113"/>
    </row>
    <row r="85" spans="1:8" ht="14.1" customHeight="1" x14ac:dyDescent="0.2">
      <c r="A85" s="1"/>
      <c r="B85" s="1"/>
      <c r="C85" s="2" t="s">
        <v>175</v>
      </c>
      <c r="D85" s="1"/>
      <c r="E85" s="1"/>
      <c r="F85" s="1"/>
      <c r="G85" s="1"/>
      <c r="H85" s="113"/>
    </row>
    <row r="86" spans="1:8" ht="14.1" customHeight="1" x14ac:dyDescent="0.2">
      <c r="A86" s="1"/>
      <c r="B86" s="1"/>
      <c r="C86" s="2" t="s">
        <v>151</v>
      </c>
      <c r="D86" s="1"/>
      <c r="E86" s="1" t="s">
        <v>152</v>
      </c>
      <c r="F86" s="13" t="s">
        <v>154</v>
      </c>
      <c r="G86" s="10">
        <v>0</v>
      </c>
      <c r="H86" s="113"/>
    </row>
    <row r="87" spans="1:8" ht="14.1" customHeight="1" x14ac:dyDescent="0.2">
      <c r="A87" s="1"/>
      <c r="B87" s="1"/>
      <c r="C87" s="11"/>
      <c r="D87" s="1"/>
      <c r="E87" s="1"/>
      <c r="F87" s="12"/>
      <c r="G87" s="12"/>
      <c r="H87" s="113"/>
    </row>
    <row r="88" spans="1:8" ht="24" customHeight="1" x14ac:dyDescent="0.2">
      <c r="A88" s="1"/>
      <c r="B88" s="1"/>
      <c r="C88" s="2" t="s">
        <v>176</v>
      </c>
      <c r="D88" s="1"/>
      <c r="E88" s="1"/>
      <c r="F88" s="12"/>
      <c r="G88" s="12"/>
      <c r="H88" s="113"/>
    </row>
    <row r="89" spans="1:8" ht="14.1" customHeight="1" x14ac:dyDescent="0.2">
      <c r="A89" s="1"/>
      <c r="B89" s="1"/>
      <c r="C89" s="2" t="s">
        <v>151</v>
      </c>
      <c r="D89" s="1"/>
      <c r="E89" s="1" t="s">
        <v>152</v>
      </c>
      <c r="F89" s="13" t="s">
        <v>154</v>
      </c>
      <c r="G89" s="10">
        <v>0</v>
      </c>
      <c r="H89" s="113"/>
    </row>
    <row r="90" spans="1:8" ht="14.1" customHeight="1" x14ac:dyDescent="0.2">
      <c r="A90" s="1"/>
      <c r="B90" s="1"/>
      <c r="C90" s="11"/>
      <c r="D90" s="1"/>
      <c r="E90" s="1"/>
      <c r="F90" s="12"/>
      <c r="G90" s="12"/>
      <c r="H90" s="113"/>
    </row>
    <row r="91" spans="1:8" ht="14.1" customHeight="1" x14ac:dyDescent="0.2">
      <c r="A91" s="1"/>
      <c r="B91" s="4"/>
      <c r="C91" s="4"/>
      <c r="D91" s="2"/>
      <c r="E91" s="1"/>
      <c r="F91" s="4"/>
      <c r="G91" s="8"/>
      <c r="H91" s="113"/>
    </row>
    <row r="92" spans="1:8" ht="18" customHeight="1" x14ac:dyDescent="0.2">
      <c r="A92" s="8"/>
      <c r="B92" s="4"/>
      <c r="C92" s="40" t="s">
        <v>982</v>
      </c>
      <c r="D92" s="4"/>
      <c r="E92" s="8"/>
      <c r="F92" s="6">
        <v>-2360.9102950199999</v>
      </c>
      <c r="G92" s="7">
        <v>-2.1756560000000001E-2</v>
      </c>
      <c r="H92" s="113"/>
    </row>
    <row r="93" spans="1:8" ht="14.1" customHeight="1" x14ac:dyDescent="0.2">
      <c r="A93" s="11"/>
      <c r="B93" s="11"/>
      <c r="C93" s="2" t="s">
        <v>178</v>
      </c>
      <c r="D93" s="12"/>
      <c r="E93" s="12"/>
      <c r="F93" s="9">
        <v>108514.87899300399</v>
      </c>
      <c r="G93" s="14">
        <v>1</v>
      </c>
      <c r="H93" s="113"/>
    </row>
    <row r="94" spans="1:8" ht="14.1" customHeight="1" x14ac:dyDescent="0.2">
      <c r="A94" s="15"/>
      <c r="B94" s="15"/>
      <c r="C94" s="15"/>
      <c r="D94" s="16"/>
      <c r="E94" s="16"/>
      <c r="F94" s="16"/>
      <c r="G94" s="16"/>
    </row>
    <row r="95" spans="1:8" ht="17.100000000000001" customHeight="1" x14ac:dyDescent="0.2">
      <c r="A95" s="45"/>
      <c r="B95" s="217" t="s">
        <v>981</v>
      </c>
      <c r="C95" s="217"/>
      <c r="D95" s="217"/>
      <c r="E95" s="217"/>
      <c r="F95" s="217"/>
      <c r="G95" s="48"/>
    </row>
    <row r="96" spans="1:8" ht="14.1" customHeight="1" x14ac:dyDescent="0.2">
      <c r="A96" s="45"/>
      <c r="B96" s="238" t="s">
        <v>1025</v>
      </c>
      <c r="C96" s="238"/>
      <c r="D96" s="238"/>
      <c r="E96" s="238"/>
      <c r="F96" s="238"/>
      <c r="G96" s="48"/>
    </row>
    <row r="97" spans="1:7" ht="14.1" customHeight="1" x14ac:dyDescent="0.2">
      <c r="A97" s="17"/>
      <c r="B97" s="17"/>
      <c r="C97" s="17"/>
      <c r="D97" s="19"/>
      <c r="E97" s="19"/>
      <c r="F97" s="19"/>
      <c r="G97" s="19"/>
    </row>
    <row r="98" spans="1:7" ht="14.1" customHeight="1" x14ac:dyDescent="0.2">
      <c r="A98" s="17"/>
      <c r="B98" s="208" t="s">
        <v>180</v>
      </c>
      <c r="C98" s="209"/>
      <c r="D98" s="210"/>
      <c r="E98" s="20"/>
      <c r="F98" s="19"/>
      <c r="G98" s="19"/>
    </row>
    <row r="99" spans="1:7" ht="29.1" customHeight="1" x14ac:dyDescent="0.2">
      <c r="A99" s="17"/>
      <c r="B99" s="205" t="s">
        <v>181</v>
      </c>
      <c r="C99" s="206"/>
      <c r="D99" s="2" t="s">
        <v>182</v>
      </c>
      <c r="E99" s="20"/>
      <c r="F99" s="19"/>
      <c r="G99" s="19"/>
    </row>
    <row r="100" spans="1:7" ht="17.100000000000001" customHeight="1" x14ac:dyDescent="0.2">
      <c r="A100" s="17"/>
      <c r="B100" s="205" t="s">
        <v>183</v>
      </c>
      <c r="C100" s="206"/>
      <c r="D100" s="2" t="s">
        <v>182</v>
      </c>
      <c r="E100" s="20"/>
      <c r="F100" s="19"/>
      <c r="G100" s="19"/>
    </row>
    <row r="101" spans="1:7" ht="17.100000000000001" customHeight="1" x14ac:dyDescent="0.2">
      <c r="A101" s="17"/>
      <c r="B101" s="205" t="s">
        <v>184</v>
      </c>
      <c r="C101" s="206"/>
      <c r="D101" s="12" t="s">
        <v>152</v>
      </c>
      <c r="E101" s="20"/>
      <c r="F101" s="19"/>
      <c r="G101" s="19"/>
    </row>
    <row r="102" spans="1:7" ht="25.5" x14ac:dyDescent="0.2">
      <c r="A102" s="21"/>
      <c r="B102" s="22" t="s">
        <v>152</v>
      </c>
      <c r="C102" s="22" t="s">
        <v>185</v>
      </c>
      <c r="D102" s="22" t="s">
        <v>186</v>
      </c>
      <c r="E102" s="21"/>
      <c r="F102" s="21"/>
      <c r="G102" s="21"/>
    </row>
    <row r="103" spans="1:7" ht="18" customHeight="1" x14ac:dyDescent="0.2">
      <c r="A103" s="21"/>
      <c r="B103" s="23" t="s">
        <v>187</v>
      </c>
      <c r="C103" s="22" t="s">
        <v>188</v>
      </c>
      <c r="D103" s="22" t="s">
        <v>189</v>
      </c>
      <c r="E103" s="21"/>
      <c r="F103" s="21"/>
      <c r="G103" s="21"/>
    </row>
    <row r="104" spans="1:7" ht="17.100000000000001" customHeight="1" x14ac:dyDescent="0.2">
      <c r="A104" s="21"/>
      <c r="B104" s="4" t="s">
        <v>190</v>
      </c>
      <c r="C104" s="24">
        <v>90.554199999999994</v>
      </c>
      <c r="D104" s="24">
        <v>97.065799999999996</v>
      </c>
      <c r="E104" s="21"/>
      <c r="F104" s="18"/>
      <c r="G104" s="25"/>
    </row>
    <row r="105" spans="1:7" ht="17.100000000000001" customHeight="1" x14ac:dyDescent="0.2">
      <c r="A105" s="21"/>
      <c r="B105" s="4" t="s">
        <v>1033</v>
      </c>
      <c r="C105" s="24">
        <v>30.782399999999999</v>
      </c>
      <c r="D105" s="24">
        <v>32.995899999999999</v>
      </c>
      <c r="E105" s="21"/>
      <c r="F105" s="18"/>
      <c r="G105" s="25"/>
    </row>
    <row r="106" spans="1:7" ht="29.1" customHeight="1" x14ac:dyDescent="0.2">
      <c r="A106" s="21"/>
      <c r="B106" s="4" t="s">
        <v>849</v>
      </c>
      <c r="C106" s="24">
        <v>93.106399999999994</v>
      </c>
      <c r="D106" s="24">
        <v>99.801599999999993</v>
      </c>
      <c r="E106" s="21"/>
      <c r="F106" s="18"/>
      <c r="G106" s="25"/>
    </row>
    <row r="107" spans="1:7" ht="29.1" customHeight="1" x14ac:dyDescent="0.2">
      <c r="A107" s="21"/>
      <c r="B107" s="4" t="s">
        <v>1042</v>
      </c>
      <c r="C107" s="24">
        <v>31.315799999999999</v>
      </c>
      <c r="D107" s="24">
        <v>33.567500000000003</v>
      </c>
      <c r="E107" s="21"/>
      <c r="F107" s="18"/>
      <c r="G107" s="25"/>
    </row>
    <row r="108" spans="1:7" ht="17.100000000000001" customHeight="1" x14ac:dyDescent="0.2">
      <c r="A108" s="21"/>
      <c r="B108" s="4" t="s">
        <v>191</v>
      </c>
      <c r="C108" s="24">
        <v>82.023200000000003</v>
      </c>
      <c r="D108" s="24">
        <v>87.818100000000001</v>
      </c>
      <c r="E108" s="21"/>
      <c r="F108" s="18"/>
      <c r="G108" s="25"/>
    </row>
    <row r="109" spans="1:7" ht="17.100000000000001" customHeight="1" x14ac:dyDescent="0.2">
      <c r="A109" s="21"/>
      <c r="B109" s="4" t="s">
        <v>1034</v>
      </c>
      <c r="C109" s="24">
        <v>27.427700000000002</v>
      </c>
      <c r="D109" s="24">
        <v>29.365500000000001</v>
      </c>
      <c r="E109" s="21"/>
      <c r="F109" s="18"/>
      <c r="G109" s="25"/>
    </row>
    <row r="110" spans="1:7" ht="14.1" customHeight="1" x14ac:dyDescent="0.2">
      <c r="A110" s="21"/>
      <c r="B110" s="21"/>
      <c r="C110" s="21"/>
      <c r="D110" s="21"/>
      <c r="E110" s="21"/>
      <c r="F110" s="21"/>
      <c r="G110" s="21"/>
    </row>
    <row r="111" spans="1:7" ht="17.100000000000001" customHeight="1" x14ac:dyDescent="0.2">
      <c r="A111" s="21"/>
      <c r="B111" s="205" t="s">
        <v>1035</v>
      </c>
      <c r="C111" s="206"/>
      <c r="D111" s="2" t="s">
        <v>182</v>
      </c>
      <c r="E111" s="21"/>
      <c r="F111" s="21"/>
      <c r="G111" s="21"/>
    </row>
    <row r="112" spans="1:7" ht="18" customHeight="1" x14ac:dyDescent="0.2">
      <c r="A112" s="21"/>
      <c r="B112" s="26"/>
      <c r="C112" s="26"/>
      <c r="D112" s="26"/>
      <c r="E112" s="21"/>
      <c r="F112" s="21"/>
      <c r="G112" s="21"/>
    </row>
    <row r="113" spans="1:7" ht="29.1" customHeight="1" x14ac:dyDescent="0.2">
      <c r="A113" s="21"/>
      <c r="B113" s="205" t="s">
        <v>192</v>
      </c>
      <c r="C113" s="206"/>
      <c r="D113" s="2" t="s">
        <v>182</v>
      </c>
      <c r="E113" s="27"/>
      <c r="F113" s="21"/>
      <c r="G113" s="21"/>
    </row>
    <row r="114" spans="1:7" ht="29.1" customHeight="1" x14ac:dyDescent="0.2">
      <c r="A114" s="21"/>
      <c r="B114" s="205" t="s">
        <v>193</v>
      </c>
      <c r="C114" s="206"/>
      <c r="D114" s="2" t="s">
        <v>182</v>
      </c>
      <c r="E114" s="27"/>
      <c r="F114" s="21"/>
      <c r="G114" s="21"/>
    </row>
    <row r="115" spans="1:7" ht="17.100000000000001" customHeight="1" x14ac:dyDescent="0.2">
      <c r="A115" s="21"/>
      <c r="B115" s="205" t="s">
        <v>194</v>
      </c>
      <c r="C115" s="206"/>
      <c r="D115" s="2" t="s">
        <v>182</v>
      </c>
      <c r="E115" s="27"/>
      <c r="F115" s="21"/>
      <c r="G115" s="21"/>
    </row>
    <row r="116" spans="1:7" ht="17.100000000000001" customHeight="1" x14ac:dyDescent="0.2">
      <c r="A116" s="21"/>
      <c r="B116" s="205" t="s">
        <v>195</v>
      </c>
      <c r="C116" s="206"/>
      <c r="D116" s="28">
        <v>0.74746009307233785</v>
      </c>
      <c r="E116" s="21"/>
      <c r="F116" s="18"/>
      <c r="G116" s="25"/>
    </row>
  </sheetData>
  <mergeCells count="15">
    <mergeCell ref="A1:H1"/>
    <mergeCell ref="A2:H2"/>
    <mergeCell ref="A3:H3"/>
    <mergeCell ref="B116:C116"/>
    <mergeCell ref="B100:C100"/>
    <mergeCell ref="B101:C101"/>
    <mergeCell ref="B111:C111"/>
    <mergeCell ref="B113:C113"/>
    <mergeCell ref="B114:C114"/>
    <mergeCell ref="B115:C115"/>
    <mergeCell ref="J2:N2"/>
    <mergeCell ref="B99:C99"/>
    <mergeCell ref="B98:D98"/>
    <mergeCell ref="B95:F95"/>
    <mergeCell ref="B96:F96"/>
  </mergeCells>
  <hyperlinks>
    <hyperlink ref="I1" location="Index!B29" display="Index" xr:uid="{F7AC139C-9177-4574-90E8-DF73452B3616}"/>
  </hyperlink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B66A-2DE2-448A-9139-B7CDA02244C8}">
  <dimension ref="B1:G178"/>
  <sheetViews>
    <sheetView workbookViewId="0"/>
  </sheetViews>
  <sheetFormatPr defaultColWidth="9.140625" defaultRowHeight="12.75" x14ac:dyDescent="0.2"/>
  <cols>
    <col min="1" max="1" width="6" style="105" customWidth="1"/>
    <col min="2" max="2" width="40.42578125" style="105" bestFit="1" customWidth="1"/>
    <col min="3" max="3" width="50.42578125" style="105" bestFit="1" customWidth="1"/>
    <col min="4" max="4" width="17.28515625" style="105" bestFit="1" customWidth="1"/>
    <col min="5" max="5" width="20.140625" style="105" bestFit="1" customWidth="1"/>
    <col min="6" max="6" width="16.42578125" style="105" bestFit="1" customWidth="1"/>
    <col min="7" max="7" width="17.85546875" style="105" bestFit="1" customWidth="1"/>
    <col min="8" max="16384" width="9.140625" style="105"/>
  </cols>
  <sheetData>
    <row r="1" spans="2:7" ht="15" x14ac:dyDescent="0.25">
      <c r="G1" s="191" t="s">
        <v>983</v>
      </c>
    </row>
    <row r="2" spans="2:7" ht="15" x14ac:dyDescent="0.25">
      <c r="B2" s="239" t="s">
        <v>1049</v>
      </c>
      <c r="C2" s="239"/>
      <c r="D2" s="239"/>
      <c r="E2" s="239"/>
      <c r="F2" s="239"/>
      <c r="G2" s="239"/>
    </row>
    <row r="3" spans="2:7" x14ac:dyDescent="0.2">
      <c r="B3" s="240" t="s">
        <v>1050</v>
      </c>
      <c r="C3" s="240"/>
      <c r="D3" s="240"/>
      <c r="E3" s="240"/>
      <c r="F3" s="240"/>
      <c r="G3" s="240"/>
    </row>
    <row r="4" spans="2:7" x14ac:dyDescent="0.2">
      <c r="B4" s="117"/>
      <c r="C4" s="117"/>
      <c r="D4" s="117"/>
      <c r="E4" s="117"/>
      <c r="F4" s="117"/>
      <c r="G4" s="117"/>
    </row>
    <row r="5" spans="2:7" ht="15" x14ac:dyDescent="0.25">
      <c r="B5" s="239" t="s">
        <v>1051</v>
      </c>
      <c r="C5" s="239"/>
      <c r="D5" s="239"/>
      <c r="E5" s="239"/>
      <c r="F5" s="239"/>
      <c r="G5" s="239"/>
    </row>
    <row r="6" spans="2:7" x14ac:dyDescent="0.2">
      <c r="B6" s="117" t="s">
        <v>1052</v>
      </c>
    </row>
    <row r="8" spans="2:7" ht="25.5" x14ac:dyDescent="0.2">
      <c r="B8" s="118" t="s">
        <v>1053</v>
      </c>
      <c r="C8" s="118" t="s">
        <v>1054</v>
      </c>
      <c r="D8" s="118" t="s">
        <v>1055</v>
      </c>
      <c r="E8" s="119" t="s">
        <v>1056</v>
      </c>
      <c r="F8" s="119" t="s">
        <v>1057</v>
      </c>
      <c r="G8" s="119" t="s">
        <v>1058</v>
      </c>
    </row>
    <row r="9" spans="2:7" x14ac:dyDescent="0.2">
      <c r="B9" s="120" t="s">
        <v>667</v>
      </c>
      <c r="C9" s="120" t="s">
        <v>1059</v>
      </c>
      <c r="D9" s="121" t="s">
        <v>1060</v>
      </c>
      <c r="E9" s="122">
        <v>159.63</v>
      </c>
      <c r="F9" s="123">
        <v>167.9</v>
      </c>
      <c r="G9" s="124">
        <v>5.4410130000000008</v>
      </c>
    </row>
    <row r="10" spans="2:7" x14ac:dyDescent="0.2">
      <c r="B10" s="125" t="s">
        <v>667</v>
      </c>
      <c r="C10" s="125" t="s">
        <v>1061</v>
      </c>
      <c r="D10" s="126" t="s">
        <v>1060</v>
      </c>
      <c r="E10" s="122">
        <v>2132.9</v>
      </c>
      <c r="F10" s="123">
        <v>2224.75</v>
      </c>
      <c r="G10" s="124">
        <v>51.160352000000003</v>
      </c>
    </row>
    <row r="11" spans="2:7" x14ac:dyDescent="0.2">
      <c r="B11" s="125" t="s">
        <v>667</v>
      </c>
      <c r="C11" s="125" t="s">
        <v>1062</v>
      </c>
      <c r="D11" s="126" t="s">
        <v>1060</v>
      </c>
      <c r="E11" s="122">
        <v>1036.28</v>
      </c>
      <c r="F11" s="123">
        <v>1091.95</v>
      </c>
      <c r="G11" s="124">
        <v>28.402209599999999</v>
      </c>
    </row>
    <row r="12" spans="2:7" x14ac:dyDescent="0.2">
      <c r="B12" s="125" t="s">
        <v>667</v>
      </c>
      <c r="C12" s="125" t="s">
        <v>1063</v>
      </c>
      <c r="D12" s="126" t="s">
        <v>1060</v>
      </c>
      <c r="E12" s="122">
        <v>536.33000000000004</v>
      </c>
      <c r="F12" s="123">
        <v>561.04999999999995</v>
      </c>
      <c r="G12" s="124">
        <v>52.340004200000003</v>
      </c>
    </row>
    <row r="13" spans="2:7" x14ac:dyDescent="0.2">
      <c r="B13" s="125" t="s">
        <v>667</v>
      </c>
      <c r="C13" s="125" t="s">
        <v>1064</v>
      </c>
      <c r="D13" s="126" t="s">
        <v>1060</v>
      </c>
      <c r="E13" s="122">
        <v>689.39</v>
      </c>
      <c r="F13" s="123">
        <v>731.05</v>
      </c>
      <c r="G13" s="124">
        <v>124.15007280000002</v>
      </c>
    </row>
    <row r="14" spans="2:7" x14ac:dyDescent="0.2">
      <c r="B14" s="125" t="s">
        <v>667</v>
      </c>
      <c r="C14" s="125" t="s">
        <v>1065</v>
      </c>
      <c r="D14" s="126" t="s">
        <v>1060</v>
      </c>
      <c r="E14" s="122">
        <v>138.68</v>
      </c>
      <c r="F14" s="123">
        <v>163.1</v>
      </c>
      <c r="G14" s="124">
        <v>5.4531356000000004</v>
      </c>
    </row>
    <row r="15" spans="2:7" x14ac:dyDescent="0.2">
      <c r="B15" s="125" t="s">
        <v>667</v>
      </c>
      <c r="C15" s="125" t="s">
        <v>1066</v>
      </c>
      <c r="D15" s="126" t="s">
        <v>1060</v>
      </c>
      <c r="E15" s="122">
        <v>502.42</v>
      </c>
      <c r="F15" s="123">
        <v>526.04999999999995</v>
      </c>
      <c r="G15" s="124">
        <v>173.58011999999999</v>
      </c>
    </row>
    <row r="16" spans="2:7" x14ac:dyDescent="0.2">
      <c r="B16" s="125" t="s">
        <v>667</v>
      </c>
      <c r="C16" s="127" t="s">
        <v>1067</v>
      </c>
      <c r="D16" s="126" t="s">
        <v>1060</v>
      </c>
      <c r="E16" s="122">
        <v>1695.93</v>
      </c>
      <c r="F16" s="123">
        <v>1719.8</v>
      </c>
      <c r="G16" s="124">
        <v>167.35615000000001</v>
      </c>
    </row>
    <row r="17" spans="2:7" x14ac:dyDescent="0.2">
      <c r="B17" s="125" t="s">
        <v>667</v>
      </c>
      <c r="C17" s="127" t="s">
        <v>1068</v>
      </c>
      <c r="D17" s="126" t="s">
        <v>1060</v>
      </c>
      <c r="E17" s="122">
        <v>2609.5700000000002</v>
      </c>
      <c r="F17" s="123">
        <v>2681.5</v>
      </c>
      <c r="G17" s="124">
        <v>15.5381325</v>
      </c>
    </row>
    <row r="18" spans="2:7" x14ac:dyDescent="0.2">
      <c r="B18" s="125" t="s">
        <v>667</v>
      </c>
      <c r="C18" s="127" t="s">
        <v>1069</v>
      </c>
      <c r="D18" s="126" t="s">
        <v>1060</v>
      </c>
      <c r="E18" s="122">
        <v>1011.61</v>
      </c>
      <c r="F18" s="123">
        <v>1005.3</v>
      </c>
      <c r="G18" s="124">
        <v>139.21159350000002</v>
      </c>
    </row>
    <row r="19" spans="2:7" x14ac:dyDescent="0.2">
      <c r="B19" s="125" t="s">
        <v>667</v>
      </c>
      <c r="C19" s="127" t="s">
        <v>1070</v>
      </c>
      <c r="D19" s="126" t="s">
        <v>1060</v>
      </c>
      <c r="E19" s="122">
        <v>189.38</v>
      </c>
      <c r="F19" s="123">
        <v>200.7</v>
      </c>
      <c r="G19" s="124">
        <v>146.413061</v>
      </c>
    </row>
    <row r="20" spans="2:7" x14ac:dyDescent="0.2">
      <c r="B20" s="125" t="s">
        <v>667</v>
      </c>
      <c r="C20" s="127" t="s">
        <v>1071</v>
      </c>
      <c r="D20" s="126" t="s">
        <v>1060</v>
      </c>
      <c r="E20" s="122">
        <v>458.9</v>
      </c>
      <c r="F20" s="123">
        <v>466.15</v>
      </c>
      <c r="G20" s="124">
        <v>7.9435439999999993</v>
      </c>
    </row>
    <row r="21" spans="2:7" x14ac:dyDescent="0.2">
      <c r="B21" s="125" t="s">
        <v>667</v>
      </c>
      <c r="C21" s="127" t="s">
        <v>1072</v>
      </c>
      <c r="D21" s="126" t="s">
        <v>1060</v>
      </c>
      <c r="E21" s="122">
        <v>1875.33</v>
      </c>
      <c r="F21" s="123">
        <v>1919.2</v>
      </c>
      <c r="G21" s="124">
        <v>31.481663999999999</v>
      </c>
    </row>
    <row r="22" spans="2:7" x14ac:dyDescent="0.2">
      <c r="B22" s="125" t="s">
        <v>667</v>
      </c>
      <c r="C22" s="127" t="s">
        <v>1073</v>
      </c>
      <c r="D22" s="126" t="s">
        <v>1060</v>
      </c>
      <c r="E22" s="122">
        <v>173.42</v>
      </c>
      <c r="F22" s="123">
        <v>173.2</v>
      </c>
      <c r="G22" s="124">
        <v>174.38903999999999</v>
      </c>
    </row>
    <row r="23" spans="2:7" x14ac:dyDescent="0.2">
      <c r="B23" s="125" t="s">
        <v>667</v>
      </c>
      <c r="C23" s="127" t="s">
        <v>1074</v>
      </c>
      <c r="D23" s="126" t="s">
        <v>1060</v>
      </c>
      <c r="E23" s="122">
        <v>10097.450000000001</v>
      </c>
      <c r="F23" s="123">
        <v>10394</v>
      </c>
      <c r="G23" s="124">
        <v>93.537570000000002</v>
      </c>
    </row>
    <row r="24" spans="2:7" x14ac:dyDescent="0.2">
      <c r="B24" s="125" t="s">
        <v>667</v>
      </c>
      <c r="C24" s="127" t="s">
        <v>1075</v>
      </c>
      <c r="D24" s="126" t="s">
        <v>1060</v>
      </c>
      <c r="E24" s="122">
        <v>2567.79</v>
      </c>
      <c r="F24" s="123">
        <v>2603.5</v>
      </c>
      <c r="G24" s="124">
        <v>143.86558120000001</v>
      </c>
    </row>
    <row r="25" spans="2:7" x14ac:dyDescent="0.2">
      <c r="B25" s="125" t="s">
        <v>667</v>
      </c>
      <c r="C25" s="127" t="s">
        <v>1076</v>
      </c>
      <c r="D25" s="126" t="s">
        <v>1060</v>
      </c>
      <c r="E25" s="122">
        <v>3908</v>
      </c>
      <c r="F25" s="123">
        <v>4050.75</v>
      </c>
      <c r="G25" s="124">
        <v>8.5031552000000001</v>
      </c>
    </row>
    <row r="26" spans="2:7" x14ac:dyDescent="0.2">
      <c r="B26" s="125" t="s">
        <v>667</v>
      </c>
      <c r="C26" s="127" t="s">
        <v>1077</v>
      </c>
      <c r="D26" s="126" t="s">
        <v>1060</v>
      </c>
      <c r="E26" s="122">
        <v>3817.4</v>
      </c>
      <c r="F26" s="123">
        <v>3817.1</v>
      </c>
      <c r="G26" s="124">
        <v>5.928287000000001</v>
      </c>
    </row>
    <row r="27" spans="2:7" x14ac:dyDescent="0.2">
      <c r="B27" s="125" t="s">
        <v>667</v>
      </c>
      <c r="C27" s="127" t="s">
        <v>1078</v>
      </c>
      <c r="D27" s="126" t="s">
        <v>1060</v>
      </c>
      <c r="E27" s="122">
        <v>1027.81</v>
      </c>
      <c r="F27" s="123">
        <v>1083.8499999999999</v>
      </c>
      <c r="G27" s="124">
        <v>16.825028</v>
      </c>
    </row>
    <row r="28" spans="2:7" x14ac:dyDescent="0.2">
      <c r="B28" s="125" t="s">
        <v>667</v>
      </c>
      <c r="C28" s="127" t="s">
        <v>1079</v>
      </c>
      <c r="D28" s="126" t="s">
        <v>1060</v>
      </c>
      <c r="E28" s="122">
        <v>266.35000000000002</v>
      </c>
      <c r="F28" s="123">
        <v>277.25</v>
      </c>
      <c r="G28" s="124">
        <v>233.1543375</v>
      </c>
    </row>
    <row r="29" spans="2:7" x14ac:dyDescent="0.2">
      <c r="B29" s="125" t="s">
        <v>667</v>
      </c>
      <c r="C29" s="127" t="s">
        <v>1080</v>
      </c>
      <c r="D29" s="126" t="s">
        <v>1060</v>
      </c>
      <c r="E29" s="122">
        <v>676.49</v>
      </c>
      <c r="F29" s="123">
        <v>695.5</v>
      </c>
      <c r="G29" s="124">
        <v>13.239990000000001</v>
      </c>
    </row>
    <row r="30" spans="2:7" x14ac:dyDescent="0.2">
      <c r="B30" s="125"/>
      <c r="C30" s="128"/>
      <c r="D30" s="126"/>
      <c r="E30" s="129"/>
      <c r="F30" s="130"/>
      <c r="G30" s="131"/>
    </row>
    <row r="31" spans="2:7" x14ac:dyDescent="0.2">
      <c r="B31" s="125" t="s">
        <v>688</v>
      </c>
      <c r="C31" s="132" t="s">
        <v>1081</v>
      </c>
      <c r="D31" s="126" t="s">
        <v>1060</v>
      </c>
      <c r="E31" s="133">
        <v>7351.39</v>
      </c>
      <c r="F31" s="133">
        <v>7377.9</v>
      </c>
      <c r="G31" s="124">
        <v>210.79930300000001</v>
      </c>
    </row>
    <row r="32" spans="2:7" x14ac:dyDescent="0.2">
      <c r="B32" s="125" t="s">
        <v>688</v>
      </c>
      <c r="C32" s="132" t="s">
        <v>1082</v>
      </c>
      <c r="D32" s="126" t="s">
        <v>1060</v>
      </c>
      <c r="E32" s="133">
        <v>223.31</v>
      </c>
      <c r="F32" s="133">
        <v>233.15</v>
      </c>
      <c r="G32" s="124">
        <v>457.3562814</v>
      </c>
    </row>
    <row r="33" spans="2:7" x14ac:dyDescent="0.2">
      <c r="B33" s="125" t="s">
        <v>688</v>
      </c>
      <c r="C33" s="132" t="s">
        <v>1083</v>
      </c>
      <c r="D33" s="126" t="s">
        <v>1060</v>
      </c>
      <c r="E33" s="133">
        <v>1254.02</v>
      </c>
      <c r="F33" s="133">
        <v>1257.9000000000001</v>
      </c>
      <c r="G33" s="124">
        <v>186.7817344</v>
      </c>
    </row>
    <row r="34" spans="2:7" x14ac:dyDescent="0.2">
      <c r="B34" s="125" t="s">
        <v>688</v>
      </c>
      <c r="C34" s="132" t="s">
        <v>1067</v>
      </c>
      <c r="D34" s="126" t="s">
        <v>1060</v>
      </c>
      <c r="E34" s="133">
        <v>1694.97</v>
      </c>
      <c r="F34" s="133">
        <v>1719.8</v>
      </c>
      <c r="G34" s="124">
        <v>512.10981900000002</v>
      </c>
    </row>
    <row r="35" spans="2:7" x14ac:dyDescent="0.2">
      <c r="B35" s="125" t="s">
        <v>688</v>
      </c>
      <c r="C35" s="132" t="s">
        <v>1069</v>
      </c>
      <c r="D35" s="126" t="s">
        <v>1060</v>
      </c>
      <c r="E35" s="133">
        <v>1014.65</v>
      </c>
      <c r="F35" s="133">
        <v>1005.3</v>
      </c>
      <c r="G35" s="124">
        <v>426.41388999999998</v>
      </c>
    </row>
    <row r="36" spans="2:7" x14ac:dyDescent="0.2">
      <c r="B36" s="125" t="s">
        <v>688</v>
      </c>
      <c r="C36" s="132" t="s">
        <v>1084</v>
      </c>
      <c r="D36" s="126" t="s">
        <v>1060</v>
      </c>
      <c r="E36" s="133">
        <v>1558.38</v>
      </c>
      <c r="F36" s="133">
        <v>1552.9</v>
      </c>
      <c r="G36" s="124">
        <v>398.14110800000003</v>
      </c>
    </row>
    <row r="37" spans="2:7" x14ac:dyDescent="0.2">
      <c r="B37" s="125" t="s">
        <v>688</v>
      </c>
      <c r="C37" s="132" t="s">
        <v>1071</v>
      </c>
      <c r="D37" s="126" t="s">
        <v>1060</v>
      </c>
      <c r="E37" s="133">
        <v>462.15</v>
      </c>
      <c r="F37" s="133">
        <v>466.15</v>
      </c>
      <c r="G37" s="124">
        <v>88.702907999999994</v>
      </c>
    </row>
    <row r="38" spans="2:7" x14ac:dyDescent="0.2">
      <c r="B38" s="125" t="s">
        <v>688</v>
      </c>
      <c r="C38" s="132" t="s">
        <v>1085</v>
      </c>
      <c r="D38" s="126" t="s">
        <v>1060</v>
      </c>
      <c r="E38" s="133">
        <v>734.82</v>
      </c>
      <c r="F38" s="133">
        <v>753.55</v>
      </c>
      <c r="G38" s="124">
        <v>279.80647729999998</v>
      </c>
    </row>
    <row r="39" spans="2:7" x14ac:dyDescent="0.2">
      <c r="B39" s="125" t="s">
        <v>688</v>
      </c>
      <c r="C39" s="132" t="s">
        <v>1072</v>
      </c>
      <c r="D39" s="126" t="s">
        <v>1060</v>
      </c>
      <c r="E39" s="133">
        <v>1852.82</v>
      </c>
      <c r="F39" s="133">
        <v>1919.2</v>
      </c>
      <c r="G39" s="124">
        <v>373.67366399999997</v>
      </c>
    </row>
    <row r="40" spans="2:7" x14ac:dyDescent="0.2">
      <c r="B40" s="125" t="s">
        <v>688</v>
      </c>
      <c r="C40" s="132" t="s">
        <v>1086</v>
      </c>
      <c r="D40" s="126" t="s">
        <v>1060</v>
      </c>
      <c r="E40" s="133">
        <v>1676.72</v>
      </c>
      <c r="F40" s="133">
        <v>1730.7</v>
      </c>
      <c r="G40" s="124">
        <v>190.24910080000001</v>
      </c>
    </row>
    <row r="41" spans="2:7" x14ac:dyDescent="0.2">
      <c r="B41" s="125" t="s">
        <v>688</v>
      </c>
      <c r="C41" s="132" t="s">
        <v>1074</v>
      </c>
      <c r="D41" s="126" t="s">
        <v>1060</v>
      </c>
      <c r="E41" s="133">
        <v>10280.5</v>
      </c>
      <c r="F41" s="133">
        <v>10394</v>
      </c>
      <c r="G41" s="124">
        <v>359.47771999999998</v>
      </c>
    </row>
    <row r="42" spans="2:7" x14ac:dyDescent="0.2">
      <c r="B42" s="125" t="s">
        <v>688</v>
      </c>
      <c r="C42" s="132" t="s">
        <v>1087</v>
      </c>
      <c r="D42" s="126" t="s">
        <v>1060</v>
      </c>
      <c r="E42" s="133">
        <v>21957.67</v>
      </c>
      <c r="F42" s="133">
        <v>21885.95</v>
      </c>
      <c r="G42" s="124">
        <v>124.11995</v>
      </c>
    </row>
    <row r="43" spans="2:7" x14ac:dyDescent="0.2">
      <c r="B43" s="125" t="s">
        <v>688</v>
      </c>
      <c r="C43" s="132" t="s">
        <v>1075</v>
      </c>
      <c r="D43" s="126" t="s">
        <v>1060</v>
      </c>
      <c r="E43" s="133">
        <v>2608.34</v>
      </c>
      <c r="F43" s="133">
        <v>2603.5</v>
      </c>
      <c r="G43" s="124">
        <v>187.95342060000002</v>
      </c>
    </row>
    <row r="44" spans="2:7" x14ac:dyDescent="0.2">
      <c r="B44" s="125" t="s">
        <v>688</v>
      </c>
      <c r="C44" s="132" t="s">
        <v>1088</v>
      </c>
      <c r="D44" s="126" t="s">
        <v>1060</v>
      </c>
      <c r="E44" s="133">
        <v>730.52</v>
      </c>
      <c r="F44" s="133">
        <v>786.75</v>
      </c>
      <c r="G44" s="124">
        <v>236.11470240000003</v>
      </c>
    </row>
    <row r="45" spans="2:7" x14ac:dyDescent="0.2">
      <c r="B45" s="125" t="s">
        <v>688</v>
      </c>
      <c r="C45" s="132" t="s">
        <v>1089</v>
      </c>
      <c r="D45" s="126" t="s">
        <v>1060</v>
      </c>
      <c r="E45" s="133">
        <v>1095.1099999999999</v>
      </c>
      <c r="F45" s="133">
        <v>1126.9000000000001</v>
      </c>
      <c r="G45" s="124">
        <v>150.92885499999997</v>
      </c>
    </row>
    <row r="46" spans="2:7" x14ac:dyDescent="0.2">
      <c r="B46" s="125"/>
      <c r="C46" s="132"/>
      <c r="D46" s="126"/>
      <c r="E46" s="122"/>
      <c r="F46" s="134"/>
      <c r="G46" s="124"/>
    </row>
    <row r="47" spans="2:7" x14ac:dyDescent="0.2">
      <c r="B47" s="125" t="s">
        <v>726</v>
      </c>
      <c r="C47" s="135" t="s">
        <v>1061</v>
      </c>
      <c r="D47" s="126" t="s">
        <v>1060</v>
      </c>
      <c r="E47" s="136">
        <v>2120.84</v>
      </c>
      <c r="F47" s="137">
        <v>2224.75</v>
      </c>
      <c r="G47" s="138">
        <v>37.091255199999999</v>
      </c>
    </row>
    <row r="48" spans="2:7" x14ac:dyDescent="0.2">
      <c r="B48" s="125" t="s">
        <v>726</v>
      </c>
      <c r="C48" s="135" t="s">
        <v>1062</v>
      </c>
      <c r="D48" s="126" t="s">
        <v>1060</v>
      </c>
      <c r="E48" s="136">
        <v>1029.0999999999999</v>
      </c>
      <c r="F48" s="137">
        <v>1091.95</v>
      </c>
      <c r="G48" s="138">
        <v>94.674031999999997</v>
      </c>
    </row>
    <row r="49" spans="2:7" x14ac:dyDescent="0.2">
      <c r="B49" s="125" t="s">
        <v>726</v>
      </c>
      <c r="C49" s="135" t="s">
        <v>1090</v>
      </c>
      <c r="D49" s="126" t="s">
        <v>1060</v>
      </c>
      <c r="E49" s="136">
        <v>1100.3499999999999</v>
      </c>
      <c r="F49" s="137">
        <v>1110.8499999999999</v>
      </c>
      <c r="G49" s="138">
        <v>414.66714240000005</v>
      </c>
    </row>
    <row r="50" spans="2:7" x14ac:dyDescent="0.2">
      <c r="B50" s="125" t="s">
        <v>726</v>
      </c>
      <c r="C50" s="135" t="s">
        <v>1081</v>
      </c>
      <c r="D50" s="126" t="s">
        <v>1060</v>
      </c>
      <c r="E50" s="136">
        <v>7502.13</v>
      </c>
      <c r="F50" s="137">
        <v>7377.9</v>
      </c>
      <c r="G50" s="138">
        <v>64.86132400000001</v>
      </c>
    </row>
    <row r="51" spans="2:7" x14ac:dyDescent="0.2">
      <c r="B51" s="125" t="s">
        <v>726</v>
      </c>
      <c r="C51" s="135" t="s">
        <v>1082</v>
      </c>
      <c r="D51" s="126" t="s">
        <v>1060</v>
      </c>
      <c r="E51" s="136">
        <v>223.69</v>
      </c>
      <c r="F51" s="137">
        <v>233.15</v>
      </c>
      <c r="G51" s="138">
        <v>92.046547200000006</v>
      </c>
    </row>
    <row r="52" spans="2:7" x14ac:dyDescent="0.2">
      <c r="B52" s="125" t="s">
        <v>726</v>
      </c>
      <c r="C52" s="135" t="s">
        <v>1066</v>
      </c>
      <c r="D52" s="126" t="s">
        <v>1060</v>
      </c>
      <c r="E52" s="136">
        <v>500.4</v>
      </c>
      <c r="F52" s="137">
        <v>526.04999999999995</v>
      </c>
      <c r="G52" s="138">
        <v>10.8487575</v>
      </c>
    </row>
    <row r="53" spans="2:7" x14ac:dyDescent="0.2">
      <c r="B53" s="125" t="s">
        <v>726</v>
      </c>
      <c r="C53" s="135" t="s">
        <v>1067</v>
      </c>
      <c r="D53" s="126" t="s">
        <v>1060</v>
      </c>
      <c r="E53" s="136">
        <v>1685.18</v>
      </c>
      <c r="F53" s="137">
        <v>1719.8</v>
      </c>
      <c r="G53" s="138">
        <v>768.16472849999991</v>
      </c>
    </row>
    <row r="54" spans="2:7" x14ac:dyDescent="0.2">
      <c r="B54" s="125" t="s">
        <v>726</v>
      </c>
      <c r="C54" s="135" t="s">
        <v>1091</v>
      </c>
      <c r="D54" s="126" t="s">
        <v>1060</v>
      </c>
      <c r="E54" s="136">
        <v>374.44</v>
      </c>
      <c r="F54" s="137">
        <v>400.9</v>
      </c>
      <c r="G54" s="138">
        <v>146.2380885</v>
      </c>
    </row>
    <row r="55" spans="2:7" x14ac:dyDescent="0.2">
      <c r="B55" s="125" t="s">
        <v>726</v>
      </c>
      <c r="C55" s="135" t="s">
        <v>1068</v>
      </c>
      <c r="D55" s="126" t="s">
        <v>1060</v>
      </c>
      <c r="E55" s="136">
        <v>2593.66</v>
      </c>
      <c r="F55" s="137">
        <v>2681.5</v>
      </c>
      <c r="G55" s="138">
        <v>200.58316500000001</v>
      </c>
    </row>
    <row r="56" spans="2:7" x14ac:dyDescent="0.2">
      <c r="B56" s="125" t="s">
        <v>726</v>
      </c>
      <c r="C56" s="135" t="s">
        <v>1069</v>
      </c>
      <c r="D56" s="126" t="s">
        <v>1060</v>
      </c>
      <c r="E56" s="136">
        <v>1002.86</v>
      </c>
      <c r="F56" s="137">
        <v>1005.3</v>
      </c>
      <c r="G56" s="138">
        <v>456.51369399999999</v>
      </c>
    </row>
    <row r="57" spans="2:7" x14ac:dyDescent="0.2">
      <c r="B57" s="125" t="s">
        <v>726</v>
      </c>
      <c r="C57" s="135" t="s">
        <v>1084</v>
      </c>
      <c r="D57" s="126" t="s">
        <v>1060</v>
      </c>
      <c r="E57" s="136">
        <v>1553.24</v>
      </c>
      <c r="F57" s="137">
        <v>1552.9</v>
      </c>
      <c r="G57" s="124">
        <v>408.15024200000005</v>
      </c>
    </row>
    <row r="58" spans="2:7" x14ac:dyDescent="0.2">
      <c r="B58" s="125" t="s">
        <v>726</v>
      </c>
      <c r="C58" s="135" t="s">
        <v>1071</v>
      </c>
      <c r="D58" s="126" t="s">
        <v>1060</v>
      </c>
      <c r="E58" s="136">
        <v>452.82</v>
      </c>
      <c r="F58" s="137">
        <v>466.15</v>
      </c>
      <c r="G58" s="124">
        <v>41.041643999999998</v>
      </c>
    </row>
    <row r="59" spans="2:7" x14ac:dyDescent="0.2">
      <c r="B59" s="125" t="s">
        <v>726</v>
      </c>
      <c r="C59" s="135" t="s">
        <v>1092</v>
      </c>
      <c r="D59" s="126" t="s">
        <v>1060</v>
      </c>
      <c r="E59" s="136">
        <v>866.16</v>
      </c>
      <c r="F59" s="137">
        <v>886.7</v>
      </c>
      <c r="G59" s="124">
        <v>30.755164099999998</v>
      </c>
    </row>
    <row r="60" spans="2:7" x14ac:dyDescent="0.2">
      <c r="B60" s="125" t="s">
        <v>726</v>
      </c>
      <c r="C60" s="135" t="s">
        <v>1093</v>
      </c>
      <c r="D60" s="126" t="s">
        <v>1060</v>
      </c>
      <c r="E60" s="136">
        <v>3494.84</v>
      </c>
      <c r="F60" s="137">
        <v>3552.6</v>
      </c>
      <c r="G60" s="124">
        <v>180.83836799999997</v>
      </c>
    </row>
    <row r="61" spans="2:7" x14ac:dyDescent="0.2">
      <c r="B61" s="125" t="s">
        <v>726</v>
      </c>
      <c r="C61" s="135" t="s">
        <v>1074</v>
      </c>
      <c r="D61" s="126" t="s">
        <v>1060</v>
      </c>
      <c r="E61" s="136">
        <v>10134.68</v>
      </c>
      <c r="F61" s="137">
        <v>10394</v>
      </c>
      <c r="G61" s="124">
        <v>25.67698</v>
      </c>
    </row>
    <row r="62" spans="2:7" x14ac:dyDescent="0.2">
      <c r="B62" s="125" t="s">
        <v>726</v>
      </c>
      <c r="C62" s="135" t="s">
        <v>1094</v>
      </c>
      <c r="D62" s="126" t="s">
        <v>1060</v>
      </c>
      <c r="E62" s="136">
        <v>300.58999999999997</v>
      </c>
      <c r="F62" s="137">
        <v>313.14999999999998</v>
      </c>
      <c r="G62" s="124">
        <v>31.857442500000001</v>
      </c>
    </row>
    <row r="63" spans="2:7" x14ac:dyDescent="0.2">
      <c r="B63" s="125" t="s">
        <v>726</v>
      </c>
      <c r="C63" s="135" t="s">
        <v>1075</v>
      </c>
      <c r="D63" s="126" t="s">
        <v>1060</v>
      </c>
      <c r="E63" s="136">
        <v>2568.8200000000002</v>
      </c>
      <c r="F63" s="137">
        <v>2603.5</v>
      </c>
      <c r="G63" s="124">
        <v>556.89902400000005</v>
      </c>
    </row>
    <row r="64" spans="2:7" x14ac:dyDescent="0.2">
      <c r="B64" s="125" t="s">
        <v>726</v>
      </c>
      <c r="C64" s="135" t="s">
        <v>1095</v>
      </c>
      <c r="D64" s="126" t="s">
        <v>1060</v>
      </c>
      <c r="E64" s="136">
        <v>645.38</v>
      </c>
      <c r="F64" s="137">
        <v>647.45000000000005</v>
      </c>
      <c r="G64" s="124">
        <v>43.462782500000003</v>
      </c>
    </row>
    <row r="65" spans="2:7" x14ac:dyDescent="0.2">
      <c r="B65" s="125" t="s">
        <v>726</v>
      </c>
      <c r="C65" s="135" t="s">
        <v>1096</v>
      </c>
      <c r="D65" s="126" t="s">
        <v>1060</v>
      </c>
      <c r="E65" s="136">
        <v>1226.3800000000001</v>
      </c>
      <c r="F65" s="137">
        <v>1266.2</v>
      </c>
      <c r="G65" s="124">
        <v>23.622585000000001</v>
      </c>
    </row>
    <row r="66" spans="2:7" x14ac:dyDescent="0.2">
      <c r="B66" s="125" t="s">
        <v>726</v>
      </c>
      <c r="C66" s="135" t="s">
        <v>1078</v>
      </c>
      <c r="D66" s="126" t="s">
        <v>1060</v>
      </c>
      <c r="E66" s="136">
        <v>1015.02</v>
      </c>
      <c r="F66" s="137">
        <v>1083.8499999999999</v>
      </c>
      <c r="G66" s="124">
        <v>28.602547599999998</v>
      </c>
    </row>
    <row r="67" spans="2:7" x14ac:dyDescent="0.2">
      <c r="B67" s="125" t="s">
        <v>726</v>
      </c>
      <c r="C67" s="135" t="s">
        <v>1088</v>
      </c>
      <c r="D67" s="126" t="s">
        <v>1060</v>
      </c>
      <c r="E67" s="136">
        <v>715.4</v>
      </c>
      <c r="F67" s="137">
        <v>786.75</v>
      </c>
      <c r="G67" s="124">
        <v>310.67723999999998</v>
      </c>
    </row>
    <row r="68" spans="2:7" x14ac:dyDescent="0.2">
      <c r="B68" s="125" t="s">
        <v>726</v>
      </c>
      <c r="C68" s="135" t="s">
        <v>1097</v>
      </c>
      <c r="D68" s="126" t="s">
        <v>1060</v>
      </c>
      <c r="E68" s="136">
        <v>130.88999999999999</v>
      </c>
      <c r="F68" s="137">
        <v>140.65</v>
      </c>
      <c r="G68" s="124">
        <v>124.30451440000002</v>
      </c>
    </row>
    <row r="69" spans="2:7" x14ac:dyDescent="0.2">
      <c r="B69" s="125" t="s">
        <v>726</v>
      </c>
      <c r="C69" s="135" t="s">
        <v>1089</v>
      </c>
      <c r="D69" s="126" t="s">
        <v>1060</v>
      </c>
      <c r="E69" s="136">
        <v>1072.25</v>
      </c>
      <c r="F69" s="137">
        <v>1126.9000000000001</v>
      </c>
      <c r="G69" s="124">
        <v>35.674092999999999</v>
      </c>
    </row>
    <row r="70" spans="2:7" x14ac:dyDescent="0.2">
      <c r="B70" s="125"/>
      <c r="C70" s="135"/>
      <c r="D70" s="126"/>
      <c r="E70" s="136"/>
      <c r="F70" s="137"/>
      <c r="G70" s="124"/>
    </row>
    <row r="72" spans="2:7" x14ac:dyDescent="0.2">
      <c r="B72" s="117" t="s">
        <v>1098</v>
      </c>
      <c r="E72" s="139"/>
      <c r="F72" s="139"/>
      <c r="G72" s="139"/>
    </row>
    <row r="74" spans="2:7" x14ac:dyDescent="0.2">
      <c r="B74" s="140" t="s">
        <v>1053</v>
      </c>
      <c r="C74" s="140" t="s">
        <v>1099</v>
      </c>
    </row>
    <row r="75" spans="2:7" x14ac:dyDescent="0.2">
      <c r="B75" s="125" t="s">
        <v>667</v>
      </c>
      <c r="C75" s="141">
        <v>72.56</v>
      </c>
    </row>
    <row r="76" spans="2:7" x14ac:dyDescent="0.2">
      <c r="B76" s="125" t="s">
        <v>688</v>
      </c>
      <c r="C76" s="142">
        <v>14.77</v>
      </c>
    </row>
    <row r="77" spans="2:7" x14ac:dyDescent="0.2">
      <c r="B77" s="143" t="s">
        <v>726</v>
      </c>
      <c r="C77" s="142">
        <v>31.06</v>
      </c>
    </row>
    <row r="79" spans="2:7" x14ac:dyDescent="0.2">
      <c r="B79" s="117" t="s">
        <v>1100</v>
      </c>
    </row>
    <row r="80" spans="2:7" x14ac:dyDescent="0.2">
      <c r="B80" s="117"/>
    </row>
    <row r="81" spans="2:7" ht="63.75" x14ac:dyDescent="0.2">
      <c r="B81" s="144" t="s">
        <v>1053</v>
      </c>
      <c r="C81" s="145" t="s">
        <v>1101</v>
      </c>
      <c r="D81" s="145" t="s">
        <v>1102</v>
      </c>
      <c r="E81" s="145" t="s">
        <v>1103</v>
      </c>
      <c r="F81" s="145" t="s">
        <v>1104</v>
      </c>
      <c r="G81" s="145" t="s">
        <v>1105</v>
      </c>
    </row>
    <row r="82" spans="2:7" x14ac:dyDescent="0.2">
      <c r="B82" s="125" t="s">
        <v>667</v>
      </c>
      <c r="C82" s="146">
        <v>7992</v>
      </c>
      <c r="D82" s="146">
        <v>7984</v>
      </c>
      <c r="E82" s="138">
        <v>58528.609999999993</v>
      </c>
      <c r="F82" s="138">
        <v>57116.799999999996</v>
      </c>
      <c r="G82" s="147">
        <v>-1411.8099999999977</v>
      </c>
    </row>
    <row r="83" spans="2:7" x14ac:dyDescent="0.2">
      <c r="B83" s="143" t="s">
        <v>196</v>
      </c>
      <c r="C83" s="146">
        <v>1150</v>
      </c>
      <c r="D83" s="146">
        <v>1150</v>
      </c>
      <c r="E83" s="138">
        <v>7311</v>
      </c>
      <c r="F83" s="138">
        <v>6561.37</v>
      </c>
      <c r="G83" s="147">
        <v>-749.63000000000011</v>
      </c>
    </row>
    <row r="84" spans="2:7" x14ac:dyDescent="0.2">
      <c r="B84" s="125" t="s">
        <v>688</v>
      </c>
      <c r="C84" s="150">
        <v>29751</v>
      </c>
      <c r="D84" s="150">
        <v>29324</v>
      </c>
      <c r="E84" s="151">
        <v>239383.11</v>
      </c>
      <c r="F84" s="151">
        <v>235095.04000000001</v>
      </c>
      <c r="G84" s="147">
        <v>-4291.1595999999772</v>
      </c>
    </row>
    <row r="85" spans="2:7" x14ac:dyDescent="0.2">
      <c r="B85" s="143" t="s">
        <v>726</v>
      </c>
      <c r="C85" s="146">
        <v>20962</v>
      </c>
      <c r="D85" s="146">
        <v>20889</v>
      </c>
      <c r="E85" s="138">
        <v>153575.66</v>
      </c>
      <c r="F85" s="138">
        <v>150570.17000000001</v>
      </c>
      <c r="G85" s="147">
        <v>-3069.4524999999908</v>
      </c>
    </row>
    <row r="86" spans="2:7" hidden="1" x14ac:dyDescent="0.2">
      <c r="B86" s="152" t="s">
        <v>844</v>
      </c>
      <c r="C86" s="146"/>
      <c r="D86" s="146"/>
      <c r="E86" s="138"/>
      <c r="F86" s="138"/>
      <c r="G86" s="147">
        <v>0</v>
      </c>
    </row>
    <row r="87" spans="2:7" x14ac:dyDescent="0.2">
      <c r="B87" s="125" t="s">
        <v>558</v>
      </c>
      <c r="C87" s="150">
        <v>2094</v>
      </c>
      <c r="D87" s="150">
        <v>2094</v>
      </c>
      <c r="E87" s="151">
        <v>15045.75</v>
      </c>
      <c r="F87" s="151">
        <v>15111.35</v>
      </c>
      <c r="G87" s="147">
        <v>80.000000000000369</v>
      </c>
    </row>
    <row r="88" spans="2:7" hidden="1" x14ac:dyDescent="0.2">
      <c r="B88" s="125" t="s">
        <v>839</v>
      </c>
      <c r="C88" s="150"/>
      <c r="D88" s="150"/>
      <c r="E88" s="153"/>
      <c r="F88" s="151"/>
      <c r="G88" s="147">
        <v>0</v>
      </c>
    </row>
    <row r="89" spans="2:7" x14ac:dyDescent="0.2">
      <c r="B89" s="143" t="s">
        <v>848</v>
      </c>
      <c r="C89" s="154">
        <v>320</v>
      </c>
      <c r="D89" s="154">
        <v>320</v>
      </c>
      <c r="E89" s="155">
        <v>2679.71</v>
      </c>
      <c r="F89" s="155">
        <v>2696.2</v>
      </c>
      <c r="G89" s="156">
        <v>16.489999999999782</v>
      </c>
    </row>
    <row r="91" spans="2:7" x14ac:dyDescent="0.2">
      <c r="E91" s="149"/>
      <c r="F91" s="149"/>
    </row>
    <row r="92" spans="2:7" x14ac:dyDescent="0.2">
      <c r="B92" s="117" t="s">
        <v>1106</v>
      </c>
      <c r="F92" s="149"/>
      <c r="G92" s="148"/>
    </row>
    <row r="94" spans="2:7" ht="25.5" x14ac:dyDescent="0.2">
      <c r="B94" s="144" t="s">
        <v>1053</v>
      </c>
      <c r="C94" s="144" t="s">
        <v>1054</v>
      </c>
      <c r="D94" s="144" t="s">
        <v>1055</v>
      </c>
      <c r="E94" s="145" t="s">
        <v>1056</v>
      </c>
      <c r="F94" s="145" t="s">
        <v>1057</v>
      </c>
      <c r="G94" s="145" t="s">
        <v>1107</v>
      </c>
    </row>
    <row r="95" spans="2:7" x14ac:dyDescent="0.2">
      <c r="B95" s="125"/>
      <c r="C95" s="125"/>
      <c r="D95" s="126" t="s">
        <v>1108</v>
      </c>
      <c r="E95" s="157"/>
      <c r="F95" s="124"/>
      <c r="G95" s="158"/>
    </row>
    <row r="96" spans="2:7" x14ac:dyDescent="0.2">
      <c r="C96" s="159"/>
      <c r="D96" s="160"/>
      <c r="E96" s="161"/>
      <c r="F96" s="162"/>
      <c r="G96" s="162"/>
    </row>
    <row r="97" spans="2:7" x14ac:dyDescent="0.2">
      <c r="B97" s="117" t="s">
        <v>1109</v>
      </c>
    </row>
    <row r="99" spans="2:7" x14ac:dyDescent="0.2">
      <c r="B99" s="140" t="s">
        <v>1053</v>
      </c>
      <c r="C99" s="140" t="s">
        <v>1099</v>
      </c>
    </row>
    <row r="100" spans="2:7" x14ac:dyDescent="0.2">
      <c r="B100" s="125"/>
      <c r="C100" s="163"/>
    </row>
    <row r="101" spans="2:7" x14ac:dyDescent="0.2">
      <c r="B101" s="125"/>
      <c r="C101" s="163"/>
    </row>
    <row r="102" spans="2:7" x14ac:dyDescent="0.2">
      <c r="B102" s="125"/>
      <c r="C102" s="163"/>
    </row>
    <row r="103" spans="2:7" x14ac:dyDescent="0.2">
      <c r="B103" s="164"/>
      <c r="C103" s="165"/>
    </row>
    <row r="104" spans="2:7" x14ac:dyDescent="0.2">
      <c r="B104" s="117" t="s">
        <v>1110</v>
      </c>
    </row>
    <row r="105" spans="2:7" x14ac:dyDescent="0.2">
      <c r="B105" s="117"/>
    </row>
    <row r="106" spans="2:7" ht="63.75" x14ac:dyDescent="0.2">
      <c r="B106" s="144" t="s">
        <v>1053</v>
      </c>
      <c r="C106" s="145" t="s">
        <v>1101</v>
      </c>
      <c r="D106" s="145" t="s">
        <v>1102</v>
      </c>
      <c r="E106" s="145" t="s">
        <v>1103</v>
      </c>
      <c r="F106" s="145" t="s">
        <v>1111</v>
      </c>
      <c r="G106" s="145" t="s">
        <v>1112</v>
      </c>
    </row>
    <row r="107" spans="2:7" x14ac:dyDescent="0.2">
      <c r="B107" s="125" t="s">
        <v>688</v>
      </c>
      <c r="C107" s="150">
        <v>1089</v>
      </c>
      <c r="D107" s="150">
        <v>1089</v>
      </c>
      <c r="E107" s="151">
        <v>8713.27</v>
      </c>
      <c r="F107" s="151">
        <v>8769.27</v>
      </c>
      <c r="G107" s="156">
        <v>68.48</v>
      </c>
    </row>
    <row r="108" spans="2:7" x14ac:dyDescent="0.2">
      <c r="B108" s="143" t="s">
        <v>196</v>
      </c>
      <c r="C108" s="166">
        <v>2906</v>
      </c>
      <c r="D108" s="166">
        <v>2906</v>
      </c>
      <c r="E108" s="155">
        <v>24161.35</v>
      </c>
      <c r="F108" s="155">
        <v>23725.22</v>
      </c>
      <c r="G108" s="156">
        <v>-436.12999999999738</v>
      </c>
    </row>
    <row r="109" spans="2:7" x14ac:dyDescent="0.2">
      <c r="B109" s="143" t="s">
        <v>1113</v>
      </c>
      <c r="C109" s="166">
        <v>120</v>
      </c>
      <c r="D109" s="166">
        <v>120</v>
      </c>
      <c r="E109" s="155">
        <v>840.49</v>
      </c>
      <c r="F109" s="155">
        <v>838.46</v>
      </c>
      <c r="G109" s="156">
        <v>-2.0299999999999727</v>
      </c>
    </row>
    <row r="110" spans="2:7" hidden="1" x14ac:dyDescent="0.2">
      <c r="B110" s="125" t="s">
        <v>848</v>
      </c>
      <c r="C110" s="154"/>
      <c r="D110" s="154"/>
      <c r="E110" s="155"/>
      <c r="F110" s="155"/>
      <c r="G110" s="156">
        <v>0</v>
      </c>
    </row>
    <row r="111" spans="2:7" x14ac:dyDescent="0.2">
      <c r="B111" s="125" t="s">
        <v>1114</v>
      </c>
      <c r="C111" s="154">
        <v>1467</v>
      </c>
      <c r="D111" s="154">
        <v>1467</v>
      </c>
      <c r="E111" s="155">
        <v>11229.67</v>
      </c>
      <c r="F111" s="155">
        <v>11093.68</v>
      </c>
      <c r="G111" s="156">
        <v>-110.33999999999978</v>
      </c>
    </row>
    <row r="112" spans="2:7" x14ac:dyDescent="0.2">
      <c r="B112" s="125" t="s">
        <v>839</v>
      </c>
      <c r="C112" s="150">
        <v>1010</v>
      </c>
      <c r="D112" s="150">
        <v>1010</v>
      </c>
      <c r="E112" s="153">
        <v>10150.789999999999</v>
      </c>
      <c r="F112" s="151">
        <v>11518.39</v>
      </c>
      <c r="G112" s="147">
        <v>1367.6000000000004</v>
      </c>
    </row>
    <row r="113" spans="2:7" x14ac:dyDescent="0.2">
      <c r="B113" s="125" t="s">
        <v>558</v>
      </c>
      <c r="C113" s="154">
        <v>2436</v>
      </c>
      <c r="D113" s="154">
        <v>2436</v>
      </c>
      <c r="E113" s="155">
        <v>18215.750000000004</v>
      </c>
      <c r="F113" s="155">
        <v>18555.024999999998</v>
      </c>
      <c r="G113" s="156">
        <v>339.27499999999418</v>
      </c>
    </row>
    <row r="114" spans="2:7" x14ac:dyDescent="0.2">
      <c r="B114" s="125" t="s">
        <v>1115</v>
      </c>
      <c r="C114" s="154">
        <v>112</v>
      </c>
      <c r="D114" s="154">
        <v>112</v>
      </c>
      <c r="E114" s="155">
        <v>1225.3699999999999</v>
      </c>
      <c r="F114" s="155">
        <v>1449.21</v>
      </c>
      <c r="G114" s="156">
        <v>223.84000000000015</v>
      </c>
    </row>
    <row r="115" spans="2:7" x14ac:dyDescent="0.2">
      <c r="B115" s="152" t="s">
        <v>320</v>
      </c>
      <c r="C115" s="167">
        <v>591</v>
      </c>
      <c r="D115" s="167">
        <v>591</v>
      </c>
      <c r="E115" s="151">
        <v>6538.38</v>
      </c>
      <c r="F115" s="151">
        <v>7667.47</v>
      </c>
      <c r="G115" s="156">
        <v>1129.0900000000001</v>
      </c>
    </row>
    <row r="117" spans="2:7" x14ac:dyDescent="0.2">
      <c r="B117" s="168"/>
      <c r="C117" s="169"/>
      <c r="D117" s="169"/>
      <c r="E117" s="170"/>
      <c r="F117" s="170"/>
      <c r="G117" s="170"/>
    </row>
    <row r="118" spans="2:7" x14ac:dyDescent="0.2">
      <c r="B118" s="117" t="s">
        <v>1116</v>
      </c>
      <c r="D118" s="171"/>
    </row>
    <row r="120" spans="2:7" ht="25.5" x14ac:dyDescent="0.2">
      <c r="B120" s="145" t="s">
        <v>1053</v>
      </c>
      <c r="C120" s="145" t="s">
        <v>1054</v>
      </c>
      <c r="D120" s="145" t="s">
        <v>1117</v>
      </c>
      <c r="E120" s="145" t="s">
        <v>1118</v>
      </c>
      <c r="F120" s="145" t="s">
        <v>1119</v>
      </c>
      <c r="G120" s="145" t="s">
        <v>1120</v>
      </c>
    </row>
    <row r="121" spans="2:7" x14ac:dyDescent="0.2">
      <c r="B121" s="157" t="s">
        <v>472</v>
      </c>
      <c r="C121" s="157" t="s">
        <v>472</v>
      </c>
      <c r="D121" s="157" t="s">
        <v>472</v>
      </c>
      <c r="E121" s="157" t="s">
        <v>472</v>
      </c>
      <c r="F121" s="157" t="s">
        <v>472</v>
      </c>
      <c r="G121" s="157" t="s">
        <v>472</v>
      </c>
    </row>
    <row r="122" spans="2:7" x14ac:dyDescent="0.2">
      <c r="D122" s="171"/>
      <c r="E122" s="171"/>
      <c r="F122" s="172"/>
      <c r="G122" s="172"/>
    </row>
    <row r="123" spans="2:7" x14ac:dyDescent="0.2">
      <c r="D123" s="171"/>
      <c r="E123" s="171"/>
      <c r="F123" s="172"/>
      <c r="G123" s="172"/>
    </row>
    <row r="124" spans="2:7" x14ac:dyDescent="0.2">
      <c r="B124" s="117" t="s">
        <v>1121</v>
      </c>
      <c r="G124" s="105" t="s">
        <v>1122</v>
      </c>
    </row>
    <row r="125" spans="2:7" x14ac:dyDescent="0.2">
      <c r="B125" s="117"/>
    </row>
    <row r="126" spans="2:7" x14ac:dyDescent="0.2">
      <c r="B126" s="140" t="s">
        <v>1053</v>
      </c>
      <c r="C126" s="140" t="s">
        <v>1099</v>
      </c>
    </row>
    <row r="127" spans="2:7" x14ac:dyDescent="0.2">
      <c r="B127" s="157" t="s">
        <v>472</v>
      </c>
      <c r="C127" s="157" t="s">
        <v>472</v>
      </c>
    </row>
    <row r="128" spans="2:7" x14ac:dyDescent="0.2">
      <c r="C128" s="173"/>
      <c r="D128" s="165"/>
    </row>
    <row r="129" spans="2:7" x14ac:dyDescent="0.2">
      <c r="B129" s="117" t="s">
        <v>1123</v>
      </c>
    </row>
    <row r="131" spans="2:7" ht="38.25" x14ac:dyDescent="0.2">
      <c r="B131" s="144" t="s">
        <v>1053</v>
      </c>
      <c r="C131" s="145" t="s">
        <v>1124</v>
      </c>
      <c r="D131" s="145" t="s">
        <v>1125</v>
      </c>
      <c r="E131" s="145" t="s">
        <v>1126</v>
      </c>
      <c r="F131" s="145" t="s">
        <v>1127</v>
      </c>
    </row>
    <row r="132" spans="2:7" x14ac:dyDescent="0.2">
      <c r="B132" s="174"/>
      <c r="C132" s="157"/>
      <c r="D132" s="175"/>
      <c r="E132" s="156"/>
      <c r="F132" s="156">
        <v>0</v>
      </c>
    </row>
    <row r="133" spans="2:7" x14ac:dyDescent="0.2">
      <c r="B133" s="176"/>
      <c r="C133" s="177"/>
      <c r="D133" s="178"/>
      <c r="E133" s="178"/>
      <c r="F133" s="179"/>
    </row>
    <row r="134" spans="2:7" x14ac:dyDescent="0.2">
      <c r="B134" s="176"/>
      <c r="C134" s="177"/>
      <c r="D134" s="178"/>
      <c r="E134" s="178"/>
      <c r="F134" s="179"/>
    </row>
    <row r="136" spans="2:7" x14ac:dyDescent="0.2">
      <c r="B136" s="117" t="s">
        <v>1128</v>
      </c>
    </row>
    <row r="138" spans="2:7" ht="25.5" x14ac:dyDescent="0.2">
      <c r="B138" s="145" t="s">
        <v>1053</v>
      </c>
      <c r="C138" s="145" t="s">
        <v>1054</v>
      </c>
      <c r="D138" s="145" t="s">
        <v>1117</v>
      </c>
      <c r="E138" s="145" t="s">
        <v>1118</v>
      </c>
      <c r="F138" s="145" t="s">
        <v>1119</v>
      </c>
      <c r="G138" s="145" t="s">
        <v>1120</v>
      </c>
    </row>
    <row r="139" spans="2:7" x14ac:dyDescent="0.2">
      <c r="B139" s="125" t="s">
        <v>472</v>
      </c>
      <c r="C139" s="125" t="s">
        <v>472</v>
      </c>
      <c r="D139" s="125" t="s">
        <v>472</v>
      </c>
      <c r="E139" s="125" t="s">
        <v>472</v>
      </c>
      <c r="F139" s="125" t="s">
        <v>472</v>
      </c>
      <c r="G139" s="125" t="s">
        <v>472</v>
      </c>
    </row>
    <row r="140" spans="2:7" x14ac:dyDescent="0.2">
      <c r="C140" s="159"/>
      <c r="D140" s="180"/>
      <c r="E140" s="181"/>
      <c r="F140" s="172"/>
      <c r="G140" s="172"/>
    </row>
    <row r="141" spans="2:7" x14ac:dyDescent="0.2">
      <c r="B141" s="117" t="s">
        <v>1129</v>
      </c>
    </row>
    <row r="142" spans="2:7" x14ac:dyDescent="0.2">
      <c r="B142" s="117"/>
    </row>
    <row r="143" spans="2:7" x14ac:dyDescent="0.2">
      <c r="B143" s="140" t="s">
        <v>1053</v>
      </c>
      <c r="C143" s="140" t="s">
        <v>1099</v>
      </c>
    </row>
    <row r="144" spans="2:7" x14ac:dyDescent="0.2">
      <c r="B144" s="125" t="s">
        <v>472</v>
      </c>
      <c r="C144" s="125" t="s">
        <v>472</v>
      </c>
    </row>
    <row r="145" spans="2:7" x14ac:dyDescent="0.2">
      <c r="B145" s="164"/>
      <c r="C145" s="165"/>
    </row>
    <row r="146" spans="2:7" x14ac:dyDescent="0.2">
      <c r="B146" s="117" t="s">
        <v>1130</v>
      </c>
    </row>
    <row r="148" spans="2:7" ht="38.25" x14ac:dyDescent="0.2">
      <c r="B148" s="144" t="s">
        <v>1053</v>
      </c>
      <c r="C148" s="145" t="s">
        <v>1124</v>
      </c>
      <c r="D148" s="145" t="s">
        <v>1131</v>
      </c>
      <c r="E148" s="145" t="s">
        <v>1132</v>
      </c>
      <c r="F148" s="145" t="s">
        <v>1127</v>
      </c>
    </row>
    <row r="149" spans="2:7" x14ac:dyDescent="0.2">
      <c r="B149" s="125"/>
      <c r="C149" s="157"/>
      <c r="D149" s="175"/>
      <c r="E149" s="157"/>
      <c r="F149" s="157"/>
    </row>
    <row r="150" spans="2:7" x14ac:dyDescent="0.2">
      <c r="G150" s="182"/>
    </row>
    <row r="151" spans="2:7" x14ac:dyDescent="0.2">
      <c r="F151" s="183"/>
      <c r="G151" s="149"/>
    </row>
    <row r="152" spans="2:7" x14ac:dyDescent="0.2">
      <c r="B152" s="117" t="s">
        <v>1133</v>
      </c>
    </row>
    <row r="153" spans="2:7" x14ac:dyDescent="0.2">
      <c r="B153" s="117"/>
    </row>
    <row r="154" spans="2:7" x14ac:dyDescent="0.2">
      <c r="E154" s="149"/>
    </row>
    <row r="155" spans="2:7" x14ac:dyDescent="0.2">
      <c r="B155" s="117" t="s">
        <v>1134</v>
      </c>
      <c r="E155" s="149"/>
    </row>
    <row r="156" spans="2:7" x14ac:dyDescent="0.2">
      <c r="E156" s="149"/>
    </row>
    <row r="157" spans="2:7" ht="25.5" x14ac:dyDescent="0.2">
      <c r="B157" s="144" t="s">
        <v>1053</v>
      </c>
      <c r="C157" s="145" t="s">
        <v>1054</v>
      </c>
      <c r="D157" s="145" t="s">
        <v>1055</v>
      </c>
      <c r="E157" s="145" t="s">
        <v>1135</v>
      </c>
      <c r="F157" s="145" t="s">
        <v>1136</v>
      </c>
      <c r="G157" s="145" t="s">
        <v>1137</v>
      </c>
    </row>
    <row r="158" spans="2:7" x14ac:dyDescent="0.2">
      <c r="B158" s="143" t="s">
        <v>472</v>
      </c>
      <c r="C158" s="184" t="s">
        <v>472</v>
      </c>
      <c r="D158" s="185" t="s">
        <v>472</v>
      </c>
      <c r="E158" s="186" t="s">
        <v>472</v>
      </c>
      <c r="F158" s="186" t="s">
        <v>472</v>
      </c>
      <c r="G158" s="186" t="s">
        <v>472</v>
      </c>
    </row>
    <row r="159" spans="2:7" x14ac:dyDescent="0.2">
      <c r="E159" s="149"/>
    </row>
    <row r="160" spans="2:7" x14ac:dyDescent="0.2">
      <c r="B160" s="117" t="s">
        <v>1138</v>
      </c>
      <c r="E160" s="149"/>
    </row>
    <row r="161" spans="2:7" x14ac:dyDescent="0.2">
      <c r="B161" s="117"/>
      <c r="E161" s="149"/>
    </row>
    <row r="162" spans="2:7" x14ac:dyDescent="0.2">
      <c r="B162" s="140" t="s">
        <v>1053</v>
      </c>
      <c r="C162" s="140" t="s">
        <v>1099</v>
      </c>
      <c r="E162" s="149"/>
    </row>
    <row r="163" spans="2:7" x14ac:dyDescent="0.2">
      <c r="B163" s="157" t="s">
        <v>472</v>
      </c>
      <c r="C163" s="166" t="s">
        <v>472</v>
      </c>
      <c r="E163" s="149"/>
    </row>
    <row r="164" spans="2:7" x14ac:dyDescent="0.2">
      <c r="E164" s="149"/>
    </row>
    <row r="165" spans="2:7" x14ac:dyDescent="0.2">
      <c r="B165" s="117" t="s">
        <v>1139</v>
      </c>
      <c r="E165" s="149"/>
    </row>
    <row r="166" spans="2:7" x14ac:dyDescent="0.2">
      <c r="E166" s="149"/>
    </row>
    <row r="167" spans="2:7" ht="63.75" x14ac:dyDescent="0.2">
      <c r="B167" s="144" t="s">
        <v>1053</v>
      </c>
      <c r="C167" s="145" t="s">
        <v>1101</v>
      </c>
      <c r="D167" s="145" t="s">
        <v>1102</v>
      </c>
      <c r="E167" s="145" t="s">
        <v>1103</v>
      </c>
      <c r="F167" s="145" t="s">
        <v>1104</v>
      </c>
      <c r="G167" s="145" t="s">
        <v>1105</v>
      </c>
    </row>
    <row r="168" spans="2:7" x14ac:dyDescent="0.2">
      <c r="B168" s="166"/>
      <c r="C168" s="166"/>
      <c r="D168" s="146"/>
      <c r="E168" s="187"/>
      <c r="F168" s="188"/>
      <c r="G168" s="189"/>
    </row>
    <row r="169" spans="2:7" x14ac:dyDescent="0.2">
      <c r="E169" s="149"/>
    </row>
    <row r="170" spans="2:7" x14ac:dyDescent="0.2">
      <c r="E170" s="149"/>
    </row>
    <row r="171" spans="2:7" x14ac:dyDescent="0.2">
      <c r="B171" s="117" t="s">
        <v>1140</v>
      </c>
      <c r="E171" s="149"/>
    </row>
    <row r="172" spans="2:7" x14ac:dyDescent="0.2">
      <c r="E172" s="149"/>
    </row>
    <row r="173" spans="2:7" ht="63.75" x14ac:dyDescent="0.2">
      <c r="B173" s="144" t="s">
        <v>1053</v>
      </c>
      <c r="C173" s="145" t="s">
        <v>1101</v>
      </c>
      <c r="D173" s="145" t="s">
        <v>1102</v>
      </c>
      <c r="E173" s="145" t="s">
        <v>1103</v>
      </c>
      <c r="F173" s="145" t="s">
        <v>1104</v>
      </c>
      <c r="G173" s="145" t="s">
        <v>1105</v>
      </c>
    </row>
    <row r="174" spans="2:7" x14ac:dyDescent="0.2">
      <c r="B174" s="126"/>
      <c r="C174" s="157"/>
      <c r="D174" s="157"/>
      <c r="E174" s="190"/>
      <c r="F174" s="190"/>
      <c r="G174" s="190"/>
    </row>
    <row r="175" spans="2:7" x14ac:dyDescent="0.2">
      <c r="E175" s="149"/>
    </row>
    <row r="176" spans="2:7" x14ac:dyDescent="0.2">
      <c r="E176" s="149"/>
    </row>
    <row r="177" spans="2:5" x14ac:dyDescent="0.2">
      <c r="E177" s="149"/>
    </row>
    <row r="178" spans="2:5" x14ac:dyDescent="0.2">
      <c r="B178" s="105" t="s">
        <v>1141</v>
      </c>
    </row>
  </sheetData>
  <mergeCells count="3">
    <mergeCell ref="B2:G2"/>
    <mergeCell ref="B3:G3"/>
    <mergeCell ref="B5:G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Swapna.N - Sundaram Mutual</cp:lastModifiedBy>
  <dcterms:created xsi:type="dcterms:W3CDTF">2024-01-02T09:28:08Z</dcterms:created>
  <dcterms:modified xsi:type="dcterms:W3CDTF">2024-01-09T14:52:29Z</dcterms:modified>
</cp:coreProperties>
</file>