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D7954954-5BBE-48F1-AA99-AB11A735B438}" xr6:coauthVersionLast="47" xr6:coauthVersionMax="47" xr10:uidLastSave="{00000000-0000-0000-0000-000000000000}"/>
  <bookViews>
    <workbookView xWindow="-108" yWindow="-108" windowWidth="41496" windowHeight="16896" xr2:uid="{A6AD41A0-C494-4BFF-95C5-C21940902957}"/>
  </bookViews>
  <sheets>
    <sheet name="IDF283" sheetId="1" r:id="rId1"/>
  </sheets>
  <definedNames>
    <definedName name="JR_PAGE_ANCHOR_0_50">'IDF283'!$A$2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</calcChain>
</file>

<file path=xl/sharedStrings.xml><?xml version="1.0" encoding="utf-8"?>
<sst xmlns="http://schemas.openxmlformats.org/spreadsheetml/2006/main" count="179" uniqueCount="154">
  <si>
    <t>IDF283</t>
  </si>
  <si>
    <t>INDEX</t>
  </si>
  <si>
    <t>Portfolio Statement as on December 31,2024</t>
  </si>
  <si>
    <t>Bandhan Nifty100 Low Volatility 30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</si>
  <si>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</si>
  <si>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</si>
  <si>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</si>
  <si>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</si>
  <si>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</si>
  <si>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</si>
  <si>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</si>
  <si>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</si>
  <si>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</si>
  <si>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</si>
  <si>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</si>
  <si>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</si>
  <si>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</si>
  <si>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</si>
  <si>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</si>
  <si>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</si>
  <si>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Diversified FMCG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</si>
  <si>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</si>
  <si>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</si>
  <si>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</si>
  <si>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</si>
  <si>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</si>
  <si>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</si>
  <si>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</si>
  <si>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HLEL02</t>
  </si>
  <si>
    <t>Hindustan Unilever Limited</t>
  </si>
  <si>
    <t>INE030A01027</t>
  </si>
  <si>
    <t>ASPA02</t>
  </si>
  <si>
    <t>Asian Paints Limited</t>
  </si>
  <si>
    <t>INE021A01026</t>
  </si>
  <si>
    <t>Consumer Durables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</si>
  <si>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</si>
  <si>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</si>
  <si>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</si>
  <si>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</si>
  <si>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</si>
  <si>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</si>
  <si>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</si>
  <si>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</si>
  <si>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BRIT03</t>
  </si>
  <si>
    <t>Britannia Industries Limited</t>
  </si>
  <si>
    <t>INE216A01030</t>
  </si>
  <si>
    <t>BFSL02</t>
  </si>
  <si>
    <t>Bajaj Finserv Limited</t>
  </si>
  <si>
    <t>INE918I01026</t>
  </si>
  <si>
    <t>Finance</t>
  </si>
  <si>
    <t>APOL02</t>
  </si>
  <si>
    <t>Apollo Hospitals Enterprise Limited</t>
  </si>
  <si>
    <t>INE437A01024</t>
  </si>
  <si>
    <t>Healthcare Services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</si>
  <si>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</si>
  <si>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</si>
  <si>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</si>
  <si>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</si>
  <si>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</si>
  <si>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</si>
  <si>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</si>
  <si>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Automobiles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</si>
  <si>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</si>
  <si>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</si>
  <si>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</si>
  <si>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</si>
  <si>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</si>
  <si>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</si>
  <si>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</si>
  <si>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</si>
  <si>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</si>
  <si>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</si>
  <si>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</si>
  <si>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</si>
  <si>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</si>
  <si>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</si>
  <si>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</si>
  <si>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</si>
  <si>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</si>
  <si>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TWAT02</t>
  </si>
  <si>
    <t>Titan Company Limited</t>
  </si>
  <si>
    <t>INE280A01028</t>
  </si>
  <si>
    <t>INFS02</t>
  </si>
  <si>
    <t>Infosys Limited</t>
  </si>
  <si>
    <t>INE009A01021</t>
  </si>
  <si>
    <t>CIPL03</t>
  </si>
  <si>
    <t>Cipla Limited</t>
  </si>
  <si>
    <t>INE059A01026</t>
  </si>
  <si>
    <t>SLIF01</t>
  </si>
  <si>
    <t>SBI Life Insurance Company Limited</t>
  </si>
  <si>
    <t>INE123W01016</t>
  </si>
  <si>
    <t>Insurance</t>
  </si>
  <si>
    <t>DABU02</t>
  </si>
  <si>
    <t>Dabur India Limited</t>
  </si>
  <si>
    <t>INE016A01026</t>
  </si>
  <si>
    <t>Personal Products</t>
  </si>
  <si>
    <t>MOTI02</t>
  </si>
  <si>
    <t>Bosch Limited</t>
  </si>
  <si>
    <t>INE323A01026</t>
  </si>
  <si>
    <t>Auto Components</t>
  </si>
  <si>
    <t>PIDI02</t>
  </si>
  <si>
    <t>Pidilite Industries Limited</t>
  </si>
  <si>
    <t>INE318A01026</t>
  </si>
  <si>
    <t>Chemicals &amp; Petrochemicals</t>
  </si>
  <si>
    <t>TOPH02</t>
  </si>
  <si>
    <t>Torrent Pharmaceuticals Limited</t>
  </si>
  <si>
    <t>INE685A01028</t>
  </si>
  <si>
    <t>HERO02</t>
  </si>
  <si>
    <t>Hero MotoCorp Limited</t>
  </si>
  <si>
    <t>INE158A01026</t>
  </si>
  <si>
    <t>LARS02</t>
  </si>
  <si>
    <t>Larsen &amp; Toubro Limited</t>
  </si>
  <si>
    <t>INE018A01030</t>
  </si>
  <si>
    <t>Construction</t>
  </si>
  <si>
    <t>WIPR02</t>
  </si>
  <si>
    <t>Wipro Limited</t>
  </si>
  <si>
    <t>INE075A01022</t>
  </si>
  <si>
    <t>BALN01</t>
  </si>
  <si>
    <t>Bajaj Auto Limited</t>
  </si>
  <si>
    <t>INE917I01010</t>
  </si>
  <si>
    <t>Subtotal</t>
  </si>
  <si>
    <t>(b) UNLISTED</t>
  </si>
  <si>
    <t>NIL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</si>
  <si>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</si>
  <si>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</si>
  <si>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</si>
  <si>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</si>
  <si>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</si>
  <si>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</si>
  <si>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</si>
  <si>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</si>
  <si>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</si>
  <si>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</si>
  <si>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</si>
  <si>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</si>
  <si>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</si>
  <si>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</si>
  <si>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</si>
  <si>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Tata Group</t>
  </si>
  <si>
    <t>Bajaj Group</t>
  </si>
  <si>
    <t>Sun Pharma Group</t>
  </si>
  <si>
    <t>ITC Group</t>
  </si>
  <si>
    <t>Nestle Group</t>
  </si>
  <si>
    <t>Dr Reddys</t>
  </si>
  <si>
    <t>Unilever Group</t>
  </si>
  <si>
    <t>Name and exposure to top 4 Sectors</t>
  </si>
  <si>
    <t>Name of the Sector</t>
  </si>
  <si>
    <t>Fast Moving Consumer Goods</t>
  </si>
  <si>
    <t>Healthcare</t>
  </si>
  <si>
    <t>Financial Services</t>
  </si>
  <si>
    <t>Information Technology</t>
  </si>
  <si>
    <t>BENCHMARK NAME - NIFTY100 LOW VOLATILITY 30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</si>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</sst>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F0E6C6-EDEC-4267-B36C-F88B8FA90B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42417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556260</xdr:colOff>
      <xdr:row>93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C74D96-054F-4E5C-A328-AE4D3C3C6C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42417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D277-C3E8-434B-A333-E5F3AFD2AA16}">
  <sheetPr codeName="Sheet50">
    <outlinePr summaryBelow="0"/>
  </sheetPr>
  <dimension ref="A1:H82"/>
  <sheetViews>
    <sheetView tabSelected="1" topLeftCell="A36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301253</v>
      </c>
      <c r="F8" s="18">
        <v>5682.69</v>
      </c>
      <c r="G8" s="19">
        <v>4.1099999999999998E-2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1135195</v>
      </c>
      <c r="F9" s="18">
        <v>5490.37</v>
      </c>
      <c r="G9" s="19">
        <v>3.9699999999999999E-2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248616</v>
      </c>
      <c r="F10" s="18">
        <v>5395.09</v>
      </c>
      <c r="G10" s="19">
        <v>3.9E-2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16</v>
      </c>
      <c r="E11" s="17">
        <v>386195</v>
      </c>
      <c r="F11" s="18">
        <v>5362.32</v>
      </c>
      <c r="G11" s="19">
        <v>3.8800000000000001E-2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20</v>
      </c>
      <c r="E12" s="17">
        <v>227675</v>
      </c>
      <c r="F12" s="18">
        <v>5297.66</v>
      </c>
      <c r="G12" s="19">
        <v>3.8300000000000001E-2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224333</v>
      </c>
      <c r="F13" s="18">
        <v>5117.82</v>
      </c>
      <c r="G13" s="19">
        <v>3.6999999999999998E-2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386423</v>
      </c>
      <c r="F14" s="18">
        <v>4952.59</v>
      </c>
      <c r="G14" s="19">
        <v>3.5799999999999998E-2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119497</v>
      </c>
      <c r="F15" s="18">
        <v>4893.16</v>
      </c>
      <c r="G15" s="19">
        <v>3.5400000000000001E-2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24</v>
      </c>
      <c r="E16" s="17">
        <v>102637</v>
      </c>
      <c r="F16" s="18">
        <v>4888.34</v>
      </c>
      <c r="G16" s="19">
        <v>3.5299999999999998E-2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306628</v>
      </c>
      <c r="F17" s="18">
        <v>4808.2299999999996</v>
      </c>
      <c r="G17" s="19">
        <v>3.4799999999999998E-2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65782</v>
      </c>
      <c r="F18" s="18">
        <v>4799.68</v>
      </c>
      <c r="G18" s="19">
        <v>3.4700000000000002E-2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387461</v>
      </c>
      <c r="F19" s="18">
        <v>4709.3900000000003</v>
      </c>
      <c r="G19" s="19">
        <v>3.4000000000000002E-2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43043</v>
      </c>
      <c r="F20" s="18">
        <v>4673.78</v>
      </c>
      <c r="G20" s="19">
        <v>3.3799999999999997E-2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292869</v>
      </c>
      <c r="F21" s="18">
        <v>4650.03</v>
      </c>
      <c r="G21" s="19">
        <v>3.3599999999999998E-2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38</v>
      </c>
      <c r="E22" s="17">
        <v>261895</v>
      </c>
      <c r="F22" s="18">
        <v>4643.01</v>
      </c>
      <c r="G22" s="19">
        <v>3.3599999999999998E-2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42</v>
      </c>
      <c r="E23" s="17">
        <v>239472</v>
      </c>
      <c r="F23" s="18">
        <v>4591.6400000000003</v>
      </c>
      <c r="G23" s="19">
        <v>3.32E-2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39764</v>
      </c>
      <c r="F24" s="18">
        <v>4543.57</v>
      </c>
      <c r="G24" s="19">
        <v>3.2800000000000003E-2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38</v>
      </c>
      <c r="E25" s="17">
        <v>254284</v>
      </c>
      <c r="F25" s="18">
        <v>4541.6400000000003</v>
      </c>
      <c r="G25" s="19">
        <v>3.2800000000000003E-2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34</v>
      </c>
      <c r="E26" s="17">
        <v>138613</v>
      </c>
      <c r="F26" s="18">
        <v>4509.29</v>
      </c>
      <c r="G26" s="19">
        <v>3.2599999999999997E-2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42</v>
      </c>
      <c r="E27" s="17">
        <v>235928</v>
      </c>
      <c r="F27" s="18">
        <v>4435.45</v>
      </c>
      <c r="G27" s="19">
        <v>3.2099999999999997E-2</v>
      </c>
      <c r="H27" s="20"/>
    </row>
    <row r="28" spans="1:8" ht="13.05" customHeight="1">
      <c r="A28" s="15" t="s">
        <v>85</v>
      </c>
      <c r="B28" s="16" t="s">
        <v>86</v>
      </c>
      <c r="C28" s="12" t="s">
        <v>87</v>
      </c>
      <c r="D28" s="13" t="s">
        <v>16</v>
      </c>
      <c r="E28" s="17">
        <v>280759</v>
      </c>
      <c r="F28" s="18">
        <v>4292.8100000000004</v>
      </c>
      <c r="G28" s="19">
        <v>3.1E-2</v>
      </c>
      <c r="H28" s="20"/>
    </row>
    <row r="29" spans="1:8" ht="13.05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308057</v>
      </c>
      <c r="F29" s="18">
        <v>4283.22</v>
      </c>
      <c r="G29" s="19">
        <v>3.1E-2</v>
      </c>
      <c r="H29" s="20"/>
    </row>
    <row r="30" spans="1:8" ht="13.05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819292</v>
      </c>
      <c r="F30" s="18">
        <v>4153.8100000000004</v>
      </c>
      <c r="G30" s="19">
        <v>0.03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12116</v>
      </c>
      <c r="F31" s="18">
        <v>4131.58</v>
      </c>
      <c r="G31" s="19">
        <v>2.9899999999999999E-2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141258</v>
      </c>
      <c r="F32" s="18">
        <v>4102.49</v>
      </c>
      <c r="G32" s="19">
        <v>2.9700000000000001E-2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16</v>
      </c>
      <c r="E33" s="17">
        <v>121073</v>
      </c>
      <c r="F33" s="18">
        <v>4068.11</v>
      </c>
      <c r="G33" s="19">
        <v>2.9399999999999999E-2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61</v>
      </c>
      <c r="E34" s="17">
        <v>96266</v>
      </c>
      <c r="F34" s="18">
        <v>4005.24</v>
      </c>
      <c r="G34" s="19">
        <v>2.9000000000000001E-2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113</v>
      </c>
      <c r="E35" s="17">
        <v>101676</v>
      </c>
      <c r="F35" s="18">
        <v>3668.11</v>
      </c>
      <c r="G35" s="19">
        <v>2.6499999999999999E-2</v>
      </c>
      <c r="H35" s="20"/>
    </row>
    <row r="36" spans="1:8" ht="13.05" customHeight="1">
      <c r="A36" s="15" t="s">
        <v>114</v>
      </c>
      <c r="B36" s="16" t="s">
        <v>115</v>
      </c>
      <c r="C36" s="12" t="s">
        <v>116</v>
      </c>
      <c r="D36" s="13" t="s">
        <v>42</v>
      </c>
      <c r="E36" s="17">
        <v>1210443</v>
      </c>
      <c r="F36" s="18">
        <v>3653.72</v>
      </c>
      <c r="G36" s="19">
        <v>2.64E-2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61</v>
      </c>
      <c r="E37" s="17">
        <v>41310</v>
      </c>
      <c r="F37" s="18">
        <v>3634.7</v>
      </c>
      <c r="G37" s="19">
        <v>2.63E-2</v>
      </c>
      <c r="H37" s="20"/>
    </row>
    <row r="38" spans="1:8" ht="13.05" customHeight="1">
      <c r="A38" s="4"/>
      <c r="B38" s="21" t="s">
        <v>120</v>
      </c>
      <c r="C38" s="22"/>
      <c r="D38" s="21"/>
      <c r="E38" s="21"/>
      <c r="F38" s="23">
        <v>137979.54</v>
      </c>
      <c r="G38" s="24">
        <v>0.99760000000000004</v>
      </c>
      <c r="H38" s="25"/>
    </row>
    <row r="39" spans="1:8" ht="13.05" customHeight="1">
      <c r="A39" s="4"/>
      <c r="B39" s="11" t="s">
        <v>121</v>
      </c>
      <c r="C39" s="26"/>
      <c r="D39" s="27"/>
      <c r="E39" s="27"/>
      <c r="F39" s="28" t="s">
        <v>122</v>
      </c>
      <c r="G39" s="28" t="s">
        <v>122</v>
      </c>
      <c r="H39" s="25" t="s">
        <v>122</v>
      </c>
    </row>
    <row r="40" spans="1:8" ht="13.05" customHeight="1">
      <c r="A40" s="4"/>
      <c r="B40" s="21" t="s">
        <v>120</v>
      </c>
      <c r="C40" s="26"/>
      <c r="D40" s="27"/>
      <c r="E40" s="27"/>
      <c r="F40" s="28" t="s">
        <v>122</v>
      </c>
      <c r="G40" s="28" t="s">
        <v>122</v>
      </c>
      <c r="H40" s="25" t="s">
        <v>122</v>
      </c>
    </row>
    <row r="41" spans="1:8" ht="13.05" customHeight="1">
      <c r="A41" s="4"/>
      <c r="B41" s="21" t="s">
        <v>123</v>
      </c>
      <c r="C41" s="26"/>
      <c r="D41" s="27"/>
      <c r="E41" s="29"/>
      <c r="F41" s="30">
        <v>137979.54</v>
      </c>
      <c r="G41" s="31">
        <v>0.99760000000000004</v>
      </c>
      <c r="H41" s="32"/>
    </row>
    <row r="42" spans="1:8" ht="13.05" customHeight="1">
      <c r="A42" s="4"/>
      <c r="B42" s="11" t="s">
        <v>124</v>
      </c>
      <c r="C42" s="12"/>
      <c r="D42" s="13"/>
      <c r="E42" s="13"/>
      <c r="F42" s="13"/>
      <c r="G42" s="13"/>
      <c r="H42" s="14"/>
    </row>
    <row r="43" spans="1:8" ht="13.05" customHeight="1">
      <c r="A43" s="4"/>
      <c r="B43" s="33" t="s">
        <v>125</v>
      </c>
      <c r="C43" s="12"/>
      <c r="D43" s="13"/>
      <c r="E43" s="13"/>
      <c r="F43" s="13"/>
      <c r="G43" s="13"/>
      <c r="H43" s="14"/>
    </row>
    <row r="44" spans="1:8" ht="13.05" customHeight="1">
      <c r="A44" s="15" t="s">
        <v>126</v>
      </c>
      <c r="B44" s="16" t="s">
        <v>127</v>
      </c>
      <c r="C44" s="12"/>
      <c r="D44" s="13"/>
      <c r="E44" s="34"/>
      <c r="F44" s="18">
        <v>384.94</v>
      </c>
      <c r="G44" s="19">
        <v>2.8E-3</v>
      </c>
      <c r="H44" s="20">
        <v>6.2893332885438191E-2</v>
      </c>
    </row>
    <row r="45" spans="1:8" ht="13.05" customHeight="1">
      <c r="A45" s="4"/>
      <c r="B45" s="21" t="s">
        <v>123</v>
      </c>
      <c r="C45" s="26"/>
      <c r="D45" s="27"/>
      <c r="E45" s="29"/>
      <c r="F45" s="30">
        <v>384.94</v>
      </c>
      <c r="G45" s="31">
        <v>2.8E-3</v>
      </c>
      <c r="H45" s="32"/>
    </row>
    <row r="46" spans="1:8" ht="13.05" customHeight="1">
      <c r="A46" s="4"/>
      <c r="B46" s="33" t="s">
        <v>128</v>
      </c>
      <c r="C46" s="35"/>
      <c r="D46" s="36"/>
      <c r="E46" s="36"/>
      <c r="F46" s="36"/>
      <c r="G46" s="36"/>
      <c r="H46" s="37"/>
    </row>
    <row r="47" spans="1:8" ht="13.05" customHeight="1">
      <c r="A47" s="4"/>
      <c r="B47" s="27" t="s">
        <v>129</v>
      </c>
      <c r="C47" s="26"/>
      <c r="D47" s="27"/>
      <c r="E47" s="27"/>
      <c r="F47" s="23">
        <v>2.1</v>
      </c>
      <c r="G47" s="38" t="s">
        <v>130</v>
      </c>
      <c r="H47" s="37"/>
    </row>
    <row r="48" spans="1:8" ht="13.05" customHeight="1">
      <c r="A48" s="4"/>
      <c r="B48" s="21" t="s">
        <v>120</v>
      </c>
      <c r="C48" s="22"/>
      <c r="D48" s="21"/>
      <c r="E48" s="21"/>
      <c r="F48" s="23">
        <v>2.1</v>
      </c>
      <c r="G48" s="38" t="s">
        <v>130</v>
      </c>
      <c r="H48" s="37"/>
    </row>
    <row r="49" spans="1:8" ht="13.05" customHeight="1">
      <c r="A49" s="4"/>
      <c r="B49" s="21" t="s">
        <v>131</v>
      </c>
      <c r="C49" s="26"/>
      <c r="D49" s="27"/>
      <c r="E49" s="27"/>
      <c r="F49" s="23">
        <v>-35.590000000000003</v>
      </c>
      <c r="G49" s="39">
        <v>-4.0000000000000002E-4</v>
      </c>
      <c r="H49" s="37"/>
    </row>
    <row r="50" spans="1:8" ht="13.05" customHeight="1" thickBot="1">
      <c r="A50" s="4"/>
      <c r="B50" s="40" t="s">
        <v>132</v>
      </c>
      <c r="C50" s="41"/>
      <c r="D50" s="42"/>
      <c r="E50" s="42"/>
      <c r="F50" s="43">
        <v>138330.98630992509</v>
      </c>
      <c r="G50" s="44">
        <v>1</v>
      </c>
      <c r="H50" s="45"/>
    </row>
    <row r="51" spans="1:8" ht="13.05" customHeight="1">
      <c r="A51" s="4"/>
      <c r="B51" s="46"/>
      <c r="C51" s="4"/>
      <c r="D51" s="4"/>
      <c r="E51" s="4"/>
      <c r="F51" s="4"/>
      <c r="G51" s="4"/>
      <c r="H51" s="4"/>
    </row>
    <row r="52" spans="1:8" ht="13.05" customHeight="1">
      <c r="A52" s="4"/>
      <c r="B52" s="46" t="s">
        <v>133</v>
      </c>
      <c r="C52" s="4"/>
      <c r="D52" s="4"/>
      <c r="E52" s="4"/>
      <c r="F52" s="4"/>
      <c r="G52" s="4"/>
      <c r="H52" s="4"/>
    </row>
    <row r="55" spans="1:8">
      <c r="B55" s="47" t="s">
        <v>134</v>
      </c>
      <c r="C55" s="4"/>
    </row>
    <row r="56" spans="1:8">
      <c r="B56" s="48" t="s">
        <v>135</v>
      </c>
      <c r="C56" s="48" t="s">
        <v>9</v>
      </c>
    </row>
    <row r="57" spans="1:8">
      <c r="B57" s="49" t="str">
        <f>+B8</f>
        <v>Sun Pharmaceutical Industries Limited</v>
      </c>
      <c r="C57" s="50">
        <f>+G8</f>
        <v>4.1099999999999998E-2</v>
      </c>
    </row>
    <row r="58" spans="1:8">
      <c r="B58" s="49" t="str">
        <f t="shared" ref="B58:B63" si="0">+B9</f>
        <v>ITC Limited</v>
      </c>
      <c r="C58" s="50">
        <f t="shared" ref="C58:C63" si="1">+G9</f>
        <v>3.9699999999999999E-2</v>
      </c>
    </row>
    <row r="59" spans="1:8">
      <c r="B59" s="49" t="str">
        <f t="shared" si="0"/>
        <v>Nestle India Limited</v>
      </c>
      <c r="C59" s="50">
        <f t="shared" si="1"/>
        <v>3.9E-2</v>
      </c>
    </row>
    <row r="60" spans="1:8">
      <c r="B60" s="49" t="str">
        <f t="shared" si="0"/>
        <v>Dr. Reddy's Laboratories Limited</v>
      </c>
      <c r="C60" s="50">
        <f t="shared" si="1"/>
        <v>3.8800000000000001E-2</v>
      </c>
    </row>
    <row r="61" spans="1:8">
      <c r="B61" s="49" t="str">
        <f t="shared" si="0"/>
        <v>Hindustan Unilever Limited</v>
      </c>
      <c r="C61" s="50">
        <f t="shared" si="1"/>
        <v>3.8300000000000001E-2</v>
      </c>
    </row>
    <row r="62" spans="1:8">
      <c r="B62" s="49" t="str">
        <f t="shared" si="0"/>
        <v>Asian Paints Limited</v>
      </c>
      <c r="C62" s="50">
        <f t="shared" si="1"/>
        <v>3.6999999999999998E-2</v>
      </c>
    </row>
    <row r="63" spans="1:8">
      <c r="B63" s="49" t="str">
        <f t="shared" si="0"/>
        <v>ICICI Bank Limited</v>
      </c>
      <c r="C63" s="50">
        <f t="shared" si="1"/>
        <v>3.5799999999999998E-2</v>
      </c>
    </row>
    <row r="65" spans="2:3">
      <c r="B65" s="47" t="s">
        <v>136</v>
      </c>
    </row>
    <row r="66" spans="2:3">
      <c r="B66" s="48" t="s">
        <v>137</v>
      </c>
      <c r="C66" s="48" t="s">
        <v>9</v>
      </c>
    </row>
    <row r="67" spans="2:3">
      <c r="B67" s="49" t="s">
        <v>138</v>
      </c>
      <c r="C67" s="50">
        <v>6.8000000000000005E-2</v>
      </c>
    </row>
    <row r="68" spans="2:3">
      <c r="B68" s="49" t="s">
        <v>139</v>
      </c>
      <c r="C68" s="50">
        <v>6.1100000000000002E-2</v>
      </c>
    </row>
    <row r="69" spans="2:3">
      <c r="B69" s="49" t="s">
        <v>140</v>
      </c>
      <c r="C69" s="50">
        <v>4.1099999999999998E-2</v>
      </c>
    </row>
    <row r="70" spans="2:3">
      <c r="B70" s="49" t="s">
        <v>141</v>
      </c>
      <c r="C70" s="50">
        <v>3.9699999999999999E-2</v>
      </c>
    </row>
    <row r="71" spans="2:3">
      <c r="B71" s="49" t="s">
        <v>142</v>
      </c>
      <c r="C71" s="50">
        <v>3.9E-2</v>
      </c>
    </row>
    <row r="72" spans="2:3">
      <c r="B72" s="49" t="s">
        <v>143</v>
      </c>
      <c r="C72" s="50">
        <v>3.8800000000000001E-2</v>
      </c>
    </row>
    <row r="73" spans="2:3">
      <c r="B73" s="49" t="s">
        <v>144</v>
      </c>
      <c r="C73" s="50">
        <v>3.8300000000000001E-2</v>
      </c>
    </row>
    <row r="75" spans="2:3">
      <c r="B75" s="47" t="s">
        <v>145</v>
      </c>
    </row>
    <row r="76" spans="2:3">
      <c r="B76" s="48" t="s">
        <v>146</v>
      </c>
      <c r="C76" s="48" t="s">
        <v>9</v>
      </c>
    </row>
    <row r="77" spans="2:3">
      <c r="B77" s="49" t="s">
        <v>147</v>
      </c>
      <c r="C77" s="50">
        <v>0.18229999999999999</v>
      </c>
    </row>
    <row r="78" spans="2:3">
      <c r="B78" s="49" t="s">
        <v>148</v>
      </c>
      <c r="C78" s="50">
        <v>0.17499999999999999</v>
      </c>
    </row>
    <row r="79" spans="2:3">
      <c r="B79" s="49" t="s">
        <v>149</v>
      </c>
      <c r="C79" s="50">
        <v>0.16799999999999998</v>
      </c>
    </row>
    <row r="80" spans="2:3">
      <c r="B80" s="49" t="s">
        <v>150</v>
      </c>
      <c r="C80" s="50">
        <v>0.12709999999999999</v>
      </c>
    </row>
    <row r="81" spans="2:6">
      <c r="F81" s="51" t="s">
        <v>151</v>
      </c>
    </row>
    <row r="82" spans="2:6">
      <c r="B82" s="51" t="s">
        <v>152</v>
      </c>
      <c r="F82" s="51" t="s">
        <v>153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IDF283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2025-01-08T09:22:26Z</dcterms:created>
  <dcterms:modified xsi:type="dcterms:W3CDTF">2025-01-08T09:22:27Z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2025-01-08T09:22:27Z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cb49d5aa-3137-4536-a9b7-2d83d576096f</vt:lpwstr>
  </property>
  <property fmtid="{D5CDD505-2E9C-101B-9397-08002B2CF9AE}" pid="8" name="MSIP_Label_1b7f8449-e5d3-4eba-8da7-ffd6ca5bf3e9_ContentBits">
    <vt:lpwstr>0</vt:lpwstr>
  </property>
</Properties>
</file>