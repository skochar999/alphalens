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Half Yearly Reports\Mar 25\HY Portfolios\ROM\"/>
    </mc:Choice>
  </mc:AlternateContent>
  <xr:revisionPtr revIDLastSave="0" documentId="8_{04C97917-20CB-4FAF-84C7-EFAD231F3309}" xr6:coauthVersionLast="47" xr6:coauthVersionMax="47" xr10:uidLastSave="{00000000-0000-0000-0000-000000000000}"/>
  <bookViews>
    <workbookView xWindow="-108" yWindow="-108" windowWidth="41496" windowHeight="16896" xr2:uid="{152759D8-1260-4964-979D-A2E41FCC49CC}"/>
  </bookViews>
  <sheets>
    <sheet name="IDF293" sheetId="1" r:id="rId1"/>
  </sheets>
  <definedNames>
    <definedName name="JR_PAGE_ANCHOR_0_54">'IDF293'!$A$2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2" i="1" l="1"/>
  <c r="B42" i="1"/>
  <c r="C41" i="1"/>
  <c r="B41" i="1"/>
  <c r="C40" i="1"/>
  <c r="B40" i="1"/>
  <c r="C39" i="1"/>
  <c r="B39" i="1"/>
  <c r="C38" i="1"/>
  <c r="B38" i="1"/>
  <c r="C37" i="1"/>
  <c r="B37" i="1"/>
  <c r="C36" i="1"/>
  <c r="B36" i="1"/>
</calcChain>
</file>

<file path=xl/sharedStrings.xml><?xml version="1.0" encoding="utf-8"?>
<sst xmlns="http://schemas.openxmlformats.org/spreadsheetml/2006/main" count="120" uniqueCount="97">
  <si>
    <t>IDF293</t>
  </si>
  <si>
    <t>INDEX</t>
  </si>
  <si>
    <t>Portfolio Statement as on March 31,2025</t>
  </si>
  <si>
    <t>Bandhan Nifty IT Index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</si>
  <si>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</si>
  <si>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</si>
  <si>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</si>
  <si>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</si>
  <si>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</si>
  <si>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</si>
  <si>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</si>
  <si>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</si>
  <si>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</si>
  <si>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INFS02</t>
  </si>
  <si>
    <t>Infosys Limited</t>
  </si>
  <si>
    <t>INE009A01021</t>
  </si>
  <si>
    <t>IT - Software</t>
  </si>
  <si>
    <t>TCSL01</t>
  </si>
  <si>
    <t>Tata Consultancy Services Limited</t>
  </si>
  <si>
    <t>INE467B01029</t>
  </si>
  <si>
    <t>HCLT02</t>
  </si>
  <si>
    <t>HCL Technologies Limited</t>
  </si>
  <si>
    <t>INE860A01027</t>
  </si>
  <si>
    <t>TEMA02</t>
  </si>
  <si>
    <t>Tech Mahindra Limited</t>
  </si>
  <si>
    <t>INE669C01036</t>
  </si>
  <si>
    <t>WIPR02</t>
  </si>
  <si>
    <t>Wipro Limited</t>
  </si>
  <si>
    <t>INE075A01022</t>
  </si>
  <si>
    <t>PSYL02</t>
  </si>
  <si>
    <t>Persistent Systems Limited</t>
  </si>
  <si>
    <t>INE262H01021</t>
  </si>
  <si>
    <t>NITL01</t>
  </si>
  <si>
    <t>Coforge Limited</t>
  </si>
  <si>
    <t>INE591G01017</t>
  </si>
  <si>
    <t>LTIL01</t>
  </si>
  <si>
    <t>LTIMindtree Limited</t>
  </si>
  <si>
    <t>INE214T01019</t>
  </si>
  <si>
    <t>BFLS01</t>
  </si>
  <si>
    <t>Mphasis Limited</t>
  </si>
  <si>
    <t>INE356A01018</t>
  </si>
  <si>
    <t>IFEL01</t>
  </si>
  <si>
    <t>Oracle Financial Services Software Limited</t>
  </si>
  <si>
    <t>INE881D01027</t>
  </si>
  <si>
    <t>Subtotal</t>
  </si>
  <si>
    <t>(b) UNLISTED</t>
  </si>
  <si>
    <t>NIL</t>
  </si>
  <si>
    <t>Total</t>
  </si>
  <si>
    <t>Money Market Instruments</t>
  </si>
  <si>
    <t>TREPS / Reverse Repo Instrument</t>
  </si>
  <si>
    <t>TRP_020425</t>
  </si>
  <si>
    <t>Triparty Repo TRP_020425</t>
  </si>
  <si>
    <t>OTHERS</t>
  </si>
  <si>
    <t>Cash Margin - CCIL</t>
  </si>
  <si>
    <t>$</t>
  </si>
  <si>
    <t>Net Current Assets</t>
  </si>
  <si>
    <t>GRAND TOTAL</t>
  </si>
  <si>
    <t>$  Less Than 0.01% of NAV</t>
  </si>
  <si>
    <t>Name and exposure to top 7 issuers and stocks</t>
  </si>
  <si>
    <t>Name of the Issuer / Stock</t>
  </si>
  <si>
    <t>Name and exposure to top 7 groups</t>
  </si>
  <si>
    <t>Name of the Group</t>
  </si>
  <si>
    <t>Infosys Group</t>
  </si>
  <si>
    <t>Tata Group</t>
  </si>
  <si>
    <t>HCL Tech Group</t>
  </si>
  <si>
    <t>Mahindra Group</t>
  </si>
  <si>
    <t>Wipro Group</t>
  </si>
  <si>
    <t>Persistent Group</t>
  </si>
  <si>
    <t>Coforge Group</t>
  </si>
  <si>
    <t>Name and exposure to top 4 Sectors</t>
  </si>
  <si>
    <t>Name of the Sector</t>
  </si>
  <si>
    <t>Information Technology</t>
  </si>
  <si>
    <t>Clearing Corporation of India Ltd</t>
  </si>
  <si>
    <t>Notes:</t>
  </si>
  <si>
    <t>(1) The provision made for below investment grade or default securities as of March 31, 2025 is Rs. Nil and its percentage to Net Asset Value is Nil.</t>
  </si>
  <si>
    <t>(2)  Aggregate value of illiquid equity shares of the fund amounts to Rs.Nil and their percentage to Net Asset value is Nil.</t>
  </si>
  <si>
    <t>(3) Plan/Option wise per unit Net Asset Values (NAV) are as follows:</t>
  </si>
  <si>
    <t>Plan / Option</t>
  </si>
  <si>
    <t>NAV per unit (Rs.)</t>
  </si>
  <si>
    <t>Regular Plan</t>
  </si>
  <si>
    <t>IDF293-AG</t>
  </si>
  <si>
    <t>Growth</t>
  </si>
  <si>
    <t>IDF293-AD</t>
  </si>
  <si>
    <t>IDCW #</t>
  </si>
  <si>
    <t>Direct Plan</t>
  </si>
  <si>
    <t>IDF293-ZG</t>
  </si>
  <si>
    <t>IDF293-ZD</t>
  </si>
  <si>
    <t># Income Distribution cum capital withdrawal option</t>
  </si>
  <si>
    <t>(4) No Dividend declared during the period ended March 31, 2025.</t>
  </si>
  <si>
    <t>(5) Total outstanding exposure in derivative instruments as on March 31, 2025 is Rs. Nil.</t>
  </si>
  <si>
    <t>(6) Total Market value of investments in foreign securities/ADRs/GDRs as at March 31, 2025 is Rs. Nil.</t>
  </si>
  <si>
    <t>(7) During the period, the portfolio turnover ratio - For Equity Securities is 0.16 times and aggregate for all asset category is 0.16 times.</t>
  </si>
  <si>
    <t>(8) Bonus declared during the half-year ended March 31, 2025 : Nil</t>
  </si>
  <si>
    <t>(9) The details of repo transactions of the schemes in corporate debt securities including details of counterparties, amount involved and percentage of NAV :  Nil</t>
  </si>
  <si>
    <t>BENCHMARK NAME - NIFTY IT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</si>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</sst>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;\(#,##0.00\)"/>
    <numFmt numFmtId="165" formatCode="#,##0.00%"/>
    <numFmt numFmtId="166" formatCode="_ * #,##0.00_ ;_ * \-#,##0.00_ ;_ * &quot;-&quot;??_ ;_ @_ "/>
    <numFmt numFmtId="167" formatCode="_(* #,##0_);_(* \(#,##0\);_(* &quot;-&quot;??_);_(@_)"/>
    <numFmt numFmtId="168" formatCode="0.0000"/>
    <numFmt numFmtId="169" formatCode="_-* #,##0.0000_-;\-* #,##0.0000_-;_-* &quot;-&quot;??_-;_-@_-"/>
    <numFmt numFmtId="170" formatCode="_-* #,##0_-;\-* #,##0_-;_-* &quot;-&quot;??_-;_-@_-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rial"/>
      <family val="2"/>
    </font>
    <font>
      <sz val="11"/>
      <color theme="1"/>
      <name val="Arial"/>
      <family val="2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color theme="1"/>
      <name val="Arial"/>
      <family val="2"/>
    </font>
    <font>
      <b/>
      <sz val="9"/>
      <color indexed="72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sz val="9"/>
      <color indexed="72"/>
      <name val="Arial"/>
      <family val="2"/>
    </font>
    <font>
      <b/>
      <sz val="9"/>
      <name val="Arial"/>
      <family val="2"/>
    </font>
    <font>
      <b/>
      <sz val="9"/>
      <color indexed="9"/>
      <name val="Arial"/>
      <family val="2"/>
    </font>
    <font>
      <sz val="9"/>
      <color theme="1"/>
      <name val="Arial"/>
      <family val="2"/>
    </font>
    <font>
      <sz val="9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</cellStyleXfs>
  <cellXfs count="9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top" wrapText="1"/>
    </xf>
    <xf numFmtId="0" fontId="3" fillId="0" borderId="0" xfId="0" applyFont="1" applyAlignment="1" applyProtection="1">
      <alignment wrapText="1"/>
      <protection locked="0"/>
    </xf>
    <xf numFmtId="0" fontId="6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3" fontId="6" fillId="0" borderId="7" xfId="0" applyNumberFormat="1" applyFont="1" applyBorder="1" applyAlignment="1">
      <alignment horizontal="right" vertical="top" wrapText="1"/>
    </xf>
    <xf numFmtId="164" fontId="6" fillId="0" borderId="7" xfId="0" applyNumberFormat="1" applyFont="1" applyBorder="1" applyAlignment="1">
      <alignment horizontal="right" vertical="top" wrapText="1"/>
    </xf>
    <xf numFmtId="165" fontId="6" fillId="0" borderId="7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4" fontId="5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5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164" fontId="5" fillId="0" borderId="12" xfId="0" applyNumberFormat="1" applyFont="1" applyBorder="1" applyAlignment="1">
      <alignment horizontal="right" vertical="top" wrapText="1"/>
    </xf>
    <xf numFmtId="165" fontId="8" fillId="0" borderId="12" xfId="0" applyNumberFormat="1" applyFont="1" applyBorder="1" applyAlignment="1">
      <alignment horizontal="right" vertical="top" wrapText="1"/>
    </xf>
    <xf numFmtId="0" fontId="8" fillId="0" borderId="13" xfId="0" applyFont="1" applyBorder="1" applyAlignment="1">
      <alignment horizontal="right" vertical="top" wrapText="1"/>
    </xf>
    <xf numFmtId="0" fontId="8" fillId="0" borderId="9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right" vertical="top" wrapText="1"/>
    </xf>
    <xf numFmtId="0" fontId="9" fillId="0" borderId="10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left" vertical="top" wrapText="1"/>
    </xf>
    <xf numFmtId="0" fontId="9" fillId="0" borderId="11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right" vertical="top" wrapText="1"/>
    </xf>
    <xf numFmtId="165" fontId="6" fillId="0" borderId="9" xfId="0" applyNumberFormat="1" applyFont="1" applyBorder="1" applyAlignment="1">
      <alignment horizontal="right" vertical="top" wrapText="1"/>
    </xf>
    <xf numFmtId="0" fontId="5" fillId="0" borderId="14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6" fillId="0" borderId="16" xfId="0" applyFont="1" applyBorder="1" applyAlignment="1">
      <alignment horizontal="left" vertical="top" wrapText="1"/>
    </xf>
    <xf numFmtId="164" fontId="5" fillId="0" borderId="17" xfId="0" applyNumberFormat="1" applyFont="1" applyBorder="1" applyAlignment="1">
      <alignment horizontal="right" vertical="top" wrapText="1"/>
    </xf>
    <xf numFmtId="165" fontId="5" fillId="0" borderId="18" xfId="0" applyNumberFormat="1" applyFont="1" applyBorder="1" applyAlignment="1">
      <alignment horizontal="right" vertical="top" wrapText="1"/>
    </xf>
    <xf numFmtId="0" fontId="9" fillId="0" borderId="19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1" fillId="0" borderId="20" xfId="0" applyFont="1" applyBorder="1"/>
    <xf numFmtId="0" fontId="3" fillId="0" borderId="20" xfId="0" applyFont="1" applyBorder="1"/>
    <xf numFmtId="165" fontId="3" fillId="0" borderId="20" xfId="0" applyNumberFormat="1" applyFont="1" applyBorder="1"/>
    <xf numFmtId="0" fontId="12" fillId="0" borderId="21" xfId="1" applyFont="1" applyBorder="1"/>
    <xf numFmtId="0" fontId="13" fillId="0" borderId="22" xfId="1" applyFont="1" applyBorder="1"/>
    <xf numFmtId="166" fontId="14" fillId="0" borderId="22" xfId="1" applyNumberFormat="1" applyFont="1" applyBorder="1"/>
    <xf numFmtId="166" fontId="14" fillId="0" borderId="23" xfId="1" applyNumberFormat="1" applyFont="1" applyBorder="1"/>
    <xf numFmtId="0" fontId="15" fillId="0" borderId="24" xfId="1" applyFont="1" applyBorder="1"/>
    <xf numFmtId="0" fontId="13" fillId="0" borderId="0" xfId="1" applyFont="1"/>
    <xf numFmtId="166" fontId="13" fillId="0" borderId="25" xfId="1" applyNumberFormat="1" applyFont="1" applyBorder="1"/>
    <xf numFmtId="15" fontId="13" fillId="0" borderId="24" xfId="1" applyNumberFormat="1" applyFont="1" applyBorder="1"/>
    <xf numFmtId="166" fontId="14" fillId="0" borderId="0" xfId="1" applyNumberFormat="1" applyFont="1"/>
    <xf numFmtId="0" fontId="13" fillId="0" borderId="26" xfId="1" applyFont="1" applyBorder="1"/>
    <xf numFmtId="0" fontId="13" fillId="0" borderId="27" xfId="1" applyFont="1" applyBorder="1"/>
    <xf numFmtId="166" fontId="13" fillId="0" borderId="28" xfId="1" applyNumberFormat="1" applyFont="1" applyBorder="1"/>
    <xf numFmtId="0" fontId="16" fillId="0" borderId="21" xfId="1" applyFont="1" applyBorder="1"/>
    <xf numFmtId="0" fontId="16" fillId="0" borderId="22" xfId="1" applyFont="1" applyBorder="1"/>
    <xf numFmtId="167" fontId="17" fillId="0" borderId="22" xfId="1" applyNumberFormat="1" applyFont="1" applyBorder="1"/>
    <xf numFmtId="10" fontId="17" fillId="0" borderId="23" xfId="1" applyNumberFormat="1" applyFont="1" applyBorder="1"/>
    <xf numFmtId="0" fontId="16" fillId="0" borderId="26" xfId="1" applyFont="1" applyBorder="1"/>
    <xf numFmtId="15" fontId="16" fillId="0" borderId="27" xfId="1" applyNumberFormat="1" applyFont="1" applyBorder="1"/>
    <xf numFmtId="167" fontId="13" fillId="0" borderId="28" xfId="1" applyNumberFormat="1" applyFont="1" applyBorder="1"/>
    <xf numFmtId="168" fontId="13" fillId="0" borderId="22" xfId="1" applyNumberFormat="1" applyFont="1" applyBorder="1"/>
    <xf numFmtId="0" fontId="3" fillId="0" borderId="22" xfId="1" applyFont="1" applyBorder="1"/>
    <xf numFmtId="0" fontId="13" fillId="0" borderId="24" xfId="1" applyFont="1" applyBorder="1"/>
    <xf numFmtId="168" fontId="13" fillId="0" borderId="0" xfId="2" applyNumberFormat="1" applyFont="1"/>
    <xf numFmtId="0" fontId="3" fillId="0" borderId="0" xfId="1" applyFont="1"/>
    <xf numFmtId="166" fontId="14" fillId="0" borderId="25" xfId="1" applyNumberFormat="1" applyFont="1" applyBorder="1"/>
    <xf numFmtId="168" fontId="13" fillId="0" borderId="0" xfId="3" applyNumberFormat="1" applyFont="1"/>
    <xf numFmtId="0" fontId="16" fillId="0" borderId="24" xfId="1" applyFont="1" applyBorder="1"/>
    <xf numFmtId="168" fontId="13" fillId="0" borderId="0" xfId="1" applyNumberFormat="1" applyFont="1" applyAlignment="1">
      <alignment horizontal="right"/>
    </xf>
    <xf numFmtId="168" fontId="13" fillId="0" borderId="27" xfId="1" applyNumberFormat="1" applyFont="1" applyBorder="1"/>
    <xf numFmtId="169" fontId="14" fillId="0" borderId="27" xfId="1" applyNumberFormat="1" applyFont="1" applyBorder="1"/>
    <xf numFmtId="166" fontId="14" fillId="0" borderId="28" xfId="1" applyNumberFormat="1" applyFont="1" applyBorder="1"/>
    <xf numFmtId="168" fontId="13" fillId="0" borderId="0" xfId="4" applyNumberFormat="1" applyFont="1" applyFill="1" applyBorder="1" applyAlignment="1"/>
    <xf numFmtId="168" fontId="13" fillId="0" borderId="0" xfId="1" applyNumberFormat="1" applyFont="1"/>
    <xf numFmtId="167" fontId="13" fillId="0" borderId="0" xfId="4" applyNumberFormat="1" applyFont="1" applyFill="1" applyBorder="1" applyAlignment="1"/>
    <xf numFmtId="0" fontId="13" fillId="0" borderId="25" xfId="1" applyFont="1" applyBorder="1"/>
    <xf numFmtId="170" fontId="18" fillId="0" borderId="0" xfId="1" applyNumberFormat="1" applyFont="1"/>
    <xf numFmtId="0" fontId="13" fillId="0" borderId="24" xfId="2" applyFont="1" applyBorder="1"/>
    <xf numFmtId="0" fontId="19" fillId="0" borderId="0" xfId="1" applyFont="1"/>
    <xf numFmtId="168" fontId="19" fillId="0" borderId="0" xfId="1" applyNumberFormat="1" applyFont="1"/>
    <xf numFmtId="0" fontId="18" fillId="0" borderId="25" xfId="1" applyFont="1" applyBorder="1"/>
    <xf numFmtId="166" fontId="13" fillId="0" borderId="0" xfId="1" applyNumberFormat="1" applyFont="1"/>
    <xf numFmtId="0" fontId="11" fillId="0" borderId="0" xfId="0" applyFont="1"/>
  </cellXfs>
  <cellStyles count="5">
    <cellStyle name="Comma 5" xfId="4" xr:uid="{B2C9439A-E9F5-4FF8-925E-BB40A719000A}"/>
    <cellStyle name="Normal" xfId="0" builtinId="0"/>
    <cellStyle name="Normal 3 2 2" xfId="2" xr:uid="{89783163-9785-4FB0-B538-F78285E7829A}"/>
    <cellStyle name="Normal 3 2 3" xfId="3" xr:uid="{58EF7366-7FC8-4C21-B383-6103056EB0F5}"/>
    <cellStyle name="Normal 7" xfId="1" xr:uid="{F42679CF-1AF4-4E09-868B-5BD6597D9F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1</xdr:col>
      <xdr:colOff>2857500</xdr:colOff>
      <xdr:row>94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E9E888-5F05-4161-995A-4B4FBB1EE8F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44780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84</xdr:row>
      <xdr:rowOff>0</xdr:rowOff>
    </xdr:from>
    <xdr:to>
      <xdr:col>7</xdr:col>
      <xdr:colOff>571500</xdr:colOff>
      <xdr:row>94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A632B0E-4E5A-4F81-9548-CE85209D6E6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3920" y="1447800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84EC4-7F03-4931-8C9E-339D32B0B366}">
  <sheetPr codeName="Sheet53">
    <outlinePr summaryBelow="0"/>
  </sheetPr>
  <dimension ref="A1:H83"/>
  <sheetViews>
    <sheetView tabSelected="1" topLeftCell="A47" workbookViewId="0">
      <selection activeCell="E79" sqref="E79"/>
    </sheetView>
  </sheetViews>
  <sheetFormatPr defaultRowHeight="13.8" x14ac:dyDescent="0.25"/>
  <cols>
    <col min="1" max="1" width="3.33203125" style="2" customWidth="1"/>
    <col min="2" max="2" width="58.88671875" style="2" customWidth="1"/>
    <col min="3" max="3" width="16.6640625" style="2" customWidth="1"/>
    <col min="4" max="4" width="28.44140625" style="2" customWidth="1"/>
    <col min="5" max="8" width="16.6640625" style="2" customWidth="1"/>
    <col min="9" max="16384" width="8.88671875" style="2"/>
  </cols>
  <sheetData>
    <row r="1" spans="1:8" x14ac:dyDescent="0.25">
      <c r="A1" s="1" t="s">
        <v>0</v>
      </c>
    </row>
    <row r="2" spans="1:8" ht="15.9" customHeight="1" x14ac:dyDescent="0.25">
      <c r="A2" s="3" t="s">
        <v>1</v>
      </c>
      <c r="B2" s="4" t="s">
        <v>2</v>
      </c>
      <c r="C2" s="4"/>
      <c r="D2" s="4"/>
      <c r="E2" s="4"/>
      <c r="F2" s="4"/>
      <c r="G2" s="4"/>
      <c r="H2" s="5"/>
    </row>
    <row r="3" spans="1:8" ht="12.9" customHeight="1" x14ac:dyDescent="0.25">
      <c r="A3" s="5"/>
      <c r="B3" s="4" t="s">
        <v>3</v>
      </c>
      <c r="C3" s="4"/>
      <c r="D3" s="4"/>
      <c r="E3" s="4"/>
      <c r="F3" s="4"/>
      <c r="G3" s="4"/>
      <c r="H3" s="5"/>
    </row>
    <row r="4" spans="1:8" ht="12.9" customHeight="1" thickBot="1" x14ac:dyDescent="0.3">
      <c r="A4" s="6"/>
      <c r="B4" s="5"/>
      <c r="C4" s="5"/>
      <c r="D4" s="5"/>
      <c r="E4" s="5"/>
      <c r="F4" s="5"/>
      <c r="G4" s="5"/>
      <c r="H4" s="5"/>
    </row>
    <row r="5" spans="1:8" ht="27.9" customHeight="1" x14ac:dyDescent="0.25">
      <c r="A5" s="5"/>
      <c r="B5" s="7" t="s">
        <v>4</v>
      </c>
      <c r="C5" s="8" t="s">
        <v>5</v>
      </c>
      <c r="D5" s="9" t="s">
        <v>6</v>
      </c>
      <c r="E5" s="10" t="s">
        <v>7</v>
      </c>
      <c r="F5" s="10" t="s">
        <v>8</v>
      </c>
      <c r="G5" s="10" t="s">
        <v>9</v>
      </c>
      <c r="H5" s="11" t="s">
        <v>10</v>
      </c>
    </row>
    <row r="6" spans="1:8" ht="12.9" customHeight="1" x14ac:dyDescent="0.25">
      <c r="A6" s="5"/>
      <c r="B6" s="12" t="s">
        <v>11</v>
      </c>
      <c r="C6" s="13"/>
      <c r="D6" s="14"/>
      <c r="E6" s="14"/>
      <c r="F6" s="14"/>
      <c r="G6" s="14"/>
      <c r="H6" s="15"/>
    </row>
    <row r="7" spans="1:8" ht="12.9" customHeight="1" x14ac:dyDescent="0.25">
      <c r="A7" s="5"/>
      <c r="B7" s="12" t="s">
        <v>12</v>
      </c>
      <c r="C7" s="13"/>
      <c r="D7" s="14"/>
      <c r="E7" s="14"/>
      <c r="F7" s="14"/>
      <c r="G7" s="14"/>
      <c r="H7" s="15"/>
    </row>
    <row r="8" spans="1:8" ht="12.9" customHeight="1" x14ac:dyDescent="0.25">
      <c r="A8" s="16" t="s">
        <v>13</v>
      </c>
      <c r="B8" s="17" t="s">
        <v>14</v>
      </c>
      <c r="C8" s="13" t="s">
        <v>15</v>
      </c>
      <c r="D8" s="14" t="s">
        <v>16</v>
      </c>
      <c r="E8" s="18">
        <v>42994</v>
      </c>
      <c r="F8" s="19">
        <v>675.29</v>
      </c>
      <c r="G8" s="20">
        <v>0.2772</v>
      </c>
      <c r="H8" s="21"/>
    </row>
    <row r="9" spans="1:8" ht="12.9" customHeight="1" x14ac:dyDescent="0.25">
      <c r="A9" s="16" t="s">
        <v>17</v>
      </c>
      <c r="B9" s="17" t="s">
        <v>18</v>
      </c>
      <c r="C9" s="13" t="s">
        <v>19</v>
      </c>
      <c r="D9" s="14" t="s">
        <v>16</v>
      </c>
      <c r="E9" s="18">
        <v>15822</v>
      </c>
      <c r="F9" s="19">
        <v>570.57000000000005</v>
      </c>
      <c r="G9" s="20">
        <v>0.23419999999999999</v>
      </c>
      <c r="H9" s="21"/>
    </row>
    <row r="10" spans="1:8" ht="12.9" customHeight="1" x14ac:dyDescent="0.25">
      <c r="A10" s="16" t="s">
        <v>20</v>
      </c>
      <c r="B10" s="17" t="s">
        <v>21</v>
      </c>
      <c r="C10" s="13" t="s">
        <v>22</v>
      </c>
      <c r="D10" s="14" t="s">
        <v>16</v>
      </c>
      <c r="E10" s="18">
        <v>16432</v>
      </c>
      <c r="F10" s="19">
        <v>261.68</v>
      </c>
      <c r="G10" s="20">
        <v>0.1074</v>
      </c>
      <c r="H10" s="21"/>
    </row>
    <row r="11" spans="1:8" ht="12.9" customHeight="1" x14ac:dyDescent="0.25">
      <c r="A11" s="16" t="s">
        <v>23</v>
      </c>
      <c r="B11" s="17" t="s">
        <v>24</v>
      </c>
      <c r="C11" s="13" t="s">
        <v>25</v>
      </c>
      <c r="D11" s="14" t="s">
        <v>16</v>
      </c>
      <c r="E11" s="18">
        <v>16169</v>
      </c>
      <c r="F11" s="19">
        <v>229.32</v>
      </c>
      <c r="G11" s="20">
        <v>9.4100000000000003E-2</v>
      </c>
      <c r="H11" s="21"/>
    </row>
    <row r="12" spans="1:8" ht="12.9" customHeight="1" x14ac:dyDescent="0.25">
      <c r="A12" s="16" t="s">
        <v>26</v>
      </c>
      <c r="B12" s="17" t="s">
        <v>27</v>
      </c>
      <c r="C12" s="13" t="s">
        <v>28</v>
      </c>
      <c r="D12" s="14" t="s">
        <v>16</v>
      </c>
      <c r="E12" s="18">
        <v>72407</v>
      </c>
      <c r="F12" s="19">
        <v>189.89</v>
      </c>
      <c r="G12" s="20">
        <v>7.7899999999999997E-2</v>
      </c>
      <c r="H12" s="21"/>
    </row>
    <row r="13" spans="1:8" ht="12.9" customHeight="1" x14ac:dyDescent="0.25">
      <c r="A13" s="16" t="s">
        <v>29</v>
      </c>
      <c r="B13" s="17" t="s">
        <v>30</v>
      </c>
      <c r="C13" s="13" t="s">
        <v>31</v>
      </c>
      <c r="D13" s="14" t="s">
        <v>16</v>
      </c>
      <c r="E13" s="18">
        <v>2714</v>
      </c>
      <c r="F13" s="19">
        <v>149.63999999999999</v>
      </c>
      <c r="G13" s="20">
        <v>6.1400000000000003E-2</v>
      </c>
      <c r="H13" s="21"/>
    </row>
    <row r="14" spans="1:8" ht="12.9" customHeight="1" x14ac:dyDescent="0.25">
      <c r="A14" s="16" t="s">
        <v>32</v>
      </c>
      <c r="B14" s="17" t="s">
        <v>33</v>
      </c>
      <c r="C14" s="13" t="s">
        <v>34</v>
      </c>
      <c r="D14" s="14" t="s">
        <v>16</v>
      </c>
      <c r="E14" s="18">
        <v>1698</v>
      </c>
      <c r="F14" s="19">
        <v>137.69</v>
      </c>
      <c r="G14" s="20">
        <v>5.6500000000000002E-2</v>
      </c>
      <c r="H14" s="21"/>
    </row>
    <row r="15" spans="1:8" ht="12.9" customHeight="1" x14ac:dyDescent="0.25">
      <c r="A15" s="16" t="s">
        <v>35</v>
      </c>
      <c r="B15" s="17" t="s">
        <v>36</v>
      </c>
      <c r="C15" s="13" t="s">
        <v>37</v>
      </c>
      <c r="D15" s="14" t="s">
        <v>16</v>
      </c>
      <c r="E15" s="18">
        <v>2354</v>
      </c>
      <c r="F15" s="19">
        <v>105.73</v>
      </c>
      <c r="G15" s="20">
        <v>4.3400000000000001E-2</v>
      </c>
      <c r="H15" s="21"/>
    </row>
    <row r="16" spans="1:8" ht="12.9" customHeight="1" x14ac:dyDescent="0.25">
      <c r="A16" s="16" t="s">
        <v>38</v>
      </c>
      <c r="B16" s="17" t="s">
        <v>39</v>
      </c>
      <c r="C16" s="13" t="s">
        <v>40</v>
      </c>
      <c r="D16" s="14" t="s">
        <v>16</v>
      </c>
      <c r="E16" s="18">
        <v>2897</v>
      </c>
      <c r="F16" s="19">
        <v>72.430000000000007</v>
      </c>
      <c r="G16" s="20">
        <v>2.9700000000000001E-2</v>
      </c>
      <c r="H16" s="21"/>
    </row>
    <row r="17" spans="1:8" ht="12.9" customHeight="1" x14ac:dyDescent="0.25">
      <c r="A17" s="16" t="s">
        <v>41</v>
      </c>
      <c r="B17" s="17" t="s">
        <v>42</v>
      </c>
      <c r="C17" s="13" t="s">
        <v>43</v>
      </c>
      <c r="D17" s="14" t="s">
        <v>16</v>
      </c>
      <c r="E17" s="18">
        <v>603</v>
      </c>
      <c r="F17" s="19">
        <v>47.34</v>
      </c>
      <c r="G17" s="20">
        <v>1.9400000000000001E-2</v>
      </c>
      <c r="H17" s="21"/>
    </row>
    <row r="18" spans="1:8" ht="12.9" customHeight="1" x14ac:dyDescent="0.25">
      <c r="A18" s="5"/>
      <c r="B18" s="22" t="s">
        <v>44</v>
      </c>
      <c r="C18" s="23"/>
      <c r="D18" s="22"/>
      <c r="E18" s="22"/>
      <c r="F18" s="24">
        <v>2439.58</v>
      </c>
      <c r="G18" s="25">
        <v>1.0012000000000001</v>
      </c>
      <c r="H18" s="26"/>
    </row>
    <row r="19" spans="1:8" ht="12.9" customHeight="1" x14ac:dyDescent="0.25">
      <c r="A19" s="5"/>
      <c r="B19" s="12" t="s">
        <v>45</v>
      </c>
      <c r="C19" s="27"/>
      <c r="D19" s="28"/>
      <c r="E19" s="28"/>
      <c r="F19" s="29" t="s">
        <v>46</v>
      </c>
      <c r="G19" s="29" t="s">
        <v>46</v>
      </c>
      <c r="H19" s="26" t="s">
        <v>46</v>
      </c>
    </row>
    <row r="20" spans="1:8" ht="12.9" customHeight="1" x14ac:dyDescent="0.25">
      <c r="A20" s="5"/>
      <c r="B20" s="22" t="s">
        <v>44</v>
      </c>
      <c r="C20" s="27"/>
      <c r="D20" s="28"/>
      <c r="E20" s="28"/>
      <c r="F20" s="29" t="s">
        <v>46</v>
      </c>
      <c r="G20" s="29" t="s">
        <v>46</v>
      </c>
      <c r="H20" s="26" t="s">
        <v>46</v>
      </c>
    </row>
    <row r="21" spans="1:8" ht="12.9" customHeight="1" x14ac:dyDescent="0.25">
      <c r="A21" s="5"/>
      <c r="B21" s="22" t="s">
        <v>47</v>
      </c>
      <c r="C21" s="27"/>
      <c r="D21" s="28"/>
      <c r="E21" s="30"/>
      <c r="F21" s="31">
        <v>2439.58</v>
      </c>
      <c r="G21" s="32">
        <v>1.0012000000000001</v>
      </c>
      <c r="H21" s="33"/>
    </row>
    <row r="22" spans="1:8" ht="12.9" customHeight="1" x14ac:dyDescent="0.25">
      <c r="A22" s="5"/>
      <c r="B22" s="12" t="s">
        <v>48</v>
      </c>
      <c r="C22" s="13"/>
      <c r="D22" s="14"/>
      <c r="E22" s="14"/>
      <c r="F22" s="14"/>
      <c r="G22" s="14"/>
      <c r="H22" s="15"/>
    </row>
    <row r="23" spans="1:8" ht="12.9" customHeight="1" x14ac:dyDescent="0.25">
      <c r="A23" s="5"/>
      <c r="B23" s="34" t="s">
        <v>49</v>
      </c>
      <c r="C23" s="13"/>
      <c r="D23" s="14"/>
      <c r="E23" s="14"/>
      <c r="F23" s="14"/>
      <c r="G23" s="14"/>
      <c r="H23" s="15"/>
    </row>
    <row r="24" spans="1:8" ht="12.9" customHeight="1" x14ac:dyDescent="0.25">
      <c r="A24" s="16" t="s">
        <v>50</v>
      </c>
      <c r="B24" s="17" t="s">
        <v>51</v>
      </c>
      <c r="C24" s="13"/>
      <c r="D24" s="14"/>
      <c r="E24" s="35"/>
      <c r="F24" s="19">
        <v>12.16</v>
      </c>
      <c r="G24" s="20">
        <v>5.0000000000000001E-3</v>
      </c>
      <c r="H24" s="21">
        <v>6.6807162243886498E-2</v>
      </c>
    </row>
    <row r="25" spans="1:8" ht="12.9" customHeight="1" x14ac:dyDescent="0.25">
      <c r="A25" s="5"/>
      <c r="B25" s="22" t="s">
        <v>47</v>
      </c>
      <c r="C25" s="27"/>
      <c r="D25" s="28"/>
      <c r="E25" s="30"/>
      <c r="F25" s="31">
        <v>12.16</v>
      </c>
      <c r="G25" s="32">
        <v>5.0000000000000001E-3</v>
      </c>
      <c r="H25" s="33"/>
    </row>
    <row r="26" spans="1:8" ht="12.9" customHeight="1" x14ac:dyDescent="0.25">
      <c r="A26" s="5"/>
      <c r="B26" s="34" t="s">
        <v>52</v>
      </c>
      <c r="C26" s="36"/>
      <c r="D26" s="37"/>
      <c r="E26" s="37"/>
      <c r="F26" s="37"/>
      <c r="G26" s="37"/>
      <c r="H26" s="38"/>
    </row>
    <row r="27" spans="1:8" ht="12.9" customHeight="1" x14ac:dyDescent="0.25">
      <c r="A27" s="5"/>
      <c r="B27" s="28" t="s">
        <v>53</v>
      </c>
      <c r="C27" s="27"/>
      <c r="D27" s="28"/>
      <c r="E27" s="28"/>
      <c r="F27" s="24">
        <v>0.11</v>
      </c>
      <c r="G27" s="39" t="s">
        <v>54</v>
      </c>
      <c r="H27" s="38"/>
    </row>
    <row r="28" spans="1:8" ht="12.9" customHeight="1" x14ac:dyDescent="0.25">
      <c r="A28" s="5"/>
      <c r="B28" s="22" t="s">
        <v>44</v>
      </c>
      <c r="C28" s="23"/>
      <c r="D28" s="22"/>
      <c r="E28" s="22"/>
      <c r="F28" s="24">
        <v>0.11</v>
      </c>
      <c r="G28" s="39" t="s">
        <v>54</v>
      </c>
      <c r="H28" s="38"/>
    </row>
    <row r="29" spans="1:8" ht="12.9" customHeight="1" x14ac:dyDescent="0.25">
      <c r="A29" s="5"/>
      <c r="B29" s="22" t="s">
        <v>55</v>
      </c>
      <c r="C29" s="27"/>
      <c r="D29" s="28"/>
      <c r="E29" s="28"/>
      <c r="F29" s="24">
        <v>-15.49</v>
      </c>
      <c r="G29" s="40">
        <v>-6.1999999999999998E-3</v>
      </c>
      <c r="H29" s="38"/>
    </row>
    <row r="30" spans="1:8" ht="12.9" customHeight="1" thickBot="1" x14ac:dyDescent="0.3">
      <c r="A30" s="5"/>
      <c r="B30" s="41" t="s">
        <v>56</v>
      </c>
      <c r="C30" s="42"/>
      <c r="D30" s="43"/>
      <c r="E30" s="43"/>
      <c r="F30" s="44">
        <v>2436.360440981799</v>
      </c>
      <c r="G30" s="45">
        <v>1</v>
      </c>
      <c r="H30" s="46"/>
    </row>
    <row r="31" spans="1:8" ht="12.9" customHeight="1" x14ac:dyDescent="0.25">
      <c r="A31" s="5"/>
      <c r="B31" s="47"/>
      <c r="C31" s="5"/>
      <c r="D31" s="5"/>
      <c r="E31" s="5"/>
      <c r="F31" s="5"/>
      <c r="G31" s="5"/>
      <c r="H31" s="5"/>
    </row>
    <row r="32" spans="1:8" ht="12.9" customHeight="1" x14ac:dyDescent="0.25">
      <c r="A32" s="5"/>
      <c r="B32" s="47" t="s">
        <v>57</v>
      </c>
      <c r="C32" s="5"/>
      <c r="D32" s="5"/>
      <c r="E32" s="5"/>
      <c r="F32" s="5"/>
      <c r="G32" s="5"/>
      <c r="H32" s="5"/>
    </row>
    <row r="33" spans="1:8" ht="12.9" customHeight="1" x14ac:dyDescent="0.25">
      <c r="A33" s="5"/>
      <c r="B33" s="47"/>
      <c r="C33" s="5"/>
      <c r="D33" s="5"/>
      <c r="E33" s="5"/>
      <c r="F33" s="5"/>
      <c r="G33" s="5"/>
      <c r="H33" s="5"/>
    </row>
    <row r="34" spans="1:8" x14ac:dyDescent="0.25">
      <c r="B34" s="48" t="s">
        <v>58</v>
      </c>
      <c r="C34" s="5"/>
    </row>
    <row r="35" spans="1:8" x14ac:dyDescent="0.25">
      <c r="B35" s="49" t="s">
        <v>59</v>
      </c>
      <c r="C35" s="49" t="s">
        <v>9</v>
      </c>
    </row>
    <row r="36" spans="1:8" x14ac:dyDescent="0.25">
      <c r="B36" s="50" t="str">
        <f t="shared" ref="B36:B42" si="0">+B8</f>
        <v>Infosys Limited</v>
      </c>
      <c r="C36" s="51">
        <f t="shared" ref="C36:C42" si="1">+G8</f>
        <v>0.2772</v>
      </c>
    </row>
    <row r="37" spans="1:8" x14ac:dyDescent="0.25">
      <c r="B37" s="50" t="str">
        <f t="shared" si="0"/>
        <v>Tata Consultancy Services Limited</v>
      </c>
      <c r="C37" s="51">
        <f t="shared" si="1"/>
        <v>0.23419999999999999</v>
      </c>
    </row>
    <row r="38" spans="1:8" x14ac:dyDescent="0.25">
      <c r="B38" s="50" t="str">
        <f t="shared" si="0"/>
        <v>HCL Technologies Limited</v>
      </c>
      <c r="C38" s="51">
        <f t="shared" si="1"/>
        <v>0.1074</v>
      </c>
    </row>
    <row r="39" spans="1:8" x14ac:dyDescent="0.25">
      <c r="B39" s="50" t="str">
        <f t="shared" si="0"/>
        <v>Tech Mahindra Limited</v>
      </c>
      <c r="C39" s="51">
        <f t="shared" si="1"/>
        <v>9.4100000000000003E-2</v>
      </c>
    </row>
    <row r="40" spans="1:8" x14ac:dyDescent="0.25">
      <c r="B40" s="50" t="str">
        <f t="shared" si="0"/>
        <v>Wipro Limited</v>
      </c>
      <c r="C40" s="51">
        <f t="shared" si="1"/>
        <v>7.7899999999999997E-2</v>
      </c>
    </row>
    <row r="41" spans="1:8" x14ac:dyDescent="0.25">
      <c r="B41" s="50" t="str">
        <f t="shared" si="0"/>
        <v>Persistent Systems Limited</v>
      </c>
      <c r="C41" s="51">
        <f t="shared" si="1"/>
        <v>6.1400000000000003E-2</v>
      </c>
    </row>
    <row r="42" spans="1:8" x14ac:dyDescent="0.25">
      <c r="B42" s="50" t="str">
        <f t="shared" si="0"/>
        <v>Coforge Limited</v>
      </c>
      <c r="C42" s="51">
        <f t="shared" si="1"/>
        <v>5.6500000000000002E-2</v>
      </c>
    </row>
    <row r="44" spans="1:8" x14ac:dyDescent="0.25">
      <c r="B44" s="48" t="s">
        <v>60</v>
      </c>
    </row>
    <row r="45" spans="1:8" x14ac:dyDescent="0.25">
      <c r="B45" s="49" t="s">
        <v>61</v>
      </c>
      <c r="C45" s="49" t="s">
        <v>9</v>
      </c>
    </row>
    <row r="46" spans="1:8" x14ac:dyDescent="0.25">
      <c r="B46" s="50" t="s">
        <v>62</v>
      </c>
      <c r="C46" s="51">
        <v>0.2772</v>
      </c>
    </row>
    <row r="47" spans="1:8" x14ac:dyDescent="0.25">
      <c r="B47" s="50" t="s">
        <v>63</v>
      </c>
      <c r="C47" s="51">
        <v>0.23419999999999999</v>
      </c>
    </row>
    <row r="48" spans="1:8" x14ac:dyDescent="0.25">
      <c r="B48" s="50" t="s">
        <v>64</v>
      </c>
      <c r="C48" s="51">
        <v>0.1074</v>
      </c>
    </row>
    <row r="49" spans="1:8" x14ac:dyDescent="0.25">
      <c r="B49" s="50" t="s">
        <v>65</v>
      </c>
      <c r="C49" s="51">
        <v>9.4100000000000003E-2</v>
      </c>
    </row>
    <row r="50" spans="1:8" x14ac:dyDescent="0.25">
      <c r="B50" s="50" t="s">
        <v>66</v>
      </c>
      <c r="C50" s="51">
        <v>7.7899999999999997E-2</v>
      </c>
    </row>
    <row r="51" spans="1:8" x14ac:dyDescent="0.25">
      <c r="B51" s="50" t="s">
        <v>67</v>
      </c>
      <c r="C51" s="51">
        <v>6.1400000000000003E-2</v>
      </c>
    </row>
    <row r="52" spans="1:8" x14ac:dyDescent="0.25">
      <c r="B52" s="50" t="s">
        <v>68</v>
      </c>
      <c r="C52" s="51">
        <v>5.6500000000000002E-2</v>
      </c>
    </row>
    <row r="54" spans="1:8" x14ac:dyDescent="0.25">
      <c r="B54" s="48" t="s">
        <v>69</v>
      </c>
    </row>
    <row r="55" spans="1:8" x14ac:dyDescent="0.25">
      <c r="B55" s="49" t="s">
        <v>70</v>
      </c>
      <c r="C55" s="49" t="s">
        <v>9</v>
      </c>
    </row>
    <row r="56" spans="1:8" x14ac:dyDescent="0.25">
      <c r="B56" s="50" t="s">
        <v>71</v>
      </c>
      <c r="C56" s="51">
        <v>1.0012000000000001</v>
      </c>
    </row>
    <row r="57" spans="1:8" x14ac:dyDescent="0.25">
      <c r="B57" s="50" t="s">
        <v>72</v>
      </c>
      <c r="C57" s="51">
        <v>5.0000000000000001E-3</v>
      </c>
    </row>
    <row r="58" spans="1:8" ht="12.9" customHeight="1" thickBot="1" x14ac:dyDescent="0.3">
      <c r="A58" s="5"/>
      <c r="B58" s="47"/>
      <c r="C58" s="5"/>
      <c r="D58" s="5"/>
      <c r="E58" s="5"/>
      <c r="F58" s="5"/>
      <c r="G58" s="5"/>
      <c r="H58" s="5"/>
    </row>
    <row r="59" spans="1:8" x14ac:dyDescent="0.25">
      <c r="A59" s="1"/>
      <c r="B59" s="52" t="s">
        <v>73</v>
      </c>
      <c r="C59" s="53"/>
      <c r="D59" s="53"/>
      <c r="E59" s="54"/>
      <c r="F59" s="55"/>
    </row>
    <row r="60" spans="1:8" x14ac:dyDescent="0.25">
      <c r="A60" s="1"/>
      <c r="B60" s="56" t="s">
        <v>74</v>
      </c>
      <c r="C60" s="57"/>
      <c r="D60" s="57"/>
      <c r="E60" s="57"/>
      <c r="F60" s="58"/>
    </row>
    <row r="61" spans="1:8" x14ac:dyDescent="0.25">
      <c r="A61" s="1"/>
      <c r="B61" s="59" t="s">
        <v>75</v>
      </c>
      <c r="C61" s="57"/>
      <c r="D61" s="57"/>
      <c r="E61" s="60"/>
      <c r="F61" s="58"/>
    </row>
    <row r="62" spans="1:8" ht="14.4" thickBot="1" x14ac:dyDescent="0.3">
      <c r="A62" s="1"/>
      <c r="B62" s="61" t="s">
        <v>76</v>
      </c>
      <c r="C62" s="62"/>
      <c r="D62" s="62"/>
      <c r="E62" s="62"/>
      <c r="F62" s="63"/>
    </row>
    <row r="63" spans="1:8" x14ac:dyDescent="0.25">
      <c r="A63" s="1"/>
      <c r="B63" s="64" t="s">
        <v>77</v>
      </c>
      <c r="C63" s="65" t="s">
        <v>78</v>
      </c>
      <c r="D63" s="65"/>
      <c r="E63" s="66"/>
      <c r="F63" s="67"/>
    </row>
    <row r="64" spans="1:8" ht="14.4" thickBot="1" x14ac:dyDescent="0.3">
      <c r="A64" s="1"/>
      <c r="B64" s="68"/>
      <c r="C64" s="69">
        <v>45747</v>
      </c>
      <c r="D64" s="69">
        <v>45565</v>
      </c>
      <c r="E64" s="69"/>
      <c r="F64" s="70"/>
    </row>
    <row r="65" spans="1:6" x14ac:dyDescent="0.25">
      <c r="A65" s="1"/>
      <c r="B65" s="64" t="s">
        <v>79</v>
      </c>
      <c r="C65" s="71"/>
      <c r="D65" s="71"/>
      <c r="E65" s="72"/>
      <c r="F65" s="55"/>
    </row>
    <row r="66" spans="1:6" x14ac:dyDescent="0.25">
      <c r="A66" s="1" t="s">
        <v>80</v>
      </c>
      <c r="B66" s="73" t="s">
        <v>81</v>
      </c>
      <c r="C66" s="74">
        <v>12.1304</v>
      </c>
      <c r="D66" s="74">
        <v>13.716100000000001</v>
      </c>
      <c r="E66" s="75"/>
      <c r="F66" s="76"/>
    </row>
    <row r="67" spans="1:6" x14ac:dyDescent="0.25">
      <c r="A67" s="1" t="s">
        <v>82</v>
      </c>
      <c r="B67" s="73" t="s">
        <v>83</v>
      </c>
      <c r="C67" s="74">
        <v>12.129200000000001</v>
      </c>
      <c r="D67" s="74">
        <v>13.7148</v>
      </c>
      <c r="E67" s="75"/>
      <c r="F67" s="76"/>
    </row>
    <row r="68" spans="1:6" x14ac:dyDescent="0.25">
      <c r="A68" s="1"/>
      <c r="B68" s="73"/>
      <c r="C68" s="77"/>
      <c r="D68" s="77"/>
      <c r="E68" s="75"/>
      <c r="F68" s="76"/>
    </row>
    <row r="69" spans="1:6" x14ac:dyDescent="0.25">
      <c r="A69" s="1"/>
      <c r="B69" s="78" t="s">
        <v>84</v>
      </c>
      <c r="C69" s="77"/>
      <c r="D69" s="77"/>
      <c r="E69" s="75"/>
      <c r="F69" s="76"/>
    </row>
    <row r="70" spans="1:6" x14ac:dyDescent="0.25">
      <c r="A70" s="1" t="s">
        <v>85</v>
      </c>
      <c r="B70" s="73" t="s">
        <v>81</v>
      </c>
      <c r="C70" s="74">
        <v>12.255100000000001</v>
      </c>
      <c r="D70" s="74">
        <v>13.8123</v>
      </c>
      <c r="E70" s="75"/>
      <c r="F70" s="76"/>
    </row>
    <row r="71" spans="1:6" x14ac:dyDescent="0.25">
      <c r="A71" s="1" t="s">
        <v>86</v>
      </c>
      <c r="B71" s="73" t="s">
        <v>83</v>
      </c>
      <c r="C71" s="74">
        <v>12.2592</v>
      </c>
      <c r="D71" s="74">
        <v>13.8169</v>
      </c>
      <c r="E71" s="75"/>
      <c r="F71" s="76"/>
    </row>
    <row r="72" spans="1:6" x14ac:dyDescent="0.25">
      <c r="A72" s="1"/>
      <c r="B72" s="73" t="s">
        <v>87</v>
      </c>
      <c r="C72" s="74"/>
      <c r="D72" s="79"/>
      <c r="E72" s="75"/>
      <c r="F72" s="76"/>
    </row>
    <row r="73" spans="1:6" ht="14.4" thickBot="1" x14ac:dyDescent="0.3">
      <c r="A73" s="1"/>
      <c r="B73" s="61"/>
      <c r="C73" s="80"/>
      <c r="D73" s="80"/>
      <c r="E73" s="81"/>
      <c r="F73" s="82"/>
    </row>
    <row r="74" spans="1:6" x14ac:dyDescent="0.25">
      <c r="A74" s="1"/>
      <c r="B74" s="73" t="s">
        <v>88</v>
      </c>
      <c r="C74" s="83"/>
      <c r="D74" s="84"/>
      <c r="E74" s="85"/>
      <c r="F74" s="86"/>
    </row>
    <row r="75" spans="1:6" x14ac:dyDescent="0.25">
      <c r="A75" s="1"/>
      <c r="B75" s="73" t="s">
        <v>89</v>
      </c>
      <c r="C75" s="57"/>
      <c r="D75" s="84"/>
      <c r="E75" s="60"/>
      <c r="F75" s="76"/>
    </row>
    <row r="76" spans="1:6" x14ac:dyDescent="0.25">
      <c r="A76" s="1"/>
      <c r="B76" s="73" t="s">
        <v>90</v>
      </c>
      <c r="C76" s="57"/>
      <c r="D76" s="87"/>
      <c r="E76" s="60"/>
      <c r="F76" s="76"/>
    </row>
    <row r="77" spans="1:6" x14ac:dyDescent="0.25">
      <c r="A77" s="1"/>
      <c r="B77" s="88" t="s">
        <v>91</v>
      </c>
      <c r="C77" s="89"/>
      <c r="D77" s="90"/>
      <c r="E77" s="89"/>
      <c r="F77" s="91"/>
    </row>
    <row r="78" spans="1:6" x14ac:dyDescent="0.25">
      <c r="A78" s="1"/>
      <c r="B78" s="73" t="s">
        <v>92</v>
      </c>
      <c r="C78" s="57"/>
      <c r="D78" s="57"/>
      <c r="E78" s="57"/>
      <c r="F78" s="58"/>
    </row>
    <row r="79" spans="1:6" x14ac:dyDescent="0.25">
      <c r="A79" s="1"/>
      <c r="B79" s="73" t="s">
        <v>93</v>
      </c>
      <c r="C79" s="57"/>
      <c r="D79" s="57"/>
      <c r="E79" s="57"/>
      <c r="F79" s="58"/>
    </row>
    <row r="80" spans="1:6" ht="14.4" thickBot="1" x14ac:dyDescent="0.3">
      <c r="A80" s="1"/>
      <c r="B80" s="61"/>
      <c r="C80" s="62"/>
      <c r="D80" s="62"/>
      <c r="E80" s="62"/>
      <c r="F80" s="63"/>
    </row>
    <row r="81" spans="1:6" x14ac:dyDescent="0.25">
      <c r="A81" s="1"/>
      <c r="B81" s="57"/>
      <c r="C81" s="57"/>
      <c r="D81" s="57"/>
      <c r="E81" s="57"/>
      <c r="F81" s="92"/>
    </row>
    <row r="82" spans="1:6" x14ac:dyDescent="0.25">
      <c r="F82" s="93" t="s">
        <v>94</v>
      </c>
    </row>
    <row r="83" spans="1:6" x14ac:dyDescent="0.25">
      <c r="B83" s="93" t="s">
        <v>95</v>
      </c>
      <c r="F83" s="93" t="s">
        <v>96</v>
      </c>
    </row>
  </sheetData>
  <mergeCells count="2">
    <mergeCell ref="B2:G2"/>
    <mergeCell ref="B3:G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IDF293</vt:lpstr>
      <vt:lpstr>JR_PAGE_ANCHOR_0_54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2025-04-07T18:45:31Z</dcterms:created>
  <dcterms:modified xsi:type="dcterms:W3CDTF">2025-04-07T18:45:31Z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2025-04-07T18:45:31Z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f144131a-b79a-414b-9d5f-778fc2bf9f25</vt:lpwstr>
  </property>
  <property fmtid="{D5CDD505-2E9C-101B-9397-08002B2CF9AE}" pid="8" name="MSIP_Label_af1741f6-9e47-426e-a683-937c37d4ebc5_ContentBits">
    <vt:lpwstr>3</vt:lpwstr>
  </property>
</Properties>
</file>