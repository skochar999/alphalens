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4536FC02-3EA0-4BCA-8BDB-6901730FD5E1}" xr6:coauthVersionLast="47" xr6:coauthVersionMax="47" xr10:uidLastSave="{00000000-0000-0000-0000-000000000000}"/>
  <bookViews>
    <workbookView xWindow="-108" yWindow="-108" windowWidth="41496" windowHeight="16896" xr2:uid="{5584B2E4-5E13-4009-97C4-97FAF5F72B67}"/>
  </bookViews>
  <sheets>
    <sheet name="IDF282" sheetId="1" r:id="rId1"/>
  </sheets>
  <definedNames>
    <definedName name="JR_PAGE_ANCHOR_0_43">'IDF282'!$A$2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C61" i="1"/>
  <c r="C60" i="1"/>
  <c r="C59" i="1"/>
  <c r="C58" i="1"/>
  <c r="C57" i="1"/>
  <c r="C56" i="1"/>
</calcChain>
</file>

<file path=xl/sharedStrings.xml><?xml version="1.0" encoding="utf-8"?>
<sst xmlns="http://schemas.openxmlformats.org/spreadsheetml/2006/main" count="185" uniqueCount="153">
  <si>
    <t>IDF282</t>
  </si>
  <si>
    <t>INDEX</t>
  </si>
  <si>
    <t>Portfolio Statement as on June 30,2024</t>
  </si>
  <si>
    <t>Bandhan Nifty200 Momentum 30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</si>
  <si>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</si>
  <si>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</si>
  <si>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</si>
  <si>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</si>
  <si>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</si>
  <si>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</si>
  <si>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</si>
  <si>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</si>
  <si>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</si>
  <si>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</si>
  <si>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</si>
  <si>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</si>
  <si>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</si>
  <si>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</si>
  <si>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</si>
  <si>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</si>
  <si>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Automobiles</t>
  </si>
  <si>
    <t>LAKM02</t>
  </si>
  <si>
    <t>Trent Limited</t>
  </si>
  <si>
    <t>INE849A01020</t>
  </si>
  <si>
    <t>Retailing</t>
  </si>
  <si>
    <t>BTVL02</t>
  </si>
  <si>
    <t>Bharti Airtel Limited</t>
  </si>
  <si>
    <t>INE397D01024</t>
  </si>
  <si>
    <t>Telecom - Services</t>
  </si>
  <si>
    <t>MUND02</t>
  </si>
  <si>
    <t>Adani Ports and Special Economic Zone Limited</t>
  </si>
  <si>
    <t>INE742F01042</t>
  </si>
  <si>
    <t>Transport Infrastructure</t>
  </si>
  <si>
    <t>MAHI02</t>
  </si>
  <si>
    <t>Mahindra &amp; Mahindra Limited</t>
  </si>
  <si>
    <t>INE101A01026</t>
  </si>
  <si>
    <t>SIEM02</t>
  </si>
  <si>
    <t>Siemens Limited</t>
  </si>
  <si>
    <t>INE003A01024</t>
  </si>
  <si>
    <t>Electrical Equipment</t>
  </si>
  <si>
    <t>BHEL02</t>
  </si>
  <si>
    <t>Bharat Electronics Limited</t>
  </si>
  <si>
    <t>INE263A01024</t>
  </si>
  <si>
    <t>Aerospace &amp; Defense</t>
  </si>
  <si>
    <t>BALN01</t>
  </si>
  <si>
    <t>Bajaj Auto Limited</t>
  </si>
  <si>
    <t>INE917I01010</t>
  </si>
  <si>
    <t>HALT02</t>
  </si>
  <si>
    <t>Hindustan Aeronautics Limited</t>
  </si>
  <si>
    <t>INE066F01020</t>
  </si>
  <si>
    <t>COAL01</t>
  </si>
  <si>
    <t>Coal India Limited</t>
  </si>
  <si>
    <t>INE522F01014</t>
  </si>
  <si>
    <t>Consumable Fuels</t>
  </si>
  <si>
    <t>RELC01</t>
  </si>
  <si>
    <t>REC Limited</t>
  </si>
  <si>
    <t>INE020B01018</t>
  </si>
  <si>
    <t>Finance</t>
  </si>
  <si>
    <t>PFCL01</t>
  </si>
  <si>
    <t>Power Finance Corporation Limited</t>
  </si>
  <si>
    <t>INE134E01011</t>
  </si>
  <si>
    <t>TPOW02</t>
  </si>
  <si>
    <t>Tata Power Company Limited</t>
  </si>
  <si>
    <t>INE245A01021</t>
  </si>
  <si>
    <t>KCUL02</t>
  </si>
  <si>
    <t>Cummins India Limited</t>
  </si>
  <si>
    <t>INE298A01020</t>
  </si>
  <si>
    <t>Industrial Products</t>
  </si>
  <si>
    <t>HERO02</t>
  </si>
  <si>
    <t>Hero MotoCorp Limited</t>
  </si>
  <si>
    <t>INE158A01026</t>
  </si>
  <si>
    <t>MOSU03</t>
  </si>
  <si>
    <t>Samvardhana Motherson International Limited</t>
  </si>
  <si>
    <t>INE775A01035</t>
  </si>
  <si>
    <t>Auto Components</t>
  </si>
  <si>
    <t>DIXO02</t>
  </si>
  <si>
    <t>Dixon Technologies (India) Limited</t>
  </si>
  <si>
    <t>INE935N01020</t>
  </si>
  <si>
    <t>Consumer Durables</t>
  </si>
  <si>
    <t>BHAH02</t>
  </si>
  <si>
    <t>Bharat Heavy Electricals Limited</t>
  </si>
  <si>
    <t>INE257A01026</t>
  </si>
  <si>
    <t>ASEA02</t>
  </si>
  <si>
    <t>ABB India Limited</t>
  </si>
  <si>
    <t>INE117A01022</t>
  </si>
  <si>
    <t>SESA02</t>
  </si>
  <si>
    <t>Vedanta Limited</t>
  </si>
  <si>
    <t>INE205A01025</t>
  </si>
  <si>
    <t>Diversified Metals</t>
  </si>
  <si>
    <t>PUBA02</t>
  </si>
  <si>
    <t>Punjab National Bank</t>
  </si>
  <si>
    <t>INE160A01022</t>
  </si>
  <si>
    <t>Banks</t>
  </si>
  <si>
    <t>BINL01</t>
  </si>
  <si>
    <t>Indus Towers Limited</t>
  </si>
  <si>
    <t>INE121J01017</t>
  </si>
  <si>
    <t>BHFO02</t>
  </si>
  <si>
    <t>Bharat Forge Limited</t>
  </si>
  <si>
    <t>INE465A01025</t>
  </si>
  <si>
    <t>LUPL02</t>
  </si>
  <si>
    <t>Lupin Limited</t>
  </si>
  <si>
    <t>INE326A01037</t>
  </si>
  <si>
    <t>Pharmaceuticals &amp; Biotechnology</t>
  </si>
  <si>
    <t>CHEL02</t>
  </si>
  <si>
    <t>Zydus Lifesciences Limited</t>
  </si>
  <si>
    <t>INE010B01027</t>
  </si>
  <si>
    <t>MOTI02</t>
  </si>
  <si>
    <t>Bosch Limited</t>
  </si>
  <si>
    <t>INE323A01026</t>
  </si>
  <si>
    <t>NMDC01</t>
  </si>
  <si>
    <t>NMDC Limited</t>
  </si>
  <si>
    <t>INE584A01023</t>
  </si>
  <si>
    <t>Minerals &amp; Mining</t>
  </si>
  <si>
    <t>IFEL01</t>
  </si>
  <si>
    <t>Oracle Financial Services Software Limited</t>
  </si>
  <si>
    <t>INE881D01027</t>
  </si>
  <si>
    <t>IT - Software</t>
  </si>
  <si>
    <t>OBRL01</t>
  </si>
  <si>
    <t>Oberoi Realty Limited</t>
  </si>
  <si>
    <t>INE093I01010</t>
  </si>
  <si>
    <t>Realty</t>
  </si>
  <si>
    <t>Subtotal</t>
  </si>
  <si>
    <t>(b) UNLISTED</t>
  </si>
  <si>
    <t>NIL</t>
  </si>
  <si>
    <t>Total</t>
  </si>
  <si>
    <t>Money Market Instruments</t>
  </si>
  <si>
    <t>TREPS / Reverse Repo Instrument</t>
  </si>
  <si>
    <t>Triparty Repo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</si>
  <si>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</si>
  <si>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</si>
  <si>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</si>
  <si>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</si>
  <si>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</si>
  <si>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</si>
  <si>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</si>
  <si>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</si>
  <si>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</si>
  <si>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</si>
  <si>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</si>
  <si>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Tata Group</t>
  </si>
  <si>
    <t>Bharti Group</t>
  </si>
  <si>
    <t>Adani Group</t>
  </si>
  <si>
    <t>Siemens Group</t>
  </si>
  <si>
    <t>Mahindra Group</t>
  </si>
  <si>
    <t>Bajaj Group</t>
  </si>
  <si>
    <t>Name and exposure to top 4 Sectors</t>
  </si>
  <si>
    <t>Name of the Sector</t>
  </si>
  <si>
    <t>Automobile and Auto Components</t>
  </si>
  <si>
    <t>Capital Goods</t>
  </si>
  <si>
    <t>Financial Services</t>
  </si>
  <si>
    <t>BENCHMARK NAME - NIFTY200 MOMENTUM 30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</si>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</sst>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91440</xdr:colOff>
      <xdr:row>92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C376D9-8200-4CF6-A4F7-1FA440B411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189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7</xdr:col>
      <xdr:colOff>571500</xdr:colOff>
      <xdr:row>92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D432A0-0626-4C78-A46A-701FC4B6E3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42189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226E-6002-44C3-953B-661ABEE27C3E}">
  <sheetPr codeName="Sheet43">
    <outlinePr summaryBelow="0"/>
  </sheetPr>
  <dimension ref="A1:K81"/>
  <sheetViews>
    <sheetView tabSelected="1" topLeftCell="A47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156543</v>
      </c>
      <c r="F8" s="18">
        <v>592.28</v>
      </c>
      <c r="G8" s="19">
        <v>5.2200000000000003E-2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59307</v>
      </c>
      <c r="F9" s="18">
        <v>586.99</v>
      </c>
      <c r="G9" s="19">
        <v>5.1700000000000003E-2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10589</v>
      </c>
      <c r="F10" s="18">
        <v>580.26</v>
      </c>
      <c r="G10" s="19">
        <v>5.11E-2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39849</v>
      </c>
      <c r="F11" s="18">
        <v>575.44000000000005</v>
      </c>
      <c r="G11" s="19">
        <v>5.0700000000000002E-2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38770</v>
      </c>
      <c r="F12" s="18">
        <v>573.05999999999995</v>
      </c>
      <c r="G12" s="19">
        <v>5.0500000000000003E-2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20</v>
      </c>
      <c r="E13" s="17">
        <v>19518</v>
      </c>
      <c r="F13" s="18">
        <v>559.51</v>
      </c>
      <c r="G13" s="19">
        <v>4.9299999999999997E-2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7262</v>
      </c>
      <c r="F14" s="18">
        <v>559.5</v>
      </c>
      <c r="G14" s="19">
        <v>4.9299999999999997E-2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182798</v>
      </c>
      <c r="F15" s="18">
        <v>559.17999999999995</v>
      </c>
      <c r="G15" s="19">
        <v>4.9200000000000001E-2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20</v>
      </c>
      <c r="E16" s="17">
        <v>5856</v>
      </c>
      <c r="F16" s="18">
        <v>556.41999999999996</v>
      </c>
      <c r="G16" s="19">
        <v>4.9000000000000002E-2</v>
      </c>
      <c r="H16" s="20"/>
    </row>
    <row r="17" spans="1:11" ht="13.05" customHeight="1">
      <c r="A17" s="15" t="s">
        <v>47</v>
      </c>
      <c r="B17" s="16" t="s">
        <v>48</v>
      </c>
      <c r="C17" s="12" t="s">
        <v>49</v>
      </c>
      <c r="D17" s="13" t="s">
        <v>43</v>
      </c>
      <c r="E17" s="17">
        <v>10534</v>
      </c>
      <c r="F17" s="18">
        <v>554.54</v>
      </c>
      <c r="G17" s="19">
        <v>4.8800000000000003E-2</v>
      </c>
      <c r="H17" s="20"/>
    </row>
    <row r="18" spans="1:11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111238</v>
      </c>
      <c r="F18" s="18">
        <v>526.32000000000005</v>
      </c>
      <c r="G18" s="19">
        <v>4.6300000000000001E-2</v>
      </c>
      <c r="H18" s="20"/>
    </row>
    <row r="19" spans="1:11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88434</v>
      </c>
      <c r="F19" s="18">
        <v>464.63</v>
      </c>
      <c r="G19" s="19">
        <v>4.0899999999999999E-2</v>
      </c>
      <c r="H19" s="20"/>
    </row>
    <row r="20" spans="1:11" ht="13.05" customHeight="1">
      <c r="A20" s="15" t="s">
        <v>58</v>
      </c>
      <c r="B20" s="16" t="s">
        <v>59</v>
      </c>
      <c r="C20" s="12" t="s">
        <v>60</v>
      </c>
      <c r="D20" s="13" t="s">
        <v>57</v>
      </c>
      <c r="E20" s="17">
        <v>91734</v>
      </c>
      <c r="F20" s="18">
        <v>445</v>
      </c>
      <c r="G20" s="19">
        <v>3.9199999999999999E-2</v>
      </c>
      <c r="H20" s="20"/>
      <c r="K20" s="1"/>
    </row>
    <row r="21" spans="1:11" ht="13.05" customHeight="1">
      <c r="A21" s="15" t="s">
        <v>61</v>
      </c>
      <c r="B21" s="16" t="s">
        <v>62</v>
      </c>
      <c r="C21" s="12" t="s">
        <v>63</v>
      </c>
      <c r="D21" s="13" t="s">
        <v>16</v>
      </c>
      <c r="E21" s="17">
        <v>97908</v>
      </c>
      <c r="F21" s="18">
        <v>431.38</v>
      </c>
      <c r="G21" s="19">
        <v>3.7999999999999999E-2</v>
      </c>
      <c r="H21" s="20"/>
    </row>
    <row r="22" spans="1:11" ht="13.05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10725</v>
      </c>
      <c r="F22" s="18">
        <v>425.44</v>
      </c>
      <c r="G22" s="19">
        <v>3.7499999999999999E-2</v>
      </c>
      <c r="H22" s="20"/>
    </row>
    <row r="23" spans="1:11" ht="13.05" customHeight="1">
      <c r="A23" s="15" t="s">
        <v>68</v>
      </c>
      <c r="B23" s="16" t="s">
        <v>69</v>
      </c>
      <c r="C23" s="12" t="s">
        <v>70</v>
      </c>
      <c r="D23" s="13" t="s">
        <v>20</v>
      </c>
      <c r="E23" s="17">
        <v>6171</v>
      </c>
      <c r="F23" s="18">
        <v>344.32</v>
      </c>
      <c r="G23" s="19">
        <v>3.0300000000000001E-2</v>
      </c>
      <c r="H23" s="20"/>
    </row>
    <row r="24" spans="1:11" ht="13.05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165353</v>
      </c>
      <c r="F24" s="18">
        <v>314.68</v>
      </c>
      <c r="G24" s="19">
        <v>2.7699999999999999E-2</v>
      </c>
      <c r="H24" s="20"/>
    </row>
    <row r="25" spans="1:11" ht="13.0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2568</v>
      </c>
      <c r="F25" s="18">
        <v>307.42</v>
      </c>
      <c r="G25" s="19">
        <v>2.7099999999999999E-2</v>
      </c>
      <c r="H25" s="20"/>
    </row>
    <row r="26" spans="1:11" ht="13.05" customHeight="1">
      <c r="A26" s="15" t="s">
        <v>79</v>
      </c>
      <c r="B26" s="16" t="s">
        <v>80</v>
      </c>
      <c r="C26" s="12" t="s">
        <v>81</v>
      </c>
      <c r="D26" s="13" t="s">
        <v>39</v>
      </c>
      <c r="E26" s="17">
        <v>96491</v>
      </c>
      <c r="F26" s="18">
        <v>290.29000000000002</v>
      </c>
      <c r="G26" s="19">
        <v>2.5600000000000001E-2</v>
      </c>
      <c r="H26" s="20"/>
    </row>
    <row r="27" spans="1:11" ht="13.05" customHeight="1">
      <c r="A27" s="15" t="s">
        <v>82</v>
      </c>
      <c r="B27" s="16" t="s">
        <v>83</v>
      </c>
      <c r="C27" s="12" t="s">
        <v>84</v>
      </c>
      <c r="D27" s="13" t="s">
        <v>39</v>
      </c>
      <c r="E27" s="17">
        <v>3365</v>
      </c>
      <c r="F27" s="18">
        <v>285.72000000000003</v>
      </c>
      <c r="G27" s="19">
        <v>2.52E-2</v>
      </c>
      <c r="H27" s="20"/>
    </row>
    <row r="28" spans="1:11" ht="13.05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55000</v>
      </c>
      <c r="F28" s="18">
        <v>249.7</v>
      </c>
      <c r="G28" s="19">
        <v>2.1999999999999999E-2</v>
      </c>
      <c r="H28" s="20"/>
    </row>
    <row r="29" spans="1:11" ht="13.05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189460</v>
      </c>
      <c r="F29" s="18">
        <v>233.53</v>
      </c>
      <c r="G29" s="19">
        <v>2.06E-2</v>
      </c>
      <c r="H29" s="20"/>
    </row>
    <row r="30" spans="1:11" ht="13.05" customHeight="1">
      <c r="A30" s="15" t="s">
        <v>93</v>
      </c>
      <c r="B30" s="16" t="s">
        <v>94</v>
      </c>
      <c r="C30" s="12" t="s">
        <v>95</v>
      </c>
      <c r="D30" s="13" t="s">
        <v>28</v>
      </c>
      <c r="E30" s="17">
        <v>51730</v>
      </c>
      <c r="F30" s="18">
        <v>194.14</v>
      </c>
      <c r="G30" s="19">
        <v>1.7100000000000001E-2</v>
      </c>
      <c r="H30" s="20"/>
    </row>
    <row r="31" spans="1:11" ht="13.05" customHeight="1">
      <c r="A31" s="15" t="s">
        <v>96</v>
      </c>
      <c r="B31" s="16" t="s">
        <v>97</v>
      </c>
      <c r="C31" s="12" t="s">
        <v>98</v>
      </c>
      <c r="D31" s="13" t="s">
        <v>74</v>
      </c>
      <c r="E31" s="17">
        <v>11290</v>
      </c>
      <c r="F31" s="18">
        <v>188.58</v>
      </c>
      <c r="G31" s="19">
        <v>1.66E-2</v>
      </c>
      <c r="H31" s="20"/>
    </row>
    <row r="32" spans="1:11" ht="13.05" customHeight="1">
      <c r="A32" s="15" t="s">
        <v>99</v>
      </c>
      <c r="B32" s="16" t="s">
        <v>100</v>
      </c>
      <c r="C32" s="12" t="s">
        <v>101</v>
      </c>
      <c r="D32" s="13" t="s">
        <v>102</v>
      </c>
      <c r="E32" s="17">
        <v>11523</v>
      </c>
      <c r="F32" s="18">
        <v>186.83</v>
      </c>
      <c r="G32" s="19">
        <v>1.6500000000000001E-2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102</v>
      </c>
      <c r="E33" s="17">
        <v>16362</v>
      </c>
      <c r="F33" s="18">
        <v>175.72</v>
      </c>
      <c r="G33" s="19">
        <v>1.55E-2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74</v>
      </c>
      <c r="E34" s="17">
        <v>467</v>
      </c>
      <c r="F34" s="18">
        <v>159.16999999999999</v>
      </c>
      <c r="G34" s="19">
        <v>1.4E-2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58285</v>
      </c>
      <c r="F35" s="18">
        <v>143.41</v>
      </c>
      <c r="G35" s="19">
        <v>1.26E-2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116</v>
      </c>
      <c r="E36" s="17">
        <v>1231</v>
      </c>
      <c r="F36" s="18">
        <v>121.65</v>
      </c>
      <c r="G36" s="19">
        <v>1.0699999999999999E-2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120</v>
      </c>
      <c r="E37" s="17">
        <v>4744</v>
      </c>
      <c r="F37" s="18">
        <v>83.77</v>
      </c>
      <c r="G37" s="19">
        <v>7.4000000000000003E-3</v>
      </c>
      <c r="H37" s="20"/>
    </row>
    <row r="38" spans="1:8" ht="13.05" customHeight="1">
      <c r="A38" s="4"/>
      <c r="B38" s="21" t="s">
        <v>121</v>
      </c>
      <c r="C38" s="22"/>
      <c r="D38" s="21"/>
      <c r="E38" s="21"/>
      <c r="F38" s="23">
        <v>11268.88</v>
      </c>
      <c r="G38" s="24">
        <v>0.99260000000000004</v>
      </c>
      <c r="H38" s="25"/>
    </row>
    <row r="39" spans="1:8" ht="13.05" customHeight="1">
      <c r="A39" s="4"/>
      <c r="B39" s="11" t="s">
        <v>122</v>
      </c>
      <c r="C39" s="26"/>
      <c r="D39" s="27"/>
      <c r="E39" s="27"/>
      <c r="F39" s="28" t="s">
        <v>123</v>
      </c>
      <c r="G39" s="28" t="s">
        <v>123</v>
      </c>
      <c r="H39" s="25" t="s">
        <v>123</v>
      </c>
    </row>
    <row r="40" spans="1:8" ht="13.05" customHeight="1">
      <c r="A40" s="4"/>
      <c r="B40" s="21" t="s">
        <v>121</v>
      </c>
      <c r="C40" s="26"/>
      <c r="D40" s="27"/>
      <c r="E40" s="27"/>
      <c r="F40" s="28" t="s">
        <v>123</v>
      </c>
      <c r="G40" s="28" t="s">
        <v>123</v>
      </c>
      <c r="H40" s="25" t="s">
        <v>123</v>
      </c>
    </row>
    <row r="41" spans="1:8" ht="13.05" customHeight="1">
      <c r="A41" s="4"/>
      <c r="B41" s="21" t="s">
        <v>124</v>
      </c>
      <c r="C41" s="26"/>
      <c r="D41" s="27"/>
      <c r="E41" s="29"/>
      <c r="F41" s="30">
        <v>11268.88</v>
      </c>
      <c r="G41" s="31">
        <v>0.99260000000000004</v>
      </c>
      <c r="H41" s="32"/>
    </row>
    <row r="42" spans="1:8" ht="13.05" customHeight="1">
      <c r="A42" s="4"/>
      <c r="B42" s="11" t="s">
        <v>125</v>
      </c>
      <c r="C42" s="12"/>
      <c r="D42" s="13"/>
      <c r="E42" s="13"/>
      <c r="F42" s="13"/>
      <c r="G42" s="13"/>
      <c r="H42" s="14"/>
    </row>
    <row r="43" spans="1:8" ht="13.05" customHeight="1">
      <c r="A43" s="4"/>
      <c r="B43" s="33" t="s">
        <v>126</v>
      </c>
      <c r="C43" s="12"/>
      <c r="D43" s="13"/>
      <c r="E43" s="13"/>
      <c r="F43" s="13"/>
      <c r="G43" s="13"/>
      <c r="H43" s="14"/>
    </row>
    <row r="44" spans="1:8" ht="13.05" customHeight="1">
      <c r="A44" s="5"/>
      <c r="B44" s="16" t="s">
        <v>127</v>
      </c>
      <c r="C44" s="12"/>
      <c r="D44" s="13"/>
      <c r="E44" s="34"/>
      <c r="F44" s="18">
        <v>79.88</v>
      </c>
      <c r="G44" s="19">
        <v>7.0000000000000001E-3</v>
      </c>
      <c r="H44" s="20">
        <v>6.7094237949999996E-2</v>
      </c>
    </row>
    <row r="45" spans="1:8" ht="13.05" customHeight="1">
      <c r="A45" s="4"/>
      <c r="B45" s="21" t="s">
        <v>124</v>
      </c>
      <c r="C45" s="26"/>
      <c r="D45" s="27"/>
      <c r="E45" s="29"/>
      <c r="F45" s="30">
        <v>79.88</v>
      </c>
      <c r="G45" s="31">
        <v>7.0000000000000001E-3</v>
      </c>
      <c r="H45" s="32"/>
    </row>
    <row r="46" spans="1:8" ht="13.05" customHeight="1">
      <c r="A46" s="4"/>
      <c r="B46" s="33" t="s">
        <v>128</v>
      </c>
      <c r="C46" s="35"/>
      <c r="D46" s="36"/>
      <c r="E46" s="36"/>
      <c r="F46" s="36"/>
      <c r="G46" s="36"/>
      <c r="H46" s="37"/>
    </row>
    <row r="47" spans="1:8" ht="13.05" customHeight="1">
      <c r="A47" s="4"/>
      <c r="B47" s="27" t="s">
        <v>129</v>
      </c>
      <c r="C47" s="26"/>
      <c r="D47" s="27"/>
      <c r="E47" s="27"/>
      <c r="F47" s="23">
        <v>0.51</v>
      </c>
      <c r="G47" s="38" t="s">
        <v>130</v>
      </c>
      <c r="H47" s="37"/>
    </row>
    <row r="48" spans="1:8" ht="13.05" customHeight="1">
      <c r="A48" s="4"/>
      <c r="B48" s="21" t="s">
        <v>121</v>
      </c>
      <c r="C48" s="22"/>
      <c r="D48" s="21"/>
      <c r="E48" s="21"/>
      <c r="F48" s="23">
        <v>0.51</v>
      </c>
      <c r="G48" s="38" t="s">
        <v>130</v>
      </c>
      <c r="H48" s="37"/>
    </row>
    <row r="49" spans="1:8" ht="13.05" customHeight="1">
      <c r="A49" s="4"/>
      <c r="B49" s="21" t="s">
        <v>131</v>
      </c>
      <c r="C49" s="26"/>
      <c r="D49" s="27"/>
      <c r="E49" s="27"/>
      <c r="F49" s="23">
        <v>7.86</v>
      </c>
      <c r="G49" s="39">
        <v>4.0000000000000002E-4</v>
      </c>
      <c r="H49" s="37"/>
    </row>
    <row r="50" spans="1:8" ht="13.05" customHeight="1" thickBot="1">
      <c r="A50" s="4"/>
      <c r="B50" s="40" t="s">
        <v>132</v>
      </c>
      <c r="C50" s="41"/>
      <c r="D50" s="42"/>
      <c r="E50" s="42"/>
      <c r="F50" s="43">
        <v>11357.1278803883</v>
      </c>
      <c r="G50" s="44">
        <v>1</v>
      </c>
      <c r="H50" s="45"/>
    </row>
    <row r="51" spans="1:8" ht="13.05" customHeight="1">
      <c r="A51" s="4"/>
      <c r="B51" s="46"/>
      <c r="C51" s="4"/>
      <c r="D51" s="4"/>
      <c r="E51" s="4"/>
      <c r="F51" s="4"/>
      <c r="G51" s="4"/>
      <c r="H51" s="4"/>
    </row>
    <row r="52" spans="1:8" ht="13.05" customHeight="1">
      <c r="A52" s="4"/>
      <c r="B52" s="46" t="s">
        <v>133</v>
      </c>
      <c r="C52" s="4"/>
      <c r="D52" s="4"/>
      <c r="E52" s="4"/>
      <c r="F52" s="4"/>
      <c r="G52" s="4"/>
      <c r="H52" s="4"/>
    </row>
    <row r="53" spans="1:8" ht="13.05" customHeight="1">
      <c r="A53" s="4"/>
      <c r="B53" s="46"/>
      <c r="C53" s="4"/>
      <c r="D53" s="4"/>
      <c r="E53" s="4"/>
      <c r="F53" s="4"/>
      <c r="G53" s="4"/>
      <c r="H53" s="4"/>
    </row>
    <row r="54" spans="1:8" ht="28.8">
      <c r="B54" s="47" t="s">
        <v>134</v>
      </c>
      <c r="C54" s="4"/>
    </row>
    <row r="55" spans="1:8">
      <c r="B55" s="48" t="s">
        <v>135</v>
      </c>
      <c r="C55" s="48" t="s">
        <v>9</v>
      </c>
    </row>
    <row r="56" spans="1:8">
      <c r="B56" s="49" t="s">
        <v>14</v>
      </c>
      <c r="C56" s="50">
        <f>+G8</f>
        <v>5.2200000000000003E-2</v>
      </c>
    </row>
    <row r="57" spans="1:8">
      <c r="B57" s="49" t="s">
        <v>18</v>
      </c>
      <c r="C57" s="50">
        <f t="shared" ref="C57:C62" si="0">+G9</f>
        <v>5.1700000000000003E-2</v>
      </c>
    </row>
    <row r="58" spans="1:8">
      <c r="B58" s="49" t="s">
        <v>22</v>
      </c>
      <c r="C58" s="50">
        <f t="shared" si="0"/>
        <v>5.11E-2</v>
      </c>
    </row>
    <row r="59" spans="1:8">
      <c r="B59" s="49" t="s">
        <v>26</v>
      </c>
      <c r="C59" s="50">
        <f t="shared" si="0"/>
        <v>5.0700000000000002E-2</v>
      </c>
    </row>
    <row r="60" spans="1:8">
      <c r="B60" s="49" t="s">
        <v>30</v>
      </c>
      <c r="C60" s="50">
        <f t="shared" si="0"/>
        <v>5.0500000000000003E-2</v>
      </c>
    </row>
    <row r="61" spans="1:8">
      <c r="B61" s="49" t="s">
        <v>34</v>
      </c>
      <c r="C61" s="50">
        <f t="shared" si="0"/>
        <v>4.9299999999999997E-2</v>
      </c>
    </row>
    <row r="62" spans="1:8">
      <c r="B62" s="49" t="s">
        <v>37</v>
      </c>
      <c r="C62" s="50">
        <f t="shared" si="0"/>
        <v>4.9299999999999997E-2</v>
      </c>
    </row>
    <row r="64" spans="1:8">
      <c r="B64" s="47" t="s">
        <v>136</v>
      </c>
    </row>
    <row r="65" spans="2:6">
      <c r="B65" s="48" t="s">
        <v>137</v>
      </c>
      <c r="C65" s="48" t="s">
        <v>9</v>
      </c>
    </row>
    <row r="66" spans="2:6">
      <c r="B66" s="49" t="s">
        <v>138</v>
      </c>
      <c r="C66" s="50">
        <v>0.31480000000000002</v>
      </c>
    </row>
    <row r="67" spans="2:6">
      <c r="B67" s="49" t="s">
        <v>139</v>
      </c>
      <c r="C67" s="50">
        <v>0.14080000000000001</v>
      </c>
    </row>
    <row r="68" spans="2:6">
      <c r="B68" s="49" t="s">
        <v>140</v>
      </c>
      <c r="C68" s="50">
        <v>6.7799999999999999E-2</v>
      </c>
    </row>
    <row r="69" spans="2:6">
      <c r="B69" s="49" t="s">
        <v>141</v>
      </c>
      <c r="C69" s="50">
        <v>5.0500000000000003E-2</v>
      </c>
    </row>
    <row r="70" spans="2:6">
      <c r="B70" s="49" t="s">
        <v>142</v>
      </c>
      <c r="C70" s="50">
        <v>4.9299999999999997E-2</v>
      </c>
    </row>
    <row r="71" spans="2:6">
      <c r="B71" s="49" t="s">
        <v>143</v>
      </c>
      <c r="C71" s="50">
        <v>4.9299999999999997E-2</v>
      </c>
    </row>
    <row r="72" spans="2:6">
      <c r="B72" s="49" t="s">
        <v>144</v>
      </c>
      <c r="C72" s="50">
        <v>4.9000000000000002E-2</v>
      </c>
    </row>
    <row r="74" spans="2:6">
      <c r="B74" s="47" t="s">
        <v>145</v>
      </c>
    </row>
    <row r="75" spans="2:6">
      <c r="B75" s="48" t="s">
        <v>146</v>
      </c>
      <c r="C75" s="48" t="s">
        <v>9</v>
      </c>
    </row>
    <row r="76" spans="2:6">
      <c r="B76" s="49" t="s">
        <v>147</v>
      </c>
      <c r="C76" s="50">
        <v>0.23859999999999998</v>
      </c>
    </row>
    <row r="77" spans="2:6">
      <c r="B77" s="49" t="s">
        <v>148</v>
      </c>
      <c r="C77" s="50">
        <v>0.2356</v>
      </c>
    </row>
    <row r="78" spans="2:6">
      <c r="B78" s="49" t="s">
        <v>149</v>
      </c>
      <c r="C78" s="50">
        <v>0.1007</v>
      </c>
    </row>
    <row r="79" spans="2:6">
      <c r="B79" s="49" t="s">
        <v>16</v>
      </c>
      <c r="C79" s="50">
        <v>9.0200000000000002E-2</v>
      </c>
    </row>
    <row r="80" spans="2:6">
      <c r="F80" s="51" t="s">
        <v>150</v>
      </c>
    </row>
    <row r="81" spans="2:6">
      <c r="B81" s="51" t="s">
        <v>151</v>
      </c>
      <c r="F81" s="51" t="s">
        <v>152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IDF282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2024-07-05T18:59:18Z</dcterms:created>
  <dcterms:modified xsi:type="dcterms:W3CDTF">2024-07-05T18:59:19Z</dcterms:modified>
</cp:coreProperties>
</file>