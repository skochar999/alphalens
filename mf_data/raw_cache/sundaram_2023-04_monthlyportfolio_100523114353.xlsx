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E:\venkatraman E drive\D drive\Review\2023-24\1. Apr 2023\"/>
    </mc:Choice>
  </mc:AlternateContent>
  <xr:revisionPtr revIDLastSave="0" documentId="13_ncr:1_{A80E2208-A4A8-4763-9C83-B6C263999E60}" xr6:coauthVersionLast="47" xr6:coauthVersionMax="47" xr10:uidLastSave="{00000000-0000-0000-0000-000000000000}"/>
  <bookViews>
    <workbookView xWindow="-120" yWindow="-120" windowWidth="20730" windowHeight="11040" tabRatio="934" xr2:uid="{00000000-000D-0000-FFFF-FFFF00000000}"/>
  </bookViews>
  <sheets>
    <sheet name="Index" sheetId="35" r:id="rId1"/>
    <sheet name="CAPEXG" sheetId="1" r:id="rId2"/>
    <sheet name="MIDCAP" sheetId="2" r:id="rId3"/>
    <sheet name="MULTI1" sheetId="3" r:id="rId4"/>
    <sheet name="MULTI2" sheetId="4" r:id="rId5"/>
    <sheet name="MULTIP" sheetId="5" r:id="rId6"/>
    <sheet name="SESCAP3" sheetId="6" r:id="rId7"/>
    <sheet name="SESCAP4" sheetId="7" r:id="rId8"/>
    <sheet name="SESCAP5" sheetId="8" r:id="rId9"/>
    <sheet name="SESCAP6" sheetId="9" r:id="rId10"/>
    <sheet name="SESCAP7" sheetId="10" r:id="rId11"/>
    <sheet name="SLTADV3" sheetId="11" r:id="rId12"/>
    <sheet name="SLTADV4" sheetId="12" r:id="rId13"/>
    <sheet name="SLTAX1" sheetId="13" r:id="rId14"/>
    <sheet name="SLTAX2" sheetId="14" r:id="rId15"/>
    <sheet name="SLTAX3" sheetId="15" r:id="rId16"/>
    <sheet name="SLTAX4" sheetId="16" r:id="rId17"/>
    <sheet name="SLTAX5" sheetId="17" r:id="rId18"/>
    <sheet name="SLTAX6" sheetId="18" r:id="rId19"/>
    <sheet name="SMILE" sheetId="19" r:id="rId20"/>
    <sheet name="SPAHF" sheetId="20" r:id="rId21"/>
    <sheet name="SPARF" sheetId="21" r:id="rId22"/>
    <sheet name="SPBAF" sheetId="22" r:id="rId23"/>
    <sheet name="SPDYF" sheetId="23" r:id="rId24"/>
    <sheet name="SPESF" sheetId="24" r:id="rId25"/>
    <sheet name="SPFOCUS" sheetId="25" r:id="rId26"/>
    <sheet name="SPMUCF" sheetId="26" r:id="rId27"/>
    <sheet name="SPSN100" sheetId="27" r:id="rId28"/>
    <sheet name="SPTAX" sheetId="28" r:id="rId29"/>
    <sheet name="SRURAL" sheetId="29" r:id="rId30"/>
    <sheet name="SSFUND" sheetId="30" r:id="rId31"/>
    <sheet name="STAX" sheetId="31" r:id="rId32"/>
    <sheet name="SUNBCF" sheetId="32" r:id="rId33"/>
    <sheet name="SUNFCF" sheetId="33" r:id="rId34"/>
    <sheet name="SUNFOP" sheetId="34" r:id="rId35"/>
    <sheet name="GLOB" sheetId="36" r:id="rId36"/>
    <sheet name="Annexure A" sheetId="37" r:id="rId37"/>
  </sheets>
  <definedNames>
    <definedName name="_xlnm._FilterDatabase" localSheetId="22" hidden="1">SPBAF!$A$4:$O$197</definedName>
    <definedName name="_xlnm._FilterDatabase" localSheetId="24" hidden="1">SPESF!$A$4:$H$146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27" i="37" l="1"/>
  <c r="G110" i="37"/>
  <c r="I109" i="37"/>
  <c r="I106" i="37"/>
  <c r="I105" i="37"/>
  <c r="I104" i="37"/>
  <c r="I103" i="37"/>
  <c r="G86" i="37"/>
  <c r="G85" i="37"/>
  <c r="I84" i="37"/>
  <c r="G84" i="37"/>
  <c r="I83" i="37"/>
  <c r="G83" i="37"/>
  <c r="I82" i="37"/>
  <c r="I81" i="37"/>
  <c r="I79" i="37"/>
  <c r="G116" i="21" l="1"/>
</calcChain>
</file>

<file path=xl/sharedStrings.xml><?xml version="1.0" encoding="utf-8"?>
<sst xmlns="http://schemas.openxmlformats.org/spreadsheetml/2006/main" count="9900" uniqueCount="1143">
  <si>
    <t>SUNDARAM MUTUAL FUND</t>
  </si>
  <si>
    <t>Sundaram Infrastructure Advantage Fund</t>
  </si>
  <si>
    <t>SL No</t>
  </si>
  <si>
    <t>ISIN Code</t>
  </si>
  <si>
    <t>Name of the instrument</t>
  </si>
  <si>
    <t>Rating / 
Industry</t>
  </si>
  <si>
    <t>Quantity</t>
  </si>
  <si>
    <t>Mkt Value
Rs. in Lacs</t>
  </si>
  <si>
    <t>% of Net Asset</t>
  </si>
  <si>
    <t>A) Equity &amp; Equity Related</t>
  </si>
  <si>
    <t>(a) Listed / awaiting listing on Stock Exchange</t>
  </si>
  <si>
    <t>INE018A01030</t>
  </si>
  <si>
    <t>Larsen &amp; Toubro Ltd</t>
  </si>
  <si>
    <t>Construction</t>
  </si>
  <si>
    <t>INE397D01024</t>
  </si>
  <si>
    <t>Bharti Airtel Ltd</t>
  </si>
  <si>
    <t>Telecom - Services</t>
  </si>
  <si>
    <t>INE002A01018</t>
  </si>
  <si>
    <t>Reliance Industries Ltd</t>
  </si>
  <si>
    <t>Petroleum Products</t>
  </si>
  <si>
    <t>INE481G01011</t>
  </si>
  <si>
    <t>Ultratech Cement Ltd</t>
  </si>
  <si>
    <t>Cement &amp; Cement Products</t>
  </si>
  <si>
    <t>INE090A01021</t>
  </si>
  <si>
    <t>ICICI Bank Ltd</t>
  </si>
  <si>
    <t>Banks</t>
  </si>
  <si>
    <t>INE733E01010</t>
  </si>
  <si>
    <t>NTPC LTD</t>
  </si>
  <si>
    <t>Power</t>
  </si>
  <si>
    <t>INE062A01020</t>
  </si>
  <si>
    <t>State Bank of India</t>
  </si>
  <si>
    <t>INE999A01015</t>
  </si>
  <si>
    <t>KSB LTD</t>
  </si>
  <si>
    <t>Industrial Products</t>
  </si>
  <si>
    <t>INE117A01022</t>
  </si>
  <si>
    <t>ABB India Ltd</t>
  </si>
  <si>
    <t>Electrical Equipment</t>
  </si>
  <si>
    <t>INE536A01023</t>
  </si>
  <si>
    <t>Grindwell Norton Ltd</t>
  </si>
  <si>
    <t>INE263A01024</t>
  </si>
  <si>
    <t>Bharat Electronics Ltd</t>
  </si>
  <si>
    <t>Aerospace &amp; Defense</t>
  </si>
  <si>
    <t>INE752E01010</t>
  </si>
  <si>
    <t>Power Grid Corporation of India Ltd</t>
  </si>
  <si>
    <t>INE284A01012</t>
  </si>
  <si>
    <t>ESAB India Ltd</t>
  </si>
  <si>
    <t>INE195J01029</t>
  </si>
  <si>
    <t>PNC Infratech Ltd</t>
  </si>
  <si>
    <t>INE003A01024</t>
  </si>
  <si>
    <t>Siemens Ltd</t>
  </si>
  <si>
    <t>INE208A01029</t>
  </si>
  <si>
    <t>Ashok Leyland Ltd</t>
  </si>
  <si>
    <t>Agricultural, Commercial &amp; Construction Vehicles</t>
  </si>
  <si>
    <t>INE455K01017</t>
  </si>
  <si>
    <t>Polycab India Ltd</t>
  </si>
  <si>
    <t>INE868B01028</t>
  </si>
  <si>
    <t>NCC Ltd</t>
  </si>
  <si>
    <t>INE111A01025</t>
  </si>
  <si>
    <t>Container Corporation of India Ltd</t>
  </si>
  <si>
    <t>Transport Services</t>
  </si>
  <si>
    <t>INE671A01010</t>
  </si>
  <si>
    <t>Honeywell Automation India Ltd</t>
  </si>
  <si>
    <t>Industrial Manufacturing</t>
  </si>
  <si>
    <t>INE878B01027</t>
  </si>
  <si>
    <t>KEI Industries Ltd</t>
  </si>
  <si>
    <t>INE00R701025</t>
  </si>
  <si>
    <t>Dalmia Cement (Bharat) Ltd.</t>
  </si>
  <si>
    <t>INE152M01016</t>
  </si>
  <si>
    <t>Triveni Turbine Ltd</t>
  </si>
  <si>
    <t>INE634I01029</t>
  </si>
  <si>
    <t>KNR Construction Ltd</t>
  </si>
  <si>
    <t>INE702C01027</t>
  </si>
  <si>
    <t>APL Apollo Tubes Ltd</t>
  </si>
  <si>
    <t>INE823G01014</t>
  </si>
  <si>
    <t>JK Cement Ltd</t>
  </si>
  <si>
    <t>INE245A01021</t>
  </si>
  <si>
    <t>TATA Power Company Ltd</t>
  </si>
  <si>
    <t>INE298A01020</t>
  </si>
  <si>
    <t>Cummins India Ltd</t>
  </si>
  <si>
    <t>INE513A01022</t>
  </si>
  <si>
    <t>Schaeffler India Ltd</t>
  </si>
  <si>
    <t>Auto Components</t>
  </si>
  <si>
    <t>INE129A01019</t>
  </si>
  <si>
    <t>GAIL (India) Ltd</t>
  </si>
  <si>
    <t>Gas</t>
  </si>
  <si>
    <t>INE073K01018</t>
  </si>
  <si>
    <t>Sona BLW Precision Forgings Ltd</t>
  </si>
  <si>
    <t>INE541A01023</t>
  </si>
  <si>
    <t>GMM Pfaudler Ltd</t>
  </si>
  <si>
    <t>INE811K01011</t>
  </si>
  <si>
    <t>Prestige Estates Projects Ltd</t>
  </si>
  <si>
    <t>Realty</t>
  </si>
  <si>
    <t>INE213A01029</t>
  </si>
  <si>
    <t>Oil &amp; Natural Gas Corporation Ltd</t>
  </si>
  <si>
    <t>Oil</t>
  </si>
  <si>
    <t>INE864I01014</t>
  </si>
  <si>
    <t>MTAR Technologies Ltd</t>
  </si>
  <si>
    <t>INE093I01010</t>
  </si>
  <si>
    <t>Oberoi Realty Ltd</t>
  </si>
  <si>
    <t>INE791I01019</t>
  </si>
  <si>
    <t>Brigade Enterprises Ltd</t>
  </si>
  <si>
    <t>INE646L01027</t>
  </si>
  <si>
    <t>Interglobe Aviation Ltd</t>
  </si>
  <si>
    <t>INE585B01010</t>
  </si>
  <si>
    <t>Maruti Suzuki India Ltd</t>
  </si>
  <si>
    <t>Automobiles</t>
  </si>
  <si>
    <t>INE066F01012</t>
  </si>
  <si>
    <t>Hindustan Aeronautics Ltd</t>
  </si>
  <si>
    <t>INE029A01011</t>
  </si>
  <si>
    <t>Bharat Petroleum Corporation Ltd</t>
  </si>
  <si>
    <t>INE070A01015</t>
  </si>
  <si>
    <t>Shree Cement Ltd</t>
  </si>
  <si>
    <t>INE257A01026</t>
  </si>
  <si>
    <t>Bharat Heavy Electricals Ltd</t>
  </si>
  <si>
    <t>INE038A01020</t>
  </si>
  <si>
    <t>Hindalco Industries Ltd</t>
  </si>
  <si>
    <t>Non - Ferrous Metals</t>
  </si>
  <si>
    <t>INE258A01016</t>
  </si>
  <si>
    <t>BEML Ltd</t>
  </si>
  <si>
    <t>INE08ZM01014</t>
  </si>
  <si>
    <t>Green Panel Industries Ltd</t>
  </si>
  <si>
    <t>Consumer Durables</t>
  </si>
  <si>
    <t>INE201P01022</t>
  </si>
  <si>
    <t>GR Infraprojects Ltd</t>
  </si>
  <si>
    <t>INE766P01016</t>
  </si>
  <si>
    <t>Mahindra Logistics Ltd</t>
  </si>
  <si>
    <t>INE0N7W01012</t>
  </si>
  <si>
    <t>BEML Land and Assets Ltd</t>
  </si>
  <si>
    <t>Finance</t>
  </si>
  <si>
    <t>INE551A01022</t>
  </si>
  <si>
    <t>Engineering Services</t>
  </si>
  <si>
    <t>#</t>
  </si>
  <si>
    <t>Sub Total</t>
  </si>
  <si>
    <t/>
  </si>
  <si>
    <t>(b) Overseas Security</t>
  </si>
  <si>
    <t xml:space="preserve">0 </t>
  </si>
  <si>
    <t>(c) Privately Placed / Unlisted</t>
  </si>
  <si>
    <t>(d) Preference / Right Shares</t>
  </si>
  <si>
    <t>(e) Warrants</t>
  </si>
  <si>
    <t>f) Derivative</t>
  </si>
  <si>
    <t>Total for Equity &amp; Equity Related</t>
  </si>
  <si>
    <t>B) Debt Instruments</t>
  </si>
  <si>
    <t>(b) Privately Placed / Unlisted</t>
  </si>
  <si>
    <t>(c) Govt Security</t>
  </si>
  <si>
    <t>(d) Securitized Debt Instruments</t>
  </si>
  <si>
    <t>Total for Debt Instruments</t>
  </si>
  <si>
    <t>C) Money Market Instruments</t>
  </si>
  <si>
    <t>(a) Certificate of Deposits</t>
  </si>
  <si>
    <t>(b) Commercial Papers</t>
  </si>
  <si>
    <t>(c) Treasury Bills</t>
  </si>
  <si>
    <t>(d) ReverseRepo / TREPS</t>
  </si>
  <si>
    <t>Reverse Repo</t>
  </si>
  <si>
    <t>TREPS</t>
  </si>
  <si>
    <t>Total for Money Market Instruments</t>
  </si>
  <si>
    <t>D) Mutual Fund Units</t>
  </si>
  <si>
    <t>(a) Investment in Mutual Fund Units</t>
  </si>
  <si>
    <t>E) Others</t>
  </si>
  <si>
    <t>(a) Deposits with Commercial Banks</t>
  </si>
  <si>
    <t>(b) Share Application Money pending Allotment</t>
  </si>
  <si>
    <t>Cash and Other Net Current Assets</t>
  </si>
  <si>
    <t>Grand Total</t>
  </si>
  <si>
    <t># percentage to NAV of security is less than 0.01%</t>
  </si>
  <si>
    <t>Notes</t>
  </si>
  <si>
    <t>a) Total securities classified as below investment grade or default provided for and its percentage to NAV</t>
  </si>
  <si>
    <t>Nil</t>
  </si>
  <si>
    <t>b) Total value and percentage of illiquid equity shares</t>
  </si>
  <si>
    <t>c) NAV  per  unit (Rupees per unit)</t>
  </si>
  <si>
    <t>At the 
beginning</t>
  </si>
  <si>
    <t>At the end</t>
  </si>
  <si>
    <t>Option</t>
  </si>
  <si>
    <t>31/03/2023</t>
  </si>
  <si>
    <t>30/04/2023</t>
  </si>
  <si>
    <t>Direct Plan - Growth</t>
  </si>
  <si>
    <t>Regular Plan - Growth</t>
  </si>
  <si>
    <t>e) Total outstanding exposure in derivative instruments at the end of the period</t>
  </si>
  <si>
    <t>f) Total investments in foreign securities /ADR'S/GDR'S at the end of the period</t>
  </si>
  <si>
    <t>g) Repo in corporate debt</t>
  </si>
  <si>
    <t>h) Portfolio Turnover Ratio</t>
  </si>
  <si>
    <t>Sundaram Mid Cap Fund</t>
  </si>
  <si>
    <t>INE171A01029</t>
  </si>
  <si>
    <t>The Federal Bank  Ltd</t>
  </si>
  <si>
    <t>INE048G01026</t>
  </si>
  <si>
    <t>Navin Fluorine International Ltd</t>
  </si>
  <si>
    <t>Chemicals &amp; Petrochemicals</t>
  </si>
  <si>
    <t>INE721A01013</t>
  </si>
  <si>
    <t>Shriram Finance Ltd</t>
  </si>
  <si>
    <t>INE974X01010</t>
  </si>
  <si>
    <t>Tube Investments of India Ltd</t>
  </si>
  <si>
    <t>INE169A01031</t>
  </si>
  <si>
    <t>Coromandel International Ltd</t>
  </si>
  <si>
    <t>Fertilizers &amp; Agrochemicals</t>
  </si>
  <si>
    <t>INE262H01013</t>
  </si>
  <si>
    <t>Persistent Systems Ltd</t>
  </si>
  <si>
    <t>INE849A01020</t>
  </si>
  <si>
    <t>Trent Ltd</t>
  </si>
  <si>
    <t>Retailing</t>
  </si>
  <si>
    <t>INE121A01024</t>
  </si>
  <si>
    <t>Cholamandalam Investment and Finance Company Ltd</t>
  </si>
  <si>
    <t>INE246F01010</t>
  </si>
  <si>
    <t>Gujarat State Petronet Ltd</t>
  </si>
  <si>
    <t>INE061F01013</t>
  </si>
  <si>
    <t>Fortis Health Care Ltd</t>
  </si>
  <si>
    <t>Healthcare Services</t>
  </si>
  <si>
    <t>INE238A01034</t>
  </si>
  <si>
    <t>Axis Bank Ltd</t>
  </si>
  <si>
    <t>INE749A01030</t>
  </si>
  <si>
    <t>Jindal Steel &amp; Power Ltd</t>
  </si>
  <si>
    <t>Ferrous Metals</t>
  </si>
  <si>
    <t>INE949L01017</t>
  </si>
  <si>
    <t>AU Small Finance Bank Ltd</t>
  </si>
  <si>
    <t>INE010B01027</t>
  </si>
  <si>
    <t>Zydus Lifesciences Ltd</t>
  </si>
  <si>
    <t>Pharmaceuticals &amp; Biotechnology</t>
  </si>
  <si>
    <t>INE028A01039</t>
  </si>
  <si>
    <t>Bank of Baroda</t>
  </si>
  <si>
    <t>INE180A01020</t>
  </si>
  <si>
    <t>Max Financial Services Ltd</t>
  </si>
  <si>
    <t>Insurance</t>
  </si>
  <si>
    <t>INE686F01025</t>
  </si>
  <si>
    <t>United Breweries Ltd</t>
  </si>
  <si>
    <t>Beverages</t>
  </si>
  <si>
    <t>INE797F01020</t>
  </si>
  <si>
    <t>Jubilant Foodworks Ltd</t>
  </si>
  <si>
    <t>Leisure Services</t>
  </si>
  <si>
    <t>INE200M01013</t>
  </si>
  <si>
    <t>Varun Beverages Ltd</t>
  </si>
  <si>
    <t>INE303R01014</t>
  </si>
  <si>
    <t>Kalyan Jewellers India Ltd</t>
  </si>
  <si>
    <t>INE342J01019</t>
  </si>
  <si>
    <t>ZF Commercial Vehicle Control Systems I Ltd</t>
  </si>
  <si>
    <t>INE256A01028</t>
  </si>
  <si>
    <t>Zee Entertainment Enterprises Ltd</t>
  </si>
  <si>
    <t>Entertainment</t>
  </si>
  <si>
    <t>INE006I01046</t>
  </si>
  <si>
    <t>Astral Ltd</t>
  </si>
  <si>
    <t>INE149A01033</t>
  </si>
  <si>
    <t>Cholamandalam Financial Holdings Ltd</t>
  </si>
  <si>
    <t>INE437A01024</t>
  </si>
  <si>
    <t>Apollo Hospitals Enterprise Ltd</t>
  </si>
  <si>
    <t>INE226A01021</t>
  </si>
  <si>
    <t>Voltas Ltd</t>
  </si>
  <si>
    <t>INE105A01035</t>
  </si>
  <si>
    <t>Sundaram Clayton Ltd</t>
  </si>
  <si>
    <t>INE603J01030</t>
  </si>
  <si>
    <t>PI Industries Ltd</t>
  </si>
  <si>
    <t>INE405E01023</t>
  </si>
  <si>
    <t>UNO Minda Ltd</t>
  </si>
  <si>
    <t>INE947Q01028</t>
  </si>
  <si>
    <t>Laurus Labs Ltd</t>
  </si>
  <si>
    <t>INE299U01018</t>
  </si>
  <si>
    <t>Crompton Greaves Consumer Electricals Ltd</t>
  </si>
  <si>
    <t>INE473B01035</t>
  </si>
  <si>
    <t>Hatsun Agro Product Ltd</t>
  </si>
  <si>
    <t>Food Products</t>
  </si>
  <si>
    <t>INE317I01021</t>
  </si>
  <si>
    <t>Metro Brands Ltd</t>
  </si>
  <si>
    <t>INE326A01037</t>
  </si>
  <si>
    <t>Lupin Ltd</t>
  </si>
  <si>
    <t>INE548C01032</t>
  </si>
  <si>
    <t>Emami Ltd</t>
  </si>
  <si>
    <t>Personal Products</t>
  </si>
  <si>
    <t>INE068V01023</t>
  </si>
  <si>
    <t>Gland Pharma Ltd</t>
  </si>
  <si>
    <t>INE427F01016</t>
  </si>
  <si>
    <t>Chalet Hotels Ltd</t>
  </si>
  <si>
    <t>INE647A01010</t>
  </si>
  <si>
    <t>SRF Ltd</t>
  </si>
  <si>
    <t>INE216P01012</t>
  </si>
  <si>
    <t>Aavas Financiers Ltd</t>
  </si>
  <si>
    <t>INE761H01022</t>
  </si>
  <si>
    <t>Page Industries Ltd</t>
  </si>
  <si>
    <t>Textiles &amp; Apparels</t>
  </si>
  <si>
    <t>INE134E01011</t>
  </si>
  <si>
    <t>Power Finance Corporation Ltd</t>
  </si>
  <si>
    <t>INE813H01021</t>
  </si>
  <si>
    <t>Torrent Power Ltd</t>
  </si>
  <si>
    <t>INE494B01023</t>
  </si>
  <si>
    <t>TVS Motor Company Ltd</t>
  </si>
  <si>
    <t>INE217B01036</t>
  </si>
  <si>
    <t>Kajaria Ceramics Ltd</t>
  </si>
  <si>
    <t>INE571A01038</t>
  </si>
  <si>
    <t>IPCA Laboratories Ltd</t>
  </si>
  <si>
    <t>INE203G01027</t>
  </si>
  <si>
    <t>Indraprastha Gas Ltd</t>
  </si>
  <si>
    <t>INE356A01018</t>
  </si>
  <si>
    <t>MphasiS Ltd</t>
  </si>
  <si>
    <t>INE787D01026</t>
  </si>
  <si>
    <t>Balkrishna Industries Ltd</t>
  </si>
  <si>
    <t>INE417T01026</t>
  </si>
  <si>
    <t>PB Fintech Ltd</t>
  </si>
  <si>
    <t>Financial Technology (Fintech)</t>
  </si>
  <si>
    <t>INE465A01025</t>
  </si>
  <si>
    <t>Bharat Forge Ltd</t>
  </si>
  <si>
    <t>INE094A01015</t>
  </si>
  <si>
    <t>Hindustan Petroleum Corporation Ltd</t>
  </si>
  <si>
    <t>INE575P01011</t>
  </si>
  <si>
    <t>Star Health and Allied Insurance Company Ltd</t>
  </si>
  <si>
    <t>INE930H01031</t>
  </si>
  <si>
    <t>K.P.R. Mill Ltd</t>
  </si>
  <si>
    <t>INE540L01014</t>
  </si>
  <si>
    <t>Alkem Laboratories Ltd</t>
  </si>
  <si>
    <t>Sundaram Multi Cap Fund Series I</t>
  </si>
  <si>
    <t>INE009A01021</t>
  </si>
  <si>
    <t>Infosys Ltd</t>
  </si>
  <si>
    <t>INE044A01036</t>
  </si>
  <si>
    <t>Sun Pharmaceutical Industries Ltd</t>
  </si>
  <si>
    <t>INE191H01014</t>
  </si>
  <si>
    <t>PVR INOX Ltd</t>
  </si>
  <si>
    <t>INE001A01036</t>
  </si>
  <si>
    <t>Housing Development Finance Corporation Ltd</t>
  </si>
  <si>
    <t>INE081A01020</t>
  </si>
  <si>
    <t>Tata Steel Ltd</t>
  </si>
  <si>
    <t>INE095A01012</t>
  </si>
  <si>
    <t>IndusInd Bank Ltd</t>
  </si>
  <si>
    <t>INE806T01012</t>
  </si>
  <si>
    <t>Sapphire Foods India Ltd</t>
  </si>
  <si>
    <t>Sundaram Multi Cap Fund -Series II</t>
  </si>
  <si>
    <t>INE040A01034</t>
  </si>
  <si>
    <t>HDFC Bank Ltd</t>
  </si>
  <si>
    <t>INE467B01029</t>
  </si>
  <si>
    <t>Tata Consultancy Services Ltd</t>
  </si>
  <si>
    <t>INE123W01016</t>
  </si>
  <si>
    <t>SBI Life Insurance Company Ltd</t>
  </si>
  <si>
    <t>INE860A01027</t>
  </si>
  <si>
    <t>HCL Technologies Ltd</t>
  </si>
  <si>
    <t>INE030A01027</t>
  </si>
  <si>
    <t>Hindustan UniLever Ltd</t>
  </si>
  <si>
    <t>INE732I01013</t>
  </si>
  <si>
    <t>Angel One Ltd</t>
  </si>
  <si>
    <t>Capital Markets</t>
  </si>
  <si>
    <t>INE669C01036</t>
  </si>
  <si>
    <t>Tech Mahindra Ltd</t>
  </si>
  <si>
    <t>INE101A01026</t>
  </si>
  <si>
    <t>Mahindra &amp; Mahindra Ltd</t>
  </si>
  <si>
    <t>INE488A01050</t>
  </si>
  <si>
    <t>Chemplast Sanmar Ltd</t>
  </si>
  <si>
    <t>Sundaram Large and Mid Cap Fund</t>
  </si>
  <si>
    <t>INE053A01029</t>
  </si>
  <si>
    <t>The Indian Hotels Company Ltd</t>
  </si>
  <si>
    <t>INE476A01014</t>
  </si>
  <si>
    <t>Canara Bank</t>
  </si>
  <si>
    <t>INE893J01029</t>
  </si>
  <si>
    <t>Mold-Tek Packaging Ltd</t>
  </si>
  <si>
    <t>INE154A01025</t>
  </si>
  <si>
    <t>ITC Ltd</t>
  </si>
  <si>
    <t>INE361B01024</t>
  </si>
  <si>
    <t>Divis Laboratories Ltd</t>
  </si>
  <si>
    <t>INE280A01028</t>
  </si>
  <si>
    <t>Titan Company Ltd</t>
  </si>
  <si>
    <t>INE296A01024</t>
  </si>
  <si>
    <t>Bajaj Finance Ltd</t>
  </si>
  <si>
    <t>INE027H01010</t>
  </si>
  <si>
    <t>Max Healthcare Institute Ltd</t>
  </si>
  <si>
    <t>INE155A01022</t>
  </si>
  <si>
    <t>Tata Motors Ltd</t>
  </si>
  <si>
    <t>INE214T01019</t>
  </si>
  <si>
    <t>LTIMindtree Ltd</t>
  </si>
  <si>
    <t>INE586V01016</t>
  </si>
  <si>
    <t>TCI Express Ltd</t>
  </si>
  <si>
    <t>INE192R01011</t>
  </si>
  <si>
    <t>Avenue Supermarts Ltd</t>
  </si>
  <si>
    <t>INE237A01028</t>
  </si>
  <si>
    <t>Kotak Mahindra Bank Ltd</t>
  </si>
  <si>
    <t>INE387A01021</t>
  </si>
  <si>
    <t>Sundram Fasteners Ltd</t>
  </si>
  <si>
    <t>INE935N01020</t>
  </si>
  <si>
    <t>Dixon Technologies (India) Ltd</t>
  </si>
  <si>
    <t>INE918I01026</t>
  </si>
  <si>
    <t>Bajaj Finserv Ltd</t>
  </si>
  <si>
    <t>INE131B01039</t>
  </si>
  <si>
    <t>Relaxo Footwears Ltd</t>
  </si>
  <si>
    <t>INE021A01026</t>
  </si>
  <si>
    <t>Asian Paints Ltd</t>
  </si>
  <si>
    <t>INE522F01014</t>
  </si>
  <si>
    <t>Coal India Ltd</t>
  </si>
  <si>
    <t>Consumable Fuels</t>
  </si>
  <si>
    <t>Sundaram Emerging Small Cap Series III</t>
  </si>
  <si>
    <t>Sundaram Emerging Small Cap Series IV</t>
  </si>
  <si>
    <t>INE481N01025</t>
  </si>
  <si>
    <t>Home First Finance Company Ltd</t>
  </si>
  <si>
    <t>INE00WC01027</t>
  </si>
  <si>
    <t>Affle (India) Ltd</t>
  </si>
  <si>
    <t>Sundaram Emerging Small Cap Series V</t>
  </si>
  <si>
    <t>INE063P01018</t>
  </si>
  <si>
    <t>Equitas Small Finance Bank Limited</t>
  </si>
  <si>
    <t>INE477A01020</t>
  </si>
  <si>
    <t>Can Fin Homes Ltd</t>
  </si>
  <si>
    <t>INE873D01024</t>
  </si>
  <si>
    <t>Indoco Remedies Ltd</t>
  </si>
  <si>
    <t>INE211B01039</t>
  </si>
  <si>
    <t>The Phoenix Mills Ltd</t>
  </si>
  <si>
    <t>INE126A01031</t>
  </si>
  <si>
    <t>EID Parry India Ltd</t>
  </si>
  <si>
    <t>INE741K01010</t>
  </si>
  <si>
    <t>Creditaccess Grameen Ltd</t>
  </si>
  <si>
    <t>INE060A01024</t>
  </si>
  <si>
    <t>Navneet Education Ltd</t>
  </si>
  <si>
    <t>Printing &amp; Publication</t>
  </si>
  <si>
    <t>INE688A01022</t>
  </si>
  <si>
    <t>Transport Corporation of India Ltd</t>
  </si>
  <si>
    <t>INE442H01029</t>
  </si>
  <si>
    <t>Ashoka Buildcon Ltd</t>
  </si>
  <si>
    <t>INE056C01010</t>
  </si>
  <si>
    <t>Tata Metaliks Ltd</t>
  </si>
  <si>
    <t>INE285J01028</t>
  </si>
  <si>
    <t>SIS Ltd</t>
  </si>
  <si>
    <t>Commercial Services &amp; Supplies</t>
  </si>
  <si>
    <t>INE199A01012</t>
  </si>
  <si>
    <t>Procter &amp; Gamble Health Ltd</t>
  </si>
  <si>
    <t>INE0H5O01029</t>
  </si>
  <si>
    <t>Windlas Biotech Ltd</t>
  </si>
  <si>
    <t>INE934S01014</t>
  </si>
  <si>
    <t>GNA Axles Ltd</t>
  </si>
  <si>
    <t>INE043D01016</t>
  </si>
  <si>
    <t>IDFC Ltd</t>
  </si>
  <si>
    <t>INE274F01020</t>
  </si>
  <si>
    <t>Westlife Foodworld Ltd</t>
  </si>
  <si>
    <t>Sundaram Emerging Small Cap Series VI</t>
  </si>
  <si>
    <t>INE04I401011</t>
  </si>
  <si>
    <t>KPIT Technologies Ltd</t>
  </si>
  <si>
    <t>INE429E01023</t>
  </si>
  <si>
    <t>Safari Industries (India) Ltd</t>
  </si>
  <si>
    <t>INE075I01017</t>
  </si>
  <si>
    <t>Healthcare Global Enterprises Ltd</t>
  </si>
  <si>
    <t>INE745G01035</t>
  </si>
  <si>
    <t>Multi Commodity Exchange of India Ltd</t>
  </si>
  <si>
    <t>INE045A01017</t>
  </si>
  <si>
    <t>Ador Welding Ltd</t>
  </si>
  <si>
    <t>INE717A01029</t>
  </si>
  <si>
    <t>Kennametal India Ltd</t>
  </si>
  <si>
    <t>INE472A01039</t>
  </si>
  <si>
    <t>Blue Star Ltd</t>
  </si>
  <si>
    <t>INE572A01028</t>
  </si>
  <si>
    <t>JB Chemicals &amp; Pharmaceuticals Ltd</t>
  </si>
  <si>
    <t>INE220B01022</t>
  </si>
  <si>
    <t>Kalpataru Power Transmission Ltd</t>
  </si>
  <si>
    <t>INE978A01027</t>
  </si>
  <si>
    <t>Heritage Foods Ltd</t>
  </si>
  <si>
    <t>INE348B01021</t>
  </si>
  <si>
    <t>Century Plyboards (India) Ltd</t>
  </si>
  <si>
    <t>INE296E01026</t>
  </si>
  <si>
    <t>Rajapalayam Mills Ltd</t>
  </si>
  <si>
    <t>INE615P01015</t>
  </si>
  <si>
    <t>Quess Corp Ltd</t>
  </si>
  <si>
    <t>INE679A01013</t>
  </si>
  <si>
    <t>CSB Bank Ltd</t>
  </si>
  <si>
    <t>INE00IN01015</t>
  </si>
  <si>
    <t>Stove Kraft Ltd</t>
  </si>
  <si>
    <t>INE782A01015</t>
  </si>
  <si>
    <t>Johnson Controls-Hitachi AirConditioning India Ltd</t>
  </si>
  <si>
    <t>INE227C01017</t>
  </si>
  <si>
    <t>MM Forgings Ltd</t>
  </si>
  <si>
    <t>INE217L01019</t>
  </si>
  <si>
    <t>Shriram Properties Ltd</t>
  </si>
  <si>
    <t>INE834I01025</t>
  </si>
  <si>
    <t>Khadim India Ltd</t>
  </si>
  <si>
    <t>INE0JS101016</t>
  </si>
  <si>
    <t>Dreamfolks Services Ltd</t>
  </si>
  <si>
    <t>Transport Infrastructure</t>
  </si>
  <si>
    <t>INE565V01010</t>
  </si>
  <si>
    <t>Valiant Organics Ltd</t>
  </si>
  <si>
    <t>Sundaram Emerging Small Cap Series VII</t>
  </si>
  <si>
    <t>INE120A01034</t>
  </si>
  <si>
    <t>Carborundum Universal Ltd</t>
  </si>
  <si>
    <t>INE586B01026</t>
  </si>
  <si>
    <t>Taj GVK Hotels &amp; Resorts Ltd</t>
  </si>
  <si>
    <t>INE058A01010</t>
  </si>
  <si>
    <t>Sanofi India Ltd</t>
  </si>
  <si>
    <t>INE517F01014</t>
  </si>
  <si>
    <t>Gujarat Pipavav Port Ltd</t>
  </si>
  <si>
    <t>INE716A01013</t>
  </si>
  <si>
    <t>Whirlpool of India Ltd</t>
  </si>
  <si>
    <t>INE435A01028</t>
  </si>
  <si>
    <t>International Paper APPM Ltd</t>
  </si>
  <si>
    <t>Paper, Forest &amp; Jute Products</t>
  </si>
  <si>
    <t>INE182A01018</t>
  </si>
  <si>
    <t>Pfizer Ltd</t>
  </si>
  <si>
    <t>Sundaram Long Term Tax Advantage Fund Series III</t>
  </si>
  <si>
    <t>INE295F01017</t>
  </si>
  <si>
    <t>Butterfly Gandhimathi Appliances Ltd</t>
  </si>
  <si>
    <t>INE136B01020</t>
  </si>
  <si>
    <t>Cyient Ltd</t>
  </si>
  <si>
    <t>INE743M01012</t>
  </si>
  <si>
    <t>RHI Magnesita India Ltd</t>
  </si>
  <si>
    <t>Sundaram Long Term Tax Advantage Fund Series IV</t>
  </si>
  <si>
    <t>Sundaram Long Term Tax Advantage Fund Series-I</t>
  </si>
  <si>
    <t>INE192A01025</t>
  </si>
  <si>
    <t>TATA Consumer Products Ltd</t>
  </si>
  <si>
    <t>Agricultural Food &amp; Other Products</t>
  </si>
  <si>
    <t>INE340A01012</t>
  </si>
  <si>
    <t>Birla Corporation Ltd</t>
  </si>
  <si>
    <t>INE059A01026</t>
  </si>
  <si>
    <t>Cipla Ltd</t>
  </si>
  <si>
    <t>INE075A01022</t>
  </si>
  <si>
    <t>Wipro Ltd</t>
  </si>
  <si>
    <t>IN9397D01014</t>
  </si>
  <si>
    <t>Sundaram Long Term Tax Advantage Fund Series-II</t>
  </si>
  <si>
    <t>Sundaram Long Term Micro Cap Tax Advantage Fund Series III</t>
  </si>
  <si>
    <t>INE421D01022</t>
  </si>
  <si>
    <t>CCL Products (India) Ltd</t>
  </si>
  <si>
    <t>INE386C01029</t>
  </si>
  <si>
    <t>Astra Microwave Products Ltd</t>
  </si>
  <si>
    <t>INE371P01015</t>
  </si>
  <si>
    <t>Amber Enterprises India Ltd</t>
  </si>
  <si>
    <t>Sundaram Long Term Micro Cap Tax Advantage Fund Series IV</t>
  </si>
  <si>
    <t>Sundaram Long Term Micro Cap Tax Advantage Fund Series V</t>
  </si>
  <si>
    <t>Sundaram Long Term Micro Cap Tax Advantage Fund Series VI</t>
  </si>
  <si>
    <t>Sundaram Small Cap Fund</t>
  </si>
  <si>
    <t>INE944F01028</t>
  </si>
  <si>
    <t>Radico Khaitan Ltd</t>
  </si>
  <si>
    <t>INE725G01011</t>
  </si>
  <si>
    <t>ICRA Ltd</t>
  </si>
  <si>
    <t>INE136S01016</t>
  </si>
  <si>
    <t>Neogen Chemicals Ltd</t>
  </si>
  <si>
    <t>INE03QK01018</t>
  </si>
  <si>
    <t>Suven Pharmaceuticals Ltd</t>
  </si>
  <si>
    <t>INE098F01031</t>
  </si>
  <si>
    <t>Amrutanjan Health Care Ltd</t>
  </si>
  <si>
    <t>IN9155A01020</t>
  </si>
  <si>
    <t>INE094J01016</t>
  </si>
  <si>
    <t>UTI Asset Management Co Ltd</t>
  </si>
  <si>
    <t>INE596I01012</t>
  </si>
  <si>
    <t>Computer Age Management Services Ltd</t>
  </si>
  <si>
    <t>INE119A01028</t>
  </si>
  <si>
    <t>Balrampur Chini Mills Ltd</t>
  </si>
  <si>
    <t>INE334L01012</t>
  </si>
  <si>
    <t>Ujjivan Financial Services Ltd</t>
  </si>
  <si>
    <t>INE739E01017</t>
  </si>
  <si>
    <t>Cera Sanitaryware Ltd</t>
  </si>
  <si>
    <t>INE142Z01019</t>
  </si>
  <si>
    <t>Orient Electric Ltd</t>
  </si>
  <si>
    <t>INE177F01017</t>
  </si>
  <si>
    <t>Kovai Medical Center &amp; Hospital Ltd</t>
  </si>
  <si>
    <t>INE00F201020</t>
  </si>
  <si>
    <t>Prudent Corporate Advisory Services Ltd</t>
  </si>
  <si>
    <t>INE0BV301023</t>
  </si>
  <si>
    <t>CE Info Systems Private Limited</t>
  </si>
  <si>
    <t>INE736A01011</t>
  </si>
  <si>
    <t>Central Depository Services (India) Ltd</t>
  </si>
  <si>
    <t>INE287B01021</t>
  </si>
  <si>
    <t>Subros Ltd</t>
  </si>
  <si>
    <t>INE836A01035</t>
  </si>
  <si>
    <t>Birlasoft Ltd</t>
  </si>
  <si>
    <t>INE0BJS01011</t>
  </si>
  <si>
    <t>Go Fashion (India ) Ltd</t>
  </si>
  <si>
    <t>INE054A01027</t>
  </si>
  <si>
    <t>VIP Industries Ltd</t>
  </si>
  <si>
    <t>INE451A01017</t>
  </si>
  <si>
    <t>Force Motors Ltd</t>
  </si>
  <si>
    <t>Sundaram Aggressive Hybrid Fund</t>
  </si>
  <si>
    <t>INE854D01024</t>
  </si>
  <si>
    <t>United Spirits Ltd</t>
  </si>
  <si>
    <t>INE102D01028</t>
  </si>
  <si>
    <t>Godrej Consumer Products Ltd</t>
  </si>
  <si>
    <t>INE066A01021</t>
  </si>
  <si>
    <t>Eicher Motors Ltd</t>
  </si>
  <si>
    <t>INE179A01014</t>
  </si>
  <si>
    <t>Procter &amp; Gamble Hygiene and Health Care Ltd</t>
  </si>
  <si>
    <t>INE216A01030</t>
  </si>
  <si>
    <t>Britannia Industries Ltd</t>
  </si>
  <si>
    <t>INE742F01042</t>
  </si>
  <si>
    <t>Adani Ports and Special Economic Zone Ltd</t>
  </si>
  <si>
    <t>INE852S01026</t>
  </si>
  <si>
    <t>INE134E08MB9</t>
  </si>
  <si>
    <t>Power Finance Corporation Ltd - 7.82% - 06/03/2038**</t>
  </si>
  <si>
    <t>CRISIL AAA</t>
  </si>
  <si>
    <t>INE115A07QH6</t>
  </si>
  <si>
    <t>LIC Housing Finance Ltd - 8.025% - 23/03/2033**</t>
  </si>
  <si>
    <t>INE261F08DV4</t>
  </si>
  <si>
    <t>National Bank for Agricultural &amp; Rural Development - 7.62% - 31/01/2028**</t>
  </si>
  <si>
    <t>ICRA AAA</t>
  </si>
  <si>
    <t>INE261F08DX0</t>
  </si>
  <si>
    <t>National Bank for Agricultural &amp; Rural Development - 7.58% - 31/07/2026</t>
  </si>
  <si>
    <t>INE020B08DR1</t>
  </si>
  <si>
    <t>REC LTD - 5.74% - 20/06/2024**</t>
  </si>
  <si>
    <t>INE020B08906</t>
  </si>
  <si>
    <t>REC LTD - 8.27% - 06/02/2025**</t>
  </si>
  <si>
    <t>INE053F08296</t>
  </si>
  <si>
    <t>Indian Railway Finance Corporation Ltd - 7.74% - 15/04/2038**</t>
  </si>
  <si>
    <t>INE018A08BE9</t>
  </si>
  <si>
    <t>Larsen &amp; Toubro Ltd - 7.725% - 28/04/2028**</t>
  </si>
  <si>
    <t>INE134E08MJ2</t>
  </si>
  <si>
    <t>Power Finance Corporation Ltd - 7.77% - 15/04/2028</t>
  </si>
  <si>
    <t>INE134E08MC7</t>
  </si>
  <si>
    <t>Power Finance Corporation Ltd - 7.77% - 15/07/2026</t>
  </si>
  <si>
    <t>INE020B08EG2</t>
  </si>
  <si>
    <t>REC LTD - 7.69% - 31/03/2033**</t>
  </si>
  <si>
    <t>INE028A08158</t>
  </si>
  <si>
    <t>CARE AAA</t>
  </si>
  <si>
    <t>INE071G07587</t>
  </si>
  <si>
    <t>ICICI Home Finance Company Ltd - 8% - 28/06/2024**</t>
  </si>
  <si>
    <t>INE557F08FG1</t>
  </si>
  <si>
    <t>National Housing Bank  - 7.05% - 18/12/2024**</t>
  </si>
  <si>
    <t>INE001A07SG6</t>
  </si>
  <si>
    <t>Housing Development Finance Corporation Ltd - 7.35% - 10/02/2025**</t>
  </si>
  <si>
    <t>INE134E08KD9</t>
  </si>
  <si>
    <t>Power Finance Corporation Ltd - 8.1% - 04/06/2024**</t>
  </si>
  <si>
    <t>INE018A08BA7</t>
  </si>
  <si>
    <t>Larsen &amp; Toubro Ltd - 7.7% - 28/04/2025**</t>
  </si>
  <si>
    <t>INE261F08BK1</t>
  </si>
  <si>
    <t>National Bank for Agricultural &amp; Rural Development - 7.69% - 29/05/2024**</t>
  </si>
  <si>
    <t>INE020B08EI8</t>
  </si>
  <si>
    <t>REC LTD - 7.51% - 31/07/2026**</t>
  </si>
  <si>
    <t>INE556F08KE8</t>
  </si>
  <si>
    <t>Small Industries Development Bank of India - 7.47% - 25/11/2025</t>
  </si>
  <si>
    <t>INE261F08DI1</t>
  </si>
  <si>
    <t>National Bank for Agricultural &amp; Rural Development - 5.23% - 31/01/2025**</t>
  </si>
  <si>
    <t>INE895D07487</t>
  </si>
  <si>
    <t>Tata Sons Pvt Ltd - 9.3% - 19/06/2024**</t>
  </si>
  <si>
    <t>INE090A08TU6</t>
  </si>
  <si>
    <t>ICICI Bank Ltd - 7.6% - 07/10/2023**</t>
  </si>
  <si>
    <t>INE115A07OV2</t>
  </si>
  <si>
    <t>LIC Housing Finance Ltd - 5.45% - 25/08/2023**</t>
  </si>
  <si>
    <t>INE261F08DF7</t>
  </si>
  <si>
    <t>National Bank for Agricultural &amp; Rural Development - 5.27% - 23/07/2024**</t>
  </si>
  <si>
    <t>IN0020220102</t>
  </si>
  <si>
    <t>7.41% Central Government Securities 19/12/2036</t>
  </si>
  <si>
    <t>Sovereign</t>
  </si>
  <si>
    <t>IN0020220151</t>
  </si>
  <si>
    <t>7.26% Central Government Securities 06/02/2033</t>
  </si>
  <si>
    <t>IN0020220037</t>
  </si>
  <si>
    <t>7.38% Central Government Securities 20/06/2027</t>
  </si>
  <si>
    <t>IN0020220060</t>
  </si>
  <si>
    <t xml:space="preserve">7.26% Central Government Securities 22/08/2032 </t>
  </si>
  <si>
    <t>IN0020220011</t>
  </si>
  <si>
    <t>7.10% Central Government Securities 18/04/2029</t>
  </si>
  <si>
    <t>IN0020200112</t>
  </si>
  <si>
    <t>5.22% Central Government Securities 15/06/2025</t>
  </si>
  <si>
    <t>IN0020210186</t>
  </si>
  <si>
    <t>5.74% Central Government Securities 15/11/2026</t>
  </si>
  <si>
    <t>IN0020210160</t>
  </si>
  <si>
    <t>IN2220150030</t>
  </si>
  <si>
    <t>8.25% Maharashtra State Development Loan 10/06/2025</t>
  </si>
  <si>
    <t>IN1920140119</t>
  </si>
  <si>
    <t>8.08% Karnataka State Development Loan 11/03/2025</t>
  </si>
  <si>
    <t>IN2220140205</t>
  </si>
  <si>
    <t>8.06% Maharashtra State Development Loan 11/02/2025</t>
  </si>
  <si>
    <t>INE028A16CT7</t>
  </si>
  <si>
    <t>Bank of Baroda - 17/08/2023</t>
  </si>
  <si>
    <t>IND A1+</t>
  </si>
  <si>
    <t>INE556F16994</t>
  </si>
  <si>
    <t>Small Industries Development Bank of India - 01/09/2023**</t>
  </si>
  <si>
    <t>CRISIL A1+</t>
  </si>
  <si>
    <t>INE062A16465</t>
  </si>
  <si>
    <t>State Bank of India - 12/09/2023**</t>
  </si>
  <si>
    <t>INE001A14ZQ6</t>
  </si>
  <si>
    <t>Housing Development Finance Corporation Ltd - 18/10/2023**</t>
  </si>
  <si>
    <t>INE001A14A04</t>
  </si>
  <si>
    <t>Housing Development Finance Corporation Ltd - 25/01/2024**</t>
  </si>
  <si>
    <t>IN002022Z499</t>
  </si>
  <si>
    <t>IN002022Z515</t>
  </si>
  <si>
    <t>Individual &amp; HUF</t>
  </si>
  <si>
    <t>Others</t>
  </si>
  <si>
    <t>Sundaram Arbitrage Fund</t>
  </si>
  <si>
    <t>INE271C01023</t>
  </si>
  <si>
    <t>DLF Ltd</t>
  </si>
  <si>
    <t>INE079A01024</t>
  </si>
  <si>
    <t>Ambuja Cements Ltd</t>
  </si>
  <si>
    <t>INE016A01026</t>
  </si>
  <si>
    <t>Dabur India Ltd</t>
  </si>
  <si>
    <t>INE176A01028</t>
  </si>
  <si>
    <t>Bata India Ltd</t>
  </si>
  <si>
    <t>INE406A01037</t>
  </si>
  <si>
    <t>Aurobindo Pharma Ltd</t>
  </si>
  <si>
    <t>INE647O01011</t>
  </si>
  <si>
    <t>Aditya Birla Fashion and Retail Ltd</t>
  </si>
  <si>
    <t>INE498L01015</t>
  </si>
  <si>
    <t>L&amp;T Finance Holdings Ltd</t>
  </si>
  <si>
    <t>Stock Future</t>
  </si>
  <si>
    <t>IN002022Y476</t>
  </si>
  <si>
    <t>IN002022Z093</t>
  </si>
  <si>
    <t>IN002022Y393</t>
  </si>
  <si>
    <t>INF173K01GU0</t>
  </si>
  <si>
    <t>Margin Money For Derivatives</t>
  </si>
  <si>
    <t>Sundaram Balanced Advantage Fund</t>
  </si>
  <si>
    <t>Index Future</t>
  </si>
  <si>
    <t>INE001A07TL4</t>
  </si>
  <si>
    <t>Housing Development Finance Corporation Ltd - 7.4% - 02/06/2025**</t>
  </si>
  <si>
    <t>INE001A07TS9</t>
  </si>
  <si>
    <t>Housing Development Finance Corporation Ltd - 7.7% - 18/11/2025</t>
  </si>
  <si>
    <t>INE020B08DC3</t>
  </si>
  <si>
    <t>REC LTD - 5.69% - 30/09/2023**</t>
  </si>
  <si>
    <t>INE261F08CA0</t>
  </si>
  <si>
    <t>National Bank for Agricultural &amp; Rural Development - 6.4% - 31/07/2023**</t>
  </si>
  <si>
    <t>INE053F07BB3</t>
  </si>
  <si>
    <t>Indian Railway Finance Corporation Ltd - 8.25% - 28/02/2024**</t>
  </si>
  <si>
    <t>-</t>
  </si>
  <si>
    <t>Sundaram Dividend Yield Fund</t>
  </si>
  <si>
    <t>INE212H01026</t>
  </si>
  <si>
    <t>AIA Engineering Ltd</t>
  </si>
  <si>
    <t>INE917I01010</t>
  </si>
  <si>
    <t>Bajaj Auto Ltd</t>
  </si>
  <si>
    <t>INE848E01016</t>
  </si>
  <si>
    <t>NHPC Ltd</t>
  </si>
  <si>
    <t>INE591G01017</t>
  </si>
  <si>
    <t>Coforge Ltd</t>
  </si>
  <si>
    <t>INE710A01016</t>
  </si>
  <si>
    <t>VST Industries Ltd</t>
  </si>
  <si>
    <t>Cigarettes &amp; Tobacco Products</t>
  </si>
  <si>
    <t>INE916U01025</t>
  </si>
  <si>
    <t>Sheela Foam Ltd</t>
  </si>
  <si>
    <t>IDIA00069480</t>
  </si>
  <si>
    <t>INE759J01022</t>
  </si>
  <si>
    <t>INE02CF01010</t>
  </si>
  <si>
    <t>IDIA00069477</t>
  </si>
  <si>
    <t>INE216A08027</t>
  </si>
  <si>
    <t>Britannia Industries Ltd - 5.5% - 03/06/2024**</t>
  </si>
  <si>
    <t>Sundaram Equity Savings Fund</t>
  </si>
  <si>
    <t>INE138Y01010</t>
  </si>
  <si>
    <t>KFIN Technologies Ltd</t>
  </si>
  <si>
    <t>INE227W01023</t>
  </si>
  <si>
    <t>Clean Science &amp; Technology Ltd</t>
  </si>
  <si>
    <t>INE795G01014</t>
  </si>
  <si>
    <t>HDFC Life Insurance Company Ltd</t>
  </si>
  <si>
    <t>INE825V01034</t>
  </si>
  <si>
    <t>Vedant Fashions Ltd</t>
  </si>
  <si>
    <t>IN0020200278</t>
  </si>
  <si>
    <t>5.15% Central Government Securities 09/11/2025</t>
  </si>
  <si>
    <t>IN2220150022</t>
  </si>
  <si>
    <t>8.14% Maharashtra State Development Loan 27/05/2025</t>
  </si>
  <si>
    <t>IN002022Z143</t>
  </si>
  <si>
    <t>IN002022Z085</t>
  </si>
  <si>
    <t>Sundaram Focused  Fund</t>
  </si>
  <si>
    <t>Sundaram Multi Cap Fund</t>
  </si>
  <si>
    <t>INE470A01017</t>
  </si>
  <si>
    <t>3M India Ltd</t>
  </si>
  <si>
    <t>Diversified</t>
  </si>
  <si>
    <t>INE112L01020</t>
  </si>
  <si>
    <t>Metropolis Healthcare Ltd</t>
  </si>
  <si>
    <t>INE147E01013</t>
  </si>
  <si>
    <t>INE348C01011</t>
  </si>
  <si>
    <t>INE604A01011</t>
  </si>
  <si>
    <t>INE431E01011</t>
  </si>
  <si>
    <t>Healthcare Equipment &amp; Supplies</t>
  </si>
  <si>
    <t>INE406B01019</t>
  </si>
  <si>
    <t>IDIA00069356</t>
  </si>
  <si>
    <t>IDIA00069359</t>
  </si>
  <si>
    <t>Sundaram Nifty 100 Equal Weight Fund</t>
  </si>
  <si>
    <t>INE758T01015</t>
  </si>
  <si>
    <t>Zomato Ltd</t>
  </si>
  <si>
    <t>INE239A01016</t>
  </si>
  <si>
    <t>Nestle India Ltd</t>
  </si>
  <si>
    <t>INE775A01035</t>
  </si>
  <si>
    <t>Samvardhana Motherson International Ltd</t>
  </si>
  <si>
    <t>INE118A01012</t>
  </si>
  <si>
    <t>Bajaj Holdings &amp; Investment Ltd</t>
  </si>
  <si>
    <t>INE423A01024</t>
  </si>
  <si>
    <t>Adani Enterprises</t>
  </si>
  <si>
    <t>Metals &amp; Minerals Trading</t>
  </si>
  <si>
    <t>INE158A01026</t>
  </si>
  <si>
    <t>Hero MotoCorp Ltd</t>
  </si>
  <si>
    <t>INE019A01038</t>
  </si>
  <si>
    <t>JSW Steel Ltd</t>
  </si>
  <si>
    <t>INE089A01023</t>
  </si>
  <si>
    <t>Dr. Reddys Laboratories Ltd</t>
  </si>
  <si>
    <t>INE018E01016</t>
  </si>
  <si>
    <t>SBI Cards and Payment Services Ltd</t>
  </si>
  <si>
    <t>INE699H01024</t>
  </si>
  <si>
    <t>Adani Wilmar Ltd</t>
  </si>
  <si>
    <t>INE685A01028</t>
  </si>
  <si>
    <t>Torrent Pharmaceuticals Ltd</t>
  </si>
  <si>
    <t>INE335Y01020</t>
  </si>
  <si>
    <t>Indian Railway Catering &amp; Tourism Corporation Ltd</t>
  </si>
  <si>
    <t>INE259A01022</t>
  </si>
  <si>
    <t>Colgate Palmolive (India) Ltd</t>
  </si>
  <si>
    <t>INE242A01010</t>
  </si>
  <si>
    <t>Indian Oil Corporation Ltd</t>
  </si>
  <si>
    <t>INE628A01036</t>
  </si>
  <si>
    <t>UPL Ltd</t>
  </si>
  <si>
    <t>INE663F01024</t>
  </si>
  <si>
    <t>Info Edge (India) Ltd</t>
  </si>
  <si>
    <t>INE323A01026</t>
  </si>
  <si>
    <t>Bosch Ltd</t>
  </si>
  <si>
    <t>INE414G01012</t>
  </si>
  <si>
    <t>Muthoot Finance Ltd</t>
  </si>
  <si>
    <t>INE121J01017</t>
  </si>
  <si>
    <t>Indus Towers Ltd (Prev Bharti Infratel Ltd)</t>
  </si>
  <si>
    <t>INE463A01038</t>
  </si>
  <si>
    <t>Berger Paints (I) Ltd</t>
  </si>
  <si>
    <t>INE127D01025</t>
  </si>
  <si>
    <t>HDFC Asset Management Company Ltd</t>
  </si>
  <si>
    <t>INE047A01021</t>
  </si>
  <si>
    <t>Grasim Industries Ltd</t>
  </si>
  <si>
    <t>INE012A01025</t>
  </si>
  <si>
    <t>ACC Ltd</t>
  </si>
  <si>
    <t>INE176B01034</t>
  </si>
  <si>
    <t>Havells India Ltd</t>
  </si>
  <si>
    <t>INE196A01026</t>
  </si>
  <si>
    <t>Marico Ltd</t>
  </si>
  <si>
    <t>INE726G01019</t>
  </si>
  <si>
    <t>ICICI Prudential Life Insurance Company Ltd</t>
  </si>
  <si>
    <t>INE318A01026</t>
  </si>
  <si>
    <t>Pidilite Industries Ltd</t>
  </si>
  <si>
    <t>INE399L01023</t>
  </si>
  <si>
    <t>Adani Total Gas Ltd</t>
  </si>
  <si>
    <t>INE205A01025</t>
  </si>
  <si>
    <t>Vedanta Ltd</t>
  </si>
  <si>
    <t>Diversified Metals</t>
  </si>
  <si>
    <t>INE364U01010</t>
  </si>
  <si>
    <t>Adani Green Energy Ltd</t>
  </si>
  <si>
    <t>INE0J1Y01017</t>
  </si>
  <si>
    <t>LIC of India Ltd</t>
  </si>
  <si>
    <t>INE765G01017</t>
  </si>
  <si>
    <t>ICICI Lombard General Insurance Company Ltd</t>
  </si>
  <si>
    <t>INE931S01010</t>
  </si>
  <si>
    <t>Adani Transmission Ltd</t>
  </si>
  <si>
    <t>INE388Y01029</t>
  </si>
  <si>
    <t>FSN E–Commerce Ventures Ltd(NYKAA)</t>
  </si>
  <si>
    <t>Sundaram Tax Savings Fund (ELSS)</t>
  </si>
  <si>
    <t>INE768C01010</t>
  </si>
  <si>
    <t>Zydus Wellness Ltd</t>
  </si>
  <si>
    <t>Sundaram Consumption Fund</t>
  </si>
  <si>
    <t>INE872J01023</t>
  </si>
  <si>
    <t>Devyani international limited</t>
  </si>
  <si>
    <t>INE02YR01019</t>
  </si>
  <si>
    <t>Electronics Mart India Ltd</t>
  </si>
  <si>
    <t>INE355A01028</t>
  </si>
  <si>
    <t>Somany Ceramics Ltd</t>
  </si>
  <si>
    <t>Sundaram Services Fund</t>
  </si>
  <si>
    <t>INE474Q01031</t>
  </si>
  <si>
    <t>Global Health Ltd</t>
  </si>
  <si>
    <t>MU0295S00016</t>
  </si>
  <si>
    <t>Make My Trip Ltd (USD)</t>
  </si>
  <si>
    <t>Sundaram Diversified Equity</t>
  </si>
  <si>
    <t>Sundaram Large Cap Fund</t>
  </si>
  <si>
    <t>Sundaram Flexi Cap Fund</t>
  </si>
  <si>
    <t>Sundaram Financial Services Opportunities Fund</t>
  </si>
  <si>
    <t>INE115A01026</t>
  </si>
  <si>
    <t>LIC Housing Finance Ltd</t>
  </si>
  <si>
    <t>INE020B01018</t>
  </si>
  <si>
    <t>REC Ltd</t>
  </si>
  <si>
    <t>Institutional Plan - Growth</t>
  </si>
  <si>
    <t>S.NO.</t>
  </si>
  <si>
    <t>ACRONYM</t>
  </si>
  <si>
    <t>SCHEME NAME</t>
  </si>
  <si>
    <t>CAPEXG</t>
  </si>
  <si>
    <t>MIDCAP</t>
  </si>
  <si>
    <t>MULTI1</t>
  </si>
  <si>
    <t>MULTI2</t>
  </si>
  <si>
    <t>Sundaram Multi Cap Fund Series II</t>
  </si>
  <si>
    <t>MULTIP</t>
  </si>
  <si>
    <t>Sundaram Large And Mid Cap Fund</t>
  </si>
  <si>
    <t>SESCAP3</t>
  </si>
  <si>
    <t>SESCAP4</t>
  </si>
  <si>
    <t>SESCAP5</t>
  </si>
  <si>
    <t>SESCAP6</t>
  </si>
  <si>
    <t>SESCAP7</t>
  </si>
  <si>
    <t>SLTADV3</t>
  </si>
  <si>
    <t>Sundaram Long Term Advantage Fund Series III</t>
  </si>
  <si>
    <t>SLTADV4</t>
  </si>
  <si>
    <t>Sundaram Long Term Advantage Fund Series IV</t>
  </si>
  <si>
    <t>SLTAX1</t>
  </si>
  <si>
    <t>Sundaram Long Term Tax Advantage Fund Series I</t>
  </si>
  <si>
    <t>SLTAX2</t>
  </si>
  <si>
    <t>Sundaram Long Term Tax Advantage Fund Series II</t>
  </si>
  <si>
    <t>SLTAX3</t>
  </si>
  <si>
    <t>SLTAX4</t>
  </si>
  <si>
    <t>SLTAX5</t>
  </si>
  <si>
    <t>SLTAX6</t>
  </si>
  <si>
    <t>SMILE</t>
  </si>
  <si>
    <t>SPAHF</t>
  </si>
  <si>
    <t>SPARF</t>
  </si>
  <si>
    <t xml:space="preserve">Sundaram Arbitrage Fund </t>
  </si>
  <si>
    <t>SPBAF</t>
  </si>
  <si>
    <t>SPDYF</t>
  </si>
  <si>
    <t>SPESF</t>
  </si>
  <si>
    <t>SPFOCUS</t>
  </si>
  <si>
    <t>Sundaram Focused  Fund</t>
  </si>
  <si>
    <t>SPMUCF</t>
  </si>
  <si>
    <t>SPSN100</t>
  </si>
  <si>
    <t>Sundaram NIFTY 100 Equal Weight Fund</t>
  </si>
  <si>
    <t>SPTAX</t>
  </si>
  <si>
    <t>SRURAL</t>
  </si>
  <si>
    <t>SSFUND</t>
  </si>
  <si>
    <t>STAX</t>
  </si>
  <si>
    <t>SUNBCF</t>
  </si>
  <si>
    <t>SUNFCF</t>
  </si>
  <si>
    <t>SUNFOP</t>
  </si>
  <si>
    <t>GLOB</t>
  </si>
  <si>
    <t>Sundaram Global Brand Fund</t>
  </si>
  <si>
    <t>7.01% Central Government Securities_Floating Rate Bond - 04/10/2028 ~</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</si>
  <si>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</si>
  <si>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L&amp;T Finance Holdings Limited May 2023</t>
  </si>
  <si>
    <t>Jindal Steel &amp; Power Limited May 2023</t>
  </si>
  <si>
    <t>Titan Company Limited May 2023</t>
  </si>
  <si>
    <t>Aditya Birla Fashion And Retail Limited May 2023</t>
  </si>
  <si>
    <t>Zydus Lifesciences Limited May 2023</t>
  </si>
  <si>
    <t>Aurobindo Pharma Limited May 2023</t>
  </si>
  <si>
    <t>Bata India Limited May 2023</t>
  </si>
  <si>
    <t>Siemens Limited May 2023</t>
  </si>
  <si>
    <t>Dabur India Limited May 2023</t>
  </si>
  <si>
    <t>Axis Bank Limited May 2023</t>
  </si>
  <si>
    <t>Ambuja Cements Limited May 2023</t>
  </si>
  <si>
    <t>Asian Paints Limited May 2023</t>
  </si>
  <si>
    <t>Maruti Suzuki India Limited May 2023</t>
  </si>
  <si>
    <t>Bharti Airtel Limited May 2023</t>
  </si>
  <si>
    <t>Reliance Industries Limited May 2023</t>
  </si>
  <si>
    <t>Zee Entertainment Enterprises Limited May 2023</t>
  </si>
  <si>
    <t>DLF Limited May 2023</t>
  </si>
  <si>
    <t>Bajaj Finance Limited May 2023</t>
  </si>
  <si>
    <t>ICICI Bank Limited May 2023</t>
  </si>
  <si>
    <t>Oil &amp; Natural Gas Corporation Limited May 2023</t>
  </si>
  <si>
    <t>Kotak Mahindra Bank Limited May 2023</t>
  </si>
  <si>
    <t>Cipla Limited May 2023</t>
  </si>
  <si>
    <t>Bajaj Finserv Limited May 2023</t>
  </si>
  <si>
    <t>UltraTech Cement Limited May 2023</t>
  </si>
  <si>
    <t xml:space="preserve">	State Bank Of India Ltd May 2023</t>
  </si>
  <si>
    <t xml:space="preserve">	United Spirits Ltd May 2023</t>
  </si>
  <si>
    <t>Adani Ports &amp; SEZ Limited May 2023</t>
  </si>
  <si>
    <t>Housing Development Fin Corp Ltd May 2023</t>
  </si>
  <si>
    <t>HDFC Bank Limited May 2023</t>
  </si>
  <si>
    <t>Nifty May 2023</t>
  </si>
  <si>
    <t>Hindustan Petroleum Corpn Ltd May 2023</t>
  </si>
  <si>
    <t xml:space="preserve">	Mahindra &amp; Mahindra Ltd May 2023</t>
  </si>
  <si>
    <t>HDFC Life Insurance Company Limited May 2023</t>
  </si>
  <si>
    <t xml:space="preserve">	Tata Consumer Products Limited May 2023</t>
  </si>
  <si>
    <t>Bank of Baroda May 2023</t>
  </si>
  <si>
    <t>TATA Consultancy Services Limited May 2023</t>
  </si>
  <si>
    <t>Ashok Leyland Limited May 2023</t>
  </si>
  <si>
    <t xml:space="preserve">	Tata Steel Ltd May 2023</t>
  </si>
  <si>
    <t xml:space="preserve">	Hindustan Unilever Ltd May 2023</t>
  </si>
  <si>
    <t>Infosys Limited May 2023</t>
  </si>
  <si>
    <t xml:space="preserve">	Tech Mahindra Ltd May 2023</t>
  </si>
  <si>
    <t>INE105A04013</t>
  </si>
  <si>
    <t>Sundaram Clayton Ltd - 9.00% - 25/03/2024 - Preference share</t>
  </si>
  <si>
    <t>INE041025011</t>
  </si>
  <si>
    <t>Embassy Office Parks (REIT)</t>
  </si>
  <si>
    <t>INE0GGX23010</t>
  </si>
  <si>
    <t>Power Grid Infrastructure Investment Trust (InvIT)</t>
  </si>
  <si>
    <t>Sundaram Liquid Fund - Direct Growth @@</t>
  </si>
  <si>
    <t xml:space="preserve"> @@ Placed as margin for derivatives</t>
  </si>
  <si>
    <t>Bharti Airtel Ltd - Partly Paid Right Shares</t>
  </si>
  <si>
    <t>** Thinly traded / Non Traded Securities</t>
  </si>
  <si>
    <t>^ Net current assets includes interest accrued on fixed income securities</t>
  </si>
  <si>
    <t>Hindustan Dorr - Oliver Ltd @</t>
  </si>
  <si>
    <t>b) Total value and percentage of illiquid equity shares @</t>
  </si>
  <si>
    <t>0.00 / #</t>
  </si>
  <si>
    <t>Tirrihannah Company Ltd @</t>
  </si>
  <si>
    <t>Crystal Cable Industries Ltd @</t>
  </si>
  <si>
    <t>Minerava Holdings Ltd @</t>
  </si>
  <si>
    <t>Sandur Laminates Ltd @</t>
  </si>
  <si>
    <t>Rs. 4.74 lacs/ 0.01%</t>
  </si>
  <si>
    <t>Chennai Super Kings Ltd @</t>
  </si>
  <si>
    <t>Crescent Finstock Ltd @</t>
  </si>
  <si>
    <t>Mukerian Papers Ltd @</t>
  </si>
  <si>
    <t>Precision Fasteners Ltd @</t>
  </si>
  <si>
    <t>Sangam Health Care Products Ltd @</t>
  </si>
  <si>
    <t>Virtual Dynamics Software Ltd @</t>
  </si>
  <si>
    <t>Balmer Lawrie Freight Containers Ltd @</t>
  </si>
  <si>
    <t>Noble Brothers Impex Ltd @</t>
  </si>
  <si>
    <t>Rs.47.03 lacs / 0.03%</t>
  </si>
  <si>
    <t>Rs. 18.70 lacs / 0.02%</t>
  </si>
  <si>
    <t>Rs. 1.53 lacs / 0.00%</t>
  </si>
  <si>
    <t>IT - Software</t>
  </si>
  <si>
    <t>IT - Services</t>
  </si>
  <si>
    <t>Cash and Other Net Current Assets^</t>
  </si>
  <si>
    <t xml:space="preserve">* Investment earmarked for Derivative Margin </t>
  </si>
  <si>
    <t>364 Days - T Bill - 07/03/2024*</t>
  </si>
  <si>
    <t>364 Days - T Bill - 22/03/2024*</t>
  </si>
  <si>
    <t>Annexure-A</t>
  </si>
  <si>
    <t>704.76 Lacs</t>
  </si>
  <si>
    <t>Name of The security</t>
  </si>
  <si>
    <t xml:space="preserve">ISIN </t>
  </si>
  <si>
    <t>Net receivable/Market value  (Rs. Lakh)</t>
  </si>
  <si>
    <t>% to NAV</t>
  </si>
  <si>
    <t>Total Amount(Principal &amp; Interest)  (Rs. Lakh)</t>
  </si>
  <si>
    <t xml:space="preserve">IL&amp;FS Financial Services Ltd. 24SEP18 CP </t>
  </si>
  <si>
    <t>INE121H14JU3</t>
  </si>
  <si>
    <t>ISIN</t>
  </si>
  <si>
    <t>NAME OF THE SECURITY</t>
  </si>
  <si>
    <t>VALUE OF THE SECURITY CONSIDERED UNDER NET RECEIVABLES</t>
  </si>
  <si>
    <t>% TO AUM</t>
  </si>
  <si>
    <t>INE528G08394</t>
  </si>
  <si>
    <t>9%-YES BANK LTD-NCD-Call opt-18/10/2022-Perpetual Bond $</t>
  </si>
  <si>
    <t>TOTAL AMOUNT INCLUDING INTEREST DUE TO THE SCHEME</t>
  </si>
  <si>
    <t>TOTAL AMOUNT DUE</t>
  </si>
  <si>
    <t>PRINCIPAL (Rs. in Lacs)</t>
  </si>
  <si>
    <t>Interest Accrued till 05 Mar 2020
(Rs. in Lacs)</t>
  </si>
  <si>
    <t>Total 
(Rs. in Lacs)</t>
  </si>
  <si>
    <t>$ Yes Bank Limited Reconstruction Scheme 2020” was notified in the Official Gazette on March 13, 2020. Based on that, the Basel III Additional Tier I Bonds (ISIN - INE528G08394) were written down in the scheme along with the Interest accrued.</t>
  </si>
  <si>
    <t>Portfolio Information</t>
  </si>
  <si>
    <t>Scheme Name :</t>
  </si>
  <si>
    <t>Description (if any)</t>
  </si>
  <si>
    <t xml:space="preserve">Annualised Portfolio YTM %* : </t>
  </si>
  <si>
    <t>Macaulay Duration (years) - only for Debt portion (years)</t>
  </si>
  <si>
    <t>Residual Maturity (years) - only for Debt portion (years)</t>
  </si>
  <si>
    <t xml:space="preserve">As on (Date) </t>
  </si>
  <si>
    <t>*** in case of semi annual YTM,  it will be annualised </t>
  </si>
  <si>
    <t>% to AUM as on 30/04/2023</t>
  </si>
  <si>
    <t>Refer below point i)</t>
  </si>
  <si>
    <t>* in case of semi annual YTM,  it will be annualised </t>
  </si>
  <si>
    <t>21.50% Dewan Rubber Ltd</t>
  </si>
  <si>
    <t>Not Available</t>
  </si>
  <si>
    <t>Chemox Chemicals Industries</t>
  </si>
  <si>
    <t>15% Premier Vinyl Ltd</t>
  </si>
  <si>
    <t>18% Jord Engineering Ltd</t>
  </si>
  <si>
    <t>i) Exposure to securities classified as below investment grade or default as on April 30, 2023</t>
  </si>
  <si>
    <t>Tata Motors Ltd - DVR</t>
  </si>
  <si>
    <t>182 Days - T Bill - 17/08/2023*</t>
  </si>
  <si>
    <t>364 Days - T Bill - 01/06/2023*</t>
  </si>
  <si>
    <t>182 Days - T Bill - 22/06/2023*</t>
  </si>
  <si>
    <t>364 Days - T Bill - 06/07/2023*</t>
  </si>
  <si>
    <t>364 Days - T Bill - 25/05/2023*</t>
  </si>
  <si>
    <t>YTM (%)</t>
  </si>
  <si>
    <t>Bank of Baroda - 8.55% - Call Dt 14/02/2024 (Tier II Bond under Basel III)**</t>
  </si>
  <si>
    <t>Yield to call date %</t>
  </si>
  <si>
    <t>Direct Plan - IDCW</t>
  </si>
  <si>
    <t>Regular Plan - IDCW</t>
  </si>
  <si>
    <t>d) IDCW declared during the period (Rupees per unit)</t>
  </si>
  <si>
    <t>Direct Plan - Halfyearly IDCW</t>
  </si>
  <si>
    <t>Regular Plan - Halfyearly IDCW</t>
  </si>
  <si>
    <t>Direct Plan - Monthly IDCW</t>
  </si>
  <si>
    <t>Direct Plan - Quarterly IDCW</t>
  </si>
  <si>
    <t>Regular Plan - Monthly IDCW</t>
  </si>
  <si>
    <t>Regular Plan - Quarterly IDCW</t>
  </si>
  <si>
    <t>Institutional Plan - IDCW</t>
  </si>
  <si>
    <t>Monthly Portfolio Statement for the month ended 30 April 2023</t>
  </si>
  <si>
    <t>Direct Plan - Half Yearly IDCW</t>
  </si>
  <si>
    <t>Regular Plan - Half Yearly IDCW</t>
  </si>
  <si>
    <t>YTM (%)***</t>
  </si>
  <si>
    <t>Diversified FMCG</t>
  </si>
  <si>
    <t>S.NO</t>
  </si>
  <si>
    <t>ISIN CODE</t>
  </si>
  <si>
    <t>Name of the Instrument</t>
  </si>
  <si>
    <t>Industry/ Rating</t>
  </si>
  <si>
    <t>A) Investments in Foreign Securities - Units of Mutual Funds</t>
  </si>
  <si>
    <t>SG9999013908</t>
  </si>
  <si>
    <t>Mutual Funds</t>
  </si>
  <si>
    <t>Total for Investments in Foreign Securities - Units of Mutual Funds</t>
  </si>
  <si>
    <t>B) Money Market Investments</t>
  </si>
  <si>
    <t>ReverseRepo / TREPS</t>
  </si>
  <si>
    <t>ReverseRepo</t>
  </si>
  <si>
    <t>Cash and Other Net Curent Assets</t>
  </si>
  <si>
    <t>a) Total securities below investment grade or default  - Nil</t>
  </si>
  <si>
    <t>b) Total value and percentage of illiquid equity shares - Nil</t>
  </si>
  <si>
    <t xml:space="preserve"> </t>
  </si>
  <si>
    <t>Options</t>
  </si>
  <si>
    <t>Direct Plan - IDCW ^^</t>
  </si>
  <si>
    <t>Regular Plan - IDCW ^^</t>
  </si>
  <si>
    <t>d) IDCW declared during the period (Rupees per unit) - Nil</t>
  </si>
  <si>
    <t>e) Total outstanding exposure in derivative instruments at the end of the period - Nil</t>
  </si>
  <si>
    <t>f) Total investments in foreign securities /ADR'S/GDR'S  at the end of the period - Rs. 11828.34 lacs</t>
  </si>
  <si>
    <t>g) Repo in Corporate Debt - Nil</t>
  </si>
  <si>
    <t>Sundaram Global Brand Fund - Master Class (Singapore)</t>
  </si>
  <si>
    <t>Index</t>
  </si>
  <si>
    <t>Scheme Riskometer</t>
  </si>
  <si>
    <t>Benchmark Riskometer - NIFTY Infrastructure TRI</t>
  </si>
  <si>
    <t>Tier I Benchmark Riskometer - Nifty Mid Cap 150 TRI</t>
  </si>
  <si>
    <t>Tier II Benchmark Riskometer - Nifty Mid Cap 100 TRI</t>
  </si>
  <si>
    <t>Benchmark Riskometer - S&amp;P BSE 500 INDEX</t>
  </si>
  <si>
    <t>Tier I Benchmark Riskometer - Nifty Large Mid Cap 250 INDEX</t>
  </si>
  <si>
    <t>Tier II Benchmark Riskometer - Nifty Large Mid Cap 250 INDEX</t>
  </si>
  <si>
    <t>Benchmark Riskometer - S&amp;P BSE 250 SmallCap</t>
  </si>
  <si>
    <t xml:space="preserve">       Benchmark Riskometer - S&amp;P BSE 500 INDEX</t>
  </si>
  <si>
    <t>Benchmark Riskometer - Nifty Small Cap 100</t>
  </si>
  <si>
    <t>Tier I Benchmark Riskometer - Nifty Small Cap 250 TRI</t>
  </si>
  <si>
    <t>Tier II Benchmark Riskometer - Nifty Small Cap 100 TRI</t>
  </si>
  <si>
    <t>Benchmark Riskometer - CRISIL Hybrid 35+65 - Aggressive Index</t>
  </si>
  <si>
    <t>Benchmark Riskometer - NIFTY 50 Arbitrage INDEX</t>
  </si>
  <si>
    <t>Benchmark Riskometer - NIFTY 50 Hybrid Composite Debt 50 : 50 INDEX</t>
  </si>
  <si>
    <t>Tier I Benchmark Riskometer - NIFTY 500</t>
  </si>
  <si>
    <t>Tier II Benchmark Riskometer - NIFTY Dividend Opportunities 50 TRI</t>
  </si>
  <si>
    <t>Benchmark Riskometer - Nifty Equity Savings INDEX</t>
  </si>
  <si>
    <t>Tier I Benchmark Riskometer - Nifty 500 TRI</t>
  </si>
  <si>
    <t>Tier II Benchmark Riskometer - Nifty Large MID CAP 250 TRI</t>
  </si>
  <si>
    <t>Tier I Benchmark Riskometer - Nifty 500 MultiCap 50:25:25</t>
  </si>
  <si>
    <t>Tier II Benchmark Riskometer - Nifty 500 MultiCap 50:25:25</t>
  </si>
  <si>
    <t>Benchmark Riskometer - Nifty 100 Equal Weight TRI</t>
  </si>
  <si>
    <t>Tier II Benchmark Riskometer - NIFTY 500</t>
  </si>
  <si>
    <t>Benchmark Riskometer - Nifty India Consumption TRI</t>
  </si>
  <si>
    <t>Tier I Benchmark Riskometer - NIFTY Services Sector Index</t>
  </si>
  <si>
    <t>Tier II Benchmark Riskometer - NIFTY 500 MULTICAP 50:25:25</t>
  </si>
  <si>
    <t>Tier I Benchmark Riskometer - Nifty 100 TRI INDEX</t>
  </si>
  <si>
    <t>Tier II Benchmark Riskometer - Nifty 100 TRI INDEX</t>
  </si>
  <si>
    <t xml:space="preserve">           Tier I Benchmark Riskometer - Nifty 500 TRI</t>
  </si>
  <si>
    <t xml:space="preserve">            Tier II Benchmark Riskometer - Nifty 500 TRI</t>
  </si>
  <si>
    <t>Benchmark Riskometer - Nifty Financial Services</t>
  </si>
  <si>
    <t xml:space="preserve">          Benchmark Riskometer - MSCI ACWI TRI</t>
  </si>
  <si>
    <t>DERIVATIVES DISCLOSURE</t>
  </si>
  <si>
    <t>Disclosure regarding Derivative positions pursuant to SEBI Circular no CIR/IMD/DF/11/2010 dated August18,2010</t>
  </si>
  <si>
    <t>DETAILS OF INVESTMENTS IN DERIVATIVE INSTRUMENTS</t>
  </si>
  <si>
    <t>A. Hedging Positions through Futures as on April 30,2023 :</t>
  </si>
  <si>
    <t>Scheme Name</t>
  </si>
  <si>
    <t>Underlying</t>
  </si>
  <si>
    <t>Long/Short</t>
  </si>
  <si>
    <t>Futures Price When Purchased</t>
  </si>
  <si>
    <t>Current Price of the contract</t>
  </si>
  <si>
    <t>Margin maintained in       (Rs in Lakhs)*</t>
  </si>
  <si>
    <t>Short</t>
  </si>
  <si>
    <t>ADANIPORTSNSEMAY2023FUT</t>
  </si>
  <si>
    <t>AXISBANKNSEMAY2023FUT</t>
  </si>
  <si>
    <t>BAJAJFINSVNSEMAY2023FUT</t>
  </si>
  <si>
    <t>BAJFINANCENSEMAY2023FUT</t>
  </si>
  <si>
    <t>CIPLAF1109NSEMAY2023FUT</t>
  </si>
  <si>
    <t>HDFCBNKNSEMAY2023FUT</t>
  </si>
  <si>
    <t>HDFCLTDFUTNSEMAY2023FUT</t>
  </si>
  <si>
    <t>ICICIB0908BSEMAY2023FUT</t>
  </si>
  <si>
    <t>KOTAKBKFUTNSEMAY2023FUT</t>
  </si>
  <si>
    <t>MCDOF0209NSEMAY2023FUT</t>
  </si>
  <si>
    <t>NIFTYFUNSEMAY2023FUT</t>
  </si>
  <si>
    <t>RIL0909FUTNSEMAY2023FUT</t>
  </si>
  <si>
    <t>SBIFUT0908BSEMAY2023FUT</t>
  </si>
  <si>
    <t>ULTRCF1009NSEMAY2023FUT</t>
  </si>
  <si>
    <t xml:space="preserve">Total percentage of existing assets hedged through futures as a percentage of net assets </t>
  </si>
  <si>
    <t>%</t>
  </si>
  <si>
    <t>For the period ended April 30,2023 following were the hedging transactions through futures which have been squared off/ expired</t>
  </si>
  <si>
    <t>Total Number of contracts where futures were Bought</t>
  </si>
  <si>
    <t>Total Number of contracts where futures were Sold</t>
  </si>
  <si>
    <t>Gross Notional value of contracts where futures were bought                      (Rs. in Lakhs)</t>
  </si>
  <si>
    <t>Gross Notional value of contracts where futures were sold        (Rs. in Lakhs)</t>
  </si>
  <si>
    <t>Net Profit / (Loss) value on all contracts combined       (Rs. in lakhs)</t>
  </si>
  <si>
    <t>B. Other than hedging positions through futures as on April 30,2023 :</t>
  </si>
  <si>
    <t>Margin maintained in       (Rs. in Lakhs) *</t>
  </si>
  <si>
    <t>Total percentage of existing assets due to non-hedging positions as a percentage of net assets</t>
  </si>
  <si>
    <t>For the period ended April 30,2023 following were the non-hedging transactions through futures which have been squared off / expired</t>
  </si>
  <si>
    <t>Gross Notional value of contracts where futures were sold      ( Rs. in Lakhs)</t>
  </si>
  <si>
    <t>Net Profit / (Loss) value on all contracts combined      (Rs. in lakhs)</t>
  </si>
  <si>
    <t>Sundaram Multip Cap Fund</t>
  </si>
  <si>
    <t>C. Hedging Positions through Put Options as on April 30,2023 :</t>
  </si>
  <si>
    <t>Call/Put</t>
  </si>
  <si>
    <t>Number of Contracts</t>
  </si>
  <si>
    <t>Option Price when purchased</t>
  </si>
  <si>
    <t>Current Option Price</t>
  </si>
  <si>
    <t>Total % of existing assets hedged through Put Options</t>
  </si>
  <si>
    <t>For the period ended  April 30,2023 , the following hedging transactions through options which have been already exercised/expired</t>
  </si>
  <si>
    <t>Total Number of contracts entered into</t>
  </si>
  <si>
    <t>Gross Notional value of contracts bought                      (Rs. in Lakhs)</t>
  </si>
  <si>
    <t>Gross Notional value of contracts  sold  (Rs. in Lakhs)</t>
  </si>
  <si>
    <t>Net Profit/(Loss) on all contracts 
(Rs. in Lakhs)</t>
  </si>
  <si>
    <t>D. Other than Hedging Positions through options as on April 30,2023 :</t>
  </si>
  <si>
    <t xml:space="preserve">Total Exposure through Options other than hedging as a percentage of net assets </t>
  </si>
  <si>
    <t>For the period ended April 30,2023 , the following non hedging transactions through options which have been already exercised/expired</t>
  </si>
  <si>
    <t>Gross Notional value of contracts  bought(Rs. in Lakhs)</t>
  </si>
  <si>
    <t>Gross Notional value of contracts  sold (Rs. in Lakhs)</t>
  </si>
  <si>
    <t>E. Hedging Positions through Swaps as on April 30,2023 - Nil</t>
  </si>
  <si>
    <t>F. Hedging Positions through Interest Rate Futures as on April 30,2023 :</t>
  </si>
  <si>
    <t xml:space="preserve">Futures Price
When Purchased </t>
  </si>
  <si>
    <t>Current Price of
the contract</t>
  </si>
  <si>
    <t>Margin maintained
in (Rs. in Lakhs)</t>
  </si>
  <si>
    <t>Total percentage of existing assets hedged through Interest Rate Futures a Percentage of net assets</t>
  </si>
  <si>
    <t>For the period ended April 30,2023 following were the hedging transactions through Interest Rate Futures which have been squared off/ expired</t>
  </si>
  <si>
    <t>For the period ended April 30,2023 following were the Non Hedging transactions through Interest Rate Futures which have been squared off/ expired</t>
  </si>
  <si>
    <t>* Note: Margin maintained denotes security specific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</si>
</sst>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43" formatCode="_ * #,##0.00_ ;_ * \-#,##0.00_ ;_ * &quot;-&quot;??_ ;_ @_ "/>
    <numFmt numFmtId="164" formatCode="[$-1014009]General"/>
    <numFmt numFmtId="165" formatCode="[$-1014009]###0;\(###0\)"/>
    <numFmt numFmtId="166" formatCode="[$-1014009]###0.00;\(###0.00\)"/>
    <numFmt numFmtId="167" formatCode="[$-1014009]###0.00%;\(###0.00%\)"/>
    <numFmt numFmtId="168" formatCode="[$-1014009]#,##0.00\ %;\(#,##0.00\)"/>
    <numFmt numFmtId="169" formatCode="[$-1014009]#.0000"/>
    <numFmt numFmtId="170" formatCode="[$-1014009]#,##0.00%"/>
    <numFmt numFmtId="171" formatCode="[$-1014009]#,##0.000000;\-#,##0.000000"/>
    <numFmt numFmtId="172" formatCode="0.00000"/>
    <numFmt numFmtId="173" formatCode="0.000000000"/>
    <numFmt numFmtId="174" formatCode="0.0000000000000"/>
    <numFmt numFmtId="175" formatCode="0.000000000000000000%"/>
    <numFmt numFmtId="176" formatCode="[$-1014009]#,##0.00;\(#,##0.00\)"/>
    <numFmt numFmtId="177" formatCode="_(* #,##0_);_(* \(#,##0\);_(* &quot;-&quot;??_);_(@_)"/>
    <numFmt numFmtId="178" formatCode="0.000"/>
    <numFmt numFmtId="179" formatCode="#,##0.000"/>
    <numFmt numFmtId="180" formatCode="_(* #,##0.00_);_(* \(#,##0.00\);_(* &quot;-&quot;??_);_(@_)"/>
    <numFmt numFmtId="181" formatCode="0.0000"/>
    <numFmt numFmtId="182" formatCode="#,##0.0000;\(#,##0.0000\)"/>
    <numFmt numFmtId="183" formatCode="_(* #,##0.000_);_(* \(#,##0.000\);_(* &quot;-&quot;??_);_(@_)"/>
  </numFmts>
  <fonts count="35" x14ac:knownFonts="1">
    <font>
      <sz val="10"/>
      <name val="Arial"/>
      <charset val="1"/>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indexed="8"/>
      <name val="Calibri"/>
      <charset val="1"/>
    </font>
    <font>
      <sz val="10"/>
      <color indexed="8"/>
      <name val="Calibri"/>
      <charset val="1"/>
    </font>
    <font>
      <b/>
      <sz val="10"/>
      <color indexed="8"/>
      <name val="Calibri"/>
      <charset val="1"/>
    </font>
    <font>
      <b/>
      <i/>
      <sz val="10"/>
      <color indexed="8"/>
      <name val="Calibri"/>
      <charset val="1"/>
    </font>
    <font>
      <b/>
      <sz val="9"/>
      <color indexed="8"/>
      <name val="Calibri"/>
      <charset val="1"/>
    </font>
    <font>
      <b/>
      <sz val="11"/>
      <color theme="1"/>
      <name val="Calibri"/>
      <family val="2"/>
      <scheme val="minor"/>
    </font>
    <font>
      <b/>
      <sz val="11"/>
      <name val="Calibri"/>
      <family val="2"/>
      <scheme val="minor"/>
    </font>
    <font>
      <sz val="10"/>
      <name val="Arial"/>
      <family val="2"/>
    </font>
    <font>
      <sz val="11"/>
      <name val="Calibri"/>
      <family val="2"/>
      <scheme val="minor"/>
    </font>
    <font>
      <u/>
      <sz val="10"/>
      <color theme="10"/>
      <name val="Arial"/>
      <family val="2"/>
    </font>
    <font>
      <u/>
      <sz val="11"/>
      <color theme="10"/>
      <name val="Calibri"/>
      <family val="2"/>
      <scheme val="minor"/>
    </font>
    <font>
      <sz val="10"/>
      <color indexed="8"/>
      <name val="Calibri"/>
      <family val="2"/>
    </font>
    <font>
      <b/>
      <i/>
      <sz val="10"/>
      <color indexed="8"/>
      <name val="Calibri"/>
      <family val="2"/>
    </font>
    <font>
      <sz val="10"/>
      <name val="Arial"/>
      <charset val="1"/>
    </font>
    <font>
      <b/>
      <sz val="11"/>
      <color theme="0"/>
      <name val="Calibri"/>
      <family val="2"/>
      <scheme val="minor"/>
    </font>
    <font>
      <sz val="11"/>
      <color theme="0"/>
      <name val="Calibri"/>
      <family val="2"/>
      <scheme val="minor"/>
    </font>
    <font>
      <b/>
      <sz val="10"/>
      <color indexed="8"/>
      <name val="Calibri"/>
      <family val="2"/>
    </font>
    <font>
      <sz val="10"/>
      <color theme="1"/>
      <name val="Calibri"/>
      <family val="2"/>
      <scheme val="minor"/>
    </font>
    <font>
      <b/>
      <sz val="10"/>
      <color theme="1"/>
      <name val="Calibri"/>
      <family val="2"/>
      <scheme val="minor"/>
    </font>
    <font>
      <sz val="10"/>
      <name val="Calibri"/>
      <family val="2"/>
      <scheme val="minor"/>
    </font>
    <font>
      <b/>
      <sz val="10"/>
      <name val="Calibri"/>
      <family val="2"/>
      <scheme val="minor"/>
    </font>
    <font>
      <b/>
      <sz val="11"/>
      <name val="Calibri"/>
      <family val="2"/>
    </font>
    <font>
      <b/>
      <sz val="11"/>
      <color indexed="8"/>
      <name val="Calibri"/>
      <family val="2"/>
    </font>
    <font>
      <b/>
      <sz val="10"/>
      <color indexed="8"/>
      <name val="Calibri"/>
      <family val="2"/>
      <scheme val="minor"/>
    </font>
    <font>
      <sz val="10"/>
      <color indexed="8"/>
      <name val="Calibri"/>
      <family val="2"/>
      <scheme val="minor"/>
    </font>
    <font>
      <b/>
      <u/>
      <sz val="10"/>
      <name val="Calibri"/>
      <family val="2"/>
      <scheme val="minor"/>
    </font>
    <font>
      <u/>
      <sz val="11"/>
      <color rgb="FF002060"/>
      <name val="Calibri"/>
      <family val="2"/>
      <scheme val="minor"/>
    </font>
    <font>
      <sz val="11"/>
      <name val="Calibri"/>
      <family val="2"/>
    </font>
    <font>
      <b/>
      <sz val="10"/>
      <name val="Arial"/>
      <family val="2"/>
    </font>
  </fonts>
  <fills count="4">
    <fill>
      <patternFill patternType="none"/>
    </fill>
    <fill>
      <patternFill patternType="gray125"/>
    </fill>
    <fill>
      <patternFill patternType="solid">
        <fgColor indexed="9"/>
      </patternFill>
    </fill>
    <fill>
      <patternFill patternType="solid">
        <fgColor theme="8" tint="0.79998168889431442"/>
        <bgColor indexed="64"/>
      </patternFill>
    </fill>
  </fills>
  <borders count="13">
    <border>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8"/>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8"/>
      </left>
      <right style="thin">
        <color indexed="8"/>
      </right>
      <top/>
      <bottom style="thin">
        <color indexed="8"/>
      </bottom>
      <diagonal/>
    </border>
    <border>
      <left style="thin">
        <color indexed="64"/>
      </left>
      <right/>
      <top/>
      <bottom/>
      <diagonal/>
    </border>
  </borders>
  <cellStyleXfs count="16">
    <xf numFmtId="0" fontId="0" fillId="0" borderId="0">
      <alignment wrapText="1"/>
    </xf>
    <xf numFmtId="0" fontId="5" fillId="0" borderId="0"/>
    <xf numFmtId="0" fontId="13" fillId="0" borderId="0">
      <alignment wrapText="1"/>
    </xf>
    <xf numFmtId="0" fontId="15" fillId="0" borderId="0" applyNumberFormat="0" applyFill="0" applyBorder="0" applyAlignment="0" applyProtection="0">
      <alignment wrapText="1"/>
    </xf>
    <xf numFmtId="43" fontId="19" fillId="0" borderId="0" applyFont="0" applyFill="0" applyBorder="0" applyAlignment="0" applyProtection="0"/>
    <xf numFmtId="9" fontId="19" fillId="0" borderId="0" applyFont="0" applyFill="0" applyBorder="0" applyAlignment="0" applyProtection="0"/>
    <xf numFmtId="0" fontId="4" fillId="0" borderId="0"/>
    <xf numFmtId="43" fontId="4" fillId="0" borderId="0" applyFont="0" applyFill="0" applyBorder="0" applyAlignment="0" applyProtection="0"/>
    <xf numFmtId="0" fontId="3" fillId="0" borderId="0"/>
    <xf numFmtId="0" fontId="13" fillId="0" borderId="0"/>
    <xf numFmtId="0" fontId="2" fillId="0" borderId="0"/>
    <xf numFmtId="180" fontId="13" fillId="0" borderId="0" applyFont="0" applyFill="0" applyBorder="0" applyAlignment="0" applyProtection="0"/>
    <xf numFmtId="0" fontId="13" fillId="0" borderId="0"/>
    <xf numFmtId="0" fontId="13" fillId="0" borderId="0"/>
    <xf numFmtId="0" fontId="13" fillId="0" borderId="0">
      <alignment wrapText="1"/>
    </xf>
    <xf numFmtId="0" fontId="1" fillId="0" borderId="0"/>
  </cellStyleXfs>
  <cellXfs count="294">
    <xf numFmtId="0" fontId="0" fillId="0" borderId="0" xfId="0">
      <alignment wrapText="1"/>
    </xf>
    <xf numFmtId="0" fontId="7" fillId="2" borderId="4" xfId="0" applyFont="1" applyFill="1" applyBorder="1" applyAlignment="1">
      <alignment horizontal="right" vertical="top" wrapText="1" readingOrder="1"/>
    </xf>
    <xf numFmtId="0" fontId="8" fillId="2" borderId="4" xfId="0" applyFont="1" applyFill="1" applyBorder="1" applyAlignment="1">
      <alignment horizontal="left" vertical="center" wrapText="1" readingOrder="1"/>
    </xf>
    <xf numFmtId="164" fontId="7" fillId="2" borderId="4" xfId="0" applyNumberFormat="1" applyFont="1" applyFill="1" applyBorder="1" applyAlignment="1">
      <alignment horizontal="right" vertical="center" wrapText="1" readingOrder="1"/>
    </xf>
    <xf numFmtId="0" fontId="7" fillId="2" borderId="4" xfId="0" applyFont="1" applyFill="1" applyBorder="1" applyAlignment="1">
      <alignment horizontal="left" vertical="center" wrapText="1" readingOrder="1"/>
    </xf>
    <xf numFmtId="165" fontId="7" fillId="2" borderId="4" xfId="0" applyNumberFormat="1" applyFont="1" applyFill="1" applyBorder="1" applyAlignment="1">
      <alignment horizontal="right" vertical="center" wrapText="1" readingOrder="1"/>
    </xf>
    <xf numFmtId="166" fontId="7" fillId="2" borderId="4" xfId="0" applyNumberFormat="1" applyFont="1" applyFill="1" applyBorder="1" applyAlignment="1">
      <alignment horizontal="right" vertical="center" wrapText="1" readingOrder="1"/>
    </xf>
    <xf numFmtId="167" fontId="7" fillId="2" borderId="4" xfId="0" applyNumberFormat="1" applyFont="1" applyFill="1" applyBorder="1" applyAlignment="1">
      <alignment horizontal="right" vertical="center" wrapText="1" readingOrder="1"/>
    </xf>
    <xf numFmtId="0" fontId="7" fillId="2" borderId="4" xfId="0" applyFont="1" applyFill="1" applyBorder="1" applyAlignment="1">
      <alignment horizontal="right" vertical="center" wrapText="1" readingOrder="1"/>
    </xf>
    <xf numFmtId="166" fontId="8" fillId="2" borderId="4" xfId="0" applyNumberFormat="1" applyFont="1" applyFill="1" applyBorder="1" applyAlignment="1">
      <alignment horizontal="right" vertical="center" wrapText="1" readingOrder="1"/>
    </xf>
    <xf numFmtId="167" fontId="8" fillId="2" borderId="4" xfId="0" applyNumberFormat="1" applyFont="1" applyFill="1" applyBorder="1" applyAlignment="1">
      <alignment horizontal="right" vertical="center" wrapText="1" readingOrder="1"/>
    </xf>
    <xf numFmtId="0" fontId="9" fillId="2" borderId="4" xfId="0" applyFont="1" applyFill="1" applyBorder="1" applyAlignment="1">
      <alignment horizontal="left" vertical="center" wrapText="1" readingOrder="1"/>
    </xf>
    <xf numFmtId="0" fontId="9" fillId="2" borderId="4" xfId="0" applyFont="1" applyFill="1" applyBorder="1" applyAlignment="1">
      <alignment horizontal="right" vertical="center" wrapText="1" readingOrder="1"/>
    </xf>
    <xf numFmtId="0" fontId="8" fillId="2" borderId="4" xfId="0" applyFont="1" applyFill="1" applyBorder="1" applyAlignment="1">
      <alignment horizontal="right" vertical="center" wrapText="1" readingOrder="1"/>
    </xf>
    <xf numFmtId="168" fontId="8" fillId="2" borderId="4" xfId="0" applyNumberFormat="1" applyFont="1" applyFill="1" applyBorder="1" applyAlignment="1">
      <alignment horizontal="right" vertical="center" wrapText="1" readingOrder="1"/>
    </xf>
    <xf numFmtId="0" fontId="9" fillId="2" borderId="5" xfId="0" applyFont="1" applyFill="1" applyBorder="1" applyAlignment="1">
      <alignment horizontal="left" vertical="center" wrapText="1" readingOrder="1"/>
    </xf>
    <xf numFmtId="0" fontId="9" fillId="2" borderId="5" xfId="0" applyFont="1" applyFill="1" applyBorder="1" applyAlignment="1">
      <alignment horizontal="right" vertical="center" wrapText="1" readingOrder="1"/>
    </xf>
    <xf numFmtId="0" fontId="9" fillId="2" borderId="0" xfId="0" applyFont="1" applyFill="1" applyAlignment="1">
      <alignment horizontal="left" vertical="center" wrapText="1" readingOrder="1"/>
    </xf>
    <xf numFmtId="0" fontId="7" fillId="2" borderId="0" xfId="0" applyFont="1" applyFill="1" applyAlignment="1">
      <alignment horizontal="left" vertical="center" wrapText="1" readingOrder="1"/>
    </xf>
    <xf numFmtId="0" fontId="9" fillId="2" borderId="0" xfId="0" applyFont="1" applyFill="1" applyAlignment="1">
      <alignment horizontal="right" vertical="center" wrapText="1" readingOrder="1"/>
    </xf>
    <xf numFmtId="0" fontId="9" fillId="2" borderId="6" xfId="0" applyFont="1" applyFill="1" applyBorder="1" applyAlignment="1">
      <alignment horizontal="right" vertical="center" wrapText="1" readingOrder="1"/>
    </xf>
    <xf numFmtId="0" fontId="7" fillId="2" borderId="0" xfId="0" applyFont="1" applyFill="1" applyAlignment="1">
      <alignment horizontal="right" vertical="top" wrapText="1" readingOrder="1"/>
    </xf>
    <xf numFmtId="0" fontId="8" fillId="2" borderId="4" xfId="0" applyFont="1" applyFill="1" applyBorder="1" applyAlignment="1">
      <alignment horizontal="right" vertical="top" wrapText="1" readingOrder="1"/>
    </xf>
    <xf numFmtId="0" fontId="8" fillId="2" borderId="4" xfId="0" applyFont="1" applyFill="1" applyBorder="1" applyAlignment="1">
      <alignment horizontal="left" vertical="top" wrapText="1" readingOrder="1"/>
    </xf>
    <xf numFmtId="169" fontId="7" fillId="2" borderId="4" xfId="0" applyNumberFormat="1" applyFont="1" applyFill="1" applyBorder="1" applyAlignment="1">
      <alignment horizontal="right" vertical="center" wrapText="1" readingOrder="1"/>
    </xf>
    <xf numFmtId="0" fontId="7" fillId="2" borderId="0" xfId="0" applyFont="1" applyFill="1" applyAlignment="1">
      <alignment horizontal="right" vertical="center" wrapText="1" readingOrder="1"/>
    </xf>
    <xf numFmtId="0" fontId="0" fillId="2" borderId="0" xfId="0" applyFill="1" applyAlignment="1">
      <alignment horizontal="center" vertical="top" readingOrder="1"/>
    </xf>
    <xf numFmtId="0" fontId="7" fillId="2" borderId="6" xfId="0" applyFont="1" applyFill="1" applyBorder="1" applyAlignment="1">
      <alignment horizontal="right" vertical="top" wrapText="1" readingOrder="1"/>
    </xf>
    <xf numFmtId="170" fontId="8" fillId="2" borderId="4" xfId="0" applyNumberFormat="1" applyFont="1" applyFill="1" applyBorder="1" applyAlignment="1">
      <alignment horizontal="left" vertical="center" wrapText="1" readingOrder="1"/>
    </xf>
    <xf numFmtId="0" fontId="10" fillId="2" borderId="4" xfId="0" applyFont="1" applyFill="1" applyBorder="1" applyAlignment="1">
      <alignment horizontal="left" vertical="center" wrapText="1" readingOrder="1"/>
    </xf>
    <xf numFmtId="0" fontId="10" fillId="2" borderId="4" xfId="0" applyFont="1" applyFill="1" applyBorder="1" applyAlignment="1">
      <alignment horizontal="right" vertical="center" wrapText="1" readingOrder="1"/>
    </xf>
    <xf numFmtId="171" fontId="7" fillId="2" borderId="4" xfId="0" applyNumberFormat="1" applyFont="1" applyFill="1" applyBorder="1" applyAlignment="1">
      <alignment horizontal="right" vertical="center" wrapText="1" readingOrder="1"/>
    </xf>
    <xf numFmtId="0" fontId="7" fillId="2" borderId="5" xfId="0" applyFont="1" applyFill="1" applyBorder="1" applyAlignment="1">
      <alignment horizontal="left" vertical="center" wrapText="1" readingOrder="1"/>
    </xf>
    <xf numFmtId="0" fontId="8" fillId="2" borderId="5" xfId="0" applyFont="1" applyFill="1" applyBorder="1" applyAlignment="1">
      <alignment horizontal="left" vertical="center" wrapText="1" readingOrder="1"/>
    </xf>
    <xf numFmtId="0" fontId="11" fillId="0" borderId="7" xfId="1" applyFont="1" applyBorder="1" applyAlignment="1">
      <alignment horizontal="center" vertical="center"/>
    </xf>
    <xf numFmtId="0" fontId="12" fillId="0" borderId="7" xfId="1" applyFont="1" applyBorder="1" applyAlignment="1">
      <alignment horizontal="center" vertical="center"/>
    </xf>
    <xf numFmtId="0" fontId="14" fillId="0" borderId="0" xfId="2" applyFont="1">
      <alignment wrapText="1"/>
    </xf>
    <xf numFmtId="0" fontId="14" fillId="0" borderId="7" xfId="2" applyFont="1" applyBorder="1" applyAlignment="1">
      <alignment horizontal="center" wrapText="1"/>
    </xf>
    <xf numFmtId="0" fontId="16" fillId="0" borderId="7" xfId="3" applyFont="1" applyBorder="1" applyAlignment="1"/>
    <xf numFmtId="0" fontId="14" fillId="0" borderId="7" xfId="2" applyFont="1" applyBorder="1" applyAlignment="1"/>
    <xf numFmtId="0" fontId="17" fillId="2" borderId="4" xfId="0" applyFont="1" applyFill="1" applyBorder="1" applyAlignment="1">
      <alignment horizontal="left" vertical="center" wrapText="1" readingOrder="1"/>
    </xf>
    <xf numFmtId="0" fontId="18" fillId="0" borderId="0" xfId="1" applyFont="1" applyAlignment="1">
      <alignment horizontal="left" vertical="center" wrapText="1" readingOrder="1"/>
    </xf>
    <xf numFmtId="0" fontId="18" fillId="0" borderId="0" xfId="1" applyFont="1" applyAlignment="1">
      <alignment horizontal="right" vertical="center" wrapText="1" readingOrder="1"/>
    </xf>
    <xf numFmtId="0" fontId="5" fillId="0" borderId="0" xfId="1" applyAlignment="1">
      <alignment wrapText="1"/>
    </xf>
    <xf numFmtId="0" fontId="17" fillId="0" borderId="4" xfId="0" applyFont="1" applyBorder="1" applyAlignment="1">
      <alignment horizontal="left" vertical="center" wrapText="1" readingOrder="1"/>
    </xf>
    <xf numFmtId="0" fontId="18" fillId="2" borderId="0" xfId="0" applyFont="1" applyFill="1" applyAlignment="1">
      <alignment horizontal="left" vertical="center" wrapText="1" readingOrder="1"/>
    </xf>
    <xf numFmtId="0" fontId="18" fillId="2" borderId="0" xfId="0" applyFont="1" applyFill="1" applyAlignment="1">
      <alignment horizontal="right" vertical="center" wrapText="1" readingOrder="1"/>
    </xf>
    <xf numFmtId="2" fontId="9" fillId="2" borderId="5" xfId="0" applyNumberFormat="1" applyFont="1" applyFill="1" applyBorder="1" applyAlignment="1">
      <alignment horizontal="right" vertical="center" wrapText="1" readingOrder="1"/>
    </xf>
    <xf numFmtId="173" fontId="9" fillId="2" borderId="5" xfId="0" applyNumberFormat="1" applyFont="1" applyFill="1" applyBorder="1" applyAlignment="1">
      <alignment horizontal="right" vertical="center" wrapText="1" readingOrder="1"/>
    </xf>
    <xf numFmtId="174" fontId="9" fillId="2" borderId="5" xfId="0" applyNumberFormat="1" applyFont="1" applyFill="1" applyBorder="1" applyAlignment="1">
      <alignment horizontal="right" vertical="center" wrapText="1" readingOrder="1"/>
    </xf>
    <xf numFmtId="175" fontId="0" fillId="0" borderId="0" xfId="0" applyNumberFormat="1">
      <alignment wrapText="1"/>
    </xf>
    <xf numFmtId="0" fontId="22" fillId="2" borderId="4" xfId="0" applyFont="1" applyFill="1" applyBorder="1" applyAlignment="1">
      <alignment horizontal="right" vertical="top" wrapText="1" readingOrder="1"/>
    </xf>
    <xf numFmtId="167" fontId="17" fillId="2" borderId="4" xfId="0" applyNumberFormat="1" applyFont="1" applyFill="1" applyBorder="1" applyAlignment="1">
      <alignment horizontal="right" vertical="center" wrapText="1" readingOrder="1"/>
    </xf>
    <xf numFmtId="0" fontId="13" fillId="0" borderId="0" xfId="2">
      <alignment wrapText="1"/>
    </xf>
    <xf numFmtId="4" fontId="8" fillId="2" borderId="4" xfId="0" applyNumberFormat="1" applyFont="1" applyFill="1" applyBorder="1" applyAlignment="1">
      <alignment horizontal="right" vertical="center" wrapText="1" readingOrder="1"/>
    </xf>
    <xf numFmtId="0" fontId="22" fillId="2" borderId="4" xfId="0" applyFont="1" applyFill="1" applyBorder="1" applyAlignment="1">
      <alignment horizontal="left" vertical="center" wrapText="1" readingOrder="1"/>
    </xf>
    <xf numFmtId="0" fontId="22" fillId="0" borderId="4" xfId="0" applyFont="1" applyBorder="1" applyAlignment="1">
      <alignment horizontal="left" vertical="center" wrapText="1" readingOrder="1"/>
    </xf>
    <xf numFmtId="0" fontId="18" fillId="2" borderId="0" xfId="0" applyFont="1" applyFill="1" applyAlignment="1">
      <alignment vertical="center" wrapText="1" readingOrder="1"/>
    </xf>
    <xf numFmtId="0" fontId="18" fillId="0" borderId="0" xfId="2" applyFont="1" applyAlignment="1">
      <alignment horizontal="left" vertical="center" wrapText="1" readingOrder="1"/>
    </xf>
    <xf numFmtId="0" fontId="18" fillId="0" borderId="0" xfId="2" applyFont="1" applyAlignment="1">
      <alignment horizontal="right" vertical="center" wrapText="1" readingOrder="1"/>
    </xf>
    <xf numFmtId="170" fontId="22" fillId="2" borderId="4" xfId="0" applyNumberFormat="1" applyFont="1" applyFill="1" applyBorder="1" applyAlignment="1">
      <alignment horizontal="left" vertical="center" wrapText="1" readingOrder="1"/>
    </xf>
    <xf numFmtId="0" fontId="0" fillId="0" borderId="0" xfId="0" applyAlignment="1">
      <alignment vertical="center" wrapText="1"/>
    </xf>
    <xf numFmtId="0" fontId="23" fillId="0" borderId="0" xfId="0" applyFont="1" applyAlignment="1">
      <alignment vertical="center"/>
    </xf>
    <xf numFmtId="0" fontId="24" fillId="0" borderId="7" xfId="0" applyFont="1" applyBorder="1" applyAlignment="1">
      <alignment horizontal="center" vertical="center" wrapText="1"/>
    </xf>
    <xf numFmtId="0" fontId="25" fillId="0" borderId="7" xfId="0" applyFont="1" applyBorder="1" applyAlignment="1">
      <alignment vertical="center" wrapText="1"/>
    </xf>
    <xf numFmtId="0" fontId="25" fillId="0" borderId="7" xfId="0" applyFont="1" applyBorder="1" applyAlignment="1">
      <alignment vertical="center"/>
    </xf>
    <xf numFmtId="2" fontId="25" fillId="0" borderId="7" xfId="0" applyNumberFormat="1" applyFont="1" applyBorder="1" applyAlignment="1">
      <alignment vertical="center"/>
    </xf>
    <xf numFmtId="10" fontId="23" fillId="0" borderId="7" xfId="5" applyNumberFormat="1" applyFont="1" applyFill="1" applyBorder="1" applyAlignment="1">
      <alignment vertical="center"/>
    </xf>
    <xf numFmtId="4" fontId="25" fillId="0" borderId="7" xfId="0" applyNumberFormat="1" applyFont="1" applyBorder="1" applyAlignment="1">
      <alignment vertical="center"/>
    </xf>
    <xf numFmtId="0" fontId="24" fillId="0" borderId="7" xfId="6" applyFont="1" applyBorder="1" applyAlignment="1">
      <alignment horizontal="center" vertical="center"/>
    </xf>
    <xf numFmtId="0" fontId="24" fillId="0" borderId="0" xfId="6" applyFont="1" applyAlignment="1">
      <alignment horizontal="center" vertical="center"/>
    </xf>
    <xf numFmtId="0" fontId="13" fillId="0" borderId="0" xfId="2" applyAlignment="1">
      <alignment vertical="center" wrapText="1"/>
    </xf>
    <xf numFmtId="0" fontId="23" fillId="0" borderId="7" xfId="6" applyFont="1" applyBorder="1" applyAlignment="1">
      <alignment vertical="center"/>
    </xf>
    <xf numFmtId="0" fontId="23" fillId="0" borderId="7" xfId="6" applyFont="1" applyBorder="1" applyAlignment="1">
      <alignment vertical="center" wrapText="1"/>
    </xf>
    <xf numFmtId="0" fontId="23" fillId="0" borderId="0" xfId="6" applyFont="1" applyAlignment="1">
      <alignment horizontal="center" vertical="center"/>
    </xf>
    <xf numFmtId="0" fontId="24" fillId="0" borderId="7" xfId="6" applyFont="1" applyBorder="1" applyAlignment="1">
      <alignment horizontal="center" vertical="center" wrapText="1"/>
    </xf>
    <xf numFmtId="0" fontId="23" fillId="0" borderId="7" xfId="6" applyFont="1" applyBorder="1" applyAlignment="1">
      <alignment horizontal="left" vertical="center"/>
    </xf>
    <xf numFmtId="2" fontId="23" fillId="0" borderId="7" xfId="6" applyNumberFormat="1" applyFont="1" applyBorder="1" applyAlignment="1">
      <alignment horizontal="right" vertical="center" wrapText="1"/>
    </xf>
    <xf numFmtId="4" fontId="23" fillId="0" borderId="7" xfId="6" applyNumberFormat="1" applyFont="1" applyBorder="1" applyAlignment="1">
      <alignment horizontal="right" vertical="center"/>
    </xf>
    <xf numFmtId="10" fontId="23" fillId="0" borderId="7" xfId="5" applyNumberFormat="1" applyFont="1" applyFill="1" applyBorder="1" applyAlignment="1">
      <alignment vertical="center" wrapText="1"/>
    </xf>
    <xf numFmtId="0" fontId="20" fillId="0" borderId="0" xfId="6" applyFont="1" applyAlignment="1">
      <alignment horizontal="center" vertical="center"/>
    </xf>
    <xf numFmtId="0" fontId="25" fillId="0" borderId="7" xfId="0" applyFont="1" applyBorder="1" applyAlignment="1">
      <alignment horizontal="justify" vertical="center"/>
    </xf>
    <xf numFmtId="4" fontId="21" fillId="0" borderId="0" xfId="6" applyNumberFormat="1" applyFont="1"/>
    <xf numFmtId="0" fontId="25" fillId="0" borderId="7" xfId="0" applyFont="1" applyBorder="1" applyAlignment="1">
      <alignment horizontal="justify" vertical="center" wrapText="1"/>
    </xf>
    <xf numFmtId="176" fontId="22" fillId="2" borderId="4" xfId="0" applyNumberFormat="1" applyFont="1" applyFill="1" applyBorder="1" applyAlignment="1">
      <alignment horizontal="left" vertical="center" wrapText="1" readingOrder="1"/>
    </xf>
    <xf numFmtId="14" fontId="25" fillId="0" borderId="7" xfId="0" applyNumberFormat="1" applyFont="1" applyBorder="1" applyAlignment="1">
      <alignment horizontal="justify" vertical="center" wrapText="1"/>
    </xf>
    <xf numFmtId="0" fontId="23" fillId="0" borderId="0" xfId="0" applyFont="1" applyAlignment="1"/>
    <xf numFmtId="177" fontId="23" fillId="0" borderId="0" xfId="4" applyNumberFormat="1" applyFont="1" applyFill="1"/>
    <xf numFmtId="43" fontId="23" fillId="0" borderId="0" xfId="4" applyFont="1" applyFill="1"/>
    <xf numFmtId="0" fontId="25" fillId="0" borderId="7" xfId="0" applyFont="1" applyBorder="1">
      <alignment wrapText="1"/>
    </xf>
    <xf numFmtId="177" fontId="23" fillId="0" borderId="0" xfId="4" applyNumberFormat="1" applyFont="1"/>
    <xf numFmtId="43" fontId="23" fillId="0" borderId="0" xfId="4" applyFont="1"/>
    <xf numFmtId="0" fontId="24" fillId="0" borderId="7" xfId="0" applyFont="1" applyBorder="1" applyAlignment="1">
      <alignment horizontal="left" wrapText="1"/>
    </xf>
    <xf numFmtId="0" fontId="24" fillId="0" borderId="7" xfId="0" applyFont="1" applyBorder="1" applyAlignment="1">
      <alignment horizontal="center" wrapText="1"/>
    </xf>
    <xf numFmtId="0" fontId="25" fillId="0" borderId="7" xfId="0" applyFont="1" applyBorder="1" applyAlignment="1">
      <alignment horizontal="left" vertical="center" wrapText="1"/>
    </xf>
    <xf numFmtId="0" fontId="25" fillId="0" borderId="7" xfId="0" applyFont="1" applyBorder="1" applyAlignment="1">
      <alignment horizontal="center" vertical="center"/>
    </xf>
    <xf numFmtId="4" fontId="25" fillId="0" borderId="7" xfId="7" applyNumberFormat="1" applyFont="1" applyFill="1" applyBorder="1" applyAlignment="1">
      <alignment horizontal="center" vertical="center"/>
    </xf>
    <xf numFmtId="10" fontId="25" fillId="0" borderId="7" xfId="7" applyNumberFormat="1" applyFont="1" applyFill="1" applyBorder="1" applyAlignment="1">
      <alignment horizontal="center" vertical="center"/>
    </xf>
    <xf numFmtId="4" fontId="25" fillId="0" borderId="7" xfId="0" applyNumberFormat="1" applyFont="1" applyBorder="1" applyAlignment="1">
      <alignment horizontal="center" vertical="center"/>
    </xf>
    <xf numFmtId="0" fontId="25" fillId="0" borderId="0" xfId="0" applyFont="1" applyAlignment="1"/>
    <xf numFmtId="0" fontId="25" fillId="0" borderId="7" xfId="0" applyFont="1" applyBorder="1" applyAlignment="1">
      <alignment horizontal="left" vertical="center"/>
    </xf>
    <xf numFmtId="43" fontId="25" fillId="0" borderId="7" xfId="7" applyFont="1" applyFill="1" applyBorder="1" applyAlignment="1">
      <alignment horizontal="right" vertical="center"/>
    </xf>
    <xf numFmtId="43" fontId="25" fillId="0" borderId="7" xfId="7" applyFont="1" applyFill="1" applyBorder="1" applyAlignment="1">
      <alignment horizontal="center" vertical="center"/>
    </xf>
    <xf numFmtId="4" fontId="25" fillId="0" borderId="7" xfId="0" applyNumberFormat="1" applyFont="1" applyBorder="1" applyAlignment="1">
      <alignment horizontal="right" vertical="center"/>
    </xf>
    <xf numFmtId="0" fontId="27" fillId="0" borderId="7" xfId="8" applyFont="1" applyBorder="1" applyAlignment="1">
      <alignment horizontal="center" vertical="center" wrapText="1" readingOrder="1"/>
    </xf>
    <xf numFmtId="166" fontId="17" fillId="0" borderId="4" xfId="0" applyNumberFormat="1" applyFont="1" applyBorder="1" applyAlignment="1">
      <alignment horizontal="right" vertical="center" wrapText="1" readingOrder="1"/>
    </xf>
    <xf numFmtId="0" fontId="27" fillId="0" borderId="11" xfId="0" applyFont="1" applyBorder="1" applyAlignment="1">
      <alignment horizontal="center" vertical="center" wrapText="1" readingOrder="1"/>
    </xf>
    <xf numFmtId="0" fontId="6" fillId="2" borderId="4" xfId="0" applyFont="1" applyFill="1" applyBorder="1" applyAlignment="1">
      <alignment horizontal="center" vertical="center" wrapText="1" readingOrder="1"/>
    </xf>
    <xf numFmtId="0" fontId="0" fillId="0" borderId="0" xfId="0" applyAlignment="1">
      <alignment horizontal="center" vertical="center" wrapText="1"/>
    </xf>
    <xf numFmtId="0" fontId="12" fillId="0" borderId="7" xfId="9" applyFont="1" applyBorder="1" applyAlignment="1">
      <alignment horizontal="center" vertical="center" wrapText="1"/>
    </xf>
    <xf numFmtId="0" fontId="25" fillId="0" borderId="7" xfId="10" applyFont="1" applyBorder="1" applyProtection="1">
      <protection locked="0"/>
    </xf>
    <xf numFmtId="0" fontId="26" fillId="0" borderId="7" xfId="10" applyFont="1" applyBorder="1" applyAlignment="1" applyProtection="1">
      <alignment wrapText="1"/>
      <protection locked="0"/>
    </xf>
    <xf numFmtId="0" fontId="25" fillId="0" borderId="7" xfId="10" applyFont="1" applyBorder="1" applyAlignment="1">
      <alignment horizontal="right"/>
    </xf>
    <xf numFmtId="0" fontId="25" fillId="0" borderId="7" xfId="10" applyFont="1" applyBorder="1" applyAlignment="1">
      <alignment horizontal="center"/>
    </xf>
    <xf numFmtId="0" fontId="25" fillId="0" borderId="7" xfId="10" applyFont="1" applyBorder="1"/>
    <xf numFmtId="0" fontId="26" fillId="0" borderId="7" xfId="9" applyFont="1" applyBorder="1" applyAlignment="1">
      <alignment vertical="center" wrapText="1"/>
    </xf>
    <xf numFmtId="178" fontId="26" fillId="0" borderId="7" xfId="9" applyNumberFormat="1" applyFont="1" applyBorder="1" applyAlignment="1">
      <alignment vertical="center" wrapText="1"/>
    </xf>
    <xf numFmtId="180" fontId="25" fillId="0" borderId="7" xfId="11" applyFont="1" applyFill="1" applyBorder="1" applyAlignment="1">
      <alignment horizontal="right"/>
    </xf>
    <xf numFmtId="0" fontId="26" fillId="0" borderId="7" xfId="10" applyFont="1" applyBorder="1" applyProtection="1">
      <protection locked="0"/>
    </xf>
    <xf numFmtId="180" fontId="25" fillId="0" borderId="7" xfId="11" applyFont="1" applyFill="1" applyBorder="1" applyAlignment="1" applyProtection="1">
      <alignment horizontal="right"/>
      <protection locked="0"/>
    </xf>
    <xf numFmtId="0" fontId="25" fillId="0" borderId="7" xfId="8" applyFont="1" applyBorder="1"/>
    <xf numFmtId="180" fontId="25" fillId="0" borderId="7" xfId="11" applyFont="1" applyFill="1" applyBorder="1"/>
    <xf numFmtId="2" fontId="25" fillId="0" borderId="7" xfId="10" applyNumberFormat="1" applyFont="1" applyBorder="1" applyAlignment="1">
      <alignment horizontal="right"/>
    </xf>
    <xf numFmtId="0" fontId="26" fillId="0" borderId="7" xfId="10" applyFont="1" applyBorder="1"/>
    <xf numFmtId="0" fontId="29" fillId="0" borderId="0" xfId="12" applyFont="1" applyAlignment="1">
      <alignment horizontal="left" vertical="center" wrapText="1"/>
    </xf>
    <xf numFmtId="0" fontId="30" fillId="0" borderId="0" xfId="12" applyFont="1" applyAlignment="1">
      <alignment vertical="center"/>
    </xf>
    <xf numFmtId="43" fontId="30" fillId="0" borderId="0" xfId="12" applyNumberFormat="1" applyFont="1" applyAlignment="1">
      <alignment vertical="center"/>
    </xf>
    <xf numFmtId="4" fontId="31" fillId="0" borderId="0" xfId="8" applyNumberFormat="1" applyFont="1"/>
    <xf numFmtId="2" fontId="30" fillId="0" borderId="0" xfId="12" applyNumberFormat="1" applyFont="1" applyAlignment="1">
      <alignment vertical="center"/>
    </xf>
    <xf numFmtId="0" fontId="25" fillId="0" borderId="0" xfId="13" applyFont="1" applyAlignment="1">
      <alignment vertical="center"/>
    </xf>
    <xf numFmtId="0" fontId="30" fillId="0" borderId="7" xfId="12" applyFont="1" applyBorder="1" applyAlignment="1">
      <alignment vertical="center"/>
    </xf>
    <xf numFmtId="0" fontId="26" fillId="0" borderId="7" xfId="13" applyFont="1" applyBorder="1" applyAlignment="1">
      <alignment horizontal="center" vertical="center"/>
    </xf>
    <xf numFmtId="0" fontId="29" fillId="0" borderId="0" xfId="12" applyFont="1" applyAlignment="1">
      <alignment vertical="center"/>
    </xf>
    <xf numFmtId="0" fontId="26" fillId="0" borderId="7" xfId="13" applyFont="1" applyBorder="1" applyAlignment="1">
      <alignment vertical="center"/>
    </xf>
    <xf numFmtId="14" fontId="11" fillId="0" borderId="7" xfId="8" applyNumberFormat="1" applyFont="1" applyBorder="1"/>
    <xf numFmtId="14" fontId="29" fillId="0" borderId="0" xfId="12" applyNumberFormat="1" applyFont="1" applyAlignment="1">
      <alignment horizontal="center"/>
    </xf>
    <xf numFmtId="0" fontId="23" fillId="0" borderId="0" xfId="8" applyFont="1"/>
    <xf numFmtId="0" fontId="30" fillId="0" borderId="7" xfId="12" applyFont="1" applyBorder="1" applyAlignment="1">
      <alignment horizontal="left" vertical="center"/>
    </xf>
    <xf numFmtId="181" fontId="23" fillId="0" borderId="7" xfId="8" applyNumberFormat="1" applyFont="1" applyBorder="1"/>
    <xf numFmtId="181" fontId="23" fillId="0" borderId="0" xfId="8" applyNumberFormat="1" applyFont="1"/>
    <xf numFmtId="10" fontId="23" fillId="0" borderId="0" xfId="8" applyNumberFormat="1" applyFont="1"/>
    <xf numFmtId="0" fontId="25" fillId="0" borderId="0" xfId="12" applyFont="1" applyAlignment="1">
      <alignment horizontal="center" vertical="center"/>
    </xf>
    <xf numFmtId="0" fontId="30" fillId="0" borderId="0" xfId="12" quotePrefix="1" applyFont="1" applyAlignment="1">
      <alignment vertical="center"/>
    </xf>
    <xf numFmtId="0" fontId="25" fillId="0" borderId="0" xfId="8" applyFont="1" applyAlignment="1">
      <alignment vertical="center" wrapText="1"/>
    </xf>
    <xf numFmtId="0" fontId="2" fillId="0" borderId="0" xfId="8" applyFont="1"/>
    <xf numFmtId="0" fontId="12" fillId="0" borderId="7" xfId="0" applyFont="1" applyBorder="1" applyAlignment="1">
      <alignment horizontal="center" vertical="center" wrapText="1" readingOrder="1"/>
    </xf>
    <xf numFmtId="0" fontId="2" fillId="0" borderId="7" xfId="8" applyFont="1" applyBorder="1"/>
    <xf numFmtId="179" fontId="2" fillId="0" borderId="7" xfId="8" applyNumberFormat="1" applyFont="1" applyBorder="1"/>
    <xf numFmtId="10" fontId="2" fillId="0" borderId="7" xfId="8" applyNumberFormat="1" applyFont="1" applyBorder="1"/>
    <xf numFmtId="0" fontId="29" fillId="2" borderId="4" xfId="0" applyFont="1" applyFill="1" applyBorder="1" applyAlignment="1">
      <alignment horizontal="left" vertical="center" wrapText="1" readingOrder="1"/>
    </xf>
    <xf numFmtId="43" fontId="2" fillId="0" borderId="7" xfId="8" applyNumberFormat="1" applyFont="1" applyBorder="1"/>
    <xf numFmtId="4" fontId="24" fillId="0" borderId="7" xfId="0" applyNumberFormat="1" applyFont="1" applyBorder="1" applyAlignment="1"/>
    <xf numFmtId="4" fontId="2" fillId="0" borderId="0" xfId="8" applyNumberFormat="1" applyFont="1"/>
    <xf numFmtId="172" fontId="2" fillId="0" borderId="0" xfId="8" applyNumberFormat="1" applyFont="1"/>
    <xf numFmtId="0" fontId="30" fillId="0" borderId="4" xfId="0" applyFont="1" applyBorder="1" applyAlignment="1">
      <alignment horizontal="left" vertical="center" wrapText="1" readingOrder="1"/>
    </xf>
    <xf numFmtId="0" fontId="30" fillId="0" borderId="7" xfId="0" applyFont="1" applyBorder="1" applyAlignment="1">
      <alignment horizontal="left" vertical="center" wrapText="1" readingOrder="1"/>
    </xf>
    <xf numFmtId="0" fontId="30" fillId="0" borderId="0" xfId="0" applyFont="1" applyAlignment="1">
      <alignment vertical="center" readingOrder="1"/>
    </xf>
    <xf numFmtId="0" fontId="30" fillId="0" borderId="0" xfId="0" applyFont="1" applyAlignment="1">
      <alignment vertical="center" wrapText="1" readingOrder="1"/>
    </xf>
    <xf numFmtId="0" fontId="25" fillId="0" borderId="7" xfId="10" applyFont="1" applyBorder="1" applyAlignment="1" applyProtection="1">
      <alignment vertical="center" wrapText="1"/>
      <protection locked="0"/>
    </xf>
    <xf numFmtId="0" fontId="32" fillId="3" borderId="0" xfId="3" applyFont="1" applyFill="1" applyBorder="1" applyAlignment="1">
      <alignment horizontal="center" vertical="center" wrapText="1"/>
    </xf>
    <xf numFmtId="0" fontId="0" fillId="0" borderId="0" xfId="0" applyAlignment="1">
      <alignment horizontal="center" wrapText="1"/>
    </xf>
    <xf numFmtId="0" fontId="11" fillId="0" borderId="0" xfId="0" applyFont="1" applyAlignment="1">
      <alignment horizontal="left" vertical="center"/>
    </xf>
    <xf numFmtId="0" fontId="0" fillId="0" borderId="0" xfId="0" applyAlignment="1"/>
    <xf numFmtId="0" fontId="13" fillId="0" borderId="0" xfId="2" applyAlignment="1">
      <alignment horizontal="center" vertical="center" wrapText="1"/>
    </xf>
    <xf numFmtId="0" fontId="13" fillId="0" borderId="0" xfId="0" applyFont="1">
      <alignment wrapText="1"/>
    </xf>
    <xf numFmtId="0" fontId="33" fillId="0" borderId="0" xfId="0" applyFont="1" applyAlignment="1">
      <alignment vertical="center" wrapText="1"/>
    </xf>
    <xf numFmtId="0" fontId="11" fillId="0" borderId="0" xfId="0" applyFont="1" applyAlignment="1">
      <alignment horizontal="left" vertical="top"/>
    </xf>
    <xf numFmtId="0" fontId="34" fillId="0" borderId="0" xfId="0" applyFont="1">
      <alignment wrapText="1"/>
    </xf>
    <xf numFmtId="0" fontId="11" fillId="0" borderId="0" xfId="0" applyFont="1" applyAlignment="1">
      <alignment horizontal="left"/>
    </xf>
    <xf numFmtId="0" fontId="14" fillId="0" borderId="0" xfId="15" applyFont="1"/>
    <xf numFmtId="0" fontId="1" fillId="0" borderId="0" xfId="15"/>
    <xf numFmtId="0" fontId="1" fillId="0" borderId="0" xfId="15" applyAlignment="1">
      <alignment horizontal="center" vertical="center"/>
    </xf>
    <xf numFmtId="0" fontId="14" fillId="0" borderId="0" xfId="15" applyFont="1" applyAlignment="1">
      <alignment horizontal="center" vertical="center"/>
    </xf>
    <xf numFmtId="178" fontId="14" fillId="0" borderId="0" xfId="15" applyNumberFormat="1" applyFont="1" applyAlignment="1">
      <alignment horizontal="center" vertical="center"/>
    </xf>
    <xf numFmtId="0" fontId="12" fillId="0" borderId="0" xfId="0" applyFont="1" applyAlignment="1">
      <alignment horizontal="left" vertical="center"/>
    </xf>
    <xf numFmtId="0" fontId="12" fillId="0" borderId="0" xfId="14" applyFont="1" applyAlignment="1">
      <alignment horizontal="center" vertical="center" wrapText="1"/>
    </xf>
    <xf numFmtId="0" fontId="7" fillId="2" borderId="1" xfId="0" applyFont="1" applyFill="1" applyBorder="1" applyAlignment="1">
      <alignment horizontal="left" vertical="center" wrapText="1" readingOrder="1"/>
    </xf>
    <xf numFmtId="0" fontId="7" fillId="2" borderId="3" xfId="0" applyFont="1" applyFill="1" applyBorder="1" applyAlignment="1">
      <alignment horizontal="left" vertical="center" wrapText="1" readingOrder="1"/>
    </xf>
    <xf numFmtId="0" fontId="7" fillId="2" borderId="0" xfId="0" applyFont="1" applyFill="1" applyAlignment="1">
      <alignment horizontal="left" vertical="center" wrapText="1" readingOrder="1"/>
    </xf>
    <xf numFmtId="0" fontId="8" fillId="2" borderId="1" xfId="0" applyFont="1" applyFill="1" applyBorder="1" applyAlignment="1">
      <alignment horizontal="left" vertical="center" wrapText="1" readingOrder="1"/>
    </xf>
    <xf numFmtId="0" fontId="8" fillId="2" borderId="2" xfId="0" applyFont="1" applyFill="1" applyBorder="1" applyAlignment="1">
      <alignment horizontal="left" vertical="center" wrapText="1" readingOrder="1"/>
    </xf>
    <xf numFmtId="0" fontId="8" fillId="2" borderId="3" xfId="0" applyFont="1" applyFill="1" applyBorder="1" applyAlignment="1">
      <alignment horizontal="left" vertical="center" wrapText="1" readingOrder="1"/>
    </xf>
    <xf numFmtId="0" fontId="28" fillId="0" borderId="7" xfId="0" applyFont="1" applyBorder="1" applyAlignment="1">
      <alignment horizontal="center" vertical="center" wrapText="1" readingOrder="1"/>
    </xf>
    <xf numFmtId="0" fontId="28" fillId="0" borderId="8" xfId="0" applyFont="1" applyBorder="1" applyAlignment="1">
      <alignment horizontal="center" vertical="center" readingOrder="1"/>
    </xf>
    <xf numFmtId="0" fontId="28" fillId="0" borderId="10" xfId="0" applyFont="1" applyBorder="1" applyAlignment="1">
      <alignment horizontal="center" vertical="center" readingOrder="1"/>
    </xf>
    <xf numFmtId="0" fontId="28" fillId="0" borderId="9" xfId="0" applyFont="1" applyBorder="1" applyAlignment="1">
      <alignment horizontal="center" vertical="center" readingOrder="1"/>
    </xf>
    <xf numFmtId="0" fontId="28" fillId="0" borderId="8" xfId="0" applyFont="1" applyBorder="1" applyAlignment="1">
      <alignment horizontal="center" vertical="center" wrapText="1" readingOrder="1"/>
    </xf>
    <xf numFmtId="0" fontId="28" fillId="0" borderId="10" xfId="0" applyFont="1" applyBorder="1" applyAlignment="1">
      <alignment horizontal="center" vertical="center" wrapText="1" readingOrder="1"/>
    </xf>
    <xf numFmtId="0" fontId="28" fillId="0" borderId="9" xfId="0" applyFont="1" applyBorder="1" applyAlignment="1">
      <alignment horizontal="center" vertical="center" wrapText="1" readingOrder="1"/>
    </xf>
    <xf numFmtId="0" fontId="28" fillId="0" borderId="7" xfId="0" applyFont="1" applyBorder="1" applyAlignment="1">
      <alignment horizontal="center" vertical="center" readingOrder="1"/>
    </xf>
    <xf numFmtId="0" fontId="17" fillId="2" borderId="1" xfId="0" applyFont="1" applyFill="1" applyBorder="1" applyAlignment="1">
      <alignment horizontal="left" vertical="center" wrapText="1" readingOrder="1"/>
    </xf>
    <xf numFmtId="0" fontId="17" fillId="0" borderId="0" xfId="0" applyFont="1" applyAlignment="1">
      <alignment horizontal="left" vertical="center" wrapText="1" readingOrder="1"/>
    </xf>
    <xf numFmtId="0" fontId="17" fillId="2" borderId="0" xfId="0" applyFont="1" applyFill="1" applyAlignment="1">
      <alignment horizontal="left" vertical="center" wrapText="1" readingOrder="1"/>
    </xf>
    <xf numFmtId="0" fontId="24" fillId="0" borderId="8" xfId="6" applyFont="1" applyBorder="1" applyAlignment="1">
      <alignment horizontal="center" vertical="center" wrapText="1"/>
    </xf>
    <xf numFmtId="0" fontId="24" fillId="0" borderId="9" xfId="6" applyFont="1" applyBorder="1" applyAlignment="1">
      <alignment horizontal="center" vertical="center" wrapText="1"/>
    </xf>
    <xf numFmtId="0" fontId="24" fillId="0" borderId="7" xfId="6" applyFont="1" applyBorder="1" applyAlignment="1">
      <alignment horizontal="center" vertical="center"/>
    </xf>
    <xf numFmtId="0" fontId="23" fillId="0" borderId="8" xfId="4" applyNumberFormat="1" applyFont="1" applyFill="1" applyBorder="1" applyAlignment="1">
      <alignment horizontal="center" vertical="center"/>
    </xf>
    <xf numFmtId="0" fontId="23" fillId="0" borderId="9" xfId="4" applyNumberFormat="1" applyFont="1" applyFill="1" applyBorder="1" applyAlignment="1">
      <alignment horizontal="center" vertical="center"/>
    </xf>
    <xf numFmtId="0" fontId="17" fillId="0" borderId="0" xfId="2" applyFont="1" applyAlignment="1">
      <alignment horizontal="left" vertical="center" wrapText="1" readingOrder="1"/>
    </xf>
    <xf numFmtId="0" fontId="24" fillId="0" borderId="8" xfId="6" applyFont="1" applyBorder="1" applyAlignment="1">
      <alignment horizontal="center" vertical="center"/>
    </xf>
    <xf numFmtId="0" fontId="24" fillId="0" borderId="10" xfId="6" applyFont="1" applyBorder="1" applyAlignment="1">
      <alignment horizontal="center" vertical="center"/>
    </xf>
    <xf numFmtId="0" fontId="24" fillId="0" borderId="9" xfId="6" applyFont="1" applyBorder="1" applyAlignment="1">
      <alignment horizontal="center" vertical="center"/>
    </xf>
    <xf numFmtId="0" fontId="23" fillId="0" borderId="8" xfId="6" applyFont="1" applyBorder="1" applyAlignment="1">
      <alignment horizontal="left" vertical="center" wrapText="1"/>
    </xf>
    <xf numFmtId="0" fontId="23" fillId="0" borderId="10" xfId="6" applyFont="1" applyBorder="1" applyAlignment="1">
      <alignment horizontal="left" vertical="center" wrapText="1"/>
    </xf>
    <xf numFmtId="0" fontId="23" fillId="0" borderId="9" xfId="6" applyFont="1" applyBorder="1" applyAlignment="1">
      <alignment horizontal="left" vertical="center" wrapText="1"/>
    </xf>
    <xf numFmtId="0" fontId="26" fillId="0" borderId="8" xfId="0" applyFont="1" applyBorder="1" applyAlignment="1">
      <alignment horizontal="center" vertical="center"/>
    </xf>
    <xf numFmtId="0" fontId="26" fillId="0" borderId="10" xfId="0" applyFont="1" applyBorder="1" applyAlignment="1">
      <alignment horizontal="center" vertical="center"/>
    </xf>
    <xf numFmtId="0" fontId="26" fillId="0" borderId="9" xfId="0" applyFont="1" applyBorder="1" applyAlignment="1">
      <alignment horizontal="center" vertical="center"/>
    </xf>
    <xf numFmtId="0" fontId="17" fillId="2" borderId="7" xfId="0" applyFont="1" applyFill="1" applyBorder="1" applyAlignment="1">
      <alignment horizontal="left" vertical="center" wrapText="1" readingOrder="1"/>
    </xf>
    <xf numFmtId="0" fontId="17" fillId="2" borderId="8" xfId="0" applyFont="1" applyFill="1" applyBorder="1" applyAlignment="1">
      <alignment horizontal="left" vertical="center" wrapText="1" readingOrder="1"/>
    </xf>
    <xf numFmtId="0" fontId="17" fillId="2" borderId="9" xfId="0" applyFont="1" applyFill="1" applyBorder="1" applyAlignment="1">
      <alignment horizontal="left" vertical="center" wrapText="1" readingOrder="1"/>
    </xf>
    <xf numFmtId="0" fontId="17" fillId="2" borderId="10" xfId="0" applyFont="1" applyFill="1" applyBorder="1" applyAlignment="1">
      <alignment horizontal="left" vertical="center" wrapText="1" readingOrder="1"/>
    </xf>
    <xf numFmtId="0" fontId="17" fillId="2" borderId="3" xfId="0" applyFont="1" applyFill="1" applyBorder="1" applyAlignment="1">
      <alignment horizontal="left" vertical="center" wrapText="1" readingOrder="1"/>
    </xf>
    <xf numFmtId="0" fontId="30" fillId="0" borderId="0" xfId="12" applyFont="1" applyAlignment="1">
      <alignment horizontal="left" vertical="center"/>
    </xf>
    <xf numFmtId="0" fontId="23" fillId="0" borderId="0" xfId="8" applyFont="1" applyAlignment="1">
      <alignment horizontal="left"/>
    </xf>
    <xf numFmtId="0" fontId="12" fillId="0" borderId="7" xfId="9" applyFont="1" applyBorder="1" applyAlignment="1">
      <alignment horizontal="center" vertical="center"/>
    </xf>
    <xf numFmtId="0" fontId="30" fillId="0" borderId="8" xfId="12" applyFont="1" applyBorder="1" applyAlignment="1">
      <alignment horizontal="left" vertical="center"/>
    </xf>
    <xf numFmtId="0" fontId="30" fillId="0" borderId="10" xfId="12" applyFont="1" applyBorder="1" applyAlignment="1">
      <alignment horizontal="left" vertical="center"/>
    </xf>
    <xf numFmtId="0" fontId="30" fillId="0" borderId="9" xfId="12" applyFont="1" applyBorder="1" applyAlignment="1">
      <alignment horizontal="left" vertical="center"/>
    </xf>
    <xf numFmtId="0" fontId="30" fillId="0" borderId="0" xfId="12" applyFont="1" applyAlignment="1">
      <alignment horizontal="left"/>
    </xf>
    <xf numFmtId="0" fontId="26" fillId="0" borderId="0" xfId="0" applyFont="1" applyAlignment="1"/>
    <xf numFmtId="0" fontId="26" fillId="0" borderId="0" xfId="0" applyFont="1" applyAlignment="1">
      <alignment horizontal="center"/>
    </xf>
    <xf numFmtId="0" fontId="26" fillId="0" borderId="7" xfId="0" applyFont="1" applyBorder="1" applyAlignment="1">
      <alignment horizontal="center" vertical="top"/>
    </xf>
    <xf numFmtId="0" fontId="26" fillId="0" borderId="7" xfId="0" applyFont="1" applyBorder="1" applyAlignment="1">
      <alignment horizontal="center" vertical="top" wrapText="1"/>
    </xf>
    <xf numFmtId="0" fontId="25" fillId="0" borderId="7" xfId="0" applyFont="1" applyBorder="1" applyAlignment="1">
      <alignment horizontal="left" vertical="top"/>
    </xf>
    <xf numFmtId="0" fontId="25" fillId="0" borderId="7" xfId="0" applyFont="1" applyBorder="1" applyAlignment="1">
      <alignment horizontal="center" vertical="top"/>
    </xf>
    <xf numFmtId="176" fontId="17" fillId="2" borderId="4" xfId="0" applyNumberFormat="1" applyFont="1" applyFill="1" applyBorder="1" applyAlignment="1">
      <alignment horizontal="right" vertical="center" readingOrder="1"/>
    </xf>
    <xf numFmtId="2" fontId="25" fillId="0" borderId="7" xfId="0" applyNumberFormat="1" applyFont="1" applyBorder="1" applyAlignment="1">
      <alignment horizontal="right" vertical="top" wrapText="1"/>
    </xf>
    <xf numFmtId="0" fontId="17" fillId="2" borderId="11" xfId="0" applyFont="1" applyFill="1" applyBorder="1" applyAlignment="1">
      <alignment horizontal="left" vertical="center" readingOrder="1"/>
    </xf>
    <xf numFmtId="0" fontId="17" fillId="2" borderId="4" xfId="0" applyFont="1" applyFill="1" applyBorder="1" applyAlignment="1">
      <alignment horizontal="left" vertical="center" readingOrder="1"/>
    </xf>
    <xf numFmtId="176" fontId="17" fillId="2" borderId="4" xfId="0" applyNumberFormat="1" applyFont="1" applyFill="1" applyBorder="1" applyAlignment="1">
      <alignment vertical="center" readingOrder="1"/>
    </xf>
    <xf numFmtId="4" fontId="17" fillId="2" borderId="4" xfId="0" applyNumberFormat="1" applyFont="1" applyFill="1" applyBorder="1" applyAlignment="1">
      <alignment horizontal="right" vertical="center" readingOrder="1"/>
    </xf>
    <xf numFmtId="2" fontId="25" fillId="0" borderId="12" xfId="0" applyNumberFormat="1" applyFont="1" applyBorder="1" applyAlignment="1">
      <alignment horizontal="right" vertical="top" wrapText="1"/>
    </xf>
    <xf numFmtId="176" fontId="17" fillId="2" borderId="4" xfId="0" applyNumberFormat="1" applyFont="1" applyFill="1" applyBorder="1" applyAlignment="1">
      <alignment horizontal="right" vertical="center" wrapText="1" readingOrder="1"/>
    </xf>
    <xf numFmtId="4" fontId="25" fillId="0" borderId="7" xfId="0" applyNumberFormat="1" applyFont="1" applyBorder="1" applyAlignment="1"/>
    <xf numFmtId="2" fontId="25" fillId="0" borderId="0" xfId="0" applyNumberFormat="1" applyFont="1" applyAlignment="1">
      <alignment horizontal="left" vertical="top"/>
    </xf>
    <xf numFmtId="176" fontId="25" fillId="0" borderId="0" xfId="0" applyNumberFormat="1" applyFont="1" applyAlignment="1"/>
    <xf numFmtId="0" fontId="26" fillId="0" borderId="7" xfId="0" applyFont="1" applyBorder="1" applyAlignment="1">
      <alignment horizontal="center"/>
    </xf>
    <xf numFmtId="10" fontId="25" fillId="0" borderId="7" xfId="5" applyNumberFormat="1" applyFont="1" applyFill="1" applyBorder="1" applyAlignment="1">
      <alignment horizontal="center"/>
    </xf>
    <xf numFmtId="10" fontId="25" fillId="0" borderId="7" xfId="0" applyNumberFormat="1" applyFont="1" applyBorder="1" applyAlignment="1">
      <alignment horizontal="center"/>
    </xf>
    <xf numFmtId="0" fontId="25" fillId="0" borderId="7" xfId="0" applyFont="1" applyBorder="1" applyAlignment="1"/>
    <xf numFmtId="37" fontId="25" fillId="0" borderId="7" xfId="4" applyNumberFormat="1" applyFont="1" applyFill="1" applyBorder="1" applyAlignment="1">
      <alignment horizontal="center"/>
    </xf>
    <xf numFmtId="180" fontId="25" fillId="0" borderId="7" xfId="4" applyNumberFormat="1" applyFont="1" applyFill="1" applyBorder="1"/>
    <xf numFmtId="43" fontId="25" fillId="0" borderId="0" xfId="4" applyFont="1" applyFill="1" applyBorder="1"/>
    <xf numFmtId="180" fontId="25" fillId="0" borderId="0" xfId="0" applyNumberFormat="1" applyFont="1" applyAlignment="1"/>
    <xf numFmtId="4" fontId="25" fillId="0" borderId="0" xfId="0" applyNumberFormat="1" applyFont="1" applyAlignment="1"/>
    <xf numFmtId="180" fontId="26" fillId="0" borderId="7" xfId="4" applyNumberFormat="1" applyFont="1" applyFill="1" applyBorder="1"/>
    <xf numFmtId="0" fontId="25" fillId="0" borderId="7" xfId="4" applyNumberFormat="1" applyFont="1" applyFill="1" applyBorder="1" applyAlignment="1">
      <alignment horizontal="center"/>
    </xf>
    <xf numFmtId="4" fontId="25" fillId="0" borderId="7" xfId="4" applyNumberFormat="1" applyFont="1" applyFill="1" applyBorder="1"/>
    <xf numFmtId="0" fontId="25" fillId="0" borderId="7" xfId="0" applyFont="1" applyBorder="1" applyAlignment="1">
      <alignment horizontal="left" vertical="top" wrapText="1"/>
    </xf>
    <xf numFmtId="179" fontId="25" fillId="0" borderId="7" xfId="4" applyNumberFormat="1" applyFont="1" applyFill="1" applyBorder="1"/>
    <xf numFmtId="4" fontId="26" fillId="0" borderId="7" xfId="4" applyNumberFormat="1" applyFont="1" applyFill="1" applyBorder="1"/>
    <xf numFmtId="43" fontId="25" fillId="0" borderId="7" xfId="4" applyFont="1" applyFill="1" applyBorder="1"/>
    <xf numFmtId="173" fontId="25" fillId="0" borderId="0" xfId="0" applyNumberFormat="1" applyFont="1" applyAlignment="1"/>
    <xf numFmtId="176" fontId="17" fillId="2" borderId="7" xfId="0" applyNumberFormat="1" applyFont="1" applyFill="1" applyBorder="1" applyAlignment="1">
      <alignment horizontal="right" vertical="center" readingOrder="1"/>
    </xf>
    <xf numFmtId="43" fontId="25" fillId="0" borderId="7" xfId="4" applyFont="1" applyFill="1" applyBorder="1" applyAlignment="1"/>
    <xf numFmtId="0" fontId="25" fillId="0" borderId="0" xfId="0" applyFont="1" applyAlignment="1" applyProtection="1">
      <alignment horizontal="left"/>
      <protection locked="0"/>
    </xf>
    <xf numFmtId="0" fontId="25" fillId="0" borderId="0" xfId="0" applyFont="1" applyAlignment="1">
      <alignment horizontal="center" vertical="top"/>
    </xf>
    <xf numFmtId="43" fontId="25" fillId="0" borderId="0" xfId="4" applyFont="1" applyFill="1" applyBorder="1" applyAlignment="1" applyProtection="1">
      <alignment horizontal="left"/>
      <protection locked="0"/>
    </xf>
    <xf numFmtId="4" fontId="25" fillId="0" borderId="0" xfId="0" applyNumberFormat="1" applyFont="1" applyAlignment="1">
      <alignment horizontal="right" vertical="center"/>
    </xf>
    <xf numFmtId="2" fontId="25" fillId="0" borderId="7" xfId="0" applyNumberFormat="1" applyFont="1" applyBorder="1" applyAlignment="1">
      <alignment horizontal="center"/>
    </xf>
    <xf numFmtId="0" fontId="25" fillId="0" borderId="0" xfId="0" applyFont="1" applyAlignment="1">
      <alignment horizontal="left" vertical="top"/>
    </xf>
    <xf numFmtId="10" fontId="25" fillId="0" borderId="0" xfId="0" applyNumberFormat="1" applyFont="1" applyAlignment="1">
      <alignment horizontal="center"/>
    </xf>
    <xf numFmtId="43" fontId="25" fillId="0" borderId="7" xfId="4" applyFont="1" applyFill="1" applyBorder="1" applyAlignment="1">
      <alignment horizontal="center" vertical="top" wrapText="1"/>
    </xf>
    <xf numFmtId="0" fontId="25" fillId="0" borderId="7" xfId="0" applyFont="1" applyBorder="1" applyAlignment="1">
      <alignment horizontal="center"/>
    </xf>
    <xf numFmtId="2" fontId="25" fillId="0" borderId="7" xfId="0" applyNumberFormat="1" applyFont="1" applyBorder="1" applyAlignment="1">
      <alignment horizontal="right"/>
    </xf>
    <xf numFmtId="43" fontId="25" fillId="0" borderId="0" xfId="0" applyNumberFormat="1" applyFont="1" applyAlignment="1"/>
    <xf numFmtId="1" fontId="25" fillId="0" borderId="7" xfId="0" applyNumberFormat="1" applyFont="1" applyBorder="1" applyAlignment="1">
      <alignment horizontal="center"/>
    </xf>
    <xf numFmtId="43" fontId="26" fillId="0" borderId="0" xfId="4" applyFont="1" applyFill="1" applyBorder="1"/>
    <xf numFmtId="0" fontId="26" fillId="0" borderId="7" xfId="4" applyNumberFormat="1" applyFont="1" applyFill="1" applyBorder="1" applyAlignment="1">
      <alignment horizontal="center"/>
    </xf>
    <xf numFmtId="43" fontId="26" fillId="0" borderId="7" xfId="4" applyFont="1" applyFill="1" applyBorder="1" applyAlignment="1">
      <alignment horizontal="center" vertical="top" wrapText="1"/>
    </xf>
    <xf numFmtId="0" fontId="26" fillId="0" borderId="0" xfId="0" applyFont="1" applyAlignment="1">
      <alignment vertical="top" wrapText="1"/>
    </xf>
    <xf numFmtId="0" fontId="25" fillId="0" borderId="0" xfId="0" applyFont="1" applyAlignment="1">
      <alignment horizontal="center"/>
    </xf>
    <xf numFmtId="2" fontId="25" fillId="0" borderId="0" xfId="0" applyNumberFormat="1" applyFont="1" applyAlignment="1">
      <alignment horizontal="right"/>
    </xf>
    <xf numFmtId="0" fontId="25" fillId="0" borderId="0" xfId="0" applyFont="1" applyAlignment="1">
      <alignment horizontal="right" vertical="top" wrapText="1"/>
    </xf>
    <xf numFmtId="0" fontId="25" fillId="0" borderId="7" xfId="0" applyFont="1" applyBorder="1" applyAlignment="1">
      <alignment horizontal="center" vertical="top" wrapText="1"/>
    </xf>
    <xf numFmtId="182" fontId="25" fillId="0" borderId="0" xfId="0" applyNumberFormat="1" applyFont="1" applyAlignment="1">
      <alignment horizontal="right" vertical="top" wrapText="1"/>
    </xf>
    <xf numFmtId="2" fontId="25" fillId="0" borderId="0" xfId="0" applyNumberFormat="1" applyFont="1" applyAlignment="1">
      <alignment horizontal="center"/>
    </xf>
    <xf numFmtId="0" fontId="25" fillId="0" borderId="7" xfId="0" applyFont="1" applyBorder="1" applyAlignment="1">
      <alignment horizontal="left"/>
    </xf>
    <xf numFmtId="2" fontId="25" fillId="0" borderId="7" xfId="0" applyNumberFormat="1" applyFont="1" applyBorder="1" applyAlignment="1">
      <alignment horizontal="center" vertical="top" wrapText="1"/>
    </xf>
    <xf numFmtId="0" fontId="25" fillId="0" borderId="0" xfId="0" applyFont="1" applyAlignment="1">
      <alignment horizontal="left"/>
    </xf>
    <xf numFmtId="0" fontId="25" fillId="0" borderId="0" xfId="0" applyFont="1" applyAlignment="1">
      <alignment horizontal="right" vertical="top"/>
    </xf>
    <xf numFmtId="2" fontId="25" fillId="0" borderId="0" xfId="0" applyNumberFormat="1" applyFont="1" applyAlignment="1">
      <alignment horizontal="right" vertical="top"/>
    </xf>
    <xf numFmtId="183" fontId="25" fillId="0" borderId="0" xfId="4" applyNumberFormat="1" applyFont="1" applyFill="1" applyBorder="1" applyAlignment="1">
      <alignment horizontal="center" vertical="top" wrapText="1"/>
    </xf>
    <xf numFmtId="0" fontId="25" fillId="0" borderId="0" xfId="0" applyFont="1" applyAlignment="1">
      <alignment horizontal="left" vertical="top" wrapText="1"/>
    </xf>
    <xf numFmtId="177" fontId="25" fillId="0" borderId="0" xfId="4" applyNumberFormat="1" applyFont="1" applyFill="1" applyBorder="1" applyAlignment="1">
      <alignment horizontal="right" vertical="top" wrapText="1"/>
    </xf>
    <xf numFmtId="2" fontId="25" fillId="0" borderId="0" xfId="0" applyNumberFormat="1" applyFont="1" applyAlignment="1"/>
    <xf numFmtId="4" fontId="25" fillId="0" borderId="0" xfId="4" applyNumberFormat="1" applyFont="1" applyFill="1" applyBorder="1"/>
    <xf numFmtId="0" fontId="25" fillId="0" borderId="7" xfId="0" applyFont="1" applyBorder="1" applyAlignment="1">
      <alignment vertical="top" wrapText="1"/>
    </xf>
    <xf numFmtId="2" fontId="25" fillId="0" borderId="7" xfId="0" applyNumberFormat="1" applyFont="1" applyBorder="1" applyAlignment="1">
      <alignment vertical="top" wrapText="1"/>
    </xf>
    <xf numFmtId="4" fontId="25" fillId="0" borderId="7" xfId="0" applyNumberFormat="1" applyFont="1" applyBorder="1" applyAlignment="1">
      <alignment horizontal="center"/>
    </xf>
    <xf numFmtId="4" fontId="25" fillId="0" borderId="7" xfId="4" applyNumberFormat="1" applyFont="1" applyFill="1" applyBorder="1" applyAlignment="1">
      <alignment horizontal="center"/>
    </xf>
    <xf numFmtId="4" fontId="26" fillId="0" borderId="7" xfId="0" applyNumberFormat="1" applyFont="1" applyBorder="1" applyAlignment="1">
      <alignment horizontal="center" vertical="top" wrapText="1"/>
    </xf>
    <xf numFmtId="4" fontId="25" fillId="0" borderId="7" xfId="0" applyNumberFormat="1" applyFont="1" applyBorder="1" applyAlignment="1">
      <alignment horizontal="center" vertical="top" wrapText="1"/>
    </xf>
  </cellXfs>
  <cellStyles count="16">
    <cellStyle name="Comma" xfId="4" builtinId="3"/>
    <cellStyle name="Comma 10" xfId="11" xr:uid="{5424BB52-4948-4194-9B3B-F3F541153B46}"/>
    <cellStyle name="Comma 2" xfId="7" xr:uid="{CEACC32A-A559-4D31-9B0E-C7AAFF1561D5}"/>
    <cellStyle name="Hyperlink 2" xfId="3" xr:uid="{537F8CAD-B975-4A58-ABAB-7F23F549F107}"/>
    <cellStyle name="Normal" xfId="0" builtinId="0"/>
    <cellStyle name="Normal 2" xfId="2" xr:uid="{929798E3-5561-4BC0-A9D0-671D53458503}"/>
    <cellStyle name="Normal 2 2" xfId="10" xr:uid="{3E5295AC-D53D-4838-B42E-EE92727013CA}"/>
    <cellStyle name="Normal 2 2 3" xfId="6" xr:uid="{EC16D84C-F1EB-4395-BBE7-0BB08546D63C}"/>
    <cellStyle name="Normal 2 2 3 2" xfId="1" xr:uid="{208F019E-0F54-4A6F-9C20-680E46418D89}"/>
    <cellStyle name="Normal 3" xfId="14" xr:uid="{124E8BD5-7900-4B43-8F45-264130D3C06D}"/>
    <cellStyle name="Normal 4" xfId="8" xr:uid="{12EA6C4F-DA45-42D6-B254-478B63F98A12}"/>
    <cellStyle name="Normal 4 2" xfId="15" xr:uid="{F7B965A8-8D74-40C8-A1C4-D4C1C0FAB998}"/>
    <cellStyle name="Normal_Bonsaverportfolio 2 2" xfId="9" xr:uid="{C25B844B-523C-41F6-B821-42ED4A2BB40B}"/>
    <cellStyle name="Normal_Halfyearly_Debtholdings_30092011 2" xfId="12" xr:uid="{B6794E1B-5396-462D-B67E-EB9C15B45F9C}"/>
    <cellStyle name="Normal_Holdingotherschemes new" xfId="13" xr:uid="{78357E78-4676-4BA1-85E1-3D3298A60566}"/>
    <cellStyle name="Percent" xfId="5"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tyles" Target="styles.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2.jpeg"/></Relationships>
</file>

<file path=xl/drawings/_rels/drawing7.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_rels/drawing8.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2.jpeg"/></Relationships>
</file>

<file path=xl/drawings/_rels/drawing9.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2.jpeg"/></Relationships>
</file>

<file path=xl/drawings/_rels/drawing10.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2.jpeg"/></Relationships>
</file>

<file path=xl/drawings/_rels/drawing21.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7.jpeg"/></Relationships>
</file>

<file path=xl/drawings/_rels/drawing2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8.jpeg"/></Relationships>
</file>

<file path=xl/drawings/_rels/drawing23.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4.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9.jpeg"/></Relationships>
</file>

<file path=xl/drawings/_rels/drawing25.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6.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7.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8.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9.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30.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3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3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2.jpeg"/></Relationships>
</file>

<file path=xl/drawings/_rels/drawing3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jpeg"/></Relationships>
</file>

<file path=xl/drawings/_rels/drawing34.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35.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9</xdr:col>
      <xdr:colOff>0</xdr:colOff>
      <xdr:row>2</xdr:row>
      <xdr:rowOff>28575</xdr:rowOff>
    </xdr:from>
    <xdr:to>
      <xdr:col>14</xdr:col>
      <xdr:colOff>235942</xdr:colOff>
      <xdr:row>9</xdr:row>
      <xdr:rowOff>301625</xdr:rowOff>
    </xdr:to>
    <xdr:pic>
      <xdr:nvPicPr>
        <xdr:cNvPr id="2" name="Picture 1">
          <a:extLst>
            <a:ext uri="{FF2B5EF4-FFF2-40B4-BE49-F238E27FC236}">
              <a16:creationId xmlns:a16="http://schemas.microsoft.com/office/drawing/2014/main" id="{0B896024-6594-4090-BDA9-961D0C5A5179}"/>
            </a:ext>
          </a:extLst>
        </xdr:cNvPr>
        <xdr:cNvPicPr>
          <a:picLocks noChangeAspect="1"/>
        </xdr:cNvPicPr>
      </xdr:nvPicPr>
      <xdr:blipFill>
        <a:blip xmlns:r="http://schemas.openxmlformats.org/officeDocument/2006/relationships" r:embed="rId1"/>
        <a:stretch>
          <a:fillRect/>
        </a:stretch>
      </xdr:blipFill>
      <xdr:spPr>
        <a:xfrm>
          <a:off x="10058400" y="466725"/>
          <a:ext cx="3283942" cy="2025650"/>
        </a:xfrm>
        <a:prstGeom prst="rect">
          <a:avLst/>
        </a:prstGeom>
      </xdr:spPr>
    </xdr:pic>
    <xdr:clientData/>
  </xdr:twoCellAnchor>
  <xdr:twoCellAnchor editAs="oneCell">
    <xdr:from>
      <xdr:col>8</xdr:col>
      <xdr:colOff>542925</xdr:colOff>
      <xdr:row>12</xdr:row>
      <xdr:rowOff>114300</xdr:rowOff>
    </xdr:from>
    <xdr:to>
      <xdr:col>14</xdr:col>
      <xdr:colOff>266700</xdr:colOff>
      <xdr:row>19</xdr:row>
      <xdr:rowOff>196850</xdr:rowOff>
    </xdr:to>
    <xdr:pic>
      <xdr:nvPicPr>
        <xdr:cNvPr id="3" name="Picture 2">
          <a:extLst>
            <a:ext uri="{FF2B5EF4-FFF2-40B4-BE49-F238E27FC236}">
              <a16:creationId xmlns:a16="http://schemas.microsoft.com/office/drawing/2014/main" id="{7A04DF5D-331E-4D0C-AA3C-22A67F654B9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9991725" y="3086100"/>
          <a:ext cx="3381375" cy="1701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800100</xdr:colOff>
      <xdr:row>2</xdr:row>
      <xdr:rowOff>114300</xdr:rowOff>
    </xdr:from>
    <xdr:to>
      <xdr:col>14</xdr:col>
      <xdr:colOff>374650</xdr:colOff>
      <xdr:row>10</xdr:row>
      <xdr:rowOff>25400</xdr:rowOff>
    </xdr:to>
    <xdr:pic>
      <xdr:nvPicPr>
        <xdr:cNvPr id="2" name="Picture 1">
          <a:extLst>
            <a:ext uri="{FF2B5EF4-FFF2-40B4-BE49-F238E27FC236}">
              <a16:creationId xmlns:a16="http://schemas.microsoft.com/office/drawing/2014/main" id="{939BE729-951A-490E-8DEC-D100F517912F}"/>
            </a:ext>
          </a:extLst>
        </xdr:cNvPr>
        <xdr:cNvPicPr>
          <a:picLocks noChangeAspect="1"/>
        </xdr:cNvPicPr>
      </xdr:nvPicPr>
      <xdr:blipFill>
        <a:blip xmlns:r="http://schemas.openxmlformats.org/officeDocument/2006/relationships" r:embed="rId1"/>
        <a:stretch>
          <a:fillRect/>
        </a:stretch>
      </xdr:blipFill>
      <xdr:spPr>
        <a:xfrm>
          <a:off x="10191750" y="552450"/>
          <a:ext cx="3422650" cy="2025650"/>
        </a:xfrm>
        <a:prstGeom prst="rect">
          <a:avLst/>
        </a:prstGeom>
      </xdr:spPr>
    </xdr:pic>
    <xdr:clientData/>
  </xdr:twoCellAnchor>
  <xdr:twoCellAnchor editAs="oneCell">
    <xdr:from>
      <xdr:col>8</xdr:col>
      <xdr:colOff>781049</xdr:colOff>
      <xdr:row>13</xdr:row>
      <xdr:rowOff>0</xdr:rowOff>
    </xdr:from>
    <xdr:to>
      <xdr:col>14</xdr:col>
      <xdr:colOff>450850</xdr:colOff>
      <xdr:row>19</xdr:row>
      <xdr:rowOff>28575</xdr:rowOff>
    </xdr:to>
    <xdr:pic>
      <xdr:nvPicPr>
        <xdr:cNvPr id="3" name="Picture 2">
          <a:extLst>
            <a:ext uri="{FF2B5EF4-FFF2-40B4-BE49-F238E27FC236}">
              <a16:creationId xmlns:a16="http://schemas.microsoft.com/office/drawing/2014/main" id="{AAD0FB9B-7130-4619-8C25-5D737052C7A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699" y="3181350"/>
          <a:ext cx="3498851" cy="1743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9525</xdr:colOff>
      <xdr:row>22</xdr:row>
      <xdr:rowOff>95251</xdr:rowOff>
    </xdr:from>
    <xdr:to>
      <xdr:col>14</xdr:col>
      <xdr:colOff>323850</xdr:colOff>
      <xdr:row>29</xdr:row>
      <xdr:rowOff>269069</xdr:rowOff>
    </xdr:to>
    <xdr:pic>
      <xdr:nvPicPr>
        <xdr:cNvPr id="4" name="Picture 3">
          <a:extLst>
            <a:ext uri="{FF2B5EF4-FFF2-40B4-BE49-F238E27FC236}">
              <a16:creationId xmlns:a16="http://schemas.microsoft.com/office/drawing/2014/main" id="{2E9B2019-6719-4554-AC42-296E6E38C30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210800" y="5772151"/>
          <a:ext cx="3362325" cy="17930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342900</xdr:colOff>
      <xdr:row>13</xdr:row>
      <xdr:rowOff>19050</xdr:rowOff>
    </xdr:from>
    <xdr:to>
      <xdr:col>14</xdr:col>
      <xdr:colOff>209550</xdr:colOff>
      <xdr:row>20</xdr:row>
      <xdr:rowOff>85725</xdr:rowOff>
    </xdr:to>
    <xdr:pic>
      <xdr:nvPicPr>
        <xdr:cNvPr id="3" name="Picture 2">
          <a:extLst>
            <a:ext uri="{FF2B5EF4-FFF2-40B4-BE49-F238E27FC236}">
              <a16:creationId xmlns:a16="http://schemas.microsoft.com/office/drawing/2014/main" id="{5316D98D-36C4-4FED-845E-21656BEB3EB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9906000" y="3352800"/>
          <a:ext cx="3524250" cy="1838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428624</xdr:colOff>
      <xdr:row>2</xdr:row>
      <xdr:rowOff>95249</xdr:rowOff>
    </xdr:from>
    <xdr:to>
      <xdr:col>14</xdr:col>
      <xdr:colOff>171449</xdr:colOff>
      <xdr:row>10</xdr:row>
      <xdr:rowOff>104774</xdr:rowOff>
    </xdr:to>
    <xdr:pic>
      <xdr:nvPicPr>
        <xdr:cNvPr id="4" name="Picture 3">
          <a:extLst>
            <a:ext uri="{FF2B5EF4-FFF2-40B4-BE49-F238E27FC236}">
              <a16:creationId xmlns:a16="http://schemas.microsoft.com/office/drawing/2014/main" id="{25CBFE1F-C67F-490E-B01E-D4B9D7390E70}"/>
            </a:ext>
          </a:extLst>
        </xdr:cNvPr>
        <xdr:cNvPicPr preferRelativeResize="0">
          <a:picLocks noChangeAspect="1"/>
        </xdr:cNvPicPr>
      </xdr:nvPicPr>
      <xdr:blipFill>
        <a:blip xmlns:r="http://schemas.openxmlformats.org/officeDocument/2006/relationships" r:embed="rId2"/>
        <a:stretch>
          <a:fillRect/>
        </a:stretch>
      </xdr:blipFill>
      <xdr:spPr>
        <a:xfrm>
          <a:off x="9991724" y="533399"/>
          <a:ext cx="3400425" cy="21240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8</xdr:col>
      <xdr:colOff>514351</xdr:colOff>
      <xdr:row>13</xdr:row>
      <xdr:rowOff>28576</xdr:rowOff>
    </xdr:from>
    <xdr:to>
      <xdr:col>14</xdr:col>
      <xdr:colOff>133351</xdr:colOff>
      <xdr:row>20</xdr:row>
      <xdr:rowOff>13259</xdr:rowOff>
    </xdr:to>
    <xdr:pic>
      <xdr:nvPicPr>
        <xdr:cNvPr id="3" name="Picture 2">
          <a:extLst>
            <a:ext uri="{FF2B5EF4-FFF2-40B4-BE49-F238E27FC236}">
              <a16:creationId xmlns:a16="http://schemas.microsoft.com/office/drawing/2014/main" id="{FA12C779-8A16-4A0F-947A-FE8FB35B498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077451" y="3209926"/>
          <a:ext cx="3276600" cy="17563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495300</xdr:colOff>
      <xdr:row>2</xdr:row>
      <xdr:rowOff>161925</xdr:rowOff>
    </xdr:from>
    <xdr:to>
      <xdr:col>14</xdr:col>
      <xdr:colOff>95250</xdr:colOff>
      <xdr:row>10</xdr:row>
      <xdr:rowOff>155576</xdr:rowOff>
    </xdr:to>
    <xdr:pic>
      <xdr:nvPicPr>
        <xdr:cNvPr id="4" name="Picture 3">
          <a:extLst>
            <a:ext uri="{FF2B5EF4-FFF2-40B4-BE49-F238E27FC236}">
              <a16:creationId xmlns:a16="http://schemas.microsoft.com/office/drawing/2014/main" id="{491E1B16-055F-4DFA-9EE5-8822BC3A40DC}"/>
            </a:ext>
          </a:extLst>
        </xdr:cNvPr>
        <xdr:cNvPicPr>
          <a:picLocks noChangeAspect="1"/>
        </xdr:cNvPicPr>
      </xdr:nvPicPr>
      <xdr:blipFill>
        <a:blip xmlns:r="http://schemas.openxmlformats.org/officeDocument/2006/relationships" r:embed="rId2"/>
        <a:stretch>
          <a:fillRect/>
        </a:stretch>
      </xdr:blipFill>
      <xdr:spPr>
        <a:xfrm>
          <a:off x="10058400" y="600075"/>
          <a:ext cx="3257550" cy="195580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9</xdr:col>
      <xdr:colOff>0</xdr:colOff>
      <xdr:row>2</xdr:row>
      <xdr:rowOff>142875</xdr:rowOff>
    </xdr:from>
    <xdr:to>
      <xdr:col>14</xdr:col>
      <xdr:colOff>235942</xdr:colOff>
      <xdr:row>10</xdr:row>
      <xdr:rowOff>206375</xdr:rowOff>
    </xdr:to>
    <xdr:pic>
      <xdr:nvPicPr>
        <xdr:cNvPr id="2" name="Picture 1">
          <a:extLst>
            <a:ext uri="{FF2B5EF4-FFF2-40B4-BE49-F238E27FC236}">
              <a16:creationId xmlns:a16="http://schemas.microsoft.com/office/drawing/2014/main" id="{160FC415-87D9-4960-9CAD-5CB088EB983E}"/>
            </a:ext>
          </a:extLst>
        </xdr:cNvPr>
        <xdr:cNvPicPr>
          <a:picLocks noChangeAspect="1"/>
        </xdr:cNvPicPr>
      </xdr:nvPicPr>
      <xdr:blipFill>
        <a:blip xmlns:r="http://schemas.openxmlformats.org/officeDocument/2006/relationships" r:embed="rId1"/>
        <a:stretch>
          <a:fillRect/>
        </a:stretch>
      </xdr:blipFill>
      <xdr:spPr>
        <a:xfrm>
          <a:off x="9972675" y="581025"/>
          <a:ext cx="3283942" cy="2025650"/>
        </a:xfrm>
        <a:prstGeom prst="rect">
          <a:avLst/>
        </a:prstGeom>
      </xdr:spPr>
    </xdr:pic>
    <xdr:clientData/>
  </xdr:twoCellAnchor>
  <xdr:twoCellAnchor editAs="oneCell">
    <xdr:from>
      <xdr:col>9</xdr:col>
      <xdr:colOff>0</xdr:colOff>
      <xdr:row>13</xdr:row>
      <xdr:rowOff>152400</xdr:rowOff>
    </xdr:from>
    <xdr:to>
      <xdr:col>14</xdr:col>
      <xdr:colOff>225721</xdr:colOff>
      <xdr:row>19</xdr:row>
      <xdr:rowOff>15875</xdr:rowOff>
    </xdr:to>
    <xdr:pic>
      <xdr:nvPicPr>
        <xdr:cNvPr id="3" name="Picture 2">
          <a:extLst>
            <a:ext uri="{FF2B5EF4-FFF2-40B4-BE49-F238E27FC236}">
              <a16:creationId xmlns:a16="http://schemas.microsoft.com/office/drawing/2014/main" id="{53660BFD-53DE-4D07-81DD-9FD237E2516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9972675" y="3181350"/>
          <a:ext cx="3273721" cy="1730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590550</xdr:colOff>
      <xdr:row>22</xdr:row>
      <xdr:rowOff>57150</xdr:rowOff>
    </xdr:from>
    <xdr:ext cx="3273721" cy="1724025"/>
    <xdr:pic>
      <xdr:nvPicPr>
        <xdr:cNvPr id="4" name="Picture 3">
          <a:extLst>
            <a:ext uri="{FF2B5EF4-FFF2-40B4-BE49-F238E27FC236}">
              <a16:creationId xmlns:a16="http://schemas.microsoft.com/office/drawing/2014/main" id="{999157BA-2B93-46E0-B1FC-E642DF64E05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9953625" y="5562600"/>
          <a:ext cx="3273721" cy="1724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6.xml><?xml version="1.0" encoding="utf-8"?>
<xdr:wsDr xmlns:xdr="http://schemas.openxmlformats.org/drawingml/2006/spreadsheetDrawing" xmlns:a="http://schemas.openxmlformats.org/drawingml/2006/main">
  <xdr:twoCellAnchor editAs="oneCell">
    <xdr:from>
      <xdr:col>8</xdr:col>
      <xdr:colOff>561975</xdr:colOff>
      <xdr:row>15</xdr:row>
      <xdr:rowOff>95250</xdr:rowOff>
    </xdr:from>
    <xdr:to>
      <xdr:col>14</xdr:col>
      <xdr:colOff>276225</xdr:colOff>
      <xdr:row>25</xdr:row>
      <xdr:rowOff>101600</xdr:rowOff>
    </xdr:to>
    <xdr:pic>
      <xdr:nvPicPr>
        <xdr:cNvPr id="2" name="Picture 1">
          <a:extLst>
            <a:ext uri="{FF2B5EF4-FFF2-40B4-BE49-F238E27FC236}">
              <a16:creationId xmlns:a16="http://schemas.microsoft.com/office/drawing/2014/main" id="{BF28E8E6-298C-4C03-B2F2-98680B65306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125075" y="3200400"/>
          <a:ext cx="3371850" cy="1778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3</xdr:row>
      <xdr:rowOff>0</xdr:rowOff>
    </xdr:from>
    <xdr:to>
      <xdr:col>14</xdr:col>
      <xdr:colOff>112117</xdr:colOff>
      <xdr:row>12</xdr:row>
      <xdr:rowOff>95250</xdr:rowOff>
    </xdr:to>
    <xdr:pic>
      <xdr:nvPicPr>
        <xdr:cNvPr id="4" name="Picture 3">
          <a:extLst>
            <a:ext uri="{FF2B5EF4-FFF2-40B4-BE49-F238E27FC236}">
              <a16:creationId xmlns:a16="http://schemas.microsoft.com/office/drawing/2014/main" id="{D130691E-5FA2-4C5D-BD79-9D95C3E7D9DF}"/>
            </a:ext>
          </a:extLst>
        </xdr:cNvPr>
        <xdr:cNvPicPr>
          <a:picLocks noChangeAspect="1"/>
        </xdr:cNvPicPr>
      </xdr:nvPicPr>
      <xdr:blipFill>
        <a:blip xmlns:r="http://schemas.openxmlformats.org/officeDocument/2006/relationships" r:embed="rId2"/>
        <a:stretch>
          <a:fillRect/>
        </a:stretch>
      </xdr:blipFill>
      <xdr:spPr>
        <a:xfrm>
          <a:off x="10172700" y="704850"/>
          <a:ext cx="3160117" cy="19812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8</xdr:col>
      <xdr:colOff>552450</xdr:colOff>
      <xdr:row>13</xdr:row>
      <xdr:rowOff>76201</xdr:rowOff>
    </xdr:from>
    <xdr:to>
      <xdr:col>14</xdr:col>
      <xdr:colOff>104775</xdr:colOff>
      <xdr:row>22</xdr:row>
      <xdr:rowOff>31751</xdr:rowOff>
    </xdr:to>
    <xdr:pic>
      <xdr:nvPicPr>
        <xdr:cNvPr id="2" name="Picture 1">
          <a:extLst>
            <a:ext uri="{FF2B5EF4-FFF2-40B4-BE49-F238E27FC236}">
              <a16:creationId xmlns:a16="http://schemas.microsoft.com/office/drawing/2014/main" id="{3657C1D4-AE94-4241-AF22-4CBFDE439F5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9982200" y="3409951"/>
          <a:ext cx="3209925" cy="1670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3</xdr:row>
      <xdr:rowOff>0</xdr:rowOff>
    </xdr:from>
    <xdr:to>
      <xdr:col>14</xdr:col>
      <xdr:colOff>147042</xdr:colOff>
      <xdr:row>11</xdr:row>
      <xdr:rowOff>0</xdr:rowOff>
    </xdr:to>
    <xdr:pic>
      <xdr:nvPicPr>
        <xdr:cNvPr id="4" name="Picture 3">
          <a:extLst>
            <a:ext uri="{FF2B5EF4-FFF2-40B4-BE49-F238E27FC236}">
              <a16:creationId xmlns:a16="http://schemas.microsoft.com/office/drawing/2014/main" id="{B707E949-CAD9-449A-90EB-21D986A2AE67}"/>
            </a:ext>
          </a:extLst>
        </xdr:cNvPr>
        <xdr:cNvPicPr preferRelativeResize="0">
          <a:picLocks noChangeAspect="1"/>
        </xdr:cNvPicPr>
      </xdr:nvPicPr>
      <xdr:blipFill>
        <a:blip xmlns:r="http://schemas.openxmlformats.org/officeDocument/2006/relationships" r:embed="rId2"/>
        <a:stretch>
          <a:fillRect/>
        </a:stretch>
      </xdr:blipFill>
      <xdr:spPr>
        <a:xfrm>
          <a:off x="10172700" y="704850"/>
          <a:ext cx="3195042" cy="20193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8</xdr:col>
      <xdr:colOff>523875</xdr:colOff>
      <xdr:row>13</xdr:row>
      <xdr:rowOff>76200</xdr:rowOff>
    </xdr:from>
    <xdr:to>
      <xdr:col>14</xdr:col>
      <xdr:colOff>139996</xdr:colOff>
      <xdr:row>20</xdr:row>
      <xdr:rowOff>200025</xdr:rowOff>
    </xdr:to>
    <xdr:pic>
      <xdr:nvPicPr>
        <xdr:cNvPr id="2" name="Picture 1">
          <a:extLst>
            <a:ext uri="{FF2B5EF4-FFF2-40B4-BE49-F238E27FC236}">
              <a16:creationId xmlns:a16="http://schemas.microsoft.com/office/drawing/2014/main" id="{3B1AB63A-C7D9-45F7-BC07-DDBA24D0886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029825" y="3257550"/>
          <a:ext cx="3273721" cy="1743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542925</xdr:colOff>
      <xdr:row>2</xdr:row>
      <xdr:rowOff>152400</xdr:rowOff>
    </xdr:from>
    <xdr:to>
      <xdr:col>14</xdr:col>
      <xdr:colOff>38100</xdr:colOff>
      <xdr:row>10</xdr:row>
      <xdr:rowOff>142875</xdr:rowOff>
    </xdr:to>
    <xdr:pic>
      <xdr:nvPicPr>
        <xdr:cNvPr id="4" name="Picture 3">
          <a:extLst>
            <a:ext uri="{FF2B5EF4-FFF2-40B4-BE49-F238E27FC236}">
              <a16:creationId xmlns:a16="http://schemas.microsoft.com/office/drawing/2014/main" id="{F0C4CC73-4A2C-490C-9B07-C4A3774900EC}"/>
            </a:ext>
          </a:extLst>
        </xdr:cNvPr>
        <xdr:cNvPicPr>
          <a:picLocks/>
        </xdr:cNvPicPr>
      </xdr:nvPicPr>
      <xdr:blipFill>
        <a:blip xmlns:r="http://schemas.openxmlformats.org/officeDocument/2006/relationships" r:embed="rId2"/>
        <a:stretch>
          <a:fillRect/>
        </a:stretch>
      </xdr:blipFill>
      <xdr:spPr>
        <a:xfrm>
          <a:off x="10106025" y="590550"/>
          <a:ext cx="3152775" cy="195262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8</xdr:col>
      <xdr:colOff>485775</xdr:colOff>
      <xdr:row>14</xdr:row>
      <xdr:rowOff>57150</xdr:rowOff>
    </xdr:from>
    <xdr:to>
      <xdr:col>14</xdr:col>
      <xdr:colOff>101896</xdr:colOff>
      <xdr:row>21</xdr:row>
      <xdr:rowOff>190500</xdr:rowOff>
    </xdr:to>
    <xdr:pic>
      <xdr:nvPicPr>
        <xdr:cNvPr id="3" name="Picture 2">
          <a:extLst>
            <a:ext uri="{FF2B5EF4-FFF2-40B4-BE49-F238E27FC236}">
              <a16:creationId xmlns:a16="http://schemas.microsoft.com/office/drawing/2014/main" id="{46B57ED2-45D4-4F40-B2EC-23FD554CFE5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9953625" y="3448050"/>
          <a:ext cx="3273721" cy="1752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504825</xdr:colOff>
      <xdr:row>3</xdr:row>
      <xdr:rowOff>114300</xdr:rowOff>
    </xdr:from>
    <xdr:to>
      <xdr:col>14</xdr:col>
      <xdr:colOff>104775</xdr:colOff>
      <xdr:row>11</xdr:row>
      <xdr:rowOff>12701</xdr:rowOff>
    </xdr:to>
    <xdr:pic>
      <xdr:nvPicPr>
        <xdr:cNvPr id="4" name="Picture 3">
          <a:extLst>
            <a:ext uri="{FF2B5EF4-FFF2-40B4-BE49-F238E27FC236}">
              <a16:creationId xmlns:a16="http://schemas.microsoft.com/office/drawing/2014/main" id="{156F13E9-6AE7-4E6F-9911-20026EB63997}"/>
            </a:ext>
          </a:extLst>
        </xdr:cNvPr>
        <xdr:cNvPicPr>
          <a:picLocks noChangeAspect="1"/>
        </xdr:cNvPicPr>
      </xdr:nvPicPr>
      <xdr:blipFill>
        <a:blip xmlns:r="http://schemas.openxmlformats.org/officeDocument/2006/relationships" r:embed="rId2"/>
        <a:stretch>
          <a:fillRect/>
        </a:stretch>
      </xdr:blipFill>
      <xdr:spPr>
        <a:xfrm>
          <a:off x="10067925" y="819150"/>
          <a:ext cx="3257550" cy="1955801"/>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8</xdr:col>
      <xdr:colOff>533400</xdr:colOff>
      <xdr:row>2</xdr:row>
      <xdr:rowOff>76200</xdr:rowOff>
    </xdr:from>
    <xdr:to>
      <xdr:col>14</xdr:col>
      <xdr:colOff>159742</xdr:colOff>
      <xdr:row>9</xdr:row>
      <xdr:rowOff>190500</xdr:rowOff>
    </xdr:to>
    <xdr:pic>
      <xdr:nvPicPr>
        <xdr:cNvPr id="2" name="Picture 1">
          <a:extLst>
            <a:ext uri="{FF2B5EF4-FFF2-40B4-BE49-F238E27FC236}">
              <a16:creationId xmlns:a16="http://schemas.microsoft.com/office/drawing/2014/main" id="{AE8CBF7F-7538-450A-AE11-A3E46374C748}"/>
            </a:ext>
          </a:extLst>
        </xdr:cNvPr>
        <xdr:cNvPicPr>
          <a:picLocks noChangeAspect="1"/>
        </xdr:cNvPicPr>
      </xdr:nvPicPr>
      <xdr:blipFill>
        <a:blip xmlns:r="http://schemas.openxmlformats.org/officeDocument/2006/relationships" r:embed="rId1"/>
        <a:stretch>
          <a:fillRect/>
        </a:stretch>
      </xdr:blipFill>
      <xdr:spPr>
        <a:xfrm>
          <a:off x="9915525" y="514350"/>
          <a:ext cx="3283942" cy="2019300"/>
        </a:xfrm>
        <a:prstGeom prst="rect">
          <a:avLst/>
        </a:prstGeom>
      </xdr:spPr>
    </xdr:pic>
    <xdr:clientData/>
  </xdr:twoCellAnchor>
  <xdr:twoCellAnchor editAs="oneCell">
    <xdr:from>
      <xdr:col>8</xdr:col>
      <xdr:colOff>447675</xdr:colOff>
      <xdr:row>13</xdr:row>
      <xdr:rowOff>19050</xdr:rowOff>
    </xdr:from>
    <xdr:to>
      <xdr:col>14</xdr:col>
      <xdr:colOff>123825</xdr:colOff>
      <xdr:row>20</xdr:row>
      <xdr:rowOff>19050</xdr:rowOff>
    </xdr:to>
    <xdr:pic>
      <xdr:nvPicPr>
        <xdr:cNvPr id="3" name="Picture 2">
          <a:extLst>
            <a:ext uri="{FF2B5EF4-FFF2-40B4-BE49-F238E27FC236}">
              <a16:creationId xmlns:a16="http://schemas.microsoft.com/office/drawing/2014/main" id="{0AFAE8AB-9451-4A9B-A1AA-7B0B2048F6C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9829800" y="3200400"/>
          <a:ext cx="3333750" cy="1771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8</xdr:col>
      <xdr:colOff>600075</xdr:colOff>
      <xdr:row>2</xdr:row>
      <xdr:rowOff>133350</xdr:rowOff>
    </xdr:from>
    <xdr:to>
      <xdr:col>14</xdr:col>
      <xdr:colOff>200025</xdr:colOff>
      <xdr:row>10</xdr:row>
      <xdr:rowOff>177800</xdr:rowOff>
    </xdr:to>
    <xdr:pic>
      <xdr:nvPicPr>
        <xdr:cNvPr id="2" name="Picture 1">
          <a:extLst>
            <a:ext uri="{FF2B5EF4-FFF2-40B4-BE49-F238E27FC236}">
              <a16:creationId xmlns:a16="http://schemas.microsoft.com/office/drawing/2014/main" id="{615E2F7B-6201-42E0-BC35-53AE0FB6FC96}"/>
            </a:ext>
          </a:extLst>
        </xdr:cNvPr>
        <xdr:cNvPicPr>
          <a:picLocks noChangeAspect="1"/>
        </xdr:cNvPicPr>
      </xdr:nvPicPr>
      <xdr:blipFill>
        <a:blip xmlns:r="http://schemas.openxmlformats.org/officeDocument/2006/relationships" r:embed="rId1"/>
        <a:stretch>
          <a:fillRect/>
        </a:stretch>
      </xdr:blipFill>
      <xdr:spPr>
        <a:xfrm>
          <a:off x="10163175" y="571500"/>
          <a:ext cx="3257550" cy="2006600"/>
        </a:xfrm>
        <a:prstGeom prst="rect">
          <a:avLst/>
        </a:prstGeom>
      </xdr:spPr>
    </xdr:pic>
    <xdr:clientData/>
  </xdr:twoCellAnchor>
  <xdr:twoCellAnchor editAs="oneCell">
    <xdr:from>
      <xdr:col>8</xdr:col>
      <xdr:colOff>590550</xdr:colOff>
      <xdr:row>13</xdr:row>
      <xdr:rowOff>1</xdr:rowOff>
    </xdr:from>
    <xdr:to>
      <xdr:col>14</xdr:col>
      <xdr:colOff>266700</xdr:colOff>
      <xdr:row>21</xdr:row>
      <xdr:rowOff>142875</xdr:rowOff>
    </xdr:to>
    <xdr:pic>
      <xdr:nvPicPr>
        <xdr:cNvPr id="3" name="Picture 2">
          <a:extLst>
            <a:ext uri="{FF2B5EF4-FFF2-40B4-BE49-F238E27FC236}">
              <a16:creationId xmlns:a16="http://schemas.microsoft.com/office/drawing/2014/main" id="{DFA5CEBF-FA45-4808-9051-757F4452FDC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53650" y="3181351"/>
          <a:ext cx="3333750" cy="18192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8</xdr:col>
      <xdr:colOff>495300</xdr:colOff>
      <xdr:row>2</xdr:row>
      <xdr:rowOff>133350</xdr:rowOff>
    </xdr:from>
    <xdr:to>
      <xdr:col>14</xdr:col>
      <xdr:colOff>121642</xdr:colOff>
      <xdr:row>11</xdr:row>
      <xdr:rowOff>44450</xdr:rowOff>
    </xdr:to>
    <xdr:pic>
      <xdr:nvPicPr>
        <xdr:cNvPr id="2" name="Picture 1">
          <a:extLst>
            <a:ext uri="{FF2B5EF4-FFF2-40B4-BE49-F238E27FC236}">
              <a16:creationId xmlns:a16="http://schemas.microsoft.com/office/drawing/2014/main" id="{AE47A204-7B3D-4ECA-B841-975A6A73D346}"/>
            </a:ext>
          </a:extLst>
        </xdr:cNvPr>
        <xdr:cNvPicPr>
          <a:picLocks noChangeAspect="1"/>
        </xdr:cNvPicPr>
      </xdr:nvPicPr>
      <xdr:blipFill>
        <a:blip xmlns:r="http://schemas.openxmlformats.org/officeDocument/2006/relationships" r:embed="rId1"/>
        <a:stretch>
          <a:fillRect/>
        </a:stretch>
      </xdr:blipFill>
      <xdr:spPr>
        <a:xfrm>
          <a:off x="9972675" y="571500"/>
          <a:ext cx="3283942" cy="2082800"/>
        </a:xfrm>
        <a:prstGeom prst="rect">
          <a:avLst/>
        </a:prstGeom>
      </xdr:spPr>
    </xdr:pic>
    <xdr:clientData/>
  </xdr:twoCellAnchor>
  <xdr:twoCellAnchor editAs="oneCell">
    <xdr:from>
      <xdr:col>8</xdr:col>
      <xdr:colOff>371475</xdr:colOff>
      <xdr:row>13</xdr:row>
      <xdr:rowOff>171449</xdr:rowOff>
    </xdr:from>
    <xdr:to>
      <xdr:col>14</xdr:col>
      <xdr:colOff>47625</xdr:colOff>
      <xdr:row>22</xdr:row>
      <xdr:rowOff>123824</xdr:rowOff>
    </xdr:to>
    <xdr:pic>
      <xdr:nvPicPr>
        <xdr:cNvPr id="3" name="Picture 2">
          <a:extLst>
            <a:ext uri="{FF2B5EF4-FFF2-40B4-BE49-F238E27FC236}">
              <a16:creationId xmlns:a16="http://schemas.microsoft.com/office/drawing/2014/main" id="{F943BB65-74C6-4C84-AAC3-8EE5CC646F4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9848850" y="3352799"/>
          <a:ext cx="3333750" cy="1838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8</xdr:col>
      <xdr:colOff>504825</xdr:colOff>
      <xdr:row>2</xdr:row>
      <xdr:rowOff>171451</xdr:rowOff>
    </xdr:from>
    <xdr:to>
      <xdr:col>14</xdr:col>
      <xdr:colOff>131167</xdr:colOff>
      <xdr:row>11</xdr:row>
      <xdr:rowOff>44450</xdr:rowOff>
    </xdr:to>
    <xdr:pic>
      <xdr:nvPicPr>
        <xdr:cNvPr id="2" name="Picture 1">
          <a:extLst>
            <a:ext uri="{FF2B5EF4-FFF2-40B4-BE49-F238E27FC236}">
              <a16:creationId xmlns:a16="http://schemas.microsoft.com/office/drawing/2014/main" id="{67A53ADC-7AA1-4E05-93FD-0A3319960E63}"/>
            </a:ext>
          </a:extLst>
        </xdr:cNvPr>
        <xdr:cNvPicPr>
          <a:picLocks noChangeAspect="1"/>
        </xdr:cNvPicPr>
      </xdr:nvPicPr>
      <xdr:blipFill>
        <a:blip xmlns:r="http://schemas.openxmlformats.org/officeDocument/2006/relationships" r:embed="rId1"/>
        <a:stretch>
          <a:fillRect/>
        </a:stretch>
      </xdr:blipFill>
      <xdr:spPr>
        <a:xfrm>
          <a:off x="9839325" y="609601"/>
          <a:ext cx="3283942" cy="2044699"/>
        </a:xfrm>
        <a:prstGeom prst="rect">
          <a:avLst/>
        </a:prstGeom>
      </xdr:spPr>
    </xdr:pic>
    <xdr:clientData/>
  </xdr:twoCellAnchor>
  <xdr:twoCellAnchor editAs="oneCell">
    <xdr:from>
      <xdr:col>8</xdr:col>
      <xdr:colOff>457200</xdr:colOff>
      <xdr:row>13</xdr:row>
      <xdr:rowOff>190500</xdr:rowOff>
    </xdr:from>
    <xdr:to>
      <xdr:col>14</xdr:col>
      <xdr:colOff>73321</xdr:colOff>
      <xdr:row>20</xdr:row>
      <xdr:rowOff>190500</xdr:rowOff>
    </xdr:to>
    <xdr:pic>
      <xdr:nvPicPr>
        <xdr:cNvPr id="3" name="Picture 2">
          <a:extLst>
            <a:ext uri="{FF2B5EF4-FFF2-40B4-BE49-F238E27FC236}">
              <a16:creationId xmlns:a16="http://schemas.microsoft.com/office/drawing/2014/main" id="{F96A9CFA-54C5-455F-AA0F-68761BD90D2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9791700" y="3371850"/>
          <a:ext cx="3273721" cy="1771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8</xdr:col>
      <xdr:colOff>542925</xdr:colOff>
      <xdr:row>2</xdr:row>
      <xdr:rowOff>200025</xdr:rowOff>
    </xdr:from>
    <xdr:to>
      <xdr:col>14</xdr:col>
      <xdr:colOff>169267</xdr:colOff>
      <xdr:row>11</xdr:row>
      <xdr:rowOff>73025</xdr:rowOff>
    </xdr:to>
    <xdr:pic>
      <xdr:nvPicPr>
        <xdr:cNvPr id="2" name="Picture 1">
          <a:extLst>
            <a:ext uri="{FF2B5EF4-FFF2-40B4-BE49-F238E27FC236}">
              <a16:creationId xmlns:a16="http://schemas.microsoft.com/office/drawing/2014/main" id="{036C32BC-B399-4A05-BAF6-2B11755B5BE9}"/>
            </a:ext>
          </a:extLst>
        </xdr:cNvPr>
        <xdr:cNvPicPr>
          <a:picLocks noChangeAspect="1"/>
        </xdr:cNvPicPr>
      </xdr:nvPicPr>
      <xdr:blipFill>
        <a:blip xmlns:r="http://schemas.openxmlformats.org/officeDocument/2006/relationships" r:embed="rId1"/>
        <a:stretch>
          <a:fillRect/>
        </a:stretch>
      </xdr:blipFill>
      <xdr:spPr>
        <a:xfrm>
          <a:off x="9877425" y="638175"/>
          <a:ext cx="3283942" cy="2044700"/>
        </a:xfrm>
        <a:prstGeom prst="rect">
          <a:avLst/>
        </a:prstGeom>
      </xdr:spPr>
    </xdr:pic>
    <xdr:clientData/>
  </xdr:twoCellAnchor>
  <xdr:twoCellAnchor editAs="oneCell">
    <xdr:from>
      <xdr:col>8</xdr:col>
      <xdr:colOff>514350</xdr:colOff>
      <xdr:row>13</xdr:row>
      <xdr:rowOff>209549</xdr:rowOff>
    </xdr:from>
    <xdr:to>
      <xdr:col>14</xdr:col>
      <xdr:colOff>130471</xdr:colOff>
      <xdr:row>21</xdr:row>
      <xdr:rowOff>47624</xdr:rowOff>
    </xdr:to>
    <xdr:pic>
      <xdr:nvPicPr>
        <xdr:cNvPr id="3" name="Picture 2">
          <a:extLst>
            <a:ext uri="{FF2B5EF4-FFF2-40B4-BE49-F238E27FC236}">
              <a16:creationId xmlns:a16="http://schemas.microsoft.com/office/drawing/2014/main" id="{E4D03264-1145-4AA8-B84F-BDB311653A3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9848850" y="3390899"/>
          <a:ext cx="3273721" cy="1819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9</xdr:col>
      <xdr:colOff>0</xdr:colOff>
      <xdr:row>2</xdr:row>
      <xdr:rowOff>57150</xdr:rowOff>
    </xdr:from>
    <xdr:to>
      <xdr:col>14</xdr:col>
      <xdr:colOff>161925</xdr:colOff>
      <xdr:row>10</xdr:row>
      <xdr:rowOff>120650</xdr:rowOff>
    </xdr:to>
    <xdr:pic>
      <xdr:nvPicPr>
        <xdr:cNvPr id="2" name="Picture 1">
          <a:extLst>
            <a:ext uri="{FF2B5EF4-FFF2-40B4-BE49-F238E27FC236}">
              <a16:creationId xmlns:a16="http://schemas.microsoft.com/office/drawing/2014/main" id="{72AA4700-0A5B-4967-8C2F-F306F65E9E55}"/>
            </a:ext>
          </a:extLst>
        </xdr:cNvPr>
        <xdr:cNvPicPr>
          <a:picLocks noChangeAspect="1"/>
        </xdr:cNvPicPr>
      </xdr:nvPicPr>
      <xdr:blipFill>
        <a:blip xmlns:r="http://schemas.openxmlformats.org/officeDocument/2006/relationships" r:embed="rId1"/>
        <a:stretch>
          <a:fillRect/>
        </a:stretch>
      </xdr:blipFill>
      <xdr:spPr>
        <a:xfrm>
          <a:off x="9944100" y="495300"/>
          <a:ext cx="3209925" cy="2025650"/>
        </a:xfrm>
        <a:prstGeom prst="rect">
          <a:avLst/>
        </a:prstGeom>
      </xdr:spPr>
    </xdr:pic>
    <xdr:clientData/>
  </xdr:twoCellAnchor>
  <xdr:twoCellAnchor editAs="oneCell">
    <xdr:from>
      <xdr:col>8</xdr:col>
      <xdr:colOff>523875</xdr:colOff>
      <xdr:row>13</xdr:row>
      <xdr:rowOff>66675</xdr:rowOff>
    </xdr:from>
    <xdr:to>
      <xdr:col>14</xdr:col>
      <xdr:colOff>139996</xdr:colOff>
      <xdr:row>21</xdr:row>
      <xdr:rowOff>0</xdr:rowOff>
    </xdr:to>
    <xdr:pic>
      <xdr:nvPicPr>
        <xdr:cNvPr id="3" name="Picture 2">
          <a:extLst>
            <a:ext uri="{FF2B5EF4-FFF2-40B4-BE49-F238E27FC236}">
              <a16:creationId xmlns:a16="http://schemas.microsoft.com/office/drawing/2014/main" id="{A35FBA10-124F-4965-8FCF-C22776175B1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9858375" y="3248025"/>
          <a:ext cx="3273721" cy="176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9</xdr:col>
      <xdr:colOff>9525</xdr:colOff>
      <xdr:row>3</xdr:row>
      <xdr:rowOff>0</xdr:rowOff>
    </xdr:from>
    <xdr:to>
      <xdr:col>14</xdr:col>
      <xdr:colOff>209550</xdr:colOff>
      <xdr:row>10</xdr:row>
      <xdr:rowOff>330200</xdr:rowOff>
    </xdr:to>
    <xdr:pic>
      <xdr:nvPicPr>
        <xdr:cNvPr id="2" name="Picture 1">
          <a:extLst>
            <a:ext uri="{FF2B5EF4-FFF2-40B4-BE49-F238E27FC236}">
              <a16:creationId xmlns:a16="http://schemas.microsoft.com/office/drawing/2014/main" id="{5ACB4C0F-211D-449D-84A2-A53FB7341CFF}"/>
            </a:ext>
          </a:extLst>
        </xdr:cNvPr>
        <xdr:cNvPicPr>
          <a:picLocks noChangeAspect="1"/>
        </xdr:cNvPicPr>
      </xdr:nvPicPr>
      <xdr:blipFill>
        <a:blip xmlns:r="http://schemas.openxmlformats.org/officeDocument/2006/relationships" r:embed="rId1"/>
        <a:stretch>
          <a:fillRect/>
        </a:stretch>
      </xdr:blipFill>
      <xdr:spPr>
        <a:xfrm>
          <a:off x="9953625" y="704850"/>
          <a:ext cx="3248025" cy="2025650"/>
        </a:xfrm>
        <a:prstGeom prst="rect">
          <a:avLst/>
        </a:prstGeom>
      </xdr:spPr>
    </xdr:pic>
    <xdr:clientData/>
  </xdr:twoCellAnchor>
  <xdr:twoCellAnchor editAs="oneCell">
    <xdr:from>
      <xdr:col>9</xdr:col>
      <xdr:colOff>0</xdr:colOff>
      <xdr:row>14</xdr:row>
      <xdr:rowOff>0</xdr:rowOff>
    </xdr:from>
    <xdr:to>
      <xdr:col>14</xdr:col>
      <xdr:colOff>225721</xdr:colOff>
      <xdr:row>21</xdr:row>
      <xdr:rowOff>165100</xdr:rowOff>
    </xdr:to>
    <xdr:pic>
      <xdr:nvPicPr>
        <xdr:cNvPr id="3" name="Picture 2">
          <a:extLst>
            <a:ext uri="{FF2B5EF4-FFF2-40B4-BE49-F238E27FC236}">
              <a16:creationId xmlns:a16="http://schemas.microsoft.com/office/drawing/2014/main" id="{28F03B04-EFA4-4B36-A985-490E12FF7AC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9944100" y="3390900"/>
          <a:ext cx="3273721" cy="1784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9</xdr:col>
      <xdr:colOff>0</xdr:colOff>
      <xdr:row>2</xdr:row>
      <xdr:rowOff>180975</xdr:rowOff>
    </xdr:from>
    <xdr:to>
      <xdr:col>14</xdr:col>
      <xdr:colOff>235942</xdr:colOff>
      <xdr:row>10</xdr:row>
      <xdr:rowOff>311150</xdr:rowOff>
    </xdr:to>
    <xdr:pic>
      <xdr:nvPicPr>
        <xdr:cNvPr id="2" name="Picture 1">
          <a:extLst>
            <a:ext uri="{FF2B5EF4-FFF2-40B4-BE49-F238E27FC236}">
              <a16:creationId xmlns:a16="http://schemas.microsoft.com/office/drawing/2014/main" id="{DEE6D21A-540F-4AA5-85B8-3FD6B959A070}"/>
            </a:ext>
          </a:extLst>
        </xdr:cNvPr>
        <xdr:cNvPicPr>
          <a:picLocks noChangeAspect="1"/>
        </xdr:cNvPicPr>
      </xdr:nvPicPr>
      <xdr:blipFill>
        <a:blip xmlns:r="http://schemas.openxmlformats.org/officeDocument/2006/relationships" r:embed="rId1"/>
        <a:stretch>
          <a:fillRect/>
        </a:stretch>
      </xdr:blipFill>
      <xdr:spPr>
        <a:xfrm>
          <a:off x="10048875" y="619125"/>
          <a:ext cx="3283942" cy="2092325"/>
        </a:xfrm>
        <a:prstGeom prst="rect">
          <a:avLst/>
        </a:prstGeom>
      </xdr:spPr>
    </xdr:pic>
    <xdr:clientData/>
  </xdr:twoCellAnchor>
  <xdr:twoCellAnchor editAs="oneCell">
    <xdr:from>
      <xdr:col>8</xdr:col>
      <xdr:colOff>561975</xdr:colOff>
      <xdr:row>14</xdr:row>
      <xdr:rowOff>123824</xdr:rowOff>
    </xdr:from>
    <xdr:to>
      <xdr:col>14</xdr:col>
      <xdr:colOff>314325</xdr:colOff>
      <xdr:row>23</xdr:row>
      <xdr:rowOff>76199</xdr:rowOff>
    </xdr:to>
    <xdr:pic>
      <xdr:nvPicPr>
        <xdr:cNvPr id="3" name="Picture 2">
          <a:extLst>
            <a:ext uri="{FF2B5EF4-FFF2-40B4-BE49-F238E27FC236}">
              <a16:creationId xmlns:a16="http://schemas.microsoft.com/office/drawing/2014/main" id="{7E598294-5A22-4D0B-B7ED-A2FF7A0FB3D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001250" y="3514724"/>
          <a:ext cx="3409950" cy="1838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8</xdr:col>
      <xdr:colOff>571500</xdr:colOff>
      <xdr:row>2</xdr:row>
      <xdr:rowOff>123825</xdr:rowOff>
    </xdr:from>
    <xdr:to>
      <xdr:col>14</xdr:col>
      <xdr:colOff>104775</xdr:colOff>
      <xdr:row>10</xdr:row>
      <xdr:rowOff>187325</xdr:rowOff>
    </xdr:to>
    <xdr:pic>
      <xdr:nvPicPr>
        <xdr:cNvPr id="2" name="Picture 1">
          <a:extLst>
            <a:ext uri="{FF2B5EF4-FFF2-40B4-BE49-F238E27FC236}">
              <a16:creationId xmlns:a16="http://schemas.microsoft.com/office/drawing/2014/main" id="{3492F2C5-475D-4514-8553-162A04C1ECFB}"/>
            </a:ext>
          </a:extLst>
        </xdr:cNvPr>
        <xdr:cNvPicPr>
          <a:picLocks noChangeAspect="1"/>
        </xdr:cNvPicPr>
      </xdr:nvPicPr>
      <xdr:blipFill>
        <a:blip xmlns:r="http://schemas.openxmlformats.org/officeDocument/2006/relationships" r:embed="rId1"/>
        <a:stretch>
          <a:fillRect/>
        </a:stretch>
      </xdr:blipFill>
      <xdr:spPr>
        <a:xfrm>
          <a:off x="9906000" y="561975"/>
          <a:ext cx="3190875" cy="2025650"/>
        </a:xfrm>
        <a:prstGeom prst="rect">
          <a:avLst/>
        </a:prstGeom>
      </xdr:spPr>
    </xdr:pic>
    <xdr:clientData/>
  </xdr:twoCellAnchor>
  <xdr:twoCellAnchor editAs="oneCell">
    <xdr:from>
      <xdr:col>8</xdr:col>
      <xdr:colOff>514350</xdr:colOff>
      <xdr:row>14</xdr:row>
      <xdr:rowOff>19050</xdr:rowOff>
    </xdr:from>
    <xdr:to>
      <xdr:col>14</xdr:col>
      <xdr:colOff>66675</xdr:colOff>
      <xdr:row>22</xdr:row>
      <xdr:rowOff>123825</xdr:rowOff>
    </xdr:to>
    <xdr:pic>
      <xdr:nvPicPr>
        <xdr:cNvPr id="3" name="Picture 2">
          <a:extLst>
            <a:ext uri="{FF2B5EF4-FFF2-40B4-BE49-F238E27FC236}">
              <a16:creationId xmlns:a16="http://schemas.microsoft.com/office/drawing/2014/main" id="{5F1FD1F3-8605-4BA4-A5F8-91768E5ACAF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9848850" y="3409950"/>
          <a:ext cx="3209925" cy="1781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8</xdr:col>
      <xdr:colOff>590550</xdr:colOff>
      <xdr:row>2</xdr:row>
      <xdr:rowOff>171450</xdr:rowOff>
    </xdr:from>
    <xdr:to>
      <xdr:col>14</xdr:col>
      <xdr:colOff>180975</xdr:colOff>
      <xdr:row>11</xdr:row>
      <xdr:rowOff>25400</xdr:rowOff>
    </xdr:to>
    <xdr:pic>
      <xdr:nvPicPr>
        <xdr:cNvPr id="2" name="Picture 1">
          <a:extLst>
            <a:ext uri="{FF2B5EF4-FFF2-40B4-BE49-F238E27FC236}">
              <a16:creationId xmlns:a16="http://schemas.microsoft.com/office/drawing/2014/main" id="{33F7E509-1D02-4102-B898-37BE0940FDEC}"/>
            </a:ext>
          </a:extLst>
        </xdr:cNvPr>
        <xdr:cNvPicPr>
          <a:picLocks noChangeAspect="1"/>
        </xdr:cNvPicPr>
      </xdr:nvPicPr>
      <xdr:blipFill>
        <a:blip xmlns:r="http://schemas.openxmlformats.org/officeDocument/2006/relationships" r:embed="rId1"/>
        <a:stretch>
          <a:fillRect/>
        </a:stretch>
      </xdr:blipFill>
      <xdr:spPr>
        <a:xfrm>
          <a:off x="9925050" y="609600"/>
          <a:ext cx="3248025" cy="2025650"/>
        </a:xfrm>
        <a:prstGeom prst="rect">
          <a:avLst/>
        </a:prstGeom>
      </xdr:spPr>
    </xdr:pic>
    <xdr:clientData/>
  </xdr:twoCellAnchor>
  <xdr:twoCellAnchor editAs="oneCell">
    <xdr:from>
      <xdr:col>8</xdr:col>
      <xdr:colOff>552451</xdr:colOff>
      <xdr:row>12</xdr:row>
      <xdr:rowOff>533401</xdr:rowOff>
    </xdr:from>
    <xdr:to>
      <xdr:col>14</xdr:col>
      <xdr:colOff>38101</xdr:colOff>
      <xdr:row>18</xdr:row>
      <xdr:rowOff>41275</xdr:rowOff>
    </xdr:to>
    <xdr:pic>
      <xdr:nvPicPr>
        <xdr:cNvPr id="3" name="Picture 2">
          <a:extLst>
            <a:ext uri="{FF2B5EF4-FFF2-40B4-BE49-F238E27FC236}">
              <a16:creationId xmlns:a16="http://schemas.microsoft.com/office/drawing/2014/main" id="{83DD3057-123D-4E35-B07A-5D5F194C53E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9886951" y="3352801"/>
          <a:ext cx="3143250" cy="16986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561976</xdr:colOff>
      <xdr:row>22</xdr:row>
      <xdr:rowOff>123825</xdr:rowOff>
    </xdr:from>
    <xdr:ext cx="3200400" cy="1676400"/>
    <xdr:pic>
      <xdr:nvPicPr>
        <xdr:cNvPr id="4" name="Picture 3">
          <a:extLst>
            <a:ext uri="{FF2B5EF4-FFF2-40B4-BE49-F238E27FC236}">
              <a16:creationId xmlns:a16="http://schemas.microsoft.com/office/drawing/2014/main" id="{AEAA2E8B-7799-44C1-92AE-E244E4A4AB1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9896476" y="5629275"/>
          <a:ext cx="3200400" cy="1676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20.xml><?xml version="1.0" encoding="utf-8"?>
<xdr:wsDr xmlns:xdr="http://schemas.openxmlformats.org/drawingml/2006/spreadsheetDrawing" xmlns:a="http://schemas.openxmlformats.org/drawingml/2006/main">
  <xdr:twoCellAnchor editAs="oneCell">
    <xdr:from>
      <xdr:col>9</xdr:col>
      <xdr:colOff>466727</xdr:colOff>
      <xdr:row>12</xdr:row>
      <xdr:rowOff>120652</xdr:rowOff>
    </xdr:from>
    <xdr:to>
      <xdr:col>14</xdr:col>
      <xdr:colOff>600076</xdr:colOff>
      <xdr:row>19</xdr:row>
      <xdr:rowOff>200026</xdr:rowOff>
    </xdr:to>
    <xdr:pic>
      <xdr:nvPicPr>
        <xdr:cNvPr id="2" name="Picture 1">
          <a:extLst>
            <a:ext uri="{FF2B5EF4-FFF2-40B4-BE49-F238E27FC236}">
              <a16:creationId xmlns:a16="http://schemas.microsoft.com/office/drawing/2014/main" id="{CC4F5F27-0556-4A55-8C6A-00747FBE8DB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810877" y="3130552"/>
          <a:ext cx="3552824" cy="18510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38101</xdr:colOff>
      <xdr:row>2</xdr:row>
      <xdr:rowOff>47624</xdr:rowOff>
    </xdr:from>
    <xdr:to>
      <xdr:col>14</xdr:col>
      <xdr:colOff>533400</xdr:colOff>
      <xdr:row>9</xdr:row>
      <xdr:rowOff>133350</xdr:rowOff>
    </xdr:to>
    <xdr:pic>
      <xdr:nvPicPr>
        <xdr:cNvPr id="3" name="Picture 2">
          <a:extLst>
            <a:ext uri="{FF2B5EF4-FFF2-40B4-BE49-F238E27FC236}">
              <a16:creationId xmlns:a16="http://schemas.microsoft.com/office/drawing/2014/main" id="{51186D16-44AD-4576-9B1A-DE6FE62BF9EB}"/>
            </a:ext>
          </a:extLst>
        </xdr:cNvPr>
        <xdr:cNvPicPr>
          <a:picLocks noChangeAspect="1"/>
        </xdr:cNvPicPr>
      </xdr:nvPicPr>
      <xdr:blipFill>
        <a:blip xmlns:r="http://schemas.openxmlformats.org/officeDocument/2006/relationships" r:embed="rId2"/>
        <a:stretch>
          <a:fillRect/>
        </a:stretch>
      </xdr:blipFill>
      <xdr:spPr>
        <a:xfrm>
          <a:off x="10858501" y="485774"/>
          <a:ext cx="3438524" cy="2028826"/>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8</xdr:col>
      <xdr:colOff>581024</xdr:colOff>
      <xdr:row>14</xdr:row>
      <xdr:rowOff>76201</xdr:rowOff>
    </xdr:from>
    <xdr:to>
      <xdr:col>14</xdr:col>
      <xdr:colOff>314325</xdr:colOff>
      <xdr:row>21</xdr:row>
      <xdr:rowOff>247650</xdr:rowOff>
    </xdr:to>
    <xdr:pic>
      <xdr:nvPicPr>
        <xdr:cNvPr id="2" name="Picture 1">
          <a:extLst>
            <a:ext uri="{FF2B5EF4-FFF2-40B4-BE49-F238E27FC236}">
              <a16:creationId xmlns:a16="http://schemas.microsoft.com/office/drawing/2014/main" id="{AA973771-D1AE-4088-8A0F-6EF1C4702A9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91749" y="3314701"/>
          <a:ext cx="3390901" cy="1790699"/>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590549</xdr:colOff>
      <xdr:row>2</xdr:row>
      <xdr:rowOff>133350</xdr:rowOff>
    </xdr:from>
    <xdr:to>
      <xdr:col>14</xdr:col>
      <xdr:colOff>314325</xdr:colOff>
      <xdr:row>10</xdr:row>
      <xdr:rowOff>161925</xdr:rowOff>
    </xdr:to>
    <xdr:pic>
      <xdr:nvPicPr>
        <xdr:cNvPr id="3" name="Picture 2">
          <a:extLst>
            <a:ext uri="{FF2B5EF4-FFF2-40B4-BE49-F238E27FC236}">
              <a16:creationId xmlns:a16="http://schemas.microsoft.com/office/drawing/2014/main" id="{2678D83E-EC16-435E-B179-3D17F033E224}"/>
            </a:ext>
          </a:extLst>
        </xdr:cNvPr>
        <xdr:cNvPicPr>
          <a:picLocks noChangeAspect="1"/>
        </xdr:cNvPicPr>
      </xdr:nvPicPr>
      <xdr:blipFill>
        <a:blip xmlns:r="http://schemas.openxmlformats.org/officeDocument/2006/relationships" r:embed="rId2"/>
        <a:stretch>
          <a:fillRect/>
        </a:stretch>
      </xdr:blipFill>
      <xdr:spPr>
        <a:xfrm>
          <a:off x="10201274" y="571500"/>
          <a:ext cx="3381376" cy="1990725"/>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8</xdr:col>
      <xdr:colOff>590548</xdr:colOff>
      <xdr:row>12</xdr:row>
      <xdr:rowOff>38100</xdr:rowOff>
    </xdr:from>
    <xdr:to>
      <xdr:col>14</xdr:col>
      <xdr:colOff>409575</xdr:colOff>
      <xdr:row>20</xdr:row>
      <xdr:rowOff>152400</xdr:rowOff>
    </xdr:to>
    <xdr:pic>
      <xdr:nvPicPr>
        <xdr:cNvPr id="2" name="Picture 1">
          <a:extLst>
            <a:ext uri="{FF2B5EF4-FFF2-40B4-BE49-F238E27FC236}">
              <a16:creationId xmlns:a16="http://schemas.microsoft.com/office/drawing/2014/main" id="{86869871-9316-4A74-A30D-5E75478FE6F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86998" y="3009900"/>
          <a:ext cx="3476627" cy="1790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47625</xdr:colOff>
      <xdr:row>2</xdr:row>
      <xdr:rowOff>76201</xdr:rowOff>
    </xdr:from>
    <xdr:to>
      <xdr:col>14</xdr:col>
      <xdr:colOff>352425</xdr:colOff>
      <xdr:row>10</xdr:row>
      <xdr:rowOff>190501</xdr:rowOff>
    </xdr:to>
    <xdr:pic>
      <xdr:nvPicPr>
        <xdr:cNvPr id="4" name="Picture 3">
          <a:extLst>
            <a:ext uri="{FF2B5EF4-FFF2-40B4-BE49-F238E27FC236}">
              <a16:creationId xmlns:a16="http://schemas.microsoft.com/office/drawing/2014/main" id="{9C52F0A6-249F-4749-900F-9DD4945BA46D}"/>
            </a:ext>
          </a:extLst>
        </xdr:cNvPr>
        <xdr:cNvPicPr>
          <a:picLocks noChangeAspect="1"/>
        </xdr:cNvPicPr>
      </xdr:nvPicPr>
      <xdr:blipFill>
        <a:blip xmlns:r="http://schemas.openxmlformats.org/officeDocument/2006/relationships" r:embed="rId2"/>
        <a:stretch>
          <a:fillRect/>
        </a:stretch>
      </xdr:blipFill>
      <xdr:spPr>
        <a:xfrm>
          <a:off x="10353675" y="514351"/>
          <a:ext cx="3352800" cy="207645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9</xdr:col>
      <xdr:colOff>9525</xdr:colOff>
      <xdr:row>2</xdr:row>
      <xdr:rowOff>95250</xdr:rowOff>
    </xdr:from>
    <xdr:to>
      <xdr:col>14</xdr:col>
      <xdr:colOff>114300</xdr:colOff>
      <xdr:row>10</xdr:row>
      <xdr:rowOff>63500</xdr:rowOff>
    </xdr:to>
    <xdr:pic>
      <xdr:nvPicPr>
        <xdr:cNvPr id="2" name="Picture 1">
          <a:extLst>
            <a:ext uri="{FF2B5EF4-FFF2-40B4-BE49-F238E27FC236}">
              <a16:creationId xmlns:a16="http://schemas.microsoft.com/office/drawing/2014/main" id="{07BCBB7E-5F3F-4B4D-A087-133624F0B41A}"/>
            </a:ext>
          </a:extLst>
        </xdr:cNvPr>
        <xdr:cNvPicPr>
          <a:picLocks noChangeAspect="1"/>
        </xdr:cNvPicPr>
      </xdr:nvPicPr>
      <xdr:blipFill>
        <a:blip xmlns:r="http://schemas.openxmlformats.org/officeDocument/2006/relationships" r:embed="rId1"/>
        <a:stretch>
          <a:fillRect/>
        </a:stretch>
      </xdr:blipFill>
      <xdr:spPr>
        <a:xfrm>
          <a:off x="10039350" y="533400"/>
          <a:ext cx="3152775" cy="1930400"/>
        </a:xfrm>
        <a:prstGeom prst="rect">
          <a:avLst/>
        </a:prstGeom>
      </xdr:spPr>
    </xdr:pic>
    <xdr:clientData/>
  </xdr:twoCellAnchor>
  <xdr:twoCellAnchor editAs="oneCell">
    <xdr:from>
      <xdr:col>8</xdr:col>
      <xdr:colOff>561975</xdr:colOff>
      <xdr:row>14</xdr:row>
      <xdr:rowOff>38100</xdr:rowOff>
    </xdr:from>
    <xdr:to>
      <xdr:col>14</xdr:col>
      <xdr:colOff>114300</xdr:colOff>
      <xdr:row>19</xdr:row>
      <xdr:rowOff>374649</xdr:rowOff>
    </xdr:to>
    <xdr:pic>
      <xdr:nvPicPr>
        <xdr:cNvPr id="3" name="Picture 2">
          <a:extLst>
            <a:ext uri="{FF2B5EF4-FFF2-40B4-BE49-F238E27FC236}">
              <a16:creationId xmlns:a16="http://schemas.microsoft.com/office/drawing/2014/main" id="{A5519067-DB92-48EC-BE54-A288B42D818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9982200" y="3276600"/>
          <a:ext cx="3209925" cy="16890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555626</xdr:colOff>
      <xdr:row>23</xdr:row>
      <xdr:rowOff>123826</xdr:rowOff>
    </xdr:from>
    <xdr:ext cx="3238500" cy="1695450"/>
    <xdr:pic>
      <xdr:nvPicPr>
        <xdr:cNvPr id="4" name="Picture 3">
          <a:extLst>
            <a:ext uri="{FF2B5EF4-FFF2-40B4-BE49-F238E27FC236}">
              <a16:creationId xmlns:a16="http://schemas.microsoft.com/office/drawing/2014/main" id="{C1DD7BD6-64D3-4848-B8C0-34ADE1D8517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9975851" y="5991226"/>
          <a:ext cx="3238500" cy="1695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24.xml><?xml version="1.0" encoding="utf-8"?>
<xdr:wsDr xmlns:xdr="http://schemas.openxmlformats.org/drawingml/2006/spreadsheetDrawing" xmlns:a="http://schemas.openxmlformats.org/drawingml/2006/main">
  <xdr:twoCellAnchor editAs="oneCell">
    <xdr:from>
      <xdr:col>8</xdr:col>
      <xdr:colOff>609598</xdr:colOff>
      <xdr:row>12</xdr:row>
      <xdr:rowOff>38100</xdr:rowOff>
    </xdr:from>
    <xdr:to>
      <xdr:col>14</xdr:col>
      <xdr:colOff>171449</xdr:colOff>
      <xdr:row>17</xdr:row>
      <xdr:rowOff>200025</xdr:rowOff>
    </xdr:to>
    <xdr:pic>
      <xdr:nvPicPr>
        <xdr:cNvPr id="2" name="Picture 1">
          <a:extLst>
            <a:ext uri="{FF2B5EF4-FFF2-40B4-BE49-F238E27FC236}">
              <a16:creationId xmlns:a16="http://schemas.microsoft.com/office/drawing/2014/main" id="{4FB52B93-3A5C-411E-AD6D-255C9971020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53648" y="3009900"/>
          <a:ext cx="3219451" cy="1666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57149</xdr:colOff>
      <xdr:row>2</xdr:row>
      <xdr:rowOff>38099</xdr:rowOff>
    </xdr:from>
    <xdr:to>
      <xdr:col>14</xdr:col>
      <xdr:colOff>161924</xdr:colOff>
      <xdr:row>9</xdr:row>
      <xdr:rowOff>238124</xdr:rowOff>
    </xdr:to>
    <xdr:pic>
      <xdr:nvPicPr>
        <xdr:cNvPr id="3" name="Picture 2">
          <a:extLst>
            <a:ext uri="{FF2B5EF4-FFF2-40B4-BE49-F238E27FC236}">
              <a16:creationId xmlns:a16="http://schemas.microsoft.com/office/drawing/2014/main" id="{A9053A91-C768-4171-A925-58D263CCB0A1}"/>
            </a:ext>
          </a:extLst>
        </xdr:cNvPr>
        <xdr:cNvPicPr>
          <a:picLocks/>
        </xdr:cNvPicPr>
      </xdr:nvPicPr>
      <xdr:blipFill>
        <a:blip xmlns:r="http://schemas.openxmlformats.org/officeDocument/2006/relationships" r:embed="rId2"/>
        <a:stretch>
          <a:fillRect/>
        </a:stretch>
      </xdr:blipFill>
      <xdr:spPr>
        <a:xfrm>
          <a:off x="10267949" y="476249"/>
          <a:ext cx="3152775" cy="1952625"/>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8</xdr:col>
      <xdr:colOff>600075</xdr:colOff>
      <xdr:row>2</xdr:row>
      <xdr:rowOff>142876</xdr:rowOff>
    </xdr:from>
    <xdr:to>
      <xdr:col>14</xdr:col>
      <xdr:colOff>123825</xdr:colOff>
      <xdr:row>9</xdr:row>
      <xdr:rowOff>158751</xdr:rowOff>
    </xdr:to>
    <xdr:pic>
      <xdr:nvPicPr>
        <xdr:cNvPr id="2" name="Picture 1">
          <a:extLst>
            <a:ext uri="{FF2B5EF4-FFF2-40B4-BE49-F238E27FC236}">
              <a16:creationId xmlns:a16="http://schemas.microsoft.com/office/drawing/2014/main" id="{9CFDCA5A-2D77-4203-82BB-683468210D9C}"/>
            </a:ext>
          </a:extLst>
        </xdr:cNvPr>
        <xdr:cNvPicPr>
          <a:picLocks noChangeAspect="1"/>
        </xdr:cNvPicPr>
      </xdr:nvPicPr>
      <xdr:blipFill>
        <a:blip xmlns:r="http://schemas.openxmlformats.org/officeDocument/2006/relationships" r:embed="rId1"/>
        <a:stretch>
          <a:fillRect/>
        </a:stretch>
      </xdr:blipFill>
      <xdr:spPr>
        <a:xfrm>
          <a:off x="10020300" y="581026"/>
          <a:ext cx="3181350" cy="1920875"/>
        </a:xfrm>
        <a:prstGeom prst="rect">
          <a:avLst/>
        </a:prstGeom>
      </xdr:spPr>
    </xdr:pic>
    <xdr:clientData/>
  </xdr:twoCellAnchor>
  <xdr:twoCellAnchor editAs="oneCell">
    <xdr:from>
      <xdr:col>8</xdr:col>
      <xdr:colOff>523876</xdr:colOff>
      <xdr:row>14</xdr:row>
      <xdr:rowOff>152401</xdr:rowOff>
    </xdr:from>
    <xdr:to>
      <xdr:col>14</xdr:col>
      <xdr:colOff>47626</xdr:colOff>
      <xdr:row>19</xdr:row>
      <xdr:rowOff>171451</xdr:rowOff>
    </xdr:to>
    <xdr:pic>
      <xdr:nvPicPr>
        <xdr:cNvPr id="3" name="Picture 2">
          <a:extLst>
            <a:ext uri="{FF2B5EF4-FFF2-40B4-BE49-F238E27FC236}">
              <a16:creationId xmlns:a16="http://schemas.microsoft.com/office/drawing/2014/main" id="{B6AC37BA-3B76-4B53-AC71-356923C6C6A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9944101" y="3543301"/>
          <a:ext cx="3181350" cy="1676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523875</xdr:colOff>
      <xdr:row>22</xdr:row>
      <xdr:rowOff>57151</xdr:rowOff>
    </xdr:from>
    <xdr:ext cx="3238500" cy="1647824"/>
    <xdr:pic>
      <xdr:nvPicPr>
        <xdr:cNvPr id="4" name="Picture 3">
          <a:extLst>
            <a:ext uri="{FF2B5EF4-FFF2-40B4-BE49-F238E27FC236}">
              <a16:creationId xmlns:a16="http://schemas.microsoft.com/office/drawing/2014/main" id="{3FE7509A-DF89-4F72-B846-05B94247146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9944100" y="5867401"/>
          <a:ext cx="3238500" cy="16478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26.xml><?xml version="1.0" encoding="utf-8"?>
<xdr:wsDr xmlns:xdr="http://schemas.openxmlformats.org/drawingml/2006/spreadsheetDrawing" xmlns:a="http://schemas.openxmlformats.org/drawingml/2006/main">
  <xdr:twoCellAnchor editAs="oneCell">
    <xdr:from>
      <xdr:col>8</xdr:col>
      <xdr:colOff>552450</xdr:colOff>
      <xdr:row>2</xdr:row>
      <xdr:rowOff>114300</xdr:rowOff>
    </xdr:from>
    <xdr:to>
      <xdr:col>14</xdr:col>
      <xdr:colOff>178792</xdr:colOff>
      <xdr:row>10</xdr:row>
      <xdr:rowOff>177800</xdr:rowOff>
    </xdr:to>
    <xdr:pic>
      <xdr:nvPicPr>
        <xdr:cNvPr id="2" name="Picture 1">
          <a:extLst>
            <a:ext uri="{FF2B5EF4-FFF2-40B4-BE49-F238E27FC236}">
              <a16:creationId xmlns:a16="http://schemas.microsoft.com/office/drawing/2014/main" id="{E57E62CE-9F41-4678-917E-95E064CF6049}"/>
            </a:ext>
          </a:extLst>
        </xdr:cNvPr>
        <xdr:cNvPicPr>
          <a:picLocks noChangeAspect="1"/>
        </xdr:cNvPicPr>
      </xdr:nvPicPr>
      <xdr:blipFill>
        <a:blip xmlns:r="http://schemas.openxmlformats.org/officeDocument/2006/relationships" r:embed="rId1"/>
        <a:stretch>
          <a:fillRect/>
        </a:stretch>
      </xdr:blipFill>
      <xdr:spPr>
        <a:xfrm>
          <a:off x="9972675" y="552450"/>
          <a:ext cx="3283942" cy="2025650"/>
        </a:xfrm>
        <a:prstGeom prst="rect">
          <a:avLst/>
        </a:prstGeom>
      </xdr:spPr>
    </xdr:pic>
    <xdr:clientData/>
  </xdr:twoCellAnchor>
  <xdr:twoCellAnchor editAs="oneCell">
    <xdr:from>
      <xdr:col>8</xdr:col>
      <xdr:colOff>552450</xdr:colOff>
      <xdr:row>13</xdr:row>
      <xdr:rowOff>333376</xdr:rowOff>
    </xdr:from>
    <xdr:to>
      <xdr:col>14</xdr:col>
      <xdr:colOff>247650</xdr:colOff>
      <xdr:row>21</xdr:row>
      <xdr:rowOff>95251</xdr:rowOff>
    </xdr:to>
    <xdr:pic>
      <xdr:nvPicPr>
        <xdr:cNvPr id="3" name="Picture 2">
          <a:extLst>
            <a:ext uri="{FF2B5EF4-FFF2-40B4-BE49-F238E27FC236}">
              <a16:creationId xmlns:a16="http://schemas.microsoft.com/office/drawing/2014/main" id="{C1B2BEA4-288D-441D-A814-8A57161F0A3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9972675" y="3238501"/>
          <a:ext cx="3352800" cy="1714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581025</xdr:colOff>
      <xdr:row>24</xdr:row>
      <xdr:rowOff>57150</xdr:rowOff>
    </xdr:from>
    <xdr:ext cx="3419475" cy="1771650"/>
    <xdr:pic>
      <xdr:nvPicPr>
        <xdr:cNvPr id="4" name="Picture 3">
          <a:extLst>
            <a:ext uri="{FF2B5EF4-FFF2-40B4-BE49-F238E27FC236}">
              <a16:creationId xmlns:a16="http://schemas.microsoft.com/office/drawing/2014/main" id="{50FA38FA-2C5F-4737-B927-915A0BA2635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001250" y="5695950"/>
          <a:ext cx="3419475" cy="1771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27.xml><?xml version="1.0" encoding="utf-8"?>
<xdr:wsDr xmlns:xdr="http://schemas.openxmlformats.org/drawingml/2006/spreadsheetDrawing" xmlns:a="http://schemas.openxmlformats.org/drawingml/2006/main">
  <xdr:twoCellAnchor editAs="oneCell">
    <xdr:from>
      <xdr:col>9</xdr:col>
      <xdr:colOff>0</xdr:colOff>
      <xdr:row>3</xdr:row>
      <xdr:rowOff>1</xdr:rowOff>
    </xdr:from>
    <xdr:to>
      <xdr:col>14</xdr:col>
      <xdr:colOff>171450</xdr:colOff>
      <xdr:row>10</xdr:row>
      <xdr:rowOff>174626</xdr:rowOff>
    </xdr:to>
    <xdr:pic>
      <xdr:nvPicPr>
        <xdr:cNvPr id="2" name="Picture 1">
          <a:extLst>
            <a:ext uri="{FF2B5EF4-FFF2-40B4-BE49-F238E27FC236}">
              <a16:creationId xmlns:a16="http://schemas.microsoft.com/office/drawing/2014/main" id="{BC11D715-8667-4399-96E3-011DB4A72890}"/>
            </a:ext>
          </a:extLst>
        </xdr:cNvPr>
        <xdr:cNvPicPr>
          <a:picLocks noChangeAspect="1"/>
        </xdr:cNvPicPr>
      </xdr:nvPicPr>
      <xdr:blipFill>
        <a:blip xmlns:r="http://schemas.openxmlformats.org/officeDocument/2006/relationships" r:embed="rId1"/>
        <a:stretch>
          <a:fillRect/>
        </a:stretch>
      </xdr:blipFill>
      <xdr:spPr>
        <a:xfrm>
          <a:off x="10039350" y="704851"/>
          <a:ext cx="3219450" cy="2022475"/>
        </a:xfrm>
        <a:prstGeom prst="rect">
          <a:avLst/>
        </a:prstGeom>
      </xdr:spPr>
    </xdr:pic>
    <xdr:clientData/>
  </xdr:twoCellAnchor>
  <xdr:twoCellAnchor editAs="oneCell">
    <xdr:from>
      <xdr:col>8</xdr:col>
      <xdr:colOff>533400</xdr:colOff>
      <xdr:row>13</xdr:row>
      <xdr:rowOff>190500</xdr:rowOff>
    </xdr:from>
    <xdr:to>
      <xdr:col>14</xdr:col>
      <xdr:colOff>180975</xdr:colOff>
      <xdr:row>20</xdr:row>
      <xdr:rowOff>133350</xdr:rowOff>
    </xdr:to>
    <xdr:pic>
      <xdr:nvPicPr>
        <xdr:cNvPr id="3" name="Picture 2">
          <a:extLst>
            <a:ext uri="{FF2B5EF4-FFF2-40B4-BE49-F238E27FC236}">
              <a16:creationId xmlns:a16="http://schemas.microsoft.com/office/drawing/2014/main" id="{9C970999-58D7-46B3-A955-F5B424487C2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9963150" y="3371850"/>
          <a:ext cx="3305175" cy="1714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8</xdr:col>
      <xdr:colOff>600075</xdr:colOff>
      <xdr:row>2</xdr:row>
      <xdr:rowOff>66675</xdr:rowOff>
    </xdr:from>
    <xdr:to>
      <xdr:col>14</xdr:col>
      <xdr:colOff>226417</xdr:colOff>
      <xdr:row>9</xdr:row>
      <xdr:rowOff>339725</xdr:rowOff>
    </xdr:to>
    <xdr:pic>
      <xdr:nvPicPr>
        <xdr:cNvPr id="2" name="Picture 1">
          <a:extLst>
            <a:ext uri="{FF2B5EF4-FFF2-40B4-BE49-F238E27FC236}">
              <a16:creationId xmlns:a16="http://schemas.microsoft.com/office/drawing/2014/main" id="{DF1A00CA-3DCC-4C03-B9E4-4853BB9F0E8D}"/>
            </a:ext>
          </a:extLst>
        </xdr:cNvPr>
        <xdr:cNvPicPr>
          <a:picLocks noChangeAspect="1"/>
        </xdr:cNvPicPr>
      </xdr:nvPicPr>
      <xdr:blipFill>
        <a:blip xmlns:r="http://schemas.openxmlformats.org/officeDocument/2006/relationships" r:embed="rId1"/>
        <a:stretch>
          <a:fillRect/>
        </a:stretch>
      </xdr:blipFill>
      <xdr:spPr>
        <a:xfrm>
          <a:off x="10020300" y="504825"/>
          <a:ext cx="3283942" cy="2025650"/>
        </a:xfrm>
        <a:prstGeom prst="rect">
          <a:avLst/>
        </a:prstGeom>
      </xdr:spPr>
    </xdr:pic>
    <xdr:clientData/>
  </xdr:twoCellAnchor>
  <xdr:twoCellAnchor editAs="oneCell">
    <xdr:from>
      <xdr:col>8</xdr:col>
      <xdr:colOff>476250</xdr:colOff>
      <xdr:row>13</xdr:row>
      <xdr:rowOff>38100</xdr:rowOff>
    </xdr:from>
    <xdr:to>
      <xdr:col>14</xdr:col>
      <xdr:colOff>209550</xdr:colOff>
      <xdr:row>19</xdr:row>
      <xdr:rowOff>98425</xdr:rowOff>
    </xdr:to>
    <xdr:pic>
      <xdr:nvPicPr>
        <xdr:cNvPr id="3" name="Picture 2">
          <a:extLst>
            <a:ext uri="{FF2B5EF4-FFF2-40B4-BE49-F238E27FC236}">
              <a16:creationId xmlns:a16="http://schemas.microsoft.com/office/drawing/2014/main" id="{966202E5-EA45-4FC1-8863-F15650EB311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9896475" y="3219450"/>
          <a:ext cx="3390900" cy="1774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504825</xdr:colOff>
      <xdr:row>22</xdr:row>
      <xdr:rowOff>9525</xdr:rowOff>
    </xdr:from>
    <xdr:ext cx="3400424" cy="1800225"/>
    <xdr:pic>
      <xdr:nvPicPr>
        <xdr:cNvPr id="4" name="Picture 3">
          <a:extLst>
            <a:ext uri="{FF2B5EF4-FFF2-40B4-BE49-F238E27FC236}">
              <a16:creationId xmlns:a16="http://schemas.microsoft.com/office/drawing/2014/main" id="{C9AD3465-BE03-403C-A9A4-6FF99D3696D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9925050" y="5667375"/>
          <a:ext cx="3400424" cy="1800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29.xml><?xml version="1.0" encoding="utf-8"?>
<xdr:wsDr xmlns:xdr="http://schemas.openxmlformats.org/drawingml/2006/spreadsheetDrawing" xmlns:a="http://schemas.openxmlformats.org/drawingml/2006/main">
  <xdr:twoCellAnchor editAs="oneCell">
    <xdr:from>
      <xdr:col>9</xdr:col>
      <xdr:colOff>0</xdr:colOff>
      <xdr:row>2</xdr:row>
      <xdr:rowOff>104775</xdr:rowOff>
    </xdr:from>
    <xdr:to>
      <xdr:col>14</xdr:col>
      <xdr:colOff>180975</xdr:colOff>
      <xdr:row>11</xdr:row>
      <xdr:rowOff>0</xdr:rowOff>
    </xdr:to>
    <xdr:pic>
      <xdr:nvPicPr>
        <xdr:cNvPr id="2" name="Picture 1">
          <a:extLst>
            <a:ext uri="{FF2B5EF4-FFF2-40B4-BE49-F238E27FC236}">
              <a16:creationId xmlns:a16="http://schemas.microsoft.com/office/drawing/2014/main" id="{4D50F1EB-1149-4747-9F37-896CC315D8AF}"/>
            </a:ext>
          </a:extLst>
        </xdr:cNvPr>
        <xdr:cNvPicPr>
          <a:picLocks noChangeAspect="1"/>
        </xdr:cNvPicPr>
      </xdr:nvPicPr>
      <xdr:blipFill>
        <a:blip xmlns:r="http://schemas.openxmlformats.org/officeDocument/2006/relationships" r:embed="rId1"/>
        <a:stretch>
          <a:fillRect/>
        </a:stretch>
      </xdr:blipFill>
      <xdr:spPr>
        <a:xfrm>
          <a:off x="10086975" y="542925"/>
          <a:ext cx="3228975" cy="2066925"/>
        </a:xfrm>
        <a:prstGeom prst="rect">
          <a:avLst/>
        </a:prstGeom>
      </xdr:spPr>
    </xdr:pic>
    <xdr:clientData/>
  </xdr:twoCellAnchor>
  <xdr:twoCellAnchor editAs="oneCell">
    <xdr:from>
      <xdr:col>8</xdr:col>
      <xdr:colOff>561975</xdr:colOff>
      <xdr:row>14</xdr:row>
      <xdr:rowOff>47626</xdr:rowOff>
    </xdr:from>
    <xdr:to>
      <xdr:col>14</xdr:col>
      <xdr:colOff>104775</xdr:colOff>
      <xdr:row>22</xdr:row>
      <xdr:rowOff>85726</xdr:rowOff>
    </xdr:to>
    <xdr:pic>
      <xdr:nvPicPr>
        <xdr:cNvPr id="3" name="Picture 2">
          <a:extLst>
            <a:ext uri="{FF2B5EF4-FFF2-40B4-BE49-F238E27FC236}">
              <a16:creationId xmlns:a16="http://schemas.microsoft.com/office/drawing/2014/main" id="{C7E1DE5E-6F8B-4465-8321-DF52CB19C3D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039350" y="3286126"/>
          <a:ext cx="3200400" cy="1714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8</xdr:col>
      <xdr:colOff>600075</xdr:colOff>
      <xdr:row>2</xdr:row>
      <xdr:rowOff>133350</xdr:rowOff>
    </xdr:from>
    <xdr:to>
      <xdr:col>14</xdr:col>
      <xdr:colOff>28575</xdr:colOff>
      <xdr:row>10</xdr:row>
      <xdr:rowOff>4597</xdr:rowOff>
    </xdr:to>
    <xdr:pic>
      <xdr:nvPicPr>
        <xdr:cNvPr id="2" name="Picture 1">
          <a:extLst>
            <a:ext uri="{FF2B5EF4-FFF2-40B4-BE49-F238E27FC236}">
              <a16:creationId xmlns:a16="http://schemas.microsoft.com/office/drawing/2014/main" id="{1FCA190C-6CC7-4CF2-BFB4-18B9875CCF43}"/>
            </a:ext>
          </a:extLst>
        </xdr:cNvPr>
        <xdr:cNvPicPr>
          <a:picLocks noChangeAspect="1"/>
        </xdr:cNvPicPr>
      </xdr:nvPicPr>
      <xdr:blipFill>
        <a:blip xmlns:r="http://schemas.openxmlformats.org/officeDocument/2006/relationships" r:embed="rId1"/>
        <a:stretch>
          <a:fillRect/>
        </a:stretch>
      </xdr:blipFill>
      <xdr:spPr>
        <a:xfrm>
          <a:off x="10077450" y="571500"/>
          <a:ext cx="3086100" cy="1985797"/>
        </a:xfrm>
        <a:prstGeom prst="rect">
          <a:avLst/>
        </a:prstGeom>
      </xdr:spPr>
    </xdr:pic>
    <xdr:clientData/>
  </xdr:twoCellAnchor>
  <xdr:twoCellAnchor editAs="oneCell">
    <xdr:from>
      <xdr:col>8</xdr:col>
      <xdr:colOff>609599</xdr:colOff>
      <xdr:row>13</xdr:row>
      <xdr:rowOff>123826</xdr:rowOff>
    </xdr:from>
    <xdr:to>
      <xdr:col>14</xdr:col>
      <xdr:colOff>85724</xdr:colOff>
      <xdr:row>21</xdr:row>
      <xdr:rowOff>85725</xdr:rowOff>
    </xdr:to>
    <xdr:pic>
      <xdr:nvPicPr>
        <xdr:cNvPr id="3" name="Picture 2">
          <a:extLst>
            <a:ext uri="{FF2B5EF4-FFF2-40B4-BE49-F238E27FC236}">
              <a16:creationId xmlns:a16="http://schemas.microsoft.com/office/drawing/2014/main" id="{6DCC0BAE-B238-467D-B67C-2B506710949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086974" y="3305176"/>
          <a:ext cx="3133725" cy="16382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581026</xdr:colOff>
      <xdr:row>25</xdr:row>
      <xdr:rowOff>161925</xdr:rowOff>
    </xdr:from>
    <xdr:ext cx="3238499" cy="1695450"/>
    <xdr:pic>
      <xdr:nvPicPr>
        <xdr:cNvPr id="4" name="Picture 3">
          <a:extLst>
            <a:ext uri="{FF2B5EF4-FFF2-40B4-BE49-F238E27FC236}">
              <a16:creationId xmlns:a16="http://schemas.microsoft.com/office/drawing/2014/main" id="{BEAC0B6A-1BA5-4D59-970E-7D97A8C2048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058401" y="5857875"/>
          <a:ext cx="3238499" cy="1695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31.xml><?xml version="1.0" encoding="utf-8"?>
<xdr:wsDr xmlns:xdr="http://schemas.openxmlformats.org/drawingml/2006/spreadsheetDrawing" xmlns:a="http://schemas.openxmlformats.org/drawingml/2006/main">
  <xdr:twoCellAnchor editAs="oneCell">
    <xdr:from>
      <xdr:col>9</xdr:col>
      <xdr:colOff>0</xdr:colOff>
      <xdr:row>2</xdr:row>
      <xdr:rowOff>171450</xdr:rowOff>
    </xdr:from>
    <xdr:to>
      <xdr:col>14</xdr:col>
      <xdr:colOff>235942</xdr:colOff>
      <xdr:row>10</xdr:row>
      <xdr:rowOff>82550</xdr:rowOff>
    </xdr:to>
    <xdr:pic>
      <xdr:nvPicPr>
        <xdr:cNvPr id="2" name="Picture 1">
          <a:extLst>
            <a:ext uri="{FF2B5EF4-FFF2-40B4-BE49-F238E27FC236}">
              <a16:creationId xmlns:a16="http://schemas.microsoft.com/office/drawing/2014/main" id="{D95E99B7-AE35-4021-95B2-05F5730C4CD1}"/>
            </a:ext>
          </a:extLst>
        </xdr:cNvPr>
        <xdr:cNvPicPr>
          <a:picLocks noChangeAspect="1"/>
        </xdr:cNvPicPr>
      </xdr:nvPicPr>
      <xdr:blipFill>
        <a:blip xmlns:r="http://schemas.openxmlformats.org/officeDocument/2006/relationships" r:embed="rId1"/>
        <a:stretch>
          <a:fillRect/>
        </a:stretch>
      </xdr:blipFill>
      <xdr:spPr>
        <a:xfrm>
          <a:off x="10048875" y="609600"/>
          <a:ext cx="3283942" cy="2025650"/>
        </a:xfrm>
        <a:prstGeom prst="rect">
          <a:avLst/>
        </a:prstGeom>
      </xdr:spPr>
    </xdr:pic>
    <xdr:clientData/>
  </xdr:twoCellAnchor>
  <xdr:twoCellAnchor editAs="oneCell">
    <xdr:from>
      <xdr:col>8</xdr:col>
      <xdr:colOff>590550</xdr:colOff>
      <xdr:row>13</xdr:row>
      <xdr:rowOff>180976</xdr:rowOff>
    </xdr:from>
    <xdr:to>
      <xdr:col>14</xdr:col>
      <xdr:colOff>200025</xdr:colOff>
      <xdr:row>19</xdr:row>
      <xdr:rowOff>168276</xdr:rowOff>
    </xdr:to>
    <xdr:pic>
      <xdr:nvPicPr>
        <xdr:cNvPr id="3" name="Picture 2">
          <a:extLst>
            <a:ext uri="{FF2B5EF4-FFF2-40B4-BE49-F238E27FC236}">
              <a16:creationId xmlns:a16="http://schemas.microsoft.com/office/drawing/2014/main" id="{BF3945E6-21A6-4A96-AFAD-E2463336DC5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029825" y="3362326"/>
          <a:ext cx="3267075" cy="1701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9</xdr:col>
      <xdr:colOff>0</xdr:colOff>
      <xdr:row>23</xdr:row>
      <xdr:rowOff>161926</xdr:rowOff>
    </xdr:from>
    <xdr:ext cx="3390900" cy="1809750"/>
    <xdr:pic>
      <xdr:nvPicPr>
        <xdr:cNvPr id="4" name="Picture 3">
          <a:extLst>
            <a:ext uri="{FF2B5EF4-FFF2-40B4-BE49-F238E27FC236}">
              <a16:creationId xmlns:a16="http://schemas.microsoft.com/office/drawing/2014/main" id="{EF43DB64-70CB-4525-AF9F-86E72F49391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048875" y="6029326"/>
          <a:ext cx="3390900" cy="1809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32.xml><?xml version="1.0" encoding="utf-8"?>
<xdr:wsDr xmlns:xdr="http://schemas.openxmlformats.org/drawingml/2006/spreadsheetDrawing" xmlns:a="http://schemas.openxmlformats.org/drawingml/2006/main">
  <xdr:twoCellAnchor editAs="oneCell">
    <xdr:from>
      <xdr:col>8</xdr:col>
      <xdr:colOff>488951</xdr:colOff>
      <xdr:row>13</xdr:row>
      <xdr:rowOff>88901</xdr:rowOff>
    </xdr:from>
    <xdr:to>
      <xdr:col>14</xdr:col>
      <xdr:colOff>50801</xdr:colOff>
      <xdr:row>18</xdr:row>
      <xdr:rowOff>139701</xdr:rowOff>
    </xdr:to>
    <xdr:pic>
      <xdr:nvPicPr>
        <xdr:cNvPr id="3" name="Picture 2">
          <a:extLst>
            <a:ext uri="{FF2B5EF4-FFF2-40B4-BE49-F238E27FC236}">
              <a16:creationId xmlns:a16="http://schemas.microsoft.com/office/drawing/2014/main" id="{253E516C-830C-468D-B4A0-63825D0ACE2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9918701" y="3270251"/>
          <a:ext cx="3219450" cy="1708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485775</xdr:colOff>
      <xdr:row>23</xdr:row>
      <xdr:rowOff>111125</xdr:rowOff>
    </xdr:from>
    <xdr:ext cx="3273721" cy="1762125"/>
    <xdr:pic>
      <xdr:nvPicPr>
        <xdr:cNvPr id="4" name="Picture 3">
          <a:extLst>
            <a:ext uri="{FF2B5EF4-FFF2-40B4-BE49-F238E27FC236}">
              <a16:creationId xmlns:a16="http://schemas.microsoft.com/office/drawing/2014/main" id="{46A6A201-592D-41CB-A8CB-91E8DBA8D48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9915525" y="5978525"/>
          <a:ext cx="3273721" cy="176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8</xdr:col>
      <xdr:colOff>485775</xdr:colOff>
      <xdr:row>2</xdr:row>
      <xdr:rowOff>171450</xdr:rowOff>
    </xdr:from>
    <xdr:to>
      <xdr:col>14</xdr:col>
      <xdr:colOff>76200</xdr:colOff>
      <xdr:row>10</xdr:row>
      <xdr:rowOff>85726</xdr:rowOff>
    </xdr:to>
    <xdr:pic>
      <xdr:nvPicPr>
        <xdr:cNvPr id="5" name="Picture 4">
          <a:extLst>
            <a:ext uri="{FF2B5EF4-FFF2-40B4-BE49-F238E27FC236}">
              <a16:creationId xmlns:a16="http://schemas.microsoft.com/office/drawing/2014/main" id="{9FAF8348-3165-4DEA-99F8-911B0ECDEBAE}"/>
            </a:ext>
          </a:extLst>
        </xdr:cNvPr>
        <xdr:cNvPicPr>
          <a:picLocks noChangeAspect="1"/>
        </xdr:cNvPicPr>
      </xdr:nvPicPr>
      <xdr:blipFill>
        <a:blip xmlns:r="http://schemas.openxmlformats.org/officeDocument/2006/relationships" r:embed="rId2"/>
        <a:stretch>
          <a:fillRect/>
        </a:stretch>
      </xdr:blipFill>
      <xdr:spPr>
        <a:xfrm>
          <a:off x="10048875" y="609600"/>
          <a:ext cx="3248025" cy="2028826"/>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9</xdr:col>
      <xdr:colOff>28576</xdr:colOff>
      <xdr:row>13</xdr:row>
      <xdr:rowOff>28574</xdr:rowOff>
    </xdr:from>
    <xdr:to>
      <xdr:col>14</xdr:col>
      <xdr:colOff>238125</xdr:colOff>
      <xdr:row>18</xdr:row>
      <xdr:rowOff>638176</xdr:rowOff>
    </xdr:to>
    <xdr:pic>
      <xdr:nvPicPr>
        <xdr:cNvPr id="2" name="Picture 1">
          <a:extLst>
            <a:ext uri="{FF2B5EF4-FFF2-40B4-BE49-F238E27FC236}">
              <a16:creationId xmlns:a16="http://schemas.microsoft.com/office/drawing/2014/main" id="{1F886FD0-1E0A-4F43-A968-466CA99CB88C}"/>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229851" y="3209924"/>
          <a:ext cx="3448049" cy="16573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3176</xdr:colOff>
      <xdr:row>23</xdr:row>
      <xdr:rowOff>66675</xdr:rowOff>
    </xdr:from>
    <xdr:to>
      <xdr:col>14</xdr:col>
      <xdr:colOff>180975</xdr:colOff>
      <xdr:row>30</xdr:row>
      <xdr:rowOff>85725</xdr:rowOff>
    </xdr:to>
    <xdr:pic>
      <xdr:nvPicPr>
        <xdr:cNvPr id="3" name="Picture 2">
          <a:extLst>
            <a:ext uri="{FF2B5EF4-FFF2-40B4-BE49-F238E27FC236}">
              <a16:creationId xmlns:a16="http://schemas.microsoft.com/office/drawing/2014/main" id="{B58BED8A-E945-490C-A8E2-653ED42FD67D}"/>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204451" y="5953125"/>
          <a:ext cx="3416299" cy="1638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9526</xdr:colOff>
      <xdr:row>2</xdr:row>
      <xdr:rowOff>114300</xdr:rowOff>
    </xdr:from>
    <xdr:to>
      <xdr:col>14</xdr:col>
      <xdr:colOff>161925</xdr:colOff>
      <xdr:row>10</xdr:row>
      <xdr:rowOff>34925</xdr:rowOff>
    </xdr:to>
    <xdr:pic>
      <xdr:nvPicPr>
        <xdr:cNvPr id="4" name="Picture 3">
          <a:extLst>
            <a:ext uri="{FF2B5EF4-FFF2-40B4-BE49-F238E27FC236}">
              <a16:creationId xmlns:a16="http://schemas.microsoft.com/office/drawing/2014/main" id="{4D045505-7CFD-46D0-85E3-DC46F1384C27}"/>
            </a:ext>
          </a:extLst>
        </xdr:cNvPr>
        <xdr:cNvPicPr>
          <a:picLocks noChangeAspect="1"/>
        </xdr:cNvPicPr>
      </xdr:nvPicPr>
      <xdr:blipFill>
        <a:blip xmlns:r="http://schemas.openxmlformats.org/officeDocument/2006/relationships" r:embed="rId2"/>
        <a:stretch>
          <a:fillRect/>
        </a:stretch>
      </xdr:blipFill>
      <xdr:spPr>
        <a:xfrm>
          <a:off x="10210801" y="552450"/>
          <a:ext cx="3390899" cy="2035175"/>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8</xdr:col>
      <xdr:colOff>609599</xdr:colOff>
      <xdr:row>2</xdr:row>
      <xdr:rowOff>114300</xdr:rowOff>
    </xdr:from>
    <xdr:to>
      <xdr:col>14</xdr:col>
      <xdr:colOff>219074</xdr:colOff>
      <xdr:row>10</xdr:row>
      <xdr:rowOff>168275</xdr:rowOff>
    </xdr:to>
    <xdr:pic>
      <xdr:nvPicPr>
        <xdr:cNvPr id="2" name="Picture 1">
          <a:extLst>
            <a:ext uri="{FF2B5EF4-FFF2-40B4-BE49-F238E27FC236}">
              <a16:creationId xmlns:a16="http://schemas.microsoft.com/office/drawing/2014/main" id="{C7DF2F8C-4055-4E98-9D07-EA8DC3B5558C}"/>
            </a:ext>
          </a:extLst>
        </xdr:cNvPr>
        <xdr:cNvPicPr>
          <a:picLocks noChangeAspect="1"/>
        </xdr:cNvPicPr>
      </xdr:nvPicPr>
      <xdr:blipFill>
        <a:blip xmlns:r="http://schemas.openxmlformats.org/officeDocument/2006/relationships" r:embed="rId1"/>
        <a:stretch>
          <a:fillRect/>
        </a:stretch>
      </xdr:blipFill>
      <xdr:spPr>
        <a:xfrm>
          <a:off x="10172699" y="552450"/>
          <a:ext cx="3267075" cy="2016125"/>
        </a:xfrm>
        <a:prstGeom prst="rect">
          <a:avLst/>
        </a:prstGeom>
      </xdr:spPr>
    </xdr:pic>
    <xdr:clientData/>
  </xdr:twoCellAnchor>
  <xdr:twoCellAnchor editAs="oneCell">
    <xdr:from>
      <xdr:col>8</xdr:col>
      <xdr:colOff>609599</xdr:colOff>
      <xdr:row>12</xdr:row>
      <xdr:rowOff>76201</xdr:rowOff>
    </xdr:from>
    <xdr:to>
      <xdr:col>14</xdr:col>
      <xdr:colOff>314324</xdr:colOff>
      <xdr:row>20</xdr:row>
      <xdr:rowOff>152400</xdr:rowOff>
    </xdr:to>
    <xdr:pic>
      <xdr:nvPicPr>
        <xdr:cNvPr id="3" name="Picture 2">
          <a:extLst>
            <a:ext uri="{FF2B5EF4-FFF2-40B4-BE49-F238E27FC236}">
              <a16:creationId xmlns:a16="http://schemas.microsoft.com/office/drawing/2014/main" id="{237B00A7-4A28-47DD-A5D9-B072A1498BB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699" y="3048001"/>
          <a:ext cx="3362325" cy="17525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8</xdr:col>
      <xdr:colOff>523877</xdr:colOff>
      <xdr:row>2</xdr:row>
      <xdr:rowOff>152400</xdr:rowOff>
    </xdr:from>
    <xdr:to>
      <xdr:col>14</xdr:col>
      <xdr:colOff>38101</xdr:colOff>
      <xdr:row>10</xdr:row>
      <xdr:rowOff>79375</xdr:rowOff>
    </xdr:to>
    <xdr:pic>
      <xdr:nvPicPr>
        <xdr:cNvPr id="2" name="Picture 1">
          <a:extLst>
            <a:ext uri="{FF2B5EF4-FFF2-40B4-BE49-F238E27FC236}">
              <a16:creationId xmlns:a16="http://schemas.microsoft.com/office/drawing/2014/main" id="{F38BF560-F1A7-43CF-8B11-EFBD3F339354}"/>
            </a:ext>
          </a:extLst>
        </xdr:cNvPr>
        <xdr:cNvPicPr>
          <a:picLocks noChangeAspect="1"/>
        </xdr:cNvPicPr>
      </xdr:nvPicPr>
      <xdr:blipFill>
        <a:blip xmlns:r="http://schemas.openxmlformats.org/officeDocument/2006/relationships" r:embed="rId1"/>
        <a:stretch>
          <a:fillRect/>
        </a:stretch>
      </xdr:blipFill>
      <xdr:spPr>
        <a:xfrm>
          <a:off x="8963027" y="533400"/>
          <a:ext cx="3171824" cy="2051050"/>
        </a:xfrm>
        <a:prstGeom prst="rect">
          <a:avLst/>
        </a:prstGeom>
      </xdr:spPr>
    </xdr:pic>
    <xdr:clientData/>
  </xdr:twoCellAnchor>
  <xdr:twoCellAnchor editAs="oneCell">
    <xdr:from>
      <xdr:col>8</xdr:col>
      <xdr:colOff>444500</xdr:colOff>
      <xdr:row>13</xdr:row>
      <xdr:rowOff>79375</xdr:rowOff>
    </xdr:from>
    <xdr:to>
      <xdr:col>14</xdr:col>
      <xdr:colOff>114300</xdr:colOff>
      <xdr:row>22</xdr:row>
      <xdr:rowOff>127000</xdr:rowOff>
    </xdr:to>
    <xdr:pic>
      <xdr:nvPicPr>
        <xdr:cNvPr id="3" name="Picture 2">
          <a:extLst>
            <a:ext uri="{FF2B5EF4-FFF2-40B4-BE49-F238E27FC236}">
              <a16:creationId xmlns:a16="http://schemas.microsoft.com/office/drawing/2014/main" id="{95FDC5BD-CAC0-4465-B624-75141B44DAB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8883650" y="3155950"/>
          <a:ext cx="3327400" cy="176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AF2FE8-E204-42BC-8A4E-FD5BE511C1B6}">
  <dimension ref="A1:C36"/>
  <sheetViews>
    <sheetView tabSelected="1" zoomScale="110" zoomScaleNormal="110" workbookViewId="0">
      <pane ySplit="1" topLeftCell="A2" activePane="bottomLeft" state="frozen"/>
      <selection activeCell="B1" sqref="B1"/>
      <selection pane="bottomLeft" activeCell="B2" sqref="B2"/>
    </sheetView>
  </sheetViews>
  <sheetFormatPr defaultColWidth="9.140625" defaultRowHeight="15" x14ac:dyDescent="0.25"/>
  <cols>
    <col min="1" max="1" width="6" style="36" bestFit="1" customWidth="1"/>
    <col min="2" max="2" width="10.42578125" style="36" bestFit="1" customWidth="1"/>
    <col min="3" max="3" width="56.42578125" style="36" bestFit="1" customWidth="1"/>
    <col min="4" max="16384" width="9.140625" style="36"/>
  </cols>
  <sheetData>
    <row r="1" spans="1:3" x14ac:dyDescent="0.25">
      <c r="A1" s="34" t="s">
        <v>832</v>
      </c>
      <c r="B1" s="35" t="s">
        <v>833</v>
      </c>
      <c r="C1" s="35" t="s">
        <v>834</v>
      </c>
    </row>
    <row r="2" spans="1:3" x14ac:dyDescent="0.25">
      <c r="A2" s="37">
        <v>1</v>
      </c>
      <c r="B2" s="38" t="s">
        <v>835</v>
      </c>
      <c r="C2" s="39" t="s">
        <v>1</v>
      </c>
    </row>
    <row r="3" spans="1:3" x14ac:dyDescent="0.25">
      <c r="A3" s="37">
        <v>2</v>
      </c>
      <c r="B3" s="38" t="s">
        <v>836</v>
      </c>
      <c r="C3" s="39" t="s">
        <v>178</v>
      </c>
    </row>
    <row r="4" spans="1:3" x14ac:dyDescent="0.25">
      <c r="A4" s="37">
        <v>3</v>
      </c>
      <c r="B4" s="38" t="s">
        <v>837</v>
      </c>
      <c r="C4" s="39" t="s">
        <v>301</v>
      </c>
    </row>
    <row r="5" spans="1:3" x14ac:dyDescent="0.25">
      <c r="A5" s="37">
        <v>4</v>
      </c>
      <c r="B5" s="38" t="s">
        <v>838</v>
      </c>
      <c r="C5" s="39" t="s">
        <v>839</v>
      </c>
    </row>
    <row r="6" spans="1:3" x14ac:dyDescent="0.25">
      <c r="A6" s="37">
        <v>5</v>
      </c>
      <c r="B6" s="38" t="s">
        <v>840</v>
      </c>
      <c r="C6" s="39" t="s">
        <v>841</v>
      </c>
    </row>
    <row r="7" spans="1:3" x14ac:dyDescent="0.25">
      <c r="A7" s="37">
        <v>6</v>
      </c>
      <c r="B7" s="38" t="s">
        <v>842</v>
      </c>
      <c r="C7" s="39" t="s">
        <v>376</v>
      </c>
    </row>
    <row r="8" spans="1:3" x14ac:dyDescent="0.25">
      <c r="A8" s="37">
        <v>7</v>
      </c>
      <c r="B8" s="38" t="s">
        <v>843</v>
      </c>
      <c r="C8" s="39" t="s">
        <v>377</v>
      </c>
    </row>
    <row r="9" spans="1:3" x14ac:dyDescent="0.25">
      <c r="A9" s="37">
        <v>8</v>
      </c>
      <c r="B9" s="38" t="s">
        <v>844</v>
      </c>
      <c r="C9" s="39" t="s">
        <v>382</v>
      </c>
    </row>
    <row r="10" spans="1:3" x14ac:dyDescent="0.25">
      <c r="A10" s="37">
        <v>9</v>
      </c>
      <c r="B10" s="38" t="s">
        <v>845</v>
      </c>
      <c r="C10" s="39" t="s">
        <v>417</v>
      </c>
    </row>
    <row r="11" spans="1:3" x14ac:dyDescent="0.25">
      <c r="A11" s="37">
        <v>10</v>
      </c>
      <c r="B11" s="38" t="s">
        <v>846</v>
      </c>
      <c r="C11" s="39" t="s">
        <v>461</v>
      </c>
    </row>
    <row r="12" spans="1:3" x14ac:dyDescent="0.25">
      <c r="A12" s="37">
        <v>11</v>
      </c>
      <c r="B12" s="38" t="s">
        <v>847</v>
      </c>
      <c r="C12" s="39" t="s">
        <v>848</v>
      </c>
    </row>
    <row r="13" spans="1:3" x14ac:dyDescent="0.25">
      <c r="A13" s="37">
        <v>12</v>
      </c>
      <c r="B13" s="38" t="s">
        <v>849</v>
      </c>
      <c r="C13" s="39" t="s">
        <v>850</v>
      </c>
    </row>
    <row r="14" spans="1:3" x14ac:dyDescent="0.25">
      <c r="A14" s="37">
        <v>13</v>
      </c>
      <c r="B14" s="38" t="s">
        <v>851</v>
      </c>
      <c r="C14" s="39" t="s">
        <v>852</v>
      </c>
    </row>
    <row r="15" spans="1:3" x14ac:dyDescent="0.25">
      <c r="A15" s="37">
        <v>14</v>
      </c>
      <c r="B15" s="38" t="s">
        <v>853</v>
      </c>
      <c r="C15" s="39" t="s">
        <v>854</v>
      </c>
    </row>
    <row r="16" spans="1:3" x14ac:dyDescent="0.25">
      <c r="A16" s="37">
        <v>15</v>
      </c>
      <c r="B16" s="38" t="s">
        <v>855</v>
      </c>
      <c r="C16" s="39" t="s">
        <v>497</v>
      </c>
    </row>
    <row r="17" spans="1:3" x14ac:dyDescent="0.25">
      <c r="A17" s="37">
        <v>16</v>
      </c>
      <c r="B17" s="38" t="s">
        <v>856</v>
      </c>
      <c r="C17" s="39" t="s">
        <v>504</v>
      </c>
    </row>
    <row r="18" spans="1:3" x14ac:dyDescent="0.25">
      <c r="A18" s="37">
        <v>17</v>
      </c>
      <c r="B18" s="38" t="s">
        <v>857</v>
      </c>
      <c r="C18" s="39" t="s">
        <v>505</v>
      </c>
    </row>
    <row r="19" spans="1:3" x14ac:dyDescent="0.25">
      <c r="A19" s="37">
        <v>18</v>
      </c>
      <c r="B19" s="38" t="s">
        <v>858</v>
      </c>
      <c r="C19" s="39" t="s">
        <v>506</v>
      </c>
    </row>
    <row r="20" spans="1:3" x14ac:dyDescent="0.25">
      <c r="A20" s="37">
        <v>19</v>
      </c>
      <c r="B20" s="38" t="s">
        <v>859</v>
      </c>
      <c r="C20" s="39" t="s">
        <v>507</v>
      </c>
    </row>
    <row r="21" spans="1:3" x14ac:dyDescent="0.25">
      <c r="A21" s="37">
        <v>20</v>
      </c>
      <c r="B21" s="38" t="s">
        <v>860</v>
      </c>
      <c r="C21" s="39" t="s">
        <v>549</v>
      </c>
    </row>
    <row r="22" spans="1:3" x14ac:dyDescent="0.25">
      <c r="A22" s="37">
        <v>21</v>
      </c>
      <c r="B22" s="38" t="s">
        <v>861</v>
      </c>
      <c r="C22" s="39" t="s">
        <v>862</v>
      </c>
    </row>
    <row r="23" spans="1:3" x14ac:dyDescent="0.25">
      <c r="A23" s="37">
        <v>22</v>
      </c>
      <c r="B23" s="38" t="s">
        <v>863</v>
      </c>
      <c r="C23" s="39" t="s">
        <v>674</v>
      </c>
    </row>
    <row r="24" spans="1:3" x14ac:dyDescent="0.25">
      <c r="A24" s="37">
        <v>23</v>
      </c>
      <c r="B24" s="38" t="s">
        <v>864</v>
      </c>
      <c r="C24" s="39" t="s">
        <v>687</v>
      </c>
    </row>
    <row r="25" spans="1:3" x14ac:dyDescent="0.25">
      <c r="A25" s="37">
        <v>24</v>
      </c>
      <c r="B25" s="38" t="s">
        <v>865</v>
      </c>
      <c r="C25" s="39" t="s">
        <v>707</v>
      </c>
    </row>
    <row r="26" spans="1:3" x14ac:dyDescent="0.25">
      <c r="A26" s="37">
        <v>25</v>
      </c>
      <c r="B26" s="38" t="s">
        <v>866</v>
      </c>
      <c r="C26" s="39" t="s">
        <v>867</v>
      </c>
    </row>
    <row r="27" spans="1:3" x14ac:dyDescent="0.25">
      <c r="A27" s="37">
        <v>26</v>
      </c>
      <c r="B27" s="38" t="s">
        <v>868</v>
      </c>
      <c r="C27" s="39" t="s">
        <v>723</v>
      </c>
    </row>
    <row r="28" spans="1:3" x14ac:dyDescent="0.25">
      <c r="A28" s="37">
        <v>27</v>
      </c>
      <c r="B28" s="38" t="s">
        <v>869</v>
      </c>
      <c r="C28" s="39" t="s">
        <v>870</v>
      </c>
    </row>
    <row r="29" spans="1:3" x14ac:dyDescent="0.25">
      <c r="A29" s="37">
        <v>28</v>
      </c>
      <c r="B29" s="38" t="s">
        <v>871</v>
      </c>
      <c r="C29" s="39" t="s">
        <v>808</v>
      </c>
    </row>
    <row r="30" spans="1:3" x14ac:dyDescent="0.25">
      <c r="A30" s="37">
        <v>29</v>
      </c>
      <c r="B30" s="38" t="s">
        <v>872</v>
      </c>
      <c r="C30" s="39" t="s">
        <v>811</v>
      </c>
    </row>
    <row r="31" spans="1:3" x14ac:dyDescent="0.25">
      <c r="A31" s="37">
        <v>30</v>
      </c>
      <c r="B31" s="38" t="s">
        <v>873</v>
      </c>
      <c r="C31" s="39" t="s">
        <v>818</v>
      </c>
    </row>
    <row r="32" spans="1:3" x14ac:dyDescent="0.25">
      <c r="A32" s="37">
        <v>31</v>
      </c>
      <c r="B32" s="38" t="s">
        <v>874</v>
      </c>
      <c r="C32" s="39" t="s">
        <v>823</v>
      </c>
    </row>
    <row r="33" spans="1:3" x14ac:dyDescent="0.25">
      <c r="A33" s="37">
        <v>32</v>
      </c>
      <c r="B33" s="38" t="s">
        <v>875</v>
      </c>
      <c r="C33" s="39" t="s">
        <v>824</v>
      </c>
    </row>
    <row r="34" spans="1:3" x14ac:dyDescent="0.25">
      <c r="A34" s="37">
        <v>33</v>
      </c>
      <c r="B34" s="38" t="s">
        <v>876</v>
      </c>
      <c r="C34" s="39" t="s">
        <v>825</v>
      </c>
    </row>
    <row r="35" spans="1:3" x14ac:dyDescent="0.25">
      <c r="A35" s="37">
        <v>34</v>
      </c>
      <c r="B35" s="38" t="s">
        <v>877</v>
      </c>
      <c r="C35" s="39" t="s">
        <v>826</v>
      </c>
    </row>
    <row r="36" spans="1:3" x14ac:dyDescent="0.25">
      <c r="A36" s="37">
        <v>35</v>
      </c>
      <c r="B36" s="38" t="s">
        <v>878</v>
      </c>
      <c r="C36" s="39" t="s">
        <v>879</v>
      </c>
    </row>
  </sheetData>
  <hyperlinks>
    <hyperlink ref="B3" location="MIDCAP!A1" display="MIDCAP" xr:uid="{8873AD74-8231-4425-AF50-D484C8C218A8}"/>
    <hyperlink ref="B4" location="MULTI1!A1" display="MULTI1" xr:uid="{B5CA81CF-F93A-46AD-8218-551EDDF242F7}"/>
    <hyperlink ref="B5" location="MULTI2!A1" display="MULTI2" xr:uid="{15E4B668-74FE-4AE1-BC0F-D779AD904E63}"/>
    <hyperlink ref="B6" location="MULTIP!A1" display="MULTIP" xr:uid="{07F83CED-CB09-4696-9069-24701F833245}"/>
    <hyperlink ref="B7" location="SESCAP3!A1" display="SESCAP3" xr:uid="{B522506D-484C-4E9B-835A-16101B2D5435}"/>
    <hyperlink ref="B8" location="SESCAP4!A1" display="SESCAP4" xr:uid="{4116970D-BCE9-498E-A471-CF334A052CCF}"/>
    <hyperlink ref="B9" location="SESCAP5!A1" display="SESCAP5" xr:uid="{5E77D4CE-AA63-470D-9C3A-14A5C6ED5DE4}"/>
    <hyperlink ref="B10" location="SESCAP6!A1" display="SESCAP6" xr:uid="{77FAFF24-C11B-47D2-8437-A8CF186DB196}"/>
    <hyperlink ref="B11" location="SESCAP7!A1" display="SESCAP7" xr:uid="{6A92D10E-6E41-457F-8EFF-717C66522D78}"/>
    <hyperlink ref="B12" location="SLTADV3!A1" display="SLTADV3" xr:uid="{E5FB7D9C-F8DE-4A41-B32D-05A297B08DA9}"/>
    <hyperlink ref="B13" location="SLTADV4!A1" display="SLTADV4" xr:uid="{3BC0D7E0-1CFD-4423-A045-4D6AE221C9AB}"/>
    <hyperlink ref="B14" location="SLTAX1!A1" display="SLTAX1" xr:uid="{B70A3A90-5EFA-45ED-97DC-A36627587F3C}"/>
    <hyperlink ref="B15" location="SLTAX2!A1" display="SLTAX2" xr:uid="{923AF54A-60C3-4E8D-8213-3017B075EABB}"/>
    <hyperlink ref="B16" location="SLTAX3!A1" display="SLTAX3" xr:uid="{0E29E2E5-3367-4B38-9672-643C90BECA99}"/>
    <hyperlink ref="B17" location="SLTAX4!A1" display="SLTAX4" xr:uid="{3C6A61BB-4108-458B-A44F-E7D9F8C40B27}"/>
    <hyperlink ref="B18" location="SLTAX5!A1" display="SLTAX5" xr:uid="{405739F1-5AC3-4071-84C5-7DDEA329D106}"/>
    <hyperlink ref="B19" location="SLTAX6!A1" display="SLTAX6" xr:uid="{10CA7A7F-3C95-4173-862C-9955E5573208}"/>
    <hyperlink ref="B20" location="SMILE!A1" display="SMILE" xr:uid="{A1A3F3BB-ADA1-430D-80DA-BBAE62D9C94B}"/>
    <hyperlink ref="B21" location="SPAHF!A1" display="SPAHF" xr:uid="{3107A74B-6123-400E-BC0D-CCF4D32F5554}"/>
    <hyperlink ref="B22" location="SPARF!A1" display="SPARF" xr:uid="{B59F0BF7-4DA6-4008-AF61-2249EE86D538}"/>
    <hyperlink ref="B23" location="SPBAF!A1" display="SPBAF" xr:uid="{EE614355-78A1-4F35-9C39-2DE27AEA7F9E}"/>
    <hyperlink ref="B24" location="SPDYF!A1" display="SPDYF" xr:uid="{4889FCBD-6290-4D8D-85C8-999B6A8BED09}"/>
    <hyperlink ref="B25" location="SPESF!A1" display="SPESF" xr:uid="{A787AD9E-187E-4E14-A718-3102209CBDB9}"/>
    <hyperlink ref="B26" location="SPFOCUS!A1" display="SPFOCUS" xr:uid="{4A915156-0931-473D-9B9A-A698B4606A30}"/>
    <hyperlink ref="B27" location="SPMUCF!A1" display="SPMUCF" xr:uid="{017C3E81-560C-40AD-ACFB-A9D4C6A38ECB}"/>
    <hyperlink ref="B28" location="SPSN100!A1" display="SPSN100" xr:uid="{BB914717-0A2C-4375-A3C5-8FA0B1BA6CEA}"/>
    <hyperlink ref="B29" location="SPTAX!A1" display="SPTAX" xr:uid="{D49BDC0C-EE15-49B5-BFC4-EC9B8E50D018}"/>
    <hyperlink ref="B30" location="SRURAL!A1" display="SRURAL" xr:uid="{B30B5B9D-97D5-436B-A475-D4F9BC021869}"/>
    <hyperlink ref="B31" location="SSFUND!A1" display="SSFUND" xr:uid="{604BF9D1-C7A3-4B63-B32A-04BF722FACD0}"/>
    <hyperlink ref="B32" location="STAX!A1" display="STAX" xr:uid="{02AD5974-E10A-49AC-8896-C9A0B6BCB7EA}"/>
    <hyperlink ref="B33" location="SUNBCF!A1" display="SUNBCF" xr:uid="{C39598AD-EB0A-4394-8643-A1E8ACEEC21A}"/>
    <hyperlink ref="B35" location="SUNFOP!A1" display="SUNFOP" xr:uid="{1B65ED4E-747A-4E58-9A82-BEB1962A69CB}"/>
    <hyperlink ref="B36" location="GLOB!A1" display="GLOB" xr:uid="{262BA97E-821A-4576-8A5D-07934CFC50A5}"/>
    <hyperlink ref="B34" location="SUNFCF!A1" display="SUNFCF" xr:uid="{1463C4EE-E63D-4678-AE9F-5F11BCE873F4}"/>
    <hyperlink ref="B2" location="CAPEXG!A1" display="CAPEXG" xr:uid="{13DA4A73-9259-473A-993E-419BCCDCF5E3}"/>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O141"/>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5" ht="18" customHeight="1" x14ac:dyDescent="0.2">
      <c r="A1" s="182" t="s">
        <v>0</v>
      </c>
      <c r="B1" s="182"/>
      <c r="C1" s="182"/>
      <c r="D1" s="182"/>
      <c r="E1" s="182"/>
      <c r="F1" s="182"/>
      <c r="G1" s="182"/>
      <c r="H1" s="182"/>
      <c r="I1" s="159" t="s">
        <v>1044</v>
      </c>
    </row>
    <row r="2" spans="1:15" ht="17.100000000000001" customHeight="1" x14ac:dyDescent="0.2">
      <c r="A2" s="183" t="s">
        <v>1</v>
      </c>
      <c r="B2" s="184"/>
      <c r="C2" s="184"/>
      <c r="D2" s="184"/>
      <c r="E2" s="184"/>
      <c r="F2" s="184"/>
      <c r="G2" s="184"/>
      <c r="H2" s="185"/>
      <c r="J2" s="175" t="s">
        <v>1045</v>
      </c>
      <c r="K2" s="175"/>
      <c r="L2" s="175"/>
      <c r="M2" s="175"/>
      <c r="N2" s="175"/>
    </row>
    <row r="3" spans="1:15" ht="21" customHeight="1" x14ac:dyDescent="0.2">
      <c r="A3" s="182" t="s">
        <v>1016</v>
      </c>
      <c r="B3" s="182"/>
      <c r="C3" s="182"/>
      <c r="D3" s="182"/>
      <c r="E3" s="182"/>
      <c r="F3" s="182"/>
      <c r="G3" s="182"/>
      <c r="H3" s="182"/>
    </row>
    <row r="4" spans="1:15" ht="30" x14ac:dyDescent="0.2">
      <c r="A4" s="107" t="s">
        <v>2</v>
      </c>
      <c r="B4" s="107" t="s">
        <v>3</v>
      </c>
      <c r="C4" s="107" t="s">
        <v>4</v>
      </c>
      <c r="D4" s="107" t="s">
        <v>5</v>
      </c>
      <c r="E4" s="107" t="s">
        <v>6</v>
      </c>
      <c r="F4" s="107" t="s">
        <v>7</v>
      </c>
      <c r="G4" s="107" t="s">
        <v>8</v>
      </c>
      <c r="H4" s="104" t="s">
        <v>1003</v>
      </c>
      <c r="I4" s="160"/>
      <c r="J4" s="160"/>
      <c r="K4" s="160"/>
      <c r="L4" s="160"/>
      <c r="M4" s="160"/>
      <c r="N4" s="160"/>
      <c r="O4" s="160"/>
    </row>
    <row r="5" spans="1:15" ht="14.1" customHeight="1" x14ac:dyDescent="0.2">
      <c r="A5" s="1"/>
      <c r="B5" s="1"/>
      <c r="C5" s="2" t="s">
        <v>9</v>
      </c>
      <c r="D5" s="1"/>
      <c r="E5" s="1"/>
      <c r="F5" s="1"/>
      <c r="G5" s="1"/>
      <c r="H5" s="105"/>
    </row>
    <row r="6" spans="1:15" ht="24" customHeight="1" x14ac:dyDescent="0.2">
      <c r="A6" s="1"/>
      <c r="B6" s="1"/>
      <c r="C6" s="2" t="s">
        <v>10</v>
      </c>
      <c r="D6" s="1"/>
      <c r="E6" s="1"/>
      <c r="F6" s="1"/>
      <c r="G6" s="1"/>
      <c r="H6" s="105"/>
    </row>
    <row r="7" spans="1:15" ht="17.100000000000001" customHeight="1" x14ac:dyDescent="0.2">
      <c r="A7" s="3">
        <v>1</v>
      </c>
      <c r="B7" s="4" t="s">
        <v>11</v>
      </c>
      <c r="C7" s="4" t="s">
        <v>12</v>
      </c>
      <c r="D7" s="4" t="s">
        <v>13</v>
      </c>
      <c r="E7" s="5">
        <v>253000</v>
      </c>
      <c r="F7" s="6">
        <v>5981.9319999999998</v>
      </c>
      <c r="G7" s="7">
        <v>9.5733940000000003E-2</v>
      </c>
      <c r="H7" s="105"/>
    </row>
    <row r="8" spans="1:15" ht="17.100000000000001" customHeight="1" x14ac:dyDescent="0.2">
      <c r="A8" s="3">
        <v>2</v>
      </c>
      <c r="B8" s="4" t="s">
        <v>14</v>
      </c>
      <c r="C8" s="4" t="s">
        <v>15</v>
      </c>
      <c r="D8" s="4" t="s">
        <v>16</v>
      </c>
      <c r="E8" s="5">
        <v>490000</v>
      </c>
      <c r="F8" s="6">
        <v>3916.57</v>
      </c>
      <c r="G8" s="7">
        <v>6.2680189999999997E-2</v>
      </c>
      <c r="H8" s="105"/>
    </row>
    <row r="9" spans="1:15" ht="17.100000000000001" customHeight="1" x14ac:dyDescent="0.2">
      <c r="A9" s="3">
        <v>3</v>
      </c>
      <c r="B9" s="4" t="s">
        <v>17</v>
      </c>
      <c r="C9" s="4" t="s">
        <v>18</v>
      </c>
      <c r="D9" s="4" t="s">
        <v>19</v>
      </c>
      <c r="E9" s="5">
        <v>150246</v>
      </c>
      <c r="F9" s="6">
        <v>3636.7044299999998</v>
      </c>
      <c r="G9" s="7">
        <v>5.8201269999999999E-2</v>
      </c>
      <c r="H9" s="105"/>
    </row>
    <row r="10" spans="1:15" ht="29.1" customHeight="1" x14ac:dyDescent="0.2">
      <c r="A10" s="3">
        <v>4</v>
      </c>
      <c r="B10" s="4" t="s">
        <v>20</v>
      </c>
      <c r="C10" s="4" t="s">
        <v>21</v>
      </c>
      <c r="D10" s="4" t="s">
        <v>22</v>
      </c>
      <c r="E10" s="5">
        <v>41200</v>
      </c>
      <c r="F10" s="6">
        <v>3113.1543999999999</v>
      </c>
      <c r="G10" s="7">
        <v>4.9822449999999997E-2</v>
      </c>
      <c r="H10" s="105"/>
    </row>
    <row r="11" spans="1:15" ht="17.100000000000001" customHeight="1" x14ac:dyDescent="0.2">
      <c r="A11" s="3">
        <v>5</v>
      </c>
      <c r="B11" s="4" t="s">
        <v>23</v>
      </c>
      <c r="C11" s="4" t="s">
        <v>24</v>
      </c>
      <c r="D11" s="4" t="s">
        <v>25</v>
      </c>
      <c r="E11" s="5">
        <v>337000</v>
      </c>
      <c r="F11" s="6">
        <v>3092.4805000000001</v>
      </c>
      <c r="G11" s="7">
        <v>4.9491590000000002E-2</v>
      </c>
      <c r="H11" s="105"/>
    </row>
    <row r="12" spans="1:15" ht="17.100000000000001" customHeight="1" x14ac:dyDescent="0.2">
      <c r="A12" s="3">
        <v>6</v>
      </c>
      <c r="B12" s="4" t="s">
        <v>26</v>
      </c>
      <c r="C12" s="4" t="s">
        <v>27</v>
      </c>
      <c r="D12" s="4" t="s">
        <v>28</v>
      </c>
      <c r="E12" s="5">
        <v>1700000</v>
      </c>
      <c r="F12" s="6">
        <v>2924</v>
      </c>
      <c r="G12" s="7">
        <v>4.6795249999999997E-2</v>
      </c>
      <c r="H12" s="105"/>
      <c r="J12" s="161" t="s">
        <v>1046</v>
      </c>
    </row>
    <row r="13" spans="1:15" ht="17.100000000000001" customHeight="1" x14ac:dyDescent="0.2">
      <c r="A13" s="3">
        <v>7</v>
      </c>
      <c r="B13" s="4" t="s">
        <v>29</v>
      </c>
      <c r="C13" s="4" t="s">
        <v>30</v>
      </c>
      <c r="D13" s="4" t="s">
        <v>25</v>
      </c>
      <c r="E13" s="5">
        <v>347000</v>
      </c>
      <c r="F13" s="6">
        <v>2006.701</v>
      </c>
      <c r="G13" s="7">
        <v>3.2114940000000002E-2</v>
      </c>
      <c r="H13" s="105"/>
    </row>
    <row r="14" spans="1:15" ht="17.100000000000001" customHeight="1" x14ac:dyDescent="0.2">
      <c r="A14" s="3">
        <v>8</v>
      </c>
      <c r="B14" s="4" t="s">
        <v>31</v>
      </c>
      <c r="C14" s="4" t="s">
        <v>32</v>
      </c>
      <c r="D14" s="4" t="s">
        <v>33</v>
      </c>
      <c r="E14" s="5">
        <v>77700</v>
      </c>
      <c r="F14" s="6">
        <v>1748.6773499999999</v>
      </c>
      <c r="G14" s="7">
        <v>2.7985570000000001E-2</v>
      </c>
      <c r="H14" s="105"/>
    </row>
    <row r="15" spans="1:15" ht="17.100000000000001" customHeight="1" x14ac:dyDescent="0.2">
      <c r="A15" s="3">
        <v>9</v>
      </c>
      <c r="B15" s="4" t="s">
        <v>34</v>
      </c>
      <c r="C15" s="4" t="s">
        <v>35</v>
      </c>
      <c r="D15" s="4" t="s">
        <v>36</v>
      </c>
      <c r="E15" s="5">
        <v>46200</v>
      </c>
      <c r="F15" s="6">
        <v>1579.0929000000001</v>
      </c>
      <c r="G15" s="7">
        <v>2.5271559999999998E-2</v>
      </c>
      <c r="H15" s="105"/>
    </row>
    <row r="16" spans="1:15" ht="17.100000000000001" customHeight="1" x14ac:dyDescent="0.2">
      <c r="A16" s="3">
        <v>10</v>
      </c>
      <c r="B16" s="4" t="s">
        <v>37</v>
      </c>
      <c r="C16" s="4" t="s">
        <v>38</v>
      </c>
      <c r="D16" s="4" t="s">
        <v>33</v>
      </c>
      <c r="E16" s="5">
        <v>80635</v>
      </c>
      <c r="F16" s="6">
        <v>1532.3875399999999</v>
      </c>
      <c r="G16" s="7">
        <v>2.45241E-2</v>
      </c>
      <c r="H16" s="105"/>
    </row>
    <row r="17" spans="1:8" ht="29.1" customHeight="1" x14ac:dyDescent="0.2">
      <c r="A17" s="3">
        <v>11</v>
      </c>
      <c r="B17" s="4" t="s">
        <v>39</v>
      </c>
      <c r="C17" s="4" t="s">
        <v>40</v>
      </c>
      <c r="D17" s="4" t="s">
        <v>41</v>
      </c>
      <c r="E17" s="5">
        <v>1300000</v>
      </c>
      <c r="F17" s="6">
        <v>1342.9</v>
      </c>
      <c r="G17" s="7">
        <v>2.1491570000000002E-2</v>
      </c>
      <c r="H17" s="105"/>
    </row>
    <row r="18" spans="1:8" ht="17.100000000000001" customHeight="1" x14ac:dyDescent="0.2">
      <c r="A18" s="3">
        <v>12</v>
      </c>
      <c r="B18" s="4" t="s">
        <v>42</v>
      </c>
      <c r="C18" s="4" t="s">
        <v>43</v>
      </c>
      <c r="D18" s="4" t="s">
        <v>28</v>
      </c>
      <c r="E18" s="5">
        <v>565000</v>
      </c>
      <c r="F18" s="6">
        <v>1340.4625000000001</v>
      </c>
      <c r="G18" s="7">
        <v>2.1452559999999999E-2</v>
      </c>
      <c r="H18" s="105"/>
    </row>
    <row r="19" spans="1:8" ht="17.100000000000001" customHeight="1" x14ac:dyDescent="0.2">
      <c r="A19" s="3">
        <v>13</v>
      </c>
      <c r="B19" s="4" t="s">
        <v>44</v>
      </c>
      <c r="C19" s="4" t="s">
        <v>45</v>
      </c>
      <c r="D19" s="4" t="s">
        <v>33</v>
      </c>
      <c r="E19" s="5">
        <v>37700</v>
      </c>
      <c r="F19" s="6">
        <v>1308.9628499999999</v>
      </c>
      <c r="G19" s="7">
        <v>2.0948439999999999E-2</v>
      </c>
      <c r="H19" s="105"/>
    </row>
    <row r="20" spans="1:8" ht="17.100000000000001" customHeight="1" x14ac:dyDescent="0.2">
      <c r="A20" s="3">
        <v>14</v>
      </c>
      <c r="B20" s="4" t="s">
        <v>46</v>
      </c>
      <c r="C20" s="4" t="s">
        <v>47</v>
      </c>
      <c r="D20" s="4" t="s">
        <v>13</v>
      </c>
      <c r="E20" s="5">
        <v>438655</v>
      </c>
      <c r="F20" s="6">
        <v>1243.1482699999999</v>
      </c>
      <c r="G20" s="7">
        <v>1.9895159999999999E-2</v>
      </c>
      <c r="H20" s="105"/>
    </row>
    <row r="21" spans="1:8" ht="17.100000000000001" customHeight="1" x14ac:dyDescent="0.2">
      <c r="A21" s="3">
        <v>15</v>
      </c>
      <c r="B21" s="4" t="s">
        <v>48</v>
      </c>
      <c r="C21" s="4" t="s">
        <v>49</v>
      </c>
      <c r="D21" s="4" t="s">
        <v>36</v>
      </c>
      <c r="E21" s="5">
        <v>36000</v>
      </c>
      <c r="F21" s="6">
        <v>1241.856</v>
      </c>
      <c r="G21" s="7">
        <v>1.987448E-2</v>
      </c>
      <c r="H21" s="105"/>
    </row>
    <row r="22" spans="1:8" ht="53.1" customHeight="1" x14ac:dyDescent="0.2">
      <c r="A22" s="3">
        <v>16</v>
      </c>
      <c r="B22" s="4" t="s">
        <v>50</v>
      </c>
      <c r="C22" s="4" t="s">
        <v>51</v>
      </c>
      <c r="D22" s="4" t="s">
        <v>52</v>
      </c>
      <c r="E22" s="5">
        <v>847086</v>
      </c>
      <c r="F22" s="6">
        <v>1236.322017</v>
      </c>
      <c r="G22" s="7">
        <v>1.978591E-2</v>
      </c>
      <c r="H22" s="105"/>
    </row>
    <row r="23" spans="1:8" ht="17.100000000000001" customHeight="1" x14ac:dyDescent="0.2">
      <c r="A23" s="3">
        <v>17</v>
      </c>
      <c r="B23" s="4" t="s">
        <v>53</v>
      </c>
      <c r="C23" s="4" t="s">
        <v>54</v>
      </c>
      <c r="D23" s="4" t="s">
        <v>33</v>
      </c>
      <c r="E23" s="5">
        <v>38276</v>
      </c>
      <c r="F23" s="6">
        <v>1226.879766</v>
      </c>
      <c r="G23" s="7">
        <v>1.9634800000000001E-2</v>
      </c>
      <c r="H23" s="105"/>
    </row>
    <row r="24" spans="1:8" ht="17.100000000000001" customHeight="1" x14ac:dyDescent="0.2">
      <c r="A24" s="3">
        <v>18</v>
      </c>
      <c r="B24" s="4" t="s">
        <v>55</v>
      </c>
      <c r="C24" s="4" t="s">
        <v>56</v>
      </c>
      <c r="D24" s="4" t="s">
        <v>13</v>
      </c>
      <c r="E24" s="5">
        <v>985000</v>
      </c>
      <c r="F24" s="6">
        <v>1180.03</v>
      </c>
      <c r="G24" s="7">
        <v>1.8885019999999999E-2</v>
      </c>
      <c r="H24" s="105"/>
    </row>
    <row r="25" spans="1:8" ht="17.100000000000001" customHeight="1" x14ac:dyDescent="0.2">
      <c r="A25" s="3">
        <v>19</v>
      </c>
      <c r="B25" s="4" t="s">
        <v>57</v>
      </c>
      <c r="C25" s="4" t="s">
        <v>58</v>
      </c>
      <c r="D25" s="4" t="s">
        <v>59</v>
      </c>
      <c r="E25" s="5">
        <v>178999</v>
      </c>
      <c r="F25" s="6">
        <v>1094.9368830000001</v>
      </c>
      <c r="G25" s="7">
        <v>1.7523199999999999E-2</v>
      </c>
      <c r="H25" s="105"/>
    </row>
    <row r="26" spans="1:8" ht="29.1" customHeight="1" x14ac:dyDescent="0.2">
      <c r="A26" s="3">
        <v>20</v>
      </c>
      <c r="B26" s="4" t="s">
        <v>60</v>
      </c>
      <c r="C26" s="4" t="s">
        <v>61</v>
      </c>
      <c r="D26" s="4" t="s">
        <v>62</v>
      </c>
      <c r="E26" s="5">
        <v>2785</v>
      </c>
      <c r="F26" s="6">
        <v>991.33189000000004</v>
      </c>
      <c r="G26" s="7">
        <v>1.5865130000000002E-2</v>
      </c>
      <c r="H26" s="105"/>
    </row>
    <row r="27" spans="1:8" ht="17.100000000000001" customHeight="1" x14ac:dyDescent="0.2">
      <c r="A27" s="3">
        <v>21</v>
      </c>
      <c r="B27" s="4" t="s">
        <v>63</v>
      </c>
      <c r="C27" s="4" t="s">
        <v>64</v>
      </c>
      <c r="D27" s="4" t="s">
        <v>33</v>
      </c>
      <c r="E27" s="5">
        <v>50976</v>
      </c>
      <c r="F27" s="6">
        <v>966.02068799999995</v>
      </c>
      <c r="G27" s="7">
        <v>1.5460049999999999E-2</v>
      </c>
      <c r="H27" s="105"/>
    </row>
    <row r="28" spans="1:8" ht="29.1" customHeight="1" x14ac:dyDescent="0.2">
      <c r="A28" s="3">
        <v>22</v>
      </c>
      <c r="B28" s="4" t="s">
        <v>65</v>
      </c>
      <c r="C28" s="4" t="s">
        <v>66</v>
      </c>
      <c r="D28" s="4" t="s">
        <v>22</v>
      </c>
      <c r="E28" s="5">
        <v>43500</v>
      </c>
      <c r="F28" s="6">
        <v>868.34699999999998</v>
      </c>
      <c r="G28" s="7">
        <v>1.389689E-2</v>
      </c>
      <c r="H28" s="105"/>
    </row>
    <row r="29" spans="1:8" ht="17.100000000000001" customHeight="1" x14ac:dyDescent="0.2">
      <c r="A29" s="3">
        <v>23</v>
      </c>
      <c r="B29" s="4" t="s">
        <v>67</v>
      </c>
      <c r="C29" s="4" t="s">
        <v>68</v>
      </c>
      <c r="D29" s="4" t="s">
        <v>36</v>
      </c>
      <c r="E29" s="5">
        <v>234000</v>
      </c>
      <c r="F29" s="6">
        <v>854.80200000000002</v>
      </c>
      <c r="G29" s="7">
        <v>1.368012E-2</v>
      </c>
      <c r="H29" s="105"/>
    </row>
    <row r="30" spans="1:8" ht="17.100000000000001" customHeight="1" x14ac:dyDescent="0.2">
      <c r="A30" s="3">
        <v>24</v>
      </c>
      <c r="B30" s="4" t="s">
        <v>69</v>
      </c>
      <c r="C30" s="4" t="s">
        <v>70</v>
      </c>
      <c r="D30" s="4" t="s">
        <v>13</v>
      </c>
      <c r="E30" s="5">
        <v>346507</v>
      </c>
      <c r="F30" s="6">
        <v>832.30981399999996</v>
      </c>
      <c r="G30" s="7">
        <v>1.3320159999999999E-2</v>
      </c>
      <c r="H30" s="105"/>
    </row>
    <row r="31" spans="1:8" ht="17.100000000000001" customHeight="1" x14ac:dyDescent="0.2">
      <c r="A31" s="3">
        <v>25</v>
      </c>
      <c r="B31" s="4" t="s">
        <v>71</v>
      </c>
      <c r="C31" s="4" t="s">
        <v>72</v>
      </c>
      <c r="D31" s="4" t="s">
        <v>33</v>
      </c>
      <c r="E31" s="5">
        <v>69424</v>
      </c>
      <c r="F31" s="6">
        <v>829.65151200000003</v>
      </c>
      <c r="G31" s="7">
        <v>1.327762E-2</v>
      </c>
      <c r="H31" s="105"/>
    </row>
    <row r="32" spans="1:8" ht="29.1" customHeight="1" x14ac:dyDescent="0.2">
      <c r="A32" s="3">
        <v>26</v>
      </c>
      <c r="B32" s="4" t="s">
        <v>73</v>
      </c>
      <c r="C32" s="4" t="s">
        <v>74</v>
      </c>
      <c r="D32" s="4" t="s">
        <v>22</v>
      </c>
      <c r="E32" s="5">
        <v>26800</v>
      </c>
      <c r="F32" s="6">
        <v>802.20439999999996</v>
      </c>
      <c r="G32" s="7">
        <v>1.283836E-2</v>
      </c>
      <c r="H32" s="105"/>
    </row>
    <row r="33" spans="1:8" ht="17.100000000000001" customHeight="1" x14ac:dyDescent="0.2">
      <c r="A33" s="3">
        <v>27</v>
      </c>
      <c r="B33" s="4" t="s">
        <v>75</v>
      </c>
      <c r="C33" s="4" t="s">
        <v>76</v>
      </c>
      <c r="D33" s="4" t="s">
        <v>28</v>
      </c>
      <c r="E33" s="5">
        <v>382000</v>
      </c>
      <c r="F33" s="6">
        <v>768.202</v>
      </c>
      <c r="G33" s="7">
        <v>1.229419E-2</v>
      </c>
      <c r="H33" s="105"/>
    </row>
    <row r="34" spans="1:8" ht="17.100000000000001" customHeight="1" x14ac:dyDescent="0.2">
      <c r="A34" s="3">
        <v>28</v>
      </c>
      <c r="B34" s="4" t="s">
        <v>77</v>
      </c>
      <c r="C34" s="4" t="s">
        <v>78</v>
      </c>
      <c r="D34" s="4" t="s">
        <v>33</v>
      </c>
      <c r="E34" s="5">
        <v>48000</v>
      </c>
      <c r="F34" s="6">
        <v>756.31200000000001</v>
      </c>
      <c r="G34" s="7">
        <v>1.2103900000000001E-2</v>
      </c>
      <c r="H34" s="105"/>
    </row>
    <row r="35" spans="1:8" ht="17.100000000000001" customHeight="1" x14ac:dyDescent="0.2">
      <c r="A35" s="3">
        <v>29</v>
      </c>
      <c r="B35" s="4" t="s">
        <v>79</v>
      </c>
      <c r="C35" s="4" t="s">
        <v>80</v>
      </c>
      <c r="D35" s="4" t="s">
        <v>81</v>
      </c>
      <c r="E35" s="5">
        <v>26495</v>
      </c>
      <c r="F35" s="6">
        <v>735.14351750000003</v>
      </c>
      <c r="G35" s="7">
        <v>1.176513E-2</v>
      </c>
      <c r="H35" s="105"/>
    </row>
    <row r="36" spans="1:8" ht="17.100000000000001" customHeight="1" x14ac:dyDescent="0.2">
      <c r="A36" s="3">
        <v>30</v>
      </c>
      <c r="B36" s="4" t="s">
        <v>82</v>
      </c>
      <c r="C36" s="4" t="s">
        <v>83</v>
      </c>
      <c r="D36" s="4" t="s">
        <v>84</v>
      </c>
      <c r="E36" s="5">
        <v>660000</v>
      </c>
      <c r="F36" s="6">
        <v>708.18</v>
      </c>
      <c r="G36" s="7">
        <v>1.1333609999999999E-2</v>
      </c>
      <c r="H36" s="105"/>
    </row>
    <row r="37" spans="1:8" ht="17.100000000000001" customHeight="1" x14ac:dyDescent="0.2">
      <c r="A37" s="3">
        <v>31</v>
      </c>
      <c r="B37" s="4" t="s">
        <v>85</v>
      </c>
      <c r="C37" s="4" t="s">
        <v>86</v>
      </c>
      <c r="D37" s="4" t="s">
        <v>81</v>
      </c>
      <c r="E37" s="5">
        <v>139500</v>
      </c>
      <c r="F37" s="6">
        <v>669.6</v>
      </c>
      <c r="G37" s="7">
        <v>1.071618E-2</v>
      </c>
      <c r="H37" s="105"/>
    </row>
    <row r="38" spans="1:8" ht="29.1" customHeight="1" x14ac:dyDescent="0.2">
      <c r="A38" s="3">
        <v>32</v>
      </c>
      <c r="B38" s="4" t="s">
        <v>87</v>
      </c>
      <c r="C38" s="4" t="s">
        <v>88</v>
      </c>
      <c r="D38" s="4" t="s">
        <v>62</v>
      </c>
      <c r="E38" s="5">
        <v>44265</v>
      </c>
      <c r="F38" s="6">
        <v>655.54251750000003</v>
      </c>
      <c r="G38" s="7">
        <v>1.0491199999999999E-2</v>
      </c>
      <c r="H38" s="105"/>
    </row>
    <row r="39" spans="1:8" ht="17.100000000000001" customHeight="1" x14ac:dyDescent="0.2">
      <c r="A39" s="3">
        <v>33</v>
      </c>
      <c r="B39" s="4" t="s">
        <v>89</v>
      </c>
      <c r="C39" s="4" t="s">
        <v>90</v>
      </c>
      <c r="D39" s="4" t="s">
        <v>91</v>
      </c>
      <c r="E39" s="5">
        <v>133000</v>
      </c>
      <c r="F39" s="6">
        <v>652.63099999999997</v>
      </c>
      <c r="G39" s="7">
        <v>1.044461E-2</v>
      </c>
      <c r="H39" s="105"/>
    </row>
    <row r="40" spans="1:8" ht="17.100000000000001" customHeight="1" x14ac:dyDescent="0.2">
      <c r="A40" s="3">
        <v>34</v>
      </c>
      <c r="B40" s="4" t="s">
        <v>92</v>
      </c>
      <c r="C40" s="4" t="s">
        <v>93</v>
      </c>
      <c r="D40" s="4" t="s">
        <v>94</v>
      </c>
      <c r="E40" s="5">
        <v>400000</v>
      </c>
      <c r="F40" s="6">
        <v>635.79999999999995</v>
      </c>
      <c r="G40" s="7">
        <v>1.017525E-2</v>
      </c>
      <c r="H40" s="105"/>
    </row>
    <row r="41" spans="1:8" ht="29.1" customHeight="1" x14ac:dyDescent="0.2">
      <c r="A41" s="3">
        <v>35</v>
      </c>
      <c r="B41" s="4" t="s">
        <v>95</v>
      </c>
      <c r="C41" s="4" t="s">
        <v>96</v>
      </c>
      <c r="D41" s="4" t="s">
        <v>41</v>
      </c>
      <c r="E41" s="5">
        <v>35000</v>
      </c>
      <c r="F41" s="6">
        <v>634.48</v>
      </c>
      <c r="G41" s="7">
        <v>1.0154120000000001E-2</v>
      </c>
      <c r="H41" s="105"/>
    </row>
    <row r="42" spans="1:8" ht="17.100000000000001" customHeight="1" x14ac:dyDescent="0.2">
      <c r="A42" s="3">
        <v>36</v>
      </c>
      <c r="B42" s="4" t="s">
        <v>97</v>
      </c>
      <c r="C42" s="4" t="s">
        <v>98</v>
      </c>
      <c r="D42" s="4" t="s">
        <v>91</v>
      </c>
      <c r="E42" s="5">
        <v>68500</v>
      </c>
      <c r="F42" s="6">
        <v>626.84349999999995</v>
      </c>
      <c r="G42" s="7">
        <v>1.003191E-2</v>
      </c>
      <c r="H42" s="105"/>
    </row>
    <row r="43" spans="1:8" ht="17.100000000000001" customHeight="1" x14ac:dyDescent="0.2">
      <c r="A43" s="3">
        <v>37</v>
      </c>
      <c r="B43" s="4" t="s">
        <v>99</v>
      </c>
      <c r="C43" s="4" t="s">
        <v>100</v>
      </c>
      <c r="D43" s="4" t="s">
        <v>91</v>
      </c>
      <c r="E43" s="5">
        <v>124000</v>
      </c>
      <c r="F43" s="6">
        <v>622.35599999999999</v>
      </c>
      <c r="G43" s="7">
        <v>9.9600899999999996E-3</v>
      </c>
      <c r="H43" s="105"/>
    </row>
    <row r="44" spans="1:8" ht="17.100000000000001" customHeight="1" x14ac:dyDescent="0.2">
      <c r="A44" s="3">
        <v>38</v>
      </c>
      <c r="B44" s="4" t="s">
        <v>101</v>
      </c>
      <c r="C44" s="4" t="s">
        <v>102</v>
      </c>
      <c r="D44" s="4" t="s">
        <v>59</v>
      </c>
      <c r="E44" s="5">
        <v>30482</v>
      </c>
      <c r="F44" s="6">
        <v>616.02597900000001</v>
      </c>
      <c r="G44" s="7">
        <v>9.8587899999999992E-3</v>
      </c>
      <c r="H44" s="105"/>
    </row>
    <row r="45" spans="1:8" ht="17.100000000000001" customHeight="1" x14ac:dyDescent="0.2">
      <c r="A45" s="3">
        <v>39</v>
      </c>
      <c r="B45" s="4" t="s">
        <v>103</v>
      </c>
      <c r="C45" s="4" t="s">
        <v>104</v>
      </c>
      <c r="D45" s="4" t="s">
        <v>105</v>
      </c>
      <c r="E45" s="5">
        <v>7150</v>
      </c>
      <c r="F45" s="6">
        <v>614.15282500000001</v>
      </c>
      <c r="G45" s="7">
        <v>9.8288100000000003E-3</v>
      </c>
      <c r="H45" s="105"/>
    </row>
    <row r="46" spans="1:8" ht="29.1" customHeight="1" x14ac:dyDescent="0.2">
      <c r="A46" s="3">
        <v>40</v>
      </c>
      <c r="B46" s="4" t="s">
        <v>106</v>
      </c>
      <c r="C46" s="4" t="s">
        <v>107</v>
      </c>
      <c r="D46" s="4" t="s">
        <v>41</v>
      </c>
      <c r="E46" s="5">
        <v>21000</v>
      </c>
      <c r="F46" s="6">
        <v>613.24199999999996</v>
      </c>
      <c r="G46" s="7">
        <v>9.8142300000000002E-3</v>
      </c>
      <c r="H46" s="105"/>
    </row>
    <row r="47" spans="1:8" ht="17.100000000000001" customHeight="1" x14ac:dyDescent="0.2">
      <c r="A47" s="3">
        <v>41</v>
      </c>
      <c r="B47" s="4" t="s">
        <v>108</v>
      </c>
      <c r="C47" s="4" t="s">
        <v>109</v>
      </c>
      <c r="D47" s="4" t="s">
        <v>19</v>
      </c>
      <c r="E47" s="5">
        <v>170000</v>
      </c>
      <c r="F47" s="6">
        <v>607.91999999999996</v>
      </c>
      <c r="G47" s="7">
        <v>9.7290599999999994E-3</v>
      </c>
      <c r="H47" s="105"/>
    </row>
    <row r="48" spans="1:8" ht="29.1" customHeight="1" x14ac:dyDescent="0.2">
      <c r="A48" s="3">
        <v>42</v>
      </c>
      <c r="B48" s="4" t="s">
        <v>110</v>
      </c>
      <c r="C48" s="4" t="s">
        <v>111</v>
      </c>
      <c r="D48" s="4" t="s">
        <v>22</v>
      </c>
      <c r="E48" s="5">
        <v>2480</v>
      </c>
      <c r="F48" s="6">
        <v>603.49436000000003</v>
      </c>
      <c r="G48" s="7">
        <v>9.6582300000000003E-3</v>
      </c>
      <c r="H48" s="105"/>
    </row>
    <row r="49" spans="1:8" ht="17.100000000000001" customHeight="1" x14ac:dyDescent="0.2">
      <c r="A49" s="3">
        <v>43</v>
      </c>
      <c r="B49" s="4" t="s">
        <v>112</v>
      </c>
      <c r="C49" s="4" t="s">
        <v>113</v>
      </c>
      <c r="D49" s="4" t="s">
        <v>36</v>
      </c>
      <c r="E49" s="5">
        <v>700000</v>
      </c>
      <c r="F49" s="6">
        <v>548.79999999999995</v>
      </c>
      <c r="G49" s="7">
        <v>8.7829099999999997E-3</v>
      </c>
      <c r="H49" s="105"/>
    </row>
    <row r="50" spans="1:8" ht="17.100000000000001" customHeight="1" x14ac:dyDescent="0.2">
      <c r="A50" s="3">
        <v>44</v>
      </c>
      <c r="B50" s="4" t="s">
        <v>114</v>
      </c>
      <c r="C50" s="4" t="s">
        <v>115</v>
      </c>
      <c r="D50" s="4" t="s">
        <v>116</v>
      </c>
      <c r="E50" s="5">
        <v>119918</v>
      </c>
      <c r="F50" s="6">
        <v>522.96239800000001</v>
      </c>
      <c r="G50" s="7">
        <v>8.3694100000000007E-3</v>
      </c>
      <c r="H50" s="105"/>
    </row>
    <row r="51" spans="1:8" ht="53.1" customHeight="1" x14ac:dyDescent="0.2">
      <c r="A51" s="3">
        <v>45</v>
      </c>
      <c r="B51" s="4" t="s">
        <v>117</v>
      </c>
      <c r="C51" s="4" t="s">
        <v>118</v>
      </c>
      <c r="D51" s="4" t="s">
        <v>52</v>
      </c>
      <c r="E51" s="5">
        <v>41904</v>
      </c>
      <c r="F51" s="6">
        <v>509.86691999999999</v>
      </c>
      <c r="G51" s="7">
        <v>8.1598299999999999E-3</v>
      </c>
      <c r="H51" s="105"/>
    </row>
    <row r="52" spans="1:8" ht="17.100000000000001" customHeight="1" x14ac:dyDescent="0.2">
      <c r="A52" s="3">
        <v>46</v>
      </c>
      <c r="B52" s="4" t="s">
        <v>119</v>
      </c>
      <c r="C52" s="4" t="s">
        <v>120</v>
      </c>
      <c r="D52" s="4" t="s">
        <v>121</v>
      </c>
      <c r="E52" s="5">
        <v>142476</v>
      </c>
      <c r="F52" s="6">
        <v>425.00590799999998</v>
      </c>
      <c r="G52" s="7">
        <v>6.8017299999999998E-3</v>
      </c>
      <c r="H52" s="105"/>
    </row>
    <row r="53" spans="1:8" ht="17.100000000000001" customHeight="1" x14ac:dyDescent="0.2">
      <c r="A53" s="3">
        <v>47</v>
      </c>
      <c r="B53" s="4" t="s">
        <v>122</v>
      </c>
      <c r="C53" s="4" t="s">
        <v>123</v>
      </c>
      <c r="D53" s="4" t="s">
        <v>13</v>
      </c>
      <c r="E53" s="5">
        <v>33853</v>
      </c>
      <c r="F53" s="6">
        <v>332.23334199999999</v>
      </c>
      <c r="G53" s="7">
        <v>5.3170099999999996E-3</v>
      </c>
      <c r="H53" s="105"/>
    </row>
    <row r="54" spans="1:8" ht="17.100000000000001" customHeight="1" x14ac:dyDescent="0.2">
      <c r="A54" s="3">
        <v>48</v>
      </c>
      <c r="B54" s="4" t="s">
        <v>124</v>
      </c>
      <c r="C54" s="4" t="s">
        <v>125</v>
      </c>
      <c r="D54" s="4" t="s">
        <v>59</v>
      </c>
      <c r="E54" s="5">
        <v>83340</v>
      </c>
      <c r="F54" s="6">
        <v>308.23298999999997</v>
      </c>
      <c r="G54" s="7">
        <v>4.9329100000000004E-3</v>
      </c>
      <c r="H54" s="105"/>
    </row>
    <row r="55" spans="1:8" ht="17.100000000000001" customHeight="1" x14ac:dyDescent="0.2">
      <c r="A55" s="3">
        <v>49</v>
      </c>
      <c r="B55" s="4" t="s">
        <v>126</v>
      </c>
      <c r="C55" s="4" t="s">
        <v>127</v>
      </c>
      <c r="D55" s="4" t="s">
        <v>128</v>
      </c>
      <c r="E55" s="5">
        <v>16648</v>
      </c>
      <c r="F55" s="6">
        <v>34.369796000000001</v>
      </c>
      <c r="G55" s="7">
        <v>5.5004999999999995E-4</v>
      </c>
      <c r="H55" s="105"/>
    </row>
    <row r="56" spans="1:8" ht="14.1" customHeight="1" x14ac:dyDescent="0.2">
      <c r="A56" s="1"/>
      <c r="B56" s="1"/>
      <c r="C56" s="2" t="s">
        <v>132</v>
      </c>
      <c r="D56" s="1"/>
      <c r="E56" s="1" t="s">
        <v>133</v>
      </c>
      <c r="F56" s="9">
        <v>60093.262762999999</v>
      </c>
      <c r="G56" s="10">
        <v>0.96172348999999968</v>
      </c>
      <c r="H56" s="105"/>
    </row>
    <row r="57" spans="1:8" ht="14.1" customHeight="1" x14ac:dyDescent="0.2">
      <c r="A57" s="1"/>
      <c r="B57" s="1"/>
      <c r="C57" s="11"/>
      <c r="D57" s="1"/>
      <c r="E57" s="1"/>
      <c r="F57" s="12"/>
      <c r="G57" s="12"/>
      <c r="H57" s="105"/>
    </row>
    <row r="58" spans="1:8" ht="14.1" customHeight="1" x14ac:dyDescent="0.2">
      <c r="A58" s="1"/>
      <c r="B58" s="1"/>
      <c r="C58" s="2" t="s">
        <v>134</v>
      </c>
      <c r="D58" s="1"/>
      <c r="E58" s="1"/>
      <c r="F58" s="1"/>
      <c r="G58" s="1"/>
      <c r="H58" s="105"/>
    </row>
    <row r="59" spans="1:8" ht="14.1" customHeight="1" x14ac:dyDescent="0.2">
      <c r="A59" s="1"/>
      <c r="B59" s="1"/>
      <c r="C59" s="2" t="s">
        <v>132</v>
      </c>
      <c r="D59" s="1"/>
      <c r="E59" s="1" t="s">
        <v>133</v>
      </c>
      <c r="F59" s="13" t="s">
        <v>135</v>
      </c>
      <c r="G59" s="10">
        <v>0</v>
      </c>
      <c r="H59" s="105"/>
    </row>
    <row r="60" spans="1:8" ht="14.1" customHeight="1" x14ac:dyDescent="0.2">
      <c r="A60" s="1"/>
      <c r="B60" s="1"/>
      <c r="C60" s="11"/>
      <c r="D60" s="1"/>
      <c r="E60" s="1"/>
      <c r="F60" s="12"/>
      <c r="G60" s="12"/>
      <c r="H60" s="105"/>
    </row>
    <row r="61" spans="1:8" ht="14.1" customHeight="1" x14ac:dyDescent="0.2">
      <c r="A61" s="1"/>
      <c r="B61" s="1"/>
      <c r="C61" s="2" t="s">
        <v>136</v>
      </c>
      <c r="D61" s="1"/>
      <c r="E61" s="1"/>
      <c r="F61" s="1"/>
      <c r="G61" s="1"/>
      <c r="H61" s="105"/>
    </row>
    <row r="62" spans="1:8" ht="17.100000000000001" customHeight="1" x14ac:dyDescent="0.2">
      <c r="A62" s="3">
        <v>1</v>
      </c>
      <c r="B62" s="4" t="s">
        <v>129</v>
      </c>
      <c r="C62" s="40" t="s">
        <v>934</v>
      </c>
      <c r="D62" s="4" t="s">
        <v>130</v>
      </c>
      <c r="E62" s="5">
        <v>559425</v>
      </c>
      <c r="F62" s="6">
        <v>1.1189000000000001E-5</v>
      </c>
      <c r="G62" s="8" t="s">
        <v>131</v>
      </c>
      <c r="H62" s="105"/>
    </row>
    <row r="63" spans="1:8" ht="14.1" customHeight="1" x14ac:dyDescent="0.2">
      <c r="A63" s="1"/>
      <c r="B63" s="1"/>
      <c r="C63" s="2" t="s">
        <v>132</v>
      </c>
      <c r="D63" s="1"/>
      <c r="E63" s="1" t="s">
        <v>133</v>
      </c>
      <c r="F63" s="54" t="s">
        <v>135</v>
      </c>
      <c r="G63" s="10">
        <v>0</v>
      </c>
      <c r="H63" s="105"/>
    </row>
    <row r="64" spans="1:8" ht="14.1" customHeight="1" x14ac:dyDescent="0.2">
      <c r="A64" s="1"/>
      <c r="B64" s="1"/>
      <c r="C64" s="11"/>
      <c r="D64" s="1"/>
      <c r="E64" s="1"/>
      <c r="F64" s="12"/>
      <c r="G64" s="12"/>
      <c r="H64" s="105"/>
    </row>
    <row r="65" spans="1:8" ht="14.1" customHeight="1" x14ac:dyDescent="0.2">
      <c r="A65" s="1"/>
      <c r="B65" s="1"/>
      <c r="C65" s="2" t="s">
        <v>137</v>
      </c>
      <c r="D65" s="1"/>
      <c r="E65" s="1"/>
      <c r="F65" s="1"/>
      <c r="G65" s="1"/>
      <c r="H65" s="105"/>
    </row>
    <row r="66" spans="1:8" ht="14.1" customHeight="1" x14ac:dyDescent="0.2">
      <c r="A66" s="1"/>
      <c r="B66" s="1"/>
      <c r="C66" s="2" t="s">
        <v>132</v>
      </c>
      <c r="D66" s="1"/>
      <c r="E66" s="1" t="s">
        <v>133</v>
      </c>
      <c r="F66" s="13" t="s">
        <v>135</v>
      </c>
      <c r="G66" s="10">
        <v>0</v>
      </c>
      <c r="H66" s="105"/>
    </row>
    <row r="67" spans="1:8" ht="14.1" customHeight="1" x14ac:dyDescent="0.2">
      <c r="A67" s="1"/>
      <c r="B67" s="1"/>
      <c r="C67" s="11"/>
      <c r="D67" s="1"/>
      <c r="E67" s="1"/>
      <c r="F67" s="12"/>
      <c r="G67" s="12"/>
      <c r="H67" s="105"/>
    </row>
    <row r="68" spans="1:8" ht="14.1" customHeight="1" x14ac:dyDescent="0.2">
      <c r="A68" s="1"/>
      <c r="B68" s="1"/>
      <c r="C68" s="2" t="s">
        <v>138</v>
      </c>
      <c r="D68" s="1"/>
      <c r="E68" s="1"/>
      <c r="F68" s="12"/>
      <c r="G68" s="12"/>
      <c r="H68" s="105"/>
    </row>
    <row r="69" spans="1:8" ht="14.1" customHeight="1" x14ac:dyDescent="0.2">
      <c r="A69" s="1"/>
      <c r="B69" s="1"/>
      <c r="C69" s="2" t="s">
        <v>132</v>
      </c>
      <c r="D69" s="1"/>
      <c r="E69" s="1" t="s">
        <v>133</v>
      </c>
      <c r="F69" s="13" t="s">
        <v>135</v>
      </c>
      <c r="G69" s="10">
        <v>0</v>
      </c>
      <c r="H69" s="105"/>
    </row>
    <row r="70" spans="1:8" ht="14.1" customHeight="1" x14ac:dyDescent="0.2">
      <c r="A70" s="1"/>
      <c r="B70" s="1"/>
      <c r="C70" s="11"/>
      <c r="D70" s="1"/>
      <c r="E70" s="1"/>
      <c r="F70" s="12"/>
      <c r="G70" s="12"/>
      <c r="H70" s="105"/>
    </row>
    <row r="71" spans="1:8" ht="14.1" customHeight="1" x14ac:dyDescent="0.2">
      <c r="A71" s="1"/>
      <c r="B71" s="1"/>
      <c r="C71" s="2" t="s">
        <v>139</v>
      </c>
      <c r="D71" s="1"/>
      <c r="E71" s="1"/>
      <c r="F71" s="12"/>
      <c r="G71" s="12"/>
      <c r="H71" s="105"/>
    </row>
    <row r="72" spans="1:8" ht="14.1" customHeight="1" x14ac:dyDescent="0.2">
      <c r="A72" s="1"/>
      <c r="B72" s="1"/>
      <c r="C72" s="2" t="s">
        <v>132</v>
      </c>
      <c r="D72" s="1"/>
      <c r="E72" s="1" t="s">
        <v>133</v>
      </c>
      <c r="F72" s="13" t="s">
        <v>135</v>
      </c>
      <c r="G72" s="10">
        <v>0</v>
      </c>
      <c r="H72" s="105"/>
    </row>
    <row r="73" spans="1:8" ht="14.1" customHeight="1" x14ac:dyDescent="0.2">
      <c r="A73" s="1"/>
      <c r="B73" s="1"/>
      <c r="C73" s="11"/>
      <c r="D73" s="1"/>
      <c r="E73" s="1"/>
      <c r="F73" s="12"/>
      <c r="G73" s="12"/>
      <c r="H73" s="105"/>
    </row>
    <row r="74" spans="1:8" ht="18" customHeight="1" x14ac:dyDescent="0.2">
      <c r="A74" s="1"/>
      <c r="B74" s="1"/>
      <c r="C74" s="2" t="s">
        <v>140</v>
      </c>
      <c r="D74" s="1"/>
      <c r="E74" s="1"/>
      <c r="F74" s="9">
        <v>60093.262774189003</v>
      </c>
      <c r="G74" s="10">
        <v>0.96172349000000001</v>
      </c>
      <c r="H74" s="105"/>
    </row>
    <row r="75" spans="1:8" ht="14.1" customHeight="1" x14ac:dyDescent="0.2">
      <c r="A75" s="1"/>
      <c r="B75" s="1"/>
      <c r="C75" s="11"/>
      <c r="D75" s="1"/>
      <c r="E75" s="1"/>
      <c r="F75" s="12"/>
      <c r="G75" s="12"/>
      <c r="H75" s="105"/>
    </row>
    <row r="76" spans="1:8" ht="14.1" customHeight="1" x14ac:dyDescent="0.2">
      <c r="A76" s="1"/>
      <c r="B76" s="1"/>
      <c r="C76" s="2" t="s">
        <v>141</v>
      </c>
      <c r="D76" s="1"/>
      <c r="E76" s="1"/>
      <c r="F76" s="12"/>
      <c r="G76" s="12"/>
      <c r="H76" s="105"/>
    </row>
    <row r="77" spans="1:8" ht="24" customHeight="1" x14ac:dyDescent="0.2">
      <c r="A77" s="1"/>
      <c r="B77" s="1"/>
      <c r="C77" s="2" t="s">
        <v>10</v>
      </c>
      <c r="D77" s="1"/>
      <c r="E77" s="1"/>
      <c r="F77" s="12"/>
      <c r="G77" s="12"/>
      <c r="H77" s="105"/>
    </row>
    <row r="78" spans="1:8" ht="14.1" customHeight="1" x14ac:dyDescent="0.2">
      <c r="A78" s="1"/>
      <c r="B78" s="1"/>
      <c r="C78" s="2" t="s">
        <v>132</v>
      </c>
      <c r="D78" s="1"/>
      <c r="E78" s="1" t="s">
        <v>133</v>
      </c>
      <c r="F78" s="13" t="s">
        <v>135</v>
      </c>
      <c r="G78" s="10">
        <v>0</v>
      </c>
      <c r="H78" s="105"/>
    </row>
    <row r="79" spans="1:8" ht="14.1" customHeight="1" x14ac:dyDescent="0.2">
      <c r="A79" s="1"/>
      <c r="B79" s="1"/>
      <c r="C79" s="11"/>
      <c r="D79" s="1"/>
      <c r="E79" s="1"/>
      <c r="F79" s="12"/>
      <c r="G79" s="12"/>
      <c r="H79" s="105"/>
    </row>
    <row r="80" spans="1:8" ht="14.1" customHeight="1" x14ac:dyDescent="0.2">
      <c r="A80" s="1"/>
      <c r="B80" s="1"/>
      <c r="C80" s="2" t="s">
        <v>142</v>
      </c>
      <c r="D80" s="1"/>
      <c r="E80" s="1"/>
      <c r="F80" s="1"/>
      <c r="G80" s="1"/>
      <c r="H80" s="105"/>
    </row>
    <row r="81" spans="1:8" ht="14.1" customHeight="1" x14ac:dyDescent="0.2">
      <c r="A81" s="1"/>
      <c r="B81" s="1"/>
      <c r="C81" s="2" t="s">
        <v>132</v>
      </c>
      <c r="D81" s="1"/>
      <c r="E81" s="1" t="s">
        <v>133</v>
      </c>
      <c r="F81" s="13" t="s">
        <v>135</v>
      </c>
      <c r="G81" s="10">
        <v>0</v>
      </c>
      <c r="H81" s="105"/>
    </row>
    <row r="82" spans="1:8" ht="14.1" customHeight="1" x14ac:dyDescent="0.2">
      <c r="A82" s="1"/>
      <c r="B82" s="1"/>
      <c r="C82" s="11"/>
      <c r="D82" s="1"/>
      <c r="E82" s="1"/>
      <c r="F82" s="12"/>
      <c r="G82" s="12"/>
      <c r="H82" s="105"/>
    </row>
    <row r="83" spans="1:8" ht="14.1" customHeight="1" x14ac:dyDescent="0.2">
      <c r="A83" s="1"/>
      <c r="B83" s="1"/>
      <c r="C83" s="2" t="s">
        <v>143</v>
      </c>
      <c r="D83" s="1"/>
      <c r="E83" s="1"/>
      <c r="F83" s="1"/>
      <c r="G83" s="1"/>
      <c r="H83" s="105"/>
    </row>
    <row r="84" spans="1:8" ht="14.1" customHeight="1" x14ac:dyDescent="0.2">
      <c r="A84" s="1"/>
      <c r="B84" s="1"/>
      <c r="C84" s="2" t="s">
        <v>132</v>
      </c>
      <c r="D84" s="1"/>
      <c r="E84" s="1" t="s">
        <v>133</v>
      </c>
      <c r="F84" s="13" t="s">
        <v>135</v>
      </c>
      <c r="G84" s="10">
        <v>0</v>
      </c>
      <c r="H84" s="105"/>
    </row>
    <row r="85" spans="1:8" ht="14.1" customHeight="1" x14ac:dyDescent="0.2">
      <c r="A85" s="1"/>
      <c r="B85" s="1"/>
      <c r="C85" s="11"/>
      <c r="D85" s="1"/>
      <c r="E85" s="1"/>
      <c r="F85" s="12"/>
      <c r="G85" s="12"/>
      <c r="H85" s="105"/>
    </row>
    <row r="86" spans="1:8" ht="14.1" customHeight="1" x14ac:dyDescent="0.2">
      <c r="A86" s="1"/>
      <c r="B86" s="1"/>
      <c r="C86" s="2" t="s">
        <v>144</v>
      </c>
      <c r="D86" s="1"/>
      <c r="E86" s="1"/>
      <c r="F86" s="12"/>
      <c r="G86" s="12"/>
      <c r="H86" s="105"/>
    </row>
    <row r="87" spans="1:8" ht="14.1" customHeight="1" x14ac:dyDescent="0.2">
      <c r="A87" s="1"/>
      <c r="B87" s="1"/>
      <c r="C87" s="2" t="s">
        <v>132</v>
      </c>
      <c r="D87" s="1"/>
      <c r="E87" s="1" t="s">
        <v>133</v>
      </c>
      <c r="F87" s="13" t="s">
        <v>135</v>
      </c>
      <c r="G87" s="10">
        <v>0</v>
      </c>
      <c r="H87" s="105"/>
    </row>
    <row r="88" spans="1:8" ht="14.1" customHeight="1" x14ac:dyDescent="0.2">
      <c r="A88" s="1"/>
      <c r="B88" s="1"/>
      <c r="C88" s="11"/>
      <c r="D88" s="1"/>
      <c r="E88" s="1"/>
      <c r="F88" s="12"/>
      <c r="G88" s="12"/>
      <c r="H88" s="105"/>
    </row>
    <row r="89" spans="1:8" ht="14.1" customHeight="1" x14ac:dyDescent="0.2">
      <c r="A89" s="1"/>
      <c r="B89" s="1"/>
      <c r="C89" s="2" t="s">
        <v>145</v>
      </c>
      <c r="D89" s="1"/>
      <c r="E89" s="1"/>
      <c r="F89" s="9">
        <v>0</v>
      </c>
      <c r="G89" s="10">
        <v>0</v>
      </c>
      <c r="H89" s="105"/>
    </row>
    <row r="90" spans="1:8" ht="14.1" customHeight="1" x14ac:dyDescent="0.2">
      <c r="A90" s="1"/>
      <c r="B90" s="1"/>
      <c r="C90" s="11"/>
      <c r="D90" s="1"/>
      <c r="E90" s="1"/>
      <c r="F90" s="12"/>
      <c r="G90" s="12"/>
      <c r="H90" s="105"/>
    </row>
    <row r="91" spans="1:8" ht="14.1" customHeight="1" x14ac:dyDescent="0.2">
      <c r="A91" s="1"/>
      <c r="B91" s="1"/>
      <c r="C91" s="2" t="s">
        <v>146</v>
      </c>
      <c r="D91" s="1"/>
      <c r="E91" s="1"/>
      <c r="F91" s="12"/>
      <c r="G91" s="12"/>
      <c r="H91" s="105"/>
    </row>
    <row r="92" spans="1:8" ht="14.1" customHeight="1" x14ac:dyDescent="0.2">
      <c r="A92" s="1"/>
      <c r="B92" s="1"/>
      <c r="C92" s="2" t="s">
        <v>147</v>
      </c>
      <c r="D92" s="1"/>
      <c r="E92" s="1"/>
      <c r="F92" s="12"/>
      <c r="G92" s="12"/>
      <c r="H92" s="105"/>
    </row>
    <row r="93" spans="1:8" ht="14.1" customHeight="1" x14ac:dyDescent="0.2">
      <c r="A93" s="1"/>
      <c r="B93" s="1"/>
      <c r="C93" s="2" t="s">
        <v>132</v>
      </c>
      <c r="D93" s="1"/>
      <c r="E93" s="1" t="s">
        <v>133</v>
      </c>
      <c r="F93" s="13" t="s">
        <v>135</v>
      </c>
      <c r="G93" s="10">
        <v>0</v>
      </c>
      <c r="H93" s="105"/>
    </row>
    <row r="94" spans="1:8" ht="14.1" customHeight="1" x14ac:dyDescent="0.2">
      <c r="A94" s="1"/>
      <c r="B94" s="1"/>
      <c r="C94" s="11"/>
      <c r="D94" s="1"/>
      <c r="E94" s="1"/>
      <c r="F94" s="12"/>
      <c r="G94" s="12"/>
      <c r="H94" s="105"/>
    </row>
    <row r="95" spans="1:8" ht="14.1" customHeight="1" x14ac:dyDescent="0.2">
      <c r="A95" s="1"/>
      <c r="B95" s="1"/>
      <c r="C95" s="2" t="s">
        <v>148</v>
      </c>
      <c r="D95" s="1"/>
      <c r="E95" s="1"/>
      <c r="F95" s="12"/>
      <c r="G95" s="12"/>
      <c r="H95" s="105"/>
    </row>
    <row r="96" spans="1:8" ht="14.1" customHeight="1" x14ac:dyDescent="0.2">
      <c r="A96" s="1"/>
      <c r="B96" s="1"/>
      <c r="C96" s="2" t="s">
        <v>132</v>
      </c>
      <c r="D96" s="1"/>
      <c r="E96" s="1" t="s">
        <v>133</v>
      </c>
      <c r="F96" s="13" t="s">
        <v>135</v>
      </c>
      <c r="G96" s="10">
        <v>0</v>
      </c>
      <c r="H96" s="105"/>
    </row>
    <row r="97" spans="1:8" ht="14.1" customHeight="1" x14ac:dyDescent="0.2">
      <c r="A97" s="1"/>
      <c r="B97" s="1"/>
      <c r="C97" s="11"/>
      <c r="D97" s="1"/>
      <c r="E97" s="1"/>
      <c r="F97" s="12"/>
      <c r="G97" s="12"/>
      <c r="H97" s="105"/>
    </row>
    <row r="98" spans="1:8" ht="14.1" customHeight="1" x14ac:dyDescent="0.2">
      <c r="A98" s="1"/>
      <c r="B98" s="1"/>
      <c r="C98" s="2" t="s">
        <v>149</v>
      </c>
      <c r="D98" s="1"/>
      <c r="E98" s="1"/>
      <c r="F98" s="12"/>
      <c r="G98" s="12"/>
      <c r="H98" s="105"/>
    </row>
    <row r="99" spans="1:8" ht="14.1" customHeight="1" x14ac:dyDescent="0.2">
      <c r="A99" s="1"/>
      <c r="B99" s="1"/>
      <c r="C99" s="2" t="s">
        <v>132</v>
      </c>
      <c r="D99" s="1"/>
      <c r="E99" s="1" t="s">
        <v>133</v>
      </c>
      <c r="F99" s="13" t="s">
        <v>135</v>
      </c>
      <c r="G99" s="10">
        <v>0</v>
      </c>
      <c r="H99" s="105"/>
    </row>
    <row r="100" spans="1:8" ht="14.1" customHeight="1" x14ac:dyDescent="0.2">
      <c r="A100" s="1"/>
      <c r="B100" s="1"/>
      <c r="C100" s="11"/>
      <c r="D100" s="1"/>
      <c r="E100" s="1"/>
      <c r="F100" s="12"/>
      <c r="G100" s="12"/>
      <c r="H100" s="105"/>
    </row>
    <row r="101" spans="1:8" ht="14.1" customHeight="1" x14ac:dyDescent="0.2">
      <c r="A101" s="1"/>
      <c r="B101" s="1"/>
      <c r="C101" s="2" t="s">
        <v>150</v>
      </c>
      <c r="D101" s="1"/>
      <c r="E101" s="1"/>
      <c r="F101" s="12"/>
      <c r="G101" s="12"/>
      <c r="H101" s="105"/>
    </row>
    <row r="102" spans="1:8" ht="17.100000000000001" customHeight="1" x14ac:dyDescent="0.2">
      <c r="A102" s="3">
        <v>1</v>
      </c>
      <c r="B102" s="4"/>
      <c r="C102" s="4" t="s">
        <v>151</v>
      </c>
      <c r="D102" s="4"/>
      <c r="E102" s="8"/>
      <c r="F102" s="6">
        <v>2241.4775794000002</v>
      </c>
      <c r="G102" s="7">
        <v>3.5872269999999998E-2</v>
      </c>
      <c r="H102" s="105">
        <v>6.8153352377542396</v>
      </c>
    </row>
    <row r="103" spans="1:8" ht="17.100000000000001" customHeight="1" x14ac:dyDescent="0.2">
      <c r="A103" s="3">
        <v>2</v>
      </c>
      <c r="B103" s="4"/>
      <c r="C103" s="4" t="s">
        <v>152</v>
      </c>
      <c r="D103" s="4"/>
      <c r="E103" s="8"/>
      <c r="F103" s="6">
        <v>265.98773350099998</v>
      </c>
      <c r="G103" s="7">
        <v>4.2568299999999996E-3</v>
      </c>
      <c r="H103" s="105">
        <v>6.7952403714590259</v>
      </c>
    </row>
    <row r="104" spans="1:8" ht="14.1" customHeight="1" x14ac:dyDescent="0.2">
      <c r="A104" s="1"/>
      <c r="B104" s="1"/>
      <c r="C104" s="2" t="s">
        <v>132</v>
      </c>
      <c r="D104" s="1"/>
      <c r="E104" s="1" t="s">
        <v>133</v>
      </c>
      <c r="F104" s="9">
        <v>2507.4653129009998</v>
      </c>
      <c r="G104" s="10">
        <v>4.0129100000000001E-2</v>
      </c>
      <c r="H104" s="105"/>
    </row>
    <row r="105" spans="1:8" ht="14.1" customHeight="1" x14ac:dyDescent="0.2">
      <c r="A105" s="1"/>
      <c r="B105" s="1"/>
      <c r="C105" s="11"/>
      <c r="D105" s="1"/>
      <c r="E105" s="1"/>
      <c r="F105" s="12"/>
      <c r="G105" s="12"/>
      <c r="H105" s="105"/>
    </row>
    <row r="106" spans="1:8" ht="14.1" customHeight="1" x14ac:dyDescent="0.2">
      <c r="A106" s="1"/>
      <c r="B106" s="1"/>
      <c r="C106" s="2" t="s">
        <v>153</v>
      </c>
      <c r="D106" s="1"/>
      <c r="E106" s="1"/>
      <c r="F106" s="9">
        <v>2507.4653129009998</v>
      </c>
      <c r="G106" s="10">
        <v>4.0129100000000001E-2</v>
      </c>
      <c r="H106" s="105"/>
    </row>
    <row r="107" spans="1:8" ht="14.1" customHeight="1" x14ac:dyDescent="0.2">
      <c r="A107" s="1"/>
      <c r="B107" s="1"/>
      <c r="C107" s="12"/>
      <c r="D107" s="1"/>
      <c r="E107" s="1"/>
      <c r="F107" s="1"/>
      <c r="G107" s="1"/>
      <c r="H107" s="105"/>
    </row>
    <row r="108" spans="1:8" ht="14.1" customHeight="1" x14ac:dyDescent="0.2">
      <c r="A108" s="1"/>
      <c r="B108" s="1"/>
      <c r="C108" s="2" t="s">
        <v>154</v>
      </c>
      <c r="D108" s="1"/>
      <c r="E108" s="1"/>
      <c r="F108" s="1"/>
      <c r="G108" s="1"/>
      <c r="H108" s="105"/>
    </row>
    <row r="109" spans="1:8" ht="14.1" customHeight="1" x14ac:dyDescent="0.2">
      <c r="A109" s="1"/>
      <c r="B109" s="1"/>
      <c r="C109" s="2" t="s">
        <v>155</v>
      </c>
      <c r="D109" s="1"/>
      <c r="E109" s="1"/>
      <c r="F109" s="1"/>
      <c r="G109" s="1"/>
      <c r="H109" s="105"/>
    </row>
    <row r="110" spans="1:8" ht="14.1" customHeight="1" x14ac:dyDescent="0.2">
      <c r="A110" s="1"/>
      <c r="B110" s="1"/>
      <c r="C110" s="2" t="s">
        <v>132</v>
      </c>
      <c r="D110" s="1"/>
      <c r="E110" s="1" t="s">
        <v>133</v>
      </c>
      <c r="F110" s="13" t="s">
        <v>135</v>
      </c>
      <c r="G110" s="10">
        <v>0</v>
      </c>
      <c r="H110" s="105"/>
    </row>
    <row r="111" spans="1:8" ht="14.1" customHeight="1" x14ac:dyDescent="0.2">
      <c r="A111" s="1"/>
      <c r="B111" s="1"/>
      <c r="C111" s="11"/>
      <c r="D111" s="1"/>
      <c r="E111" s="1"/>
      <c r="F111" s="12"/>
      <c r="G111" s="12"/>
      <c r="H111" s="105"/>
    </row>
    <row r="112" spans="1:8" ht="14.1" customHeight="1" x14ac:dyDescent="0.2">
      <c r="A112" s="1"/>
      <c r="B112" s="1"/>
      <c r="C112" s="2" t="s">
        <v>156</v>
      </c>
      <c r="D112" s="1"/>
      <c r="E112" s="1"/>
      <c r="F112" s="1"/>
      <c r="G112" s="1"/>
      <c r="H112" s="105"/>
    </row>
    <row r="113" spans="1:8" ht="14.1" customHeight="1" x14ac:dyDescent="0.2">
      <c r="A113" s="1"/>
      <c r="B113" s="1"/>
      <c r="C113" s="2" t="s">
        <v>157</v>
      </c>
      <c r="D113" s="1"/>
      <c r="E113" s="1"/>
      <c r="F113" s="1"/>
      <c r="G113" s="1"/>
      <c r="H113" s="105"/>
    </row>
    <row r="114" spans="1:8" ht="14.1" customHeight="1" x14ac:dyDescent="0.2">
      <c r="A114" s="1"/>
      <c r="B114" s="1"/>
      <c r="C114" s="2" t="s">
        <v>132</v>
      </c>
      <c r="D114" s="1"/>
      <c r="E114" s="1" t="s">
        <v>133</v>
      </c>
      <c r="F114" s="13" t="s">
        <v>135</v>
      </c>
      <c r="G114" s="10">
        <v>0</v>
      </c>
      <c r="H114" s="105"/>
    </row>
    <row r="115" spans="1:8" ht="14.1" customHeight="1" x14ac:dyDescent="0.2">
      <c r="A115" s="1"/>
      <c r="B115" s="1"/>
      <c r="C115" s="11"/>
      <c r="D115" s="1"/>
      <c r="E115" s="1"/>
      <c r="F115" s="12"/>
      <c r="G115" s="12"/>
      <c r="H115" s="105"/>
    </row>
    <row r="116" spans="1:8" ht="24" customHeight="1" x14ac:dyDescent="0.2">
      <c r="A116" s="1"/>
      <c r="B116" s="1"/>
      <c r="C116" s="2" t="s">
        <v>158</v>
      </c>
      <c r="D116" s="1"/>
      <c r="E116" s="1"/>
      <c r="F116" s="12"/>
      <c r="G116" s="12"/>
      <c r="H116" s="105"/>
    </row>
    <row r="117" spans="1:8" ht="14.1" customHeight="1" x14ac:dyDescent="0.2">
      <c r="A117" s="1"/>
      <c r="B117" s="1"/>
      <c r="C117" s="2" t="s">
        <v>132</v>
      </c>
      <c r="D117" s="1"/>
      <c r="E117" s="1" t="s">
        <v>133</v>
      </c>
      <c r="F117" s="13" t="s">
        <v>135</v>
      </c>
      <c r="G117" s="10">
        <v>0</v>
      </c>
      <c r="H117" s="105"/>
    </row>
    <row r="118" spans="1:8" ht="14.1" customHeight="1" x14ac:dyDescent="0.2">
      <c r="A118" s="1"/>
      <c r="B118" s="1"/>
      <c r="C118" s="11"/>
      <c r="D118" s="1"/>
      <c r="E118" s="1"/>
      <c r="F118" s="12"/>
      <c r="G118" s="12"/>
      <c r="H118" s="105"/>
    </row>
    <row r="119" spans="1:8" ht="14.1" customHeight="1" x14ac:dyDescent="0.2">
      <c r="A119" s="1"/>
      <c r="B119" s="4"/>
      <c r="C119" s="4"/>
      <c r="D119" s="2"/>
      <c r="E119" s="1"/>
      <c r="F119" s="4"/>
      <c r="G119" s="8"/>
      <c r="H119" s="105"/>
    </row>
    <row r="120" spans="1:8" ht="18" customHeight="1" x14ac:dyDescent="0.2">
      <c r="A120" s="8"/>
      <c r="B120" s="4"/>
      <c r="C120" s="4" t="s">
        <v>159</v>
      </c>
      <c r="D120" s="4"/>
      <c r="E120" s="8"/>
      <c r="F120" s="6">
        <v>-115.75882398</v>
      </c>
      <c r="G120" s="7">
        <v>-1.8525900000000001E-3</v>
      </c>
      <c r="H120" s="105"/>
    </row>
    <row r="121" spans="1:8" ht="14.1" customHeight="1" x14ac:dyDescent="0.2">
      <c r="A121" s="11"/>
      <c r="B121" s="11"/>
      <c r="C121" s="2" t="s">
        <v>160</v>
      </c>
      <c r="D121" s="12"/>
      <c r="E121" s="12"/>
      <c r="F121" s="9">
        <v>62484.969263109997</v>
      </c>
      <c r="G121" s="14">
        <v>1</v>
      </c>
      <c r="H121" s="105"/>
    </row>
    <row r="122" spans="1:8" ht="14.1" customHeight="1" x14ac:dyDescent="0.2">
      <c r="A122" s="15"/>
      <c r="B122" s="15"/>
      <c r="C122" s="15"/>
      <c r="D122" s="16"/>
      <c r="E122" s="16"/>
      <c r="F122" s="16"/>
      <c r="G122" s="16"/>
    </row>
    <row r="123" spans="1:8" ht="17.100000000000001" customHeight="1" x14ac:dyDescent="0.2">
      <c r="A123" s="17"/>
      <c r="B123" s="178" t="s">
        <v>161</v>
      </c>
      <c r="C123" s="178"/>
      <c r="D123" s="178"/>
      <c r="E123" s="178"/>
      <c r="F123" s="178"/>
      <c r="G123" s="19"/>
    </row>
    <row r="124" spans="1:8" ht="14.1" customHeight="1" x14ac:dyDescent="0.2">
      <c r="A124" s="17"/>
      <c r="B124" s="17"/>
      <c r="C124" s="17"/>
      <c r="D124" s="19"/>
      <c r="E124" s="19"/>
      <c r="F124" s="19"/>
      <c r="G124" s="19"/>
    </row>
    <row r="125" spans="1:8" ht="14.1" customHeight="1" x14ac:dyDescent="0.2">
      <c r="A125" s="17"/>
      <c r="B125" s="179" t="s">
        <v>162</v>
      </c>
      <c r="C125" s="180"/>
      <c r="D125" s="181"/>
      <c r="E125" s="20"/>
      <c r="F125" s="19"/>
      <c r="G125" s="19"/>
    </row>
    <row r="126" spans="1:8" ht="29.1" customHeight="1" x14ac:dyDescent="0.2">
      <c r="A126" s="17"/>
      <c r="B126" s="176" t="s">
        <v>163</v>
      </c>
      <c r="C126" s="177"/>
      <c r="D126" s="2" t="s">
        <v>164</v>
      </c>
      <c r="E126" s="20"/>
      <c r="F126" s="19"/>
      <c r="G126" s="19"/>
    </row>
    <row r="127" spans="1:8" ht="17.100000000000001" customHeight="1" x14ac:dyDescent="0.2">
      <c r="A127" s="17"/>
      <c r="B127" s="176" t="s">
        <v>935</v>
      </c>
      <c r="C127" s="177"/>
      <c r="D127" s="2" t="s">
        <v>936</v>
      </c>
      <c r="E127" s="20"/>
      <c r="F127" s="19"/>
      <c r="G127" s="19"/>
    </row>
    <row r="128" spans="1:8" ht="17.100000000000001" customHeight="1" x14ac:dyDescent="0.2">
      <c r="A128" s="17"/>
      <c r="B128" s="176" t="s">
        <v>166</v>
      </c>
      <c r="C128" s="177"/>
      <c r="D128" s="12" t="s">
        <v>133</v>
      </c>
      <c r="E128" s="20"/>
      <c r="F128" s="19"/>
      <c r="G128" s="19"/>
    </row>
    <row r="129" spans="1:7" ht="24" customHeight="1" x14ac:dyDescent="0.2">
      <c r="A129" s="21"/>
      <c r="B129" s="22" t="s">
        <v>133</v>
      </c>
      <c r="C129" s="22" t="s">
        <v>167</v>
      </c>
      <c r="D129" s="51" t="s">
        <v>168</v>
      </c>
      <c r="E129" s="21"/>
      <c r="F129" s="21"/>
      <c r="G129" s="21"/>
    </row>
    <row r="130" spans="1:7" ht="18" customHeight="1" x14ac:dyDescent="0.2">
      <c r="A130" s="21"/>
      <c r="B130" s="23" t="s">
        <v>169</v>
      </c>
      <c r="C130" s="22" t="s">
        <v>170</v>
      </c>
      <c r="D130" s="22" t="s">
        <v>171</v>
      </c>
      <c r="E130" s="21"/>
      <c r="F130" s="21"/>
      <c r="G130" s="21"/>
    </row>
    <row r="131" spans="1:7" ht="17.100000000000001" customHeight="1" x14ac:dyDescent="0.2">
      <c r="A131" s="21"/>
      <c r="B131" s="4" t="s">
        <v>172</v>
      </c>
      <c r="C131" s="24">
        <v>55.225499999999997</v>
      </c>
      <c r="D131" s="24">
        <v>57.574300000000001</v>
      </c>
      <c r="E131" s="21"/>
      <c r="F131" s="18"/>
      <c r="G131" s="25"/>
    </row>
    <row r="132" spans="1:7" ht="17.100000000000001" customHeight="1" x14ac:dyDescent="0.2">
      <c r="A132" s="21"/>
      <c r="B132" s="4" t="s">
        <v>1006</v>
      </c>
      <c r="C132" s="24">
        <v>39.612400000000001</v>
      </c>
      <c r="D132" s="24">
        <v>41.2971</v>
      </c>
      <c r="E132" s="21"/>
      <c r="F132" s="18"/>
      <c r="G132" s="25"/>
    </row>
    <row r="133" spans="1:7" ht="17.100000000000001" customHeight="1" x14ac:dyDescent="0.2">
      <c r="A133" s="21"/>
      <c r="B133" s="4" t="s">
        <v>173</v>
      </c>
      <c r="C133" s="24">
        <v>52.346200000000003</v>
      </c>
      <c r="D133" s="24">
        <v>54.5488</v>
      </c>
      <c r="E133" s="21"/>
      <c r="F133" s="18"/>
      <c r="G133" s="25"/>
    </row>
    <row r="134" spans="1:7" ht="17.100000000000001" customHeight="1" x14ac:dyDescent="0.2">
      <c r="A134" s="21"/>
      <c r="B134" s="4" t="s">
        <v>1007</v>
      </c>
      <c r="C134" s="24">
        <v>37.357500000000002</v>
      </c>
      <c r="D134" s="24">
        <v>38.929400000000001</v>
      </c>
      <c r="E134" s="21"/>
      <c r="F134" s="18"/>
      <c r="G134" s="25"/>
    </row>
    <row r="135" spans="1:7" ht="14.1" customHeight="1" x14ac:dyDescent="0.2">
      <c r="A135" s="21"/>
      <c r="B135" s="21"/>
      <c r="C135" s="21"/>
      <c r="D135" s="21"/>
      <c r="E135" s="21"/>
      <c r="F135" s="21"/>
      <c r="G135" s="21"/>
    </row>
    <row r="136" spans="1:7" ht="17.100000000000001" customHeight="1" x14ac:dyDescent="0.2">
      <c r="A136" s="21"/>
      <c r="B136" s="176" t="s">
        <v>1008</v>
      </c>
      <c r="C136" s="177"/>
      <c r="D136" s="2" t="s">
        <v>164</v>
      </c>
      <c r="E136" s="21"/>
      <c r="F136" s="21"/>
      <c r="G136" s="21"/>
    </row>
    <row r="137" spans="1:7" ht="18" customHeight="1" x14ac:dyDescent="0.2">
      <c r="A137" s="21"/>
      <c r="B137" s="26"/>
      <c r="C137" s="26"/>
      <c r="D137" s="26"/>
      <c r="E137" s="21"/>
      <c r="F137" s="21"/>
      <c r="G137" s="21"/>
    </row>
    <row r="138" spans="1:7" ht="29.1" customHeight="1" x14ac:dyDescent="0.2">
      <c r="A138" s="21"/>
      <c r="B138" s="176" t="s">
        <v>174</v>
      </c>
      <c r="C138" s="177"/>
      <c r="D138" s="2" t="s">
        <v>164</v>
      </c>
      <c r="E138" s="27"/>
      <c r="F138" s="21"/>
      <c r="G138" s="21"/>
    </row>
    <row r="139" spans="1:7" ht="29.1" customHeight="1" x14ac:dyDescent="0.2">
      <c r="A139" s="21"/>
      <c r="B139" s="176" t="s">
        <v>175</v>
      </c>
      <c r="C139" s="177"/>
      <c r="D139" s="2" t="s">
        <v>164</v>
      </c>
      <c r="E139" s="27"/>
      <c r="F139" s="21"/>
      <c r="G139" s="21"/>
    </row>
    <row r="140" spans="1:7" ht="17.100000000000001" customHeight="1" x14ac:dyDescent="0.2">
      <c r="A140" s="21"/>
      <c r="B140" s="176" t="s">
        <v>176</v>
      </c>
      <c r="C140" s="177"/>
      <c r="D140" s="2" t="s">
        <v>164</v>
      </c>
      <c r="E140" s="27"/>
      <c r="F140" s="21"/>
      <c r="G140" s="21"/>
    </row>
    <row r="141" spans="1:7" ht="17.100000000000001" customHeight="1" x14ac:dyDescent="0.2">
      <c r="A141" s="21"/>
      <c r="B141" s="176" t="s">
        <v>177</v>
      </c>
      <c r="C141" s="177"/>
      <c r="D141" s="28">
        <v>0.29704686842931632</v>
      </c>
      <c r="E141" s="21"/>
      <c r="F141" s="18"/>
      <c r="G141" s="25"/>
    </row>
  </sheetData>
  <mergeCells count="14">
    <mergeCell ref="B141:C141"/>
    <mergeCell ref="B127:C127"/>
    <mergeCell ref="B128:C128"/>
    <mergeCell ref="B136:C136"/>
    <mergeCell ref="B138:C138"/>
    <mergeCell ref="B139:C139"/>
    <mergeCell ref="B140:C140"/>
    <mergeCell ref="J2:N2"/>
    <mergeCell ref="B126:C126"/>
    <mergeCell ref="B123:F123"/>
    <mergeCell ref="B125:D125"/>
    <mergeCell ref="A1:H1"/>
    <mergeCell ref="A2:H2"/>
    <mergeCell ref="A3:H3"/>
  </mergeCells>
  <hyperlinks>
    <hyperlink ref="I1" location="Index!B2" display="Index" xr:uid="{B3C808D9-6946-4CB7-81AA-89F853473572}"/>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O158"/>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9" max="9" width="12.140625" bestFit="1" customWidth="1"/>
    <col min="10" max="10" width="9.5703125" bestFit="1" customWidth="1"/>
  </cols>
  <sheetData>
    <row r="1" spans="1:15" ht="18" customHeight="1" x14ac:dyDescent="0.2">
      <c r="A1" s="182" t="s">
        <v>0</v>
      </c>
      <c r="B1" s="182"/>
      <c r="C1" s="182"/>
      <c r="D1" s="182"/>
      <c r="E1" s="182"/>
      <c r="F1" s="182"/>
      <c r="G1" s="182"/>
      <c r="H1" s="182"/>
      <c r="I1" s="159" t="s">
        <v>1044</v>
      </c>
    </row>
    <row r="2" spans="1:15" ht="17.100000000000001" customHeight="1" x14ac:dyDescent="0.2">
      <c r="A2" s="183" t="s">
        <v>178</v>
      </c>
      <c r="B2" s="184"/>
      <c r="C2" s="184"/>
      <c r="D2" s="184"/>
      <c r="E2" s="184"/>
      <c r="F2" s="184"/>
      <c r="G2" s="184"/>
      <c r="H2" s="185"/>
      <c r="J2" s="175" t="s">
        <v>1045</v>
      </c>
      <c r="K2" s="175"/>
      <c r="L2" s="175"/>
      <c r="M2" s="175"/>
      <c r="N2" s="175"/>
    </row>
    <row r="3" spans="1:15" ht="21" customHeight="1" x14ac:dyDescent="0.2">
      <c r="A3" s="182" t="s">
        <v>1016</v>
      </c>
      <c r="B3" s="182"/>
      <c r="C3" s="182"/>
      <c r="D3" s="182"/>
      <c r="E3" s="182"/>
      <c r="F3" s="182"/>
      <c r="G3" s="182"/>
      <c r="H3" s="182"/>
    </row>
    <row r="4" spans="1:15" ht="30" x14ac:dyDescent="0.2">
      <c r="A4" s="107" t="s">
        <v>2</v>
      </c>
      <c r="B4" s="107" t="s">
        <v>3</v>
      </c>
      <c r="C4" s="107" t="s">
        <v>4</v>
      </c>
      <c r="D4" s="107" t="s">
        <v>5</v>
      </c>
      <c r="E4" s="107" t="s">
        <v>6</v>
      </c>
      <c r="F4" s="107" t="s">
        <v>7</v>
      </c>
      <c r="G4" s="107" t="s">
        <v>8</v>
      </c>
      <c r="H4" s="104" t="s">
        <v>1003</v>
      </c>
      <c r="I4" s="108"/>
      <c r="J4" s="108"/>
      <c r="K4" s="108"/>
      <c r="L4" s="108"/>
      <c r="M4" s="108"/>
      <c r="N4" s="108"/>
      <c r="O4" s="108"/>
    </row>
    <row r="5" spans="1:15" ht="14.1" customHeight="1" x14ac:dyDescent="0.2">
      <c r="A5" s="1"/>
      <c r="B5" s="1"/>
      <c r="C5" s="2" t="s">
        <v>9</v>
      </c>
      <c r="D5" s="1"/>
      <c r="E5" s="1"/>
      <c r="F5" s="1"/>
      <c r="G5" s="1"/>
      <c r="H5" s="105"/>
    </row>
    <row r="6" spans="1:15" ht="24" customHeight="1" x14ac:dyDescent="0.2">
      <c r="A6" s="1"/>
      <c r="B6" s="1"/>
      <c r="C6" s="2" t="s">
        <v>10</v>
      </c>
      <c r="D6" s="1"/>
      <c r="E6" s="1"/>
      <c r="F6" s="1"/>
      <c r="G6" s="1"/>
      <c r="H6" s="105"/>
    </row>
    <row r="7" spans="1:15" ht="17.100000000000001" customHeight="1" x14ac:dyDescent="0.2">
      <c r="A7" s="3">
        <v>1</v>
      </c>
      <c r="B7" s="4" t="s">
        <v>179</v>
      </c>
      <c r="C7" s="4" t="s">
        <v>180</v>
      </c>
      <c r="D7" s="4" t="s">
        <v>25</v>
      </c>
      <c r="E7" s="5">
        <v>20650910</v>
      </c>
      <c r="F7" s="6">
        <v>27868.403044999999</v>
      </c>
      <c r="G7" s="7">
        <v>3.8612529999999999E-2</v>
      </c>
      <c r="H7" s="105"/>
    </row>
    <row r="8" spans="1:15" ht="29.1" customHeight="1" x14ac:dyDescent="0.2">
      <c r="A8" s="3">
        <v>2</v>
      </c>
      <c r="B8" s="4" t="s">
        <v>181</v>
      </c>
      <c r="C8" s="4" t="s">
        <v>182</v>
      </c>
      <c r="D8" s="4" t="s">
        <v>183</v>
      </c>
      <c r="E8" s="5">
        <v>452787</v>
      </c>
      <c r="F8" s="6">
        <v>21961.075074</v>
      </c>
      <c r="G8" s="7">
        <v>3.0427740000000002E-2</v>
      </c>
      <c r="H8" s="105"/>
    </row>
    <row r="9" spans="1:15" ht="17.100000000000001" customHeight="1" x14ac:dyDescent="0.2">
      <c r="A9" s="3">
        <v>3</v>
      </c>
      <c r="B9" s="4" t="s">
        <v>184</v>
      </c>
      <c r="C9" s="4" t="s">
        <v>185</v>
      </c>
      <c r="D9" s="4" t="s">
        <v>128</v>
      </c>
      <c r="E9" s="5">
        <v>1486180</v>
      </c>
      <c r="F9" s="6">
        <v>19804.83468</v>
      </c>
      <c r="G9" s="7">
        <v>2.744021E-2</v>
      </c>
      <c r="H9" s="105"/>
    </row>
    <row r="10" spans="1:15" ht="17.100000000000001" customHeight="1" x14ac:dyDescent="0.2">
      <c r="A10" s="3">
        <v>4</v>
      </c>
      <c r="B10" s="4" t="s">
        <v>37</v>
      </c>
      <c r="C10" s="4" t="s">
        <v>38</v>
      </c>
      <c r="D10" s="4" t="s">
        <v>33</v>
      </c>
      <c r="E10" s="5">
        <v>920523</v>
      </c>
      <c r="F10" s="6">
        <v>17493.619092000001</v>
      </c>
      <c r="G10" s="7">
        <v>2.4237950000000001E-2</v>
      </c>
      <c r="H10" s="105"/>
    </row>
    <row r="11" spans="1:15" ht="17.100000000000001" customHeight="1" x14ac:dyDescent="0.2">
      <c r="A11" s="3">
        <v>5</v>
      </c>
      <c r="B11" s="4" t="s">
        <v>186</v>
      </c>
      <c r="C11" s="4" t="s">
        <v>187</v>
      </c>
      <c r="D11" s="4" t="s">
        <v>81</v>
      </c>
      <c r="E11" s="5">
        <v>661577</v>
      </c>
      <c r="F11" s="6">
        <v>17129.551683999998</v>
      </c>
      <c r="G11" s="7">
        <v>2.3733520000000001E-2</v>
      </c>
      <c r="H11" s="105"/>
    </row>
    <row r="12" spans="1:15" ht="29.1" customHeight="1" x14ac:dyDescent="0.2">
      <c r="A12" s="3">
        <v>6</v>
      </c>
      <c r="B12" s="4" t="s">
        <v>188</v>
      </c>
      <c r="C12" s="4" t="s">
        <v>189</v>
      </c>
      <c r="D12" s="4" t="s">
        <v>190</v>
      </c>
      <c r="E12" s="5">
        <v>1794703</v>
      </c>
      <c r="F12" s="6">
        <v>16914.178423500001</v>
      </c>
      <c r="G12" s="7">
        <v>2.3435109999999999E-2</v>
      </c>
      <c r="H12" s="105"/>
    </row>
    <row r="13" spans="1:15" ht="17.100000000000001" customHeight="1" x14ac:dyDescent="0.2">
      <c r="A13" s="3">
        <v>7</v>
      </c>
      <c r="B13" s="4" t="s">
        <v>77</v>
      </c>
      <c r="C13" s="4" t="s">
        <v>78</v>
      </c>
      <c r="D13" s="4" t="s">
        <v>33</v>
      </c>
      <c r="E13" s="5">
        <v>1070514</v>
      </c>
      <c r="F13" s="6">
        <v>16867.553841000001</v>
      </c>
      <c r="G13" s="7">
        <v>2.3370510000000001E-2</v>
      </c>
      <c r="H13" s="105"/>
      <c r="J13" s="161" t="s">
        <v>1047</v>
      </c>
    </row>
    <row r="14" spans="1:15" ht="17.100000000000001" customHeight="1" x14ac:dyDescent="0.2">
      <c r="A14" s="3">
        <v>8</v>
      </c>
      <c r="B14" s="4" t="s">
        <v>191</v>
      </c>
      <c r="C14" s="4" t="s">
        <v>192</v>
      </c>
      <c r="D14" s="4" t="s">
        <v>953</v>
      </c>
      <c r="E14" s="5">
        <v>344518</v>
      </c>
      <c r="F14" s="6">
        <v>16320.678954999999</v>
      </c>
      <c r="G14" s="7">
        <v>2.2612799999999999E-2</v>
      </c>
      <c r="H14" s="105"/>
    </row>
    <row r="15" spans="1:15" ht="17.100000000000001" customHeight="1" x14ac:dyDescent="0.2">
      <c r="A15" s="3">
        <v>9</v>
      </c>
      <c r="B15" s="4" t="s">
        <v>193</v>
      </c>
      <c r="C15" s="4" t="s">
        <v>194</v>
      </c>
      <c r="D15" s="4" t="s">
        <v>195</v>
      </c>
      <c r="E15" s="5">
        <v>1177934</v>
      </c>
      <c r="F15" s="6">
        <v>16111.192284999999</v>
      </c>
      <c r="G15" s="7">
        <v>2.232255E-2</v>
      </c>
      <c r="H15" s="105"/>
    </row>
    <row r="16" spans="1:15" ht="17.100000000000001" customHeight="1" x14ac:dyDescent="0.2">
      <c r="A16" s="3">
        <v>10</v>
      </c>
      <c r="B16" s="4" t="s">
        <v>79</v>
      </c>
      <c r="C16" s="4" t="s">
        <v>80</v>
      </c>
      <c r="D16" s="4" t="s">
        <v>81</v>
      </c>
      <c r="E16" s="5">
        <v>571884</v>
      </c>
      <c r="F16" s="6">
        <v>15867.779406</v>
      </c>
      <c r="G16" s="7">
        <v>2.1985299999999999E-2</v>
      </c>
      <c r="H16" s="105"/>
    </row>
    <row r="17" spans="1:10" ht="29.1" customHeight="1" x14ac:dyDescent="0.2">
      <c r="A17" s="3">
        <v>11</v>
      </c>
      <c r="B17" s="4" t="s">
        <v>196</v>
      </c>
      <c r="C17" s="4" t="s">
        <v>197</v>
      </c>
      <c r="D17" s="4" t="s">
        <v>128</v>
      </c>
      <c r="E17" s="5">
        <v>1816845</v>
      </c>
      <c r="F17" s="6">
        <v>15826.536795</v>
      </c>
      <c r="G17" s="7">
        <v>2.192815E-2</v>
      </c>
      <c r="H17" s="105"/>
    </row>
    <row r="18" spans="1:10" ht="29.1" customHeight="1" x14ac:dyDescent="0.2">
      <c r="A18" s="3">
        <v>12</v>
      </c>
      <c r="B18" s="4" t="s">
        <v>65</v>
      </c>
      <c r="C18" s="4" t="s">
        <v>66</v>
      </c>
      <c r="D18" s="4" t="s">
        <v>22</v>
      </c>
      <c r="E18" s="5">
        <v>783955</v>
      </c>
      <c r="F18" s="6">
        <v>15649.30971</v>
      </c>
      <c r="G18" s="7">
        <v>2.16826E-2</v>
      </c>
      <c r="H18" s="105"/>
    </row>
    <row r="19" spans="1:10" ht="29.1" customHeight="1" x14ac:dyDescent="0.2">
      <c r="A19" s="3">
        <v>13</v>
      </c>
      <c r="B19" s="4" t="s">
        <v>39</v>
      </c>
      <c r="C19" s="4" t="s">
        <v>40</v>
      </c>
      <c r="D19" s="4" t="s">
        <v>41</v>
      </c>
      <c r="E19" s="5">
        <v>14839928</v>
      </c>
      <c r="F19" s="6">
        <v>15329.645624000001</v>
      </c>
      <c r="G19" s="7">
        <v>2.12397E-2</v>
      </c>
      <c r="H19" s="105"/>
    </row>
    <row r="20" spans="1:10" ht="17.100000000000001" customHeight="1" x14ac:dyDescent="0.2">
      <c r="A20" s="3">
        <v>14</v>
      </c>
      <c r="B20" s="4" t="s">
        <v>198</v>
      </c>
      <c r="C20" s="4" t="s">
        <v>199</v>
      </c>
      <c r="D20" s="4" t="s">
        <v>84</v>
      </c>
      <c r="E20" s="5">
        <v>5175000</v>
      </c>
      <c r="F20" s="6">
        <v>14746.1625</v>
      </c>
      <c r="G20" s="7">
        <v>2.043126E-2</v>
      </c>
      <c r="H20" s="105"/>
    </row>
    <row r="21" spans="1:10" ht="17.100000000000001" customHeight="1" x14ac:dyDescent="0.2">
      <c r="A21" s="3">
        <v>15</v>
      </c>
      <c r="B21" s="4" t="s">
        <v>200</v>
      </c>
      <c r="C21" s="4" t="s">
        <v>201</v>
      </c>
      <c r="D21" s="4" t="s">
        <v>202</v>
      </c>
      <c r="E21" s="5">
        <v>5539684</v>
      </c>
      <c r="F21" s="6">
        <v>14447.495872</v>
      </c>
      <c r="G21" s="7">
        <v>2.0017449999999999E-2</v>
      </c>
      <c r="H21" s="105"/>
    </row>
    <row r="22" spans="1:10" ht="17.100000000000001" customHeight="1" x14ac:dyDescent="0.2">
      <c r="A22" s="3">
        <v>16</v>
      </c>
      <c r="B22" s="4" t="s">
        <v>203</v>
      </c>
      <c r="C22" s="4" t="s">
        <v>204</v>
      </c>
      <c r="D22" s="4" t="s">
        <v>25</v>
      </c>
      <c r="E22" s="5">
        <v>1622670</v>
      </c>
      <c r="F22" s="6">
        <v>13954.962</v>
      </c>
      <c r="G22" s="7">
        <v>1.933503E-2</v>
      </c>
      <c r="H22" s="105"/>
      <c r="J22" s="161" t="s">
        <v>1048</v>
      </c>
    </row>
    <row r="23" spans="1:10" ht="17.100000000000001" customHeight="1" x14ac:dyDescent="0.2">
      <c r="A23" s="3">
        <v>17</v>
      </c>
      <c r="B23" s="4" t="s">
        <v>205</v>
      </c>
      <c r="C23" s="4" t="s">
        <v>206</v>
      </c>
      <c r="D23" s="4" t="s">
        <v>207</v>
      </c>
      <c r="E23" s="5">
        <v>2382960</v>
      </c>
      <c r="F23" s="6">
        <v>13889.08236</v>
      </c>
      <c r="G23" s="7">
        <v>1.924375E-2</v>
      </c>
      <c r="H23" s="105"/>
    </row>
    <row r="24" spans="1:10" ht="17.100000000000001" customHeight="1" x14ac:dyDescent="0.2">
      <c r="A24" s="3">
        <v>18</v>
      </c>
      <c r="B24" s="4" t="s">
        <v>208</v>
      </c>
      <c r="C24" s="4" t="s">
        <v>209</v>
      </c>
      <c r="D24" s="4" t="s">
        <v>25</v>
      </c>
      <c r="E24" s="5">
        <v>1961253</v>
      </c>
      <c r="F24" s="6">
        <v>13019.778040499999</v>
      </c>
      <c r="G24" s="7">
        <v>1.8039300000000001E-2</v>
      </c>
      <c r="H24" s="105"/>
    </row>
    <row r="25" spans="1:10" ht="29.1" customHeight="1" x14ac:dyDescent="0.2">
      <c r="A25" s="3">
        <v>19</v>
      </c>
      <c r="B25" s="4" t="s">
        <v>210</v>
      </c>
      <c r="C25" s="4" t="s">
        <v>211</v>
      </c>
      <c r="D25" s="4" t="s">
        <v>212</v>
      </c>
      <c r="E25" s="5">
        <v>2503500</v>
      </c>
      <c r="F25" s="6">
        <v>13015.6965</v>
      </c>
      <c r="G25" s="7">
        <v>1.8033649999999998E-2</v>
      </c>
      <c r="H25" s="105"/>
    </row>
    <row r="26" spans="1:10" ht="17.100000000000001" customHeight="1" x14ac:dyDescent="0.2">
      <c r="A26" s="3">
        <v>20</v>
      </c>
      <c r="B26" s="4" t="s">
        <v>97</v>
      </c>
      <c r="C26" s="4" t="s">
        <v>98</v>
      </c>
      <c r="D26" s="4" t="s">
        <v>91</v>
      </c>
      <c r="E26" s="5">
        <v>1379663</v>
      </c>
      <c r="F26" s="6">
        <v>12625.296113</v>
      </c>
      <c r="G26" s="7">
        <v>1.749274E-2</v>
      </c>
      <c r="H26" s="105"/>
    </row>
    <row r="27" spans="1:10" ht="17.100000000000001" customHeight="1" x14ac:dyDescent="0.2">
      <c r="A27" s="3">
        <v>21</v>
      </c>
      <c r="B27" s="4" t="s">
        <v>213</v>
      </c>
      <c r="C27" s="4" t="s">
        <v>214</v>
      </c>
      <c r="D27" s="4" t="s">
        <v>25</v>
      </c>
      <c r="E27" s="5">
        <v>6659722</v>
      </c>
      <c r="F27" s="6">
        <v>12503.628054999999</v>
      </c>
      <c r="G27" s="7">
        <v>1.7324160000000002E-2</v>
      </c>
      <c r="H27" s="105"/>
    </row>
    <row r="28" spans="1:10" ht="17.100000000000001" customHeight="1" x14ac:dyDescent="0.2">
      <c r="A28" s="3">
        <v>22</v>
      </c>
      <c r="B28" s="4" t="s">
        <v>215</v>
      </c>
      <c r="C28" s="4" t="s">
        <v>216</v>
      </c>
      <c r="D28" s="4" t="s">
        <v>217</v>
      </c>
      <c r="E28" s="5">
        <v>1837568</v>
      </c>
      <c r="F28" s="6">
        <v>11755.841280000001</v>
      </c>
      <c r="G28" s="7">
        <v>1.628808E-2</v>
      </c>
      <c r="H28" s="105"/>
    </row>
    <row r="29" spans="1:10" ht="17.100000000000001" customHeight="1" x14ac:dyDescent="0.2">
      <c r="A29" s="3">
        <v>23</v>
      </c>
      <c r="B29" s="4" t="s">
        <v>218</v>
      </c>
      <c r="C29" s="4" t="s">
        <v>219</v>
      </c>
      <c r="D29" s="4" t="s">
        <v>220</v>
      </c>
      <c r="E29" s="5">
        <v>783576</v>
      </c>
      <c r="F29" s="6">
        <v>11593.00692</v>
      </c>
      <c r="G29" s="7">
        <v>1.6062469999999999E-2</v>
      </c>
      <c r="H29" s="105"/>
    </row>
    <row r="30" spans="1:10" ht="53.1" customHeight="1" x14ac:dyDescent="0.2">
      <c r="A30" s="3">
        <v>24</v>
      </c>
      <c r="B30" s="4" t="s">
        <v>50</v>
      </c>
      <c r="C30" s="4" t="s">
        <v>51</v>
      </c>
      <c r="D30" s="4" t="s">
        <v>52</v>
      </c>
      <c r="E30" s="5">
        <v>7811155</v>
      </c>
      <c r="F30" s="6">
        <v>11400.3807225</v>
      </c>
      <c r="G30" s="7">
        <v>1.579558E-2</v>
      </c>
      <c r="H30" s="105"/>
    </row>
    <row r="31" spans="1:10" ht="17.100000000000001" customHeight="1" x14ac:dyDescent="0.2">
      <c r="A31" s="3">
        <v>25</v>
      </c>
      <c r="B31" s="4" t="s">
        <v>29</v>
      </c>
      <c r="C31" s="4" t="s">
        <v>30</v>
      </c>
      <c r="D31" s="4" t="s">
        <v>25</v>
      </c>
      <c r="E31" s="5">
        <v>1956846</v>
      </c>
      <c r="F31" s="6">
        <v>11316.440418</v>
      </c>
      <c r="G31" s="7">
        <v>1.567928E-2</v>
      </c>
      <c r="H31" s="105"/>
    </row>
    <row r="32" spans="1:10" ht="17.100000000000001" customHeight="1" x14ac:dyDescent="0.2">
      <c r="A32" s="3">
        <v>26</v>
      </c>
      <c r="B32" s="4" t="s">
        <v>221</v>
      </c>
      <c r="C32" s="4" t="s">
        <v>222</v>
      </c>
      <c r="D32" s="4" t="s">
        <v>223</v>
      </c>
      <c r="E32" s="5">
        <v>2496754</v>
      </c>
      <c r="F32" s="6">
        <v>11146.758233</v>
      </c>
      <c r="G32" s="7">
        <v>1.544418E-2</v>
      </c>
      <c r="H32" s="105"/>
    </row>
    <row r="33" spans="1:8" ht="17.100000000000001" customHeight="1" x14ac:dyDescent="0.2">
      <c r="A33" s="3">
        <v>27</v>
      </c>
      <c r="B33" s="4" t="s">
        <v>224</v>
      </c>
      <c r="C33" s="4" t="s">
        <v>225</v>
      </c>
      <c r="D33" s="4" t="s">
        <v>220</v>
      </c>
      <c r="E33" s="5">
        <v>757798</v>
      </c>
      <c r="F33" s="6">
        <v>10951.696696000001</v>
      </c>
      <c r="G33" s="7">
        <v>1.5173910000000001E-2</v>
      </c>
      <c r="H33" s="105"/>
    </row>
    <row r="34" spans="1:8" ht="17.100000000000001" customHeight="1" x14ac:dyDescent="0.2">
      <c r="A34" s="3">
        <v>28</v>
      </c>
      <c r="B34" s="4" t="s">
        <v>226</v>
      </c>
      <c r="C34" s="4" t="s">
        <v>227</v>
      </c>
      <c r="D34" s="4" t="s">
        <v>121</v>
      </c>
      <c r="E34" s="5">
        <v>10218084</v>
      </c>
      <c r="F34" s="6">
        <v>10493.972268</v>
      </c>
      <c r="G34" s="7">
        <v>1.4539720000000001E-2</v>
      </c>
      <c r="H34" s="105"/>
    </row>
    <row r="35" spans="1:8" ht="17.100000000000001" customHeight="1" x14ac:dyDescent="0.2">
      <c r="A35" s="3">
        <v>29</v>
      </c>
      <c r="B35" s="4" t="s">
        <v>53</v>
      </c>
      <c r="C35" s="4" t="s">
        <v>54</v>
      </c>
      <c r="D35" s="4" t="s">
        <v>33</v>
      </c>
      <c r="E35" s="5">
        <v>325006</v>
      </c>
      <c r="F35" s="6">
        <v>10417.579820999999</v>
      </c>
      <c r="G35" s="7">
        <v>1.443388E-2</v>
      </c>
      <c r="H35" s="105"/>
    </row>
    <row r="36" spans="1:8" ht="29.1" customHeight="1" x14ac:dyDescent="0.2">
      <c r="A36" s="3">
        <v>30</v>
      </c>
      <c r="B36" s="4" t="s">
        <v>228</v>
      </c>
      <c r="C36" s="4" t="s">
        <v>229</v>
      </c>
      <c r="D36" s="4" t="s">
        <v>81</v>
      </c>
      <c r="E36" s="5">
        <v>96753</v>
      </c>
      <c r="F36" s="6">
        <v>9876.5946165000005</v>
      </c>
      <c r="G36" s="7">
        <v>1.368433E-2</v>
      </c>
      <c r="H36" s="105"/>
    </row>
    <row r="37" spans="1:8" ht="17.100000000000001" customHeight="1" x14ac:dyDescent="0.2">
      <c r="A37" s="3">
        <v>31</v>
      </c>
      <c r="B37" s="4" t="s">
        <v>230</v>
      </c>
      <c r="C37" s="4" t="s">
        <v>231</v>
      </c>
      <c r="D37" s="4" t="s">
        <v>232</v>
      </c>
      <c r="E37" s="5">
        <v>4915401</v>
      </c>
      <c r="F37" s="6">
        <v>9671.0514674999995</v>
      </c>
      <c r="G37" s="7">
        <v>1.339954E-2</v>
      </c>
      <c r="H37" s="105"/>
    </row>
    <row r="38" spans="1:8" ht="17.100000000000001" customHeight="1" x14ac:dyDescent="0.2">
      <c r="A38" s="3">
        <v>32</v>
      </c>
      <c r="B38" s="4" t="s">
        <v>233</v>
      </c>
      <c r="C38" s="4" t="s">
        <v>234</v>
      </c>
      <c r="D38" s="4" t="s">
        <v>33</v>
      </c>
      <c r="E38" s="5">
        <v>666300</v>
      </c>
      <c r="F38" s="6">
        <v>9644.6924999999992</v>
      </c>
      <c r="G38" s="7">
        <v>1.336302E-2</v>
      </c>
      <c r="H38" s="105"/>
    </row>
    <row r="39" spans="1:8" ht="17.100000000000001" customHeight="1" x14ac:dyDescent="0.2">
      <c r="A39" s="3">
        <v>33</v>
      </c>
      <c r="B39" s="4" t="s">
        <v>235</v>
      </c>
      <c r="C39" s="4" t="s">
        <v>236</v>
      </c>
      <c r="D39" s="4" t="s">
        <v>128</v>
      </c>
      <c r="E39" s="5">
        <v>1554248</v>
      </c>
      <c r="F39" s="6">
        <v>9434.2853599999999</v>
      </c>
      <c r="G39" s="7">
        <v>1.307149E-2</v>
      </c>
      <c r="H39" s="105"/>
    </row>
    <row r="40" spans="1:8" ht="17.100000000000001" customHeight="1" x14ac:dyDescent="0.2">
      <c r="A40" s="3">
        <v>34</v>
      </c>
      <c r="B40" s="4" t="s">
        <v>237</v>
      </c>
      <c r="C40" s="4" t="s">
        <v>238</v>
      </c>
      <c r="D40" s="4" t="s">
        <v>202</v>
      </c>
      <c r="E40" s="5">
        <v>202037</v>
      </c>
      <c r="F40" s="6">
        <v>9119.3440690000007</v>
      </c>
      <c r="G40" s="7">
        <v>1.263513E-2</v>
      </c>
      <c r="H40" s="105"/>
    </row>
    <row r="41" spans="1:8" ht="17.100000000000001" customHeight="1" x14ac:dyDescent="0.2">
      <c r="A41" s="3">
        <v>35</v>
      </c>
      <c r="B41" s="4" t="s">
        <v>239</v>
      </c>
      <c r="C41" s="4" t="s">
        <v>240</v>
      </c>
      <c r="D41" s="4" t="s">
        <v>121</v>
      </c>
      <c r="E41" s="5">
        <v>1121656</v>
      </c>
      <c r="F41" s="6">
        <v>8962.5922680000003</v>
      </c>
      <c r="G41" s="7">
        <v>1.2417950000000001E-2</v>
      </c>
      <c r="H41" s="105"/>
    </row>
    <row r="42" spans="1:8" ht="17.100000000000001" customHeight="1" x14ac:dyDescent="0.2">
      <c r="A42" s="3">
        <v>36</v>
      </c>
      <c r="B42" s="4" t="s">
        <v>241</v>
      </c>
      <c r="C42" s="4" t="s">
        <v>242</v>
      </c>
      <c r="D42" s="4" t="s">
        <v>81</v>
      </c>
      <c r="E42" s="5">
        <v>218452</v>
      </c>
      <c r="F42" s="6">
        <v>8738.08</v>
      </c>
      <c r="G42" s="7">
        <v>1.210688E-2</v>
      </c>
      <c r="H42" s="105"/>
    </row>
    <row r="43" spans="1:8" ht="29.1" customHeight="1" x14ac:dyDescent="0.2">
      <c r="A43" s="3">
        <v>37</v>
      </c>
      <c r="B43" s="4" t="s">
        <v>243</v>
      </c>
      <c r="C43" s="4" t="s">
        <v>244</v>
      </c>
      <c r="D43" s="4" t="s">
        <v>190</v>
      </c>
      <c r="E43" s="5">
        <v>257816</v>
      </c>
      <c r="F43" s="6">
        <v>8725.7825200000007</v>
      </c>
      <c r="G43" s="7">
        <v>1.2089839999999999E-2</v>
      </c>
      <c r="H43" s="105"/>
    </row>
    <row r="44" spans="1:8" ht="17.100000000000001" customHeight="1" x14ac:dyDescent="0.2">
      <c r="A44" s="3">
        <v>38</v>
      </c>
      <c r="B44" s="4" t="s">
        <v>245</v>
      </c>
      <c r="C44" s="4" t="s">
        <v>246</v>
      </c>
      <c r="D44" s="4" t="s">
        <v>81</v>
      </c>
      <c r="E44" s="5">
        <v>1640772</v>
      </c>
      <c r="F44" s="6">
        <v>8551.7036640000006</v>
      </c>
      <c r="G44" s="7">
        <v>1.1848650000000001E-2</v>
      </c>
      <c r="H44" s="105"/>
    </row>
    <row r="45" spans="1:8" ht="29.1" customHeight="1" x14ac:dyDescent="0.2">
      <c r="A45" s="3">
        <v>39</v>
      </c>
      <c r="B45" s="4" t="s">
        <v>247</v>
      </c>
      <c r="C45" s="4" t="s">
        <v>248</v>
      </c>
      <c r="D45" s="4" t="s">
        <v>212</v>
      </c>
      <c r="E45" s="5">
        <v>2731000</v>
      </c>
      <c r="F45" s="6">
        <v>8400.5560000000005</v>
      </c>
      <c r="G45" s="7">
        <v>1.163923E-2</v>
      </c>
      <c r="H45" s="105"/>
    </row>
    <row r="46" spans="1:8" ht="17.100000000000001" customHeight="1" x14ac:dyDescent="0.2">
      <c r="A46" s="3">
        <v>40</v>
      </c>
      <c r="B46" s="4" t="s">
        <v>57</v>
      </c>
      <c r="C46" s="4" t="s">
        <v>58</v>
      </c>
      <c r="D46" s="4" t="s">
        <v>59</v>
      </c>
      <c r="E46" s="5">
        <v>1371326</v>
      </c>
      <c r="F46" s="6">
        <v>8388.4011420000006</v>
      </c>
      <c r="G46" s="7">
        <v>1.162239E-2</v>
      </c>
      <c r="H46" s="105"/>
    </row>
    <row r="47" spans="1:8" ht="29.1" customHeight="1" x14ac:dyDescent="0.2">
      <c r="A47" s="3">
        <v>41</v>
      </c>
      <c r="B47" s="4" t="s">
        <v>249</v>
      </c>
      <c r="C47" s="4" t="s">
        <v>250</v>
      </c>
      <c r="D47" s="4" t="s">
        <v>121</v>
      </c>
      <c r="E47" s="5">
        <v>3289017</v>
      </c>
      <c r="F47" s="6">
        <v>8383.7043329999997</v>
      </c>
      <c r="G47" s="7">
        <v>1.161588E-2</v>
      </c>
      <c r="H47" s="105"/>
    </row>
    <row r="48" spans="1:8" ht="17.100000000000001" customHeight="1" x14ac:dyDescent="0.2">
      <c r="A48" s="3">
        <v>42</v>
      </c>
      <c r="B48" s="4" t="s">
        <v>251</v>
      </c>
      <c r="C48" s="4" t="s">
        <v>252</v>
      </c>
      <c r="D48" s="4" t="s">
        <v>253</v>
      </c>
      <c r="E48" s="5">
        <v>962480</v>
      </c>
      <c r="F48" s="6">
        <v>8161.8303999999998</v>
      </c>
      <c r="G48" s="7">
        <v>1.1308469999999999E-2</v>
      </c>
      <c r="H48" s="105"/>
    </row>
    <row r="49" spans="1:8" ht="17.100000000000001" customHeight="1" x14ac:dyDescent="0.2">
      <c r="A49" s="3">
        <v>43</v>
      </c>
      <c r="B49" s="4" t="s">
        <v>23</v>
      </c>
      <c r="C49" s="4" t="s">
        <v>24</v>
      </c>
      <c r="D49" s="4" t="s">
        <v>25</v>
      </c>
      <c r="E49" s="5">
        <v>859337</v>
      </c>
      <c r="F49" s="6">
        <v>7885.7059804999999</v>
      </c>
      <c r="G49" s="7">
        <v>1.0925890000000001E-2</v>
      </c>
      <c r="H49" s="105"/>
    </row>
    <row r="50" spans="1:8" ht="17.100000000000001" customHeight="1" x14ac:dyDescent="0.2">
      <c r="A50" s="3">
        <v>44</v>
      </c>
      <c r="B50" s="4" t="s">
        <v>254</v>
      </c>
      <c r="C50" s="4" t="s">
        <v>255</v>
      </c>
      <c r="D50" s="4" t="s">
        <v>121</v>
      </c>
      <c r="E50" s="5">
        <v>892091</v>
      </c>
      <c r="F50" s="6">
        <v>7721.0476049999997</v>
      </c>
      <c r="G50" s="7">
        <v>1.0697750000000001E-2</v>
      </c>
      <c r="H50" s="105"/>
    </row>
    <row r="51" spans="1:8" ht="29.1" customHeight="1" x14ac:dyDescent="0.2">
      <c r="A51" s="3">
        <v>45</v>
      </c>
      <c r="B51" s="4" t="s">
        <v>256</v>
      </c>
      <c r="C51" s="4" t="s">
        <v>257</v>
      </c>
      <c r="D51" s="4" t="s">
        <v>212</v>
      </c>
      <c r="E51" s="5">
        <v>1049596</v>
      </c>
      <c r="F51" s="6">
        <v>7446.8836199999996</v>
      </c>
      <c r="G51" s="7">
        <v>1.031789E-2</v>
      </c>
      <c r="H51" s="105"/>
    </row>
    <row r="52" spans="1:8" ht="17.100000000000001" customHeight="1" x14ac:dyDescent="0.2">
      <c r="A52" s="3">
        <v>46</v>
      </c>
      <c r="B52" s="4" t="s">
        <v>85</v>
      </c>
      <c r="C52" s="4" t="s">
        <v>86</v>
      </c>
      <c r="D52" s="4" t="s">
        <v>81</v>
      </c>
      <c r="E52" s="5">
        <v>1544130</v>
      </c>
      <c r="F52" s="6">
        <v>7411.8239999999996</v>
      </c>
      <c r="G52" s="7">
        <v>1.026931E-2</v>
      </c>
      <c r="H52" s="105"/>
    </row>
    <row r="53" spans="1:8" ht="17.100000000000001" customHeight="1" x14ac:dyDescent="0.2">
      <c r="A53" s="3">
        <v>47</v>
      </c>
      <c r="B53" s="4" t="s">
        <v>258</v>
      </c>
      <c r="C53" s="4" t="s">
        <v>259</v>
      </c>
      <c r="D53" s="4" t="s">
        <v>260</v>
      </c>
      <c r="E53" s="5">
        <v>1969482</v>
      </c>
      <c r="F53" s="6">
        <v>7384.5727589999997</v>
      </c>
      <c r="G53" s="7">
        <v>1.0231550000000001E-2</v>
      </c>
      <c r="H53" s="105"/>
    </row>
    <row r="54" spans="1:8" ht="29.1" customHeight="1" x14ac:dyDescent="0.2">
      <c r="A54" s="3">
        <v>48</v>
      </c>
      <c r="B54" s="4" t="s">
        <v>261</v>
      </c>
      <c r="C54" s="4" t="s">
        <v>262</v>
      </c>
      <c r="D54" s="4" t="s">
        <v>212</v>
      </c>
      <c r="E54" s="5">
        <v>528115</v>
      </c>
      <c r="F54" s="6">
        <v>7176.0266199999996</v>
      </c>
      <c r="G54" s="7">
        <v>9.9426099999999993E-3</v>
      </c>
      <c r="H54" s="105"/>
    </row>
    <row r="55" spans="1:8" ht="17.100000000000001" customHeight="1" x14ac:dyDescent="0.2">
      <c r="A55" s="3">
        <v>49</v>
      </c>
      <c r="B55" s="4" t="s">
        <v>263</v>
      </c>
      <c r="C55" s="4" t="s">
        <v>264</v>
      </c>
      <c r="D55" s="4" t="s">
        <v>223</v>
      </c>
      <c r="E55" s="5">
        <v>1769363</v>
      </c>
      <c r="F55" s="6">
        <v>6796.1232829999999</v>
      </c>
      <c r="G55" s="7">
        <v>9.4162399999999993E-3</v>
      </c>
      <c r="H55" s="105"/>
    </row>
    <row r="56" spans="1:8" ht="29.1" customHeight="1" x14ac:dyDescent="0.2">
      <c r="A56" s="3">
        <v>50</v>
      </c>
      <c r="B56" s="4" t="s">
        <v>265</v>
      </c>
      <c r="C56" s="4" t="s">
        <v>266</v>
      </c>
      <c r="D56" s="4" t="s">
        <v>183</v>
      </c>
      <c r="E56" s="5">
        <v>248946</v>
      </c>
      <c r="F56" s="6">
        <v>6323.8507650000001</v>
      </c>
      <c r="G56" s="7">
        <v>8.7618899999999996E-3</v>
      </c>
      <c r="H56" s="105"/>
    </row>
    <row r="57" spans="1:8" ht="17.100000000000001" customHeight="1" x14ac:dyDescent="0.2">
      <c r="A57" s="3">
        <v>51</v>
      </c>
      <c r="B57" s="4" t="s">
        <v>267</v>
      </c>
      <c r="C57" s="4" t="s">
        <v>268</v>
      </c>
      <c r="D57" s="4" t="s">
        <v>128</v>
      </c>
      <c r="E57" s="5">
        <v>447813</v>
      </c>
      <c r="F57" s="6">
        <v>6212.0619360000001</v>
      </c>
      <c r="G57" s="7">
        <v>8.6070000000000001E-3</v>
      </c>
      <c r="H57" s="105"/>
    </row>
    <row r="58" spans="1:8" ht="17.100000000000001" customHeight="1" x14ac:dyDescent="0.2">
      <c r="A58" s="3">
        <v>52</v>
      </c>
      <c r="B58" s="4" t="s">
        <v>269</v>
      </c>
      <c r="C58" s="4" t="s">
        <v>270</v>
      </c>
      <c r="D58" s="4" t="s">
        <v>271</v>
      </c>
      <c r="E58" s="5">
        <v>15182</v>
      </c>
      <c r="F58" s="6">
        <v>6121.4886740000002</v>
      </c>
      <c r="G58" s="7">
        <v>8.4815099999999994E-3</v>
      </c>
      <c r="H58" s="105"/>
    </row>
    <row r="59" spans="1:8" ht="17.100000000000001" customHeight="1" x14ac:dyDescent="0.2">
      <c r="A59" s="3">
        <v>53</v>
      </c>
      <c r="B59" s="4" t="s">
        <v>272</v>
      </c>
      <c r="C59" s="4" t="s">
        <v>273</v>
      </c>
      <c r="D59" s="4" t="s">
        <v>128</v>
      </c>
      <c r="E59" s="5">
        <v>3551215</v>
      </c>
      <c r="F59" s="6">
        <v>6033.5142850000002</v>
      </c>
      <c r="G59" s="7">
        <v>8.3596199999999999E-3</v>
      </c>
      <c r="H59" s="105"/>
    </row>
    <row r="60" spans="1:8" ht="17.100000000000001" customHeight="1" x14ac:dyDescent="0.2">
      <c r="A60" s="3">
        <v>54</v>
      </c>
      <c r="B60" s="4" t="s">
        <v>274</v>
      </c>
      <c r="C60" s="4" t="s">
        <v>275</v>
      </c>
      <c r="D60" s="4" t="s">
        <v>28</v>
      </c>
      <c r="E60" s="5">
        <v>1071329</v>
      </c>
      <c r="F60" s="6">
        <v>5907.3081060000004</v>
      </c>
      <c r="G60" s="7">
        <v>8.1847599999999993E-3</v>
      </c>
      <c r="H60" s="105"/>
    </row>
    <row r="61" spans="1:8" ht="17.100000000000001" customHeight="1" x14ac:dyDescent="0.2">
      <c r="A61" s="3">
        <v>55</v>
      </c>
      <c r="B61" s="4" t="s">
        <v>276</v>
      </c>
      <c r="C61" s="4" t="s">
        <v>277</v>
      </c>
      <c r="D61" s="4" t="s">
        <v>105</v>
      </c>
      <c r="E61" s="5">
        <v>517596</v>
      </c>
      <c r="F61" s="6">
        <v>5892.0540659999997</v>
      </c>
      <c r="G61" s="7">
        <v>8.1636199999999999E-3</v>
      </c>
      <c r="H61" s="105"/>
    </row>
    <row r="62" spans="1:8" ht="17.100000000000001" customHeight="1" x14ac:dyDescent="0.2">
      <c r="A62" s="3">
        <v>56</v>
      </c>
      <c r="B62" s="4" t="s">
        <v>278</v>
      </c>
      <c r="C62" s="4" t="s">
        <v>279</v>
      </c>
      <c r="D62" s="4" t="s">
        <v>121</v>
      </c>
      <c r="E62" s="5">
        <v>456872</v>
      </c>
      <c r="F62" s="6">
        <v>5001.834656</v>
      </c>
      <c r="G62" s="7">
        <v>6.9302000000000001E-3</v>
      </c>
      <c r="H62" s="105"/>
    </row>
    <row r="63" spans="1:8" ht="29.1" customHeight="1" x14ac:dyDescent="0.2">
      <c r="A63" s="3">
        <v>57</v>
      </c>
      <c r="B63" s="4" t="s">
        <v>280</v>
      </c>
      <c r="C63" s="4" t="s">
        <v>281</v>
      </c>
      <c r="D63" s="4" t="s">
        <v>212</v>
      </c>
      <c r="E63" s="5">
        <v>684929</v>
      </c>
      <c r="F63" s="6">
        <v>4864.0232935000004</v>
      </c>
      <c r="G63" s="7">
        <v>6.7392499999999996E-3</v>
      </c>
      <c r="H63" s="105"/>
    </row>
    <row r="64" spans="1:8" ht="17.100000000000001" customHeight="1" x14ac:dyDescent="0.2">
      <c r="A64" s="3">
        <v>58</v>
      </c>
      <c r="B64" s="4" t="s">
        <v>282</v>
      </c>
      <c r="C64" s="4" t="s">
        <v>283</v>
      </c>
      <c r="D64" s="4" t="s">
        <v>84</v>
      </c>
      <c r="E64" s="5">
        <v>950319</v>
      </c>
      <c r="F64" s="6">
        <v>4706.9300069999999</v>
      </c>
      <c r="G64" s="7">
        <v>6.5215999999999998E-3</v>
      </c>
      <c r="H64" s="105"/>
    </row>
    <row r="65" spans="1:8" ht="17.100000000000001" customHeight="1" x14ac:dyDescent="0.2">
      <c r="A65" s="3">
        <v>59</v>
      </c>
      <c r="B65" s="4" t="s">
        <v>284</v>
      </c>
      <c r="C65" s="4" t="s">
        <v>285</v>
      </c>
      <c r="D65" s="4" t="s">
        <v>953</v>
      </c>
      <c r="E65" s="5">
        <v>245557</v>
      </c>
      <c r="F65" s="6">
        <v>4455.5089865</v>
      </c>
      <c r="G65" s="7">
        <v>6.1732499999999999E-3</v>
      </c>
      <c r="H65" s="105"/>
    </row>
    <row r="66" spans="1:8" ht="17.100000000000001" customHeight="1" x14ac:dyDescent="0.2">
      <c r="A66" s="3">
        <v>60</v>
      </c>
      <c r="B66" s="4" t="s">
        <v>71</v>
      </c>
      <c r="C66" s="4" t="s">
        <v>72</v>
      </c>
      <c r="D66" s="4" t="s">
        <v>33</v>
      </c>
      <c r="E66" s="5">
        <v>356831</v>
      </c>
      <c r="F66" s="6">
        <v>4264.3088655000001</v>
      </c>
      <c r="G66" s="7">
        <v>5.9083299999999998E-3</v>
      </c>
      <c r="H66" s="105"/>
    </row>
    <row r="67" spans="1:8" ht="17.100000000000001" customHeight="1" x14ac:dyDescent="0.2">
      <c r="A67" s="3">
        <v>61</v>
      </c>
      <c r="B67" s="4" t="s">
        <v>286</v>
      </c>
      <c r="C67" s="4" t="s">
        <v>287</v>
      </c>
      <c r="D67" s="4" t="s">
        <v>81</v>
      </c>
      <c r="E67" s="5">
        <v>181602</v>
      </c>
      <c r="F67" s="6">
        <v>3785.0396850000002</v>
      </c>
      <c r="G67" s="7">
        <v>5.2442900000000004E-3</v>
      </c>
      <c r="H67" s="105"/>
    </row>
    <row r="68" spans="1:8" ht="29.1" customHeight="1" x14ac:dyDescent="0.2">
      <c r="A68" s="3">
        <v>62</v>
      </c>
      <c r="B68" s="4" t="s">
        <v>288</v>
      </c>
      <c r="C68" s="4" t="s">
        <v>289</v>
      </c>
      <c r="D68" s="4" t="s">
        <v>290</v>
      </c>
      <c r="E68" s="5">
        <v>616830</v>
      </c>
      <c r="F68" s="6">
        <v>3701.59683</v>
      </c>
      <c r="G68" s="7">
        <v>5.12868E-3</v>
      </c>
      <c r="H68" s="105"/>
    </row>
    <row r="69" spans="1:8" ht="17.100000000000001" customHeight="1" x14ac:dyDescent="0.2">
      <c r="A69" s="3">
        <v>63</v>
      </c>
      <c r="B69" s="4" t="s">
        <v>291</v>
      </c>
      <c r="C69" s="4" t="s">
        <v>292</v>
      </c>
      <c r="D69" s="4" t="s">
        <v>33</v>
      </c>
      <c r="E69" s="5">
        <v>451901</v>
      </c>
      <c r="F69" s="6">
        <v>3621.3086635</v>
      </c>
      <c r="G69" s="7">
        <v>5.0174299999999998E-3</v>
      </c>
      <c r="H69" s="105"/>
    </row>
    <row r="70" spans="1:8" ht="17.100000000000001" customHeight="1" x14ac:dyDescent="0.2">
      <c r="A70" s="3">
        <v>64</v>
      </c>
      <c r="B70" s="4" t="s">
        <v>293</v>
      </c>
      <c r="C70" s="4" t="s">
        <v>294</v>
      </c>
      <c r="D70" s="4" t="s">
        <v>19</v>
      </c>
      <c r="E70" s="5">
        <v>1224179</v>
      </c>
      <c r="F70" s="6">
        <v>3075.7497374999998</v>
      </c>
      <c r="G70" s="7">
        <v>4.2615500000000002E-3</v>
      </c>
      <c r="H70" s="105"/>
    </row>
    <row r="71" spans="1:8" ht="29.1" customHeight="1" x14ac:dyDescent="0.2">
      <c r="A71" s="3">
        <v>65</v>
      </c>
      <c r="B71" s="4" t="s">
        <v>295</v>
      </c>
      <c r="C71" s="4" t="s">
        <v>296</v>
      </c>
      <c r="D71" s="4" t="s">
        <v>217</v>
      </c>
      <c r="E71" s="5">
        <v>416012</v>
      </c>
      <c r="F71" s="6">
        <v>2459.4629439999999</v>
      </c>
      <c r="G71" s="7">
        <v>3.4076599999999999E-3</v>
      </c>
      <c r="H71" s="105"/>
    </row>
    <row r="72" spans="1:8" ht="17.100000000000001" customHeight="1" x14ac:dyDescent="0.2">
      <c r="A72" s="3">
        <v>66</v>
      </c>
      <c r="B72" s="4" t="s">
        <v>297</v>
      </c>
      <c r="C72" s="4" t="s">
        <v>298</v>
      </c>
      <c r="D72" s="4" t="s">
        <v>271</v>
      </c>
      <c r="E72" s="5">
        <v>172436</v>
      </c>
      <c r="F72" s="6">
        <v>1036.254142</v>
      </c>
      <c r="G72" s="7">
        <v>1.4357599999999999E-3</v>
      </c>
      <c r="H72" s="105"/>
    </row>
    <row r="73" spans="1:8" ht="29.1" customHeight="1" x14ac:dyDescent="0.2">
      <c r="A73" s="3">
        <v>67</v>
      </c>
      <c r="B73" s="4" t="s">
        <v>299</v>
      </c>
      <c r="C73" s="4" t="s">
        <v>300</v>
      </c>
      <c r="D73" s="4" t="s">
        <v>212</v>
      </c>
      <c r="E73" s="5">
        <v>24254</v>
      </c>
      <c r="F73" s="6">
        <v>851.29114600000003</v>
      </c>
      <c r="G73" s="7">
        <v>1.1794900000000001E-3</v>
      </c>
      <c r="H73" s="105"/>
    </row>
    <row r="74" spans="1:8" ht="14.1" customHeight="1" x14ac:dyDescent="0.2">
      <c r="A74" s="1"/>
      <c r="B74" s="1"/>
      <c r="C74" s="2" t="s">
        <v>132</v>
      </c>
      <c r="D74" s="1"/>
      <c r="E74" s="1" t="s">
        <v>133</v>
      </c>
      <c r="F74" s="9">
        <v>676616.5254095</v>
      </c>
      <c r="G74" s="10">
        <v>0.93747303999999998</v>
      </c>
      <c r="H74" s="105"/>
    </row>
    <row r="75" spans="1:8" ht="14.1" customHeight="1" x14ac:dyDescent="0.2">
      <c r="A75" s="1"/>
      <c r="B75" s="1"/>
      <c r="C75" s="11"/>
      <c r="D75" s="1"/>
      <c r="E75" s="1"/>
      <c r="F75" s="12"/>
      <c r="G75" s="12"/>
      <c r="H75" s="105"/>
    </row>
    <row r="76" spans="1:8" ht="14.1" customHeight="1" x14ac:dyDescent="0.2">
      <c r="A76" s="1"/>
      <c r="B76" s="1"/>
      <c r="C76" s="2" t="s">
        <v>134</v>
      </c>
      <c r="D76" s="1"/>
      <c r="E76" s="1"/>
      <c r="F76" s="1"/>
      <c r="G76" s="1"/>
      <c r="H76" s="105"/>
    </row>
    <row r="77" spans="1:8" ht="14.1" customHeight="1" x14ac:dyDescent="0.2">
      <c r="A77" s="1"/>
      <c r="B77" s="1"/>
      <c r="C77" s="2" t="s">
        <v>132</v>
      </c>
      <c r="D77" s="1"/>
      <c r="E77" s="1" t="s">
        <v>133</v>
      </c>
      <c r="F77" s="13" t="s">
        <v>135</v>
      </c>
      <c r="G77" s="10">
        <v>0</v>
      </c>
      <c r="H77" s="105"/>
    </row>
    <row r="78" spans="1:8" ht="14.1" customHeight="1" x14ac:dyDescent="0.2">
      <c r="A78" s="1"/>
      <c r="B78" s="1"/>
      <c r="C78" s="11"/>
      <c r="D78" s="1"/>
      <c r="E78" s="1"/>
      <c r="F78" s="12"/>
      <c r="G78" s="12"/>
      <c r="H78" s="105"/>
    </row>
    <row r="79" spans="1:8" ht="14.1" customHeight="1" x14ac:dyDescent="0.2">
      <c r="A79" s="1"/>
      <c r="B79" s="1"/>
      <c r="C79" s="2" t="s">
        <v>136</v>
      </c>
      <c r="D79" s="1"/>
      <c r="E79" s="1"/>
      <c r="F79" s="1"/>
      <c r="G79" s="1"/>
      <c r="H79" s="105"/>
    </row>
    <row r="80" spans="1:8" ht="14.1" customHeight="1" x14ac:dyDescent="0.2">
      <c r="A80" s="1"/>
      <c r="B80" s="1"/>
      <c r="C80" s="2" t="s">
        <v>132</v>
      </c>
      <c r="D80" s="1"/>
      <c r="E80" s="1" t="s">
        <v>133</v>
      </c>
      <c r="F80" s="13" t="s">
        <v>135</v>
      </c>
      <c r="G80" s="10">
        <v>0</v>
      </c>
      <c r="H80" s="105"/>
    </row>
    <row r="81" spans="1:8" ht="14.1" customHeight="1" x14ac:dyDescent="0.2">
      <c r="A81" s="1"/>
      <c r="B81" s="1"/>
      <c r="C81" s="11"/>
      <c r="D81" s="1"/>
      <c r="E81" s="1"/>
      <c r="F81" s="12"/>
      <c r="G81" s="12"/>
      <c r="H81" s="105"/>
    </row>
    <row r="82" spans="1:8" ht="14.1" customHeight="1" x14ac:dyDescent="0.2">
      <c r="A82" s="1"/>
      <c r="B82" s="1"/>
      <c r="C82" s="2" t="s">
        <v>137</v>
      </c>
      <c r="D82" s="1"/>
      <c r="E82" s="1"/>
      <c r="F82" s="1"/>
      <c r="G82" s="1"/>
      <c r="H82" s="105"/>
    </row>
    <row r="83" spans="1:8" ht="26.25" customHeight="1" x14ac:dyDescent="0.2">
      <c r="A83" s="3">
        <v>1</v>
      </c>
      <c r="B83" s="40" t="s">
        <v>923</v>
      </c>
      <c r="C83" s="40" t="s">
        <v>924</v>
      </c>
      <c r="D83" s="4" t="s">
        <v>81</v>
      </c>
      <c r="E83" s="5">
        <v>25352032</v>
      </c>
      <c r="F83" s="6">
        <v>2562.6340986240002</v>
      </c>
      <c r="G83" s="7">
        <v>3.5506100000000001E-3</v>
      </c>
      <c r="H83" s="105"/>
    </row>
    <row r="84" spans="1:8" ht="14.1" customHeight="1" x14ac:dyDescent="0.2">
      <c r="A84" s="1"/>
      <c r="B84" s="1"/>
      <c r="C84" s="2" t="s">
        <v>132</v>
      </c>
      <c r="D84" s="1"/>
      <c r="E84" s="1" t="s">
        <v>133</v>
      </c>
      <c r="F84" s="9">
        <v>2562.6340986240002</v>
      </c>
      <c r="G84" s="10">
        <v>3.5506100000000001E-3</v>
      </c>
      <c r="H84" s="105"/>
    </row>
    <row r="85" spans="1:8" ht="14.1" customHeight="1" x14ac:dyDescent="0.2">
      <c r="A85" s="1"/>
      <c r="B85" s="1"/>
      <c r="C85" s="11"/>
      <c r="D85" s="1"/>
      <c r="E85" s="1"/>
      <c r="F85" s="12"/>
      <c r="G85" s="12"/>
      <c r="H85" s="105"/>
    </row>
    <row r="86" spans="1:8" ht="14.1" customHeight="1" x14ac:dyDescent="0.2">
      <c r="A86" s="1"/>
      <c r="B86" s="1"/>
      <c r="C86" s="2" t="s">
        <v>138</v>
      </c>
      <c r="D86" s="1"/>
      <c r="E86" s="1"/>
      <c r="F86" s="12"/>
      <c r="G86" s="12"/>
      <c r="H86" s="105"/>
    </row>
    <row r="87" spans="1:8" ht="14.1" customHeight="1" x14ac:dyDescent="0.2">
      <c r="A87" s="1"/>
      <c r="B87" s="1"/>
      <c r="C87" s="2" t="s">
        <v>132</v>
      </c>
      <c r="D87" s="1"/>
      <c r="E87" s="1" t="s">
        <v>133</v>
      </c>
      <c r="F87" s="13" t="s">
        <v>135</v>
      </c>
      <c r="G87" s="10">
        <v>0</v>
      </c>
      <c r="H87" s="105"/>
    </row>
    <row r="88" spans="1:8" ht="14.1" customHeight="1" x14ac:dyDescent="0.2">
      <c r="A88" s="1"/>
      <c r="B88" s="1"/>
      <c r="C88" s="11"/>
      <c r="D88" s="1"/>
      <c r="E88" s="1"/>
      <c r="F88" s="12"/>
      <c r="G88" s="12"/>
      <c r="H88" s="105"/>
    </row>
    <row r="89" spans="1:8" ht="14.1" customHeight="1" x14ac:dyDescent="0.2">
      <c r="A89" s="1"/>
      <c r="B89" s="1"/>
      <c r="C89" s="2" t="s">
        <v>139</v>
      </c>
      <c r="D89" s="1"/>
      <c r="E89" s="1"/>
      <c r="F89" s="12"/>
      <c r="G89" s="12"/>
      <c r="H89" s="105"/>
    </row>
    <row r="90" spans="1:8" ht="14.1" customHeight="1" x14ac:dyDescent="0.2">
      <c r="A90" s="1"/>
      <c r="B90" s="1"/>
      <c r="C90" s="2" t="s">
        <v>132</v>
      </c>
      <c r="D90" s="1"/>
      <c r="E90" s="1" t="s">
        <v>133</v>
      </c>
      <c r="F90" s="13" t="s">
        <v>135</v>
      </c>
      <c r="G90" s="10">
        <v>0</v>
      </c>
      <c r="H90" s="105"/>
    </row>
    <row r="91" spans="1:8" ht="14.1" customHeight="1" x14ac:dyDescent="0.2">
      <c r="A91" s="1"/>
      <c r="B91" s="1"/>
      <c r="C91" s="11"/>
      <c r="D91" s="1"/>
      <c r="E91" s="1"/>
      <c r="F91" s="12"/>
      <c r="G91" s="12"/>
      <c r="H91" s="105"/>
    </row>
    <row r="92" spans="1:8" ht="18" customHeight="1" x14ac:dyDescent="0.2">
      <c r="A92" s="1"/>
      <c r="B92" s="1"/>
      <c r="C92" s="2" t="s">
        <v>140</v>
      </c>
      <c r="D92" s="1"/>
      <c r="E92" s="1"/>
      <c r="F92" s="9">
        <v>679179.15950812399</v>
      </c>
      <c r="G92" s="10">
        <v>0.94102364999999999</v>
      </c>
      <c r="H92" s="105"/>
    </row>
    <row r="93" spans="1:8" ht="14.1" customHeight="1" x14ac:dyDescent="0.2">
      <c r="A93" s="1"/>
      <c r="B93" s="1"/>
      <c r="C93" s="11"/>
      <c r="D93" s="1"/>
      <c r="E93" s="1"/>
      <c r="F93" s="12"/>
      <c r="G93" s="12"/>
      <c r="H93" s="105"/>
    </row>
    <row r="94" spans="1:8" ht="14.1" customHeight="1" x14ac:dyDescent="0.2">
      <c r="A94" s="1"/>
      <c r="B94" s="1"/>
      <c r="C94" s="2" t="s">
        <v>141</v>
      </c>
      <c r="D94" s="1"/>
      <c r="E94" s="1"/>
      <c r="F94" s="12"/>
      <c r="G94" s="12"/>
      <c r="H94" s="105"/>
    </row>
    <row r="95" spans="1:8" ht="24" customHeight="1" x14ac:dyDescent="0.2">
      <c r="A95" s="1"/>
      <c r="B95" s="1"/>
      <c r="C95" s="2" t="s">
        <v>10</v>
      </c>
      <c r="D95" s="1"/>
      <c r="E95" s="1"/>
      <c r="F95" s="12"/>
      <c r="G95" s="12"/>
      <c r="H95" s="105"/>
    </row>
    <row r="96" spans="1:8" ht="14.1" customHeight="1" x14ac:dyDescent="0.2">
      <c r="A96" s="1"/>
      <c r="B96" s="1"/>
      <c r="C96" s="2" t="s">
        <v>132</v>
      </c>
      <c r="D96" s="1"/>
      <c r="E96" s="1" t="s">
        <v>133</v>
      </c>
      <c r="F96" s="13" t="s">
        <v>135</v>
      </c>
      <c r="G96" s="10">
        <v>0</v>
      </c>
      <c r="H96" s="105"/>
    </row>
    <row r="97" spans="1:8" ht="14.1" customHeight="1" x14ac:dyDescent="0.2">
      <c r="A97" s="1"/>
      <c r="B97" s="1"/>
      <c r="C97" s="11"/>
      <c r="D97" s="1"/>
      <c r="E97" s="1"/>
      <c r="F97" s="12"/>
      <c r="G97" s="12"/>
      <c r="H97" s="105"/>
    </row>
    <row r="98" spans="1:8" ht="14.1" customHeight="1" x14ac:dyDescent="0.2">
      <c r="A98" s="1"/>
      <c r="B98" s="1"/>
      <c r="C98" s="2" t="s">
        <v>142</v>
      </c>
      <c r="D98" s="1"/>
      <c r="E98" s="1"/>
      <c r="F98" s="1"/>
      <c r="G98" s="1"/>
      <c r="H98" s="105"/>
    </row>
    <row r="99" spans="1:8" ht="14.1" customHeight="1" x14ac:dyDescent="0.2">
      <c r="A99" s="1"/>
      <c r="B99" s="1"/>
      <c r="C99" s="2" t="s">
        <v>132</v>
      </c>
      <c r="D99" s="1"/>
      <c r="E99" s="1" t="s">
        <v>133</v>
      </c>
      <c r="F99" s="13" t="s">
        <v>135</v>
      </c>
      <c r="G99" s="10">
        <v>0</v>
      </c>
      <c r="H99" s="105"/>
    </row>
    <row r="100" spans="1:8" ht="14.1" customHeight="1" x14ac:dyDescent="0.2">
      <c r="A100" s="1"/>
      <c r="B100" s="1"/>
      <c r="C100" s="11"/>
      <c r="D100" s="1"/>
      <c r="E100" s="1"/>
      <c r="F100" s="12"/>
      <c r="G100" s="12"/>
      <c r="H100" s="105"/>
    </row>
    <row r="101" spans="1:8" ht="14.1" customHeight="1" x14ac:dyDescent="0.2">
      <c r="A101" s="1"/>
      <c r="B101" s="1"/>
      <c r="C101" s="2" t="s">
        <v>143</v>
      </c>
      <c r="D101" s="1"/>
      <c r="E101" s="1"/>
      <c r="F101" s="1"/>
      <c r="G101" s="1"/>
      <c r="H101" s="105"/>
    </row>
    <row r="102" spans="1:8" ht="14.1" customHeight="1" x14ac:dyDescent="0.2">
      <c r="A102" s="1"/>
      <c r="B102" s="1"/>
      <c r="C102" s="2" t="s">
        <v>132</v>
      </c>
      <c r="D102" s="1"/>
      <c r="E102" s="1" t="s">
        <v>133</v>
      </c>
      <c r="F102" s="13" t="s">
        <v>135</v>
      </c>
      <c r="G102" s="10">
        <v>0</v>
      </c>
      <c r="H102" s="105"/>
    </row>
    <row r="103" spans="1:8" ht="14.1" customHeight="1" x14ac:dyDescent="0.2">
      <c r="A103" s="1"/>
      <c r="B103" s="1"/>
      <c r="C103" s="11"/>
      <c r="D103" s="1"/>
      <c r="E103" s="1"/>
      <c r="F103" s="12"/>
      <c r="G103" s="12"/>
      <c r="H103" s="105"/>
    </row>
    <row r="104" spans="1:8" ht="14.1" customHeight="1" x14ac:dyDescent="0.2">
      <c r="A104" s="1"/>
      <c r="B104" s="1"/>
      <c r="C104" s="2" t="s">
        <v>144</v>
      </c>
      <c r="D104" s="1"/>
      <c r="E104" s="1"/>
      <c r="F104" s="12"/>
      <c r="G104" s="12"/>
      <c r="H104" s="105"/>
    </row>
    <row r="105" spans="1:8" ht="14.1" customHeight="1" x14ac:dyDescent="0.2">
      <c r="A105" s="1"/>
      <c r="B105" s="1"/>
      <c r="C105" s="2" t="s">
        <v>132</v>
      </c>
      <c r="D105" s="1"/>
      <c r="E105" s="1" t="s">
        <v>133</v>
      </c>
      <c r="F105" s="13" t="s">
        <v>135</v>
      </c>
      <c r="G105" s="10">
        <v>0</v>
      </c>
      <c r="H105" s="105"/>
    </row>
    <row r="106" spans="1:8" ht="14.1" customHeight="1" x14ac:dyDescent="0.2">
      <c r="A106" s="1"/>
      <c r="B106" s="1"/>
      <c r="C106" s="11"/>
      <c r="D106" s="1"/>
      <c r="E106" s="1"/>
      <c r="F106" s="12"/>
      <c r="G106" s="12"/>
      <c r="H106" s="105"/>
    </row>
    <row r="107" spans="1:8" ht="14.1" customHeight="1" x14ac:dyDescent="0.2">
      <c r="A107" s="1"/>
      <c r="B107" s="1"/>
      <c r="C107" s="2" t="s">
        <v>145</v>
      </c>
      <c r="D107" s="1"/>
      <c r="E107" s="1"/>
      <c r="F107" s="9">
        <v>0</v>
      </c>
      <c r="G107" s="10">
        <v>0</v>
      </c>
      <c r="H107" s="105"/>
    </row>
    <row r="108" spans="1:8" ht="14.1" customHeight="1" x14ac:dyDescent="0.2">
      <c r="A108" s="1"/>
      <c r="B108" s="1"/>
      <c r="C108" s="11"/>
      <c r="D108" s="1"/>
      <c r="E108" s="1"/>
      <c r="F108" s="12"/>
      <c r="G108" s="12"/>
      <c r="H108" s="105"/>
    </row>
    <row r="109" spans="1:8" ht="14.1" customHeight="1" x14ac:dyDescent="0.2">
      <c r="A109" s="1"/>
      <c r="B109" s="1"/>
      <c r="C109" s="2" t="s">
        <v>146</v>
      </c>
      <c r="D109" s="1"/>
      <c r="E109" s="1"/>
      <c r="F109" s="12"/>
      <c r="G109" s="12"/>
      <c r="H109" s="105"/>
    </row>
    <row r="110" spans="1:8" ht="14.1" customHeight="1" x14ac:dyDescent="0.2">
      <c r="A110" s="1"/>
      <c r="B110" s="1"/>
      <c r="C110" s="2" t="s">
        <v>147</v>
      </c>
      <c r="D110" s="1"/>
      <c r="E110" s="1"/>
      <c r="F110" s="12"/>
      <c r="G110" s="12"/>
      <c r="H110" s="105"/>
    </row>
    <row r="111" spans="1:8" ht="14.1" customHeight="1" x14ac:dyDescent="0.2">
      <c r="A111" s="1"/>
      <c r="B111" s="1"/>
      <c r="C111" s="2" t="s">
        <v>132</v>
      </c>
      <c r="D111" s="1"/>
      <c r="E111" s="1" t="s">
        <v>133</v>
      </c>
      <c r="F111" s="13" t="s">
        <v>135</v>
      </c>
      <c r="G111" s="10">
        <v>0</v>
      </c>
      <c r="H111" s="105"/>
    </row>
    <row r="112" spans="1:8" ht="14.1" customHeight="1" x14ac:dyDescent="0.2">
      <c r="A112" s="1"/>
      <c r="B112" s="1"/>
      <c r="C112" s="11"/>
      <c r="D112" s="1"/>
      <c r="E112" s="1"/>
      <c r="F112" s="12"/>
      <c r="G112" s="12"/>
      <c r="H112" s="105"/>
    </row>
    <row r="113" spans="1:8" ht="14.1" customHeight="1" x14ac:dyDescent="0.2">
      <c r="A113" s="1"/>
      <c r="B113" s="1"/>
      <c r="C113" s="2" t="s">
        <v>148</v>
      </c>
      <c r="D113" s="1"/>
      <c r="E113" s="1"/>
      <c r="F113" s="12"/>
      <c r="G113" s="12"/>
      <c r="H113" s="105"/>
    </row>
    <row r="114" spans="1:8" ht="14.1" customHeight="1" x14ac:dyDescent="0.2">
      <c r="A114" s="1"/>
      <c r="B114" s="1"/>
      <c r="C114" s="2" t="s">
        <v>132</v>
      </c>
      <c r="D114" s="1"/>
      <c r="E114" s="1" t="s">
        <v>133</v>
      </c>
      <c r="F114" s="13" t="s">
        <v>135</v>
      </c>
      <c r="G114" s="10">
        <v>0</v>
      </c>
      <c r="H114" s="105"/>
    </row>
    <row r="115" spans="1:8" ht="14.1" customHeight="1" x14ac:dyDescent="0.2">
      <c r="A115" s="1"/>
      <c r="B115" s="1"/>
      <c r="C115" s="11"/>
      <c r="D115" s="1"/>
      <c r="E115" s="1"/>
      <c r="F115" s="12"/>
      <c r="G115" s="12"/>
      <c r="H115" s="105"/>
    </row>
    <row r="116" spans="1:8" ht="14.1" customHeight="1" x14ac:dyDescent="0.2">
      <c r="A116" s="1"/>
      <c r="B116" s="1"/>
      <c r="C116" s="2" t="s">
        <v>149</v>
      </c>
      <c r="D116" s="1"/>
      <c r="E116" s="1"/>
      <c r="F116" s="12"/>
      <c r="G116" s="12"/>
      <c r="H116" s="105"/>
    </row>
    <row r="117" spans="1:8" ht="14.1" customHeight="1" x14ac:dyDescent="0.2">
      <c r="A117" s="1"/>
      <c r="B117" s="1"/>
      <c r="C117" s="2" t="s">
        <v>132</v>
      </c>
      <c r="D117" s="1"/>
      <c r="E117" s="1" t="s">
        <v>133</v>
      </c>
      <c r="F117" s="13" t="s">
        <v>135</v>
      </c>
      <c r="G117" s="10">
        <v>0</v>
      </c>
      <c r="H117" s="105"/>
    </row>
    <row r="118" spans="1:8" ht="14.1" customHeight="1" x14ac:dyDescent="0.2">
      <c r="A118" s="1"/>
      <c r="B118" s="1"/>
      <c r="C118" s="11"/>
      <c r="D118" s="1"/>
      <c r="E118" s="1"/>
      <c r="F118" s="12"/>
      <c r="G118" s="12"/>
      <c r="H118" s="105"/>
    </row>
    <row r="119" spans="1:8" ht="14.1" customHeight="1" x14ac:dyDescent="0.2">
      <c r="A119" s="1"/>
      <c r="B119" s="1"/>
      <c r="C119" s="2" t="s">
        <v>150</v>
      </c>
      <c r="D119" s="1"/>
      <c r="E119" s="1"/>
      <c r="F119" s="12"/>
      <c r="G119" s="12"/>
      <c r="H119" s="105"/>
    </row>
    <row r="120" spans="1:8" ht="17.100000000000001" customHeight="1" x14ac:dyDescent="0.2">
      <c r="A120" s="3">
        <v>1</v>
      </c>
      <c r="B120" s="4"/>
      <c r="C120" s="4" t="s">
        <v>151</v>
      </c>
      <c r="D120" s="4"/>
      <c r="E120" s="8"/>
      <c r="F120" s="6">
        <v>27707.477028099998</v>
      </c>
      <c r="G120" s="7">
        <v>3.8389560000000003E-2</v>
      </c>
      <c r="H120" s="105">
        <v>6.8153352377542396</v>
      </c>
    </row>
    <row r="121" spans="1:8" ht="17.100000000000001" customHeight="1" x14ac:dyDescent="0.2">
      <c r="A121" s="3">
        <v>2</v>
      </c>
      <c r="B121" s="4"/>
      <c r="C121" s="4" t="s">
        <v>152</v>
      </c>
      <c r="D121" s="4"/>
      <c r="E121" s="8"/>
      <c r="F121" s="6">
        <v>3287.9423650079998</v>
      </c>
      <c r="G121" s="7">
        <v>4.5555500000000002E-3</v>
      </c>
      <c r="H121" s="105">
        <v>6.7952403714590259</v>
      </c>
    </row>
    <row r="122" spans="1:8" ht="14.1" customHeight="1" x14ac:dyDescent="0.2">
      <c r="A122" s="1"/>
      <c r="B122" s="1"/>
      <c r="C122" s="2" t="s">
        <v>132</v>
      </c>
      <c r="D122" s="1"/>
      <c r="E122" s="1" t="s">
        <v>133</v>
      </c>
      <c r="F122" s="9">
        <v>30995.419393108001</v>
      </c>
      <c r="G122" s="10">
        <v>4.2945110000000002E-2</v>
      </c>
      <c r="H122" s="105"/>
    </row>
    <row r="123" spans="1:8" ht="14.1" customHeight="1" x14ac:dyDescent="0.2">
      <c r="A123" s="1"/>
      <c r="B123" s="1"/>
      <c r="C123" s="11"/>
      <c r="D123" s="1"/>
      <c r="E123" s="1"/>
      <c r="F123" s="12"/>
      <c r="G123" s="12"/>
      <c r="H123" s="105"/>
    </row>
    <row r="124" spans="1:8" ht="14.1" customHeight="1" x14ac:dyDescent="0.2">
      <c r="A124" s="1"/>
      <c r="B124" s="1"/>
      <c r="C124" s="2" t="s">
        <v>153</v>
      </c>
      <c r="D124" s="1"/>
      <c r="E124" s="1"/>
      <c r="F124" s="9">
        <v>30995.419393108001</v>
      </c>
      <c r="G124" s="10">
        <v>4.2945110000000002E-2</v>
      </c>
      <c r="H124" s="105"/>
    </row>
    <row r="125" spans="1:8" ht="14.1" customHeight="1" x14ac:dyDescent="0.2">
      <c r="A125" s="1"/>
      <c r="B125" s="1"/>
      <c r="C125" s="12"/>
      <c r="D125" s="1"/>
      <c r="E125" s="1"/>
      <c r="F125" s="1"/>
      <c r="G125" s="1"/>
      <c r="H125" s="105"/>
    </row>
    <row r="126" spans="1:8" ht="14.1" customHeight="1" x14ac:dyDescent="0.2">
      <c r="A126" s="1"/>
      <c r="B126" s="1"/>
      <c r="C126" s="2" t="s">
        <v>154</v>
      </c>
      <c r="D126" s="1"/>
      <c r="E126" s="1"/>
      <c r="F126" s="1"/>
      <c r="G126" s="1"/>
      <c r="H126" s="105"/>
    </row>
    <row r="127" spans="1:8" ht="14.1" customHeight="1" x14ac:dyDescent="0.2">
      <c r="A127" s="1"/>
      <c r="B127" s="1"/>
      <c r="C127" s="2" t="s">
        <v>155</v>
      </c>
      <c r="D127" s="1"/>
      <c r="E127" s="1"/>
      <c r="F127" s="1"/>
      <c r="G127" s="1"/>
      <c r="H127" s="105"/>
    </row>
    <row r="128" spans="1:8" ht="14.1" customHeight="1" x14ac:dyDescent="0.2">
      <c r="A128" s="1"/>
      <c r="B128" s="1"/>
      <c r="C128" s="2" t="s">
        <v>132</v>
      </c>
      <c r="D128" s="1"/>
      <c r="E128" s="1" t="s">
        <v>133</v>
      </c>
      <c r="F128" s="13" t="s">
        <v>135</v>
      </c>
      <c r="G128" s="10">
        <v>0</v>
      </c>
      <c r="H128" s="105"/>
    </row>
    <row r="129" spans="1:8" ht="14.1" customHeight="1" x14ac:dyDescent="0.2">
      <c r="A129" s="1"/>
      <c r="B129" s="1"/>
      <c r="C129" s="11"/>
      <c r="D129" s="1"/>
      <c r="E129" s="1"/>
      <c r="F129" s="12"/>
      <c r="G129" s="12"/>
      <c r="H129" s="105"/>
    </row>
    <row r="130" spans="1:8" ht="14.1" customHeight="1" x14ac:dyDescent="0.2">
      <c r="A130" s="1"/>
      <c r="B130" s="1"/>
      <c r="C130" s="2" t="s">
        <v>156</v>
      </c>
      <c r="D130" s="1"/>
      <c r="E130" s="1"/>
      <c r="F130" s="1"/>
      <c r="G130" s="1"/>
      <c r="H130" s="105"/>
    </row>
    <row r="131" spans="1:8" ht="14.1" customHeight="1" x14ac:dyDescent="0.2">
      <c r="A131" s="1"/>
      <c r="B131" s="1"/>
      <c r="C131" s="2" t="s">
        <v>157</v>
      </c>
      <c r="D131" s="1"/>
      <c r="E131" s="1"/>
      <c r="F131" s="1"/>
      <c r="G131" s="1"/>
      <c r="H131" s="105"/>
    </row>
    <row r="132" spans="1:8" ht="14.1" customHeight="1" x14ac:dyDescent="0.2">
      <c r="A132" s="1"/>
      <c r="B132" s="1"/>
      <c r="C132" s="2" t="s">
        <v>132</v>
      </c>
      <c r="D132" s="1"/>
      <c r="E132" s="1" t="s">
        <v>133</v>
      </c>
      <c r="F132" s="13" t="s">
        <v>135</v>
      </c>
      <c r="G132" s="10">
        <v>0</v>
      </c>
      <c r="H132" s="105"/>
    </row>
    <row r="133" spans="1:8" ht="14.1" customHeight="1" x14ac:dyDescent="0.2">
      <c r="A133" s="1"/>
      <c r="B133" s="1"/>
      <c r="C133" s="11"/>
      <c r="D133" s="1"/>
      <c r="E133" s="1"/>
      <c r="F133" s="12"/>
      <c r="G133" s="12"/>
      <c r="H133" s="105"/>
    </row>
    <row r="134" spans="1:8" ht="24" customHeight="1" x14ac:dyDescent="0.2">
      <c r="A134" s="1"/>
      <c r="B134" s="1"/>
      <c r="C134" s="2" t="s">
        <v>158</v>
      </c>
      <c r="D134" s="1"/>
      <c r="E134" s="1"/>
      <c r="F134" s="12"/>
      <c r="G134" s="12"/>
      <c r="H134" s="105"/>
    </row>
    <row r="135" spans="1:8" ht="14.1" customHeight="1" x14ac:dyDescent="0.2">
      <c r="A135" s="1"/>
      <c r="B135" s="1"/>
      <c r="C135" s="2" t="s">
        <v>132</v>
      </c>
      <c r="D135" s="1"/>
      <c r="E135" s="1" t="s">
        <v>133</v>
      </c>
      <c r="F135" s="13" t="s">
        <v>135</v>
      </c>
      <c r="G135" s="10">
        <v>0</v>
      </c>
      <c r="H135" s="105"/>
    </row>
    <row r="136" spans="1:8" ht="14.1" customHeight="1" x14ac:dyDescent="0.2">
      <c r="A136" s="1"/>
      <c r="B136" s="1"/>
      <c r="C136" s="11"/>
      <c r="D136" s="1"/>
      <c r="E136" s="1"/>
      <c r="F136" s="12"/>
      <c r="G136" s="12"/>
      <c r="H136" s="105"/>
    </row>
    <row r="137" spans="1:8" ht="14.1" customHeight="1" x14ac:dyDescent="0.2">
      <c r="A137" s="1"/>
      <c r="B137" s="4"/>
      <c r="C137" s="4"/>
      <c r="D137" s="2"/>
      <c r="E137" s="1"/>
      <c r="F137" s="4"/>
      <c r="G137" s="8"/>
      <c r="H137" s="105"/>
    </row>
    <row r="138" spans="1:8" ht="18" customHeight="1" x14ac:dyDescent="0.2">
      <c r="A138" s="8"/>
      <c r="B138" s="4"/>
      <c r="C138" s="4" t="s">
        <v>159</v>
      </c>
      <c r="D138" s="4"/>
      <c r="E138" s="8"/>
      <c r="F138" s="6">
        <v>11570.516687470001</v>
      </c>
      <c r="G138" s="7">
        <v>1.603131E-2</v>
      </c>
      <c r="H138" s="105"/>
    </row>
    <row r="139" spans="1:8" ht="14.1" customHeight="1" x14ac:dyDescent="0.2">
      <c r="A139" s="11"/>
      <c r="B139" s="11"/>
      <c r="C139" s="2" t="s">
        <v>160</v>
      </c>
      <c r="D139" s="12"/>
      <c r="E139" s="12"/>
      <c r="F139" s="9">
        <v>721745.09558870201</v>
      </c>
      <c r="G139" s="14">
        <v>1.00000007</v>
      </c>
      <c r="H139" s="105"/>
    </row>
    <row r="140" spans="1:8" ht="14.1" customHeight="1" x14ac:dyDescent="0.2">
      <c r="A140" s="15"/>
      <c r="B140" s="15"/>
      <c r="C140" s="15"/>
      <c r="D140" s="16"/>
      <c r="E140" s="16"/>
      <c r="F140" s="16"/>
      <c r="G140" s="16"/>
    </row>
    <row r="141" spans="1:8" ht="14.1" customHeight="1" x14ac:dyDescent="0.2">
      <c r="A141" s="17"/>
      <c r="B141" s="17"/>
      <c r="C141" s="17"/>
      <c r="D141" s="19"/>
      <c r="E141" s="19"/>
      <c r="F141" s="19"/>
      <c r="G141" s="19"/>
    </row>
    <row r="142" spans="1:8" ht="14.1" customHeight="1" x14ac:dyDescent="0.2">
      <c r="A142" s="17"/>
      <c r="B142" s="179" t="s">
        <v>162</v>
      </c>
      <c r="C142" s="180"/>
      <c r="D142" s="181"/>
      <c r="E142" s="20"/>
      <c r="F142" s="19"/>
      <c r="G142" s="19"/>
    </row>
    <row r="143" spans="1:8" ht="29.1" customHeight="1" x14ac:dyDescent="0.2">
      <c r="A143" s="17"/>
      <c r="B143" s="176" t="s">
        <v>163</v>
      </c>
      <c r="C143" s="177"/>
      <c r="D143" s="2" t="s">
        <v>164</v>
      </c>
      <c r="E143" s="20"/>
      <c r="F143" s="19"/>
      <c r="G143" s="19"/>
    </row>
    <row r="144" spans="1:8" ht="17.100000000000001" customHeight="1" x14ac:dyDescent="0.2">
      <c r="A144" s="17"/>
      <c r="B144" s="176" t="s">
        <v>165</v>
      </c>
      <c r="C144" s="177"/>
      <c r="D144" s="2" t="s">
        <v>164</v>
      </c>
      <c r="E144" s="20"/>
      <c r="F144" s="19"/>
      <c r="G144" s="19"/>
    </row>
    <row r="145" spans="1:7" ht="17.100000000000001" customHeight="1" x14ac:dyDescent="0.2">
      <c r="A145" s="17"/>
      <c r="B145" s="176" t="s">
        <v>166</v>
      </c>
      <c r="C145" s="177"/>
      <c r="D145" s="12" t="s">
        <v>133</v>
      </c>
      <c r="E145" s="20"/>
      <c r="F145" s="19"/>
      <c r="G145" s="19"/>
    </row>
    <row r="146" spans="1:7" ht="24" customHeight="1" x14ac:dyDescent="0.2">
      <c r="A146" s="21"/>
      <c r="B146" s="22" t="s">
        <v>133</v>
      </c>
      <c r="C146" s="22" t="s">
        <v>167</v>
      </c>
      <c r="D146" s="22" t="s">
        <v>168</v>
      </c>
      <c r="E146" s="21"/>
      <c r="F146" s="21"/>
      <c r="G146" s="21"/>
    </row>
    <row r="147" spans="1:7" ht="18" customHeight="1" x14ac:dyDescent="0.2">
      <c r="A147" s="21"/>
      <c r="B147" s="23" t="s">
        <v>169</v>
      </c>
      <c r="C147" s="22" t="s">
        <v>170</v>
      </c>
      <c r="D147" s="22" t="s">
        <v>171</v>
      </c>
      <c r="E147" s="21"/>
      <c r="F147" s="21"/>
      <c r="G147" s="21"/>
    </row>
    <row r="148" spans="1:7" ht="17.100000000000001" customHeight="1" x14ac:dyDescent="0.2">
      <c r="A148" s="21"/>
      <c r="B148" s="4" t="s">
        <v>172</v>
      </c>
      <c r="C148" s="24">
        <v>764.43060000000003</v>
      </c>
      <c r="D148" s="24">
        <v>791.71270000000004</v>
      </c>
      <c r="E148" s="21"/>
      <c r="F148" s="18"/>
      <c r="G148" s="25"/>
    </row>
    <row r="149" spans="1:7" ht="17.100000000000001" customHeight="1" x14ac:dyDescent="0.2">
      <c r="A149" s="21"/>
      <c r="B149" s="4" t="s">
        <v>1006</v>
      </c>
      <c r="C149" s="24">
        <v>44.6218</v>
      </c>
      <c r="D149" s="24">
        <v>46.214300000000001</v>
      </c>
      <c r="E149" s="21"/>
      <c r="F149" s="18"/>
      <c r="G149" s="25"/>
    </row>
    <row r="150" spans="1:7" ht="17.100000000000001" customHeight="1" x14ac:dyDescent="0.2">
      <c r="A150" s="21"/>
      <c r="B150" s="4" t="s">
        <v>173</v>
      </c>
      <c r="C150" s="24">
        <v>713.6825</v>
      </c>
      <c r="D150" s="24">
        <v>738.64800000000002</v>
      </c>
      <c r="E150" s="21"/>
      <c r="F150" s="18"/>
      <c r="G150" s="25"/>
    </row>
    <row r="151" spans="1:7" ht="17.100000000000001" customHeight="1" x14ac:dyDescent="0.2">
      <c r="A151" s="21"/>
      <c r="B151" s="4" t="s">
        <v>1007</v>
      </c>
      <c r="C151" s="24">
        <v>41.0779</v>
      </c>
      <c r="D151" s="24">
        <v>42.514899999999997</v>
      </c>
      <c r="E151" s="21"/>
      <c r="F151" s="18"/>
      <c r="G151" s="25"/>
    </row>
    <row r="152" spans="1:7" ht="14.1" customHeight="1" x14ac:dyDescent="0.2">
      <c r="A152" s="21"/>
      <c r="B152" s="21"/>
      <c r="C152" s="21"/>
      <c r="D152" s="21"/>
      <c r="E152" s="21"/>
      <c r="F152" s="21"/>
      <c r="G152" s="21"/>
    </row>
    <row r="153" spans="1:7" ht="17.100000000000001" customHeight="1" x14ac:dyDescent="0.2">
      <c r="A153" s="21"/>
      <c r="B153" s="176" t="s">
        <v>1008</v>
      </c>
      <c r="C153" s="177"/>
      <c r="D153" s="2" t="s">
        <v>164</v>
      </c>
      <c r="E153" s="21"/>
      <c r="F153" s="21"/>
      <c r="G153" s="21"/>
    </row>
    <row r="154" spans="1:7" ht="18" customHeight="1" x14ac:dyDescent="0.2">
      <c r="A154" s="21"/>
      <c r="B154" s="26"/>
      <c r="C154" s="26"/>
      <c r="D154" s="26"/>
      <c r="E154" s="21"/>
      <c r="F154" s="21"/>
      <c r="G154" s="21"/>
    </row>
    <row r="155" spans="1:7" ht="29.1" customHeight="1" x14ac:dyDescent="0.2">
      <c r="A155" s="21"/>
      <c r="B155" s="176" t="s">
        <v>174</v>
      </c>
      <c r="C155" s="177"/>
      <c r="D155" s="2" t="s">
        <v>164</v>
      </c>
      <c r="E155" s="27"/>
      <c r="F155" s="21"/>
      <c r="G155" s="21"/>
    </row>
    <row r="156" spans="1:7" ht="29.1" customHeight="1" x14ac:dyDescent="0.2">
      <c r="A156" s="21"/>
      <c r="B156" s="176" t="s">
        <v>175</v>
      </c>
      <c r="C156" s="177"/>
      <c r="D156" s="2" t="s">
        <v>164</v>
      </c>
      <c r="E156" s="27"/>
      <c r="F156" s="21"/>
      <c r="G156" s="21"/>
    </row>
    <row r="157" spans="1:7" ht="17.100000000000001" customHeight="1" x14ac:dyDescent="0.2">
      <c r="A157" s="21"/>
      <c r="B157" s="176" t="s">
        <v>176</v>
      </c>
      <c r="C157" s="177"/>
      <c r="D157" s="2" t="s">
        <v>164</v>
      </c>
      <c r="E157" s="27"/>
      <c r="F157" s="21"/>
      <c r="G157" s="21"/>
    </row>
    <row r="158" spans="1:7" ht="17.100000000000001" customHeight="1" x14ac:dyDescent="0.2">
      <c r="A158" s="21"/>
      <c r="B158" s="176" t="s">
        <v>177</v>
      </c>
      <c r="C158" s="177"/>
      <c r="D158" s="60">
        <v>0.45164225952223952</v>
      </c>
      <c r="E158" s="21"/>
      <c r="F158" s="18"/>
      <c r="G158" s="25"/>
    </row>
  </sheetData>
  <mergeCells count="13">
    <mergeCell ref="B158:C158"/>
    <mergeCell ref="B144:C144"/>
    <mergeCell ref="B145:C145"/>
    <mergeCell ref="B153:C153"/>
    <mergeCell ref="B155:C155"/>
    <mergeCell ref="B156:C156"/>
    <mergeCell ref="B157:C157"/>
    <mergeCell ref="J2:N2"/>
    <mergeCell ref="B143:C143"/>
    <mergeCell ref="B142:D142"/>
    <mergeCell ref="A1:H1"/>
    <mergeCell ref="A2:H2"/>
    <mergeCell ref="A3:H3"/>
  </mergeCells>
  <hyperlinks>
    <hyperlink ref="I1" location="Index!B3" display="Index" xr:uid="{F9CF63A6-1D38-4342-823F-A1FDDC5DA504}"/>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O140"/>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5" ht="18" customHeight="1" x14ac:dyDescent="0.2">
      <c r="A1" s="182" t="s">
        <v>0</v>
      </c>
      <c r="B1" s="182"/>
      <c r="C1" s="182"/>
      <c r="D1" s="182"/>
      <c r="E1" s="182"/>
      <c r="F1" s="182"/>
      <c r="G1" s="182"/>
      <c r="H1" s="182"/>
      <c r="I1" s="159" t="s">
        <v>1044</v>
      </c>
    </row>
    <row r="2" spans="1:15" ht="17.100000000000001" customHeight="1" x14ac:dyDescent="0.2">
      <c r="A2" s="183" t="s">
        <v>301</v>
      </c>
      <c r="B2" s="184"/>
      <c r="C2" s="184"/>
      <c r="D2" s="184"/>
      <c r="E2" s="184"/>
      <c r="F2" s="184"/>
      <c r="G2" s="184"/>
      <c r="H2" s="185"/>
      <c r="J2" s="175" t="s">
        <v>1045</v>
      </c>
      <c r="K2" s="175"/>
      <c r="L2" s="175"/>
      <c r="M2" s="175"/>
      <c r="N2" s="175"/>
    </row>
    <row r="3" spans="1:15" ht="21" customHeight="1" x14ac:dyDescent="0.2">
      <c r="A3" s="182" t="s">
        <v>1016</v>
      </c>
      <c r="B3" s="182"/>
      <c r="C3" s="182"/>
      <c r="D3" s="182"/>
      <c r="E3" s="182"/>
      <c r="F3" s="182"/>
      <c r="G3" s="182"/>
      <c r="H3" s="182"/>
    </row>
    <row r="4" spans="1:15" ht="30" x14ac:dyDescent="0.2">
      <c r="A4" s="107" t="s">
        <v>2</v>
      </c>
      <c r="B4" s="107" t="s">
        <v>3</v>
      </c>
      <c r="C4" s="107" t="s">
        <v>4</v>
      </c>
      <c r="D4" s="107" t="s">
        <v>5</v>
      </c>
      <c r="E4" s="107" t="s">
        <v>6</v>
      </c>
      <c r="F4" s="107" t="s">
        <v>7</v>
      </c>
      <c r="G4" s="107" t="s">
        <v>8</v>
      </c>
      <c r="H4" s="104" t="s">
        <v>1003</v>
      </c>
      <c r="I4" s="108"/>
      <c r="J4" s="108"/>
      <c r="K4" s="108"/>
      <c r="L4" s="108"/>
      <c r="M4" s="108"/>
      <c r="N4" s="108"/>
      <c r="O4" s="108"/>
    </row>
    <row r="5" spans="1:15" ht="14.1" customHeight="1" x14ac:dyDescent="0.2">
      <c r="A5" s="1"/>
      <c r="B5" s="1"/>
      <c r="C5" s="2" t="s">
        <v>9</v>
      </c>
      <c r="D5" s="1"/>
      <c r="E5" s="1"/>
      <c r="F5" s="1"/>
      <c r="G5" s="1"/>
      <c r="H5" s="105"/>
    </row>
    <row r="6" spans="1:15" ht="24" customHeight="1" x14ac:dyDescent="0.2">
      <c r="A6" s="1"/>
      <c r="B6" s="1"/>
      <c r="C6" s="2" t="s">
        <v>10</v>
      </c>
      <c r="D6" s="1"/>
      <c r="E6" s="1"/>
      <c r="F6" s="1"/>
      <c r="G6" s="1"/>
      <c r="H6" s="105"/>
    </row>
    <row r="7" spans="1:15" ht="17.100000000000001" customHeight="1" x14ac:dyDescent="0.2">
      <c r="A7" s="3">
        <v>1</v>
      </c>
      <c r="B7" s="4" t="s">
        <v>29</v>
      </c>
      <c r="C7" s="4" t="s">
        <v>30</v>
      </c>
      <c r="D7" s="4" t="s">
        <v>25</v>
      </c>
      <c r="E7" s="5">
        <v>76903</v>
      </c>
      <c r="F7" s="6">
        <v>444.73004900000001</v>
      </c>
      <c r="G7" s="7">
        <v>3.0444260000000001E-2</v>
      </c>
      <c r="H7" s="105"/>
    </row>
    <row r="8" spans="1:15" ht="17.100000000000001" customHeight="1" x14ac:dyDescent="0.2">
      <c r="A8" s="3">
        <v>2</v>
      </c>
      <c r="B8" s="4" t="s">
        <v>17</v>
      </c>
      <c r="C8" s="4" t="s">
        <v>18</v>
      </c>
      <c r="D8" s="4" t="s">
        <v>19</v>
      </c>
      <c r="E8" s="5">
        <v>18268</v>
      </c>
      <c r="F8" s="6">
        <v>442.17694</v>
      </c>
      <c r="G8" s="7">
        <v>3.026949E-2</v>
      </c>
      <c r="H8" s="105"/>
    </row>
    <row r="9" spans="1:15" ht="17.100000000000001" customHeight="1" x14ac:dyDescent="0.2">
      <c r="A9" s="3">
        <v>3</v>
      </c>
      <c r="B9" s="4" t="s">
        <v>302</v>
      </c>
      <c r="C9" s="4" t="s">
        <v>303</v>
      </c>
      <c r="D9" s="4" t="s">
        <v>953</v>
      </c>
      <c r="E9" s="5">
        <v>34935</v>
      </c>
      <c r="F9" s="6">
        <v>437.6482125</v>
      </c>
      <c r="G9" s="7">
        <v>2.9959469999999998E-2</v>
      </c>
      <c r="H9" s="105"/>
    </row>
    <row r="10" spans="1:15" ht="29.1" customHeight="1" x14ac:dyDescent="0.2">
      <c r="A10" s="3">
        <v>4</v>
      </c>
      <c r="B10" s="4" t="s">
        <v>304</v>
      </c>
      <c r="C10" s="4" t="s">
        <v>305</v>
      </c>
      <c r="D10" s="4" t="s">
        <v>212</v>
      </c>
      <c r="E10" s="5">
        <v>28492</v>
      </c>
      <c r="F10" s="6">
        <v>281.40123799999998</v>
      </c>
      <c r="G10" s="7">
        <v>1.9263490000000001E-2</v>
      </c>
      <c r="H10" s="105"/>
    </row>
    <row r="11" spans="1:15" ht="17.100000000000001" customHeight="1" x14ac:dyDescent="0.2">
      <c r="A11" s="3">
        <v>5</v>
      </c>
      <c r="B11" s="4" t="s">
        <v>306</v>
      </c>
      <c r="C11" s="4" t="s">
        <v>307</v>
      </c>
      <c r="D11" s="4" t="s">
        <v>232</v>
      </c>
      <c r="E11" s="5">
        <v>13151</v>
      </c>
      <c r="F11" s="6">
        <v>192.4188565</v>
      </c>
      <c r="G11" s="7">
        <v>1.3172150000000001E-2</v>
      </c>
      <c r="H11" s="105"/>
    </row>
    <row r="12" spans="1:15" ht="17.100000000000001" customHeight="1" x14ac:dyDescent="0.2">
      <c r="A12" s="3">
        <v>6</v>
      </c>
      <c r="B12" s="4" t="s">
        <v>205</v>
      </c>
      <c r="C12" s="4" t="s">
        <v>206</v>
      </c>
      <c r="D12" s="4" t="s">
        <v>207</v>
      </c>
      <c r="E12" s="5">
        <v>26171</v>
      </c>
      <c r="F12" s="6">
        <v>152.53767350000001</v>
      </c>
      <c r="G12" s="7">
        <v>1.044206E-2</v>
      </c>
      <c r="H12" s="105"/>
    </row>
    <row r="13" spans="1:15" ht="29.1" customHeight="1" x14ac:dyDescent="0.2">
      <c r="A13" s="3">
        <v>7</v>
      </c>
      <c r="B13" s="4" t="s">
        <v>308</v>
      </c>
      <c r="C13" s="4" t="s">
        <v>309</v>
      </c>
      <c r="D13" s="4" t="s">
        <v>128</v>
      </c>
      <c r="E13" s="5">
        <v>5265</v>
      </c>
      <c r="F13" s="6">
        <v>146.13534000000001</v>
      </c>
      <c r="G13" s="7">
        <v>1.000378E-2</v>
      </c>
      <c r="H13" s="105"/>
      <c r="J13" s="161" t="s">
        <v>1049</v>
      </c>
    </row>
    <row r="14" spans="1:15" ht="29.1" customHeight="1" x14ac:dyDescent="0.2">
      <c r="A14" s="3">
        <v>8</v>
      </c>
      <c r="B14" s="4" t="s">
        <v>249</v>
      </c>
      <c r="C14" s="4" t="s">
        <v>250</v>
      </c>
      <c r="D14" s="4" t="s">
        <v>121</v>
      </c>
      <c r="E14" s="5">
        <v>45338</v>
      </c>
      <c r="F14" s="6">
        <v>115.566562</v>
      </c>
      <c r="G14" s="7">
        <v>7.9111800000000003E-3</v>
      </c>
      <c r="H14" s="105"/>
    </row>
    <row r="15" spans="1:15" ht="17.100000000000001" customHeight="1" x14ac:dyDescent="0.2">
      <c r="A15" s="3">
        <v>9</v>
      </c>
      <c r="B15" s="4" t="s">
        <v>23</v>
      </c>
      <c r="C15" s="4" t="s">
        <v>24</v>
      </c>
      <c r="D15" s="4" t="s">
        <v>25</v>
      </c>
      <c r="E15" s="5">
        <v>11917</v>
      </c>
      <c r="F15" s="6">
        <v>109.3563505</v>
      </c>
      <c r="G15" s="7">
        <v>7.4860600000000001E-3</v>
      </c>
      <c r="H15" s="105"/>
    </row>
    <row r="16" spans="1:15" ht="17.100000000000001" customHeight="1" x14ac:dyDescent="0.2">
      <c r="A16" s="3">
        <v>10</v>
      </c>
      <c r="B16" s="4" t="s">
        <v>79</v>
      </c>
      <c r="C16" s="4" t="s">
        <v>80</v>
      </c>
      <c r="D16" s="4" t="s">
        <v>81</v>
      </c>
      <c r="E16" s="5">
        <v>3738</v>
      </c>
      <c r="F16" s="6">
        <v>103.71641700000001</v>
      </c>
      <c r="G16" s="7">
        <v>7.0999699999999997E-3</v>
      </c>
      <c r="H16" s="105"/>
    </row>
    <row r="17" spans="1:8" ht="17.100000000000001" customHeight="1" x14ac:dyDescent="0.2">
      <c r="A17" s="3">
        <v>11</v>
      </c>
      <c r="B17" s="4" t="s">
        <v>310</v>
      </c>
      <c r="C17" s="4" t="s">
        <v>311</v>
      </c>
      <c r="D17" s="4" t="s">
        <v>207</v>
      </c>
      <c r="E17" s="5">
        <v>77730</v>
      </c>
      <c r="F17" s="6">
        <v>83.909535000000005</v>
      </c>
      <c r="G17" s="7">
        <v>5.7440800000000004E-3</v>
      </c>
      <c r="H17" s="105"/>
    </row>
    <row r="18" spans="1:8" ht="17.100000000000001" customHeight="1" x14ac:dyDescent="0.2">
      <c r="A18" s="3">
        <v>12</v>
      </c>
      <c r="B18" s="4" t="s">
        <v>312</v>
      </c>
      <c r="C18" s="4" t="s">
        <v>313</v>
      </c>
      <c r="D18" s="4" t="s">
        <v>25</v>
      </c>
      <c r="E18" s="5">
        <v>7154</v>
      </c>
      <c r="F18" s="6">
        <v>82.471311999999998</v>
      </c>
      <c r="G18" s="7">
        <v>5.6456199999999996E-3</v>
      </c>
      <c r="H18" s="105"/>
    </row>
    <row r="19" spans="1:8" ht="17.100000000000001" customHeight="1" x14ac:dyDescent="0.2">
      <c r="A19" s="3">
        <v>13</v>
      </c>
      <c r="B19" s="4" t="s">
        <v>108</v>
      </c>
      <c r="C19" s="4" t="s">
        <v>109</v>
      </c>
      <c r="D19" s="4" t="s">
        <v>19</v>
      </c>
      <c r="E19" s="5">
        <v>21984</v>
      </c>
      <c r="F19" s="6">
        <v>78.614784</v>
      </c>
      <c r="G19" s="7">
        <v>5.3816200000000002E-3</v>
      </c>
      <c r="H19" s="105"/>
    </row>
    <row r="20" spans="1:8" ht="29.1" customHeight="1" x14ac:dyDescent="0.2">
      <c r="A20" s="3">
        <v>14</v>
      </c>
      <c r="B20" s="4" t="s">
        <v>188</v>
      </c>
      <c r="C20" s="4" t="s">
        <v>189</v>
      </c>
      <c r="D20" s="4" t="s">
        <v>190</v>
      </c>
      <c r="E20" s="5">
        <v>6248</v>
      </c>
      <c r="F20" s="6">
        <v>58.884276</v>
      </c>
      <c r="G20" s="7">
        <v>4.0309600000000001E-3</v>
      </c>
      <c r="H20" s="105"/>
    </row>
    <row r="21" spans="1:8" ht="17.100000000000001" customHeight="1" x14ac:dyDescent="0.2">
      <c r="A21" s="3">
        <v>15</v>
      </c>
      <c r="B21" s="4" t="s">
        <v>293</v>
      </c>
      <c r="C21" s="4" t="s">
        <v>294</v>
      </c>
      <c r="D21" s="4" t="s">
        <v>19</v>
      </c>
      <c r="E21" s="5">
        <v>23133</v>
      </c>
      <c r="F21" s="6">
        <v>58.121662499999999</v>
      </c>
      <c r="G21" s="7">
        <v>3.9787499999999996E-3</v>
      </c>
      <c r="H21" s="105"/>
    </row>
    <row r="22" spans="1:8" ht="17.100000000000001" customHeight="1" x14ac:dyDescent="0.2">
      <c r="A22" s="3">
        <v>16</v>
      </c>
      <c r="B22" s="4" t="s">
        <v>314</v>
      </c>
      <c r="C22" s="4" t="s">
        <v>315</v>
      </c>
      <c r="D22" s="4" t="s">
        <v>223</v>
      </c>
      <c r="E22" s="5">
        <v>4455</v>
      </c>
      <c r="F22" s="6">
        <v>53.2751175</v>
      </c>
      <c r="G22" s="7">
        <v>3.6469800000000002E-3</v>
      </c>
      <c r="H22" s="105"/>
    </row>
    <row r="23" spans="1:8" ht="14.1" customHeight="1" x14ac:dyDescent="0.2">
      <c r="A23" s="1"/>
      <c r="B23" s="1"/>
      <c r="C23" s="2" t="s">
        <v>132</v>
      </c>
      <c r="D23" s="1"/>
      <c r="E23" s="1" t="s">
        <v>133</v>
      </c>
      <c r="F23" s="9">
        <v>2840.9643259999998</v>
      </c>
      <c r="G23" s="10">
        <v>0.19447992</v>
      </c>
      <c r="H23" s="105"/>
    </row>
    <row r="24" spans="1:8" ht="14.1" customHeight="1" x14ac:dyDescent="0.2">
      <c r="A24" s="1"/>
      <c r="B24" s="1"/>
      <c r="C24" s="11"/>
      <c r="D24" s="1"/>
      <c r="E24" s="1"/>
      <c r="F24" s="12"/>
      <c r="G24" s="12"/>
      <c r="H24" s="105"/>
    </row>
    <row r="25" spans="1:8" ht="14.1" customHeight="1" x14ac:dyDescent="0.2">
      <c r="A25" s="1"/>
      <c r="B25" s="1"/>
      <c r="C25" s="2" t="s">
        <v>134</v>
      </c>
      <c r="D25" s="1"/>
      <c r="E25" s="1"/>
      <c r="F25" s="1"/>
      <c r="G25" s="1"/>
      <c r="H25" s="105"/>
    </row>
    <row r="26" spans="1:8" ht="14.1" customHeight="1" x14ac:dyDescent="0.2">
      <c r="A26" s="1"/>
      <c r="B26" s="1"/>
      <c r="C26" s="2" t="s">
        <v>132</v>
      </c>
      <c r="D26" s="1"/>
      <c r="E26" s="1" t="s">
        <v>133</v>
      </c>
      <c r="F26" s="13" t="s">
        <v>135</v>
      </c>
      <c r="G26" s="10">
        <v>0</v>
      </c>
      <c r="H26" s="105"/>
    </row>
    <row r="27" spans="1:8" ht="14.1" customHeight="1" x14ac:dyDescent="0.2">
      <c r="A27" s="1"/>
      <c r="B27" s="1"/>
      <c r="C27" s="11"/>
      <c r="D27" s="1"/>
      <c r="E27" s="1"/>
      <c r="F27" s="12"/>
      <c r="G27" s="12"/>
      <c r="H27" s="105"/>
    </row>
    <row r="28" spans="1:8" ht="14.1" customHeight="1" x14ac:dyDescent="0.2">
      <c r="A28" s="1"/>
      <c r="B28" s="1"/>
      <c r="C28" s="2" t="s">
        <v>136</v>
      </c>
      <c r="D28" s="1"/>
      <c r="E28" s="1"/>
      <c r="F28" s="1"/>
      <c r="G28" s="1"/>
      <c r="H28" s="105"/>
    </row>
    <row r="29" spans="1:8" ht="14.1" customHeight="1" x14ac:dyDescent="0.2">
      <c r="A29" s="1"/>
      <c r="B29" s="1"/>
      <c r="C29" s="2" t="s">
        <v>132</v>
      </c>
      <c r="D29" s="1"/>
      <c r="E29" s="1" t="s">
        <v>133</v>
      </c>
      <c r="F29" s="13" t="s">
        <v>135</v>
      </c>
      <c r="G29" s="10">
        <v>0</v>
      </c>
      <c r="H29" s="105"/>
    </row>
    <row r="30" spans="1:8" ht="14.1" customHeight="1" x14ac:dyDescent="0.2">
      <c r="A30" s="1"/>
      <c r="B30" s="1"/>
      <c r="C30" s="11"/>
      <c r="D30" s="1"/>
      <c r="E30" s="1"/>
      <c r="F30" s="12"/>
      <c r="G30" s="12"/>
      <c r="H30" s="105"/>
    </row>
    <row r="31" spans="1:8" ht="14.1" customHeight="1" x14ac:dyDescent="0.2">
      <c r="A31" s="1"/>
      <c r="B31" s="1"/>
      <c r="C31" s="2" t="s">
        <v>137</v>
      </c>
      <c r="D31" s="1"/>
      <c r="E31" s="1"/>
      <c r="F31" s="1"/>
      <c r="G31" s="1"/>
      <c r="H31" s="105"/>
    </row>
    <row r="32" spans="1:8" ht="14.1" customHeight="1" x14ac:dyDescent="0.2">
      <c r="A32" s="1"/>
      <c r="B32" s="1"/>
      <c r="C32" s="2" t="s">
        <v>132</v>
      </c>
      <c r="D32" s="1"/>
      <c r="E32" s="1" t="s">
        <v>133</v>
      </c>
      <c r="F32" s="13" t="s">
        <v>135</v>
      </c>
      <c r="G32" s="10">
        <v>0</v>
      </c>
      <c r="H32" s="105"/>
    </row>
    <row r="33" spans="1:8" ht="14.1" customHeight="1" x14ac:dyDescent="0.2">
      <c r="A33" s="1"/>
      <c r="B33" s="1"/>
      <c r="C33" s="11"/>
      <c r="D33" s="1"/>
      <c r="E33" s="1"/>
      <c r="F33" s="12"/>
      <c r="G33" s="12"/>
      <c r="H33" s="105"/>
    </row>
    <row r="34" spans="1:8" ht="14.1" customHeight="1" x14ac:dyDescent="0.2">
      <c r="A34" s="1"/>
      <c r="B34" s="1"/>
      <c r="C34" s="2" t="s">
        <v>138</v>
      </c>
      <c r="D34" s="1"/>
      <c r="E34" s="1"/>
      <c r="F34" s="12"/>
      <c r="G34" s="12"/>
      <c r="H34" s="105"/>
    </row>
    <row r="35" spans="1:8" ht="14.1" customHeight="1" x14ac:dyDescent="0.2">
      <c r="A35" s="1"/>
      <c r="B35" s="1"/>
      <c r="C35" s="2" t="s">
        <v>132</v>
      </c>
      <c r="D35" s="1"/>
      <c r="E35" s="1" t="s">
        <v>133</v>
      </c>
      <c r="F35" s="13" t="s">
        <v>135</v>
      </c>
      <c r="G35" s="10">
        <v>0</v>
      </c>
      <c r="H35" s="105"/>
    </row>
    <row r="36" spans="1:8" ht="14.1" customHeight="1" x14ac:dyDescent="0.2">
      <c r="A36" s="1"/>
      <c r="B36" s="1"/>
      <c r="C36" s="11"/>
      <c r="D36" s="1"/>
      <c r="E36" s="1"/>
      <c r="F36" s="12"/>
      <c r="G36" s="12"/>
      <c r="H36" s="105"/>
    </row>
    <row r="37" spans="1:8" ht="14.1" customHeight="1" x14ac:dyDescent="0.2">
      <c r="A37" s="1"/>
      <c r="B37" s="1"/>
      <c r="C37" s="2" t="s">
        <v>139</v>
      </c>
      <c r="D37" s="1"/>
      <c r="E37" s="1"/>
      <c r="F37" s="12"/>
      <c r="G37" s="12"/>
      <c r="H37" s="105"/>
    </row>
    <row r="38" spans="1:8" ht="14.1" customHeight="1" x14ac:dyDescent="0.2">
      <c r="A38" s="1"/>
      <c r="B38" s="1"/>
      <c r="C38" s="2" t="s">
        <v>132</v>
      </c>
      <c r="D38" s="1"/>
      <c r="E38" s="1" t="s">
        <v>133</v>
      </c>
      <c r="F38" s="13" t="s">
        <v>135</v>
      </c>
      <c r="G38" s="10">
        <v>0</v>
      </c>
      <c r="H38" s="105"/>
    </row>
    <row r="39" spans="1:8" ht="14.1" customHeight="1" x14ac:dyDescent="0.2">
      <c r="A39" s="1"/>
      <c r="B39" s="1"/>
      <c r="C39" s="11"/>
      <c r="D39" s="1"/>
      <c r="E39" s="1"/>
      <c r="F39" s="12"/>
      <c r="G39" s="12"/>
      <c r="H39" s="105"/>
    </row>
    <row r="40" spans="1:8" ht="18" customHeight="1" x14ac:dyDescent="0.2">
      <c r="A40" s="1"/>
      <c r="B40" s="1"/>
      <c r="C40" s="2" t="s">
        <v>140</v>
      </c>
      <c r="D40" s="1"/>
      <c r="E40" s="1"/>
      <c r="F40" s="9">
        <v>2840.9643259999998</v>
      </c>
      <c r="G40" s="10">
        <v>0.19447992</v>
      </c>
      <c r="H40" s="105"/>
    </row>
    <row r="41" spans="1:8" ht="14.1" customHeight="1" x14ac:dyDescent="0.2">
      <c r="A41" s="1"/>
      <c r="B41" s="1"/>
      <c r="C41" s="11"/>
      <c r="D41" s="1"/>
      <c r="E41" s="1"/>
      <c r="F41" s="12"/>
      <c r="G41" s="12"/>
      <c r="H41" s="105"/>
    </row>
    <row r="42" spans="1:8" ht="14.1" customHeight="1" x14ac:dyDescent="0.2">
      <c r="A42" s="1"/>
      <c r="B42" s="1"/>
      <c r="C42" s="2" t="s">
        <v>141</v>
      </c>
      <c r="D42" s="1"/>
      <c r="E42" s="1"/>
      <c r="F42" s="12"/>
      <c r="G42" s="12"/>
      <c r="H42" s="105"/>
    </row>
    <row r="43" spans="1:8" ht="24" customHeight="1" x14ac:dyDescent="0.2">
      <c r="A43" s="1"/>
      <c r="B43" s="1"/>
      <c r="C43" s="2" t="s">
        <v>10</v>
      </c>
      <c r="D43" s="1"/>
      <c r="E43" s="1"/>
      <c r="F43" s="12"/>
      <c r="G43" s="12"/>
      <c r="H43" s="105"/>
    </row>
    <row r="44" spans="1:8" ht="14.1" customHeight="1" x14ac:dyDescent="0.2">
      <c r="A44" s="1"/>
      <c r="B44" s="1"/>
      <c r="C44" s="2" t="s">
        <v>132</v>
      </c>
      <c r="D44" s="1"/>
      <c r="E44" s="1" t="s">
        <v>133</v>
      </c>
      <c r="F44" s="13" t="s">
        <v>135</v>
      </c>
      <c r="G44" s="10">
        <v>0</v>
      </c>
      <c r="H44" s="105"/>
    </row>
    <row r="45" spans="1:8" ht="14.1" customHeight="1" x14ac:dyDescent="0.2">
      <c r="A45" s="1"/>
      <c r="B45" s="1"/>
      <c r="C45" s="11"/>
      <c r="D45" s="1"/>
      <c r="E45" s="1"/>
      <c r="F45" s="12"/>
      <c r="G45" s="12"/>
      <c r="H45" s="105"/>
    </row>
    <row r="46" spans="1:8" ht="14.1" customHeight="1" x14ac:dyDescent="0.2">
      <c r="A46" s="1"/>
      <c r="B46" s="1"/>
      <c r="C46" s="2" t="s">
        <v>142</v>
      </c>
      <c r="D46" s="1"/>
      <c r="E46" s="1"/>
      <c r="F46" s="1"/>
      <c r="G46" s="1"/>
      <c r="H46" s="105"/>
    </row>
    <row r="47" spans="1:8" ht="14.1" customHeight="1" x14ac:dyDescent="0.2">
      <c r="A47" s="1"/>
      <c r="B47" s="1"/>
      <c r="C47" s="2" t="s">
        <v>132</v>
      </c>
      <c r="D47" s="1"/>
      <c r="E47" s="1" t="s">
        <v>133</v>
      </c>
      <c r="F47" s="13" t="s">
        <v>135</v>
      </c>
      <c r="G47" s="10">
        <v>0</v>
      </c>
      <c r="H47" s="105"/>
    </row>
    <row r="48" spans="1:8" ht="14.1" customHeight="1" x14ac:dyDescent="0.2">
      <c r="A48" s="1"/>
      <c r="B48" s="1"/>
      <c r="C48" s="11"/>
      <c r="D48" s="1"/>
      <c r="E48" s="1"/>
      <c r="F48" s="12"/>
      <c r="G48" s="12"/>
      <c r="H48" s="105"/>
    </row>
    <row r="49" spans="1:8" ht="14.1" customHeight="1" x14ac:dyDescent="0.2">
      <c r="A49" s="1"/>
      <c r="B49" s="1"/>
      <c r="C49" s="2" t="s">
        <v>143</v>
      </c>
      <c r="D49" s="1"/>
      <c r="E49" s="1"/>
      <c r="F49" s="1"/>
      <c r="G49" s="1"/>
      <c r="H49" s="105"/>
    </row>
    <row r="50" spans="1:8" ht="14.1" customHeight="1" x14ac:dyDescent="0.2">
      <c r="A50" s="1"/>
      <c r="B50" s="1"/>
      <c r="C50" s="2" t="s">
        <v>132</v>
      </c>
      <c r="D50" s="1"/>
      <c r="E50" s="1" t="s">
        <v>133</v>
      </c>
      <c r="F50" s="13" t="s">
        <v>135</v>
      </c>
      <c r="G50" s="10">
        <v>0</v>
      </c>
      <c r="H50" s="105"/>
    </row>
    <row r="51" spans="1:8" ht="14.1" customHeight="1" x14ac:dyDescent="0.2">
      <c r="A51" s="1"/>
      <c r="B51" s="1"/>
      <c r="C51" s="11"/>
      <c r="D51" s="1"/>
      <c r="E51" s="1"/>
      <c r="F51" s="12"/>
      <c r="G51" s="12"/>
      <c r="H51" s="105"/>
    </row>
    <row r="52" spans="1:8" ht="14.1" customHeight="1" x14ac:dyDescent="0.2">
      <c r="A52" s="1"/>
      <c r="B52" s="1"/>
      <c r="C52" s="2" t="s">
        <v>144</v>
      </c>
      <c r="D52" s="1"/>
      <c r="E52" s="1"/>
      <c r="F52" s="12"/>
      <c r="G52" s="12"/>
      <c r="H52" s="105"/>
    </row>
    <row r="53" spans="1:8" ht="14.1" customHeight="1" x14ac:dyDescent="0.2">
      <c r="A53" s="1"/>
      <c r="B53" s="1"/>
      <c r="C53" s="2" t="s">
        <v>132</v>
      </c>
      <c r="D53" s="1"/>
      <c r="E53" s="1" t="s">
        <v>133</v>
      </c>
      <c r="F53" s="13" t="s">
        <v>135</v>
      </c>
      <c r="G53" s="10">
        <v>0</v>
      </c>
      <c r="H53" s="105"/>
    </row>
    <row r="54" spans="1:8" ht="14.1" customHeight="1" x14ac:dyDescent="0.2">
      <c r="A54" s="1"/>
      <c r="B54" s="1"/>
      <c r="C54" s="11"/>
      <c r="D54" s="1"/>
      <c r="E54" s="1"/>
      <c r="F54" s="12"/>
      <c r="G54" s="12"/>
      <c r="H54" s="105"/>
    </row>
    <row r="55" spans="1:8" ht="14.1" customHeight="1" x14ac:dyDescent="0.2">
      <c r="A55" s="1"/>
      <c r="B55" s="1"/>
      <c r="C55" s="2" t="s">
        <v>145</v>
      </c>
      <c r="D55" s="1"/>
      <c r="E55" s="1"/>
      <c r="F55" s="9">
        <v>0</v>
      </c>
      <c r="G55" s="10">
        <v>0</v>
      </c>
      <c r="H55" s="105"/>
    </row>
    <row r="56" spans="1:8" ht="14.1" customHeight="1" x14ac:dyDescent="0.2">
      <c r="A56" s="1"/>
      <c r="B56" s="1"/>
      <c r="C56" s="11"/>
      <c r="D56" s="1"/>
      <c r="E56" s="1"/>
      <c r="F56" s="12"/>
      <c r="G56" s="12"/>
      <c r="H56" s="105"/>
    </row>
    <row r="57" spans="1:8" ht="14.1" customHeight="1" x14ac:dyDescent="0.2">
      <c r="A57" s="1"/>
      <c r="B57" s="1"/>
      <c r="C57" s="2" t="s">
        <v>146</v>
      </c>
      <c r="D57" s="1"/>
      <c r="E57" s="1"/>
      <c r="F57" s="12"/>
      <c r="G57" s="12"/>
      <c r="H57" s="105"/>
    </row>
    <row r="58" spans="1:8" ht="14.1" customHeight="1" x14ac:dyDescent="0.2">
      <c r="A58" s="1"/>
      <c r="B58" s="1"/>
      <c r="C58" s="2" t="s">
        <v>147</v>
      </c>
      <c r="D58" s="1"/>
      <c r="E58" s="1"/>
      <c r="F58" s="12"/>
      <c r="G58" s="12"/>
      <c r="H58" s="105"/>
    </row>
    <row r="59" spans="1:8" ht="14.1" customHeight="1" x14ac:dyDescent="0.2">
      <c r="A59" s="1"/>
      <c r="B59" s="1"/>
      <c r="C59" s="2" t="s">
        <v>132</v>
      </c>
      <c r="D59" s="1"/>
      <c r="E59" s="1" t="s">
        <v>133</v>
      </c>
      <c r="F59" s="13" t="s">
        <v>135</v>
      </c>
      <c r="G59" s="10">
        <v>0</v>
      </c>
      <c r="H59" s="105"/>
    </row>
    <row r="60" spans="1:8" ht="14.1" customHeight="1" x14ac:dyDescent="0.2">
      <c r="A60" s="1"/>
      <c r="B60" s="1"/>
      <c r="C60" s="11"/>
      <c r="D60" s="1"/>
      <c r="E60" s="1"/>
      <c r="F60" s="12"/>
      <c r="G60" s="12"/>
      <c r="H60" s="105"/>
    </row>
    <row r="61" spans="1:8" ht="14.1" customHeight="1" x14ac:dyDescent="0.2">
      <c r="A61" s="1"/>
      <c r="B61" s="1"/>
      <c r="C61" s="2" t="s">
        <v>148</v>
      </c>
      <c r="D61" s="1"/>
      <c r="E61" s="1"/>
      <c r="F61" s="12"/>
      <c r="G61" s="12"/>
      <c r="H61" s="105"/>
    </row>
    <row r="62" spans="1:8" ht="14.1" customHeight="1" x14ac:dyDescent="0.2">
      <c r="A62" s="1"/>
      <c r="B62" s="1"/>
      <c r="C62" s="2" t="s">
        <v>132</v>
      </c>
      <c r="D62" s="1"/>
      <c r="E62" s="1" t="s">
        <v>133</v>
      </c>
      <c r="F62" s="13" t="s">
        <v>135</v>
      </c>
      <c r="G62" s="10">
        <v>0</v>
      </c>
      <c r="H62" s="105"/>
    </row>
    <row r="63" spans="1:8" ht="14.1" customHeight="1" x14ac:dyDescent="0.2">
      <c r="A63" s="1"/>
      <c r="B63" s="1"/>
      <c r="C63" s="11"/>
      <c r="D63" s="1"/>
      <c r="E63" s="1"/>
      <c r="F63" s="12"/>
      <c r="G63" s="12"/>
      <c r="H63" s="105"/>
    </row>
    <row r="64" spans="1:8" ht="14.1" customHeight="1" x14ac:dyDescent="0.2">
      <c r="A64" s="1"/>
      <c r="B64" s="1"/>
      <c r="C64" s="2" t="s">
        <v>149</v>
      </c>
      <c r="D64" s="1"/>
      <c r="E64" s="1"/>
      <c r="F64" s="12"/>
      <c r="G64" s="12"/>
      <c r="H64" s="105"/>
    </row>
    <row r="65" spans="1:8" ht="14.1" customHeight="1" x14ac:dyDescent="0.2">
      <c r="A65" s="1"/>
      <c r="B65" s="1"/>
      <c r="C65" s="2" t="s">
        <v>132</v>
      </c>
      <c r="D65" s="1"/>
      <c r="E65" s="1" t="s">
        <v>133</v>
      </c>
      <c r="F65" s="13" t="s">
        <v>135</v>
      </c>
      <c r="G65" s="10">
        <v>0</v>
      </c>
      <c r="H65" s="105"/>
    </row>
    <row r="66" spans="1:8" ht="14.1" customHeight="1" x14ac:dyDescent="0.2">
      <c r="A66" s="1"/>
      <c r="B66" s="1"/>
      <c r="C66" s="11"/>
      <c r="D66" s="1"/>
      <c r="E66" s="1"/>
      <c r="F66" s="12"/>
      <c r="G66" s="12"/>
      <c r="H66" s="105"/>
    </row>
    <row r="67" spans="1:8" ht="14.1" customHeight="1" x14ac:dyDescent="0.2">
      <c r="A67" s="1"/>
      <c r="B67" s="1"/>
      <c r="C67" s="2" t="s">
        <v>150</v>
      </c>
      <c r="D67" s="1"/>
      <c r="E67" s="1"/>
      <c r="F67" s="12"/>
      <c r="G67" s="12"/>
      <c r="H67" s="105"/>
    </row>
    <row r="68" spans="1:8" ht="17.100000000000001" customHeight="1" x14ac:dyDescent="0.2">
      <c r="A68" s="3">
        <v>1</v>
      </c>
      <c r="B68" s="4"/>
      <c r="C68" s="4" t="s">
        <v>151</v>
      </c>
      <c r="D68" s="4"/>
      <c r="E68" s="8"/>
      <c r="F68" s="6">
        <v>8834.9108973000002</v>
      </c>
      <c r="G68" s="7">
        <v>0.60479916</v>
      </c>
      <c r="H68" s="105">
        <v>6.8153352377542396</v>
      </c>
    </row>
    <row r="69" spans="1:8" ht="17.100000000000001" customHeight="1" x14ac:dyDescent="0.2">
      <c r="A69" s="3">
        <v>2</v>
      </c>
      <c r="B69" s="4"/>
      <c r="C69" s="4" t="s">
        <v>152</v>
      </c>
      <c r="D69" s="4"/>
      <c r="E69" s="8"/>
      <c r="F69" s="6">
        <v>1048.4057352</v>
      </c>
      <c r="G69" s="7">
        <v>7.1769250000000007E-2</v>
      </c>
      <c r="H69" s="105">
        <v>6.7952403714590259</v>
      </c>
    </row>
    <row r="70" spans="1:8" ht="14.1" customHeight="1" x14ac:dyDescent="0.2">
      <c r="A70" s="1"/>
      <c r="B70" s="1"/>
      <c r="C70" s="2" t="s">
        <v>132</v>
      </c>
      <c r="D70" s="1"/>
      <c r="E70" s="1" t="s">
        <v>133</v>
      </c>
      <c r="F70" s="9">
        <v>9883.3166325000002</v>
      </c>
      <c r="G70" s="10">
        <v>0.67656841000000001</v>
      </c>
      <c r="H70" s="105"/>
    </row>
    <row r="71" spans="1:8" ht="14.1" customHeight="1" x14ac:dyDescent="0.2">
      <c r="A71" s="1"/>
      <c r="B71" s="1"/>
      <c r="C71" s="11"/>
      <c r="D71" s="1"/>
      <c r="E71" s="1"/>
      <c r="F71" s="12"/>
      <c r="G71" s="12"/>
      <c r="H71" s="105"/>
    </row>
    <row r="72" spans="1:8" ht="14.1" customHeight="1" x14ac:dyDescent="0.2">
      <c r="A72" s="1"/>
      <c r="B72" s="1"/>
      <c r="C72" s="2" t="s">
        <v>153</v>
      </c>
      <c r="D72" s="1"/>
      <c r="E72" s="1"/>
      <c r="F72" s="9">
        <v>9883.3166325000002</v>
      </c>
      <c r="G72" s="10">
        <v>0.67656841000000001</v>
      </c>
      <c r="H72" s="105"/>
    </row>
    <row r="73" spans="1:8" ht="14.1" customHeight="1" x14ac:dyDescent="0.2">
      <c r="A73" s="1"/>
      <c r="B73" s="1"/>
      <c r="C73" s="12"/>
      <c r="D73" s="1"/>
      <c r="E73" s="1"/>
      <c r="F73" s="1"/>
      <c r="G73" s="1"/>
      <c r="H73" s="105"/>
    </row>
    <row r="74" spans="1:8" ht="14.1" customHeight="1" x14ac:dyDescent="0.2">
      <c r="A74" s="1"/>
      <c r="B74" s="1"/>
      <c r="C74" s="2" t="s">
        <v>154</v>
      </c>
      <c r="D74" s="1"/>
      <c r="E74" s="1"/>
      <c r="F74" s="1"/>
      <c r="G74" s="1"/>
      <c r="H74" s="105"/>
    </row>
    <row r="75" spans="1:8" ht="14.1" customHeight="1" x14ac:dyDescent="0.2">
      <c r="A75" s="1"/>
      <c r="B75" s="1"/>
      <c r="C75" s="2" t="s">
        <v>155</v>
      </c>
      <c r="D75" s="1"/>
      <c r="E75" s="1"/>
      <c r="F75" s="1"/>
      <c r="G75" s="1"/>
      <c r="H75" s="105"/>
    </row>
    <row r="76" spans="1:8" ht="14.1" customHeight="1" x14ac:dyDescent="0.2">
      <c r="A76" s="1"/>
      <c r="B76" s="1"/>
      <c r="C76" s="2" t="s">
        <v>132</v>
      </c>
      <c r="D76" s="1"/>
      <c r="E76" s="1" t="s">
        <v>133</v>
      </c>
      <c r="F76" s="13" t="s">
        <v>135</v>
      </c>
      <c r="G76" s="10">
        <v>0</v>
      </c>
      <c r="H76" s="105"/>
    </row>
    <row r="77" spans="1:8" ht="14.1" customHeight="1" x14ac:dyDescent="0.2">
      <c r="A77" s="1"/>
      <c r="B77" s="1"/>
      <c r="C77" s="11"/>
      <c r="D77" s="1"/>
      <c r="E77" s="1"/>
      <c r="F77" s="12"/>
      <c r="G77" s="12"/>
      <c r="H77" s="105"/>
    </row>
    <row r="78" spans="1:8" ht="14.1" customHeight="1" x14ac:dyDescent="0.2">
      <c r="A78" s="1"/>
      <c r="B78" s="1"/>
      <c r="C78" s="2" t="s">
        <v>156</v>
      </c>
      <c r="D78" s="1"/>
      <c r="E78" s="1"/>
      <c r="F78" s="1"/>
      <c r="G78" s="1"/>
      <c r="H78" s="105"/>
    </row>
    <row r="79" spans="1:8" ht="14.1" customHeight="1" x14ac:dyDescent="0.2">
      <c r="A79" s="1"/>
      <c r="B79" s="1"/>
      <c r="C79" s="2" t="s">
        <v>157</v>
      </c>
      <c r="D79" s="1"/>
      <c r="E79" s="1"/>
      <c r="F79" s="1"/>
      <c r="G79" s="1"/>
      <c r="H79" s="105"/>
    </row>
    <row r="80" spans="1:8" ht="14.1" customHeight="1" x14ac:dyDescent="0.2">
      <c r="A80" s="1"/>
      <c r="B80" s="1"/>
      <c r="C80" s="2" t="s">
        <v>132</v>
      </c>
      <c r="D80" s="1"/>
      <c r="E80" s="1" t="s">
        <v>133</v>
      </c>
      <c r="F80" s="13" t="s">
        <v>135</v>
      </c>
      <c r="G80" s="10">
        <v>0</v>
      </c>
      <c r="H80" s="105"/>
    </row>
    <row r="81" spans="1:8" ht="14.1" customHeight="1" x14ac:dyDescent="0.2">
      <c r="A81" s="1"/>
      <c r="B81" s="1"/>
      <c r="C81" s="11"/>
      <c r="D81" s="1"/>
      <c r="E81" s="1"/>
      <c r="F81" s="12"/>
      <c r="G81" s="12"/>
      <c r="H81" s="105"/>
    </row>
    <row r="82" spans="1:8" ht="24" customHeight="1" x14ac:dyDescent="0.2">
      <c r="A82" s="1"/>
      <c r="B82" s="1"/>
      <c r="C82" s="2" t="s">
        <v>158</v>
      </c>
      <c r="D82" s="1"/>
      <c r="E82" s="1"/>
      <c r="F82" s="12"/>
      <c r="G82" s="12"/>
      <c r="H82" s="105"/>
    </row>
    <row r="83" spans="1:8" ht="14.1" customHeight="1" x14ac:dyDescent="0.2">
      <c r="A83" s="1"/>
      <c r="B83" s="1"/>
      <c r="C83" s="2" t="s">
        <v>132</v>
      </c>
      <c r="D83" s="1"/>
      <c r="E83" s="1" t="s">
        <v>133</v>
      </c>
      <c r="F83" s="13" t="s">
        <v>135</v>
      </c>
      <c r="G83" s="10">
        <v>0</v>
      </c>
      <c r="H83" s="105"/>
    </row>
    <row r="84" spans="1:8" ht="14.1" customHeight="1" x14ac:dyDescent="0.2">
      <c r="A84" s="1"/>
      <c r="B84" s="1"/>
      <c r="C84" s="11"/>
      <c r="D84" s="1"/>
      <c r="E84" s="1"/>
      <c r="F84" s="12"/>
      <c r="G84" s="12"/>
      <c r="H84" s="105"/>
    </row>
    <row r="85" spans="1:8" ht="14.1" customHeight="1" x14ac:dyDescent="0.2">
      <c r="A85" s="1"/>
      <c r="B85" s="4"/>
      <c r="C85" s="4"/>
      <c r="D85" s="2"/>
      <c r="E85" s="1"/>
      <c r="F85" s="4"/>
      <c r="G85" s="8"/>
      <c r="H85" s="105"/>
    </row>
    <row r="86" spans="1:8" ht="18" customHeight="1" x14ac:dyDescent="0.2">
      <c r="A86" s="8"/>
      <c r="B86" s="4"/>
      <c r="C86" s="4" t="s">
        <v>159</v>
      </c>
      <c r="D86" s="4"/>
      <c r="E86" s="8"/>
      <c r="F86" s="6">
        <v>1883.7268609099999</v>
      </c>
      <c r="G86" s="7">
        <v>0.12895166</v>
      </c>
      <c r="H86" s="105"/>
    </row>
    <row r="87" spans="1:8" ht="14.1" customHeight="1" x14ac:dyDescent="0.2">
      <c r="A87" s="11"/>
      <c r="B87" s="11"/>
      <c r="C87" s="2" t="s">
        <v>160</v>
      </c>
      <c r="D87" s="12"/>
      <c r="E87" s="12"/>
      <c r="F87" s="9">
        <v>14608.007819410001</v>
      </c>
      <c r="G87" s="14">
        <v>0.99999998999999995</v>
      </c>
      <c r="H87" s="105"/>
    </row>
    <row r="88" spans="1:8" ht="14.1" customHeight="1" x14ac:dyDescent="0.2">
      <c r="A88" s="15"/>
      <c r="B88" s="15"/>
      <c r="C88" s="15"/>
      <c r="D88" s="16"/>
      <c r="E88" s="16"/>
      <c r="F88" s="16"/>
      <c r="G88" s="16"/>
    </row>
    <row r="89" spans="1:8" ht="14.1" customHeight="1" x14ac:dyDescent="0.2">
      <c r="A89" s="17"/>
      <c r="B89" s="17"/>
      <c r="C89" s="17"/>
      <c r="D89" s="19"/>
      <c r="E89" s="19"/>
      <c r="F89" s="19"/>
      <c r="G89" s="19"/>
    </row>
    <row r="90" spans="1:8" ht="14.1" customHeight="1" x14ac:dyDescent="0.2">
      <c r="A90" s="17"/>
      <c r="B90" s="179" t="s">
        <v>162</v>
      </c>
      <c r="C90" s="180"/>
      <c r="D90" s="181"/>
      <c r="E90" s="20"/>
      <c r="F90" s="19"/>
      <c r="G90" s="19"/>
    </row>
    <row r="91" spans="1:8" ht="29.1" customHeight="1" x14ac:dyDescent="0.2">
      <c r="A91" s="17"/>
      <c r="B91" s="176" t="s">
        <v>163</v>
      </c>
      <c r="C91" s="177"/>
      <c r="D91" s="2" t="s">
        <v>164</v>
      </c>
      <c r="E91" s="20"/>
      <c r="F91" s="19"/>
      <c r="G91" s="19"/>
    </row>
    <row r="92" spans="1:8" ht="17.100000000000001" customHeight="1" x14ac:dyDescent="0.2">
      <c r="A92" s="17"/>
      <c r="B92" s="176" t="s">
        <v>165</v>
      </c>
      <c r="C92" s="177"/>
      <c r="D92" s="2" t="s">
        <v>164</v>
      </c>
      <c r="E92" s="20"/>
      <c r="F92" s="19"/>
      <c r="G92" s="19"/>
    </row>
    <row r="93" spans="1:8" ht="17.100000000000001" customHeight="1" x14ac:dyDescent="0.2">
      <c r="A93" s="17"/>
      <c r="B93" s="176" t="s">
        <v>166</v>
      </c>
      <c r="C93" s="177"/>
      <c r="D93" s="12" t="s">
        <v>133</v>
      </c>
      <c r="E93" s="20"/>
      <c r="F93" s="19"/>
      <c r="G93" s="19"/>
    </row>
    <row r="94" spans="1:8" ht="24" customHeight="1" x14ac:dyDescent="0.2">
      <c r="A94" s="21"/>
      <c r="B94" s="22" t="s">
        <v>133</v>
      </c>
      <c r="C94" s="22" t="s">
        <v>167</v>
      </c>
      <c r="D94" s="22" t="s">
        <v>168</v>
      </c>
      <c r="E94" s="21"/>
      <c r="F94" s="21"/>
      <c r="G94" s="21"/>
    </row>
    <row r="95" spans="1:8" ht="18" customHeight="1" x14ac:dyDescent="0.2">
      <c r="A95" s="21"/>
      <c r="B95" s="23" t="s">
        <v>169</v>
      </c>
      <c r="C95" s="22" t="s">
        <v>170</v>
      </c>
      <c r="D95" s="22" t="s">
        <v>171</v>
      </c>
      <c r="E95" s="21"/>
      <c r="F95" s="21"/>
      <c r="G95" s="21"/>
    </row>
    <row r="96" spans="1:8" ht="17.100000000000001" customHeight="1" x14ac:dyDescent="0.2">
      <c r="A96" s="21"/>
      <c r="B96" s="4" t="s">
        <v>172</v>
      </c>
      <c r="C96" s="24">
        <v>17.4495</v>
      </c>
      <c r="D96" s="24">
        <v>17.705300000000001</v>
      </c>
      <c r="E96" s="21"/>
      <c r="F96" s="18"/>
      <c r="G96" s="25"/>
    </row>
    <row r="97" spans="1:7" ht="17.100000000000001" customHeight="1" x14ac:dyDescent="0.2">
      <c r="A97" s="21"/>
      <c r="B97" s="4" t="s">
        <v>1006</v>
      </c>
      <c r="C97" s="24">
        <v>16.597100000000001</v>
      </c>
      <c r="D97" s="24">
        <v>16.840299999999999</v>
      </c>
      <c r="E97" s="21"/>
      <c r="F97" s="18"/>
      <c r="G97" s="25"/>
    </row>
    <row r="98" spans="1:7" ht="17.100000000000001" customHeight="1" x14ac:dyDescent="0.2">
      <c r="A98" s="21"/>
      <c r="B98" s="4" t="s">
        <v>173</v>
      </c>
      <c r="C98" s="24">
        <v>16.978300000000001</v>
      </c>
      <c r="D98" s="24">
        <v>17.219100000000001</v>
      </c>
      <c r="E98" s="21"/>
      <c r="F98" s="18"/>
      <c r="G98" s="25"/>
    </row>
    <row r="99" spans="1:7" ht="17.100000000000001" customHeight="1" x14ac:dyDescent="0.2">
      <c r="A99" s="21"/>
      <c r="B99" s="4" t="s">
        <v>1007</v>
      </c>
      <c r="C99" s="24">
        <v>16.334099999999999</v>
      </c>
      <c r="D99" s="24">
        <v>16.565799999999999</v>
      </c>
      <c r="E99" s="21"/>
      <c r="F99" s="18"/>
      <c r="G99" s="25"/>
    </row>
    <row r="100" spans="1:7" ht="14.1" customHeight="1" x14ac:dyDescent="0.2">
      <c r="A100" s="21"/>
      <c r="B100" s="21"/>
      <c r="C100" s="21"/>
      <c r="D100" s="21"/>
      <c r="E100" s="21"/>
      <c r="F100" s="21"/>
      <c r="G100" s="21"/>
    </row>
    <row r="101" spans="1:7" ht="17.100000000000001" customHeight="1" x14ac:dyDescent="0.2">
      <c r="A101" s="21"/>
      <c r="B101" s="176" t="s">
        <v>1008</v>
      </c>
      <c r="C101" s="177"/>
      <c r="D101" s="2" t="s">
        <v>164</v>
      </c>
      <c r="E101" s="21"/>
      <c r="F101" s="21"/>
      <c r="G101" s="21"/>
    </row>
    <row r="102" spans="1:7" ht="18" customHeight="1" x14ac:dyDescent="0.2">
      <c r="A102" s="21"/>
      <c r="B102" s="26"/>
      <c r="C102" s="26"/>
      <c r="D102" s="26"/>
      <c r="E102" s="21"/>
      <c r="F102" s="21"/>
      <c r="G102" s="21"/>
    </row>
    <row r="103" spans="1:7" ht="29.1" customHeight="1" x14ac:dyDescent="0.2">
      <c r="A103" s="21"/>
      <c r="B103" s="176" t="s">
        <v>174</v>
      </c>
      <c r="C103" s="177"/>
      <c r="D103" s="2" t="s">
        <v>164</v>
      </c>
      <c r="E103" s="27"/>
      <c r="F103" s="21"/>
      <c r="G103" s="21"/>
    </row>
    <row r="104" spans="1:7" ht="29.1" customHeight="1" x14ac:dyDescent="0.2">
      <c r="A104" s="21"/>
      <c r="B104" s="176" t="s">
        <v>175</v>
      </c>
      <c r="C104" s="177"/>
      <c r="D104" s="2" t="s">
        <v>164</v>
      </c>
      <c r="E104" s="27"/>
      <c r="F104" s="21"/>
      <c r="G104" s="21"/>
    </row>
    <row r="105" spans="1:7" ht="17.100000000000001" customHeight="1" x14ac:dyDescent="0.2">
      <c r="A105" s="21"/>
      <c r="B105" s="176" t="s">
        <v>176</v>
      </c>
      <c r="C105" s="177"/>
      <c r="D105" s="2" t="s">
        <v>164</v>
      </c>
      <c r="E105" s="27"/>
      <c r="F105" s="21"/>
      <c r="G105" s="21"/>
    </row>
    <row r="106" spans="1:7" ht="17.100000000000001" customHeight="1" x14ac:dyDescent="0.2">
      <c r="A106" s="21"/>
      <c r="B106" s="176" t="s">
        <v>177</v>
      </c>
      <c r="C106" s="177"/>
      <c r="D106" s="60">
        <v>9.9156241494040356E-2</v>
      </c>
      <c r="E106" s="21"/>
      <c r="F106" s="18"/>
      <c r="G106" s="25"/>
    </row>
    <row r="140" spans="10:14" x14ac:dyDescent="0.2">
      <c r="J140" s="162"/>
      <c r="K140" s="162"/>
      <c r="L140" s="162"/>
      <c r="M140" s="162"/>
      <c r="N140" s="162"/>
    </row>
  </sheetData>
  <mergeCells count="13">
    <mergeCell ref="B106:C106"/>
    <mergeCell ref="B92:C92"/>
    <mergeCell ref="B93:C93"/>
    <mergeCell ref="B101:C101"/>
    <mergeCell ref="B103:C103"/>
    <mergeCell ref="B104:C104"/>
    <mergeCell ref="B105:C105"/>
    <mergeCell ref="J2:N2"/>
    <mergeCell ref="B91:C91"/>
    <mergeCell ref="B90:D90"/>
    <mergeCell ref="A1:H1"/>
    <mergeCell ref="A2:H2"/>
    <mergeCell ref="A3:H3"/>
  </mergeCells>
  <hyperlinks>
    <hyperlink ref="I1" location="Index!B4" display="Index" xr:uid="{5C95772F-8491-4AF7-B1EC-549D61EB3B9D}"/>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O140"/>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5" ht="18" customHeight="1" x14ac:dyDescent="0.2">
      <c r="A1" s="182" t="s">
        <v>0</v>
      </c>
      <c r="B1" s="182"/>
      <c r="C1" s="182"/>
      <c r="D1" s="182"/>
      <c r="E1" s="182"/>
      <c r="F1" s="182"/>
      <c r="G1" s="182"/>
      <c r="H1" s="182"/>
      <c r="I1" s="159" t="s">
        <v>1044</v>
      </c>
    </row>
    <row r="2" spans="1:15" ht="17.100000000000001" customHeight="1" x14ac:dyDescent="0.2">
      <c r="A2" s="183" t="s">
        <v>316</v>
      </c>
      <c r="B2" s="184"/>
      <c r="C2" s="184"/>
      <c r="D2" s="184"/>
      <c r="E2" s="184"/>
      <c r="F2" s="184"/>
      <c r="G2" s="184"/>
      <c r="H2" s="185"/>
      <c r="J2" s="175" t="s">
        <v>1045</v>
      </c>
      <c r="K2" s="175"/>
      <c r="L2" s="175"/>
      <c r="M2" s="175"/>
      <c r="N2" s="175"/>
    </row>
    <row r="3" spans="1:15" ht="21" customHeight="1" x14ac:dyDescent="0.2">
      <c r="A3" s="182" t="s">
        <v>1016</v>
      </c>
      <c r="B3" s="182"/>
      <c r="C3" s="182"/>
      <c r="D3" s="182"/>
      <c r="E3" s="182"/>
      <c r="F3" s="182"/>
      <c r="G3" s="182"/>
      <c r="H3" s="182"/>
    </row>
    <row r="4" spans="1:15" ht="30" x14ac:dyDescent="0.2">
      <c r="A4" s="107" t="s">
        <v>2</v>
      </c>
      <c r="B4" s="107" t="s">
        <v>3</v>
      </c>
      <c r="C4" s="107" t="s">
        <v>4</v>
      </c>
      <c r="D4" s="107" t="s">
        <v>5</v>
      </c>
      <c r="E4" s="107" t="s">
        <v>6</v>
      </c>
      <c r="F4" s="107" t="s">
        <v>7</v>
      </c>
      <c r="G4" s="107" t="s">
        <v>8</v>
      </c>
      <c r="H4" s="104" t="s">
        <v>1003</v>
      </c>
      <c r="I4" s="108"/>
      <c r="J4" s="108"/>
      <c r="K4" s="108"/>
      <c r="L4" s="108"/>
      <c r="M4" s="108"/>
      <c r="N4" s="108"/>
      <c r="O4" s="108"/>
    </row>
    <row r="5" spans="1:15" ht="14.1" customHeight="1" x14ac:dyDescent="0.2">
      <c r="A5" s="1"/>
      <c r="B5" s="1"/>
      <c r="C5" s="2" t="s">
        <v>9</v>
      </c>
      <c r="D5" s="1"/>
      <c r="E5" s="1"/>
      <c r="F5" s="1"/>
      <c r="G5" s="1"/>
      <c r="H5" s="105"/>
    </row>
    <row r="6" spans="1:15" ht="24" customHeight="1" x14ac:dyDescent="0.2">
      <c r="A6" s="1"/>
      <c r="B6" s="1"/>
      <c r="C6" s="2" t="s">
        <v>10</v>
      </c>
      <c r="D6" s="1"/>
      <c r="E6" s="1"/>
      <c r="F6" s="1"/>
      <c r="G6" s="1"/>
      <c r="H6" s="105"/>
    </row>
    <row r="7" spans="1:15" ht="17.100000000000001" customHeight="1" x14ac:dyDescent="0.2">
      <c r="A7" s="3">
        <v>1</v>
      </c>
      <c r="B7" s="4" t="s">
        <v>23</v>
      </c>
      <c r="C7" s="4" t="s">
        <v>24</v>
      </c>
      <c r="D7" s="4" t="s">
        <v>25</v>
      </c>
      <c r="E7" s="5">
        <v>66398</v>
      </c>
      <c r="F7" s="6">
        <v>609.30124699999999</v>
      </c>
      <c r="G7" s="7">
        <v>7.0124909999999999E-2</v>
      </c>
      <c r="H7" s="105"/>
    </row>
    <row r="8" spans="1:15" ht="17.100000000000001" customHeight="1" x14ac:dyDescent="0.2">
      <c r="A8" s="3">
        <v>2</v>
      </c>
      <c r="B8" s="4" t="s">
        <v>17</v>
      </c>
      <c r="C8" s="4" t="s">
        <v>18</v>
      </c>
      <c r="D8" s="4" t="s">
        <v>19</v>
      </c>
      <c r="E8" s="5">
        <v>21671</v>
      </c>
      <c r="F8" s="6">
        <v>524.54655500000001</v>
      </c>
      <c r="G8" s="7">
        <v>6.0370430000000003E-2</v>
      </c>
      <c r="H8" s="105"/>
    </row>
    <row r="9" spans="1:15" ht="17.100000000000001" customHeight="1" x14ac:dyDescent="0.2">
      <c r="A9" s="3">
        <v>3</v>
      </c>
      <c r="B9" s="4" t="s">
        <v>29</v>
      </c>
      <c r="C9" s="4" t="s">
        <v>30</v>
      </c>
      <c r="D9" s="4" t="s">
        <v>25</v>
      </c>
      <c r="E9" s="5">
        <v>73332</v>
      </c>
      <c r="F9" s="6">
        <v>424.07895600000001</v>
      </c>
      <c r="G9" s="7">
        <v>4.8807540000000003E-2</v>
      </c>
      <c r="H9" s="105"/>
    </row>
    <row r="10" spans="1:15" ht="17.100000000000001" customHeight="1" x14ac:dyDescent="0.2">
      <c r="A10" s="3">
        <v>4</v>
      </c>
      <c r="B10" s="4" t="s">
        <v>203</v>
      </c>
      <c r="C10" s="4" t="s">
        <v>204</v>
      </c>
      <c r="D10" s="4" t="s">
        <v>25</v>
      </c>
      <c r="E10" s="5">
        <v>38735</v>
      </c>
      <c r="F10" s="6">
        <v>333.12099999999998</v>
      </c>
      <c r="G10" s="7">
        <v>3.8339129999999999E-2</v>
      </c>
      <c r="H10" s="105"/>
    </row>
    <row r="11" spans="1:15" ht="17.100000000000001" customHeight="1" x14ac:dyDescent="0.2">
      <c r="A11" s="3">
        <v>5</v>
      </c>
      <c r="B11" s="4" t="s">
        <v>317</v>
      </c>
      <c r="C11" s="4" t="s">
        <v>318</v>
      </c>
      <c r="D11" s="4" t="s">
        <v>25</v>
      </c>
      <c r="E11" s="5">
        <v>18055</v>
      </c>
      <c r="F11" s="6">
        <v>304.69618000000003</v>
      </c>
      <c r="G11" s="7">
        <v>3.50677E-2</v>
      </c>
      <c r="H11" s="105"/>
    </row>
    <row r="12" spans="1:15" ht="17.100000000000001" customHeight="1" x14ac:dyDescent="0.2">
      <c r="A12" s="3">
        <v>6</v>
      </c>
      <c r="B12" s="4" t="s">
        <v>302</v>
      </c>
      <c r="C12" s="4" t="s">
        <v>303</v>
      </c>
      <c r="D12" s="4" t="s">
        <v>953</v>
      </c>
      <c r="E12" s="5">
        <v>24299</v>
      </c>
      <c r="F12" s="6">
        <v>304.40572250000002</v>
      </c>
      <c r="G12" s="7">
        <v>3.5034269999999999E-2</v>
      </c>
      <c r="H12" s="105"/>
    </row>
    <row r="13" spans="1:15" ht="29.1" customHeight="1" x14ac:dyDescent="0.2">
      <c r="A13" s="3">
        <v>7</v>
      </c>
      <c r="B13" s="4" t="s">
        <v>308</v>
      </c>
      <c r="C13" s="4" t="s">
        <v>309</v>
      </c>
      <c r="D13" s="4" t="s">
        <v>128</v>
      </c>
      <c r="E13" s="5">
        <v>10956</v>
      </c>
      <c r="F13" s="6">
        <v>304.09473600000001</v>
      </c>
      <c r="G13" s="7">
        <v>3.4998479999999998E-2</v>
      </c>
      <c r="H13" s="105"/>
      <c r="J13" s="161" t="s">
        <v>1049</v>
      </c>
    </row>
    <row r="14" spans="1:15" ht="29.1" customHeight="1" x14ac:dyDescent="0.2">
      <c r="A14" s="3">
        <v>8</v>
      </c>
      <c r="B14" s="4" t="s">
        <v>249</v>
      </c>
      <c r="C14" s="4" t="s">
        <v>250</v>
      </c>
      <c r="D14" s="4" t="s">
        <v>121</v>
      </c>
      <c r="E14" s="5">
        <v>70938</v>
      </c>
      <c r="F14" s="6">
        <v>180.82096200000001</v>
      </c>
      <c r="G14" s="7">
        <v>2.0810809999999999E-2</v>
      </c>
      <c r="H14" s="105"/>
    </row>
    <row r="15" spans="1:15" ht="17.100000000000001" customHeight="1" x14ac:dyDescent="0.2">
      <c r="A15" s="3">
        <v>9</v>
      </c>
      <c r="B15" s="4" t="s">
        <v>11</v>
      </c>
      <c r="C15" s="4" t="s">
        <v>12</v>
      </c>
      <c r="D15" s="4" t="s">
        <v>13</v>
      </c>
      <c r="E15" s="5">
        <v>7444</v>
      </c>
      <c r="F15" s="6">
        <v>176.00593599999999</v>
      </c>
      <c r="G15" s="7">
        <v>2.0256650000000001E-2</v>
      </c>
      <c r="H15" s="105"/>
    </row>
    <row r="16" spans="1:15" ht="17.100000000000001" customHeight="1" x14ac:dyDescent="0.2">
      <c r="A16" s="3">
        <v>10</v>
      </c>
      <c r="B16" s="4" t="s">
        <v>37</v>
      </c>
      <c r="C16" s="4" t="s">
        <v>38</v>
      </c>
      <c r="D16" s="4" t="s">
        <v>33</v>
      </c>
      <c r="E16" s="5">
        <v>8928</v>
      </c>
      <c r="F16" s="6">
        <v>169.66771199999999</v>
      </c>
      <c r="G16" s="7">
        <v>1.9527180000000002E-2</v>
      </c>
      <c r="H16" s="105"/>
    </row>
    <row r="17" spans="1:8" ht="17.100000000000001" customHeight="1" x14ac:dyDescent="0.2">
      <c r="A17" s="3">
        <v>11</v>
      </c>
      <c r="B17" s="4" t="s">
        <v>319</v>
      </c>
      <c r="C17" s="4" t="s">
        <v>320</v>
      </c>
      <c r="D17" s="4" t="s">
        <v>953</v>
      </c>
      <c r="E17" s="5">
        <v>5191</v>
      </c>
      <c r="F17" s="6">
        <v>167.1112675</v>
      </c>
      <c r="G17" s="7">
        <v>1.9232949999999999E-2</v>
      </c>
      <c r="H17" s="105"/>
    </row>
    <row r="18" spans="1:8" ht="17.100000000000001" customHeight="1" x14ac:dyDescent="0.2">
      <c r="A18" s="3">
        <v>12</v>
      </c>
      <c r="B18" s="4" t="s">
        <v>321</v>
      </c>
      <c r="C18" s="4" t="s">
        <v>322</v>
      </c>
      <c r="D18" s="4" t="s">
        <v>217</v>
      </c>
      <c r="E18" s="5">
        <v>14560</v>
      </c>
      <c r="F18" s="6">
        <v>165.99856</v>
      </c>
      <c r="G18" s="7">
        <v>1.9104889999999999E-2</v>
      </c>
      <c r="H18" s="105"/>
    </row>
    <row r="19" spans="1:8" ht="29.1" customHeight="1" x14ac:dyDescent="0.2">
      <c r="A19" s="3">
        <v>13</v>
      </c>
      <c r="B19" s="4" t="s">
        <v>304</v>
      </c>
      <c r="C19" s="4" t="s">
        <v>305</v>
      </c>
      <c r="D19" s="4" t="s">
        <v>212</v>
      </c>
      <c r="E19" s="5">
        <v>16801</v>
      </c>
      <c r="F19" s="6">
        <v>165.93507650000001</v>
      </c>
      <c r="G19" s="7">
        <v>1.9097579999999999E-2</v>
      </c>
      <c r="H19" s="105"/>
    </row>
    <row r="20" spans="1:8" ht="17.100000000000001" customHeight="1" x14ac:dyDescent="0.2">
      <c r="A20" s="3">
        <v>14</v>
      </c>
      <c r="B20" s="4" t="s">
        <v>306</v>
      </c>
      <c r="C20" s="4" t="s">
        <v>307</v>
      </c>
      <c r="D20" s="4" t="s">
        <v>232</v>
      </c>
      <c r="E20" s="5">
        <v>9870</v>
      </c>
      <c r="F20" s="6">
        <v>144.41290499999999</v>
      </c>
      <c r="G20" s="7">
        <v>1.6620579999999999E-2</v>
      </c>
      <c r="H20" s="105"/>
    </row>
    <row r="21" spans="1:8" ht="17.100000000000001" customHeight="1" x14ac:dyDescent="0.2">
      <c r="A21" s="3">
        <v>15</v>
      </c>
      <c r="B21" s="4" t="s">
        <v>293</v>
      </c>
      <c r="C21" s="4" t="s">
        <v>294</v>
      </c>
      <c r="D21" s="4" t="s">
        <v>19</v>
      </c>
      <c r="E21" s="5">
        <v>54676</v>
      </c>
      <c r="F21" s="6">
        <v>137.37344999999999</v>
      </c>
      <c r="G21" s="7">
        <v>1.581041E-2</v>
      </c>
      <c r="H21" s="105"/>
    </row>
    <row r="22" spans="1:8" ht="17.100000000000001" customHeight="1" x14ac:dyDescent="0.2">
      <c r="A22" s="3">
        <v>16</v>
      </c>
      <c r="B22" s="4" t="s">
        <v>79</v>
      </c>
      <c r="C22" s="4" t="s">
        <v>80</v>
      </c>
      <c r="D22" s="4" t="s">
        <v>81</v>
      </c>
      <c r="E22" s="5">
        <v>4780</v>
      </c>
      <c r="F22" s="6">
        <v>132.62826999999999</v>
      </c>
      <c r="G22" s="7">
        <v>1.526428E-2</v>
      </c>
      <c r="H22" s="105"/>
    </row>
    <row r="23" spans="1:8" ht="29.1" customHeight="1" x14ac:dyDescent="0.2">
      <c r="A23" s="3">
        <v>17</v>
      </c>
      <c r="B23" s="4" t="s">
        <v>181</v>
      </c>
      <c r="C23" s="4" t="s">
        <v>182</v>
      </c>
      <c r="D23" s="4" t="s">
        <v>183</v>
      </c>
      <c r="E23" s="5">
        <v>2720</v>
      </c>
      <c r="F23" s="6">
        <v>131.92544000000001</v>
      </c>
      <c r="G23" s="7">
        <v>1.518339E-2</v>
      </c>
      <c r="H23" s="105"/>
    </row>
    <row r="24" spans="1:8" ht="17.100000000000001" customHeight="1" x14ac:dyDescent="0.2">
      <c r="A24" s="3">
        <v>18</v>
      </c>
      <c r="B24" s="4" t="s">
        <v>14</v>
      </c>
      <c r="C24" s="4" t="s">
        <v>15</v>
      </c>
      <c r="D24" s="4" t="s">
        <v>16</v>
      </c>
      <c r="E24" s="5">
        <v>16387</v>
      </c>
      <c r="F24" s="6">
        <v>130.981291</v>
      </c>
      <c r="G24" s="7">
        <v>1.507473E-2</v>
      </c>
      <c r="H24" s="105"/>
    </row>
    <row r="25" spans="1:8" ht="17.100000000000001" customHeight="1" x14ac:dyDescent="0.2">
      <c r="A25" s="3">
        <v>19</v>
      </c>
      <c r="B25" s="4" t="s">
        <v>205</v>
      </c>
      <c r="C25" s="4" t="s">
        <v>206</v>
      </c>
      <c r="D25" s="4" t="s">
        <v>207</v>
      </c>
      <c r="E25" s="5">
        <v>20478</v>
      </c>
      <c r="F25" s="6">
        <v>119.35602299999999</v>
      </c>
      <c r="G25" s="7">
        <v>1.3736770000000001E-2</v>
      </c>
      <c r="H25" s="105"/>
    </row>
    <row r="26" spans="1:8" ht="17.100000000000001" customHeight="1" x14ac:dyDescent="0.2">
      <c r="A26" s="3">
        <v>20</v>
      </c>
      <c r="B26" s="4" t="s">
        <v>323</v>
      </c>
      <c r="C26" s="4" t="s">
        <v>324</v>
      </c>
      <c r="D26" s="4" t="s">
        <v>953</v>
      </c>
      <c r="E26" s="5">
        <v>10771</v>
      </c>
      <c r="F26" s="6">
        <v>114.614211</v>
      </c>
      <c r="G26" s="7">
        <v>1.3191029999999999E-2</v>
      </c>
      <c r="H26" s="105"/>
    </row>
    <row r="27" spans="1:8" ht="17.100000000000001" customHeight="1" x14ac:dyDescent="0.2">
      <c r="A27" s="3">
        <v>21</v>
      </c>
      <c r="B27" s="4" t="s">
        <v>193</v>
      </c>
      <c r="C27" s="4" t="s">
        <v>194</v>
      </c>
      <c r="D27" s="4" t="s">
        <v>195</v>
      </c>
      <c r="E27" s="5">
        <v>8029</v>
      </c>
      <c r="F27" s="6">
        <v>109.8166475</v>
      </c>
      <c r="G27" s="7">
        <v>1.263887E-2</v>
      </c>
      <c r="H27" s="105"/>
    </row>
    <row r="28" spans="1:8" ht="29.1" customHeight="1" x14ac:dyDescent="0.2">
      <c r="A28" s="3">
        <v>22</v>
      </c>
      <c r="B28" s="4" t="s">
        <v>188</v>
      </c>
      <c r="C28" s="4" t="s">
        <v>189</v>
      </c>
      <c r="D28" s="4" t="s">
        <v>190</v>
      </c>
      <c r="E28" s="5">
        <v>9400</v>
      </c>
      <c r="F28" s="6">
        <v>88.590299999999999</v>
      </c>
      <c r="G28" s="7">
        <v>1.0195920000000001E-2</v>
      </c>
      <c r="H28" s="105"/>
    </row>
    <row r="29" spans="1:8" ht="17.100000000000001" customHeight="1" x14ac:dyDescent="0.2">
      <c r="A29" s="3">
        <v>23</v>
      </c>
      <c r="B29" s="4" t="s">
        <v>325</v>
      </c>
      <c r="C29" s="4" t="s">
        <v>326</v>
      </c>
      <c r="D29" s="4" t="s">
        <v>1020</v>
      </c>
      <c r="E29" s="5">
        <v>3573</v>
      </c>
      <c r="F29" s="6">
        <v>87.799329</v>
      </c>
      <c r="G29" s="7">
        <v>1.010489E-2</v>
      </c>
      <c r="H29" s="105"/>
    </row>
    <row r="30" spans="1:8" ht="17.100000000000001" customHeight="1" x14ac:dyDescent="0.2">
      <c r="A30" s="3">
        <v>24</v>
      </c>
      <c r="B30" s="4" t="s">
        <v>213</v>
      </c>
      <c r="C30" s="4" t="s">
        <v>214</v>
      </c>
      <c r="D30" s="4" t="s">
        <v>25</v>
      </c>
      <c r="E30" s="5">
        <v>46340</v>
      </c>
      <c r="F30" s="6">
        <v>87.003349999999998</v>
      </c>
      <c r="G30" s="7">
        <v>1.0013279999999999E-2</v>
      </c>
      <c r="H30" s="105"/>
    </row>
    <row r="31" spans="1:8" ht="29.1" customHeight="1" x14ac:dyDescent="0.2">
      <c r="A31" s="3">
        <v>25</v>
      </c>
      <c r="B31" s="4" t="s">
        <v>20</v>
      </c>
      <c r="C31" s="4" t="s">
        <v>21</v>
      </c>
      <c r="D31" s="4" t="s">
        <v>22</v>
      </c>
      <c r="E31" s="5">
        <v>1150</v>
      </c>
      <c r="F31" s="6">
        <v>86.896299999999997</v>
      </c>
      <c r="G31" s="7">
        <v>1.000096E-2</v>
      </c>
      <c r="H31" s="105"/>
    </row>
    <row r="32" spans="1:8" ht="17.100000000000001" customHeight="1" x14ac:dyDescent="0.2">
      <c r="A32" s="3">
        <v>26</v>
      </c>
      <c r="B32" s="4" t="s">
        <v>314</v>
      </c>
      <c r="C32" s="4" t="s">
        <v>315</v>
      </c>
      <c r="D32" s="4" t="s">
        <v>223</v>
      </c>
      <c r="E32" s="5">
        <v>7066</v>
      </c>
      <c r="F32" s="6">
        <v>84.498761000000002</v>
      </c>
      <c r="G32" s="7">
        <v>9.7250199999999992E-3</v>
      </c>
      <c r="H32" s="105"/>
    </row>
    <row r="33" spans="1:8" ht="17.100000000000001" customHeight="1" x14ac:dyDescent="0.2">
      <c r="A33" s="3">
        <v>27</v>
      </c>
      <c r="B33" s="4" t="s">
        <v>108</v>
      </c>
      <c r="C33" s="4" t="s">
        <v>109</v>
      </c>
      <c r="D33" s="4" t="s">
        <v>19</v>
      </c>
      <c r="E33" s="5">
        <v>21882</v>
      </c>
      <c r="F33" s="6">
        <v>78.250032000000004</v>
      </c>
      <c r="G33" s="7">
        <v>9.0058499999999993E-3</v>
      </c>
      <c r="H33" s="105"/>
    </row>
    <row r="34" spans="1:8" ht="29.1" customHeight="1" x14ac:dyDescent="0.2">
      <c r="A34" s="3">
        <v>28</v>
      </c>
      <c r="B34" s="4" t="s">
        <v>247</v>
      </c>
      <c r="C34" s="4" t="s">
        <v>248</v>
      </c>
      <c r="D34" s="4" t="s">
        <v>212</v>
      </c>
      <c r="E34" s="5">
        <v>25434</v>
      </c>
      <c r="F34" s="6">
        <v>78.234983999999997</v>
      </c>
      <c r="G34" s="7">
        <v>9.0041199999999991E-3</v>
      </c>
      <c r="H34" s="105"/>
    </row>
    <row r="35" spans="1:8" ht="17.100000000000001" customHeight="1" x14ac:dyDescent="0.2">
      <c r="A35" s="3">
        <v>29</v>
      </c>
      <c r="B35" s="4" t="s">
        <v>327</v>
      </c>
      <c r="C35" s="4" t="s">
        <v>328</v>
      </c>
      <c r="D35" s="4" t="s">
        <v>329</v>
      </c>
      <c r="E35" s="5">
        <v>6326</v>
      </c>
      <c r="F35" s="6">
        <v>77.812962999999996</v>
      </c>
      <c r="G35" s="7">
        <v>8.9555499999999996E-3</v>
      </c>
      <c r="H35" s="105"/>
    </row>
    <row r="36" spans="1:8" ht="17.100000000000001" customHeight="1" x14ac:dyDescent="0.2">
      <c r="A36" s="3">
        <v>30</v>
      </c>
      <c r="B36" s="4" t="s">
        <v>330</v>
      </c>
      <c r="C36" s="4" t="s">
        <v>331</v>
      </c>
      <c r="D36" s="4" t="s">
        <v>953</v>
      </c>
      <c r="E36" s="5">
        <v>6698</v>
      </c>
      <c r="F36" s="6">
        <v>68.567425999999998</v>
      </c>
      <c r="G36" s="7">
        <v>7.8914699999999994E-3</v>
      </c>
      <c r="H36" s="105"/>
    </row>
    <row r="37" spans="1:8" ht="17.100000000000001" customHeight="1" x14ac:dyDescent="0.2">
      <c r="A37" s="3">
        <v>31</v>
      </c>
      <c r="B37" s="4" t="s">
        <v>57</v>
      </c>
      <c r="C37" s="4" t="s">
        <v>58</v>
      </c>
      <c r="D37" s="4" t="s">
        <v>59</v>
      </c>
      <c r="E37" s="5">
        <v>10722</v>
      </c>
      <c r="F37" s="6">
        <v>65.586473999999995</v>
      </c>
      <c r="G37" s="7">
        <v>7.5483900000000003E-3</v>
      </c>
      <c r="H37" s="105"/>
    </row>
    <row r="38" spans="1:8" ht="17.100000000000001" customHeight="1" x14ac:dyDescent="0.2">
      <c r="A38" s="3">
        <v>32</v>
      </c>
      <c r="B38" s="4" t="s">
        <v>332</v>
      </c>
      <c r="C38" s="4" t="s">
        <v>333</v>
      </c>
      <c r="D38" s="4" t="s">
        <v>105</v>
      </c>
      <c r="E38" s="5">
        <v>4963</v>
      </c>
      <c r="F38" s="6">
        <v>60.891047</v>
      </c>
      <c r="G38" s="7">
        <v>7.0079900000000004E-3</v>
      </c>
      <c r="H38" s="105"/>
    </row>
    <row r="39" spans="1:8" ht="17.100000000000001" customHeight="1" x14ac:dyDescent="0.2">
      <c r="A39" s="3">
        <v>33</v>
      </c>
      <c r="B39" s="4" t="s">
        <v>269</v>
      </c>
      <c r="C39" s="4" t="s">
        <v>270</v>
      </c>
      <c r="D39" s="4" t="s">
        <v>271</v>
      </c>
      <c r="E39" s="5">
        <v>131</v>
      </c>
      <c r="F39" s="6">
        <v>52.820117000000003</v>
      </c>
      <c r="G39" s="7">
        <v>6.0790999999999996E-3</v>
      </c>
      <c r="H39" s="105"/>
    </row>
    <row r="40" spans="1:8" ht="17.100000000000001" customHeight="1" x14ac:dyDescent="0.2">
      <c r="A40" s="3">
        <v>34</v>
      </c>
      <c r="B40" s="4" t="s">
        <v>310</v>
      </c>
      <c r="C40" s="4" t="s">
        <v>311</v>
      </c>
      <c r="D40" s="4" t="s">
        <v>207</v>
      </c>
      <c r="E40" s="5">
        <v>45750</v>
      </c>
      <c r="F40" s="6">
        <v>49.387124999999997</v>
      </c>
      <c r="G40" s="7">
        <v>5.6839999999999998E-3</v>
      </c>
      <c r="H40" s="105"/>
    </row>
    <row r="41" spans="1:8" ht="17.100000000000001" customHeight="1" x14ac:dyDescent="0.2">
      <c r="A41" s="3">
        <v>35</v>
      </c>
      <c r="B41" s="4" t="s">
        <v>312</v>
      </c>
      <c r="C41" s="4" t="s">
        <v>313</v>
      </c>
      <c r="D41" s="4" t="s">
        <v>25</v>
      </c>
      <c r="E41" s="5">
        <v>4209</v>
      </c>
      <c r="F41" s="6">
        <v>48.521352</v>
      </c>
      <c r="G41" s="7">
        <v>5.58436E-3</v>
      </c>
      <c r="H41" s="105"/>
    </row>
    <row r="42" spans="1:8" ht="29.1" customHeight="1" x14ac:dyDescent="0.2">
      <c r="A42" s="3">
        <v>36</v>
      </c>
      <c r="B42" s="4" t="s">
        <v>334</v>
      </c>
      <c r="C42" s="4" t="s">
        <v>335</v>
      </c>
      <c r="D42" s="4" t="s">
        <v>183</v>
      </c>
      <c r="E42" s="5">
        <v>10172</v>
      </c>
      <c r="F42" s="6">
        <v>43.622622</v>
      </c>
      <c r="G42" s="7">
        <v>5.0205600000000003E-3</v>
      </c>
      <c r="H42" s="105"/>
    </row>
    <row r="43" spans="1:8" ht="17.100000000000001" customHeight="1" x14ac:dyDescent="0.2">
      <c r="A43" s="3">
        <v>37</v>
      </c>
      <c r="B43" s="4" t="s">
        <v>114</v>
      </c>
      <c r="C43" s="4" t="s">
        <v>115</v>
      </c>
      <c r="D43" s="4" t="s">
        <v>116</v>
      </c>
      <c r="E43" s="5">
        <v>9997</v>
      </c>
      <c r="F43" s="6">
        <v>43.596916999999998</v>
      </c>
      <c r="G43" s="7">
        <v>5.0175999999999997E-3</v>
      </c>
      <c r="H43" s="105"/>
    </row>
    <row r="44" spans="1:8" ht="17.100000000000001" customHeight="1" x14ac:dyDescent="0.2">
      <c r="A44" s="3">
        <v>38</v>
      </c>
      <c r="B44" s="4" t="s">
        <v>119</v>
      </c>
      <c r="C44" s="4" t="s">
        <v>120</v>
      </c>
      <c r="D44" s="4" t="s">
        <v>121</v>
      </c>
      <c r="E44" s="5">
        <v>13000</v>
      </c>
      <c r="F44" s="6">
        <v>38.779000000000003</v>
      </c>
      <c r="G44" s="7">
        <v>4.4631000000000002E-3</v>
      </c>
      <c r="H44" s="105"/>
    </row>
    <row r="45" spans="1:8" ht="17.100000000000001" customHeight="1" x14ac:dyDescent="0.2">
      <c r="A45" s="3">
        <v>39</v>
      </c>
      <c r="B45" s="4" t="s">
        <v>215</v>
      </c>
      <c r="C45" s="4" t="s">
        <v>216</v>
      </c>
      <c r="D45" s="4" t="s">
        <v>217</v>
      </c>
      <c r="E45" s="5">
        <v>5927</v>
      </c>
      <c r="F45" s="6">
        <v>37.917982500000001</v>
      </c>
      <c r="G45" s="7">
        <v>4.3640099999999998E-3</v>
      </c>
      <c r="H45" s="105"/>
    </row>
    <row r="46" spans="1:8" ht="14.1" customHeight="1" x14ac:dyDescent="0.2">
      <c r="A46" s="1"/>
      <c r="B46" s="1"/>
      <c r="C46" s="2" t="s">
        <v>132</v>
      </c>
      <c r="D46" s="1"/>
      <c r="E46" s="1" t="s">
        <v>133</v>
      </c>
      <c r="F46" s="9">
        <v>6029.6682295000001</v>
      </c>
      <c r="G46" s="10">
        <v>0.69395874999999996</v>
      </c>
      <c r="H46" s="105"/>
    </row>
    <row r="47" spans="1:8" ht="14.1" customHeight="1" x14ac:dyDescent="0.2">
      <c r="A47" s="1"/>
      <c r="B47" s="1"/>
      <c r="C47" s="11"/>
      <c r="D47" s="1"/>
      <c r="E47" s="1"/>
      <c r="F47" s="12"/>
      <c r="G47" s="12"/>
      <c r="H47" s="105"/>
    </row>
    <row r="48" spans="1:8" ht="14.1" customHeight="1" x14ac:dyDescent="0.2">
      <c r="A48" s="1"/>
      <c r="B48" s="1"/>
      <c r="C48" s="2" t="s">
        <v>134</v>
      </c>
      <c r="D48" s="1"/>
      <c r="E48" s="1"/>
      <c r="F48" s="1"/>
      <c r="G48" s="1"/>
      <c r="H48" s="105"/>
    </row>
    <row r="49" spans="1:8" ht="14.1" customHeight="1" x14ac:dyDescent="0.2">
      <c r="A49" s="1"/>
      <c r="B49" s="1"/>
      <c r="C49" s="2" t="s">
        <v>132</v>
      </c>
      <c r="D49" s="1"/>
      <c r="E49" s="1" t="s">
        <v>133</v>
      </c>
      <c r="F49" s="13" t="s">
        <v>135</v>
      </c>
      <c r="G49" s="10">
        <v>0</v>
      </c>
      <c r="H49" s="105"/>
    </row>
    <row r="50" spans="1:8" ht="14.1" customHeight="1" x14ac:dyDescent="0.2">
      <c r="A50" s="1"/>
      <c r="B50" s="1"/>
      <c r="C50" s="11"/>
      <c r="D50" s="1"/>
      <c r="E50" s="1"/>
      <c r="F50" s="12"/>
      <c r="G50" s="12"/>
      <c r="H50" s="105"/>
    </row>
    <row r="51" spans="1:8" ht="14.1" customHeight="1" x14ac:dyDescent="0.2">
      <c r="A51" s="1"/>
      <c r="B51" s="1"/>
      <c r="C51" s="2" t="s">
        <v>136</v>
      </c>
      <c r="D51" s="1"/>
      <c r="E51" s="1"/>
      <c r="F51" s="1"/>
      <c r="G51" s="1"/>
      <c r="H51" s="105"/>
    </row>
    <row r="52" spans="1:8" ht="14.1" customHeight="1" x14ac:dyDescent="0.2">
      <c r="A52" s="1"/>
      <c r="B52" s="1"/>
      <c r="C52" s="2" t="s">
        <v>132</v>
      </c>
      <c r="D52" s="1"/>
      <c r="E52" s="1" t="s">
        <v>133</v>
      </c>
      <c r="F52" s="13" t="s">
        <v>135</v>
      </c>
      <c r="G52" s="10">
        <v>0</v>
      </c>
      <c r="H52" s="105"/>
    </row>
    <row r="53" spans="1:8" ht="14.1" customHeight="1" x14ac:dyDescent="0.2">
      <c r="A53" s="1"/>
      <c r="B53" s="1"/>
      <c r="C53" s="11"/>
      <c r="D53" s="1"/>
      <c r="E53" s="1"/>
      <c r="F53" s="12"/>
      <c r="G53" s="12"/>
      <c r="H53" s="105"/>
    </row>
    <row r="54" spans="1:8" ht="14.1" customHeight="1" x14ac:dyDescent="0.2">
      <c r="A54" s="1"/>
      <c r="B54" s="1"/>
      <c r="C54" s="2" t="s">
        <v>137</v>
      </c>
      <c r="D54" s="1"/>
      <c r="E54" s="1"/>
      <c r="F54" s="1"/>
      <c r="G54" s="1"/>
      <c r="H54" s="105"/>
    </row>
    <row r="55" spans="1:8" ht="14.1" customHeight="1" x14ac:dyDescent="0.2">
      <c r="A55" s="1"/>
      <c r="B55" s="1"/>
      <c r="C55" s="2" t="s">
        <v>132</v>
      </c>
      <c r="D55" s="1"/>
      <c r="E55" s="1" t="s">
        <v>133</v>
      </c>
      <c r="F55" s="13" t="s">
        <v>135</v>
      </c>
      <c r="G55" s="10">
        <v>0</v>
      </c>
      <c r="H55" s="105"/>
    </row>
    <row r="56" spans="1:8" ht="14.1" customHeight="1" x14ac:dyDescent="0.2">
      <c r="A56" s="1"/>
      <c r="B56" s="1"/>
      <c r="C56" s="11"/>
      <c r="D56" s="1"/>
      <c r="E56" s="1"/>
      <c r="F56" s="12"/>
      <c r="G56" s="12"/>
      <c r="H56" s="105"/>
    </row>
    <row r="57" spans="1:8" ht="14.1" customHeight="1" x14ac:dyDescent="0.2">
      <c r="A57" s="1"/>
      <c r="B57" s="1"/>
      <c r="C57" s="2" t="s">
        <v>138</v>
      </c>
      <c r="D57" s="1"/>
      <c r="E57" s="1"/>
      <c r="F57" s="12"/>
      <c r="G57" s="12"/>
      <c r="H57" s="105"/>
    </row>
    <row r="58" spans="1:8" ht="14.1" customHeight="1" x14ac:dyDescent="0.2">
      <c r="A58" s="1"/>
      <c r="B58" s="1"/>
      <c r="C58" s="2" t="s">
        <v>132</v>
      </c>
      <c r="D58" s="1"/>
      <c r="E58" s="1" t="s">
        <v>133</v>
      </c>
      <c r="F58" s="13" t="s">
        <v>135</v>
      </c>
      <c r="G58" s="10">
        <v>0</v>
      </c>
      <c r="H58" s="105"/>
    </row>
    <row r="59" spans="1:8" ht="14.1" customHeight="1" x14ac:dyDescent="0.2">
      <c r="A59" s="1"/>
      <c r="B59" s="1"/>
      <c r="C59" s="11"/>
      <c r="D59" s="1"/>
      <c r="E59" s="1"/>
      <c r="F59" s="12"/>
      <c r="G59" s="12"/>
      <c r="H59" s="105"/>
    </row>
    <row r="60" spans="1:8" ht="14.1" customHeight="1" x14ac:dyDescent="0.2">
      <c r="A60" s="1"/>
      <c r="B60" s="1"/>
      <c r="C60" s="2" t="s">
        <v>139</v>
      </c>
      <c r="D60" s="1"/>
      <c r="E60" s="1"/>
      <c r="F60" s="12"/>
      <c r="G60" s="12"/>
      <c r="H60" s="105"/>
    </row>
    <row r="61" spans="1:8" ht="14.1" customHeight="1" x14ac:dyDescent="0.2">
      <c r="A61" s="1"/>
      <c r="B61" s="1"/>
      <c r="C61" s="2" t="s">
        <v>132</v>
      </c>
      <c r="D61" s="1"/>
      <c r="E61" s="1" t="s">
        <v>133</v>
      </c>
      <c r="F61" s="13" t="s">
        <v>135</v>
      </c>
      <c r="G61" s="10">
        <v>0</v>
      </c>
      <c r="H61" s="105"/>
    </row>
    <row r="62" spans="1:8" ht="14.1" customHeight="1" x14ac:dyDescent="0.2">
      <c r="A62" s="1"/>
      <c r="B62" s="1"/>
      <c r="C62" s="11"/>
      <c r="D62" s="1"/>
      <c r="E62" s="1"/>
      <c r="F62" s="12"/>
      <c r="G62" s="12"/>
      <c r="H62" s="105"/>
    </row>
    <row r="63" spans="1:8" ht="18" customHeight="1" x14ac:dyDescent="0.2">
      <c r="A63" s="1"/>
      <c r="B63" s="1"/>
      <c r="C63" s="2" t="s">
        <v>140</v>
      </c>
      <c r="D63" s="1"/>
      <c r="E63" s="1"/>
      <c r="F63" s="9">
        <v>6029.6682295000001</v>
      </c>
      <c r="G63" s="10">
        <v>0.69395874999999996</v>
      </c>
      <c r="H63" s="105"/>
    </row>
    <row r="64" spans="1:8" ht="14.1" customHeight="1" x14ac:dyDescent="0.2">
      <c r="A64" s="1"/>
      <c r="B64" s="1"/>
      <c r="C64" s="11"/>
      <c r="D64" s="1"/>
      <c r="E64" s="1"/>
      <c r="F64" s="12"/>
      <c r="G64" s="12"/>
      <c r="H64" s="105"/>
    </row>
    <row r="65" spans="1:8" ht="14.1" customHeight="1" x14ac:dyDescent="0.2">
      <c r="A65" s="1"/>
      <c r="B65" s="1"/>
      <c r="C65" s="2" t="s">
        <v>141</v>
      </c>
      <c r="D65" s="1"/>
      <c r="E65" s="1"/>
      <c r="F65" s="12"/>
      <c r="G65" s="12"/>
      <c r="H65" s="105"/>
    </row>
    <row r="66" spans="1:8" ht="24" customHeight="1" x14ac:dyDescent="0.2">
      <c r="A66" s="1"/>
      <c r="B66" s="1"/>
      <c r="C66" s="2" t="s">
        <v>10</v>
      </c>
      <c r="D66" s="1"/>
      <c r="E66" s="1"/>
      <c r="F66" s="12"/>
      <c r="G66" s="12"/>
      <c r="H66" s="105"/>
    </row>
    <row r="67" spans="1:8" ht="14.1" customHeight="1" x14ac:dyDescent="0.2">
      <c r="A67" s="1"/>
      <c r="B67" s="1"/>
      <c r="C67" s="2" t="s">
        <v>132</v>
      </c>
      <c r="D67" s="1"/>
      <c r="E67" s="1" t="s">
        <v>133</v>
      </c>
      <c r="F67" s="13" t="s">
        <v>135</v>
      </c>
      <c r="G67" s="10">
        <v>0</v>
      </c>
      <c r="H67" s="105"/>
    </row>
    <row r="68" spans="1:8" ht="14.1" customHeight="1" x14ac:dyDescent="0.2">
      <c r="A68" s="1"/>
      <c r="B68" s="1"/>
      <c r="C68" s="11"/>
      <c r="D68" s="1"/>
      <c r="E68" s="1"/>
      <c r="F68" s="12"/>
      <c r="G68" s="12"/>
      <c r="H68" s="105"/>
    </row>
    <row r="69" spans="1:8" ht="14.1" customHeight="1" x14ac:dyDescent="0.2">
      <c r="A69" s="1"/>
      <c r="B69" s="1"/>
      <c r="C69" s="2" t="s">
        <v>142</v>
      </c>
      <c r="D69" s="1"/>
      <c r="E69" s="1"/>
      <c r="F69" s="1"/>
      <c r="G69" s="1"/>
      <c r="H69" s="105"/>
    </row>
    <row r="70" spans="1:8" ht="14.1" customHeight="1" x14ac:dyDescent="0.2">
      <c r="A70" s="1"/>
      <c r="B70" s="1"/>
      <c r="C70" s="2" t="s">
        <v>132</v>
      </c>
      <c r="D70" s="1"/>
      <c r="E70" s="1" t="s">
        <v>133</v>
      </c>
      <c r="F70" s="13" t="s">
        <v>135</v>
      </c>
      <c r="G70" s="10">
        <v>0</v>
      </c>
      <c r="H70" s="105"/>
    </row>
    <row r="71" spans="1:8" ht="14.1" customHeight="1" x14ac:dyDescent="0.2">
      <c r="A71" s="1"/>
      <c r="B71" s="1"/>
      <c r="C71" s="11"/>
      <c r="D71" s="1"/>
      <c r="E71" s="1"/>
      <c r="F71" s="12"/>
      <c r="G71" s="12"/>
      <c r="H71" s="105"/>
    </row>
    <row r="72" spans="1:8" ht="14.1" customHeight="1" x14ac:dyDescent="0.2">
      <c r="A72" s="1"/>
      <c r="B72" s="1"/>
      <c r="C72" s="2" t="s">
        <v>143</v>
      </c>
      <c r="D72" s="1"/>
      <c r="E72" s="1"/>
      <c r="F72" s="1"/>
      <c r="G72" s="1"/>
      <c r="H72" s="105"/>
    </row>
    <row r="73" spans="1:8" ht="14.1" customHeight="1" x14ac:dyDescent="0.2">
      <c r="A73" s="1"/>
      <c r="B73" s="1"/>
      <c r="C73" s="2" t="s">
        <v>132</v>
      </c>
      <c r="D73" s="1"/>
      <c r="E73" s="1" t="s">
        <v>133</v>
      </c>
      <c r="F73" s="13" t="s">
        <v>135</v>
      </c>
      <c r="G73" s="10">
        <v>0</v>
      </c>
      <c r="H73" s="105"/>
    </row>
    <row r="74" spans="1:8" ht="14.1" customHeight="1" x14ac:dyDescent="0.2">
      <c r="A74" s="1"/>
      <c r="B74" s="1"/>
      <c r="C74" s="11"/>
      <c r="D74" s="1"/>
      <c r="E74" s="1"/>
      <c r="F74" s="12"/>
      <c r="G74" s="12"/>
      <c r="H74" s="105"/>
    </row>
    <row r="75" spans="1:8" ht="14.1" customHeight="1" x14ac:dyDescent="0.2">
      <c r="A75" s="1"/>
      <c r="B75" s="1"/>
      <c r="C75" s="2" t="s">
        <v>144</v>
      </c>
      <c r="D75" s="1"/>
      <c r="E75" s="1"/>
      <c r="F75" s="12"/>
      <c r="G75" s="12"/>
      <c r="H75" s="105"/>
    </row>
    <row r="76" spans="1:8" ht="14.1" customHeight="1" x14ac:dyDescent="0.2">
      <c r="A76" s="1"/>
      <c r="B76" s="1"/>
      <c r="C76" s="2" t="s">
        <v>132</v>
      </c>
      <c r="D76" s="1"/>
      <c r="E76" s="1" t="s">
        <v>133</v>
      </c>
      <c r="F76" s="13" t="s">
        <v>135</v>
      </c>
      <c r="G76" s="10">
        <v>0</v>
      </c>
      <c r="H76" s="105"/>
    </row>
    <row r="77" spans="1:8" ht="14.1" customHeight="1" x14ac:dyDescent="0.2">
      <c r="A77" s="1"/>
      <c r="B77" s="1"/>
      <c r="C77" s="11"/>
      <c r="D77" s="1"/>
      <c r="E77" s="1"/>
      <c r="F77" s="12"/>
      <c r="G77" s="12"/>
      <c r="H77" s="105"/>
    </row>
    <row r="78" spans="1:8" ht="14.1" customHeight="1" x14ac:dyDescent="0.2">
      <c r="A78" s="1"/>
      <c r="B78" s="1"/>
      <c r="C78" s="2" t="s">
        <v>145</v>
      </c>
      <c r="D78" s="1"/>
      <c r="E78" s="1"/>
      <c r="F78" s="9">
        <v>0</v>
      </c>
      <c r="G78" s="10">
        <v>0</v>
      </c>
      <c r="H78" s="105"/>
    </row>
    <row r="79" spans="1:8" ht="14.1" customHeight="1" x14ac:dyDescent="0.2">
      <c r="A79" s="1"/>
      <c r="B79" s="1"/>
      <c r="C79" s="11"/>
      <c r="D79" s="1"/>
      <c r="E79" s="1"/>
      <c r="F79" s="12"/>
      <c r="G79" s="12"/>
      <c r="H79" s="105"/>
    </row>
    <row r="80" spans="1:8" ht="14.1" customHeight="1" x14ac:dyDescent="0.2">
      <c r="A80" s="1"/>
      <c r="B80" s="1"/>
      <c r="C80" s="2" t="s">
        <v>146</v>
      </c>
      <c r="D80" s="1"/>
      <c r="E80" s="1"/>
      <c r="F80" s="12"/>
      <c r="G80" s="12"/>
      <c r="H80" s="105"/>
    </row>
    <row r="81" spans="1:8" ht="14.1" customHeight="1" x14ac:dyDescent="0.2">
      <c r="A81" s="1"/>
      <c r="B81" s="1"/>
      <c r="C81" s="2" t="s">
        <v>147</v>
      </c>
      <c r="D81" s="1"/>
      <c r="E81" s="1"/>
      <c r="F81" s="12"/>
      <c r="G81" s="12"/>
      <c r="H81" s="105"/>
    </row>
    <row r="82" spans="1:8" ht="14.1" customHeight="1" x14ac:dyDescent="0.2">
      <c r="A82" s="1"/>
      <c r="B82" s="1"/>
      <c r="C82" s="2" t="s">
        <v>132</v>
      </c>
      <c r="D82" s="1"/>
      <c r="E82" s="1" t="s">
        <v>133</v>
      </c>
      <c r="F82" s="13" t="s">
        <v>135</v>
      </c>
      <c r="G82" s="10">
        <v>0</v>
      </c>
      <c r="H82" s="105"/>
    </row>
    <row r="83" spans="1:8" ht="14.1" customHeight="1" x14ac:dyDescent="0.2">
      <c r="A83" s="1"/>
      <c r="B83" s="1"/>
      <c r="C83" s="11"/>
      <c r="D83" s="1"/>
      <c r="E83" s="1"/>
      <c r="F83" s="12"/>
      <c r="G83" s="12"/>
      <c r="H83" s="105"/>
    </row>
    <row r="84" spans="1:8" ht="14.1" customHeight="1" x14ac:dyDescent="0.2">
      <c r="A84" s="1"/>
      <c r="B84" s="1"/>
      <c r="C84" s="2" t="s">
        <v>148</v>
      </c>
      <c r="D84" s="1"/>
      <c r="E84" s="1"/>
      <c r="F84" s="12"/>
      <c r="G84" s="12"/>
      <c r="H84" s="105"/>
    </row>
    <row r="85" spans="1:8" ht="14.1" customHeight="1" x14ac:dyDescent="0.2">
      <c r="A85" s="1"/>
      <c r="B85" s="1"/>
      <c r="C85" s="2" t="s">
        <v>132</v>
      </c>
      <c r="D85" s="1"/>
      <c r="E85" s="1" t="s">
        <v>133</v>
      </c>
      <c r="F85" s="13" t="s">
        <v>135</v>
      </c>
      <c r="G85" s="10">
        <v>0</v>
      </c>
      <c r="H85" s="105"/>
    </row>
    <row r="86" spans="1:8" ht="14.1" customHeight="1" x14ac:dyDescent="0.2">
      <c r="A86" s="1"/>
      <c r="B86" s="1"/>
      <c r="C86" s="11"/>
      <c r="D86" s="1"/>
      <c r="E86" s="1"/>
      <c r="F86" s="12"/>
      <c r="G86" s="12"/>
      <c r="H86" s="105"/>
    </row>
    <row r="87" spans="1:8" ht="14.1" customHeight="1" x14ac:dyDescent="0.2">
      <c r="A87" s="1"/>
      <c r="B87" s="1"/>
      <c r="C87" s="2" t="s">
        <v>149</v>
      </c>
      <c r="D87" s="1"/>
      <c r="E87" s="1"/>
      <c r="F87" s="12"/>
      <c r="G87" s="12"/>
      <c r="H87" s="105"/>
    </row>
    <row r="88" spans="1:8" ht="14.1" customHeight="1" x14ac:dyDescent="0.2">
      <c r="A88" s="1"/>
      <c r="B88" s="1"/>
      <c r="C88" s="2" t="s">
        <v>132</v>
      </c>
      <c r="D88" s="1"/>
      <c r="E88" s="1" t="s">
        <v>133</v>
      </c>
      <c r="F88" s="13" t="s">
        <v>135</v>
      </c>
      <c r="G88" s="10">
        <v>0</v>
      </c>
      <c r="H88" s="105"/>
    </row>
    <row r="89" spans="1:8" ht="14.1" customHeight="1" x14ac:dyDescent="0.2">
      <c r="A89" s="1"/>
      <c r="B89" s="1"/>
      <c r="C89" s="11"/>
      <c r="D89" s="1"/>
      <c r="E89" s="1"/>
      <c r="F89" s="12"/>
      <c r="G89" s="12"/>
      <c r="H89" s="105"/>
    </row>
    <row r="90" spans="1:8" ht="14.1" customHeight="1" x14ac:dyDescent="0.2">
      <c r="A90" s="1"/>
      <c r="B90" s="1"/>
      <c r="C90" s="2" t="s">
        <v>150</v>
      </c>
      <c r="D90" s="1"/>
      <c r="E90" s="1"/>
      <c r="F90" s="12"/>
      <c r="G90" s="12"/>
      <c r="H90" s="105"/>
    </row>
    <row r="91" spans="1:8" ht="17.100000000000001" customHeight="1" x14ac:dyDescent="0.2">
      <c r="A91" s="3">
        <v>1</v>
      </c>
      <c r="B91" s="4"/>
      <c r="C91" s="4" t="s">
        <v>151</v>
      </c>
      <c r="D91" s="4"/>
      <c r="E91" s="8"/>
      <c r="F91" s="6">
        <v>800.85430289999999</v>
      </c>
      <c r="G91" s="7">
        <v>9.2170879999999997E-2</v>
      </c>
      <c r="H91" s="105">
        <v>6.8153352377542396</v>
      </c>
    </row>
    <row r="92" spans="1:8" ht="17.100000000000001" customHeight="1" x14ac:dyDescent="0.2">
      <c r="A92" s="3">
        <v>2</v>
      </c>
      <c r="B92" s="4"/>
      <c r="C92" s="4" t="s">
        <v>152</v>
      </c>
      <c r="D92" s="4"/>
      <c r="E92" s="8"/>
      <c r="F92" s="6">
        <v>95.034369299999994</v>
      </c>
      <c r="G92" s="7">
        <v>1.0937570000000001E-2</v>
      </c>
      <c r="H92" s="105">
        <v>6.7952403714590259</v>
      </c>
    </row>
    <row r="93" spans="1:8" ht="14.1" customHeight="1" x14ac:dyDescent="0.2">
      <c r="A93" s="1"/>
      <c r="B93" s="1"/>
      <c r="C93" s="2" t="s">
        <v>132</v>
      </c>
      <c r="D93" s="1"/>
      <c r="E93" s="1" t="s">
        <v>133</v>
      </c>
      <c r="F93" s="9">
        <v>895.88867219999997</v>
      </c>
      <c r="G93" s="10">
        <v>0.10310845</v>
      </c>
      <c r="H93" s="105"/>
    </row>
    <row r="94" spans="1:8" ht="14.1" customHeight="1" x14ac:dyDescent="0.2">
      <c r="A94" s="1"/>
      <c r="B94" s="1"/>
      <c r="C94" s="11"/>
      <c r="D94" s="1"/>
      <c r="E94" s="1"/>
      <c r="F94" s="12"/>
      <c r="G94" s="12"/>
      <c r="H94" s="105"/>
    </row>
    <row r="95" spans="1:8" ht="14.1" customHeight="1" x14ac:dyDescent="0.2">
      <c r="A95" s="1"/>
      <c r="B95" s="1"/>
      <c r="C95" s="2" t="s">
        <v>153</v>
      </c>
      <c r="D95" s="1"/>
      <c r="E95" s="1"/>
      <c r="F95" s="9">
        <v>895.88867219999997</v>
      </c>
      <c r="G95" s="10">
        <v>0.10310845</v>
      </c>
      <c r="H95" s="105"/>
    </row>
    <row r="96" spans="1:8" ht="14.1" customHeight="1" x14ac:dyDescent="0.2">
      <c r="A96" s="1"/>
      <c r="B96" s="1"/>
      <c r="C96" s="12"/>
      <c r="D96" s="1"/>
      <c r="E96" s="1"/>
      <c r="F96" s="1"/>
      <c r="G96" s="1"/>
      <c r="H96" s="105"/>
    </row>
    <row r="97" spans="1:8" ht="14.1" customHeight="1" x14ac:dyDescent="0.2">
      <c r="A97" s="1"/>
      <c r="B97" s="1"/>
      <c r="C97" s="2" t="s">
        <v>154</v>
      </c>
      <c r="D97" s="1"/>
      <c r="E97" s="1"/>
      <c r="F97" s="1"/>
      <c r="G97" s="1"/>
      <c r="H97" s="105"/>
    </row>
    <row r="98" spans="1:8" ht="14.1" customHeight="1" x14ac:dyDescent="0.2">
      <c r="A98" s="1"/>
      <c r="B98" s="1"/>
      <c r="C98" s="2" t="s">
        <v>155</v>
      </c>
      <c r="D98" s="1"/>
      <c r="E98" s="1"/>
      <c r="F98" s="1"/>
      <c r="G98" s="1"/>
      <c r="H98" s="105"/>
    </row>
    <row r="99" spans="1:8" ht="14.1" customHeight="1" x14ac:dyDescent="0.2">
      <c r="A99" s="1"/>
      <c r="B99" s="1"/>
      <c r="C99" s="2" t="s">
        <v>132</v>
      </c>
      <c r="D99" s="1"/>
      <c r="E99" s="1" t="s">
        <v>133</v>
      </c>
      <c r="F99" s="13" t="s">
        <v>135</v>
      </c>
      <c r="G99" s="10">
        <v>0</v>
      </c>
      <c r="H99" s="105"/>
    </row>
    <row r="100" spans="1:8" ht="14.1" customHeight="1" x14ac:dyDescent="0.2">
      <c r="A100" s="1"/>
      <c r="B100" s="1"/>
      <c r="C100" s="11"/>
      <c r="D100" s="1"/>
      <c r="E100" s="1"/>
      <c r="F100" s="12"/>
      <c r="G100" s="12"/>
      <c r="H100" s="105"/>
    </row>
    <row r="101" spans="1:8" ht="14.1" customHeight="1" x14ac:dyDescent="0.2">
      <c r="A101" s="1"/>
      <c r="B101" s="1"/>
      <c r="C101" s="2" t="s">
        <v>156</v>
      </c>
      <c r="D101" s="1"/>
      <c r="E101" s="1"/>
      <c r="F101" s="1"/>
      <c r="G101" s="1"/>
      <c r="H101" s="105"/>
    </row>
    <row r="102" spans="1:8" ht="14.1" customHeight="1" x14ac:dyDescent="0.2">
      <c r="A102" s="1"/>
      <c r="B102" s="1"/>
      <c r="C102" s="2" t="s">
        <v>157</v>
      </c>
      <c r="D102" s="1"/>
      <c r="E102" s="1"/>
      <c r="F102" s="1"/>
      <c r="G102" s="1"/>
      <c r="H102" s="105"/>
    </row>
    <row r="103" spans="1:8" ht="14.1" customHeight="1" x14ac:dyDescent="0.2">
      <c r="A103" s="1"/>
      <c r="B103" s="1"/>
      <c r="C103" s="2" t="s">
        <v>132</v>
      </c>
      <c r="D103" s="1"/>
      <c r="E103" s="1" t="s">
        <v>133</v>
      </c>
      <c r="F103" s="13" t="s">
        <v>135</v>
      </c>
      <c r="G103" s="10">
        <v>0</v>
      </c>
      <c r="H103" s="105"/>
    </row>
    <row r="104" spans="1:8" ht="14.1" customHeight="1" x14ac:dyDescent="0.2">
      <c r="A104" s="1"/>
      <c r="B104" s="1"/>
      <c r="C104" s="11"/>
      <c r="D104" s="1"/>
      <c r="E104" s="1"/>
      <c r="F104" s="12"/>
      <c r="G104" s="12"/>
      <c r="H104" s="105"/>
    </row>
    <row r="105" spans="1:8" ht="24" customHeight="1" x14ac:dyDescent="0.2">
      <c r="A105" s="1"/>
      <c r="B105" s="1"/>
      <c r="C105" s="2" t="s">
        <v>158</v>
      </c>
      <c r="D105" s="1"/>
      <c r="E105" s="1"/>
      <c r="F105" s="12"/>
      <c r="G105" s="12"/>
      <c r="H105" s="105"/>
    </row>
    <row r="106" spans="1:8" ht="14.1" customHeight="1" x14ac:dyDescent="0.2">
      <c r="A106" s="1"/>
      <c r="B106" s="1"/>
      <c r="C106" s="2" t="s">
        <v>132</v>
      </c>
      <c r="D106" s="1"/>
      <c r="E106" s="1" t="s">
        <v>133</v>
      </c>
      <c r="F106" s="13" t="s">
        <v>135</v>
      </c>
      <c r="G106" s="10">
        <v>0</v>
      </c>
      <c r="H106" s="105"/>
    </row>
    <row r="107" spans="1:8" ht="14.1" customHeight="1" x14ac:dyDescent="0.2">
      <c r="A107" s="1"/>
      <c r="B107" s="1"/>
      <c r="C107" s="11"/>
      <c r="D107" s="1"/>
      <c r="E107" s="1"/>
      <c r="F107" s="12"/>
      <c r="G107" s="12"/>
      <c r="H107" s="105"/>
    </row>
    <row r="108" spans="1:8" ht="14.1" customHeight="1" x14ac:dyDescent="0.2">
      <c r="A108" s="1"/>
      <c r="B108" s="4"/>
      <c r="C108" s="4"/>
      <c r="D108" s="2"/>
      <c r="E108" s="1"/>
      <c r="F108" s="4"/>
      <c r="G108" s="8"/>
      <c r="H108" s="105"/>
    </row>
    <row r="109" spans="1:8" ht="18" customHeight="1" x14ac:dyDescent="0.2">
      <c r="A109" s="8"/>
      <c r="B109" s="4"/>
      <c r="C109" s="4" t="s">
        <v>159</v>
      </c>
      <c r="D109" s="4"/>
      <c r="E109" s="8"/>
      <c r="F109" s="6">
        <v>1763.24275689</v>
      </c>
      <c r="G109" s="7">
        <v>0.20293284</v>
      </c>
      <c r="H109" s="105"/>
    </row>
    <row r="110" spans="1:8" ht="14.1" customHeight="1" x14ac:dyDescent="0.2">
      <c r="A110" s="11"/>
      <c r="B110" s="11"/>
      <c r="C110" s="2" t="s">
        <v>160</v>
      </c>
      <c r="D110" s="12"/>
      <c r="E110" s="12"/>
      <c r="F110" s="9">
        <v>8688.79965859</v>
      </c>
      <c r="G110" s="14">
        <v>1.00000004</v>
      </c>
      <c r="H110" s="105"/>
    </row>
    <row r="111" spans="1:8" ht="14.1" customHeight="1" x14ac:dyDescent="0.2">
      <c r="A111" s="15"/>
      <c r="B111" s="15"/>
      <c r="C111" s="15"/>
      <c r="D111" s="16"/>
      <c r="E111" s="16"/>
      <c r="F111" s="16"/>
      <c r="G111" s="16"/>
    </row>
    <row r="112" spans="1:8" ht="14.1" customHeight="1" x14ac:dyDescent="0.2">
      <c r="A112" s="17"/>
      <c r="B112" s="17"/>
      <c r="C112" s="17"/>
      <c r="D112" s="19"/>
      <c r="E112" s="19"/>
      <c r="F112" s="19"/>
      <c r="G112" s="19"/>
    </row>
    <row r="113" spans="1:7" ht="14.1" customHeight="1" x14ac:dyDescent="0.2">
      <c r="A113" s="17"/>
      <c r="B113" s="179" t="s">
        <v>162</v>
      </c>
      <c r="C113" s="180"/>
      <c r="D113" s="181"/>
      <c r="E113" s="20"/>
      <c r="F113" s="19"/>
      <c r="G113" s="19"/>
    </row>
    <row r="114" spans="1:7" ht="29.1" customHeight="1" x14ac:dyDescent="0.2">
      <c r="A114" s="17"/>
      <c r="B114" s="176" t="s">
        <v>163</v>
      </c>
      <c r="C114" s="177"/>
      <c r="D114" s="2" t="s">
        <v>164</v>
      </c>
      <c r="E114" s="20"/>
      <c r="F114" s="19"/>
      <c r="G114" s="19"/>
    </row>
    <row r="115" spans="1:7" ht="17.100000000000001" customHeight="1" x14ac:dyDescent="0.2">
      <c r="A115" s="17"/>
      <c r="B115" s="176" t="s">
        <v>165</v>
      </c>
      <c r="C115" s="177"/>
      <c r="D115" s="2" t="s">
        <v>164</v>
      </c>
      <c r="E115" s="20"/>
      <c r="F115" s="19"/>
      <c r="G115" s="19"/>
    </row>
    <row r="116" spans="1:7" ht="17.100000000000001" customHeight="1" x14ac:dyDescent="0.2">
      <c r="A116" s="17"/>
      <c r="B116" s="176" t="s">
        <v>166</v>
      </c>
      <c r="C116" s="177"/>
      <c r="D116" s="12" t="s">
        <v>133</v>
      </c>
      <c r="E116" s="20"/>
      <c r="F116" s="19"/>
      <c r="G116" s="19"/>
    </row>
    <row r="117" spans="1:7" ht="24" customHeight="1" x14ac:dyDescent="0.2">
      <c r="A117" s="21"/>
      <c r="B117" s="22" t="s">
        <v>133</v>
      </c>
      <c r="C117" s="22" t="s">
        <v>167</v>
      </c>
      <c r="D117" s="22" t="s">
        <v>168</v>
      </c>
      <c r="E117" s="21"/>
      <c r="F117" s="21"/>
      <c r="G117" s="21"/>
    </row>
    <row r="118" spans="1:7" ht="18" customHeight="1" x14ac:dyDescent="0.2">
      <c r="A118" s="21"/>
      <c r="B118" s="23" t="s">
        <v>169</v>
      </c>
      <c r="C118" s="22" t="s">
        <v>170</v>
      </c>
      <c r="D118" s="22" t="s">
        <v>171</v>
      </c>
      <c r="E118" s="21"/>
      <c r="F118" s="21"/>
      <c r="G118" s="21"/>
    </row>
    <row r="119" spans="1:7" ht="17.100000000000001" customHeight="1" x14ac:dyDescent="0.2">
      <c r="A119" s="21"/>
      <c r="B119" s="4" t="s">
        <v>172</v>
      </c>
      <c r="C119" s="24">
        <v>17.439900000000002</v>
      </c>
      <c r="D119" s="24">
        <v>17.903600000000001</v>
      </c>
      <c r="E119" s="21"/>
      <c r="F119" s="18"/>
      <c r="G119" s="25"/>
    </row>
    <row r="120" spans="1:7" ht="17.100000000000001" customHeight="1" x14ac:dyDescent="0.2">
      <c r="A120" s="21"/>
      <c r="B120" s="4" t="s">
        <v>1006</v>
      </c>
      <c r="C120" s="24">
        <v>16.598299999999998</v>
      </c>
      <c r="D120" s="24">
        <v>17.0396</v>
      </c>
      <c r="E120" s="21"/>
      <c r="F120" s="18"/>
      <c r="G120" s="25"/>
    </row>
    <row r="121" spans="1:7" ht="17.100000000000001" customHeight="1" x14ac:dyDescent="0.2">
      <c r="A121" s="21"/>
      <c r="B121" s="4" t="s">
        <v>173</v>
      </c>
      <c r="C121" s="24">
        <v>16.958400000000001</v>
      </c>
      <c r="D121" s="24">
        <v>17.401199999999999</v>
      </c>
      <c r="E121" s="21"/>
      <c r="F121" s="18"/>
      <c r="G121" s="25"/>
    </row>
    <row r="122" spans="1:7" ht="17.100000000000001" customHeight="1" x14ac:dyDescent="0.2">
      <c r="A122" s="21"/>
      <c r="B122" s="4" t="s">
        <v>1007</v>
      </c>
      <c r="C122" s="24">
        <v>16.325099999999999</v>
      </c>
      <c r="D122" s="24">
        <v>16.7514</v>
      </c>
      <c r="E122" s="21"/>
      <c r="F122" s="18"/>
      <c r="G122" s="25"/>
    </row>
    <row r="123" spans="1:7" ht="14.1" customHeight="1" x14ac:dyDescent="0.2">
      <c r="A123" s="21"/>
      <c r="B123" s="21"/>
      <c r="C123" s="21"/>
      <c r="D123" s="21"/>
      <c r="E123" s="21"/>
      <c r="F123" s="21"/>
      <c r="G123" s="21"/>
    </row>
    <row r="124" spans="1:7" ht="17.100000000000001" customHeight="1" x14ac:dyDescent="0.2">
      <c r="A124" s="21"/>
      <c r="B124" s="176" t="s">
        <v>1008</v>
      </c>
      <c r="C124" s="177"/>
      <c r="D124" s="2" t="s">
        <v>164</v>
      </c>
      <c r="E124" s="21"/>
      <c r="F124" s="21"/>
      <c r="G124" s="21"/>
    </row>
    <row r="125" spans="1:7" ht="18" customHeight="1" x14ac:dyDescent="0.2">
      <c r="A125" s="21"/>
      <c r="B125" s="26"/>
      <c r="C125" s="26"/>
      <c r="D125" s="26"/>
      <c r="E125" s="21"/>
      <c r="F125" s="21"/>
      <c r="G125" s="21"/>
    </row>
    <row r="126" spans="1:7" ht="29.1" customHeight="1" x14ac:dyDescent="0.2">
      <c r="A126" s="21"/>
      <c r="B126" s="176" t="s">
        <v>174</v>
      </c>
      <c r="C126" s="177"/>
      <c r="D126" s="2" t="s">
        <v>164</v>
      </c>
      <c r="E126" s="27"/>
      <c r="F126" s="21"/>
      <c r="G126" s="21"/>
    </row>
    <row r="127" spans="1:7" ht="29.1" customHeight="1" x14ac:dyDescent="0.2">
      <c r="A127" s="21"/>
      <c r="B127" s="176" t="s">
        <v>175</v>
      </c>
      <c r="C127" s="177"/>
      <c r="D127" s="2" t="s">
        <v>164</v>
      </c>
      <c r="E127" s="27"/>
      <c r="F127" s="21"/>
      <c r="G127" s="21"/>
    </row>
    <row r="128" spans="1:7" ht="17.100000000000001" customHeight="1" x14ac:dyDescent="0.2">
      <c r="A128" s="21"/>
      <c r="B128" s="176" t="s">
        <v>176</v>
      </c>
      <c r="C128" s="177"/>
      <c r="D128" s="2" t="s">
        <v>164</v>
      </c>
      <c r="E128" s="27"/>
      <c r="F128" s="21"/>
      <c r="G128" s="21"/>
    </row>
    <row r="129" spans="1:14" ht="17.100000000000001" customHeight="1" x14ac:dyDescent="0.2">
      <c r="A129" s="21"/>
      <c r="B129" s="176" t="s">
        <v>177</v>
      </c>
      <c r="C129" s="177"/>
      <c r="D129" s="60">
        <v>9.957308482253964E-2</v>
      </c>
      <c r="E129" s="21"/>
      <c r="F129" s="18"/>
      <c r="G129" s="25"/>
    </row>
    <row r="140" spans="1:14" x14ac:dyDescent="0.2">
      <c r="J140" s="162"/>
      <c r="K140" s="162"/>
      <c r="L140" s="162"/>
      <c r="M140" s="162"/>
      <c r="N140" s="162"/>
    </row>
  </sheetData>
  <mergeCells count="13">
    <mergeCell ref="B129:C129"/>
    <mergeCell ref="B115:C115"/>
    <mergeCell ref="B116:C116"/>
    <mergeCell ref="B124:C124"/>
    <mergeCell ref="B126:C126"/>
    <mergeCell ref="B127:C127"/>
    <mergeCell ref="B128:C128"/>
    <mergeCell ref="J2:N2"/>
    <mergeCell ref="B114:C114"/>
    <mergeCell ref="B113:D113"/>
    <mergeCell ref="A1:H1"/>
    <mergeCell ref="A2:H2"/>
    <mergeCell ref="A3:H3"/>
  </mergeCells>
  <hyperlinks>
    <hyperlink ref="I1" location="Index!B5" display="Index" xr:uid="{7D4FBBC0-3429-43E0-8D2A-FEB79D5A0568}"/>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N165"/>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182" t="s">
        <v>0</v>
      </c>
      <c r="B1" s="182"/>
      <c r="C1" s="182"/>
      <c r="D1" s="182"/>
      <c r="E1" s="182"/>
      <c r="F1" s="182"/>
      <c r="G1" s="182"/>
      <c r="H1" s="182"/>
      <c r="I1" s="159" t="s">
        <v>1044</v>
      </c>
    </row>
    <row r="2" spans="1:14" ht="17.100000000000001" customHeight="1" x14ac:dyDescent="0.2">
      <c r="A2" s="183" t="s">
        <v>336</v>
      </c>
      <c r="B2" s="184"/>
      <c r="C2" s="184"/>
      <c r="D2" s="184"/>
      <c r="E2" s="184"/>
      <c r="F2" s="184"/>
      <c r="G2" s="184"/>
      <c r="H2" s="185"/>
      <c r="J2" s="175" t="s">
        <v>1045</v>
      </c>
      <c r="K2" s="175"/>
      <c r="L2" s="175"/>
      <c r="M2" s="175"/>
      <c r="N2" s="175"/>
    </row>
    <row r="3" spans="1:14" ht="21" customHeight="1" x14ac:dyDescent="0.2">
      <c r="A3" s="182" t="s">
        <v>1016</v>
      </c>
      <c r="B3" s="182"/>
      <c r="C3" s="182"/>
      <c r="D3" s="182"/>
      <c r="E3" s="182"/>
      <c r="F3" s="182"/>
      <c r="G3" s="182"/>
      <c r="H3" s="182"/>
    </row>
    <row r="4" spans="1:14" ht="30" x14ac:dyDescent="0.2">
      <c r="A4" s="107" t="s">
        <v>2</v>
      </c>
      <c r="B4" s="107" t="s">
        <v>3</v>
      </c>
      <c r="C4" s="107" t="s">
        <v>4</v>
      </c>
      <c r="D4" s="107" t="s">
        <v>5</v>
      </c>
      <c r="E4" s="107" t="s">
        <v>6</v>
      </c>
      <c r="F4" s="107" t="s">
        <v>7</v>
      </c>
      <c r="G4" s="107" t="s">
        <v>8</v>
      </c>
      <c r="H4" s="104" t="s">
        <v>1003</v>
      </c>
      <c r="I4" s="108"/>
      <c r="J4" s="108"/>
      <c r="K4" s="108"/>
      <c r="L4" s="108"/>
      <c r="M4" s="108"/>
      <c r="N4" s="108"/>
    </row>
    <row r="5" spans="1:14" ht="14.1" customHeight="1" x14ac:dyDescent="0.2">
      <c r="A5" s="1"/>
      <c r="B5" s="1"/>
      <c r="C5" s="2" t="s">
        <v>9</v>
      </c>
      <c r="D5" s="1"/>
      <c r="E5" s="1"/>
      <c r="F5" s="1"/>
      <c r="G5" s="1"/>
      <c r="H5" s="105"/>
    </row>
    <row r="6" spans="1:14" ht="24" customHeight="1" x14ac:dyDescent="0.2">
      <c r="A6" s="1"/>
      <c r="B6" s="1"/>
      <c r="C6" s="2" t="s">
        <v>10</v>
      </c>
      <c r="D6" s="1"/>
      <c r="E6" s="1"/>
      <c r="F6" s="1"/>
      <c r="G6" s="1"/>
      <c r="H6" s="105"/>
    </row>
    <row r="7" spans="1:14" ht="17.100000000000001" customHeight="1" x14ac:dyDescent="0.2">
      <c r="A7" s="3">
        <v>1</v>
      </c>
      <c r="B7" s="4" t="s">
        <v>23</v>
      </c>
      <c r="C7" s="4" t="s">
        <v>24</v>
      </c>
      <c r="D7" s="4" t="s">
        <v>25</v>
      </c>
      <c r="E7" s="5">
        <v>2830000</v>
      </c>
      <c r="F7" s="6">
        <v>25969.494999999999</v>
      </c>
      <c r="G7" s="7">
        <v>5.169058E-2</v>
      </c>
      <c r="H7" s="105"/>
    </row>
    <row r="8" spans="1:14" ht="17.100000000000001" customHeight="1" x14ac:dyDescent="0.2">
      <c r="A8" s="3">
        <v>2</v>
      </c>
      <c r="B8" s="4" t="s">
        <v>17</v>
      </c>
      <c r="C8" s="4" t="s">
        <v>18</v>
      </c>
      <c r="D8" s="4" t="s">
        <v>19</v>
      </c>
      <c r="E8" s="5">
        <v>870000</v>
      </c>
      <c r="F8" s="6">
        <v>21058.35</v>
      </c>
      <c r="G8" s="7">
        <v>4.1915269999999998E-2</v>
      </c>
      <c r="H8" s="105"/>
    </row>
    <row r="9" spans="1:14" ht="17.100000000000001" customHeight="1" x14ac:dyDescent="0.2">
      <c r="A9" s="3">
        <v>3</v>
      </c>
      <c r="B9" s="4" t="s">
        <v>317</v>
      </c>
      <c r="C9" s="4" t="s">
        <v>318</v>
      </c>
      <c r="D9" s="4" t="s">
        <v>25</v>
      </c>
      <c r="E9" s="5">
        <v>1235000</v>
      </c>
      <c r="F9" s="6">
        <v>20841.86</v>
      </c>
      <c r="G9" s="7">
        <v>4.1484359999999998E-2</v>
      </c>
      <c r="H9" s="105"/>
    </row>
    <row r="10" spans="1:14" ht="17.100000000000001" customHeight="1" x14ac:dyDescent="0.2">
      <c r="A10" s="3">
        <v>4</v>
      </c>
      <c r="B10" s="4" t="s">
        <v>302</v>
      </c>
      <c r="C10" s="4" t="s">
        <v>303</v>
      </c>
      <c r="D10" s="4" t="s">
        <v>953</v>
      </c>
      <c r="E10" s="5">
        <v>1299690</v>
      </c>
      <c r="F10" s="6">
        <v>16281.866475000001</v>
      </c>
      <c r="G10" s="7">
        <v>3.2407989999999998E-2</v>
      </c>
      <c r="H10" s="105"/>
    </row>
    <row r="11" spans="1:14" ht="17.100000000000001" customHeight="1" x14ac:dyDescent="0.2">
      <c r="A11" s="3">
        <v>5</v>
      </c>
      <c r="B11" s="4" t="s">
        <v>29</v>
      </c>
      <c r="C11" s="4" t="s">
        <v>30</v>
      </c>
      <c r="D11" s="4" t="s">
        <v>25</v>
      </c>
      <c r="E11" s="5">
        <v>2330000</v>
      </c>
      <c r="F11" s="6">
        <v>13474.39</v>
      </c>
      <c r="G11" s="7">
        <v>2.6819889999999999E-2</v>
      </c>
      <c r="H11" s="105"/>
    </row>
    <row r="12" spans="1:14" ht="17.100000000000001" customHeight="1" x14ac:dyDescent="0.2">
      <c r="A12" s="3">
        <v>6</v>
      </c>
      <c r="B12" s="4" t="s">
        <v>11</v>
      </c>
      <c r="C12" s="4" t="s">
        <v>12</v>
      </c>
      <c r="D12" s="4" t="s">
        <v>13</v>
      </c>
      <c r="E12" s="5">
        <v>520000</v>
      </c>
      <c r="F12" s="6">
        <v>12294.88</v>
      </c>
      <c r="G12" s="7">
        <v>2.447216E-2</v>
      </c>
      <c r="H12" s="105"/>
    </row>
    <row r="13" spans="1:14" ht="17.100000000000001" customHeight="1" x14ac:dyDescent="0.2">
      <c r="A13" s="3">
        <v>7</v>
      </c>
      <c r="B13" s="4" t="s">
        <v>203</v>
      </c>
      <c r="C13" s="4" t="s">
        <v>204</v>
      </c>
      <c r="D13" s="4" t="s">
        <v>25</v>
      </c>
      <c r="E13" s="5">
        <v>1371950</v>
      </c>
      <c r="F13" s="6">
        <v>11798.77</v>
      </c>
      <c r="G13" s="7">
        <v>2.3484680000000001E-2</v>
      </c>
      <c r="H13" s="105"/>
      <c r="J13" s="161" t="s">
        <v>1050</v>
      </c>
    </row>
    <row r="14" spans="1:14" ht="29.1" customHeight="1" x14ac:dyDescent="0.2">
      <c r="A14" s="3">
        <v>8</v>
      </c>
      <c r="B14" s="4" t="s">
        <v>308</v>
      </c>
      <c r="C14" s="4" t="s">
        <v>309</v>
      </c>
      <c r="D14" s="4" t="s">
        <v>128</v>
      </c>
      <c r="E14" s="5">
        <v>409006</v>
      </c>
      <c r="F14" s="6">
        <v>11352.370536</v>
      </c>
      <c r="G14" s="7">
        <v>2.2596149999999999E-2</v>
      </c>
      <c r="H14" s="105"/>
    </row>
    <row r="15" spans="1:14" ht="17.100000000000001" customHeight="1" x14ac:dyDescent="0.2">
      <c r="A15" s="3">
        <v>9</v>
      </c>
      <c r="B15" s="4" t="s">
        <v>85</v>
      </c>
      <c r="C15" s="4" t="s">
        <v>86</v>
      </c>
      <c r="D15" s="4" t="s">
        <v>81</v>
      </c>
      <c r="E15" s="5">
        <v>2086240</v>
      </c>
      <c r="F15" s="6">
        <v>10013.951999999999</v>
      </c>
      <c r="G15" s="7">
        <v>1.9932120000000001E-2</v>
      </c>
      <c r="H15" s="105"/>
    </row>
    <row r="16" spans="1:14" ht="17.100000000000001" customHeight="1" x14ac:dyDescent="0.2">
      <c r="A16" s="3">
        <v>10</v>
      </c>
      <c r="B16" s="4" t="s">
        <v>337</v>
      </c>
      <c r="C16" s="4" t="s">
        <v>338</v>
      </c>
      <c r="D16" s="4" t="s">
        <v>223</v>
      </c>
      <c r="E16" s="5">
        <v>2750000</v>
      </c>
      <c r="F16" s="6">
        <v>9325.25</v>
      </c>
      <c r="G16" s="7">
        <v>1.8561299999999999E-2</v>
      </c>
      <c r="H16" s="105"/>
    </row>
    <row r="17" spans="1:10" ht="17.100000000000001" customHeight="1" x14ac:dyDescent="0.2">
      <c r="A17" s="3">
        <v>11</v>
      </c>
      <c r="B17" s="4" t="s">
        <v>339</v>
      </c>
      <c r="C17" s="4" t="s">
        <v>340</v>
      </c>
      <c r="D17" s="4" t="s">
        <v>25</v>
      </c>
      <c r="E17" s="5">
        <v>2850000</v>
      </c>
      <c r="F17" s="6">
        <v>9047.3250000000007</v>
      </c>
      <c r="G17" s="7">
        <v>1.8008110000000001E-2</v>
      </c>
      <c r="H17" s="105"/>
    </row>
    <row r="18" spans="1:10" ht="53.1" customHeight="1" x14ac:dyDescent="0.2">
      <c r="A18" s="3">
        <v>12</v>
      </c>
      <c r="B18" s="4" t="s">
        <v>50</v>
      </c>
      <c r="C18" s="4" t="s">
        <v>51</v>
      </c>
      <c r="D18" s="4" t="s">
        <v>52</v>
      </c>
      <c r="E18" s="5">
        <v>6102636</v>
      </c>
      <c r="F18" s="6">
        <v>8906.7972420000006</v>
      </c>
      <c r="G18" s="7">
        <v>1.7728399999999998E-2</v>
      </c>
      <c r="H18" s="105"/>
    </row>
    <row r="19" spans="1:10" ht="17.100000000000001" customHeight="1" x14ac:dyDescent="0.2">
      <c r="A19" s="3">
        <v>13</v>
      </c>
      <c r="B19" s="4" t="s">
        <v>319</v>
      </c>
      <c r="C19" s="4" t="s">
        <v>320</v>
      </c>
      <c r="D19" s="4" t="s">
        <v>953</v>
      </c>
      <c r="E19" s="5">
        <v>257671</v>
      </c>
      <c r="F19" s="6">
        <v>8295.0736675000007</v>
      </c>
      <c r="G19" s="7">
        <v>1.6510799999999999E-2</v>
      </c>
      <c r="H19" s="105"/>
    </row>
    <row r="20" spans="1:10" ht="17.100000000000001" customHeight="1" x14ac:dyDescent="0.2">
      <c r="A20" s="3">
        <v>14</v>
      </c>
      <c r="B20" s="4" t="s">
        <v>245</v>
      </c>
      <c r="C20" s="4" t="s">
        <v>246</v>
      </c>
      <c r="D20" s="4" t="s">
        <v>81</v>
      </c>
      <c r="E20" s="5">
        <v>1535229</v>
      </c>
      <c r="F20" s="6">
        <v>8001.6135480000003</v>
      </c>
      <c r="G20" s="7">
        <v>1.592669E-2</v>
      </c>
      <c r="H20" s="105"/>
    </row>
    <row r="21" spans="1:10" ht="17.100000000000001" customHeight="1" x14ac:dyDescent="0.2">
      <c r="A21" s="3">
        <v>15</v>
      </c>
      <c r="B21" s="4" t="s">
        <v>224</v>
      </c>
      <c r="C21" s="4" t="s">
        <v>225</v>
      </c>
      <c r="D21" s="4" t="s">
        <v>220</v>
      </c>
      <c r="E21" s="5">
        <v>532991</v>
      </c>
      <c r="F21" s="6">
        <v>7702.7859319999998</v>
      </c>
      <c r="G21" s="7">
        <v>1.5331890000000001E-2</v>
      </c>
      <c r="H21" s="105"/>
    </row>
    <row r="22" spans="1:10" ht="17.100000000000001" customHeight="1" x14ac:dyDescent="0.2">
      <c r="A22" s="3">
        <v>16</v>
      </c>
      <c r="B22" s="4" t="s">
        <v>218</v>
      </c>
      <c r="C22" s="4" t="s">
        <v>219</v>
      </c>
      <c r="D22" s="4" t="s">
        <v>220</v>
      </c>
      <c r="E22" s="5">
        <v>510839</v>
      </c>
      <c r="F22" s="6">
        <v>7557.8630050000002</v>
      </c>
      <c r="G22" s="7">
        <v>1.504343E-2</v>
      </c>
      <c r="H22" s="105"/>
      <c r="J22" s="161" t="s">
        <v>1051</v>
      </c>
    </row>
    <row r="23" spans="1:10" ht="17.100000000000001" customHeight="1" x14ac:dyDescent="0.2">
      <c r="A23" s="3">
        <v>17</v>
      </c>
      <c r="B23" s="4" t="s">
        <v>97</v>
      </c>
      <c r="C23" s="4" t="s">
        <v>98</v>
      </c>
      <c r="D23" s="4" t="s">
        <v>91</v>
      </c>
      <c r="E23" s="5">
        <v>801652</v>
      </c>
      <c r="F23" s="6">
        <v>7335.9174519999997</v>
      </c>
      <c r="G23" s="7">
        <v>1.4601670000000001E-2</v>
      </c>
      <c r="H23" s="105"/>
    </row>
    <row r="24" spans="1:10" ht="17.100000000000001" customHeight="1" x14ac:dyDescent="0.2">
      <c r="A24" s="3">
        <v>18</v>
      </c>
      <c r="B24" s="4" t="s">
        <v>312</v>
      </c>
      <c r="C24" s="4" t="s">
        <v>313</v>
      </c>
      <c r="D24" s="4" t="s">
        <v>25</v>
      </c>
      <c r="E24" s="5">
        <v>635000</v>
      </c>
      <c r="F24" s="6">
        <v>7320.28</v>
      </c>
      <c r="G24" s="7">
        <v>1.457054E-2</v>
      </c>
      <c r="H24" s="105"/>
    </row>
    <row r="25" spans="1:10" ht="17.100000000000001" customHeight="1" x14ac:dyDescent="0.2">
      <c r="A25" s="3">
        <v>19</v>
      </c>
      <c r="B25" s="4" t="s">
        <v>325</v>
      </c>
      <c r="C25" s="4" t="s">
        <v>326</v>
      </c>
      <c r="D25" s="4" t="s">
        <v>1020</v>
      </c>
      <c r="E25" s="5">
        <v>290831</v>
      </c>
      <c r="F25" s="6">
        <v>7146.5901629999998</v>
      </c>
      <c r="G25" s="7">
        <v>1.4224820000000001E-2</v>
      </c>
      <c r="H25" s="105"/>
    </row>
    <row r="26" spans="1:10" ht="17.100000000000001" customHeight="1" x14ac:dyDescent="0.2">
      <c r="A26" s="3">
        <v>20</v>
      </c>
      <c r="B26" s="4" t="s">
        <v>53</v>
      </c>
      <c r="C26" s="4" t="s">
        <v>54</v>
      </c>
      <c r="D26" s="4" t="s">
        <v>33</v>
      </c>
      <c r="E26" s="5">
        <v>220683</v>
      </c>
      <c r="F26" s="6">
        <v>7073.6625405000004</v>
      </c>
      <c r="G26" s="7">
        <v>1.4079660000000001E-2</v>
      </c>
      <c r="H26" s="105"/>
    </row>
    <row r="27" spans="1:10" ht="29.1" customHeight="1" x14ac:dyDescent="0.2">
      <c r="A27" s="3">
        <v>21</v>
      </c>
      <c r="B27" s="4" t="s">
        <v>196</v>
      </c>
      <c r="C27" s="4" t="s">
        <v>197</v>
      </c>
      <c r="D27" s="4" t="s">
        <v>128</v>
      </c>
      <c r="E27" s="5">
        <v>808159</v>
      </c>
      <c r="F27" s="6">
        <v>7039.8730489999998</v>
      </c>
      <c r="G27" s="7">
        <v>1.4012409999999999E-2</v>
      </c>
      <c r="H27" s="105"/>
    </row>
    <row r="28" spans="1:10" ht="17.100000000000001" customHeight="1" x14ac:dyDescent="0.2">
      <c r="A28" s="3">
        <v>22</v>
      </c>
      <c r="B28" s="4" t="s">
        <v>34</v>
      </c>
      <c r="C28" s="4" t="s">
        <v>35</v>
      </c>
      <c r="D28" s="4" t="s">
        <v>36</v>
      </c>
      <c r="E28" s="5">
        <v>200657</v>
      </c>
      <c r="F28" s="6">
        <v>6858.3559315000002</v>
      </c>
      <c r="G28" s="7">
        <v>1.3651109999999999E-2</v>
      </c>
      <c r="H28" s="105"/>
    </row>
    <row r="29" spans="1:10" ht="29.1" customHeight="1" x14ac:dyDescent="0.2">
      <c r="A29" s="3">
        <v>23</v>
      </c>
      <c r="B29" s="4" t="s">
        <v>181</v>
      </c>
      <c r="C29" s="4" t="s">
        <v>182</v>
      </c>
      <c r="D29" s="4" t="s">
        <v>183</v>
      </c>
      <c r="E29" s="5">
        <v>140588</v>
      </c>
      <c r="F29" s="6">
        <v>6818.7991760000004</v>
      </c>
      <c r="G29" s="7">
        <v>1.357238E-2</v>
      </c>
      <c r="H29" s="105"/>
    </row>
    <row r="30" spans="1:10" ht="17.100000000000001" customHeight="1" x14ac:dyDescent="0.2">
      <c r="A30" s="3">
        <v>24</v>
      </c>
      <c r="B30" s="4" t="s">
        <v>341</v>
      </c>
      <c r="C30" s="4" t="s">
        <v>342</v>
      </c>
      <c r="D30" s="4" t="s">
        <v>33</v>
      </c>
      <c r="E30" s="5">
        <v>710928</v>
      </c>
      <c r="F30" s="6">
        <v>6815.3112719999999</v>
      </c>
      <c r="G30" s="7">
        <v>1.356543E-2</v>
      </c>
      <c r="H30" s="105"/>
    </row>
    <row r="31" spans="1:10" ht="17.100000000000001" customHeight="1" x14ac:dyDescent="0.2">
      <c r="A31" s="3">
        <v>25</v>
      </c>
      <c r="B31" s="4" t="s">
        <v>57</v>
      </c>
      <c r="C31" s="4" t="s">
        <v>58</v>
      </c>
      <c r="D31" s="4" t="s">
        <v>59</v>
      </c>
      <c r="E31" s="5">
        <v>1105000</v>
      </c>
      <c r="F31" s="6">
        <v>6759.2849999999999</v>
      </c>
      <c r="G31" s="7">
        <v>1.3453919999999999E-2</v>
      </c>
      <c r="H31" s="105"/>
    </row>
    <row r="32" spans="1:10" ht="17.100000000000001" customHeight="1" x14ac:dyDescent="0.2">
      <c r="A32" s="3">
        <v>26</v>
      </c>
      <c r="B32" s="4" t="s">
        <v>14</v>
      </c>
      <c r="C32" s="4" t="s">
        <v>15</v>
      </c>
      <c r="D32" s="4" t="s">
        <v>16</v>
      </c>
      <c r="E32" s="5">
        <v>825000</v>
      </c>
      <c r="F32" s="6">
        <v>6594.2250000000004</v>
      </c>
      <c r="G32" s="7">
        <v>1.3125370000000001E-2</v>
      </c>
      <c r="H32" s="105"/>
    </row>
    <row r="33" spans="1:8" ht="29.1" customHeight="1" x14ac:dyDescent="0.2">
      <c r="A33" s="3">
        <v>27</v>
      </c>
      <c r="B33" s="4" t="s">
        <v>20</v>
      </c>
      <c r="C33" s="4" t="s">
        <v>21</v>
      </c>
      <c r="D33" s="4" t="s">
        <v>22</v>
      </c>
      <c r="E33" s="5">
        <v>87217</v>
      </c>
      <c r="F33" s="6">
        <v>6590.2909540000001</v>
      </c>
      <c r="G33" s="7">
        <v>1.311754E-2</v>
      </c>
      <c r="H33" s="105"/>
    </row>
    <row r="34" spans="1:8" ht="17.100000000000001" customHeight="1" x14ac:dyDescent="0.2">
      <c r="A34" s="3">
        <v>28</v>
      </c>
      <c r="B34" s="4" t="s">
        <v>343</v>
      </c>
      <c r="C34" s="4" t="s">
        <v>344</v>
      </c>
      <c r="D34" s="4" t="s">
        <v>1020</v>
      </c>
      <c r="E34" s="5">
        <v>1545000</v>
      </c>
      <c r="F34" s="6">
        <v>6574.7475000000004</v>
      </c>
      <c r="G34" s="7">
        <v>1.308661E-2</v>
      </c>
      <c r="H34" s="105"/>
    </row>
    <row r="35" spans="1:8" ht="17.100000000000001" customHeight="1" x14ac:dyDescent="0.2">
      <c r="A35" s="3">
        <v>29</v>
      </c>
      <c r="B35" s="4" t="s">
        <v>114</v>
      </c>
      <c r="C35" s="4" t="s">
        <v>115</v>
      </c>
      <c r="D35" s="4" t="s">
        <v>116</v>
      </c>
      <c r="E35" s="5">
        <v>1499310</v>
      </c>
      <c r="F35" s="6">
        <v>6538.4909100000004</v>
      </c>
      <c r="G35" s="7">
        <v>1.301444E-2</v>
      </c>
      <c r="H35" s="105"/>
    </row>
    <row r="36" spans="1:8" ht="17.100000000000001" customHeight="1" x14ac:dyDescent="0.2">
      <c r="A36" s="3">
        <v>30</v>
      </c>
      <c r="B36" s="4" t="s">
        <v>79</v>
      </c>
      <c r="C36" s="4" t="s">
        <v>80</v>
      </c>
      <c r="D36" s="4" t="s">
        <v>81</v>
      </c>
      <c r="E36" s="5">
        <v>235053</v>
      </c>
      <c r="F36" s="6">
        <v>6521.8980645000001</v>
      </c>
      <c r="G36" s="7">
        <v>1.2981410000000001E-2</v>
      </c>
      <c r="H36" s="105"/>
    </row>
    <row r="37" spans="1:8" ht="17.100000000000001" customHeight="1" x14ac:dyDescent="0.2">
      <c r="A37" s="3">
        <v>31</v>
      </c>
      <c r="B37" s="4" t="s">
        <v>284</v>
      </c>
      <c r="C37" s="4" t="s">
        <v>285</v>
      </c>
      <c r="D37" s="4" t="s">
        <v>953</v>
      </c>
      <c r="E37" s="5">
        <v>358000</v>
      </c>
      <c r="F37" s="6">
        <v>6495.7309999999998</v>
      </c>
      <c r="G37" s="7">
        <v>1.2929329999999999E-2</v>
      </c>
      <c r="H37" s="105"/>
    </row>
    <row r="38" spans="1:8" ht="29.1" customHeight="1" x14ac:dyDescent="0.2">
      <c r="A38" s="3">
        <v>32</v>
      </c>
      <c r="B38" s="4" t="s">
        <v>304</v>
      </c>
      <c r="C38" s="4" t="s">
        <v>305</v>
      </c>
      <c r="D38" s="4" t="s">
        <v>212</v>
      </c>
      <c r="E38" s="5">
        <v>622280</v>
      </c>
      <c r="F38" s="6">
        <v>6145.9484199999997</v>
      </c>
      <c r="G38" s="7">
        <v>1.223311E-2</v>
      </c>
      <c r="H38" s="105"/>
    </row>
    <row r="39" spans="1:8" ht="29.1" customHeight="1" x14ac:dyDescent="0.2">
      <c r="A39" s="3">
        <v>33</v>
      </c>
      <c r="B39" s="4" t="s">
        <v>345</v>
      </c>
      <c r="C39" s="4" t="s">
        <v>346</v>
      </c>
      <c r="D39" s="4" t="s">
        <v>212</v>
      </c>
      <c r="E39" s="5">
        <v>187233</v>
      </c>
      <c r="F39" s="6">
        <v>6118.5872069999996</v>
      </c>
      <c r="G39" s="7">
        <v>1.2178649999999999E-2</v>
      </c>
      <c r="H39" s="105"/>
    </row>
    <row r="40" spans="1:8" ht="17.100000000000001" customHeight="1" x14ac:dyDescent="0.2">
      <c r="A40" s="3">
        <v>34</v>
      </c>
      <c r="B40" s="4" t="s">
        <v>179</v>
      </c>
      <c r="C40" s="4" t="s">
        <v>180</v>
      </c>
      <c r="D40" s="4" t="s">
        <v>25</v>
      </c>
      <c r="E40" s="5">
        <v>4475000</v>
      </c>
      <c r="F40" s="6">
        <v>6039.0124999999998</v>
      </c>
      <c r="G40" s="7">
        <v>1.202026E-2</v>
      </c>
      <c r="H40" s="105"/>
    </row>
    <row r="41" spans="1:8" ht="17.100000000000001" customHeight="1" x14ac:dyDescent="0.2">
      <c r="A41" s="3">
        <v>35</v>
      </c>
      <c r="B41" s="4" t="s">
        <v>282</v>
      </c>
      <c r="C41" s="4" t="s">
        <v>283</v>
      </c>
      <c r="D41" s="4" t="s">
        <v>84</v>
      </c>
      <c r="E41" s="5">
        <v>1176577</v>
      </c>
      <c r="F41" s="6">
        <v>5827.585881</v>
      </c>
      <c r="G41" s="7">
        <v>1.1599430000000001E-2</v>
      </c>
      <c r="H41" s="105"/>
    </row>
    <row r="42" spans="1:8" ht="29.1" customHeight="1" x14ac:dyDescent="0.2">
      <c r="A42" s="3">
        <v>36</v>
      </c>
      <c r="B42" s="4" t="s">
        <v>243</v>
      </c>
      <c r="C42" s="4" t="s">
        <v>244</v>
      </c>
      <c r="D42" s="4" t="s">
        <v>190</v>
      </c>
      <c r="E42" s="5">
        <v>167631</v>
      </c>
      <c r="F42" s="6">
        <v>5673.4711950000001</v>
      </c>
      <c r="G42" s="7">
        <v>1.1292669999999999E-2</v>
      </c>
      <c r="H42" s="105"/>
    </row>
    <row r="43" spans="1:8" ht="17.100000000000001" customHeight="1" x14ac:dyDescent="0.2">
      <c r="A43" s="3">
        <v>37</v>
      </c>
      <c r="B43" s="4" t="s">
        <v>213</v>
      </c>
      <c r="C43" s="4" t="s">
        <v>214</v>
      </c>
      <c r="D43" s="4" t="s">
        <v>25</v>
      </c>
      <c r="E43" s="5">
        <v>2900000</v>
      </c>
      <c r="F43" s="6">
        <v>5444.75</v>
      </c>
      <c r="G43" s="7">
        <v>1.083742E-2</v>
      </c>
      <c r="H43" s="105"/>
    </row>
    <row r="44" spans="1:8" ht="17.100000000000001" customHeight="1" x14ac:dyDescent="0.2">
      <c r="A44" s="3">
        <v>38</v>
      </c>
      <c r="B44" s="4" t="s">
        <v>347</v>
      </c>
      <c r="C44" s="4" t="s">
        <v>348</v>
      </c>
      <c r="D44" s="4" t="s">
        <v>121</v>
      </c>
      <c r="E44" s="5">
        <v>205000</v>
      </c>
      <c r="F44" s="6">
        <v>5415.7924999999996</v>
      </c>
      <c r="G44" s="7">
        <v>1.0779779999999999E-2</v>
      </c>
      <c r="H44" s="105"/>
    </row>
    <row r="45" spans="1:8" ht="17.100000000000001" customHeight="1" x14ac:dyDescent="0.2">
      <c r="A45" s="3">
        <v>39</v>
      </c>
      <c r="B45" s="4" t="s">
        <v>349</v>
      </c>
      <c r="C45" s="4" t="s">
        <v>350</v>
      </c>
      <c r="D45" s="4" t="s">
        <v>128</v>
      </c>
      <c r="E45" s="5">
        <v>83000</v>
      </c>
      <c r="F45" s="6">
        <v>5212.4830000000002</v>
      </c>
      <c r="G45" s="7">
        <v>1.037511E-2</v>
      </c>
      <c r="H45" s="105"/>
    </row>
    <row r="46" spans="1:8" ht="17.100000000000001" customHeight="1" x14ac:dyDescent="0.2">
      <c r="A46" s="3">
        <v>40</v>
      </c>
      <c r="B46" s="4" t="s">
        <v>77</v>
      </c>
      <c r="C46" s="4" t="s">
        <v>78</v>
      </c>
      <c r="D46" s="4" t="s">
        <v>33</v>
      </c>
      <c r="E46" s="5">
        <v>326278</v>
      </c>
      <c r="F46" s="6">
        <v>5140.999307</v>
      </c>
      <c r="G46" s="7">
        <v>1.023282E-2</v>
      </c>
      <c r="H46" s="105"/>
    </row>
    <row r="47" spans="1:8" ht="17.100000000000001" customHeight="1" x14ac:dyDescent="0.2">
      <c r="A47" s="3">
        <v>41</v>
      </c>
      <c r="B47" s="4" t="s">
        <v>351</v>
      </c>
      <c r="C47" s="4" t="s">
        <v>352</v>
      </c>
      <c r="D47" s="4" t="s">
        <v>202</v>
      </c>
      <c r="E47" s="5">
        <v>1111321</v>
      </c>
      <c r="F47" s="6">
        <v>5112.6322604999996</v>
      </c>
      <c r="G47" s="7">
        <v>1.0176360000000001E-2</v>
      </c>
      <c r="H47" s="105"/>
    </row>
    <row r="48" spans="1:8" ht="17.100000000000001" customHeight="1" x14ac:dyDescent="0.2">
      <c r="A48" s="3">
        <v>42</v>
      </c>
      <c r="B48" s="4" t="s">
        <v>353</v>
      </c>
      <c r="C48" s="4" t="s">
        <v>354</v>
      </c>
      <c r="D48" s="4" t="s">
        <v>105</v>
      </c>
      <c r="E48" s="5">
        <v>1047000</v>
      </c>
      <c r="F48" s="6">
        <v>5077.4264999999996</v>
      </c>
      <c r="G48" s="7">
        <v>1.010629E-2</v>
      </c>
      <c r="H48" s="105"/>
    </row>
    <row r="49" spans="1:8" ht="17.100000000000001" customHeight="1" x14ac:dyDescent="0.2">
      <c r="A49" s="3">
        <v>43</v>
      </c>
      <c r="B49" s="4" t="s">
        <v>191</v>
      </c>
      <c r="C49" s="4" t="s">
        <v>192</v>
      </c>
      <c r="D49" s="4" t="s">
        <v>953</v>
      </c>
      <c r="E49" s="5">
        <v>103500</v>
      </c>
      <c r="F49" s="6">
        <v>4903.05375</v>
      </c>
      <c r="G49" s="7">
        <v>9.7592100000000008E-3</v>
      </c>
      <c r="H49" s="105"/>
    </row>
    <row r="50" spans="1:8" ht="17.100000000000001" customHeight="1" x14ac:dyDescent="0.2">
      <c r="A50" s="3">
        <v>44</v>
      </c>
      <c r="B50" s="4" t="s">
        <v>355</v>
      </c>
      <c r="C50" s="4" t="s">
        <v>356</v>
      </c>
      <c r="D50" s="4" t="s">
        <v>953</v>
      </c>
      <c r="E50" s="5">
        <v>107000</v>
      </c>
      <c r="F50" s="6">
        <v>4728.8114999999998</v>
      </c>
      <c r="G50" s="7">
        <v>9.4123899999999996E-3</v>
      </c>
      <c r="H50" s="105"/>
    </row>
    <row r="51" spans="1:8" ht="17.100000000000001" customHeight="1" x14ac:dyDescent="0.2">
      <c r="A51" s="3">
        <v>45</v>
      </c>
      <c r="B51" s="4" t="s">
        <v>357</v>
      </c>
      <c r="C51" s="4" t="s">
        <v>358</v>
      </c>
      <c r="D51" s="4" t="s">
        <v>59</v>
      </c>
      <c r="E51" s="5">
        <v>320375</v>
      </c>
      <c r="F51" s="6">
        <v>4721.5265625000002</v>
      </c>
      <c r="G51" s="7">
        <v>9.3978900000000008E-3</v>
      </c>
      <c r="H51" s="105"/>
    </row>
    <row r="52" spans="1:8" ht="17.100000000000001" customHeight="1" x14ac:dyDescent="0.2">
      <c r="A52" s="3">
        <v>46</v>
      </c>
      <c r="B52" s="4" t="s">
        <v>359</v>
      </c>
      <c r="C52" s="4" t="s">
        <v>360</v>
      </c>
      <c r="D52" s="4" t="s">
        <v>195</v>
      </c>
      <c r="E52" s="5">
        <v>133556</v>
      </c>
      <c r="F52" s="6">
        <v>4690.4199420000004</v>
      </c>
      <c r="G52" s="7">
        <v>9.3359800000000007E-3</v>
      </c>
      <c r="H52" s="105"/>
    </row>
    <row r="53" spans="1:8" ht="17.100000000000001" customHeight="1" x14ac:dyDescent="0.2">
      <c r="A53" s="3">
        <v>47</v>
      </c>
      <c r="B53" s="4" t="s">
        <v>254</v>
      </c>
      <c r="C53" s="4" t="s">
        <v>255</v>
      </c>
      <c r="D53" s="4" t="s">
        <v>121</v>
      </c>
      <c r="E53" s="5">
        <v>535000</v>
      </c>
      <c r="F53" s="6">
        <v>4630.4250000000002</v>
      </c>
      <c r="G53" s="7">
        <v>9.2165600000000004E-3</v>
      </c>
      <c r="H53" s="105"/>
    </row>
    <row r="54" spans="1:8" ht="17.100000000000001" customHeight="1" x14ac:dyDescent="0.2">
      <c r="A54" s="3">
        <v>48</v>
      </c>
      <c r="B54" s="4" t="s">
        <v>112</v>
      </c>
      <c r="C54" s="4" t="s">
        <v>113</v>
      </c>
      <c r="D54" s="4" t="s">
        <v>36</v>
      </c>
      <c r="E54" s="5">
        <v>5889644</v>
      </c>
      <c r="F54" s="6">
        <v>4617.480896</v>
      </c>
      <c r="G54" s="7">
        <v>9.1907900000000008E-3</v>
      </c>
      <c r="H54" s="105"/>
    </row>
    <row r="55" spans="1:8" ht="17.100000000000001" customHeight="1" x14ac:dyDescent="0.2">
      <c r="A55" s="3">
        <v>49</v>
      </c>
      <c r="B55" s="4" t="s">
        <v>200</v>
      </c>
      <c r="C55" s="4" t="s">
        <v>201</v>
      </c>
      <c r="D55" s="4" t="s">
        <v>202</v>
      </c>
      <c r="E55" s="5">
        <v>1743213</v>
      </c>
      <c r="F55" s="6">
        <v>4546.2995039999996</v>
      </c>
      <c r="G55" s="7">
        <v>9.0491100000000008E-3</v>
      </c>
      <c r="H55" s="105"/>
    </row>
    <row r="56" spans="1:8" ht="17.100000000000001" customHeight="1" x14ac:dyDescent="0.2">
      <c r="A56" s="3">
        <v>50</v>
      </c>
      <c r="B56" s="4" t="s">
        <v>186</v>
      </c>
      <c r="C56" s="4" t="s">
        <v>187</v>
      </c>
      <c r="D56" s="4" t="s">
        <v>81</v>
      </c>
      <c r="E56" s="5">
        <v>169137</v>
      </c>
      <c r="F56" s="6">
        <v>4379.295204</v>
      </c>
      <c r="G56" s="7">
        <v>8.7167000000000008E-3</v>
      </c>
      <c r="H56" s="105"/>
    </row>
    <row r="57" spans="1:8" ht="17.100000000000001" customHeight="1" x14ac:dyDescent="0.2">
      <c r="A57" s="3">
        <v>51</v>
      </c>
      <c r="B57" s="4" t="s">
        <v>361</v>
      </c>
      <c r="C57" s="4" t="s">
        <v>362</v>
      </c>
      <c r="D57" s="4" t="s">
        <v>25</v>
      </c>
      <c r="E57" s="5">
        <v>220000</v>
      </c>
      <c r="F57" s="6">
        <v>4263.71</v>
      </c>
      <c r="G57" s="7">
        <v>8.4866400000000002E-3</v>
      </c>
      <c r="H57" s="105"/>
    </row>
    <row r="58" spans="1:8" ht="29.1" customHeight="1" x14ac:dyDescent="0.2">
      <c r="A58" s="3">
        <v>52</v>
      </c>
      <c r="B58" s="4" t="s">
        <v>65</v>
      </c>
      <c r="C58" s="4" t="s">
        <v>66</v>
      </c>
      <c r="D58" s="4" t="s">
        <v>22</v>
      </c>
      <c r="E58" s="5">
        <v>210000</v>
      </c>
      <c r="F58" s="6">
        <v>4192.0200000000004</v>
      </c>
      <c r="G58" s="7">
        <v>8.3439399999999993E-3</v>
      </c>
      <c r="H58" s="105"/>
    </row>
    <row r="59" spans="1:8" ht="17.100000000000001" customHeight="1" x14ac:dyDescent="0.2">
      <c r="A59" s="3">
        <v>53</v>
      </c>
      <c r="B59" s="4" t="s">
        <v>26</v>
      </c>
      <c r="C59" s="4" t="s">
        <v>27</v>
      </c>
      <c r="D59" s="4" t="s">
        <v>28</v>
      </c>
      <c r="E59" s="5">
        <v>2400000</v>
      </c>
      <c r="F59" s="6">
        <v>4128</v>
      </c>
      <c r="G59" s="7">
        <v>8.2165099999999998E-3</v>
      </c>
      <c r="H59" s="105"/>
    </row>
    <row r="60" spans="1:8" ht="17.100000000000001" customHeight="1" x14ac:dyDescent="0.2">
      <c r="A60" s="3">
        <v>54</v>
      </c>
      <c r="B60" s="4" t="s">
        <v>233</v>
      </c>
      <c r="C60" s="4" t="s">
        <v>234</v>
      </c>
      <c r="D60" s="4" t="s">
        <v>33</v>
      </c>
      <c r="E60" s="5">
        <v>278333</v>
      </c>
      <c r="F60" s="6">
        <v>4028.870175</v>
      </c>
      <c r="G60" s="7">
        <v>8.0192000000000006E-3</v>
      </c>
      <c r="H60" s="105"/>
    </row>
    <row r="61" spans="1:8" ht="17.100000000000001" customHeight="1" x14ac:dyDescent="0.2">
      <c r="A61" s="3">
        <v>55</v>
      </c>
      <c r="B61" s="4" t="s">
        <v>103</v>
      </c>
      <c r="C61" s="4" t="s">
        <v>104</v>
      </c>
      <c r="D61" s="4" t="s">
        <v>105</v>
      </c>
      <c r="E61" s="5">
        <v>45000</v>
      </c>
      <c r="F61" s="6">
        <v>3865.2975000000001</v>
      </c>
      <c r="G61" s="7">
        <v>7.69362E-3</v>
      </c>
      <c r="H61" s="105"/>
    </row>
    <row r="62" spans="1:8" ht="17.100000000000001" customHeight="1" x14ac:dyDescent="0.2">
      <c r="A62" s="3">
        <v>56</v>
      </c>
      <c r="B62" s="4" t="s">
        <v>75</v>
      </c>
      <c r="C62" s="4" t="s">
        <v>76</v>
      </c>
      <c r="D62" s="4" t="s">
        <v>28</v>
      </c>
      <c r="E62" s="5">
        <v>1899244</v>
      </c>
      <c r="F62" s="6">
        <v>3819.379684</v>
      </c>
      <c r="G62" s="7">
        <v>7.6022299999999998E-3</v>
      </c>
      <c r="H62" s="105"/>
    </row>
    <row r="63" spans="1:8" ht="29.1" customHeight="1" x14ac:dyDescent="0.2">
      <c r="A63" s="3">
        <v>57</v>
      </c>
      <c r="B63" s="4" t="s">
        <v>265</v>
      </c>
      <c r="C63" s="4" t="s">
        <v>266</v>
      </c>
      <c r="D63" s="4" t="s">
        <v>183</v>
      </c>
      <c r="E63" s="5">
        <v>150285</v>
      </c>
      <c r="F63" s="6">
        <v>3817.6147125000002</v>
      </c>
      <c r="G63" s="7">
        <v>7.5987099999999998E-3</v>
      </c>
      <c r="H63" s="105"/>
    </row>
    <row r="64" spans="1:8" ht="17.100000000000001" customHeight="1" x14ac:dyDescent="0.2">
      <c r="A64" s="3">
        <v>58</v>
      </c>
      <c r="B64" s="4" t="s">
        <v>221</v>
      </c>
      <c r="C64" s="4" t="s">
        <v>222</v>
      </c>
      <c r="D64" s="4" t="s">
        <v>223</v>
      </c>
      <c r="E64" s="5">
        <v>810365</v>
      </c>
      <c r="F64" s="6">
        <v>3617.8745425000002</v>
      </c>
      <c r="G64" s="7">
        <v>7.20114E-3</v>
      </c>
      <c r="H64" s="105"/>
    </row>
    <row r="65" spans="1:8" ht="17.100000000000001" customHeight="1" x14ac:dyDescent="0.2">
      <c r="A65" s="3">
        <v>59</v>
      </c>
      <c r="B65" s="4" t="s">
        <v>363</v>
      </c>
      <c r="C65" s="4" t="s">
        <v>364</v>
      </c>
      <c r="D65" s="4" t="s">
        <v>81</v>
      </c>
      <c r="E65" s="5">
        <v>328185</v>
      </c>
      <c r="F65" s="6">
        <v>3433.1432850000001</v>
      </c>
      <c r="G65" s="7">
        <v>6.8334499999999996E-3</v>
      </c>
      <c r="H65" s="105"/>
    </row>
    <row r="66" spans="1:8" ht="17.100000000000001" customHeight="1" x14ac:dyDescent="0.2">
      <c r="A66" s="3">
        <v>60</v>
      </c>
      <c r="B66" s="4" t="s">
        <v>365</v>
      </c>
      <c r="C66" s="4" t="s">
        <v>366</v>
      </c>
      <c r="D66" s="4" t="s">
        <v>121</v>
      </c>
      <c r="E66" s="5">
        <v>111208</v>
      </c>
      <c r="F66" s="6">
        <v>3242.046824</v>
      </c>
      <c r="G66" s="7">
        <v>6.4530799999999999E-3</v>
      </c>
      <c r="H66" s="105"/>
    </row>
    <row r="67" spans="1:8" ht="17.100000000000001" customHeight="1" x14ac:dyDescent="0.2">
      <c r="A67" s="3">
        <v>61</v>
      </c>
      <c r="B67" s="4" t="s">
        <v>239</v>
      </c>
      <c r="C67" s="4" t="s">
        <v>240</v>
      </c>
      <c r="D67" s="4" t="s">
        <v>121</v>
      </c>
      <c r="E67" s="5">
        <v>405000</v>
      </c>
      <c r="F67" s="6">
        <v>3236.1525000000001</v>
      </c>
      <c r="G67" s="7">
        <v>6.4413500000000002E-3</v>
      </c>
      <c r="H67" s="105"/>
    </row>
    <row r="68" spans="1:8" ht="17.100000000000001" customHeight="1" x14ac:dyDescent="0.2">
      <c r="A68" s="3">
        <v>62</v>
      </c>
      <c r="B68" s="4" t="s">
        <v>67</v>
      </c>
      <c r="C68" s="4" t="s">
        <v>68</v>
      </c>
      <c r="D68" s="4" t="s">
        <v>36</v>
      </c>
      <c r="E68" s="5">
        <v>881341</v>
      </c>
      <c r="F68" s="6">
        <v>3219.538673</v>
      </c>
      <c r="G68" s="7">
        <v>6.4082799999999997E-3</v>
      </c>
      <c r="H68" s="105"/>
    </row>
    <row r="69" spans="1:8" ht="17.100000000000001" customHeight="1" x14ac:dyDescent="0.2">
      <c r="A69" s="3">
        <v>63</v>
      </c>
      <c r="B69" s="4" t="s">
        <v>215</v>
      </c>
      <c r="C69" s="4" t="s">
        <v>216</v>
      </c>
      <c r="D69" s="4" t="s">
        <v>217</v>
      </c>
      <c r="E69" s="5">
        <v>501344</v>
      </c>
      <c r="F69" s="6">
        <v>3207.3482399999998</v>
      </c>
      <c r="G69" s="7">
        <v>6.3840199999999998E-3</v>
      </c>
      <c r="H69" s="105"/>
    </row>
    <row r="70" spans="1:8" ht="17.100000000000001" customHeight="1" x14ac:dyDescent="0.2">
      <c r="A70" s="3">
        <v>64</v>
      </c>
      <c r="B70" s="4" t="s">
        <v>269</v>
      </c>
      <c r="C70" s="4" t="s">
        <v>270</v>
      </c>
      <c r="D70" s="4" t="s">
        <v>271</v>
      </c>
      <c r="E70" s="5">
        <v>7800</v>
      </c>
      <c r="F70" s="6">
        <v>3145.0146</v>
      </c>
      <c r="G70" s="7">
        <v>6.2599500000000002E-3</v>
      </c>
      <c r="H70" s="105"/>
    </row>
    <row r="71" spans="1:8" ht="17.100000000000001" customHeight="1" x14ac:dyDescent="0.2">
      <c r="A71" s="3">
        <v>65</v>
      </c>
      <c r="B71" s="4" t="s">
        <v>367</v>
      </c>
      <c r="C71" s="4" t="s">
        <v>368</v>
      </c>
      <c r="D71" s="4" t="s">
        <v>128</v>
      </c>
      <c r="E71" s="5">
        <v>220000</v>
      </c>
      <c r="F71" s="6">
        <v>2980.23</v>
      </c>
      <c r="G71" s="7">
        <v>5.9319500000000001E-3</v>
      </c>
      <c r="H71" s="105"/>
    </row>
    <row r="72" spans="1:8" ht="17.100000000000001" customHeight="1" x14ac:dyDescent="0.2">
      <c r="A72" s="3">
        <v>66</v>
      </c>
      <c r="B72" s="4" t="s">
        <v>310</v>
      </c>
      <c r="C72" s="4" t="s">
        <v>311</v>
      </c>
      <c r="D72" s="4" t="s">
        <v>207</v>
      </c>
      <c r="E72" s="5">
        <v>2750000</v>
      </c>
      <c r="F72" s="6">
        <v>2968.625</v>
      </c>
      <c r="G72" s="7">
        <v>5.9088500000000002E-3</v>
      </c>
      <c r="H72" s="105"/>
    </row>
    <row r="73" spans="1:8" ht="17.100000000000001" customHeight="1" x14ac:dyDescent="0.2">
      <c r="A73" s="3">
        <v>67</v>
      </c>
      <c r="B73" s="4" t="s">
        <v>369</v>
      </c>
      <c r="C73" s="4" t="s">
        <v>370</v>
      </c>
      <c r="D73" s="4" t="s">
        <v>121</v>
      </c>
      <c r="E73" s="5">
        <v>348399</v>
      </c>
      <c r="F73" s="6">
        <v>2937.8745675</v>
      </c>
      <c r="G73" s="7">
        <v>5.8476500000000002E-3</v>
      </c>
      <c r="H73" s="105"/>
    </row>
    <row r="74" spans="1:8" ht="17.100000000000001" customHeight="1" x14ac:dyDescent="0.2">
      <c r="A74" s="3">
        <v>68</v>
      </c>
      <c r="B74" s="4" t="s">
        <v>371</v>
      </c>
      <c r="C74" s="4" t="s">
        <v>372</v>
      </c>
      <c r="D74" s="4" t="s">
        <v>121</v>
      </c>
      <c r="E74" s="5">
        <v>100000</v>
      </c>
      <c r="F74" s="6">
        <v>2902.35</v>
      </c>
      <c r="G74" s="7">
        <v>5.7769400000000004E-3</v>
      </c>
      <c r="H74" s="105"/>
    </row>
    <row r="75" spans="1:8" ht="17.100000000000001" customHeight="1" x14ac:dyDescent="0.2">
      <c r="A75" s="3">
        <v>69</v>
      </c>
      <c r="B75" s="4" t="s">
        <v>373</v>
      </c>
      <c r="C75" s="4" t="s">
        <v>374</v>
      </c>
      <c r="D75" s="4" t="s">
        <v>375</v>
      </c>
      <c r="E75" s="5">
        <v>1100000</v>
      </c>
      <c r="F75" s="6">
        <v>2564.1</v>
      </c>
      <c r="G75" s="7">
        <v>5.1036700000000003E-3</v>
      </c>
      <c r="H75" s="105"/>
    </row>
    <row r="76" spans="1:8" ht="17.100000000000001" customHeight="1" x14ac:dyDescent="0.2">
      <c r="A76" s="3">
        <v>70</v>
      </c>
      <c r="B76" s="4" t="s">
        <v>272</v>
      </c>
      <c r="C76" s="4" t="s">
        <v>273</v>
      </c>
      <c r="D76" s="4" t="s">
        <v>128</v>
      </c>
      <c r="E76" s="5">
        <v>1350000</v>
      </c>
      <c r="F76" s="6">
        <v>2293.65</v>
      </c>
      <c r="G76" s="7">
        <v>4.5653600000000001E-3</v>
      </c>
      <c r="H76" s="105"/>
    </row>
    <row r="77" spans="1:8" ht="17.100000000000001" customHeight="1" x14ac:dyDescent="0.2">
      <c r="A77" s="3">
        <v>71</v>
      </c>
      <c r="B77" s="4" t="s">
        <v>291</v>
      </c>
      <c r="C77" s="4" t="s">
        <v>292</v>
      </c>
      <c r="D77" s="4" t="s">
        <v>33</v>
      </c>
      <c r="E77" s="5">
        <v>280000</v>
      </c>
      <c r="F77" s="6">
        <v>2243.7800000000002</v>
      </c>
      <c r="G77" s="7">
        <v>4.4660999999999998E-3</v>
      </c>
      <c r="H77" s="105"/>
    </row>
    <row r="78" spans="1:8" ht="17.100000000000001" customHeight="1" x14ac:dyDescent="0.2">
      <c r="A78" s="3">
        <v>72</v>
      </c>
      <c r="B78" s="4" t="s">
        <v>278</v>
      </c>
      <c r="C78" s="4" t="s">
        <v>279</v>
      </c>
      <c r="D78" s="4" t="s">
        <v>121</v>
      </c>
      <c r="E78" s="5">
        <v>198211</v>
      </c>
      <c r="F78" s="6">
        <v>2170.0140280000001</v>
      </c>
      <c r="G78" s="7">
        <v>4.3192700000000001E-3</v>
      </c>
      <c r="H78" s="105"/>
    </row>
    <row r="79" spans="1:8" ht="29.1" customHeight="1" x14ac:dyDescent="0.2">
      <c r="A79" s="3">
        <v>73</v>
      </c>
      <c r="B79" s="4" t="s">
        <v>249</v>
      </c>
      <c r="C79" s="4" t="s">
        <v>250</v>
      </c>
      <c r="D79" s="4" t="s">
        <v>121</v>
      </c>
      <c r="E79" s="5">
        <v>696600</v>
      </c>
      <c r="F79" s="6">
        <v>1775.6333999999999</v>
      </c>
      <c r="G79" s="7">
        <v>3.5342799999999999E-3</v>
      </c>
      <c r="H79" s="105"/>
    </row>
    <row r="80" spans="1:8" ht="17.100000000000001" customHeight="1" x14ac:dyDescent="0.2">
      <c r="A80" s="3">
        <v>74</v>
      </c>
      <c r="B80" s="4" t="s">
        <v>274</v>
      </c>
      <c r="C80" s="4" t="s">
        <v>275</v>
      </c>
      <c r="D80" s="4" t="s">
        <v>28</v>
      </c>
      <c r="E80" s="5">
        <v>154089</v>
      </c>
      <c r="F80" s="6">
        <v>849.64674600000001</v>
      </c>
      <c r="G80" s="7">
        <v>1.6911700000000001E-3</v>
      </c>
      <c r="H80" s="105"/>
    </row>
    <row r="81" spans="1:8" ht="17.100000000000001" customHeight="1" x14ac:dyDescent="0.2">
      <c r="A81" s="3">
        <v>75</v>
      </c>
      <c r="B81" s="4" t="s">
        <v>126</v>
      </c>
      <c r="C81" s="4" t="s">
        <v>127</v>
      </c>
      <c r="D81" s="4" t="s">
        <v>128</v>
      </c>
      <c r="E81" s="5">
        <v>147347</v>
      </c>
      <c r="F81" s="6">
        <v>304.19788149999999</v>
      </c>
      <c r="G81" s="7">
        <v>6.0548999999999998E-4</v>
      </c>
      <c r="H81" s="105"/>
    </row>
    <row r="82" spans="1:8" ht="14.1" customHeight="1" x14ac:dyDescent="0.2">
      <c r="A82" s="1"/>
      <c r="B82" s="1"/>
      <c r="C82" s="2" t="s">
        <v>132</v>
      </c>
      <c r="D82" s="1"/>
      <c r="E82" s="1" t="s">
        <v>133</v>
      </c>
      <c r="F82" s="9">
        <v>478038.21390600002</v>
      </c>
      <c r="G82" s="10">
        <v>0.95150383999999999</v>
      </c>
      <c r="H82" s="105"/>
    </row>
    <row r="83" spans="1:8" ht="14.1" customHeight="1" x14ac:dyDescent="0.2">
      <c r="A83" s="1"/>
      <c r="B83" s="1"/>
      <c r="C83" s="11"/>
      <c r="D83" s="1"/>
      <c r="E83" s="1"/>
      <c r="F83" s="12"/>
      <c r="G83" s="12"/>
      <c r="H83" s="105"/>
    </row>
    <row r="84" spans="1:8" ht="14.1" customHeight="1" x14ac:dyDescent="0.2">
      <c r="A84" s="1"/>
      <c r="B84" s="1"/>
      <c r="C84" s="2" t="s">
        <v>134</v>
      </c>
      <c r="D84" s="1"/>
      <c r="E84" s="1"/>
      <c r="F84" s="1"/>
      <c r="G84" s="1"/>
      <c r="H84" s="105"/>
    </row>
    <row r="85" spans="1:8" ht="14.1" customHeight="1" x14ac:dyDescent="0.2">
      <c r="A85" s="1"/>
      <c r="B85" s="1"/>
      <c r="C85" s="2" t="s">
        <v>132</v>
      </c>
      <c r="D85" s="1"/>
      <c r="E85" s="1" t="s">
        <v>133</v>
      </c>
      <c r="F85" s="13" t="s">
        <v>135</v>
      </c>
      <c r="G85" s="10">
        <v>0</v>
      </c>
      <c r="H85" s="105"/>
    </row>
    <row r="86" spans="1:8" ht="14.1" customHeight="1" x14ac:dyDescent="0.2">
      <c r="A86" s="1"/>
      <c r="B86" s="1"/>
      <c r="C86" s="11"/>
      <c r="D86" s="1"/>
      <c r="E86" s="1"/>
      <c r="F86" s="12"/>
      <c r="G86" s="12"/>
      <c r="H86" s="105"/>
    </row>
    <row r="87" spans="1:8" ht="14.1" customHeight="1" x14ac:dyDescent="0.2">
      <c r="A87" s="1"/>
      <c r="B87" s="1"/>
      <c r="C87" s="2" t="s">
        <v>136</v>
      </c>
      <c r="D87" s="1"/>
      <c r="E87" s="1"/>
      <c r="F87" s="1"/>
      <c r="G87" s="1"/>
      <c r="H87" s="105"/>
    </row>
    <row r="88" spans="1:8" ht="14.1" customHeight="1" x14ac:dyDescent="0.2">
      <c r="A88" s="1"/>
      <c r="B88" s="1"/>
      <c r="C88" s="2" t="s">
        <v>132</v>
      </c>
      <c r="D88" s="1"/>
      <c r="E88" s="1" t="s">
        <v>133</v>
      </c>
      <c r="F88" s="13" t="s">
        <v>135</v>
      </c>
      <c r="G88" s="10">
        <v>0</v>
      </c>
      <c r="H88" s="105"/>
    </row>
    <row r="89" spans="1:8" ht="14.1" customHeight="1" x14ac:dyDescent="0.2">
      <c r="A89" s="1"/>
      <c r="B89" s="1"/>
      <c r="C89" s="11"/>
      <c r="D89" s="1"/>
      <c r="E89" s="1"/>
      <c r="F89" s="12"/>
      <c r="G89" s="12"/>
      <c r="H89" s="105"/>
    </row>
    <row r="90" spans="1:8" ht="14.1" customHeight="1" x14ac:dyDescent="0.2">
      <c r="A90" s="1"/>
      <c r="B90" s="1"/>
      <c r="C90" s="2" t="s">
        <v>137</v>
      </c>
      <c r="D90" s="1"/>
      <c r="E90" s="1"/>
      <c r="F90" s="1"/>
      <c r="G90" s="1"/>
      <c r="H90" s="105"/>
    </row>
    <row r="91" spans="1:8" ht="14.1" customHeight="1" x14ac:dyDescent="0.2">
      <c r="A91" s="1"/>
      <c r="B91" s="1"/>
      <c r="C91" s="2" t="s">
        <v>132</v>
      </c>
      <c r="D91" s="1"/>
      <c r="E91" s="1" t="s">
        <v>133</v>
      </c>
      <c r="F91" s="13" t="s">
        <v>135</v>
      </c>
      <c r="G91" s="10">
        <v>0</v>
      </c>
      <c r="H91" s="105"/>
    </row>
    <row r="92" spans="1:8" ht="14.1" customHeight="1" x14ac:dyDescent="0.2">
      <c r="A92" s="1"/>
      <c r="B92" s="1"/>
      <c r="C92" s="11"/>
      <c r="D92" s="1"/>
      <c r="E92" s="1"/>
      <c r="F92" s="12"/>
      <c r="G92" s="12"/>
      <c r="H92" s="105"/>
    </row>
    <row r="93" spans="1:8" ht="14.1" customHeight="1" x14ac:dyDescent="0.2">
      <c r="A93" s="1"/>
      <c r="B93" s="1"/>
      <c r="C93" s="2" t="s">
        <v>138</v>
      </c>
      <c r="D93" s="1"/>
      <c r="E93" s="1"/>
      <c r="F93" s="12"/>
      <c r="G93" s="12"/>
      <c r="H93" s="105"/>
    </row>
    <row r="94" spans="1:8" ht="14.1" customHeight="1" x14ac:dyDescent="0.2">
      <c r="A94" s="1"/>
      <c r="B94" s="1"/>
      <c r="C94" s="2" t="s">
        <v>132</v>
      </c>
      <c r="D94" s="1"/>
      <c r="E94" s="1" t="s">
        <v>133</v>
      </c>
      <c r="F94" s="13" t="s">
        <v>135</v>
      </c>
      <c r="G94" s="10">
        <v>0</v>
      </c>
      <c r="H94" s="105"/>
    </row>
    <row r="95" spans="1:8" ht="14.1" customHeight="1" x14ac:dyDescent="0.2">
      <c r="A95" s="1"/>
      <c r="B95" s="1"/>
      <c r="C95" s="11"/>
      <c r="D95" s="1"/>
      <c r="E95" s="1"/>
      <c r="F95" s="12"/>
      <c r="G95" s="12"/>
      <c r="H95" s="105"/>
    </row>
    <row r="96" spans="1:8" ht="14.1" customHeight="1" x14ac:dyDescent="0.2">
      <c r="A96" s="1"/>
      <c r="B96" s="1"/>
      <c r="C96" s="2" t="s">
        <v>139</v>
      </c>
      <c r="D96" s="1"/>
      <c r="E96" s="1"/>
      <c r="F96" s="12"/>
      <c r="G96" s="12"/>
      <c r="H96" s="105"/>
    </row>
    <row r="97" spans="1:8" ht="14.1" customHeight="1" x14ac:dyDescent="0.2">
      <c r="A97" s="1"/>
      <c r="B97" s="1"/>
      <c r="C97" s="2" t="s">
        <v>132</v>
      </c>
      <c r="D97" s="1"/>
      <c r="E97" s="1" t="s">
        <v>133</v>
      </c>
      <c r="F97" s="13" t="s">
        <v>135</v>
      </c>
      <c r="G97" s="10">
        <v>0</v>
      </c>
      <c r="H97" s="105"/>
    </row>
    <row r="98" spans="1:8" ht="14.1" customHeight="1" x14ac:dyDescent="0.2">
      <c r="A98" s="1"/>
      <c r="B98" s="1"/>
      <c r="C98" s="11"/>
      <c r="D98" s="1"/>
      <c r="E98" s="1"/>
      <c r="F98" s="12"/>
      <c r="G98" s="12"/>
      <c r="H98" s="105"/>
    </row>
    <row r="99" spans="1:8" ht="18" customHeight="1" x14ac:dyDescent="0.2">
      <c r="A99" s="1"/>
      <c r="B99" s="1"/>
      <c r="C99" s="2" t="s">
        <v>140</v>
      </c>
      <c r="D99" s="1"/>
      <c r="E99" s="1"/>
      <c r="F99" s="9">
        <v>478038.21390600002</v>
      </c>
      <c r="G99" s="10">
        <v>0.95150383999999999</v>
      </c>
      <c r="H99" s="105"/>
    </row>
    <row r="100" spans="1:8" ht="14.1" customHeight="1" x14ac:dyDescent="0.2">
      <c r="A100" s="1"/>
      <c r="B100" s="1"/>
      <c r="C100" s="11"/>
      <c r="D100" s="1"/>
      <c r="E100" s="1"/>
      <c r="F100" s="12"/>
      <c r="G100" s="12"/>
      <c r="H100" s="105"/>
    </row>
    <row r="101" spans="1:8" ht="14.1" customHeight="1" x14ac:dyDescent="0.2">
      <c r="A101" s="1"/>
      <c r="B101" s="1"/>
      <c r="C101" s="2" t="s">
        <v>141</v>
      </c>
      <c r="D101" s="1"/>
      <c r="E101" s="1"/>
      <c r="F101" s="12"/>
      <c r="G101" s="12"/>
      <c r="H101" s="105"/>
    </row>
    <row r="102" spans="1:8" ht="24" customHeight="1" x14ac:dyDescent="0.2">
      <c r="A102" s="1"/>
      <c r="B102" s="1"/>
      <c r="C102" s="2" t="s">
        <v>10</v>
      </c>
      <c r="D102" s="1"/>
      <c r="E102" s="1"/>
      <c r="F102" s="12"/>
      <c r="G102" s="12"/>
      <c r="H102" s="105"/>
    </row>
    <row r="103" spans="1:8" ht="14.1" customHeight="1" x14ac:dyDescent="0.2">
      <c r="A103" s="1"/>
      <c r="B103" s="1"/>
      <c r="C103" s="2" t="s">
        <v>132</v>
      </c>
      <c r="D103" s="1"/>
      <c r="E103" s="1" t="s">
        <v>133</v>
      </c>
      <c r="F103" s="13" t="s">
        <v>135</v>
      </c>
      <c r="G103" s="10">
        <v>0</v>
      </c>
      <c r="H103" s="105"/>
    </row>
    <row r="104" spans="1:8" ht="14.1" customHeight="1" x14ac:dyDescent="0.2">
      <c r="A104" s="1"/>
      <c r="B104" s="1"/>
      <c r="C104" s="11"/>
      <c r="D104" s="1"/>
      <c r="E104" s="1"/>
      <c r="F104" s="12"/>
      <c r="G104" s="12"/>
      <c r="H104" s="105"/>
    </row>
    <row r="105" spans="1:8" ht="14.1" customHeight="1" x14ac:dyDescent="0.2">
      <c r="A105" s="1"/>
      <c r="B105" s="1"/>
      <c r="C105" s="2" t="s">
        <v>142</v>
      </c>
      <c r="D105" s="1"/>
      <c r="E105" s="1"/>
      <c r="F105" s="1"/>
      <c r="G105" s="1"/>
      <c r="H105" s="105"/>
    </row>
    <row r="106" spans="1:8" ht="14.1" customHeight="1" x14ac:dyDescent="0.2">
      <c r="A106" s="1"/>
      <c r="B106" s="1"/>
      <c r="C106" s="2" t="s">
        <v>132</v>
      </c>
      <c r="D106" s="1"/>
      <c r="E106" s="1" t="s">
        <v>133</v>
      </c>
      <c r="F106" s="13" t="s">
        <v>135</v>
      </c>
      <c r="G106" s="10">
        <v>0</v>
      </c>
      <c r="H106" s="105"/>
    </row>
    <row r="107" spans="1:8" ht="14.1" customHeight="1" x14ac:dyDescent="0.2">
      <c r="A107" s="1"/>
      <c r="B107" s="1"/>
      <c r="C107" s="11"/>
      <c r="D107" s="1"/>
      <c r="E107" s="1"/>
      <c r="F107" s="12"/>
      <c r="G107" s="12"/>
      <c r="H107" s="105"/>
    </row>
    <row r="108" spans="1:8" ht="14.1" customHeight="1" x14ac:dyDescent="0.2">
      <c r="A108" s="1"/>
      <c r="B108" s="1"/>
      <c r="C108" s="2" t="s">
        <v>143</v>
      </c>
      <c r="D108" s="1"/>
      <c r="E108" s="1"/>
      <c r="F108" s="1"/>
      <c r="G108" s="1"/>
      <c r="H108" s="105"/>
    </row>
    <row r="109" spans="1:8" ht="14.1" customHeight="1" x14ac:dyDescent="0.2">
      <c r="A109" s="1"/>
      <c r="B109" s="1"/>
      <c r="C109" s="2" t="s">
        <v>132</v>
      </c>
      <c r="D109" s="1"/>
      <c r="E109" s="1" t="s">
        <v>133</v>
      </c>
      <c r="F109" s="13" t="s">
        <v>135</v>
      </c>
      <c r="G109" s="10">
        <v>0</v>
      </c>
      <c r="H109" s="105"/>
    </row>
    <row r="110" spans="1:8" ht="14.1" customHeight="1" x14ac:dyDescent="0.2">
      <c r="A110" s="1"/>
      <c r="B110" s="1"/>
      <c r="C110" s="11"/>
      <c r="D110" s="1"/>
      <c r="E110" s="1"/>
      <c r="F110" s="12"/>
      <c r="G110" s="12"/>
      <c r="H110" s="105"/>
    </row>
    <row r="111" spans="1:8" ht="14.1" customHeight="1" x14ac:dyDescent="0.2">
      <c r="A111" s="1"/>
      <c r="B111" s="1"/>
      <c r="C111" s="2" t="s">
        <v>144</v>
      </c>
      <c r="D111" s="1"/>
      <c r="E111" s="1"/>
      <c r="F111" s="12"/>
      <c r="G111" s="12"/>
      <c r="H111" s="105"/>
    </row>
    <row r="112" spans="1:8" ht="14.1" customHeight="1" x14ac:dyDescent="0.2">
      <c r="A112" s="1"/>
      <c r="B112" s="1"/>
      <c r="C112" s="2" t="s">
        <v>132</v>
      </c>
      <c r="D112" s="1"/>
      <c r="E112" s="1" t="s">
        <v>133</v>
      </c>
      <c r="F112" s="13" t="s">
        <v>135</v>
      </c>
      <c r="G112" s="10">
        <v>0</v>
      </c>
      <c r="H112" s="105"/>
    </row>
    <row r="113" spans="1:8" ht="14.1" customHeight="1" x14ac:dyDescent="0.2">
      <c r="A113" s="1"/>
      <c r="B113" s="1"/>
      <c r="C113" s="11"/>
      <c r="D113" s="1"/>
      <c r="E113" s="1"/>
      <c r="F113" s="12"/>
      <c r="G113" s="12"/>
      <c r="H113" s="105"/>
    </row>
    <row r="114" spans="1:8" ht="14.1" customHeight="1" x14ac:dyDescent="0.2">
      <c r="A114" s="1"/>
      <c r="B114" s="1"/>
      <c r="C114" s="2" t="s">
        <v>145</v>
      </c>
      <c r="D114" s="1"/>
      <c r="E114" s="1"/>
      <c r="F114" s="9">
        <v>0</v>
      </c>
      <c r="G114" s="10">
        <v>0</v>
      </c>
      <c r="H114" s="105"/>
    </row>
    <row r="115" spans="1:8" ht="14.1" customHeight="1" x14ac:dyDescent="0.2">
      <c r="A115" s="1"/>
      <c r="B115" s="1"/>
      <c r="C115" s="11"/>
      <c r="D115" s="1"/>
      <c r="E115" s="1"/>
      <c r="F115" s="12"/>
      <c r="G115" s="12"/>
      <c r="H115" s="105"/>
    </row>
    <row r="116" spans="1:8" ht="14.1" customHeight="1" x14ac:dyDescent="0.2">
      <c r="A116" s="1"/>
      <c r="B116" s="1"/>
      <c r="C116" s="2" t="s">
        <v>146</v>
      </c>
      <c r="D116" s="1"/>
      <c r="E116" s="1"/>
      <c r="F116" s="12"/>
      <c r="G116" s="12"/>
      <c r="H116" s="105"/>
    </row>
    <row r="117" spans="1:8" ht="14.1" customHeight="1" x14ac:dyDescent="0.2">
      <c r="A117" s="1"/>
      <c r="B117" s="1"/>
      <c r="C117" s="2" t="s">
        <v>147</v>
      </c>
      <c r="D117" s="1"/>
      <c r="E117" s="1"/>
      <c r="F117" s="12"/>
      <c r="G117" s="12"/>
      <c r="H117" s="105"/>
    </row>
    <row r="118" spans="1:8" ht="14.1" customHeight="1" x14ac:dyDescent="0.2">
      <c r="A118" s="1"/>
      <c r="B118" s="1"/>
      <c r="C118" s="2" t="s">
        <v>132</v>
      </c>
      <c r="D118" s="1"/>
      <c r="E118" s="1" t="s">
        <v>133</v>
      </c>
      <c r="F118" s="13" t="s">
        <v>135</v>
      </c>
      <c r="G118" s="10">
        <v>0</v>
      </c>
      <c r="H118" s="105"/>
    </row>
    <row r="119" spans="1:8" ht="14.1" customHeight="1" x14ac:dyDescent="0.2">
      <c r="A119" s="1"/>
      <c r="B119" s="1"/>
      <c r="C119" s="11"/>
      <c r="D119" s="1"/>
      <c r="E119" s="1"/>
      <c r="F119" s="12"/>
      <c r="G119" s="12"/>
      <c r="H119" s="105"/>
    </row>
    <row r="120" spans="1:8" ht="14.1" customHeight="1" x14ac:dyDescent="0.2">
      <c r="A120" s="1"/>
      <c r="B120" s="1"/>
      <c r="C120" s="2" t="s">
        <v>148</v>
      </c>
      <c r="D120" s="1"/>
      <c r="E120" s="1"/>
      <c r="F120" s="12"/>
      <c r="G120" s="12"/>
      <c r="H120" s="105"/>
    </row>
    <row r="121" spans="1:8" ht="14.1" customHeight="1" x14ac:dyDescent="0.2">
      <c r="A121" s="1"/>
      <c r="B121" s="1"/>
      <c r="C121" s="2" t="s">
        <v>132</v>
      </c>
      <c r="D121" s="1"/>
      <c r="E121" s="1" t="s">
        <v>133</v>
      </c>
      <c r="F121" s="13" t="s">
        <v>135</v>
      </c>
      <c r="G121" s="10">
        <v>0</v>
      </c>
      <c r="H121" s="105"/>
    </row>
    <row r="122" spans="1:8" ht="14.1" customHeight="1" x14ac:dyDescent="0.2">
      <c r="A122" s="1"/>
      <c r="B122" s="1"/>
      <c r="C122" s="11"/>
      <c r="D122" s="1"/>
      <c r="E122" s="1"/>
      <c r="F122" s="12"/>
      <c r="G122" s="12"/>
      <c r="H122" s="105"/>
    </row>
    <row r="123" spans="1:8" ht="14.1" customHeight="1" x14ac:dyDescent="0.2">
      <c r="A123" s="1"/>
      <c r="B123" s="1"/>
      <c r="C123" s="2" t="s">
        <v>149</v>
      </c>
      <c r="D123" s="1"/>
      <c r="E123" s="1"/>
      <c r="F123" s="12"/>
      <c r="G123" s="12"/>
      <c r="H123" s="105"/>
    </row>
    <row r="124" spans="1:8" ht="14.1" customHeight="1" x14ac:dyDescent="0.2">
      <c r="A124" s="1"/>
      <c r="B124" s="1"/>
      <c r="C124" s="2" t="s">
        <v>132</v>
      </c>
      <c r="D124" s="1"/>
      <c r="E124" s="1" t="s">
        <v>133</v>
      </c>
      <c r="F124" s="13" t="s">
        <v>135</v>
      </c>
      <c r="G124" s="10">
        <v>0</v>
      </c>
      <c r="H124" s="105"/>
    </row>
    <row r="125" spans="1:8" ht="14.1" customHeight="1" x14ac:dyDescent="0.2">
      <c r="A125" s="1"/>
      <c r="B125" s="1"/>
      <c r="C125" s="11"/>
      <c r="D125" s="1"/>
      <c r="E125" s="1"/>
      <c r="F125" s="12"/>
      <c r="G125" s="12"/>
      <c r="H125" s="105"/>
    </row>
    <row r="126" spans="1:8" ht="14.1" customHeight="1" x14ac:dyDescent="0.2">
      <c r="A126" s="1"/>
      <c r="B126" s="1"/>
      <c r="C126" s="2" t="s">
        <v>150</v>
      </c>
      <c r="D126" s="1"/>
      <c r="E126" s="1"/>
      <c r="F126" s="12"/>
      <c r="G126" s="12"/>
      <c r="H126" s="105"/>
    </row>
    <row r="127" spans="1:8" ht="17.100000000000001" customHeight="1" x14ac:dyDescent="0.2">
      <c r="A127" s="3">
        <v>1</v>
      </c>
      <c r="B127" s="4"/>
      <c r="C127" s="4" t="s">
        <v>151</v>
      </c>
      <c r="D127" s="4"/>
      <c r="E127" s="8"/>
      <c r="F127" s="6">
        <v>22026.1811781</v>
      </c>
      <c r="G127" s="7">
        <v>4.3841680000000001E-2</v>
      </c>
      <c r="H127" s="105">
        <v>6.8153352377542396</v>
      </c>
    </row>
    <row r="128" spans="1:8" ht="17.100000000000001" customHeight="1" x14ac:dyDescent="0.2">
      <c r="A128" s="3">
        <v>2</v>
      </c>
      <c r="B128" s="4"/>
      <c r="C128" s="4" t="s">
        <v>152</v>
      </c>
      <c r="D128" s="4"/>
      <c r="E128" s="8"/>
      <c r="F128" s="6">
        <v>2613.7642944109998</v>
      </c>
      <c r="G128" s="7">
        <v>5.2025300000000003E-3</v>
      </c>
      <c r="H128" s="105">
        <v>6.7952403714590259</v>
      </c>
    </row>
    <row r="129" spans="1:14" ht="14.1" customHeight="1" x14ac:dyDescent="0.2">
      <c r="A129" s="1"/>
      <c r="B129" s="1"/>
      <c r="C129" s="2" t="s">
        <v>132</v>
      </c>
      <c r="D129" s="1"/>
      <c r="E129" s="1" t="s">
        <v>133</v>
      </c>
      <c r="F129" s="9">
        <v>24639.945472511001</v>
      </c>
      <c r="G129" s="10">
        <v>4.9044209999999998E-2</v>
      </c>
      <c r="H129" s="105"/>
    </row>
    <row r="130" spans="1:14" ht="14.1" customHeight="1" x14ac:dyDescent="0.2">
      <c r="A130" s="1"/>
      <c r="B130" s="1"/>
      <c r="C130" s="11"/>
      <c r="D130" s="1"/>
      <c r="E130" s="1"/>
      <c r="F130" s="12"/>
      <c r="G130" s="12"/>
      <c r="H130" s="105"/>
    </row>
    <row r="131" spans="1:14" ht="14.1" customHeight="1" x14ac:dyDescent="0.2">
      <c r="A131" s="1"/>
      <c r="B131" s="1"/>
      <c r="C131" s="2" t="s">
        <v>153</v>
      </c>
      <c r="D131" s="1"/>
      <c r="E131" s="1"/>
      <c r="F131" s="9">
        <v>24639.945472511001</v>
      </c>
      <c r="G131" s="10">
        <v>4.9044209999999998E-2</v>
      </c>
      <c r="H131" s="105"/>
    </row>
    <row r="132" spans="1:14" ht="14.1" customHeight="1" x14ac:dyDescent="0.2">
      <c r="A132" s="1"/>
      <c r="B132" s="1"/>
      <c r="C132" s="12"/>
      <c r="D132" s="1"/>
      <c r="E132" s="1"/>
      <c r="F132" s="1"/>
      <c r="G132" s="1"/>
      <c r="H132" s="105"/>
    </row>
    <row r="133" spans="1:14" ht="14.1" customHeight="1" x14ac:dyDescent="0.2">
      <c r="A133" s="1"/>
      <c r="B133" s="1"/>
      <c r="C133" s="2" t="s">
        <v>154</v>
      </c>
      <c r="D133" s="1"/>
      <c r="E133" s="1"/>
      <c r="F133" s="1"/>
      <c r="G133" s="1"/>
      <c r="H133" s="105"/>
    </row>
    <row r="134" spans="1:14" ht="14.1" customHeight="1" x14ac:dyDescent="0.2">
      <c r="A134" s="1"/>
      <c r="B134" s="1"/>
      <c r="C134" s="2" t="s">
        <v>155</v>
      </c>
      <c r="D134" s="1"/>
      <c r="E134" s="1"/>
      <c r="F134" s="1"/>
      <c r="G134" s="1"/>
      <c r="H134" s="105"/>
    </row>
    <row r="135" spans="1:14" ht="14.1" customHeight="1" x14ac:dyDescent="0.2">
      <c r="A135" s="1"/>
      <c r="B135" s="1"/>
      <c r="C135" s="2" t="s">
        <v>132</v>
      </c>
      <c r="D135" s="1"/>
      <c r="E135" s="1" t="s">
        <v>133</v>
      </c>
      <c r="F135" s="13" t="s">
        <v>135</v>
      </c>
      <c r="G135" s="10">
        <v>0</v>
      </c>
      <c r="H135" s="105"/>
    </row>
    <row r="136" spans="1:14" ht="14.1" customHeight="1" x14ac:dyDescent="0.2">
      <c r="A136" s="1"/>
      <c r="B136" s="1"/>
      <c r="C136" s="11"/>
      <c r="D136" s="1"/>
      <c r="E136" s="1"/>
      <c r="F136" s="12"/>
      <c r="G136" s="12"/>
      <c r="H136" s="105"/>
    </row>
    <row r="137" spans="1:14" ht="14.1" customHeight="1" x14ac:dyDescent="0.2">
      <c r="A137" s="1"/>
      <c r="B137" s="1"/>
      <c r="C137" s="2" t="s">
        <v>156</v>
      </c>
      <c r="D137" s="1"/>
      <c r="E137" s="1"/>
      <c r="F137" s="1"/>
      <c r="G137" s="1"/>
      <c r="H137" s="105"/>
      <c r="J137" s="162"/>
      <c r="K137" s="162"/>
      <c r="L137" s="162"/>
      <c r="M137" s="162"/>
      <c r="N137" s="162"/>
    </row>
    <row r="138" spans="1:14" ht="14.1" customHeight="1" x14ac:dyDescent="0.2">
      <c r="A138" s="1"/>
      <c r="B138" s="1"/>
      <c r="C138" s="2" t="s">
        <v>157</v>
      </c>
      <c r="D138" s="1"/>
      <c r="E138" s="1"/>
      <c r="F138" s="1"/>
      <c r="G138" s="1"/>
      <c r="H138" s="105"/>
    </row>
    <row r="139" spans="1:14" ht="14.1" customHeight="1" x14ac:dyDescent="0.2">
      <c r="A139" s="1"/>
      <c r="B139" s="1"/>
      <c r="C139" s="2" t="s">
        <v>132</v>
      </c>
      <c r="D139" s="1"/>
      <c r="E139" s="1" t="s">
        <v>133</v>
      </c>
      <c r="F139" s="13" t="s">
        <v>135</v>
      </c>
      <c r="G139" s="10">
        <v>0</v>
      </c>
      <c r="H139" s="105"/>
    </row>
    <row r="140" spans="1:14" ht="14.1" customHeight="1" x14ac:dyDescent="0.2">
      <c r="A140" s="1"/>
      <c r="B140" s="1"/>
      <c r="C140" s="11"/>
      <c r="D140" s="1"/>
      <c r="E140" s="1"/>
      <c r="F140" s="12"/>
      <c r="G140" s="12"/>
      <c r="H140" s="105"/>
    </row>
    <row r="141" spans="1:14" ht="24" customHeight="1" x14ac:dyDescent="0.2">
      <c r="A141" s="1"/>
      <c r="B141" s="1"/>
      <c r="C141" s="2" t="s">
        <v>158</v>
      </c>
      <c r="D141" s="1"/>
      <c r="E141" s="1"/>
      <c r="F141" s="12"/>
      <c r="G141" s="12"/>
      <c r="H141" s="105"/>
    </row>
    <row r="142" spans="1:14" ht="14.1" customHeight="1" x14ac:dyDescent="0.2">
      <c r="A142" s="1"/>
      <c r="B142" s="1"/>
      <c r="C142" s="2" t="s">
        <v>132</v>
      </c>
      <c r="D142" s="1"/>
      <c r="E142" s="1" t="s">
        <v>133</v>
      </c>
      <c r="F142" s="13" t="s">
        <v>135</v>
      </c>
      <c r="G142" s="10">
        <v>0</v>
      </c>
      <c r="H142" s="105"/>
    </row>
    <row r="143" spans="1:14" ht="14.1" customHeight="1" x14ac:dyDescent="0.2">
      <c r="A143" s="1"/>
      <c r="B143" s="1"/>
      <c r="C143" s="11"/>
      <c r="D143" s="1"/>
      <c r="E143" s="1"/>
      <c r="F143" s="12"/>
      <c r="G143" s="12"/>
      <c r="H143" s="105"/>
    </row>
    <row r="144" spans="1:14" ht="14.1" customHeight="1" x14ac:dyDescent="0.2">
      <c r="A144" s="1"/>
      <c r="B144" s="4"/>
      <c r="C144" s="4"/>
      <c r="D144" s="2"/>
      <c r="E144" s="1"/>
      <c r="F144" s="4"/>
      <c r="G144" s="8"/>
      <c r="H144" s="105"/>
    </row>
    <row r="145" spans="1:8" ht="18" customHeight="1" x14ac:dyDescent="0.2">
      <c r="A145" s="8"/>
      <c r="B145" s="4"/>
      <c r="C145" s="4" t="s">
        <v>159</v>
      </c>
      <c r="D145" s="4"/>
      <c r="E145" s="8"/>
      <c r="F145" s="6">
        <v>-275.34610875999999</v>
      </c>
      <c r="G145" s="7">
        <v>-5.4805999999999995E-4</v>
      </c>
      <c r="H145" s="105"/>
    </row>
    <row r="146" spans="1:8" ht="14.1" customHeight="1" x14ac:dyDescent="0.2">
      <c r="A146" s="11"/>
      <c r="B146" s="11"/>
      <c r="C146" s="2" t="s">
        <v>160</v>
      </c>
      <c r="D146" s="12"/>
      <c r="E146" s="12"/>
      <c r="F146" s="9">
        <v>502402.81326975097</v>
      </c>
      <c r="G146" s="14">
        <v>0.99999998999999995</v>
      </c>
      <c r="H146" s="105"/>
    </row>
    <row r="147" spans="1:8" ht="14.1" customHeight="1" x14ac:dyDescent="0.2">
      <c r="A147" s="15"/>
      <c r="B147" s="15"/>
      <c r="C147" s="15"/>
      <c r="D147" s="16"/>
      <c r="E147" s="16"/>
      <c r="F147" s="16"/>
      <c r="G147" s="16"/>
    </row>
    <row r="148" spans="1:8" ht="14.1" customHeight="1" x14ac:dyDescent="0.2">
      <c r="A148" s="17"/>
      <c r="B148" s="17"/>
      <c r="C148" s="17"/>
      <c r="D148" s="19"/>
      <c r="E148" s="19"/>
      <c r="F148" s="19"/>
      <c r="G148" s="19"/>
    </row>
    <row r="149" spans="1:8" ht="14.1" customHeight="1" x14ac:dyDescent="0.2">
      <c r="A149" s="17"/>
      <c r="B149" s="179" t="s">
        <v>162</v>
      </c>
      <c r="C149" s="180"/>
      <c r="D149" s="181"/>
      <c r="E149" s="20"/>
      <c r="F149" s="19"/>
      <c r="G149" s="19"/>
    </row>
    <row r="150" spans="1:8" ht="29.1" customHeight="1" x14ac:dyDescent="0.2">
      <c r="A150" s="17"/>
      <c r="B150" s="176" t="s">
        <v>163</v>
      </c>
      <c r="C150" s="177"/>
      <c r="D150" s="2" t="s">
        <v>164</v>
      </c>
      <c r="E150" s="20"/>
      <c r="F150" s="19"/>
      <c r="G150" s="19"/>
    </row>
    <row r="151" spans="1:8" ht="17.100000000000001" customHeight="1" x14ac:dyDescent="0.2">
      <c r="A151" s="17"/>
      <c r="B151" s="176" t="s">
        <v>165</v>
      </c>
      <c r="C151" s="177"/>
      <c r="D151" s="2" t="s">
        <v>164</v>
      </c>
      <c r="E151" s="20"/>
      <c r="F151" s="19"/>
      <c r="G151" s="19"/>
    </row>
    <row r="152" spans="1:8" ht="17.100000000000001" customHeight="1" x14ac:dyDescent="0.2">
      <c r="A152" s="17"/>
      <c r="B152" s="176" t="s">
        <v>166</v>
      </c>
      <c r="C152" s="177"/>
      <c r="D152" s="12" t="s">
        <v>133</v>
      </c>
      <c r="E152" s="20"/>
      <c r="F152" s="19"/>
      <c r="G152" s="19"/>
    </row>
    <row r="153" spans="1:8" ht="24" customHeight="1" x14ac:dyDescent="0.2">
      <c r="A153" s="21"/>
      <c r="B153" s="22" t="s">
        <v>133</v>
      </c>
      <c r="C153" s="22" t="s">
        <v>167</v>
      </c>
      <c r="D153" s="22" t="s">
        <v>168</v>
      </c>
      <c r="E153" s="21"/>
      <c r="F153" s="21"/>
      <c r="G153" s="21"/>
    </row>
    <row r="154" spans="1:8" ht="18" customHeight="1" x14ac:dyDescent="0.2">
      <c r="A154" s="21"/>
      <c r="B154" s="23" t="s">
        <v>169</v>
      </c>
      <c r="C154" s="22" t="s">
        <v>170</v>
      </c>
      <c r="D154" s="22" t="s">
        <v>171</v>
      </c>
      <c r="E154" s="21"/>
      <c r="F154" s="21"/>
      <c r="G154" s="21"/>
    </row>
    <row r="155" spans="1:8" ht="17.100000000000001" customHeight="1" x14ac:dyDescent="0.2">
      <c r="A155" s="21"/>
      <c r="B155" s="4" t="s">
        <v>172</v>
      </c>
      <c r="C155" s="24">
        <v>57.710999999999999</v>
      </c>
      <c r="D155" s="24">
        <v>60.189799999999998</v>
      </c>
      <c r="E155" s="21"/>
      <c r="F155" s="18"/>
      <c r="G155" s="25"/>
    </row>
    <row r="156" spans="1:8" ht="17.100000000000001" customHeight="1" x14ac:dyDescent="0.2">
      <c r="A156" s="21"/>
      <c r="B156" s="4" t="s">
        <v>1006</v>
      </c>
      <c r="C156" s="24">
        <v>24.839700000000001</v>
      </c>
      <c r="D156" s="24">
        <v>25.906700000000001</v>
      </c>
      <c r="E156" s="21"/>
      <c r="F156" s="18"/>
      <c r="G156" s="25"/>
    </row>
    <row r="157" spans="1:8" ht="17.100000000000001" customHeight="1" x14ac:dyDescent="0.2">
      <c r="A157" s="21"/>
      <c r="B157" s="4" t="s">
        <v>173</v>
      </c>
      <c r="C157" s="24">
        <v>52.588900000000002</v>
      </c>
      <c r="D157" s="24">
        <v>54.7986</v>
      </c>
      <c r="E157" s="21"/>
      <c r="F157" s="18"/>
      <c r="G157" s="25"/>
    </row>
    <row r="158" spans="1:8" ht="17.100000000000001" customHeight="1" x14ac:dyDescent="0.2">
      <c r="A158" s="21"/>
      <c r="B158" s="4" t="s">
        <v>1007</v>
      </c>
      <c r="C158" s="24">
        <v>22.1585</v>
      </c>
      <c r="D158" s="24">
        <v>23.089600000000001</v>
      </c>
      <c r="E158" s="21"/>
      <c r="F158" s="18"/>
      <c r="G158" s="25"/>
    </row>
    <row r="159" spans="1:8" ht="14.1" customHeight="1" x14ac:dyDescent="0.2">
      <c r="A159" s="21"/>
      <c r="B159" s="21"/>
      <c r="C159" s="21"/>
      <c r="D159" s="21"/>
      <c r="E159" s="21"/>
      <c r="F159" s="21"/>
      <c r="G159" s="21"/>
    </row>
    <row r="160" spans="1:8" ht="17.100000000000001" customHeight="1" x14ac:dyDescent="0.2">
      <c r="A160" s="21"/>
      <c r="B160" s="176" t="s">
        <v>1008</v>
      </c>
      <c r="C160" s="177"/>
      <c r="D160" s="2" t="s">
        <v>164</v>
      </c>
      <c r="E160" s="21"/>
      <c r="F160" s="21"/>
      <c r="G160" s="21"/>
    </row>
    <row r="161" spans="1:7" ht="18" customHeight="1" x14ac:dyDescent="0.2">
      <c r="A161" s="21"/>
      <c r="B161" s="26"/>
      <c r="C161" s="26"/>
      <c r="D161" s="26"/>
      <c r="E161" s="21"/>
      <c r="F161" s="21"/>
      <c r="G161" s="21"/>
    </row>
    <row r="162" spans="1:7" ht="29.1" customHeight="1" x14ac:dyDescent="0.2">
      <c r="A162" s="21"/>
      <c r="B162" s="176" t="s">
        <v>174</v>
      </c>
      <c r="C162" s="177"/>
      <c r="D162" s="2" t="s">
        <v>164</v>
      </c>
      <c r="E162" s="27"/>
      <c r="F162" s="21"/>
      <c r="G162" s="21"/>
    </row>
    <row r="163" spans="1:7" ht="29.1" customHeight="1" x14ac:dyDescent="0.2">
      <c r="A163" s="21"/>
      <c r="B163" s="176" t="s">
        <v>175</v>
      </c>
      <c r="C163" s="177"/>
      <c r="D163" s="2" t="s">
        <v>164</v>
      </c>
      <c r="E163" s="27"/>
      <c r="F163" s="21"/>
      <c r="G163" s="21"/>
    </row>
    <row r="164" spans="1:7" ht="17.100000000000001" customHeight="1" x14ac:dyDescent="0.2">
      <c r="A164" s="21"/>
      <c r="B164" s="176" t="s">
        <v>176</v>
      </c>
      <c r="C164" s="177"/>
      <c r="D164" s="2" t="s">
        <v>164</v>
      </c>
      <c r="E164" s="27"/>
      <c r="F164" s="21"/>
      <c r="G164" s="21"/>
    </row>
    <row r="165" spans="1:7" ht="17.100000000000001" customHeight="1" x14ac:dyDescent="0.2">
      <c r="A165" s="21"/>
      <c r="B165" s="176" t="s">
        <v>177</v>
      </c>
      <c r="C165" s="177"/>
      <c r="D165" s="60">
        <v>0.26626981532840249</v>
      </c>
      <c r="E165" s="21"/>
      <c r="F165" s="18"/>
      <c r="G165" s="25"/>
    </row>
  </sheetData>
  <mergeCells count="13">
    <mergeCell ref="B165:C165"/>
    <mergeCell ref="B151:C151"/>
    <mergeCell ref="B152:C152"/>
    <mergeCell ref="B160:C160"/>
    <mergeCell ref="B162:C162"/>
    <mergeCell ref="B163:C163"/>
    <mergeCell ref="B164:C164"/>
    <mergeCell ref="J2:N2"/>
    <mergeCell ref="B150:C150"/>
    <mergeCell ref="B149:D149"/>
    <mergeCell ref="A1:H1"/>
    <mergeCell ref="A2:H2"/>
    <mergeCell ref="A3:H3"/>
  </mergeCells>
  <hyperlinks>
    <hyperlink ref="I1" location="Index!B6" display="Index" xr:uid="{47FA479B-0566-47BB-BFAD-538E066A0207}"/>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N164"/>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186" t="s">
        <v>0</v>
      </c>
      <c r="B1" s="187"/>
      <c r="C1" s="187"/>
      <c r="D1" s="187"/>
      <c r="E1" s="187"/>
      <c r="F1" s="187"/>
      <c r="G1" s="187"/>
      <c r="H1" s="188"/>
      <c r="I1" s="159" t="s">
        <v>1044</v>
      </c>
    </row>
    <row r="2" spans="1:14" ht="17.100000000000001" customHeight="1" x14ac:dyDescent="0.2">
      <c r="A2" s="183" t="s">
        <v>376</v>
      </c>
      <c r="B2" s="184"/>
      <c r="C2" s="184"/>
      <c r="D2" s="184"/>
      <c r="E2" s="184"/>
      <c r="F2" s="184"/>
      <c r="G2" s="184"/>
      <c r="H2" s="185"/>
      <c r="J2" s="175" t="s">
        <v>1045</v>
      </c>
      <c r="K2" s="175"/>
      <c r="L2" s="175"/>
      <c r="M2" s="175"/>
      <c r="N2" s="175"/>
    </row>
    <row r="3" spans="1:14" ht="21" customHeight="1" x14ac:dyDescent="0.2">
      <c r="A3" s="182" t="s">
        <v>1016</v>
      </c>
      <c r="B3" s="182"/>
      <c r="C3" s="182"/>
      <c r="D3" s="182"/>
      <c r="E3" s="182"/>
      <c r="F3" s="182"/>
      <c r="G3" s="182"/>
      <c r="H3" s="182"/>
    </row>
    <row r="4" spans="1:14" ht="30" x14ac:dyDescent="0.2">
      <c r="A4" s="107" t="s">
        <v>2</v>
      </c>
      <c r="B4" s="107" t="s">
        <v>3</v>
      </c>
      <c r="C4" s="107" t="s">
        <v>4</v>
      </c>
      <c r="D4" s="107" t="s">
        <v>5</v>
      </c>
      <c r="E4" s="107" t="s">
        <v>6</v>
      </c>
      <c r="F4" s="107" t="s">
        <v>7</v>
      </c>
      <c r="G4" s="107" t="s">
        <v>8</v>
      </c>
      <c r="H4" s="104" t="s">
        <v>1003</v>
      </c>
      <c r="I4" s="108"/>
      <c r="J4" s="108"/>
      <c r="K4" s="108"/>
      <c r="L4" s="108"/>
      <c r="M4" s="108"/>
      <c r="N4" s="108"/>
    </row>
    <row r="5" spans="1:14" ht="14.1" customHeight="1" x14ac:dyDescent="0.2">
      <c r="A5" s="1"/>
      <c r="B5" s="1"/>
      <c r="C5" s="2" t="s">
        <v>9</v>
      </c>
      <c r="D5" s="1"/>
      <c r="E5" s="1"/>
      <c r="F5" s="1"/>
      <c r="G5" s="1"/>
      <c r="H5" s="105"/>
    </row>
    <row r="6" spans="1:14" ht="24" customHeight="1" x14ac:dyDescent="0.2">
      <c r="A6" s="1"/>
      <c r="B6" s="1"/>
      <c r="C6" s="2" t="s">
        <v>10</v>
      </c>
      <c r="D6" s="1"/>
      <c r="E6" s="1"/>
      <c r="F6" s="1"/>
      <c r="G6" s="1"/>
      <c r="H6" s="105"/>
    </row>
    <row r="7" spans="1:14" ht="14.1" customHeight="1" x14ac:dyDescent="0.2">
      <c r="A7" s="1"/>
      <c r="B7" s="1"/>
      <c r="C7" s="2" t="s">
        <v>132</v>
      </c>
      <c r="D7" s="1"/>
      <c r="E7" s="1" t="s">
        <v>133</v>
      </c>
      <c r="F7" s="13" t="s">
        <v>135</v>
      </c>
      <c r="G7" s="10">
        <v>0</v>
      </c>
      <c r="H7" s="105"/>
    </row>
    <row r="8" spans="1:14" ht="14.1" customHeight="1" x14ac:dyDescent="0.2">
      <c r="A8" s="1"/>
      <c r="B8" s="1"/>
      <c r="C8" s="11"/>
      <c r="D8" s="1"/>
      <c r="E8" s="1"/>
      <c r="F8" s="12"/>
      <c r="G8" s="12"/>
      <c r="H8" s="105"/>
    </row>
    <row r="9" spans="1:14" ht="14.1" customHeight="1" x14ac:dyDescent="0.2">
      <c r="A9" s="1"/>
      <c r="B9" s="1"/>
      <c r="C9" s="2" t="s">
        <v>134</v>
      </c>
      <c r="D9" s="1"/>
      <c r="E9" s="1"/>
      <c r="F9" s="1"/>
      <c r="G9" s="1"/>
      <c r="H9" s="105"/>
    </row>
    <row r="10" spans="1:14" ht="14.1" customHeight="1" x14ac:dyDescent="0.2">
      <c r="A10" s="1"/>
      <c r="B10" s="1"/>
      <c r="C10" s="2" t="s">
        <v>132</v>
      </c>
      <c r="D10" s="1"/>
      <c r="E10" s="1" t="s">
        <v>133</v>
      </c>
      <c r="F10" s="13" t="s">
        <v>135</v>
      </c>
      <c r="G10" s="10">
        <v>0</v>
      </c>
      <c r="H10" s="105"/>
    </row>
    <row r="11" spans="1:14" ht="14.1" customHeight="1" x14ac:dyDescent="0.2">
      <c r="A11" s="1"/>
      <c r="B11" s="1"/>
      <c r="C11" s="11"/>
      <c r="D11" s="1"/>
      <c r="E11" s="1"/>
      <c r="F11" s="12"/>
      <c r="G11" s="12"/>
      <c r="H11" s="105"/>
    </row>
    <row r="12" spans="1:14" ht="14.1" customHeight="1" x14ac:dyDescent="0.2">
      <c r="A12" s="1"/>
      <c r="B12" s="1"/>
      <c r="C12" s="2" t="s">
        <v>136</v>
      </c>
      <c r="D12" s="1"/>
      <c r="E12" s="1"/>
      <c r="F12" s="1"/>
      <c r="G12" s="1"/>
      <c r="H12" s="105"/>
    </row>
    <row r="13" spans="1:14" ht="14.1" customHeight="1" x14ac:dyDescent="0.2">
      <c r="A13" s="1"/>
      <c r="B13" s="1"/>
      <c r="C13" s="2" t="s">
        <v>132</v>
      </c>
      <c r="D13" s="1"/>
      <c r="E13" s="1" t="s">
        <v>133</v>
      </c>
      <c r="F13" s="13" t="s">
        <v>135</v>
      </c>
      <c r="G13" s="10">
        <v>0</v>
      </c>
      <c r="H13" s="105"/>
    </row>
    <row r="14" spans="1:14" ht="14.1" customHeight="1" x14ac:dyDescent="0.2">
      <c r="A14" s="1"/>
      <c r="B14" s="1"/>
      <c r="C14" s="11"/>
      <c r="D14" s="1"/>
      <c r="E14" s="1"/>
      <c r="F14" s="12"/>
      <c r="G14" s="12"/>
      <c r="H14" s="105"/>
    </row>
    <row r="15" spans="1:14" ht="14.1" customHeight="1" x14ac:dyDescent="0.2">
      <c r="A15" s="1"/>
      <c r="B15" s="1"/>
      <c r="C15" s="2" t="s">
        <v>137</v>
      </c>
      <c r="D15" s="1"/>
      <c r="E15" s="1"/>
      <c r="F15" s="1"/>
      <c r="G15" s="1"/>
      <c r="H15" s="105"/>
      <c r="J15" s="161" t="s">
        <v>1052</v>
      </c>
    </row>
    <row r="16" spans="1:14" ht="14.1" customHeight="1" x14ac:dyDescent="0.2">
      <c r="A16" s="1"/>
      <c r="B16" s="1"/>
      <c r="C16" s="2" t="s">
        <v>132</v>
      </c>
      <c r="D16" s="1"/>
      <c r="E16" s="1" t="s">
        <v>133</v>
      </c>
      <c r="F16" s="13" t="s">
        <v>135</v>
      </c>
      <c r="G16" s="10">
        <v>0</v>
      </c>
      <c r="H16" s="105"/>
    </row>
    <row r="17" spans="1:8" ht="14.1" customHeight="1" x14ac:dyDescent="0.2">
      <c r="A17" s="1"/>
      <c r="B17" s="1"/>
      <c r="C17" s="11"/>
      <c r="D17" s="1"/>
      <c r="E17" s="1"/>
      <c r="F17" s="12"/>
      <c r="G17" s="12"/>
      <c r="H17" s="105"/>
    </row>
    <row r="18" spans="1:8" ht="14.1" customHeight="1" x14ac:dyDescent="0.2">
      <c r="A18" s="1"/>
      <c r="B18" s="1"/>
      <c r="C18" s="2" t="s">
        <v>138</v>
      </c>
      <c r="D18" s="1"/>
      <c r="E18" s="1"/>
      <c r="F18" s="12"/>
      <c r="G18" s="12"/>
      <c r="H18" s="105"/>
    </row>
    <row r="19" spans="1:8" ht="14.1" customHeight="1" x14ac:dyDescent="0.2">
      <c r="A19" s="1"/>
      <c r="B19" s="1"/>
      <c r="C19" s="2" t="s">
        <v>132</v>
      </c>
      <c r="D19" s="1"/>
      <c r="E19" s="1" t="s">
        <v>133</v>
      </c>
      <c r="F19" s="13" t="s">
        <v>135</v>
      </c>
      <c r="G19" s="10">
        <v>0</v>
      </c>
      <c r="H19" s="105"/>
    </row>
    <row r="20" spans="1:8" ht="14.1" customHeight="1" x14ac:dyDescent="0.2">
      <c r="A20" s="1"/>
      <c r="B20" s="1"/>
      <c r="C20" s="11"/>
      <c r="D20" s="1"/>
      <c r="E20" s="1"/>
      <c r="F20" s="12"/>
      <c r="G20" s="12"/>
      <c r="H20" s="105"/>
    </row>
    <row r="21" spans="1:8" ht="14.1" customHeight="1" x14ac:dyDescent="0.2">
      <c r="A21" s="1"/>
      <c r="B21" s="1"/>
      <c r="C21" s="2" t="s">
        <v>139</v>
      </c>
      <c r="D21" s="1"/>
      <c r="E21" s="1"/>
      <c r="F21" s="12"/>
      <c r="G21" s="12"/>
      <c r="H21" s="105"/>
    </row>
    <row r="22" spans="1:8" ht="14.1" customHeight="1" x14ac:dyDescent="0.2">
      <c r="A22" s="1"/>
      <c r="B22" s="1"/>
      <c r="C22" s="2" t="s">
        <v>132</v>
      </c>
      <c r="D22" s="1"/>
      <c r="E22" s="1" t="s">
        <v>133</v>
      </c>
      <c r="F22" s="13" t="s">
        <v>135</v>
      </c>
      <c r="G22" s="10">
        <v>0</v>
      </c>
      <c r="H22" s="105"/>
    </row>
    <row r="23" spans="1:8" ht="14.1" customHeight="1" x14ac:dyDescent="0.2">
      <c r="A23" s="1"/>
      <c r="B23" s="1"/>
      <c r="C23" s="11"/>
      <c r="D23" s="1"/>
      <c r="E23" s="1"/>
      <c r="F23" s="12"/>
      <c r="G23" s="12"/>
      <c r="H23" s="105"/>
    </row>
    <row r="24" spans="1:8" ht="18" customHeight="1" x14ac:dyDescent="0.2">
      <c r="A24" s="1"/>
      <c r="B24" s="1"/>
      <c r="C24" s="2" t="s">
        <v>140</v>
      </c>
      <c r="D24" s="1"/>
      <c r="E24" s="1"/>
      <c r="F24" s="9">
        <v>0</v>
      </c>
      <c r="G24" s="10">
        <v>0</v>
      </c>
      <c r="H24" s="105"/>
    </row>
    <row r="25" spans="1:8" ht="14.1" customHeight="1" x14ac:dyDescent="0.2">
      <c r="A25" s="1"/>
      <c r="B25" s="1"/>
      <c r="C25" s="11"/>
      <c r="D25" s="1"/>
      <c r="E25" s="1"/>
      <c r="F25" s="12"/>
      <c r="G25" s="12"/>
      <c r="H25" s="105"/>
    </row>
    <row r="26" spans="1:8" ht="14.1" customHeight="1" x14ac:dyDescent="0.2">
      <c r="A26" s="1"/>
      <c r="B26" s="1"/>
      <c r="C26" s="2" t="s">
        <v>141</v>
      </c>
      <c r="D26" s="1"/>
      <c r="E26" s="1"/>
      <c r="F26" s="12"/>
      <c r="G26" s="12"/>
      <c r="H26" s="105"/>
    </row>
    <row r="27" spans="1:8" ht="24" customHeight="1" x14ac:dyDescent="0.2">
      <c r="A27" s="1"/>
      <c r="B27" s="1"/>
      <c r="C27" s="2" t="s">
        <v>10</v>
      </c>
      <c r="D27" s="1"/>
      <c r="E27" s="1"/>
      <c r="F27" s="12"/>
      <c r="G27" s="12"/>
      <c r="H27" s="105"/>
    </row>
    <row r="28" spans="1:8" ht="14.1" customHeight="1" x14ac:dyDescent="0.2">
      <c r="A28" s="1"/>
      <c r="B28" s="1"/>
      <c r="C28" s="2" t="s">
        <v>132</v>
      </c>
      <c r="D28" s="1"/>
      <c r="E28" s="1" t="s">
        <v>133</v>
      </c>
      <c r="F28" s="13" t="s">
        <v>135</v>
      </c>
      <c r="G28" s="10">
        <v>0</v>
      </c>
      <c r="H28" s="105"/>
    </row>
    <row r="29" spans="1:8" ht="14.1" customHeight="1" x14ac:dyDescent="0.2">
      <c r="A29" s="1"/>
      <c r="B29" s="1"/>
      <c r="C29" s="11"/>
      <c r="D29" s="1"/>
      <c r="E29" s="1"/>
      <c r="F29" s="12"/>
      <c r="G29" s="12"/>
      <c r="H29" s="105"/>
    </row>
    <row r="30" spans="1:8" ht="14.1" customHeight="1" x14ac:dyDescent="0.2">
      <c r="A30" s="1"/>
      <c r="B30" s="1"/>
      <c r="C30" s="2" t="s">
        <v>142</v>
      </c>
      <c r="D30" s="1"/>
      <c r="E30" s="1"/>
      <c r="F30" s="1"/>
      <c r="G30" s="1"/>
      <c r="H30" s="105"/>
    </row>
    <row r="31" spans="1:8" ht="14.1" customHeight="1" x14ac:dyDescent="0.2">
      <c r="A31" s="1"/>
      <c r="B31" s="1"/>
      <c r="C31" s="2" t="s">
        <v>132</v>
      </c>
      <c r="D31" s="1"/>
      <c r="E31" s="1" t="s">
        <v>133</v>
      </c>
      <c r="F31" s="13" t="s">
        <v>135</v>
      </c>
      <c r="G31" s="10">
        <v>0</v>
      </c>
      <c r="H31" s="105"/>
    </row>
    <row r="32" spans="1:8" ht="14.1" customHeight="1" x14ac:dyDescent="0.2">
      <c r="A32" s="1"/>
      <c r="B32" s="1"/>
      <c r="C32" s="11"/>
      <c r="D32" s="1"/>
      <c r="E32" s="1"/>
      <c r="F32" s="12"/>
      <c r="G32" s="12"/>
      <c r="H32" s="105"/>
    </row>
    <row r="33" spans="1:8" ht="14.1" customHeight="1" x14ac:dyDescent="0.2">
      <c r="A33" s="1"/>
      <c r="B33" s="1"/>
      <c r="C33" s="2" t="s">
        <v>143</v>
      </c>
      <c r="D33" s="1"/>
      <c r="E33" s="1"/>
      <c r="F33" s="1"/>
      <c r="G33" s="1"/>
      <c r="H33" s="105"/>
    </row>
    <row r="34" spans="1:8" ht="14.1" customHeight="1" x14ac:dyDescent="0.2">
      <c r="A34" s="1"/>
      <c r="B34" s="1"/>
      <c r="C34" s="2" t="s">
        <v>132</v>
      </c>
      <c r="D34" s="1"/>
      <c r="E34" s="1" t="s">
        <v>133</v>
      </c>
      <c r="F34" s="13" t="s">
        <v>135</v>
      </c>
      <c r="G34" s="10">
        <v>0</v>
      </c>
      <c r="H34" s="105"/>
    </row>
    <row r="35" spans="1:8" ht="14.1" customHeight="1" x14ac:dyDescent="0.2">
      <c r="A35" s="1"/>
      <c r="B35" s="1"/>
      <c r="C35" s="11"/>
      <c r="D35" s="1"/>
      <c r="E35" s="1"/>
      <c r="F35" s="12"/>
      <c r="G35" s="12"/>
      <c r="H35" s="105"/>
    </row>
    <row r="36" spans="1:8" ht="14.1" customHeight="1" x14ac:dyDescent="0.2">
      <c r="A36" s="1"/>
      <c r="B36" s="1"/>
      <c r="C36" s="2" t="s">
        <v>144</v>
      </c>
      <c r="D36" s="1"/>
      <c r="E36" s="1"/>
      <c r="F36" s="12"/>
      <c r="G36" s="12"/>
      <c r="H36" s="105"/>
    </row>
    <row r="37" spans="1:8" ht="14.1" customHeight="1" x14ac:dyDescent="0.2">
      <c r="A37" s="1"/>
      <c r="B37" s="1"/>
      <c r="C37" s="2" t="s">
        <v>132</v>
      </c>
      <c r="D37" s="1"/>
      <c r="E37" s="1" t="s">
        <v>133</v>
      </c>
      <c r="F37" s="13" t="s">
        <v>135</v>
      </c>
      <c r="G37" s="10">
        <v>0</v>
      </c>
      <c r="H37" s="105"/>
    </row>
    <row r="38" spans="1:8" ht="14.1" customHeight="1" x14ac:dyDescent="0.2">
      <c r="A38" s="1"/>
      <c r="B38" s="1"/>
      <c r="C38" s="11"/>
      <c r="D38" s="1"/>
      <c r="E38" s="1"/>
      <c r="F38" s="12"/>
      <c r="G38" s="12"/>
      <c r="H38" s="105"/>
    </row>
    <row r="39" spans="1:8" ht="14.1" customHeight="1" x14ac:dyDescent="0.2">
      <c r="A39" s="1"/>
      <c r="B39" s="1"/>
      <c r="C39" s="2" t="s">
        <v>145</v>
      </c>
      <c r="D39" s="1"/>
      <c r="E39" s="1"/>
      <c r="F39" s="9">
        <v>0</v>
      </c>
      <c r="G39" s="10">
        <v>0</v>
      </c>
      <c r="H39" s="105"/>
    </row>
    <row r="40" spans="1:8" ht="14.1" customHeight="1" x14ac:dyDescent="0.2">
      <c r="A40" s="1"/>
      <c r="B40" s="1"/>
      <c r="C40" s="11"/>
      <c r="D40" s="1"/>
      <c r="E40" s="1"/>
      <c r="F40" s="12"/>
      <c r="G40" s="12"/>
      <c r="H40" s="105"/>
    </row>
    <row r="41" spans="1:8" ht="14.1" customHeight="1" x14ac:dyDescent="0.2">
      <c r="A41" s="1"/>
      <c r="B41" s="1"/>
      <c r="C41" s="2" t="s">
        <v>146</v>
      </c>
      <c r="D41" s="1"/>
      <c r="E41" s="1"/>
      <c r="F41" s="12"/>
      <c r="G41" s="12"/>
      <c r="H41" s="105"/>
    </row>
    <row r="42" spans="1:8" ht="14.1" customHeight="1" x14ac:dyDescent="0.2">
      <c r="A42" s="1"/>
      <c r="B42" s="1"/>
      <c r="C42" s="2" t="s">
        <v>147</v>
      </c>
      <c r="D42" s="1"/>
      <c r="E42" s="1"/>
      <c r="F42" s="12"/>
      <c r="G42" s="12"/>
      <c r="H42" s="105"/>
    </row>
    <row r="43" spans="1:8" ht="14.1" customHeight="1" x14ac:dyDescent="0.2">
      <c r="A43" s="1"/>
      <c r="B43" s="1"/>
      <c r="C43" s="2" t="s">
        <v>132</v>
      </c>
      <c r="D43" s="1"/>
      <c r="E43" s="1" t="s">
        <v>133</v>
      </c>
      <c r="F43" s="13" t="s">
        <v>135</v>
      </c>
      <c r="G43" s="10">
        <v>0</v>
      </c>
      <c r="H43" s="105"/>
    </row>
    <row r="44" spans="1:8" ht="14.1" customHeight="1" x14ac:dyDescent="0.2">
      <c r="A44" s="1"/>
      <c r="B44" s="1"/>
      <c r="C44" s="11"/>
      <c r="D44" s="1"/>
      <c r="E44" s="1"/>
      <c r="F44" s="12"/>
      <c r="G44" s="12"/>
      <c r="H44" s="105"/>
    </row>
    <row r="45" spans="1:8" ht="14.1" customHeight="1" x14ac:dyDescent="0.2">
      <c r="A45" s="1"/>
      <c r="B45" s="1"/>
      <c r="C45" s="2" t="s">
        <v>148</v>
      </c>
      <c r="D45" s="1"/>
      <c r="E45" s="1"/>
      <c r="F45" s="12"/>
      <c r="G45" s="12"/>
      <c r="H45" s="105"/>
    </row>
    <row r="46" spans="1:8" ht="14.1" customHeight="1" x14ac:dyDescent="0.2">
      <c r="A46" s="1"/>
      <c r="B46" s="1"/>
      <c r="C46" s="2" t="s">
        <v>132</v>
      </c>
      <c r="D46" s="1"/>
      <c r="E46" s="1" t="s">
        <v>133</v>
      </c>
      <c r="F46" s="13" t="s">
        <v>135</v>
      </c>
      <c r="G46" s="10">
        <v>0</v>
      </c>
      <c r="H46" s="105"/>
    </row>
    <row r="47" spans="1:8" ht="14.1" customHeight="1" x14ac:dyDescent="0.2">
      <c r="A47" s="1"/>
      <c r="B47" s="1"/>
      <c r="C47" s="11"/>
      <c r="D47" s="1"/>
      <c r="E47" s="1"/>
      <c r="F47" s="12"/>
      <c r="G47" s="12"/>
      <c r="H47" s="105"/>
    </row>
    <row r="48" spans="1:8" ht="14.1" customHeight="1" x14ac:dyDescent="0.2">
      <c r="A48" s="1"/>
      <c r="B48" s="1"/>
      <c r="C48" s="2" t="s">
        <v>149</v>
      </c>
      <c r="D48" s="1"/>
      <c r="E48" s="1"/>
      <c r="F48" s="12"/>
      <c r="G48" s="12"/>
      <c r="H48" s="105"/>
    </row>
    <row r="49" spans="1:8" ht="14.1" customHeight="1" x14ac:dyDescent="0.2">
      <c r="A49" s="1"/>
      <c r="B49" s="1"/>
      <c r="C49" s="2" t="s">
        <v>132</v>
      </c>
      <c r="D49" s="1"/>
      <c r="E49" s="1" t="s">
        <v>133</v>
      </c>
      <c r="F49" s="13" t="s">
        <v>135</v>
      </c>
      <c r="G49" s="10">
        <v>0</v>
      </c>
      <c r="H49" s="105"/>
    </row>
    <row r="50" spans="1:8" ht="14.1" customHeight="1" x14ac:dyDescent="0.2">
      <c r="A50" s="1"/>
      <c r="B50" s="1"/>
      <c r="C50" s="11"/>
      <c r="D50" s="1"/>
      <c r="E50" s="1"/>
      <c r="F50" s="12"/>
      <c r="G50" s="12"/>
      <c r="H50" s="105"/>
    </row>
    <row r="51" spans="1:8" ht="14.1" customHeight="1" x14ac:dyDescent="0.2">
      <c r="A51" s="1"/>
      <c r="B51" s="1"/>
      <c r="C51" s="2" t="s">
        <v>150</v>
      </c>
      <c r="D51" s="1"/>
      <c r="E51" s="1"/>
      <c r="F51" s="12"/>
      <c r="G51" s="12"/>
      <c r="H51" s="105"/>
    </row>
    <row r="52" spans="1:8" ht="17.100000000000001" customHeight="1" x14ac:dyDescent="0.2">
      <c r="A52" s="3">
        <v>1</v>
      </c>
      <c r="B52" s="4"/>
      <c r="C52" s="4" t="s">
        <v>151</v>
      </c>
      <c r="D52" s="4"/>
      <c r="E52" s="8"/>
      <c r="F52" s="6">
        <v>26253.839910999999</v>
      </c>
      <c r="G52" s="7">
        <v>0.87605602999999999</v>
      </c>
      <c r="H52" s="105">
        <v>6.8153352377542396</v>
      </c>
    </row>
    <row r="53" spans="1:8" ht="17.100000000000001" customHeight="1" x14ac:dyDescent="0.2">
      <c r="A53" s="3">
        <v>2</v>
      </c>
      <c r="B53" s="4"/>
      <c r="C53" s="4" t="s">
        <v>152</v>
      </c>
      <c r="D53" s="4"/>
      <c r="E53" s="8"/>
      <c r="F53" s="6">
        <v>3115.4446960979999</v>
      </c>
      <c r="G53" s="7">
        <v>0.10395828</v>
      </c>
      <c r="H53" s="105">
        <v>6.7952403714590259</v>
      </c>
    </row>
    <row r="54" spans="1:8" ht="14.1" customHeight="1" x14ac:dyDescent="0.2">
      <c r="A54" s="1"/>
      <c r="B54" s="1"/>
      <c r="C54" s="2" t="s">
        <v>132</v>
      </c>
      <c r="D54" s="1"/>
      <c r="E54" s="1" t="s">
        <v>133</v>
      </c>
      <c r="F54" s="9">
        <v>29369.284607098001</v>
      </c>
      <c r="G54" s="10">
        <v>0.98001431000000006</v>
      </c>
      <c r="H54" s="105"/>
    </row>
    <row r="55" spans="1:8" ht="14.1" customHeight="1" x14ac:dyDescent="0.2">
      <c r="A55" s="1"/>
      <c r="B55" s="1"/>
      <c r="C55" s="11"/>
      <c r="D55" s="1"/>
      <c r="E55" s="1"/>
      <c r="F55" s="12"/>
      <c r="G55" s="12"/>
      <c r="H55" s="105"/>
    </row>
    <row r="56" spans="1:8" ht="14.1" customHeight="1" x14ac:dyDescent="0.2">
      <c r="A56" s="1"/>
      <c r="B56" s="1"/>
      <c r="C56" s="2" t="s">
        <v>153</v>
      </c>
      <c r="D56" s="1"/>
      <c r="E56" s="1"/>
      <c r="F56" s="9">
        <v>29369.284607098001</v>
      </c>
      <c r="G56" s="10">
        <v>0.98001431000000006</v>
      </c>
      <c r="H56" s="105"/>
    </row>
    <row r="57" spans="1:8" ht="14.1" customHeight="1" x14ac:dyDescent="0.2">
      <c r="A57" s="1"/>
      <c r="B57" s="1"/>
      <c r="C57" s="12"/>
      <c r="D57" s="1"/>
      <c r="E57" s="1"/>
      <c r="F57" s="1"/>
      <c r="G57" s="1"/>
      <c r="H57" s="105"/>
    </row>
    <row r="58" spans="1:8" ht="14.1" customHeight="1" x14ac:dyDescent="0.2">
      <c r="A58" s="1"/>
      <c r="B58" s="1"/>
      <c r="C58" s="2" t="s">
        <v>154</v>
      </c>
      <c r="D58" s="1"/>
      <c r="E58" s="1"/>
      <c r="F58" s="1"/>
      <c r="G58" s="1"/>
      <c r="H58" s="105"/>
    </row>
    <row r="59" spans="1:8" ht="14.1" customHeight="1" x14ac:dyDescent="0.2">
      <c r="A59" s="1"/>
      <c r="B59" s="1"/>
      <c r="C59" s="2" t="s">
        <v>155</v>
      </c>
      <c r="D59" s="1"/>
      <c r="E59" s="1"/>
      <c r="F59" s="1"/>
      <c r="G59" s="1"/>
      <c r="H59" s="105"/>
    </row>
    <row r="60" spans="1:8" ht="14.1" customHeight="1" x14ac:dyDescent="0.2">
      <c r="A60" s="1"/>
      <c r="B60" s="1"/>
      <c r="C60" s="2" t="s">
        <v>132</v>
      </c>
      <c r="D60" s="1"/>
      <c r="E60" s="1" t="s">
        <v>133</v>
      </c>
      <c r="F60" s="13" t="s">
        <v>135</v>
      </c>
      <c r="G60" s="10">
        <v>0</v>
      </c>
      <c r="H60" s="105"/>
    </row>
    <row r="61" spans="1:8" ht="14.1" customHeight="1" x14ac:dyDescent="0.2">
      <c r="A61" s="1"/>
      <c r="B61" s="1"/>
      <c r="C61" s="11"/>
      <c r="D61" s="1"/>
      <c r="E61" s="1"/>
      <c r="F61" s="12"/>
      <c r="G61" s="12"/>
      <c r="H61" s="105"/>
    </row>
    <row r="62" spans="1:8" ht="14.1" customHeight="1" x14ac:dyDescent="0.2">
      <c r="A62" s="1"/>
      <c r="B62" s="1"/>
      <c r="C62" s="2" t="s">
        <v>156</v>
      </c>
      <c r="D62" s="1"/>
      <c r="E62" s="1"/>
      <c r="F62" s="1"/>
      <c r="G62" s="1"/>
      <c r="H62" s="105"/>
    </row>
    <row r="63" spans="1:8" ht="14.1" customHeight="1" x14ac:dyDescent="0.2">
      <c r="A63" s="1"/>
      <c r="B63" s="1"/>
      <c r="C63" s="2" t="s">
        <v>157</v>
      </c>
      <c r="D63" s="1"/>
      <c r="E63" s="1"/>
      <c r="F63" s="1"/>
      <c r="G63" s="1"/>
      <c r="H63" s="105"/>
    </row>
    <row r="64" spans="1:8" ht="14.1" customHeight="1" x14ac:dyDescent="0.2">
      <c r="A64" s="1"/>
      <c r="B64" s="1"/>
      <c r="C64" s="2" t="s">
        <v>132</v>
      </c>
      <c r="D64" s="1"/>
      <c r="E64" s="1" t="s">
        <v>133</v>
      </c>
      <c r="F64" s="13" t="s">
        <v>135</v>
      </c>
      <c r="G64" s="10">
        <v>0</v>
      </c>
      <c r="H64" s="105"/>
    </row>
    <row r="65" spans="1:8" ht="14.1" customHeight="1" x14ac:dyDescent="0.2">
      <c r="A65" s="1"/>
      <c r="B65" s="1"/>
      <c r="C65" s="11"/>
      <c r="D65" s="1"/>
      <c r="E65" s="1"/>
      <c r="F65" s="12"/>
      <c r="G65" s="12"/>
      <c r="H65" s="105"/>
    </row>
    <row r="66" spans="1:8" ht="24" customHeight="1" x14ac:dyDescent="0.2">
      <c r="A66" s="1"/>
      <c r="B66" s="1"/>
      <c r="C66" s="2" t="s">
        <v>158</v>
      </c>
      <c r="D66" s="1"/>
      <c r="E66" s="1"/>
      <c r="F66" s="12"/>
      <c r="G66" s="12"/>
      <c r="H66" s="105"/>
    </row>
    <row r="67" spans="1:8" ht="14.1" customHeight="1" x14ac:dyDescent="0.2">
      <c r="A67" s="1"/>
      <c r="B67" s="1"/>
      <c r="C67" s="2" t="s">
        <v>132</v>
      </c>
      <c r="D67" s="1"/>
      <c r="E67" s="1" t="s">
        <v>133</v>
      </c>
      <c r="F67" s="13" t="s">
        <v>135</v>
      </c>
      <c r="G67" s="10">
        <v>0</v>
      </c>
      <c r="H67" s="105"/>
    </row>
    <row r="68" spans="1:8" ht="14.1" customHeight="1" x14ac:dyDescent="0.2">
      <c r="A68" s="1"/>
      <c r="B68" s="1"/>
      <c r="C68" s="11"/>
      <c r="D68" s="1"/>
      <c r="E68" s="1"/>
      <c r="F68" s="12"/>
      <c r="G68" s="12"/>
      <c r="H68" s="105"/>
    </row>
    <row r="69" spans="1:8" ht="14.1" customHeight="1" x14ac:dyDescent="0.2">
      <c r="A69" s="1"/>
      <c r="B69" s="4"/>
      <c r="C69" s="4"/>
      <c r="D69" s="2"/>
      <c r="E69" s="1"/>
      <c r="F69" s="4"/>
      <c r="G69" s="8"/>
      <c r="H69" s="105"/>
    </row>
    <row r="70" spans="1:8" ht="18" customHeight="1" x14ac:dyDescent="0.2">
      <c r="A70" s="8"/>
      <c r="B70" s="4"/>
      <c r="C70" s="4" t="s">
        <v>159</v>
      </c>
      <c r="D70" s="4"/>
      <c r="E70" s="8"/>
      <c r="F70" s="6">
        <v>598.93547409999996</v>
      </c>
      <c r="G70" s="7">
        <v>1.998569E-2</v>
      </c>
      <c r="H70" s="105"/>
    </row>
    <row r="71" spans="1:8" ht="14.1" customHeight="1" x14ac:dyDescent="0.2">
      <c r="A71" s="11"/>
      <c r="B71" s="11"/>
      <c r="C71" s="2" t="s">
        <v>160</v>
      </c>
      <c r="D71" s="12"/>
      <c r="E71" s="12"/>
      <c r="F71" s="9">
        <v>29968.220081198</v>
      </c>
      <c r="G71" s="14">
        <v>1</v>
      </c>
      <c r="H71" s="105"/>
    </row>
    <row r="72" spans="1:8" ht="14.1" customHeight="1" x14ac:dyDescent="0.2">
      <c r="A72" s="15"/>
      <c r="B72" s="15"/>
      <c r="C72" s="15"/>
      <c r="D72" s="16"/>
      <c r="E72" s="16"/>
      <c r="F72" s="16"/>
      <c r="G72" s="16"/>
    </row>
    <row r="73" spans="1:8" ht="14.1" customHeight="1" x14ac:dyDescent="0.2">
      <c r="A73" s="17"/>
      <c r="B73" s="17"/>
      <c r="C73" s="17"/>
      <c r="D73" s="19"/>
      <c r="E73" s="19"/>
      <c r="F73" s="19"/>
      <c r="G73" s="19"/>
    </row>
    <row r="74" spans="1:8" ht="14.1" customHeight="1" x14ac:dyDescent="0.2">
      <c r="A74" s="17"/>
      <c r="B74" s="179" t="s">
        <v>162</v>
      </c>
      <c r="C74" s="180"/>
      <c r="D74" s="181"/>
      <c r="E74" s="20"/>
      <c r="F74" s="19"/>
      <c r="G74" s="19"/>
    </row>
    <row r="75" spans="1:8" ht="29.1" customHeight="1" x14ac:dyDescent="0.2">
      <c r="A75" s="17"/>
      <c r="B75" s="176" t="s">
        <v>163</v>
      </c>
      <c r="C75" s="177"/>
      <c r="D75" s="2" t="s">
        <v>164</v>
      </c>
      <c r="E75" s="20"/>
      <c r="F75" s="19"/>
      <c r="G75" s="19"/>
    </row>
    <row r="76" spans="1:8" ht="17.100000000000001" customHeight="1" x14ac:dyDescent="0.2">
      <c r="A76" s="17"/>
      <c r="B76" s="176" t="s">
        <v>165</v>
      </c>
      <c r="C76" s="177"/>
      <c r="D76" s="2" t="s">
        <v>164</v>
      </c>
      <c r="E76" s="20"/>
      <c r="F76" s="19"/>
      <c r="G76" s="19"/>
    </row>
    <row r="77" spans="1:8" ht="17.100000000000001" customHeight="1" x14ac:dyDescent="0.2">
      <c r="A77" s="17"/>
      <c r="B77" s="176" t="s">
        <v>166</v>
      </c>
      <c r="C77" s="177"/>
      <c r="D77" s="12" t="s">
        <v>133</v>
      </c>
      <c r="E77" s="20"/>
      <c r="F77" s="19"/>
      <c r="G77" s="19"/>
    </row>
    <row r="78" spans="1:8" ht="24" customHeight="1" x14ac:dyDescent="0.2">
      <c r="A78" s="21"/>
      <c r="B78" s="22" t="s">
        <v>133</v>
      </c>
      <c r="C78" s="22" t="s">
        <v>167</v>
      </c>
      <c r="D78" s="22" t="s">
        <v>168</v>
      </c>
      <c r="E78" s="21"/>
      <c r="F78" s="21"/>
      <c r="G78" s="21"/>
    </row>
    <row r="79" spans="1:8" ht="18" customHeight="1" x14ac:dyDescent="0.2">
      <c r="A79" s="21"/>
      <c r="B79" s="23" t="s">
        <v>169</v>
      </c>
      <c r="C79" s="22" t="s">
        <v>170</v>
      </c>
      <c r="D79" s="22" t="s">
        <v>171</v>
      </c>
      <c r="E79" s="21"/>
      <c r="F79" s="21"/>
      <c r="G79" s="21"/>
    </row>
    <row r="80" spans="1:8" ht="17.100000000000001" customHeight="1" x14ac:dyDescent="0.2">
      <c r="A80" s="21"/>
      <c r="B80" s="4" t="s">
        <v>172</v>
      </c>
      <c r="C80" s="24">
        <v>19.778700000000001</v>
      </c>
      <c r="D80" s="24">
        <v>19.865100000000002</v>
      </c>
      <c r="E80" s="21"/>
      <c r="F80" s="18"/>
      <c r="G80" s="25"/>
    </row>
    <row r="81" spans="1:7" ht="17.100000000000001" customHeight="1" x14ac:dyDescent="0.2">
      <c r="A81" s="21"/>
      <c r="B81" s="4" t="s">
        <v>1006</v>
      </c>
      <c r="C81" s="24">
        <v>19.415500000000002</v>
      </c>
      <c r="D81" s="24">
        <v>19.500299999999999</v>
      </c>
      <c r="E81" s="21"/>
      <c r="F81" s="18"/>
      <c r="G81" s="25"/>
    </row>
    <row r="82" spans="1:7" ht="17.100000000000001" customHeight="1" x14ac:dyDescent="0.2">
      <c r="A82" s="21"/>
      <c r="B82" s="4" t="s">
        <v>173</v>
      </c>
      <c r="C82" s="24">
        <v>19.066299999999998</v>
      </c>
      <c r="D82" s="24">
        <v>19.1402</v>
      </c>
      <c r="E82" s="21"/>
      <c r="F82" s="18"/>
      <c r="G82" s="25"/>
    </row>
    <row r="83" spans="1:7" ht="17.100000000000001" customHeight="1" x14ac:dyDescent="0.2">
      <c r="A83" s="21"/>
      <c r="B83" s="4" t="s">
        <v>1007</v>
      </c>
      <c r="C83" s="24">
        <v>18.707000000000001</v>
      </c>
      <c r="D83" s="24">
        <v>18.779499999999999</v>
      </c>
      <c r="E83" s="21"/>
      <c r="F83" s="18"/>
      <c r="G83" s="25"/>
    </row>
    <row r="84" spans="1:7" ht="14.1" customHeight="1" x14ac:dyDescent="0.2">
      <c r="A84" s="21"/>
      <c r="B84" s="21"/>
      <c r="C84" s="21"/>
      <c r="D84" s="21"/>
      <c r="E84" s="21"/>
      <c r="F84" s="21"/>
      <c r="G84" s="21"/>
    </row>
    <row r="85" spans="1:7" ht="17.100000000000001" customHeight="1" x14ac:dyDescent="0.2">
      <c r="A85" s="21"/>
      <c r="B85" s="176" t="s">
        <v>1008</v>
      </c>
      <c r="C85" s="177"/>
      <c r="D85" s="2" t="s">
        <v>164</v>
      </c>
      <c r="E85" s="21"/>
      <c r="F85" s="21"/>
      <c r="G85" s="21"/>
    </row>
    <row r="86" spans="1:7" ht="18" customHeight="1" x14ac:dyDescent="0.2">
      <c r="A86" s="21"/>
      <c r="B86" s="26"/>
      <c r="C86" s="26"/>
      <c r="D86" s="26"/>
      <c r="E86" s="21"/>
      <c r="F86" s="21"/>
      <c r="G86" s="21"/>
    </row>
    <row r="87" spans="1:7" ht="29.1" customHeight="1" x14ac:dyDescent="0.2">
      <c r="A87" s="21"/>
      <c r="B87" s="176" t="s">
        <v>174</v>
      </c>
      <c r="C87" s="177"/>
      <c r="D87" s="2" t="s">
        <v>164</v>
      </c>
      <c r="E87" s="27"/>
      <c r="F87" s="21"/>
      <c r="G87" s="21"/>
    </row>
    <row r="88" spans="1:7" ht="29.1" customHeight="1" x14ac:dyDescent="0.2">
      <c r="A88" s="21"/>
      <c r="B88" s="176" t="s">
        <v>175</v>
      </c>
      <c r="C88" s="177"/>
      <c r="D88" s="2" t="s">
        <v>164</v>
      </c>
      <c r="E88" s="27"/>
      <c r="F88" s="21"/>
      <c r="G88" s="21"/>
    </row>
    <row r="89" spans="1:7" ht="17.100000000000001" customHeight="1" x14ac:dyDescent="0.2">
      <c r="A89" s="21"/>
      <c r="B89" s="176" t="s">
        <v>176</v>
      </c>
      <c r="C89" s="177"/>
      <c r="D89" s="2" t="s">
        <v>164</v>
      </c>
      <c r="E89" s="27"/>
      <c r="F89" s="21"/>
      <c r="G89" s="21"/>
    </row>
    <row r="90" spans="1:7" ht="17.100000000000001" customHeight="1" x14ac:dyDescent="0.2">
      <c r="A90" s="21"/>
      <c r="B90" s="176" t="s">
        <v>177</v>
      </c>
      <c r="C90" s="177"/>
      <c r="D90" s="60">
        <v>0.14867826158282452</v>
      </c>
      <c r="E90" s="21"/>
      <c r="F90" s="18"/>
      <c r="G90" s="25"/>
    </row>
    <row r="164" spans="10:14" ht="15" x14ac:dyDescent="0.2">
      <c r="J164" s="162"/>
      <c r="K164" s="162"/>
      <c r="L164" s="162"/>
      <c r="M164" s="162"/>
      <c r="N164" s="159"/>
    </row>
  </sheetData>
  <mergeCells count="13">
    <mergeCell ref="B90:C90"/>
    <mergeCell ref="B76:C76"/>
    <mergeCell ref="B77:C77"/>
    <mergeCell ref="B85:C85"/>
    <mergeCell ref="B87:C87"/>
    <mergeCell ref="B88:C88"/>
    <mergeCell ref="B89:C89"/>
    <mergeCell ref="J2:N2"/>
    <mergeCell ref="B75:C75"/>
    <mergeCell ref="B74:D74"/>
    <mergeCell ref="A1:H1"/>
    <mergeCell ref="A2:H2"/>
    <mergeCell ref="A3:H3"/>
  </mergeCells>
  <hyperlinks>
    <hyperlink ref="I1" location="Index!B7" display="Index" xr:uid="{D933747D-1811-4658-A2EE-528A0EAF80C4}"/>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N164"/>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182" t="s">
        <v>0</v>
      </c>
      <c r="B1" s="182"/>
      <c r="C1" s="182"/>
      <c r="D1" s="182"/>
      <c r="E1" s="182"/>
      <c r="F1" s="182"/>
      <c r="G1" s="182"/>
      <c r="H1" s="182"/>
      <c r="I1" s="159" t="s">
        <v>1044</v>
      </c>
    </row>
    <row r="2" spans="1:14" ht="17.100000000000001" customHeight="1" x14ac:dyDescent="0.2">
      <c r="A2" s="183" t="s">
        <v>377</v>
      </c>
      <c r="B2" s="184"/>
      <c r="C2" s="184"/>
      <c r="D2" s="184"/>
      <c r="E2" s="184"/>
      <c r="F2" s="184"/>
      <c r="G2" s="184"/>
      <c r="H2" s="185"/>
      <c r="J2" s="175" t="s">
        <v>1045</v>
      </c>
      <c r="K2" s="175"/>
      <c r="L2" s="175"/>
      <c r="M2" s="175"/>
      <c r="N2" s="175"/>
    </row>
    <row r="3" spans="1:14" ht="21" customHeight="1" x14ac:dyDescent="0.2">
      <c r="A3" s="182" t="s">
        <v>1016</v>
      </c>
      <c r="B3" s="182"/>
      <c r="C3" s="182"/>
      <c r="D3" s="182"/>
      <c r="E3" s="182"/>
      <c r="F3" s="182"/>
      <c r="G3" s="182"/>
      <c r="H3" s="182"/>
    </row>
    <row r="4" spans="1:14" ht="30" x14ac:dyDescent="0.2">
      <c r="A4" s="107" t="s">
        <v>2</v>
      </c>
      <c r="B4" s="107" t="s">
        <v>3</v>
      </c>
      <c r="C4" s="107" t="s">
        <v>4</v>
      </c>
      <c r="D4" s="107" t="s">
        <v>5</v>
      </c>
      <c r="E4" s="107" t="s">
        <v>6</v>
      </c>
      <c r="F4" s="107" t="s">
        <v>7</v>
      </c>
      <c r="G4" s="107" t="s">
        <v>8</v>
      </c>
      <c r="H4" s="104" t="s">
        <v>1003</v>
      </c>
      <c r="I4" s="108"/>
      <c r="J4" s="108"/>
      <c r="K4" s="108"/>
      <c r="L4" s="108"/>
      <c r="M4" s="108"/>
      <c r="N4" s="108"/>
    </row>
    <row r="5" spans="1:14" ht="14.1" customHeight="1" x14ac:dyDescent="0.2">
      <c r="A5" s="1"/>
      <c r="B5" s="1"/>
      <c r="C5" s="2" t="s">
        <v>9</v>
      </c>
      <c r="D5" s="1"/>
      <c r="E5" s="1"/>
      <c r="F5" s="1"/>
      <c r="G5" s="1"/>
      <c r="H5" s="105"/>
    </row>
    <row r="6" spans="1:14" ht="24" customHeight="1" x14ac:dyDescent="0.2">
      <c r="A6" s="1"/>
      <c r="B6" s="1"/>
      <c r="C6" s="2" t="s">
        <v>10</v>
      </c>
      <c r="D6" s="1"/>
      <c r="E6" s="1"/>
      <c r="F6" s="1"/>
      <c r="G6" s="1"/>
      <c r="H6" s="105"/>
    </row>
    <row r="7" spans="1:14" ht="17.100000000000001" customHeight="1" x14ac:dyDescent="0.2">
      <c r="A7" s="3">
        <v>1</v>
      </c>
      <c r="B7" s="4" t="s">
        <v>306</v>
      </c>
      <c r="C7" s="4" t="s">
        <v>307</v>
      </c>
      <c r="D7" s="4" t="s">
        <v>232</v>
      </c>
      <c r="E7" s="5">
        <v>14165</v>
      </c>
      <c r="F7" s="6">
        <v>207.25519750000001</v>
      </c>
      <c r="G7" s="7">
        <v>9.9027500000000001E-3</v>
      </c>
      <c r="H7" s="105"/>
    </row>
    <row r="8" spans="1:14" ht="29.1" customHeight="1" x14ac:dyDescent="0.2">
      <c r="A8" s="3">
        <v>2</v>
      </c>
      <c r="B8" s="4" t="s">
        <v>249</v>
      </c>
      <c r="C8" s="4" t="s">
        <v>250</v>
      </c>
      <c r="D8" s="4" t="s">
        <v>121</v>
      </c>
      <c r="E8" s="5">
        <v>53030</v>
      </c>
      <c r="F8" s="6">
        <v>135.17347000000001</v>
      </c>
      <c r="G8" s="7">
        <v>6.4586499999999998E-3</v>
      </c>
      <c r="H8" s="105"/>
    </row>
    <row r="9" spans="1:14" ht="17.100000000000001" customHeight="1" x14ac:dyDescent="0.2">
      <c r="A9" s="3">
        <v>3</v>
      </c>
      <c r="B9" s="4" t="s">
        <v>378</v>
      </c>
      <c r="C9" s="4" t="s">
        <v>379</v>
      </c>
      <c r="D9" s="4" t="s">
        <v>128</v>
      </c>
      <c r="E9" s="5">
        <v>14752</v>
      </c>
      <c r="F9" s="6">
        <v>105.100624</v>
      </c>
      <c r="G9" s="7">
        <v>5.0217600000000001E-3</v>
      </c>
      <c r="H9" s="105"/>
    </row>
    <row r="10" spans="1:14" ht="17.100000000000001" customHeight="1" x14ac:dyDescent="0.2">
      <c r="A10" s="3">
        <v>4</v>
      </c>
      <c r="B10" s="4" t="s">
        <v>380</v>
      </c>
      <c r="C10" s="4" t="s">
        <v>381</v>
      </c>
      <c r="D10" s="4" t="s">
        <v>954</v>
      </c>
      <c r="E10" s="5">
        <v>11258</v>
      </c>
      <c r="F10" s="6">
        <v>104.88515700000001</v>
      </c>
      <c r="G10" s="7">
        <v>5.0114599999999997E-3</v>
      </c>
      <c r="H10" s="105"/>
    </row>
    <row r="11" spans="1:14" ht="14.1" customHeight="1" x14ac:dyDescent="0.2">
      <c r="A11" s="1"/>
      <c r="B11" s="1"/>
      <c r="C11" s="2" t="s">
        <v>132</v>
      </c>
      <c r="D11" s="1"/>
      <c r="E11" s="1" t="s">
        <v>133</v>
      </c>
      <c r="F11" s="9">
        <v>552.41444850000005</v>
      </c>
      <c r="G11" s="10">
        <v>2.6394620000000001E-2</v>
      </c>
      <c r="H11" s="105"/>
    </row>
    <row r="12" spans="1:14" ht="14.1" customHeight="1" x14ac:dyDescent="0.2">
      <c r="A12" s="1"/>
      <c r="B12" s="1"/>
      <c r="C12" s="11"/>
      <c r="D12" s="1"/>
      <c r="E12" s="1"/>
      <c r="F12" s="12"/>
      <c r="G12" s="12"/>
      <c r="H12" s="105"/>
    </row>
    <row r="13" spans="1:14" ht="14.1" customHeight="1" x14ac:dyDescent="0.2">
      <c r="A13" s="1"/>
      <c r="B13" s="1"/>
      <c r="C13" s="2" t="s">
        <v>134</v>
      </c>
      <c r="D13" s="1"/>
      <c r="E13" s="1"/>
      <c r="F13" s="1"/>
      <c r="G13" s="1"/>
      <c r="H13" s="105"/>
      <c r="J13" s="161" t="s">
        <v>1052</v>
      </c>
    </row>
    <row r="14" spans="1:14" ht="14.1" customHeight="1" x14ac:dyDescent="0.2">
      <c r="A14" s="1"/>
      <c r="B14" s="1"/>
      <c r="C14" s="2" t="s">
        <v>132</v>
      </c>
      <c r="D14" s="1"/>
      <c r="E14" s="1" t="s">
        <v>133</v>
      </c>
      <c r="F14" s="13" t="s">
        <v>135</v>
      </c>
      <c r="G14" s="10">
        <v>0</v>
      </c>
      <c r="H14" s="105"/>
    </row>
    <row r="15" spans="1:14" ht="14.1" customHeight="1" x14ac:dyDescent="0.2">
      <c r="A15" s="1"/>
      <c r="B15" s="1"/>
      <c r="C15" s="11"/>
      <c r="D15" s="1"/>
      <c r="E15" s="1"/>
      <c r="F15" s="12"/>
      <c r="G15" s="12"/>
      <c r="H15" s="105"/>
    </row>
    <row r="16" spans="1:14" ht="14.1" customHeight="1" x14ac:dyDescent="0.2">
      <c r="A16" s="1"/>
      <c r="B16" s="1"/>
      <c r="C16" s="2" t="s">
        <v>136</v>
      </c>
      <c r="D16" s="1"/>
      <c r="E16" s="1"/>
      <c r="F16" s="1"/>
      <c r="G16" s="1"/>
      <c r="H16" s="105"/>
    </row>
    <row r="17" spans="1:8" ht="14.1" customHeight="1" x14ac:dyDescent="0.2">
      <c r="A17" s="1"/>
      <c r="B17" s="1"/>
      <c r="C17" s="2" t="s">
        <v>132</v>
      </c>
      <c r="D17" s="1"/>
      <c r="E17" s="1" t="s">
        <v>133</v>
      </c>
      <c r="F17" s="13" t="s">
        <v>135</v>
      </c>
      <c r="G17" s="10">
        <v>0</v>
      </c>
      <c r="H17" s="105"/>
    </row>
    <row r="18" spans="1:8" ht="14.1" customHeight="1" x14ac:dyDescent="0.2">
      <c r="A18" s="1"/>
      <c r="B18" s="1"/>
      <c r="C18" s="11"/>
      <c r="D18" s="1"/>
      <c r="E18" s="1"/>
      <c r="F18" s="12"/>
      <c r="G18" s="12"/>
      <c r="H18" s="105"/>
    </row>
    <row r="19" spans="1:8" ht="14.1" customHeight="1" x14ac:dyDescent="0.2">
      <c r="A19" s="1"/>
      <c r="B19" s="1"/>
      <c r="C19" s="2" t="s">
        <v>137</v>
      </c>
      <c r="D19" s="1"/>
      <c r="E19" s="1"/>
      <c r="F19" s="1"/>
      <c r="G19" s="1"/>
      <c r="H19" s="105"/>
    </row>
    <row r="20" spans="1:8" ht="27" customHeight="1" x14ac:dyDescent="0.2">
      <c r="A20" s="3">
        <v>1</v>
      </c>
      <c r="B20" s="40" t="s">
        <v>923</v>
      </c>
      <c r="C20" s="40" t="s">
        <v>924</v>
      </c>
      <c r="D20" s="4" t="s">
        <v>81</v>
      </c>
      <c r="E20" s="5">
        <v>625704</v>
      </c>
      <c r="F20" s="6">
        <v>63.247411728000003</v>
      </c>
      <c r="G20" s="7">
        <v>3.02199E-3</v>
      </c>
      <c r="H20" s="105"/>
    </row>
    <row r="21" spans="1:8" ht="14.1" customHeight="1" x14ac:dyDescent="0.2">
      <c r="A21" s="1"/>
      <c r="B21" s="1"/>
      <c r="C21" s="2" t="s">
        <v>132</v>
      </c>
      <c r="D21" s="1"/>
      <c r="E21" s="1" t="s">
        <v>133</v>
      </c>
      <c r="F21" s="9">
        <v>63.247411728000003</v>
      </c>
      <c r="G21" s="10">
        <v>3.02199E-3</v>
      </c>
      <c r="H21" s="105"/>
    </row>
    <row r="22" spans="1:8" ht="14.1" customHeight="1" x14ac:dyDescent="0.2">
      <c r="A22" s="1"/>
      <c r="B22" s="1"/>
      <c r="C22" s="11"/>
      <c r="D22" s="1"/>
      <c r="E22" s="1"/>
      <c r="F22" s="12"/>
      <c r="G22" s="12"/>
      <c r="H22" s="105"/>
    </row>
    <row r="23" spans="1:8" ht="14.1" customHeight="1" x14ac:dyDescent="0.2">
      <c r="A23" s="1"/>
      <c r="B23" s="1"/>
      <c r="C23" s="2" t="s">
        <v>138</v>
      </c>
      <c r="D23" s="1"/>
      <c r="E23" s="1"/>
      <c r="F23" s="12"/>
      <c r="G23" s="12"/>
      <c r="H23" s="105"/>
    </row>
    <row r="24" spans="1:8" ht="14.1" customHeight="1" x14ac:dyDescent="0.2">
      <c r="A24" s="1"/>
      <c r="B24" s="1"/>
      <c r="C24" s="2" t="s">
        <v>132</v>
      </c>
      <c r="D24" s="1"/>
      <c r="E24" s="1" t="s">
        <v>133</v>
      </c>
      <c r="F24" s="13" t="s">
        <v>135</v>
      </c>
      <c r="G24" s="10">
        <v>0</v>
      </c>
      <c r="H24" s="105"/>
    </row>
    <row r="25" spans="1:8" ht="14.1" customHeight="1" x14ac:dyDescent="0.2">
      <c r="A25" s="1"/>
      <c r="B25" s="1"/>
      <c r="C25" s="11"/>
      <c r="D25" s="1"/>
      <c r="E25" s="1"/>
      <c r="F25" s="12"/>
      <c r="G25" s="12"/>
      <c r="H25" s="105"/>
    </row>
    <row r="26" spans="1:8" ht="14.1" customHeight="1" x14ac:dyDescent="0.2">
      <c r="A26" s="1"/>
      <c r="B26" s="1"/>
      <c r="C26" s="2" t="s">
        <v>139</v>
      </c>
      <c r="D26" s="1"/>
      <c r="E26" s="1"/>
      <c r="F26" s="12"/>
      <c r="G26" s="12"/>
      <c r="H26" s="105"/>
    </row>
    <row r="27" spans="1:8" ht="14.1" customHeight="1" x14ac:dyDescent="0.2">
      <c r="A27" s="1"/>
      <c r="B27" s="1"/>
      <c r="C27" s="2" t="s">
        <v>132</v>
      </c>
      <c r="D27" s="1"/>
      <c r="E27" s="1" t="s">
        <v>133</v>
      </c>
      <c r="F27" s="13" t="s">
        <v>135</v>
      </c>
      <c r="G27" s="10">
        <v>0</v>
      </c>
      <c r="H27" s="105"/>
    </row>
    <row r="28" spans="1:8" ht="14.1" customHeight="1" x14ac:dyDescent="0.2">
      <c r="A28" s="1"/>
      <c r="B28" s="1"/>
      <c r="C28" s="11"/>
      <c r="D28" s="1"/>
      <c r="E28" s="1"/>
      <c r="F28" s="12"/>
      <c r="G28" s="12"/>
      <c r="H28" s="105"/>
    </row>
    <row r="29" spans="1:8" ht="18" customHeight="1" x14ac:dyDescent="0.2">
      <c r="A29" s="1"/>
      <c r="B29" s="1"/>
      <c r="C29" s="2" t="s">
        <v>140</v>
      </c>
      <c r="D29" s="1"/>
      <c r="E29" s="1"/>
      <c r="F29" s="9">
        <v>615.66186022800002</v>
      </c>
      <c r="G29" s="10">
        <v>2.9416609999999999E-2</v>
      </c>
      <c r="H29" s="105"/>
    </row>
    <row r="30" spans="1:8" ht="14.1" customHeight="1" x14ac:dyDescent="0.2">
      <c r="A30" s="1"/>
      <c r="B30" s="1"/>
      <c r="C30" s="11"/>
      <c r="D30" s="1"/>
      <c r="E30" s="1"/>
      <c r="F30" s="12"/>
      <c r="G30" s="12"/>
      <c r="H30" s="105"/>
    </row>
    <row r="31" spans="1:8" ht="14.1" customHeight="1" x14ac:dyDescent="0.2">
      <c r="A31" s="1"/>
      <c r="B31" s="1"/>
      <c r="C31" s="2" t="s">
        <v>141</v>
      </c>
      <c r="D31" s="1"/>
      <c r="E31" s="1"/>
      <c r="F31" s="12"/>
      <c r="G31" s="12"/>
      <c r="H31" s="105"/>
    </row>
    <row r="32" spans="1:8" ht="24" customHeight="1" x14ac:dyDescent="0.2">
      <c r="A32" s="1"/>
      <c r="B32" s="1"/>
      <c r="C32" s="2" t="s">
        <v>10</v>
      </c>
      <c r="D32" s="1"/>
      <c r="E32" s="1"/>
      <c r="F32" s="12"/>
      <c r="G32" s="12"/>
      <c r="H32" s="105"/>
    </row>
    <row r="33" spans="1:8" ht="14.1" customHeight="1" x14ac:dyDescent="0.2">
      <c r="A33" s="1"/>
      <c r="B33" s="1"/>
      <c r="C33" s="2" t="s">
        <v>132</v>
      </c>
      <c r="D33" s="1"/>
      <c r="E33" s="1" t="s">
        <v>133</v>
      </c>
      <c r="F33" s="13" t="s">
        <v>135</v>
      </c>
      <c r="G33" s="10">
        <v>0</v>
      </c>
      <c r="H33" s="105"/>
    </row>
    <row r="34" spans="1:8" ht="14.1" customHeight="1" x14ac:dyDescent="0.2">
      <c r="A34" s="1"/>
      <c r="B34" s="1"/>
      <c r="C34" s="11"/>
      <c r="D34" s="1"/>
      <c r="E34" s="1"/>
      <c r="F34" s="12"/>
      <c r="G34" s="12"/>
      <c r="H34" s="105"/>
    </row>
    <row r="35" spans="1:8" ht="14.1" customHeight="1" x14ac:dyDescent="0.2">
      <c r="A35" s="1"/>
      <c r="B35" s="1"/>
      <c r="C35" s="2" t="s">
        <v>142</v>
      </c>
      <c r="D35" s="1"/>
      <c r="E35" s="1"/>
      <c r="F35" s="1"/>
      <c r="G35" s="1"/>
      <c r="H35" s="105"/>
    </row>
    <row r="36" spans="1:8" ht="14.1" customHeight="1" x14ac:dyDescent="0.2">
      <c r="A36" s="1"/>
      <c r="B36" s="1"/>
      <c r="C36" s="2" t="s">
        <v>132</v>
      </c>
      <c r="D36" s="1"/>
      <c r="E36" s="1" t="s">
        <v>133</v>
      </c>
      <c r="F36" s="13" t="s">
        <v>135</v>
      </c>
      <c r="G36" s="10">
        <v>0</v>
      </c>
      <c r="H36" s="105"/>
    </row>
    <row r="37" spans="1:8" ht="14.1" customHeight="1" x14ac:dyDescent="0.2">
      <c r="A37" s="1"/>
      <c r="B37" s="1"/>
      <c r="C37" s="11"/>
      <c r="D37" s="1"/>
      <c r="E37" s="1"/>
      <c r="F37" s="12"/>
      <c r="G37" s="12"/>
      <c r="H37" s="105"/>
    </row>
    <row r="38" spans="1:8" ht="14.1" customHeight="1" x14ac:dyDescent="0.2">
      <c r="A38" s="1"/>
      <c r="B38" s="1"/>
      <c r="C38" s="2" t="s">
        <v>143</v>
      </c>
      <c r="D38" s="1"/>
      <c r="E38" s="1"/>
      <c r="F38" s="1"/>
      <c r="G38" s="1"/>
      <c r="H38" s="105"/>
    </row>
    <row r="39" spans="1:8" ht="14.1" customHeight="1" x14ac:dyDescent="0.2">
      <c r="A39" s="1"/>
      <c r="B39" s="1"/>
      <c r="C39" s="2" t="s">
        <v>132</v>
      </c>
      <c r="D39" s="1"/>
      <c r="E39" s="1" t="s">
        <v>133</v>
      </c>
      <c r="F39" s="13" t="s">
        <v>135</v>
      </c>
      <c r="G39" s="10">
        <v>0</v>
      </c>
      <c r="H39" s="105"/>
    </row>
    <row r="40" spans="1:8" ht="14.1" customHeight="1" x14ac:dyDescent="0.2">
      <c r="A40" s="1"/>
      <c r="B40" s="1"/>
      <c r="C40" s="11"/>
      <c r="D40" s="1"/>
      <c r="E40" s="1"/>
      <c r="F40" s="12"/>
      <c r="G40" s="12"/>
      <c r="H40" s="105"/>
    </row>
    <row r="41" spans="1:8" ht="14.1" customHeight="1" x14ac:dyDescent="0.2">
      <c r="A41" s="1"/>
      <c r="B41" s="1"/>
      <c r="C41" s="2" t="s">
        <v>144</v>
      </c>
      <c r="D41" s="1"/>
      <c r="E41" s="1"/>
      <c r="F41" s="12"/>
      <c r="G41" s="12"/>
      <c r="H41" s="105"/>
    </row>
    <row r="42" spans="1:8" ht="14.1" customHeight="1" x14ac:dyDescent="0.2">
      <c r="A42" s="1"/>
      <c r="B42" s="1"/>
      <c r="C42" s="2" t="s">
        <v>132</v>
      </c>
      <c r="D42" s="1"/>
      <c r="E42" s="1" t="s">
        <v>133</v>
      </c>
      <c r="F42" s="13" t="s">
        <v>135</v>
      </c>
      <c r="G42" s="10">
        <v>0</v>
      </c>
      <c r="H42" s="105"/>
    </row>
    <row r="43" spans="1:8" ht="14.1" customHeight="1" x14ac:dyDescent="0.2">
      <c r="A43" s="1"/>
      <c r="B43" s="1"/>
      <c r="C43" s="11"/>
      <c r="D43" s="1"/>
      <c r="E43" s="1"/>
      <c r="F43" s="12"/>
      <c r="G43" s="12"/>
      <c r="H43" s="105"/>
    </row>
    <row r="44" spans="1:8" ht="14.1" customHeight="1" x14ac:dyDescent="0.2">
      <c r="A44" s="1"/>
      <c r="B44" s="1"/>
      <c r="C44" s="2" t="s">
        <v>145</v>
      </c>
      <c r="D44" s="1"/>
      <c r="E44" s="1"/>
      <c r="F44" s="9">
        <v>0</v>
      </c>
      <c r="G44" s="10">
        <v>0</v>
      </c>
      <c r="H44" s="105"/>
    </row>
    <row r="45" spans="1:8" ht="14.1" customHeight="1" x14ac:dyDescent="0.2">
      <c r="A45" s="1"/>
      <c r="B45" s="1"/>
      <c r="C45" s="11"/>
      <c r="D45" s="1"/>
      <c r="E45" s="1"/>
      <c r="F45" s="12"/>
      <c r="G45" s="12"/>
      <c r="H45" s="105"/>
    </row>
    <row r="46" spans="1:8" ht="14.1" customHeight="1" x14ac:dyDescent="0.2">
      <c r="A46" s="1"/>
      <c r="B46" s="1"/>
      <c r="C46" s="2" t="s">
        <v>146</v>
      </c>
      <c r="D46" s="1"/>
      <c r="E46" s="1"/>
      <c r="F46" s="12"/>
      <c r="G46" s="12"/>
      <c r="H46" s="105"/>
    </row>
    <row r="47" spans="1:8" ht="14.1" customHeight="1" x14ac:dyDescent="0.2">
      <c r="A47" s="1"/>
      <c r="B47" s="1"/>
      <c r="C47" s="2" t="s">
        <v>147</v>
      </c>
      <c r="D47" s="1"/>
      <c r="E47" s="1"/>
      <c r="F47" s="12"/>
      <c r="G47" s="12"/>
      <c r="H47" s="105"/>
    </row>
    <row r="48" spans="1:8" ht="14.1" customHeight="1" x14ac:dyDescent="0.2">
      <c r="A48" s="1"/>
      <c r="B48" s="1"/>
      <c r="C48" s="2" t="s">
        <v>132</v>
      </c>
      <c r="D48" s="1"/>
      <c r="E48" s="1" t="s">
        <v>133</v>
      </c>
      <c r="F48" s="13" t="s">
        <v>135</v>
      </c>
      <c r="G48" s="10">
        <v>0</v>
      </c>
      <c r="H48" s="105"/>
    </row>
    <row r="49" spans="1:8" ht="14.1" customHeight="1" x14ac:dyDescent="0.2">
      <c r="A49" s="1"/>
      <c r="B49" s="1"/>
      <c r="C49" s="11"/>
      <c r="D49" s="1"/>
      <c r="E49" s="1"/>
      <c r="F49" s="12"/>
      <c r="G49" s="12"/>
      <c r="H49" s="105"/>
    </row>
    <row r="50" spans="1:8" ht="14.1" customHeight="1" x14ac:dyDescent="0.2">
      <c r="A50" s="1"/>
      <c r="B50" s="1"/>
      <c r="C50" s="2" t="s">
        <v>148</v>
      </c>
      <c r="D50" s="1"/>
      <c r="E50" s="1"/>
      <c r="F50" s="12"/>
      <c r="G50" s="12"/>
      <c r="H50" s="105"/>
    </row>
    <row r="51" spans="1:8" ht="14.1" customHeight="1" x14ac:dyDescent="0.2">
      <c r="A51" s="1"/>
      <c r="B51" s="1"/>
      <c r="C51" s="2" t="s">
        <v>132</v>
      </c>
      <c r="D51" s="1"/>
      <c r="E51" s="1" t="s">
        <v>133</v>
      </c>
      <c r="F51" s="13" t="s">
        <v>135</v>
      </c>
      <c r="G51" s="10">
        <v>0</v>
      </c>
      <c r="H51" s="105"/>
    </row>
    <row r="52" spans="1:8" ht="14.1" customHeight="1" x14ac:dyDescent="0.2">
      <c r="A52" s="1"/>
      <c r="B52" s="1"/>
      <c r="C52" s="11"/>
      <c r="D52" s="1"/>
      <c r="E52" s="1"/>
      <c r="F52" s="12"/>
      <c r="G52" s="12"/>
      <c r="H52" s="105"/>
    </row>
    <row r="53" spans="1:8" ht="14.1" customHeight="1" x14ac:dyDescent="0.2">
      <c r="A53" s="1"/>
      <c r="B53" s="1"/>
      <c r="C53" s="2" t="s">
        <v>149</v>
      </c>
      <c r="D53" s="1"/>
      <c r="E53" s="1"/>
      <c r="F53" s="12"/>
      <c r="G53" s="12"/>
      <c r="H53" s="105"/>
    </row>
    <row r="54" spans="1:8" ht="14.1" customHeight="1" x14ac:dyDescent="0.2">
      <c r="A54" s="1"/>
      <c r="B54" s="1"/>
      <c r="C54" s="2" t="s">
        <v>132</v>
      </c>
      <c r="D54" s="1"/>
      <c r="E54" s="1" t="s">
        <v>133</v>
      </c>
      <c r="F54" s="13" t="s">
        <v>135</v>
      </c>
      <c r="G54" s="10">
        <v>0</v>
      </c>
      <c r="H54" s="105"/>
    </row>
    <row r="55" spans="1:8" ht="14.1" customHeight="1" x14ac:dyDescent="0.2">
      <c r="A55" s="1"/>
      <c r="B55" s="1"/>
      <c r="C55" s="11"/>
      <c r="D55" s="1"/>
      <c r="E55" s="1"/>
      <c r="F55" s="12"/>
      <c r="G55" s="12"/>
      <c r="H55" s="105"/>
    </row>
    <row r="56" spans="1:8" ht="14.1" customHeight="1" x14ac:dyDescent="0.2">
      <c r="A56" s="1"/>
      <c r="B56" s="1"/>
      <c r="C56" s="2" t="s">
        <v>150</v>
      </c>
      <c r="D56" s="1"/>
      <c r="E56" s="1"/>
      <c r="F56" s="12"/>
      <c r="G56" s="12"/>
      <c r="H56" s="105"/>
    </row>
    <row r="57" spans="1:8" ht="17.100000000000001" customHeight="1" x14ac:dyDescent="0.2">
      <c r="A57" s="3">
        <v>1</v>
      </c>
      <c r="B57" s="4"/>
      <c r="C57" s="4" t="s">
        <v>151</v>
      </c>
      <c r="D57" s="4"/>
      <c r="E57" s="8"/>
      <c r="F57" s="6">
        <v>17776.474974299999</v>
      </c>
      <c r="G57" s="7">
        <v>0.84936840000000002</v>
      </c>
      <c r="H57" s="105">
        <v>6.8153352377542396</v>
      </c>
    </row>
    <row r="58" spans="1:8" ht="17.100000000000001" customHeight="1" x14ac:dyDescent="0.2">
      <c r="A58" s="3">
        <v>2</v>
      </c>
      <c r="B58" s="4"/>
      <c r="C58" s="4" t="s">
        <v>152</v>
      </c>
      <c r="D58" s="4"/>
      <c r="E58" s="8"/>
      <c r="F58" s="6">
        <v>2109.4676063970001</v>
      </c>
      <c r="G58" s="7">
        <v>0.10079136</v>
      </c>
      <c r="H58" s="105">
        <v>6.7952403714590259</v>
      </c>
    </row>
    <row r="59" spans="1:8" ht="14.1" customHeight="1" x14ac:dyDescent="0.2">
      <c r="A59" s="1"/>
      <c r="B59" s="1"/>
      <c r="C59" s="2" t="s">
        <v>132</v>
      </c>
      <c r="D59" s="1"/>
      <c r="E59" s="1" t="s">
        <v>133</v>
      </c>
      <c r="F59" s="9">
        <v>19885.942580696999</v>
      </c>
      <c r="G59" s="10">
        <v>0.95015976000000002</v>
      </c>
      <c r="H59" s="105"/>
    </row>
    <row r="60" spans="1:8" ht="14.1" customHeight="1" x14ac:dyDescent="0.2">
      <c r="A60" s="1"/>
      <c r="B60" s="1"/>
      <c r="C60" s="11"/>
      <c r="D60" s="1"/>
      <c r="E60" s="1"/>
      <c r="F60" s="12"/>
      <c r="G60" s="12"/>
      <c r="H60" s="105"/>
    </row>
    <row r="61" spans="1:8" ht="14.1" customHeight="1" x14ac:dyDescent="0.2">
      <c r="A61" s="1"/>
      <c r="B61" s="1"/>
      <c r="C61" s="2" t="s">
        <v>153</v>
      </c>
      <c r="D61" s="1"/>
      <c r="E61" s="1"/>
      <c r="F61" s="9">
        <v>19885.942580696999</v>
      </c>
      <c r="G61" s="10">
        <v>0.95015976000000002</v>
      </c>
      <c r="H61" s="105"/>
    </row>
    <row r="62" spans="1:8" ht="14.1" customHeight="1" x14ac:dyDescent="0.2">
      <c r="A62" s="1"/>
      <c r="B62" s="1"/>
      <c r="C62" s="12"/>
      <c r="D62" s="1"/>
      <c r="E62" s="1"/>
      <c r="F62" s="1"/>
      <c r="G62" s="1"/>
      <c r="H62" s="105"/>
    </row>
    <row r="63" spans="1:8" ht="14.1" customHeight="1" x14ac:dyDescent="0.2">
      <c r="A63" s="1"/>
      <c r="B63" s="1"/>
      <c r="C63" s="2" t="s">
        <v>154</v>
      </c>
      <c r="D63" s="1"/>
      <c r="E63" s="1"/>
      <c r="F63" s="1"/>
      <c r="G63" s="1"/>
      <c r="H63" s="105"/>
    </row>
    <row r="64" spans="1:8" ht="14.1" customHeight="1" x14ac:dyDescent="0.2">
      <c r="A64" s="1"/>
      <c r="B64" s="1"/>
      <c r="C64" s="2" t="s">
        <v>155</v>
      </c>
      <c r="D64" s="1"/>
      <c r="E64" s="1"/>
      <c r="F64" s="1"/>
      <c r="G64" s="1"/>
      <c r="H64" s="105"/>
    </row>
    <row r="65" spans="1:8" ht="14.1" customHeight="1" x14ac:dyDescent="0.2">
      <c r="A65" s="1"/>
      <c r="B65" s="1"/>
      <c r="C65" s="2" t="s">
        <v>132</v>
      </c>
      <c r="D65" s="1"/>
      <c r="E65" s="1" t="s">
        <v>133</v>
      </c>
      <c r="F65" s="13" t="s">
        <v>135</v>
      </c>
      <c r="G65" s="10">
        <v>0</v>
      </c>
      <c r="H65" s="105"/>
    </row>
    <row r="66" spans="1:8" ht="14.1" customHeight="1" x14ac:dyDescent="0.2">
      <c r="A66" s="1"/>
      <c r="B66" s="1"/>
      <c r="C66" s="11"/>
      <c r="D66" s="1"/>
      <c r="E66" s="1"/>
      <c r="F66" s="12"/>
      <c r="G66" s="12"/>
      <c r="H66" s="105"/>
    </row>
    <row r="67" spans="1:8" ht="14.1" customHeight="1" x14ac:dyDescent="0.2">
      <c r="A67" s="1"/>
      <c r="B67" s="1"/>
      <c r="C67" s="2" t="s">
        <v>156</v>
      </c>
      <c r="D67" s="1"/>
      <c r="E67" s="1"/>
      <c r="F67" s="1"/>
      <c r="G67" s="1"/>
      <c r="H67" s="105"/>
    </row>
    <row r="68" spans="1:8" ht="14.1" customHeight="1" x14ac:dyDescent="0.2">
      <c r="A68" s="1"/>
      <c r="B68" s="1"/>
      <c r="C68" s="2" t="s">
        <v>157</v>
      </c>
      <c r="D68" s="1"/>
      <c r="E68" s="1"/>
      <c r="F68" s="1"/>
      <c r="G68" s="1"/>
      <c r="H68" s="105"/>
    </row>
    <row r="69" spans="1:8" ht="14.1" customHeight="1" x14ac:dyDescent="0.2">
      <c r="A69" s="1"/>
      <c r="B69" s="1"/>
      <c r="C69" s="2" t="s">
        <v>132</v>
      </c>
      <c r="D69" s="1"/>
      <c r="E69" s="1" t="s">
        <v>133</v>
      </c>
      <c r="F69" s="13" t="s">
        <v>135</v>
      </c>
      <c r="G69" s="10">
        <v>0</v>
      </c>
      <c r="H69" s="105"/>
    </row>
    <row r="70" spans="1:8" ht="14.1" customHeight="1" x14ac:dyDescent="0.2">
      <c r="A70" s="1"/>
      <c r="B70" s="1"/>
      <c r="C70" s="11"/>
      <c r="D70" s="1"/>
      <c r="E70" s="1"/>
      <c r="F70" s="12"/>
      <c r="G70" s="12"/>
      <c r="H70" s="105"/>
    </row>
    <row r="71" spans="1:8" ht="24" customHeight="1" x14ac:dyDescent="0.2">
      <c r="A71" s="1"/>
      <c r="B71" s="1"/>
      <c r="C71" s="2" t="s">
        <v>158</v>
      </c>
      <c r="D71" s="1"/>
      <c r="E71" s="1"/>
      <c r="F71" s="12"/>
      <c r="G71" s="12"/>
      <c r="H71" s="105"/>
    </row>
    <row r="72" spans="1:8" ht="14.1" customHeight="1" x14ac:dyDescent="0.2">
      <c r="A72" s="1"/>
      <c r="B72" s="1"/>
      <c r="C72" s="2" t="s">
        <v>132</v>
      </c>
      <c r="D72" s="1"/>
      <c r="E72" s="1" t="s">
        <v>133</v>
      </c>
      <c r="F72" s="13" t="s">
        <v>135</v>
      </c>
      <c r="G72" s="10">
        <v>0</v>
      </c>
      <c r="H72" s="105"/>
    </row>
    <row r="73" spans="1:8" ht="14.1" customHeight="1" x14ac:dyDescent="0.2">
      <c r="A73" s="1"/>
      <c r="B73" s="1"/>
      <c r="C73" s="11"/>
      <c r="D73" s="1"/>
      <c r="E73" s="1"/>
      <c r="F73" s="12"/>
      <c r="G73" s="12"/>
      <c r="H73" s="105"/>
    </row>
    <row r="74" spans="1:8" ht="14.1" customHeight="1" x14ac:dyDescent="0.2">
      <c r="A74" s="1"/>
      <c r="B74" s="4"/>
      <c r="C74" s="4"/>
      <c r="D74" s="2"/>
      <c r="E74" s="1"/>
      <c r="F74" s="4"/>
      <c r="G74" s="8"/>
      <c r="H74" s="105"/>
    </row>
    <row r="75" spans="1:8" ht="18" customHeight="1" x14ac:dyDescent="0.2">
      <c r="A75" s="8"/>
      <c r="B75" s="4"/>
      <c r="C75" s="4" t="s">
        <v>159</v>
      </c>
      <c r="D75" s="4"/>
      <c r="E75" s="8"/>
      <c r="F75" s="6">
        <v>427.44696002000001</v>
      </c>
      <c r="G75" s="7">
        <v>2.042362E-2</v>
      </c>
      <c r="H75" s="105"/>
    </row>
    <row r="76" spans="1:8" ht="14.1" customHeight="1" x14ac:dyDescent="0.2">
      <c r="A76" s="11"/>
      <c r="B76" s="11"/>
      <c r="C76" s="2" t="s">
        <v>160</v>
      </c>
      <c r="D76" s="12"/>
      <c r="E76" s="12"/>
      <c r="F76" s="9">
        <v>20929.051400945002</v>
      </c>
      <c r="G76" s="14">
        <v>0.99999998999999995</v>
      </c>
      <c r="H76" s="105"/>
    </row>
    <row r="77" spans="1:8" ht="14.1" customHeight="1" x14ac:dyDescent="0.2">
      <c r="A77" s="15"/>
      <c r="B77" s="15"/>
      <c r="C77" s="15"/>
      <c r="D77" s="16"/>
      <c r="E77" s="16"/>
      <c r="F77" s="16"/>
      <c r="G77" s="16"/>
    </row>
    <row r="78" spans="1:8" ht="14.1" customHeight="1" x14ac:dyDescent="0.2">
      <c r="A78" s="17"/>
      <c r="B78" s="17"/>
      <c r="C78" s="17"/>
      <c r="D78" s="19"/>
      <c r="E78" s="19"/>
      <c r="F78" s="19"/>
      <c r="G78" s="19"/>
    </row>
    <row r="79" spans="1:8" ht="14.1" customHeight="1" x14ac:dyDescent="0.2">
      <c r="A79" s="17"/>
      <c r="B79" s="179" t="s">
        <v>162</v>
      </c>
      <c r="C79" s="180"/>
      <c r="D79" s="181"/>
      <c r="E79" s="20"/>
      <c r="F79" s="19"/>
      <c r="G79" s="19"/>
    </row>
    <row r="80" spans="1:8" ht="29.1" customHeight="1" x14ac:dyDescent="0.2">
      <c r="A80" s="17"/>
      <c r="B80" s="176" t="s">
        <v>163</v>
      </c>
      <c r="C80" s="177"/>
      <c r="D80" s="2" t="s">
        <v>164</v>
      </c>
      <c r="E80" s="20"/>
      <c r="F80" s="19"/>
      <c r="G80" s="19"/>
    </row>
    <row r="81" spans="1:7" ht="17.100000000000001" customHeight="1" x14ac:dyDescent="0.2">
      <c r="A81" s="17"/>
      <c r="B81" s="176" t="s">
        <v>165</v>
      </c>
      <c r="C81" s="177"/>
      <c r="D81" s="2" t="s">
        <v>164</v>
      </c>
      <c r="E81" s="20"/>
      <c r="F81" s="19"/>
      <c r="G81" s="19"/>
    </row>
    <row r="82" spans="1:7" ht="17.100000000000001" customHeight="1" x14ac:dyDescent="0.2">
      <c r="A82" s="17"/>
      <c r="B82" s="176" t="s">
        <v>166</v>
      </c>
      <c r="C82" s="177"/>
      <c r="D82" s="12" t="s">
        <v>133</v>
      </c>
      <c r="E82" s="20"/>
      <c r="F82" s="19"/>
      <c r="G82" s="19"/>
    </row>
    <row r="83" spans="1:7" ht="24" customHeight="1" x14ac:dyDescent="0.2">
      <c r="A83" s="21"/>
      <c r="B83" s="22" t="s">
        <v>133</v>
      </c>
      <c r="C83" s="22" t="s">
        <v>167</v>
      </c>
      <c r="D83" s="22" t="s">
        <v>168</v>
      </c>
      <c r="E83" s="21"/>
      <c r="F83" s="21"/>
      <c r="G83" s="21"/>
    </row>
    <row r="84" spans="1:7" ht="18" customHeight="1" x14ac:dyDescent="0.2">
      <c r="A84" s="21"/>
      <c r="B84" s="23" t="s">
        <v>169</v>
      </c>
      <c r="C84" s="22" t="s">
        <v>170</v>
      </c>
      <c r="D84" s="22" t="s">
        <v>171</v>
      </c>
      <c r="E84" s="21"/>
      <c r="F84" s="21"/>
      <c r="G84" s="21"/>
    </row>
    <row r="85" spans="1:7" ht="17.100000000000001" customHeight="1" x14ac:dyDescent="0.2">
      <c r="A85" s="21"/>
      <c r="B85" s="4" t="s">
        <v>172</v>
      </c>
      <c r="C85" s="24">
        <v>19.811199999999999</v>
      </c>
      <c r="D85" s="24">
        <v>19.9878</v>
      </c>
      <c r="E85" s="21"/>
      <c r="F85" s="18"/>
      <c r="G85" s="25"/>
    </row>
    <row r="86" spans="1:7" ht="17.100000000000001" customHeight="1" x14ac:dyDescent="0.2">
      <c r="A86" s="21"/>
      <c r="B86" s="4" t="s">
        <v>1006</v>
      </c>
      <c r="C86" s="24">
        <v>19.104299999999999</v>
      </c>
      <c r="D86" s="24">
        <v>19.2746</v>
      </c>
      <c r="E86" s="21"/>
      <c r="F86" s="18"/>
      <c r="G86" s="25"/>
    </row>
    <row r="87" spans="1:7" ht="17.100000000000001" customHeight="1" x14ac:dyDescent="0.2">
      <c r="A87" s="21"/>
      <c r="B87" s="4" t="s">
        <v>173</v>
      </c>
      <c r="C87" s="24">
        <v>19.090900000000001</v>
      </c>
      <c r="D87" s="24">
        <v>19.2517</v>
      </c>
      <c r="E87" s="21"/>
      <c r="F87" s="18"/>
      <c r="G87" s="25"/>
    </row>
    <row r="88" spans="1:7" ht="17.100000000000001" customHeight="1" x14ac:dyDescent="0.2">
      <c r="A88" s="21"/>
      <c r="B88" s="4" t="s">
        <v>1007</v>
      </c>
      <c r="C88" s="24">
        <v>18.391999999999999</v>
      </c>
      <c r="D88" s="24">
        <v>18.546800000000001</v>
      </c>
      <c r="E88" s="21"/>
      <c r="F88" s="18"/>
      <c r="G88" s="25"/>
    </row>
    <row r="89" spans="1:7" ht="14.1" customHeight="1" x14ac:dyDescent="0.2">
      <c r="A89" s="21"/>
      <c r="B89" s="21"/>
      <c r="C89" s="21"/>
      <c r="D89" s="21"/>
      <c r="E89" s="21"/>
      <c r="F89" s="21"/>
      <c r="G89" s="21"/>
    </row>
    <row r="90" spans="1:7" ht="17.100000000000001" customHeight="1" x14ac:dyDescent="0.2">
      <c r="A90" s="21"/>
      <c r="B90" s="176" t="s">
        <v>1008</v>
      </c>
      <c r="C90" s="177"/>
      <c r="D90" s="2" t="s">
        <v>164</v>
      </c>
      <c r="E90" s="21"/>
      <c r="F90" s="21"/>
      <c r="G90" s="21"/>
    </row>
    <row r="91" spans="1:7" ht="18" customHeight="1" x14ac:dyDescent="0.2">
      <c r="A91" s="21"/>
      <c r="B91" s="26"/>
      <c r="C91" s="26"/>
      <c r="D91" s="26"/>
      <c r="E91" s="21"/>
      <c r="F91" s="21"/>
      <c r="G91" s="21"/>
    </row>
    <row r="92" spans="1:7" ht="29.1" customHeight="1" x14ac:dyDescent="0.2">
      <c r="A92" s="21"/>
      <c r="B92" s="176" t="s">
        <v>174</v>
      </c>
      <c r="C92" s="177"/>
      <c r="D92" s="2" t="s">
        <v>164</v>
      </c>
      <c r="E92" s="27"/>
      <c r="F92" s="21"/>
      <c r="G92" s="21"/>
    </row>
    <row r="93" spans="1:7" ht="29.1" customHeight="1" x14ac:dyDescent="0.2">
      <c r="A93" s="21"/>
      <c r="B93" s="176" t="s">
        <v>175</v>
      </c>
      <c r="C93" s="177"/>
      <c r="D93" s="2" t="s">
        <v>164</v>
      </c>
      <c r="E93" s="27"/>
      <c r="F93" s="21"/>
      <c r="G93" s="21"/>
    </row>
    <row r="94" spans="1:7" ht="17.100000000000001" customHeight="1" x14ac:dyDescent="0.2">
      <c r="A94" s="21"/>
      <c r="B94" s="176" t="s">
        <v>176</v>
      </c>
      <c r="C94" s="177"/>
      <c r="D94" s="2" t="s">
        <v>164</v>
      </c>
      <c r="E94" s="27"/>
      <c r="F94" s="21"/>
      <c r="G94" s="21"/>
    </row>
    <row r="95" spans="1:7" ht="17.100000000000001" customHeight="1" x14ac:dyDescent="0.2">
      <c r="A95" s="21"/>
      <c r="B95" s="176" t="s">
        <v>177</v>
      </c>
      <c r="C95" s="177"/>
      <c r="D95" s="60">
        <v>0.15292956278522646</v>
      </c>
      <c r="E95" s="21"/>
      <c r="F95" s="18"/>
      <c r="G95" s="25"/>
    </row>
    <row r="164" spans="10:14" x14ac:dyDescent="0.2">
      <c r="J164" s="162"/>
      <c r="K164" s="162"/>
      <c r="L164" s="162"/>
      <c r="M164" s="162"/>
      <c r="N164" s="162"/>
    </row>
  </sheetData>
  <mergeCells count="13">
    <mergeCell ref="B95:C95"/>
    <mergeCell ref="B81:C81"/>
    <mergeCell ref="B82:C82"/>
    <mergeCell ref="B90:C90"/>
    <mergeCell ref="B92:C92"/>
    <mergeCell ref="B93:C93"/>
    <mergeCell ref="B94:C94"/>
    <mergeCell ref="J2:N2"/>
    <mergeCell ref="B80:C80"/>
    <mergeCell ref="B79:D79"/>
    <mergeCell ref="A1:H1"/>
    <mergeCell ref="A2:H2"/>
    <mergeCell ref="A3:H3"/>
  </mergeCells>
  <hyperlinks>
    <hyperlink ref="I1" location="Index!B8" display="Index" xr:uid="{0347F728-BA53-4583-9851-4C7BA7A785F0}"/>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N163"/>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182" t="s">
        <v>0</v>
      </c>
      <c r="B1" s="182"/>
      <c r="C1" s="182"/>
      <c r="D1" s="182"/>
      <c r="E1" s="182"/>
      <c r="F1" s="182"/>
      <c r="G1" s="182"/>
      <c r="H1" s="182"/>
      <c r="I1" s="159" t="s">
        <v>1044</v>
      </c>
    </row>
    <row r="2" spans="1:14" ht="17.100000000000001" customHeight="1" x14ac:dyDescent="0.2">
      <c r="A2" s="183" t="s">
        <v>382</v>
      </c>
      <c r="B2" s="184"/>
      <c r="C2" s="184"/>
      <c r="D2" s="184"/>
      <c r="E2" s="184"/>
      <c r="F2" s="184"/>
      <c r="G2" s="184"/>
      <c r="H2" s="185"/>
      <c r="J2" s="175" t="s">
        <v>1045</v>
      </c>
      <c r="K2" s="175"/>
      <c r="L2" s="175"/>
      <c r="M2" s="175"/>
      <c r="N2" s="175"/>
    </row>
    <row r="3" spans="1:14" ht="21" customHeight="1" x14ac:dyDescent="0.2">
      <c r="A3" s="182" t="s">
        <v>1016</v>
      </c>
      <c r="B3" s="182"/>
      <c r="C3" s="182"/>
      <c r="D3" s="182"/>
      <c r="E3" s="182"/>
      <c r="F3" s="182"/>
      <c r="G3" s="182"/>
      <c r="H3" s="182"/>
    </row>
    <row r="4" spans="1:14" ht="30" x14ac:dyDescent="0.2">
      <c r="A4" s="107" t="s">
        <v>2</v>
      </c>
      <c r="B4" s="107" t="s">
        <v>3</v>
      </c>
      <c r="C4" s="107" t="s">
        <v>4</v>
      </c>
      <c r="D4" s="107" t="s">
        <v>5</v>
      </c>
      <c r="E4" s="107" t="s">
        <v>6</v>
      </c>
      <c r="F4" s="107" t="s">
        <v>7</v>
      </c>
      <c r="G4" s="107" t="s">
        <v>8</v>
      </c>
      <c r="H4" s="104" t="s">
        <v>1003</v>
      </c>
      <c r="I4" s="108"/>
      <c r="J4" s="108"/>
      <c r="K4" s="108"/>
      <c r="L4" s="108"/>
      <c r="M4" s="108"/>
      <c r="N4" s="108"/>
    </row>
    <row r="5" spans="1:14" ht="14.1" customHeight="1" x14ac:dyDescent="0.2">
      <c r="A5" s="1"/>
      <c r="B5" s="1"/>
      <c r="C5" s="2" t="s">
        <v>9</v>
      </c>
      <c r="D5" s="1"/>
      <c r="E5" s="1"/>
      <c r="F5" s="1"/>
      <c r="G5" s="1"/>
      <c r="H5" s="105"/>
    </row>
    <row r="6" spans="1:14" ht="24" customHeight="1" x14ac:dyDescent="0.2">
      <c r="A6" s="1"/>
      <c r="B6" s="1"/>
      <c r="C6" s="2" t="s">
        <v>10</v>
      </c>
      <c r="D6" s="1"/>
      <c r="E6" s="1"/>
      <c r="F6" s="1"/>
      <c r="G6" s="1"/>
      <c r="H6" s="105"/>
    </row>
    <row r="7" spans="1:14" ht="17.100000000000001" customHeight="1" x14ac:dyDescent="0.2">
      <c r="A7" s="3">
        <v>1</v>
      </c>
      <c r="B7" s="4" t="s">
        <v>383</v>
      </c>
      <c r="C7" s="4" t="s">
        <v>384</v>
      </c>
      <c r="D7" s="4" t="s">
        <v>25</v>
      </c>
      <c r="E7" s="5">
        <v>399857</v>
      </c>
      <c r="F7" s="6">
        <v>275.70140149999997</v>
      </c>
      <c r="G7" s="7">
        <v>3.3426280000000003E-2</v>
      </c>
      <c r="H7" s="105"/>
    </row>
    <row r="8" spans="1:14" ht="17.100000000000001" customHeight="1" x14ac:dyDescent="0.2">
      <c r="A8" s="3">
        <v>2</v>
      </c>
      <c r="B8" s="4" t="s">
        <v>306</v>
      </c>
      <c r="C8" s="4" t="s">
        <v>307</v>
      </c>
      <c r="D8" s="4" t="s">
        <v>232</v>
      </c>
      <c r="E8" s="5">
        <v>10409</v>
      </c>
      <c r="F8" s="6">
        <v>152.2992835</v>
      </c>
      <c r="G8" s="7">
        <v>1.8464899999999999E-2</v>
      </c>
      <c r="H8" s="105"/>
    </row>
    <row r="9" spans="1:14" ht="17.100000000000001" customHeight="1" x14ac:dyDescent="0.2">
      <c r="A9" s="3">
        <v>3</v>
      </c>
      <c r="B9" s="4" t="s">
        <v>314</v>
      </c>
      <c r="C9" s="4" t="s">
        <v>315</v>
      </c>
      <c r="D9" s="4" t="s">
        <v>223</v>
      </c>
      <c r="E9" s="5">
        <v>12162</v>
      </c>
      <c r="F9" s="6">
        <v>145.439277</v>
      </c>
      <c r="G9" s="7">
        <v>1.763319E-2</v>
      </c>
      <c r="H9" s="105"/>
    </row>
    <row r="10" spans="1:14" ht="17.100000000000001" customHeight="1" x14ac:dyDescent="0.2">
      <c r="A10" s="3">
        <v>4</v>
      </c>
      <c r="B10" s="4" t="s">
        <v>31</v>
      </c>
      <c r="C10" s="4" t="s">
        <v>32</v>
      </c>
      <c r="D10" s="4" t="s">
        <v>33</v>
      </c>
      <c r="E10" s="5">
        <v>6154</v>
      </c>
      <c r="F10" s="6">
        <v>138.49884700000001</v>
      </c>
      <c r="G10" s="7">
        <v>1.679172E-2</v>
      </c>
      <c r="H10" s="105"/>
    </row>
    <row r="11" spans="1:14" ht="17.100000000000001" customHeight="1" x14ac:dyDescent="0.2">
      <c r="A11" s="3">
        <v>5</v>
      </c>
      <c r="B11" s="4" t="s">
        <v>380</v>
      </c>
      <c r="C11" s="4" t="s">
        <v>381</v>
      </c>
      <c r="D11" s="4" t="s">
        <v>954</v>
      </c>
      <c r="E11" s="5">
        <v>13510</v>
      </c>
      <c r="F11" s="6">
        <v>125.865915</v>
      </c>
      <c r="G11" s="7">
        <v>1.52601E-2</v>
      </c>
      <c r="H11" s="105"/>
    </row>
    <row r="12" spans="1:14" ht="17.100000000000001" customHeight="1" x14ac:dyDescent="0.2">
      <c r="A12" s="3">
        <v>6</v>
      </c>
      <c r="B12" s="4" t="s">
        <v>327</v>
      </c>
      <c r="C12" s="4" t="s">
        <v>328</v>
      </c>
      <c r="D12" s="4" t="s">
        <v>329</v>
      </c>
      <c r="E12" s="5">
        <v>10225</v>
      </c>
      <c r="F12" s="6">
        <v>125.77261249999999</v>
      </c>
      <c r="G12" s="7">
        <v>1.524878E-2</v>
      </c>
      <c r="H12" s="105"/>
    </row>
    <row r="13" spans="1:14" ht="17.100000000000001" customHeight="1" x14ac:dyDescent="0.2">
      <c r="A13" s="3">
        <v>7</v>
      </c>
      <c r="B13" s="4" t="s">
        <v>37</v>
      </c>
      <c r="C13" s="4" t="s">
        <v>38</v>
      </c>
      <c r="D13" s="4" t="s">
        <v>33</v>
      </c>
      <c r="E13" s="5">
        <v>6501</v>
      </c>
      <c r="F13" s="6">
        <v>123.54500400000001</v>
      </c>
      <c r="G13" s="7">
        <v>1.4978709999999999E-2</v>
      </c>
      <c r="H13" s="105"/>
      <c r="J13" s="161" t="s">
        <v>1052</v>
      </c>
    </row>
    <row r="14" spans="1:14" ht="17.100000000000001" customHeight="1" x14ac:dyDescent="0.2">
      <c r="A14" s="3">
        <v>8</v>
      </c>
      <c r="B14" s="4" t="s">
        <v>119</v>
      </c>
      <c r="C14" s="4" t="s">
        <v>120</v>
      </c>
      <c r="D14" s="4" t="s">
        <v>121</v>
      </c>
      <c r="E14" s="5">
        <v>30000</v>
      </c>
      <c r="F14" s="6">
        <v>89.49</v>
      </c>
      <c r="G14" s="7">
        <v>1.0849849999999999E-2</v>
      </c>
      <c r="H14" s="105"/>
    </row>
    <row r="15" spans="1:14" ht="17.100000000000001" customHeight="1" x14ac:dyDescent="0.2">
      <c r="A15" s="3">
        <v>9</v>
      </c>
      <c r="B15" s="4" t="s">
        <v>378</v>
      </c>
      <c r="C15" s="4" t="s">
        <v>379</v>
      </c>
      <c r="D15" s="4" t="s">
        <v>128</v>
      </c>
      <c r="E15" s="5">
        <v>12330</v>
      </c>
      <c r="F15" s="6">
        <v>87.845084999999997</v>
      </c>
      <c r="G15" s="7">
        <v>1.0650420000000001E-2</v>
      </c>
      <c r="H15" s="105"/>
    </row>
    <row r="16" spans="1:14" ht="17.100000000000001" customHeight="1" x14ac:dyDescent="0.2">
      <c r="A16" s="3">
        <v>10</v>
      </c>
      <c r="B16" s="4" t="s">
        <v>385</v>
      </c>
      <c r="C16" s="4" t="s">
        <v>386</v>
      </c>
      <c r="D16" s="4" t="s">
        <v>128</v>
      </c>
      <c r="E16" s="5">
        <v>13685</v>
      </c>
      <c r="F16" s="6">
        <v>84.395394999999994</v>
      </c>
      <c r="G16" s="7">
        <v>1.0232170000000001E-2</v>
      </c>
      <c r="H16" s="105"/>
    </row>
    <row r="17" spans="1:8" ht="29.1" customHeight="1" x14ac:dyDescent="0.2">
      <c r="A17" s="3">
        <v>11</v>
      </c>
      <c r="B17" s="4" t="s">
        <v>387</v>
      </c>
      <c r="C17" s="4" t="s">
        <v>388</v>
      </c>
      <c r="D17" s="4" t="s">
        <v>212</v>
      </c>
      <c r="E17" s="5">
        <v>25867</v>
      </c>
      <c r="F17" s="6">
        <v>83.666811499999994</v>
      </c>
      <c r="G17" s="7">
        <v>1.0143839999999999E-2</v>
      </c>
      <c r="H17" s="105"/>
    </row>
    <row r="18" spans="1:8" ht="17.100000000000001" customHeight="1" x14ac:dyDescent="0.2">
      <c r="A18" s="3">
        <v>12</v>
      </c>
      <c r="B18" s="4" t="s">
        <v>389</v>
      </c>
      <c r="C18" s="4" t="s">
        <v>390</v>
      </c>
      <c r="D18" s="4" t="s">
        <v>91</v>
      </c>
      <c r="E18" s="5">
        <v>5777</v>
      </c>
      <c r="F18" s="6">
        <v>83.518089000000003</v>
      </c>
      <c r="G18" s="7">
        <v>1.0125810000000001E-2</v>
      </c>
      <c r="H18" s="105"/>
    </row>
    <row r="19" spans="1:8" ht="17.100000000000001" customHeight="1" x14ac:dyDescent="0.2">
      <c r="A19" s="3">
        <v>13</v>
      </c>
      <c r="B19" s="4" t="s">
        <v>293</v>
      </c>
      <c r="C19" s="4" t="s">
        <v>294</v>
      </c>
      <c r="D19" s="4" t="s">
        <v>19</v>
      </c>
      <c r="E19" s="5">
        <v>32541</v>
      </c>
      <c r="F19" s="6">
        <v>81.759262500000006</v>
      </c>
      <c r="G19" s="7">
        <v>9.9125700000000008E-3</v>
      </c>
      <c r="H19" s="105"/>
    </row>
    <row r="20" spans="1:8" ht="17.100000000000001" customHeight="1" x14ac:dyDescent="0.2">
      <c r="A20" s="3">
        <v>14</v>
      </c>
      <c r="B20" s="4" t="s">
        <v>241</v>
      </c>
      <c r="C20" s="4" t="s">
        <v>242</v>
      </c>
      <c r="D20" s="4" t="s">
        <v>81</v>
      </c>
      <c r="E20" s="5">
        <v>2040</v>
      </c>
      <c r="F20" s="6">
        <v>81.599999999999994</v>
      </c>
      <c r="G20" s="7">
        <v>9.8932599999999992E-3</v>
      </c>
      <c r="H20" s="105"/>
    </row>
    <row r="21" spans="1:8" ht="29.1" customHeight="1" x14ac:dyDescent="0.2">
      <c r="A21" s="3">
        <v>15</v>
      </c>
      <c r="B21" s="4" t="s">
        <v>249</v>
      </c>
      <c r="C21" s="4" t="s">
        <v>250</v>
      </c>
      <c r="D21" s="4" t="s">
        <v>121</v>
      </c>
      <c r="E21" s="5">
        <v>31895</v>
      </c>
      <c r="F21" s="6">
        <v>81.300354999999996</v>
      </c>
      <c r="G21" s="7">
        <v>9.8569299999999999E-3</v>
      </c>
      <c r="H21" s="105"/>
    </row>
    <row r="22" spans="1:8" ht="29.1" customHeight="1" x14ac:dyDescent="0.2">
      <c r="A22" s="3">
        <v>16</v>
      </c>
      <c r="B22" s="4" t="s">
        <v>391</v>
      </c>
      <c r="C22" s="4" t="s">
        <v>392</v>
      </c>
      <c r="D22" s="4" t="s">
        <v>190</v>
      </c>
      <c r="E22" s="5">
        <v>14150</v>
      </c>
      <c r="F22" s="6">
        <v>71.117900000000006</v>
      </c>
      <c r="G22" s="7">
        <v>8.6224000000000006E-3</v>
      </c>
      <c r="H22" s="105"/>
    </row>
    <row r="23" spans="1:8" ht="17.100000000000001" customHeight="1" x14ac:dyDescent="0.2">
      <c r="A23" s="3">
        <v>17</v>
      </c>
      <c r="B23" s="4" t="s">
        <v>393</v>
      </c>
      <c r="C23" s="4" t="s">
        <v>394</v>
      </c>
      <c r="D23" s="4" t="s">
        <v>128</v>
      </c>
      <c r="E23" s="5">
        <v>7194</v>
      </c>
      <c r="F23" s="6">
        <v>69.371741999999998</v>
      </c>
      <c r="G23" s="7">
        <v>8.4106900000000002E-3</v>
      </c>
      <c r="H23" s="105"/>
    </row>
    <row r="24" spans="1:8" ht="29.1" customHeight="1" x14ac:dyDescent="0.2">
      <c r="A24" s="3">
        <v>18</v>
      </c>
      <c r="B24" s="4" t="s">
        <v>395</v>
      </c>
      <c r="C24" s="4" t="s">
        <v>396</v>
      </c>
      <c r="D24" s="4" t="s">
        <v>397</v>
      </c>
      <c r="E24" s="5">
        <v>59314</v>
      </c>
      <c r="F24" s="6">
        <v>68.240757000000002</v>
      </c>
      <c r="G24" s="7">
        <v>8.2735699999999992E-3</v>
      </c>
      <c r="H24" s="105"/>
    </row>
    <row r="25" spans="1:8" ht="17.100000000000001" customHeight="1" x14ac:dyDescent="0.2">
      <c r="A25" s="3">
        <v>19</v>
      </c>
      <c r="B25" s="4" t="s">
        <v>398</v>
      </c>
      <c r="C25" s="4" t="s">
        <v>399</v>
      </c>
      <c r="D25" s="4" t="s">
        <v>59</v>
      </c>
      <c r="E25" s="5">
        <v>10066</v>
      </c>
      <c r="F25" s="6">
        <v>63.803341000000003</v>
      </c>
      <c r="G25" s="7">
        <v>7.7355699999999998E-3</v>
      </c>
      <c r="H25" s="105"/>
    </row>
    <row r="26" spans="1:8" ht="17.100000000000001" customHeight="1" x14ac:dyDescent="0.2">
      <c r="A26" s="3">
        <v>20</v>
      </c>
      <c r="B26" s="4" t="s">
        <v>29</v>
      </c>
      <c r="C26" s="4" t="s">
        <v>30</v>
      </c>
      <c r="D26" s="4" t="s">
        <v>25</v>
      </c>
      <c r="E26" s="5">
        <v>10139</v>
      </c>
      <c r="F26" s="6">
        <v>58.633837</v>
      </c>
      <c r="G26" s="7">
        <v>7.1088200000000001E-3</v>
      </c>
      <c r="H26" s="105"/>
    </row>
    <row r="27" spans="1:8" ht="17.100000000000001" customHeight="1" x14ac:dyDescent="0.2">
      <c r="A27" s="3">
        <v>21</v>
      </c>
      <c r="B27" s="4" t="s">
        <v>191</v>
      </c>
      <c r="C27" s="4" t="s">
        <v>192</v>
      </c>
      <c r="D27" s="4" t="s">
        <v>953</v>
      </c>
      <c r="E27" s="5">
        <v>1221</v>
      </c>
      <c r="F27" s="6">
        <v>57.841822499999999</v>
      </c>
      <c r="G27" s="7">
        <v>7.0127899999999996E-3</v>
      </c>
      <c r="H27" s="105"/>
    </row>
    <row r="28" spans="1:8" ht="17.100000000000001" customHeight="1" x14ac:dyDescent="0.2">
      <c r="A28" s="3">
        <v>22</v>
      </c>
      <c r="B28" s="4" t="s">
        <v>44</v>
      </c>
      <c r="C28" s="4" t="s">
        <v>45</v>
      </c>
      <c r="D28" s="4" t="s">
        <v>33</v>
      </c>
      <c r="E28" s="5">
        <v>1587</v>
      </c>
      <c r="F28" s="6">
        <v>55.101433499999999</v>
      </c>
      <c r="G28" s="7">
        <v>6.6805500000000004E-3</v>
      </c>
      <c r="H28" s="105"/>
    </row>
    <row r="29" spans="1:8" ht="17.100000000000001" customHeight="1" x14ac:dyDescent="0.2">
      <c r="A29" s="3">
        <v>23</v>
      </c>
      <c r="B29" s="4" t="s">
        <v>400</v>
      </c>
      <c r="C29" s="4" t="s">
        <v>401</v>
      </c>
      <c r="D29" s="4" t="s">
        <v>13</v>
      </c>
      <c r="E29" s="5">
        <v>47942</v>
      </c>
      <c r="F29" s="6">
        <v>42.117046999999999</v>
      </c>
      <c r="G29" s="7">
        <v>5.1063100000000002E-3</v>
      </c>
      <c r="H29" s="105"/>
    </row>
    <row r="30" spans="1:8" ht="17.100000000000001" customHeight="1" x14ac:dyDescent="0.2">
      <c r="A30" s="3">
        <v>24</v>
      </c>
      <c r="B30" s="4" t="s">
        <v>402</v>
      </c>
      <c r="C30" s="4" t="s">
        <v>403</v>
      </c>
      <c r="D30" s="4" t="s">
        <v>207</v>
      </c>
      <c r="E30" s="5">
        <v>5369</v>
      </c>
      <c r="F30" s="6">
        <v>41.770820000000001</v>
      </c>
      <c r="G30" s="7">
        <v>5.0643299999999997E-3</v>
      </c>
      <c r="H30" s="105"/>
    </row>
    <row r="31" spans="1:8" ht="29.1" customHeight="1" x14ac:dyDescent="0.2">
      <c r="A31" s="3">
        <v>25</v>
      </c>
      <c r="B31" s="4" t="s">
        <v>404</v>
      </c>
      <c r="C31" s="4" t="s">
        <v>405</v>
      </c>
      <c r="D31" s="4" t="s">
        <v>406</v>
      </c>
      <c r="E31" s="5">
        <v>10723</v>
      </c>
      <c r="F31" s="6">
        <v>41.246019500000003</v>
      </c>
      <c r="G31" s="7">
        <v>5.0007000000000003E-3</v>
      </c>
      <c r="H31" s="105"/>
    </row>
    <row r="32" spans="1:8" ht="17.100000000000001" customHeight="1" x14ac:dyDescent="0.2">
      <c r="A32" s="3">
        <v>26</v>
      </c>
      <c r="B32" s="4" t="s">
        <v>235</v>
      </c>
      <c r="C32" s="4" t="s">
        <v>236</v>
      </c>
      <c r="D32" s="4" t="s">
        <v>128</v>
      </c>
      <c r="E32" s="5">
        <v>6594</v>
      </c>
      <c r="F32" s="6">
        <v>40.025579999999998</v>
      </c>
      <c r="G32" s="7">
        <v>4.8527400000000004E-3</v>
      </c>
      <c r="H32" s="105"/>
    </row>
    <row r="33" spans="1:8" ht="29.1" customHeight="1" x14ac:dyDescent="0.2">
      <c r="A33" s="3">
        <v>27</v>
      </c>
      <c r="B33" s="4" t="s">
        <v>407</v>
      </c>
      <c r="C33" s="4" t="s">
        <v>408</v>
      </c>
      <c r="D33" s="4" t="s">
        <v>212</v>
      </c>
      <c r="E33" s="5">
        <v>792</v>
      </c>
      <c r="F33" s="6">
        <v>36.897696000000003</v>
      </c>
      <c r="G33" s="7">
        <v>4.47351E-3</v>
      </c>
      <c r="H33" s="105"/>
    </row>
    <row r="34" spans="1:8" ht="29.1" customHeight="1" x14ac:dyDescent="0.2">
      <c r="A34" s="3">
        <v>28</v>
      </c>
      <c r="B34" s="4" t="s">
        <v>409</v>
      </c>
      <c r="C34" s="4" t="s">
        <v>410</v>
      </c>
      <c r="D34" s="4" t="s">
        <v>212</v>
      </c>
      <c r="E34" s="5">
        <v>12902</v>
      </c>
      <c r="F34" s="6">
        <v>32.783982000000002</v>
      </c>
      <c r="G34" s="7">
        <v>3.9747599999999999E-3</v>
      </c>
      <c r="H34" s="105"/>
    </row>
    <row r="35" spans="1:8" ht="17.100000000000001" customHeight="1" x14ac:dyDescent="0.2">
      <c r="A35" s="3">
        <v>29</v>
      </c>
      <c r="B35" s="4" t="s">
        <v>411</v>
      </c>
      <c r="C35" s="4" t="s">
        <v>412</v>
      </c>
      <c r="D35" s="4" t="s">
        <v>81</v>
      </c>
      <c r="E35" s="5">
        <v>3888</v>
      </c>
      <c r="F35" s="6">
        <v>32.118768000000003</v>
      </c>
      <c r="G35" s="7">
        <v>3.8941100000000001E-3</v>
      </c>
      <c r="H35" s="105"/>
    </row>
    <row r="36" spans="1:8" ht="17.100000000000001" customHeight="1" x14ac:dyDescent="0.2">
      <c r="A36" s="3">
        <v>30</v>
      </c>
      <c r="B36" s="4" t="s">
        <v>413</v>
      </c>
      <c r="C36" s="4" t="s">
        <v>414</v>
      </c>
      <c r="D36" s="4" t="s">
        <v>128</v>
      </c>
      <c r="E36" s="5">
        <v>28549</v>
      </c>
      <c r="F36" s="6">
        <v>25.066022</v>
      </c>
      <c r="G36" s="7">
        <v>3.0390299999999999E-3</v>
      </c>
      <c r="H36" s="105"/>
    </row>
    <row r="37" spans="1:8" ht="29.1" customHeight="1" x14ac:dyDescent="0.2">
      <c r="A37" s="3">
        <v>31</v>
      </c>
      <c r="B37" s="4" t="s">
        <v>73</v>
      </c>
      <c r="C37" s="4" t="s">
        <v>74</v>
      </c>
      <c r="D37" s="4" t="s">
        <v>22</v>
      </c>
      <c r="E37" s="5">
        <v>820</v>
      </c>
      <c r="F37" s="6">
        <v>24.545059999999999</v>
      </c>
      <c r="G37" s="7">
        <v>2.9758699999999998E-3</v>
      </c>
      <c r="H37" s="105"/>
    </row>
    <row r="38" spans="1:8" ht="17.100000000000001" customHeight="1" x14ac:dyDescent="0.2">
      <c r="A38" s="3">
        <v>32</v>
      </c>
      <c r="B38" s="4" t="s">
        <v>415</v>
      </c>
      <c r="C38" s="4" t="s">
        <v>416</v>
      </c>
      <c r="D38" s="4" t="s">
        <v>223</v>
      </c>
      <c r="E38" s="5">
        <v>2764</v>
      </c>
      <c r="F38" s="6">
        <v>21.12387</v>
      </c>
      <c r="G38" s="7">
        <v>2.5610799999999999E-3</v>
      </c>
      <c r="H38" s="105"/>
    </row>
    <row r="39" spans="1:8" ht="14.1" customHeight="1" x14ac:dyDescent="0.2">
      <c r="A39" s="1"/>
      <c r="B39" s="1"/>
      <c r="C39" s="2" t="s">
        <v>132</v>
      </c>
      <c r="D39" s="1"/>
      <c r="E39" s="1" t="s">
        <v>133</v>
      </c>
      <c r="F39" s="9">
        <v>2542.5030360000001</v>
      </c>
      <c r="G39" s="10">
        <v>0.30825535999999998</v>
      </c>
      <c r="H39" s="105"/>
    </row>
    <row r="40" spans="1:8" ht="14.1" customHeight="1" x14ac:dyDescent="0.2">
      <c r="A40" s="1"/>
      <c r="B40" s="1"/>
      <c r="C40" s="11"/>
      <c r="D40" s="1"/>
      <c r="E40" s="1"/>
      <c r="F40" s="12"/>
      <c r="G40" s="12"/>
      <c r="H40" s="105"/>
    </row>
    <row r="41" spans="1:8" ht="14.1" customHeight="1" x14ac:dyDescent="0.2">
      <c r="A41" s="1"/>
      <c r="B41" s="1"/>
      <c r="C41" s="2" t="s">
        <v>134</v>
      </c>
      <c r="D41" s="1"/>
      <c r="E41" s="1"/>
      <c r="F41" s="1"/>
      <c r="G41" s="1"/>
      <c r="H41" s="105"/>
    </row>
    <row r="42" spans="1:8" ht="14.1" customHeight="1" x14ac:dyDescent="0.2">
      <c r="A42" s="1"/>
      <c r="B42" s="1"/>
      <c r="C42" s="2" t="s">
        <v>132</v>
      </c>
      <c r="D42" s="1"/>
      <c r="E42" s="1" t="s">
        <v>133</v>
      </c>
      <c r="F42" s="13" t="s">
        <v>135</v>
      </c>
      <c r="G42" s="10">
        <v>0</v>
      </c>
      <c r="H42" s="105"/>
    </row>
    <row r="43" spans="1:8" ht="14.1" customHeight="1" x14ac:dyDescent="0.2">
      <c r="A43" s="1"/>
      <c r="B43" s="1"/>
      <c r="C43" s="11"/>
      <c r="D43" s="1"/>
      <c r="E43" s="1"/>
      <c r="F43" s="12"/>
      <c r="G43" s="12"/>
      <c r="H43" s="105"/>
    </row>
    <row r="44" spans="1:8" ht="14.1" customHeight="1" x14ac:dyDescent="0.2">
      <c r="A44" s="1"/>
      <c r="B44" s="1"/>
      <c r="C44" s="2" t="s">
        <v>136</v>
      </c>
      <c r="D44" s="1"/>
      <c r="E44" s="1"/>
      <c r="F44" s="1"/>
      <c r="G44" s="1"/>
      <c r="H44" s="105"/>
    </row>
    <row r="45" spans="1:8" ht="14.1" customHeight="1" x14ac:dyDescent="0.2">
      <c r="A45" s="1"/>
      <c r="B45" s="1"/>
      <c r="C45" s="2" t="s">
        <v>132</v>
      </c>
      <c r="D45" s="1"/>
      <c r="E45" s="1" t="s">
        <v>133</v>
      </c>
      <c r="F45" s="13" t="s">
        <v>135</v>
      </c>
      <c r="G45" s="10">
        <v>0</v>
      </c>
      <c r="H45" s="105"/>
    </row>
    <row r="46" spans="1:8" ht="14.1" customHeight="1" x14ac:dyDescent="0.2">
      <c r="A46" s="1"/>
      <c r="B46" s="1"/>
      <c r="C46" s="11"/>
      <c r="D46" s="1"/>
      <c r="E46" s="1"/>
      <c r="F46" s="12"/>
      <c r="G46" s="12"/>
      <c r="H46" s="105"/>
    </row>
    <row r="47" spans="1:8" ht="14.1" customHeight="1" x14ac:dyDescent="0.2">
      <c r="A47" s="1"/>
      <c r="B47" s="1"/>
      <c r="C47" s="2" t="s">
        <v>137</v>
      </c>
      <c r="D47" s="1"/>
      <c r="E47" s="1"/>
      <c r="F47" s="1"/>
      <c r="G47" s="1"/>
      <c r="H47" s="105"/>
    </row>
    <row r="48" spans="1:8" ht="25.5" customHeight="1" x14ac:dyDescent="0.2">
      <c r="A48" s="3">
        <v>1</v>
      </c>
      <c r="B48" s="40" t="s">
        <v>923</v>
      </c>
      <c r="C48" s="40" t="s">
        <v>924</v>
      </c>
      <c r="D48" s="4" t="s">
        <v>81</v>
      </c>
      <c r="E48" s="5">
        <v>236640</v>
      </c>
      <c r="F48" s="6">
        <v>23.920044480000001</v>
      </c>
      <c r="G48" s="7">
        <v>2.9000900000000001E-3</v>
      </c>
      <c r="H48" s="105"/>
    </row>
    <row r="49" spans="1:8" ht="14.1" customHeight="1" x14ac:dyDescent="0.2">
      <c r="A49" s="1"/>
      <c r="B49" s="1"/>
      <c r="C49" s="2" t="s">
        <v>132</v>
      </c>
      <c r="D49" s="1"/>
      <c r="E49" s="1" t="s">
        <v>133</v>
      </c>
      <c r="F49" s="9">
        <v>23.920044480000001</v>
      </c>
      <c r="G49" s="10">
        <v>2.9000900000000001E-3</v>
      </c>
      <c r="H49" s="105"/>
    </row>
    <row r="50" spans="1:8" ht="14.1" customHeight="1" x14ac:dyDescent="0.2">
      <c r="A50" s="1"/>
      <c r="B50" s="1"/>
      <c r="C50" s="11"/>
      <c r="D50" s="1"/>
      <c r="E50" s="1"/>
      <c r="F50" s="12"/>
      <c r="G50" s="12"/>
      <c r="H50" s="105"/>
    </row>
    <row r="51" spans="1:8" ht="14.1" customHeight="1" x14ac:dyDescent="0.2">
      <c r="A51" s="1"/>
      <c r="B51" s="1"/>
      <c r="C51" s="2" t="s">
        <v>138</v>
      </c>
      <c r="D51" s="1"/>
      <c r="E51" s="1"/>
      <c r="F51" s="12"/>
      <c r="G51" s="12"/>
      <c r="H51" s="105"/>
    </row>
    <row r="52" spans="1:8" ht="14.1" customHeight="1" x14ac:dyDescent="0.2">
      <c r="A52" s="1"/>
      <c r="B52" s="1"/>
      <c r="C52" s="2" t="s">
        <v>132</v>
      </c>
      <c r="D52" s="1"/>
      <c r="E52" s="1" t="s">
        <v>133</v>
      </c>
      <c r="F52" s="13" t="s">
        <v>135</v>
      </c>
      <c r="G52" s="10">
        <v>0</v>
      </c>
      <c r="H52" s="105"/>
    </row>
    <row r="53" spans="1:8" ht="14.1" customHeight="1" x14ac:dyDescent="0.2">
      <c r="A53" s="1"/>
      <c r="B53" s="1"/>
      <c r="C53" s="11"/>
      <c r="D53" s="1"/>
      <c r="E53" s="1"/>
      <c r="F53" s="12"/>
      <c r="G53" s="12"/>
      <c r="H53" s="105"/>
    </row>
    <row r="54" spans="1:8" ht="14.1" customHeight="1" x14ac:dyDescent="0.2">
      <c r="A54" s="1"/>
      <c r="B54" s="1"/>
      <c r="C54" s="2" t="s">
        <v>139</v>
      </c>
      <c r="D54" s="1"/>
      <c r="E54" s="1"/>
      <c r="F54" s="12"/>
      <c r="G54" s="12"/>
      <c r="H54" s="105"/>
    </row>
    <row r="55" spans="1:8" ht="14.1" customHeight="1" x14ac:dyDescent="0.2">
      <c r="A55" s="1"/>
      <c r="B55" s="1"/>
      <c r="C55" s="2" t="s">
        <v>132</v>
      </c>
      <c r="D55" s="1"/>
      <c r="E55" s="1" t="s">
        <v>133</v>
      </c>
      <c r="F55" s="13" t="s">
        <v>135</v>
      </c>
      <c r="G55" s="10">
        <v>0</v>
      </c>
      <c r="H55" s="105"/>
    </row>
    <row r="56" spans="1:8" ht="14.1" customHeight="1" x14ac:dyDescent="0.2">
      <c r="A56" s="1"/>
      <c r="B56" s="1"/>
      <c r="C56" s="11"/>
      <c r="D56" s="1"/>
      <c r="E56" s="1"/>
      <c r="F56" s="12"/>
      <c r="G56" s="12"/>
      <c r="H56" s="105"/>
    </row>
    <row r="57" spans="1:8" ht="18" customHeight="1" x14ac:dyDescent="0.2">
      <c r="A57" s="1"/>
      <c r="B57" s="1"/>
      <c r="C57" s="2" t="s">
        <v>140</v>
      </c>
      <c r="D57" s="1"/>
      <c r="E57" s="1"/>
      <c r="F57" s="9">
        <v>2566.42308048</v>
      </c>
      <c r="G57" s="10">
        <v>0.31115545</v>
      </c>
      <c r="H57" s="105"/>
    </row>
    <row r="58" spans="1:8" ht="14.1" customHeight="1" x14ac:dyDescent="0.2">
      <c r="A58" s="1"/>
      <c r="B58" s="1"/>
      <c r="C58" s="11"/>
      <c r="D58" s="1"/>
      <c r="E58" s="1"/>
      <c r="F58" s="12"/>
      <c r="G58" s="12"/>
      <c r="H58" s="105"/>
    </row>
    <row r="59" spans="1:8" ht="14.1" customHeight="1" x14ac:dyDescent="0.2">
      <c r="A59" s="1"/>
      <c r="B59" s="1"/>
      <c r="C59" s="2" t="s">
        <v>141</v>
      </c>
      <c r="D59" s="1"/>
      <c r="E59" s="1"/>
      <c r="F59" s="12"/>
      <c r="G59" s="12"/>
      <c r="H59" s="105"/>
    </row>
    <row r="60" spans="1:8" ht="24" customHeight="1" x14ac:dyDescent="0.2">
      <c r="A60" s="1"/>
      <c r="B60" s="1"/>
      <c r="C60" s="2" t="s">
        <v>10</v>
      </c>
      <c r="D60" s="1"/>
      <c r="E60" s="1"/>
      <c r="F60" s="12"/>
      <c r="G60" s="12"/>
      <c r="H60" s="105"/>
    </row>
    <row r="61" spans="1:8" ht="14.1" customHeight="1" x14ac:dyDescent="0.2">
      <c r="A61" s="1"/>
      <c r="B61" s="1"/>
      <c r="C61" s="2" t="s">
        <v>132</v>
      </c>
      <c r="D61" s="1"/>
      <c r="E61" s="1" t="s">
        <v>133</v>
      </c>
      <c r="F61" s="13" t="s">
        <v>135</v>
      </c>
      <c r="G61" s="10">
        <v>0</v>
      </c>
      <c r="H61" s="105"/>
    </row>
    <row r="62" spans="1:8" ht="14.1" customHeight="1" x14ac:dyDescent="0.2">
      <c r="A62" s="1"/>
      <c r="B62" s="1"/>
      <c r="C62" s="11"/>
      <c r="D62" s="1"/>
      <c r="E62" s="1"/>
      <c r="F62" s="12"/>
      <c r="G62" s="12"/>
      <c r="H62" s="105"/>
    </row>
    <row r="63" spans="1:8" ht="14.1" customHeight="1" x14ac:dyDescent="0.2">
      <c r="A63" s="1"/>
      <c r="B63" s="1"/>
      <c r="C63" s="2" t="s">
        <v>142</v>
      </c>
      <c r="D63" s="1"/>
      <c r="E63" s="1"/>
      <c r="F63" s="1"/>
      <c r="G63" s="1"/>
      <c r="H63" s="105"/>
    </row>
    <row r="64" spans="1:8" ht="14.1" customHeight="1" x14ac:dyDescent="0.2">
      <c r="A64" s="1"/>
      <c r="B64" s="1"/>
      <c r="C64" s="2" t="s">
        <v>132</v>
      </c>
      <c r="D64" s="1"/>
      <c r="E64" s="1" t="s">
        <v>133</v>
      </c>
      <c r="F64" s="13" t="s">
        <v>135</v>
      </c>
      <c r="G64" s="10">
        <v>0</v>
      </c>
      <c r="H64" s="105"/>
    </row>
    <row r="65" spans="1:8" ht="14.1" customHeight="1" x14ac:dyDescent="0.2">
      <c r="A65" s="1"/>
      <c r="B65" s="1"/>
      <c r="C65" s="11"/>
      <c r="D65" s="1"/>
      <c r="E65" s="1"/>
      <c r="F65" s="12"/>
      <c r="G65" s="12"/>
      <c r="H65" s="105"/>
    </row>
    <row r="66" spans="1:8" ht="14.1" customHeight="1" x14ac:dyDescent="0.2">
      <c r="A66" s="1"/>
      <c r="B66" s="1"/>
      <c r="C66" s="2" t="s">
        <v>143</v>
      </c>
      <c r="D66" s="1"/>
      <c r="E66" s="1"/>
      <c r="F66" s="1"/>
      <c r="G66" s="1"/>
      <c r="H66" s="105"/>
    </row>
    <row r="67" spans="1:8" ht="14.1" customHeight="1" x14ac:dyDescent="0.2">
      <c r="A67" s="1"/>
      <c r="B67" s="1"/>
      <c r="C67" s="2" t="s">
        <v>132</v>
      </c>
      <c r="D67" s="1"/>
      <c r="E67" s="1" t="s">
        <v>133</v>
      </c>
      <c r="F67" s="13" t="s">
        <v>135</v>
      </c>
      <c r="G67" s="10">
        <v>0</v>
      </c>
      <c r="H67" s="105"/>
    </row>
    <row r="68" spans="1:8" ht="14.1" customHeight="1" x14ac:dyDescent="0.2">
      <c r="A68" s="1"/>
      <c r="B68" s="1"/>
      <c r="C68" s="11"/>
      <c r="D68" s="1"/>
      <c r="E68" s="1"/>
      <c r="F68" s="12"/>
      <c r="G68" s="12"/>
      <c r="H68" s="105"/>
    </row>
    <row r="69" spans="1:8" ht="14.1" customHeight="1" x14ac:dyDescent="0.2">
      <c r="A69" s="1"/>
      <c r="B69" s="1"/>
      <c r="C69" s="2" t="s">
        <v>144</v>
      </c>
      <c r="D69" s="1"/>
      <c r="E69" s="1"/>
      <c r="F69" s="12"/>
      <c r="G69" s="12"/>
      <c r="H69" s="105"/>
    </row>
    <row r="70" spans="1:8" ht="14.1" customHeight="1" x14ac:dyDescent="0.2">
      <c r="A70" s="1"/>
      <c r="B70" s="1"/>
      <c r="C70" s="2" t="s">
        <v>132</v>
      </c>
      <c r="D70" s="1"/>
      <c r="E70" s="1" t="s">
        <v>133</v>
      </c>
      <c r="F70" s="13" t="s">
        <v>135</v>
      </c>
      <c r="G70" s="10">
        <v>0</v>
      </c>
      <c r="H70" s="105"/>
    </row>
    <row r="71" spans="1:8" ht="14.1" customHeight="1" x14ac:dyDescent="0.2">
      <c r="A71" s="1"/>
      <c r="B71" s="1"/>
      <c r="C71" s="11"/>
      <c r="D71" s="1"/>
      <c r="E71" s="1"/>
      <c r="F71" s="12"/>
      <c r="G71" s="12"/>
      <c r="H71" s="105"/>
    </row>
    <row r="72" spans="1:8" ht="14.1" customHeight="1" x14ac:dyDescent="0.2">
      <c r="A72" s="1"/>
      <c r="B72" s="1"/>
      <c r="C72" s="2" t="s">
        <v>145</v>
      </c>
      <c r="D72" s="1"/>
      <c r="E72" s="1"/>
      <c r="F72" s="9">
        <v>0</v>
      </c>
      <c r="G72" s="10">
        <v>0</v>
      </c>
      <c r="H72" s="105"/>
    </row>
    <row r="73" spans="1:8" ht="14.1" customHeight="1" x14ac:dyDescent="0.2">
      <c r="A73" s="1"/>
      <c r="B73" s="1"/>
      <c r="C73" s="11"/>
      <c r="D73" s="1"/>
      <c r="E73" s="1"/>
      <c r="F73" s="12"/>
      <c r="G73" s="12"/>
      <c r="H73" s="105"/>
    </row>
    <row r="74" spans="1:8" ht="14.1" customHeight="1" x14ac:dyDescent="0.2">
      <c r="A74" s="1"/>
      <c r="B74" s="1"/>
      <c r="C74" s="2" t="s">
        <v>146</v>
      </c>
      <c r="D74" s="1"/>
      <c r="E74" s="1"/>
      <c r="F74" s="12"/>
      <c r="G74" s="12"/>
      <c r="H74" s="105"/>
    </row>
    <row r="75" spans="1:8" ht="14.1" customHeight="1" x14ac:dyDescent="0.2">
      <c r="A75" s="1"/>
      <c r="B75" s="1"/>
      <c r="C75" s="2" t="s">
        <v>147</v>
      </c>
      <c r="D75" s="1"/>
      <c r="E75" s="1"/>
      <c r="F75" s="12"/>
      <c r="G75" s="12"/>
      <c r="H75" s="105"/>
    </row>
    <row r="76" spans="1:8" ht="14.1" customHeight="1" x14ac:dyDescent="0.2">
      <c r="A76" s="1"/>
      <c r="B76" s="1"/>
      <c r="C76" s="2" t="s">
        <v>132</v>
      </c>
      <c r="D76" s="1"/>
      <c r="E76" s="1" t="s">
        <v>133</v>
      </c>
      <c r="F76" s="13" t="s">
        <v>135</v>
      </c>
      <c r="G76" s="10">
        <v>0</v>
      </c>
      <c r="H76" s="105"/>
    </row>
    <row r="77" spans="1:8" ht="14.1" customHeight="1" x14ac:dyDescent="0.2">
      <c r="A77" s="1"/>
      <c r="B77" s="1"/>
      <c r="C77" s="11"/>
      <c r="D77" s="1"/>
      <c r="E77" s="1"/>
      <c r="F77" s="12"/>
      <c r="G77" s="12"/>
      <c r="H77" s="105"/>
    </row>
    <row r="78" spans="1:8" ht="14.1" customHeight="1" x14ac:dyDescent="0.2">
      <c r="A78" s="1"/>
      <c r="B78" s="1"/>
      <c r="C78" s="2" t="s">
        <v>148</v>
      </c>
      <c r="D78" s="1"/>
      <c r="E78" s="1"/>
      <c r="F78" s="12"/>
      <c r="G78" s="12"/>
      <c r="H78" s="105"/>
    </row>
    <row r="79" spans="1:8" ht="14.1" customHeight="1" x14ac:dyDescent="0.2">
      <c r="A79" s="1"/>
      <c r="B79" s="1"/>
      <c r="C79" s="2" t="s">
        <v>132</v>
      </c>
      <c r="D79" s="1"/>
      <c r="E79" s="1" t="s">
        <v>133</v>
      </c>
      <c r="F79" s="13" t="s">
        <v>135</v>
      </c>
      <c r="G79" s="10">
        <v>0</v>
      </c>
      <c r="H79" s="105"/>
    </row>
    <row r="80" spans="1:8" ht="14.1" customHeight="1" x14ac:dyDescent="0.2">
      <c r="A80" s="1"/>
      <c r="B80" s="1"/>
      <c r="C80" s="11"/>
      <c r="D80" s="1"/>
      <c r="E80" s="1"/>
      <c r="F80" s="12"/>
      <c r="G80" s="12"/>
      <c r="H80" s="105"/>
    </row>
    <row r="81" spans="1:8" ht="14.1" customHeight="1" x14ac:dyDescent="0.2">
      <c r="A81" s="1"/>
      <c r="B81" s="1"/>
      <c r="C81" s="2" t="s">
        <v>149</v>
      </c>
      <c r="D81" s="1"/>
      <c r="E81" s="1"/>
      <c r="F81" s="12"/>
      <c r="G81" s="12"/>
      <c r="H81" s="105"/>
    </row>
    <row r="82" spans="1:8" ht="14.1" customHeight="1" x14ac:dyDescent="0.2">
      <c r="A82" s="1"/>
      <c r="B82" s="1"/>
      <c r="C82" s="2" t="s">
        <v>132</v>
      </c>
      <c r="D82" s="1"/>
      <c r="E82" s="1" t="s">
        <v>133</v>
      </c>
      <c r="F82" s="13" t="s">
        <v>135</v>
      </c>
      <c r="G82" s="10">
        <v>0</v>
      </c>
      <c r="H82" s="105"/>
    </row>
    <row r="83" spans="1:8" ht="14.1" customHeight="1" x14ac:dyDescent="0.2">
      <c r="A83" s="1"/>
      <c r="B83" s="1"/>
      <c r="C83" s="11"/>
      <c r="D83" s="1"/>
      <c r="E83" s="1"/>
      <c r="F83" s="12"/>
      <c r="G83" s="12"/>
      <c r="H83" s="105"/>
    </row>
    <row r="84" spans="1:8" ht="14.1" customHeight="1" x14ac:dyDescent="0.2">
      <c r="A84" s="1"/>
      <c r="B84" s="1"/>
      <c r="C84" s="2" t="s">
        <v>150</v>
      </c>
      <c r="D84" s="1"/>
      <c r="E84" s="1"/>
      <c r="F84" s="12"/>
      <c r="G84" s="12"/>
      <c r="H84" s="105"/>
    </row>
    <row r="85" spans="1:8" ht="17.100000000000001" customHeight="1" x14ac:dyDescent="0.2">
      <c r="A85" s="3">
        <v>1</v>
      </c>
      <c r="B85" s="4"/>
      <c r="C85" s="4" t="s">
        <v>151</v>
      </c>
      <c r="D85" s="4"/>
      <c r="E85" s="8"/>
      <c r="F85" s="6">
        <v>4658.2452483999996</v>
      </c>
      <c r="G85" s="7">
        <v>0.56476981999999998</v>
      </c>
      <c r="H85" s="105">
        <v>6.8153352377542396</v>
      </c>
    </row>
    <row r="86" spans="1:8" ht="17.100000000000001" customHeight="1" x14ac:dyDescent="0.2">
      <c r="A86" s="3">
        <v>2</v>
      </c>
      <c r="B86" s="4"/>
      <c r="C86" s="4" t="s">
        <v>152</v>
      </c>
      <c r="D86" s="4"/>
      <c r="E86" s="8"/>
      <c r="F86" s="6">
        <v>552.77649449900002</v>
      </c>
      <c r="G86" s="7">
        <v>6.7019120000000001E-2</v>
      </c>
      <c r="H86" s="105">
        <v>6.7952403714590259</v>
      </c>
    </row>
    <row r="87" spans="1:8" ht="14.1" customHeight="1" x14ac:dyDescent="0.2">
      <c r="A87" s="1"/>
      <c r="B87" s="1"/>
      <c r="C87" s="2" t="s">
        <v>132</v>
      </c>
      <c r="D87" s="1"/>
      <c r="E87" s="1" t="s">
        <v>133</v>
      </c>
      <c r="F87" s="9">
        <v>5211.0217428989999</v>
      </c>
      <c r="G87" s="10">
        <v>0.63178893999999997</v>
      </c>
      <c r="H87" s="105"/>
    </row>
    <row r="88" spans="1:8" ht="14.1" customHeight="1" x14ac:dyDescent="0.2">
      <c r="A88" s="1"/>
      <c r="B88" s="1"/>
      <c r="C88" s="11"/>
      <c r="D88" s="1"/>
      <c r="E88" s="1"/>
      <c r="F88" s="12"/>
      <c r="G88" s="12"/>
      <c r="H88" s="105"/>
    </row>
    <row r="89" spans="1:8" ht="14.1" customHeight="1" x14ac:dyDescent="0.2">
      <c r="A89" s="1"/>
      <c r="B89" s="1"/>
      <c r="C89" s="2" t="s">
        <v>153</v>
      </c>
      <c r="D89" s="1"/>
      <c r="E89" s="1"/>
      <c r="F89" s="9">
        <v>5211.0217428989999</v>
      </c>
      <c r="G89" s="10">
        <v>0.63178893999999997</v>
      </c>
      <c r="H89" s="105"/>
    </row>
    <row r="90" spans="1:8" ht="14.1" customHeight="1" x14ac:dyDescent="0.2">
      <c r="A90" s="1"/>
      <c r="B90" s="1"/>
      <c r="C90" s="12"/>
      <c r="D90" s="1"/>
      <c r="E90" s="1"/>
      <c r="F90" s="1"/>
      <c r="G90" s="1"/>
      <c r="H90" s="105"/>
    </row>
    <row r="91" spans="1:8" ht="14.1" customHeight="1" x14ac:dyDescent="0.2">
      <c r="A91" s="1"/>
      <c r="B91" s="1"/>
      <c r="C91" s="2" t="s">
        <v>154</v>
      </c>
      <c r="D91" s="1"/>
      <c r="E91" s="1"/>
      <c r="F91" s="1"/>
      <c r="G91" s="1"/>
      <c r="H91" s="105"/>
    </row>
    <row r="92" spans="1:8" ht="14.1" customHeight="1" x14ac:dyDescent="0.2">
      <c r="A92" s="1"/>
      <c r="B92" s="1"/>
      <c r="C92" s="2" t="s">
        <v>155</v>
      </c>
      <c r="D92" s="1"/>
      <c r="E92" s="1"/>
      <c r="F92" s="1"/>
      <c r="G92" s="1"/>
      <c r="H92" s="105"/>
    </row>
    <row r="93" spans="1:8" ht="14.1" customHeight="1" x14ac:dyDescent="0.2">
      <c r="A93" s="1"/>
      <c r="B93" s="1"/>
      <c r="C93" s="2" t="s">
        <v>132</v>
      </c>
      <c r="D93" s="1"/>
      <c r="E93" s="1" t="s">
        <v>133</v>
      </c>
      <c r="F93" s="13" t="s">
        <v>135</v>
      </c>
      <c r="G93" s="10">
        <v>0</v>
      </c>
      <c r="H93" s="105"/>
    </row>
    <row r="94" spans="1:8" ht="14.1" customHeight="1" x14ac:dyDescent="0.2">
      <c r="A94" s="1"/>
      <c r="B94" s="1"/>
      <c r="C94" s="11"/>
      <c r="D94" s="1"/>
      <c r="E94" s="1"/>
      <c r="F94" s="12"/>
      <c r="G94" s="12"/>
      <c r="H94" s="105"/>
    </row>
    <row r="95" spans="1:8" ht="14.1" customHeight="1" x14ac:dyDescent="0.2">
      <c r="A95" s="1"/>
      <c r="B95" s="1"/>
      <c r="C95" s="2" t="s">
        <v>156</v>
      </c>
      <c r="D95" s="1"/>
      <c r="E95" s="1"/>
      <c r="F95" s="1"/>
      <c r="G95" s="1"/>
      <c r="H95" s="105"/>
    </row>
    <row r="96" spans="1:8" ht="14.1" customHeight="1" x14ac:dyDescent="0.2">
      <c r="A96" s="1"/>
      <c r="B96" s="1"/>
      <c r="C96" s="2" t="s">
        <v>157</v>
      </c>
      <c r="D96" s="1"/>
      <c r="E96" s="1"/>
      <c r="F96" s="1"/>
      <c r="G96" s="1"/>
      <c r="H96" s="105"/>
    </row>
    <row r="97" spans="1:8" ht="14.1" customHeight="1" x14ac:dyDescent="0.2">
      <c r="A97" s="1"/>
      <c r="B97" s="1"/>
      <c r="C97" s="2" t="s">
        <v>132</v>
      </c>
      <c r="D97" s="1"/>
      <c r="E97" s="1" t="s">
        <v>133</v>
      </c>
      <c r="F97" s="13" t="s">
        <v>135</v>
      </c>
      <c r="G97" s="10">
        <v>0</v>
      </c>
      <c r="H97" s="105"/>
    </row>
    <row r="98" spans="1:8" ht="14.1" customHeight="1" x14ac:dyDescent="0.2">
      <c r="A98" s="1"/>
      <c r="B98" s="1"/>
      <c r="C98" s="11"/>
      <c r="D98" s="1"/>
      <c r="E98" s="1"/>
      <c r="F98" s="12"/>
      <c r="G98" s="12"/>
      <c r="H98" s="105"/>
    </row>
    <row r="99" spans="1:8" ht="24" customHeight="1" x14ac:dyDescent="0.2">
      <c r="A99" s="1"/>
      <c r="B99" s="1"/>
      <c r="C99" s="2" t="s">
        <v>158</v>
      </c>
      <c r="D99" s="1"/>
      <c r="E99" s="1"/>
      <c r="F99" s="12"/>
      <c r="G99" s="12"/>
      <c r="H99" s="105"/>
    </row>
    <row r="100" spans="1:8" ht="14.1" customHeight="1" x14ac:dyDescent="0.2">
      <c r="A100" s="1"/>
      <c r="B100" s="1"/>
      <c r="C100" s="2" t="s">
        <v>132</v>
      </c>
      <c r="D100" s="1"/>
      <c r="E100" s="1" t="s">
        <v>133</v>
      </c>
      <c r="F100" s="13" t="s">
        <v>135</v>
      </c>
      <c r="G100" s="10">
        <v>0</v>
      </c>
      <c r="H100" s="105"/>
    </row>
    <row r="101" spans="1:8" ht="14.1" customHeight="1" x14ac:dyDescent="0.2">
      <c r="A101" s="1"/>
      <c r="B101" s="1"/>
      <c r="C101" s="11"/>
      <c r="D101" s="1"/>
      <c r="E101" s="1"/>
      <c r="F101" s="12"/>
      <c r="G101" s="12"/>
      <c r="H101" s="105"/>
    </row>
    <row r="102" spans="1:8" ht="14.1" customHeight="1" x14ac:dyDescent="0.2">
      <c r="A102" s="1"/>
      <c r="B102" s="4"/>
      <c r="C102" s="4"/>
      <c r="D102" s="2"/>
      <c r="E102" s="1"/>
      <c r="F102" s="4"/>
      <c r="G102" s="8"/>
      <c r="H102" s="105"/>
    </row>
    <row r="103" spans="1:8" ht="18" customHeight="1" x14ac:dyDescent="0.2">
      <c r="A103" s="8"/>
      <c r="B103" s="4"/>
      <c r="C103" s="4" t="s">
        <v>159</v>
      </c>
      <c r="D103" s="4"/>
      <c r="E103" s="8"/>
      <c r="F103" s="6">
        <v>470.59732781000002</v>
      </c>
      <c r="G103" s="7">
        <v>5.7055639999999998E-2</v>
      </c>
      <c r="H103" s="105"/>
    </row>
    <row r="104" spans="1:8" ht="14.1" customHeight="1" x14ac:dyDescent="0.2">
      <c r="A104" s="11"/>
      <c r="B104" s="11"/>
      <c r="C104" s="2" t="s">
        <v>160</v>
      </c>
      <c r="D104" s="12"/>
      <c r="E104" s="12"/>
      <c r="F104" s="9">
        <v>8248.0421511889999</v>
      </c>
      <c r="G104" s="14">
        <v>1.00000003</v>
      </c>
      <c r="H104" s="105"/>
    </row>
    <row r="105" spans="1:8" ht="14.1" customHeight="1" x14ac:dyDescent="0.2">
      <c r="A105" s="15"/>
      <c r="B105" s="15"/>
      <c r="C105" s="15"/>
      <c r="D105" s="16"/>
      <c r="E105" s="16"/>
      <c r="F105" s="16"/>
      <c r="G105" s="16"/>
    </row>
    <row r="106" spans="1:8" ht="14.1" customHeight="1" x14ac:dyDescent="0.2">
      <c r="A106" s="17"/>
      <c r="B106" s="17"/>
      <c r="C106" s="17"/>
      <c r="D106" s="19"/>
      <c r="E106" s="19"/>
      <c r="F106" s="19"/>
      <c r="G106" s="19"/>
    </row>
    <row r="107" spans="1:8" ht="14.1" customHeight="1" x14ac:dyDescent="0.2">
      <c r="A107" s="17"/>
      <c r="B107" s="179" t="s">
        <v>162</v>
      </c>
      <c r="C107" s="180"/>
      <c r="D107" s="181"/>
      <c r="E107" s="20"/>
      <c r="F107" s="19"/>
      <c r="G107" s="19"/>
    </row>
    <row r="108" spans="1:8" ht="29.1" customHeight="1" x14ac:dyDescent="0.2">
      <c r="A108" s="17"/>
      <c r="B108" s="176" t="s">
        <v>163</v>
      </c>
      <c r="C108" s="177"/>
      <c r="D108" s="2" t="s">
        <v>164</v>
      </c>
      <c r="E108" s="20"/>
      <c r="F108" s="19"/>
      <c r="G108" s="19"/>
    </row>
    <row r="109" spans="1:8" ht="17.100000000000001" customHeight="1" x14ac:dyDescent="0.2">
      <c r="A109" s="17"/>
      <c r="B109" s="176" t="s">
        <v>165</v>
      </c>
      <c r="C109" s="177"/>
      <c r="D109" s="2" t="s">
        <v>164</v>
      </c>
      <c r="E109" s="20"/>
      <c r="F109" s="19"/>
      <c r="G109" s="19"/>
    </row>
    <row r="110" spans="1:8" ht="17.100000000000001" customHeight="1" x14ac:dyDescent="0.2">
      <c r="A110" s="17"/>
      <c r="B110" s="176" t="s">
        <v>166</v>
      </c>
      <c r="C110" s="177"/>
      <c r="D110" s="12" t="s">
        <v>133</v>
      </c>
      <c r="E110" s="20"/>
      <c r="F110" s="19"/>
      <c r="G110" s="19"/>
    </row>
    <row r="111" spans="1:8" ht="24" customHeight="1" x14ac:dyDescent="0.2">
      <c r="A111" s="21"/>
      <c r="B111" s="22" t="s">
        <v>133</v>
      </c>
      <c r="C111" s="22" t="s">
        <v>167</v>
      </c>
      <c r="D111" s="22" t="s">
        <v>168</v>
      </c>
      <c r="E111" s="21"/>
      <c r="F111" s="21"/>
      <c r="G111" s="21"/>
    </row>
    <row r="112" spans="1:8" ht="18" customHeight="1" x14ac:dyDescent="0.2">
      <c r="A112" s="21"/>
      <c r="B112" s="23" t="s">
        <v>169</v>
      </c>
      <c r="C112" s="22" t="s">
        <v>170</v>
      </c>
      <c r="D112" s="22" t="s">
        <v>171</v>
      </c>
      <c r="E112" s="21"/>
      <c r="F112" s="21"/>
      <c r="G112" s="21"/>
    </row>
    <row r="113" spans="1:7" ht="17.100000000000001" customHeight="1" x14ac:dyDescent="0.2">
      <c r="A113" s="21"/>
      <c r="B113" s="4" t="s">
        <v>172</v>
      </c>
      <c r="C113" s="24">
        <v>20.220400000000001</v>
      </c>
      <c r="D113" s="24">
        <v>20.929300000000001</v>
      </c>
      <c r="E113" s="21"/>
      <c r="F113" s="18"/>
      <c r="G113" s="25"/>
    </row>
    <row r="114" spans="1:7" ht="17.100000000000001" customHeight="1" x14ac:dyDescent="0.2">
      <c r="A114" s="21"/>
      <c r="B114" s="4" t="s">
        <v>1006</v>
      </c>
      <c r="C114" s="24">
        <v>19.5014</v>
      </c>
      <c r="D114" s="24">
        <v>20.185199999999998</v>
      </c>
      <c r="E114" s="21"/>
      <c r="F114" s="18"/>
      <c r="G114" s="25"/>
    </row>
    <row r="115" spans="1:7" ht="17.100000000000001" customHeight="1" x14ac:dyDescent="0.2">
      <c r="A115" s="21"/>
      <c r="B115" s="4" t="s">
        <v>173</v>
      </c>
      <c r="C115" s="24">
        <v>19.676100000000002</v>
      </c>
      <c r="D115" s="24">
        <v>20.3567</v>
      </c>
      <c r="E115" s="21"/>
      <c r="F115" s="18"/>
      <c r="G115" s="25"/>
    </row>
    <row r="116" spans="1:7" ht="17.100000000000001" customHeight="1" x14ac:dyDescent="0.2">
      <c r="A116" s="21"/>
      <c r="B116" s="4" t="s">
        <v>1007</v>
      </c>
      <c r="C116" s="24">
        <v>18.964600000000001</v>
      </c>
      <c r="D116" s="24">
        <v>19.6206</v>
      </c>
      <c r="E116" s="21"/>
      <c r="F116" s="18"/>
      <c r="G116" s="25"/>
    </row>
    <row r="117" spans="1:7" ht="14.1" customHeight="1" x14ac:dyDescent="0.2">
      <c r="A117" s="21"/>
      <c r="B117" s="21"/>
      <c r="C117" s="21"/>
      <c r="D117" s="21"/>
      <c r="E117" s="21"/>
      <c r="F117" s="21"/>
      <c r="G117" s="21"/>
    </row>
    <row r="118" spans="1:7" ht="17.100000000000001" customHeight="1" x14ac:dyDescent="0.2">
      <c r="A118" s="21"/>
      <c r="B118" s="176" t="s">
        <v>1008</v>
      </c>
      <c r="C118" s="177"/>
      <c r="D118" s="2" t="s">
        <v>164</v>
      </c>
      <c r="E118" s="21"/>
      <c r="F118" s="21"/>
      <c r="G118" s="21"/>
    </row>
    <row r="119" spans="1:7" ht="18" customHeight="1" x14ac:dyDescent="0.2">
      <c r="A119" s="21"/>
      <c r="B119" s="26"/>
      <c r="C119" s="26"/>
      <c r="D119" s="26"/>
      <c r="E119" s="21"/>
      <c r="F119" s="21"/>
      <c r="G119" s="21"/>
    </row>
    <row r="120" spans="1:7" ht="29.1" customHeight="1" x14ac:dyDescent="0.2">
      <c r="A120" s="21"/>
      <c r="B120" s="176" t="s">
        <v>174</v>
      </c>
      <c r="C120" s="177"/>
      <c r="D120" s="2" t="s">
        <v>164</v>
      </c>
      <c r="E120" s="27"/>
      <c r="F120" s="21"/>
      <c r="G120" s="21"/>
    </row>
    <row r="121" spans="1:7" ht="29.1" customHeight="1" x14ac:dyDescent="0.2">
      <c r="A121" s="21"/>
      <c r="B121" s="176" t="s">
        <v>175</v>
      </c>
      <c r="C121" s="177"/>
      <c r="D121" s="2" t="s">
        <v>164</v>
      </c>
      <c r="E121" s="27"/>
      <c r="F121" s="21"/>
      <c r="G121" s="21"/>
    </row>
    <row r="122" spans="1:7" ht="17.100000000000001" customHeight="1" x14ac:dyDescent="0.2">
      <c r="A122" s="21"/>
      <c r="B122" s="176" t="s">
        <v>176</v>
      </c>
      <c r="C122" s="177"/>
      <c r="D122" s="2" t="s">
        <v>164</v>
      </c>
      <c r="E122" s="27"/>
      <c r="F122" s="21"/>
      <c r="G122" s="21"/>
    </row>
    <row r="123" spans="1:7" ht="17.100000000000001" customHeight="1" x14ac:dyDescent="0.2">
      <c r="A123" s="21"/>
      <c r="B123" s="176" t="s">
        <v>177</v>
      </c>
      <c r="C123" s="177"/>
      <c r="D123" s="60">
        <v>0.1623686381663853</v>
      </c>
      <c r="E123" s="21"/>
      <c r="F123" s="18"/>
      <c r="G123" s="25"/>
    </row>
    <row r="163" spans="10:14" x14ac:dyDescent="0.2">
      <c r="J163" s="162"/>
      <c r="K163" s="162"/>
      <c r="L163" s="162"/>
      <c r="M163" s="162"/>
      <c r="N163" s="162"/>
    </row>
  </sheetData>
  <mergeCells count="13">
    <mergeCell ref="B123:C123"/>
    <mergeCell ref="B109:C109"/>
    <mergeCell ref="B110:C110"/>
    <mergeCell ref="B118:C118"/>
    <mergeCell ref="B120:C120"/>
    <mergeCell ref="B121:C121"/>
    <mergeCell ref="B122:C122"/>
    <mergeCell ref="J2:N2"/>
    <mergeCell ref="B108:C108"/>
    <mergeCell ref="B107:D107"/>
    <mergeCell ref="A1:H1"/>
    <mergeCell ref="A2:H2"/>
    <mergeCell ref="A3:H3"/>
  </mergeCells>
  <hyperlinks>
    <hyperlink ref="I1" location="Index!B9" display="Index" xr:uid="{E1DF7A2B-E22E-4CDA-9B3E-62FFEC89513C}"/>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N162"/>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182" t="s">
        <v>0</v>
      </c>
      <c r="B1" s="182"/>
      <c r="C1" s="182"/>
      <c r="D1" s="182"/>
      <c r="E1" s="182"/>
      <c r="F1" s="182"/>
      <c r="G1" s="182"/>
      <c r="H1" s="182"/>
      <c r="I1" s="159" t="s">
        <v>1044</v>
      </c>
    </row>
    <row r="2" spans="1:14" ht="17.100000000000001" customHeight="1" x14ac:dyDescent="0.2">
      <c r="A2" s="183" t="s">
        <v>417</v>
      </c>
      <c r="B2" s="184"/>
      <c r="C2" s="184"/>
      <c r="D2" s="184"/>
      <c r="E2" s="184"/>
      <c r="F2" s="184"/>
      <c r="G2" s="184"/>
      <c r="H2" s="185"/>
      <c r="J2" s="175" t="s">
        <v>1045</v>
      </c>
      <c r="K2" s="175"/>
      <c r="L2" s="175"/>
      <c r="M2" s="175"/>
      <c r="N2" s="175"/>
    </row>
    <row r="3" spans="1:14" ht="21" customHeight="1" x14ac:dyDescent="0.2">
      <c r="A3" s="182" t="s">
        <v>1016</v>
      </c>
      <c r="B3" s="182"/>
      <c r="C3" s="182"/>
      <c r="D3" s="182"/>
      <c r="E3" s="182"/>
      <c r="F3" s="182"/>
      <c r="G3" s="182"/>
      <c r="H3" s="182"/>
    </row>
    <row r="4" spans="1:14" ht="30" x14ac:dyDescent="0.2">
      <c r="A4" s="107" t="s">
        <v>2</v>
      </c>
      <c r="B4" s="107" t="s">
        <v>3</v>
      </c>
      <c r="C4" s="107" t="s">
        <v>4</v>
      </c>
      <c r="D4" s="107" t="s">
        <v>5</v>
      </c>
      <c r="E4" s="107" t="s">
        <v>6</v>
      </c>
      <c r="F4" s="107" t="s">
        <v>7</v>
      </c>
      <c r="G4" s="107" t="s">
        <v>8</v>
      </c>
      <c r="H4" s="104" t="s">
        <v>1003</v>
      </c>
      <c r="I4" s="108"/>
      <c r="J4" s="108"/>
      <c r="K4" s="108"/>
      <c r="L4" s="108"/>
      <c r="M4" s="108"/>
      <c r="N4" s="108"/>
    </row>
    <row r="5" spans="1:14" ht="14.1" customHeight="1" x14ac:dyDescent="0.2">
      <c r="A5" s="1"/>
      <c r="B5" s="1"/>
      <c r="C5" s="2" t="s">
        <v>9</v>
      </c>
      <c r="D5" s="1"/>
      <c r="E5" s="1"/>
      <c r="F5" s="1"/>
      <c r="G5" s="1"/>
      <c r="H5" s="105"/>
    </row>
    <row r="6" spans="1:14" ht="24" customHeight="1" x14ac:dyDescent="0.2">
      <c r="A6" s="1"/>
      <c r="B6" s="1"/>
      <c r="C6" s="2" t="s">
        <v>10</v>
      </c>
      <c r="D6" s="1"/>
      <c r="E6" s="1"/>
      <c r="F6" s="1"/>
      <c r="G6" s="1"/>
      <c r="H6" s="105"/>
    </row>
    <row r="7" spans="1:14" ht="17.100000000000001" customHeight="1" x14ac:dyDescent="0.2">
      <c r="A7" s="3">
        <v>1</v>
      </c>
      <c r="B7" s="4" t="s">
        <v>383</v>
      </c>
      <c r="C7" s="4" t="s">
        <v>384</v>
      </c>
      <c r="D7" s="4" t="s">
        <v>25</v>
      </c>
      <c r="E7" s="5">
        <v>251159</v>
      </c>
      <c r="F7" s="6">
        <v>173.17413049999999</v>
      </c>
      <c r="G7" s="7">
        <v>3.9760419999999998E-2</v>
      </c>
      <c r="H7" s="105"/>
    </row>
    <row r="8" spans="1:14" ht="17.100000000000001" customHeight="1" x14ac:dyDescent="0.2">
      <c r="A8" s="3">
        <v>2</v>
      </c>
      <c r="B8" s="4" t="s">
        <v>31</v>
      </c>
      <c r="C8" s="4" t="s">
        <v>32</v>
      </c>
      <c r="D8" s="4" t="s">
        <v>33</v>
      </c>
      <c r="E8" s="5">
        <v>7409</v>
      </c>
      <c r="F8" s="6">
        <v>166.74324949999999</v>
      </c>
      <c r="G8" s="7">
        <v>3.8283909999999997E-2</v>
      </c>
      <c r="H8" s="105"/>
    </row>
    <row r="9" spans="1:14" ht="29.1" customHeight="1" x14ac:dyDescent="0.2">
      <c r="A9" s="3">
        <v>3</v>
      </c>
      <c r="B9" s="4" t="s">
        <v>181</v>
      </c>
      <c r="C9" s="4" t="s">
        <v>182</v>
      </c>
      <c r="D9" s="4" t="s">
        <v>183</v>
      </c>
      <c r="E9" s="5">
        <v>2276</v>
      </c>
      <c r="F9" s="6">
        <v>110.390552</v>
      </c>
      <c r="G9" s="7">
        <v>2.534544E-2</v>
      </c>
      <c r="H9" s="105"/>
    </row>
    <row r="10" spans="1:14" ht="17.100000000000001" customHeight="1" x14ac:dyDescent="0.2">
      <c r="A10" s="3">
        <v>4</v>
      </c>
      <c r="B10" s="4" t="s">
        <v>37</v>
      </c>
      <c r="C10" s="4" t="s">
        <v>38</v>
      </c>
      <c r="D10" s="4" t="s">
        <v>33</v>
      </c>
      <c r="E10" s="5">
        <v>5450</v>
      </c>
      <c r="F10" s="6">
        <v>103.5718</v>
      </c>
      <c r="G10" s="7">
        <v>2.3779870000000002E-2</v>
      </c>
      <c r="H10" s="105"/>
    </row>
    <row r="11" spans="1:14" ht="17.100000000000001" customHeight="1" x14ac:dyDescent="0.2">
      <c r="A11" s="3">
        <v>5</v>
      </c>
      <c r="B11" s="4" t="s">
        <v>418</v>
      </c>
      <c r="C11" s="4" t="s">
        <v>419</v>
      </c>
      <c r="D11" s="4" t="s">
        <v>953</v>
      </c>
      <c r="E11" s="5">
        <v>11292</v>
      </c>
      <c r="F11" s="6">
        <v>103.52505600000001</v>
      </c>
      <c r="G11" s="7">
        <v>2.3769140000000001E-2</v>
      </c>
      <c r="H11" s="105"/>
    </row>
    <row r="12" spans="1:14" ht="17.100000000000001" customHeight="1" x14ac:dyDescent="0.2">
      <c r="A12" s="3">
        <v>6</v>
      </c>
      <c r="B12" s="4" t="s">
        <v>119</v>
      </c>
      <c r="C12" s="4" t="s">
        <v>120</v>
      </c>
      <c r="D12" s="4" t="s">
        <v>121</v>
      </c>
      <c r="E12" s="5">
        <v>33781</v>
      </c>
      <c r="F12" s="6">
        <v>100.76872299999999</v>
      </c>
      <c r="G12" s="7">
        <v>2.313629E-2</v>
      </c>
      <c r="H12" s="105"/>
    </row>
    <row r="13" spans="1:14" ht="17.100000000000001" customHeight="1" x14ac:dyDescent="0.2">
      <c r="A13" s="3">
        <v>7</v>
      </c>
      <c r="B13" s="4" t="s">
        <v>191</v>
      </c>
      <c r="C13" s="4" t="s">
        <v>192</v>
      </c>
      <c r="D13" s="4" t="s">
        <v>953</v>
      </c>
      <c r="E13" s="5">
        <v>2021</v>
      </c>
      <c r="F13" s="6">
        <v>95.739822500000002</v>
      </c>
      <c r="G13" s="7">
        <v>2.1981669999999998E-2</v>
      </c>
      <c r="H13" s="105"/>
    </row>
    <row r="14" spans="1:14" ht="17.100000000000001" customHeight="1" x14ac:dyDescent="0.2">
      <c r="A14" s="3">
        <v>8</v>
      </c>
      <c r="B14" s="4" t="s">
        <v>306</v>
      </c>
      <c r="C14" s="4" t="s">
        <v>307</v>
      </c>
      <c r="D14" s="4" t="s">
        <v>232</v>
      </c>
      <c r="E14" s="5">
        <v>6370</v>
      </c>
      <c r="F14" s="6">
        <v>93.202654999999993</v>
      </c>
      <c r="G14" s="7">
        <v>2.1399140000000001E-2</v>
      </c>
      <c r="H14" s="105"/>
      <c r="J14" s="161" t="s">
        <v>1052</v>
      </c>
    </row>
    <row r="15" spans="1:14" ht="17.100000000000001" customHeight="1" x14ac:dyDescent="0.2">
      <c r="A15" s="3">
        <v>9</v>
      </c>
      <c r="B15" s="4" t="s">
        <v>389</v>
      </c>
      <c r="C15" s="4" t="s">
        <v>390</v>
      </c>
      <c r="D15" s="4" t="s">
        <v>91</v>
      </c>
      <c r="E15" s="5">
        <v>6219</v>
      </c>
      <c r="F15" s="6">
        <v>89.908083000000005</v>
      </c>
      <c r="G15" s="7">
        <v>2.0642710000000002E-2</v>
      </c>
      <c r="H15" s="105"/>
    </row>
    <row r="16" spans="1:14" ht="17.100000000000001" customHeight="1" x14ac:dyDescent="0.2">
      <c r="A16" s="3">
        <v>10</v>
      </c>
      <c r="B16" s="4" t="s">
        <v>293</v>
      </c>
      <c r="C16" s="4" t="s">
        <v>294</v>
      </c>
      <c r="D16" s="4" t="s">
        <v>19</v>
      </c>
      <c r="E16" s="5">
        <v>34622</v>
      </c>
      <c r="F16" s="6">
        <v>86.987774999999999</v>
      </c>
      <c r="G16" s="7">
        <v>1.9972210000000001E-2</v>
      </c>
      <c r="H16" s="105"/>
    </row>
    <row r="17" spans="1:8" ht="29.1" customHeight="1" x14ac:dyDescent="0.2">
      <c r="A17" s="3">
        <v>11</v>
      </c>
      <c r="B17" s="4" t="s">
        <v>249</v>
      </c>
      <c r="C17" s="4" t="s">
        <v>250</v>
      </c>
      <c r="D17" s="4" t="s">
        <v>121</v>
      </c>
      <c r="E17" s="5">
        <v>31926</v>
      </c>
      <c r="F17" s="6">
        <v>81.379373999999999</v>
      </c>
      <c r="G17" s="7">
        <v>1.8684539999999999E-2</v>
      </c>
      <c r="H17" s="105"/>
    </row>
    <row r="18" spans="1:8" ht="17.100000000000001" customHeight="1" x14ac:dyDescent="0.2">
      <c r="A18" s="3">
        <v>12</v>
      </c>
      <c r="B18" s="4" t="s">
        <v>385</v>
      </c>
      <c r="C18" s="4" t="s">
        <v>386</v>
      </c>
      <c r="D18" s="4" t="s">
        <v>128</v>
      </c>
      <c r="E18" s="5">
        <v>12401</v>
      </c>
      <c r="F18" s="6">
        <v>76.476967000000002</v>
      </c>
      <c r="G18" s="7">
        <v>1.755895E-2</v>
      </c>
      <c r="H18" s="105"/>
    </row>
    <row r="19" spans="1:8" ht="17.100000000000001" customHeight="1" x14ac:dyDescent="0.2">
      <c r="A19" s="3">
        <v>13</v>
      </c>
      <c r="B19" s="4" t="s">
        <v>314</v>
      </c>
      <c r="C19" s="4" t="s">
        <v>315</v>
      </c>
      <c r="D19" s="4" t="s">
        <v>223</v>
      </c>
      <c r="E19" s="5">
        <v>6299</v>
      </c>
      <c r="F19" s="6">
        <v>75.326591500000006</v>
      </c>
      <c r="G19" s="7">
        <v>1.7294830000000001E-2</v>
      </c>
      <c r="H19" s="105"/>
    </row>
    <row r="20" spans="1:8" ht="17.100000000000001" customHeight="1" x14ac:dyDescent="0.2">
      <c r="A20" s="3">
        <v>14</v>
      </c>
      <c r="B20" s="4" t="s">
        <v>420</v>
      </c>
      <c r="C20" s="4" t="s">
        <v>421</v>
      </c>
      <c r="D20" s="4" t="s">
        <v>121</v>
      </c>
      <c r="E20" s="5">
        <v>3000</v>
      </c>
      <c r="F20" s="6">
        <v>73.285499999999999</v>
      </c>
      <c r="G20" s="7">
        <v>1.6826199999999999E-2</v>
      </c>
      <c r="H20" s="105"/>
    </row>
    <row r="21" spans="1:8" ht="17.100000000000001" customHeight="1" x14ac:dyDescent="0.2">
      <c r="A21" s="3">
        <v>15</v>
      </c>
      <c r="B21" s="4" t="s">
        <v>415</v>
      </c>
      <c r="C21" s="4" t="s">
        <v>416</v>
      </c>
      <c r="D21" s="4" t="s">
        <v>223</v>
      </c>
      <c r="E21" s="5">
        <v>8986</v>
      </c>
      <c r="F21" s="6">
        <v>68.675505000000001</v>
      </c>
      <c r="G21" s="7">
        <v>1.5767750000000001E-2</v>
      </c>
      <c r="H21" s="105"/>
    </row>
    <row r="22" spans="1:8" ht="17.100000000000001" customHeight="1" x14ac:dyDescent="0.2">
      <c r="A22" s="3">
        <v>16</v>
      </c>
      <c r="B22" s="4" t="s">
        <v>422</v>
      </c>
      <c r="C22" s="4" t="s">
        <v>423</v>
      </c>
      <c r="D22" s="4" t="s">
        <v>202</v>
      </c>
      <c r="E22" s="5">
        <v>24683</v>
      </c>
      <c r="F22" s="6">
        <v>66.644099999999995</v>
      </c>
      <c r="G22" s="7">
        <v>1.530135E-2</v>
      </c>
      <c r="H22" s="105"/>
    </row>
    <row r="23" spans="1:8" ht="17.100000000000001" customHeight="1" x14ac:dyDescent="0.2">
      <c r="A23" s="3">
        <v>17</v>
      </c>
      <c r="B23" s="4" t="s">
        <v>327</v>
      </c>
      <c r="C23" s="4" t="s">
        <v>328</v>
      </c>
      <c r="D23" s="4" t="s">
        <v>329</v>
      </c>
      <c r="E23" s="5">
        <v>5299</v>
      </c>
      <c r="F23" s="6">
        <v>65.180349500000005</v>
      </c>
      <c r="G23" s="7">
        <v>1.4965269999999999E-2</v>
      </c>
      <c r="H23" s="105"/>
    </row>
    <row r="24" spans="1:8" ht="17.100000000000001" customHeight="1" x14ac:dyDescent="0.2">
      <c r="A24" s="3">
        <v>18</v>
      </c>
      <c r="B24" s="4" t="s">
        <v>380</v>
      </c>
      <c r="C24" s="4" t="s">
        <v>381</v>
      </c>
      <c r="D24" s="4" t="s">
        <v>954</v>
      </c>
      <c r="E24" s="5">
        <v>6988</v>
      </c>
      <c r="F24" s="6">
        <v>65.103701999999998</v>
      </c>
      <c r="G24" s="7">
        <v>1.494768E-2</v>
      </c>
      <c r="H24" s="105"/>
    </row>
    <row r="25" spans="1:8" ht="29.1" customHeight="1" x14ac:dyDescent="0.2">
      <c r="A25" s="3">
        <v>19</v>
      </c>
      <c r="B25" s="4" t="s">
        <v>73</v>
      </c>
      <c r="C25" s="4" t="s">
        <v>74</v>
      </c>
      <c r="D25" s="4" t="s">
        <v>22</v>
      </c>
      <c r="E25" s="5">
        <v>2108</v>
      </c>
      <c r="F25" s="6">
        <v>63.098764000000003</v>
      </c>
      <c r="G25" s="7">
        <v>1.448735E-2</v>
      </c>
      <c r="H25" s="105"/>
    </row>
    <row r="26" spans="1:8" ht="17.100000000000001" customHeight="1" x14ac:dyDescent="0.2">
      <c r="A26" s="3">
        <v>20</v>
      </c>
      <c r="B26" s="4" t="s">
        <v>424</v>
      </c>
      <c r="C26" s="4" t="s">
        <v>425</v>
      </c>
      <c r="D26" s="4" t="s">
        <v>329</v>
      </c>
      <c r="E26" s="5">
        <v>4311</v>
      </c>
      <c r="F26" s="6">
        <v>60.328133999999999</v>
      </c>
      <c r="G26" s="7">
        <v>1.3851219999999999E-2</v>
      </c>
      <c r="H26" s="105"/>
    </row>
    <row r="27" spans="1:8" ht="29.1" customHeight="1" x14ac:dyDescent="0.2">
      <c r="A27" s="3">
        <v>21</v>
      </c>
      <c r="B27" s="4" t="s">
        <v>387</v>
      </c>
      <c r="C27" s="4" t="s">
        <v>388</v>
      </c>
      <c r="D27" s="4" t="s">
        <v>212</v>
      </c>
      <c r="E27" s="5">
        <v>18487</v>
      </c>
      <c r="F27" s="6">
        <v>59.796201500000002</v>
      </c>
      <c r="G27" s="7">
        <v>1.3729079999999999E-2</v>
      </c>
      <c r="H27" s="105"/>
    </row>
    <row r="28" spans="1:8" ht="17.100000000000001" customHeight="1" x14ac:dyDescent="0.2">
      <c r="A28" s="3">
        <v>22</v>
      </c>
      <c r="B28" s="4" t="s">
        <v>426</v>
      </c>
      <c r="C28" s="4" t="s">
        <v>427</v>
      </c>
      <c r="D28" s="4" t="s">
        <v>33</v>
      </c>
      <c r="E28" s="5">
        <v>5616</v>
      </c>
      <c r="F28" s="6">
        <v>58.729320000000001</v>
      </c>
      <c r="G28" s="7">
        <v>1.348413E-2</v>
      </c>
      <c r="H28" s="105"/>
    </row>
    <row r="29" spans="1:8" ht="17.100000000000001" customHeight="1" x14ac:dyDescent="0.2">
      <c r="A29" s="3">
        <v>23</v>
      </c>
      <c r="B29" s="4" t="s">
        <v>413</v>
      </c>
      <c r="C29" s="4" t="s">
        <v>414</v>
      </c>
      <c r="D29" s="4" t="s">
        <v>128</v>
      </c>
      <c r="E29" s="5">
        <v>62967</v>
      </c>
      <c r="F29" s="6">
        <v>55.285026000000002</v>
      </c>
      <c r="G29" s="7">
        <v>1.2693329999999999E-2</v>
      </c>
      <c r="H29" s="105"/>
    </row>
    <row r="30" spans="1:8" ht="29.1" customHeight="1" x14ac:dyDescent="0.2">
      <c r="A30" s="3">
        <v>24</v>
      </c>
      <c r="B30" s="4" t="s">
        <v>428</v>
      </c>
      <c r="C30" s="4" t="s">
        <v>429</v>
      </c>
      <c r="D30" s="4" t="s">
        <v>62</v>
      </c>
      <c r="E30" s="5">
        <v>2243</v>
      </c>
      <c r="F30" s="6">
        <v>51.189746</v>
      </c>
      <c r="G30" s="7">
        <v>1.1753059999999999E-2</v>
      </c>
      <c r="H30" s="105"/>
    </row>
    <row r="31" spans="1:8" ht="17.100000000000001" customHeight="1" x14ac:dyDescent="0.2">
      <c r="A31" s="3">
        <v>25</v>
      </c>
      <c r="B31" s="4" t="s">
        <v>430</v>
      </c>
      <c r="C31" s="4" t="s">
        <v>431</v>
      </c>
      <c r="D31" s="4" t="s">
        <v>121</v>
      </c>
      <c r="E31" s="5">
        <v>3437</v>
      </c>
      <c r="F31" s="6">
        <v>50.874473999999999</v>
      </c>
      <c r="G31" s="7">
        <v>1.1680670000000001E-2</v>
      </c>
      <c r="H31" s="105"/>
    </row>
    <row r="32" spans="1:8" ht="17.100000000000001" customHeight="1" x14ac:dyDescent="0.2">
      <c r="A32" s="3">
        <v>26</v>
      </c>
      <c r="B32" s="4" t="s">
        <v>29</v>
      </c>
      <c r="C32" s="4" t="s">
        <v>30</v>
      </c>
      <c r="D32" s="4" t="s">
        <v>25</v>
      </c>
      <c r="E32" s="5">
        <v>8081</v>
      </c>
      <c r="F32" s="6">
        <v>46.732422999999997</v>
      </c>
      <c r="G32" s="7">
        <v>1.072967E-2</v>
      </c>
      <c r="H32" s="105"/>
    </row>
    <row r="33" spans="1:8" ht="17.100000000000001" customHeight="1" x14ac:dyDescent="0.2">
      <c r="A33" s="3">
        <v>27</v>
      </c>
      <c r="B33" s="4" t="s">
        <v>378</v>
      </c>
      <c r="C33" s="4" t="s">
        <v>379</v>
      </c>
      <c r="D33" s="4" t="s">
        <v>128</v>
      </c>
      <c r="E33" s="5">
        <v>6397</v>
      </c>
      <c r="F33" s="6">
        <v>45.575426499999999</v>
      </c>
      <c r="G33" s="7">
        <v>1.0464019999999999E-2</v>
      </c>
      <c r="H33" s="105"/>
    </row>
    <row r="34" spans="1:8" ht="29.1" customHeight="1" x14ac:dyDescent="0.2">
      <c r="A34" s="3">
        <v>28</v>
      </c>
      <c r="B34" s="4" t="s">
        <v>432</v>
      </c>
      <c r="C34" s="4" t="s">
        <v>433</v>
      </c>
      <c r="D34" s="4" t="s">
        <v>212</v>
      </c>
      <c r="E34" s="5">
        <v>2084</v>
      </c>
      <c r="F34" s="6">
        <v>44.386074000000001</v>
      </c>
      <c r="G34" s="7">
        <v>1.0190950000000001E-2</v>
      </c>
      <c r="H34" s="105"/>
    </row>
    <row r="35" spans="1:8" ht="17.100000000000001" customHeight="1" x14ac:dyDescent="0.2">
      <c r="A35" s="3">
        <v>29</v>
      </c>
      <c r="B35" s="4" t="s">
        <v>434</v>
      </c>
      <c r="C35" s="4" t="s">
        <v>435</v>
      </c>
      <c r="D35" s="4" t="s">
        <v>13</v>
      </c>
      <c r="E35" s="5">
        <v>8109</v>
      </c>
      <c r="F35" s="6">
        <v>43.7845455</v>
      </c>
      <c r="G35" s="7">
        <v>1.005284E-2</v>
      </c>
      <c r="H35" s="105"/>
    </row>
    <row r="36" spans="1:8" ht="29.1" customHeight="1" x14ac:dyDescent="0.2">
      <c r="A36" s="3">
        <v>30</v>
      </c>
      <c r="B36" s="4" t="s">
        <v>247</v>
      </c>
      <c r="C36" s="4" t="s">
        <v>248</v>
      </c>
      <c r="D36" s="4" t="s">
        <v>212</v>
      </c>
      <c r="E36" s="5">
        <v>14038</v>
      </c>
      <c r="F36" s="6">
        <v>43.180888000000003</v>
      </c>
      <c r="G36" s="7">
        <v>9.9142399999999995E-3</v>
      </c>
      <c r="H36" s="105"/>
    </row>
    <row r="37" spans="1:8" ht="17.100000000000001" customHeight="1" x14ac:dyDescent="0.2">
      <c r="A37" s="3">
        <v>31</v>
      </c>
      <c r="B37" s="4" t="s">
        <v>241</v>
      </c>
      <c r="C37" s="4" t="s">
        <v>242</v>
      </c>
      <c r="D37" s="4" t="s">
        <v>81</v>
      </c>
      <c r="E37" s="5">
        <v>1054</v>
      </c>
      <c r="F37" s="6">
        <v>42.16</v>
      </c>
      <c r="G37" s="7">
        <v>9.6798500000000003E-3</v>
      </c>
      <c r="H37" s="105"/>
    </row>
    <row r="38" spans="1:8" ht="17.100000000000001" customHeight="1" x14ac:dyDescent="0.2">
      <c r="A38" s="3">
        <v>32</v>
      </c>
      <c r="B38" s="4" t="s">
        <v>235</v>
      </c>
      <c r="C38" s="4" t="s">
        <v>236</v>
      </c>
      <c r="D38" s="4" t="s">
        <v>128</v>
      </c>
      <c r="E38" s="5">
        <v>6402</v>
      </c>
      <c r="F38" s="6">
        <v>38.860140000000001</v>
      </c>
      <c r="G38" s="7">
        <v>8.9222099999999999E-3</v>
      </c>
      <c r="H38" s="105"/>
    </row>
    <row r="39" spans="1:8" ht="17.100000000000001" customHeight="1" x14ac:dyDescent="0.2">
      <c r="A39" s="3">
        <v>33</v>
      </c>
      <c r="B39" s="4" t="s">
        <v>436</v>
      </c>
      <c r="C39" s="4" t="s">
        <v>437</v>
      </c>
      <c r="D39" s="4" t="s">
        <v>253</v>
      </c>
      <c r="E39" s="5">
        <v>22028</v>
      </c>
      <c r="F39" s="6">
        <v>37.260362000000001</v>
      </c>
      <c r="G39" s="7">
        <v>8.5549000000000007E-3</v>
      </c>
      <c r="H39" s="105"/>
    </row>
    <row r="40" spans="1:8" ht="29.1" customHeight="1" x14ac:dyDescent="0.2">
      <c r="A40" s="3">
        <v>34</v>
      </c>
      <c r="B40" s="4" t="s">
        <v>391</v>
      </c>
      <c r="C40" s="4" t="s">
        <v>392</v>
      </c>
      <c r="D40" s="4" t="s">
        <v>190</v>
      </c>
      <c r="E40" s="5">
        <v>7362</v>
      </c>
      <c r="F40" s="6">
        <v>37.001412000000002</v>
      </c>
      <c r="G40" s="7">
        <v>8.4954499999999999E-3</v>
      </c>
      <c r="H40" s="105"/>
    </row>
    <row r="41" spans="1:8" ht="17.100000000000001" customHeight="1" x14ac:dyDescent="0.2">
      <c r="A41" s="3">
        <v>35</v>
      </c>
      <c r="B41" s="4" t="s">
        <v>393</v>
      </c>
      <c r="C41" s="4" t="s">
        <v>394</v>
      </c>
      <c r="D41" s="4" t="s">
        <v>128</v>
      </c>
      <c r="E41" s="5">
        <v>3781</v>
      </c>
      <c r="F41" s="6">
        <v>36.460183000000001</v>
      </c>
      <c r="G41" s="7">
        <v>8.3711800000000006E-3</v>
      </c>
      <c r="H41" s="105"/>
    </row>
    <row r="42" spans="1:8" ht="29.1" customHeight="1" x14ac:dyDescent="0.2">
      <c r="A42" s="3">
        <v>36</v>
      </c>
      <c r="B42" s="4" t="s">
        <v>395</v>
      </c>
      <c r="C42" s="4" t="s">
        <v>396</v>
      </c>
      <c r="D42" s="4" t="s">
        <v>397</v>
      </c>
      <c r="E42" s="5">
        <v>30866</v>
      </c>
      <c r="F42" s="6">
        <v>35.511333</v>
      </c>
      <c r="G42" s="7">
        <v>8.1533300000000003E-3</v>
      </c>
      <c r="H42" s="105"/>
    </row>
    <row r="43" spans="1:8" ht="17.100000000000001" customHeight="1" x14ac:dyDescent="0.2">
      <c r="A43" s="3">
        <v>37</v>
      </c>
      <c r="B43" s="4" t="s">
        <v>411</v>
      </c>
      <c r="C43" s="4" t="s">
        <v>412</v>
      </c>
      <c r="D43" s="4" t="s">
        <v>81</v>
      </c>
      <c r="E43" s="5">
        <v>4235</v>
      </c>
      <c r="F43" s="6">
        <v>34.985334999999999</v>
      </c>
      <c r="G43" s="7">
        <v>8.0325599999999994E-3</v>
      </c>
      <c r="H43" s="105"/>
    </row>
    <row r="44" spans="1:8" ht="17.100000000000001" customHeight="1" x14ac:dyDescent="0.2">
      <c r="A44" s="3">
        <v>38</v>
      </c>
      <c r="B44" s="4" t="s">
        <v>44</v>
      </c>
      <c r="C44" s="4" t="s">
        <v>45</v>
      </c>
      <c r="D44" s="4" t="s">
        <v>33</v>
      </c>
      <c r="E44" s="5">
        <v>1006</v>
      </c>
      <c r="F44" s="6">
        <v>34.928823000000001</v>
      </c>
      <c r="G44" s="7">
        <v>8.0195900000000001E-3</v>
      </c>
      <c r="H44" s="105"/>
    </row>
    <row r="45" spans="1:8" ht="17.100000000000001" customHeight="1" x14ac:dyDescent="0.2">
      <c r="A45" s="3">
        <v>39</v>
      </c>
      <c r="B45" s="4" t="s">
        <v>398</v>
      </c>
      <c r="C45" s="4" t="s">
        <v>399</v>
      </c>
      <c r="D45" s="4" t="s">
        <v>59</v>
      </c>
      <c r="E45" s="5">
        <v>5422</v>
      </c>
      <c r="F45" s="6">
        <v>34.367347000000002</v>
      </c>
      <c r="G45" s="7">
        <v>7.8906700000000007E-3</v>
      </c>
      <c r="H45" s="105"/>
    </row>
    <row r="46" spans="1:8" ht="17.100000000000001" customHeight="1" x14ac:dyDescent="0.2">
      <c r="A46" s="3">
        <v>40</v>
      </c>
      <c r="B46" s="4" t="s">
        <v>438</v>
      </c>
      <c r="C46" s="4" t="s">
        <v>439</v>
      </c>
      <c r="D46" s="4" t="s">
        <v>121</v>
      </c>
      <c r="E46" s="5">
        <v>6509</v>
      </c>
      <c r="F46" s="6">
        <v>33.91189</v>
      </c>
      <c r="G46" s="7">
        <v>7.7860999999999998E-3</v>
      </c>
      <c r="H46" s="105"/>
    </row>
    <row r="47" spans="1:8" ht="17.100000000000001" customHeight="1" x14ac:dyDescent="0.2">
      <c r="A47" s="3">
        <v>41</v>
      </c>
      <c r="B47" s="4" t="s">
        <v>440</v>
      </c>
      <c r="C47" s="4" t="s">
        <v>441</v>
      </c>
      <c r="D47" s="4" t="s">
        <v>271</v>
      </c>
      <c r="E47" s="5">
        <v>5210</v>
      </c>
      <c r="F47" s="6">
        <v>33.396099999999997</v>
      </c>
      <c r="G47" s="7">
        <v>7.6676799999999996E-3</v>
      </c>
      <c r="H47" s="105"/>
    </row>
    <row r="48" spans="1:8" ht="29.1" customHeight="1" x14ac:dyDescent="0.2">
      <c r="A48" s="3">
        <v>42</v>
      </c>
      <c r="B48" s="4" t="s">
        <v>404</v>
      </c>
      <c r="C48" s="4" t="s">
        <v>405</v>
      </c>
      <c r="D48" s="4" t="s">
        <v>406</v>
      </c>
      <c r="E48" s="5">
        <v>8569</v>
      </c>
      <c r="F48" s="6">
        <v>32.960658500000001</v>
      </c>
      <c r="G48" s="7">
        <v>7.5677000000000001E-3</v>
      </c>
      <c r="H48" s="105"/>
    </row>
    <row r="49" spans="1:8" ht="29.1" customHeight="1" x14ac:dyDescent="0.2">
      <c r="A49" s="3">
        <v>43</v>
      </c>
      <c r="B49" s="4" t="s">
        <v>442</v>
      </c>
      <c r="C49" s="4" t="s">
        <v>443</v>
      </c>
      <c r="D49" s="4" t="s">
        <v>406</v>
      </c>
      <c r="E49" s="5">
        <v>8297</v>
      </c>
      <c r="F49" s="6">
        <v>30.113961499999998</v>
      </c>
      <c r="G49" s="7">
        <v>6.9141000000000003E-3</v>
      </c>
      <c r="H49" s="105"/>
    </row>
    <row r="50" spans="1:8" ht="17.100000000000001" customHeight="1" x14ac:dyDescent="0.2">
      <c r="A50" s="3">
        <v>44</v>
      </c>
      <c r="B50" s="4" t="s">
        <v>99</v>
      </c>
      <c r="C50" s="4" t="s">
        <v>100</v>
      </c>
      <c r="D50" s="4" t="s">
        <v>91</v>
      </c>
      <c r="E50" s="5">
        <v>5816</v>
      </c>
      <c r="F50" s="6">
        <v>29.190504000000001</v>
      </c>
      <c r="G50" s="7">
        <v>6.70208E-3</v>
      </c>
      <c r="H50" s="105"/>
    </row>
    <row r="51" spans="1:8" ht="17.100000000000001" customHeight="1" x14ac:dyDescent="0.2">
      <c r="A51" s="3">
        <v>45</v>
      </c>
      <c r="B51" s="4" t="s">
        <v>444</v>
      </c>
      <c r="C51" s="4" t="s">
        <v>445</v>
      </c>
      <c r="D51" s="4" t="s">
        <v>25</v>
      </c>
      <c r="E51" s="5">
        <v>10375</v>
      </c>
      <c r="F51" s="6">
        <v>28.998125000000002</v>
      </c>
      <c r="G51" s="7">
        <v>6.6579100000000004E-3</v>
      </c>
      <c r="H51" s="105"/>
    </row>
    <row r="52" spans="1:8" ht="17.100000000000001" customHeight="1" x14ac:dyDescent="0.2">
      <c r="A52" s="3">
        <v>46</v>
      </c>
      <c r="B52" s="4" t="s">
        <v>446</v>
      </c>
      <c r="C52" s="4" t="s">
        <v>447</v>
      </c>
      <c r="D52" s="4" t="s">
        <v>121</v>
      </c>
      <c r="E52" s="5">
        <v>6701</v>
      </c>
      <c r="F52" s="6">
        <v>27.7923975</v>
      </c>
      <c r="G52" s="7">
        <v>6.3810799999999999E-3</v>
      </c>
      <c r="H52" s="105"/>
    </row>
    <row r="53" spans="1:8" ht="29.1" customHeight="1" x14ac:dyDescent="0.2">
      <c r="A53" s="3">
        <v>47</v>
      </c>
      <c r="B53" s="4" t="s">
        <v>448</v>
      </c>
      <c r="C53" s="4" t="s">
        <v>449</v>
      </c>
      <c r="D53" s="4" t="s">
        <v>121</v>
      </c>
      <c r="E53" s="5">
        <v>2300</v>
      </c>
      <c r="F53" s="6">
        <v>25.789899999999999</v>
      </c>
      <c r="G53" s="7">
        <v>5.9213099999999999E-3</v>
      </c>
      <c r="H53" s="105"/>
    </row>
    <row r="54" spans="1:8" ht="17.100000000000001" customHeight="1" x14ac:dyDescent="0.2">
      <c r="A54" s="3">
        <v>48</v>
      </c>
      <c r="B54" s="4" t="s">
        <v>402</v>
      </c>
      <c r="C54" s="4" t="s">
        <v>403</v>
      </c>
      <c r="D54" s="4" t="s">
        <v>207</v>
      </c>
      <c r="E54" s="5">
        <v>2788</v>
      </c>
      <c r="F54" s="6">
        <v>21.690639999999998</v>
      </c>
      <c r="G54" s="7">
        <v>4.9801300000000001E-3</v>
      </c>
      <c r="H54" s="105"/>
    </row>
    <row r="55" spans="1:8" ht="17.100000000000001" customHeight="1" x14ac:dyDescent="0.2">
      <c r="A55" s="3">
        <v>49</v>
      </c>
      <c r="B55" s="4" t="s">
        <v>400</v>
      </c>
      <c r="C55" s="4" t="s">
        <v>401</v>
      </c>
      <c r="D55" s="4" t="s">
        <v>13</v>
      </c>
      <c r="E55" s="5">
        <v>21843</v>
      </c>
      <c r="F55" s="6">
        <v>19.189075500000001</v>
      </c>
      <c r="G55" s="7">
        <v>4.4057699999999998E-3</v>
      </c>
      <c r="H55" s="105"/>
    </row>
    <row r="56" spans="1:8" ht="29.1" customHeight="1" x14ac:dyDescent="0.2">
      <c r="A56" s="3">
        <v>50</v>
      </c>
      <c r="B56" s="4" t="s">
        <v>407</v>
      </c>
      <c r="C56" s="4" t="s">
        <v>408</v>
      </c>
      <c r="D56" s="4" t="s">
        <v>212</v>
      </c>
      <c r="E56" s="5">
        <v>411</v>
      </c>
      <c r="F56" s="6">
        <v>19.147667999999999</v>
      </c>
      <c r="G56" s="7">
        <v>4.3962699999999999E-3</v>
      </c>
      <c r="H56" s="105"/>
    </row>
    <row r="57" spans="1:8" ht="17.100000000000001" customHeight="1" x14ac:dyDescent="0.2">
      <c r="A57" s="3">
        <v>51</v>
      </c>
      <c r="B57" s="4" t="s">
        <v>450</v>
      </c>
      <c r="C57" s="4" t="s">
        <v>451</v>
      </c>
      <c r="D57" s="4" t="s">
        <v>33</v>
      </c>
      <c r="E57" s="5">
        <v>2256</v>
      </c>
      <c r="F57" s="6">
        <v>18.822935999999999</v>
      </c>
      <c r="G57" s="7">
        <v>4.3217100000000003E-3</v>
      </c>
      <c r="H57" s="105"/>
    </row>
    <row r="58" spans="1:8" ht="29.1" customHeight="1" x14ac:dyDescent="0.2">
      <c r="A58" s="3">
        <v>52</v>
      </c>
      <c r="B58" s="4" t="s">
        <v>409</v>
      </c>
      <c r="C58" s="4" t="s">
        <v>410</v>
      </c>
      <c r="D58" s="4" t="s">
        <v>212</v>
      </c>
      <c r="E58" s="5">
        <v>6683</v>
      </c>
      <c r="F58" s="6">
        <v>16.981503</v>
      </c>
      <c r="G58" s="7">
        <v>3.8989200000000002E-3</v>
      </c>
      <c r="H58" s="105"/>
    </row>
    <row r="59" spans="1:8" ht="17.100000000000001" customHeight="1" x14ac:dyDescent="0.2">
      <c r="A59" s="3">
        <v>53</v>
      </c>
      <c r="B59" s="4" t="s">
        <v>452</v>
      </c>
      <c r="C59" s="4" t="s">
        <v>453</v>
      </c>
      <c r="D59" s="4" t="s">
        <v>91</v>
      </c>
      <c r="E59" s="5">
        <v>21125</v>
      </c>
      <c r="F59" s="6">
        <v>13.7735</v>
      </c>
      <c r="G59" s="7">
        <v>3.1623699999999999E-3</v>
      </c>
      <c r="H59" s="105"/>
    </row>
    <row r="60" spans="1:8" ht="29.1" customHeight="1" x14ac:dyDescent="0.2">
      <c r="A60" s="3">
        <v>54</v>
      </c>
      <c r="B60" s="4" t="s">
        <v>334</v>
      </c>
      <c r="C60" s="4" t="s">
        <v>335</v>
      </c>
      <c r="D60" s="4" t="s">
        <v>183</v>
      </c>
      <c r="E60" s="5">
        <v>3145</v>
      </c>
      <c r="F60" s="6">
        <v>13.487332500000001</v>
      </c>
      <c r="G60" s="7">
        <v>3.0966600000000002E-3</v>
      </c>
      <c r="H60" s="105"/>
    </row>
    <row r="61" spans="1:8" ht="17.100000000000001" customHeight="1" x14ac:dyDescent="0.2">
      <c r="A61" s="3">
        <v>55</v>
      </c>
      <c r="B61" s="4" t="s">
        <v>454</v>
      </c>
      <c r="C61" s="4" t="s">
        <v>455</v>
      </c>
      <c r="D61" s="4" t="s">
        <v>121</v>
      </c>
      <c r="E61" s="5">
        <v>5685</v>
      </c>
      <c r="F61" s="6">
        <v>12.836729999999999</v>
      </c>
      <c r="G61" s="7">
        <v>2.94729E-3</v>
      </c>
      <c r="H61" s="105"/>
    </row>
    <row r="62" spans="1:8" ht="29.1" customHeight="1" x14ac:dyDescent="0.2">
      <c r="A62" s="3">
        <v>56</v>
      </c>
      <c r="B62" s="4" t="s">
        <v>456</v>
      </c>
      <c r="C62" s="4" t="s">
        <v>457</v>
      </c>
      <c r="D62" s="4" t="s">
        <v>458</v>
      </c>
      <c r="E62" s="5">
        <v>1899</v>
      </c>
      <c r="F62" s="6">
        <v>8.3565494999999999</v>
      </c>
      <c r="G62" s="7">
        <v>1.91865E-3</v>
      </c>
      <c r="H62" s="105"/>
    </row>
    <row r="63" spans="1:8" ht="29.1" customHeight="1" x14ac:dyDescent="0.2">
      <c r="A63" s="3">
        <v>57</v>
      </c>
      <c r="B63" s="4" t="s">
        <v>459</v>
      </c>
      <c r="C63" s="4" t="s">
        <v>460</v>
      </c>
      <c r="D63" s="4" t="s">
        <v>183</v>
      </c>
      <c r="E63" s="5">
        <v>982</v>
      </c>
      <c r="F63" s="6">
        <v>4.945843</v>
      </c>
      <c r="G63" s="7">
        <v>1.1355600000000001E-3</v>
      </c>
      <c r="H63" s="105"/>
    </row>
    <row r="64" spans="1:8" ht="14.1" customHeight="1" x14ac:dyDescent="0.2">
      <c r="A64" s="1"/>
      <c r="B64" s="1"/>
      <c r="C64" s="2" t="s">
        <v>132</v>
      </c>
      <c r="D64" s="1"/>
      <c r="E64" s="1" t="s">
        <v>133</v>
      </c>
      <c r="F64" s="9">
        <v>3041.9652070000002</v>
      </c>
      <c r="G64" s="10">
        <v>0.69842895999999999</v>
      </c>
      <c r="H64" s="105"/>
    </row>
    <row r="65" spans="1:8" ht="14.1" customHeight="1" x14ac:dyDescent="0.2">
      <c r="A65" s="1"/>
      <c r="B65" s="1"/>
      <c r="C65" s="11"/>
      <c r="D65" s="1"/>
      <c r="E65" s="1"/>
      <c r="F65" s="12"/>
      <c r="G65" s="12"/>
      <c r="H65" s="105"/>
    </row>
    <row r="66" spans="1:8" ht="14.1" customHeight="1" x14ac:dyDescent="0.2">
      <c r="A66" s="1"/>
      <c r="B66" s="1"/>
      <c r="C66" s="2" t="s">
        <v>134</v>
      </c>
      <c r="D66" s="1"/>
      <c r="E66" s="1"/>
      <c r="F66" s="1"/>
      <c r="G66" s="1"/>
      <c r="H66" s="105"/>
    </row>
    <row r="67" spans="1:8" ht="14.1" customHeight="1" x14ac:dyDescent="0.2">
      <c r="A67" s="1"/>
      <c r="B67" s="1"/>
      <c r="C67" s="2" t="s">
        <v>132</v>
      </c>
      <c r="D67" s="1"/>
      <c r="E67" s="1" t="s">
        <v>133</v>
      </c>
      <c r="F67" s="13" t="s">
        <v>135</v>
      </c>
      <c r="G67" s="10">
        <v>0</v>
      </c>
      <c r="H67" s="105"/>
    </row>
    <row r="68" spans="1:8" ht="14.1" customHeight="1" x14ac:dyDescent="0.2">
      <c r="A68" s="1"/>
      <c r="B68" s="1"/>
      <c r="C68" s="11"/>
      <c r="D68" s="1"/>
      <c r="E68" s="1"/>
      <c r="F68" s="12"/>
      <c r="G68" s="12"/>
      <c r="H68" s="105"/>
    </row>
    <row r="69" spans="1:8" ht="14.1" customHeight="1" x14ac:dyDescent="0.2">
      <c r="A69" s="1"/>
      <c r="B69" s="1"/>
      <c r="C69" s="2" t="s">
        <v>136</v>
      </c>
      <c r="D69" s="1"/>
      <c r="E69" s="1"/>
      <c r="F69" s="1"/>
      <c r="G69" s="1"/>
      <c r="H69" s="105"/>
    </row>
    <row r="70" spans="1:8" ht="14.1" customHeight="1" x14ac:dyDescent="0.2">
      <c r="A70" s="1"/>
      <c r="B70" s="1"/>
      <c r="C70" s="2" t="s">
        <v>132</v>
      </c>
      <c r="D70" s="1"/>
      <c r="E70" s="1" t="s">
        <v>133</v>
      </c>
      <c r="F70" s="13" t="s">
        <v>135</v>
      </c>
      <c r="G70" s="10">
        <v>0</v>
      </c>
      <c r="H70" s="105"/>
    </row>
    <row r="71" spans="1:8" ht="14.1" customHeight="1" x14ac:dyDescent="0.2">
      <c r="A71" s="1"/>
      <c r="B71" s="1"/>
      <c r="C71" s="11"/>
      <c r="D71" s="1"/>
      <c r="E71" s="1"/>
      <c r="F71" s="12"/>
      <c r="G71" s="12"/>
      <c r="H71" s="105"/>
    </row>
    <row r="72" spans="1:8" ht="14.1" customHeight="1" x14ac:dyDescent="0.2">
      <c r="A72" s="1"/>
      <c r="B72" s="1"/>
      <c r="C72" s="2" t="s">
        <v>137</v>
      </c>
      <c r="D72" s="1"/>
      <c r="E72" s="1"/>
      <c r="F72" s="1"/>
      <c r="G72" s="1"/>
      <c r="H72" s="105"/>
    </row>
    <row r="73" spans="1:8" ht="25.5" customHeight="1" x14ac:dyDescent="0.2">
      <c r="A73" s="3">
        <v>1</v>
      </c>
      <c r="B73" s="40" t="s">
        <v>923</v>
      </c>
      <c r="C73" s="40" t="s">
        <v>924</v>
      </c>
      <c r="D73" s="4" t="s">
        <v>81</v>
      </c>
      <c r="E73" s="5">
        <v>122264</v>
      </c>
      <c r="F73" s="6">
        <v>12.358689648</v>
      </c>
      <c r="G73" s="7">
        <v>2.83753E-3</v>
      </c>
      <c r="H73" s="105"/>
    </row>
    <row r="74" spans="1:8" ht="14.1" customHeight="1" x14ac:dyDescent="0.2">
      <c r="A74" s="1"/>
      <c r="B74" s="1"/>
      <c r="C74" s="2" t="s">
        <v>132</v>
      </c>
      <c r="D74" s="1"/>
      <c r="E74" s="1" t="s">
        <v>133</v>
      </c>
      <c r="F74" s="9">
        <v>12.358689648</v>
      </c>
      <c r="G74" s="10">
        <v>2.83753E-3</v>
      </c>
      <c r="H74" s="105"/>
    </row>
    <row r="75" spans="1:8" ht="14.1" customHeight="1" x14ac:dyDescent="0.2">
      <c r="A75" s="1"/>
      <c r="B75" s="1"/>
      <c r="C75" s="11"/>
      <c r="D75" s="1"/>
      <c r="E75" s="1"/>
      <c r="F75" s="12"/>
      <c r="G75" s="12"/>
      <c r="H75" s="105"/>
    </row>
    <row r="76" spans="1:8" ht="14.1" customHeight="1" x14ac:dyDescent="0.2">
      <c r="A76" s="1"/>
      <c r="B76" s="1"/>
      <c r="C76" s="2" t="s">
        <v>138</v>
      </c>
      <c r="D76" s="1"/>
      <c r="E76" s="1"/>
      <c r="F76" s="12"/>
      <c r="G76" s="12"/>
      <c r="H76" s="105"/>
    </row>
    <row r="77" spans="1:8" ht="14.1" customHeight="1" x14ac:dyDescent="0.2">
      <c r="A77" s="1"/>
      <c r="B77" s="1"/>
      <c r="C77" s="2" t="s">
        <v>132</v>
      </c>
      <c r="D77" s="1"/>
      <c r="E77" s="1" t="s">
        <v>133</v>
      </c>
      <c r="F77" s="13" t="s">
        <v>135</v>
      </c>
      <c r="G77" s="10">
        <v>0</v>
      </c>
      <c r="H77" s="105"/>
    </row>
    <row r="78" spans="1:8" ht="14.1" customHeight="1" x14ac:dyDescent="0.2">
      <c r="A78" s="1"/>
      <c r="B78" s="1"/>
      <c r="C78" s="11"/>
      <c r="D78" s="1"/>
      <c r="E78" s="1"/>
      <c r="F78" s="12"/>
      <c r="G78" s="12"/>
      <c r="H78" s="105"/>
    </row>
    <row r="79" spans="1:8" ht="14.1" customHeight="1" x14ac:dyDescent="0.2">
      <c r="A79" s="1"/>
      <c r="B79" s="1"/>
      <c r="C79" s="2" t="s">
        <v>139</v>
      </c>
      <c r="D79" s="1"/>
      <c r="E79" s="1"/>
      <c r="F79" s="12"/>
      <c r="G79" s="12"/>
      <c r="H79" s="105"/>
    </row>
    <row r="80" spans="1:8" ht="14.1" customHeight="1" x14ac:dyDescent="0.2">
      <c r="A80" s="1"/>
      <c r="B80" s="1"/>
      <c r="C80" s="2" t="s">
        <v>132</v>
      </c>
      <c r="D80" s="1"/>
      <c r="E80" s="1" t="s">
        <v>133</v>
      </c>
      <c r="F80" s="13" t="s">
        <v>135</v>
      </c>
      <c r="G80" s="10">
        <v>0</v>
      </c>
      <c r="H80" s="105"/>
    </row>
    <row r="81" spans="1:8" ht="14.1" customHeight="1" x14ac:dyDescent="0.2">
      <c r="A81" s="1"/>
      <c r="B81" s="1"/>
      <c r="C81" s="11"/>
      <c r="D81" s="1"/>
      <c r="E81" s="1"/>
      <c r="F81" s="12"/>
      <c r="G81" s="12"/>
      <c r="H81" s="105"/>
    </row>
    <row r="82" spans="1:8" ht="18" customHeight="1" x14ac:dyDescent="0.2">
      <c r="A82" s="1"/>
      <c r="B82" s="1"/>
      <c r="C82" s="2" t="s">
        <v>140</v>
      </c>
      <c r="D82" s="1"/>
      <c r="E82" s="1"/>
      <c r="F82" s="9">
        <v>3054.3238966479998</v>
      </c>
      <c r="G82" s="10">
        <v>0.70126648999999996</v>
      </c>
      <c r="H82" s="105"/>
    </row>
    <row r="83" spans="1:8" ht="14.1" customHeight="1" x14ac:dyDescent="0.2">
      <c r="A83" s="1"/>
      <c r="B83" s="1"/>
      <c r="C83" s="11"/>
      <c r="D83" s="1"/>
      <c r="E83" s="1"/>
      <c r="F83" s="12"/>
      <c r="G83" s="12"/>
      <c r="H83" s="105"/>
    </row>
    <row r="84" spans="1:8" ht="14.1" customHeight="1" x14ac:dyDescent="0.2">
      <c r="A84" s="1"/>
      <c r="B84" s="1"/>
      <c r="C84" s="2" t="s">
        <v>141</v>
      </c>
      <c r="D84" s="1"/>
      <c r="E84" s="1"/>
      <c r="F84" s="12"/>
      <c r="G84" s="12"/>
      <c r="H84" s="105"/>
    </row>
    <row r="85" spans="1:8" ht="24" customHeight="1" x14ac:dyDescent="0.2">
      <c r="A85" s="1"/>
      <c r="B85" s="1"/>
      <c r="C85" s="2" t="s">
        <v>10</v>
      </c>
      <c r="D85" s="1"/>
      <c r="E85" s="1"/>
      <c r="F85" s="12"/>
      <c r="G85" s="12"/>
      <c r="H85" s="105"/>
    </row>
    <row r="86" spans="1:8" ht="14.1" customHeight="1" x14ac:dyDescent="0.2">
      <c r="A86" s="1"/>
      <c r="B86" s="1"/>
      <c r="C86" s="2" t="s">
        <v>132</v>
      </c>
      <c r="D86" s="1"/>
      <c r="E86" s="1" t="s">
        <v>133</v>
      </c>
      <c r="F86" s="13" t="s">
        <v>135</v>
      </c>
      <c r="G86" s="10">
        <v>0</v>
      </c>
      <c r="H86" s="105"/>
    </row>
    <row r="87" spans="1:8" ht="14.1" customHeight="1" x14ac:dyDescent="0.2">
      <c r="A87" s="1"/>
      <c r="B87" s="1"/>
      <c r="C87" s="11"/>
      <c r="D87" s="1"/>
      <c r="E87" s="1"/>
      <c r="F87" s="12"/>
      <c r="G87" s="12"/>
      <c r="H87" s="105"/>
    </row>
    <row r="88" spans="1:8" ht="14.1" customHeight="1" x14ac:dyDescent="0.2">
      <c r="A88" s="1"/>
      <c r="B88" s="1"/>
      <c r="C88" s="2" t="s">
        <v>142</v>
      </c>
      <c r="D88" s="1"/>
      <c r="E88" s="1"/>
      <c r="F88" s="1"/>
      <c r="G88" s="1"/>
      <c r="H88" s="105"/>
    </row>
    <row r="89" spans="1:8" ht="14.1" customHeight="1" x14ac:dyDescent="0.2">
      <c r="A89" s="1"/>
      <c r="B89" s="1"/>
      <c r="C89" s="2" t="s">
        <v>132</v>
      </c>
      <c r="D89" s="1"/>
      <c r="E89" s="1" t="s">
        <v>133</v>
      </c>
      <c r="F89" s="13" t="s">
        <v>135</v>
      </c>
      <c r="G89" s="10">
        <v>0</v>
      </c>
      <c r="H89" s="105"/>
    </row>
    <row r="90" spans="1:8" ht="14.1" customHeight="1" x14ac:dyDescent="0.2">
      <c r="A90" s="1"/>
      <c r="B90" s="1"/>
      <c r="C90" s="11"/>
      <c r="D90" s="1"/>
      <c r="E90" s="1"/>
      <c r="F90" s="12"/>
      <c r="G90" s="12"/>
      <c r="H90" s="105"/>
    </row>
    <row r="91" spans="1:8" ht="14.1" customHeight="1" x14ac:dyDescent="0.2">
      <c r="A91" s="1"/>
      <c r="B91" s="1"/>
      <c r="C91" s="2" t="s">
        <v>143</v>
      </c>
      <c r="D91" s="1"/>
      <c r="E91" s="1"/>
      <c r="F91" s="1"/>
      <c r="G91" s="1"/>
      <c r="H91" s="105"/>
    </row>
    <row r="92" spans="1:8" ht="14.1" customHeight="1" x14ac:dyDescent="0.2">
      <c r="A92" s="1"/>
      <c r="B92" s="1"/>
      <c r="C92" s="2" t="s">
        <v>132</v>
      </c>
      <c r="D92" s="1"/>
      <c r="E92" s="1" t="s">
        <v>133</v>
      </c>
      <c r="F92" s="13" t="s">
        <v>135</v>
      </c>
      <c r="G92" s="10">
        <v>0</v>
      </c>
      <c r="H92" s="105"/>
    </row>
    <row r="93" spans="1:8" ht="14.1" customHeight="1" x14ac:dyDescent="0.2">
      <c r="A93" s="1"/>
      <c r="B93" s="1"/>
      <c r="C93" s="11"/>
      <c r="D93" s="1"/>
      <c r="E93" s="1"/>
      <c r="F93" s="12"/>
      <c r="G93" s="12"/>
      <c r="H93" s="105"/>
    </row>
    <row r="94" spans="1:8" ht="14.1" customHeight="1" x14ac:dyDescent="0.2">
      <c r="A94" s="1"/>
      <c r="B94" s="1"/>
      <c r="C94" s="2" t="s">
        <v>144</v>
      </c>
      <c r="D94" s="1"/>
      <c r="E94" s="1"/>
      <c r="F94" s="12"/>
      <c r="G94" s="12"/>
      <c r="H94" s="105"/>
    </row>
    <row r="95" spans="1:8" ht="14.1" customHeight="1" x14ac:dyDescent="0.2">
      <c r="A95" s="1"/>
      <c r="B95" s="1"/>
      <c r="C95" s="2" t="s">
        <v>132</v>
      </c>
      <c r="D95" s="1"/>
      <c r="E95" s="1" t="s">
        <v>133</v>
      </c>
      <c r="F95" s="13" t="s">
        <v>135</v>
      </c>
      <c r="G95" s="10">
        <v>0</v>
      </c>
      <c r="H95" s="105"/>
    </row>
    <row r="96" spans="1:8" ht="14.1" customHeight="1" x14ac:dyDescent="0.2">
      <c r="A96" s="1"/>
      <c r="B96" s="1"/>
      <c r="C96" s="11"/>
      <c r="D96" s="1"/>
      <c r="E96" s="1"/>
      <c r="F96" s="12"/>
      <c r="G96" s="12"/>
      <c r="H96" s="105"/>
    </row>
    <row r="97" spans="1:8" ht="14.1" customHeight="1" x14ac:dyDescent="0.2">
      <c r="A97" s="1"/>
      <c r="B97" s="1"/>
      <c r="C97" s="2" t="s">
        <v>145</v>
      </c>
      <c r="D97" s="1"/>
      <c r="E97" s="1"/>
      <c r="F97" s="9">
        <v>0</v>
      </c>
      <c r="G97" s="10">
        <v>0</v>
      </c>
      <c r="H97" s="105"/>
    </row>
    <row r="98" spans="1:8" ht="14.1" customHeight="1" x14ac:dyDescent="0.2">
      <c r="A98" s="1"/>
      <c r="B98" s="1"/>
      <c r="C98" s="11"/>
      <c r="D98" s="1"/>
      <c r="E98" s="1"/>
      <c r="F98" s="12"/>
      <c r="G98" s="12"/>
      <c r="H98" s="105"/>
    </row>
    <row r="99" spans="1:8" ht="14.1" customHeight="1" x14ac:dyDescent="0.2">
      <c r="A99" s="1"/>
      <c r="B99" s="1"/>
      <c r="C99" s="2" t="s">
        <v>146</v>
      </c>
      <c r="D99" s="1"/>
      <c r="E99" s="1"/>
      <c r="F99" s="12"/>
      <c r="G99" s="12"/>
      <c r="H99" s="105"/>
    </row>
    <row r="100" spans="1:8" ht="14.1" customHeight="1" x14ac:dyDescent="0.2">
      <c r="A100" s="1"/>
      <c r="B100" s="1"/>
      <c r="C100" s="2" t="s">
        <v>147</v>
      </c>
      <c r="D100" s="1"/>
      <c r="E100" s="1"/>
      <c r="F100" s="12"/>
      <c r="G100" s="12"/>
      <c r="H100" s="105"/>
    </row>
    <row r="101" spans="1:8" ht="14.1" customHeight="1" x14ac:dyDescent="0.2">
      <c r="A101" s="1"/>
      <c r="B101" s="1"/>
      <c r="C101" s="2" t="s">
        <v>132</v>
      </c>
      <c r="D101" s="1"/>
      <c r="E101" s="1" t="s">
        <v>133</v>
      </c>
      <c r="F101" s="13" t="s">
        <v>135</v>
      </c>
      <c r="G101" s="10">
        <v>0</v>
      </c>
      <c r="H101" s="105"/>
    </row>
    <row r="102" spans="1:8" ht="14.1" customHeight="1" x14ac:dyDescent="0.2">
      <c r="A102" s="1"/>
      <c r="B102" s="1"/>
      <c r="C102" s="11"/>
      <c r="D102" s="1"/>
      <c r="E102" s="1"/>
      <c r="F102" s="12"/>
      <c r="G102" s="12"/>
      <c r="H102" s="105"/>
    </row>
    <row r="103" spans="1:8" ht="14.1" customHeight="1" x14ac:dyDescent="0.2">
      <c r="A103" s="1"/>
      <c r="B103" s="1"/>
      <c r="C103" s="2" t="s">
        <v>148</v>
      </c>
      <c r="D103" s="1"/>
      <c r="E103" s="1"/>
      <c r="F103" s="12"/>
      <c r="G103" s="12"/>
      <c r="H103" s="105"/>
    </row>
    <row r="104" spans="1:8" ht="14.1" customHeight="1" x14ac:dyDescent="0.2">
      <c r="A104" s="1"/>
      <c r="B104" s="1"/>
      <c r="C104" s="2" t="s">
        <v>132</v>
      </c>
      <c r="D104" s="1"/>
      <c r="E104" s="1" t="s">
        <v>133</v>
      </c>
      <c r="F104" s="13" t="s">
        <v>135</v>
      </c>
      <c r="G104" s="10">
        <v>0</v>
      </c>
      <c r="H104" s="105"/>
    </row>
    <row r="105" spans="1:8" ht="14.1" customHeight="1" x14ac:dyDescent="0.2">
      <c r="A105" s="1"/>
      <c r="B105" s="1"/>
      <c r="C105" s="11"/>
      <c r="D105" s="1"/>
      <c r="E105" s="1"/>
      <c r="F105" s="12"/>
      <c r="G105" s="12"/>
      <c r="H105" s="105"/>
    </row>
    <row r="106" spans="1:8" ht="14.1" customHeight="1" x14ac:dyDescent="0.2">
      <c r="A106" s="1"/>
      <c r="B106" s="1"/>
      <c r="C106" s="2" t="s">
        <v>149</v>
      </c>
      <c r="D106" s="1"/>
      <c r="E106" s="1"/>
      <c r="F106" s="12"/>
      <c r="G106" s="12"/>
      <c r="H106" s="105"/>
    </row>
    <row r="107" spans="1:8" ht="14.1" customHeight="1" x14ac:dyDescent="0.2">
      <c r="A107" s="1"/>
      <c r="B107" s="1"/>
      <c r="C107" s="2" t="s">
        <v>132</v>
      </c>
      <c r="D107" s="1"/>
      <c r="E107" s="1" t="s">
        <v>133</v>
      </c>
      <c r="F107" s="13" t="s">
        <v>135</v>
      </c>
      <c r="G107" s="10">
        <v>0</v>
      </c>
      <c r="H107" s="105"/>
    </row>
    <row r="108" spans="1:8" ht="14.1" customHeight="1" x14ac:dyDescent="0.2">
      <c r="A108" s="1"/>
      <c r="B108" s="1"/>
      <c r="C108" s="11"/>
      <c r="D108" s="1"/>
      <c r="E108" s="1"/>
      <c r="F108" s="12"/>
      <c r="G108" s="12"/>
      <c r="H108" s="105"/>
    </row>
    <row r="109" spans="1:8" ht="14.1" customHeight="1" x14ac:dyDescent="0.2">
      <c r="A109" s="1"/>
      <c r="B109" s="1"/>
      <c r="C109" s="2" t="s">
        <v>150</v>
      </c>
      <c r="D109" s="1"/>
      <c r="E109" s="1"/>
      <c r="F109" s="12"/>
      <c r="G109" s="12"/>
      <c r="H109" s="105"/>
    </row>
    <row r="110" spans="1:8" ht="17.100000000000001" customHeight="1" x14ac:dyDescent="0.2">
      <c r="A110" s="3">
        <v>1</v>
      </c>
      <c r="B110" s="4"/>
      <c r="C110" s="4" t="s">
        <v>151</v>
      </c>
      <c r="D110" s="4"/>
      <c r="E110" s="8"/>
      <c r="F110" s="6">
        <v>1125.7663072</v>
      </c>
      <c r="G110" s="7">
        <v>0.25847361000000002</v>
      </c>
      <c r="H110" s="105">
        <v>6.8153352377542396</v>
      </c>
    </row>
    <row r="111" spans="1:8" ht="17.100000000000001" customHeight="1" x14ac:dyDescent="0.2">
      <c r="A111" s="3">
        <v>2</v>
      </c>
      <c r="B111" s="4"/>
      <c r="C111" s="4" t="s">
        <v>152</v>
      </c>
      <c r="D111" s="4"/>
      <c r="E111" s="8"/>
      <c r="F111" s="6">
        <v>133.5904692</v>
      </c>
      <c r="G111" s="7">
        <v>3.0672100000000001E-2</v>
      </c>
      <c r="H111" s="105">
        <v>6.7952403714590259</v>
      </c>
    </row>
    <row r="112" spans="1:8" ht="14.1" customHeight="1" x14ac:dyDescent="0.2">
      <c r="A112" s="1"/>
      <c r="B112" s="1"/>
      <c r="C112" s="2" t="s">
        <v>132</v>
      </c>
      <c r="D112" s="1"/>
      <c r="E112" s="1" t="s">
        <v>133</v>
      </c>
      <c r="F112" s="9">
        <v>1259.3567763999999</v>
      </c>
      <c r="G112" s="10">
        <v>0.28914571</v>
      </c>
      <c r="H112" s="105"/>
    </row>
    <row r="113" spans="1:8" ht="14.1" customHeight="1" x14ac:dyDescent="0.2">
      <c r="A113" s="1"/>
      <c r="B113" s="1"/>
      <c r="C113" s="11"/>
      <c r="D113" s="1"/>
      <c r="E113" s="1"/>
      <c r="F113" s="12"/>
      <c r="G113" s="12"/>
      <c r="H113" s="105"/>
    </row>
    <row r="114" spans="1:8" ht="14.1" customHeight="1" x14ac:dyDescent="0.2">
      <c r="A114" s="1"/>
      <c r="B114" s="1"/>
      <c r="C114" s="2" t="s">
        <v>153</v>
      </c>
      <c r="D114" s="1"/>
      <c r="E114" s="1"/>
      <c r="F114" s="9">
        <v>1259.3567763999999</v>
      </c>
      <c r="G114" s="10">
        <v>0.28914571</v>
      </c>
      <c r="H114" s="105"/>
    </row>
    <row r="115" spans="1:8" ht="14.1" customHeight="1" x14ac:dyDescent="0.2">
      <c r="A115" s="1"/>
      <c r="B115" s="1"/>
      <c r="C115" s="12"/>
      <c r="D115" s="1"/>
      <c r="E115" s="1"/>
      <c r="F115" s="1"/>
      <c r="G115" s="1"/>
      <c r="H115" s="105"/>
    </row>
    <row r="116" spans="1:8" ht="14.1" customHeight="1" x14ac:dyDescent="0.2">
      <c r="A116" s="1"/>
      <c r="B116" s="1"/>
      <c r="C116" s="2" t="s">
        <v>154</v>
      </c>
      <c r="D116" s="1"/>
      <c r="E116" s="1"/>
      <c r="F116" s="1"/>
      <c r="G116" s="1"/>
      <c r="H116" s="105"/>
    </row>
    <row r="117" spans="1:8" ht="14.1" customHeight="1" x14ac:dyDescent="0.2">
      <c r="A117" s="1"/>
      <c r="B117" s="1"/>
      <c r="C117" s="2" t="s">
        <v>155</v>
      </c>
      <c r="D117" s="1"/>
      <c r="E117" s="1"/>
      <c r="F117" s="1"/>
      <c r="G117" s="1"/>
      <c r="H117" s="105"/>
    </row>
    <row r="118" spans="1:8" ht="14.1" customHeight="1" x14ac:dyDescent="0.2">
      <c r="A118" s="1"/>
      <c r="B118" s="1"/>
      <c r="C118" s="2" t="s">
        <v>132</v>
      </c>
      <c r="D118" s="1"/>
      <c r="E118" s="1" t="s">
        <v>133</v>
      </c>
      <c r="F118" s="13" t="s">
        <v>135</v>
      </c>
      <c r="G118" s="10">
        <v>0</v>
      </c>
      <c r="H118" s="105"/>
    </row>
    <row r="119" spans="1:8" ht="14.1" customHeight="1" x14ac:dyDescent="0.2">
      <c r="A119" s="1"/>
      <c r="B119" s="1"/>
      <c r="C119" s="11"/>
      <c r="D119" s="1"/>
      <c r="E119" s="1"/>
      <c r="F119" s="12"/>
      <c r="G119" s="12"/>
      <c r="H119" s="105"/>
    </row>
    <row r="120" spans="1:8" ht="14.1" customHeight="1" x14ac:dyDescent="0.2">
      <c r="A120" s="1"/>
      <c r="B120" s="1"/>
      <c r="C120" s="2" t="s">
        <v>156</v>
      </c>
      <c r="D120" s="1"/>
      <c r="E120" s="1"/>
      <c r="F120" s="1"/>
      <c r="G120" s="1"/>
      <c r="H120" s="105"/>
    </row>
    <row r="121" spans="1:8" ht="14.1" customHeight="1" x14ac:dyDescent="0.2">
      <c r="A121" s="1"/>
      <c r="B121" s="1"/>
      <c r="C121" s="2" t="s">
        <v>157</v>
      </c>
      <c r="D121" s="1"/>
      <c r="E121" s="1"/>
      <c r="F121" s="1"/>
      <c r="G121" s="1"/>
      <c r="H121" s="105"/>
    </row>
    <row r="122" spans="1:8" ht="14.1" customHeight="1" x14ac:dyDescent="0.2">
      <c r="A122" s="1"/>
      <c r="B122" s="1"/>
      <c r="C122" s="2" t="s">
        <v>132</v>
      </c>
      <c r="D122" s="1"/>
      <c r="E122" s="1" t="s">
        <v>133</v>
      </c>
      <c r="F122" s="13" t="s">
        <v>135</v>
      </c>
      <c r="G122" s="10">
        <v>0</v>
      </c>
      <c r="H122" s="105"/>
    </row>
    <row r="123" spans="1:8" ht="14.1" customHeight="1" x14ac:dyDescent="0.2">
      <c r="A123" s="1"/>
      <c r="B123" s="1"/>
      <c r="C123" s="11"/>
      <c r="D123" s="1"/>
      <c r="E123" s="1"/>
      <c r="F123" s="12"/>
      <c r="G123" s="12"/>
      <c r="H123" s="105"/>
    </row>
    <row r="124" spans="1:8" ht="24" customHeight="1" x14ac:dyDescent="0.2">
      <c r="A124" s="1"/>
      <c r="B124" s="1"/>
      <c r="C124" s="2" t="s">
        <v>158</v>
      </c>
      <c r="D124" s="1"/>
      <c r="E124" s="1"/>
      <c r="F124" s="12"/>
      <c r="G124" s="12"/>
      <c r="H124" s="105"/>
    </row>
    <row r="125" spans="1:8" ht="14.1" customHeight="1" x14ac:dyDescent="0.2">
      <c r="A125" s="1"/>
      <c r="B125" s="1"/>
      <c r="C125" s="2" t="s">
        <v>132</v>
      </c>
      <c r="D125" s="1"/>
      <c r="E125" s="1" t="s">
        <v>133</v>
      </c>
      <c r="F125" s="13" t="s">
        <v>135</v>
      </c>
      <c r="G125" s="10">
        <v>0</v>
      </c>
      <c r="H125" s="105"/>
    </row>
    <row r="126" spans="1:8" ht="14.1" customHeight="1" x14ac:dyDescent="0.2">
      <c r="A126" s="1"/>
      <c r="B126" s="1"/>
      <c r="C126" s="11"/>
      <c r="D126" s="1"/>
      <c r="E126" s="1"/>
      <c r="F126" s="12"/>
      <c r="G126" s="12"/>
      <c r="H126" s="105"/>
    </row>
    <row r="127" spans="1:8" ht="14.1" customHeight="1" x14ac:dyDescent="0.2">
      <c r="A127" s="1"/>
      <c r="B127" s="4"/>
      <c r="C127" s="4"/>
      <c r="D127" s="2"/>
      <c r="E127" s="1"/>
      <c r="F127" s="4"/>
      <c r="G127" s="8"/>
      <c r="H127" s="105"/>
    </row>
    <row r="128" spans="1:8" ht="18" customHeight="1" x14ac:dyDescent="0.2">
      <c r="A128" s="8"/>
      <c r="B128" s="4"/>
      <c r="C128" s="4" t="s">
        <v>159</v>
      </c>
      <c r="D128" s="4"/>
      <c r="E128" s="8"/>
      <c r="F128" s="6">
        <v>41.759327720000002</v>
      </c>
      <c r="G128" s="7">
        <v>9.5878600000000001E-3</v>
      </c>
      <c r="H128" s="105"/>
    </row>
    <row r="129" spans="1:8" ht="14.1" customHeight="1" x14ac:dyDescent="0.2">
      <c r="A129" s="11"/>
      <c r="B129" s="11"/>
      <c r="C129" s="2" t="s">
        <v>160</v>
      </c>
      <c r="D129" s="12"/>
      <c r="E129" s="12"/>
      <c r="F129" s="9">
        <v>4355.4400007679997</v>
      </c>
      <c r="G129" s="14">
        <v>1.0000000600000001</v>
      </c>
      <c r="H129" s="105"/>
    </row>
    <row r="130" spans="1:8" ht="14.1" customHeight="1" x14ac:dyDescent="0.2">
      <c r="A130" s="15"/>
      <c r="B130" s="15"/>
      <c r="C130" s="15"/>
      <c r="D130" s="16"/>
      <c r="E130" s="16"/>
      <c r="F130" s="16"/>
      <c r="G130" s="16"/>
    </row>
    <row r="131" spans="1:8" ht="14.1" customHeight="1" x14ac:dyDescent="0.2">
      <c r="A131" s="17"/>
      <c r="B131" s="17"/>
      <c r="C131" s="17"/>
      <c r="D131" s="19"/>
      <c r="E131" s="19"/>
      <c r="F131" s="19"/>
      <c r="G131" s="19"/>
    </row>
    <row r="132" spans="1:8" ht="14.1" customHeight="1" x14ac:dyDescent="0.2">
      <c r="A132" s="17"/>
      <c r="B132" s="179" t="s">
        <v>162</v>
      </c>
      <c r="C132" s="180"/>
      <c r="D132" s="181"/>
      <c r="E132" s="20"/>
      <c r="F132" s="19"/>
      <c r="G132" s="19"/>
    </row>
    <row r="133" spans="1:8" ht="29.1" customHeight="1" x14ac:dyDescent="0.2">
      <c r="A133" s="17"/>
      <c r="B133" s="176" t="s">
        <v>163</v>
      </c>
      <c r="C133" s="177"/>
      <c r="D133" s="2" t="s">
        <v>164</v>
      </c>
      <c r="E133" s="20"/>
      <c r="F133" s="19"/>
      <c r="G133" s="19"/>
    </row>
    <row r="134" spans="1:8" ht="17.100000000000001" customHeight="1" x14ac:dyDescent="0.2">
      <c r="A134" s="17"/>
      <c r="B134" s="176" t="s">
        <v>165</v>
      </c>
      <c r="C134" s="177"/>
      <c r="D134" s="2" t="s">
        <v>164</v>
      </c>
      <c r="E134" s="20"/>
      <c r="F134" s="19"/>
      <c r="G134" s="19"/>
    </row>
    <row r="135" spans="1:8" ht="17.100000000000001" customHeight="1" x14ac:dyDescent="0.2">
      <c r="A135" s="17"/>
      <c r="B135" s="176" t="s">
        <v>166</v>
      </c>
      <c r="C135" s="177"/>
      <c r="D135" s="12" t="s">
        <v>133</v>
      </c>
      <c r="E135" s="20"/>
      <c r="F135" s="19"/>
      <c r="G135" s="19"/>
    </row>
    <row r="136" spans="1:8" ht="24" customHeight="1" x14ac:dyDescent="0.2">
      <c r="A136" s="21"/>
      <c r="B136" s="22" t="s">
        <v>133</v>
      </c>
      <c r="C136" s="22" t="s">
        <v>167</v>
      </c>
      <c r="D136" s="22" t="s">
        <v>168</v>
      </c>
      <c r="E136" s="21"/>
      <c r="F136" s="21"/>
      <c r="G136" s="21"/>
    </row>
    <row r="137" spans="1:8" ht="18" customHeight="1" x14ac:dyDescent="0.2">
      <c r="A137" s="21"/>
      <c r="B137" s="23" t="s">
        <v>169</v>
      </c>
      <c r="C137" s="22" t="s">
        <v>170</v>
      </c>
      <c r="D137" s="22" t="s">
        <v>171</v>
      </c>
      <c r="E137" s="21"/>
      <c r="F137" s="21"/>
      <c r="G137" s="21"/>
    </row>
    <row r="138" spans="1:8" ht="17.100000000000001" customHeight="1" x14ac:dyDescent="0.2">
      <c r="A138" s="21"/>
      <c r="B138" s="4" t="s">
        <v>172</v>
      </c>
      <c r="C138" s="24">
        <v>22.851700000000001</v>
      </c>
      <c r="D138" s="24">
        <v>24.007999999999999</v>
      </c>
      <c r="E138" s="21"/>
      <c r="F138" s="18"/>
      <c r="G138" s="25"/>
    </row>
    <row r="139" spans="1:8" ht="17.100000000000001" customHeight="1" x14ac:dyDescent="0.2">
      <c r="A139" s="21"/>
      <c r="B139" s="4" t="s">
        <v>1006</v>
      </c>
      <c r="C139" s="24">
        <v>21.422699999999999</v>
      </c>
      <c r="D139" s="24">
        <v>22.506699999999999</v>
      </c>
      <c r="E139" s="21"/>
      <c r="F139" s="18"/>
      <c r="G139" s="25"/>
    </row>
    <row r="140" spans="1:8" ht="17.100000000000001" customHeight="1" x14ac:dyDescent="0.2">
      <c r="A140" s="21"/>
      <c r="B140" s="4" t="s">
        <v>173</v>
      </c>
      <c r="C140" s="24">
        <v>22.283200000000001</v>
      </c>
      <c r="D140" s="24">
        <v>23.400099999999998</v>
      </c>
      <c r="E140" s="21"/>
      <c r="F140" s="18"/>
      <c r="G140" s="25"/>
    </row>
    <row r="141" spans="1:8" ht="17.100000000000001" customHeight="1" x14ac:dyDescent="0.2">
      <c r="A141" s="21"/>
      <c r="B141" s="4" t="s">
        <v>1007</v>
      </c>
      <c r="C141" s="24">
        <v>20.8689</v>
      </c>
      <c r="D141" s="24">
        <v>21.914899999999999</v>
      </c>
      <c r="E141" s="21"/>
      <c r="F141" s="18"/>
      <c r="G141" s="25"/>
    </row>
    <row r="142" spans="1:8" ht="14.1" customHeight="1" x14ac:dyDescent="0.2">
      <c r="A142" s="21"/>
      <c r="B142" s="21"/>
      <c r="C142" s="21"/>
      <c r="D142" s="21"/>
      <c r="E142" s="21"/>
      <c r="F142" s="21"/>
      <c r="G142" s="21"/>
    </row>
    <row r="143" spans="1:8" ht="17.100000000000001" customHeight="1" x14ac:dyDescent="0.2">
      <c r="A143" s="21"/>
      <c r="B143" s="176" t="s">
        <v>1008</v>
      </c>
      <c r="C143" s="177"/>
      <c r="D143" s="2" t="s">
        <v>164</v>
      </c>
      <c r="E143" s="21"/>
      <c r="F143" s="21"/>
      <c r="G143" s="21"/>
    </row>
    <row r="144" spans="1:8" ht="18" customHeight="1" x14ac:dyDescent="0.2">
      <c r="A144" s="21"/>
      <c r="B144" s="26"/>
      <c r="C144" s="26"/>
      <c r="D144" s="26"/>
      <c r="E144" s="21"/>
      <c r="F144" s="21"/>
      <c r="G144" s="21"/>
    </row>
    <row r="145" spans="1:7" ht="29.1" customHeight="1" x14ac:dyDescent="0.2">
      <c r="A145" s="21"/>
      <c r="B145" s="176" t="s">
        <v>174</v>
      </c>
      <c r="C145" s="177"/>
      <c r="D145" s="2" t="s">
        <v>164</v>
      </c>
      <c r="E145" s="27"/>
      <c r="F145" s="21"/>
      <c r="G145" s="21"/>
    </row>
    <row r="146" spans="1:7" ht="29.1" customHeight="1" x14ac:dyDescent="0.2">
      <c r="A146" s="21"/>
      <c r="B146" s="176" t="s">
        <v>175</v>
      </c>
      <c r="C146" s="177"/>
      <c r="D146" s="2" t="s">
        <v>164</v>
      </c>
      <c r="E146" s="27"/>
      <c r="F146" s="21"/>
      <c r="G146" s="21"/>
    </row>
    <row r="147" spans="1:7" ht="17.100000000000001" customHeight="1" x14ac:dyDescent="0.2">
      <c r="A147" s="21"/>
      <c r="B147" s="176" t="s">
        <v>176</v>
      </c>
      <c r="C147" s="177"/>
      <c r="D147" s="2" t="s">
        <v>164</v>
      </c>
      <c r="E147" s="27"/>
      <c r="F147" s="21"/>
      <c r="G147" s="21"/>
    </row>
    <row r="148" spans="1:7" ht="17.100000000000001" customHeight="1" x14ac:dyDescent="0.2">
      <c r="A148" s="21"/>
      <c r="B148" s="176" t="s">
        <v>177</v>
      </c>
      <c r="C148" s="177"/>
      <c r="D148" s="60">
        <v>0.16073148486034169</v>
      </c>
      <c r="E148" s="21"/>
      <c r="F148" s="18"/>
      <c r="G148" s="25"/>
    </row>
    <row r="162" spans="10:14" x14ac:dyDescent="0.2">
      <c r="J162" s="162"/>
      <c r="K162" s="162"/>
      <c r="L162" s="162"/>
      <c r="M162" s="162"/>
      <c r="N162" s="162"/>
    </row>
  </sheetData>
  <mergeCells count="13">
    <mergeCell ref="B148:C148"/>
    <mergeCell ref="B134:C134"/>
    <mergeCell ref="B135:C135"/>
    <mergeCell ref="B143:C143"/>
    <mergeCell ref="B145:C145"/>
    <mergeCell ref="B146:C146"/>
    <mergeCell ref="B147:C147"/>
    <mergeCell ref="J2:N2"/>
    <mergeCell ref="B133:C133"/>
    <mergeCell ref="B132:D132"/>
    <mergeCell ref="A1:H1"/>
    <mergeCell ref="A2:H2"/>
    <mergeCell ref="A3:H3"/>
  </mergeCells>
  <hyperlinks>
    <hyperlink ref="I1" location="Index!B10" display="Index" xr:uid="{F83D1186-F095-48D7-97D8-46767020480A}"/>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N156"/>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182" t="s">
        <v>0</v>
      </c>
      <c r="B1" s="182"/>
      <c r="C1" s="182"/>
      <c r="D1" s="182"/>
      <c r="E1" s="182"/>
      <c r="F1" s="182"/>
      <c r="G1" s="182"/>
      <c r="H1" s="182"/>
      <c r="I1" s="159" t="s">
        <v>1044</v>
      </c>
    </row>
    <row r="2" spans="1:14" ht="17.100000000000001" customHeight="1" x14ac:dyDescent="0.2">
      <c r="A2" s="183" t="s">
        <v>461</v>
      </c>
      <c r="B2" s="184"/>
      <c r="C2" s="184"/>
      <c r="D2" s="184"/>
      <c r="E2" s="184"/>
      <c r="F2" s="184"/>
      <c r="G2" s="184"/>
      <c r="H2" s="185"/>
      <c r="J2" s="175" t="s">
        <v>1045</v>
      </c>
      <c r="K2" s="175"/>
      <c r="L2" s="175"/>
      <c r="M2" s="175"/>
      <c r="N2" s="175"/>
    </row>
    <row r="3" spans="1:14" ht="21" customHeight="1" x14ac:dyDescent="0.2">
      <c r="A3" s="182" t="s">
        <v>1016</v>
      </c>
      <c r="B3" s="182"/>
      <c r="C3" s="182"/>
      <c r="D3" s="182"/>
      <c r="E3" s="182"/>
      <c r="F3" s="182"/>
      <c r="G3" s="182"/>
      <c r="H3" s="182"/>
    </row>
    <row r="4" spans="1:14" ht="30" x14ac:dyDescent="0.2">
      <c r="A4" s="107" t="s">
        <v>2</v>
      </c>
      <c r="B4" s="107" t="s">
        <v>3</v>
      </c>
      <c r="C4" s="107" t="s">
        <v>4</v>
      </c>
      <c r="D4" s="107" t="s">
        <v>5</v>
      </c>
      <c r="E4" s="107" t="s">
        <v>6</v>
      </c>
      <c r="F4" s="107" t="s">
        <v>7</v>
      </c>
      <c r="G4" s="107" t="s">
        <v>8</v>
      </c>
      <c r="H4" s="104" t="s">
        <v>1003</v>
      </c>
      <c r="I4" s="108"/>
      <c r="J4" s="108"/>
      <c r="K4" s="108"/>
      <c r="L4" s="108"/>
      <c r="M4" s="108"/>
      <c r="N4" s="108"/>
    </row>
    <row r="5" spans="1:14" ht="14.1" customHeight="1" x14ac:dyDescent="0.2">
      <c r="A5" s="1"/>
      <c r="B5" s="1"/>
      <c r="C5" s="2" t="s">
        <v>9</v>
      </c>
      <c r="D5" s="1"/>
      <c r="E5" s="1"/>
      <c r="F5" s="1"/>
      <c r="G5" s="1"/>
      <c r="H5" s="105"/>
    </row>
    <row r="6" spans="1:14" ht="24" customHeight="1" x14ac:dyDescent="0.2">
      <c r="A6" s="1"/>
      <c r="B6" s="1"/>
      <c r="C6" s="2" t="s">
        <v>10</v>
      </c>
      <c r="D6" s="1"/>
      <c r="E6" s="1"/>
      <c r="F6" s="1"/>
      <c r="G6" s="1"/>
      <c r="H6" s="105"/>
    </row>
    <row r="7" spans="1:14" ht="17.100000000000001" customHeight="1" x14ac:dyDescent="0.2">
      <c r="A7" s="3">
        <v>1</v>
      </c>
      <c r="B7" s="4" t="s">
        <v>31</v>
      </c>
      <c r="C7" s="4" t="s">
        <v>32</v>
      </c>
      <c r="D7" s="4" t="s">
        <v>33</v>
      </c>
      <c r="E7" s="5">
        <v>33960</v>
      </c>
      <c r="F7" s="6">
        <v>764.28678000000002</v>
      </c>
      <c r="G7" s="7">
        <v>5.1203980000000003E-2</v>
      </c>
      <c r="H7" s="105"/>
    </row>
    <row r="8" spans="1:14" ht="17.100000000000001" customHeight="1" x14ac:dyDescent="0.2">
      <c r="A8" s="3">
        <v>2</v>
      </c>
      <c r="B8" s="4" t="s">
        <v>383</v>
      </c>
      <c r="C8" s="4" t="s">
        <v>384</v>
      </c>
      <c r="D8" s="4" t="s">
        <v>25</v>
      </c>
      <c r="E8" s="5">
        <v>889202</v>
      </c>
      <c r="F8" s="6">
        <v>613.10477900000001</v>
      </c>
      <c r="G8" s="7">
        <v>4.1075430000000003E-2</v>
      </c>
      <c r="H8" s="105"/>
    </row>
    <row r="9" spans="1:14" ht="29.1" customHeight="1" x14ac:dyDescent="0.2">
      <c r="A9" s="3">
        <v>3</v>
      </c>
      <c r="B9" s="4" t="s">
        <v>181</v>
      </c>
      <c r="C9" s="4" t="s">
        <v>182</v>
      </c>
      <c r="D9" s="4" t="s">
        <v>183</v>
      </c>
      <c r="E9" s="5">
        <v>7906</v>
      </c>
      <c r="F9" s="6">
        <v>383.45681200000001</v>
      </c>
      <c r="G9" s="7">
        <v>2.5689989999999999E-2</v>
      </c>
      <c r="H9" s="105"/>
    </row>
    <row r="10" spans="1:14" ht="17.100000000000001" customHeight="1" x14ac:dyDescent="0.2">
      <c r="A10" s="3">
        <v>4</v>
      </c>
      <c r="B10" s="4" t="s">
        <v>420</v>
      </c>
      <c r="C10" s="4" t="s">
        <v>421</v>
      </c>
      <c r="D10" s="4" t="s">
        <v>121</v>
      </c>
      <c r="E10" s="5">
        <v>15160</v>
      </c>
      <c r="F10" s="6">
        <v>370.33605999999997</v>
      </c>
      <c r="G10" s="7">
        <v>2.4810949999999998E-2</v>
      </c>
      <c r="H10" s="105"/>
    </row>
    <row r="11" spans="1:14" ht="17.100000000000001" customHeight="1" x14ac:dyDescent="0.2">
      <c r="A11" s="3">
        <v>5</v>
      </c>
      <c r="B11" s="4" t="s">
        <v>63</v>
      </c>
      <c r="C11" s="4" t="s">
        <v>64</v>
      </c>
      <c r="D11" s="4" t="s">
        <v>33</v>
      </c>
      <c r="E11" s="5">
        <v>19423</v>
      </c>
      <c r="F11" s="6">
        <v>368.07556149999999</v>
      </c>
      <c r="G11" s="7">
        <v>2.4659509999999999E-2</v>
      </c>
      <c r="H11" s="105"/>
    </row>
    <row r="12" spans="1:14" ht="17.100000000000001" customHeight="1" x14ac:dyDescent="0.2">
      <c r="A12" s="3">
        <v>6</v>
      </c>
      <c r="B12" s="4" t="s">
        <v>418</v>
      </c>
      <c r="C12" s="4" t="s">
        <v>419</v>
      </c>
      <c r="D12" s="4" t="s">
        <v>953</v>
      </c>
      <c r="E12" s="5">
        <v>40028</v>
      </c>
      <c r="F12" s="6">
        <v>366.97670399999998</v>
      </c>
      <c r="G12" s="7">
        <v>2.4585889999999999E-2</v>
      </c>
      <c r="H12" s="105"/>
    </row>
    <row r="13" spans="1:14" ht="17.100000000000001" customHeight="1" x14ac:dyDescent="0.2">
      <c r="A13" s="3">
        <v>7</v>
      </c>
      <c r="B13" s="4" t="s">
        <v>37</v>
      </c>
      <c r="C13" s="4" t="s">
        <v>38</v>
      </c>
      <c r="D13" s="4" t="s">
        <v>33</v>
      </c>
      <c r="E13" s="5">
        <v>19181</v>
      </c>
      <c r="F13" s="6">
        <v>364.51572399999998</v>
      </c>
      <c r="G13" s="7">
        <v>2.442101E-2</v>
      </c>
      <c r="H13" s="105"/>
      <c r="J13" s="161" t="s">
        <v>1052</v>
      </c>
    </row>
    <row r="14" spans="1:14" ht="17.100000000000001" customHeight="1" x14ac:dyDescent="0.2">
      <c r="A14" s="3">
        <v>8</v>
      </c>
      <c r="B14" s="4" t="s">
        <v>119</v>
      </c>
      <c r="C14" s="4" t="s">
        <v>120</v>
      </c>
      <c r="D14" s="4" t="s">
        <v>121</v>
      </c>
      <c r="E14" s="5">
        <v>119971</v>
      </c>
      <c r="F14" s="6">
        <v>357.873493</v>
      </c>
      <c r="G14" s="7">
        <v>2.3976009999999999E-2</v>
      </c>
      <c r="H14" s="105"/>
    </row>
    <row r="15" spans="1:14" ht="17.100000000000001" customHeight="1" x14ac:dyDescent="0.2">
      <c r="A15" s="3">
        <v>9</v>
      </c>
      <c r="B15" s="4" t="s">
        <v>422</v>
      </c>
      <c r="C15" s="4" t="s">
        <v>423</v>
      </c>
      <c r="D15" s="4" t="s">
        <v>202</v>
      </c>
      <c r="E15" s="5">
        <v>127326</v>
      </c>
      <c r="F15" s="6">
        <v>343.78019999999998</v>
      </c>
      <c r="G15" s="7">
        <v>2.3031820000000001E-2</v>
      </c>
      <c r="H15" s="105"/>
    </row>
    <row r="16" spans="1:14" ht="17.100000000000001" customHeight="1" x14ac:dyDescent="0.2">
      <c r="A16" s="3">
        <v>10</v>
      </c>
      <c r="B16" s="4" t="s">
        <v>389</v>
      </c>
      <c r="C16" s="4" t="s">
        <v>390</v>
      </c>
      <c r="D16" s="4" t="s">
        <v>91</v>
      </c>
      <c r="E16" s="5">
        <v>21498</v>
      </c>
      <c r="F16" s="6">
        <v>310.79658599999999</v>
      </c>
      <c r="G16" s="7">
        <v>2.082206E-2</v>
      </c>
      <c r="H16" s="105"/>
    </row>
    <row r="17" spans="1:8" ht="29.1" customHeight="1" x14ac:dyDescent="0.2">
      <c r="A17" s="3">
        <v>11</v>
      </c>
      <c r="B17" s="4" t="s">
        <v>249</v>
      </c>
      <c r="C17" s="4" t="s">
        <v>250</v>
      </c>
      <c r="D17" s="4" t="s">
        <v>121</v>
      </c>
      <c r="E17" s="5">
        <v>120960</v>
      </c>
      <c r="F17" s="6">
        <v>308.32704000000001</v>
      </c>
      <c r="G17" s="7">
        <v>2.0656609999999999E-2</v>
      </c>
      <c r="H17" s="105"/>
    </row>
    <row r="18" spans="1:8" ht="17.100000000000001" customHeight="1" x14ac:dyDescent="0.2">
      <c r="A18" s="3">
        <v>12</v>
      </c>
      <c r="B18" s="4" t="s">
        <v>293</v>
      </c>
      <c r="C18" s="4" t="s">
        <v>294</v>
      </c>
      <c r="D18" s="4" t="s">
        <v>19</v>
      </c>
      <c r="E18" s="5">
        <v>119529</v>
      </c>
      <c r="F18" s="6">
        <v>300.31661250000002</v>
      </c>
      <c r="G18" s="7">
        <v>2.0119939999999999E-2</v>
      </c>
      <c r="H18" s="105"/>
    </row>
    <row r="19" spans="1:8" ht="17.100000000000001" customHeight="1" x14ac:dyDescent="0.2">
      <c r="A19" s="3">
        <v>13</v>
      </c>
      <c r="B19" s="4" t="s">
        <v>79</v>
      </c>
      <c r="C19" s="4" t="s">
        <v>80</v>
      </c>
      <c r="D19" s="4" t="s">
        <v>81</v>
      </c>
      <c r="E19" s="5">
        <v>10363</v>
      </c>
      <c r="F19" s="6">
        <v>287.53697949999997</v>
      </c>
      <c r="G19" s="7">
        <v>1.9263760000000001E-2</v>
      </c>
      <c r="H19" s="105"/>
    </row>
    <row r="20" spans="1:8" ht="29.1" customHeight="1" x14ac:dyDescent="0.2">
      <c r="A20" s="3">
        <v>14</v>
      </c>
      <c r="B20" s="4" t="s">
        <v>428</v>
      </c>
      <c r="C20" s="4" t="s">
        <v>429</v>
      </c>
      <c r="D20" s="4" t="s">
        <v>62</v>
      </c>
      <c r="E20" s="5">
        <v>12377</v>
      </c>
      <c r="F20" s="6">
        <v>282.467894</v>
      </c>
      <c r="G20" s="7">
        <v>1.8924159999999999E-2</v>
      </c>
      <c r="H20" s="105"/>
    </row>
    <row r="21" spans="1:8" ht="17.100000000000001" customHeight="1" x14ac:dyDescent="0.2">
      <c r="A21" s="3">
        <v>15</v>
      </c>
      <c r="B21" s="4" t="s">
        <v>306</v>
      </c>
      <c r="C21" s="4" t="s">
        <v>307</v>
      </c>
      <c r="D21" s="4" t="s">
        <v>232</v>
      </c>
      <c r="E21" s="5">
        <v>19208</v>
      </c>
      <c r="F21" s="6">
        <v>281.04185200000001</v>
      </c>
      <c r="G21" s="7">
        <v>1.8828620000000001E-2</v>
      </c>
      <c r="H21" s="105"/>
    </row>
    <row r="22" spans="1:8" ht="17.100000000000001" customHeight="1" x14ac:dyDescent="0.2">
      <c r="A22" s="3">
        <v>16</v>
      </c>
      <c r="B22" s="4" t="s">
        <v>385</v>
      </c>
      <c r="C22" s="4" t="s">
        <v>386</v>
      </c>
      <c r="D22" s="4" t="s">
        <v>128</v>
      </c>
      <c r="E22" s="5">
        <v>43956</v>
      </c>
      <c r="F22" s="6">
        <v>271.07665200000002</v>
      </c>
      <c r="G22" s="7">
        <v>1.8160989999999998E-2</v>
      </c>
      <c r="H22" s="105"/>
    </row>
    <row r="23" spans="1:8" ht="17.100000000000001" customHeight="1" x14ac:dyDescent="0.2">
      <c r="A23" s="3">
        <v>17</v>
      </c>
      <c r="B23" s="4" t="s">
        <v>314</v>
      </c>
      <c r="C23" s="4" t="s">
        <v>315</v>
      </c>
      <c r="D23" s="4" t="s">
        <v>223</v>
      </c>
      <c r="E23" s="5">
        <v>21555</v>
      </c>
      <c r="F23" s="6">
        <v>257.7654675</v>
      </c>
      <c r="G23" s="7">
        <v>1.7269199999999998E-2</v>
      </c>
      <c r="H23" s="105"/>
    </row>
    <row r="24" spans="1:8" ht="17.100000000000001" customHeight="1" x14ac:dyDescent="0.2">
      <c r="A24" s="3">
        <v>18</v>
      </c>
      <c r="B24" s="4" t="s">
        <v>415</v>
      </c>
      <c r="C24" s="4" t="s">
        <v>416</v>
      </c>
      <c r="D24" s="4" t="s">
        <v>223</v>
      </c>
      <c r="E24" s="5">
        <v>30500</v>
      </c>
      <c r="F24" s="6">
        <v>233.09625</v>
      </c>
      <c r="G24" s="7">
        <v>1.561646E-2</v>
      </c>
      <c r="H24" s="105"/>
    </row>
    <row r="25" spans="1:8" ht="17.100000000000001" customHeight="1" x14ac:dyDescent="0.2">
      <c r="A25" s="3">
        <v>19</v>
      </c>
      <c r="B25" s="4" t="s">
        <v>327</v>
      </c>
      <c r="C25" s="4" t="s">
        <v>328</v>
      </c>
      <c r="D25" s="4" t="s">
        <v>329</v>
      </c>
      <c r="E25" s="5">
        <v>18321</v>
      </c>
      <c r="F25" s="6">
        <v>225.3574605</v>
      </c>
      <c r="G25" s="7">
        <v>1.5098E-2</v>
      </c>
      <c r="H25" s="105"/>
    </row>
    <row r="26" spans="1:8" ht="17.100000000000001" customHeight="1" x14ac:dyDescent="0.2">
      <c r="A26" s="3">
        <v>20</v>
      </c>
      <c r="B26" s="4" t="s">
        <v>380</v>
      </c>
      <c r="C26" s="4" t="s">
        <v>381</v>
      </c>
      <c r="D26" s="4" t="s">
        <v>954</v>
      </c>
      <c r="E26" s="5">
        <v>23695</v>
      </c>
      <c r="F26" s="6">
        <v>220.7544675</v>
      </c>
      <c r="G26" s="7">
        <v>1.478962E-2</v>
      </c>
      <c r="H26" s="105"/>
    </row>
    <row r="27" spans="1:8" ht="17.100000000000001" customHeight="1" x14ac:dyDescent="0.2">
      <c r="A27" s="3">
        <v>21</v>
      </c>
      <c r="B27" s="4" t="s">
        <v>426</v>
      </c>
      <c r="C27" s="4" t="s">
        <v>427</v>
      </c>
      <c r="D27" s="4" t="s">
        <v>33</v>
      </c>
      <c r="E27" s="5">
        <v>20871</v>
      </c>
      <c r="F27" s="6">
        <v>218.25848250000001</v>
      </c>
      <c r="G27" s="7">
        <v>1.4622400000000001E-2</v>
      </c>
      <c r="H27" s="105"/>
    </row>
    <row r="28" spans="1:8" ht="17.100000000000001" customHeight="1" x14ac:dyDescent="0.2">
      <c r="A28" s="3">
        <v>22</v>
      </c>
      <c r="B28" s="4" t="s">
        <v>424</v>
      </c>
      <c r="C28" s="4" t="s">
        <v>425</v>
      </c>
      <c r="D28" s="4" t="s">
        <v>329</v>
      </c>
      <c r="E28" s="5">
        <v>14772</v>
      </c>
      <c r="F28" s="6">
        <v>206.719368</v>
      </c>
      <c r="G28" s="7">
        <v>1.384932E-2</v>
      </c>
      <c r="H28" s="105"/>
    </row>
    <row r="29" spans="1:8" ht="17.100000000000001" customHeight="1" x14ac:dyDescent="0.2">
      <c r="A29" s="3">
        <v>23</v>
      </c>
      <c r="B29" s="4" t="s">
        <v>462</v>
      </c>
      <c r="C29" s="4" t="s">
        <v>463</v>
      </c>
      <c r="D29" s="4" t="s">
        <v>33</v>
      </c>
      <c r="E29" s="5">
        <v>19126</v>
      </c>
      <c r="F29" s="6">
        <v>206.044398</v>
      </c>
      <c r="G29" s="7">
        <v>1.38041E-2</v>
      </c>
      <c r="H29" s="105"/>
    </row>
    <row r="30" spans="1:8" ht="17.100000000000001" customHeight="1" x14ac:dyDescent="0.2">
      <c r="A30" s="3">
        <v>24</v>
      </c>
      <c r="B30" s="4" t="s">
        <v>413</v>
      </c>
      <c r="C30" s="4" t="s">
        <v>414</v>
      </c>
      <c r="D30" s="4" t="s">
        <v>128</v>
      </c>
      <c r="E30" s="5">
        <v>214883</v>
      </c>
      <c r="F30" s="6">
        <v>188.66727399999999</v>
      </c>
      <c r="G30" s="7">
        <v>1.2639910000000001E-2</v>
      </c>
      <c r="H30" s="105"/>
    </row>
    <row r="31" spans="1:8" ht="17.100000000000001" customHeight="1" x14ac:dyDescent="0.2">
      <c r="A31" s="3">
        <v>25</v>
      </c>
      <c r="B31" s="4" t="s">
        <v>393</v>
      </c>
      <c r="C31" s="4" t="s">
        <v>394</v>
      </c>
      <c r="D31" s="4" t="s">
        <v>128</v>
      </c>
      <c r="E31" s="5">
        <v>17966</v>
      </c>
      <c r="F31" s="6">
        <v>173.246138</v>
      </c>
      <c r="G31" s="7">
        <v>1.1606760000000001E-2</v>
      </c>
      <c r="H31" s="105"/>
    </row>
    <row r="32" spans="1:8" ht="29.1" customHeight="1" x14ac:dyDescent="0.2">
      <c r="A32" s="3">
        <v>26</v>
      </c>
      <c r="B32" s="4" t="s">
        <v>432</v>
      </c>
      <c r="C32" s="4" t="s">
        <v>433</v>
      </c>
      <c r="D32" s="4" t="s">
        <v>212</v>
      </c>
      <c r="E32" s="5">
        <v>7795</v>
      </c>
      <c r="F32" s="6">
        <v>166.02180749999999</v>
      </c>
      <c r="G32" s="7">
        <v>1.1122760000000001E-2</v>
      </c>
      <c r="H32" s="105"/>
    </row>
    <row r="33" spans="1:8" ht="29.1" customHeight="1" x14ac:dyDescent="0.2">
      <c r="A33" s="3">
        <v>27</v>
      </c>
      <c r="B33" s="4" t="s">
        <v>247</v>
      </c>
      <c r="C33" s="4" t="s">
        <v>248</v>
      </c>
      <c r="D33" s="4" t="s">
        <v>212</v>
      </c>
      <c r="E33" s="5">
        <v>53018</v>
      </c>
      <c r="F33" s="6">
        <v>163.08336800000001</v>
      </c>
      <c r="G33" s="7">
        <v>1.0925900000000001E-2</v>
      </c>
      <c r="H33" s="105"/>
    </row>
    <row r="34" spans="1:8" ht="17.100000000000001" customHeight="1" x14ac:dyDescent="0.2">
      <c r="A34" s="3">
        <v>28</v>
      </c>
      <c r="B34" s="4" t="s">
        <v>29</v>
      </c>
      <c r="C34" s="4" t="s">
        <v>30</v>
      </c>
      <c r="D34" s="4" t="s">
        <v>25</v>
      </c>
      <c r="E34" s="5">
        <v>28181</v>
      </c>
      <c r="F34" s="6">
        <v>162.97072299999999</v>
      </c>
      <c r="G34" s="7">
        <v>1.091835E-2</v>
      </c>
      <c r="H34" s="105"/>
    </row>
    <row r="35" spans="1:8" ht="17.100000000000001" customHeight="1" x14ac:dyDescent="0.2">
      <c r="A35" s="3">
        <v>29</v>
      </c>
      <c r="B35" s="4" t="s">
        <v>378</v>
      </c>
      <c r="C35" s="4" t="s">
        <v>379</v>
      </c>
      <c r="D35" s="4" t="s">
        <v>128</v>
      </c>
      <c r="E35" s="5">
        <v>22023</v>
      </c>
      <c r="F35" s="6">
        <v>156.9028635</v>
      </c>
      <c r="G35" s="7">
        <v>1.051183E-2</v>
      </c>
      <c r="H35" s="105"/>
    </row>
    <row r="36" spans="1:8" ht="29.1" customHeight="1" x14ac:dyDescent="0.2">
      <c r="A36" s="3">
        <v>30</v>
      </c>
      <c r="B36" s="4" t="s">
        <v>387</v>
      </c>
      <c r="C36" s="4" t="s">
        <v>388</v>
      </c>
      <c r="D36" s="4" t="s">
        <v>212</v>
      </c>
      <c r="E36" s="5">
        <v>46637</v>
      </c>
      <c r="F36" s="6">
        <v>150.8473765</v>
      </c>
      <c r="G36" s="7">
        <v>1.010614E-2</v>
      </c>
      <c r="H36" s="105"/>
    </row>
    <row r="37" spans="1:8" ht="17.100000000000001" customHeight="1" x14ac:dyDescent="0.2">
      <c r="A37" s="3">
        <v>31</v>
      </c>
      <c r="B37" s="4" t="s">
        <v>464</v>
      </c>
      <c r="C37" s="4" t="s">
        <v>465</v>
      </c>
      <c r="D37" s="4" t="s">
        <v>223</v>
      </c>
      <c r="E37" s="5">
        <v>63181</v>
      </c>
      <c r="F37" s="6">
        <v>140.92522049999999</v>
      </c>
      <c r="G37" s="7">
        <v>9.4413899999999992E-3</v>
      </c>
      <c r="H37" s="105"/>
    </row>
    <row r="38" spans="1:8" ht="29.1" customHeight="1" x14ac:dyDescent="0.2">
      <c r="A38" s="3">
        <v>32</v>
      </c>
      <c r="B38" s="4" t="s">
        <v>466</v>
      </c>
      <c r="C38" s="4" t="s">
        <v>467</v>
      </c>
      <c r="D38" s="4" t="s">
        <v>212</v>
      </c>
      <c r="E38" s="5">
        <v>2436</v>
      </c>
      <c r="F38" s="6">
        <v>135.687636</v>
      </c>
      <c r="G38" s="7">
        <v>9.0904999999999996E-3</v>
      </c>
      <c r="H38" s="105"/>
    </row>
    <row r="39" spans="1:8" ht="17.100000000000001" customHeight="1" x14ac:dyDescent="0.2">
      <c r="A39" s="3">
        <v>33</v>
      </c>
      <c r="B39" s="4" t="s">
        <v>44</v>
      </c>
      <c r="C39" s="4" t="s">
        <v>45</v>
      </c>
      <c r="D39" s="4" t="s">
        <v>33</v>
      </c>
      <c r="E39" s="5">
        <v>3907</v>
      </c>
      <c r="F39" s="6">
        <v>135.65299350000001</v>
      </c>
      <c r="G39" s="7">
        <v>9.0881799999999995E-3</v>
      </c>
      <c r="H39" s="105"/>
    </row>
    <row r="40" spans="1:8" ht="17.100000000000001" customHeight="1" x14ac:dyDescent="0.2">
      <c r="A40" s="3">
        <v>34</v>
      </c>
      <c r="B40" s="4" t="s">
        <v>235</v>
      </c>
      <c r="C40" s="4" t="s">
        <v>236</v>
      </c>
      <c r="D40" s="4" t="s">
        <v>128</v>
      </c>
      <c r="E40" s="5">
        <v>22326</v>
      </c>
      <c r="F40" s="6">
        <v>135.51882000000001</v>
      </c>
      <c r="G40" s="7">
        <v>9.0791899999999991E-3</v>
      </c>
      <c r="H40" s="105"/>
    </row>
    <row r="41" spans="1:8" ht="17.100000000000001" customHeight="1" x14ac:dyDescent="0.2">
      <c r="A41" s="3">
        <v>35</v>
      </c>
      <c r="B41" s="4" t="s">
        <v>411</v>
      </c>
      <c r="C41" s="4" t="s">
        <v>412</v>
      </c>
      <c r="D41" s="4" t="s">
        <v>81</v>
      </c>
      <c r="E41" s="5">
        <v>15982</v>
      </c>
      <c r="F41" s="6">
        <v>132.02730199999999</v>
      </c>
      <c r="G41" s="7">
        <v>8.8452700000000006E-3</v>
      </c>
      <c r="H41" s="105"/>
    </row>
    <row r="42" spans="1:8" ht="29.1" customHeight="1" x14ac:dyDescent="0.2">
      <c r="A42" s="3">
        <v>36</v>
      </c>
      <c r="B42" s="4" t="s">
        <v>391</v>
      </c>
      <c r="C42" s="4" t="s">
        <v>392</v>
      </c>
      <c r="D42" s="4" t="s">
        <v>190</v>
      </c>
      <c r="E42" s="5">
        <v>25833</v>
      </c>
      <c r="F42" s="6">
        <v>129.836658</v>
      </c>
      <c r="G42" s="7">
        <v>8.6985099999999996E-3</v>
      </c>
      <c r="H42" s="105"/>
    </row>
    <row r="43" spans="1:8" ht="17.100000000000001" customHeight="1" x14ac:dyDescent="0.2">
      <c r="A43" s="3">
        <v>37</v>
      </c>
      <c r="B43" s="4" t="s">
        <v>444</v>
      </c>
      <c r="C43" s="4" t="s">
        <v>445</v>
      </c>
      <c r="D43" s="4" t="s">
        <v>25</v>
      </c>
      <c r="E43" s="5">
        <v>45665</v>
      </c>
      <c r="F43" s="6">
        <v>127.633675</v>
      </c>
      <c r="G43" s="7">
        <v>8.55092E-3</v>
      </c>
      <c r="H43" s="105"/>
    </row>
    <row r="44" spans="1:8" ht="29.1" customHeight="1" x14ac:dyDescent="0.2">
      <c r="A44" s="3">
        <v>38</v>
      </c>
      <c r="B44" s="4" t="s">
        <v>395</v>
      </c>
      <c r="C44" s="4" t="s">
        <v>396</v>
      </c>
      <c r="D44" s="4" t="s">
        <v>397</v>
      </c>
      <c r="E44" s="5">
        <v>107873</v>
      </c>
      <c r="F44" s="6">
        <v>124.10788650000001</v>
      </c>
      <c r="G44" s="7">
        <v>8.3146999999999995E-3</v>
      </c>
      <c r="H44" s="105"/>
    </row>
    <row r="45" spans="1:8" ht="29.1" customHeight="1" x14ac:dyDescent="0.2">
      <c r="A45" s="3">
        <v>39</v>
      </c>
      <c r="B45" s="4" t="s">
        <v>468</v>
      </c>
      <c r="C45" s="4" t="s">
        <v>469</v>
      </c>
      <c r="D45" s="4" t="s">
        <v>458</v>
      </c>
      <c r="E45" s="5">
        <v>103230</v>
      </c>
      <c r="F45" s="6">
        <v>117.57897</v>
      </c>
      <c r="G45" s="7">
        <v>7.8772900000000003E-3</v>
      </c>
      <c r="H45" s="105"/>
    </row>
    <row r="46" spans="1:8" ht="29.1" customHeight="1" x14ac:dyDescent="0.2">
      <c r="A46" s="3">
        <v>40</v>
      </c>
      <c r="B46" s="4" t="s">
        <v>404</v>
      </c>
      <c r="C46" s="4" t="s">
        <v>405</v>
      </c>
      <c r="D46" s="4" t="s">
        <v>406</v>
      </c>
      <c r="E46" s="5">
        <v>29241</v>
      </c>
      <c r="F46" s="6">
        <v>112.47550649999999</v>
      </c>
      <c r="G46" s="7">
        <v>7.5353800000000004E-3</v>
      </c>
      <c r="H46" s="105"/>
    </row>
    <row r="47" spans="1:8" ht="17.100000000000001" customHeight="1" x14ac:dyDescent="0.2">
      <c r="A47" s="3">
        <v>41</v>
      </c>
      <c r="B47" s="4" t="s">
        <v>398</v>
      </c>
      <c r="C47" s="4" t="s">
        <v>399</v>
      </c>
      <c r="D47" s="4" t="s">
        <v>59</v>
      </c>
      <c r="E47" s="5">
        <v>17619</v>
      </c>
      <c r="F47" s="6">
        <v>111.6780315</v>
      </c>
      <c r="G47" s="7">
        <v>7.4819600000000002E-3</v>
      </c>
      <c r="H47" s="105"/>
    </row>
    <row r="48" spans="1:8" ht="17.100000000000001" customHeight="1" x14ac:dyDescent="0.2">
      <c r="A48" s="3">
        <v>42</v>
      </c>
      <c r="B48" s="4" t="s">
        <v>470</v>
      </c>
      <c r="C48" s="4" t="s">
        <v>471</v>
      </c>
      <c r="D48" s="4" t="s">
        <v>121</v>
      </c>
      <c r="E48" s="5">
        <v>8109</v>
      </c>
      <c r="F48" s="6">
        <v>107.2861245</v>
      </c>
      <c r="G48" s="7">
        <v>7.1877199999999999E-3</v>
      </c>
      <c r="H48" s="105"/>
    </row>
    <row r="49" spans="1:8" ht="29.1" customHeight="1" x14ac:dyDescent="0.2">
      <c r="A49" s="3">
        <v>43</v>
      </c>
      <c r="B49" s="4" t="s">
        <v>448</v>
      </c>
      <c r="C49" s="4" t="s">
        <v>449</v>
      </c>
      <c r="D49" s="4" t="s">
        <v>121</v>
      </c>
      <c r="E49" s="5">
        <v>9500</v>
      </c>
      <c r="F49" s="6">
        <v>106.5235</v>
      </c>
      <c r="G49" s="7">
        <v>7.1366199999999998E-3</v>
      </c>
      <c r="H49" s="105"/>
    </row>
    <row r="50" spans="1:8" ht="29.1" customHeight="1" x14ac:dyDescent="0.2">
      <c r="A50" s="3">
        <v>44</v>
      </c>
      <c r="B50" s="4" t="s">
        <v>442</v>
      </c>
      <c r="C50" s="4" t="s">
        <v>443</v>
      </c>
      <c r="D50" s="4" t="s">
        <v>406</v>
      </c>
      <c r="E50" s="5">
        <v>28411</v>
      </c>
      <c r="F50" s="6">
        <v>103.11772449999999</v>
      </c>
      <c r="G50" s="7">
        <v>6.90845E-3</v>
      </c>
      <c r="H50" s="105"/>
    </row>
    <row r="51" spans="1:8" ht="17.100000000000001" customHeight="1" x14ac:dyDescent="0.2">
      <c r="A51" s="3">
        <v>45</v>
      </c>
      <c r="B51" s="4" t="s">
        <v>440</v>
      </c>
      <c r="C51" s="4" t="s">
        <v>441</v>
      </c>
      <c r="D51" s="4" t="s">
        <v>271</v>
      </c>
      <c r="E51" s="5">
        <v>15093</v>
      </c>
      <c r="F51" s="6">
        <v>96.746129999999994</v>
      </c>
      <c r="G51" s="7">
        <v>6.4815799999999998E-3</v>
      </c>
      <c r="H51" s="105"/>
    </row>
    <row r="52" spans="1:8" ht="17.100000000000001" customHeight="1" x14ac:dyDescent="0.2">
      <c r="A52" s="3">
        <v>46</v>
      </c>
      <c r="B52" s="4" t="s">
        <v>446</v>
      </c>
      <c r="C52" s="4" t="s">
        <v>447</v>
      </c>
      <c r="D52" s="4" t="s">
        <v>121</v>
      </c>
      <c r="E52" s="5">
        <v>23119</v>
      </c>
      <c r="F52" s="6">
        <v>95.886052500000005</v>
      </c>
      <c r="G52" s="7">
        <v>6.4239600000000003E-3</v>
      </c>
      <c r="H52" s="105"/>
    </row>
    <row r="53" spans="1:8" ht="29.1" customHeight="1" x14ac:dyDescent="0.2">
      <c r="A53" s="3">
        <v>47</v>
      </c>
      <c r="B53" s="4" t="s">
        <v>472</v>
      </c>
      <c r="C53" s="4" t="s">
        <v>473</v>
      </c>
      <c r="D53" s="4" t="s">
        <v>474</v>
      </c>
      <c r="E53" s="5">
        <v>20000</v>
      </c>
      <c r="F53" s="6">
        <v>90.68</v>
      </c>
      <c r="G53" s="7">
        <v>6.0751800000000003E-3</v>
      </c>
      <c r="H53" s="105"/>
    </row>
    <row r="54" spans="1:8" ht="17.100000000000001" customHeight="1" x14ac:dyDescent="0.2">
      <c r="A54" s="3">
        <v>48</v>
      </c>
      <c r="B54" s="4" t="s">
        <v>430</v>
      </c>
      <c r="C54" s="4" t="s">
        <v>431</v>
      </c>
      <c r="D54" s="4" t="s">
        <v>121</v>
      </c>
      <c r="E54" s="5">
        <v>5957</v>
      </c>
      <c r="F54" s="6">
        <v>88.175514000000007</v>
      </c>
      <c r="G54" s="7">
        <v>5.9073900000000002E-3</v>
      </c>
      <c r="H54" s="105"/>
    </row>
    <row r="55" spans="1:8" ht="17.100000000000001" customHeight="1" x14ac:dyDescent="0.2">
      <c r="A55" s="3">
        <v>49</v>
      </c>
      <c r="B55" s="4" t="s">
        <v>400</v>
      </c>
      <c r="C55" s="4" t="s">
        <v>401</v>
      </c>
      <c r="D55" s="4" t="s">
        <v>13</v>
      </c>
      <c r="E55" s="5">
        <v>97039</v>
      </c>
      <c r="F55" s="6">
        <v>85.248761500000001</v>
      </c>
      <c r="G55" s="7">
        <v>5.7113099999999998E-3</v>
      </c>
      <c r="H55" s="105"/>
    </row>
    <row r="56" spans="1:8" ht="29.1" customHeight="1" x14ac:dyDescent="0.2">
      <c r="A56" s="3">
        <v>50</v>
      </c>
      <c r="B56" s="4" t="s">
        <v>475</v>
      </c>
      <c r="C56" s="4" t="s">
        <v>476</v>
      </c>
      <c r="D56" s="4" t="s">
        <v>212</v>
      </c>
      <c r="E56" s="5">
        <v>2024</v>
      </c>
      <c r="F56" s="6">
        <v>75.933396000000002</v>
      </c>
      <c r="G56" s="7">
        <v>5.0872199999999999E-3</v>
      </c>
      <c r="H56" s="105"/>
    </row>
    <row r="57" spans="1:8" ht="17.100000000000001" customHeight="1" x14ac:dyDescent="0.2">
      <c r="A57" s="3">
        <v>51</v>
      </c>
      <c r="B57" s="4" t="s">
        <v>402</v>
      </c>
      <c r="C57" s="4" t="s">
        <v>403</v>
      </c>
      <c r="D57" s="4" t="s">
        <v>207</v>
      </c>
      <c r="E57" s="5">
        <v>9697</v>
      </c>
      <c r="F57" s="6">
        <v>75.442660000000004</v>
      </c>
      <c r="G57" s="7">
        <v>5.05434E-3</v>
      </c>
      <c r="H57" s="105"/>
    </row>
    <row r="58" spans="1:8" ht="29.1" customHeight="1" x14ac:dyDescent="0.2">
      <c r="A58" s="3">
        <v>52</v>
      </c>
      <c r="B58" s="4" t="s">
        <v>407</v>
      </c>
      <c r="C58" s="4" t="s">
        <v>408</v>
      </c>
      <c r="D58" s="4" t="s">
        <v>212</v>
      </c>
      <c r="E58" s="5">
        <v>1438</v>
      </c>
      <c r="F58" s="6">
        <v>66.993544</v>
      </c>
      <c r="G58" s="7">
        <v>4.4882799999999999E-3</v>
      </c>
      <c r="H58" s="105"/>
    </row>
    <row r="59" spans="1:8" ht="17.100000000000001" customHeight="1" x14ac:dyDescent="0.2">
      <c r="A59" s="3">
        <v>53</v>
      </c>
      <c r="B59" s="4" t="s">
        <v>450</v>
      </c>
      <c r="C59" s="4" t="s">
        <v>451</v>
      </c>
      <c r="D59" s="4" t="s">
        <v>33</v>
      </c>
      <c r="E59" s="5">
        <v>7769</v>
      </c>
      <c r="F59" s="6">
        <v>64.820651499999997</v>
      </c>
      <c r="G59" s="7">
        <v>4.3427099999999996E-3</v>
      </c>
      <c r="H59" s="105"/>
    </row>
    <row r="60" spans="1:8" ht="29.1" customHeight="1" x14ac:dyDescent="0.2">
      <c r="A60" s="3">
        <v>54</v>
      </c>
      <c r="B60" s="4" t="s">
        <v>409</v>
      </c>
      <c r="C60" s="4" t="s">
        <v>410</v>
      </c>
      <c r="D60" s="4" t="s">
        <v>212</v>
      </c>
      <c r="E60" s="5">
        <v>23079</v>
      </c>
      <c r="F60" s="6">
        <v>58.643738999999997</v>
      </c>
      <c r="G60" s="7">
        <v>3.92888E-3</v>
      </c>
      <c r="H60" s="105"/>
    </row>
    <row r="61" spans="1:8" ht="17.100000000000001" customHeight="1" x14ac:dyDescent="0.2">
      <c r="A61" s="3">
        <v>55</v>
      </c>
      <c r="B61" s="4" t="s">
        <v>454</v>
      </c>
      <c r="C61" s="4" t="s">
        <v>455</v>
      </c>
      <c r="D61" s="4" t="s">
        <v>121</v>
      </c>
      <c r="E61" s="5">
        <v>22129</v>
      </c>
      <c r="F61" s="6">
        <v>49.967281999999997</v>
      </c>
      <c r="G61" s="7">
        <v>3.3476000000000001E-3</v>
      </c>
      <c r="H61" s="105"/>
    </row>
    <row r="62" spans="1:8" ht="17.100000000000001" customHeight="1" x14ac:dyDescent="0.2">
      <c r="A62" s="3">
        <v>56</v>
      </c>
      <c r="B62" s="4" t="s">
        <v>438</v>
      </c>
      <c r="C62" s="4" t="s">
        <v>439</v>
      </c>
      <c r="D62" s="4" t="s">
        <v>121</v>
      </c>
      <c r="E62" s="5">
        <v>9335</v>
      </c>
      <c r="F62" s="6">
        <v>48.635350000000003</v>
      </c>
      <c r="G62" s="7">
        <v>3.2583600000000001E-3</v>
      </c>
      <c r="H62" s="105"/>
    </row>
    <row r="63" spans="1:8" ht="17.100000000000001" customHeight="1" x14ac:dyDescent="0.2">
      <c r="A63" s="3">
        <v>57</v>
      </c>
      <c r="B63" s="4" t="s">
        <v>452</v>
      </c>
      <c r="C63" s="4" t="s">
        <v>453</v>
      </c>
      <c r="D63" s="4" t="s">
        <v>91</v>
      </c>
      <c r="E63" s="5">
        <v>72875</v>
      </c>
      <c r="F63" s="6">
        <v>47.514499999999998</v>
      </c>
      <c r="G63" s="7">
        <v>3.1832700000000002E-3</v>
      </c>
      <c r="H63" s="105"/>
    </row>
    <row r="64" spans="1:8" ht="29.1" customHeight="1" x14ac:dyDescent="0.2">
      <c r="A64" s="3">
        <v>58</v>
      </c>
      <c r="B64" s="4" t="s">
        <v>334</v>
      </c>
      <c r="C64" s="4" t="s">
        <v>335</v>
      </c>
      <c r="D64" s="4" t="s">
        <v>183</v>
      </c>
      <c r="E64" s="5">
        <v>10835</v>
      </c>
      <c r="F64" s="6">
        <v>46.465897499999997</v>
      </c>
      <c r="G64" s="7">
        <v>3.1130200000000002E-3</v>
      </c>
      <c r="H64" s="105"/>
    </row>
    <row r="65" spans="1:8" ht="29.1" customHeight="1" x14ac:dyDescent="0.2">
      <c r="A65" s="3">
        <v>59</v>
      </c>
      <c r="B65" s="4" t="s">
        <v>456</v>
      </c>
      <c r="C65" s="4" t="s">
        <v>457</v>
      </c>
      <c r="D65" s="4" t="s">
        <v>458</v>
      </c>
      <c r="E65" s="5">
        <v>6615</v>
      </c>
      <c r="F65" s="6">
        <v>29.1093075</v>
      </c>
      <c r="G65" s="7">
        <v>1.9502E-3</v>
      </c>
      <c r="H65" s="105"/>
    </row>
    <row r="66" spans="1:8" ht="14.1" customHeight="1" x14ac:dyDescent="0.2">
      <c r="A66" s="1"/>
      <c r="B66" s="1"/>
      <c r="C66" s="2" t="s">
        <v>132</v>
      </c>
      <c r="D66" s="1"/>
      <c r="E66" s="1" t="s">
        <v>133</v>
      </c>
      <c r="F66" s="9">
        <v>11444.018007999999</v>
      </c>
      <c r="G66" s="10">
        <v>0.76670086000000004</v>
      </c>
      <c r="H66" s="105"/>
    </row>
    <row r="67" spans="1:8" ht="14.1" customHeight="1" x14ac:dyDescent="0.2">
      <c r="A67" s="1"/>
      <c r="B67" s="1"/>
      <c r="C67" s="11"/>
      <c r="D67" s="1"/>
      <c r="E67" s="1"/>
      <c r="F67" s="12"/>
      <c r="G67" s="12"/>
      <c r="H67" s="105"/>
    </row>
    <row r="68" spans="1:8" ht="14.1" customHeight="1" x14ac:dyDescent="0.2">
      <c r="A68" s="1"/>
      <c r="B68" s="1"/>
      <c r="C68" s="2" t="s">
        <v>134</v>
      </c>
      <c r="D68" s="1"/>
      <c r="E68" s="1"/>
      <c r="F68" s="1"/>
      <c r="G68" s="1"/>
      <c r="H68" s="105"/>
    </row>
    <row r="69" spans="1:8" ht="14.1" customHeight="1" x14ac:dyDescent="0.2">
      <c r="A69" s="1"/>
      <c r="B69" s="1"/>
      <c r="C69" s="2" t="s">
        <v>132</v>
      </c>
      <c r="D69" s="1"/>
      <c r="E69" s="1" t="s">
        <v>133</v>
      </c>
      <c r="F69" s="13" t="s">
        <v>135</v>
      </c>
      <c r="G69" s="10">
        <v>0</v>
      </c>
      <c r="H69" s="105"/>
    </row>
    <row r="70" spans="1:8" ht="14.1" customHeight="1" x14ac:dyDescent="0.2">
      <c r="A70" s="1"/>
      <c r="B70" s="1"/>
      <c r="C70" s="11"/>
      <c r="D70" s="1"/>
      <c r="E70" s="1"/>
      <c r="F70" s="12"/>
      <c r="G70" s="12"/>
      <c r="H70" s="105"/>
    </row>
    <row r="71" spans="1:8" ht="14.1" customHeight="1" x14ac:dyDescent="0.2">
      <c r="A71" s="1"/>
      <c r="B71" s="1"/>
      <c r="C71" s="2" t="s">
        <v>136</v>
      </c>
      <c r="D71" s="1"/>
      <c r="E71" s="1"/>
      <c r="F71" s="1"/>
      <c r="G71" s="1"/>
      <c r="H71" s="105"/>
    </row>
    <row r="72" spans="1:8" ht="14.1" customHeight="1" x14ac:dyDescent="0.2">
      <c r="A72" s="1"/>
      <c r="B72" s="1"/>
      <c r="C72" s="2" t="s">
        <v>132</v>
      </c>
      <c r="D72" s="1"/>
      <c r="E72" s="1" t="s">
        <v>133</v>
      </c>
      <c r="F72" s="13" t="s">
        <v>135</v>
      </c>
      <c r="G72" s="10">
        <v>0</v>
      </c>
      <c r="H72" s="105"/>
    </row>
    <row r="73" spans="1:8" ht="14.1" customHeight="1" x14ac:dyDescent="0.2">
      <c r="A73" s="1"/>
      <c r="B73" s="1"/>
      <c r="C73" s="11"/>
      <c r="D73" s="1"/>
      <c r="E73" s="1"/>
      <c r="F73" s="12"/>
      <c r="G73" s="12"/>
      <c r="H73" s="105"/>
    </row>
    <row r="74" spans="1:8" ht="14.1" customHeight="1" x14ac:dyDescent="0.2">
      <c r="A74" s="1"/>
      <c r="B74" s="1"/>
      <c r="C74" s="2" t="s">
        <v>137</v>
      </c>
      <c r="D74" s="1"/>
      <c r="E74" s="1"/>
      <c r="F74" s="1"/>
      <c r="G74" s="1"/>
      <c r="H74" s="105"/>
    </row>
    <row r="75" spans="1:8" ht="14.1" customHeight="1" x14ac:dyDescent="0.2">
      <c r="A75" s="1"/>
      <c r="B75" s="1"/>
      <c r="C75" s="2" t="s">
        <v>132</v>
      </c>
      <c r="D75" s="1"/>
      <c r="E75" s="1" t="s">
        <v>133</v>
      </c>
      <c r="F75" s="13" t="s">
        <v>135</v>
      </c>
      <c r="G75" s="10">
        <v>0</v>
      </c>
      <c r="H75" s="105"/>
    </row>
    <row r="76" spans="1:8" ht="14.1" customHeight="1" x14ac:dyDescent="0.2">
      <c r="A76" s="1"/>
      <c r="B76" s="1"/>
      <c r="C76" s="11"/>
      <c r="D76" s="1"/>
      <c r="E76" s="1"/>
      <c r="F76" s="12"/>
      <c r="G76" s="12"/>
      <c r="H76" s="105"/>
    </row>
    <row r="77" spans="1:8" ht="14.1" customHeight="1" x14ac:dyDescent="0.2">
      <c r="A77" s="1"/>
      <c r="B77" s="1"/>
      <c r="C77" s="2" t="s">
        <v>138</v>
      </c>
      <c r="D77" s="1"/>
      <c r="E77" s="1"/>
      <c r="F77" s="12"/>
      <c r="G77" s="12"/>
      <c r="H77" s="105"/>
    </row>
    <row r="78" spans="1:8" ht="14.1" customHeight="1" x14ac:dyDescent="0.2">
      <c r="A78" s="1"/>
      <c r="B78" s="1"/>
      <c r="C78" s="2" t="s">
        <v>132</v>
      </c>
      <c r="D78" s="1"/>
      <c r="E78" s="1" t="s">
        <v>133</v>
      </c>
      <c r="F78" s="13" t="s">
        <v>135</v>
      </c>
      <c r="G78" s="10">
        <v>0</v>
      </c>
      <c r="H78" s="105"/>
    </row>
    <row r="79" spans="1:8" ht="14.1" customHeight="1" x14ac:dyDescent="0.2">
      <c r="A79" s="1"/>
      <c r="B79" s="1"/>
      <c r="C79" s="11"/>
      <c r="D79" s="1"/>
      <c r="E79" s="1"/>
      <c r="F79" s="12"/>
      <c r="G79" s="12"/>
      <c r="H79" s="105"/>
    </row>
    <row r="80" spans="1:8" ht="14.1" customHeight="1" x14ac:dyDescent="0.2">
      <c r="A80" s="1"/>
      <c r="B80" s="1"/>
      <c r="C80" s="2" t="s">
        <v>139</v>
      </c>
      <c r="D80" s="1"/>
      <c r="E80" s="1"/>
      <c r="F80" s="12"/>
      <c r="G80" s="12"/>
      <c r="H80" s="105"/>
    </row>
    <row r="81" spans="1:8" ht="14.1" customHeight="1" x14ac:dyDescent="0.2">
      <c r="A81" s="1"/>
      <c r="B81" s="1"/>
      <c r="C81" s="2" t="s">
        <v>132</v>
      </c>
      <c r="D81" s="1"/>
      <c r="E81" s="1" t="s">
        <v>133</v>
      </c>
      <c r="F81" s="13" t="s">
        <v>135</v>
      </c>
      <c r="G81" s="10">
        <v>0</v>
      </c>
      <c r="H81" s="105"/>
    </row>
    <row r="82" spans="1:8" ht="14.1" customHeight="1" x14ac:dyDescent="0.2">
      <c r="A82" s="1"/>
      <c r="B82" s="1"/>
      <c r="C82" s="11"/>
      <c r="D82" s="1"/>
      <c r="E82" s="1"/>
      <c r="F82" s="12"/>
      <c r="G82" s="12"/>
      <c r="H82" s="105"/>
    </row>
    <row r="83" spans="1:8" ht="18" customHeight="1" x14ac:dyDescent="0.2">
      <c r="A83" s="1"/>
      <c r="B83" s="1"/>
      <c r="C83" s="2" t="s">
        <v>140</v>
      </c>
      <c r="D83" s="1"/>
      <c r="E83" s="1"/>
      <c r="F83" s="9">
        <v>11444.018007999999</v>
      </c>
      <c r="G83" s="10">
        <v>0.76670086000000004</v>
      </c>
      <c r="H83" s="105"/>
    </row>
    <row r="84" spans="1:8" ht="14.1" customHeight="1" x14ac:dyDescent="0.2">
      <c r="A84" s="1"/>
      <c r="B84" s="1"/>
      <c r="C84" s="11"/>
      <c r="D84" s="1"/>
      <c r="E84" s="1"/>
      <c r="F84" s="12"/>
      <c r="G84" s="12"/>
      <c r="H84" s="105"/>
    </row>
    <row r="85" spans="1:8" ht="14.1" customHeight="1" x14ac:dyDescent="0.2">
      <c r="A85" s="1"/>
      <c r="B85" s="1"/>
      <c r="C85" s="2" t="s">
        <v>141</v>
      </c>
      <c r="D85" s="1"/>
      <c r="E85" s="1"/>
      <c r="F85" s="12"/>
      <c r="G85" s="12"/>
      <c r="H85" s="105"/>
    </row>
    <row r="86" spans="1:8" ht="24" customHeight="1" x14ac:dyDescent="0.2">
      <c r="A86" s="1"/>
      <c r="B86" s="1"/>
      <c r="C86" s="2" t="s">
        <v>10</v>
      </c>
      <c r="D86" s="1"/>
      <c r="E86" s="1"/>
      <c r="F86" s="12"/>
      <c r="G86" s="12"/>
      <c r="H86" s="105"/>
    </row>
    <row r="87" spans="1:8" ht="14.1" customHeight="1" x14ac:dyDescent="0.2">
      <c r="A87" s="1"/>
      <c r="B87" s="1"/>
      <c r="C87" s="2" t="s">
        <v>132</v>
      </c>
      <c r="D87" s="1"/>
      <c r="E87" s="1" t="s">
        <v>133</v>
      </c>
      <c r="F87" s="13" t="s">
        <v>135</v>
      </c>
      <c r="G87" s="10">
        <v>0</v>
      </c>
      <c r="H87" s="105"/>
    </row>
    <row r="88" spans="1:8" ht="14.1" customHeight="1" x14ac:dyDescent="0.2">
      <c r="A88" s="1"/>
      <c r="B88" s="1"/>
      <c r="C88" s="11"/>
      <c r="D88" s="1"/>
      <c r="E88" s="1"/>
      <c r="F88" s="12"/>
      <c r="G88" s="12"/>
      <c r="H88" s="105"/>
    </row>
    <row r="89" spans="1:8" ht="14.1" customHeight="1" x14ac:dyDescent="0.2">
      <c r="A89" s="1"/>
      <c r="B89" s="1"/>
      <c r="C89" s="2" t="s">
        <v>142</v>
      </c>
      <c r="D89" s="1"/>
      <c r="E89" s="1"/>
      <c r="F89" s="1"/>
      <c r="G89" s="1"/>
      <c r="H89" s="105"/>
    </row>
    <row r="90" spans="1:8" ht="14.1" customHeight="1" x14ac:dyDescent="0.2">
      <c r="A90" s="1"/>
      <c r="B90" s="1"/>
      <c r="C90" s="2" t="s">
        <v>132</v>
      </c>
      <c r="D90" s="1"/>
      <c r="E90" s="1" t="s">
        <v>133</v>
      </c>
      <c r="F90" s="13" t="s">
        <v>135</v>
      </c>
      <c r="G90" s="10">
        <v>0</v>
      </c>
      <c r="H90" s="105"/>
    </row>
    <row r="91" spans="1:8" ht="14.1" customHeight="1" x14ac:dyDescent="0.2">
      <c r="A91" s="1"/>
      <c r="B91" s="1"/>
      <c r="C91" s="11"/>
      <c r="D91" s="1"/>
      <c r="E91" s="1"/>
      <c r="F91" s="12"/>
      <c r="G91" s="12"/>
      <c r="H91" s="105"/>
    </row>
    <row r="92" spans="1:8" ht="14.1" customHeight="1" x14ac:dyDescent="0.2">
      <c r="A92" s="1"/>
      <c r="B92" s="1"/>
      <c r="C92" s="2" t="s">
        <v>143</v>
      </c>
      <c r="D92" s="1"/>
      <c r="E92" s="1"/>
      <c r="F92" s="1"/>
      <c r="G92" s="1"/>
      <c r="H92" s="105"/>
    </row>
    <row r="93" spans="1:8" ht="14.1" customHeight="1" x14ac:dyDescent="0.2">
      <c r="A93" s="1"/>
      <c r="B93" s="1"/>
      <c r="C93" s="2" t="s">
        <v>132</v>
      </c>
      <c r="D93" s="1"/>
      <c r="E93" s="1" t="s">
        <v>133</v>
      </c>
      <c r="F93" s="13" t="s">
        <v>135</v>
      </c>
      <c r="G93" s="10">
        <v>0</v>
      </c>
      <c r="H93" s="105"/>
    </row>
    <row r="94" spans="1:8" ht="14.1" customHeight="1" x14ac:dyDescent="0.2">
      <c r="A94" s="1"/>
      <c r="B94" s="1"/>
      <c r="C94" s="11"/>
      <c r="D94" s="1"/>
      <c r="E94" s="1"/>
      <c r="F94" s="12"/>
      <c r="G94" s="12"/>
      <c r="H94" s="105"/>
    </row>
    <row r="95" spans="1:8" ht="14.1" customHeight="1" x14ac:dyDescent="0.2">
      <c r="A95" s="1"/>
      <c r="B95" s="1"/>
      <c r="C95" s="2" t="s">
        <v>144</v>
      </c>
      <c r="D95" s="1"/>
      <c r="E95" s="1"/>
      <c r="F95" s="12"/>
      <c r="G95" s="12"/>
      <c r="H95" s="105"/>
    </row>
    <row r="96" spans="1:8" ht="14.1" customHeight="1" x14ac:dyDescent="0.2">
      <c r="A96" s="1"/>
      <c r="B96" s="1"/>
      <c r="C96" s="2" t="s">
        <v>132</v>
      </c>
      <c r="D96" s="1"/>
      <c r="E96" s="1" t="s">
        <v>133</v>
      </c>
      <c r="F96" s="13" t="s">
        <v>135</v>
      </c>
      <c r="G96" s="10">
        <v>0</v>
      </c>
      <c r="H96" s="105"/>
    </row>
    <row r="97" spans="1:8" ht="14.1" customHeight="1" x14ac:dyDescent="0.2">
      <c r="A97" s="1"/>
      <c r="B97" s="1"/>
      <c r="C97" s="11"/>
      <c r="D97" s="1"/>
      <c r="E97" s="1"/>
      <c r="F97" s="12"/>
      <c r="G97" s="12"/>
      <c r="H97" s="105"/>
    </row>
    <row r="98" spans="1:8" ht="14.1" customHeight="1" x14ac:dyDescent="0.2">
      <c r="A98" s="1"/>
      <c r="B98" s="1"/>
      <c r="C98" s="2" t="s">
        <v>145</v>
      </c>
      <c r="D98" s="1"/>
      <c r="E98" s="1"/>
      <c r="F98" s="9">
        <v>0</v>
      </c>
      <c r="G98" s="10">
        <v>0</v>
      </c>
      <c r="H98" s="105"/>
    </row>
    <row r="99" spans="1:8" ht="14.1" customHeight="1" x14ac:dyDescent="0.2">
      <c r="A99" s="1"/>
      <c r="B99" s="1"/>
      <c r="C99" s="11"/>
      <c r="D99" s="1"/>
      <c r="E99" s="1"/>
      <c r="F99" s="12"/>
      <c r="G99" s="12"/>
      <c r="H99" s="105"/>
    </row>
    <row r="100" spans="1:8" ht="14.1" customHeight="1" x14ac:dyDescent="0.2">
      <c r="A100" s="1"/>
      <c r="B100" s="1"/>
      <c r="C100" s="2" t="s">
        <v>146</v>
      </c>
      <c r="D100" s="1"/>
      <c r="E100" s="1"/>
      <c r="F100" s="12"/>
      <c r="G100" s="12"/>
      <c r="H100" s="105"/>
    </row>
    <row r="101" spans="1:8" ht="14.1" customHeight="1" x14ac:dyDescent="0.2">
      <c r="A101" s="1"/>
      <c r="B101" s="1"/>
      <c r="C101" s="2" t="s">
        <v>147</v>
      </c>
      <c r="D101" s="1"/>
      <c r="E101" s="1"/>
      <c r="F101" s="12"/>
      <c r="G101" s="12"/>
      <c r="H101" s="105"/>
    </row>
    <row r="102" spans="1:8" ht="14.1" customHeight="1" x14ac:dyDescent="0.2">
      <c r="A102" s="1"/>
      <c r="B102" s="1"/>
      <c r="C102" s="2" t="s">
        <v>132</v>
      </c>
      <c r="D102" s="1"/>
      <c r="E102" s="1" t="s">
        <v>133</v>
      </c>
      <c r="F102" s="13" t="s">
        <v>135</v>
      </c>
      <c r="G102" s="10">
        <v>0</v>
      </c>
      <c r="H102" s="105"/>
    </row>
    <row r="103" spans="1:8" ht="14.1" customHeight="1" x14ac:dyDescent="0.2">
      <c r="A103" s="1"/>
      <c r="B103" s="1"/>
      <c r="C103" s="11"/>
      <c r="D103" s="1"/>
      <c r="E103" s="1"/>
      <c r="F103" s="12"/>
      <c r="G103" s="12"/>
      <c r="H103" s="105"/>
    </row>
    <row r="104" spans="1:8" ht="14.1" customHeight="1" x14ac:dyDescent="0.2">
      <c r="A104" s="1"/>
      <c r="B104" s="1"/>
      <c r="C104" s="2" t="s">
        <v>148</v>
      </c>
      <c r="D104" s="1"/>
      <c r="E104" s="1"/>
      <c r="F104" s="12"/>
      <c r="G104" s="12"/>
      <c r="H104" s="105"/>
    </row>
    <row r="105" spans="1:8" ht="14.1" customHeight="1" x14ac:dyDescent="0.2">
      <c r="A105" s="1"/>
      <c r="B105" s="1"/>
      <c r="C105" s="2" t="s">
        <v>132</v>
      </c>
      <c r="D105" s="1"/>
      <c r="E105" s="1" t="s">
        <v>133</v>
      </c>
      <c r="F105" s="13" t="s">
        <v>135</v>
      </c>
      <c r="G105" s="10">
        <v>0</v>
      </c>
      <c r="H105" s="105"/>
    </row>
    <row r="106" spans="1:8" ht="14.1" customHeight="1" x14ac:dyDescent="0.2">
      <c r="A106" s="1"/>
      <c r="B106" s="1"/>
      <c r="C106" s="11"/>
      <c r="D106" s="1"/>
      <c r="E106" s="1"/>
      <c r="F106" s="12"/>
      <c r="G106" s="12"/>
      <c r="H106" s="105"/>
    </row>
    <row r="107" spans="1:8" ht="14.1" customHeight="1" x14ac:dyDescent="0.2">
      <c r="A107" s="1"/>
      <c r="B107" s="1"/>
      <c r="C107" s="2" t="s">
        <v>149</v>
      </c>
      <c r="D107" s="1"/>
      <c r="E107" s="1"/>
      <c r="F107" s="12"/>
      <c r="G107" s="12"/>
      <c r="H107" s="105"/>
    </row>
    <row r="108" spans="1:8" ht="14.1" customHeight="1" x14ac:dyDescent="0.2">
      <c r="A108" s="1"/>
      <c r="B108" s="1"/>
      <c r="C108" s="2" t="s">
        <v>132</v>
      </c>
      <c r="D108" s="1"/>
      <c r="E108" s="1" t="s">
        <v>133</v>
      </c>
      <c r="F108" s="13" t="s">
        <v>135</v>
      </c>
      <c r="G108" s="10">
        <v>0</v>
      </c>
      <c r="H108" s="105"/>
    </row>
    <row r="109" spans="1:8" ht="14.1" customHeight="1" x14ac:dyDescent="0.2">
      <c r="A109" s="1"/>
      <c r="B109" s="1"/>
      <c r="C109" s="11"/>
      <c r="D109" s="1"/>
      <c r="E109" s="1"/>
      <c r="F109" s="12"/>
      <c r="G109" s="12"/>
      <c r="H109" s="105"/>
    </row>
    <row r="110" spans="1:8" ht="14.1" customHeight="1" x14ac:dyDescent="0.2">
      <c r="A110" s="1"/>
      <c r="B110" s="1"/>
      <c r="C110" s="2" t="s">
        <v>150</v>
      </c>
      <c r="D110" s="1"/>
      <c r="E110" s="1"/>
      <c r="F110" s="12"/>
      <c r="G110" s="12"/>
      <c r="H110" s="105"/>
    </row>
    <row r="111" spans="1:8" ht="17.100000000000001" customHeight="1" x14ac:dyDescent="0.2">
      <c r="A111" s="3">
        <v>1</v>
      </c>
      <c r="B111" s="4"/>
      <c r="C111" s="4" t="s">
        <v>151</v>
      </c>
      <c r="D111" s="4"/>
      <c r="E111" s="8"/>
      <c r="F111" s="6">
        <v>2989.3357127999998</v>
      </c>
      <c r="G111" s="7">
        <v>0.20027286</v>
      </c>
      <c r="H111" s="105">
        <v>6.8153352377542396</v>
      </c>
    </row>
    <row r="112" spans="1:8" ht="17.100000000000001" customHeight="1" x14ac:dyDescent="0.2">
      <c r="A112" s="3">
        <v>2</v>
      </c>
      <c r="B112" s="4"/>
      <c r="C112" s="4" t="s">
        <v>152</v>
      </c>
      <c r="D112" s="4"/>
      <c r="E112" s="8"/>
      <c r="F112" s="6">
        <v>354.73325679999999</v>
      </c>
      <c r="G112" s="7">
        <v>2.3765629999999999E-2</v>
      </c>
      <c r="H112" s="105">
        <v>6.7952403714590259</v>
      </c>
    </row>
    <row r="113" spans="1:8" ht="14.1" customHeight="1" x14ac:dyDescent="0.2">
      <c r="A113" s="1"/>
      <c r="B113" s="1"/>
      <c r="C113" s="2" t="s">
        <v>132</v>
      </c>
      <c r="D113" s="1"/>
      <c r="E113" s="1" t="s">
        <v>133</v>
      </c>
      <c r="F113" s="9">
        <v>3344.0689695999999</v>
      </c>
      <c r="G113" s="10">
        <v>0.22403849000000001</v>
      </c>
      <c r="H113" s="105"/>
    </row>
    <row r="114" spans="1:8" ht="14.1" customHeight="1" x14ac:dyDescent="0.2">
      <c r="A114" s="1"/>
      <c r="B114" s="1"/>
      <c r="C114" s="11"/>
      <c r="D114" s="1"/>
      <c r="E114" s="1"/>
      <c r="F114" s="12"/>
      <c r="G114" s="12"/>
      <c r="H114" s="105"/>
    </row>
    <row r="115" spans="1:8" ht="14.1" customHeight="1" x14ac:dyDescent="0.2">
      <c r="A115" s="1"/>
      <c r="B115" s="1"/>
      <c r="C115" s="2" t="s">
        <v>153</v>
      </c>
      <c r="D115" s="1"/>
      <c r="E115" s="1"/>
      <c r="F115" s="9">
        <v>3344.0689695999999</v>
      </c>
      <c r="G115" s="10">
        <v>0.22403849000000001</v>
      </c>
      <c r="H115" s="105"/>
    </row>
    <row r="116" spans="1:8" ht="14.1" customHeight="1" x14ac:dyDescent="0.2">
      <c r="A116" s="1"/>
      <c r="B116" s="1"/>
      <c r="C116" s="12"/>
      <c r="D116" s="1"/>
      <c r="E116" s="1"/>
      <c r="F116" s="1"/>
      <c r="G116" s="1"/>
      <c r="H116" s="105"/>
    </row>
    <row r="117" spans="1:8" ht="14.1" customHeight="1" x14ac:dyDescent="0.2">
      <c r="A117" s="1"/>
      <c r="B117" s="1"/>
      <c r="C117" s="2" t="s">
        <v>154</v>
      </c>
      <c r="D117" s="1"/>
      <c r="E117" s="1"/>
      <c r="F117" s="1"/>
      <c r="G117" s="1"/>
      <c r="H117" s="105"/>
    </row>
    <row r="118" spans="1:8" ht="14.1" customHeight="1" x14ac:dyDescent="0.2">
      <c r="A118" s="1"/>
      <c r="B118" s="1"/>
      <c r="C118" s="2" t="s">
        <v>155</v>
      </c>
      <c r="D118" s="1"/>
      <c r="E118" s="1"/>
      <c r="F118" s="1"/>
      <c r="G118" s="1"/>
      <c r="H118" s="105"/>
    </row>
    <row r="119" spans="1:8" ht="14.1" customHeight="1" x14ac:dyDescent="0.2">
      <c r="A119" s="1"/>
      <c r="B119" s="1"/>
      <c r="C119" s="2" t="s">
        <v>132</v>
      </c>
      <c r="D119" s="1"/>
      <c r="E119" s="1" t="s">
        <v>133</v>
      </c>
      <c r="F119" s="13" t="s">
        <v>135</v>
      </c>
      <c r="G119" s="10">
        <v>0</v>
      </c>
      <c r="H119" s="105"/>
    </row>
    <row r="120" spans="1:8" ht="14.1" customHeight="1" x14ac:dyDescent="0.2">
      <c r="A120" s="1"/>
      <c r="B120" s="1"/>
      <c r="C120" s="11"/>
      <c r="D120" s="1"/>
      <c r="E120" s="1"/>
      <c r="F120" s="12"/>
      <c r="G120" s="12"/>
      <c r="H120" s="105"/>
    </row>
    <row r="121" spans="1:8" ht="14.1" customHeight="1" x14ac:dyDescent="0.2">
      <c r="A121" s="1"/>
      <c r="B121" s="1"/>
      <c r="C121" s="2" t="s">
        <v>156</v>
      </c>
      <c r="D121" s="1"/>
      <c r="E121" s="1"/>
      <c r="F121" s="1"/>
      <c r="G121" s="1"/>
      <c r="H121" s="105"/>
    </row>
    <row r="122" spans="1:8" ht="14.1" customHeight="1" x14ac:dyDescent="0.2">
      <c r="A122" s="1"/>
      <c r="B122" s="1"/>
      <c r="C122" s="2" t="s">
        <v>157</v>
      </c>
      <c r="D122" s="1"/>
      <c r="E122" s="1"/>
      <c r="F122" s="1"/>
      <c r="G122" s="1"/>
      <c r="H122" s="105"/>
    </row>
    <row r="123" spans="1:8" ht="14.1" customHeight="1" x14ac:dyDescent="0.2">
      <c r="A123" s="1"/>
      <c r="B123" s="1"/>
      <c r="C123" s="2" t="s">
        <v>132</v>
      </c>
      <c r="D123" s="1"/>
      <c r="E123" s="1" t="s">
        <v>133</v>
      </c>
      <c r="F123" s="13" t="s">
        <v>135</v>
      </c>
      <c r="G123" s="10">
        <v>0</v>
      </c>
      <c r="H123" s="105"/>
    </row>
    <row r="124" spans="1:8" ht="14.1" customHeight="1" x14ac:dyDescent="0.2">
      <c r="A124" s="1"/>
      <c r="B124" s="1"/>
      <c r="C124" s="11"/>
      <c r="D124" s="1"/>
      <c r="E124" s="1"/>
      <c r="F124" s="12"/>
      <c r="G124" s="12"/>
      <c r="H124" s="105"/>
    </row>
    <row r="125" spans="1:8" ht="24" customHeight="1" x14ac:dyDescent="0.2">
      <c r="A125" s="1"/>
      <c r="B125" s="1"/>
      <c r="C125" s="2" t="s">
        <v>158</v>
      </c>
      <c r="D125" s="1"/>
      <c r="E125" s="1"/>
      <c r="F125" s="12"/>
      <c r="G125" s="12"/>
      <c r="H125" s="105"/>
    </row>
    <row r="126" spans="1:8" ht="14.1" customHeight="1" x14ac:dyDescent="0.2">
      <c r="A126" s="1"/>
      <c r="B126" s="1"/>
      <c r="C126" s="2" t="s">
        <v>132</v>
      </c>
      <c r="D126" s="1"/>
      <c r="E126" s="1" t="s">
        <v>133</v>
      </c>
      <c r="F126" s="13" t="s">
        <v>135</v>
      </c>
      <c r="G126" s="10">
        <v>0</v>
      </c>
      <c r="H126" s="105"/>
    </row>
    <row r="127" spans="1:8" ht="14.1" customHeight="1" x14ac:dyDescent="0.2">
      <c r="A127" s="1"/>
      <c r="B127" s="1"/>
      <c r="C127" s="11"/>
      <c r="D127" s="1"/>
      <c r="E127" s="1"/>
      <c r="F127" s="12"/>
      <c r="G127" s="12"/>
      <c r="H127" s="105"/>
    </row>
    <row r="128" spans="1:8" ht="14.1" customHeight="1" x14ac:dyDescent="0.2">
      <c r="A128" s="1"/>
      <c r="B128" s="4"/>
      <c r="C128" s="4"/>
      <c r="D128" s="2"/>
      <c r="E128" s="1"/>
      <c r="F128" s="4"/>
      <c r="G128" s="8"/>
      <c r="H128" s="105"/>
    </row>
    <row r="129" spans="1:8" ht="18" customHeight="1" x14ac:dyDescent="0.2">
      <c r="A129" s="8"/>
      <c r="B129" s="4"/>
      <c r="C129" s="4" t="s">
        <v>159</v>
      </c>
      <c r="D129" s="4"/>
      <c r="E129" s="8"/>
      <c r="F129" s="6">
        <v>138.22779201</v>
      </c>
      <c r="G129" s="7">
        <v>9.2606800000000003E-3</v>
      </c>
      <c r="H129" s="105"/>
    </row>
    <row r="130" spans="1:8" ht="14.1" customHeight="1" x14ac:dyDescent="0.2">
      <c r="A130" s="11"/>
      <c r="B130" s="11"/>
      <c r="C130" s="2" t="s">
        <v>160</v>
      </c>
      <c r="D130" s="12"/>
      <c r="E130" s="12"/>
      <c r="F130" s="9">
        <v>14926.31476961</v>
      </c>
      <c r="G130" s="14">
        <v>1.00000003</v>
      </c>
      <c r="H130" s="105"/>
    </row>
    <row r="131" spans="1:8" ht="14.1" customHeight="1" x14ac:dyDescent="0.2">
      <c r="A131" s="15"/>
      <c r="B131" s="15"/>
      <c r="C131" s="15"/>
      <c r="D131" s="16"/>
      <c r="E131" s="16"/>
      <c r="F131" s="16"/>
      <c r="G131" s="16"/>
    </row>
    <row r="132" spans="1:8" ht="14.1" customHeight="1" x14ac:dyDescent="0.2">
      <c r="A132" s="17"/>
      <c r="B132" s="17"/>
      <c r="C132" s="17"/>
      <c r="D132" s="19"/>
      <c r="E132" s="19"/>
      <c r="F132" s="19"/>
      <c r="G132" s="19"/>
    </row>
    <row r="133" spans="1:8" ht="14.1" customHeight="1" x14ac:dyDescent="0.2">
      <c r="A133" s="17"/>
      <c r="B133" s="179" t="s">
        <v>162</v>
      </c>
      <c r="C133" s="180"/>
      <c r="D133" s="181"/>
      <c r="E133" s="20"/>
      <c r="F133" s="19"/>
      <c r="G133" s="19"/>
    </row>
    <row r="134" spans="1:8" ht="29.1" customHeight="1" x14ac:dyDescent="0.2">
      <c r="A134" s="17"/>
      <c r="B134" s="176" t="s">
        <v>163</v>
      </c>
      <c r="C134" s="177"/>
      <c r="D134" s="2" t="s">
        <v>164</v>
      </c>
      <c r="E134" s="20"/>
      <c r="F134" s="19"/>
      <c r="G134" s="19"/>
    </row>
    <row r="135" spans="1:8" ht="17.100000000000001" customHeight="1" x14ac:dyDescent="0.2">
      <c r="A135" s="17"/>
      <c r="B135" s="176" t="s">
        <v>165</v>
      </c>
      <c r="C135" s="177"/>
      <c r="D135" s="2" t="s">
        <v>164</v>
      </c>
      <c r="E135" s="20"/>
      <c r="F135" s="19"/>
      <c r="G135" s="19"/>
    </row>
    <row r="136" spans="1:8" ht="17.100000000000001" customHeight="1" x14ac:dyDescent="0.2">
      <c r="A136" s="17"/>
      <c r="B136" s="176" t="s">
        <v>166</v>
      </c>
      <c r="C136" s="177"/>
      <c r="D136" s="12" t="s">
        <v>133</v>
      </c>
      <c r="E136" s="20"/>
      <c r="F136" s="19"/>
      <c r="G136" s="19"/>
    </row>
    <row r="137" spans="1:8" ht="24" customHeight="1" x14ac:dyDescent="0.2">
      <c r="A137" s="21"/>
      <c r="B137" s="22" t="s">
        <v>133</v>
      </c>
      <c r="C137" s="22" t="s">
        <v>167</v>
      </c>
      <c r="D137" s="22" t="s">
        <v>168</v>
      </c>
      <c r="E137" s="21"/>
      <c r="F137" s="21"/>
      <c r="G137" s="21"/>
    </row>
    <row r="138" spans="1:8" ht="18" customHeight="1" x14ac:dyDescent="0.2">
      <c r="A138" s="21"/>
      <c r="B138" s="23" t="s">
        <v>169</v>
      </c>
      <c r="C138" s="22" t="s">
        <v>170</v>
      </c>
      <c r="D138" s="22" t="s">
        <v>171</v>
      </c>
      <c r="E138" s="21"/>
      <c r="F138" s="21"/>
      <c r="G138" s="21"/>
    </row>
    <row r="139" spans="1:8" ht="17.100000000000001" customHeight="1" x14ac:dyDescent="0.2">
      <c r="A139" s="21"/>
      <c r="B139" s="4" t="s">
        <v>172</v>
      </c>
      <c r="C139" s="24">
        <v>22.450199999999999</v>
      </c>
      <c r="D139" s="24">
        <v>23.596900000000002</v>
      </c>
      <c r="E139" s="21"/>
      <c r="F139" s="18"/>
      <c r="G139" s="25"/>
    </row>
    <row r="140" spans="1:8" ht="17.100000000000001" customHeight="1" x14ac:dyDescent="0.2">
      <c r="A140" s="21"/>
      <c r="B140" s="4" t="s">
        <v>1006</v>
      </c>
      <c r="C140" s="24">
        <v>21.0718</v>
      </c>
      <c r="D140" s="24">
        <v>22.148</v>
      </c>
      <c r="E140" s="21"/>
      <c r="F140" s="18"/>
      <c r="G140" s="25"/>
    </row>
    <row r="141" spans="1:8" ht="17.100000000000001" customHeight="1" x14ac:dyDescent="0.2">
      <c r="A141" s="21"/>
      <c r="B141" s="4" t="s">
        <v>173</v>
      </c>
      <c r="C141" s="24">
        <v>21.9941</v>
      </c>
      <c r="D141" s="24">
        <v>23.1097</v>
      </c>
      <c r="E141" s="21"/>
      <c r="F141" s="18"/>
      <c r="G141" s="25"/>
    </row>
    <row r="142" spans="1:8" ht="17.100000000000001" customHeight="1" x14ac:dyDescent="0.2">
      <c r="A142" s="21"/>
      <c r="B142" s="4" t="s">
        <v>1007</v>
      </c>
      <c r="C142" s="24">
        <v>20.6264</v>
      </c>
      <c r="D142" s="24">
        <v>21.672499999999999</v>
      </c>
      <c r="E142" s="21"/>
      <c r="F142" s="18"/>
      <c r="G142" s="25"/>
    </row>
    <row r="143" spans="1:8" ht="14.1" customHeight="1" x14ac:dyDescent="0.2">
      <c r="A143" s="21"/>
      <c r="B143" s="21"/>
      <c r="C143" s="21"/>
      <c r="D143" s="21"/>
      <c r="E143" s="21"/>
      <c r="F143" s="21"/>
      <c r="G143" s="21"/>
    </row>
    <row r="144" spans="1:8" ht="17.100000000000001" customHeight="1" x14ac:dyDescent="0.2">
      <c r="A144" s="21"/>
      <c r="B144" s="176" t="s">
        <v>1008</v>
      </c>
      <c r="C144" s="177"/>
      <c r="D144" s="2" t="s">
        <v>164</v>
      </c>
      <c r="E144" s="21"/>
      <c r="F144" s="21"/>
      <c r="G144" s="21"/>
    </row>
    <row r="145" spans="1:14" ht="18" customHeight="1" x14ac:dyDescent="0.2">
      <c r="A145" s="21"/>
      <c r="B145" s="26"/>
      <c r="C145" s="26"/>
      <c r="D145" s="26"/>
      <c r="E145" s="21"/>
      <c r="F145" s="21"/>
      <c r="G145" s="21"/>
    </row>
    <row r="146" spans="1:14" ht="29.1" customHeight="1" x14ac:dyDescent="0.2">
      <c r="A146" s="21"/>
      <c r="B146" s="176" t="s">
        <v>174</v>
      </c>
      <c r="C146" s="177"/>
      <c r="D146" s="2" t="s">
        <v>164</v>
      </c>
      <c r="E146" s="27"/>
      <c r="F146" s="21"/>
      <c r="G146" s="21"/>
    </row>
    <row r="147" spans="1:14" ht="29.1" customHeight="1" x14ac:dyDescent="0.2">
      <c r="A147" s="21"/>
      <c r="B147" s="176" t="s">
        <v>175</v>
      </c>
      <c r="C147" s="177"/>
      <c r="D147" s="2" t="s">
        <v>164</v>
      </c>
      <c r="E147" s="27"/>
      <c r="F147" s="21"/>
      <c r="G147" s="21"/>
    </row>
    <row r="148" spans="1:14" ht="17.100000000000001" customHeight="1" x14ac:dyDescent="0.2">
      <c r="A148" s="21"/>
      <c r="B148" s="176" t="s">
        <v>176</v>
      </c>
      <c r="C148" s="177"/>
      <c r="D148" s="2" t="s">
        <v>164</v>
      </c>
      <c r="E148" s="27"/>
      <c r="F148" s="21"/>
      <c r="G148" s="21"/>
    </row>
    <row r="149" spans="1:14" ht="17.100000000000001" customHeight="1" x14ac:dyDescent="0.2">
      <c r="A149" s="21"/>
      <c r="B149" s="176" t="s">
        <v>177</v>
      </c>
      <c r="C149" s="177"/>
      <c r="D149" s="60">
        <v>0.16972252089159709</v>
      </c>
      <c r="E149" s="21"/>
      <c r="F149" s="18"/>
      <c r="G149" s="25"/>
    </row>
    <row r="156" spans="1:14" x14ac:dyDescent="0.2">
      <c r="J156" s="162"/>
      <c r="K156" s="162"/>
      <c r="L156" s="162"/>
      <c r="M156" s="162"/>
      <c r="N156" s="162"/>
    </row>
  </sheetData>
  <mergeCells count="13">
    <mergeCell ref="B149:C149"/>
    <mergeCell ref="B135:C135"/>
    <mergeCell ref="B136:C136"/>
    <mergeCell ref="B144:C144"/>
    <mergeCell ref="B146:C146"/>
    <mergeCell ref="B147:C147"/>
    <mergeCell ref="B148:C148"/>
    <mergeCell ref="J2:N2"/>
    <mergeCell ref="B134:C134"/>
    <mergeCell ref="B133:D133"/>
    <mergeCell ref="A1:H1"/>
    <mergeCell ref="A2:H2"/>
    <mergeCell ref="A3:H3"/>
  </mergeCells>
  <hyperlinks>
    <hyperlink ref="I1" location="Index!B11" display="Index" xr:uid="{F8D51E99-D179-48DF-B690-4C30B3A4C5BE}"/>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N158"/>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182" t="s">
        <v>0</v>
      </c>
      <c r="B1" s="182"/>
      <c r="C1" s="182"/>
      <c r="D1" s="182"/>
      <c r="E1" s="182"/>
      <c r="F1" s="182"/>
      <c r="G1" s="182"/>
      <c r="H1" s="182"/>
      <c r="I1" s="159" t="s">
        <v>1044</v>
      </c>
    </row>
    <row r="2" spans="1:14" ht="17.100000000000001" customHeight="1" x14ac:dyDescent="0.2">
      <c r="A2" s="183" t="s">
        <v>477</v>
      </c>
      <c r="B2" s="184"/>
      <c r="C2" s="184"/>
      <c r="D2" s="184"/>
      <c r="E2" s="184"/>
      <c r="F2" s="184"/>
      <c r="G2" s="184"/>
      <c r="H2" s="185"/>
      <c r="J2" s="175" t="s">
        <v>1045</v>
      </c>
      <c r="K2" s="175"/>
      <c r="L2" s="175"/>
      <c r="M2" s="175"/>
      <c r="N2" s="175"/>
    </row>
    <row r="3" spans="1:14" ht="21" customHeight="1" x14ac:dyDescent="0.2">
      <c r="A3" s="182" t="s">
        <v>1016</v>
      </c>
      <c r="B3" s="182"/>
      <c r="C3" s="182"/>
      <c r="D3" s="182"/>
      <c r="E3" s="182"/>
      <c r="F3" s="182"/>
      <c r="G3" s="182"/>
      <c r="H3" s="182"/>
    </row>
    <row r="4" spans="1:14" ht="30" x14ac:dyDescent="0.2">
      <c r="A4" s="107" t="s">
        <v>2</v>
      </c>
      <c r="B4" s="107" t="s">
        <v>3</v>
      </c>
      <c r="C4" s="107" t="s">
        <v>4</v>
      </c>
      <c r="D4" s="107" t="s">
        <v>5</v>
      </c>
      <c r="E4" s="107" t="s">
        <v>6</v>
      </c>
      <c r="F4" s="107" t="s">
        <v>7</v>
      </c>
      <c r="G4" s="107" t="s">
        <v>8</v>
      </c>
      <c r="H4" s="104" t="s">
        <v>1003</v>
      </c>
      <c r="I4" s="108"/>
      <c r="J4" s="108"/>
      <c r="K4" s="108"/>
      <c r="L4" s="108"/>
      <c r="M4" s="108"/>
      <c r="N4" s="108"/>
    </row>
    <row r="5" spans="1:14" ht="14.1" customHeight="1" x14ac:dyDescent="0.2">
      <c r="A5" s="1"/>
      <c r="B5" s="1"/>
      <c r="C5" s="2" t="s">
        <v>9</v>
      </c>
      <c r="D5" s="1"/>
      <c r="E5" s="1"/>
      <c r="F5" s="1"/>
      <c r="G5" s="1"/>
      <c r="H5" s="105"/>
    </row>
    <row r="6" spans="1:14" ht="24" customHeight="1" x14ac:dyDescent="0.2">
      <c r="A6" s="1"/>
      <c r="B6" s="1"/>
      <c r="C6" s="2" t="s">
        <v>10</v>
      </c>
      <c r="D6" s="1"/>
      <c r="E6" s="1"/>
      <c r="F6" s="1"/>
      <c r="G6" s="1"/>
      <c r="H6" s="105"/>
    </row>
    <row r="7" spans="1:14" ht="17.100000000000001" customHeight="1" x14ac:dyDescent="0.2">
      <c r="A7" s="3">
        <v>1</v>
      </c>
      <c r="B7" s="4" t="s">
        <v>420</v>
      </c>
      <c r="C7" s="4" t="s">
        <v>421</v>
      </c>
      <c r="D7" s="4" t="s">
        <v>121</v>
      </c>
      <c r="E7" s="5">
        <v>6084</v>
      </c>
      <c r="F7" s="6">
        <v>148.62299400000001</v>
      </c>
      <c r="G7" s="7">
        <v>4.9192489999999998E-2</v>
      </c>
      <c r="H7" s="105"/>
    </row>
    <row r="8" spans="1:14" ht="17.100000000000001" customHeight="1" x14ac:dyDescent="0.2">
      <c r="A8" s="3">
        <v>2</v>
      </c>
      <c r="B8" s="4" t="s">
        <v>383</v>
      </c>
      <c r="C8" s="4" t="s">
        <v>384</v>
      </c>
      <c r="D8" s="4" t="s">
        <v>25</v>
      </c>
      <c r="E8" s="5">
        <v>186406</v>
      </c>
      <c r="F8" s="6">
        <v>128.526937</v>
      </c>
      <c r="G8" s="7">
        <v>4.2540929999999998E-2</v>
      </c>
      <c r="H8" s="105"/>
    </row>
    <row r="9" spans="1:14" ht="17.100000000000001" customHeight="1" x14ac:dyDescent="0.2">
      <c r="A9" s="3">
        <v>3</v>
      </c>
      <c r="B9" s="4" t="s">
        <v>31</v>
      </c>
      <c r="C9" s="4" t="s">
        <v>32</v>
      </c>
      <c r="D9" s="4" t="s">
        <v>33</v>
      </c>
      <c r="E9" s="5">
        <v>5488</v>
      </c>
      <c r="F9" s="6">
        <v>123.510184</v>
      </c>
      <c r="G9" s="7">
        <v>4.0880439999999997E-2</v>
      </c>
      <c r="H9" s="105"/>
    </row>
    <row r="10" spans="1:14" ht="17.100000000000001" customHeight="1" x14ac:dyDescent="0.2">
      <c r="A10" s="3">
        <v>4</v>
      </c>
      <c r="B10" s="4" t="s">
        <v>63</v>
      </c>
      <c r="C10" s="4" t="s">
        <v>64</v>
      </c>
      <c r="D10" s="4" t="s">
        <v>33</v>
      </c>
      <c r="E10" s="5">
        <v>6058</v>
      </c>
      <c r="F10" s="6">
        <v>114.80212899999999</v>
      </c>
      <c r="G10" s="7">
        <v>3.7998179999999999E-2</v>
      </c>
      <c r="H10" s="105"/>
    </row>
    <row r="11" spans="1:14" ht="17.100000000000001" customHeight="1" x14ac:dyDescent="0.2">
      <c r="A11" s="3">
        <v>5</v>
      </c>
      <c r="B11" s="4" t="s">
        <v>426</v>
      </c>
      <c r="C11" s="4" t="s">
        <v>427</v>
      </c>
      <c r="D11" s="4" t="s">
        <v>33</v>
      </c>
      <c r="E11" s="5">
        <v>9009</v>
      </c>
      <c r="F11" s="6">
        <v>94.211617500000003</v>
      </c>
      <c r="G11" s="7">
        <v>3.1182959999999999E-2</v>
      </c>
      <c r="H11" s="105"/>
    </row>
    <row r="12" spans="1:14" ht="29.1" customHeight="1" x14ac:dyDescent="0.2">
      <c r="A12" s="3">
        <v>6</v>
      </c>
      <c r="B12" s="4" t="s">
        <v>181</v>
      </c>
      <c r="C12" s="4" t="s">
        <v>182</v>
      </c>
      <c r="D12" s="4" t="s">
        <v>183</v>
      </c>
      <c r="E12" s="5">
        <v>1842</v>
      </c>
      <c r="F12" s="6">
        <v>89.340683999999996</v>
      </c>
      <c r="G12" s="7">
        <v>2.957073E-2</v>
      </c>
      <c r="H12" s="105"/>
    </row>
    <row r="13" spans="1:14" ht="17.100000000000001" customHeight="1" x14ac:dyDescent="0.2">
      <c r="A13" s="3">
        <v>7</v>
      </c>
      <c r="B13" s="4" t="s">
        <v>306</v>
      </c>
      <c r="C13" s="4" t="s">
        <v>307</v>
      </c>
      <c r="D13" s="4" t="s">
        <v>232</v>
      </c>
      <c r="E13" s="5">
        <v>6041</v>
      </c>
      <c r="F13" s="6">
        <v>88.3888915</v>
      </c>
      <c r="G13" s="7">
        <v>2.9255699999999999E-2</v>
      </c>
      <c r="H13" s="105"/>
      <c r="J13" s="161" t="s">
        <v>1053</v>
      </c>
    </row>
    <row r="14" spans="1:14" ht="17.100000000000001" customHeight="1" x14ac:dyDescent="0.2">
      <c r="A14" s="3">
        <v>8</v>
      </c>
      <c r="B14" s="4" t="s">
        <v>191</v>
      </c>
      <c r="C14" s="4" t="s">
        <v>192</v>
      </c>
      <c r="D14" s="4" t="s">
        <v>953</v>
      </c>
      <c r="E14" s="5">
        <v>1751</v>
      </c>
      <c r="F14" s="6">
        <v>82.949247499999998</v>
      </c>
      <c r="G14" s="7">
        <v>2.7455239999999999E-2</v>
      </c>
      <c r="H14" s="105"/>
    </row>
    <row r="15" spans="1:14" ht="17.100000000000001" customHeight="1" x14ac:dyDescent="0.2">
      <c r="A15" s="3">
        <v>9</v>
      </c>
      <c r="B15" s="4" t="s">
        <v>119</v>
      </c>
      <c r="C15" s="4" t="s">
        <v>120</v>
      </c>
      <c r="D15" s="4" t="s">
        <v>121</v>
      </c>
      <c r="E15" s="5">
        <v>27167</v>
      </c>
      <c r="F15" s="6">
        <v>81.039160999999993</v>
      </c>
      <c r="G15" s="7">
        <v>2.6823030000000001E-2</v>
      </c>
      <c r="H15" s="105"/>
    </row>
    <row r="16" spans="1:14" ht="17.100000000000001" customHeight="1" x14ac:dyDescent="0.2">
      <c r="A16" s="3">
        <v>10</v>
      </c>
      <c r="B16" s="4" t="s">
        <v>438</v>
      </c>
      <c r="C16" s="4" t="s">
        <v>439</v>
      </c>
      <c r="D16" s="4" t="s">
        <v>121</v>
      </c>
      <c r="E16" s="5">
        <v>13788</v>
      </c>
      <c r="F16" s="6">
        <v>71.835480000000004</v>
      </c>
      <c r="G16" s="7">
        <v>2.377671E-2</v>
      </c>
      <c r="H16" s="105"/>
    </row>
    <row r="17" spans="1:8" ht="17.100000000000001" customHeight="1" x14ac:dyDescent="0.2">
      <c r="A17" s="3">
        <v>11</v>
      </c>
      <c r="B17" s="4" t="s">
        <v>385</v>
      </c>
      <c r="C17" s="4" t="s">
        <v>386</v>
      </c>
      <c r="D17" s="4" t="s">
        <v>128</v>
      </c>
      <c r="E17" s="5">
        <v>11094</v>
      </c>
      <c r="F17" s="6">
        <v>68.416697999999997</v>
      </c>
      <c r="G17" s="7">
        <v>2.2645140000000001E-2</v>
      </c>
      <c r="H17" s="105"/>
    </row>
    <row r="18" spans="1:8" ht="17.100000000000001" customHeight="1" x14ac:dyDescent="0.2">
      <c r="A18" s="3">
        <v>12</v>
      </c>
      <c r="B18" s="4" t="s">
        <v>314</v>
      </c>
      <c r="C18" s="4" t="s">
        <v>315</v>
      </c>
      <c r="D18" s="4" t="s">
        <v>223</v>
      </c>
      <c r="E18" s="5">
        <v>5630</v>
      </c>
      <c r="F18" s="6">
        <v>67.326355000000007</v>
      </c>
      <c r="G18" s="7">
        <v>2.2284249999999999E-2</v>
      </c>
      <c r="H18" s="105"/>
    </row>
    <row r="19" spans="1:8" ht="17.100000000000001" customHeight="1" x14ac:dyDescent="0.2">
      <c r="A19" s="3">
        <v>13</v>
      </c>
      <c r="B19" s="4" t="s">
        <v>422</v>
      </c>
      <c r="C19" s="4" t="s">
        <v>423</v>
      </c>
      <c r="D19" s="4" t="s">
        <v>202</v>
      </c>
      <c r="E19" s="5">
        <v>24416</v>
      </c>
      <c r="F19" s="6">
        <v>65.923199999999994</v>
      </c>
      <c r="G19" s="7">
        <v>2.181982E-2</v>
      </c>
      <c r="H19" s="105"/>
    </row>
    <row r="20" spans="1:8" ht="17.100000000000001" customHeight="1" x14ac:dyDescent="0.2">
      <c r="A20" s="3">
        <v>14</v>
      </c>
      <c r="B20" s="4" t="s">
        <v>424</v>
      </c>
      <c r="C20" s="4" t="s">
        <v>425</v>
      </c>
      <c r="D20" s="4" t="s">
        <v>329</v>
      </c>
      <c r="E20" s="5">
        <v>4536</v>
      </c>
      <c r="F20" s="6">
        <v>63.476784000000002</v>
      </c>
      <c r="G20" s="7">
        <v>2.101008E-2</v>
      </c>
      <c r="H20" s="105"/>
    </row>
    <row r="21" spans="1:8" ht="17.100000000000001" customHeight="1" x14ac:dyDescent="0.2">
      <c r="A21" s="3">
        <v>15</v>
      </c>
      <c r="B21" s="4" t="s">
        <v>415</v>
      </c>
      <c r="C21" s="4" t="s">
        <v>416</v>
      </c>
      <c r="D21" s="4" t="s">
        <v>223</v>
      </c>
      <c r="E21" s="5">
        <v>8151</v>
      </c>
      <c r="F21" s="6">
        <v>62.294017500000002</v>
      </c>
      <c r="G21" s="7">
        <v>2.0618600000000001E-2</v>
      </c>
      <c r="H21" s="105"/>
    </row>
    <row r="22" spans="1:8" ht="17.100000000000001" customHeight="1" x14ac:dyDescent="0.2">
      <c r="A22" s="3">
        <v>16</v>
      </c>
      <c r="B22" s="4" t="s">
        <v>400</v>
      </c>
      <c r="C22" s="4" t="s">
        <v>401</v>
      </c>
      <c r="D22" s="4" t="s">
        <v>13</v>
      </c>
      <c r="E22" s="5">
        <v>70325</v>
      </c>
      <c r="F22" s="6">
        <v>61.7805125</v>
      </c>
      <c r="G22" s="7">
        <v>2.0448640000000001E-2</v>
      </c>
      <c r="H22" s="105"/>
    </row>
    <row r="23" spans="1:8" ht="29.1" customHeight="1" x14ac:dyDescent="0.2">
      <c r="A23" s="3">
        <v>17</v>
      </c>
      <c r="B23" s="4" t="s">
        <v>432</v>
      </c>
      <c r="C23" s="4" t="s">
        <v>433</v>
      </c>
      <c r="D23" s="4" t="s">
        <v>212</v>
      </c>
      <c r="E23" s="5">
        <v>2681</v>
      </c>
      <c r="F23" s="6">
        <v>57.101278499999999</v>
      </c>
      <c r="G23" s="7">
        <v>1.8899860000000001E-2</v>
      </c>
      <c r="H23" s="105"/>
    </row>
    <row r="24" spans="1:8" ht="17.100000000000001" customHeight="1" x14ac:dyDescent="0.2">
      <c r="A24" s="3">
        <v>18</v>
      </c>
      <c r="B24" s="4" t="s">
        <v>478</v>
      </c>
      <c r="C24" s="4" t="s">
        <v>479</v>
      </c>
      <c r="D24" s="4" t="s">
        <v>121</v>
      </c>
      <c r="E24" s="5">
        <v>5185</v>
      </c>
      <c r="F24" s="6">
        <v>56.902782500000001</v>
      </c>
      <c r="G24" s="7">
        <v>1.8834159999999999E-2</v>
      </c>
      <c r="H24" s="105"/>
    </row>
    <row r="25" spans="1:8" ht="29.1" customHeight="1" x14ac:dyDescent="0.2">
      <c r="A25" s="3">
        <v>19</v>
      </c>
      <c r="B25" s="4" t="s">
        <v>73</v>
      </c>
      <c r="C25" s="4" t="s">
        <v>74</v>
      </c>
      <c r="D25" s="4" t="s">
        <v>22</v>
      </c>
      <c r="E25" s="5">
        <v>1823</v>
      </c>
      <c r="F25" s="6">
        <v>54.567858999999999</v>
      </c>
      <c r="G25" s="7">
        <v>1.806133E-2</v>
      </c>
      <c r="H25" s="105"/>
    </row>
    <row r="26" spans="1:8" ht="17.100000000000001" customHeight="1" x14ac:dyDescent="0.2">
      <c r="A26" s="3">
        <v>20</v>
      </c>
      <c r="B26" s="4" t="s">
        <v>293</v>
      </c>
      <c r="C26" s="4" t="s">
        <v>294</v>
      </c>
      <c r="D26" s="4" t="s">
        <v>19</v>
      </c>
      <c r="E26" s="5">
        <v>21314</v>
      </c>
      <c r="F26" s="6">
        <v>53.551425000000002</v>
      </c>
      <c r="G26" s="7">
        <v>1.7724899999999998E-2</v>
      </c>
      <c r="H26" s="105"/>
    </row>
    <row r="27" spans="1:8" ht="17.100000000000001" customHeight="1" x14ac:dyDescent="0.2">
      <c r="A27" s="3">
        <v>21</v>
      </c>
      <c r="B27" s="4" t="s">
        <v>413</v>
      </c>
      <c r="C27" s="4" t="s">
        <v>414</v>
      </c>
      <c r="D27" s="4" t="s">
        <v>128</v>
      </c>
      <c r="E27" s="5">
        <v>59081</v>
      </c>
      <c r="F27" s="6">
        <v>51.873117999999998</v>
      </c>
      <c r="G27" s="7">
        <v>1.7169400000000001E-2</v>
      </c>
      <c r="H27" s="105"/>
    </row>
    <row r="28" spans="1:8" ht="29.1" customHeight="1" x14ac:dyDescent="0.2">
      <c r="A28" s="3">
        <v>22</v>
      </c>
      <c r="B28" s="4" t="s">
        <v>395</v>
      </c>
      <c r="C28" s="4" t="s">
        <v>396</v>
      </c>
      <c r="D28" s="4" t="s">
        <v>397</v>
      </c>
      <c r="E28" s="5">
        <v>44667</v>
      </c>
      <c r="F28" s="6">
        <v>51.389383500000001</v>
      </c>
      <c r="G28" s="7">
        <v>1.700929E-2</v>
      </c>
      <c r="H28" s="105"/>
    </row>
    <row r="29" spans="1:8" ht="29.1" customHeight="1" x14ac:dyDescent="0.2">
      <c r="A29" s="3">
        <v>23</v>
      </c>
      <c r="B29" s="4" t="s">
        <v>247</v>
      </c>
      <c r="C29" s="4" t="s">
        <v>248</v>
      </c>
      <c r="D29" s="4" t="s">
        <v>212</v>
      </c>
      <c r="E29" s="5">
        <v>16491</v>
      </c>
      <c r="F29" s="6">
        <v>50.726315999999997</v>
      </c>
      <c r="G29" s="7">
        <v>1.678982E-2</v>
      </c>
      <c r="H29" s="105"/>
    </row>
    <row r="30" spans="1:8" ht="17.100000000000001" customHeight="1" x14ac:dyDescent="0.2">
      <c r="A30" s="3">
        <v>24</v>
      </c>
      <c r="B30" s="4" t="s">
        <v>389</v>
      </c>
      <c r="C30" s="4" t="s">
        <v>390</v>
      </c>
      <c r="D30" s="4" t="s">
        <v>91</v>
      </c>
      <c r="E30" s="5">
        <v>3479</v>
      </c>
      <c r="F30" s="6">
        <v>50.295903000000003</v>
      </c>
      <c r="G30" s="7">
        <v>1.664736E-2</v>
      </c>
      <c r="H30" s="105"/>
    </row>
    <row r="31" spans="1:8" ht="17.100000000000001" customHeight="1" x14ac:dyDescent="0.2">
      <c r="A31" s="3">
        <v>25</v>
      </c>
      <c r="B31" s="4" t="s">
        <v>99</v>
      </c>
      <c r="C31" s="4" t="s">
        <v>100</v>
      </c>
      <c r="D31" s="4" t="s">
        <v>91</v>
      </c>
      <c r="E31" s="5">
        <v>9950</v>
      </c>
      <c r="F31" s="6">
        <v>49.939050000000002</v>
      </c>
      <c r="G31" s="7">
        <v>1.6529249999999999E-2</v>
      </c>
      <c r="H31" s="105"/>
    </row>
    <row r="32" spans="1:8" ht="29.1" customHeight="1" x14ac:dyDescent="0.2">
      <c r="A32" s="3">
        <v>26</v>
      </c>
      <c r="B32" s="4" t="s">
        <v>428</v>
      </c>
      <c r="C32" s="4" t="s">
        <v>429</v>
      </c>
      <c r="D32" s="4" t="s">
        <v>62</v>
      </c>
      <c r="E32" s="5">
        <v>2187</v>
      </c>
      <c r="F32" s="6">
        <v>49.911714000000003</v>
      </c>
      <c r="G32" s="7">
        <v>1.6520199999999999E-2</v>
      </c>
      <c r="H32" s="105"/>
    </row>
    <row r="33" spans="1:8" ht="17.100000000000001" customHeight="1" x14ac:dyDescent="0.2">
      <c r="A33" s="3">
        <v>27</v>
      </c>
      <c r="B33" s="4" t="s">
        <v>436</v>
      </c>
      <c r="C33" s="4" t="s">
        <v>437</v>
      </c>
      <c r="D33" s="4" t="s">
        <v>253</v>
      </c>
      <c r="E33" s="5">
        <v>28888</v>
      </c>
      <c r="F33" s="6">
        <v>48.864052000000001</v>
      </c>
      <c r="G33" s="7">
        <v>1.6173440000000001E-2</v>
      </c>
      <c r="H33" s="105"/>
    </row>
    <row r="34" spans="1:8" ht="29.1" customHeight="1" x14ac:dyDescent="0.2">
      <c r="A34" s="3">
        <v>28</v>
      </c>
      <c r="B34" s="4" t="s">
        <v>95</v>
      </c>
      <c r="C34" s="4" t="s">
        <v>96</v>
      </c>
      <c r="D34" s="4" t="s">
        <v>41</v>
      </c>
      <c r="E34" s="5">
        <v>2627</v>
      </c>
      <c r="F34" s="6">
        <v>47.622256</v>
      </c>
      <c r="G34" s="7">
        <v>1.5762419999999999E-2</v>
      </c>
      <c r="H34" s="105"/>
    </row>
    <row r="35" spans="1:8" ht="17.100000000000001" customHeight="1" x14ac:dyDescent="0.2">
      <c r="A35" s="3">
        <v>29</v>
      </c>
      <c r="B35" s="4" t="s">
        <v>241</v>
      </c>
      <c r="C35" s="4" t="s">
        <v>242</v>
      </c>
      <c r="D35" s="4" t="s">
        <v>81</v>
      </c>
      <c r="E35" s="5">
        <v>1151</v>
      </c>
      <c r="F35" s="6">
        <v>46.04</v>
      </c>
      <c r="G35" s="7">
        <v>1.5238710000000001E-2</v>
      </c>
      <c r="H35" s="105"/>
    </row>
    <row r="36" spans="1:8" ht="17.100000000000001" customHeight="1" x14ac:dyDescent="0.2">
      <c r="A36" s="3">
        <v>30</v>
      </c>
      <c r="B36" s="4" t="s">
        <v>380</v>
      </c>
      <c r="C36" s="4" t="s">
        <v>381</v>
      </c>
      <c r="D36" s="4" t="s">
        <v>954</v>
      </c>
      <c r="E36" s="5">
        <v>4857</v>
      </c>
      <c r="F36" s="6">
        <v>45.250240499999997</v>
      </c>
      <c r="G36" s="7">
        <v>1.4977310000000001E-2</v>
      </c>
      <c r="H36" s="105"/>
    </row>
    <row r="37" spans="1:8" ht="17.100000000000001" customHeight="1" x14ac:dyDescent="0.2">
      <c r="A37" s="3">
        <v>31</v>
      </c>
      <c r="B37" s="4" t="s">
        <v>327</v>
      </c>
      <c r="C37" s="4" t="s">
        <v>328</v>
      </c>
      <c r="D37" s="4" t="s">
        <v>329</v>
      </c>
      <c r="E37" s="5">
        <v>3672</v>
      </c>
      <c r="F37" s="6">
        <v>45.167436000000002</v>
      </c>
      <c r="G37" s="7">
        <v>1.49499E-2</v>
      </c>
      <c r="H37" s="105"/>
    </row>
    <row r="38" spans="1:8" ht="17.100000000000001" customHeight="1" x14ac:dyDescent="0.2">
      <c r="A38" s="3">
        <v>32</v>
      </c>
      <c r="B38" s="4" t="s">
        <v>37</v>
      </c>
      <c r="C38" s="4" t="s">
        <v>38</v>
      </c>
      <c r="D38" s="4" t="s">
        <v>33</v>
      </c>
      <c r="E38" s="5">
        <v>2356</v>
      </c>
      <c r="F38" s="6">
        <v>44.773423999999999</v>
      </c>
      <c r="G38" s="7">
        <v>1.4819489999999999E-2</v>
      </c>
      <c r="H38" s="105"/>
    </row>
    <row r="39" spans="1:8" ht="17.100000000000001" customHeight="1" x14ac:dyDescent="0.2">
      <c r="A39" s="3">
        <v>33</v>
      </c>
      <c r="B39" s="4" t="s">
        <v>393</v>
      </c>
      <c r="C39" s="4" t="s">
        <v>394</v>
      </c>
      <c r="D39" s="4" t="s">
        <v>128</v>
      </c>
      <c r="E39" s="5">
        <v>4638</v>
      </c>
      <c r="F39" s="6">
        <v>44.724234000000003</v>
      </c>
      <c r="G39" s="7">
        <v>1.4803200000000001E-2</v>
      </c>
      <c r="H39" s="105"/>
    </row>
    <row r="40" spans="1:8" ht="29.1" customHeight="1" x14ac:dyDescent="0.2">
      <c r="A40" s="3">
        <v>34</v>
      </c>
      <c r="B40" s="4" t="s">
        <v>387</v>
      </c>
      <c r="C40" s="4" t="s">
        <v>388</v>
      </c>
      <c r="D40" s="4" t="s">
        <v>212</v>
      </c>
      <c r="E40" s="5">
        <v>13550</v>
      </c>
      <c r="F40" s="6">
        <v>43.827475</v>
      </c>
      <c r="G40" s="7">
        <v>1.4506389999999999E-2</v>
      </c>
      <c r="H40" s="105"/>
    </row>
    <row r="41" spans="1:8" ht="17.100000000000001" customHeight="1" x14ac:dyDescent="0.2">
      <c r="A41" s="3">
        <v>35</v>
      </c>
      <c r="B41" s="4" t="s">
        <v>440</v>
      </c>
      <c r="C41" s="4" t="s">
        <v>441</v>
      </c>
      <c r="D41" s="4" t="s">
        <v>271</v>
      </c>
      <c r="E41" s="5">
        <v>6658</v>
      </c>
      <c r="F41" s="6">
        <v>42.677779999999998</v>
      </c>
      <c r="G41" s="7">
        <v>1.4125850000000001E-2</v>
      </c>
      <c r="H41" s="105"/>
    </row>
    <row r="42" spans="1:8" ht="29.1" customHeight="1" x14ac:dyDescent="0.2">
      <c r="A42" s="3">
        <v>36</v>
      </c>
      <c r="B42" s="4" t="s">
        <v>391</v>
      </c>
      <c r="C42" s="4" t="s">
        <v>392</v>
      </c>
      <c r="D42" s="4" t="s">
        <v>190</v>
      </c>
      <c r="E42" s="5">
        <v>8191</v>
      </c>
      <c r="F42" s="6">
        <v>41.167966</v>
      </c>
      <c r="G42" s="7">
        <v>1.362612E-2</v>
      </c>
      <c r="H42" s="105"/>
    </row>
    <row r="43" spans="1:8" ht="17.100000000000001" customHeight="1" x14ac:dyDescent="0.2">
      <c r="A43" s="3">
        <v>37</v>
      </c>
      <c r="B43" s="4" t="s">
        <v>418</v>
      </c>
      <c r="C43" s="4" t="s">
        <v>419</v>
      </c>
      <c r="D43" s="4" t="s">
        <v>953</v>
      </c>
      <c r="E43" s="5">
        <v>4049</v>
      </c>
      <c r="F43" s="6">
        <v>37.121231999999999</v>
      </c>
      <c r="G43" s="7">
        <v>1.2286699999999999E-2</v>
      </c>
      <c r="H43" s="105"/>
    </row>
    <row r="44" spans="1:8" ht="17.100000000000001" customHeight="1" x14ac:dyDescent="0.2">
      <c r="A44" s="3">
        <v>38</v>
      </c>
      <c r="B44" s="4" t="s">
        <v>464</v>
      </c>
      <c r="C44" s="4" t="s">
        <v>465</v>
      </c>
      <c r="D44" s="4" t="s">
        <v>223</v>
      </c>
      <c r="E44" s="5">
        <v>16207</v>
      </c>
      <c r="F44" s="6">
        <v>36.149713499999997</v>
      </c>
      <c r="G44" s="7">
        <v>1.1965140000000001E-2</v>
      </c>
      <c r="H44" s="105"/>
    </row>
    <row r="45" spans="1:8" ht="17.100000000000001" customHeight="1" x14ac:dyDescent="0.2">
      <c r="A45" s="3">
        <v>39</v>
      </c>
      <c r="B45" s="4" t="s">
        <v>462</v>
      </c>
      <c r="C45" s="4" t="s">
        <v>463</v>
      </c>
      <c r="D45" s="4" t="s">
        <v>33</v>
      </c>
      <c r="E45" s="5">
        <v>3042</v>
      </c>
      <c r="F45" s="6">
        <v>32.771465999999997</v>
      </c>
      <c r="G45" s="7">
        <v>1.0846980000000001E-2</v>
      </c>
      <c r="H45" s="105"/>
    </row>
    <row r="46" spans="1:8" ht="17.100000000000001" customHeight="1" x14ac:dyDescent="0.2">
      <c r="A46" s="3">
        <v>40</v>
      </c>
      <c r="B46" s="4" t="s">
        <v>378</v>
      </c>
      <c r="C46" s="4" t="s">
        <v>379</v>
      </c>
      <c r="D46" s="4" t="s">
        <v>128</v>
      </c>
      <c r="E46" s="5">
        <v>4394</v>
      </c>
      <c r="F46" s="6">
        <v>31.305053000000001</v>
      </c>
      <c r="G46" s="7">
        <v>1.036161E-2</v>
      </c>
      <c r="H46" s="105"/>
    </row>
    <row r="47" spans="1:8" ht="17.100000000000001" customHeight="1" x14ac:dyDescent="0.2">
      <c r="A47" s="3">
        <v>41</v>
      </c>
      <c r="B47" s="4" t="s">
        <v>446</v>
      </c>
      <c r="C47" s="4" t="s">
        <v>447</v>
      </c>
      <c r="D47" s="4" t="s">
        <v>121</v>
      </c>
      <c r="E47" s="5">
        <v>7524</v>
      </c>
      <c r="F47" s="6">
        <v>31.20579</v>
      </c>
      <c r="G47" s="7">
        <v>1.0328759999999999E-2</v>
      </c>
      <c r="H47" s="105"/>
    </row>
    <row r="48" spans="1:8" ht="17.100000000000001" customHeight="1" x14ac:dyDescent="0.2">
      <c r="A48" s="3">
        <v>42</v>
      </c>
      <c r="B48" s="4" t="s">
        <v>402</v>
      </c>
      <c r="C48" s="4" t="s">
        <v>403</v>
      </c>
      <c r="D48" s="4" t="s">
        <v>207</v>
      </c>
      <c r="E48" s="5">
        <v>3908</v>
      </c>
      <c r="F48" s="6">
        <v>30.404240000000001</v>
      </c>
      <c r="G48" s="7">
        <v>1.006345E-2</v>
      </c>
      <c r="H48" s="105"/>
    </row>
    <row r="49" spans="1:8" ht="17.100000000000001" customHeight="1" x14ac:dyDescent="0.2">
      <c r="A49" s="3">
        <v>43</v>
      </c>
      <c r="B49" s="4" t="s">
        <v>480</v>
      </c>
      <c r="C49" s="4" t="s">
        <v>481</v>
      </c>
      <c r="D49" s="4" t="s">
        <v>954</v>
      </c>
      <c r="E49" s="5">
        <v>2523</v>
      </c>
      <c r="F49" s="6">
        <v>29.770138500000002</v>
      </c>
      <c r="G49" s="7">
        <v>9.8535700000000007E-3</v>
      </c>
      <c r="H49" s="105"/>
    </row>
    <row r="50" spans="1:8" ht="29.1" customHeight="1" x14ac:dyDescent="0.2">
      <c r="A50" s="3">
        <v>44</v>
      </c>
      <c r="B50" s="4" t="s">
        <v>407</v>
      </c>
      <c r="C50" s="4" t="s">
        <v>408</v>
      </c>
      <c r="D50" s="4" t="s">
        <v>212</v>
      </c>
      <c r="E50" s="5">
        <v>596</v>
      </c>
      <c r="F50" s="6">
        <v>27.766448</v>
      </c>
      <c r="G50" s="7">
        <v>9.1903699999999998E-3</v>
      </c>
      <c r="H50" s="105"/>
    </row>
    <row r="51" spans="1:8" ht="17.100000000000001" customHeight="1" x14ac:dyDescent="0.2">
      <c r="A51" s="3">
        <v>45</v>
      </c>
      <c r="B51" s="4" t="s">
        <v>482</v>
      </c>
      <c r="C51" s="4" t="s">
        <v>483</v>
      </c>
      <c r="D51" s="4" t="s">
        <v>33</v>
      </c>
      <c r="E51" s="5">
        <v>4198</v>
      </c>
      <c r="F51" s="6">
        <v>26.949061</v>
      </c>
      <c r="G51" s="7">
        <v>8.9198300000000001E-3</v>
      </c>
      <c r="H51" s="105"/>
    </row>
    <row r="52" spans="1:8" ht="17.100000000000001" customHeight="1" x14ac:dyDescent="0.2">
      <c r="A52" s="3">
        <v>46</v>
      </c>
      <c r="B52" s="4" t="s">
        <v>398</v>
      </c>
      <c r="C52" s="4" t="s">
        <v>399</v>
      </c>
      <c r="D52" s="4" t="s">
        <v>59</v>
      </c>
      <c r="E52" s="5">
        <v>4036</v>
      </c>
      <c r="F52" s="6">
        <v>25.582186</v>
      </c>
      <c r="G52" s="7">
        <v>8.4674099999999999E-3</v>
      </c>
      <c r="H52" s="105"/>
    </row>
    <row r="53" spans="1:8" ht="29.1" customHeight="1" x14ac:dyDescent="0.2">
      <c r="A53" s="3">
        <v>47</v>
      </c>
      <c r="B53" s="4" t="s">
        <v>249</v>
      </c>
      <c r="C53" s="4" t="s">
        <v>250</v>
      </c>
      <c r="D53" s="4" t="s">
        <v>121</v>
      </c>
      <c r="E53" s="5">
        <v>8388</v>
      </c>
      <c r="F53" s="6">
        <v>21.381011999999998</v>
      </c>
      <c r="G53" s="7">
        <v>7.0768699999999999E-3</v>
      </c>
      <c r="H53" s="105"/>
    </row>
    <row r="54" spans="1:8" ht="17.100000000000001" customHeight="1" x14ac:dyDescent="0.2">
      <c r="A54" s="3">
        <v>48</v>
      </c>
      <c r="B54" s="4" t="s">
        <v>450</v>
      </c>
      <c r="C54" s="4" t="s">
        <v>451</v>
      </c>
      <c r="D54" s="4" t="s">
        <v>33</v>
      </c>
      <c r="E54" s="5">
        <v>2107</v>
      </c>
      <c r="F54" s="6">
        <v>17.5797545</v>
      </c>
      <c r="G54" s="7">
        <v>5.8186999999999996E-3</v>
      </c>
      <c r="H54" s="105"/>
    </row>
    <row r="55" spans="1:8" ht="17.100000000000001" customHeight="1" x14ac:dyDescent="0.2">
      <c r="A55" s="3">
        <v>49</v>
      </c>
      <c r="B55" s="4" t="s">
        <v>452</v>
      </c>
      <c r="C55" s="4" t="s">
        <v>453</v>
      </c>
      <c r="D55" s="4" t="s">
        <v>91</v>
      </c>
      <c r="E55" s="5">
        <v>22875</v>
      </c>
      <c r="F55" s="6">
        <v>14.9145</v>
      </c>
      <c r="G55" s="7">
        <v>4.9365299999999997E-3</v>
      </c>
      <c r="H55" s="105"/>
    </row>
    <row r="56" spans="1:8" ht="29.1" customHeight="1" x14ac:dyDescent="0.2">
      <c r="A56" s="3">
        <v>50</v>
      </c>
      <c r="B56" s="4" t="s">
        <v>459</v>
      </c>
      <c r="C56" s="4" t="s">
        <v>460</v>
      </c>
      <c r="D56" s="4" t="s">
        <v>183</v>
      </c>
      <c r="E56" s="5">
        <v>2348</v>
      </c>
      <c r="F56" s="6">
        <v>11.825702</v>
      </c>
      <c r="G56" s="7">
        <v>3.9141699999999998E-3</v>
      </c>
      <c r="H56" s="105"/>
    </row>
    <row r="57" spans="1:8" ht="17.100000000000001" customHeight="1" x14ac:dyDescent="0.2">
      <c r="A57" s="3">
        <v>51</v>
      </c>
      <c r="B57" s="4" t="s">
        <v>444</v>
      </c>
      <c r="C57" s="4" t="s">
        <v>445</v>
      </c>
      <c r="D57" s="4" t="s">
        <v>25</v>
      </c>
      <c r="E57" s="5">
        <v>2318</v>
      </c>
      <c r="F57" s="6">
        <v>6.4788100000000002</v>
      </c>
      <c r="G57" s="7">
        <v>2.1444099999999998E-3</v>
      </c>
      <c r="H57" s="105"/>
    </row>
    <row r="58" spans="1:8" ht="29.1" customHeight="1" x14ac:dyDescent="0.2">
      <c r="A58" s="3">
        <v>52</v>
      </c>
      <c r="B58" s="4" t="s">
        <v>409</v>
      </c>
      <c r="C58" s="4" t="s">
        <v>410</v>
      </c>
      <c r="D58" s="4" t="s">
        <v>212</v>
      </c>
      <c r="E58" s="5">
        <v>1719</v>
      </c>
      <c r="F58" s="6">
        <v>4.3679790000000001</v>
      </c>
      <c r="G58" s="7">
        <v>1.44575E-3</v>
      </c>
      <c r="H58" s="105"/>
    </row>
    <row r="59" spans="1:8" ht="14.1" customHeight="1" x14ac:dyDescent="0.2">
      <c r="A59" s="1"/>
      <c r="B59" s="1"/>
      <c r="C59" s="2" t="s">
        <v>132</v>
      </c>
      <c r="D59" s="1"/>
      <c r="E59" s="1" t="s">
        <v>133</v>
      </c>
      <c r="F59" s="9">
        <v>2774.3916709999999</v>
      </c>
      <c r="G59" s="10">
        <v>0.91829159000000005</v>
      </c>
      <c r="H59" s="105"/>
    </row>
    <row r="60" spans="1:8" ht="14.1" customHeight="1" x14ac:dyDescent="0.2">
      <c r="A60" s="1"/>
      <c r="B60" s="1"/>
      <c r="C60" s="11"/>
      <c r="D60" s="1"/>
      <c r="E60" s="1"/>
      <c r="F60" s="12"/>
      <c r="G60" s="12"/>
      <c r="H60" s="105"/>
    </row>
    <row r="61" spans="1:8" ht="14.1" customHeight="1" x14ac:dyDescent="0.2">
      <c r="A61" s="1"/>
      <c r="B61" s="1"/>
      <c r="C61" s="2" t="s">
        <v>134</v>
      </c>
      <c r="D61" s="1"/>
      <c r="E61" s="1"/>
      <c r="F61" s="1"/>
      <c r="G61" s="1"/>
      <c r="H61" s="105"/>
    </row>
    <row r="62" spans="1:8" ht="14.1" customHeight="1" x14ac:dyDescent="0.2">
      <c r="A62" s="1"/>
      <c r="B62" s="1"/>
      <c r="C62" s="2" t="s">
        <v>132</v>
      </c>
      <c r="D62" s="1"/>
      <c r="E62" s="1" t="s">
        <v>133</v>
      </c>
      <c r="F62" s="13" t="s">
        <v>135</v>
      </c>
      <c r="G62" s="10">
        <v>0</v>
      </c>
      <c r="H62" s="105"/>
    </row>
    <row r="63" spans="1:8" ht="14.1" customHeight="1" x14ac:dyDescent="0.2">
      <c r="A63" s="1"/>
      <c r="B63" s="1"/>
      <c r="C63" s="11"/>
      <c r="D63" s="1"/>
      <c r="E63" s="1"/>
      <c r="F63" s="12"/>
      <c r="G63" s="12"/>
      <c r="H63" s="105"/>
    </row>
    <row r="64" spans="1:8" ht="14.1" customHeight="1" x14ac:dyDescent="0.2">
      <c r="A64" s="1"/>
      <c r="B64" s="1"/>
      <c r="C64" s="2" t="s">
        <v>136</v>
      </c>
      <c r="D64" s="1"/>
      <c r="E64" s="1"/>
      <c r="F64" s="1"/>
      <c r="G64" s="1"/>
      <c r="H64" s="105"/>
    </row>
    <row r="65" spans="1:8" ht="14.1" customHeight="1" x14ac:dyDescent="0.2">
      <c r="A65" s="1"/>
      <c r="B65" s="1"/>
      <c r="C65" s="2" t="s">
        <v>132</v>
      </c>
      <c r="D65" s="1"/>
      <c r="E65" s="1" t="s">
        <v>133</v>
      </c>
      <c r="F65" s="13" t="s">
        <v>135</v>
      </c>
      <c r="G65" s="10">
        <v>0</v>
      </c>
      <c r="H65" s="105"/>
    </row>
    <row r="66" spans="1:8" ht="14.1" customHeight="1" x14ac:dyDescent="0.2">
      <c r="A66" s="1"/>
      <c r="B66" s="1"/>
      <c r="C66" s="11"/>
      <c r="D66" s="1"/>
      <c r="E66" s="1"/>
      <c r="F66" s="12"/>
      <c r="G66" s="12"/>
      <c r="H66" s="105"/>
    </row>
    <row r="67" spans="1:8" ht="14.1" customHeight="1" x14ac:dyDescent="0.2">
      <c r="A67" s="1"/>
      <c r="B67" s="1"/>
      <c r="C67" s="2" t="s">
        <v>137</v>
      </c>
      <c r="D67" s="1"/>
      <c r="E67" s="1"/>
      <c r="F67" s="1"/>
      <c r="G67" s="1"/>
      <c r="H67" s="105"/>
    </row>
    <row r="68" spans="1:8" ht="24.75" customHeight="1" x14ac:dyDescent="0.2">
      <c r="A68" s="3">
        <v>1</v>
      </c>
      <c r="B68" s="40" t="s">
        <v>923</v>
      </c>
      <c r="C68" s="40" t="s">
        <v>924</v>
      </c>
      <c r="D68" s="4" t="s">
        <v>81</v>
      </c>
      <c r="E68" s="5">
        <v>133516</v>
      </c>
      <c r="F68" s="6">
        <v>13.496064312</v>
      </c>
      <c r="G68" s="7">
        <v>4.4670400000000002E-3</v>
      </c>
      <c r="H68" s="105"/>
    </row>
    <row r="69" spans="1:8" ht="14.1" customHeight="1" x14ac:dyDescent="0.2">
      <c r="A69" s="1"/>
      <c r="B69" s="1"/>
      <c r="C69" s="2" t="s">
        <v>132</v>
      </c>
      <c r="D69" s="1"/>
      <c r="E69" s="1" t="s">
        <v>133</v>
      </c>
      <c r="F69" s="9">
        <v>13.496064312</v>
      </c>
      <c r="G69" s="10">
        <v>4.4670400000000002E-3</v>
      </c>
      <c r="H69" s="105"/>
    </row>
    <row r="70" spans="1:8" ht="14.1" customHeight="1" x14ac:dyDescent="0.2">
      <c r="A70" s="1"/>
      <c r="B70" s="1"/>
      <c r="C70" s="11"/>
      <c r="D70" s="1"/>
      <c r="E70" s="1"/>
      <c r="F70" s="12"/>
      <c r="G70" s="12"/>
      <c r="H70" s="105"/>
    </row>
    <row r="71" spans="1:8" ht="14.1" customHeight="1" x14ac:dyDescent="0.2">
      <c r="A71" s="1"/>
      <c r="B71" s="1"/>
      <c r="C71" s="2" t="s">
        <v>138</v>
      </c>
      <c r="D71" s="1"/>
      <c r="E71" s="1"/>
      <c r="F71" s="12"/>
      <c r="G71" s="12"/>
      <c r="H71" s="105"/>
    </row>
    <row r="72" spans="1:8" ht="14.1" customHeight="1" x14ac:dyDescent="0.2">
      <c r="A72" s="1"/>
      <c r="B72" s="1"/>
      <c r="C72" s="2" t="s">
        <v>132</v>
      </c>
      <c r="D72" s="1"/>
      <c r="E72" s="1" t="s">
        <v>133</v>
      </c>
      <c r="F72" s="13" t="s">
        <v>135</v>
      </c>
      <c r="G72" s="10">
        <v>0</v>
      </c>
      <c r="H72" s="105"/>
    </row>
    <row r="73" spans="1:8" ht="14.1" customHeight="1" x14ac:dyDescent="0.2">
      <c r="A73" s="1"/>
      <c r="B73" s="1"/>
      <c r="C73" s="11"/>
      <c r="D73" s="1"/>
      <c r="E73" s="1"/>
      <c r="F73" s="12"/>
      <c r="G73" s="12"/>
      <c r="H73" s="105"/>
    </row>
    <row r="74" spans="1:8" ht="14.1" customHeight="1" x14ac:dyDescent="0.2">
      <c r="A74" s="1"/>
      <c r="B74" s="1"/>
      <c r="C74" s="2" t="s">
        <v>139</v>
      </c>
      <c r="D74" s="1"/>
      <c r="E74" s="1"/>
      <c r="F74" s="12"/>
      <c r="G74" s="12"/>
      <c r="H74" s="105"/>
    </row>
    <row r="75" spans="1:8" ht="14.1" customHeight="1" x14ac:dyDescent="0.2">
      <c r="A75" s="1"/>
      <c r="B75" s="1"/>
      <c r="C75" s="2" t="s">
        <v>132</v>
      </c>
      <c r="D75" s="1"/>
      <c r="E75" s="1" t="s">
        <v>133</v>
      </c>
      <c r="F75" s="13" t="s">
        <v>135</v>
      </c>
      <c r="G75" s="10">
        <v>0</v>
      </c>
      <c r="H75" s="105"/>
    </row>
    <row r="76" spans="1:8" ht="14.1" customHeight="1" x14ac:dyDescent="0.2">
      <c r="A76" s="1"/>
      <c r="B76" s="1"/>
      <c r="C76" s="11"/>
      <c r="D76" s="1"/>
      <c r="E76" s="1"/>
      <c r="F76" s="12"/>
      <c r="G76" s="12"/>
      <c r="H76" s="105"/>
    </row>
    <row r="77" spans="1:8" ht="18" customHeight="1" x14ac:dyDescent="0.2">
      <c r="A77" s="1"/>
      <c r="B77" s="1"/>
      <c r="C77" s="2" t="s">
        <v>140</v>
      </c>
      <c r="D77" s="1"/>
      <c r="E77" s="1"/>
      <c r="F77" s="9">
        <v>2787.8877353120001</v>
      </c>
      <c r="G77" s="10">
        <v>0.92275863000000002</v>
      </c>
      <c r="H77" s="105"/>
    </row>
    <row r="78" spans="1:8" ht="14.1" customHeight="1" x14ac:dyDescent="0.2">
      <c r="A78" s="1"/>
      <c r="B78" s="1"/>
      <c r="C78" s="11"/>
      <c r="D78" s="1"/>
      <c r="E78" s="1"/>
      <c r="F78" s="12"/>
      <c r="G78" s="12"/>
      <c r="H78" s="105"/>
    </row>
    <row r="79" spans="1:8" ht="14.1" customHeight="1" x14ac:dyDescent="0.2">
      <c r="A79" s="1"/>
      <c r="B79" s="1"/>
      <c r="C79" s="2" t="s">
        <v>141</v>
      </c>
      <c r="D79" s="1"/>
      <c r="E79" s="1"/>
      <c r="F79" s="12"/>
      <c r="G79" s="12"/>
      <c r="H79" s="105"/>
    </row>
    <row r="80" spans="1:8" ht="24" customHeight="1" x14ac:dyDescent="0.2">
      <c r="A80" s="1"/>
      <c r="B80" s="1"/>
      <c r="C80" s="2" t="s">
        <v>10</v>
      </c>
      <c r="D80" s="1"/>
      <c r="E80" s="1"/>
      <c r="F80" s="12"/>
      <c r="G80" s="12"/>
      <c r="H80" s="105"/>
    </row>
    <row r="81" spans="1:8" ht="14.1" customHeight="1" x14ac:dyDescent="0.2">
      <c r="A81" s="1"/>
      <c r="B81" s="1"/>
      <c r="C81" s="2" t="s">
        <v>132</v>
      </c>
      <c r="D81" s="1"/>
      <c r="E81" s="1" t="s">
        <v>133</v>
      </c>
      <c r="F81" s="13" t="s">
        <v>135</v>
      </c>
      <c r="G81" s="10">
        <v>0</v>
      </c>
      <c r="H81" s="105"/>
    </row>
    <row r="82" spans="1:8" ht="14.1" customHeight="1" x14ac:dyDescent="0.2">
      <c r="A82" s="1"/>
      <c r="B82" s="1"/>
      <c r="C82" s="11"/>
      <c r="D82" s="1"/>
      <c r="E82" s="1"/>
      <c r="F82" s="12"/>
      <c r="G82" s="12"/>
      <c r="H82" s="105"/>
    </row>
    <row r="83" spans="1:8" ht="14.1" customHeight="1" x14ac:dyDescent="0.2">
      <c r="A83" s="1"/>
      <c r="B83" s="1"/>
      <c r="C83" s="2" t="s">
        <v>142</v>
      </c>
      <c r="D83" s="1"/>
      <c r="E83" s="1"/>
      <c r="F83" s="1"/>
      <c r="G83" s="1"/>
      <c r="H83" s="105"/>
    </row>
    <row r="84" spans="1:8" ht="14.1" customHeight="1" x14ac:dyDescent="0.2">
      <c r="A84" s="1"/>
      <c r="B84" s="1"/>
      <c r="C84" s="2" t="s">
        <v>132</v>
      </c>
      <c r="D84" s="1"/>
      <c r="E84" s="1" t="s">
        <v>133</v>
      </c>
      <c r="F84" s="13" t="s">
        <v>135</v>
      </c>
      <c r="G84" s="10">
        <v>0</v>
      </c>
      <c r="H84" s="105"/>
    </row>
    <row r="85" spans="1:8" ht="14.1" customHeight="1" x14ac:dyDescent="0.2">
      <c r="A85" s="1"/>
      <c r="B85" s="1"/>
      <c r="C85" s="11"/>
      <c r="D85" s="1"/>
      <c r="E85" s="1"/>
      <c r="F85" s="12"/>
      <c r="G85" s="12"/>
      <c r="H85" s="105"/>
    </row>
    <row r="86" spans="1:8" ht="14.1" customHeight="1" x14ac:dyDescent="0.2">
      <c r="A86" s="1"/>
      <c r="B86" s="1"/>
      <c r="C86" s="2" t="s">
        <v>143</v>
      </c>
      <c r="D86" s="1"/>
      <c r="E86" s="1"/>
      <c r="F86" s="1"/>
      <c r="G86" s="1"/>
      <c r="H86" s="105"/>
    </row>
    <row r="87" spans="1:8" ht="14.1" customHeight="1" x14ac:dyDescent="0.2">
      <c r="A87" s="1"/>
      <c r="B87" s="1"/>
      <c r="C87" s="2" t="s">
        <v>132</v>
      </c>
      <c r="D87" s="1"/>
      <c r="E87" s="1" t="s">
        <v>133</v>
      </c>
      <c r="F87" s="13" t="s">
        <v>135</v>
      </c>
      <c r="G87" s="10">
        <v>0</v>
      </c>
      <c r="H87" s="105"/>
    </row>
    <row r="88" spans="1:8" ht="14.1" customHeight="1" x14ac:dyDescent="0.2">
      <c r="A88" s="1"/>
      <c r="B88" s="1"/>
      <c r="C88" s="11"/>
      <c r="D88" s="1"/>
      <c r="E88" s="1"/>
      <c r="F88" s="12"/>
      <c r="G88" s="12"/>
      <c r="H88" s="105"/>
    </row>
    <row r="89" spans="1:8" ht="14.1" customHeight="1" x14ac:dyDescent="0.2">
      <c r="A89" s="1"/>
      <c r="B89" s="1"/>
      <c r="C89" s="2" t="s">
        <v>144</v>
      </c>
      <c r="D89" s="1"/>
      <c r="E89" s="1"/>
      <c r="F89" s="12"/>
      <c r="G89" s="12"/>
      <c r="H89" s="105"/>
    </row>
    <row r="90" spans="1:8" ht="14.1" customHeight="1" x14ac:dyDescent="0.2">
      <c r="A90" s="1"/>
      <c r="B90" s="1"/>
      <c r="C90" s="2" t="s">
        <v>132</v>
      </c>
      <c r="D90" s="1"/>
      <c r="E90" s="1" t="s">
        <v>133</v>
      </c>
      <c r="F90" s="13" t="s">
        <v>135</v>
      </c>
      <c r="G90" s="10">
        <v>0</v>
      </c>
      <c r="H90" s="105"/>
    </row>
    <row r="91" spans="1:8" ht="14.1" customHeight="1" x14ac:dyDescent="0.2">
      <c r="A91" s="1"/>
      <c r="B91" s="1"/>
      <c r="C91" s="11"/>
      <c r="D91" s="1"/>
      <c r="E91" s="1"/>
      <c r="F91" s="12"/>
      <c r="G91" s="12"/>
      <c r="H91" s="105"/>
    </row>
    <row r="92" spans="1:8" ht="14.1" customHeight="1" x14ac:dyDescent="0.2">
      <c r="A92" s="1"/>
      <c r="B92" s="1"/>
      <c r="C92" s="2" t="s">
        <v>145</v>
      </c>
      <c r="D92" s="1"/>
      <c r="E92" s="1"/>
      <c r="F92" s="9">
        <v>0</v>
      </c>
      <c r="G92" s="10">
        <v>0</v>
      </c>
      <c r="H92" s="105"/>
    </row>
    <row r="93" spans="1:8" ht="14.1" customHeight="1" x14ac:dyDescent="0.2">
      <c r="A93" s="1"/>
      <c r="B93" s="1"/>
      <c r="C93" s="11"/>
      <c r="D93" s="1"/>
      <c r="E93" s="1"/>
      <c r="F93" s="12"/>
      <c r="G93" s="12"/>
      <c r="H93" s="105"/>
    </row>
    <row r="94" spans="1:8" ht="14.1" customHeight="1" x14ac:dyDescent="0.2">
      <c r="A94" s="1"/>
      <c r="B94" s="1"/>
      <c r="C94" s="2" t="s">
        <v>146</v>
      </c>
      <c r="D94" s="1"/>
      <c r="E94" s="1"/>
      <c r="F94" s="12"/>
      <c r="G94" s="12"/>
      <c r="H94" s="105"/>
    </row>
    <row r="95" spans="1:8" ht="14.1" customHeight="1" x14ac:dyDescent="0.2">
      <c r="A95" s="1"/>
      <c r="B95" s="1"/>
      <c r="C95" s="2" t="s">
        <v>147</v>
      </c>
      <c r="D95" s="1"/>
      <c r="E95" s="1"/>
      <c r="F95" s="12"/>
      <c r="G95" s="12"/>
      <c r="H95" s="105"/>
    </row>
    <row r="96" spans="1:8" ht="14.1" customHeight="1" x14ac:dyDescent="0.2">
      <c r="A96" s="1"/>
      <c r="B96" s="1"/>
      <c r="C96" s="2" t="s">
        <v>132</v>
      </c>
      <c r="D96" s="1"/>
      <c r="E96" s="1" t="s">
        <v>133</v>
      </c>
      <c r="F96" s="13" t="s">
        <v>135</v>
      </c>
      <c r="G96" s="10">
        <v>0</v>
      </c>
      <c r="H96" s="105"/>
    </row>
    <row r="97" spans="1:8" ht="14.1" customHeight="1" x14ac:dyDescent="0.2">
      <c r="A97" s="1"/>
      <c r="B97" s="1"/>
      <c r="C97" s="11"/>
      <c r="D97" s="1"/>
      <c r="E97" s="1"/>
      <c r="F97" s="12"/>
      <c r="G97" s="12"/>
      <c r="H97" s="105"/>
    </row>
    <row r="98" spans="1:8" ht="14.1" customHeight="1" x14ac:dyDescent="0.2">
      <c r="A98" s="1"/>
      <c r="B98" s="1"/>
      <c r="C98" s="2" t="s">
        <v>148</v>
      </c>
      <c r="D98" s="1"/>
      <c r="E98" s="1"/>
      <c r="F98" s="12"/>
      <c r="G98" s="12"/>
      <c r="H98" s="105"/>
    </row>
    <row r="99" spans="1:8" ht="14.1" customHeight="1" x14ac:dyDescent="0.2">
      <c r="A99" s="1"/>
      <c r="B99" s="1"/>
      <c r="C99" s="2" t="s">
        <v>132</v>
      </c>
      <c r="D99" s="1"/>
      <c r="E99" s="1" t="s">
        <v>133</v>
      </c>
      <c r="F99" s="13" t="s">
        <v>135</v>
      </c>
      <c r="G99" s="10">
        <v>0</v>
      </c>
      <c r="H99" s="105"/>
    </row>
    <row r="100" spans="1:8" ht="14.1" customHeight="1" x14ac:dyDescent="0.2">
      <c r="A100" s="1"/>
      <c r="B100" s="1"/>
      <c r="C100" s="11"/>
      <c r="D100" s="1"/>
      <c r="E100" s="1"/>
      <c r="F100" s="12"/>
      <c r="G100" s="12"/>
      <c r="H100" s="105"/>
    </row>
    <row r="101" spans="1:8" ht="14.1" customHeight="1" x14ac:dyDescent="0.2">
      <c r="A101" s="1"/>
      <c r="B101" s="1"/>
      <c r="C101" s="2" t="s">
        <v>149</v>
      </c>
      <c r="D101" s="1"/>
      <c r="E101" s="1"/>
      <c r="F101" s="12"/>
      <c r="G101" s="12"/>
      <c r="H101" s="105"/>
    </row>
    <row r="102" spans="1:8" ht="14.1" customHeight="1" x14ac:dyDescent="0.2">
      <c r="A102" s="1"/>
      <c r="B102" s="1"/>
      <c r="C102" s="2" t="s">
        <v>132</v>
      </c>
      <c r="D102" s="1"/>
      <c r="E102" s="1" t="s">
        <v>133</v>
      </c>
      <c r="F102" s="13" t="s">
        <v>135</v>
      </c>
      <c r="G102" s="10">
        <v>0</v>
      </c>
      <c r="H102" s="105"/>
    </row>
    <row r="103" spans="1:8" ht="14.1" customHeight="1" x14ac:dyDescent="0.2">
      <c r="A103" s="1"/>
      <c r="B103" s="1"/>
      <c r="C103" s="11"/>
      <c r="D103" s="1"/>
      <c r="E103" s="1"/>
      <c r="F103" s="12"/>
      <c r="G103" s="12"/>
      <c r="H103" s="105"/>
    </row>
    <row r="104" spans="1:8" ht="14.1" customHeight="1" x14ac:dyDescent="0.2">
      <c r="A104" s="1"/>
      <c r="B104" s="1"/>
      <c r="C104" s="2" t="s">
        <v>150</v>
      </c>
      <c r="D104" s="1"/>
      <c r="E104" s="1"/>
      <c r="F104" s="12"/>
      <c r="G104" s="12"/>
      <c r="H104" s="105"/>
    </row>
    <row r="105" spans="1:8" ht="17.100000000000001" customHeight="1" x14ac:dyDescent="0.2">
      <c r="A105" s="3">
        <v>1</v>
      </c>
      <c r="B105" s="4"/>
      <c r="C105" s="4" t="s">
        <v>151</v>
      </c>
      <c r="D105" s="4"/>
      <c r="E105" s="8"/>
      <c r="F105" s="6">
        <v>206.6782623</v>
      </c>
      <c r="G105" s="7">
        <v>6.8408120000000003E-2</v>
      </c>
      <c r="H105" s="105">
        <v>6.8153352377542396</v>
      </c>
    </row>
    <row r="106" spans="1:8" ht="17.100000000000001" customHeight="1" x14ac:dyDescent="0.2">
      <c r="A106" s="3">
        <v>2</v>
      </c>
      <c r="B106" s="4"/>
      <c r="C106" s="4" t="s">
        <v>152</v>
      </c>
      <c r="D106" s="4"/>
      <c r="E106" s="8"/>
      <c r="F106" s="6">
        <v>24.5257346</v>
      </c>
      <c r="G106" s="7">
        <v>8.11774E-3</v>
      </c>
      <c r="H106" s="105">
        <v>6.7952403714590259</v>
      </c>
    </row>
    <row r="107" spans="1:8" ht="14.1" customHeight="1" x14ac:dyDescent="0.2">
      <c r="A107" s="1"/>
      <c r="B107" s="1"/>
      <c r="C107" s="2" t="s">
        <v>132</v>
      </c>
      <c r="D107" s="1"/>
      <c r="E107" s="1" t="s">
        <v>133</v>
      </c>
      <c r="F107" s="9">
        <v>231.20399689999999</v>
      </c>
      <c r="G107" s="10">
        <v>7.6525860000000001E-2</v>
      </c>
      <c r="H107" s="105"/>
    </row>
    <row r="108" spans="1:8" ht="14.1" customHeight="1" x14ac:dyDescent="0.2">
      <c r="A108" s="1"/>
      <c r="B108" s="1"/>
      <c r="C108" s="11"/>
      <c r="D108" s="1"/>
      <c r="E108" s="1"/>
      <c r="F108" s="12"/>
      <c r="G108" s="12"/>
      <c r="H108" s="105"/>
    </row>
    <row r="109" spans="1:8" ht="14.1" customHeight="1" x14ac:dyDescent="0.2">
      <c r="A109" s="1"/>
      <c r="B109" s="1"/>
      <c r="C109" s="2" t="s">
        <v>153</v>
      </c>
      <c r="D109" s="1"/>
      <c r="E109" s="1"/>
      <c r="F109" s="9">
        <v>231.20399689999999</v>
      </c>
      <c r="G109" s="10">
        <v>7.6525860000000001E-2</v>
      </c>
      <c r="H109" s="105"/>
    </row>
    <row r="110" spans="1:8" ht="14.1" customHeight="1" x14ac:dyDescent="0.2">
      <c r="A110" s="1"/>
      <c r="B110" s="1"/>
      <c r="C110" s="12"/>
      <c r="D110" s="1"/>
      <c r="E110" s="1"/>
      <c r="F110" s="1"/>
      <c r="G110" s="1"/>
      <c r="H110" s="105"/>
    </row>
    <row r="111" spans="1:8" ht="14.1" customHeight="1" x14ac:dyDescent="0.2">
      <c r="A111" s="1"/>
      <c r="B111" s="1"/>
      <c r="C111" s="2" t="s">
        <v>154</v>
      </c>
      <c r="D111" s="1"/>
      <c r="E111" s="1"/>
      <c r="F111" s="1"/>
      <c r="G111" s="1"/>
      <c r="H111" s="105"/>
    </row>
    <row r="112" spans="1:8" ht="14.1" customHeight="1" x14ac:dyDescent="0.2">
      <c r="A112" s="1"/>
      <c r="B112" s="1"/>
      <c r="C112" s="2" t="s">
        <v>155</v>
      </c>
      <c r="D112" s="1"/>
      <c r="E112" s="1"/>
      <c r="F112" s="1"/>
      <c r="G112" s="1"/>
      <c r="H112" s="105"/>
    </row>
    <row r="113" spans="1:8" ht="14.1" customHeight="1" x14ac:dyDescent="0.2">
      <c r="A113" s="1"/>
      <c r="B113" s="1"/>
      <c r="C113" s="2" t="s">
        <v>132</v>
      </c>
      <c r="D113" s="1"/>
      <c r="E113" s="1" t="s">
        <v>133</v>
      </c>
      <c r="F113" s="13" t="s">
        <v>135</v>
      </c>
      <c r="G113" s="10">
        <v>0</v>
      </c>
      <c r="H113" s="105"/>
    </row>
    <row r="114" spans="1:8" ht="14.1" customHeight="1" x14ac:dyDescent="0.2">
      <c r="A114" s="1"/>
      <c r="B114" s="1"/>
      <c r="C114" s="11"/>
      <c r="D114" s="1"/>
      <c r="E114" s="1"/>
      <c r="F114" s="12"/>
      <c r="G114" s="12"/>
      <c r="H114" s="105"/>
    </row>
    <row r="115" spans="1:8" ht="14.1" customHeight="1" x14ac:dyDescent="0.2">
      <c r="A115" s="1"/>
      <c r="B115" s="1"/>
      <c r="C115" s="2" t="s">
        <v>156</v>
      </c>
      <c r="D115" s="1"/>
      <c r="E115" s="1"/>
      <c r="F115" s="1"/>
      <c r="G115" s="1"/>
      <c r="H115" s="105"/>
    </row>
    <row r="116" spans="1:8" ht="14.1" customHeight="1" x14ac:dyDescent="0.2">
      <c r="A116" s="1"/>
      <c r="B116" s="1"/>
      <c r="C116" s="2" t="s">
        <v>157</v>
      </c>
      <c r="D116" s="1"/>
      <c r="E116" s="1"/>
      <c r="F116" s="1"/>
      <c r="G116" s="1"/>
      <c r="H116" s="105"/>
    </row>
    <row r="117" spans="1:8" ht="14.1" customHeight="1" x14ac:dyDescent="0.2">
      <c r="A117" s="1"/>
      <c r="B117" s="1"/>
      <c r="C117" s="2" t="s">
        <v>132</v>
      </c>
      <c r="D117" s="1"/>
      <c r="E117" s="1" t="s">
        <v>133</v>
      </c>
      <c r="F117" s="13" t="s">
        <v>135</v>
      </c>
      <c r="G117" s="10">
        <v>0</v>
      </c>
      <c r="H117" s="105"/>
    </row>
    <row r="118" spans="1:8" ht="14.1" customHeight="1" x14ac:dyDescent="0.2">
      <c r="A118" s="1"/>
      <c r="B118" s="1"/>
      <c r="C118" s="11"/>
      <c r="D118" s="1"/>
      <c r="E118" s="1"/>
      <c r="F118" s="12"/>
      <c r="G118" s="12"/>
      <c r="H118" s="105"/>
    </row>
    <row r="119" spans="1:8" ht="24" customHeight="1" x14ac:dyDescent="0.2">
      <c r="A119" s="1"/>
      <c r="B119" s="1"/>
      <c r="C119" s="2" t="s">
        <v>158</v>
      </c>
      <c r="D119" s="1"/>
      <c r="E119" s="1"/>
      <c r="F119" s="12"/>
      <c r="G119" s="12"/>
      <c r="H119" s="105"/>
    </row>
    <row r="120" spans="1:8" ht="14.1" customHeight="1" x14ac:dyDescent="0.2">
      <c r="A120" s="1"/>
      <c r="B120" s="1"/>
      <c r="C120" s="2" t="s">
        <v>132</v>
      </c>
      <c r="D120" s="1"/>
      <c r="E120" s="1" t="s">
        <v>133</v>
      </c>
      <c r="F120" s="13" t="s">
        <v>135</v>
      </c>
      <c r="G120" s="10">
        <v>0</v>
      </c>
      <c r="H120" s="105"/>
    </row>
    <row r="121" spans="1:8" ht="14.1" customHeight="1" x14ac:dyDescent="0.2">
      <c r="A121" s="1"/>
      <c r="B121" s="1"/>
      <c r="C121" s="11"/>
      <c r="D121" s="1"/>
      <c r="E121" s="1"/>
      <c r="F121" s="12"/>
      <c r="G121" s="12"/>
      <c r="H121" s="105"/>
    </row>
    <row r="122" spans="1:8" ht="14.1" customHeight="1" x14ac:dyDescent="0.2">
      <c r="A122" s="1"/>
      <c r="B122" s="4"/>
      <c r="C122" s="4"/>
      <c r="D122" s="2"/>
      <c r="E122" s="1"/>
      <c r="F122" s="4"/>
      <c r="G122" s="8"/>
      <c r="H122" s="105"/>
    </row>
    <row r="123" spans="1:8" ht="18" customHeight="1" x14ac:dyDescent="0.2">
      <c r="A123" s="8"/>
      <c r="B123" s="4"/>
      <c r="C123" s="4" t="s">
        <v>159</v>
      </c>
      <c r="D123" s="4"/>
      <c r="E123" s="8"/>
      <c r="F123" s="6">
        <v>2.16185859</v>
      </c>
      <c r="G123" s="7">
        <v>7.1555000000000002E-4</v>
      </c>
      <c r="H123" s="105"/>
    </row>
    <row r="124" spans="1:8" ht="14.1" customHeight="1" x14ac:dyDescent="0.2">
      <c r="A124" s="11"/>
      <c r="B124" s="11"/>
      <c r="C124" s="2" t="s">
        <v>160</v>
      </c>
      <c r="D124" s="12"/>
      <c r="E124" s="12"/>
      <c r="F124" s="9">
        <v>3021.253590802</v>
      </c>
      <c r="G124" s="14">
        <v>1.00000004</v>
      </c>
      <c r="H124" s="105"/>
    </row>
    <row r="125" spans="1:8" ht="14.1" customHeight="1" x14ac:dyDescent="0.2">
      <c r="A125" s="15"/>
      <c r="B125" s="15"/>
      <c r="C125" s="15"/>
      <c r="D125" s="16"/>
      <c r="E125" s="16"/>
      <c r="F125" s="16"/>
      <c r="G125" s="16"/>
    </row>
    <row r="126" spans="1:8" ht="14.1" customHeight="1" x14ac:dyDescent="0.2">
      <c r="A126" s="17"/>
      <c r="B126" s="17"/>
      <c r="C126" s="17"/>
      <c r="D126" s="19"/>
      <c r="E126" s="19"/>
      <c r="F126" s="19"/>
      <c r="G126" s="19"/>
    </row>
    <row r="127" spans="1:8" ht="14.1" customHeight="1" x14ac:dyDescent="0.2">
      <c r="A127" s="17"/>
      <c r="B127" s="179" t="s">
        <v>162</v>
      </c>
      <c r="C127" s="180"/>
      <c r="D127" s="181"/>
      <c r="E127" s="20"/>
      <c r="F127" s="19"/>
      <c r="G127" s="19"/>
    </row>
    <row r="128" spans="1:8" ht="29.1" customHeight="1" x14ac:dyDescent="0.2">
      <c r="A128" s="17"/>
      <c r="B128" s="176" t="s">
        <v>163</v>
      </c>
      <c r="C128" s="177"/>
      <c r="D128" s="2" t="s">
        <v>164</v>
      </c>
      <c r="E128" s="20"/>
      <c r="F128" s="19"/>
      <c r="G128" s="19"/>
    </row>
    <row r="129" spans="1:7" ht="17.100000000000001" customHeight="1" x14ac:dyDescent="0.2">
      <c r="A129" s="17"/>
      <c r="B129" s="176" t="s">
        <v>165</v>
      </c>
      <c r="C129" s="177"/>
      <c r="D129" s="2" t="s">
        <v>164</v>
      </c>
      <c r="E129" s="20"/>
      <c r="F129" s="19"/>
      <c r="G129" s="19"/>
    </row>
    <row r="130" spans="1:7" ht="17.100000000000001" customHeight="1" x14ac:dyDescent="0.2">
      <c r="A130" s="17"/>
      <c r="B130" s="176" t="s">
        <v>166</v>
      </c>
      <c r="C130" s="177"/>
      <c r="D130" s="12" t="s">
        <v>133</v>
      </c>
      <c r="E130" s="20"/>
      <c r="F130" s="19"/>
      <c r="G130" s="19"/>
    </row>
    <row r="131" spans="1:7" ht="24" customHeight="1" x14ac:dyDescent="0.2">
      <c r="A131" s="21"/>
      <c r="B131" s="22" t="s">
        <v>133</v>
      </c>
      <c r="C131" s="22" t="s">
        <v>167</v>
      </c>
      <c r="D131" s="22" t="s">
        <v>168</v>
      </c>
      <c r="E131" s="21"/>
      <c r="F131" s="21"/>
      <c r="G131" s="21"/>
    </row>
    <row r="132" spans="1:7" ht="18" customHeight="1" x14ac:dyDescent="0.2">
      <c r="A132" s="21"/>
      <c r="B132" s="23" t="s">
        <v>169</v>
      </c>
      <c r="C132" s="22" t="s">
        <v>170</v>
      </c>
      <c r="D132" s="22" t="s">
        <v>171</v>
      </c>
      <c r="E132" s="21"/>
      <c r="F132" s="21"/>
      <c r="G132" s="21"/>
    </row>
    <row r="133" spans="1:7" ht="17.100000000000001" customHeight="1" x14ac:dyDescent="0.2">
      <c r="A133" s="21"/>
      <c r="B133" s="4" t="s">
        <v>172</v>
      </c>
      <c r="C133" s="24">
        <v>16.804600000000001</v>
      </c>
      <c r="D133" s="24">
        <v>17.946100000000001</v>
      </c>
      <c r="E133" s="21"/>
      <c r="F133" s="18"/>
      <c r="G133" s="25"/>
    </row>
    <row r="134" spans="1:7" ht="17.100000000000001" customHeight="1" x14ac:dyDescent="0.2">
      <c r="A134" s="21"/>
      <c r="B134" s="4" t="s">
        <v>1006</v>
      </c>
      <c r="C134" s="24">
        <v>16.804600000000001</v>
      </c>
      <c r="D134" s="24">
        <v>17.946100000000001</v>
      </c>
      <c r="E134" s="21"/>
      <c r="F134" s="18"/>
      <c r="G134" s="25"/>
    </row>
    <row r="135" spans="1:7" ht="17.100000000000001" customHeight="1" x14ac:dyDescent="0.2">
      <c r="A135" s="21"/>
      <c r="B135" s="4" t="s">
        <v>173</v>
      </c>
      <c r="C135" s="24">
        <v>16.364000000000001</v>
      </c>
      <c r="D135" s="24">
        <v>17.474399999999999</v>
      </c>
      <c r="E135" s="21"/>
      <c r="F135" s="18"/>
      <c r="G135" s="25"/>
    </row>
    <row r="136" spans="1:7" ht="17.100000000000001" customHeight="1" x14ac:dyDescent="0.2">
      <c r="A136" s="21"/>
      <c r="B136" s="4" t="s">
        <v>1007</v>
      </c>
      <c r="C136" s="24">
        <v>16.364100000000001</v>
      </c>
      <c r="D136" s="24">
        <v>17.474399999999999</v>
      </c>
      <c r="E136" s="21"/>
      <c r="F136" s="18"/>
      <c r="G136" s="25"/>
    </row>
    <row r="137" spans="1:7" ht="14.1" customHeight="1" x14ac:dyDescent="0.2">
      <c r="A137" s="21"/>
      <c r="B137" s="21"/>
      <c r="C137" s="21"/>
      <c r="D137" s="21"/>
      <c r="E137" s="21"/>
      <c r="F137" s="21"/>
      <c r="G137" s="21"/>
    </row>
    <row r="138" spans="1:7" ht="17.100000000000001" customHeight="1" x14ac:dyDescent="0.2">
      <c r="A138" s="21"/>
      <c r="B138" s="176" t="s">
        <v>1008</v>
      </c>
      <c r="C138" s="177"/>
      <c r="D138" s="2" t="s">
        <v>164</v>
      </c>
      <c r="E138" s="21"/>
      <c r="F138" s="21"/>
      <c r="G138" s="21"/>
    </row>
    <row r="139" spans="1:7" ht="18" customHeight="1" x14ac:dyDescent="0.2">
      <c r="A139" s="21"/>
      <c r="B139" s="26"/>
      <c r="C139" s="26"/>
      <c r="D139" s="26"/>
      <c r="E139" s="21"/>
      <c r="F139" s="21"/>
      <c r="G139" s="21"/>
    </row>
    <row r="140" spans="1:7" ht="29.1" customHeight="1" x14ac:dyDescent="0.2">
      <c r="A140" s="21"/>
      <c r="B140" s="176" t="s">
        <v>174</v>
      </c>
      <c r="C140" s="177"/>
      <c r="D140" s="2" t="s">
        <v>164</v>
      </c>
      <c r="E140" s="27"/>
      <c r="F140" s="21"/>
      <c r="G140" s="21"/>
    </row>
    <row r="141" spans="1:7" ht="29.1" customHeight="1" x14ac:dyDescent="0.2">
      <c r="A141" s="21"/>
      <c r="B141" s="176" t="s">
        <v>175</v>
      </c>
      <c r="C141" s="177"/>
      <c r="D141" s="2" t="s">
        <v>164</v>
      </c>
      <c r="E141" s="27"/>
      <c r="F141" s="21"/>
      <c r="G141" s="21"/>
    </row>
    <row r="142" spans="1:7" ht="17.100000000000001" customHeight="1" x14ac:dyDescent="0.2">
      <c r="A142" s="21"/>
      <c r="B142" s="176" t="s">
        <v>176</v>
      </c>
      <c r="C142" s="177"/>
      <c r="D142" s="2" t="s">
        <v>164</v>
      </c>
      <c r="E142" s="27"/>
      <c r="F142" s="21"/>
      <c r="G142" s="21"/>
    </row>
    <row r="143" spans="1:7" ht="17.100000000000001" customHeight="1" x14ac:dyDescent="0.2">
      <c r="A143" s="21"/>
      <c r="B143" s="176" t="s">
        <v>177</v>
      </c>
      <c r="C143" s="177"/>
      <c r="D143" s="60">
        <v>0.12833717424894558</v>
      </c>
      <c r="E143" s="21"/>
      <c r="F143" s="18"/>
      <c r="G143" s="25"/>
    </row>
    <row r="158" spans="10:14" x14ac:dyDescent="0.2">
      <c r="J158" s="162"/>
      <c r="K158" s="162"/>
      <c r="L158" s="162"/>
      <c r="M158" s="162"/>
      <c r="N158" s="162"/>
    </row>
  </sheetData>
  <mergeCells count="13">
    <mergeCell ref="B143:C143"/>
    <mergeCell ref="B129:C129"/>
    <mergeCell ref="B130:C130"/>
    <mergeCell ref="B138:C138"/>
    <mergeCell ref="B140:C140"/>
    <mergeCell ref="B141:C141"/>
    <mergeCell ref="B142:C142"/>
    <mergeCell ref="J2:N2"/>
    <mergeCell ref="B128:C128"/>
    <mergeCell ref="B127:D127"/>
    <mergeCell ref="A1:H1"/>
    <mergeCell ref="A2:H2"/>
    <mergeCell ref="A3:H3"/>
  </mergeCells>
  <hyperlinks>
    <hyperlink ref="I1" location="Index!B12" display="Index" xr:uid="{DE4BECFA-EBE3-4F48-A01C-4354F20F2460}"/>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N155"/>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182" t="s">
        <v>0</v>
      </c>
      <c r="B1" s="182"/>
      <c r="C1" s="182"/>
      <c r="D1" s="182"/>
      <c r="E1" s="182"/>
      <c r="F1" s="182"/>
      <c r="G1" s="182"/>
      <c r="H1" s="182"/>
      <c r="I1" s="159" t="s">
        <v>1044</v>
      </c>
    </row>
    <row r="2" spans="1:14" ht="17.100000000000001" customHeight="1" x14ac:dyDescent="0.2">
      <c r="A2" s="183" t="s">
        <v>484</v>
      </c>
      <c r="B2" s="184"/>
      <c r="C2" s="184"/>
      <c r="D2" s="184"/>
      <c r="E2" s="184"/>
      <c r="F2" s="184"/>
      <c r="G2" s="184"/>
      <c r="H2" s="185"/>
      <c r="J2" s="175" t="s">
        <v>1045</v>
      </c>
      <c r="K2" s="175"/>
      <c r="L2" s="175"/>
      <c r="M2" s="175"/>
      <c r="N2" s="175"/>
    </row>
    <row r="3" spans="1:14" ht="21" customHeight="1" x14ac:dyDescent="0.2">
      <c r="A3" s="182" t="s">
        <v>1016</v>
      </c>
      <c r="B3" s="182"/>
      <c r="C3" s="182"/>
      <c r="D3" s="182"/>
      <c r="E3" s="182"/>
      <c r="F3" s="182"/>
      <c r="G3" s="182"/>
      <c r="H3" s="182"/>
    </row>
    <row r="4" spans="1:14" ht="30" x14ac:dyDescent="0.2">
      <c r="A4" s="107" t="s">
        <v>2</v>
      </c>
      <c r="B4" s="107" t="s">
        <v>3</v>
      </c>
      <c r="C4" s="107" t="s">
        <v>4</v>
      </c>
      <c r="D4" s="107" t="s">
        <v>5</v>
      </c>
      <c r="E4" s="107" t="s">
        <v>6</v>
      </c>
      <c r="F4" s="107" t="s">
        <v>7</v>
      </c>
      <c r="G4" s="107" t="s">
        <v>8</v>
      </c>
      <c r="H4" s="104" t="s">
        <v>1003</v>
      </c>
      <c r="I4" s="108"/>
      <c r="J4" s="108"/>
      <c r="K4" s="108"/>
      <c r="L4" s="108"/>
      <c r="M4" s="108"/>
      <c r="N4" s="108"/>
    </row>
    <row r="5" spans="1:14" ht="14.1" customHeight="1" x14ac:dyDescent="0.2">
      <c r="A5" s="1"/>
      <c r="B5" s="1"/>
      <c r="C5" s="2" t="s">
        <v>9</v>
      </c>
      <c r="D5" s="1"/>
      <c r="E5" s="1"/>
      <c r="F5" s="1"/>
      <c r="G5" s="1"/>
      <c r="H5" s="105"/>
    </row>
    <row r="6" spans="1:14" ht="24" customHeight="1" x14ac:dyDescent="0.2">
      <c r="A6" s="1"/>
      <c r="B6" s="1"/>
      <c r="C6" s="2" t="s">
        <v>10</v>
      </c>
      <c r="D6" s="1"/>
      <c r="E6" s="1"/>
      <c r="F6" s="1"/>
      <c r="G6" s="1"/>
      <c r="H6" s="105"/>
    </row>
    <row r="7" spans="1:14" ht="17.100000000000001" customHeight="1" x14ac:dyDescent="0.2">
      <c r="A7" s="3">
        <v>1</v>
      </c>
      <c r="B7" s="4" t="s">
        <v>420</v>
      </c>
      <c r="C7" s="4" t="s">
        <v>421</v>
      </c>
      <c r="D7" s="4" t="s">
        <v>121</v>
      </c>
      <c r="E7" s="5">
        <v>4192</v>
      </c>
      <c r="F7" s="6">
        <v>102.40427200000001</v>
      </c>
      <c r="G7" s="7">
        <v>5.1948050000000003E-2</v>
      </c>
      <c r="H7" s="105"/>
    </row>
    <row r="8" spans="1:14" ht="17.100000000000001" customHeight="1" x14ac:dyDescent="0.2">
      <c r="A8" s="3">
        <v>2</v>
      </c>
      <c r="B8" s="4" t="s">
        <v>383</v>
      </c>
      <c r="C8" s="4" t="s">
        <v>384</v>
      </c>
      <c r="D8" s="4" t="s">
        <v>25</v>
      </c>
      <c r="E8" s="5">
        <v>121325</v>
      </c>
      <c r="F8" s="6">
        <v>83.6535875</v>
      </c>
      <c r="G8" s="7">
        <v>4.2436130000000002E-2</v>
      </c>
      <c r="H8" s="105"/>
    </row>
    <row r="9" spans="1:14" ht="17.100000000000001" customHeight="1" x14ac:dyDescent="0.2">
      <c r="A9" s="3">
        <v>3</v>
      </c>
      <c r="B9" s="4" t="s">
        <v>31</v>
      </c>
      <c r="C9" s="4" t="s">
        <v>32</v>
      </c>
      <c r="D9" s="4" t="s">
        <v>33</v>
      </c>
      <c r="E9" s="5">
        <v>3493</v>
      </c>
      <c r="F9" s="6">
        <v>78.611711499999998</v>
      </c>
      <c r="G9" s="7">
        <v>3.9878459999999998E-2</v>
      </c>
      <c r="H9" s="105"/>
    </row>
    <row r="10" spans="1:14" ht="17.100000000000001" customHeight="1" x14ac:dyDescent="0.2">
      <c r="A10" s="3">
        <v>4</v>
      </c>
      <c r="B10" s="4" t="s">
        <v>63</v>
      </c>
      <c r="C10" s="4" t="s">
        <v>64</v>
      </c>
      <c r="D10" s="4" t="s">
        <v>33</v>
      </c>
      <c r="E10" s="5">
        <v>3854</v>
      </c>
      <c r="F10" s="6">
        <v>73.035227000000006</v>
      </c>
      <c r="G10" s="7">
        <v>3.7049600000000002E-2</v>
      </c>
      <c r="H10" s="105"/>
    </row>
    <row r="11" spans="1:14" ht="17.100000000000001" customHeight="1" x14ac:dyDescent="0.2">
      <c r="A11" s="3">
        <v>5</v>
      </c>
      <c r="B11" s="4" t="s">
        <v>426</v>
      </c>
      <c r="C11" s="4" t="s">
        <v>427</v>
      </c>
      <c r="D11" s="4" t="s">
        <v>33</v>
      </c>
      <c r="E11" s="5">
        <v>5908</v>
      </c>
      <c r="F11" s="6">
        <v>61.782910000000001</v>
      </c>
      <c r="G11" s="7">
        <v>3.1341479999999998E-2</v>
      </c>
      <c r="H11" s="105"/>
    </row>
    <row r="12" spans="1:14" ht="29.1" customHeight="1" x14ac:dyDescent="0.2">
      <c r="A12" s="3">
        <v>6</v>
      </c>
      <c r="B12" s="4" t="s">
        <v>181</v>
      </c>
      <c r="C12" s="4" t="s">
        <v>182</v>
      </c>
      <c r="D12" s="4" t="s">
        <v>183</v>
      </c>
      <c r="E12" s="5">
        <v>1246</v>
      </c>
      <c r="F12" s="6">
        <v>60.433492000000001</v>
      </c>
      <c r="G12" s="7">
        <v>3.0656940000000001E-2</v>
      </c>
      <c r="H12" s="105"/>
    </row>
    <row r="13" spans="1:14" ht="17.100000000000001" customHeight="1" x14ac:dyDescent="0.2">
      <c r="A13" s="3">
        <v>7</v>
      </c>
      <c r="B13" s="4" t="s">
        <v>306</v>
      </c>
      <c r="C13" s="4" t="s">
        <v>307</v>
      </c>
      <c r="D13" s="4" t="s">
        <v>232</v>
      </c>
      <c r="E13" s="5">
        <v>3916</v>
      </c>
      <c r="F13" s="6">
        <v>57.296953999999999</v>
      </c>
      <c r="G13" s="7">
        <v>2.9065830000000001E-2</v>
      </c>
      <c r="H13" s="105"/>
      <c r="J13" s="161" t="s">
        <v>1049</v>
      </c>
    </row>
    <row r="14" spans="1:14" ht="17.100000000000001" customHeight="1" x14ac:dyDescent="0.2">
      <c r="A14" s="3">
        <v>8</v>
      </c>
      <c r="B14" s="4" t="s">
        <v>191</v>
      </c>
      <c r="C14" s="4" t="s">
        <v>192</v>
      </c>
      <c r="D14" s="4" t="s">
        <v>953</v>
      </c>
      <c r="E14" s="5">
        <v>1195</v>
      </c>
      <c r="F14" s="6">
        <v>56.6101375</v>
      </c>
      <c r="G14" s="7">
        <v>2.871742E-2</v>
      </c>
      <c r="H14" s="105"/>
    </row>
    <row r="15" spans="1:14" ht="17.100000000000001" customHeight="1" x14ac:dyDescent="0.2">
      <c r="A15" s="3">
        <v>9</v>
      </c>
      <c r="B15" s="4" t="s">
        <v>438</v>
      </c>
      <c r="C15" s="4" t="s">
        <v>439</v>
      </c>
      <c r="D15" s="4" t="s">
        <v>121</v>
      </c>
      <c r="E15" s="5">
        <v>10312</v>
      </c>
      <c r="F15" s="6">
        <v>53.725520000000003</v>
      </c>
      <c r="G15" s="7">
        <v>2.72541E-2</v>
      </c>
      <c r="H15" s="105"/>
    </row>
    <row r="16" spans="1:14" ht="17.100000000000001" customHeight="1" x14ac:dyDescent="0.2">
      <c r="A16" s="3">
        <v>10</v>
      </c>
      <c r="B16" s="4" t="s">
        <v>119</v>
      </c>
      <c r="C16" s="4" t="s">
        <v>120</v>
      </c>
      <c r="D16" s="4" t="s">
        <v>121</v>
      </c>
      <c r="E16" s="5">
        <v>17450</v>
      </c>
      <c r="F16" s="6">
        <v>52.053350000000002</v>
      </c>
      <c r="G16" s="7">
        <v>2.6405830000000002E-2</v>
      </c>
      <c r="H16" s="105"/>
    </row>
    <row r="17" spans="1:8" ht="17.100000000000001" customHeight="1" x14ac:dyDescent="0.2">
      <c r="A17" s="3">
        <v>11</v>
      </c>
      <c r="B17" s="4" t="s">
        <v>314</v>
      </c>
      <c r="C17" s="4" t="s">
        <v>315</v>
      </c>
      <c r="D17" s="4" t="s">
        <v>223</v>
      </c>
      <c r="E17" s="5">
        <v>3795</v>
      </c>
      <c r="F17" s="6">
        <v>45.382507500000003</v>
      </c>
      <c r="G17" s="7">
        <v>2.3021819999999998E-2</v>
      </c>
      <c r="H17" s="105"/>
    </row>
    <row r="18" spans="1:8" ht="17.100000000000001" customHeight="1" x14ac:dyDescent="0.2">
      <c r="A18" s="3">
        <v>12</v>
      </c>
      <c r="B18" s="4" t="s">
        <v>422</v>
      </c>
      <c r="C18" s="4" t="s">
        <v>423</v>
      </c>
      <c r="D18" s="4" t="s">
        <v>202</v>
      </c>
      <c r="E18" s="5">
        <v>15930</v>
      </c>
      <c r="F18" s="6">
        <v>43.011000000000003</v>
      </c>
      <c r="G18" s="7">
        <v>2.1818790000000001E-2</v>
      </c>
      <c r="H18" s="105"/>
    </row>
    <row r="19" spans="1:8" ht="17.100000000000001" customHeight="1" x14ac:dyDescent="0.2">
      <c r="A19" s="3">
        <v>13</v>
      </c>
      <c r="B19" s="4" t="s">
        <v>385</v>
      </c>
      <c r="C19" s="4" t="s">
        <v>386</v>
      </c>
      <c r="D19" s="4" t="s">
        <v>128</v>
      </c>
      <c r="E19" s="5">
        <v>6934</v>
      </c>
      <c r="F19" s="6">
        <v>42.761977999999999</v>
      </c>
      <c r="G19" s="7">
        <v>2.1692469999999998E-2</v>
      </c>
      <c r="H19" s="105"/>
    </row>
    <row r="20" spans="1:8" ht="17.100000000000001" customHeight="1" x14ac:dyDescent="0.2">
      <c r="A20" s="3">
        <v>14</v>
      </c>
      <c r="B20" s="4" t="s">
        <v>424</v>
      </c>
      <c r="C20" s="4" t="s">
        <v>425</v>
      </c>
      <c r="D20" s="4" t="s">
        <v>329</v>
      </c>
      <c r="E20" s="5">
        <v>2929</v>
      </c>
      <c r="F20" s="6">
        <v>40.988425999999997</v>
      </c>
      <c r="G20" s="7">
        <v>2.0792769999999999E-2</v>
      </c>
      <c r="H20" s="105"/>
    </row>
    <row r="21" spans="1:8" ht="17.100000000000001" customHeight="1" x14ac:dyDescent="0.2">
      <c r="A21" s="3">
        <v>15</v>
      </c>
      <c r="B21" s="4" t="s">
        <v>99</v>
      </c>
      <c r="C21" s="4" t="s">
        <v>100</v>
      </c>
      <c r="D21" s="4" t="s">
        <v>91</v>
      </c>
      <c r="E21" s="5">
        <v>7883</v>
      </c>
      <c r="F21" s="6">
        <v>39.564776999999999</v>
      </c>
      <c r="G21" s="7">
        <v>2.0070580000000001E-2</v>
      </c>
      <c r="H21" s="105"/>
    </row>
    <row r="22" spans="1:8" ht="17.100000000000001" customHeight="1" x14ac:dyDescent="0.2">
      <c r="A22" s="3">
        <v>16</v>
      </c>
      <c r="B22" s="4" t="s">
        <v>415</v>
      </c>
      <c r="C22" s="4" t="s">
        <v>416</v>
      </c>
      <c r="D22" s="4" t="s">
        <v>223</v>
      </c>
      <c r="E22" s="5">
        <v>5099</v>
      </c>
      <c r="F22" s="6">
        <v>38.9691075</v>
      </c>
      <c r="G22" s="7">
        <v>1.976841E-2</v>
      </c>
      <c r="H22" s="105"/>
    </row>
    <row r="23" spans="1:8" ht="29.1" customHeight="1" x14ac:dyDescent="0.2">
      <c r="A23" s="3">
        <v>17</v>
      </c>
      <c r="B23" s="4" t="s">
        <v>432</v>
      </c>
      <c r="C23" s="4" t="s">
        <v>433</v>
      </c>
      <c r="D23" s="4" t="s">
        <v>212</v>
      </c>
      <c r="E23" s="5">
        <v>1815</v>
      </c>
      <c r="F23" s="6">
        <v>38.656777499999997</v>
      </c>
      <c r="G23" s="7">
        <v>1.9609970000000001E-2</v>
      </c>
      <c r="H23" s="105"/>
    </row>
    <row r="24" spans="1:8" ht="17.100000000000001" customHeight="1" x14ac:dyDescent="0.2">
      <c r="A24" s="3">
        <v>18</v>
      </c>
      <c r="B24" s="4" t="s">
        <v>478</v>
      </c>
      <c r="C24" s="4" t="s">
        <v>479</v>
      </c>
      <c r="D24" s="4" t="s">
        <v>121</v>
      </c>
      <c r="E24" s="5">
        <v>3400</v>
      </c>
      <c r="F24" s="6">
        <v>37.313299999999998</v>
      </c>
      <c r="G24" s="7">
        <v>1.8928440000000001E-2</v>
      </c>
      <c r="H24" s="105"/>
    </row>
    <row r="25" spans="1:8" ht="17.100000000000001" customHeight="1" x14ac:dyDescent="0.2">
      <c r="A25" s="3">
        <v>19</v>
      </c>
      <c r="B25" s="4" t="s">
        <v>37</v>
      </c>
      <c r="C25" s="4" t="s">
        <v>38</v>
      </c>
      <c r="D25" s="4" t="s">
        <v>33</v>
      </c>
      <c r="E25" s="5">
        <v>1906</v>
      </c>
      <c r="F25" s="6">
        <v>36.221623999999998</v>
      </c>
      <c r="G25" s="7">
        <v>1.8374649999999999E-2</v>
      </c>
      <c r="H25" s="105"/>
    </row>
    <row r="26" spans="1:8" ht="29.1" customHeight="1" x14ac:dyDescent="0.2">
      <c r="A26" s="3">
        <v>20</v>
      </c>
      <c r="B26" s="4" t="s">
        <v>73</v>
      </c>
      <c r="C26" s="4" t="s">
        <v>74</v>
      </c>
      <c r="D26" s="4" t="s">
        <v>22</v>
      </c>
      <c r="E26" s="5">
        <v>1193</v>
      </c>
      <c r="F26" s="6">
        <v>35.710068999999997</v>
      </c>
      <c r="G26" s="7">
        <v>1.811515E-2</v>
      </c>
      <c r="H26" s="105"/>
    </row>
    <row r="27" spans="1:8" ht="17.100000000000001" customHeight="1" x14ac:dyDescent="0.2">
      <c r="A27" s="3">
        <v>21</v>
      </c>
      <c r="B27" s="4" t="s">
        <v>400</v>
      </c>
      <c r="C27" s="4" t="s">
        <v>401</v>
      </c>
      <c r="D27" s="4" t="s">
        <v>13</v>
      </c>
      <c r="E27" s="5">
        <v>40346</v>
      </c>
      <c r="F27" s="6">
        <v>35.443961000000002</v>
      </c>
      <c r="G27" s="7">
        <v>1.7980159999999999E-2</v>
      </c>
      <c r="H27" s="105"/>
    </row>
    <row r="28" spans="1:8" ht="17.100000000000001" customHeight="1" x14ac:dyDescent="0.2">
      <c r="A28" s="3">
        <v>22</v>
      </c>
      <c r="B28" s="4" t="s">
        <v>413</v>
      </c>
      <c r="C28" s="4" t="s">
        <v>414</v>
      </c>
      <c r="D28" s="4" t="s">
        <v>128</v>
      </c>
      <c r="E28" s="5">
        <v>38221</v>
      </c>
      <c r="F28" s="6">
        <v>33.558038000000003</v>
      </c>
      <c r="G28" s="7">
        <v>1.7023460000000001E-2</v>
      </c>
      <c r="H28" s="105"/>
    </row>
    <row r="29" spans="1:8" ht="17.100000000000001" customHeight="1" x14ac:dyDescent="0.2">
      <c r="A29" s="3">
        <v>23</v>
      </c>
      <c r="B29" s="4" t="s">
        <v>293</v>
      </c>
      <c r="C29" s="4" t="s">
        <v>294</v>
      </c>
      <c r="D29" s="4" t="s">
        <v>19</v>
      </c>
      <c r="E29" s="5">
        <v>13326</v>
      </c>
      <c r="F29" s="6">
        <v>33.481574999999999</v>
      </c>
      <c r="G29" s="7">
        <v>1.698467E-2</v>
      </c>
      <c r="H29" s="105"/>
    </row>
    <row r="30" spans="1:8" ht="17.100000000000001" customHeight="1" x14ac:dyDescent="0.2">
      <c r="A30" s="3">
        <v>24</v>
      </c>
      <c r="B30" s="4" t="s">
        <v>389</v>
      </c>
      <c r="C30" s="4" t="s">
        <v>390</v>
      </c>
      <c r="D30" s="4" t="s">
        <v>91</v>
      </c>
      <c r="E30" s="5">
        <v>2275</v>
      </c>
      <c r="F30" s="6">
        <v>32.889674999999997</v>
      </c>
      <c r="G30" s="7">
        <v>1.668441E-2</v>
      </c>
      <c r="H30" s="105"/>
    </row>
    <row r="31" spans="1:8" ht="17.100000000000001" customHeight="1" x14ac:dyDescent="0.2">
      <c r="A31" s="3">
        <v>25</v>
      </c>
      <c r="B31" s="4" t="s">
        <v>436</v>
      </c>
      <c r="C31" s="4" t="s">
        <v>437</v>
      </c>
      <c r="D31" s="4" t="s">
        <v>253</v>
      </c>
      <c r="E31" s="5">
        <v>19328</v>
      </c>
      <c r="F31" s="6">
        <v>32.693311999999999</v>
      </c>
      <c r="G31" s="7">
        <v>1.6584789999999999E-2</v>
      </c>
      <c r="H31" s="105"/>
    </row>
    <row r="32" spans="1:8" ht="29.1" customHeight="1" x14ac:dyDescent="0.2">
      <c r="A32" s="3">
        <v>26</v>
      </c>
      <c r="B32" s="4" t="s">
        <v>428</v>
      </c>
      <c r="C32" s="4" t="s">
        <v>429</v>
      </c>
      <c r="D32" s="4" t="s">
        <v>62</v>
      </c>
      <c r="E32" s="5">
        <v>1417</v>
      </c>
      <c r="F32" s="6">
        <v>32.338774000000001</v>
      </c>
      <c r="G32" s="7">
        <v>1.640494E-2</v>
      </c>
      <c r="H32" s="105"/>
    </row>
    <row r="33" spans="1:8" ht="29.1" customHeight="1" x14ac:dyDescent="0.2">
      <c r="A33" s="3">
        <v>27</v>
      </c>
      <c r="B33" s="4" t="s">
        <v>395</v>
      </c>
      <c r="C33" s="4" t="s">
        <v>396</v>
      </c>
      <c r="D33" s="4" t="s">
        <v>397</v>
      </c>
      <c r="E33" s="5">
        <v>28099</v>
      </c>
      <c r="F33" s="6">
        <v>32.327899500000001</v>
      </c>
      <c r="G33" s="7">
        <v>1.639943E-2</v>
      </c>
      <c r="H33" s="105"/>
    </row>
    <row r="34" spans="1:8" ht="17.100000000000001" customHeight="1" x14ac:dyDescent="0.2">
      <c r="A34" s="3">
        <v>28</v>
      </c>
      <c r="B34" s="4" t="s">
        <v>393</v>
      </c>
      <c r="C34" s="4" t="s">
        <v>394</v>
      </c>
      <c r="D34" s="4" t="s">
        <v>128</v>
      </c>
      <c r="E34" s="5">
        <v>3328</v>
      </c>
      <c r="F34" s="6">
        <v>32.091904</v>
      </c>
      <c r="G34" s="7">
        <v>1.6279709999999999E-2</v>
      </c>
      <c r="H34" s="105"/>
    </row>
    <row r="35" spans="1:8" ht="17.100000000000001" customHeight="1" x14ac:dyDescent="0.2">
      <c r="A35" s="3">
        <v>29</v>
      </c>
      <c r="B35" s="4" t="s">
        <v>380</v>
      </c>
      <c r="C35" s="4" t="s">
        <v>381</v>
      </c>
      <c r="D35" s="4" t="s">
        <v>954</v>
      </c>
      <c r="E35" s="5">
        <v>3437</v>
      </c>
      <c r="F35" s="6">
        <v>32.020810500000003</v>
      </c>
      <c r="G35" s="7">
        <v>1.6243649999999998E-2</v>
      </c>
      <c r="H35" s="105"/>
    </row>
    <row r="36" spans="1:8" ht="29.1" customHeight="1" x14ac:dyDescent="0.2">
      <c r="A36" s="3">
        <v>30</v>
      </c>
      <c r="B36" s="4" t="s">
        <v>95</v>
      </c>
      <c r="C36" s="4" t="s">
        <v>96</v>
      </c>
      <c r="D36" s="4" t="s">
        <v>41</v>
      </c>
      <c r="E36" s="5">
        <v>1669</v>
      </c>
      <c r="F36" s="6">
        <v>30.255631999999999</v>
      </c>
      <c r="G36" s="7">
        <v>1.5348199999999999E-2</v>
      </c>
      <c r="H36" s="105"/>
    </row>
    <row r="37" spans="1:8" ht="17.100000000000001" customHeight="1" x14ac:dyDescent="0.2">
      <c r="A37" s="3">
        <v>31</v>
      </c>
      <c r="B37" s="4" t="s">
        <v>327</v>
      </c>
      <c r="C37" s="4" t="s">
        <v>328</v>
      </c>
      <c r="D37" s="4" t="s">
        <v>329</v>
      </c>
      <c r="E37" s="5">
        <v>2367</v>
      </c>
      <c r="F37" s="6">
        <v>29.1152835</v>
      </c>
      <c r="G37" s="7">
        <v>1.476972E-2</v>
      </c>
      <c r="H37" s="105"/>
    </row>
    <row r="38" spans="1:8" ht="29.1" customHeight="1" x14ac:dyDescent="0.2">
      <c r="A38" s="3">
        <v>32</v>
      </c>
      <c r="B38" s="4" t="s">
        <v>247</v>
      </c>
      <c r="C38" s="4" t="s">
        <v>248</v>
      </c>
      <c r="D38" s="4" t="s">
        <v>212</v>
      </c>
      <c r="E38" s="5">
        <v>9440</v>
      </c>
      <c r="F38" s="6">
        <v>29.03744</v>
      </c>
      <c r="G38" s="7">
        <v>1.473023E-2</v>
      </c>
      <c r="H38" s="105"/>
    </row>
    <row r="39" spans="1:8" ht="17.100000000000001" customHeight="1" x14ac:dyDescent="0.2">
      <c r="A39" s="3">
        <v>33</v>
      </c>
      <c r="B39" s="4" t="s">
        <v>241</v>
      </c>
      <c r="C39" s="4" t="s">
        <v>242</v>
      </c>
      <c r="D39" s="4" t="s">
        <v>81</v>
      </c>
      <c r="E39" s="5">
        <v>700</v>
      </c>
      <c r="F39" s="6">
        <v>28</v>
      </c>
      <c r="G39" s="7">
        <v>1.420395E-2</v>
      </c>
      <c r="H39" s="105"/>
    </row>
    <row r="40" spans="1:8" ht="17.100000000000001" customHeight="1" x14ac:dyDescent="0.2">
      <c r="A40" s="3">
        <v>34</v>
      </c>
      <c r="B40" s="4" t="s">
        <v>440</v>
      </c>
      <c r="C40" s="4" t="s">
        <v>441</v>
      </c>
      <c r="D40" s="4" t="s">
        <v>271</v>
      </c>
      <c r="E40" s="5">
        <v>4092</v>
      </c>
      <c r="F40" s="6">
        <v>26.22972</v>
      </c>
      <c r="G40" s="7">
        <v>1.3305920000000001E-2</v>
      </c>
      <c r="H40" s="105"/>
    </row>
    <row r="41" spans="1:8" ht="17.100000000000001" customHeight="1" x14ac:dyDescent="0.2">
      <c r="A41" s="3">
        <v>35</v>
      </c>
      <c r="B41" s="4" t="s">
        <v>462</v>
      </c>
      <c r="C41" s="4" t="s">
        <v>463</v>
      </c>
      <c r="D41" s="4" t="s">
        <v>33</v>
      </c>
      <c r="E41" s="5">
        <v>2300</v>
      </c>
      <c r="F41" s="6">
        <v>24.777899999999999</v>
      </c>
      <c r="G41" s="7">
        <v>1.2569429999999999E-2</v>
      </c>
      <c r="H41" s="105"/>
    </row>
    <row r="42" spans="1:8" ht="29.1" customHeight="1" x14ac:dyDescent="0.2">
      <c r="A42" s="3">
        <v>36</v>
      </c>
      <c r="B42" s="4" t="s">
        <v>387</v>
      </c>
      <c r="C42" s="4" t="s">
        <v>388</v>
      </c>
      <c r="D42" s="4" t="s">
        <v>212</v>
      </c>
      <c r="E42" s="5">
        <v>7291</v>
      </c>
      <c r="F42" s="6">
        <v>23.582739499999999</v>
      </c>
      <c r="G42" s="7">
        <v>1.1963150000000001E-2</v>
      </c>
      <c r="H42" s="105"/>
    </row>
    <row r="43" spans="1:8" ht="17.100000000000001" customHeight="1" x14ac:dyDescent="0.2">
      <c r="A43" s="3">
        <v>37</v>
      </c>
      <c r="B43" s="4" t="s">
        <v>464</v>
      </c>
      <c r="C43" s="4" t="s">
        <v>465</v>
      </c>
      <c r="D43" s="4" t="s">
        <v>223</v>
      </c>
      <c r="E43" s="5">
        <v>10135</v>
      </c>
      <c r="F43" s="6">
        <v>22.6061175</v>
      </c>
      <c r="G43" s="7">
        <v>1.1467720000000001E-2</v>
      </c>
      <c r="H43" s="105"/>
    </row>
    <row r="44" spans="1:8" ht="29.1" customHeight="1" x14ac:dyDescent="0.2">
      <c r="A44" s="3">
        <v>38</v>
      </c>
      <c r="B44" s="4" t="s">
        <v>407</v>
      </c>
      <c r="C44" s="4" t="s">
        <v>408</v>
      </c>
      <c r="D44" s="4" t="s">
        <v>212</v>
      </c>
      <c r="E44" s="5">
        <v>472</v>
      </c>
      <c r="F44" s="6">
        <v>21.989536000000001</v>
      </c>
      <c r="G44" s="7">
        <v>1.115494E-2</v>
      </c>
      <c r="H44" s="105"/>
    </row>
    <row r="45" spans="1:8" ht="17.100000000000001" customHeight="1" x14ac:dyDescent="0.2">
      <c r="A45" s="3">
        <v>39</v>
      </c>
      <c r="B45" s="4" t="s">
        <v>418</v>
      </c>
      <c r="C45" s="4" t="s">
        <v>419</v>
      </c>
      <c r="D45" s="4" t="s">
        <v>953</v>
      </c>
      <c r="E45" s="5">
        <v>2391</v>
      </c>
      <c r="F45" s="6">
        <v>21.920687999999998</v>
      </c>
      <c r="G45" s="7">
        <v>1.112001E-2</v>
      </c>
      <c r="H45" s="105"/>
    </row>
    <row r="46" spans="1:8" ht="17.100000000000001" customHeight="1" x14ac:dyDescent="0.2">
      <c r="A46" s="3">
        <v>40</v>
      </c>
      <c r="B46" s="4" t="s">
        <v>378</v>
      </c>
      <c r="C46" s="4" t="s">
        <v>379</v>
      </c>
      <c r="D46" s="4" t="s">
        <v>128</v>
      </c>
      <c r="E46" s="5">
        <v>2752</v>
      </c>
      <c r="F46" s="6">
        <v>19.606624</v>
      </c>
      <c r="G46" s="7">
        <v>9.9461299999999992E-3</v>
      </c>
      <c r="H46" s="105"/>
    </row>
    <row r="47" spans="1:8" ht="17.100000000000001" customHeight="1" x14ac:dyDescent="0.2">
      <c r="A47" s="3">
        <v>41</v>
      </c>
      <c r="B47" s="4" t="s">
        <v>480</v>
      </c>
      <c r="C47" s="4" t="s">
        <v>481</v>
      </c>
      <c r="D47" s="4" t="s">
        <v>954</v>
      </c>
      <c r="E47" s="5">
        <v>1643</v>
      </c>
      <c r="F47" s="6">
        <v>19.386578499999999</v>
      </c>
      <c r="G47" s="7">
        <v>9.8344999999999995E-3</v>
      </c>
      <c r="H47" s="105"/>
    </row>
    <row r="48" spans="1:8" ht="17.100000000000001" customHeight="1" x14ac:dyDescent="0.2">
      <c r="A48" s="3">
        <v>42</v>
      </c>
      <c r="B48" s="4" t="s">
        <v>446</v>
      </c>
      <c r="C48" s="4" t="s">
        <v>447</v>
      </c>
      <c r="D48" s="4" t="s">
        <v>121</v>
      </c>
      <c r="E48" s="5">
        <v>4498</v>
      </c>
      <c r="F48" s="6">
        <v>18.655455</v>
      </c>
      <c r="G48" s="7">
        <v>9.4636100000000008E-3</v>
      </c>
      <c r="H48" s="105"/>
    </row>
    <row r="49" spans="1:8" ht="17.100000000000001" customHeight="1" x14ac:dyDescent="0.2">
      <c r="A49" s="3">
        <v>43</v>
      </c>
      <c r="B49" s="4" t="s">
        <v>402</v>
      </c>
      <c r="C49" s="4" t="s">
        <v>403</v>
      </c>
      <c r="D49" s="4" t="s">
        <v>207</v>
      </c>
      <c r="E49" s="5">
        <v>2336</v>
      </c>
      <c r="F49" s="6">
        <v>18.17408</v>
      </c>
      <c r="G49" s="7">
        <v>9.2194200000000007E-3</v>
      </c>
      <c r="H49" s="105"/>
    </row>
    <row r="50" spans="1:8" ht="17.100000000000001" customHeight="1" x14ac:dyDescent="0.2">
      <c r="A50" s="3">
        <v>44</v>
      </c>
      <c r="B50" s="4" t="s">
        <v>482</v>
      </c>
      <c r="C50" s="4" t="s">
        <v>483</v>
      </c>
      <c r="D50" s="4" t="s">
        <v>33</v>
      </c>
      <c r="E50" s="5">
        <v>2747</v>
      </c>
      <c r="F50" s="6">
        <v>17.634366499999999</v>
      </c>
      <c r="G50" s="7">
        <v>8.9456299999999996E-3</v>
      </c>
      <c r="H50" s="105"/>
    </row>
    <row r="51" spans="1:8" ht="29.1" customHeight="1" x14ac:dyDescent="0.2">
      <c r="A51" s="3">
        <v>45</v>
      </c>
      <c r="B51" s="4" t="s">
        <v>391</v>
      </c>
      <c r="C51" s="4" t="s">
        <v>392</v>
      </c>
      <c r="D51" s="4" t="s">
        <v>190</v>
      </c>
      <c r="E51" s="5">
        <v>3485</v>
      </c>
      <c r="F51" s="6">
        <v>17.515609999999999</v>
      </c>
      <c r="G51" s="7">
        <v>8.88539E-3</v>
      </c>
      <c r="H51" s="105"/>
    </row>
    <row r="52" spans="1:8" ht="17.100000000000001" customHeight="1" x14ac:dyDescent="0.2">
      <c r="A52" s="3">
        <v>46</v>
      </c>
      <c r="B52" s="4" t="s">
        <v>398</v>
      </c>
      <c r="C52" s="4" t="s">
        <v>399</v>
      </c>
      <c r="D52" s="4" t="s">
        <v>59</v>
      </c>
      <c r="E52" s="5">
        <v>2557</v>
      </c>
      <c r="F52" s="6">
        <v>16.207544500000001</v>
      </c>
      <c r="G52" s="7">
        <v>8.2218299999999994E-3</v>
      </c>
      <c r="H52" s="105"/>
    </row>
    <row r="53" spans="1:8" ht="29.1" customHeight="1" x14ac:dyDescent="0.2">
      <c r="A53" s="3">
        <v>47</v>
      </c>
      <c r="B53" s="4" t="s">
        <v>249</v>
      </c>
      <c r="C53" s="4" t="s">
        <v>250</v>
      </c>
      <c r="D53" s="4" t="s">
        <v>121</v>
      </c>
      <c r="E53" s="5">
        <v>5063</v>
      </c>
      <c r="F53" s="6">
        <v>12.905587000000001</v>
      </c>
      <c r="G53" s="7">
        <v>6.5468000000000002E-3</v>
      </c>
      <c r="H53" s="105"/>
    </row>
    <row r="54" spans="1:8" ht="17.100000000000001" customHeight="1" x14ac:dyDescent="0.2">
      <c r="A54" s="3">
        <v>48</v>
      </c>
      <c r="B54" s="4" t="s">
        <v>450</v>
      </c>
      <c r="C54" s="4" t="s">
        <v>451</v>
      </c>
      <c r="D54" s="4" t="s">
        <v>33</v>
      </c>
      <c r="E54" s="5">
        <v>1303</v>
      </c>
      <c r="F54" s="6">
        <v>10.8715805</v>
      </c>
      <c r="G54" s="7">
        <v>5.5149800000000001E-3</v>
      </c>
      <c r="H54" s="105"/>
    </row>
    <row r="55" spans="1:8" ht="17.100000000000001" customHeight="1" x14ac:dyDescent="0.2">
      <c r="A55" s="3">
        <v>49</v>
      </c>
      <c r="B55" s="4" t="s">
        <v>452</v>
      </c>
      <c r="C55" s="4" t="s">
        <v>453</v>
      </c>
      <c r="D55" s="4" t="s">
        <v>91</v>
      </c>
      <c r="E55" s="5">
        <v>14375</v>
      </c>
      <c r="F55" s="6">
        <v>9.3725000000000005</v>
      </c>
      <c r="G55" s="7">
        <v>4.7545199999999999E-3</v>
      </c>
      <c r="H55" s="105"/>
    </row>
    <row r="56" spans="1:8" ht="29.1" customHeight="1" x14ac:dyDescent="0.2">
      <c r="A56" s="3">
        <v>50</v>
      </c>
      <c r="B56" s="4" t="s">
        <v>459</v>
      </c>
      <c r="C56" s="4" t="s">
        <v>460</v>
      </c>
      <c r="D56" s="4" t="s">
        <v>183</v>
      </c>
      <c r="E56" s="5">
        <v>1125</v>
      </c>
      <c r="F56" s="6">
        <v>5.6660624999999998</v>
      </c>
      <c r="G56" s="7">
        <v>2.8743000000000002E-3</v>
      </c>
      <c r="H56" s="105"/>
    </row>
    <row r="57" spans="1:8" ht="17.100000000000001" customHeight="1" x14ac:dyDescent="0.2">
      <c r="A57" s="3">
        <v>51</v>
      </c>
      <c r="B57" s="4" t="s">
        <v>444</v>
      </c>
      <c r="C57" s="4" t="s">
        <v>445</v>
      </c>
      <c r="D57" s="4" t="s">
        <v>25</v>
      </c>
      <c r="E57" s="5">
        <v>1611</v>
      </c>
      <c r="F57" s="6">
        <v>4.502745</v>
      </c>
      <c r="G57" s="7">
        <v>2.2841699999999999E-3</v>
      </c>
      <c r="H57" s="105"/>
    </row>
    <row r="58" spans="1:8" ht="29.1" customHeight="1" x14ac:dyDescent="0.2">
      <c r="A58" s="3">
        <v>52</v>
      </c>
      <c r="B58" s="4" t="s">
        <v>409</v>
      </c>
      <c r="C58" s="4" t="s">
        <v>410</v>
      </c>
      <c r="D58" s="4" t="s">
        <v>212</v>
      </c>
      <c r="E58" s="5">
        <v>1120</v>
      </c>
      <c r="F58" s="6">
        <v>2.84592</v>
      </c>
      <c r="G58" s="7">
        <v>1.4436900000000001E-3</v>
      </c>
      <c r="H58" s="105"/>
    </row>
    <row r="59" spans="1:8" ht="14.1" customHeight="1" x14ac:dyDescent="0.2">
      <c r="A59" s="1"/>
      <c r="B59" s="1"/>
      <c r="C59" s="2" t="s">
        <v>132</v>
      </c>
      <c r="D59" s="1"/>
      <c r="E59" s="1" t="s">
        <v>133</v>
      </c>
      <c r="F59" s="9">
        <v>1805.8923870000001</v>
      </c>
      <c r="G59" s="10">
        <v>0.91610035000000001</v>
      </c>
      <c r="H59" s="105"/>
    </row>
    <row r="60" spans="1:8" ht="14.1" customHeight="1" x14ac:dyDescent="0.2">
      <c r="A60" s="1"/>
      <c r="B60" s="1"/>
      <c r="C60" s="11"/>
      <c r="D60" s="1"/>
      <c r="E60" s="1"/>
      <c r="F60" s="12"/>
      <c r="G60" s="12"/>
      <c r="H60" s="105"/>
    </row>
    <row r="61" spans="1:8" ht="14.1" customHeight="1" x14ac:dyDescent="0.2">
      <c r="A61" s="1"/>
      <c r="B61" s="1"/>
      <c r="C61" s="2" t="s">
        <v>134</v>
      </c>
      <c r="D61" s="1"/>
      <c r="E61" s="1"/>
      <c r="F61" s="1"/>
      <c r="G61" s="1"/>
      <c r="H61" s="105"/>
    </row>
    <row r="62" spans="1:8" ht="14.1" customHeight="1" x14ac:dyDescent="0.2">
      <c r="A62" s="1"/>
      <c r="B62" s="1"/>
      <c r="C62" s="2" t="s">
        <v>132</v>
      </c>
      <c r="D62" s="1"/>
      <c r="E62" s="1" t="s">
        <v>133</v>
      </c>
      <c r="F62" s="13" t="s">
        <v>135</v>
      </c>
      <c r="G62" s="10">
        <v>0</v>
      </c>
      <c r="H62" s="105"/>
    </row>
    <row r="63" spans="1:8" ht="14.1" customHeight="1" x14ac:dyDescent="0.2">
      <c r="A63" s="1"/>
      <c r="B63" s="1"/>
      <c r="C63" s="11"/>
      <c r="D63" s="1"/>
      <c r="E63" s="1"/>
      <c r="F63" s="12"/>
      <c r="G63" s="12"/>
      <c r="H63" s="105"/>
    </row>
    <row r="64" spans="1:8" ht="14.1" customHeight="1" x14ac:dyDescent="0.2">
      <c r="A64" s="1"/>
      <c r="B64" s="1"/>
      <c r="C64" s="2" t="s">
        <v>136</v>
      </c>
      <c r="D64" s="1"/>
      <c r="E64" s="1"/>
      <c r="F64" s="1"/>
      <c r="G64" s="1"/>
      <c r="H64" s="105"/>
    </row>
    <row r="65" spans="1:8" ht="14.1" customHeight="1" x14ac:dyDescent="0.2">
      <c r="A65" s="1"/>
      <c r="B65" s="1"/>
      <c r="C65" s="2" t="s">
        <v>132</v>
      </c>
      <c r="D65" s="1"/>
      <c r="E65" s="1" t="s">
        <v>133</v>
      </c>
      <c r="F65" s="13" t="s">
        <v>135</v>
      </c>
      <c r="G65" s="10">
        <v>0</v>
      </c>
      <c r="H65" s="105"/>
    </row>
    <row r="66" spans="1:8" ht="14.1" customHeight="1" x14ac:dyDescent="0.2">
      <c r="A66" s="1"/>
      <c r="B66" s="1"/>
      <c r="C66" s="11"/>
      <c r="D66" s="1"/>
      <c r="E66" s="1"/>
      <c r="F66" s="12"/>
      <c r="G66" s="12"/>
      <c r="H66" s="105"/>
    </row>
    <row r="67" spans="1:8" ht="14.1" customHeight="1" x14ac:dyDescent="0.2">
      <c r="A67" s="1"/>
      <c r="B67" s="1"/>
      <c r="C67" s="2" t="s">
        <v>137</v>
      </c>
      <c r="D67" s="1"/>
      <c r="E67" s="1"/>
      <c r="F67" s="1"/>
      <c r="G67" s="1"/>
      <c r="H67" s="105"/>
    </row>
    <row r="68" spans="1:8" ht="26.25" customHeight="1" x14ac:dyDescent="0.2">
      <c r="A68" s="3">
        <v>1</v>
      </c>
      <c r="B68" s="40" t="s">
        <v>923</v>
      </c>
      <c r="C68" s="40" t="s">
        <v>924</v>
      </c>
      <c r="D68" s="4" t="s">
        <v>81</v>
      </c>
      <c r="E68" s="5">
        <v>81200</v>
      </c>
      <c r="F68" s="6">
        <v>8.2078583999999992</v>
      </c>
      <c r="G68" s="7">
        <v>4.1637200000000001E-3</v>
      </c>
      <c r="H68" s="105"/>
    </row>
    <row r="69" spans="1:8" ht="14.1" customHeight="1" x14ac:dyDescent="0.2">
      <c r="A69" s="1"/>
      <c r="B69" s="1"/>
      <c r="C69" s="2" t="s">
        <v>132</v>
      </c>
      <c r="D69" s="1"/>
      <c r="E69" s="1" t="s">
        <v>133</v>
      </c>
      <c r="F69" s="9">
        <v>8.2078583999999992</v>
      </c>
      <c r="G69" s="10">
        <v>4.1637200000000001E-3</v>
      </c>
      <c r="H69" s="105"/>
    </row>
    <row r="70" spans="1:8" ht="14.1" customHeight="1" x14ac:dyDescent="0.2">
      <c r="A70" s="1"/>
      <c r="B70" s="1"/>
      <c r="C70" s="11"/>
      <c r="D70" s="1"/>
      <c r="E70" s="1"/>
      <c r="F70" s="12"/>
      <c r="G70" s="12"/>
      <c r="H70" s="105"/>
    </row>
    <row r="71" spans="1:8" ht="14.1" customHeight="1" x14ac:dyDescent="0.2">
      <c r="A71" s="1"/>
      <c r="B71" s="1"/>
      <c r="C71" s="2" t="s">
        <v>138</v>
      </c>
      <c r="D71" s="1"/>
      <c r="E71" s="1"/>
      <c r="F71" s="12"/>
      <c r="G71" s="12"/>
      <c r="H71" s="105"/>
    </row>
    <row r="72" spans="1:8" ht="14.1" customHeight="1" x14ac:dyDescent="0.2">
      <c r="A72" s="1"/>
      <c r="B72" s="1"/>
      <c r="C72" s="2" t="s">
        <v>132</v>
      </c>
      <c r="D72" s="1"/>
      <c r="E72" s="1" t="s">
        <v>133</v>
      </c>
      <c r="F72" s="13" t="s">
        <v>135</v>
      </c>
      <c r="G72" s="10">
        <v>0</v>
      </c>
      <c r="H72" s="105"/>
    </row>
    <row r="73" spans="1:8" ht="14.1" customHeight="1" x14ac:dyDescent="0.2">
      <c r="A73" s="1"/>
      <c r="B73" s="1"/>
      <c r="C73" s="11"/>
      <c r="D73" s="1"/>
      <c r="E73" s="1"/>
      <c r="F73" s="12"/>
      <c r="G73" s="12"/>
      <c r="H73" s="105"/>
    </row>
    <row r="74" spans="1:8" ht="14.1" customHeight="1" x14ac:dyDescent="0.2">
      <c r="A74" s="1"/>
      <c r="B74" s="1"/>
      <c r="C74" s="2" t="s">
        <v>139</v>
      </c>
      <c r="D74" s="1"/>
      <c r="E74" s="1"/>
      <c r="F74" s="12"/>
      <c r="G74" s="12"/>
      <c r="H74" s="105"/>
    </row>
    <row r="75" spans="1:8" ht="14.1" customHeight="1" x14ac:dyDescent="0.2">
      <c r="A75" s="1"/>
      <c r="B75" s="1"/>
      <c r="C75" s="2" t="s">
        <v>132</v>
      </c>
      <c r="D75" s="1"/>
      <c r="E75" s="1" t="s">
        <v>133</v>
      </c>
      <c r="F75" s="13" t="s">
        <v>135</v>
      </c>
      <c r="G75" s="10">
        <v>0</v>
      </c>
      <c r="H75" s="105"/>
    </row>
    <row r="76" spans="1:8" ht="14.1" customHeight="1" x14ac:dyDescent="0.2">
      <c r="A76" s="1"/>
      <c r="B76" s="1"/>
      <c r="C76" s="11"/>
      <c r="D76" s="1"/>
      <c r="E76" s="1"/>
      <c r="F76" s="12"/>
      <c r="G76" s="12"/>
      <c r="H76" s="105"/>
    </row>
    <row r="77" spans="1:8" ht="18" customHeight="1" x14ac:dyDescent="0.2">
      <c r="A77" s="1"/>
      <c r="B77" s="1"/>
      <c r="C77" s="2" t="s">
        <v>140</v>
      </c>
      <c r="D77" s="1"/>
      <c r="E77" s="1"/>
      <c r="F77" s="9">
        <v>1814.1002453999999</v>
      </c>
      <c r="G77" s="10">
        <v>0.92026406999999999</v>
      </c>
      <c r="H77" s="105"/>
    </row>
    <row r="78" spans="1:8" ht="14.1" customHeight="1" x14ac:dyDescent="0.2">
      <c r="A78" s="1"/>
      <c r="B78" s="1"/>
      <c r="C78" s="11"/>
      <c r="D78" s="1"/>
      <c r="E78" s="1"/>
      <c r="F78" s="12"/>
      <c r="G78" s="12"/>
      <c r="H78" s="105"/>
    </row>
    <row r="79" spans="1:8" ht="14.1" customHeight="1" x14ac:dyDescent="0.2">
      <c r="A79" s="1"/>
      <c r="B79" s="1"/>
      <c r="C79" s="2" t="s">
        <v>141</v>
      </c>
      <c r="D79" s="1"/>
      <c r="E79" s="1"/>
      <c r="F79" s="12"/>
      <c r="G79" s="12"/>
      <c r="H79" s="105"/>
    </row>
    <row r="80" spans="1:8" ht="24" customHeight="1" x14ac:dyDescent="0.2">
      <c r="A80" s="1"/>
      <c r="B80" s="1"/>
      <c r="C80" s="2" t="s">
        <v>10</v>
      </c>
      <c r="D80" s="1"/>
      <c r="E80" s="1"/>
      <c r="F80" s="12"/>
      <c r="G80" s="12"/>
      <c r="H80" s="105"/>
    </row>
    <row r="81" spans="1:8" ht="14.1" customHeight="1" x14ac:dyDescent="0.2">
      <c r="A81" s="1"/>
      <c r="B81" s="1"/>
      <c r="C81" s="2" t="s">
        <v>132</v>
      </c>
      <c r="D81" s="1"/>
      <c r="E81" s="1" t="s">
        <v>133</v>
      </c>
      <c r="F81" s="13" t="s">
        <v>135</v>
      </c>
      <c r="G81" s="10">
        <v>0</v>
      </c>
      <c r="H81" s="105"/>
    </row>
    <row r="82" spans="1:8" ht="14.1" customHeight="1" x14ac:dyDescent="0.2">
      <c r="A82" s="1"/>
      <c r="B82" s="1"/>
      <c r="C82" s="11"/>
      <c r="D82" s="1"/>
      <c r="E82" s="1"/>
      <c r="F82" s="12"/>
      <c r="G82" s="12"/>
      <c r="H82" s="105"/>
    </row>
    <row r="83" spans="1:8" ht="14.1" customHeight="1" x14ac:dyDescent="0.2">
      <c r="A83" s="1"/>
      <c r="B83" s="1"/>
      <c r="C83" s="2" t="s">
        <v>142</v>
      </c>
      <c r="D83" s="1"/>
      <c r="E83" s="1"/>
      <c r="F83" s="1"/>
      <c r="G83" s="1"/>
      <c r="H83" s="105"/>
    </row>
    <row r="84" spans="1:8" ht="14.1" customHeight="1" x14ac:dyDescent="0.2">
      <c r="A84" s="1"/>
      <c r="B84" s="1"/>
      <c r="C84" s="2" t="s">
        <v>132</v>
      </c>
      <c r="D84" s="1"/>
      <c r="E84" s="1" t="s">
        <v>133</v>
      </c>
      <c r="F84" s="13" t="s">
        <v>135</v>
      </c>
      <c r="G84" s="10">
        <v>0</v>
      </c>
      <c r="H84" s="105"/>
    </row>
    <row r="85" spans="1:8" ht="14.1" customHeight="1" x14ac:dyDescent="0.2">
      <c r="A85" s="1"/>
      <c r="B85" s="1"/>
      <c r="C85" s="11"/>
      <c r="D85" s="1"/>
      <c r="E85" s="1"/>
      <c r="F85" s="12"/>
      <c r="G85" s="12"/>
      <c r="H85" s="105"/>
    </row>
    <row r="86" spans="1:8" ht="14.1" customHeight="1" x14ac:dyDescent="0.2">
      <c r="A86" s="1"/>
      <c r="B86" s="1"/>
      <c r="C86" s="2" t="s">
        <v>143</v>
      </c>
      <c r="D86" s="1"/>
      <c r="E86" s="1"/>
      <c r="F86" s="1"/>
      <c r="G86" s="1"/>
      <c r="H86" s="105"/>
    </row>
    <row r="87" spans="1:8" ht="14.1" customHeight="1" x14ac:dyDescent="0.2">
      <c r="A87" s="1"/>
      <c r="B87" s="1"/>
      <c r="C87" s="2" t="s">
        <v>132</v>
      </c>
      <c r="D87" s="1"/>
      <c r="E87" s="1" t="s">
        <v>133</v>
      </c>
      <c r="F87" s="13" t="s">
        <v>135</v>
      </c>
      <c r="G87" s="10">
        <v>0</v>
      </c>
      <c r="H87" s="105"/>
    </row>
    <row r="88" spans="1:8" ht="14.1" customHeight="1" x14ac:dyDescent="0.2">
      <c r="A88" s="1"/>
      <c r="B88" s="1"/>
      <c r="C88" s="11"/>
      <c r="D88" s="1"/>
      <c r="E88" s="1"/>
      <c r="F88" s="12"/>
      <c r="G88" s="12"/>
      <c r="H88" s="105"/>
    </row>
    <row r="89" spans="1:8" ht="14.1" customHeight="1" x14ac:dyDescent="0.2">
      <c r="A89" s="1"/>
      <c r="B89" s="1"/>
      <c r="C89" s="2" t="s">
        <v>144</v>
      </c>
      <c r="D89" s="1"/>
      <c r="E89" s="1"/>
      <c r="F89" s="12"/>
      <c r="G89" s="12"/>
      <c r="H89" s="105"/>
    </row>
    <row r="90" spans="1:8" ht="14.1" customHeight="1" x14ac:dyDescent="0.2">
      <c r="A90" s="1"/>
      <c r="B90" s="1"/>
      <c r="C90" s="2" t="s">
        <v>132</v>
      </c>
      <c r="D90" s="1"/>
      <c r="E90" s="1" t="s">
        <v>133</v>
      </c>
      <c r="F90" s="13" t="s">
        <v>135</v>
      </c>
      <c r="G90" s="10">
        <v>0</v>
      </c>
      <c r="H90" s="105"/>
    </row>
    <row r="91" spans="1:8" ht="14.1" customHeight="1" x14ac:dyDescent="0.2">
      <c r="A91" s="1"/>
      <c r="B91" s="1"/>
      <c r="C91" s="11"/>
      <c r="D91" s="1"/>
      <c r="E91" s="1"/>
      <c r="F91" s="12"/>
      <c r="G91" s="12"/>
      <c r="H91" s="105"/>
    </row>
    <row r="92" spans="1:8" ht="14.1" customHeight="1" x14ac:dyDescent="0.2">
      <c r="A92" s="1"/>
      <c r="B92" s="1"/>
      <c r="C92" s="2" t="s">
        <v>145</v>
      </c>
      <c r="D92" s="1"/>
      <c r="E92" s="1"/>
      <c r="F92" s="9">
        <v>0</v>
      </c>
      <c r="G92" s="10">
        <v>0</v>
      </c>
      <c r="H92" s="105"/>
    </row>
    <row r="93" spans="1:8" ht="14.1" customHeight="1" x14ac:dyDescent="0.2">
      <c r="A93" s="1"/>
      <c r="B93" s="1"/>
      <c r="C93" s="11"/>
      <c r="D93" s="1"/>
      <c r="E93" s="1"/>
      <c r="F93" s="12"/>
      <c r="G93" s="12"/>
      <c r="H93" s="105"/>
    </row>
    <row r="94" spans="1:8" ht="14.1" customHeight="1" x14ac:dyDescent="0.2">
      <c r="A94" s="1"/>
      <c r="B94" s="1"/>
      <c r="C94" s="2" t="s">
        <v>146</v>
      </c>
      <c r="D94" s="1"/>
      <c r="E94" s="1"/>
      <c r="F94" s="12"/>
      <c r="G94" s="12"/>
      <c r="H94" s="105"/>
    </row>
    <row r="95" spans="1:8" ht="14.1" customHeight="1" x14ac:dyDescent="0.2">
      <c r="A95" s="1"/>
      <c r="B95" s="1"/>
      <c r="C95" s="2" t="s">
        <v>147</v>
      </c>
      <c r="D95" s="1"/>
      <c r="E95" s="1"/>
      <c r="F95" s="12"/>
      <c r="G95" s="12"/>
      <c r="H95" s="105"/>
    </row>
    <row r="96" spans="1:8" ht="14.1" customHeight="1" x14ac:dyDescent="0.2">
      <c r="A96" s="1"/>
      <c r="B96" s="1"/>
      <c r="C96" s="2" t="s">
        <v>132</v>
      </c>
      <c r="D96" s="1"/>
      <c r="E96" s="1" t="s">
        <v>133</v>
      </c>
      <c r="F96" s="13" t="s">
        <v>135</v>
      </c>
      <c r="G96" s="10">
        <v>0</v>
      </c>
      <c r="H96" s="105"/>
    </row>
    <row r="97" spans="1:8" ht="14.1" customHeight="1" x14ac:dyDescent="0.2">
      <c r="A97" s="1"/>
      <c r="B97" s="1"/>
      <c r="C97" s="11"/>
      <c r="D97" s="1"/>
      <c r="E97" s="1"/>
      <c r="F97" s="12"/>
      <c r="G97" s="12"/>
      <c r="H97" s="105"/>
    </row>
    <row r="98" spans="1:8" ht="14.1" customHeight="1" x14ac:dyDescent="0.2">
      <c r="A98" s="1"/>
      <c r="B98" s="1"/>
      <c r="C98" s="2" t="s">
        <v>148</v>
      </c>
      <c r="D98" s="1"/>
      <c r="E98" s="1"/>
      <c r="F98" s="12"/>
      <c r="G98" s="12"/>
      <c r="H98" s="105"/>
    </row>
    <row r="99" spans="1:8" ht="14.1" customHeight="1" x14ac:dyDescent="0.2">
      <c r="A99" s="1"/>
      <c r="B99" s="1"/>
      <c r="C99" s="2" t="s">
        <v>132</v>
      </c>
      <c r="D99" s="1"/>
      <c r="E99" s="1" t="s">
        <v>133</v>
      </c>
      <c r="F99" s="13" t="s">
        <v>135</v>
      </c>
      <c r="G99" s="10">
        <v>0</v>
      </c>
      <c r="H99" s="105"/>
    </row>
    <row r="100" spans="1:8" ht="14.1" customHeight="1" x14ac:dyDescent="0.2">
      <c r="A100" s="1"/>
      <c r="B100" s="1"/>
      <c r="C100" s="11"/>
      <c r="D100" s="1"/>
      <c r="E100" s="1"/>
      <c r="F100" s="12"/>
      <c r="G100" s="12"/>
      <c r="H100" s="105"/>
    </row>
    <row r="101" spans="1:8" ht="14.1" customHeight="1" x14ac:dyDescent="0.2">
      <c r="A101" s="1"/>
      <c r="B101" s="1"/>
      <c r="C101" s="2" t="s">
        <v>149</v>
      </c>
      <c r="D101" s="1"/>
      <c r="E101" s="1"/>
      <c r="F101" s="12"/>
      <c r="G101" s="12"/>
      <c r="H101" s="105"/>
    </row>
    <row r="102" spans="1:8" ht="14.1" customHeight="1" x14ac:dyDescent="0.2">
      <c r="A102" s="1"/>
      <c r="B102" s="1"/>
      <c r="C102" s="2" t="s">
        <v>132</v>
      </c>
      <c r="D102" s="1"/>
      <c r="E102" s="1" t="s">
        <v>133</v>
      </c>
      <c r="F102" s="13" t="s">
        <v>135</v>
      </c>
      <c r="G102" s="10">
        <v>0</v>
      </c>
      <c r="H102" s="105"/>
    </row>
    <row r="103" spans="1:8" ht="14.1" customHeight="1" x14ac:dyDescent="0.2">
      <c r="A103" s="1"/>
      <c r="B103" s="1"/>
      <c r="C103" s="11"/>
      <c r="D103" s="1"/>
      <c r="E103" s="1"/>
      <c r="F103" s="12"/>
      <c r="G103" s="12"/>
      <c r="H103" s="105"/>
    </row>
    <row r="104" spans="1:8" ht="14.1" customHeight="1" x14ac:dyDescent="0.2">
      <c r="A104" s="1"/>
      <c r="B104" s="1"/>
      <c r="C104" s="2" t="s">
        <v>150</v>
      </c>
      <c r="D104" s="1"/>
      <c r="E104" s="1"/>
      <c r="F104" s="12"/>
      <c r="G104" s="12"/>
      <c r="H104" s="105"/>
    </row>
    <row r="105" spans="1:8" ht="17.100000000000001" customHeight="1" x14ac:dyDescent="0.2">
      <c r="A105" s="3">
        <v>1</v>
      </c>
      <c r="B105" s="4"/>
      <c r="C105" s="4" t="s">
        <v>151</v>
      </c>
      <c r="D105" s="4"/>
      <c r="E105" s="8"/>
      <c r="F105" s="6">
        <v>138.25919769999999</v>
      </c>
      <c r="G105" s="7">
        <v>7.0136680000000007E-2</v>
      </c>
      <c r="H105" s="105">
        <v>6.8153352377542396</v>
      </c>
    </row>
    <row r="106" spans="1:8" ht="17.100000000000001" customHeight="1" x14ac:dyDescent="0.2">
      <c r="A106" s="3">
        <v>2</v>
      </c>
      <c r="B106" s="4"/>
      <c r="C106" s="4" t="s">
        <v>152</v>
      </c>
      <c r="D106" s="4"/>
      <c r="E106" s="8"/>
      <c r="F106" s="6">
        <v>16.406695299999999</v>
      </c>
      <c r="G106" s="7">
        <v>8.3228499999999997E-3</v>
      </c>
      <c r="H106" s="105">
        <v>6.7952403714590259</v>
      </c>
    </row>
    <row r="107" spans="1:8" ht="14.1" customHeight="1" x14ac:dyDescent="0.2">
      <c r="A107" s="1"/>
      <c r="B107" s="1"/>
      <c r="C107" s="2" t="s">
        <v>132</v>
      </c>
      <c r="D107" s="1"/>
      <c r="E107" s="1" t="s">
        <v>133</v>
      </c>
      <c r="F107" s="9">
        <v>154.66589300000001</v>
      </c>
      <c r="G107" s="10">
        <v>7.845953E-2</v>
      </c>
      <c r="H107" s="105"/>
    </row>
    <row r="108" spans="1:8" ht="14.1" customHeight="1" x14ac:dyDescent="0.2">
      <c r="A108" s="1"/>
      <c r="B108" s="1"/>
      <c r="C108" s="11"/>
      <c r="D108" s="1"/>
      <c r="E108" s="1"/>
      <c r="F108" s="12"/>
      <c r="G108" s="12"/>
      <c r="H108" s="105"/>
    </row>
    <row r="109" spans="1:8" ht="14.1" customHeight="1" x14ac:dyDescent="0.2">
      <c r="A109" s="1"/>
      <c r="B109" s="1"/>
      <c r="C109" s="2" t="s">
        <v>153</v>
      </c>
      <c r="D109" s="1"/>
      <c r="E109" s="1"/>
      <c r="F109" s="9">
        <v>154.66589300000001</v>
      </c>
      <c r="G109" s="10">
        <v>7.845953E-2</v>
      </c>
      <c r="H109" s="105"/>
    </row>
    <row r="110" spans="1:8" ht="14.1" customHeight="1" x14ac:dyDescent="0.2">
      <c r="A110" s="1"/>
      <c r="B110" s="1"/>
      <c r="C110" s="12"/>
      <c r="D110" s="1"/>
      <c r="E110" s="1"/>
      <c r="F110" s="1"/>
      <c r="G110" s="1"/>
      <c r="H110" s="105"/>
    </row>
    <row r="111" spans="1:8" ht="14.1" customHeight="1" x14ac:dyDescent="0.2">
      <c r="A111" s="1"/>
      <c r="B111" s="1"/>
      <c r="C111" s="2" t="s">
        <v>154</v>
      </c>
      <c r="D111" s="1"/>
      <c r="E111" s="1"/>
      <c r="F111" s="1"/>
      <c r="G111" s="1"/>
      <c r="H111" s="105"/>
    </row>
    <row r="112" spans="1:8" ht="14.1" customHeight="1" x14ac:dyDescent="0.2">
      <c r="A112" s="1"/>
      <c r="B112" s="1"/>
      <c r="C112" s="2" t="s">
        <v>155</v>
      </c>
      <c r="D112" s="1"/>
      <c r="E112" s="1"/>
      <c r="F112" s="1"/>
      <c r="G112" s="1"/>
      <c r="H112" s="105"/>
    </row>
    <row r="113" spans="1:8" ht="14.1" customHeight="1" x14ac:dyDescent="0.2">
      <c r="A113" s="1"/>
      <c r="B113" s="1"/>
      <c r="C113" s="2" t="s">
        <v>132</v>
      </c>
      <c r="D113" s="1"/>
      <c r="E113" s="1" t="s">
        <v>133</v>
      </c>
      <c r="F113" s="13" t="s">
        <v>135</v>
      </c>
      <c r="G113" s="10">
        <v>0</v>
      </c>
      <c r="H113" s="105"/>
    </row>
    <row r="114" spans="1:8" ht="14.1" customHeight="1" x14ac:dyDescent="0.2">
      <c r="A114" s="1"/>
      <c r="B114" s="1"/>
      <c r="C114" s="11"/>
      <c r="D114" s="1"/>
      <c r="E114" s="1"/>
      <c r="F114" s="12"/>
      <c r="G114" s="12"/>
      <c r="H114" s="105"/>
    </row>
    <row r="115" spans="1:8" ht="14.1" customHeight="1" x14ac:dyDescent="0.2">
      <c r="A115" s="1"/>
      <c r="B115" s="1"/>
      <c r="C115" s="2" t="s">
        <v>156</v>
      </c>
      <c r="D115" s="1"/>
      <c r="E115" s="1"/>
      <c r="F115" s="1"/>
      <c r="G115" s="1"/>
      <c r="H115" s="105"/>
    </row>
    <row r="116" spans="1:8" ht="14.1" customHeight="1" x14ac:dyDescent="0.2">
      <c r="A116" s="1"/>
      <c r="B116" s="1"/>
      <c r="C116" s="2" t="s">
        <v>157</v>
      </c>
      <c r="D116" s="1"/>
      <c r="E116" s="1"/>
      <c r="F116" s="1"/>
      <c r="G116" s="1"/>
      <c r="H116" s="105"/>
    </row>
    <row r="117" spans="1:8" ht="14.1" customHeight="1" x14ac:dyDescent="0.2">
      <c r="A117" s="1"/>
      <c r="B117" s="1"/>
      <c r="C117" s="2" t="s">
        <v>132</v>
      </c>
      <c r="D117" s="1"/>
      <c r="E117" s="1" t="s">
        <v>133</v>
      </c>
      <c r="F117" s="13" t="s">
        <v>135</v>
      </c>
      <c r="G117" s="10">
        <v>0</v>
      </c>
      <c r="H117" s="105"/>
    </row>
    <row r="118" spans="1:8" ht="14.1" customHeight="1" x14ac:dyDescent="0.2">
      <c r="A118" s="1"/>
      <c r="B118" s="1"/>
      <c r="C118" s="11"/>
      <c r="D118" s="1"/>
      <c r="E118" s="1"/>
      <c r="F118" s="12"/>
      <c r="G118" s="12"/>
      <c r="H118" s="105"/>
    </row>
    <row r="119" spans="1:8" ht="24" customHeight="1" x14ac:dyDescent="0.2">
      <c r="A119" s="1"/>
      <c r="B119" s="1"/>
      <c r="C119" s="2" t="s">
        <v>158</v>
      </c>
      <c r="D119" s="1"/>
      <c r="E119" s="1"/>
      <c r="F119" s="12"/>
      <c r="G119" s="12"/>
      <c r="H119" s="105"/>
    </row>
    <row r="120" spans="1:8" ht="14.1" customHeight="1" x14ac:dyDescent="0.2">
      <c r="A120" s="1"/>
      <c r="B120" s="1"/>
      <c r="C120" s="2" t="s">
        <v>132</v>
      </c>
      <c r="D120" s="1"/>
      <c r="E120" s="1" t="s">
        <v>133</v>
      </c>
      <c r="F120" s="13" t="s">
        <v>135</v>
      </c>
      <c r="G120" s="10">
        <v>0</v>
      </c>
      <c r="H120" s="105"/>
    </row>
    <row r="121" spans="1:8" ht="14.1" customHeight="1" x14ac:dyDescent="0.2">
      <c r="A121" s="1"/>
      <c r="B121" s="1"/>
      <c r="C121" s="11"/>
      <c r="D121" s="1"/>
      <c r="E121" s="1"/>
      <c r="F121" s="12"/>
      <c r="G121" s="12"/>
      <c r="H121" s="105"/>
    </row>
    <row r="122" spans="1:8" ht="14.1" customHeight="1" x14ac:dyDescent="0.2">
      <c r="A122" s="1"/>
      <c r="B122" s="4"/>
      <c r="C122" s="4"/>
      <c r="D122" s="2"/>
      <c r="E122" s="1"/>
      <c r="F122" s="4"/>
      <c r="G122" s="8"/>
      <c r="H122" s="105"/>
    </row>
    <row r="123" spans="1:8" ht="18" customHeight="1" x14ac:dyDescent="0.2">
      <c r="A123" s="8"/>
      <c r="B123" s="4"/>
      <c r="C123" s="4" t="s">
        <v>159</v>
      </c>
      <c r="D123" s="4"/>
      <c r="E123" s="8"/>
      <c r="F123" s="6">
        <v>2.5161876599999999</v>
      </c>
      <c r="G123" s="7">
        <v>1.2764199999999999E-3</v>
      </c>
      <c r="H123" s="105"/>
    </row>
    <row r="124" spans="1:8" ht="14.1" customHeight="1" x14ac:dyDescent="0.2">
      <c r="A124" s="11"/>
      <c r="B124" s="11"/>
      <c r="C124" s="2" t="s">
        <v>160</v>
      </c>
      <c r="D124" s="12"/>
      <c r="E124" s="12"/>
      <c r="F124" s="9">
        <v>1971.2823260600001</v>
      </c>
      <c r="G124" s="14">
        <v>1.0000000200000001</v>
      </c>
      <c r="H124" s="105"/>
    </row>
    <row r="125" spans="1:8" ht="14.1" customHeight="1" x14ac:dyDescent="0.2">
      <c r="A125" s="15"/>
      <c r="B125" s="15"/>
      <c r="C125" s="15"/>
      <c r="D125" s="16"/>
      <c r="E125" s="16"/>
      <c r="F125" s="16"/>
      <c r="G125" s="16"/>
    </row>
    <row r="126" spans="1:8" ht="14.1" customHeight="1" x14ac:dyDescent="0.2">
      <c r="A126" s="17"/>
      <c r="B126" s="17"/>
      <c r="C126" s="17"/>
      <c r="D126" s="19"/>
      <c r="E126" s="19"/>
      <c r="F126" s="19"/>
      <c r="G126" s="19"/>
    </row>
    <row r="127" spans="1:8" ht="14.1" customHeight="1" x14ac:dyDescent="0.2">
      <c r="A127" s="17"/>
      <c r="B127" s="179" t="s">
        <v>162</v>
      </c>
      <c r="C127" s="180"/>
      <c r="D127" s="181"/>
      <c r="E127" s="20"/>
      <c r="F127" s="19"/>
      <c r="G127" s="19"/>
    </row>
    <row r="128" spans="1:8" ht="29.1" customHeight="1" x14ac:dyDescent="0.2">
      <c r="A128" s="17"/>
      <c r="B128" s="176" t="s">
        <v>163</v>
      </c>
      <c r="C128" s="177"/>
      <c r="D128" s="2" t="s">
        <v>164</v>
      </c>
      <c r="E128" s="20"/>
      <c r="F128" s="19"/>
      <c r="G128" s="19"/>
    </row>
    <row r="129" spans="1:7" ht="17.100000000000001" customHeight="1" x14ac:dyDescent="0.2">
      <c r="A129" s="17"/>
      <c r="B129" s="176" t="s">
        <v>165</v>
      </c>
      <c r="C129" s="177"/>
      <c r="D129" s="2" t="s">
        <v>164</v>
      </c>
      <c r="E129" s="20"/>
      <c r="F129" s="19"/>
      <c r="G129" s="19"/>
    </row>
    <row r="130" spans="1:7" ht="17.100000000000001" customHeight="1" x14ac:dyDescent="0.2">
      <c r="A130" s="17"/>
      <c r="B130" s="176" t="s">
        <v>166</v>
      </c>
      <c r="C130" s="177"/>
      <c r="D130" s="12" t="s">
        <v>133</v>
      </c>
      <c r="E130" s="20"/>
      <c r="F130" s="19"/>
      <c r="G130" s="19"/>
    </row>
    <row r="131" spans="1:7" ht="24" customHeight="1" x14ac:dyDescent="0.2">
      <c r="A131" s="21"/>
      <c r="B131" s="22" t="s">
        <v>133</v>
      </c>
      <c r="C131" s="22" t="s">
        <v>167</v>
      </c>
      <c r="D131" s="22" t="s">
        <v>168</v>
      </c>
      <c r="E131" s="21"/>
      <c r="F131" s="21"/>
      <c r="G131" s="21"/>
    </row>
    <row r="132" spans="1:7" ht="18" customHeight="1" x14ac:dyDescent="0.2">
      <c r="A132" s="21"/>
      <c r="B132" s="23" t="s">
        <v>169</v>
      </c>
      <c r="C132" s="22" t="s">
        <v>170</v>
      </c>
      <c r="D132" s="22" t="s">
        <v>171</v>
      </c>
      <c r="E132" s="21"/>
      <c r="F132" s="21"/>
      <c r="G132" s="21"/>
    </row>
    <row r="133" spans="1:7" ht="17.100000000000001" customHeight="1" x14ac:dyDescent="0.2">
      <c r="A133" s="21"/>
      <c r="B133" s="4" t="s">
        <v>172</v>
      </c>
      <c r="C133" s="24">
        <v>19.205200000000001</v>
      </c>
      <c r="D133" s="24">
        <v>20.489000000000001</v>
      </c>
      <c r="E133" s="21"/>
      <c r="F133" s="18"/>
      <c r="G133" s="25"/>
    </row>
    <row r="134" spans="1:7" ht="17.100000000000001" customHeight="1" x14ac:dyDescent="0.2">
      <c r="A134" s="21"/>
      <c r="B134" s="4" t="s">
        <v>1006</v>
      </c>
      <c r="C134" s="24">
        <v>18.5457</v>
      </c>
      <c r="D134" s="24">
        <v>19.785399999999999</v>
      </c>
      <c r="E134" s="21"/>
      <c r="F134" s="18"/>
      <c r="G134" s="25"/>
    </row>
    <row r="135" spans="1:7" ht="17.100000000000001" customHeight="1" x14ac:dyDescent="0.2">
      <c r="A135" s="21"/>
      <c r="B135" s="4" t="s">
        <v>173</v>
      </c>
      <c r="C135" s="24">
        <v>18.926300000000001</v>
      </c>
      <c r="D135" s="24">
        <v>20.186299999999999</v>
      </c>
      <c r="E135" s="21"/>
      <c r="F135" s="18"/>
      <c r="G135" s="25"/>
    </row>
    <row r="136" spans="1:7" ht="17.100000000000001" customHeight="1" x14ac:dyDescent="0.2">
      <c r="A136" s="21"/>
      <c r="B136" s="4" t="s">
        <v>1007</v>
      </c>
      <c r="C136" s="24">
        <v>18.269600000000001</v>
      </c>
      <c r="D136" s="24">
        <v>19.485900000000001</v>
      </c>
      <c r="E136" s="21"/>
      <c r="F136" s="18"/>
      <c r="G136" s="25"/>
    </row>
    <row r="137" spans="1:7" ht="14.1" customHeight="1" x14ac:dyDescent="0.2">
      <c r="A137" s="21"/>
      <c r="B137" s="21"/>
      <c r="C137" s="21"/>
      <c r="D137" s="21"/>
      <c r="E137" s="21"/>
      <c r="F137" s="21"/>
      <c r="G137" s="21"/>
    </row>
    <row r="138" spans="1:7" ht="17.100000000000001" customHeight="1" x14ac:dyDescent="0.2">
      <c r="A138" s="21"/>
      <c r="B138" s="176" t="s">
        <v>1008</v>
      </c>
      <c r="C138" s="177"/>
      <c r="D138" s="2" t="s">
        <v>164</v>
      </c>
      <c r="E138" s="21"/>
      <c r="F138" s="21"/>
      <c r="G138" s="21"/>
    </row>
    <row r="139" spans="1:7" ht="18" customHeight="1" x14ac:dyDescent="0.2">
      <c r="A139" s="21"/>
      <c r="B139" s="26"/>
      <c r="C139" s="26"/>
      <c r="D139" s="26"/>
      <c r="E139" s="21"/>
      <c r="F139" s="21"/>
      <c r="G139" s="21"/>
    </row>
    <row r="140" spans="1:7" ht="29.1" customHeight="1" x14ac:dyDescent="0.2">
      <c r="A140" s="21"/>
      <c r="B140" s="176" t="s">
        <v>174</v>
      </c>
      <c r="C140" s="177"/>
      <c r="D140" s="2" t="s">
        <v>164</v>
      </c>
      <c r="E140" s="27"/>
      <c r="F140" s="21"/>
      <c r="G140" s="21"/>
    </row>
    <row r="141" spans="1:7" ht="29.1" customHeight="1" x14ac:dyDescent="0.2">
      <c r="A141" s="21"/>
      <c r="B141" s="176" t="s">
        <v>175</v>
      </c>
      <c r="C141" s="177"/>
      <c r="D141" s="2" t="s">
        <v>164</v>
      </c>
      <c r="E141" s="27"/>
      <c r="F141" s="21"/>
      <c r="G141" s="21"/>
    </row>
    <row r="142" spans="1:7" ht="17.100000000000001" customHeight="1" x14ac:dyDescent="0.2">
      <c r="A142" s="21"/>
      <c r="B142" s="176" t="s">
        <v>176</v>
      </c>
      <c r="C142" s="177"/>
      <c r="D142" s="2" t="s">
        <v>164</v>
      </c>
      <c r="E142" s="27"/>
      <c r="F142" s="21"/>
      <c r="G142" s="21"/>
    </row>
    <row r="143" spans="1:7" ht="17.100000000000001" customHeight="1" x14ac:dyDescent="0.2">
      <c r="A143" s="21"/>
      <c r="B143" s="176" t="s">
        <v>177</v>
      </c>
      <c r="C143" s="177"/>
      <c r="D143" s="60">
        <v>0.12348316008371193</v>
      </c>
      <c r="E143" s="21"/>
      <c r="F143" s="18"/>
      <c r="G143" s="25"/>
    </row>
    <row r="155" spans="10:14" x14ac:dyDescent="0.2">
      <c r="J155" s="162"/>
      <c r="K155" s="162"/>
      <c r="L155" s="162"/>
      <c r="M155" s="162"/>
      <c r="N155" s="162"/>
    </row>
  </sheetData>
  <mergeCells count="13">
    <mergeCell ref="B143:C143"/>
    <mergeCell ref="B129:C129"/>
    <mergeCell ref="B130:C130"/>
    <mergeCell ref="B138:C138"/>
    <mergeCell ref="B140:C140"/>
    <mergeCell ref="B141:C141"/>
    <mergeCell ref="B142:C142"/>
    <mergeCell ref="J2:N2"/>
    <mergeCell ref="B128:C128"/>
    <mergeCell ref="B127:D127"/>
    <mergeCell ref="A1:H1"/>
    <mergeCell ref="A2:H2"/>
    <mergeCell ref="A3:H3"/>
  </mergeCells>
  <hyperlinks>
    <hyperlink ref="I1" location="Index!B13" display="Index" xr:uid="{371255F5-587F-4BB1-875E-92DD251245B8}"/>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N130"/>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182" t="s">
        <v>0</v>
      </c>
      <c r="B1" s="182"/>
      <c r="C1" s="182"/>
      <c r="D1" s="182"/>
      <c r="E1" s="182"/>
      <c r="F1" s="182"/>
      <c r="G1" s="182"/>
      <c r="H1" s="182"/>
      <c r="I1" s="159" t="s">
        <v>1044</v>
      </c>
    </row>
    <row r="2" spans="1:14" ht="17.100000000000001" customHeight="1" x14ac:dyDescent="0.2">
      <c r="A2" s="183" t="s">
        <v>485</v>
      </c>
      <c r="B2" s="184"/>
      <c r="C2" s="184"/>
      <c r="D2" s="184"/>
      <c r="E2" s="184"/>
      <c r="F2" s="184"/>
      <c r="G2" s="184"/>
      <c r="H2" s="185"/>
      <c r="J2" s="175" t="s">
        <v>1045</v>
      </c>
      <c r="K2" s="175"/>
      <c r="L2" s="175"/>
      <c r="M2" s="175"/>
      <c r="N2" s="175"/>
    </row>
    <row r="3" spans="1:14" ht="21" customHeight="1" x14ac:dyDescent="0.2">
      <c r="A3" s="182" t="s">
        <v>1016</v>
      </c>
      <c r="B3" s="182"/>
      <c r="C3" s="182"/>
      <c r="D3" s="182"/>
      <c r="E3" s="182"/>
      <c r="F3" s="182"/>
      <c r="G3" s="182"/>
      <c r="H3" s="182"/>
    </row>
    <row r="4" spans="1:14" ht="30" x14ac:dyDescent="0.2">
      <c r="A4" s="107" t="s">
        <v>2</v>
      </c>
      <c r="B4" s="107" t="s">
        <v>3</v>
      </c>
      <c r="C4" s="107" t="s">
        <v>4</v>
      </c>
      <c r="D4" s="107" t="s">
        <v>5</v>
      </c>
      <c r="E4" s="107" t="s">
        <v>6</v>
      </c>
      <c r="F4" s="107" t="s">
        <v>7</v>
      </c>
      <c r="G4" s="107" t="s">
        <v>8</v>
      </c>
      <c r="H4" s="104" t="s">
        <v>1003</v>
      </c>
      <c r="I4" s="108"/>
      <c r="J4" s="108"/>
      <c r="K4" s="108"/>
      <c r="L4" s="108"/>
      <c r="M4" s="108"/>
      <c r="N4" s="108"/>
    </row>
    <row r="5" spans="1:14" ht="14.1" customHeight="1" x14ac:dyDescent="0.2">
      <c r="A5" s="1"/>
      <c r="B5" s="1"/>
      <c r="C5" s="2" t="s">
        <v>9</v>
      </c>
      <c r="D5" s="1"/>
      <c r="E5" s="1"/>
      <c r="F5" s="1"/>
      <c r="G5" s="1"/>
      <c r="H5" s="105"/>
    </row>
    <row r="6" spans="1:14" ht="24" customHeight="1" x14ac:dyDescent="0.2">
      <c r="A6" s="1"/>
      <c r="B6" s="1"/>
      <c r="C6" s="2" t="s">
        <v>10</v>
      </c>
      <c r="D6" s="1"/>
      <c r="E6" s="1"/>
      <c r="F6" s="1"/>
      <c r="G6" s="1"/>
      <c r="H6" s="105"/>
    </row>
    <row r="7" spans="1:14" ht="17.100000000000001" customHeight="1" x14ac:dyDescent="0.2">
      <c r="A7" s="3">
        <v>1</v>
      </c>
      <c r="B7" s="4" t="s">
        <v>23</v>
      </c>
      <c r="C7" s="4" t="s">
        <v>24</v>
      </c>
      <c r="D7" s="4" t="s">
        <v>25</v>
      </c>
      <c r="E7" s="5">
        <v>17852</v>
      </c>
      <c r="F7" s="6">
        <v>163.81887800000001</v>
      </c>
      <c r="G7" s="7">
        <v>9.4593410000000003E-2</v>
      </c>
      <c r="H7" s="105"/>
    </row>
    <row r="8" spans="1:14" ht="17.100000000000001" customHeight="1" x14ac:dyDescent="0.2">
      <c r="A8" s="3">
        <v>2</v>
      </c>
      <c r="B8" s="4" t="s">
        <v>17</v>
      </c>
      <c r="C8" s="4" t="s">
        <v>18</v>
      </c>
      <c r="D8" s="4" t="s">
        <v>19</v>
      </c>
      <c r="E8" s="5">
        <v>5610</v>
      </c>
      <c r="F8" s="6">
        <v>135.79005000000001</v>
      </c>
      <c r="G8" s="7">
        <v>7.8408809999999995E-2</v>
      </c>
      <c r="H8" s="105"/>
    </row>
    <row r="9" spans="1:14" ht="17.100000000000001" customHeight="1" x14ac:dyDescent="0.2">
      <c r="A9" s="3">
        <v>3</v>
      </c>
      <c r="B9" s="4" t="s">
        <v>317</v>
      </c>
      <c r="C9" s="4" t="s">
        <v>318</v>
      </c>
      <c r="D9" s="4" t="s">
        <v>25</v>
      </c>
      <c r="E9" s="5">
        <v>6302</v>
      </c>
      <c r="F9" s="6">
        <v>106.352552</v>
      </c>
      <c r="G9" s="7">
        <v>6.1410810000000003E-2</v>
      </c>
      <c r="H9" s="105"/>
    </row>
    <row r="10" spans="1:14" ht="17.100000000000001" customHeight="1" x14ac:dyDescent="0.2">
      <c r="A10" s="3">
        <v>4</v>
      </c>
      <c r="B10" s="4" t="s">
        <v>302</v>
      </c>
      <c r="C10" s="4" t="s">
        <v>303</v>
      </c>
      <c r="D10" s="4" t="s">
        <v>953</v>
      </c>
      <c r="E10" s="5">
        <v>8300</v>
      </c>
      <c r="F10" s="6">
        <v>103.97825</v>
      </c>
      <c r="G10" s="7">
        <v>6.0039830000000002E-2</v>
      </c>
      <c r="H10" s="105"/>
    </row>
    <row r="11" spans="1:14" ht="17.100000000000001" customHeight="1" x14ac:dyDescent="0.2">
      <c r="A11" s="3">
        <v>5</v>
      </c>
      <c r="B11" s="4" t="s">
        <v>29</v>
      </c>
      <c r="C11" s="4" t="s">
        <v>30</v>
      </c>
      <c r="D11" s="4" t="s">
        <v>25</v>
      </c>
      <c r="E11" s="5">
        <v>17595</v>
      </c>
      <c r="F11" s="6">
        <v>101.751885</v>
      </c>
      <c r="G11" s="7">
        <v>5.8754260000000003E-2</v>
      </c>
      <c r="H11" s="105"/>
    </row>
    <row r="12" spans="1:14" ht="29.1" customHeight="1" x14ac:dyDescent="0.2">
      <c r="A12" s="3">
        <v>6</v>
      </c>
      <c r="B12" s="4" t="s">
        <v>308</v>
      </c>
      <c r="C12" s="4" t="s">
        <v>309</v>
      </c>
      <c r="D12" s="4" t="s">
        <v>128</v>
      </c>
      <c r="E12" s="5">
        <v>3376</v>
      </c>
      <c r="F12" s="6">
        <v>93.704256000000001</v>
      </c>
      <c r="G12" s="7">
        <v>5.4107349999999999E-2</v>
      </c>
      <c r="H12" s="105"/>
    </row>
    <row r="13" spans="1:14" ht="17.100000000000001" customHeight="1" x14ac:dyDescent="0.2">
      <c r="A13" s="3">
        <v>7</v>
      </c>
      <c r="B13" s="4" t="s">
        <v>11</v>
      </c>
      <c r="C13" s="4" t="s">
        <v>12</v>
      </c>
      <c r="D13" s="4" t="s">
        <v>13</v>
      </c>
      <c r="E13" s="5">
        <v>3340</v>
      </c>
      <c r="F13" s="6">
        <v>78.970960000000005</v>
      </c>
      <c r="G13" s="7">
        <v>4.559995E-2</v>
      </c>
      <c r="H13" s="105"/>
      <c r="J13" s="161" t="s">
        <v>1049</v>
      </c>
    </row>
    <row r="14" spans="1:14" ht="17.100000000000001" customHeight="1" x14ac:dyDescent="0.2">
      <c r="A14" s="3">
        <v>8</v>
      </c>
      <c r="B14" s="4" t="s">
        <v>203</v>
      </c>
      <c r="C14" s="4" t="s">
        <v>204</v>
      </c>
      <c r="D14" s="4" t="s">
        <v>25</v>
      </c>
      <c r="E14" s="5">
        <v>6893</v>
      </c>
      <c r="F14" s="6">
        <v>59.279800000000002</v>
      </c>
      <c r="G14" s="7">
        <v>3.4229740000000002E-2</v>
      </c>
      <c r="H14" s="105"/>
    </row>
    <row r="15" spans="1:14" ht="29.1" customHeight="1" x14ac:dyDescent="0.2">
      <c r="A15" s="3">
        <v>9</v>
      </c>
      <c r="B15" s="4" t="s">
        <v>181</v>
      </c>
      <c r="C15" s="4" t="s">
        <v>182</v>
      </c>
      <c r="D15" s="4" t="s">
        <v>183</v>
      </c>
      <c r="E15" s="5">
        <v>1204</v>
      </c>
      <c r="F15" s="6">
        <v>58.396408000000001</v>
      </c>
      <c r="G15" s="7">
        <v>3.3719649999999997E-2</v>
      </c>
      <c r="H15" s="105"/>
    </row>
    <row r="16" spans="1:14" ht="29.1" customHeight="1" x14ac:dyDescent="0.2">
      <c r="A16" s="3">
        <v>10</v>
      </c>
      <c r="B16" s="4" t="s">
        <v>20</v>
      </c>
      <c r="C16" s="4" t="s">
        <v>21</v>
      </c>
      <c r="D16" s="4" t="s">
        <v>22</v>
      </c>
      <c r="E16" s="5">
        <v>746</v>
      </c>
      <c r="F16" s="6">
        <v>56.369252000000003</v>
      </c>
      <c r="G16" s="7">
        <v>3.2549120000000001E-2</v>
      </c>
      <c r="H16" s="105"/>
    </row>
    <row r="17" spans="1:8" ht="17.100000000000001" customHeight="1" x14ac:dyDescent="0.2">
      <c r="A17" s="3">
        <v>11</v>
      </c>
      <c r="B17" s="4" t="s">
        <v>14</v>
      </c>
      <c r="C17" s="4" t="s">
        <v>15</v>
      </c>
      <c r="D17" s="4" t="s">
        <v>16</v>
      </c>
      <c r="E17" s="5">
        <v>6757</v>
      </c>
      <c r="F17" s="6">
        <v>54.008701000000002</v>
      </c>
      <c r="G17" s="7">
        <v>3.118607E-2</v>
      </c>
      <c r="H17" s="105"/>
    </row>
    <row r="18" spans="1:8" ht="17.100000000000001" customHeight="1" x14ac:dyDescent="0.2">
      <c r="A18" s="3">
        <v>12</v>
      </c>
      <c r="B18" s="4" t="s">
        <v>343</v>
      </c>
      <c r="C18" s="4" t="s">
        <v>344</v>
      </c>
      <c r="D18" s="4" t="s">
        <v>1020</v>
      </c>
      <c r="E18" s="5">
        <v>12606</v>
      </c>
      <c r="F18" s="6">
        <v>53.644832999999998</v>
      </c>
      <c r="G18" s="7">
        <v>3.097596E-2</v>
      </c>
      <c r="H18" s="105"/>
    </row>
    <row r="19" spans="1:8" ht="17.100000000000001" customHeight="1" x14ac:dyDescent="0.2">
      <c r="A19" s="3">
        <v>13</v>
      </c>
      <c r="B19" s="4" t="s">
        <v>213</v>
      </c>
      <c r="C19" s="4" t="s">
        <v>214</v>
      </c>
      <c r="D19" s="4" t="s">
        <v>25</v>
      </c>
      <c r="E19" s="5">
        <v>25574</v>
      </c>
      <c r="F19" s="6">
        <v>48.015185000000002</v>
      </c>
      <c r="G19" s="7">
        <v>2.772525E-2</v>
      </c>
      <c r="H19" s="105"/>
    </row>
    <row r="20" spans="1:8" ht="17.100000000000001" customHeight="1" x14ac:dyDescent="0.2">
      <c r="A20" s="3">
        <v>14</v>
      </c>
      <c r="B20" s="4" t="s">
        <v>353</v>
      </c>
      <c r="C20" s="4" t="s">
        <v>354</v>
      </c>
      <c r="D20" s="4" t="s">
        <v>105</v>
      </c>
      <c r="E20" s="5">
        <v>9000</v>
      </c>
      <c r="F20" s="6">
        <v>43.645499999999998</v>
      </c>
      <c r="G20" s="7">
        <v>2.5202080000000002E-2</v>
      </c>
      <c r="H20" s="105"/>
    </row>
    <row r="21" spans="1:8" ht="29.1" customHeight="1" x14ac:dyDescent="0.2">
      <c r="A21" s="3">
        <v>15</v>
      </c>
      <c r="B21" s="4" t="s">
        <v>188</v>
      </c>
      <c r="C21" s="4" t="s">
        <v>189</v>
      </c>
      <c r="D21" s="4" t="s">
        <v>190</v>
      </c>
      <c r="E21" s="5">
        <v>4000</v>
      </c>
      <c r="F21" s="6">
        <v>37.698</v>
      </c>
      <c r="G21" s="7">
        <v>2.176784E-2</v>
      </c>
      <c r="H21" s="105"/>
    </row>
    <row r="22" spans="1:8" ht="17.100000000000001" customHeight="1" x14ac:dyDescent="0.2">
      <c r="A22" s="3">
        <v>16</v>
      </c>
      <c r="B22" s="4" t="s">
        <v>347</v>
      </c>
      <c r="C22" s="4" t="s">
        <v>348</v>
      </c>
      <c r="D22" s="4" t="s">
        <v>121</v>
      </c>
      <c r="E22" s="5">
        <v>1421</v>
      </c>
      <c r="F22" s="6">
        <v>37.540688500000002</v>
      </c>
      <c r="G22" s="7">
        <v>2.1676999999999998E-2</v>
      </c>
      <c r="H22" s="105"/>
    </row>
    <row r="23" spans="1:8" ht="17.100000000000001" customHeight="1" x14ac:dyDescent="0.2">
      <c r="A23" s="3">
        <v>17</v>
      </c>
      <c r="B23" s="4" t="s">
        <v>321</v>
      </c>
      <c r="C23" s="4" t="s">
        <v>322</v>
      </c>
      <c r="D23" s="4" t="s">
        <v>217</v>
      </c>
      <c r="E23" s="5">
        <v>3200</v>
      </c>
      <c r="F23" s="6">
        <v>36.483199999999997</v>
      </c>
      <c r="G23" s="7">
        <v>2.1066379999999999E-2</v>
      </c>
      <c r="H23" s="105"/>
    </row>
    <row r="24" spans="1:8" ht="17.100000000000001" customHeight="1" x14ac:dyDescent="0.2">
      <c r="A24" s="3">
        <v>18</v>
      </c>
      <c r="B24" s="4" t="s">
        <v>422</v>
      </c>
      <c r="C24" s="4" t="s">
        <v>423</v>
      </c>
      <c r="D24" s="4" t="s">
        <v>202</v>
      </c>
      <c r="E24" s="5">
        <v>13359</v>
      </c>
      <c r="F24" s="6">
        <v>36.069299999999998</v>
      </c>
      <c r="G24" s="7">
        <v>2.082738E-2</v>
      </c>
      <c r="H24" s="105"/>
    </row>
    <row r="25" spans="1:8" ht="17.100000000000001" customHeight="1" x14ac:dyDescent="0.2">
      <c r="A25" s="3">
        <v>19</v>
      </c>
      <c r="B25" s="4" t="s">
        <v>205</v>
      </c>
      <c r="C25" s="4" t="s">
        <v>206</v>
      </c>
      <c r="D25" s="4" t="s">
        <v>207</v>
      </c>
      <c r="E25" s="5">
        <v>6000</v>
      </c>
      <c r="F25" s="6">
        <v>34.970999999999997</v>
      </c>
      <c r="G25" s="7">
        <v>2.019319E-2</v>
      </c>
      <c r="H25" s="105"/>
    </row>
    <row r="26" spans="1:8" ht="17.100000000000001" customHeight="1" x14ac:dyDescent="0.2">
      <c r="A26" s="3">
        <v>20</v>
      </c>
      <c r="B26" s="4" t="s">
        <v>79</v>
      </c>
      <c r="C26" s="4" t="s">
        <v>80</v>
      </c>
      <c r="D26" s="4" t="s">
        <v>81</v>
      </c>
      <c r="E26" s="5">
        <v>1240</v>
      </c>
      <c r="F26" s="6">
        <v>34.405659999999997</v>
      </c>
      <c r="G26" s="7">
        <v>1.9866749999999999E-2</v>
      </c>
      <c r="H26" s="105"/>
    </row>
    <row r="27" spans="1:8" ht="17.100000000000001" customHeight="1" x14ac:dyDescent="0.2">
      <c r="A27" s="3">
        <v>21</v>
      </c>
      <c r="B27" s="4" t="s">
        <v>323</v>
      </c>
      <c r="C27" s="4" t="s">
        <v>324</v>
      </c>
      <c r="D27" s="4" t="s">
        <v>953</v>
      </c>
      <c r="E27" s="5">
        <v>3000</v>
      </c>
      <c r="F27" s="6">
        <v>31.922999999999998</v>
      </c>
      <c r="G27" s="7">
        <v>1.84332E-2</v>
      </c>
      <c r="H27" s="105"/>
    </row>
    <row r="28" spans="1:8" ht="17.100000000000001" customHeight="1" x14ac:dyDescent="0.2">
      <c r="A28" s="3">
        <v>22</v>
      </c>
      <c r="B28" s="4" t="s">
        <v>319</v>
      </c>
      <c r="C28" s="4" t="s">
        <v>320</v>
      </c>
      <c r="D28" s="4" t="s">
        <v>953</v>
      </c>
      <c r="E28" s="5">
        <v>960</v>
      </c>
      <c r="F28" s="6">
        <v>30.904800000000002</v>
      </c>
      <c r="G28" s="7">
        <v>1.7845260000000002E-2</v>
      </c>
      <c r="H28" s="105"/>
    </row>
    <row r="29" spans="1:8" ht="17.100000000000001" customHeight="1" x14ac:dyDescent="0.2">
      <c r="A29" s="3">
        <v>23</v>
      </c>
      <c r="B29" s="4" t="s">
        <v>361</v>
      </c>
      <c r="C29" s="4" t="s">
        <v>362</v>
      </c>
      <c r="D29" s="4" t="s">
        <v>25</v>
      </c>
      <c r="E29" s="5">
        <v>1570</v>
      </c>
      <c r="F29" s="6">
        <v>30.427385000000001</v>
      </c>
      <c r="G29" s="7">
        <v>1.756959E-2</v>
      </c>
      <c r="H29" s="105"/>
    </row>
    <row r="30" spans="1:8" ht="17.100000000000001" customHeight="1" x14ac:dyDescent="0.2">
      <c r="A30" s="3">
        <v>24</v>
      </c>
      <c r="B30" s="4" t="s">
        <v>293</v>
      </c>
      <c r="C30" s="4" t="s">
        <v>294</v>
      </c>
      <c r="D30" s="4" t="s">
        <v>19</v>
      </c>
      <c r="E30" s="5">
        <v>10787</v>
      </c>
      <c r="F30" s="6">
        <v>27.102337500000001</v>
      </c>
      <c r="G30" s="7">
        <v>1.564962E-2</v>
      </c>
      <c r="H30" s="105"/>
    </row>
    <row r="31" spans="1:8" ht="29.1" customHeight="1" x14ac:dyDescent="0.2">
      <c r="A31" s="3">
        <v>25</v>
      </c>
      <c r="B31" s="4" t="s">
        <v>304</v>
      </c>
      <c r="C31" s="4" t="s">
        <v>305</v>
      </c>
      <c r="D31" s="4" t="s">
        <v>212</v>
      </c>
      <c r="E31" s="5">
        <v>2650</v>
      </c>
      <c r="F31" s="6">
        <v>26.172725</v>
      </c>
      <c r="G31" s="7">
        <v>1.5112830000000001E-2</v>
      </c>
      <c r="H31" s="105"/>
    </row>
    <row r="32" spans="1:8" ht="17.100000000000001" customHeight="1" x14ac:dyDescent="0.2">
      <c r="A32" s="3">
        <v>26</v>
      </c>
      <c r="B32" s="4" t="s">
        <v>108</v>
      </c>
      <c r="C32" s="4" t="s">
        <v>109</v>
      </c>
      <c r="D32" s="4" t="s">
        <v>19</v>
      </c>
      <c r="E32" s="5">
        <v>5912</v>
      </c>
      <c r="F32" s="6">
        <v>21.141311999999999</v>
      </c>
      <c r="G32" s="7">
        <v>1.2207559999999999E-2</v>
      </c>
      <c r="H32" s="105"/>
    </row>
    <row r="33" spans="1:8" ht="17.100000000000001" customHeight="1" x14ac:dyDescent="0.2">
      <c r="A33" s="3">
        <v>27</v>
      </c>
      <c r="B33" s="4" t="s">
        <v>325</v>
      </c>
      <c r="C33" s="4" t="s">
        <v>326</v>
      </c>
      <c r="D33" s="4" t="s">
        <v>1020</v>
      </c>
      <c r="E33" s="5">
        <v>788</v>
      </c>
      <c r="F33" s="6">
        <v>19.363524000000002</v>
      </c>
      <c r="G33" s="7">
        <v>1.118102E-2</v>
      </c>
      <c r="H33" s="105"/>
    </row>
    <row r="34" spans="1:8" ht="17.100000000000001" customHeight="1" x14ac:dyDescent="0.2">
      <c r="A34" s="3">
        <v>28</v>
      </c>
      <c r="B34" s="4" t="s">
        <v>312</v>
      </c>
      <c r="C34" s="4" t="s">
        <v>313</v>
      </c>
      <c r="D34" s="4" t="s">
        <v>25</v>
      </c>
      <c r="E34" s="5">
        <v>1556</v>
      </c>
      <c r="F34" s="6">
        <v>17.937567999999999</v>
      </c>
      <c r="G34" s="7">
        <v>1.035763E-2</v>
      </c>
      <c r="H34" s="105"/>
    </row>
    <row r="35" spans="1:8" ht="29.1" customHeight="1" x14ac:dyDescent="0.2">
      <c r="A35" s="3">
        <v>29</v>
      </c>
      <c r="B35" s="4" t="s">
        <v>486</v>
      </c>
      <c r="C35" s="4" t="s">
        <v>487</v>
      </c>
      <c r="D35" s="4" t="s">
        <v>488</v>
      </c>
      <c r="E35" s="5">
        <v>2272</v>
      </c>
      <c r="F35" s="6">
        <v>17.354672000000001</v>
      </c>
      <c r="G35" s="7">
        <v>1.002105E-2</v>
      </c>
      <c r="H35" s="105"/>
    </row>
    <row r="36" spans="1:8" ht="29.1" customHeight="1" x14ac:dyDescent="0.2">
      <c r="A36" s="3">
        <v>30</v>
      </c>
      <c r="B36" s="4" t="s">
        <v>489</v>
      </c>
      <c r="C36" s="4" t="s">
        <v>490</v>
      </c>
      <c r="D36" s="4" t="s">
        <v>22</v>
      </c>
      <c r="E36" s="5">
        <v>1871</v>
      </c>
      <c r="F36" s="6">
        <v>17.148650499999999</v>
      </c>
      <c r="G36" s="7">
        <v>9.9020900000000005E-3</v>
      </c>
      <c r="H36" s="105"/>
    </row>
    <row r="37" spans="1:8" ht="29.1" customHeight="1" x14ac:dyDescent="0.2">
      <c r="A37" s="3">
        <v>31</v>
      </c>
      <c r="B37" s="4" t="s">
        <v>491</v>
      </c>
      <c r="C37" s="4" t="s">
        <v>492</v>
      </c>
      <c r="D37" s="4" t="s">
        <v>212</v>
      </c>
      <c r="E37" s="5">
        <v>1814</v>
      </c>
      <c r="F37" s="6">
        <v>16.472027000000001</v>
      </c>
      <c r="G37" s="7">
        <v>9.5113899999999998E-3</v>
      </c>
      <c r="H37" s="105"/>
    </row>
    <row r="38" spans="1:8" ht="17.100000000000001" customHeight="1" x14ac:dyDescent="0.2">
      <c r="A38" s="3">
        <v>32</v>
      </c>
      <c r="B38" s="4" t="s">
        <v>57</v>
      </c>
      <c r="C38" s="4" t="s">
        <v>58</v>
      </c>
      <c r="D38" s="4" t="s">
        <v>59</v>
      </c>
      <c r="E38" s="5">
        <v>2464</v>
      </c>
      <c r="F38" s="6">
        <v>15.072288</v>
      </c>
      <c r="G38" s="7">
        <v>8.7031399999999998E-3</v>
      </c>
      <c r="H38" s="105"/>
    </row>
    <row r="39" spans="1:8" ht="17.100000000000001" customHeight="1" x14ac:dyDescent="0.2">
      <c r="A39" s="3">
        <v>33</v>
      </c>
      <c r="B39" s="4" t="s">
        <v>114</v>
      </c>
      <c r="C39" s="4" t="s">
        <v>115</v>
      </c>
      <c r="D39" s="4" t="s">
        <v>116</v>
      </c>
      <c r="E39" s="5">
        <v>2289</v>
      </c>
      <c r="F39" s="6">
        <v>9.982329</v>
      </c>
      <c r="G39" s="7">
        <v>5.7640599999999997E-3</v>
      </c>
      <c r="H39" s="105"/>
    </row>
    <row r="40" spans="1:8" ht="17.100000000000001" customHeight="1" x14ac:dyDescent="0.2">
      <c r="A40" s="3">
        <v>34</v>
      </c>
      <c r="B40" s="4" t="s">
        <v>493</v>
      </c>
      <c r="C40" s="4" t="s">
        <v>494</v>
      </c>
      <c r="D40" s="4" t="s">
        <v>953</v>
      </c>
      <c r="E40" s="5">
        <v>2582</v>
      </c>
      <c r="F40" s="6">
        <v>9.9406999999999996</v>
      </c>
      <c r="G40" s="7">
        <v>5.7400300000000001E-3</v>
      </c>
      <c r="H40" s="105"/>
    </row>
    <row r="41" spans="1:8" ht="29.1" customHeight="1" x14ac:dyDescent="0.2">
      <c r="A41" s="3">
        <v>35</v>
      </c>
      <c r="B41" s="4" t="s">
        <v>261</v>
      </c>
      <c r="C41" s="4" t="s">
        <v>262</v>
      </c>
      <c r="D41" s="4" t="s">
        <v>212</v>
      </c>
      <c r="E41" s="5">
        <v>462</v>
      </c>
      <c r="F41" s="6">
        <v>6.2776560000000003</v>
      </c>
      <c r="G41" s="7">
        <v>3.62489E-3</v>
      </c>
      <c r="H41" s="105"/>
    </row>
    <row r="42" spans="1:8" ht="17.100000000000001" customHeight="1" x14ac:dyDescent="0.2">
      <c r="A42" s="3">
        <v>36</v>
      </c>
      <c r="B42" s="4" t="s">
        <v>495</v>
      </c>
      <c r="C42" s="40" t="s">
        <v>931</v>
      </c>
      <c r="D42" s="40" t="s">
        <v>16</v>
      </c>
      <c r="E42" s="5">
        <v>482</v>
      </c>
      <c r="F42" s="6">
        <v>1.980056</v>
      </c>
      <c r="G42" s="7">
        <v>1.1433400000000001E-3</v>
      </c>
      <c r="H42" s="105"/>
    </row>
    <row r="43" spans="1:8" ht="14.1" customHeight="1" x14ac:dyDescent="0.2">
      <c r="A43" s="1"/>
      <c r="B43" s="1"/>
      <c r="C43" s="2" t="s">
        <v>132</v>
      </c>
      <c r="D43" s="1"/>
      <c r="E43" s="1" t="s">
        <v>133</v>
      </c>
      <c r="F43" s="9">
        <v>1674.0953884999999</v>
      </c>
      <c r="G43" s="10">
        <v>0.96666753000000005</v>
      </c>
      <c r="H43" s="105"/>
    </row>
    <row r="44" spans="1:8" ht="14.1" customHeight="1" x14ac:dyDescent="0.2">
      <c r="A44" s="1"/>
      <c r="B44" s="1"/>
      <c r="C44" s="11"/>
      <c r="D44" s="1"/>
      <c r="E44" s="1"/>
      <c r="F44" s="12"/>
      <c r="G44" s="12"/>
      <c r="H44" s="105"/>
    </row>
    <row r="45" spans="1:8" ht="14.1" customHeight="1" x14ac:dyDescent="0.2">
      <c r="A45" s="1"/>
      <c r="B45" s="1"/>
      <c r="C45" s="2" t="s">
        <v>134</v>
      </c>
      <c r="D45" s="1"/>
      <c r="E45" s="1"/>
      <c r="F45" s="1"/>
      <c r="G45" s="1"/>
      <c r="H45" s="105"/>
    </row>
    <row r="46" spans="1:8" ht="14.1" customHeight="1" x14ac:dyDescent="0.2">
      <c r="A46" s="1"/>
      <c r="B46" s="1"/>
      <c r="C46" s="2" t="s">
        <v>132</v>
      </c>
      <c r="D46" s="1"/>
      <c r="E46" s="1" t="s">
        <v>133</v>
      </c>
      <c r="F46" s="13" t="s">
        <v>135</v>
      </c>
      <c r="G46" s="10">
        <v>0</v>
      </c>
      <c r="H46" s="105"/>
    </row>
    <row r="47" spans="1:8" ht="14.1" customHeight="1" x14ac:dyDescent="0.2">
      <c r="A47" s="1"/>
      <c r="B47" s="1"/>
      <c r="C47" s="11"/>
      <c r="D47" s="1"/>
      <c r="E47" s="1"/>
      <c r="F47" s="12"/>
      <c r="G47" s="12"/>
      <c r="H47" s="105"/>
    </row>
    <row r="48" spans="1:8" ht="14.1" customHeight="1" x14ac:dyDescent="0.2">
      <c r="A48" s="1"/>
      <c r="B48" s="1"/>
      <c r="C48" s="2" t="s">
        <v>136</v>
      </c>
      <c r="D48" s="1"/>
      <c r="E48" s="1"/>
      <c r="F48" s="1"/>
      <c r="G48" s="1"/>
      <c r="H48" s="105"/>
    </row>
    <row r="49" spans="1:8" ht="14.1" customHeight="1" x14ac:dyDescent="0.2">
      <c r="A49" s="1"/>
      <c r="B49" s="1"/>
      <c r="C49" s="2" t="s">
        <v>132</v>
      </c>
      <c r="D49" s="1"/>
      <c r="E49" s="1" t="s">
        <v>133</v>
      </c>
      <c r="F49" s="13" t="s">
        <v>135</v>
      </c>
      <c r="G49" s="10">
        <v>0</v>
      </c>
      <c r="H49" s="105"/>
    </row>
    <row r="50" spans="1:8" ht="14.1" customHeight="1" x14ac:dyDescent="0.2">
      <c r="A50" s="1"/>
      <c r="B50" s="1"/>
      <c r="C50" s="11"/>
      <c r="D50" s="1"/>
      <c r="E50" s="1"/>
      <c r="F50" s="12"/>
      <c r="G50" s="12"/>
      <c r="H50" s="105"/>
    </row>
    <row r="51" spans="1:8" ht="14.1" customHeight="1" x14ac:dyDescent="0.2">
      <c r="A51" s="1"/>
      <c r="B51" s="1"/>
      <c r="C51" s="2" t="s">
        <v>137</v>
      </c>
      <c r="D51" s="1"/>
      <c r="E51" s="1"/>
      <c r="F51" s="1"/>
      <c r="G51" s="1"/>
      <c r="H51" s="105"/>
    </row>
    <row r="52" spans="1:8" ht="14.1" customHeight="1" x14ac:dyDescent="0.2">
      <c r="A52" s="1"/>
      <c r="B52" s="1"/>
      <c r="C52" s="2" t="s">
        <v>132</v>
      </c>
      <c r="D52" s="1"/>
      <c r="E52" s="1" t="s">
        <v>133</v>
      </c>
      <c r="F52" s="9">
        <v>0</v>
      </c>
      <c r="G52" s="10">
        <v>0</v>
      </c>
      <c r="H52" s="105"/>
    </row>
    <row r="53" spans="1:8" ht="14.1" customHeight="1" x14ac:dyDescent="0.2">
      <c r="A53" s="1"/>
      <c r="B53" s="1"/>
      <c r="C53" s="11"/>
      <c r="D53" s="1"/>
      <c r="E53" s="1"/>
      <c r="F53" s="12"/>
      <c r="G53" s="12"/>
      <c r="H53" s="105"/>
    </row>
    <row r="54" spans="1:8" ht="14.1" customHeight="1" x14ac:dyDescent="0.2">
      <c r="A54" s="1"/>
      <c r="B54" s="1"/>
      <c r="C54" s="2" t="s">
        <v>138</v>
      </c>
      <c r="D54" s="1"/>
      <c r="E54" s="1"/>
      <c r="F54" s="12"/>
      <c r="G54" s="12"/>
      <c r="H54" s="105"/>
    </row>
    <row r="55" spans="1:8" ht="14.1" customHeight="1" x14ac:dyDescent="0.2">
      <c r="A55" s="1"/>
      <c r="B55" s="1"/>
      <c r="C55" s="2" t="s">
        <v>132</v>
      </c>
      <c r="D55" s="1"/>
      <c r="E55" s="1" t="s">
        <v>133</v>
      </c>
      <c r="F55" s="13" t="s">
        <v>135</v>
      </c>
      <c r="G55" s="10">
        <v>0</v>
      </c>
      <c r="H55" s="105"/>
    </row>
    <row r="56" spans="1:8" ht="14.1" customHeight="1" x14ac:dyDescent="0.2">
      <c r="A56" s="1"/>
      <c r="B56" s="1"/>
      <c r="C56" s="11"/>
      <c r="D56" s="1"/>
      <c r="E56" s="1"/>
      <c r="F56" s="12"/>
      <c r="G56" s="12"/>
      <c r="H56" s="105"/>
    </row>
    <row r="57" spans="1:8" ht="14.1" customHeight="1" x14ac:dyDescent="0.2">
      <c r="A57" s="1"/>
      <c r="B57" s="1"/>
      <c r="C57" s="2" t="s">
        <v>139</v>
      </c>
      <c r="D57" s="1"/>
      <c r="E57" s="1"/>
      <c r="F57" s="12"/>
      <c r="G57" s="12"/>
      <c r="H57" s="105"/>
    </row>
    <row r="58" spans="1:8" ht="14.1" customHeight="1" x14ac:dyDescent="0.2">
      <c r="A58" s="1"/>
      <c r="B58" s="1"/>
      <c r="C58" s="2" t="s">
        <v>132</v>
      </c>
      <c r="D58" s="1"/>
      <c r="E58" s="1" t="s">
        <v>133</v>
      </c>
      <c r="F58" s="13" t="s">
        <v>135</v>
      </c>
      <c r="G58" s="10">
        <v>0</v>
      </c>
      <c r="H58" s="105"/>
    </row>
    <row r="59" spans="1:8" ht="14.1" customHeight="1" x14ac:dyDescent="0.2">
      <c r="A59" s="1"/>
      <c r="B59" s="1"/>
      <c r="C59" s="11"/>
      <c r="D59" s="1"/>
      <c r="E59" s="1"/>
      <c r="F59" s="12"/>
      <c r="G59" s="12"/>
      <c r="H59" s="105"/>
    </row>
    <row r="60" spans="1:8" ht="18" customHeight="1" x14ac:dyDescent="0.2">
      <c r="A60" s="1"/>
      <c r="B60" s="1"/>
      <c r="C60" s="2" t="s">
        <v>140</v>
      </c>
      <c r="D60" s="1"/>
      <c r="E60" s="1"/>
      <c r="F60" s="9">
        <v>1674.0953884999999</v>
      </c>
      <c r="G60" s="10">
        <v>0.96666753000000005</v>
      </c>
      <c r="H60" s="105"/>
    </row>
    <row r="61" spans="1:8" ht="14.1" customHeight="1" x14ac:dyDescent="0.2">
      <c r="A61" s="1"/>
      <c r="B61" s="1"/>
      <c r="C61" s="11"/>
      <c r="D61" s="1"/>
      <c r="E61" s="1"/>
      <c r="F61" s="12"/>
      <c r="G61" s="12"/>
      <c r="H61" s="105"/>
    </row>
    <row r="62" spans="1:8" ht="14.1" customHeight="1" x14ac:dyDescent="0.2">
      <c r="A62" s="1"/>
      <c r="B62" s="1"/>
      <c r="C62" s="2" t="s">
        <v>141</v>
      </c>
      <c r="D62" s="1"/>
      <c r="E62" s="1"/>
      <c r="F62" s="12"/>
      <c r="G62" s="12"/>
      <c r="H62" s="105"/>
    </row>
    <row r="63" spans="1:8" ht="24" customHeight="1" x14ac:dyDescent="0.2">
      <c r="A63" s="1"/>
      <c r="B63" s="1"/>
      <c r="C63" s="2" t="s">
        <v>10</v>
      </c>
      <c r="D63" s="1"/>
      <c r="E63" s="1"/>
      <c r="F63" s="12"/>
      <c r="G63" s="12"/>
      <c r="H63" s="105"/>
    </row>
    <row r="64" spans="1:8" ht="14.1" customHeight="1" x14ac:dyDescent="0.2">
      <c r="A64" s="1"/>
      <c r="B64" s="1"/>
      <c r="C64" s="2" t="s">
        <v>132</v>
      </c>
      <c r="D64" s="1"/>
      <c r="E64" s="1" t="s">
        <v>133</v>
      </c>
      <c r="F64" s="13" t="s">
        <v>135</v>
      </c>
      <c r="G64" s="10">
        <v>0</v>
      </c>
      <c r="H64" s="105"/>
    </row>
    <row r="65" spans="1:8" ht="14.1" customHeight="1" x14ac:dyDescent="0.2">
      <c r="A65" s="1"/>
      <c r="B65" s="1"/>
      <c r="C65" s="11"/>
      <c r="D65" s="1"/>
      <c r="E65" s="1"/>
      <c r="F65" s="12"/>
      <c r="G65" s="12"/>
      <c r="H65" s="105"/>
    </row>
    <row r="66" spans="1:8" ht="14.1" customHeight="1" x14ac:dyDescent="0.2">
      <c r="A66" s="1"/>
      <c r="B66" s="1"/>
      <c r="C66" s="2" t="s">
        <v>142</v>
      </c>
      <c r="D66" s="1"/>
      <c r="E66" s="1"/>
      <c r="F66" s="1"/>
      <c r="G66" s="1"/>
      <c r="H66" s="105"/>
    </row>
    <row r="67" spans="1:8" ht="14.1" customHeight="1" x14ac:dyDescent="0.2">
      <c r="A67" s="1"/>
      <c r="B67" s="1"/>
      <c r="C67" s="2" t="s">
        <v>132</v>
      </c>
      <c r="D67" s="1"/>
      <c r="E67" s="1" t="s">
        <v>133</v>
      </c>
      <c r="F67" s="13" t="s">
        <v>135</v>
      </c>
      <c r="G67" s="10">
        <v>0</v>
      </c>
      <c r="H67" s="105"/>
    </row>
    <row r="68" spans="1:8" ht="14.1" customHeight="1" x14ac:dyDescent="0.2">
      <c r="A68" s="1"/>
      <c r="B68" s="1"/>
      <c r="C68" s="11"/>
      <c r="D68" s="1"/>
      <c r="E68" s="1"/>
      <c r="F68" s="12"/>
      <c r="G68" s="12"/>
      <c r="H68" s="105"/>
    </row>
    <row r="69" spans="1:8" ht="14.1" customHeight="1" x14ac:dyDescent="0.2">
      <c r="A69" s="1"/>
      <c r="B69" s="1"/>
      <c r="C69" s="2" t="s">
        <v>143</v>
      </c>
      <c r="D69" s="1"/>
      <c r="E69" s="1"/>
      <c r="F69" s="1"/>
      <c r="G69" s="1"/>
      <c r="H69" s="105"/>
    </row>
    <row r="70" spans="1:8" ht="14.1" customHeight="1" x14ac:dyDescent="0.2">
      <c r="A70" s="1"/>
      <c r="B70" s="1"/>
      <c r="C70" s="2" t="s">
        <v>132</v>
      </c>
      <c r="D70" s="1"/>
      <c r="E70" s="1" t="s">
        <v>133</v>
      </c>
      <c r="F70" s="13" t="s">
        <v>135</v>
      </c>
      <c r="G70" s="10">
        <v>0</v>
      </c>
      <c r="H70" s="105"/>
    </row>
    <row r="71" spans="1:8" ht="14.1" customHeight="1" x14ac:dyDescent="0.2">
      <c r="A71" s="1"/>
      <c r="B71" s="1"/>
      <c r="C71" s="11"/>
      <c r="D71" s="1"/>
      <c r="E71" s="1"/>
      <c r="F71" s="12"/>
      <c r="G71" s="12"/>
      <c r="H71" s="105"/>
    </row>
    <row r="72" spans="1:8" ht="14.1" customHeight="1" x14ac:dyDescent="0.2">
      <c r="A72" s="1"/>
      <c r="B72" s="1"/>
      <c r="C72" s="2" t="s">
        <v>144</v>
      </c>
      <c r="D72" s="1"/>
      <c r="E72" s="1"/>
      <c r="F72" s="12"/>
      <c r="G72" s="12"/>
      <c r="H72" s="105"/>
    </row>
    <row r="73" spans="1:8" ht="14.1" customHeight="1" x14ac:dyDescent="0.2">
      <c r="A73" s="1"/>
      <c r="B73" s="1"/>
      <c r="C73" s="2" t="s">
        <v>132</v>
      </c>
      <c r="D73" s="1"/>
      <c r="E73" s="1" t="s">
        <v>133</v>
      </c>
      <c r="F73" s="13" t="s">
        <v>135</v>
      </c>
      <c r="G73" s="10">
        <v>0</v>
      </c>
      <c r="H73" s="105"/>
    </row>
    <row r="74" spans="1:8" ht="14.1" customHeight="1" x14ac:dyDescent="0.2">
      <c r="A74" s="1"/>
      <c r="B74" s="1"/>
      <c r="C74" s="11"/>
      <c r="D74" s="1"/>
      <c r="E74" s="1"/>
      <c r="F74" s="12"/>
      <c r="G74" s="12"/>
      <c r="H74" s="105"/>
    </row>
    <row r="75" spans="1:8" ht="14.1" customHeight="1" x14ac:dyDescent="0.2">
      <c r="A75" s="1"/>
      <c r="B75" s="1"/>
      <c r="C75" s="2" t="s">
        <v>145</v>
      </c>
      <c r="D75" s="1"/>
      <c r="E75" s="1"/>
      <c r="F75" s="9">
        <v>0</v>
      </c>
      <c r="G75" s="10">
        <v>0</v>
      </c>
      <c r="H75" s="105"/>
    </row>
    <row r="76" spans="1:8" ht="14.1" customHeight="1" x14ac:dyDescent="0.2">
      <c r="A76" s="1"/>
      <c r="B76" s="1"/>
      <c r="C76" s="11"/>
      <c r="D76" s="1"/>
      <c r="E76" s="1"/>
      <c r="F76" s="12"/>
      <c r="G76" s="12"/>
      <c r="H76" s="105"/>
    </row>
    <row r="77" spans="1:8" ht="14.1" customHeight="1" x14ac:dyDescent="0.2">
      <c r="A77" s="1"/>
      <c r="B77" s="1"/>
      <c r="C77" s="2" t="s">
        <v>146</v>
      </c>
      <c r="D77" s="1"/>
      <c r="E77" s="1"/>
      <c r="F77" s="12"/>
      <c r="G77" s="12"/>
      <c r="H77" s="105"/>
    </row>
    <row r="78" spans="1:8" ht="14.1" customHeight="1" x14ac:dyDescent="0.2">
      <c r="A78" s="1"/>
      <c r="B78" s="1"/>
      <c r="C78" s="2" t="s">
        <v>147</v>
      </c>
      <c r="D78" s="1"/>
      <c r="E78" s="1"/>
      <c r="F78" s="12"/>
      <c r="G78" s="12"/>
      <c r="H78" s="105"/>
    </row>
    <row r="79" spans="1:8" ht="14.1" customHeight="1" x14ac:dyDescent="0.2">
      <c r="A79" s="1"/>
      <c r="B79" s="1"/>
      <c r="C79" s="2" t="s">
        <v>132</v>
      </c>
      <c r="D79" s="1"/>
      <c r="E79" s="1" t="s">
        <v>133</v>
      </c>
      <c r="F79" s="13" t="s">
        <v>135</v>
      </c>
      <c r="G79" s="10">
        <v>0</v>
      </c>
      <c r="H79" s="105"/>
    </row>
    <row r="80" spans="1:8" ht="14.1" customHeight="1" x14ac:dyDescent="0.2">
      <c r="A80" s="1"/>
      <c r="B80" s="1"/>
      <c r="C80" s="11"/>
      <c r="D80" s="1"/>
      <c r="E80" s="1"/>
      <c r="F80" s="12"/>
      <c r="G80" s="12"/>
      <c r="H80" s="105"/>
    </row>
    <row r="81" spans="1:8" ht="14.1" customHeight="1" x14ac:dyDescent="0.2">
      <c r="A81" s="1"/>
      <c r="B81" s="1"/>
      <c r="C81" s="2" t="s">
        <v>148</v>
      </c>
      <c r="D81" s="1"/>
      <c r="E81" s="1"/>
      <c r="F81" s="12"/>
      <c r="G81" s="12"/>
      <c r="H81" s="105"/>
    </row>
    <row r="82" spans="1:8" ht="14.1" customHeight="1" x14ac:dyDescent="0.2">
      <c r="A82" s="1"/>
      <c r="B82" s="1"/>
      <c r="C82" s="2" t="s">
        <v>132</v>
      </c>
      <c r="D82" s="1"/>
      <c r="E82" s="1" t="s">
        <v>133</v>
      </c>
      <c r="F82" s="13" t="s">
        <v>135</v>
      </c>
      <c r="G82" s="10">
        <v>0</v>
      </c>
      <c r="H82" s="105"/>
    </row>
    <row r="83" spans="1:8" ht="14.1" customHeight="1" x14ac:dyDescent="0.2">
      <c r="A83" s="1"/>
      <c r="B83" s="1"/>
      <c r="C83" s="11"/>
      <c r="D83" s="1"/>
      <c r="E83" s="1"/>
      <c r="F83" s="12"/>
      <c r="G83" s="12"/>
      <c r="H83" s="105"/>
    </row>
    <row r="84" spans="1:8" ht="14.1" customHeight="1" x14ac:dyDescent="0.2">
      <c r="A84" s="1"/>
      <c r="B84" s="1"/>
      <c r="C84" s="2" t="s">
        <v>149</v>
      </c>
      <c r="D84" s="1"/>
      <c r="E84" s="1"/>
      <c r="F84" s="12"/>
      <c r="G84" s="12"/>
      <c r="H84" s="105"/>
    </row>
    <row r="85" spans="1:8" ht="14.1" customHeight="1" x14ac:dyDescent="0.2">
      <c r="A85" s="1"/>
      <c r="B85" s="1"/>
      <c r="C85" s="2" t="s">
        <v>132</v>
      </c>
      <c r="D85" s="1"/>
      <c r="E85" s="1" t="s">
        <v>133</v>
      </c>
      <c r="F85" s="13" t="s">
        <v>135</v>
      </c>
      <c r="G85" s="10">
        <v>0</v>
      </c>
      <c r="H85" s="105"/>
    </row>
    <row r="86" spans="1:8" ht="14.1" customHeight="1" x14ac:dyDescent="0.2">
      <c r="A86" s="1"/>
      <c r="B86" s="1"/>
      <c r="C86" s="11"/>
      <c r="D86" s="1"/>
      <c r="E86" s="1"/>
      <c r="F86" s="12"/>
      <c r="G86" s="12"/>
      <c r="H86" s="105"/>
    </row>
    <row r="87" spans="1:8" ht="14.1" customHeight="1" x14ac:dyDescent="0.2">
      <c r="A87" s="1"/>
      <c r="B87" s="1"/>
      <c r="C87" s="2" t="s">
        <v>150</v>
      </c>
      <c r="D87" s="1"/>
      <c r="E87" s="1"/>
      <c r="F87" s="12"/>
      <c r="G87" s="12"/>
      <c r="H87" s="105"/>
    </row>
    <row r="88" spans="1:8" ht="17.100000000000001" customHeight="1" x14ac:dyDescent="0.2">
      <c r="A88" s="3">
        <v>1</v>
      </c>
      <c r="B88" s="4"/>
      <c r="C88" s="4" t="s">
        <v>151</v>
      </c>
      <c r="D88" s="4"/>
      <c r="E88" s="8"/>
      <c r="F88" s="6">
        <v>48.246296600000001</v>
      </c>
      <c r="G88" s="7">
        <v>2.78587E-2</v>
      </c>
      <c r="H88" s="105">
        <v>6.8153352377542396</v>
      </c>
    </row>
    <row r="89" spans="1:8" ht="17.100000000000001" customHeight="1" x14ac:dyDescent="0.2">
      <c r="A89" s="3">
        <v>2</v>
      </c>
      <c r="B89" s="4"/>
      <c r="C89" s="4" t="s">
        <v>152</v>
      </c>
      <c r="D89" s="4"/>
      <c r="E89" s="8"/>
      <c r="F89" s="6">
        <v>5.7252108000000002</v>
      </c>
      <c r="G89" s="7">
        <v>3.3058900000000001E-3</v>
      </c>
      <c r="H89" s="105">
        <v>6.7952403714590259</v>
      </c>
    </row>
    <row r="90" spans="1:8" ht="14.1" customHeight="1" x14ac:dyDescent="0.2">
      <c r="A90" s="1"/>
      <c r="B90" s="1"/>
      <c r="C90" s="2" t="s">
        <v>132</v>
      </c>
      <c r="D90" s="1"/>
      <c r="E90" s="1" t="s">
        <v>133</v>
      </c>
      <c r="F90" s="9">
        <v>53.9715074</v>
      </c>
      <c r="G90" s="10">
        <v>3.1164589999999999E-2</v>
      </c>
      <c r="H90" s="105"/>
    </row>
    <row r="91" spans="1:8" ht="14.1" customHeight="1" x14ac:dyDescent="0.2">
      <c r="A91" s="1"/>
      <c r="B91" s="1"/>
      <c r="C91" s="11"/>
      <c r="D91" s="1"/>
      <c r="E91" s="1"/>
      <c r="F91" s="12"/>
      <c r="G91" s="12"/>
      <c r="H91" s="105"/>
    </row>
    <row r="92" spans="1:8" ht="14.1" customHeight="1" x14ac:dyDescent="0.2">
      <c r="A92" s="1"/>
      <c r="B92" s="1"/>
      <c r="C92" s="2" t="s">
        <v>153</v>
      </c>
      <c r="D92" s="1"/>
      <c r="E92" s="1"/>
      <c r="F92" s="9">
        <v>53.9715074</v>
      </c>
      <c r="G92" s="10">
        <v>3.1164589999999999E-2</v>
      </c>
      <c r="H92" s="105"/>
    </row>
    <row r="93" spans="1:8" ht="14.1" customHeight="1" x14ac:dyDescent="0.2">
      <c r="A93" s="1"/>
      <c r="B93" s="1"/>
      <c r="C93" s="12"/>
      <c r="D93" s="1"/>
      <c r="E93" s="1"/>
      <c r="F93" s="1"/>
      <c r="G93" s="1"/>
      <c r="H93" s="105"/>
    </row>
    <row r="94" spans="1:8" ht="14.1" customHeight="1" x14ac:dyDescent="0.2">
      <c r="A94" s="1"/>
      <c r="B94" s="1"/>
      <c r="C94" s="2" t="s">
        <v>154</v>
      </c>
      <c r="D94" s="1"/>
      <c r="E94" s="1"/>
      <c r="F94" s="1"/>
      <c r="G94" s="1"/>
      <c r="H94" s="105"/>
    </row>
    <row r="95" spans="1:8" ht="14.1" customHeight="1" x14ac:dyDescent="0.2">
      <c r="A95" s="1"/>
      <c r="B95" s="1"/>
      <c r="C95" s="2" t="s">
        <v>155</v>
      </c>
      <c r="D95" s="1"/>
      <c r="E95" s="1"/>
      <c r="F95" s="1"/>
      <c r="G95" s="1"/>
      <c r="H95" s="105"/>
    </row>
    <row r="96" spans="1:8" ht="14.1" customHeight="1" x14ac:dyDescent="0.2">
      <c r="A96" s="1"/>
      <c r="B96" s="1"/>
      <c r="C96" s="2" t="s">
        <v>132</v>
      </c>
      <c r="D96" s="1"/>
      <c r="E96" s="1" t="s">
        <v>133</v>
      </c>
      <c r="F96" s="13" t="s">
        <v>135</v>
      </c>
      <c r="G96" s="10">
        <v>0</v>
      </c>
      <c r="H96" s="105"/>
    </row>
    <row r="97" spans="1:8" ht="14.1" customHeight="1" x14ac:dyDescent="0.2">
      <c r="A97" s="1"/>
      <c r="B97" s="1"/>
      <c r="C97" s="11"/>
      <c r="D97" s="1"/>
      <c r="E97" s="1"/>
      <c r="F97" s="12"/>
      <c r="G97" s="12"/>
      <c r="H97" s="105"/>
    </row>
    <row r="98" spans="1:8" ht="14.1" customHeight="1" x14ac:dyDescent="0.2">
      <c r="A98" s="1"/>
      <c r="B98" s="1"/>
      <c r="C98" s="2" t="s">
        <v>156</v>
      </c>
      <c r="D98" s="1"/>
      <c r="E98" s="1"/>
      <c r="F98" s="1"/>
      <c r="G98" s="1"/>
      <c r="H98" s="105"/>
    </row>
    <row r="99" spans="1:8" ht="14.1" customHeight="1" x14ac:dyDescent="0.2">
      <c r="A99" s="1"/>
      <c r="B99" s="1"/>
      <c r="C99" s="2" t="s">
        <v>157</v>
      </c>
      <c r="D99" s="1"/>
      <c r="E99" s="1"/>
      <c r="F99" s="1"/>
      <c r="G99" s="1"/>
      <c r="H99" s="105"/>
    </row>
    <row r="100" spans="1:8" ht="14.1" customHeight="1" x14ac:dyDescent="0.2">
      <c r="A100" s="1"/>
      <c r="B100" s="1"/>
      <c r="C100" s="2" t="s">
        <v>132</v>
      </c>
      <c r="D100" s="1"/>
      <c r="E100" s="1" t="s">
        <v>133</v>
      </c>
      <c r="F100" s="13" t="s">
        <v>135</v>
      </c>
      <c r="G100" s="10">
        <v>0</v>
      </c>
      <c r="H100" s="105"/>
    </row>
    <row r="101" spans="1:8" ht="14.1" customHeight="1" x14ac:dyDescent="0.2">
      <c r="A101" s="1"/>
      <c r="B101" s="1"/>
      <c r="C101" s="11"/>
      <c r="D101" s="1"/>
      <c r="E101" s="1"/>
      <c r="F101" s="12"/>
      <c r="G101" s="12"/>
      <c r="H101" s="105"/>
    </row>
    <row r="102" spans="1:8" ht="24" customHeight="1" x14ac:dyDescent="0.2">
      <c r="A102" s="1"/>
      <c r="B102" s="1"/>
      <c r="C102" s="2" t="s">
        <v>158</v>
      </c>
      <c r="D102" s="1"/>
      <c r="E102" s="1"/>
      <c r="F102" s="12"/>
      <c r="G102" s="12"/>
      <c r="H102" s="105"/>
    </row>
    <row r="103" spans="1:8" ht="14.1" customHeight="1" x14ac:dyDescent="0.2">
      <c r="A103" s="1"/>
      <c r="B103" s="1"/>
      <c r="C103" s="2" t="s">
        <v>132</v>
      </c>
      <c r="D103" s="1"/>
      <c r="E103" s="1" t="s">
        <v>133</v>
      </c>
      <c r="F103" s="13" t="s">
        <v>135</v>
      </c>
      <c r="G103" s="10">
        <v>0</v>
      </c>
      <c r="H103" s="105"/>
    </row>
    <row r="104" spans="1:8" ht="14.1" customHeight="1" x14ac:dyDescent="0.2">
      <c r="A104" s="1"/>
      <c r="B104" s="1"/>
      <c r="C104" s="11"/>
      <c r="D104" s="1"/>
      <c r="E104" s="1"/>
      <c r="F104" s="12"/>
      <c r="G104" s="12"/>
      <c r="H104" s="105"/>
    </row>
    <row r="105" spans="1:8" ht="14.1" customHeight="1" x14ac:dyDescent="0.2">
      <c r="A105" s="1"/>
      <c r="B105" s="4"/>
      <c r="C105" s="4"/>
      <c r="D105" s="2"/>
      <c r="E105" s="1"/>
      <c r="F105" s="4"/>
      <c r="G105" s="8"/>
      <c r="H105" s="105"/>
    </row>
    <row r="106" spans="1:8" ht="18" customHeight="1" x14ac:dyDescent="0.2">
      <c r="A106" s="8"/>
      <c r="B106" s="4"/>
      <c r="C106" s="4" t="s">
        <v>159</v>
      </c>
      <c r="D106" s="4"/>
      <c r="E106" s="8"/>
      <c r="F106" s="6">
        <v>3.7544064399999999</v>
      </c>
      <c r="G106" s="7">
        <v>2.1678999999999999E-3</v>
      </c>
      <c r="H106" s="105"/>
    </row>
    <row r="107" spans="1:8" ht="14.1" customHeight="1" x14ac:dyDescent="0.2">
      <c r="A107" s="11"/>
      <c r="B107" s="11"/>
      <c r="C107" s="2" t="s">
        <v>160</v>
      </c>
      <c r="D107" s="12"/>
      <c r="E107" s="12"/>
      <c r="F107" s="9">
        <v>1731.8213023400001</v>
      </c>
      <c r="G107" s="14">
        <v>1.0000000200000001</v>
      </c>
      <c r="H107" s="105"/>
    </row>
    <row r="108" spans="1:8" ht="14.1" customHeight="1" x14ac:dyDescent="0.2">
      <c r="A108" s="15"/>
      <c r="B108" s="15"/>
      <c r="C108" s="15"/>
      <c r="D108" s="16"/>
      <c r="E108" s="16"/>
      <c r="F108" s="16"/>
      <c r="G108" s="16"/>
    </row>
    <row r="109" spans="1:8" ht="14.1" customHeight="1" x14ac:dyDescent="0.2">
      <c r="A109" s="17"/>
      <c r="B109" s="17"/>
      <c r="C109" s="17"/>
      <c r="D109" s="19"/>
      <c r="E109" s="19"/>
      <c r="F109" s="19"/>
      <c r="G109" s="19"/>
    </row>
    <row r="110" spans="1:8" ht="14.1" customHeight="1" x14ac:dyDescent="0.2">
      <c r="A110" s="17"/>
      <c r="B110" s="179" t="s">
        <v>162</v>
      </c>
      <c r="C110" s="180"/>
      <c r="D110" s="181"/>
      <c r="E110" s="20"/>
      <c r="F110" s="19"/>
      <c r="G110" s="19"/>
    </row>
    <row r="111" spans="1:8" ht="29.1" customHeight="1" x14ac:dyDescent="0.2">
      <c r="A111" s="17"/>
      <c r="B111" s="176" t="s">
        <v>163</v>
      </c>
      <c r="C111" s="177"/>
      <c r="D111" s="2" t="s">
        <v>164</v>
      </c>
      <c r="E111" s="20"/>
      <c r="F111" s="19"/>
      <c r="G111" s="19"/>
    </row>
    <row r="112" spans="1:8" ht="17.100000000000001" customHeight="1" x14ac:dyDescent="0.2">
      <c r="A112" s="17"/>
      <c r="B112" s="176" t="s">
        <v>165</v>
      </c>
      <c r="C112" s="177"/>
      <c r="D112" s="2" t="s">
        <v>164</v>
      </c>
      <c r="E112" s="20"/>
      <c r="F112" s="19"/>
      <c r="G112" s="19"/>
    </row>
    <row r="113" spans="1:7" ht="17.100000000000001" customHeight="1" x14ac:dyDescent="0.2">
      <c r="A113" s="17"/>
      <c r="B113" s="176" t="s">
        <v>166</v>
      </c>
      <c r="C113" s="177"/>
      <c r="D113" s="12" t="s">
        <v>133</v>
      </c>
      <c r="E113" s="20"/>
      <c r="F113" s="19"/>
      <c r="G113" s="19"/>
    </row>
    <row r="114" spans="1:7" ht="24" customHeight="1" x14ac:dyDescent="0.2">
      <c r="A114" s="21"/>
      <c r="B114" s="22" t="s">
        <v>133</v>
      </c>
      <c r="C114" s="22" t="s">
        <v>167</v>
      </c>
      <c r="D114" s="22" t="s">
        <v>168</v>
      </c>
      <c r="E114" s="21"/>
      <c r="F114" s="21"/>
      <c r="G114" s="21"/>
    </row>
    <row r="115" spans="1:7" ht="18" customHeight="1" x14ac:dyDescent="0.2">
      <c r="A115" s="21"/>
      <c r="B115" s="23" t="s">
        <v>169</v>
      </c>
      <c r="C115" s="22" t="s">
        <v>170</v>
      </c>
      <c r="D115" s="22" t="s">
        <v>171</v>
      </c>
      <c r="E115" s="21"/>
      <c r="F115" s="21"/>
      <c r="G115" s="21"/>
    </row>
    <row r="116" spans="1:7" ht="17.100000000000001" customHeight="1" x14ac:dyDescent="0.2">
      <c r="A116" s="21"/>
      <c r="B116" s="4" t="s">
        <v>172</v>
      </c>
      <c r="C116" s="24">
        <v>22.851800000000001</v>
      </c>
      <c r="D116" s="24">
        <v>23.766500000000001</v>
      </c>
      <c r="E116" s="21"/>
      <c r="F116" s="18"/>
      <c r="G116" s="25"/>
    </row>
    <row r="117" spans="1:7" ht="17.100000000000001" customHeight="1" x14ac:dyDescent="0.2">
      <c r="A117" s="21"/>
      <c r="B117" s="4" t="s">
        <v>1006</v>
      </c>
      <c r="C117" s="24">
        <v>19.0364</v>
      </c>
      <c r="D117" s="24">
        <v>19.798400000000001</v>
      </c>
      <c r="E117" s="21"/>
      <c r="F117" s="18"/>
      <c r="G117" s="25"/>
    </row>
    <row r="118" spans="1:7" ht="17.100000000000001" customHeight="1" x14ac:dyDescent="0.2">
      <c r="A118" s="21"/>
      <c r="B118" s="4" t="s">
        <v>173</v>
      </c>
      <c r="C118" s="24">
        <v>22.332100000000001</v>
      </c>
      <c r="D118" s="24">
        <v>23.2301</v>
      </c>
      <c r="E118" s="21"/>
      <c r="F118" s="18"/>
      <c r="G118" s="25"/>
    </row>
    <row r="119" spans="1:7" ht="17.100000000000001" customHeight="1" x14ac:dyDescent="0.2">
      <c r="A119" s="21"/>
      <c r="B119" s="4" t="s">
        <v>1007</v>
      </c>
      <c r="C119" s="24">
        <v>18.54</v>
      </c>
      <c r="D119" s="24">
        <v>19.285499999999999</v>
      </c>
      <c r="E119" s="21"/>
      <c r="F119" s="18"/>
      <c r="G119" s="25"/>
    </row>
    <row r="120" spans="1:7" ht="14.1" customHeight="1" x14ac:dyDescent="0.2">
      <c r="A120" s="21"/>
      <c r="B120" s="21"/>
      <c r="C120" s="21"/>
      <c r="D120" s="21"/>
      <c r="E120" s="21"/>
      <c r="F120" s="21"/>
      <c r="G120" s="21"/>
    </row>
    <row r="121" spans="1:7" ht="17.100000000000001" customHeight="1" x14ac:dyDescent="0.2">
      <c r="A121" s="21"/>
      <c r="B121" s="176" t="s">
        <v>1008</v>
      </c>
      <c r="C121" s="177"/>
      <c r="D121" s="2" t="s">
        <v>164</v>
      </c>
      <c r="E121" s="21"/>
      <c r="F121" s="21"/>
      <c r="G121" s="21"/>
    </row>
    <row r="122" spans="1:7" ht="18" customHeight="1" x14ac:dyDescent="0.2">
      <c r="A122" s="21"/>
      <c r="B122" s="26"/>
      <c r="C122" s="26"/>
      <c r="D122" s="26"/>
      <c r="E122" s="21"/>
      <c r="F122" s="21"/>
      <c r="G122" s="21"/>
    </row>
    <row r="123" spans="1:7" ht="29.1" customHeight="1" x14ac:dyDescent="0.2">
      <c r="A123" s="21"/>
      <c r="B123" s="176" t="s">
        <v>174</v>
      </c>
      <c r="C123" s="177"/>
      <c r="D123" s="2" t="s">
        <v>164</v>
      </c>
      <c r="E123" s="27"/>
      <c r="F123" s="21"/>
      <c r="G123" s="21"/>
    </row>
    <row r="124" spans="1:7" ht="29.1" customHeight="1" x14ac:dyDescent="0.2">
      <c r="A124" s="21"/>
      <c r="B124" s="176" t="s">
        <v>175</v>
      </c>
      <c r="C124" s="177"/>
      <c r="D124" s="2" t="s">
        <v>164</v>
      </c>
      <c r="E124" s="27"/>
      <c r="F124" s="21"/>
      <c r="G124" s="21"/>
    </row>
    <row r="125" spans="1:7" ht="17.100000000000001" customHeight="1" x14ac:dyDescent="0.2">
      <c r="A125" s="21"/>
      <c r="B125" s="176" t="s">
        <v>176</v>
      </c>
      <c r="C125" s="177"/>
      <c r="D125" s="2" t="s">
        <v>164</v>
      </c>
      <c r="E125" s="27"/>
      <c r="F125" s="21"/>
      <c r="G125" s="21"/>
    </row>
    <row r="126" spans="1:7" ht="17.100000000000001" customHeight="1" x14ac:dyDescent="0.2">
      <c r="A126" s="21"/>
      <c r="B126" s="176" t="s">
        <v>177</v>
      </c>
      <c r="C126" s="177"/>
      <c r="D126" s="60">
        <v>3.8627243252176285E-2</v>
      </c>
      <c r="E126" s="21"/>
      <c r="F126" s="18"/>
      <c r="G126" s="25"/>
    </row>
    <row r="130" spans="10:14" x14ac:dyDescent="0.2">
      <c r="J130" s="162"/>
      <c r="K130" s="162"/>
      <c r="L130" s="162"/>
      <c r="M130" s="162"/>
      <c r="N130" s="162"/>
    </row>
  </sheetData>
  <mergeCells count="13">
    <mergeCell ref="B126:C126"/>
    <mergeCell ref="B112:C112"/>
    <mergeCell ref="B113:C113"/>
    <mergeCell ref="B121:C121"/>
    <mergeCell ref="B123:C123"/>
    <mergeCell ref="B124:C124"/>
    <mergeCell ref="B125:C125"/>
    <mergeCell ref="J2:N2"/>
    <mergeCell ref="B111:C111"/>
    <mergeCell ref="B110:D110"/>
    <mergeCell ref="A1:H1"/>
    <mergeCell ref="A2:H2"/>
    <mergeCell ref="A3:H3"/>
  </mergeCells>
  <hyperlinks>
    <hyperlink ref="I1" location="Index!B14" display="Index" xr:uid="{AC8ED28C-B2F6-4791-A8DD-0C4B04F43D5E}"/>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N127"/>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182" t="s">
        <v>0</v>
      </c>
      <c r="B1" s="182"/>
      <c r="C1" s="182"/>
      <c r="D1" s="182"/>
      <c r="E1" s="182"/>
      <c r="F1" s="182"/>
      <c r="G1" s="182"/>
      <c r="H1" s="182"/>
      <c r="I1" s="159" t="s">
        <v>1044</v>
      </c>
    </row>
    <row r="2" spans="1:14" ht="17.100000000000001" customHeight="1" x14ac:dyDescent="0.2">
      <c r="A2" s="183" t="s">
        <v>496</v>
      </c>
      <c r="B2" s="184"/>
      <c r="C2" s="184"/>
      <c r="D2" s="184"/>
      <c r="E2" s="184"/>
      <c r="F2" s="184"/>
      <c r="G2" s="184"/>
      <c r="H2" s="185"/>
      <c r="J2" s="175" t="s">
        <v>1045</v>
      </c>
      <c r="K2" s="175"/>
      <c r="L2" s="175"/>
      <c r="M2" s="175"/>
      <c r="N2" s="175"/>
    </row>
    <row r="3" spans="1:14" ht="21" customHeight="1" x14ac:dyDescent="0.2">
      <c r="A3" s="182" t="s">
        <v>1016</v>
      </c>
      <c r="B3" s="182"/>
      <c r="C3" s="182"/>
      <c r="D3" s="182"/>
      <c r="E3" s="182"/>
      <c r="F3" s="182"/>
      <c r="G3" s="182"/>
      <c r="H3" s="182"/>
    </row>
    <row r="4" spans="1:14" ht="30" x14ac:dyDescent="0.2">
      <c r="A4" s="107" t="s">
        <v>2</v>
      </c>
      <c r="B4" s="107" t="s">
        <v>3</v>
      </c>
      <c r="C4" s="107" t="s">
        <v>4</v>
      </c>
      <c r="D4" s="107" t="s">
        <v>5</v>
      </c>
      <c r="E4" s="107" t="s">
        <v>6</v>
      </c>
      <c r="F4" s="107" t="s">
        <v>7</v>
      </c>
      <c r="G4" s="107" t="s">
        <v>8</v>
      </c>
      <c r="H4" s="104" t="s">
        <v>1003</v>
      </c>
      <c r="I4" s="108"/>
      <c r="J4" s="108"/>
      <c r="K4" s="108"/>
      <c r="L4" s="108"/>
      <c r="M4" s="108"/>
      <c r="N4" s="108"/>
    </row>
    <row r="5" spans="1:14" ht="14.1" customHeight="1" x14ac:dyDescent="0.2">
      <c r="A5" s="1"/>
      <c r="B5" s="1"/>
      <c r="C5" s="2" t="s">
        <v>9</v>
      </c>
      <c r="D5" s="1"/>
      <c r="E5" s="1"/>
      <c r="F5" s="1"/>
      <c r="G5" s="1"/>
      <c r="H5" s="105"/>
    </row>
    <row r="6" spans="1:14" ht="24" customHeight="1" x14ac:dyDescent="0.2">
      <c r="A6" s="1"/>
      <c r="B6" s="1"/>
      <c r="C6" s="2" t="s">
        <v>10</v>
      </c>
      <c r="D6" s="1"/>
      <c r="E6" s="1"/>
      <c r="F6" s="1"/>
      <c r="G6" s="1"/>
      <c r="H6" s="105"/>
    </row>
    <row r="7" spans="1:14" ht="17.100000000000001" customHeight="1" x14ac:dyDescent="0.2">
      <c r="A7" s="3">
        <v>1</v>
      </c>
      <c r="B7" s="4" t="s">
        <v>23</v>
      </c>
      <c r="C7" s="4" t="s">
        <v>24</v>
      </c>
      <c r="D7" s="4" t="s">
        <v>25</v>
      </c>
      <c r="E7" s="5">
        <v>11277</v>
      </c>
      <c r="F7" s="6">
        <v>103.4833905</v>
      </c>
      <c r="G7" s="7">
        <v>9.4148159999999995E-2</v>
      </c>
      <c r="H7" s="105"/>
    </row>
    <row r="8" spans="1:14" ht="17.100000000000001" customHeight="1" x14ac:dyDescent="0.2">
      <c r="A8" s="3">
        <v>2</v>
      </c>
      <c r="B8" s="4" t="s">
        <v>17</v>
      </c>
      <c r="C8" s="4" t="s">
        <v>18</v>
      </c>
      <c r="D8" s="4" t="s">
        <v>19</v>
      </c>
      <c r="E8" s="5">
        <v>3489</v>
      </c>
      <c r="F8" s="6">
        <v>84.451245</v>
      </c>
      <c r="G8" s="7">
        <v>7.6832899999999996E-2</v>
      </c>
      <c r="H8" s="105"/>
    </row>
    <row r="9" spans="1:14" ht="17.100000000000001" customHeight="1" x14ac:dyDescent="0.2">
      <c r="A9" s="3">
        <v>3</v>
      </c>
      <c r="B9" s="4" t="s">
        <v>317</v>
      </c>
      <c r="C9" s="4" t="s">
        <v>318</v>
      </c>
      <c r="D9" s="4" t="s">
        <v>25</v>
      </c>
      <c r="E9" s="5">
        <v>4312</v>
      </c>
      <c r="F9" s="6">
        <v>72.769311999999999</v>
      </c>
      <c r="G9" s="7">
        <v>6.6204799999999994E-2</v>
      </c>
      <c r="H9" s="105"/>
    </row>
    <row r="10" spans="1:14" ht="17.100000000000001" customHeight="1" x14ac:dyDescent="0.2">
      <c r="A10" s="3">
        <v>4</v>
      </c>
      <c r="B10" s="4" t="s">
        <v>302</v>
      </c>
      <c r="C10" s="4" t="s">
        <v>303</v>
      </c>
      <c r="D10" s="4" t="s">
        <v>953</v>
      </c>
      <c r="E10" s="5">
        <v>5779</v>
      </c>
      <c r="F10" s="6">
        <v>72.3964225</v>
      </c>
      <c r="G10" s="7">
        <v>6.5865549999999995E-2</v>
      </c>
      <c r="H10" s="105"/>
    </row>
    <row r="11" spans="1:14" ht="17.100000000000001" customHeight="1" x14ac:dyDescent="0.2">
      <c r="A11" s="3">
        <v>5</v>
      </c>
      <c r="B11" s="4" t="s">
        <v>29</v>
      </c>
      <c r="C11" s="4" t="s">
        <v>30</v>
      </c>
      <c r="D11" s="4" t="s">
        <v>25</v>
      </c>
      <c r="E11" s="5">
        <v>12485</v>
      </c>
      <c r="F11" s="6">
        <v>72.200755000000001</v>
      </c>
      <c r="G11" s="7">
        <v>6.5687529999999994E-2</v>
      </c>
      <c r="H11" s="105"/>
    </row>
    <row r="12" spans="1:14" ht="29.1" customHeight="1" x14ac:dyDescent="0.2">
      <c r="A12" s="3">
        <v>6</v>
      </c>
      <c r="B12" s="4" t="s">
        <v>308</v>
      </c>
      <c r="C12" s="4" t="s">
        <v>309</v>
      </c>
      <c r="D12" s="4" t="s">
        <v>128</v>
      </c>
      <c r="E12" s="5">
        <v>2230</v>
      </c>
      <c r="F12" s="6">
        <v>61.895879999999998</v>
      </c>
      <c r="G12" s="7">
        <v>5.6312260000000003E-2</v>
      </c>
      <c r="H12" s="105"/>
    </row>
    <row r="13" spans="1:14" ht="17.100000000000001" customHeight="1" x14ac:dyDescent="0.2">
      <c r="A13" s="3">
        <v>7</v>
      </c>
      <c r="B13" s="4" t="s">
        <v>11</v>
      </c>
      <c r="C13" s="4" t="s">
        <v>12</v>
      </c>
      <c r="D13" s="4" t="s">
        <v>13</v>
      </c>
      <c r="E13" s="5">
        <v>2233</v>
      </c>
      <c r="F13" s="6">
        <v>52.797052000000001</v>
      </c>
      <c r="G13" s="7">
        <v>4.8034229999999997E-2</v>
      </c>
      <c r="H13" s="105"/>
      <c r="J13" s="161" t="s">
        <v>1049</v>
      </c>
    </row>
    <row r="14" spans="1:14" ht="29.1" customHeight="1" x14ac:dyDescent="0.2">
      <c r="A14" s="3">
        <v>8</v>
      </c>
      <c r="B14" s="4" t="s">
        <v>20</v>
      </c>
      <c r="C14" s="4" t="s">
        <v>21</v>
      </c>
      <c r="D14" s="4" t="s">
        <v>22</v>
      </c>
      <c r="E14" s="5">
        <v>501</v>
      </c>
      <c r="F14" s="6">
        <v>37.856561999999997</v>
      </c>
      <c r="G14" s="7">
        <v>3.4441520000000003E-2</v>
      </c>
      <c r="H14" s="105"/>
    </row>
    <row r="15" spans="1:14" ht="17.100000000000001" customHeight="1" x14ac:dyDescent="0.2">
      <c r="A15" s="3">
        <v>9</v>
      </c>
      <c r="B15" s="4" t="s">
        <v>203</v>
      </c>
      <c r="C15" s="4" t="s">
        <v>204</v>
      </c>
      <c r="D15" s="4" t="s">
        <v>25</v>
      </c>
      <c r="E15" s="5">
        <v>4354</v>
      </c>
      <c r="F15" s="6">
        <v>37.444400000000002</v>
      </c>
      <c r="G15" s="7">
        <v>3.4066539999999999E-2</v>
      </c>
      <c r="H15" s="105"/>
    </row>
    <row r="16" spans="1:14" ht="17.100000000000001" customHeight="1" x14ac:dyDescent="0.2">
      <c r="A16" s="3">
        <v>10</v>
      </c>
      <c r="B16" s="4" t="s">
        <v>353</v>
      </c>
      <c r="C16" s="4" t="s">
        <v>354</v>
      </c>
      <c r="D16" s="4" t="s">
        <v>105</v>
      </c>
      <c r="E16" s="5">
        <v>7590</v>
      </c>
      <c r="F16" s="6">
        <v>36.807704999999999</v>
      </c>
      <c r="G16" s="7">
        <v>3.3487290000000003E-2</v>
      </c>
      <c r="H16" s="105"/>
    </row>
    <row r="17" spans="1:8" ht="17.100000000000001" customHeight="1" x14ac:dyDescent="0.2">
      <c r="A17" s="3">
        <v>11</v>
      </c>
      <c r="B17" s="4" t="s">
        <v>14</v>
      </c>
      <c r="C17" s="4" t="s">
        <v>15</v>
      </c>
      <c r="D17" s="4" t="s">
        <v>16</v>
      </c>
      <c r="E17" s="5">
        <v>4570</v>
      </c>
      <c r="F17" s="6">
        <v>36.528010000000002</v>
      </c>
      <c r="G17" s="7">
        <v>3.3232820000000003E-2</v>
      </c>
      <c r="H17" s="105"/>
    </row>
    <row r="18" spans="1:8" ht="17.100000000000001" customHeight="1" x14ac:dyDescent="0.2">
      <c r="A18" s="3">
        <v>12</v>
      </c>
      <c r="B18" s="4" t="s">
        <v>343</v>
      </c>
      <c r="C18" s="4" t="s">
        <v>344</v>
      </c>
      <c r="D18" s="4" t="s">
        <v>1020</v>
      </c>
      <c r="E18" s="5">
        <v>7286</v>
      </c>
      <c r="F18" s="6">
        <v>31.005572999999998</v>
      </c>
      <c r="G18" s="7">
        <v>2.8208560000000001E-2</v>
      </c>
      <c r="H18" s="105"/>
    </row>
    <row r="19" spans="1:8" ht="29.1" customHeight="1" x14ac:dyDescent="0.2">
      <c r="A19" s="3">
        <v>13</v>
      </c>
      <c r="B19" s="4" t="s">
        <v>181</v>
      </c>
      <c r="C19" s="4" t="s">
        <v>182</v>
      </c>
      <c r="D19" s="4" t="s">
        <v>183</v>
      </c>
      <c r="E19" s="5">
        <v>526</v>
      </c>
      <c r="F19" s="6">
        <v>25.512052000000001</v>
      </c>
      <c r="G19" s="7">
        <v>2.321061E-2</v>
      </c>
      <c r="H19" s="105"/>
    </row>
    <row r="20" spans="1:8" ht="17.100000000000001" customHeight="1" x14ac:dyDescent="0.2">
      <c r="A20" s="3">
        <v>14</v>
      </c>
      <c r="B20" s="4" t="s">
        <v>347</v>
      </c>
      <c r="C20" s="4" t="s">
        <v>348</v>
      </c>
      <c r="D20" s="4" t="s">
        <v>121</v>
      </c>
      <c r="E20" s="5">
        <v>959</v>
      </c>
      <c r="F20" s="6">
        <v>25.335341499999998</v>
      </c>
      <c r="G20" s="7">
        <v>2.3049839999999999E-2</v>
      </c>
      <c r="H20" s="105"/>
    </row>
    <row r="21" spans="1:8" ht="17.100000000000001" customHeight="1" x14ac:dyDescent="0.2">
      <c r="A21" s="3">
        <v>15</v>
      </c>
      <c r="B21" s="4" t="s">
        <v>213</v>
      </c>
      <c r="C21" s="4" t="s">
        <v>214</v>
      </c>
      <c r="D21" s="4" t="s">
        <v>25</v>
      </c>
      <c r="E21" s="5">
        <v>12176</v>
      </c>
      <c r="F21" s="6">
        <v>22.860440000000001</v>
      </c>
      <c r="G21" s="7">
        <v>2.0798199999999999E-2</v>
      </c>
      <c r="H21" s="105"/>
    </row>
    <row r="22" spans="1:8" ht="17.100000000000001" customHeight="1" x14ac:dyDescent="0.2">
      <c r="A22" s="3">
        <v>16</v>
      </c>
      <c r="B22" s="4" t="s">
        <v>205</v>
      </c>
      <c r="C22" s="4" t="s">
        <v>206</v>
      </c>
      <c r="D22" s="4" t="s">
        <v>207</v>
      </c>
      <c r="E22" s="5">
        <v>3810</v>
      </c>
      <c r="F22" s="6">
        <v>22.206585</v>
      </c>
      <c r="G22" s="7">
        <v>2.0203329999999999E-2</v>
      </c>
      <c r="H22" s="105"/>
    </row>
    <row r="23" spans="1:8" ht="17.100000000000001" customHeight="1" x14ac:dyDescent="0.2">
      <c r="A23" s="3">
        <v>17</v>
      </c>
      <c r="B23" s="4" t="s">
        <v>319</v>
      </c>
      <c r="C23" s="4" t="s">
        <v>320</v>
      </c>
      <c r="D23" s="4" t="s">
        <v>953</v>
      </c>
      <c r="E23" s="5">
        <v>672</v>
      </c>
      <c r="F23" s="6">
        <v>21.63336</v>
      </c>
      <c r="G23" s="7">
        <v>1.9681819999999999E-2</v>
      </c>
      <c r="H23" s="105"/>
    </row>
    <row r="24" spans="1:8" ht="17.100000000000001" customHeight="1" x14ac:dyDescent="0.2">
      <c r="A24" s="3">
        <v>18</v>
      </c>
      <c r="B24" s="4" t="s">
        <v>321</v>
      </c>
      <c r="C24" s="4" t="s">
        <v>322</v>
      </c>
      <c r="D24" s="4" t="s">
        <v>217</v>
      </c>
      <c r="E24" s="5">
        <v>1859</v>
      </c>
      <c r="F24" s="6">
        <v>21.194458999999998</v>
      </c>
      <c r="G24" s="7">
        <v>1.9282509999999999E-2</v>
      </c>
      <c r="H24" s="105"/>
    </row>
    <row r="25" spans="1:8" ht="17.100000000000001" customHeight="1" x14ac:dyDescent="0.2">
      <c r="A25" s="3">
        <v>19</v>
      </c>
      <c r="B25" s="4" t="s">
        <v>293</v>
      </c>
      <c r="C25" s="4" t="s">
        <v>294</v>
      </c>
      <c r="D25" s="4" t="s">
        <v>19</v>
      </c>
      <c r="E25" s="5">
        <v>8132</v>
      </c>
      <c r="F25" s="6">
        <v>20.431650000000001</v>
      </c>
      <c r="G25" s="7">
        <v>1.8588509999999999E-2</v>
      </c>
      <c r="H25" s="105"/>
    </row>
    <row r="26" spans="1:8" ht="17.100000000000001" customHeight="1" x14ac:dyDescent="0.2">
      <c r="A26" s="3">
        <v>20</v>
      </c>
      <c r="B26" s="4" t="s">
        <v>323</v>
      </c>
      <c r="C26" s="4" t="s">
        <v>324</v>
      </c>
      <c r="D26" s="4" t="s">
        <v>953</v>
      </c>
      <c r="E26" s="5">
        <v>1859</v>
      </c>
      <c r="F26" s="6">
        <v>19.781618999999999</v>
      </c>
      <c r="G26" s="7">
        <v>1.7997119999999998E-2</v>
      </c>
      <c r="H26" s="105"/>
    </row>
    <row r="27" spans="1:8" ht="29.1" customHeight="1" x14ac:dyDescent="0.2">
      <c r="A27" s="3">
        <v>21</v>
      </c>
      <c r="B27" s="4" t="s">
        <v>188</v>
      </c>
      <c r="C27" s="4" t="s">
        <v>189</v>
      </c>
      <c r="D27" s="4" t="s">
        <v>190</v>
      </c>
      <c r="E27" s="5">
        <v>2059</v>
      </c>
      <c r="F27" s="6">
        <v>19.4050455</v>
      </c>
      <c r="G27" s="7">
        <v>1.765452E-2</v>
      </c>
      <c r="H27" s="105"/>
    </row>
    <row r="28" spans="1:8" ht="17.100000000000001" customHeight="1" x14ac:dyDescent="0.2">
      <c r="A28" s="3">
        <v>22</v>
      </c>
      <c r="B28" s="4" t="s">
        <v>361</v>
      </c>
      <c r="C28" s="4" t="s">
        <v>362</v>
      </c>
      <c r="D28" s="4" t="s">
        <v>25</v>
      </c>
      <c r="E28" s="5">
        <v>916</v>
      </c>
      <c r="F28" s="6">
        <v>17.752538000000001</v>
      </c>
      <c r="G28" s="7">
        <v>1.6151080000000002E-2</v>
      </c>
      <c r="H28" s="105"/>
    </row>
    <row r="29" spans="1:8" ht="17.100000000000001" customHeight="1" x14ac:dyDescent="0.2">
      <c r="A29" s="3">
        <v>23</v>
      </c>
      <c r="B29" s="4" t="s">
        <v>79</v>
      </c>
      <c r="C29" s="4" t="s">
        <v>80</v>
      </c>
      <c r="D29" s="4" t="s">
        <v>81</v>
      </c>
      <c r="E29" s="5">
        <v>587</v>
      </c>
      <c r="F29" s="6">
        <v>16.287195499999999</v>
      </c>
      <c r="G29" s="7">
        <v>1.481793E-2</v>
      </c>
      <c r="H29" s="105"/>
    </row>
    <row r="30" spans="1:8" ht="17.100000000000001" customHeight="1" x14ac:dyDescent="0.2">
      <c r="A30" s="3">
        <v>24</v>
      </c>
      <c r="B30" s="4" t="s">
        <v>422</v>
      </c>
      <c r="C30" s="4" t="s">
        <v>423</v>
      </c>
      <c r="D30" s="4" t="s">
        <v>202</v>
      </c>
      <c r="E30" s="5">
        <v>5791</v>
      </c>
      <c r="F30" s="6">
        <v>15.6357</v>
      </c>
      <c r="G30" s="7">
        <v>1.422521E-2</v>
      </c>
      <c r="H30" s="105"/>
    </row>
    <row r="31" spans="1:8" ht="17.100000000000001" customHeight="1" x14ac:dyDescent="0.2">
      <c r="A31" s="3">
        <v>25</v>
      </c>
      <c r="B31" s="4" t="s">
        <v>108</v>
      </c>
      <c r="C31" s="4" t="s">
        <v>109</v>
      </c>
      <c r="D31" s="4" t="s">
        <v>19</v>
      </c>
      <c r="E31" s="5">
        <v>3989</v>
      </c>
      <c r="F31" s="6">
        <v>14.264664</v>
      </c>
      <c r="G31" s="7">
        <v>1.2977850000000001E-2</v>
      </c>
      <c r="H31" s="105"/>
    </row>
    <row r="32" spans="1:8" ht="17.100000000000001" customHeight="1" x14ac:dyDescent="0.2">
      <c r="A32" s="3">
        <v>26</v>
      </c>
      <c r="B32" s="4" t="s">
        <v>114</v>
      </c>
      <c r="C32" s="4" t="s">
        <v>115</v>
      </c>
      <c r="D32" s="4" t="s">
        <v>116</v>
      </c>
      <c r="E32" s="5">
        <v>2990</v>
      </c>
      <c r="F32" s="6">
        <v>13.039389999999999</v>
      </c>
      <c r="G32" s="7">
        <v>1.186311E-2</v>
      </c>
      <c r="H32" s="105"/>
    </row>
    <row r="33" spans="1:8" ht="17.100000000000001" customHeight="1" x14ac:dyDescent="0.2">
      <c r="A33" s="3">
        <v>27</v>
      </c>
      <c r="B33" s="4" t="s">
        <v>325</v>
      </c>
      <c r="C33" s="4" t="s">
        <v>326</v>
      </c>
      <c r="D33" s="4" t="s">
        <v>1020</v>
      </c>
      <c r="E33" s="5">
        <v>517</v>
      </c>
      <c r="F33" s="6">
        <v>12.704241</v>
      </c>
      <c r="G33" s="7">
        <v>1.1558189999999999E-2</v>
      </c>
      <c r="H33" s="105"/>
    </row>
    <row r="34" spans="1:8" ht="17.100000000000001" customHeight="1" x14ac:dyDescent="0.2">
      <c r="A34" s="3">
        <v>28</v>
      </c>
      <c r="B34" s="4" t="s">
        <v>312</v>
      </c>
      <c r="C34" s="4" t="s">
        <v>313</v>
      </c>
      <c r="D34" s="4" t="s">
        <v>25</v>
      </c>
      <c r="E34" s="5">
        <v>1052</v>
      </c>
      <c r="F34" s="6">
        <v>12.127456</v>
      </c>
      <c r="G34" s="7">
        <v>1.103344E-2</v>
      </c>
      <c r="H34" s="105"/>
    </row>
    <row r="35" spans="1:8" ht="29.1" customHeight="1" x14ac:dyDescent="0.2">
      <c r="A35" s="3">
        <v>29</v>
      </c>
      <c r="B35" s="4" t="s">
        <v>486</v>
      </c>
      <c r="C35" s="4" t="s">
        <v>487</v>
      </c>
      <c r="D35" s="4" t="s">
        <v>488</v>
      </c>
      <c r="E35" s="5">
        <v>1535</v>
      </c>
      <c r="F35" s="6">
        <v>11.7250975</v>
      </c>
      <c r="G35" s="7">
        <v>1.0667380000000001E-2</v>
      </c>
      <c r="H35" s="105"/>
    </row>
    <row r="36" spans="1:8" ht="29.1" customHeight="1" x14ac:dyDescent="0.2">
      <c r="A36" s="3">
        <v>30</v>
      </c>
      <c r="B36" s="4" t="s">
        <v>489</v>
      </c>
      <c r="C36" s="4" t="s">
        <v>490</v>
      </c>
      <c r="D36" s="4" t="s">
        <v>22</v>
      </c>
      <c r="E36" s="5">
        <v>1266</v>
      </c>
      <c r="F36" s="6">
        <v>11.603522999999999</v>
      </c>
      <c r="G36" s="7">
        <v>1.055677E-2</v>
      </c>
      <c r="H36" s="105"/>
    </row>
    <row r="37" spans="1:8" ht="29.1" customHeight="1" x14ac:dyDescent="0.2">
      <c r="A37" s="3">
        <v>31</v>
      </c>
      <c r="B37" s="4" t="s">
        <v>491</v>
      </c>
      <c r="C37" s="4" t="s">
        <v>492</v>
      </c>
      <c r="D37" s="4" t="s">
        <v>212</v>
      </c>
      <c r="E37" s="5">
        <v>1213</v>
      </c>
      <c r="F37" s="6">
        <v>11.0146465</v>
      </c>
      <c r="G37" s="7">
        <v>1.002102E-2</v>
      </c>
      <c r="H37" s="105"/>
    </row>
    <row r="38" spans="1:8" ht="17.100000000000001" customHeight="1" x14ac:dyDescent="0.2">
      <c r="A38" s="3">
        <v>32</v>
      </c>
      <c r="B38" s="4" t="s">
        <v>57</v>
      </c>
      <c r="C38" s="4" t="s">
        <v>58</v>
      </c>
      <c r="D38" s="4" t="s">
        <v>59</v>
      </c>
      <c r="E38" s="5">
        <v>1593</v>
      </c>
      <c r="F38" s="6">
        <v>9.7443810000000006</v>
      </c>
      <c r="G38" s="7">
        <v>8.8653399999999993E-3</v>
      </c>
      <c r="H38" s="105"/>
    </row>
    <row r="39" spans="1:8" ht="17.100000000000001" customHeight="1" x14ac:dyDescent="0.2">
      <c r="A39" s="3">
        <v>33</v>
      </c>
      <c r="B39" s="4" t="s">
        <v>493</v>
      </c>
      <c r="C39" s="4" t="s">
        <v>494</v>
      </c>
      <c r="D39" s="4" t="s">
        <v>953</v>
      </c>
      <c r="E39" s="5">
        <v>1742</v>
      </c>
      <c r="F39" s="6">
        <v>6.7066999999999997</v>
      </c>
      <c r="G39" s="7">
        <v>6.1016899999999999E-3</v>
      </c>
      <c r="H39" s="105"/>
    </row>
    <row r="40" spans="1:8" ht="29.1" customHeight="1" x14ac:dyDescent="0.2">
      <c r="A40" s="3">
        <v>34</v>
      </c>
      <c r="B40" s="4" t="s">
        <v>261</v>
      </c>
      <c r="C40" s="4" t="s">
        <v>262</v>
      </c>
      <c r="D40" s="4" t="s">
        <v>212</v>
      </c>
      <c r="E40" s="5">
        <v>311</v>
      </c>
      <c r="F40" s="6">
        <v>4.2258680000000002</v>
      </c>
      <c r="G40" s="7">
        <v>3.8446499999999998E-3</v>
      </c>
      <c r="H40" s="105"/>
    </row>
    <row r="41" spans="1:8" ht="17.100000000000001" customHeight="1" x14ac:dyDescent="0.2">
      <c r="A41" s="3">
        <v>35</v>
      </c>
      <c r="B41" s="4" t="s">
        <v>495</v>
      </c>
      <c r="C41" s="40" t="s">
        <v>931</v>
      </c>
      <c r="D41" s="4" t="s">
        <v>16</v>
      </c>
      <c r="E41" s="5">
        <v>327</v>
      </c>
      <c r="F41" s="6">
        <v>1.343316</v>
      </c>
      <c r="G41" s="7">
        <v>1.22214E-3</v>
      </c>
      <c r="H41" s="105"/>
    </row>
    <row r="42" spans="1:8" ht="14.1" customHeight="1" x14ac:dyDescent="0.2">
      <c r="A42" s="1"/>
      <c r="B42" s="1"/>
      <c r="C42" s="2" t="s">
        <v>132</v>
      </c>
      <c r="D42" s="1"/>
      <c r="E42" s="1" t="s">
        <v>133</v>
      </c>
      <c r="F42" s="9">
        <v>1056.1715755000002</v>
      </c>
      <c r="G42" s="10">
        <v>0.9608944199999998</v>
      </c>
      <c r="H42" s="105"/>
    </row>
    <row r="43" spans="1:8" ht="14.1" customHeight="1" x14ac:dyDescent="0.2">
      <c r="A43" s="1"/>
      <c r="B43" s="1"/>
      <c r="C43" s="11"/>
      <c r="D43" s="1"/>
      <c r="E43" s="1"/>
      <c r="F43" s="12"/>
      <c r="G43" s="12"/>
      <c r="H43" s="105"/>
    </row>
    <row r="44" spans="1:8" ht="14.1" customHeight="1" x14ac:dyDescent="0.2">
      <c r="A44" s="1"/>
      <c r="B44" s="1"/>
      <c r="C44" s="2" t="s">
        <v>134</v>
      </c>
      <c r="D44" s="1"/>
      <c r="E44" s="1"/>
      <c r="F44" s="1"/>
      <c r="G44" s="1"/>
      <c r="H44" s="105"/>
    </row>
    <row r="45" spans="1:8" ht="14.1" customHeight="1" x14ac:dyDescent="0.2">
      <c r="A45" s="1"/>
      <c r="B45" s="1"/>
      <c r="C45" s="2" t="s">
        <v>132</v>
      </c>
      <c r="D45" s="1"/>
      <c r="E45" s="1" t="s">
        <v>133</v>
      </c>
      <c r="F45" s="13" t="s">
        <v>135</v>
      </c>
      <c r="G45" s="10">
        <v>0</v>
      </c>
      <c r="H45" s="105"/>
    </row>
    <row r="46" spans="1:8" ht="14.1" customHeight="1" x14ac:dyDescent="0.2">
      <c r="A46" s="1"/>
      <c r="B46" s="1"/>
      <c r="C46" s="11"/>
      <c r="D46" s="1"/>
      <c r="E46" s="1"/>
      <c r="F46" s="12"/>
      <c r="G46" s="12"/>
      <c r="H46" s="105"/>
    </row>
    <row r="47" spans="1:8" ht="14.1" customHeight="1" x14ac:dyDescent="0.2">
      <c r="A47" s="1"/>
      <c r="B47" s="1"/>
      <c r="C47" s="2" t="s">
        <v>136</v>
      </c>
      <c r="D47" s="1"/>
      <c r="E47" s="1"/>
      <c r="F47" s="1"/>
      <c r="G47" s="1"/>
      <c r="H47" s="105"/>
    </row>
    <row r="48" spans="1:8" ht="14.1" customHeight="1" x14ac:dyDescent="0.2">
      <c r="A48" s="1"/>
      <c r="B48" s="1"/>
      <c r="C48" s="2" t="s">
        <v>132</v>
      </c>
      <c r="D48" s="1"/>
      <c r="E48" s="1" t="s">
        <v>133</v>
      </c>
      <c r="F48" s="13" t="s">
        <v>135</v>
      </c>
      <c r="G48" s="10">
        <v>0</v>
      </c>
      <c r="H48" s="105"/>
    </row>
    <row r="49" spans="1:8" ht="14.1" customHeight="1" x14ac:dyDescent="0.2">
      <c r="A49" s="1"/>
      <c r="B49" s="1"/>
      <c r="C49" s="11"/>
      <c r="D49" s="1"/>
      <c r="E49" s="1"/>
      <c r="F49" s="12"/>
      <c r="G49" s="12"/>
      <c r="H49" s="105"/>
    </row>
    <row r="50" spans="1:8" ht="14.1" customHeight="1" x14ac:dyDescent="0.2">
      <c r="A50" s="1"/>
      <c r="B50" s="1"/>
      <c r="C50" s="2" t="s">
        <v>137</v>
      </c>
      <c r="D50" s="1"/>
      <c r="E50" s="1"/>
      <c r="F50" s="1"/>
      <c r="G50" s="1"/>
      <c r="H50" s="105"/>
    </row>
    <row r="51" spans="1:8" ht="14.1" customHeight="1" x14ac:dyDescent="0.2">
      <c r="A51" s="1"/>
      <c r="B51" s="1"/>
      <c r="C51" s="2" t="s">
        <v>132</v>
      </c>
      <c r="D51" s="1"/>
      <c r="E51" s="1" t="s">
        <v>133</v>
      </c>
      <c r="F51" s="9">
        <v>0</v>
      </c>
      <c r="G51" s="10">
        <v>0</v>
      </c>
      <c r="H51" s="105"/>
    </row>
    <row r="52" spans="1:8" ht="14.1" customHeight="1" x14ac:dyDescent="0.2">
      <c r="A52" s="1"/>
      <c r="B52" s="1"/>
      <c r="C52" s="11"/>
      <c r="D52" s="1"/>
      <c r="E52" s="1"/>
      <c r="F52" s="12"/>
      <c r="G52" s="12"/>
      <c r="H52" s="105"/>
    </row>
    <row r="53" spans="1:8" ht="14.1" customHeight="1" x14ac:dyDescent="0.2">
      <c r="A53" s="1"/>
      <c r="B53" s="1"/>
      <c r="C53" s="2" t="s">
        <v>138</v>
      </c>
      <c r="D53" s="1"/>
      <c r="E53" s="1"/>
      <c r="F53" s="12"/>
      <c r="G53" s="12"/>
      <c r="H53" s="105"/>
    </row>
    <row r="54" spans="1:8" ht="14.1" customHeight="1" x14ac:dyDescent="0.2">
      <c r="A54" s="1"/>
      <c r="B54" s="1"/>
      <c r="C54" s="2" t="s">
        <v>132</v>
      </c>
      <c r="D54" s="1"/>
      <c r="E54" s="1" t="s">
        <v>133</v>
      </c>
      <c r="F54" s="13" t="s">
        <v>135</v>
      </c>
      <c r="G54" s="10">
        <v>0</v>
      </c>
      <c r="H54" s="105"/>
    </row>
    <row r="55" spans="1:8" ht="14.1" customHeight="1" x14ac:dyDescent="0.2">
      <c r="A55" s="1"/>
      <c r="B55" s="1"/>
      <c r="C55" s="11"/>
      <c r="D55" s="1"/>
      <c r="E55" s="1"/>
      <c r="F55" s="12"/>
      <c r="G55" s="12"/>
      <c r="H55" s="105"/>
    </row>
    <row r="56" spans="1:8" ht="14.1" customHeight="1" x14ac:dyDescent="0.2">
      <c r="A56" s="1"/>
      <c r="B56" s="1"/>
      <c r="C56" s="2" t="s">
        <v>139</v>
      </c>
      <c r="D56" s="1"/>
      <c r="E56" s="1"/>
      <c r="F56" s="12"/>
      <c r="G56" s="12"/>
      <c r="H56" s="105"/>
    </row>
    <row r="57" spans="1:8" ht="14.1" customHeight="1" x14ac:dyDescent="0.2">
      <c r="A57" s="1"/>
      <c r="B57" s="1"/>
      <c r="C57" s="2" t="s">
        <v>132</v>
      </c>
      <c r="D57" s="1"/>
      <c r="E57" s="1" t="s">
        <v>133</v>
      </c>
      <c r="F57" s="13" t="s">
        <v>135</v>
      </c>
      <c r="G57" s="10">
        <v>0</v>
      </c>
      <c r="H57" s="105"/>
    </row>
    <row r="58" spans="1:8" ht="14.1" customHeight="1" x14ac:dyDescent="0.2">
      <c r="A58" s="1"/>
      <c r="B58" s="1"/>
      <c r="C58" s="11"/>
      <c r="D58" s="1"/>
      <c r="E58" s="1"/>
      <c r="F58" s="12"/>
      <c r="G58" s="12"/>
      <c r="H58" s="105"/>
    </row>
    <row r="59" spans="1:8" ht="18" customHeight="1" x14ac:dyDescent="0.2">
      <c r="A59" s="1"/>
      <c r="B59" s="1"/>
      <c r="C59" s="2" t="s">
        <v>140</v>
      </c>
      <c r="D59" s="1"/>
      <c r="E59" s="1"/>
      <c r="F59" s="9">
        <v>1056.1715755</v>
      </c>
      <c r="G59" s="10">
        <v>0.96089442000000003</v>
      </c>
      <c r="H59" s="105"/>
    </row>
    <row r="60" spans="1:8" ht="14.1" customHeight="1" x14ac:dyDescent="0.2">
      <c r="A60" s="1"/>
      <c r="B60" s="1"/>
      <c r="C60" s="11"/>
      <c r="D60" s="1"/>
      <c r="E60" s="1"/>
      <c r="F60" s="12"/>
      <c r="G60" s="12"/>
      <c r="H60" s="105"/>
    </row>
    <row r="61" spans="1:8" ht="14.1" customHeight="1" x14ac:dyDescent="0.2">
      <c r="A61" s="1"/>
      <c r="B61" s="1"/>
      <c r="C61" s="2" t="s">
        <v>141</v>
      </c>
      <c r="D61" s="1"/>
      <c r="E61" s="1"/>
      <c r="F61" s="12"/>
      <c r="G61" s="12"/>
      <c r="H61" s="105"/>
    </row>
    <row r="62" spans="1:8" ht="24" customHeight="1" x14ac:dyDescent="0.2">
      <c r="A62" s="1"/>
      <c r="B62" s="1"/>
      <c r="C62" s="2" t="s">
        <v>10</v>
      </c>
      <c r="D62" s="1"/>
      <c r="E62" s="1"/>
      <c r="F62" s="12"/>
      <c r="G62" s="12"/>
      <c r="H62" s="105"/>
    </row>
    <row r="63" spans="1:8" ht="14.1" customHeight="1" x14ac:dyDescent="0.2">
      <c r="A63" s="1"/>
      <c r="B63" s="1"/>
      <c r="C63" s="2" t="s">
        <v>132</v>
      </c>
      <c r="D63" s="1"/>
      <c r="E63" s="1" t="s">
        <v>133</v>
      </c>
      <c r="F63" s="13" t="s">
        <v>135</v>
      </c>
      <c r="G63" s="10">
        <v>0</v>
      </c>
      <c r="H63" s="105"/>
    </row>
    <row r="64" spans="1:8" ht="14.1" customHeight="1" x14ac:dyDescent="0.2">
      <c r="A64" s="1"/>
      <c r="B64" s="1"/>
      <c r="C64" s="11"/>
      <c r="D64" s="1"/>
      <c r="E64" s="1"/>
      <c r="F64" s="12"/>
      <c r="G64" s="12"/>
      <c r="H64" s="105"/>
    </row>
    <row r="65" spans="1:8" ht="14.1" customHeight="1" x14ac:dyDescent="0.2">
      <c r="A65" s="1"/>
      <c r="B65" s="1"/>
      <c r="C65" s="2" t="s">
        <v>142</v>
      </c>
      <c r="D65" s="1"/>
      <c r="E65" s="1"/>
      <c r="F65" s="1"/>
      <c r="G65" s="1"/>
      <c r="H65" s="105"/>
    </row>
    <row r="66" spans="1:8" ht="14.1" customHeight="1" x14ac:dyDescent="0.2">
      <c r="A66" s="1"/>
      <c r="B66" s="1"/>
      <c r="C66" s="2" t="s">
        <v>132</v>
      </c>
      <c r="D66" s="1"/>
      <c r="E66" s="1" t="s">
        <v>133</v>
      </c>
      <c r="F66" s="13" t="s">
        <v>135</v>
      </c>
      <c r="G66" s="10">
        <v>0</v>
      </c>
      <c r="H66" s="105"/>
    </row>
    <row r="67" spans="1:8" ht="14.1" customHeight="1" x14ac:dyDescent="0.2">
      <c r="A67" s="1"/>
      <c r="B67" s="1"/>
      <c r="C67" s="11"/>
      <c r="D67" s="1"/>
      <c r="E67" s="1"/>
      <c r="F67" s="12"/>
      <c r="G67" s="12"/>
      <c r="H67" s="105"/>
    </row>
    <row r="68" spans="1:8" ht="14.1" customHeight="1" x14ac:dyDescent="0.2">
      <c r="A68" s="1"/>
      <c r="B68" s="1"/>
      <c r="C68" s="2" t="s">
        <v>143</v>
      </c>
      <c r="D68" s="1"/>
      <c r="E68" s="1"/>
      <c r="F68" s="1"/>
      <c r="G68" s="1"/>
      <c r="H68" s="105"/>
    </row>
    <row r="69" spans="1:8" ht="14.1" customHeight="1" x14ac:dyDescent="0.2">
      <c r="A69" s="1"/>
      <c r="B69" s="1"/>
      <c r="C69" s="2" t="s">
        <v>132</v>
      </c>
      <c r="D69" s="1"/>
      <c r="E69" s="1" t="s">
        <v>133</v>
      </c>
      <c r="F69" s="13" t="s">
        <v>135</v>
      </c>
      <c r="G69" s="10">
        <v>0</v>
      </c>
      <c r="H69" s="105"/>
    </row>
    <row r="70" spans="1:8" ht="14.1" customHeight="1" x14ac:dyDescent="0.2">
      <c r="A70" s="1"/>
      <c r="B70" s="1"/>
      <c r="C70" s="11"/>
      <c r="D70" s="1"/>
      <c r="E70" s="1"/>
      <c r="F70" s="12"/>
      <c r="G70" s="12"/>
      <c r="H70" s="105"/>
    </row>
    <row r="71" spans="1:8" ht="14.1" customHeight="1" x14ac:dyDescent="0.2">
      <c r="A71" s="1"/>
      <c r="B71" s="1"/>
      <c r="C71" s="2" t="s">
        <v>144</v>
      </c>
      <c r="D71" s="1"/>
      <c r="E71" s="1"/>
      <c r="F71" s="12"/>
      <c r="G71" s="12"/>
      <c r="H71" s="105"/>
    </row>
    <row r="72" spans="1:8" ht="14.1" customHeight="1" x14ac:dyDescent="0.2">
      <c r="A72" s="1"/>
      <c r="B72" s="1"/>
      <c r="C72" s="2" t="s">
        <v>132</v>
      </c>
      <c r="D72" s="1"/>
      <c r="E72" s="1" t="s">
        <v>133</v>
      </c>
      <c r="F72" s="13" t="s">
        <v>135</v>
      </c>
      <c r="G72" s="10">
        <v>0</v>
      </c>
      <c r="H72" s="105"/>
    </row>
    <row r="73" spans="1:8" ht="14.1" customHeight="1" x14ac:dyDescent="0.2">
      <c r="A73" s="1"/>
      <c r="B73" s="1"/>
      <c r="C73" s="11"/>
      <c r="D73" s="1"/>
      <c r="E73" s="1"/>
      <c r="F73" s="12"/>
      <c r="G73" s="12"/>
      <c r="H73" s="105"/>
    </row>
    <row r="74" spans="1:8" ht="14.1" customHeight="1" x14ac:dyDescent="0.2">
      <c r="A74" s="1"/>
      <c r="B74" s="1"/>
      <c r="C74" s="2" t="s">
        <v>145</v>
      </c>
      <c r="D74" s="1"/>
      <c r="E74" s="1"/>
      <c r="F74" s="9">
        <v>0</v>
      </c>
      <c r="G74" s="10">
        <v>0</v>
      </c>
      <c r="H74" s="105"/>
    </row>
    <row r="75" spans="1:8" ht="14.1" customHeight="1" x14ac:dyDescent="0.2">
      <c r="A75" s="1"/>
      <c r="B75" s="1"/>
      <c r="C75" s="11"/>
      <c r="D75" s="1"/>
      <c r="E75" s="1"/>
      <c r="F75" s="12"/>
      <c r="G75" s="12"/>
      <c r="H75" s="105"/>
    </row>
    <row r="76" spans="1:8" ht="14.1" customHeight="1" x14ac:dyDescent="0.2">
      <c r="A76" s="1"/>
      <c r="B76" s="1"/>
      <c r="C76" s="2" t="s">
        <v>146</v>
      </c>
      <c r="D76" s="1"/>
      <c r="E76" s="1"/>
      <c r="F76" s="12"/>
      <c r="G76" s="12"/>
      <c r="H76" s="105"/>
    </row>
    <row r="77" spans="1:8" ht="14.1" customHeight="1" x14ac:dyDescent="0.2">
      <c r="A77" s="1"/>
      <c r="B77" s="1"/>
      <c r="C77" s="2" t="s">
        <v>147</v>
      </c>
      <c r="D77" s="1"/>
      <c r="E77" s="1"/>
      <c r="F77" s="12"/>
      <c r="G77" s="12"/>
      <c r="H77" s="105"/>
    </row>
    <row r="78" spans="1:8" ht="14.1" customHeight="1" x14ac:dyDescent="0.2">
      <c r="A78" s="1"/>
      <c r="B78" s="1"/>
      <c r="C78" s="2" t="s">
        <v>132</v>
      </c>
      <c r="D78" s="1"/>
      <c r="E78" s="1" t="s">
        <v>133</v>
      </c>
      <c r="F78" s="13" t="s">
        <v>135</v>
      </c>
      <c r="G78" s="10">
        <v>0</v>
      </c>
      <c r="H78" s="105"/>
    </row>
    <row r="79" spans="1:8" ht="14.1" customHeight="1" x14ac:dyDescent="0.2">
      <c r="A79" s="1"/>
      <c r="B79" s="1"/>
      <c r="C79" s="11"/>
      <c r="D79" s="1"/>
      <c r="E79" s="1"/>
      <c r="F79" s="12"/>
      <c r="G79" s="12"/>
      <c r="H79" s="105"/>
    </row>
    <row r="80" spans="1:8" ht="14.1" customHeight="1" x14ac:dyDescent="0.2">
      <c r="A80" s="1"/>
      <c r="B80" s="1"/>
      <c r="C80" s="2" t="s">
        <v>148</v>
      </c>
      <c r="D80" s="1"/>
      <c r="E80" s="1"/>
      <c r="F80" s="12"/>
      <c r="G80" s="12"/>
      <c r="H80" s="105"/>
    </row>
    <row r="81" spans="1:8" ht="14.1" customHeight="1" x14ac:dyDescent="0.2">
      <c r="A81" s="1"/>
      <c r="B81" s="1"/>
      <c r="C81" s="2" t="s">
        <v>132</v>
      </c>
      <c r="D81" s="1"/>
      <c r="E81" s="1" t="s">
        <v>133</v>
      </c>
      <c r="F81" s="13" t="s">
        <v>135</v>
      </c>
      <c r="G81" s="10">
        <v>0</v>
      </c>
      <c r="H81" s="105"/>
    </row>
    <row r="82" spans="1:8" ht="14.1" customHeight="1" x14ac:dyDescent="0.2">
      <c r="A82" s="1"/>
      <c r="B82" s="1"/>
      <c r="C82" s="11"/>
      <c r="D82" s="1"/>
      <c r="E82" s="1"/>
      <c r="F82" s="12"/>
      <c r="G82" s="12"/>
      <c r="H82" s="105"/>
    </row>
    <row r="83" spans="1:8" ht="14.1" customHeight="1" x14ac:dyDescent="0.2">
      <c r="A83" s="1"/>
      <c r="B83" s="1"/>
      <c r="C83" s="2" t="s">
        <v>149</v>
      </c>
      <c r="D83" s="1"/>
      <c r="E83" s="1"/>
      <c r="F83" s="12"/>
      <c r="G83" s="12"/>
      <c r="H83" s="105"/>
    </row>
    <row r="84" spans="1:8" ht="14.1" customHeight="1" x14ac:dyDescent="0.2">
      <c r="A84" s="1"/>
      <c r="B84" s="1"/>
      <c r="C84" s="2" t="s">
        <v>132</v>
      </c>
      <c r="D84" s="1"/>
      <c r="E84" s="1" t="s">
        <v>133</v>
      </c>
      <c r="F84" s="13" t="s">
        <v>135</v>
      </c>
      <c r="G84" s="10">
        <v>0</v>
      </c>
      <c r="H84" s="105"/>
    </row>
    <row r="85" spans="1:8" ht="14.1" customHeight="1" x14ac:dyDescent="0.2">
      <c r="A85" s="1"/>
      <c r="B85" s="1"/>
      <c r="C85" s="11"/>
      <c r="D85" s="1"/>
      <c r="E85" s="1"/>
      <c r="F85" s="12"/>
      <c r="G85" s="12"/>
      <c r="H85" s="105"/>
    </row>
    <row r="86" spans="1:8" ht="14.1" customHeight="1" x14ac:dyDescent="0.2">
      <c r="A86" s="1"/>
      <c r="B86" s="1"/>
      <c r="C86" s="2" t="s">
        <v>150</v>
      </c>
      <c r="D86" s="1"/>
      <c r="E86" s="1"/>
      <c r="F86" s="12"/>
      <c r="G86" s="12"/>
      <c r="H86" s="105"/>
    </row>
    <row r="87" spans="1:8" ht="17.100000000000001" customHeight="1" x14ac:dyDescent="0.2">
      <c r="A87" s="3">
        <v>1</v>
      </c>
      <c r="B87" s="4"/>
      <c r="C87" s="4" t="s">
        <v>151</v>
      </c>
      <c r="D87" s="4"/>
      <c r="E87" s="8"/>
      <c r="F87" s="6">
        <v>36.560051999999999</v>
      </c>
      <c r="G87" s="7">
        <v>3.3261970000000002E-2</v>
      </c>
      <c r="H87" s="105">
        <v>6.8153352377542396</v>
      </c>
    </row>
    <row r="88" spans="1:8" ht="17.100000000000001" customHeight="1" x14ac:dyDescent="0.2">
      <c r="A88" s="3">
        <v>2</v>
      </c>
      <c r="B88" s="4"/>
      <c r="C88" s="4" t="s">
        <v>152</v>
      </c>
      <c r="D88" s="4"/>
      <c r="E88" s="8"/>
      <c r="F88" s="6">
        <v>4.3384457999999997</v>
      </c>
      <c r="G88" s="7">
        <v>3.9470800000000004E-3</v>
      </c>
      <c r="H88" s="105">
        <v>6.7952403714590259</v>
      </c>
    </row>
    <row r="89" spans="1:8" ht="14.1" customHeight="1" x14ac:dyDescent="0.2">
      <c r="A89" s="1"/>
      <c r="B89" s="1"/>
      <c r="C89" s="2" t="s">
        <v>132</v>
      </c>
      <c r="D89" s="1"/>
      <c r="E89" s="1" t="s">
        <v>133</v>
      </c>
      <c r="F89" s="9">
        <v>40.898497800000001</v>
      </c>
      <c r="G89" s="10">
        <v>3.720905E-2</v>
      </c>
      <c r="H89" s="105"/>
    </row>
    <row r="90" spans="1:8" ht="14.1" customHeight="1" x14ac:dyDescent="0.2">
      <c r="A90" s="1"/>
      <c r="B90" s="1"/>
      <c r="C90" s="11"/>
      <c r="D90" s="1"/>
      <c r="E90" s="1"/>
      <c r="F90" s="12"/>
      <c r="G90" s="12"/>
      <c r="H90" s="105"/>
    </row>
    <row r="91" spans="1:8" ht="14.1" customHeight="1" x14ac:dyDescent="0.2">
      <c r="A91" s="1"/>
      <c r="B91" s="1"/>
      <c r="C91" s="2" t="s">
        <v>153</v>
      </c>
      <c r="D91" s="1"/>
      <c r="E91" s="1"/>
      <c r="F91" s="9">
        <v>40.898497800000001</v>
      </c>
      <c r="G91" s="10">
        <v>3.720905E-2</v>
      </c>
      <c r="H91" s="105"/>
    </row>
    <row r="92" spans="1:8" ht="14.1" customHeight="1" x14ac:dyDescent="0.2">
      <c r="A92" s="1"/>
      <c r="B92" s="1"/>
      <c r="C92" s="12"/>
      <c r="D92" s="1"/>
      <c r="E92" s="1"/>
      <c r="F92" s="1"/>
      <c r="G92" s="1"/>
      <c r="H92" s="105"/>
    </row>
    <row r="93" spans="1:8" ht="14.1" customHeight="1" x14ac:dyDescent="0.2">
      <c r="A93" s="1"/>
      <c r="B93" s="1"/>
      <c r="C93" s="2" t="s">
        <v>154</v>
      </c>
      <c r="D93" s="1"/>
      <c r="E93" s="1"/>
      <c r="F93" s="1"/>
      <c r="G93" s="1"/>
      <c r="H93" s="105"/>
    </row>
    <row r="94" spans="1:8" ht="14.1" customHeight="1" x14ac:dyDescent="0.2">
      <c r="A94" s="1"/>
      <c r="B94" s="1"/>
      <c r="C94" s="2" t="s">
        <v>155</v>
      </c>
      <c r="D94" s="1"/>
      <c r="E94" s="1"/>
      <c r="F94" s="1"/>
      <c r="G94" s="1"/>
      <c r="H94" s="105"/>
    </row>
    <row r="95" spans="1:8" ht="14.1" customHeight="1" x14ac:dyDescent="0.2">
      <c r="A95" s="1"/>
      <c r="B95" s="1"/>
      <c r="C95" s="2" t="s">
        <v>132</v>
      </c>
      <c r="D95" s="1"/>
      <c r="E95" s="1" t="s">
        <v>133</v>
      </c>
      <c r="F95" s="13" t="s">
        <v>135</v>
      </c>
      <c r="G95" s="10">
        <v>0</v>
      </c>
      <c r="H95" s="105"/>
    </row>
    <row r="96" spans="1:8" ht="14.1" customHeight="1" x14ac:dyDescent="0.2">
      <c r="A96" s="1"/>
      <c r="B96" s="1"/>
      <c r="C96" s="11"/>
      <c r="D96" s="1"/>
      <c r="E96" s="1"/>
      <c r="F96" s="12"/>
      <c r="G96" s="12"/>
      <c r="H96" s="105"/>
    </row>
    <row r="97" spans="1:8" ht="14.1" customHeight="1" x14ac:dyDescent="0.2">
      <c r="A97" s="1"/>
      <c r="B97" s="1"/>
      <c r="C97" s="2" t="s">
        <v>156</v>
      </c>
      <c r="D97" s="1"/>
      <c r="E97" s="1"/>
      <c r="F97" s="1"/>
      <c r="G97" s="1"/>
      <c r="H97" s="105"/>
    </row>
    <row r="98" spans="1:8" ht="14.1" customHeight="1" x14ac:dyDescent="0.2">
      <c r="A98" s="1"/>
      <c r="B98" s="1"/>
      <c r="C98" s="2" t="s">
        <v>157</v>
      </c>
      <c r="D98" s="1"/>
      <c r="E98" s="1"/>
      <c r="F98" s="1"/>
      <c r="G98" s="1"/>
      <c r="H98" s="105"/>
    </row>
    <row r="99" spans="1:8" ht="14.1" customHeight="1" x14ac:dyDescent="0.2">
      <c r="A99" s="1"/>
      <c r="B99" s="1"/>
      <c r="C99" s="2" t="s">
        <v>132</v>
      </c>
      <c r="D99" s="1"/>
      <c r="E99" s="1" t="s">
        <v>133</v>
      </c>
      <c r="F99" s="13" t="s">
        <v>135</v>
      </c>
      <c r="G99" s="10">
        <v>0</v>
      </c>
      <c r="H99" s="105"/>
    </row>
    <row r="100" spans="1:8" ht="14.1" customHeight="1" x14ac:dyDescent="0.2">
      <c r="A100" s="1"/>
      <c r="B100" s="1"/>
      <c r="C100" s="11"/>
      <c r="D100" s="1"/>
      <c r="E100" s="1"/>
      <c r="F100" s="12"/>
      <c r="G100" s="12"/>
      <c r="H100" s="105"/>
    </row>
    <row r="101" spans="1:8" ht="24" customHeight="1" x14ac:dyDescent="0.2">
      <c r="A101" s="1"/>
      <c r="B101" s="1"/>
      <c r="C101" s="2" t="s">
        <v>158</v>
      </c>
      <c r="D101" s="1"/>
      <c r="E101" s="1"/>
      <c r="F101" s="12"/>
      <c r="G101" s="12"/>
      <c r="H101" s="105"/>
    </row>
    <row r="102" spans="1:8" ht="14.1" customHeight="1" x14ac:dyDescent="0.2">
      <c r="A102" s="1"/>
      <c r="B102" s="1"/>
      <c r="C102" s="2" t="s">
        <v>132</v>
      </c>
      <c r="D102" s="1"/>
      <c r="E102" s="1" t="s">
        <v>133</v>
      </c>
      <c r="F102" s="13" t="s">
        <v>135</v>
      </c>
      <c r="G102" s="10">
        <v>0</v>
      </c>
      <c r="H102" s="105"/>
    </row>
    <row r="103" spans="1:8" ht="14.1" customHeight="1" x14ac:dyDescent="0.2">
      <c r="A103" s="1"/>
      <c r="B103" s="1"/>
      <c r="C103" s="11"/>
      <c r="D103" s="1"/>
      <c r="E103" s="1"/>
      <c r="F103" s="12"/>
      <c r="G103" s="12"/>
      <c r="H103" s="105"/>
    </row>
    <row r="104" spans="1:8" ht="14.1" customHeight="1" x14ac:dyDescent="0.2">
      <c r="A104" s="1"/>
      <c r="B104" s="4"/>
      <c r="C104" s="4"/>
      <c r="D104" s="2"/>
      <c r="E104" s="1"/>
      <c r="F104" s="4"/>
      <c r="G104" s="8"/>
      <c r="H104" s="105"/>
    </row>
    <row r="105" spans="1:8" ht="18" customHeight="1" x14ac:dyDescent="0.2">
      <c r="A105" s="8"/>
      <c r="B105" s="4"/>
      <c r="C105" s="4" t="s">
        <v>159</v>
      </c>
      <c r="D105" s="4"/>
      <c r="E105" s="8"/>
      <c r="F105" s="6">
        <v>2.08458897</v>
      </c>
      <c r="G105" s="7">
        <v>1.8965399999999999E-3</v>
      </c>
      <c r="H105" s="105"/>
    </row>
    <row r="106" spans="1:8" ht="14.1" customHeight="1" x14ac:dyDescent="0.2">
      <c r="A106" s="11"/>
      <c r="B106" s="11"/>
      <c r="C106" s="2" t="s">
        <v>160</v>
      </c>
      <c r="D106" s="12"/>
      <c r="E106" s="12"/>
      <c r="F106" s="9">
        <v>1099.15466227</v>
      </c>
      <c r="G106" s="14">
        <v>1.0000000099999999</v>
      </c>
      <c r="H106" s="105"/>
    </row>
    <row r="107" spans="1:8" ht="14.1" customHeight="1" x14ac:dyDescent="0.2">
      <c r="A107" s="15"/>
      <c r="B107" s="15"/>
      <c r="C107" s="15"/>
      <c r="D107" s="16"/>
      <c r="E107" s="16"/>
      <c r="F107" s="16"/>
      <c r="G107" s="16"/>
    </row>
    <row r="108" spans="1:8" ht="14.1" customHeight="1" x14ac:dyDescent="0.2">
      <c r="A108" s="17"/>
      <c r="B108" s="17"/>
      <c r="C108" s="17"/>
      <c r="D108" s="19"/>
      <c r="E108" s="19"/>
      <c r="F108" s="19"/>
      <c r="G108" s="19"/>
    </row>
    <row r="109" spans="1:8" ht="14.1" customHeight="1" x14ac:dyDescent="0.2">
      <c r="A109" s="17"/>
      <c r="B109" s="179" t="s">
        <v>162</v>
      </c>
      <c r="C109" s="180"/>
      <c r="D109" s="181"/>
      <c r="E109" s="20"/>
      <c r="F109" s="19"/>
      <c r="G109" s="19"/>
    </row>
    <row r="110" spans="1:8" ht="29.1" customHeight="1" x14ac:dyDescent="0.2">
      <c r="A110" s="17"/>
      <c r="B110" s="176" t="s">
        <v>163</v>
      </c>
      <c r="C110" s="177"/>
      <c r="D110" s="2" t="s">
        <v>164</v>
      </c>
      <c r="E110" s="20"/>
      <c r="F110" s="19"/>
      <c r="G110" s="19"/>
    </row>
    <row r="111" spans="1:8" ht="17.100000000000001" customHeight="1" x14ac:dyDescent="0.2">
      <c r="A111" s="17"/>
      <c r="B111" s="176" t="s">
        <v>165</v>
      </c>
      <c r="C111" s="177"/>
      <c r="D111" s="2" t="s">
        <v>164</v>
      </c>
      <c r="E111" s="20"/>
      <c r="F111" s="19"/>
      <c r="G111" s="19"/>
    </row>
    <row r="112" spans="1:8" ht="17.100000000000001" customHeight="1" x14ac:dyDescent="0.2">
      <c r="A112" s="17"/>
      <c r="B112" s="176" t="s">
        <v>166</v>
      </c>
      <c r="C112" s="177"/>
      <c r="D112" s="12" t="s">
        <v>133</v>
      </c>
      <c r="E112" s="20"/>
      <c r="F112" s="19"/>
      <c r="G112" s="19"/>
    </row>
    <row r="113" spans="1:14" ht="24" customHeight="1" x14ac:dyDescent="0.2">
      <c r="A113" s="21"/>
      <c r="B113" s="22" t="s">
        <v>133</v>
      </c>
      <c r="C113" s="22" t="s">
        <v>167</v>
      </c>
      <c r="D113" s="22" t="s">
        <v>168</v>
      </c>
      <c r="E113" s="21"/>
      <c r="F113" s="21"/>
      <c r="G113" s="21"/>
    </row>
    <row r="114" spans="1:14" ht="18" customHeight="1" x14ac:dyDescent="0.2">
      <c r="A114" s="21"/>
      <c r="B114" s="23" t="s">
        <v>169</v>
      </c>
      <c r="C114" s="22" t="s">
        <v>170</v>
      </c>
      <c r="D114" s="22" t="s">
        <v>171</v>
      </c>
      <c r="E114" s="21"/>
      <c r="F114" s="21"/>
      <c r="G114" s="21"/>
    </row>
    <row r="115" spans="1:14" ht="17.100000000000001" customHeight="1" x14ac:dyDescent="0.2">
      <c r="A115" s="21"/>
      <c r="B115" s="4" t="s">
        <v>172</v>
      </c>
      <c r="C115" s="24">
        <v>24.800599999999999</v>
      </c>
      <c r="D115" s="24">
        <v>25.7896</v>
      </c>
      <c r="E115" s="21"/>
      <c r="F115" s="18"/>
      <c r="G115" s="25"/>
    </row>
    <row r="116" spans="1:14" ht="17.100000000000001" customHeight="1" x14ac:dyDescent="0.2">
      <c r="A116" s="21"/>
      <c r="B116" s="4" t="s">
        <v>1006</v>
      </c>
      <c r="C116" s="24">
        <v>20.0943</v>
      </c>
      <c r="D116" s="24">
        <v>20.895600000000002</v>
      </c>
      <c r="E116" s="21"/>
      <c r="F116" s="18"/>
      <c r="G116" s="25"/>
    </row>
    <row r="117" spans="1:14" ht="17.100000000000001" customHeight="1" x14ac:dyDescent="0.2">
      <c r="A117" s="21"/>
      <c r="B117" s="4" t="s">
        <v>173</v>
      </c>
      <c r="C117" s="24">
        <v>24.173500000000001</v>
      </c>
      <c r="D117" s="24">
        <v>25.1325</v>
      </c>
      <c r="E117" s="21"/>
      <c r="F117" s="18"/>
      <c r="G117" s="25"/>
    </row>
    <row r="118" spans="1:14" ht="17.100000000000001" customHeight="1" x14ac:dyDescent="0.2">
      <c r="A118" s="21"/>
      <c r="B118" s="4" t="s">
        <v>1007</v>
      </c>
      <c r="C118" s="24">
        <v>19.510999999999999</v>
      </c>
      <c r="D118" s="24">
        <v>20.2851</v>
      </c>
      <c r="E118" s="21"/>
      <c r="F118" s="18"/>
      <c r="G118" s="25"/>
    </row>
    <row r="119" spans="1:14" ht="14.1" customHeight="1" x14ac:dyDescent="0.2">
      <c r="A119" s="21"/>
      <c r="B119" s="21"/>
      <c r="C119" s="21"/>
      <c r="D119" s="21"/>
      <c r="E119" s="21"/>
      <c r="F119" s="21"/>
      <c r="G119" s="21"/>
    </row>
    <row r="120" spans="1:14" ht="17.100000000000001" customHeight="1" x14ac:dyDescent="0.2">
      <c r="A120" s="21"/>
      <c r="B120" s="176" t="s">
        <v>1008</v>
      </c>
      <c r="C120" s="177"/>
      <c r="D120" s="2" t="s">
        <v>164</v>
      </c>
      <c r="E120" s="21"/>
      <c r="F120" s="21"/>
      <c r="G120" s="21"/>
    </row>
    <row r="121" spans="1:14" ht="18" customHeight="1" x14ac:dyDescent="0.2">
      <c r="A121" s="21"/>
      <c r="B121" s="26"/>
      <c r="C121" s="26"/>
      <c r="D121" s="26"/>
      <c r="E121" s="21"/>
      <c r="F121" s="21"/>
      <c r="G121" s="21"/>
    </row>
    <row r="122" spans="1:14" ht="29.1" customHeight="1" x14ac:dyDescent="0.2">
      <c r="A122" s="21"/>
      <c r="B122" s="176" t="s">
        <v>174</v>
      </c>
      <c r="C122" s="177"/>
      <c r="D122" s="2" t="s">
        <v>164</v>
      </c>
      <c r="E122" s="27"/>
      <c r="F122" s="21"/>
      <c r="G122" s="21"/>
    </row>
    <row r="123" spans="1:14" ht="29.1" customHeight="1" x14ac:dyDescent="0.2">
      <c r="A123" s="21"/>
      <c r="B123" s="176" t="s">
        <v>175</v>
      </c>
      <c r="C123" s="177"/>
      <c r="D123" s="2" t="s">
        <v>164</v>
      </c>
      <c r="E123" s="27"/>
      <c r="F123" s="21"/>
      <c r="G123" s="21"/>
    </row>
    <row r="124" spans="1:14" ht="17.100000000000001" customHeight="1" x14ac:dyDescent="0.2">
      <c r="A124" s="21"/>
      <c r="B124" s="176" t="s">
        <v>176</v>
      </c>
      <c r="C124" s="177"/>
      <c r="D124" s="2" t="s">
        <v>164</v>
      </c>
      <c r="E124" s="27"/>
      <c r="F124" s="21"/>
      <c r="G124" s="21"/>
    </row>
    <row r="125" spans="1:14" ht="17.100000000000001" customHeight="1" x14ac:dyDescent="0.2">
      <c r="A125" s="21"/>
      <c r="B125" s="176" t="s">
        <v>177</v>
      </c>
      <c r="C125" s="177"/>
      <c r="D125" s="60">
        <v>4.7402300655328786E-2</v>
      </c>
      <c r="E125" s="21"/>
      <c r="F125" s="18"/>
      <c r="G125" s="25"/>
    </row>
    <row r="127" spans="1:14" x14ac:dyDescent="0.2">
      <c r="J127" s="162"/>
      <c r="K127" s="162"/>
      <c r="L127" s="162"/>
      <c r="M127" s="162"/>
      <c r="N127" s="162"/>
    </row>
  </sheetData>
  <mergeCells count="13">
    <mergeCell ref="B125:C125"/>
    <mergeCell ref="B111:C111"/>
    <mergeCell ref="B112:C112"/>
    <mergeCell ref="B120:C120"/>
    <mergeCell ref="B122:C122"/>
    <mergeCell ref="B123:C123"/>
    <mergeCell ref="B124:C124"/>
    <mergeCell ref="J2:N2"/>
    <mergeCell ref="B110:C110"/>
    <mergeCell ref="B109:D109"/>
    <mergeCell ref="A1:H1"/>
    <mergeCell ref="A2:H2"/>
    <mergeCell ref="A3:H3"/>
  </mergeCells>
  <hyperlinks>
    <hyperlink ref="I1" location="Index!B16" display="Index" xr:uid="{DFFB4DE0-DABD-4FB3-9F3B-0BEFC20962C8}"/>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N156"/>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182" t="s">
        <v>0</v>
      </c>
      <c r="B1" s="182"/>
      <c r="C1" s="182"/>
      <c r="D1" s="182"/>
      <c r="E1" s="182"/>
      <c r="F1" s="182"/>
      <c r="G1" s="182"/>
      <c r="H1" s="182"/>
      <c r="I1" s="159" t="s">
        <v>1044</v>
      </c>
    </row>
    <row r="2" spans="1:14" ht="17.100000000000001" customHeight="1" x14ac:dyDescent="0.2">
      <c r="A2" s="183" t="s">
        <v>497</v>
      </c>
      <c r="B2" s="184"/>
      <c r="C2" s="184"/>
      <c r="D2" s="184"/>
      <c r="E2" s="184"/>
      <c r="F2" s="184"/>
      <c r="G2" s="184"/>
      <c r="H2" s="185"/>
      <c r="J2" s="175" t="s">
        <v>1045</v>
      </c>
      <c r="K2" s="175"/>
      <c r="L2" s="175"/>
      <c r="M2" s="175"/>
      <c r="N2" s="175"/>
    </row>
    <row r="3" spans="1:14" ht="21" customHeight="1" x14ac:dyDescent="0.2">
      <c r="A3" s="182" t="s">
        <v>1016</v>
      </c>
      <c r="B3" s="182"/>
      <c r="C3" s="182"/>
      <c r="D3" s="182"/>
      <c r="E3" s="182"/>
      <c r="F3" s="182"/>
      <c r="G3" s="182"/>
      <c r="H3" s="182"/>
    </row>
    <row r="4" spans="1:14" ht="30" x14ac:dyDescent="0.2">
      <c r="A4" s="107" t="s">
        <v>2</v>
      </c>
      <c r="B4" s="107" t="s">
        <v>3</v>
      </c>
      <c r="C4" s="107" t="s">
        <v>4</v>
      </c>
      <c r="D4" s="107" t="s">
        <v>5</v>
      </c>
      <c r="E4" s="107" t="s">
        <v>6</v>
      </c>
      <c r="F4" s="107" t="s">
        <v>7</v>
      </c>
      <c r="G4" s="107" t="s">
        <v>8</v>
      </c>
      <c r="H4" s="104" t="s">
        <v>1003</v>
      </c>
      <c r="I4" s="108"/>
      <c r="J4" s="108"/>
      <c r="K4" s="108"/>
      <c r="L4" s="108"/>
      <c r="M4" s="108"/>
      <c r="N4" s="108"/>
    </row>
    <row r="5" spans="1:14" ht="14.1" customHeight="1" x14ac:dyDescent="0.2">
      <c r="A5" s="1"/>
      <c r="B5" s="1"/>
      <c r="C5" s="2" t="s">
        <v>9</v>
      </c>
      <c r="D5" s="1"/>
      <c r="E5" s="1"/>
      <c r="F5" s="1"/>
      <c r="G5" s="1"/>
      <c r="H5" s="105"/>
    </row>
    <row r="6" spans="1:14" ht="24" customHeight="1" x14ac:dyDescent="0.2">
      <c r="A6" s="1"/>
      <c r="B6" s="1"/>
      <c r="C6" s="2" t="s">
        <v>10</v>
      </c>
      <c r="D6" s="1"/>
      <c r="E6" s="1"/>
      <c r="F6" s="1"/>
      <c r="G6" s="1"/>
      <c r="H6" s="105"/>
    </row>
    <row r="7" spans="1:14" ht="17.100000000000001" customHeight="1" x14ac:dyDescent="0.2">
      <c r="A7" s="3">
        <v>1</v>
      </c>
      <c r="B7" s="4" t="s">
        <v>383</v>
      </c>
      <c r="C7" s="4" t="s">
        <v>384</v>
      </c>
      <c r="D7" s="4" t="s">
        <v>25</v>
      </c>
      <c r="E7" s="5">
        <v>405695</v>
      </c>
      <c r="F7" s="6">
        <v>279.72670249999999</v>
      </c>
      <c r="G7" s="7">
        <v>4.2100800000000001E-2</v>
      </c>
      <c r="H7" s="105"/>
    </row>
    <row r="8" spans="1:14" ht="17.100000000000001" customHeight="1" x14ac:dyDescent="0.2">
      <c r="A8" s="3">
        <v>2</v>
      </c>
      <c r="B8" s="4" t="s">
        <v>420</v>
      </c>
      <c r="C8" s="4" t="s">
        <v>421</v>
      </c>
      <c r="D8" s="4" t="s">
        <v>121</v>
      </c>
      <c r="E8" s="5">
        <v>11132</v>
      </c>
      <c r="F8" s="6">
        <v>271.938062</v>
      </c>
      <c r="G8" s="7">
        <v>4.0928560000000003E-2</v>
      </c>
      <c r="H8" s="105"/>
    </row>
    <row r="9" spans="1:14" ht="17.100000000000001" customHeight="1" x14ac:dyDescent="0.2">
      <c r="A9" s="3">
        <v>3</v>
      </c>
      <c r="B9" s="4" t="s">
        <v>63</v>
      </c>
      <c r="C9" s="4" t="s">
        <v>64</v>
      </c>
      <c r="D9" s="4" t="s">
        <v>33</v>
      </c>
      <c r="E9" s="5">
        <v>13792</v>
      </c>
      <c r="F9" s="6">
        <v>261.365296</v>
      </c>
      <c r="G9" s="7">
        <v>3.9337280000000002E-2</v>
      </c>
      <c r="H9" s="105"/>
    </row>
    <row r="10" spans="1:14" ht="17.100000000000001" customHeight="1" x14ac:dyDescent="0.2">
      <c r="A10" s="3">
        <v>4</v>
      </c>
      <c r="B10" s="4" t="s">
        <v>31</v>
      </c>
      <c r="C10" s="4" t="s">
        <v>32</v>
      </c>
      <c r="D10" s="4" t="s">
        <v>33</v>
      </c>
      <c r="E10" s="5">
        <v>11388</v>
      </c>
      <c r="F10" s="6">
        <v>256.29263400000002</v>
      </c>
      <c r="G10" s="7">
        <v>3.857381E-2</v>
      </c>
      <c r="H10" s="105"/>
    </row>
    <row r="11" spans="1:14" ht="29.1" customHeight="1" x14ac:dyDescent="0.2">
      <c r="A11" s="3">
        <v>5</v>
      </c>
      <c r="B11" s="4" t="s">
        <v>181</v>
      </c>
      <c r="C11" s="4" t="s">
        <v>182</v>
      </c>
      <c r="D11" s="4" t="s">
        <v>183</v>
      </c>
      <c r="E11" s="5">
        <v>4936</v>
      </c>
      <c r="F11" s="6">
        <v>239.40587199999999</v>
      </c>
      <c r="G11" s="7">
        <v>3.603224E-2</v>
      </c>
      <c r="H11" s="105"/>
    </row>
    <row r="12" spans="1:14" ht="17.100000000000001" customHeight="1" x14ac:dyDescent="0.2">
      <c r="A12" s="3">
        <v>6</v>
      </c>
      <c r="B12" s="4" t="s">
        <v>99</v>
      </c>
      <c r="C12" s="4" t="s">
        <v>100</v>
      </c>
      <c r="D12" s="4" t="s">
        <v>91</v>
      </c>
      <c r="E12" s="5">
        <v>40332</v>
      </c>
      <c r="F12" s="6">
        <v>202.42630800000001</v>
      </c>
      <c r="G12" s="7">
        <v>3.046656E-2</v>
      </c>
      <c r="H12" s="105"/>
    </row>
    <row r="13" spans="1:14" ht="17.100000000000001" customHeight="1" x14ac:dyDescent="0.2">
      <c r="A13" s="3">
        <v>7</v>
      </c>
      <c r="B13" s="4" t="s">
        <v>119</v>
      </c>
      <c r="C13" s="4" t="s">
        <v>120</v>
      </c>
      <c r="D13" s="4" t="s">
        <v>121</v>
      </c>
      <c r="E13" s="5">
        <v>66709</v>
      </c>
      <c r="F13" s="6">
        <v>198.99294699999999</v>
      </c>
      <c r="G13" s="7">
        <v>2.994981E-2</v>
      </c>
      <c r="H13" s="105"/>
      <c r="J13" s="161" t="s">
        <v>1054</v>
      </c>
    </row>
    <row r="14" spans="1:14" ht="17.100000000000001" customHeight="1" x14ac:dyDescent="0.2">
      <c r="A14" s="3">
        <v>8</v>
      </c>
      <c r="B14" s="4" t="s">
        <v>327</v>
      </c>
      <c r="C14" s="4" t="s">
        <v>328</v>
      </c>
      <c r="D14" s="4" t="s">
        <v>329</v>
      </c>
      <c r="E14" s="5">
        <v>16028</v>
      </c>
      <c r="F14" s="6">
        <v>197.15241399999999</v>
      </c>
      <c r="G14" s="7">
        <v>2.9672799999999999E-2</v>
      </c>
      <c r="H14" s="105"/>
    </row>
    <row r="15" spans="1:14" ht="17.100000000000001" customHeight="1" x14ac:dyDescent="0.2">
      <c r="A15" s="3">
        <v>9</v>
      </c>
      <c r="B15" s="4" t="s">
        <v>422</v>
      </c>
      <c r="C15" s="4" t="s">
        <v>423</v>
      </c>
      <c r="D15" s="4" t="s">
        <v>202</v>
      </c>
      <c r="E15" s="5">
        <v>72529</v>
      </c>
      <c r="F15" s="6">
        <v>195.82830000000001</v>
      </c>
      <c r="G15" s="7">
        <v>2.9473510000000001E-2</v>
      </c>
      <c r="H15" s="105"/>
    </row>
    <row r="16" spans="1:14" ht="17.100000000000001" customHeight="1" x14ac:dyDescent="0.2">
      <c r="A16" s="3">
        <v>10</v>
      </c>
      <c r="B16" s="4" t="s">
        <v>37</v>
      </c>
      <c r="C16" s="4" t="s">
        <v>38</v>
      </c>
      <c r="D16" s="4" t="s">
        <v>33</v>
      </c>
      <c r="E16" s="5">
        <v>10116</v>
      </c>
      <c r="F16" s="6">
        <v>192.24446399999999</v>
      </c>
      <c r="G16" s="7">
        <v>2.8934120000000001E-2</v>
      </c>
      <c r="H16" s="105"/>
    </row>
    <row r="17" spans="1:8" ht="17.100000000000001" customHeight="1" x14ac:dyDescent="0.2">
      <c r="A17" s="3">
        <v>11</v>
      </c>
      <c r="B17" s="4" t="s">
        <v>438</v>
      </c>
      <c r="C17" s="4" t="s">
        <v>439</v>
      </c>
      <c r="D17" s="4" t="s">
        <v>121</v>
      </c>
      <c r="E17" s="5">
        <v>36805</v>
      </c>
      <c r="F17" s="6">
        <v>191.75405000000001</v>
      </c>
      <c r="G17" s="7">
        <v>2.886031E-2</v>
      </c>
      <c r="H17" s="105"/>
    </row>
    <row r="18" spans="1:8" ht="17.100000000000001" customHeight="1" x14ac:dyDescent="0.2">
      <c r="A18" s="3">
        <v>12</v>
      </c>
      <c r="B18" s="4" t="s">
        <v>418</v>
      </c>
      <c r="C18" s="4" t="s">
        <v>419</v>
      </c>
      <c r="D18" s="4" t="s">
        <v>953</v>
      </c>
      <c r="E18" s="5">
        <v>17726</v>
      </c>
      <c r="F18" s="6">
        <v>162.511968</v>
      </c>
      <c r="G18" s="7">
        <v>2.4459169999999999E-2</v>
      </c>
      <c r="H18" s="105"/>
    </row>
    <row r="19" spans="1:8" ht="17.100000000000001" customHeight="1" x14ac:dyDescent="0.2">
      <c r="A19" s="3">
        <v>13</v>
      </c>
      <c r="B19" s="4" t="s">
        <v>385</v>
      </c>
      <c r="C19" s="4" t="s">
        <v>386</v>
      </c>
      <c r="D19" s="4" t="s">
        <v>128</v>
      </c>
      <c r="E19" s="5">
        <v>26340</v>
      </c>
      <c r="F19" s="6">
        <v>162.43878000000001</v>
      </c>
      <c r="G19" s="7">
        <v>2.444816E-2</v>
      </c>
      <c r="H19" s="105"/>
    </row>
    <row r="20" spans="1:8" ht="17.100000000000001" customHeight="1" x14ac:dyDescent="0.2">
      <c r="A20" s="3">
        <v>14</v>
      </c>
      <c r="B20" s="4" t="s">
        <v>306</v>
      </c>
      <c r="C20" s="4" t="s">
        <v>307</v>
      </c>
      <c r="D20" s="4" t="s">
        <v>232</v>
      </c>
      <c r="E20" s="5">
        <v>11089</v>
      </c>
      <c r="F20" s="6">
        <v>162.2487035</v>
      </c>
      <c r="G20" s="7">
        <v>2.4419550000000002E-2</v>
      </c>
      <c r="H20" s="105"/>
    </row>
    <row r="21" spans="1:8" ht="29.1" customHeight="1" x14ac:dyDescent="0.2">
      <c r="A21" s="3">
        <v>15</v>
      </c>
      <c r="B21" s="4" t="s">
        <v>428</v>
      </c>
      <c r="C21" s="4" t="s">
        <v>429</v>
      </c>
      <c r="D21" s="4" t="s">
        <v>62</v>
      </c>
      <c r="E21" s="5">
        <v>6607</v>
      </c>
      <c r="F21" s="6">
        <v>150.784954</v>
      </c>
      <c r="G21" s="7">
        <v>2.2694180000000001E-2</v>
      </c>
      <c r="H21" s="105"/>
    </row>
    <row r="22" spans="1:8" ht="17.100000000000001" customHeight="1" x14ac:dyDescent="0.2">
      <c r="A22" s="3">
        <v>16</v>
      </c>
      <c r="B22" s="4" t="s">
        <v>314</v>
      </c>
      <c r="C22" s="4" t="s">
        <v>315</v>
      </c>
      <c r="D22" s="4" t="s">
        <v>223</v>
      </c>
      <c r="E22" s="5">
        <v>12562</v>
      </c>
      <c r="F22" s="6">
        <v>150.222677</v>
      </c>
      <c r="G22" s="7">
        <v>2.2609549999999999E-2</v>
      </c>
      <c r="H22" s="105"/>
    </row>
    <row r="23" spans="1:8" ht="17.100000000000001" customHeight="1" x14ac:dyDescent="0.2">
      <c r="A23" s="3">
        <v>17</v>
      </c>
      <c r="B23" s="4" t="s">
        <v>464</v>
      </c>
      <c r="C23" s="4" t="s">
        <v>465</v>
      </c>
      <c r="D23" s="4" t="s">
        <v>223</v>
      </c>
      <c r="E23" s="5">
        <v>65797</v>
      </c>
      <c r="F23" s="6">
        <v>146.7602085</v>
      </c>
      <c r="G23" s="7">
        <v>2.2088429999999999E-2</v>
      </c>
      <c r="H23" s="105"/>
    </row>
    <row r="24" spans="1:8" ht="17.100000000000001" customHeight="1" x14ac:dyDescent="0.2">
      <c r="A24" s="3">
        <v>18</v>
      </c>
      <c r="B24" s="4" t="s">
        <v>415</v>
      </c>
      <c r="C24" s="4" t="s">
        <v>416</v>
      </c>
      <c r="D24" s="4" t="s">
        <v>223</v>
      </c>
      <c r="E24" s="5">
        <v>18794</v>
      </c>
      <c r="F24" s="6">
        <v>143.63314500000001</v>
      </c>
      <c r="G24" s="7">
        <v>2.161778E-2</v>
      </c>
      <c r="H24" s="105"/>
    </row>
    <row r="25" spans="1:8" ht="17.100000000000001" customHeight="1" x14ac:dyDescent="0.2">
      <c r="A25" s="3">
        <v>19</v>
      </c>
      <c r="B25" s="4" t="s">
        <v>424</v>
      </c>
      <c r="C25" s="4" t="s">
        <v>425</v>
      </c>
      <c r="D25" s="4" t="s">
        <v>329</v>
      </c>
      <c r="E25" s="5">
        <v>9937</v>
      </c>
      <c r="F25" s="6">
        <v>139.058378</v>
      </c>
      <c r="G25" s="7">
        <v>2.092925E-2</v>
      </c>
      <c r="H25" s="105"/>
    </row>
    <row r="26" spans="1:8" ht="29.1" customHeight="1" x14ac:dyDescent="0.2">
      <c r="A26" s="3">
        <v>20</v>
      </c>
      <c r="B26" s="4" t="s">
        <v>73</v>
      </c>
      <c r="C26" s="4" t="s">
        <v>74</v>
      </c>
      <c r="D26" s="4" t="s">
        <v>22</v>
      </c>
      <c r="E26" s="5">
        <v>4362</v>
      </c>
      <c r="F26" s="6">
        <v>130.567746</v>
      </c>
      <c r="G26" s="7">
        <v>1.9651350000000001E-2</v>
      </c>
      <c r="H26" s="105"/>
    </row>
    <row r="27" spans="1:8" ht="17.100000000000001" customHeight="1" x14ac:dyDescent="0.2">
      <c r="A27" s="3">
        <v>21</v>
      </c>
      <c r="B27" s="4" t="s">
        <v>436</v>
      </c>
      <c r="C27" s="4" t="s">
        <v>437</v>
      </c>
      <c r="D27" s="4" t="s">
        <v>253</v>
      </c>
      <c r="E27" s="5">
        <v>76918</v>
      </c>
      <c r="F27" s="6">
        <v>130.106797</v>
      </c>
      <c r="G27" s="7">
        <v>1.9581970000000001E-2</v>
      </c>
      <c r="H27" s="105"/>
    </row>
    <row r="28" spans="1:8" ht="17.100000000000001" customHeight="1" x14ac:dyDescent="0.2">
      <c r="A28" s="3">
        <v>22</v>
      </c>
      <c r="B28" s="4" t="s">
        <v>478</v>
      </c>
      <c r="C28" s="4" t="s">
        <v>479</v>
      </c>
      <c r="D28" s="4" t="s">
        <v>121</v>
      </c>
      <c r="E28" s="5">
        <v>11192</v>
      </c>
      <c r="F28" s="6">
        <v>122.826604</v>
      </c>
      <c r="G28" s="7">
        <v>1.8486249999999999E-2</v>
      </c>
      <c r="H28" s="105"/>
    </row>
    <row r="29" spans="1:8" ht="29.1" customHeight="1" x14ac:dyDescent="0.2">
      <c r="A29" s="3">
        <v>23</v>
      </c>
      <c r="B29" s="4" t="s">
        <v>387</v>
      </c>
      <c r="C29" s="4" t="s">
        <v>388</v>
      </c>
      <c r="D29" s="4" t="s">
        <v>212</v>
      </c>
      <c r="E29" s="5">
        <v>36034</v>
      </c>
      <c r="F29" s="6">
        <v>116.551973</v>
      </c>
      <c r="G29" s="7">
        <v>1.7541879999999999E-2</v>
      </c>
      <c r="H29" s="105"/>
    </row>
    <row r="30" spans="1:8" ht="29.1" customHeight="1" x14ac:dyDescent="0.2">
      <c r="A30" s="3">
        <v>24</v>
      </c>
      <c r="B30" s="4" t="s">
        <v>95</v>
      </c>
      <c r="C30" s="4" t="s">
        <v>96</v>
      </c>
      <c r="D30" s="4" t="s">
        <v>41</v>
      </c>
      <c r="E30" s="5">
        <v>6367</v>
      </c>
      <c r="F30" s="6">
        <v>115.420976</v>
      </c>
      <c r="G30" s="7">
        <v>1.7371660000000001E-2</v>
      </c>
      <c r="H30" s="105"/>
    </row>
    <row r="31" spans="1:8" ht="29.1" customHeight="1" x14ac:dyDescent="0.2">
      <c r="A31" s="3">
        <v>25</v>
      </c>
      <c r="B31" s="4" t="s">
        <v>498</v>
      </c>
      <c r="C31" s="4" t="s">
        <v>499</v>
      </c>
      <c r="D31" s="4" t="s">
        <v>488</v>
      </c>
      <c r="E31" s="5">
        <v>18519</v>
      </c>
      <c r="F31" s="6">
        <v>111.5306775</v>
      </c>
      <c r="G31" s="7">
        <v>1.6786140000000001E-2</v>
      </c>
      <c r="H31" s="105"/>
    </row>
    <row r="32" spans="1:8" ht="29.1" customHeight="1" x14ac:dyDescent="0.2">
      <c r="A32" s="3">
        <v>26</v>
      </c>
      <c r="B32" s="4" t="s">
        <v>395</v>
      </c>
      <c r="C32" s="4" t="s">
        <v>396</v>
      </c>
      <c r="D32" s="4" t="s">
        <v>397</v>
      </c>
      <c r="E32" s="5">
        <v>96813</v>
      </c>
      <c r="F32" s="6">
        <v>111.3833565</v>
      </c>
      <c r="G32" s="7">
        <v>1.676397E-2</v>
      </c>
      <c r="H32" s="105"/>
    </row>
    <row r="33" spans="1:8" ht="17.100000000000001" customHeight="1" x14ac:dyDescent="0.2">
      <c r="A33" s="3">
        <v>27</v>
      </c>
      <c r="B33" s="4" t="s">
        <v>413</v>
      </c>
      <c r="C33" s="4" t="s">
        <v>414</v>
      </c>
      <c r="D33" s="4" t="s">
        <v>128</v>
      </c>
      <c r="E33" s="5">
        <v>124593</v>
      </c>
      <c r="F33" s="6">
        <v>109.39265399999999</v>
      </c>
      <c r="G33" s="7">
        <v>1.6464349999999999E-2</v>
      </c>
      <c r="H33" s="105"/>
    </row>
    <row r="34" spans="1:8" ht="17.100000000000001" customHeight="1" x14ac:dyDescent="0.2">
      <c r="A34" s="3">
        <v>28</v>
      </c>
      <c r="B34" s="4" t="s">
        <v>378</v>
      </c>
      <c r="C34" s="4" t="s">
        <v>379</v>
      </c>
      <c r="D34" s="4" t="s">
        <v>128</v>
      </c>
      <c r="E34" s="5">
        <v>15340</v>
      </c>
      <c r="F34" s="6">
        <v>109.28982999999999</v>
      </c>
      <c r="G34" s="7">
        <v>1.6448879999999999E-2</v>
      </c>
      <c r="H34" s="105"/>
    </row>
    <row r="35" spans="1:8" ht="17.100000000000001" customHeight="1" x14ac:dyDescent="0.2">
      <c r="A35" s="3">
        <v>29</v>
      </c>
      <c r="B35" s="4" t="s">
        <v>380</v>
      </c>
      <c r="C35" s="4" t="s">
        <v>381</v>
      </c>
      <c r="D35" s="4" t="s">
        <v>954</v>
      </c>
      <c r="E35" s="5">
        <v>10759</v>
      </c>
      <c r="F35" s="6">
        <v>100.23622349999999</v>
      </c>
      <c r="G35" s="7">
        <v>1.5086240000000001E-2</v>
      </c>
      <c r="H35" s="105"/>
    </row>
    <row r="36" spans="1:8" ht="29.1" customHeight="1" x14ac:dyDescent="0.2">
      <c r="A36" s="3">
        <v>30</v>
      </c>
      <c r="B36" s="4" t="s">
        <v>391</v>
      </c>
      <c r="C36" s="4" t="s">
        <v>392</v>
      </c>
      <c r="D36" s="4" t="s">
        <v>190</v>
      </c>
      <c r="E36" s="5">
        <v>18954</v>
      </c>
      <c r="F36" s="6">
        <v>95.262804000000003</v>
      </c>
      <c r="G36" s="7">
        <v>1.433771E-2</v>
      </c>
      <c r="H36" s="105"/>
    </row>
    <row r="37" spans="1:8" ht="17.100000000000001" customHeight="1" x14ac:dyDescent="0.2">
      <c r="A37" s="3">
        <v>31</v>
      </c>
      <c r="B37" s="4" t="s">
        <v>400</v>
      </c>
      <c r="C37" s="4" t="s">
        <v>401</v>
      </c>
      <c r="D37" s="4" t="s">
        <v>13</v>
      </c>
      <c r="E37" s="5">
        <v>104608</v>
      </c>
      <c r="F37" s="6">
        <v>91.898128</v>
      </c>
      <c r="G37" s="7">
        <v>1.3831299999999999E-2</v>
      </c>
      <c r="H37" s="105"/>
    </row>
    <row r="38" spans="1:8" ht="17.100000000000001" customHeight="1" x14ac:dyDescent="0.2">
      <c r="A38" s="3">
        <v>32</v>
      </c>
      <c r="B38" s="4" t="s">
        <v>446</v>
      </c>
      <c r="C38" s="4" t="s">
        <v>447</v>
      </c>
      <c r="D38" s="4" t="s">
        <v>121</v>
      </c>
      <c r="E38" s="5">
        <v>20256</v>
      </c>
      <c r="F38" s="6">
        <v>84.011759999999995</v>
      </c>
      <c r="G38" s="7">
        <v>1.264435E-2</v>
      </c>
      <c r="H38" s="105"/>
    </row>
    <row r="39" spans="1:8" ht="29.1" customHeight="1" x14ac:dyDescent="0.2">
      <c r="A39" s="3">
        <v>33</v>
      </c>
      <c r="B39" s="4" t="s">
        <v>500</v>
      </c>
      <c r="C39" s="4" t="s">
        <v>501</v>
      </c>
      <c r="D39" s="4" t="s">
        <v>41</v>
      </c>
      <c r="E39" s="5">
        <v>26477</v>
      </c>
      <c r="F39" s="6">
        <v>81.549160000000001</v>
      </c>
      <c r="G39" s="7">
        <v>1.227371E-2</v>
      </c>
      <c r="H39" s="105"/>
    </row>
    <row r="40" spans="1:8" ht="29.1" customHeight="1" x14ac:dyDescent="0.2">
      <c r="A40" s="3">
        <v>34</v>
      </c>
      <c r="B40" s="4" t="s">
        <v>404</v>
      </c>
      <c r="C40" s="4" t="s">
        <v>405</v>
      </c>
      <c r="D40" s="4" t="s">
        <v>406</v>
      </c>
      <c r="E40" s="5">
        <v>18905</v>
      </c>
      <c r="F40" s="6">
        <v>72.718082499999994</v>
      </c>
      <c r="G40" s="7">
        <v>1.0944570000000001E-2</v>
      </c>
      <c r="H40" s="105"/>
    </row>
    <row r="41" spans="1:8" ht="17.100000000000001" customHeight="1" x14ac:dyDescent="0.2">
      <c r="A41" s="3">
        <v>35</v>
      </c>
      <c r="B41" s="4" t="s">
        <v>440</v>
      </c>
      <c r="C41" s="4" t="s">
        <v>441</v>
      </c>
      <c r="D41" s="4" t="s">
        <v>271</v>
      </c>
      <c r="E41" s="5">
        <v>11065</v>
      </c>
      <c r="F41" s="6">
        <v>70.926649999999995</v>
      </c>
      <c r="G41" s="7">
        <v>1.0674950000000001E-2</v>
      </c>
      <c r="H41" s="105"/>
    </row>
    <row r="42" spans="1:8" ht="29.1" customHeight="1" x14ac:dyDescent="0.2">
      <c r="A42" s="3">
        <v>36</v>
      </c>
      <c r="B42" s="4" t="s">
        <v>472</v>
      </c>
      <c r="C42" s="4" t="s">
        <v>473</v>
      </c>
      <c r="D42" s="4" t="s">
        <v>474</v>
      </c>
      <c r="E42" s="5">
        <v>14860</v>
      </c>
      <c r="F42" s="6">
        <v>67.375240000000005</v>
      </c>
      <c r="G42" s="7">
        <v>1.0140440000000001E-2</v>
      </c>
      <c r="H42" s="105"/>
    </row>
    <row r="43" spans="1:8" ht="17.100000000000001" customHeight="1" x14ac:dyDescent="0.2">
      <c r="A43" s="3">
        <v>37</v>
      </c>
      <c r="B43" s="4" t="s">
        <v>434</v>
      </c>
      <c r="C43" s="4" t="s">
        <v>435</v>
      </c>
      <c r="D43" s="4" t="s">
        <v>13</v>
      </c>
      <c r="E43" s="5">
        <v>12092</v>
      </c>
      <c r="F43" s="6">
        <v>65.290754000000007</v>
      </c>
      <c r="G43" s="7">
        <v>9.8267100000000007E-3</v>
      </c>
      <c r="H43" s="105"/>
    </row>
    <row r="44" spans="1:8" ht="17.100000000000001" customHeight="1" x14ac:dyDescent="0.2">
      <c r="A44" s="3">
        <v>38</v>
      </c>
      <c r="B44" s="4" t="s">
        <v>480</v>
      </c>
      <c r="C44" s="4" t="s">
        <v>481</v>
      </c>
      <c r="D44" s="4" t="s">
        <v>954</v>
      </c>
      <c r="E44" s="5">
        <v>5499</v>
      </c>
      <c r="F44" s="6">
        <v>64.885450500000005</v>
      </c>
      <c r="G44" s="7">
        <v>9.7657100000000004E-3</v>
      </c>
      <c r="H44" s="105"/>
    </row>
    <row r="45" spans="1:8" ht="17.100000000000001" customHeight="1" x14ac:dyDescent="0.2">
      <c r="A45" s="3">
        <v>39</v>
      </c>
      <c r="B45" s="4" t="s">
        <v>482</v>
      </c>
      <c r="C45" s="4" t="s">
        <v>483</v>
      </c>
      <c r="D45" s="4" t="s">
        <v>33</v>
      </c>
      <c r="E45" s="5">
        <v>9276</v>
      </c>
      <c r="F45" s="6">
        <v>59.547282000000003</v>
      </c>
      <c r="G45" s="7">
        <v>8.9622799999999996E-3</v>
      </c>
      <c r="H45" s="105"/>
    </row>
    <row r="46" spans="1:8" ht="29.1" customHeight="1" x14ac:dyDescent="0.2">
      <c r="A46" s="3">
        <v>40</v>
      </c>
      <c r="B46" s="4" t="s">
        <v>448</v>
      </c>
      <c r="C46" s="4" t="s">
        <v>449</v>
      </c>
      <c r="D46" s="4" t="s">
        <v>121</v>
      </c>
      <c r="E46" s="5">
        <v>5046</v>
      </c>
      <c r="F46" s="6">
        <v>56.580798000000001</v>
      </c>
      <c r="G46" s="7">
        <v>8.5158000000000005E-3</v>
      </c>
      <c r="H46" s="105"/>
    </row>
    <row r="47" spans="1:8" ht="17.100000000000001" customHeight="1" x14ac:dyDescent="0.2">
      <c r="A47" s="3">
        <v>41</v>
      </c>
      <c r="B47" s="4" t="s">
        <v>241</v>
      </c>
      <c r="C47" s="4" t="s">
        <v>242</v>
      </c>
      <c r="D47" s="4" t="s">
        <v>81</v>
      </c>
      <c r="E47" s="5">
        <v>1412</v>
      </c>
      <c r="F47" s="6">
        <v>56.48</v>
      </c>
      <c r="G47" s="7">
        <v>8.5006300000000003E-3</v>
      </c>
      <c r="H47" s="105"/>
    </row>
    <row r="48" spans="1:8" ht="17.100000000000001" customHeight="1" x14ac:dyDescent="0.2">
      <c r="A48" s="3">
        <v>42</v>
      </c>
      <c r="B48" s="4" t="s">
        <v>402</v>
      </c>
      <c r="C48" s="4" t="s">
        <v>403</v>
      </c>
      <c r="D48" s="4" t="s">
        <v>207</v>
      </c>
      <c r="E48" s="5">
        <v>7165</v>
      </c>
      <c r="F48" s="6">
        <v>55.743699999999997</v>
      </c>
      <c r="G48" s="7">
        <v>8.3898099999999993E-3</v>
      </c>
      <c r="H48" s="105"/>
    </row>
    <row r="49" spans="1:8" ht="17.100000000000001" customHeight="1" x14ac:dyDescent="0.2">
      <c r="A49" s="3">
        <v>43</v>
      </c>
      <c r="B49" s="4" t="s">
        <v>444</v>
      </c>
      <c r="C49" s="4" t="s">
        <v>445</v>
      </c>
      <c r="D49" s="4" t="s">
        <v>25</v>
      </c>
      <c r="E49" s="5">
        <v>19088</v>
      </c>
      <c r="F49" s="6">
        <v>53.350960000000001</v>
      </c>
      <c r="G49" s="7">
        <v>8.0296900000000008E-3</v>
      </c>
      <c r="H49" s="105"/>
    </row>
    <row r="50" spans="1:8" ht="29.1" customHeight="1" x14ac:dyDescent="0.2">
      <c r="A50" s="3">
        <v>44</v>
      </c>
      <c r="B50" s="4" t="s">
        <v>407</v>
      </c>
      <c r="C50" s="4" t="s">
        <v>408</v>
      </c>
      <c r="D50" s="4" t="s">
        <v>212</v>
      </c>
      <c r="E50" s="5">
        <v>1052</v>
      </c>
      <c r="F50" s="6">
        <v>49.010576</v>
      </c>
      <c r="G50" s="7">
        <v>7.3764299999999998E-3</v>
      </c>
      <c r="H50" s="105"/>
    </row>
    <row r="51" spans="1:8" ht="17.100000000000001" customHeight="1" x14ac:dyDescent="0.2">
      <c r="A51" s="3">
        <v>45</v>
      </c>
      <c r="B51" s="4" t="s">
        <v>454</v>
      </c>
      <c r="C51" s="4" t="s">
        <v>455</v>
      </c>
      <c r="D51" s="4" t="s">
        <v>121</v>
      </c>
      <c r="E51" s="5">
        <v>20113</v>
      </c>
      <c r="F51" s="6">
        <v>45.415154000000001</v>
      </c>
      <c r="G51" s="7">
        <v>6.8352999999999999E-3</v>
      </c>
      <c r="H51" s="105"/>
    </row>
    <row r="52" spans="1:8" ht="17.100000000000001" customHeight="1" x14ac:dyDescent="0.2">
      <c r="A52" s="3">
        <v>46</v>
      </c>
      <c r="B52" s="4" t="s">
        <v>411</v>
      </c>
      <c r="C52" s="4" t="s">
        <v>412</v>
      </c>
      <c r="D52" s="4" t="s">
        <v>81</v>
      </c>
      <c r="E52" s="5">
        <v>4681</v>
      </c>
      <c r="F52" s="6">
        <v>38.669741000000002</v>
      </c>
      <c r="G52" s="7">
        <v>5.8200600000000002E-3</v>
      </c>
      <c r="H52" s="105"/>
    </row>
    <row r="53" spans="1:8" ht="17.100000000000001" customHeight="1" x14ac:dyDescent="0.2">
      <c r="A53" s="3">
        <v>47</v>
      </c>
      <c r="B53" s="4" t="s">
        <v>450</v>
      </c>
      <c r="C53" s="4" t="s">
        <v>451</v>
      </c>
      <c r="D53" s="4" t="s">
        <v>33</v>
      </c>
      <c r="E53" s="5">
        <v>4443</v>
      </c>
      <c r="F53" s="6">
        <v>37.070170500000003</v>
      </c>
      <c r="G53" s="7">
        <v>5.5793199999999996E-3</v>
      </c>
      <c r="H53" s="105"/>
    </row>
    <row r="54" spans="1:8" ht="17.100000000000001" customHeight="1" x14ac:dyDescent="0.2">
      <c r="A54" s="3">
        <v>48</v>
      </c>
      <c r="B54" s="4" t="s">
        <v>502</v>
      </c>
      <c r="C54" s="4" t="s">
        <v>503</v>
      </c>
      <c r="D54" s="4" t="s">
        <v>121</v>
      </c>
      <c r="E54" s="5">
        <v>1940</v>
      </c>
      <c r="F54" s="6">
        <v>36.241140000000001</v>
      </c>
      <c r="G54" s="7">
        <v>5.4545399999999999E-3</v>
      </c>
      <c r="H54" s="105"/>
    </row>
    <row r="55" spans="1:8" ht="17.100000000000001" customHeight="1" x14ac:dyDescent="0.2">
      <c r="A55" s="3">
        <v>49</v>
      </c>
      <c r="B55" s="4" t="s">
        <v>452</v>
      </c>
      <c r="C55" s="4" t="s">
        <v>453</v>
      </c>
      <c r="D55" s="4" t="s">
        <v>91</v>
      </c>
      <c r="E55" s="5">
        <v>45125</v>
      </c>
      <c r="F55" s="6">
        <v>29.421500000000002</v>
      </c>
      <c r="G55" s="7">
        <v>4.4281399999999997E-3</v>
      </c>
      <c r="H55" s="105"/>
    </row>
    <row r="56" spans="1:8" ht="29.1" customHeight="1" x14ac:dyDescent="0.2">
      <c r="A56" s="3">
        <v>50</v>
      </c>
      <c r="B56" s="4" t="s">
        <v>459</v>
      </c>
      <c r="C56" s="4" t="s">
        <v>460</v>
      </c>
      <c r="D56" s="4" t="s">
        <v>183</v>
      </c>
      <c r="E56" s="5">
        <v>3563</v>
      </c>
      <c r="F56" s="6">
        <v>17.9450495</v>
      </c>
      <c r="G56" s="7">
        <v>2.7008499999999999E-3</v>
      </c>
      <c r="H56" s="105"/>
    </row>
    <row r="57" spans="1:8" ht="29.1" customHeight="1" x14ac:dyDescent="0.2">
      <c r="A57" s="3">
        <v>51</v>
      </c>
      <c r="B57" s="4" t="s">
        <v>409</v>
      </c>
      <c r="C57" s="4" t="s">
        <v>410</v>
      </c>
      <c r="D57" s="4" t="s">
        <v>212</v>
      </c>
      <c r="E57" s="5">
        <v>3593</v>
      </c>
      <c r="F57" s="6">
        <v>9.1298130000000004</v>
      </c>
      <c r="G57" s="7">
        <v>1.3741000000000001E-3</v>
      </c>
      <c r="H57" s="105"/>
    </row>
    <row r="58" spans="1:8" ht="14.1" customHeight="1" x14ac:dyDescent="0.2">
      <c r="A58" s="1"/>
      <c r="B58" s="1"/>
      <c r="C58" s="2" t="s">
        <v>132</v>
      </c>
      <c r="D58" s="1"/>
      <c r="E58" s="1" t="s">
        <v>133</v>
      </c>
      <c r="F58" s="9">
        <v>6100.6166139999996</v>
      </c>
      <c r="G58" s="10">
        <v>0.91818496000000005</v>
      </c>
      <c r="H58" s="105"/>
    </row>
    <row r="59" spans="1:8" ht="14.1" customHeight="1" x14ac:dyDescent="0.2">
      <c r="A59" s="1"/>
      <c r="B59" s="1"/>
      <c r="C59" s="11"/>
      <c r="D59" s="1"/>
      <c r="E59" s="1"/>
      <c r="F59" s="12"/>
      <c r="G59" s="12"/>
      <c r="H59" s="105"/>
    </row>
    <row r="60" spans="1:8" ht="14.1" customHeight="1" x14ac:dyDescent="0.2">
      <c r="A60" s="1"/>
      <c r="B60" s="1"/>
      <c r="C60" s="2" t="s">
        <v>134</v>
      </c>
      <c r="D60" s="1"/>
      <c r="E60" s="1"/>
      <c r="F60" s="1"/>
      <c r="G60" s="1"/>
      <c r="H60" s="105"/>
    </row>
    <row r="61" spans="1:8" ht="14.1" customHeight="1" x14ac:dyDescent="0.2">
      <c r="A61" s="1"/>
      <c r="B61" s="1"/>
      <c r="C61" s="2" t="s">
        <v>132</v>
      </c>
      <c r="D61" s="1"/>
      <c r="E61" s="1" t="s">
        <v>133</v>
      </c>
      <c r="F61" s="13" t="s">
        <v>135</v>
      </c>
      <c r="G61" s="10">
        <v>0</v>
      </c>
      <c r="H61" s="105"/>
    </row>
    <row r="62" spans="1:8" ht="14.1" customHeight="1" x14ac:dyDescent="0.2">
      <c r="A62" s="1"/>
      <c r="B62" s="1"/>
      <c r="C62" s="11"/>
      <c r="D62" s="1"/>
      <c r="E62" s="1"/>
      <c r="F62" s="12"/>
      <c r="G62" s="12"/>
      <c r="H62" s="105"/>
    </row>
    <row r="63" spans="1:8" ht="14.1" customHeight="1" x14ac:dyDescent="0.2">
      <c r="A63" s="1"/>
      <c r="B63" s="1"/>
      <c r="C63" s="2" t="s">
        <v>136</v>
      </c>
      <c r="D63" s="1"/>
      <c r="E63" s="1"/>
      <c r="F63" s="1"/>
      <c r="G63" s="1"/>
      <c r="H63" s="105"/>
    </row>
    <row r="64" spans="1:8" ht="14.1" customHeight="1" x14ac:dyDescent="0.2">
      <c r="A64" s="1"/>
      <c r="B64" s="1"/>
      <c r="C64" s="2" t="s">
        <v>132</v>
      </c>
      <c r="D64" s="1"/>
      <c r="E64" s="1" t="s">
        <v>133</v>
      </c>
      <c r="F64" s="13" t="s">
        <v>135</v>
      </c>
      <c r="G64" s="10">
        <v>0</v>
      </c>
      <c r="H64" s="105"/>
    </row>
    <row r="65" spans="1:8" ht="14.1" customHeight="1" x14ac:dyDescent="0.2">
      <c r="A65" s="1"/>
      <c r="B65" s="1"/>
      <c r="C65" s="11"/>
      <c r="D65" s="1"/>
      <c r="E65" s="1"/>
      <c r="F65" s="12"/>
      <c r="G65" s="12"/>
      <c r="H65" s="105"/>
    </row>
    <row r="66" spans="1:8" ht="14.1" customHeight="1" x14ac:dyDescent="0.2">
      <c r="A66" s="1"/>
      <c r="B66" s="1"/>
      <c r="C66" s="2" t="s">
        <v>137</v>
      </c>
      <c r="D66" s="1"/>
      <c r="E66" s="1"/>
      <c r="F66" s="1"/>
      <c r="G66" s="1"/>
      <c r="H66" s="105"/>
    </row>
    <row r="67" spans="1:8" ht="25.5" customHeight="1" x14ac:dyDescent="0.2">
      <c r="A67" s="3">
        <v>1</v>
      </c>
      <c r="B67" s="40" t="s">
        <v>923</v>
      </c>
      <c r="C67" s="40" t="s">
        <v>924</v>
      </c>
      <c r="D67" s="4" t="s">
        <v>81</v>
      </c>
      <c r="E67" s="5">
        <v>163792</v>
      </c>
      <c r="F67" s="6">
        <v>16.556422944000001</v>
      </c>
      <c r="G67" s="7">
        <v>2.4918599999999998E-3</v>
      </c>
      <c r="H67" s="105"/>
    </row>
    <row r="68" spans="1:8" ht="14.1" customHeight="1" x14ac:dyDescent="0.2">
      <c r="A68" s="1"/>
      <c r="B68" s="1"/>
      <c r="C68" s="2" t="s">
        <v>132</v>
      </c>
      <c r="D68" s="1"/>
      <c r="E68" s="1" t="s">
        <v>133</v>
      </c>
      <c r="F68" s="9">
        <v>16.556422944000001</v>
      </c>
      <c r="G68" s="10">
        <v>2.4918599999999998E-3</v>
      </c>
      <c r="H68" s="105"/>
    </row>
    <row r="69" spans="1:8" ht="14.1" customHeight="1" x14ac:dyDescent="0.2">
      <c r="A69" s="1"/>
      <c r="B69" s="1"/>
      <c r="C69" s="11"/>
      <c r="D69" s="1"/>
      <c r="E69" s="1"/>
      <c r="F69" s="12"/>
      <c r="G69" s="12"/>
      <c r="H69" s="105"/>
    </row>
    <row r="70" spans="1:8" ht="14.1" customHeight="1" x14ac:dyDescent="0.2">
      <c r="A70" s="1"/>
      <c r="B70" s="1"/>
      <c r="C70" s="2" t="s">
        <v>138</v>
      </c>
      <c r="D70" s="1"/>
      <c r="E70" s="1"/>
      <c r="F70" s="12"/>
      <c r="G70" s="12"/>
      <c r="H70" s="105"/>
    </row>
    <row r="71" spans="1:8" ht="14.1" customHeight="1" x14ac:dyDescent="0.2">
      <c r="A71" s="1"/>
      <c r="B71" s="1"/>
      <c r="C71" s="2" t="s">
        <v>132</v>
      </c>
      <c r="D71" s="1"/>
      <c r="E71" s="1" t="s">
        <v>133</v>
      </c>
      <c r="F71" s="13" t="s">
        <v>135</v>
      </c>
      <c r="G71" s="10">
        <v>0</v>
      </c>
      <c r="H71" s="105"/>
    </row>
    <row r="72" spans="1:8" ht="14.1" customHeight="1" x14ac:dyDescent="0.2">
      <c r="A72" s="1"/>
      <c r="B72" s="1"/>
      <c r="C72" s="11"/>
      <c r="D72" s="1"/>
      <c r="E72" s="1"/>
      <c r="F72" s="12"/>
      <c r="G72" s="12"/>
      <c r="H72" s="105"/>
    </row>
    <row r="73" spans="1:8" ht="14.1" customHeight="1" x14ac:dyDescent="0.2">
      <c r="A73" s="1"/>
      <c r="B73" s="1"/>
      <c r="C73" s="2" t="s">
        <v>139</v>
      </c>
      <c r="D73" s="1"/>
      <c r="E73" s="1"/>
      <c r="F73" s="12"/>
      <c r="G73" s="12"/>
      <c r="H73" s="105"/>
    </row>
    <row r="74" spans="1:8" ht="14.1" customHeight="1" x14ac:dyDescent="0.2">
      <c r="A74" s="1"/>
      <c r="B74" s="1"/>
      <c r="C74" s="2" t="s">
        <v>132</v>
      </c>
      <c r="D74" s="1"/>
      <c r="E74" s="1" t="s">
        <v>133</v>
      </c>
      <c r="F74" s="13" t="s">
        <v>135</v>
      </c>
      <c r="G74" s="10">
        <v>0</v>
      </c>
      <c r="H74" s="105"/>
    </row>
    <row r="75" spans="1:8" ht="14.1" customHeight="1" x14ac:dyDescent="0.2">
      <c r="A75" s="1"/>
      <c r="B75" s="1"/>
      <c r="C75" s="11"/>
      <c r="D75" s="1"/>
      <c r="E75" s="1"/>
      <c r="F75" s="12"/>
      <c r="G75" s="12"/>
      <c r="H75" s="105"/>
    </row>
    <row r="76" spans="1:8" ht="18" customHeight="1" x14ac:dyDescent="0.2">
      <c r="A76" s="1"/>
      <c r="B76" s="1"/>
      <c r="C76" s="2" t="s">
        <v>140</v>
      </c>
      <c r="D76" s="1"/>
      <c r="E76" s="1"/>
      <c r="F76" s="9">
        <v>6117.1730369440002</v>
      </c>
      <c r="G76" s="10">
        <v>0.92067681999999995</v>
      </c>
      <c r="H76" s="105"/>
    </row>
    <row r="77" spans="1:8" ht="14.1" customHeight="1" x14ac:dyDescent="0.2">
      <c r="A77" s="1"/>
      <c r="B77" s="1"/>
      <c r="C77" s="11"/>
      <c r="D77" s="1"/>
      <c r="E77" s="1"/>
      <c r="F77" s="12"/>
      <c r="G77" s="12"/>
      <c r="H77" s="105"/>
    </row>
    <row r="78" spans="1:8" ht="14.1" customHeight="1" x14ac:dyDescent="0.2">
      <c r="A78" s="1"/>
      <c r="B78" s="1"/>
      <c r="C78" s="2" t="s">
        <v>141</v>
      </c>
      <c r="D78" s="1"/>
      <c r="E78" s="1"/>
      <c r="F78" s="12"/>
      <c r="G78" s="12"/>
      <c r="H78" s="105"/>
    </row>
    <row r="79" spans="1:8" ht="24" customHeight="1" x14ac:dyDescent="0.2">
      <c r="A79" s="1"/>
      <c r="B79" s="1"/>
      <c r="C79" s="2" t="s">
        <v>10</v>
      </c>
      <c r="D79" s="1"/>
      <c r="E79" s="1"/>
      <c r="F79" s="12"/>
      <c r="G79" s="12"/>
      <c r="H79" s="105"/>
    </row>
    <row r="80" spans="1:8" ht="14.1" customHeight="1" x14ac:dyDescent="0.2">
      <c r="A80" s="1"/>
      <c r="B80" s="1"/>
      <c r="C80" s="2" t="s">
        <v>132</v>
      </c>
      <c r="D80" s="1"/>
      <c r="E80" s="1" t="s">
        <v>133</v>
      </c>
      <c r="F80" s="13" t="s">
        <v>135</v>
      </c>
      <c r="G80" s="10">
        <v>0</v>
      </c>
      <c r="H80" s="105"/>
    </row>
    <row r="81" spans="1:8" ht="14.1" customHeight="1" x14ac:dyDescent="0.2">
      <c r="A81" s="1"/>
      <c r="B81" s="1"/>
      <c r="C81" s="11"/>
      <c r="D81" s="1"/>
      <c r="E81" s="1"/>
      <c r="F81" s="12"/>
      <c r="G81" s="12"/>
      <c r="H81" s="105"/>
    </row>
    <row r="82" spans="1:8" ht="14.1" customHeight="1" x14ac:dyDescent="0.2">
      <c r="A82" s="1"/>
      <c r="B82" s="1"/>
      <c r="C82" s="2" t="s">
        <v>142</v>
      </c>
      <c r="D82" s="1"/>
      <c r="E82" s="1"/>
      <c r="F82" s="1"/>
      <c r="G82" s="1"/>
      <c r="H82" s="105"/>
    </row>
    <row r="83" spans="1:8" ht="14.1" customHeight="1" x14ac:dyDescent="0.2">
      <c r="A83" s="1"/>
      <c r="B83" s="1"/>
      <c r="C83" s="2" t="s">
        <v>132</v>
      </c>
      <c r="D83" s="1"/>
      <c r="E83" s="1" t="s">
        <v>133</v>
      </c>
      <c r="F83" s="13" t="s">
        <v>135</v>
      </c>
      <c r="G83" s="10">
        <v>0</v>
      </c>
      <c r="H83" s="105"/>
    </row>
    <row r="84" spans="1:8" ht="14.1" customHeight="1" x14ac:dyDescent="0.2">
      <c r="A84" s="1"/>
      <c r="B84" s="1"/>
      <c r="C84" s="11"/>
      <c r="D84" s="1"/>
      <c r="E84" s="1"/>
      <c r="F84" s="12"/>
      <c r="G84" s="12"/>
      <c r="H84" s="105"/>
    </row>
    <row r="85" spans="1:8" ht="14.1" customHeight="1" x14ac:dyDescent="0.2">
      <c r="A85" s="1"/>
      <c r="B85" s="1"/>
      <c r="C85" s="2" t="s">
        <v>143</v>
      </c>
      <c r="D85" s="1"/>
      <c r="E85" s="1"/>
      <c r="F85" s="1"/>
      <c r="G85" s="1"/>
      <c r="H85" s="105"/>
    </row>
    <row r="86" spans="1:8" ht="14.1" customHeight="1" x14ac:dyDescent="0.2">
      <c r="A86" s="1"/>
      <c r="B86" s="1"/>
      <c r="C86" s="2" t="s">
        <v>132</v>
      </c>
      <c r="D86" s="1"/>
      <c r="E86" s="1" t="s">
        <v>133</v>
      </c>
      <c r="F86" s="13" t="s">
        <v>135</v>
      </c>
      <c r="G86" s="10">
        <v>0</v>
      </c>
      <c r="H86" s="105"/>
    </row>
    <row r="87" spans="1:8" ht="14.1" customHeight="1" x14ac:dyDescent="0.2">
      <c r="A87" s="1"/>
      <c r="B87" s="1"/>
      <c r="C87" s="11"/>
      <c r="D87" s="1"/>
      <c r="E87" s="1"/>
      <c r="F87" s="12"/>
      <c r="G87" s="12"/>
      <c r="H87" s="105"/>
    </row>
    <row r="88" spans="1:8" ht="14.1" customHeight="1" x14ac:dyDescent="0.2">
      <c r="A88" s="1"/>
      <c r="B88" s="1"/>
      <c r="C88" s="2" t="s">
        <v>144</v>
      </c>
      <c r="D88" s="1"/>
      <c r="E88" s="1"/>
      <c r="F88" s="12"/>
      <c r="G88" s="12"/>
      <c r="H88" s="105"/>
    </row>
    <row r="89" spans="1:8" ht="14.1" customHeight="1" x14ac:dyDescent="0.2">
      <c r="A89" s="1"/>
      <c r="B89" s="1"/>
      <c r="C89" s="2" t="s">
        <v>132</v>
      </c>
      <c r="D89" s="1"/>
      <c r="E89" s="1" t="s">
        <v>133</v>
      </c>
      <c r="F89" s="13" t="s">
        <v>135</v>
      </c>
      <c r="G89" s="10">
        <v>0</v>
      </c>
      <c r="H89" s="105"/>
    </row>
    <row r="90" spans="1:8" ht="14.1" customHeight="1" x14ac:dyDescent="0.2">
      <c r="A90" s="1"/>
      <c r="B90" s="1"/>
      <c r="C90" s="11"/>
      <c r="D90" s="1"/>
      <c r="E90" s="1"/>
      <c r="F90" s="12"/>
      <c r="G90" s="12"/>
      <c r="H90" s="105"/>
    </row>
    <row r="91" spans="1:8" ht="14.1" customHeight="1" x14ac:dyDescent="0.2">
      <c r="A91" s="1"/>
      <c r="B91" s="1"/>
      <c r="C91" s="2" t="s">
        <v>145</v>
      </c>
      <c r="D91" s="1"/>
      <c r="E91" s="1"/>
      <c r="F91" s="9">
        <v>0</v>
      </c>
      <c r="G91" s="10">
        <v>0</v>
      </c>
      <c r="H91" s="105"/>
    </row>
    <row r="92" spans="1:8" ht="14.1" customHeight="1" x14ac:dyDescent="0.2">
      <c r="A92" s="1"/>
      <c r="B92" s="1"/>
      <c r="C92" s="11"/>
      <c r="D92" s="1"/>
      <c r="E92" s="1"/>
      <c r="F92" s="12"/>
      <c r="G92" s="12"/>
      <c r="H92" s="105"/>
    </row>
    <row r="93" spans="1:8" ht="14.1" customHeight="1" x14ac:dyDescent="0.2">
      <c r="A93" s="1"/>
      <c r="B93" s="1"/>
      <c r="C93" s="2" t="s">
        <v>146</v>
      </c>
      <c r="D93" s="1"/>
      <c r="E93" s="1"/>
      <c r="F93" s="12"/>
      <c r="G93" s="12"/>
      <c r="H93" s="105"/>
    </row>
    <row r="94" spans="1:8" ht="14.1" customHeight="1" x14ac:dyDescent="0.2">
      <c r="A94" s="1"/>
      <c r="B94" s="1"/>
      <c r="C94" s="2" t="s">
        <v>147</v>
      </c>
      <c r="D94" s="1"/>
      <c r="E94" s="1"/>
      <c r="F94" s="12"/>
      <c r="G94" s="12"/>
      <c r="H94" s="105"/>
    </row>
    <row r="95" spans="1:8" ht="14.1" customHeight="1" x14ac:dyDescent="0.2">
      <c r="A95" s="1"/>
      <c r="B95" s="1"/>
      <c r="C95" s="2" t="s">
        <v>132</v>
      </c>
      <c r="D95" s="1"/>
      <c r="E95" s="1" t="s">
        <v>133</v>
      </c>
      <c r="F95" s="13" t="s">
        <v>135</v>
      </c>
      <c r="G95" s="10">
        <v>0</v>
      </c>
      <c r="H95" s="105"/>
    </row>
    <row r="96" spans="1:8" ht="14.1" customHeight="1" x14ac:dyDescent="0.2">
      <c r="A96" s="1"/>
      <c r="B96" s="1"/>
      <c r="C96" s="11"/>
      <c r="D96" s="1"/>
      <c r="E96" s="1"/>
      <c r="F96" s="12"/>
      <c r="G96" s="12"/>
      <c r="H96" s="105"/>
    </row>
    <row r="97" spans="1:8" ht="14.1" customHeight="1" x14ac:dyDescent="0.2">
      <c r="A97" s="1"/>
      <c r="B97" s="1"/>
      <c r="C97" s="2" t="s">
        <v>148</v>
      </c>
      <c r="D97" s="1"/>
      <c r="E97" s="1"/>
      <c r="F97" s="12"/>
      <c r="G97" s="12"/>
      <c r="H97" s="105"/>
    </row>
    <row r="98" spans="1:8" ht="14.1" customHeight="1" x14ac:dyDescent="0.2">
      <c r="A98" s="1"/>
      <c r="B98" s="1"/>
      <c r="C98" s="2" t="s">
        <v>132</v>
      </c>
      <c r="D98" s="1"/>
      <c r="E98" s="1" t="s">
        <v>133</v>
      </c>
      <c r="F98" s="13" t="s">
        <v>135</v>
      </c>
      <c r="G98" s="10">
        <v>0</v>
      </c>
      <c r="H98" s="105"/>
    </row>
    <row r="99" spans="1:8" ht="14.1" customHeight="1" x14ac:dyDescent="0.2">
      <c r="A99" s="1"/>
      <c r="B99" s="1"/>
      <c r="C99" s="11"/>
      <c r="D99" s="1"/>
      <c r="E99" s="1"/>
      <c r="F99" s="12"/>
      <c r="G99" s="12"/>
      <c r="H99" s="105"/>
    </row>
    <row r="100" spans="1:8" ht="14.1" customHeight="1" x14ac:dyDescent="0.2">
      <c r="A100" s="1"/>
      <c r="B100" s="1"/>
      <c r="C100" s="2" t="s">
        <v>149</v>
      </c>
      <c r="D100" s="1"/>
      <c r="E100" s="1"/>
      <c r="F100" s="12"/>
      <c r="G100" s="12"/>
      <c r="H100" s="105"/>
    </row>
    <row r="101" spans="1:8" ht="14.1" customHeight="1" x14ac:dyDescent="0.2">
      <c r="A101" s="1"/>
      <c r="B101" s="1"/>
      <c r="C101" s="2" t="s">
        <v>132</v>
      </c>
      <c r="D101" s="1"/>
      <c r="E101" s="1" t="s">
        <v>133</v>
      </c>
      <c r="F101" s="13" t="s">
        <v>135</v>
      </c>
      <c r="G101" s="10">
        <v>0</v>
      </c>
      <c r="H101" s="105"/>
    </row>
    <row r="102" spans="1:8" ht="14.1" customHeight="1" x14ac:dyDescent="0.2">
      <c r="A102" s="1"/>
      <c r="B102" s="1"/>
      <c r="C102" s="11"/>
      <c r="D102" s="1"/>
      <c r="E102" s="1"/>
      <c r="F102" s="12"/>
      <c r="G102" s="12"/>
      <c r="H102" s="105"/>
    </row>
    <row r="103" spans="1:8" ht="14.1" customHeight="1" x14ac:dyDescent="0.2">
      <c r="A103" s="1"/>
      <c r="B103" s="1"/>
      <c r="C103" s="2" t="s">
        <v>150</v>
      </c>
      <c r="D103" s="1"/>
      <c r="E103" s="1"/>
      <c r="F103" s="12"/>
      <c r="G103" s="12"/>
      <c r="H103" s="105"/>
    </row>
    <row r="104" spans="1:8" ht="17.100000000000001" customHeight="1" x14ac:dyDescent="0.2">
      <c r="A104" s="3">
        <v>1</v>
      </c>
      <c r="B104" s="4"/>
      <c r="C104" s="4" t="s">
        <v>151</v>
      </c>
      <c r="D104" s="4"/>
      <c r="E104" s="8"/>
      <c r="F104" s="6">
        <v>472.98703139999998</v>
      </c>
      <c r="G104" s="7">
        <v>7.1187819999999999E-2</v>
      </c>
      <c r="H104" s="105">
        <v>6.8153352377542396</v>
      </c>
    </row>
    <row r="105" spans="1:8" ht="17.100000000000001" customHeight="1" x14ac:dyDescent="0.2">
      <c r="A105" s="3">
        <v>2</v>
      </c>
      <c r="B105" s="4"/>
      <c r="C105" s="4" t="s">
        <v>152</v>
      </c>
      <c r="D105" s="4"/>
      <c r="E105" s="8"/>
      <c r="F105" s="6">
        <v>56.127592499999999</v>
      </c>
      <c r="G105" s="7">
        <v>8.4475899999999996E-3</v>
      </c>
      <c r="H105" s="105">
        <v>6.7952403714590259</v>
      </c>
    </row>
    <row r="106" spans="1:8" ht="14.1" customHeight="1" x14ac:dyDescent="0.2">
      <c r="A106" s="1"/>
      <c r="B106" s="1"/>
      <c r="C106" s="2" t="s">
        <v>132</v>
      </c>
      <c r="D106" s="1"/>
      <c r="E106" s="1" t="s">
        <v>133</v>
      </c>
      <c r="F106" s="9">
        <v>529.11462389999997</v>
      </c>
      <c r="G106" s="10">
        <v>7.9635410000000004E-2</v>
      </c>
      <c r="H106" s="105"/>
    </row>
    <row r="107" spans="1:8" ht="14.1" customHeight="1" x14ac:dyDescent="0.2">
      <c r="A107" s="1"/>
      <c r="B107" s="1"/>
      <c r="C107" s="11"/>
      <c r="D107" s="1"/>
      <c r="E107" s="1"/>
      <c r="F107" s="12"/>
      <c r="G107" s="12"/>
      <c r="H107" s="105"/>
    </row>
    <row r="108" spans="1:8" ht="14.1" customHeight="1" x14ac:dyDescent="0.2">
      <c r="A108" s="1"/>
      <c r="B108" s="1"/>
      <c r="C108" s="2" t="s">
        <v>153</v>
      </c>
      <c r="D108" s="1"/>
      <c r="E108" s="1"/>
      <c r="F108" s="9">
        <v>529.11462389999997</v>
      </c>
      <c r="G108" s="10">
        <v>7.9635410000000004E-2</v>
      </c>
      <c r="H108" s="105"/>
    </row>
    <row r="109" spans="1:8" ht="14.1" customHeight="1" x14ac:dyDescent="0.2">
      <c r="A109" s="1"/>
      <c r="B109" s="1"/>
      <c r="C109" s="12"/>
      <c r="D109" s="1"/>
      <c r="E109" s="1"/>
      <c r="F109" s="1"/>
      <c r="G109" s="1"/>
      <c r="H109" s="105"/>
    </row>
    <row r="110" spans="1:8" ht="14.1" customHeight="1" x14ac:dyDescent="0.2">
      <c r="A110" s="1"/>
      <c r="B110" s="1"/>
      <c r="C110" s="2" t="s">
        <v>154</v>
      </c>
      <c r="D110" s="1"/>
      <c r="E110" s="1"/>
      <c r="F110" s="1"/>
      <c r="G110" s="1"/>
      <c r="H110" s="105"/>
    </row>
    <row r="111" spans="1:8" ht="14.1" customHeight="1" x14ac:dyDescent="0.2">
      <c r="A111" s="1"/>
      <c r="B111" s="1"/>
      <c r="C111" s="2" t="s">
        <v>155</v>
      </c>
      <c r="D111" s="1"/>
      <c r="E111" s="1"/>
      <c r="F111" s="1"/>
      <c r="G111" s="1"/>
      <c r="H111" s="105"/>
    </row>
    <row r="112" spans="1:8" ht="14.1" customHeight="1" x14ac:dyDescent="0.2">
      <c r="A112" s="1"/>
      <c r="B112" s="1"/>
      <c r="C112" s="2" t="s">
        <v>132</v>
      </c>
      <c r="D112" s="1"/>
      <c r="E112" s="1" t="s">
        <v>133</v>
      </c>
      <c r="F112" s="13" t="s">
        <v>135</v>
      </c>
      <c r="G112" s="10">
        <v>0</v>
      </c>
      <c r="H112" s="105"/>
    </row>
    <row r="113" spans="1:8" ht="14.1" customHeight="1" x14ac:dyDescent="0.2">
      <c r="A113" s="1"/>
      <c r="B113" s="1"/>
      <c r="C113" s="11"/>
      <c r="D113" s="1"/>
      <c r="E113" s="1"/>
      <c r="F113" s="12"/>
      <c r="G113" s="12"/>
      <c r="H113" s="105"/>
    </row>
    <row r="114" spans="1:8" ht="14.1" customHeight="1" x14ac:dyDescent="0.2">
      <c r="A114" s="1"/>
      <c r="B114" s="1"/>
      <c r="C114" s="2" t="s">
        <v>156</v>
      </c>
      <c r="D114" s="1"/>
      <c r="E114" s="1"/>
      <c r="F114" s="1"/>
      <c r="G114" s="1"/>
      <c r="H114" s="105"/>
    </row>
    <row r="115" spans="1:8" ht="14.1" customHeight="1" x14ac:dyDescent="0.2">
      <c r="A115" s="1"/>
      <c r="B115" s="1"/>
      <c r="C115" s="2" t="s">
        <v>157</v>
      </c>
      <c r="D115" s="1"/>
      <c r="E115" s="1"/>
      <c r="F115" s="1"/>
      <c r="G115" s="1"/>
      <c r="H115" s="105"/>
    </row>
    <row r="116" spans="1:8" ht="14.1" customHeight="1" x14ac:dyDescent="0.2">
      <c r="A116" s="1"/>
      <c r="B116" s="1"/>
      <c r="C116" s="2" t="s">
        <v>132</v>
      </c>
      <c r="D116" s="1"/>
      <c r="E116" s="1" t="s">
        <v>133</v>
      </c>
      <c r="F116" s="13" t="s">
        <v>135</v>
      </c>
      <c r="G116" s="10">
        <v>0</v>
      </c>
      <c r="H116" s="105"/>
    </row>
    <row r="117" spans="1:8" ht="14.1" customHeight="1" x14ac:dyDescent="0.2">
      <c r="A117" s="1"/>
      <c r="B117" s="1"/>
      <c r="C117" s="11"/>
      <c r="D117" s="1"/>
      <c r="E117" s="1"/>
      <c r="F117" s="12"/>
      <c r="G117" s="12"/>
      <c r="H117" s="105"/>
    </row>
    <row r="118" spans="1:8" ht="24" customHeight="1" x14ac:dyDescent="0.2">
      <c r="A118" s="1"/>
      <c r="B118" s="1"/>
      <c r="C118" s="2" t="s">
        <v>158</v>
      </c>
      <c r="D118" s="1"/>
      <c r="E118" s="1"/>
      <c r="F118" s="12"/>
      <c r="G118" s="12"/>
      <c r="H118" s="105"/>
    </row>
    <row r="119" spans="1:8" ht="14.1" customHeight="1" x14ac:dyDescent="0.2">
      <c r="A119" s="1"/>
      <c r="B119" s="1"/>
      <c r="C119" s="2" t="s">
        <v>132</v>
      </c>
      <c r="D119" s="1"/>
      <c r="E119" s="1" t="s">
        <v>133</v>
      </c>
      <c r="F119" s="13" t="s">
        <v>135</v>
      </c>
      <c r="G119" s="10">
        <v>0</v>
      </c>
      <c r="H119" s="105"/>
    </row>
    <row r="120" spans="1:8" ht="14.1" customHeight="1" x14ac:dyDescent="0.2">
      <c r="A120" s="1"/>
      <c r="B120" s="1"/>
      <c r="C120" s="11"/>
      <c r="D120" s="1"/>
      <c r="E120" s="1"/>
      <c r="F120" s="12"/>
      <c r="G120" s="12"/>
      <c r="H120" s="105"/>
    </row>
    <row r="121" spans="1:8" ht="14.1" customHeight="1" x14ac:dyDescent="0.2">
      <c r="A121" s="1"/>
      <c r="B121" s="4"/>
      <c r="C121" s="4"/>
      <c r="D121" s="2"/>
      <c r="E121" s="1"/>
      <c r="F121" s="4"/>
      <c r="G121" s="8"/>
      <c r="H121" s="105"/>
    </row>
    <row r="122" spans="1:8" ht="18" customHeight="1" x14ac:dyDescent="0.2">
      <c r="A122" s="8"/>
      <c r="B122" s="4"/>
      <c r="C122" s="4" t="s">
        <v>159</v>
      </c>
      <c r="D122" s="4"/>
      <c r="E122" s="8"/>
      <c r="F122" s="6">
        <v>-2.07447135</v>
      </c>
      <c r="G122" s="7">
        <v>-3.1221999999999999E-4</v>
      </c>
      <c r="H122" s="105"/>
    </row>
    <row r="123" spans="1:8" ht="14.1" customHeight="1" x14ac:dyDescent="0.2">
      <c r="A123" s="11"/>
      <c r="B123" s="11"/>
      <c r="C123" s="2" t="s">
        <v>160</v>
      </c>
      <c r="D123" s="12"/>
      <c r="E123" s="12"/>
      <c r="F123" s="9">
        <v>6644.2131894940003</v>
      </c>
      <c r="G123" s="14">
        <v>1.0000000099999999</v>
      </c>
      <c r="H123" s="105"/>
    </row>
    <row r="124" spans="1:8" ht="14.1" customHeight="1" x14ac:dyDescent="0.2">
      <c r="A124" s="15"/>
      <c r="B124" s="15"/>
      <c r="C124" s="15"/>
      <c r="D124" s="16"/>
      <c r="E124" s="16"/>
      <c r="F124" s="16"/>
      <c r="G124" s="16"/>
    </row>
    <row r="125" spans="1:8" ht="14.1" customHeight="1" x14ac:dyDescent="0.2">
      <c r="A125" s="17"/>
      <c r="B125" s="17"/>
      <c r="C125" s="17"/>
      <c r="D125" s="19"/>
      <c r="E125" s="19"/>
      <c r="F125" s="19"/>
      <c r="G125" s="19"/>
    </row>
    <row r="126" spans="1:8" ht="14.1" customHeight="1" x14ac:dyDescent="0.2">
      <c r="A126" s="17"/>
      <c r="B126" s="179" t="s">
        <v>162</v>
      </c>
      <c r="C126" s="180"/>
      <c r="D126" s="181"/>
      <c r="E126" s="20"/>
      <c r="F126" s="19"/>
      <c r="G126" s="19"/>
    </row>
    <row r="127" spans="1:8" ht="29.1" customHeight="1" x14ac:dyDescent="0.2">
      <c r="A127" s="17"/>
      <c r="B127" s="176" t="s">
        <v>163</v>
      </c>
      <c r="C127" s="177"/>
      <c r="D127" s="2" t="s">
        <v>164</v>
      </c>
      <c r="E127" s="20"/>
      <c r="F127" s="19"/>
      <c r="G127" s="19"/>
    </row>
    <row r="128" spans="1:8" ht="17.100000000000001" customHeight="1" x14ac:dyDescent="0.2">
      <c r="A128" s="17"/>
      <c r="B128" s="176" t="s">
        <v>165</v>
      </c>
      <c r="C128" s="177"/>
      <c r="D128" s="2" t="s">
        <v>164</v>
      </c>
      <c r="E128" s="20"/>
      <c r="F128" s="19"/>
      <c r="G128" s="19"/>
    </row>
    <row r="129" spans="1:7" ht="17.100000000000001" customHeight="1" x14ac:dyDescent="0.2">
      <c r="A129" s="17"/>
      <c r="B129" s="176" t="s">
        <v>166</v>
      </c>
      <c r="C129" s="177"/>
      <c r="D129" s="12" t="s">
        <v>133</v>
      </c>
      <c r="E129" s="20"/>
      <c r="F129" s="19"/>
      <c r="G129" s="19"/>
    </row>
    <row r="130" spans="1:7" ht="24" customHeight="1" x14ac:dyDescent="0.2">
      <c r="A130" s="21"/>
      <c r="B130" s="22" t="s">
        <v>133</v>
      </c>
      <c r="C130" s="22" t="s">
        <v>167</v>
      </c>
      <c r="D130" s="22" t="s">
        <v>168</v>
      </c>
      <c r="E130" s="21"/>
      <c r="F130" s="21"/>
      <c r="G130" s="21"/>
    </row>
    <row r="131" spans="1:7" ht="18" customHeight="1" x14ac:dyDescent="0.2">
      <c r="A131" s="21"/>
      <c r="B131" s="23" t="s">
        <v>169</v>
      </c>
      <c r="C131" s="22" t="s">
        <v>170</v>
      </c>
      <c r="D131" s="22" t="s">
        <v>171</v>
      </c>
      <c r="E131" s="21"/>
      <c r="F131" s="21"/>
      <c r="G131" s="21"/>
    </row>
    <row r="132" spans="1:7" ht="17.100000000000001" customHeight="1" x14ac:dyDescent="0.2">
      <c r="A132" s="21"/>
      <c r="B132" s="4" t="s">
        <v>172</v>
      </c>
      <c r="C132" s="24">
        <v>19.797499999999999</v>
      </c>
      <c r="D132" s="24">
        <v>21.210599999999999</v>
      </c>
      <c r="E132" s="21"/>
      <c r="F132" s="18"/>
      <c r="G132" s="25"/>
    </row>
    <row r="133" spans="1:7" ht="17.100000000000001" customHeight="1" x14ac:dyDescent="0.2">
      <c r="A133" s="21"/>
      <c r="B133" s="4" t="s">
        <v>1006</v>
      </c>
      <c r="C133" s="24">
        <v>18.2349</v>
      </c>
      <c r="D133" s="24">
        <v>19.5365</v>
      </c>
      <c r="E133" s="21"/>
      <c r="F133" s="18"/>
      <c r="G133" s="25"/>
    </row>
    <row r="134" spans="1:7" ht="17.100000000000001" customHeight="1" x14ac:dyDescent="0.2">
      <c r="A134" s="21"/>
      <c r="B134" s="4" t="s">
        <v>173</v>
      </c>
      <c r="C134" s="24">
        <v>19.306000000000001</v>
      </c>
      <c r="D134" s="24">
        <v>20.680800000000001</v>
      </c>
      <c r="E134" s="21"/>
      <c r="F134" s="18"/>
      <c r="G134" s="25"/>
    </row>
    <row r="135" spans="1:7" ht="17.100000000000001" customHeight="1" x14ac:dyDescent="0.2">
      <c r="A135" s="21"/>
      <c r="B135" s="4" t="s">
        <v>1007</v>
      </c>
      <c r="C135" s="24">
        <v>17.765499999999999</v>
      </c>
      <c r="D135" s="24">
        <v>19.0307</v>
      </c>
      <c r="E135" s="21"/>
      <c r="F135" s="18"/>
      <c r="G135" s="25"/>
    </row>
    <row r="136" spans="1:7" ht="14.1" customHeight="1" x14ac:dyDescent="0.2">
      <c r="A136" s="21"/>
      <c r="B136" s="21"/>
      <c r="C136" s="21"/>
      <c r="D136" s="21"/>
      <c r="E136" s="21"/>
      <c r="F136" s="21"/>
      <c r="G136" s="21"/>
    </row>
    <row r="137" spans="1:7" ht="17.100000000000001" customHeight="1" x14ac:dyDescent="0.2">
      <c r="A137" s="21"/>
      <c r="B137" s="176" t="s">
        <v>1008</v>
      </c>
      <c r="C137" s="177"/>
      <c r="D137" s="2" t="s">
        <v>164</v>
      </c>
      <c r="E137" s="21"/>
      <c r="F137" s="21"/>
      <c r="G137" s="21"/>
    </row>
    <row r="138" spans="1:7" ht="18" customHeight="1" x14ac:dyDescent="0.2">
      <c r="A138" s="21"/>
      <c r="B138" s="26"/>
      <c r="C138" s="26"/>
      <c r="D138" s="26"/>
      <c r="E138" s="21"/>
      <c r="F138" s="21"/>
      <c r="G138" s="21"/>
    </row>
    <row r="139" spans="1:7" ht="29.1" customHeight="1" x14ac:dyDescent="0.2">
      <c r="A139" s="21"/>
      <c r="B139" s="176" t="s">
        <v>174</v>
      </c>
      <c r="C139" s="177"/>
      <c r="D139" s="2" t="s">
        <v>164</v>
      </c>
      <c r="E139" s="27"/>
      <c r="F139" s="21"/>
      <c r="G139" s="21"/>
    </row>
    <row r="140" spans="1:7" ht="29.1" customHeight="1" x14ac:dyDescent="0.2">
      <c r="A140" s="21"/>
      <c r="B140" s="176" t="s">
        <v>175</v>
      </c>
      <c r="C140" s="177"/>
      <c r="D140" s="2" t="s">
        <v>164</v>
      </c>
      <c r="E140" s="27"/>
      <c r="F140" s="21"/>
      <c r="G140" s="21"/>
    </row>
    <row r="141" spans="1:7" ht="17.100000000000001" customHeight="1" x14ac:dyDescent="0.2">
      <c r="A141" s="21"/>
      <c r="B141" s="176" t="s">
        <v>176</v>
      </c>
      <c r="C141" s="177"/>
      <c r="D141" s="2" t="s">
        <v>164</v>
      </c>
      <c r="E141" s="27"/>
      <c r="F141" s="21"/>
      <c r="G141" s="21"/>
    </row>
    <row r="142" spans="1:7" ht="17.100000000000001" customHeight="1" x14ac:dyDescent="0.2">
      <c r="A142" s="21"/>
      <c r="B142" s="176" t="s">
        <v>177</v>
      </c>
      <c r="C142" s="177"/>
      <c r="D142" s="60">
        <v>0.12060354141415257</v>
      </c>
      <c r="E142" s="21"/>
      <c r="F142" s="18"/>
      <c r="G142" s="25"/>
    </row>
    <row r="156" spans="10:14" x14ac:dyDescent="0.2">
      <c r="J156" s="162"/>
      <c r="K156" s="162"/>
      <c r="L156" s="162"/>
      <c r="M156" s="162"/>
      <c r="N156" s="162"/>
    </row>
  </sheetData>
  <mergeCells count="13">
    <mergeCell ref="B142:C142"/>
    <mergeCell ref="B128:C128"/>
    <mergeCell ref="B129:C129"/>
    <mergeCell ref="B137:C137"/>
    <mergeCell ref="B139:C139"/>
    <mergeCell ref="B140:C140"/>
    <mergeCell ref="B141:C141"/>
    <mergeCell ref="J2:N2"/>
    <mergeCell ref="B127:C127"/>
    <mergeCell ref="B126:D126"/>
    <mergeCell ref="A1:H1"/>
    <mergeCell ref="A2:H2"/>
    <mergeCell ref="A3:H3"/>
  </mergeCells>
  <hyperlinks>
    <hyperlink ref="I1" location="Index!B17" display="Index" xr:uid="{55F73FA9-C4F2-4D31-AE7B-07950BAF25D0}"/>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O155"/>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5" ht="18" customHeight="1" x14ac:dyDescent="0.2">
      <c r="A1" s="182" t="s">
        <v>0</v>
      </c>
      <c r="B1" s="182"/>
      <c r="C1" s="182"/>
      <c r="D1" s="182"/>
      <c r="E1" s="182"/>
      <c r="F1" s="182"/>
      <c r="G1" s="182"/>
      <c r="H1" s="182"/>
      <c r="I1" s="159" t="s">
        <v>1044</v>
      </c>
    </row>
    <row r="2" spans="1:15" ht="17.100000000000001" customHeight="1" x14ac:dyDescent="0.2">
      <c r="A2" s="183" t="s">
        <v>504</v>
      </c>
      <c r="B2" s="184"/>
      <c r="C2" s="184"/>
      <c r="D2" s="184"/>
      <c r="E2" s="184"/>
      <c r="F2" s="184"/>
      <c r="G2" s="184"/>
      <c r="H2" s="185"/>
      <c r="J2" s="175" t="s">
        <v>1045</v>
      </c>
      <c r="K2" s="175"/>
      <c r="L2" s="175"/>
      <c r="M2" s="175"/>
      <c r="N2" s="175"/>
    </row>
    <row r="3" spans="1:15" ht="21" customHeight="1" x14ac:dyDescent="0.2">
      <c r="A3" s="182" t="s">
        <v>1016</v>
      </c>
      <c r="B3" s="182"/>
      <c r="C3" s="182"/>
      <c r="D3" s="182"/>
      <c r="E3" s="182"/>
      <c r="F3" s="182"/>
      <c r="G3" s="182"/>
      <c r="H3" s="182"/>
    </row>
    <row r="4" spans="1:15" ht="30" x14ac:dyDescent="0.2">
      <c r="A4" s="107" t="s">
        <v>2</v>
      </c>
      <c r="B4" s="107" t="s">
        <v>3</v>
      </c>
      <c r="C4" s="107" t="s">
        <v>4</v>
      </c>
      <c r="D4" s="107" t="s">
        <v>5</v>
      </c>
      <c r="E4" s="107" t="s">
        <v>6</v>
      </c>
      <c r="F4" s="107" t="s">
        <v>7</v>
      </c>
      <c r="G4" s="107" t="s">
        <v>8</v>
      </c>
      <c r="H4" s="104" t="s">
        <v>1003</v>
      </c>
      <c r="I4" s="108"/>
      <c r="J4" s="108"/>
      <c r="K4" s="108"/>
      <c r="L4" s="108"/>
      <c r="M4" s="108"/>
      <c r="N4" s="108"/>
      <c r="O4" s="108"/>
    </row>
    <row r="5" spans="1:15" ht="14.1" customHeight="1" x14ac:dyDescent="0.2">
      <c r="A5" s="1"/>
      <c r="B5" s="1"/>
      <c r="C5" s="2" t="s">
        <v>9</v>
      </c>
      <c r="D5" s="1"/>
      <c r="E5" s="1"/>
      <c r="F5" s="1"/>
      <c r="G5" s="1"/>
      <c r="H5" s="105"/>
    </row>
    <row r="6" spans="1:15" ht="24" customHeight="1" x14ac:dyDescent="0.2">
      <c r="A6" s="1"/>
      <c r="B6" s="1"/>
      <c r="C6" s="2" t="s">
        <v>10</v>
      </c>
      <c r="D6" s="1"/>
      <c r="E6" s="1"/>
      <c r="F6" s="1"/>
      <c r="G6" s="1"/>
      <c r="H6" s="105"/>
    </row>
    <row r="7" spans="1:15" ht="17.100000000000001" customHeight="1" x14ac:dyDescent="0.2">
      <c r="A7" s="3">
        <v>1</v>
      </c>
      <c r="B7" s="4" t="s">
        <v>383</v>
      </c>
      <c r="C7" s="4" t="s">
        <v>384</v>
      </c>
      <c r="D7" s="4" t="s">
        <v>25</v>
      </c>
      <c r="E7" s="5">
        <v>205102</v>
      </c>
      <c r="F7" s="6">
        <v>141.41782900000001</v>
      </c>
      <c r="G7" s="7">
        <v>4.2646820000000002E-2</v>
      </c>
      <c r="H7" s="105"/>
    </row>
    <row r="8" spans="1:15" ht="17.100000000000001" customHeight="1" x14ac:dyDescent="0.2">
      <c r="A8" s="3">
        <v>2</v>
      </c>
      <c r="B8" s="4" t="s">
        <v>420</v>
      </c>
      <c r="C8" s="4" t="s">
        <v>421</v>
      </c>
      <c r="D8" s="4" t="s">
        <v>121</v>
      </c>
      <c r="E8" s="5">
        <v>5646</v>
      </c>
      <c r="F8" s="6">
        <v>137.92331100000001</v>
      </c>
      <c r="G8" s="7">
        <v>4.1592990000000003E-2</v>
      </c>
      <c r="H8" s="105"/>
    </row>
    <row r="9" spans="1:15" ht="17.100000000000001" customHeight="1" x14ac:dyDescent="0.2">
      <c r="A9" s="3">
        <v>3</v>
      </c>
      <c r="B9" s="4" t="s">
        <v>31</v>
      </c>
      <c r="C9" s="4" t="s">
        <v>32</v>
      </c>
      <c r="D9" s="4" t="s">
        <v>33</v>
      </c>
      <c r="E9" s="5">
        <v>5766</v>
      </c>
      <c r="F9" s="6">
        <v>129.76671300000001</v>
      </c>
      <c r="G9" s="7">
        <v>3.913324E-2</v>
      </c>
      <c r="H9" s="105"/>
    </row>
    <row r="10" spans="1:15" ht="17.100000000000001" customHeight="1" x14ac:dyDescent="0.2">
      <c r="A10" s="3">
        <v>4</v>
      </c>
      <c r="B10" s="4" t="s">
        <v>63</v>
      </c>
      <c r="C10" s="4" t="s">
        <v>64</v>
      </c>
      <c r="D10" s="4" t="s">
        <v>33</v>
      </c>
      <c r="E10" s="5">
        <v>6789</v>
      </c>
      <c r="F10" s="6">
        <v>128.6549445</v>
      </c>
      <c r="G10" s="7">
        <v>3.8797970000000001E-2</v>
      </c>
      <c r="H10" s="105"/>
    </row>
    <row r="11" spans="1:15" ht="29.1" customHeight="1" x14ac:dyDescent="0.2">
      <c r="A11" s="3">
        <v>5</v>
      </c>
      <c r="B11" s="4" t="s">
        <v>181</v>
      </c>
      <c r="C11" s="4" t="s">
        <v>182</v>
      </c>
      <c r="D11" s="4" t="s">
        <v>183</v>
      </c>
      <c r="E11" s="5">
        <v>2356</v>
      </c>
      <c r="F11" s="6">
        <v>114.270712</v>
      </c>
      <c r="G11" s="7">
        <v>3.4460169999999998E-2</v>
      </c>
      <c r="H11" s="105"/>
    </row>
    <row r="12" spans="1:15" ht="17.100000000000001" customHeight="1" x14ac:dyDescent="0.2">
      <c r="A12" s="3">
        <v>6</v>
      </c>
      <c r="B12" s="4" t="s">
        <v>119</v>
      </c>
      <c r="C12" s="4" t="s">
        <v>120</v>
      </c>
      <c r="D12" s="4" t="s">
        <v>121</v>
      </c>
      <c r="E12" s="5">
        <v>32280</v>
      </c>
      <c r="F12" s="6">
        <v>96.291240000000002</v>
      </c>
      <c r="G12" s="7">
        <v>2.9038169999999999E-2</v>
      </c>
      <c r="H12" s="105"/>
    </row>
    <row r="13" spans="1:15" ht="17.100000000000001" customHeight="1" x14ac:dyDescent="0.2">
      <c r="A13" s="3">
        <v>7</v>
      </c>
      <c r="B13" s="4" t="s">
        <v>422</v>
      </c>
      <c r="C13" s="4" t="s">
        <v>423</v>
      </c>
      <c r="D13" s="4" t="s">
        <v>202</v>
      </c>
      <c r="E13" s="5">
        <v>35324</v>
      </c>
      <c r="F13" s="6">
        <v>95.374799999999993</v>
      </c>
      <c r="G13" s="7">
        <v>2.8761800000000001E-2</v>
      </c>
      <c r="H13" s="105"/>
      <c r="J13" s="161" t="s">
        <v>1054</v>
      </c>
    </row>
    <row r="14" spans="1:15" ht="17.100000000000001" customHeight="1" x14ac:dyDescent="0.2">
      <c r="A14" s="3">
        <v>8</v>
      </c>
      <c r="B14" s="4" t="s">
        <v>327</v>
      </c>
      <c r="C14" s="4" t="s">
        <v>328</v>
      </c>
      <c r="D14" s="4" t="s">
        <v>329</v>
      </c>
      <c r="E14" s="5">
        <v>7740</v>
      </c>
      <c r="F14" s="6">
        <v>95.205870000000004</v>
      </c>
      <c r="G14" s="7">
        <v>2.8710860000000001E-2</v>
      </c>
      <c r="H14" s="105"/>
    </row>
    <row r="15" spans="1:15" ht="17.100000000000001" customHeight="1" x14ac:dyDescent="0.2">
      <c r="A15" s="3">
        <v>9</v>
      </c>
      <c r="B15" s="4" t="s">
        <v>37</v>
      </c>
      <c r="C15" s="4" t="s">
        <v>38</v>
      </c>
      <c r="D15" s="4" t="s">
        <v>33</v>
      </c>
      <c r="E15" s="5">
        <v>4869</v>
      </c>
      <c r="F15" s="6">
        <v>92.530475999999993</v>
      </c>
      <c r="G15" s="7">
        <v>2.790405E-2</v>
      </c>
      <c r="H15" s="105"/>
    </row>
    <row r="16" spans="1:15" ht="17.100000000000001" customHeight="1" x14ac:dyDescent="0.2">
      <c r="A16" s="3">
        <v>10</v>
      </c>
      <c r="B16" s="4" t="s">
        <v>99</v>
      </c>
      <c r="C16" s="4" t="s">
        <v>100</v>
      </c>
      <c r="D16" s="4" t="s">
        <v>91</v>
      </c>
      <c r="E16" s="5">
        <v>18429</v>
      </c>
      <c r="F16" s="6">
        <v>92.495151000000007</v>
      </c>
      <c r="G16" s="7">
        <v>2.7893399999999999E-2</v>
      </c>
      <c r="H16" s="105"/>
    </row>
    <row r="17" spans="1:8" ht="17.100000000000001" customHeight="1" x14ac:dyDescent="0.2">
      <c r="A17" s="3">
        <v>11</v>
      </c>
      <c r="B17" s="4" t="s">
        <v>438</v>
      </c>
      <c r="C17" s="4" t="s">
        <v>439</v>
      </c>
      <c r="D17" s="4" t="s">
        <v>121</v>
      </c>
      <c r="E17" s="5">
        <v>17726</v>
      </c>
      <c r="F17" s="6">
        <v>92.352459999999994</v>
      </c>
      <c r="G17" s="7">
        <v>2.7850369999999999E-2</v>
      </c>
      <c r="H17" s="105"/>
    </row>
    <row r="18" spans="1:8" ht="17.100000000000001" customHeight="1" x14ac:dyDescent="0.2">
      <c r="A18" s="3">
        <v>12</v>
      </c>
      <c r="B18" s="4" t="s">
        <v>418</v>
      </c>
      <c r="C18" s="4" t="s">
        <v>419</v>
      </c>
      <c r="D18" s="4" t="s">
        <v>953</v>
      </c>
      <c r="E18" s="5">
        <v>9563</v>
      </c>
      <c r="F18" s="6">
        <v>87.673584000000005</v>
      </c>
      <c r="G18" s="7">
        <v>2.6439379999999998E-2</v>
      </c>
      <c r="H18" s="105"/>
    </row>
    <row r="19" spans="1:8" ht="17.100000000000001" customHeight="1" x14ac:dyDescent="0.2">
      <c r="A19" s="3">
        <v>13</v>
      </c>
      <c r="B19" s="4" t="s">
        <v>306</v>
      </c>
      <c r="C19" s="4" t="s">
        <v>307</v>
      </c>
      <c r="D19" s="4" t="s">
        <v>232</v>
      </c>
      <c r="E19" s="5">
        <v>5434</v>
      </c>
      <c r="F19" s="6">
        <v>79.507570999999999</v>
      </c>
      <c r="G19" s="7">
        <v>2.3976790000000001E-2</v>
      </c>
      <c r="H19" s="105"/>
    </row>
    <row r="20" spans="1:8" ht="17.100000000000001" customHeight="1" x14ac:dyDescent="0.2">
      <c r="A20" s="3">
        <v>14</v>
      </c>
      <c r="B20" s="4" t="s">
        <v>385</v>
      </c>
      <c r="C20" s="4" t="s">
        <v>386</v>
      </c>
      <c r="D20" s="4" t="s">
        <v>128</v>
      </c>
      <c r="E20" s="5">
        <v>12457</v>
      </c>
      <c r="F20" s="6">
        <v>76.822318999999993</v>
      </c>
      <c r="G20" s="7">
        <v>2.3167009999999998E-2</v>
      </c>
      <c r="H20" s="105"/>
    </row>
    <row r="21" spans="1:8" ht="29.1" customHeight="1" x14ac:dyDescent="0.2">
      <c r="A21" s="3">
        <v>15</v>
      </c>
      <c r="B21" s="4" t="s">
        <v>73</v>
      </c>
      <c r="C21" s="4" t="s">
        <v>74</v>
      </c>
      <c r="D21" s="4" t="s">
        <v>22</v>
      </c>
      <c r="E21" s="5">
        <v>2480</v>
      </c>
      <c r="F21" s="6">
        <v>74.233840000000001</v>
      </c>
      <c r="G21" s="7">
        <v>2.2386409999999999E-2</v>
      </c>
      <c r="H21" s="105"/>
    </row>
    <row r="22" spans="1:8" ht="29.1" customHeight="1" x14ac:dyDescent="0.2">
      <c r="A22" s="3">
        <v>16</v>
      </c>
      <c r="B22" s="4" t="s">
        <v>500</v>
      </c>
      <c r="C22" s="4" t="s">
        <v>501</v>
      </c>
      <c r="D22" s="4" t="s">
        <v>41</v>
      </c>
      <c r="E22" s="5">
        <v>23991</v>
      </c>
      <c r="F22" s="6">
        <v>73.89228</v>
      </c>
      <c r="G22" s="7">
        <v>2.228341E-2</v>
      </c>
      <c r="H22" s="105"/>
    </row>
    <row r="23" spans="1:8" ht="17.100000000000001" customHeight="1" x14ac:dyDescent="0.2">
      <c r="A23" s="3">
        <v>17</v>
      </c>
      <c r="B23" s="4" t="s">
        <v>314</v>
      </c>
      <c r="C23" s="4" t="s">
        <v>315</v>
      </c>
      <c r="D23" s="4" t="s">
        <v>223</v>
      </c>
      <c r="E23" s="5">
        <v>6161</v>
      </c>
      <c r="F23" s="6">
        <v>73.676318499999994</v>
      </c>
      <c r="G23" s="7">
        <v>2.221828E-2</v>
      </c>
      <c r="H23" s="105"/>
    </row>
    <row r="24" spans="1:8" ht="29.1" customHeight="1" x14ac:dyDescent="0.2">
      <c r="A24" s="3">
        <v>18</v>
      </c>
      <c r="B24" s="4" t="s">
        <v>428</v>
      </c>
      <c r="C24" s="4" t="s">
        <v>429</v>
      </c>
      <c r="D24" s="4" t="s">
        <v>62</v>
      </c>
      <c r="E24" s="5">
        <v>3181</v>
      </c>
      <c r="F24" s="6">
        <v>72.596782000000005</v>
      </c>
      <c r="G24" s="7">
        <v>2.1892729999999999E-2</v>
      </c>
      <c r="H24" s="105"/>
    </row>
    <row r="25" spans="1:8" ht="17.100000000000001" customHeight="1" x14ac:dyDescent="0.2">
      <c r="A25" s="3">
        <v>19</v>
      </c>
      <c r="B25" s="4" t="s">
        <v>415</v>
      </c>
      <c r="C25" s="4" t="s">
        <v>416</v>
      </c>
      <c r="D25" s="4" t="s">
        <v>223</v>
      </c>
      <c r="E25" s="5">
        <v>9165</v>
      </c>
      <c r="F25" s="6">
        <v>70.043512500000006</v>
      </c>
      <c r="G25" s="7">
        <v>2.1122749999999999E-2</v>
      </c>
      <c r="H25" s="105"/>
    </row>
    <row r="26" spans="1:8" ht="17.100000000000001" customHeight="1" x14ac:dyDescent="0.2">
      <c r="A26" s="3">
        <v>20</v>
      </c>
      <c r="B26" s="4" t="s">
        <v>464</v>
      </c>
      <c r="C26" s="4" t="s">
        <v>465</v>
      </c>
      <c r="D26" s="4" t="s">
        <v>223</v>
      </c>
      <c r="E26" s="5">
        <v>31256</v>
      </c>
      <c r="F26" s="6">
        <v>69.716508000000005</v>
      </c>
      <c r="G26" s="7">
        <v>2.1024129999999999E-2</v>
      </c>
      <c r="H26" s="105"/>
    </row>
    <row r="27" spans="1:8" ht="17.100000000000001" customHeight="1" x14ac:dyDescent="0.2">
      <c r="A27" s="3">
        <v>21</v>
      </c>
      <c r="B27" s="4" t="s">
        <v>424</v>
      </c>
      <c r="C27" s="4" t="s">
        <v>425</v>
      </c>
      <c r="D27" s="4" t="s">
        <v>329</v>
      </c>
      <c r="E27" s="5">
        <v>4793</v>
      </c>
      <c r="F27" s="6">
        <v>67.073241999999993</v>
      </c>
      <c r="G27" s="7">
        <v>2.022701E-2</v>
      </c>
      <c r="H27" s="105"/>
    </row>
    <row r="28" spans="1:8" ht="17.100000000000001" customHeight="1" x14ac:dyDescent="0.2">
      <c r="A28" s="3">
        <v>22</v>
      </c>
      <c r="B28" s="4" t="s">
        <v>478</v>
      </c>
      <c r="C28" s="4" t="s">
        <v>479</v>
      </c>
      <c r="D28" s="4" t="s">
        <v>121</v>
      </c>
      <c r="E28" s="5">
        <v>5528</v>
      </c>
      <c r="F28" s="6">
        <v>60.667036000000003</v>
      </c>
      <c r="G28" s="7">
        <v>1.8295120000000002E-2</v>
      </c>
      <c r="H28" s="105"/>
    </row>
    <row r="29" spans="1:8" ht="17.100000000000001" customHeight="1" x14ac:dyDescent="0.2">
      <c r="A29" s="3">
        <v>23</v>
      </c>
      <c r="B29" s="4" t="s">
        <v>436</v>
      </c>
      <c r="C29" s="4" t="s">
        <v>437</v>
      </c>
      <c r="D29" s="4" t="s">
        <v>253</v>
      </c>
      <c r="E29" s="5">
        <v>35822</v>
      </c>
      <c r="F29" s="6">
        <v>60.592913000000003</v>
      </c>
      <c r="G29" s="7">
        <v>1.8272770000000001E-2</v>
      </c>
      <c r="H29" s="105"/>
    </row>
    <row r="30" spans="1:8" ht="29.1" customHeight="1" x14ac:dyDescent="0.2">
      <c r="A30" s="3">
        <v>24</v>
      </c>
      <c r="B30" s="4" t="s">
        <v>387</v>
      </c>
      <c r="C30" s="4" t="s">
        <v>388</v>
      </c>
      <c r="D30" s="4" t="s">
        <v>212</v>
      </c>
      <c r="E30" s="5">
        <v>18366</v>
      </c>
      <c r="F30" s="6">
        <v>59.404826999999997</v>
      </c>
      <c r="G30" s="7">
        <v>1.791448E-2</v>
      </c>
      <c r="H30" s="105"/>
    </row>
    <row r="31" spans="1:8" ht="29.1" customHeight="1" x14ac:dyDescent="0.2">
      <c r="A31" s="3">
        <v>25</v>
      </c>
      <c r="B31" s="4" t="s">
        <v>95</v>
      </c>
      <c r="C31" s="4" t="s">
        <v>96</v>
      </c>
      <c r="D31" s="4" t="s">
        <v>41</v>
      </c>
      <c r="E31" s="5">
        <v>3088</v>
      </c>
      <c r="F31" s="6">
        <v>55.979264000000001</v>
      </c>
      <c r="G31" s="7">
        <v>1.6881449999999999E-2</v>
      </c>
      <c r="H31" s="105"/>
    </row>
    <row r="32" spans="1:8" ht="29.1" customHeight="1" x14ac:dyDescent="0.2">
      <c r="A32" s="3">
        <v>26</v>
      </c>
      <c r="B32" s="4" t="s">
        <v>395</v>
      </c>
      <c r="C32" s="4" t="s">
        <v>396</v>
      </c>
      <c r="D32" s="4" t="s">
        <v>397</v>
      </c>
      <c r="E32" s="5">
        <v>47711</v>
      </c>
      <c r="F32" s="6">
        <v>54.891505500000001</v>
      </c>
      <c r="G32" s="7">
        <v>1.6553419999999999E-2</v>
      </c>
      <c r="H32" s="105"/>
    </row>
    <row r="33" spans="1:8" ht="29.1" customHeight="1" x14ac:dyDescent="0.2">
      <c r="A33" s="3">
        <v>27</v>
      </c>
      <c r="B33" s="4" t="s">
        <v>498</v>
      </c>
      <c r="C33" s="4" t="s">
        <v>499</v>
      </c>
      <c r="D33" s="4" t="s">
        <v>488</v>
      </c>
      <c r="E33" s="5">
        <v>8921</v>
      </c>
      <c r="F33" s="6">
        <v>53.726722500000001</v>
      </c>
      <c r="G33" s="7">
        <v>1.620216E-2</v>
      </c>
      <c r="H33" s="105"/>
    </row>
    <row r="34" spans="1:8" ht="17.100000000000001" customHeight="1" x14ac:dyDescent="0.2">
      <c r="A34" s="3">
        <v>28</v>
      </c>
      <c r="B34" s="4" t="s">
        <v>413</v>
      </c>
      <c r="C34" s="4" t="s">
        <v>414</v>
      </c>
      <c r="D34" s="4" t="s">
        <v>128</v>
      </c>
      <c r="E34" s="5">
        <v>60160</v>
      </c>
      <c r="F34" s="6">
        <v>52.820480000000003</v>
      </c>
      <c r="G34" s="7">
        <v>1.5928870000000001E-2</v>
      </c>
      <c r="H34" s="105"/>
    </row>
    <row r="35" spans="1:8" ht="17.100000000000001" customHeight="1" x14ac:dyDescent="0.2">
      <c r="A35" s="3">
        <v>29</v>
      </c>
      <c r="B35" s="4" t="s">
        <v>378</v>
      </c>
      <c r="C35" s="4" t="s">
        <v>379</v>
      </c>
      <c r="D35" s="4" t="s">
        <v>128</v>
      </c>
      <c r="E35" s="5">
        <v>7127</v>
      </c>
      <c r="F35" s="6">
        <v>50.776311499999998</v>
      </c>
      <c r="G35" s="7">
        <v>1.531241E-2</v>
      </c>
      <c r="H35" s="105"/>
    </row>
    <row r="36" spans="1:8" ht="17.100000000000001" customHeight="1" x14ac:dyDescent="0.2">
      <c r="A36" s="3">
        <v>30</v>
      </c>
      <c r="B36" s="4" t="s">
        <v>380</v>
      </c>
      <c r="C36" s="4" t="s">
        <v>381</v>
      </c>
      <c r="D36" s="4" t="s">
        <v>954</v>
      </c>
      <c r="E36" s="5">
        <v>5354</v>
      </c>
      <c r="F36" s="6">
        <v>49.880541000000001</v>
      </c>
      <c r="G36" s="7">
        <v>1.504228E-2</v>
      </c>
      <c r="H36" s="105"/>
    </row>
    <row r="37" spans="1:8" ht="17.100000000000001" customHeight="1" x14ac:dyDescent="0.2">
      <c r="A37" s="3">
        <v>31</v>
      </c>
      <c r="B37" s="4" t="s">
        <v>434</v>
      </c>
      <c r="C37" s="4" t="s">
        <v>435</v>
      </c>
      <c r="D37" s="4" t="s">
        <v>13</v>
      </c>
      <c r="E37" s="5">
        <v>8885</v>
      </c>
      <c r="F37" s="6">
        <v>47.974557500000003</v>
      </c>
      <c r="G37" s="7">
        <v>1.4467499999999999E-2</v>
      </c>
      <c r="H37" s="105"/>
    </row>
    <row r="38" spans="1:8" ht="17.100000000000001" customHeight="1" x14ac:dyDescent="0.2">
      <c r="A38" s="3">
        <v>32</v>
      </c>
      <c r="B38" s="4" t="s">
        <v>400</v>
      </c>
      <c r="C38" s="4" t="s">
        <v>401</v>
      </c>
      <c r="D38" s="4" t="s">
        <v>13</v>
      </c>
      <c r="E38" s="5">
        <v>50158</v>
      </c>
      <c r="F38" s="6">
        <v>44.063803</v>
      </c>
      <c r="G38" s="7">
        <v>1.328815E-2</v>
      </c>
      <c r="H38" s="105"/>
    </row>
    <row r="39" spans="1:8" ht="29.1" customHeight="1" x14ac:dyDescent="0.2">
      <c r="A39" s="3">
        <v>33</v>
      </c>
      <c r="B39" s="4" t="s">
        <v>391</v>
      </c>
      <c r="C39" s="4" t="s">
        <v>392</v>
      </c>
      <c r="D39" s="4" t="s">
        <v>190</v>
      </c>
      <c r="E39" s="5">
        <v>8645</v>
      </c>
      <c r="F39" s="6">
        <v>43.449770000000001</v>
      </c>
      <c r="G39" s="7">
        <v>1.310298E-2</v>
      </c>
      <c r="H39" s="105"/>
    </row>
    <row r="40" spans="1:8" ht="17.100000000000001" customHeight="1" x14ac:dyDescent="0.2">
      <c r="A40" s="3">
        <v>34</v>
      </c>
      <c r="B40" s="4" t="s">
        <v>446</v>
      </c>
      <c r="C40" s="4" t="s">
        <v>447</v>
      </c>
      <c r="D40" s="4" t="s">
        <v>121</v>
      </c>
      <c r="E40" s="5">
        <v>10328</v>
      </c>
      <c r="F40" s="6">
        <v>42.835380000000001</v>
      </c>
      <c r="G40" s="7">
        <v>1.2917700000000001E-2</v>
      </c>
      <c r="H40" s="105"/>
    </row>
    <row r="41" spans="1:8" ht="29.1" customHeight="1" x14ac:dyDescent="0.2">
      <c r="A41" s="3">
        <v>35</v>
      </c>
      <c r="B41" s="4" t="s">
        <v>404</v>
      </c>
      <c r="C41" s="4" t="s">
        <v>405</v>
      </c>
      <c r="D41" s="4" t="s">
        <v>406</v>
      </c>
      <c r="E41" s="5">
        <v>8672</v>
      </c>
      <c r="F41" s="6">
        <v>33.356847999999999</v>
      </c>
      <c r="G41" s="7">
        <v>1.005929E-2</v>
      </c>
      <c r="H41" s="105"/>
    </row>
    <row r="42" spans="1:8" ht="17.100000000000001" customHeight="1" x14ac:dyDescent="0.2">
      <c r="A42" s="3">
        <v>36</v>
      </c>
      <c r="B42" s="4" t="s">
        <v>440</v>
      </c>
      <c r="C42" s="4" t="s">
        <v>441</v>
      </c>
      <c r="D42" s="4" t="s">
        <v>271</v>
      </c>
      <c r="E42" s="5">
        <v>5116</v>
      </c>
      <c r="F42" s="6">
        <v>32.793559999999999</v>
      </c>
      <c r="G42" s="7">
        <v>9.8894299999999994E-3</v>
      </c>
      <c r="H42" s="105"/>
    </row>
    <row r="43" spans="1:8" ht="17.100000000000001" customHeight="1" x14ac:dyDescent="0.2">
      <c r="A43" s="3">
        <v>37</v>
      </c>
      <c r="B43" s="4" t="s">
        <v>480</v>
      </c>
      <c r="C43" s="4" t="s">
        <v>481</v>
      </c>
      <c r="D43" s="4" t="s">
        <v>954</v>
      </c>
      <c r="E43" s="5">
        <v>2771</v>
      </c>
      <c r="F43" s="6">
        <v>32.696414500000003</v>
      </c>
      <c r="G43" s="7">
        <v>9.8601299999999999E-3</v>
      </c>
      <c r="H43" s="105"/>
    </row>
    <row r="44" spans="1:8" ht="17.100000000000001" customHeight="1" x14ac:dyDescent="0.2">
      <c r="A44" s="3">
        <v>38</v>
      </c>
      <c r="B44" s="4" t="s">
        <v>482</v>
      </c>
      <c r="C44" s="4" t="s">
        <v>483</v>
      </c>
      <c r="D44" s="4" t="s">
        <v>33</v>
      </c>
      <c r="E44" s="5">
        <v>4549</v>
      </c>
      <c r="F44" s="6">
        <v>29.202305500000001</v>
      </c>
      <c r="G44" s="7">
        <v>8.8064300000000005E-3</v>
      </c>
      <c r="H44" s="105"/>
    </row>
    <row r="45" spans="1:8" ht="17.100000000000001" customHeight="1" x14ac:dyDescent="0.2">
      <c r="A45" s="3">
        <v>39</v>
      </c>
      <c r="B45" s="4" t="s">
        <v>411</v>
      </c>
      <c r="C45" s="4" t="s">
        <v>412</v>
      </c>
      <c r="D45" s="4" t="s">
        <v>81</v>
      </c>
      <c r="E45" s="5">
        <v>3503</v>
      </c>
      <c r="F45" s="6">
        <v>28.938282999999998</v>
      </c>
      <c r="G45" s="7">
        <v>8.7267999999999998E-3</v>
      </c>
      <c r="H45" s="105"/>
    </row>
    <row r="46" spans="1:8" ht="29.1" customHeight="1" x14ac:dyDescent="0.2">
      <c r="A46" s="3">
        <v>40</v>
      </c>
      <c r="B46" s="4" t="s">
        <v>448</v>
      </c>
      <c r="C46" s="4" t="s">
        <v>449</v>
      </c>
      <c r="D46" s="4" t="s">
        <v>121</v>
      </c>
      <c r="E46" s="5">
        <v>2514</v>
      </c>
      <c r="F46" s="6">
        <v>28.189482000000002</v>
      </c>
      <c r="G46" s="7">
        <v>8.5009899999999999E-3</v>
      </c>
      <c r="H46" s="105"/>
    </row>
    <row r="47" spans="1:8" ht="17.100000000000001" customHeight="1" x14ac:dyDescent="0.2">
      <c r="A47" s="3">
        <v>41</v>
      </c>
      <c r="B47" s="4" t="s">
        <v>241</v>
      </c>
      <c r="C47" s="4" t="s">
        <v>242</v>
      </c>
      <c r="D47" s="4" t="s">
        <v>81</v>
      </c>
      <c r="E47" s="5">
        <v>692</v>
      </c>
      <c r="F47" s="6">
        <v>27.68</v>
      </c>
      <c r="G47" s="7">
        <v>8.3473499999999999E-3</v>
      </c>
      <c r="H47" s="105"/>
    </row>
    <row r="48" spans="1:8" ht="17.100000000000001" customHeight="1" x14ac:dyDescent="0.2">
      <c r="A48" s="3">
        <v>42</v>
      </c>
      <c r="B48" s="4" t="s">
        <v>444</v>
      </c>
      <c r="C48" s="4" t="s">
        <v>445</v>
      </c>
      <c r="D48" s="4" t="s">
        <v>25</v>
      </c>
      <c r="E48" s="5">
        <v>9146</v>
      </c>
      <c r="F48" s="6">
        <v>25.56307</v>
      </c>
      <c r="G48" s="7">
        <v>7.7089599999999999E-3</v>
      </c>
      <c r="H48" s="105"/>
    </row>
    <row r="49" spans="1:8" ht="17.100000000000001" customHeight="1" x14ac:dyDescent="0.2">
      <c r="A49" s="3">
        <v>43</v>
      </c>
      <c r="B49" s="4" t="s">
        <v>402</v>
      </c>
      <c r="C49" s="4" t="s">
        <v>403</v>
      </c>
      <c r="D49" s="4" t="s">
        <v>207</v>
      </c>
      <c r="E49" s="5">
        <v>3248</v>
      </c>
      <c r="F49" s="6">
        <v>25.269439999999999</v>
      </c>
      <c r="G49" s="7">
        <v>7.6204100000000002E-3</v>
      </c>
      <c r="H49" s="105"/>
    </row>
    <row r="50" spans="1:8" ht="29.1" customHeight="1" x14ac:dyDescent="0.2">
      <c r="A50" s="3">
        <v>44</v>
      </c>
      <c r="B50" s="4" t="s">
        <v>407</v>
      </c>
      <c r="C50" s="4" t="s">
        <v>408</v>
      </c>
      <c r="D50" s="4" t="s">
        <v>212</v>
      </c>
      <c r="E50" s="5">
        <v>482</v>
      </c>
      <c r="F50" s="6">
        <v>22.455416</v>
      </c>
      <c r="G50" s="7">
        <v>6.7717899999999998E-3</v>
      </c>
      <c r="H50" s="105"/>
    </row>
    <row r="51" spans="1:8" ht="17.100000000000001" customHeight="1" x14ac:dyDescent="0.2">
      <c r="A51" s="3">
        <v>45</v>
      </c>
      <c r="B51" s="4" t="s">
        <v>450</v>
      </c>
      <c r="C51" s="4" t="s">
        <v>451</v>
      </c>
      <c r="D51" s="4" t="s">
        <v>33</v>
      </c>
      <c r="E51" s="5">
        <v>2157</v>
      </c>
      <c r="F51" s="6">
        <v>17.9969295</v>
      </c>
      <c r="G51" s="7">
        <v>5.4272599999999997E-3</v>
      </c>
      <c r="H51" s="105"/>
    </row>
    <row r="52" spans="1:8" ht="17.100000000000001" customHeight="1" x14ac:dyDescent="0.2">
      <c r="A52" s="3">
        <v>46</v>
      </c>
      <c r="B52" s="4" t="s">
        <v>502</v>
      </c>
      <c r="C52" s="4" t="s">
        <v>503</v>
      </c>
      <c r="D52" s="4" t="s">
        <v>121</v>
      </c>
      <c r="E52" s="5">
        <v>937</v>
      </c>
      <c r="F52" s="6">
        <v>17.504097000000002</v>
      </c>
      <c r="G52" s="7">
        <v>5.2786400000000002E-3</v>
      </c>
      <c r="H52" s="105"/>
    </row>
    <row r="53" spans="1:8" ht="17.100000000000001" customHeight="1" x14ac:dyDescent="0.2">
      <c r="A53" s="3">
        <v>47</v>
      </c>
      <c r="B53" s="4" t="s">
        <v>452</v>
      </c>
      <c r="C53" s="4" t="s">
        <v>453</v>
      </c>
      <c r="D53" s="4" t="s">
        <v>91</v>
      </c>
      <c r="E53" s="5">
        <v>21625</v>
      </c>
      <c r="F53" s="6">
        <v>14.099500000000001</v>
      </c>
      <c r="G53" s="7">
        <v>4.2519300000000001E-3</v>
      </c>
      <c r="H53" s="105"/>
    </row>
    <row r="54" spans="1:8" ht="29.1" customHeight="1" x14ac:dyDescent="0.2">
      <c r="A54" s="3">
        <v>48</v>
      </c>
      <c r="B54" s="4" t="s">
        <v>459</v>
      </c>
      <c r="C54" s="4" t="s">
        <v>460</v>
      </c>
      <c r="D54" s="4" t="s">
        <v>183</v>
      </c>
      <c r="E54" s="5">
        <v>1745</v>
      </c>
      <c r="F54" s="6">
        <v>8.7886924999999998</v>
      </c>
      <c r="G54" s="7">
        <v>2.65037E-3</v>
      </c>
      <c r="H54" s="105"/>
    </row>
    <row r="55" spans="1:8" ht="29.1" customHeight="1" x14ac:dyDescent="0.2">
      <c r="A55" s="3">
        <v>49</v>
      </c>
      <c r="B55" s="4" t="s">
        <v>409</v>
      </c>
      <c r="C55" s="4" t="s">
        <v>410</v>
      </c>
      <c r="D55" s="4" t="s">
        <v>212</v>
      </c>
      <c r="E55" s="5">
        <v>1757</v>
      </c>
      <c r="F55" s="6">
        <v>4.464537</v>
      </c>
      <c r="G55" s="7">
        <v>1.3463500000000001E-3</v>
      </c>
      <c r="H55" s="105"/>
    </row>
    <row r="56" spans="1:8" ht="14.1" customHeight="1" x14ac:dyDescent="0.2">
      <c r="A56" s="1"/>
      <c r="B56" s="1"/>
      <c r="C56" s="2" t="s">
        <v>132</v>
      </c>
      <c r="D56" s="1"/>
      <c r="E56" s="1" t="s">
        <v>133</v>
      </c>
      <c r="F56" s="9">
        <v>2987.5811494999998</v>
      </c>
      <c r="G56" s="10">
        <v>0.90095316000000003</v>
      </c>
      <c r="H56" s="105"/>
    </row>
    <row r="57" spans="1:8" ht="14.1" customHeight="1" x14ac:dyDescent="0.2">
      <c r="A57" s="1"/>
      <c r="B57" s="1"/>
      <c r="C57" s="11"/>
      <c r="D57" s="1"/>
      <c r="E57" s="1"/>
      <c r="F57" s="12"/>
      <c r="G57" s="12"/>
      <c r="H57" s="105"/>
    </row>
    <row r="58" spans="1:8" ht="14.1" customHeight="1" x14ac:dyDescent="0.2">
      <c r="A58" s="1"/>
      <c r="B58" s="1"/>
      <c r="C58" s="2" t="s">
        <v>134</v>
      </c>
      <c r="D58" s="1"/>
      <c r="E58" s="1"/>
      <c r="F58" s="1"/>
      <c r="G58" s="1"/>
      <c r="H58" s="105"/>
    </row>
    <row r="59" spans="1:8" ht="14.1" customHeight="1" x14ac:dyDescent="0.2">
      <c r="A59" s="1"/>
      <c r="B59" s="1"/>
      <c r="C59" s="2" t="s">
        <v>132</v>
      </c>
      <c r="D59" s="1"/>
      <c r="E59" s="1" t="s">
        <v>133</v>
      </c>
      <c r="F59" s="13" t="s">
        <v>135</v>
      </c>
      <c r="G59" s="10">
        <v>0</v>
      </c>
      <c r="H59" s="105"/>
    </row>
    <row r="60" spans="1:8" ht="14.1" customHeight="1" x14ac:dyDescent="0.2">
      <c r="A60" s="1"/>
      <c r="B60" s="1"/>
      <c r="C60" s="11"/>
      <c r="D60" s="1"/>
      <c r="E60" s="1"/>
      <c r="F60" s="12"/>
      <c r="G60" s="12"/>
      <c r="H60" s="105"/>
    </row>
    <row r="61" spans="1:8" ht="14.1" customHeight="1" x14ac:dyDescent="0.2">
      <c r="A61" s="1"/>
      <c r="B61" s="1"/>
      <c r="C61" s="2" t="s">
        <v>136</v>
      </c>
      <c r="D61" s="1"/>
      <c r="E61" s="1"/>
      <c r="F61" s="1"/>
      <c r="G61" s="1"/>
      <c r="H61" s="105"/>
    </row>
    <row r="62" spans="1:8" ht="14.1" customHeight="1" x14ac:dyDescent="0.2">
      <c r="A62" s="1"/>
      <c r="B62" s="1"/>
      <c r="C62" s="2" t="s">
        <v>132</v>
      </c>
      <c r="D62" s="1"/>
      <c r="E62" s="1" t="s">
        <v>133</v>
      </c>
      <c r="F62" s="13" t="s">
        <v>135</v>
      </c>
      <c r="G62" s="10">
        <v>0</v>
      </c>
      <c r="H62" s="105"/>
    </row>
    <row r="63" spans="1:8" ht="14.1" customHeight="1" x14ac:dyDescent="0.2">
      <c r="A63" s="1"/>
      <c r="B63" s="1"/>
      <c r="C63" s="11"/>
      <c r="D63" s="1"/>
      <c r="E63" s="1"/>
      <c r="F63" s="12"/>
      <c r="G63" s="12"/>
      <c r="H63" s="105"/>
    </row>
    <row r="64" spans="1:8" ht="14.1" customHeight="1" x14ac:dyDescent="0.2">
      <c r="A64" s="1"/>
      <c r="B64" s="1"/>
      <c r="C64" s="2" t="s">
        <v>137</v>
      </c>
      <c r="D64" s="1"/>
      <c r="E64" s="1"/>
      <c r="F64" s="1"/>
      <c r="G64" s="1"/>
      <c r="H64" s="105"/>
    </row>
    <row r="65" spans="1:8" ht="24.75" customHeight="1" x14ac:dyDescent="0.2">
      <c r="A65" s="3">
        <v>1</v>
      </c>
      <c r="B65" s="40" t="s">
        <v>923</v>
      </c>
      <c r="C65" s="40" t="s">
        <v>924</v>
      </c>
      <c r="D65" s="4" t="s">
        <v>81</v>
      </c>
      <c r="E65" s="5">
        <v>80272</v>
      </c>
      <c r="F65" s="6">
        <v>8.1140543039999997</v>
      </c>
      <c r="G65" s="7">
        <v>2.44692E-3</v>
      </c>
      <c r="H65" s="105"/>
    </row>
    <row r="66" spans="1:8" ht="14.1" customHeight="1" x14ac:dyDescent="0.2">
      <c r="A66" s="1"/>
      <c r="B66" s="1"/>
      <c r="C66" s="2" t="s">
        <v>132</v>
      </c>
      <c r="D66" s="1"/>
      <c r="E66" s="1" t="s">
        <v>133</v>
      </c>
      <c r="F66" s="9">
        <v>8.1140543039999997</v>
      </c>
      <c r="G66" s="10">
        <v>2.44692E-3</v>
      </c>
      <c r="H66" s="105"/>
    </row>
    <row r="67" spans="1:8" ht="14.1" customHeight="1" x14ac:dyDescent="0.2">
      <c r="A67" s="1"/>
      <c r="B67" s="1"/>
      <c r="C67" s="11"/>
      <c r="D67" s="1"/>
      <c r="E67" s="1"/>
      <c r="F67" s="12"/>
      <c r="G67" s="12"/>
      <c r="H67" s="105"/>
    </row>
    <row r="68" spans="1:8" ht="14.1" customHeight="1" x14ac:dyDescent="0.2">
      <c r="A68" s="1"/>
      <c r="B68" s="1"/>
      <c r="C68" s="2" t="s">
        <v>138</v>
      </c>
      <c r="D68" s="1"/>
      <c r="E68" s="1"/>
      <c r="F68" s="12"/>
      <c r="G68" s="12"/>
      <c r="H68" s="105"/>
    </row>
    <row r="69" spans="1:8" ht="14.1" customHeight="1" x14ac:dyDescent="0.2">
      <c r="A69" s="1"/>
      <c r="B69" s="1"/>
      <c r="C69" s="2" t="s">
        <v>132</v>
      </c>
      <c r="D69" s="1"/>
      <c r="E69" s="1" t="s">
        <v>133</v>
      </c>
      <c r="F69" s="13" t="s">
        <v>135</v>
      </c>
      <c r="G69" s="10">
        <v>0</v>
      </c>
      <c r="H69" s="105"/>
    </row>
    <row r="70" spans="1:8" ht="14.1" customHeight="1" x14ac:dyDescent="0.2">
      <c r="A70" s="1"/>
      <c r="B70" s="1"/>
      <c r="C70" s="11"/>
      <c r="D70" s="1"/>
      <c r="E70" s="1"/>
      <c r="F70" s="12"/>
      <c r="G70" s="12"/>
      <c r="H70" s="105"/>
    </row>
    <row r="71" spans="1:8" ht="14.1" customHeight="1" x14ac:dyDescent="0.2">
      <c r="A71" s="1"/>
      <c r="B71" s="1"/>
      <c r="C71" s="2" t="s">
        <v>139</v>
      </c>
      <c r="D71" s="1"/>
      <c r="E71" s="1"/>
      <c r="F71" s="12"/>
      <c r="G71" s="12"/>
      <c r="H71" s="105"/>
    </row>
    <row r="72" spans="1:8" ht="14.1" customHeight="1" x14ac:dyDescent="0.2">
      <c r="A72" s="1"/>
      <c r="B72" s="1"/>
      <c r="C72" s="2" t="s">
        <v>132</v>
      </c>
      <c r="D72" s="1"/>
      <c r="E72" s="1" t="s">
        <v>133</v>
      </c>
      <c r="F72" s="13" t="s">
        <v>135</v>
      </c>
      <c r="G72" s="10">
        <v>0</v>
      </c>
      <c r="H72" s="105"/>
    </row>
    <row r="73" spans="1:8" ht="14.1" customHeight="1" x14ac:dyDescent="0.2">
      <c r="A73" s="1"/>
      <c r="B73" s="1"/>
      <c r="C73" s="11"/>
      <c r="D73" s="1"/>
      <c r="E73" s="1"/>
      <c r="F73" s="12"/>
      <c r="G73" s="12"/>
      <c r="H73" s="105"/>
    </row>
    <row r="74" spans="1:8" ht="18" customHeight="1" x14ac:dyDescent="0.2">
      <c r="A74" s="1"/>
      <c r="B74" s="1"/>
      <c r="C74" s="2" t="s">
        <v>140</v>
      </c>
      <c r="D74" s="1"/>
      <c r="E74" s="1"/>
      <c r="F74" s="9">
        <v>2995.6952038039999</v>
      </c>
      <c r="G74" s="10">
        <v>0.90340008000000005</v>
      </c>
      <c r="H74" s="105"/>
    </row>
    <row r="75" spans="1:8" ht="14.1" customHeight="1" x14ac:dyDescent="0.2">
      <c r="A75" s="1"/>
      <c r="B75" s="1"/>
      <c r="C75" s="11"/>
      <c r="D75" s="1"/>
      <c r="E75" s="1"/>
      <c r="F75" s="12"/>
      <c r="G75" s="12"/>
      <c r="H75" s="105"/>
    </row>
    <row r="76" spans="1:8" ht="14.1" customHeight="1" x14ac:dyDescent="0.2">
      <c r="A76" s="1"/>
      <c r="B76" s="1"/>
      <c r="C76" s="2" t="s">
        <v>141</v>
      </c>
      <c r="D76" s="1"/>
      <c r="E76" s="1"/>
      <c r="F76" s="12"/>
      <c r="G76" s="12"/>
      <c r="H76" s="105"/>
    </row>
    <row r="77" spans="1:8" ht="24" customHeight="1" x14ac:dyDescent="0.2">
      <c r="A77" s="1"/>
      <c r="B77" s="1"/>
      <c r="C77" s="2" t="s">
        <v>10</v>
      </c>
      <c r="D77" s="1"/>
      <c r="E77" s="1"/>
      <c r="F77" s="12"/>
      <c r="G77" s="12"/>
      <c r="H77" s="105"/>
    </row>
    <row r="78" spans="1:8" ht="14.1" customHeight="1" x14ac:dyDescent="0.2">
      <c r="A78" s="1"/>
      <c r="B78" s="1"/>
      <c r="C78" s="2" t="s">
        <v>132</v>
      </c>
      <c r="D78" s="1"/>
      <c r="E78" s="1" t="s">
        <v>133</v>
      </c>
      <c r="F78" s="13" t="s">
        <v>135</v>
      </c>
      <c r="G78" s="10">
        <v>0</v>
      </c>
      <c r="H78" s="105"/>
    </row>
    <row r="79" spans="1:8" ht="14.1" customHeight="1" x14ac:dyDescent="0.2">
      <c r="A79" s="1"/>
      <c r="B79" s="1"/>
      <c r="C79" s="11"/>
      <c r="D79" s="1"/>
      <c r="E79" s="1"/>
      <c r="F79" s="12"/>
      <c r="G79" s="12"/>
      <c r="H79" s="105"/>
    </row>
    <row r="80" spans="1:8" ht="14.1" customHeight="1" x14ac:dyDescent="0.2">
      <c r="A80" s="1"/>
      <c r="B80" s="1"/>
      <c r="C80" s="2" t="s">
        <v>142</v>
      </c>
      <c r="D80" s="1"/>
      <c r="E80" s="1"/>
      <c r="F80" s="1"/>
      <c r="G80" s="1"/>
      <c r="H80" s="105"/>
    </row>
    <row r="81" spans="1:8" ht="14.1" customHeight="1" x14ac:dyDescent="0.2">
      <c r="A81" s="1"/>
      <c r="B81" s="1"/>
      <c r="C81" s="2" t="s">
        <v>132</v>
      </c>
      <c r="D81" s="1"/>
      <c r="E81" s="1" t="s">
        <v>133</v>
      </c>
      <c r="F81" s="13" t="s">
        <v>135</v>
      </c>
      <c r="G81" s="10">
        <v>0</v>
      </c>
      <c r="H81" s="105"/>
    </row>
    <row r="82" spans="1:8" ht="14.1" customHeight="1" x14ac:dyDescent="0.2">
      <c r="A82" s="1"/>
      <c r="B82" s="1"/>
      <c r="C82" s="11"/>
      <c r="D82" s="1"/>
      <c r="E82" s="1"/>
      <c r="F82" s="12"/>
      <c r="G82" s="12"/>
      <c r="H82" s="105"/>
    </row>
    <row r="83" spans="1:8" ht="14.1" customHeight="1" x14ac:dyDescent="0.2">
      <c r="A83" s="1"/>
      <c r="B83" s="1"/>
      <c r="C83" s="2" t="s">
        <v>143</v>
      </c>
      <c r="D83" s="1"/>
      <c r="E83" s="1"/>
      <c r="F83" s="1"/>
      <c r="G83" s="1"/>
      <c r="H83" s="105"/>
    </row>
    <row r="84" spans="1:8" ht="14.1" customHeight="1" x14ac:dyDescent="0.2">
      <c r="A84" s="1"/>
      <c r="B84" s="1"/>
      <c r="C84" s="2" t="s">
        <v>132</v>
      </c>
      <c r="D84" s="1"/>
      <c r="E84" s="1" t="s">
        <v>133</v>
      </c>
      <c r="F84" s="13" t="s">
        <v>135</v>
      </c>
      <c r="G84" s="10">
        <v>0</v>
      </c>
      <c r="H84" s="105"/>
    </row>
    <row r="85" spans="1:8" ht="14.1" customHeight="1" x14ac:dyDescent="0.2">
      <c r="A85" s="1"/>
      <c r="B85" s="1"/>
      <c r="C85" s="11"/>
      <c r="D85" s="1"/>
      <c r="E85" s="1"/>
      <c r="F85" s="12"/>
      <c r="G85" s="12"/>
      <c r="H85" s="105"/>
    </row>
    <row r="86" spans="1:8" ht="14.1" customHeight="1" x14ac:dyDescent="0.2">
      <c r="A86" s="1"/>
      <c r="B86" s="1"/>
      <c r="C86" s="2" t="s">
        <v>144</v>
      </c>
      <c r="D86" s="1"/>
      <c r="E86" s="1"/>
      <c r="F86" s="12"/>
      <c r="G86" s="12"/>
      <c r="H86" s="105"/>
    </row>
    <row r="87" spans="1:8" ht="14.1" customHeight="1" x14ac:dyDescent="0.2">
      <c r="A87" s="1"/>
      <c r="B87" s="1"/>
      <c r="C87" s="2" t="s">
        <v>132</v>
      </c>
      <c r="D87" s="1"/>
      <c r="E87" s="1" t="s">
        <v>133</v>
      </c>
      <c r="F87" s="13" t="s">
        <v>135</v>
      </c>
      <c r="G87" s="10">
        <v>0</v>
      </c>
      <c r="H87" s="105"/>
    </row>
    <row r="88" spans="1:8" ht="14.1" customHeight="1" x14ac:dyDescent="0.2">
      <c r="A88" s="1"/>
      <c r="B88" s="1"/>
      <c r="C88" s="11"/>
      <c r="D88" s="1"/>
      <c r="E88" s="1"/>
      <c r="F88" s="12"/>
      <c r="G88" s="12"/>
      <c r="H88" s="105"/>
    </row>
    <row r="89" spans="1:8" ht="14.1" customHeight="1" x14ac:dyDescent="0.2">
      <c r="A89" s="1"/>
      <c r="B89" s="1"/>
      <c r="C89" s="2" t="s">
        <v>145</v>
      </c>
      <c r="D89" s="1"/>
      <c r="E89" s="1"/>
      <c r="F89" s="9">
        <v>0</v>
      </c>
      <c r="G89" s="10">
        <v>0</v>
      </c>
      <c r="H89" s="105"/>
    </row>
    <row r="90" spans="1:8" ht="14.1" customHeight="1" x14ac:dyDescent="0.2">
      <c r="A90" s="1"/>
      <c r="B90" s="1"/>
      <c r="C90" s="11"/>
      <c r="D90" s="1"/>
      <c r="E90" s="1"/>
      <c r="F90" s="12"/>
      <c r="G90" s="12"/>
      <c r="H90" s="105"/>
    </row>
    <row r="91" spans="1:8" ht="14.1" customHeight="1" x14ac:dyDescent="0.2">
      <c r="A91" s="1"/>
      <c r="B91" s="1"/>
      <c r="C91" s="2" t="s">
        <v>146</v>
      </c>
      <c r="D91" s="1"/>
      <c r="E91" s="1"/>
      <c r="F91" s="12"/>
      <c r="G91" s="12"/>
      <c r="H91" s="105"/>
    </row>
    <row r="92" spans="1:8" ht="14.1" customHeight="1" x14ac:dyDescent="0.2">
      <c r="A92" s="1"/>
      <c r="B92" s="1"/>
      <c r="C92" s="2" t="s">
        <v>147</v>
      </c>
      <c r="D92" s="1"/>
      <c r="E92" s="1"/>
      <c r="F92" s="12"/>
      <c r="G92" s="12"/>
      <c r="H92" s="105"/>
    </row>
    <row r="93" spans="1:8" ht="14.1" customHeight="1" x14ac:dyDescent="0.2">
      <c r="A93" s="1"/>
      <c r="B93" s="1"/>
      <c r="C93" s="2" t="s">
        <v>132</v>
      </c>
      <c r="D93" s="1"/>
      <c r="E93" s="1" t="s">
        <v>133</v>
      </c>
      <c r="F93" s="13" t="s">
        <v>135</v>
      </c>
      <c r="G93" s="10">
        <v>0</v>
      </c>
      <c r="H93" s="105"/>
    </row>
    <row r="94" spans="1:8" ht="14.1" customHeight="1" x14ac:dyDescent="0.2">
      <c r="A94" s="1"/>
      <c r="B94" s="1"/>
      <c r="C94" s="11"/>
      <c r="D94" s="1"/>
      <c r="E94" s="1"/>
      <c r="F94" s="12"/>
      <c r="G94" s="12"/>
      <c r="H94" s="105"/>
    </row>
    <row r="95" spans="1:8" ht="14.1" customHeight="1" x14ac:dyDescent="0.2">
      <c r="A95" s="1"/>
      <c r="B95" s="1"/>
      <c r="C95" s="2" t="s">
        <v>148</v>
      </c>
      <c r="D95" s="1"/>
      <c r="E95" s="1"/>
      <c r="F95" s="12"/>
      <c r="G95" s="12"/>
      <c r="H95" s="105"/>
    </row>
    <row r="96" spans="1:8" ht="14.1" customHeight="1" x14ac:dyDescent="0.2">
      <c r="A96" s="1"/>
      <c r="B96" s="1"/>
      <c r="C96" s="2" t="s">
        <v>132</v>
      </c>
      <c r="D96" s="1"/>
      <c r="E96" s="1" t="s">
        <v>133</v>
      </c>
      <c r="F96" s="13" t="s">
        <v>135</v>
      </c>
      <c r="G96" s="10">
        <v>0</v>
      </c>
      <c r="H96" s="105"/>
    </row>
    <row r="97" spans="1:8" ht="14.1" customHeight="1" x14ac:dyDescent="0.2">
      <c r="A97" s="1"/>
      <c r="B97" s="1"/>
      <c r="C97" s="11"/>
      <c r="D97" s="1"/>
      <c r="E97" s="1"/>
      <c r="F97" s="12"/>
      <c r="G97" s="12"/>
      <c r="H97" s="105"/>
    </row>
    <row r="98" spans="1:8" ht="14.1" customHeight="1" x14ac:dyDescent="0.2">
      <c r="A98" s="1"/>
      <c r="B98" s="1"/>
      <c r="C98" s="2" t="s">
        <v>149</v>
      </c>
      <c r="D98" s="1"/>
      <c r="E98" s="1"/>
      <c r="F98" s="12"/>
      <c r="G98" s="12"/>
      <c r="H98" s="105"/>
    </row>
    <row r="99" spans="1:8" ht="14.1" customHeight="1" x14ac:dyDescent="0.2">
      <c r="A99" s="1"/>
      <c r="B99" s="1"/>
      <c r="C99" s="2" t="s">
        <v>132</v>
      </c>
      <c r="D99" s="1"/>
      <c r="E99" s="1" t="s">
        <v>133</v>
      </c>
      <c r="F99" s="13" t="s">
        <v>135</v>
      </c>
      <c r="G99" s="10">
        <v>0</v>
      </c>
      <c r="H99" s="105"/>
    </row>
    <row r="100" spans="1:8" ht="14.1" customHeight="1" x14ac:dyDescent="0.2">
      <c r="A100" s="1"/>
      <c r="B100" s="1"/>
      <c r="C100" s="11"/>
      <c r="D100" s="1"/>
      <c r="E100" s="1"/>
      <c r="F100" s="12"/>
      <c r="G100" s="12"/>
      <c r="H100" s="105"/>
    </row>
    <row r="101" spans="1:8" ht="14.1" customHeight="1" x14ac:dyDescent="0.2">
      <c r="A101" s="1"/>
      <c r="B101" s="1"/>
      <c r="C101" s="2" t="s">
        <v>150</v>
      </c>
      <c r="D101" s="1"/>
      <c r="E101" s="1"/>
      <c r="F101" s="12"/>
      <c r="G101" s="12"/>
      <c r="H101" s="105"/>
    </row>
    <row r="102" spans="1:8" ht="17.100000000000001" customHeight="1" x14ac:dyDescent="0.2">
      <c r="A102" s="3">
        <v>1</v>
      </c>
      <c r="B102" s="4"/>
      <c r="C102" s="4" t="s">
        <v>151</v>
      </c>
      <c r="D102" s="4"/>
      <c r="E102" s="8"/>
      <c r="F102" s="6">
        <v>281.96474590000003</v>
      </c>
      <c r="G102" s="7">
        <v>8.5030999999999995E-2</v>
      </c>
      <c r="H102" s="105">
        <v>6.8153352377542396</v>
      </c>
    </row>
    <row r="103" spans="1:8" ht="17.100000000000001" customHeight="1" x14ac:dyDescent="0.2">
      <c r="A103" s="3">
        <v>2</v>
      </c>
      <c r="B103" s="4"/>
      <c r="C103" s="4" t="s">
        <v>152</v>
      </c>
      <c r="D103" s="4"/>
      <c r="E103" s="8"/>
      <c r="F103" s="6">
        <v>33.459693299999998</v>
      </c>
      <c r="G103" s="7">
        <v>1.009031E-2</v>
      </c>
      <c r="H103" s="105">
        <v>6.7952403714590259</v>
      </c>
    </row>
    <row r="104" spans="1:8" ht="14.1" customHeight="1" x14ac:dyDescent="0.2">
      <c r="A104" s="1"/>
      <c r="B104" s="1"/>
      <c r="C104" s="2" t="s">
        <v>132</v>
      </c>
      <c r="D104" s="1"/>
      <c r="E104" s="1" t="s">
        <v>133</v>
      </c>
      <c r="F104" s="9">
        <v>315.42443919999999</v>
      </c>
      <c r="G104" s="10">
        <v>9.5121310000000001E-2</v>
      </c>
      <c r="H104" s="105"/>
    </row>
    <row r="105" spans="1:8" ht="14.1" customHeight="1" x14ac:dyDescent="0.2">
      <c r="A105" s="1"/>
      <c r="B105" s="1"/>
      <c r="C105" s="11"/>
      <c r="D105" s="1"/>
      <c r="E105" s="1"/>
      <c r="F105" s="12"/>
      <c r="G105" s="12"/>
      <c r="H105" s="105"/>
    </row>
    <row r="106" spans="1:8" ht="14.1" customHeight="1" x14ac:dyDescent="0.2">
      <c r="A106" s="1"/>
      <c r="B106" s="1"/>
      <c r="C106" s="2" t="s">
        <v>153</v>
      </c>
      <c r="D106" s="1"/>
      <c r="E106" s="1"/>
      <c r="F106" s="9">
        <v>315.42443919999999</v>
      </c>
      <c r="G106" s="10">
        <v>9.5121310000000001E-2</v>
      </c>
      <c r="H106" s="105"/>
    </row>
    <row r="107" spans="1:8" ht="14.1" customHeight="1" x14ac:dyDescent="0.2">
      <c r="A107" s="1"/>
      <c r="B107" s="1"/>
      <c r="C107" s="12"/>
      <c r="D107" s="1"/>
      <c r="E107" s="1"/>
      <c r="F107" s="1"/>
      <c r="G107" s="1"/>
      <c r="H107" s="105"/>
    </row>
    <row r="108" spans="1:8" ht="14.1" customHeight="1" x14ac:dyDescent="0.2">
      <c r="A108" s="1"/>
      <c r="B108" s="1"/>
      <c r="C108" s="2" t="s">
        <v>154</v>
      </c>
      <c r="D108" s="1"/>
      <c r="E108" s="1"/>
      <c r="F108" s="1"/>
      <c r="G108" s="1"/>
      <c r="H108" s="105"/>
    </row>
    <row r="109" spans="1:8" ht="14.1" customHeight="1" x14ac:dyDescent="0.2">
      <c r="A109" s="1"/>
      <c r="B109" s="1"/>
      <c r="C109" s="2" t="s">
        <v>155</v>
      </c>
      <c r="D109" s="1"/>
      <c r="E109" s="1"/>
      <c r="F109" s="1"/>
      <c r="G109" s="1"/>
      <c r="H109" s="105"/>
    </row>
    <row r="110" spans="1:8" ht="14.1" customHeight="1" x14ac:dyDescent="0.2">
      <c r="A110" s="1"/>
      <c r="B110" s="1"/>
      <c r="C110" s="2" t="s">
        <v>132</v>
      </c>
      <c r="D110" s="1"/>
      <c r="E110" s="1" t="s">
        <v>133</v>
      </c>
      <c r="F110" s="13" t="s">
        <v>135</v>
      </c>
      <c r="G110" s="10">
        <v>0</v>
      </c>
      <c r="H110" s="105"/>
    </row>
    <row r="111" spans="1:8" ht="14.1" customHeight="1" x14ac:dyDescent="0.2">
      <c r="A111" s="1"/>
      <c r="B111" s="1"/>
      <c r="C111" s="11"/>
      <c r="D111" s="1"/>
      <c r="E111" s="1"/>
      <c r="F111" s="12"/>
      <c r="G111" s="12"/>
      <c r="H111" s="105"/>
    </row>
    <row r="112" spans="1:8" ht="14.1" customHeight="1" x14ac:dyDescent="0.2">
      <c r="A112" s="1"/>
      <c r="B112" s="1"/>
      <c r="C112" s="2" t="s">
        <v>156</v>
      </c>
      <c r="D112" s="1"/>
      <c r="E112" s="1"/>
      <c r="F112" s="1"/>
      <c r="G112" s="1"/>
      <c r="H112" s="105"/>
    </row>
    <row r="113" spans="1:8" ht="14.1" customHeight="1" x14ac:dyDescent="0.2">
      <c r="A113" s="1"/>
      <c r="B113" s="1"/>
      <c r="C113" s="2" t="s">
        <v>157</v>
      </c>
      <c r="D113" s="1"/>
      <c r="E113" s="1"/>
      <c r="F113" s="1"/>
      <c r="G113" s="1"/>
      <c r="H113" s="105"/>
    </row>
    <row r="114" spans="1:8" ht="14.1" customHeight="1" x14ac:dyDescent="0.2">
      <c r="A114" s="1"/>
      <c r="B114" s="1"/>
      <c r="C114" s="2" t="s">
        <v>132</v>
      </c>
      <c r="D114" s="1"/>
      <c r="E114" s="1" t="s">
        <v>133</v>
      </c>
      <c r="F114" s="13" t="s">
        <v>135</v>
      </c>
      <c r="G114" s="10">
        <v>0</v>
      </c>
      <c r="H114" s="105"/>
    </row>
    <row r="115" spans="1:8" ht="14.1" customHeight="1" x14ac:dyDescent="0.2">
      <c r="A115" s="1"/>
      <c r="B115" s="1"/>
      <c r="C115" s="11"/>
      <c r="D115" s="1"/>
      <c r="E115" s="1"/>
      <c r="F115" s="12"/>
      <c r="G115" s="12"/>
      <c r="H115" s="105"/>
    </row>
    <row r="116" spans="1:8" ht="24" customHeight="1" x14ac:dyDescent="0.2">
      <c r="A116" s="1"/>
      <c r="B116" s="1"/>
      <c r="C116" s="2" t="s">
        <v>158</v>
      </c>
      <c r="D116" s="1"/>
      <c r="E116" s="1"/>
      <c r="F116" s="12"/>
      <c r="G116" s="12"/>
      <c r="H116" s="105"/>
    </row>
    <row r="117" spans="1:8" ht="14.1" customHeight="1" x14ac:dyDescent="0.2">
      <c r="A117" s="1"/>
      <c r="B117" s="1"/>
      <c r="C117" s="2" t="s">
        <v>132</v>
      </c>
      <c r="D117" s="1"/>
      <c r="E117" s="1" t="s">
        <v>133</v>
      </c>
      <c r="F117" s="13" t="s">
        <v>135</v>
      </c>
      <c r="G117" s="10">
        <v>0</v>
      </c>
      <c r="H117" s="105"/>
    </row>
    <row r="118" spans="1:8" ht="14.1" customHeight="1" x14ac:dyDescent="0.2">
      <c r="A118" s="1"/>
      <c r="B118" s="1"/>
      <c r="C118" s="11"/>
      <c r="D118" s="1"/>
      <c r="E118" s="1"/>
      <c r="F118" s="12"/>
      <c r="G118" s="12"/>
      <c r="H118" s="105"/>
    </row>
    <row r="119" spans="1:8" ht="14.1" customHeight="1" x14ac:dyDescent="0.2">
      <c r="A119" s="1"/>
      <c r="B119" s="4"/>
      <c r="C119" s="4"/>
      <c r="D119" s="2"/>
      <c r="E119" s="1"/>
      <c r="F119" s="4"/>
      <c r="G119" s="8"/>
      <c r="H119" s="105"/>
    </row>
    <row r="120" spans="1:8" ht="18" customHeight="1" x14ac:dyDescent="0.2">
      <c r="A120" s="8"/>
      <c r="B120" s="4"/>
      <c r="C120" s="4" t="s">
        <v>159</v>
      </c>
      <c r="D120" s="4"/>
      <c r="E120" s="8"/>
      <c r="F120" s="6">
        <v>4.9032201899999999</v>
      </c>
      <c r="G120" s="7">
        <v>1.47865E-3</v>
      </c>
      <c r="H120" s="105"/>
    </row>
    <row r="121" spans="1:8" ht="14.1" customHeight="1" x14ac:dyDescent="0.2">
      <c r="A121" s="11"/>
      <c r="B121" s="11"/>
      <c r="C121" s="2" t="s">
        <v>160</v>
      </c>
      <c r="D121" s="12"/>
      <c r="E121" s="12"/>
      <c r="F121" s="9">
        <v>3316.0228631939999</v>
      </c>
      <c r="G121" s="14">
        <v>1.00000004</v>
      </c>
      <c r="H121" s="105"/>
    </row>
    <row r="122" spans="1:8" ht="14.1" customHeight="1" x14ac:dyDescent="0.2">
      <c r="A122" s="15"/>
      <c r="B122" s="15"/>
      <c r="C122" s="15"/>
      <c r="D122" s="16"/>
      <c r="E122" s="16"/>
      <c r="F122" s="16"/>
      <c r="G122" s="16"/>
    </row>
    <row r="123" spans="1:8" ht="14.1" customHeight="1" x14ac:dyDescent="0.2">
      <c r="A123" s="17"/>
      <c r="B123" s="17"/>
      <c r="C123" s="17"/>
      <c r="D123" s="19"/>
      <c r="E123" s="19"/>
      <c r="F123" s="19"/>
      <c r="G123" s="19"/>
    </row>
    <row r="124" spans="1:8" ht="14.1" customHeight="1" x14ac:dyDescent="0.2">
      <c r="A124" s="17"/>
      <c r="B124" s="179" t="s">
        <v>162</v>
      </c>
      <c r="C124" s="180"/>
      <c r="D124" s="181"/>
      <c r="E124" s="20"/>
      <c r="F124" s="19"/>
      <c r="G124" s="19"/>
    </row>
    <row r="125" spans="1:8" ht="29.1" customHeight="1" x14ac:dyDescent="0.2">
      <c r="A125" s="17"/>
      <c r="B125" s="176" t="s">
        <v>163</v>
      </c>
      <c r="C125" s="177"/>
      <c r="D125" s="2" t="s">
        <v>164</v>
      </c>
      <c r="E125" s="20"/>
      <c r="F125" s="19"/>
      <c r="G125" s="19"/>
    </row>
    <row r="126" spans="1:8" ht="17.100000000000001" customHeight="1" x14ac:dyDescent="0.2">
      <c r="A126" s="17"/>
      <c r="B126" s="176" t="s">
        <v>165</v>
      </c>
      <c r="C126" s="177"/>
      <c r="D126" s="2" t="s">
        <v>164</v>
      </c>
      <c r="E126" s="20"/>
      <c r="F126" s="19"/>
      <c r="G126" s="19"/>
    </row>
    <row r="127" spans="1:8" ht="17.100000000000001" customHeight="1" x14ac:dyDescent="0.2">
      <c r="A127" s="17"/>
      <c r="B127" s="176" t="s">
        <v>166</v>
      </c>
      <c r="C127" s="177"/>
      <c r="D127" s="12" t="s">
        <v>133</v>
      </c>
      <c r="E127" s="20"/>
      <c r="F127" s="19"/>
      <c r="G127" s="19"/>
    </row>
    <row r="128" spans="1:8" ht="24" customHeight="1" x14ac:dyDescent="0.2">
      <c r="A128" s="21"/>
      <c r="B128" s="22" t="s">
        <v>133</v>
      </c>
      <c r="C128" s="22" t="s">
        <v>167</v>
      </c>
      <c r="D128" s="22" t="s">
        <v>168</v>
      </c>
      <c r="E128" s="21"/>
      <c r="F128" s="21"/>
      <c r="G128" s="21"/>
    </row>
    <row r="129" spans="1:7" ht="18" customHeight="1" x14ac:dyDescent="0.2">
      <c r="A129" s="21"/>
      <c r="B129" s="23" t="s">
        <v>169</v>
      </c>
      <c r="C129" s="22" t="s">
        <v>170</v>
      </c>
      <c r="D129" s="22" t="s">
        <v>171</v>
      </c>
      <c r="E129" s="21"/>
      <c r="F129" s="21"/>
      <c r="G129" s="21"/>
    </row>
    <row r="130" spans="1:7" ht="17.100000000000001" customHeight="1" x14ac:dyDescent="0.2">
      <c r="A130" s="21"/>
      <c r="B130" s="4" t="s">
        <v>172</v>
      </c>
      <c r="C130" s="24">
        <v>17.036999999999999</v>
      </c>
      <c r="D130" s="24">
        <v>18.2667</v>
      </c>
      <c r="E130" s="21"/>
      <c r="F130" s="18"/>
      <c r="G130" s="25"/>
    </row>
    <row r="131" spans="1:7" ht="17.100000000000001" customHeight="1" x14ac:dyDescent="0.2">
      <c r="A131" s="21"/>
      <c r="B131" s="4" t="s">
        <v>1006</v>
      </c>
      <c r="C131" s="24">
        <v>17.036999999999999</v>
      </c>
      <c r="D131" s="24">
        <v>18.2667</v>
      </c>
      <c r="E131" s="21"/>
      <c r="F131" s="18"/>
      <c r="G131" s="25"/>
    </row>
    <row r="132" spans="1:7" ht="17.100000000000001" customHeight="1" x14ac:dyDescent="0.2">
      <c r="A132" s="21"/>
      <c r="B132" s="4" t="s">
        <v>173</v>
      </c>
      <c r="C132" s="24">
        <v>16.705100000000002</v>
      </c>
      <c r="D132" s="24">
        <v>17.909199999999998</v>
      </c>
      <c r="E132" s="21"/>
      <c r="F132" s="18"/>
      <c r="G132" s="25"/>
    </row>
    <row r="133" spans="1:7" ht="17.100000000000001" customHeight="1" x14ac:dyDescent="0.2">
      <c r="A133" s="21"/>
      <c r="B133" s="4" t="s">
        <v>1007</v>
      </c>
      <c r="C133" s="24">
        <v>16.704899999999999</v>
      </c>
      <c r="D133" s="24">
        <v>17.908999999999999</v>
      </c>
      <c r="E133" s="21"/>
      <c r="F133" s="18"/>
      <c r="G133" s="25"/>
    </row>
    <row r="134" spans="1:7" ht="14.1" customHeight="1" x14ac:dyDescent="0.2">
      <c r="A134" s="21"/>
      <c r="B134" s="21"/>
      <c r="C134" s="21"/>
      <c r="D134" s="21"/>
      <c r="E134" s="21"/>
      <c r="F134" s="21"/>
      <c r="G134" s="21"/>
    </row>
    <row r="135" spans="1:7" ht="17.100000000000001" customHeight="1" x14ac:dyDescent="0.2">
      <c r="A135" s="21"/>
      <c r="B135" s="176" t="s">
        <v>1008</v>
      </c>
      <c r="C135" s="177"/>
      <c r="D135" s="2" t="s">
        <v>164</v>
      </c>
      <c r="E135" s="21"/>
      <c r="F135" s="21"/>
      <c r="G135" s="21"/>
    </row>
    <row r="136" spans="1:7" ht="18" customHeight="1" x14ac:dyDescent="0.2">
      <c r="A136" s="21"/>
      <c r="B136" s="26"/>
      <c r="C136" s="26"/>
      <c r="D136" s="26"/>
      <c r="E136" s="21"/>
      <c r="F136" s="21"/>
      <c r="G136" s="21"/>
    </row>
    <row r="137" spans="1:7" ht="29.1" customHeight="1" x14ac:dyDescent="0.2">
      <c r="A137" s="21"/>
      <c r="B137" s="176" t="s">
        <v>174</v>
      </c>
      <c r="C137" s="177"/>
      <c r="D137" s="2" t="s">
        <v>164</v>
      </c>
      <c r="E137" s="27"/>
      <c r="F137" s="21"/>
      <c r="G137" s="21"/>
    </row>
    <row r="138" spans="1:7" ht="29.1" customHeight="1" x14ac:dyDescent="0.2">
      <c r="A138" s="21"/>
      <c r="B138" s="176" t="s">
        <v>175</v>
      </c>
      <c r="C138" s="177"/>
      <c r="D138" s="2" t="s">
        <v>164</v>
      </c>
      <c r="E138" s="27"/>
      <c r="F138" s="21"/>
      <c r="G138" s="21"/>
    </row>
    <row r="139" spans="1:7" ht="17.100000000000001" customHeight="1" x14ac:dyDescent="0.2">
      <c r="A139" s="21"/>
      <c r="B139" s="176" t="s">
        <v>176</v>
      </c>
      <c r="C139" s="177"/>
      <c r="D139" s="2" t="s">
        <v>164</v>
      </c>
      <c r="E139" s="27"/>
      <c r="F139" s="21"/>
      <c r="G139" s="21"/>
    </row>
    <row r="140" spans="1:7" ht="17.100000000000001" customHeight="1" x14ac:dyDescent="0.2">
      <c r="A140" s="21"/>
      <c r="B140" s="176" t="s">
        <v>177</v>
      </c>
      <c r="C140" s="177"/>
      <c r="D140" s="60">
        <v>0.11834449090168483</v>
      </c>
      <c r="E140" s="21"/>
      <c r="F140" s="18"/>
      <c r="G140" s="25"/>
    </row>
    <row r="155" spans="10:14" x14ac:dyDescent="0.2">
      <c r="J155" s="162"/>
      <c r="K155" s="162"/>
      <c r="L155" s="162"/>
      <c r="M155" s="162"/>
      <c r="N155" s="162"/>
    </row>
  </sheetData>
  <mergeCells count="13">
    <mergeCell ref="B140:C140"/>
    <mergeCell ref="B126:C126"/>
    <mergeCell ref="B127:C127"/>
    <mergeCell ref="B135:C135"/>
    <mergeCell ref="B137:C137"/>
    <mergeCell ref="B138:C138"/>
    <mergeCell ref="B139:C139"/>
    <mergeCell ref="J2:N2"/>
    <mergeCell ref="B125:C125"/>
    <mergeCell ref="B124:D124"/>
    <mergeCell ref="A1:H1"/>
    <mergeCell ref="A2:H2"/>
    <mergeCell ref="A3:H3"/>
  </mergeCells>
  <hyperlinks>
    <hyperlink ref="I1" location="Index!B17" display="Index" xr:uid="{C18BECB6-FEB4-4569-942A-A155C89037AC}"/>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O154"/>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5" ht="18" customHeight="1" x14ac:dyDescent="0.2">
      <c r="A1" s="182" t="s">
        <v>0</v>
      </c>
      <c r="B1" s="182"/>
      <c r="C1" s="182"/>
      <c r="D1" s="182"/>
      <c r="E1" s="182"/>
      <c r="F1" s="182"/>
      <c r="G1" s="182"/>
      <c r="H1" s="182"/>
      <c r="I1" s="159" t="s">
        <v>1044</v>
      </c>
    </row>
    <row r="2" spans="1:15" ht="17.100000000000001" customHeight="1" x14ac:dyDescent="0.2">
      <c r="A2" s="183" t="s">
        <v>505</v>
      </c>
      <c r="B2" s="184"/>
      <c r="C2" s="184"/>
      <c r="D2" s="184"/>
      <c r="E2" s="184"/>
      <c r="F2" s="184"/>
      <c r="G2" s="184"/>
      <c r="H2" s="185"/>
      <c r="J2" s="175" t="s">
        <v>1045</v>
      </c>
      <c r="K2" s="175"/>
      <c r="L2" s="175"/>
      <c r="M2" s="175"/>
      <c r="N2" s="175"/>
    </row>
    <row r="3" spans="1:15" ht="21" customHeight="1" x14ac:dyDescent="0.2">
      <c r="A3" s="182" t="s">
        <v>1016</v>
      </c>
      <c r="B3" s="182"/>
      <c r="C3" s="182"/>
      <c r="D3" s="182"/>
      <c r="E3" s="182"/>
      <c r="F3" s="182"/>
      <c r="G3" s="182"/>
      <c r="H3" s="182"/>
    </row>
    <row r="4" spans="1:15" ht="30" x14ac:dyDescent="0.2">
      <c r="A4" s="107" t="s">
        <v>2</v>
      </c>
      <c r="B4" s="107" t="s">
        <v>3</v>
      </c>
      <c r="C4" s="107" t="s">
        <v>4</v>
      </c>
      <c r="D4" s="107" t="s">
        <v>5</v>
      </c>
      <c r="E4" s="107" t="s">
        <v>6</v>
      </c>
      <c r="F4" s="107" t="s">
        <v>7</v>
      </c>
      <c r="G4" s="107" t="s">
        <v>8</v>
      </c>
      <c r="H4" s="104" t="s">
        <v>1003</v>
      </c>
      <c r="I4" s="108"/>
      <c r="J4" s="108"/>
      <c r="K4" s="108"/>
      <c r="L4" s="108"/>
      <c r="M4" s="108"/>
      <c r="N4" s="108"/>
      <c r="O4" s="108"/>
    </row>
    <row r="5" spans="1:15" ht="14.1" customHeight="1" x14ac:dyDescent="0.2">
      <c r="A5" s="1"/>
      <c r="B5" s="1"/>
      <c r="C5" s="2" t="s">
        <v>9</v>
      </c>
      <c r="D5" s="1"/>
      <c r="E5" s="1"/>
      <c r="F5" s="1"/>
      <c r="G5" s="1"/>
      <c r="H5" s="105"/>
    </row>
    <row r="6" spans="1:15" ht="24" customHeight="1" x14ac:dyDescent="0.2">
      <c r="A6" s="1"/>
      <c r="B6" s="1"/>
      <c r="C6" s="2" t="s">
        <v>10</v>
      </c>
      <c r="D6" s="1"/>
      <c r="E6" s="1"/>
      <c r="F6" s="1"/>
      <c r="G6" s="1"/>
      <c r="H6" s="105"/>
    </row>
    <row r="7" spans="1:15" ht="17.100000000000001" customHeight="1" x14ac:dyDescent="0.2">
      <c r="A7" s="3">
        <v>1</v>
      </c>
      <c r="B7" s="4" t="s">
        <v>420</v>
      </c>
      <c r="C7" s="4" t="s">
        <v>421</v>
      </c>
      <c r="D7" s="4" t="s">
        <v>121</v>
      </c>
      <c r="E7" s="5">
        <v>5377</v>
      </c>
      <c r="F7" s="6">
        <v>131.35204450000001</v>
      </c>
      <c r="G7" s="7">
        <v>4.677796E-2</v>
      </c>
      <c r="H7" s="105"/>
    </row>
    <row r="8" spans="1:15" ht="17.100000000000001" customHeight="1" x14ac:dyDescent="0.2">
      <c r="A8" s="3">
        <v>2</v>
      </c>
      <c r="B8" s="4" t="s">
        <v>383</v>
      </c>
      <c r="C8" s="4" t="s">
        <v>384</v>
      </c>
      <c r="D8" s="4" t="s">
        <v>25</v>
      </c>
      <c r="E8" s="5">
        <v>182492</v>
      </c>
      <c r="F8" s="6">
        <v>125.82823399999999</v>
      </c>
      <c r="G8" s="7">
        <v>4.4810780000000001E-2</v>
      </c>
      <c r="H8" s="105"/>
    </row>
    <row r="9" spans="1:15" ht="17.100000000000001" customHeight="1" x14ac:dyDescent="0.2">
      <c r="A9" s="3">
        <v>3</v>
      </c>
      <c r="B9" s="4" t="s">
        <v>31</v>
      </c>
      <c r="C9" s="4" t="s">
        <v>32</v>
      </c>
      <c r="D9" s="4" t="s">
        <v>33</v>
      </c>
      <c r="E9" s="5">
        <v>5066</v>
      </c>
      <c r="F9" s="6">
        <v>114.012863</v>
      </c>
      <c r="G9" s="7">
        <v>4.0603010000000002E-2</v>
      </c>
      <c r="H9" s="105"/>
    </row>
    <row r="10" spans="1:15" ht="17.100000000000001" customHeight="1" x14ac:dyDescent="0.2">
      <c r="A10" s="3">
        <v>4</v>
      </c>
      <c r="B10" s="4" t="s">
        <v>63</v>
      </c>
      <c r="C10" s="4" t="s">
        <v>64</v>
      </c>
      <c r="D10" s="4" t="s">
        <v>33</v>
      </c>
      <c r="E10" s="5">
        <v>5130</v>
      </c>
      <c r="F10" s="6">
        <v>97.216065</v>
      </c>
      <c r="G10" s="7">
        <v>3.4621230000000003E-2</v>
      </c>
      <c r="H10" s="105"/>
    </row>
    <row r="11" spans="1:15" ht="29.1" customHeight="1" x14ac:dyDescent="0.2">
      <c r="A11" s="3">
        <v>5</v>
      </c>
      <c r="B11" s="4" t="s">
        <v>181</v>
      </c>
      <c r="C11" s="4" t="s">
        <v>182</v>
      </c>
      <c r="D11" s="4" t="s">
        <v>183</v>
      </c>
      <c r="E11" s="5">
        <v>1852</v>
      </c>
      <c r="F11" s="6">
        <v>89.825704000000002</v>
      </c>
      <c r="G11" s="7">
        <v>3.1989320000000002E-2</v>
      </c>
      <c r="H11" s="105"/>
    </row>
    <row r="12" spans="1:15" ht="17.100000000000001" customHeight="1" x14ac:dyDescent="0.2">
      <c r="A12" s="3">
        <v>6</v>
      </c>
      <c r="B12" s="4" t="s">
        <v>306</v>
      </c>
      <c r="C12" s="4" t="s">
        <v>307</v>
      </c>
      <c r="D12" s="4" t="s">
        <v>232</v>
      </c>
      <c r="E12" s="5">
        <v>5857</v>
      </c>
      <c r="F12" s="6">
        <v>85.696695500000004</v>
      </c>
      <c r="G12" s="7">
        <v>3.051887E-2</v>
      </c>
      <c r="H12" s="105"/>
    </row>
    <row r="13" spans="1:15" ht="17.100000000000001" customHeight="1" x14ac:dyDescent="0.2">
      <c r="A13" s="3">
        <v>7</v>
      </c>
      <c r="B13" s="4" t="s">
        <v>99</v>
      </c>
      <c r="C13" s="4" t="s">
        <v>100</v>
      </c>
      <c r="D13" s="4" t="s">
        <v>91</v>
      </c>
      <c r="E13" s="5">
        <v>16682</v>
      </c>
      <c r="F13" s="6">
        <v>83.726957999999996</v>
      </c>
      <c r="G13" s="7">
        <v>2.9817400000000001E-2</v>
      </c>
      <c r="H13" s="105"/>
    </row>
    <row r="14" spans="1:15" ht="17.100000000000001" customHeight="1" x14ac:dyDescent="0.2">
      <c r="A14" s="3">
        <v>8</v>
      </c>
      <c r="B14" s="4" t="s">
        <v>119</v>
      </c>
      <c r="C14" s="4" t="s">
        <v>120</v>
      </c>
      <c r="D14" s="4" t="s">
        <v>121</v>
      </c>
      <c r="E14" s="5">
        <v>27187</v>
      </c>
      <c r="F14" s="6">
        <v>81.098821000000001</v>
      </c>
      <c r="G14" s="7">
        <v>2.8881449999999999E-2</v>
      </c>
      <c r="H14" s="105"/>
      <c r="J14" s="161" t="s">
        <v>1054</v>
      </c>
    </row>
    <row r="15" spans="1:15" ht="17.100000000000001" customHeight="1" x14ac:dyDescent="0.2">
      <c r="A15" s="3">
        <v>9</v>
      </c>
      <c r="B15" s="4" t="s">
        <v>327</v>
      </c>
      <c r="C15" s="4" t="s">
        <v>328</v>
      </c>
      <c r="D15" s="4" t="s">
        <v>329</v>
      </c>
      <c r="E15" s="5">
        <v>6432</v>
      </c>
      <c r="F15" s="6">
        <v>79.116816</v>
      </c>
      <c r="G15" s="7">
        <v>2.8175599999999999E-2</v>
      </c>
      <c r="H15" s="105"/>
    </row>
    <row r="16" spans="1:15" ht="17.100000000000001" customHeight="1" x14ac:dyDescent="0.2">
      <c r="A16" s="3">
        <v>10</v>
      </c>
      <c r="B16" s="4" t="s">
        <v>385</v>
      </c>
      <c r="C16" s="4" t="s">
        <v>386</v>
      </c>
      <c r="D16" s="4" t="s">
        <v>128</v>
      </c>
      <c r="E16" s="5">
        <v>12229</v>
      </c>
      <c r="F16" s="6">
        <v>75.416242999999994</v>
      </c>
      <c r="G16" s="7">
        <v>2.685773E-2</v>
      </c>
      <c r="H16" s="105"/>
    </row>
    <row r="17" spans="1:8" ht="17.100000000000001" customHeight="1" x14ac:dyDescent="0.2">
      <c r="A17" s="3">
        <v>11</v>
      </c>
      <c r="B17" s="4" t="s">
        <v>464</v>
      </c>
      <c r="C17" s="4" t="s">
        <v>465</v>
      </c>
      <c r="D17" s="4" t="s">
        <v>223</v>
      </c>
      <c r="E17" s="5">
        <v>33431</v>
      </c>
      <c r="F17" s="6">
        <v>74.567845500000004</v>
      </c>
      <c r="G17" s="7">
        <v>2.655559E-2</v>
      </c>
      <c r="H17" s="105"/>
    </row>
    <row r="18" spans="1:8" ht="17.100000000000001" customHeight="1" x14ac:dyDescent="0.2">
      <c r="A18" s="3">
        <v>12</v>
      </c>
      <c r="B18" s="4" t="s">
        <v>438</v>
      </c>
      <c r="C18" s="4" t="s">
        <v>439</v>
      </c>
      <c r="D18" s="4" t="s">
        <v>121</v>
      </c>
      <c r="E18" s="5">
        <v>14111</v>
      </c>
      <c r="F18" s="6">
        <v>73.51831</v>
      </c>
      <c r="G18" s="7">
        <v>2.618183E-2</v>
      </c>
      <c r="H18" s="105"/>
    </row>
    <row r="19" spans="1:8" ht="17.100000000000001" customHeight="1" x14ac:dyDescent="0.2">
      <c r="A19" s="3">
        <v>13</v>
      </c>
      <c r="B19" s="4" t="s">
        <v>422</v>
      </c>
      <c r="C19" s="4" t="s">
        <v>423</v>
      </c>
      <c r="D19" s="4" t="s">
        <v>202</v>
      </c>
      <c r="E19" s="5">
        <v>24965</v>
      </c>
      <c r="F19" s="6">
        <v>67.405500000000004</v>
      </c>
      <c r="G19" s="7">
        <v>2.4004890000000001E-2</v>
      </c>
      <c r="H19" s="105"/>
    </row>
    <row r="20" spans="1:8" ht="17.100000000000001" customHeight="1" x14ac:dyDescent="0.2">
      <c r="A20" s="3">
        <v>14</v>
      </c>
      <c r="B20" s="4" t="s">
        <v>314</v>
      </c>
      <c r="C20" s="4" t="s">
        <v>315</v>
      </c>
      <c r="D20" s="4" t="s">
        <v>223</v>
      </c>
      <c r="E20" s="5">
        <v>5601</v>
      </c>
      <c r="F20" s="6">
        <v>66.979558499999996</v>
      </c>
      <c r="G20" s="7">
        <v>2.3853200000000001E-2</v>
      </c>
      <c r="H20" s="105"/>
    </row>
    <row r="21" spans="1:8" ht="17.100000000000001" customHeight="1" x14ac:dyDescent="0.2">
      <c r="A21" s="3">
        <v>15</v>
      </c>
      <c r="B21" s="4" t="s">
        <v>415</v>
      </c>
      <c r="C21" s="4" t="s">
        <v>416</v>
      </c>
      <c r="D21" s="4" t="s">
        <v>223</v>
      </c>
      <c r="E21" s="5">
        <v>8090</v>
      </c>
      <c r="F21" s="6">
        <v>61.827824999999997</v>
      </c>
      <c r="G21" s="7">
        <v>2.2018530000000001E-2</v>
      </c>
      <c r="H21" s="105"/>
    </row>
    <row r="22" spans="1:8" ht="17.100000000000001" customHeight="1" x14ac:dyDescent="0.2">
      <c r="A22" s="3">
        <v>16</v>
      </c>
      <c r="B22" s="4" t="s">
        <v>424</v>
      </c>
      <c r="C22" s="4" t="s">
        <v>425</v>
      </c>
      <c r="D22" s="4" t="s">
        <v>329</v>
      </c>
      <c r="E22" s="5">
        <v>4116</v>
      </c>
      <c r="F22" s="6">
        <v>57.599303999999997</v>
      </c>
      <c r="G22" s="7">
        <v>2.051265E-2</v>
      </c>
      <c r="H22" s="105"/>
    </row>
    <row r="23" spans="1:8" ht="17.100000000000001" customHeight="1" x14ac:dyDescent="0.2">
      <c r="A23" s="3">
        <v>17</v>
      </c>
      <c r="B23" s="4" t="s">
        <v>37</v>
      </c>
      <c r="C23" s="4" t="s">
        <v>38</v>
      </c>
      <c r="D23" s="4" t="s">
        <v>33</v>
      </c>
      <c r="E23" s="5">
        <v>3026</v>
      </c>
      <c r="F23" s="6">
        <v>57.506104000000001</v>
      </c>
      <c r="G23" s="7">
        <v>2.047945E-2</v>
      </c>
      <c r="H23" s="105"/>
    </row>
    <row r="24" spans="1:8" ht="29.1" customHeight="1" x14ac:dyDescent="0.2">
      <c r="A24" s="3">
        <v>18</v>
      </c>
      <c r="B24" s="4" t="s">
        <v>387</v>
      </c>
      <c r="C24" s="4" t="s">
        <v>388</v>
      </c>
      <c r="D24" s="4" t="s">
        <v>212</v>
      </c>
      <c r="E24" s="5">
        <v>17579</v>
      </c>
      <c r="F24" s="6">
        <v>56.859275500000003</v>
      </c>
      <c r="G24" s="7">
        <v>2.0249099999999999E-2</v>
      </c>
      <c r="H24" s="105"/>
    </row>
    <row r="25" spans="1:8" ht="29.1" customHeight="1" x14ac:dyDescent="0.2">
      <c r="A25" s="3">
        <v>19</v>
      </c>
      <c r="B25" s="4" t="s">
        <v>95</v>
      </c>
      <c r="C25" s="4" t="s">
        <v>96</v>
      </c>
      <c r="D25" s="4" t="s">
        <v>41</v>
      </c>
      <c r="E25" s="5">
        <v>3057</v>
      </c>
      <c r="F25" s="6">
        <v>55.417296</v>
      </c>
      <c r="G25" s="7">
        <v>1.9735570000000001E-2</v>
      </c>
      <c r="H25" s="105"/>
    </row>
    <row r="26" spans="1:8" ht="17.100000000000001" customHeight="1" x14ac:dyDescent="0.2">
      <c r="A26" s="3">
        <v>20</v>
      </c>
      <c r="B26" s="4" t="s">
        <v>436</v>
      </c>
      <c r="C26" s="4" t="s">
        <v>437</v>
      </c>
      <c r="D26" s="4" t="s">
        <v>253</v>
      </c>
      <c r="E26" s="5">
        <v>31050</v>
      </c>
      <c r="F26" s="6">
        <v>52.521075000000003</v>
      </c>
      <c r="G26" s="7">
        <v>1.8704149999999999E-2</v>
      </c>
      <c r="H26" s="105"/>
    </row>
    <row r="27" spans="1:8" ht="29.1" customHeight="1" x14ac:dyDescent="0.2">
      <c r="A27" s="3">
        <v>21</v>
      </c>
      <c r="B27" s="4" t="s">
        <v>428</v>
      </c>
      <c r="C27" s="4" t="s">
        <v>429</v>
      </c>
      <c r="D27" s="4" t="s">
        <v>62</v>
      </c>
      <c r="E27" s="5">
        <v>2217</v>
      </c>
      <c r="F27" s="6">
        <v>50.596373999999997</v>
      </c>
      <c r="G27" s="7">
        <v>1.8018719999999998E-2</v>
      </c>
      <c r="H27" s="105"/>
    </row>
    <row r="28" spans="1:8" ht="29.1" customHeight="1" x14ac:dyDescent="0.2">
      <c r="A28" s="3">
        <v>22</v>
      </c>
      <c r="B28" s="4" t="s">
        <v>247</v>
      </c>
      <c r="C28" s="4" t="s">
        <v>248</v>
      </c>
      <c r="D28" s="4" t="s">
        <v>212</v>
      </c>
      <c r="E28" s="5">
        <v>15078</v>
      </c>
      <c r="F28" s="6">
        <v>46.379928</v>
      </c>
      <c r="G28" s="7">
        <v>1.6517130000000001E-2</v>
      </c>
      <c r="H28" s="105"/>
    </row>
    <row r="29" spans="1:8" ht="17.100000000000001" customHeight="1" x14ac:dyDescent="0.2">
      <c r="A29" s="3">
        <v>23</v>
      </c>
      <c r="B29" s="4" t="s">
        <v>400</v>
      </c>
      <c r="C29" s="4" t="s">
        <v>401</v>
      </c>
      <c r="D29" s="4" t="s">
        <v>13</v>
      </c>
      <c r="E29" s="5">
        <v>51989</v>
      </c>
      <c r="F29" s="6">
        <v>45.6723365</v>
      </c>
      <c r="G29" s="7">
        <v>1.6265129999999999E-2</v>
      </c>
      <c r="H29" s="105"/>
    </row>
    <row r="30" spans="1:8" ht="29.1" customHeight="1" x14ac:dyDescent="0.2">
      <c r="A30" s="3">
        <v>24</v>
      </c>
      <c r="B30" s="4" t="s">
        <v>395</v>
      </c>
      <c r="C30" s="4" t="s">
        <v>396</v>
      </c>
      <c r="D30" s="4" t="s">
        <v>397</v>
      </c>
      <c r="E30" s="5">
        <v>39159</v>
      </c>
      <c r="F30" s="6">
        <v>45.052429500000002</v>
      </c>
      <c r="G30" s="7">
        <v>1.6044369999999999E-2</v>
      </c>
      <c r="H30" s="105"/>
    </row>
    <row r="31" spans="1:8" ht="17.100000000000001" customHeight="1" x14ac:dyDescent="0.2">
      <c r="A31" s="3">
        <v>25</v>
      </c>
      <c r="B31" s="4" t="s">
        <v>378</v>
      </c>
      <c r="C31" s="4" t="s">
        <v>379</v>
      </c>
      <c r="D31" s="4" t="s">
        <v>128</v>
      </c>
      <c r="E31" s="5">
        <v>6095</v>
      </c>
      <c r="F31" s="6">
        <v>43.423827500000002</v>
      </c>
      <c r="G31" s="7">
        <v>1.546438E-2</v>
      </c>
      <c r="H31" s="105"/>
    </row>
    <row r="32" spans="1:8" ht="17.100000000000001" customHeight="1" x14ac:dyDescent="0.2">
      <c r="A32" s="3">
        <v>26</v>
      </c>
      <c r="B32" s="4" t="s">
        <v>380</v>
      </c>
      <c r="C32" s="4" t="s">
        <v>381</v>
      </c>
      <c r="D32" s="4" t="s">
        <v>954</v>
      </c>
      <c r="E32" s="5">
        <v>4552</v>
      </c>
      <c r="F32" s="6">
        <v>42.408707999999997</v>
      </c>
      <c r="G32" s="7">
        <v>1.5102869999999999E-2</v>
      </c>
      <c r="H32" s="105"/>
    </row>
    <row r="33" spans="1:8" ht="17.100000000000001" customHeight="1" x14ac:dyDescent="0.2">
      <c r="A33" s="3">
        <v>27</v>
      </c>
      <c r="B33" s="4" t="s">
        <v>478</v>
      </c>
      <c r="C33" s="4" t="s">
        <v>479</v>
      </c>
      <c r="D33" s="4" t="s">
        <v>121</v>
      </c>
      <c r="E33" s="5">
        <v>3731</v>
      </c>
      <c r="F33" s="6">
        <v>40.945859499999997</v>
      </c>
      <c r="G33" s="7">
        <v>1.458191E-2</v>
      </c>
      <c r="H33" s="105"/>
    </row>
    <row r="34" spans="1:8" ht="29.1" customHeight="1" x14ac:dyDescent="0.2">
      <c r="A34" s="3">
        <v>28</v>
      </c>
      <c r="B34" s="4" t="s">
        <v>73</v>
      </c>
      <c r="C34" s="4" t="s">
        <v>74</v>
      </c>
      <c r="D34" s="4" t="s">
        <v>22</v>
      </c>
      <c r="E34" s="5">
        <v>1255</v>
      </c>
      <c r="F34" s="6">
        <v>37.565914999999997</v>
      </c>
      <c r="G34" s="7">
        <v>1.337822E-2</v>
      </c>
      <c r="H34" s="105"/>
    </row>
    <row r="35" spans="1:8" ht="17.100000000000001" customHeight="1" x14ac:dyDescent="0.2">
      <c r="A35" s="3">
        <v>29</v>
      </c>
      <c r="B35" s="4" t="s">
        <v>434</v>
      </c>
      <c r="C35" s="4" t="s">
        <v>435</v>
      </c>
      <c r="D35" s="4" t="s">
        <v>13</v>
      </c>
      <c r="E35" s="5">
        <v>6941</v>
      </c>
      <c r="F35" s="6">
        <v>37.477929500000002</v>
      </c>
      <c r="G35" s="7">
        <v>1.334689E-2</v>
      </c>
      <c r="H35" s="105"/>
    </row>
    <row r="36" spans="1:8" ht="17.100000000000001" customHeight="1" x14ac:dyDescent="0.2">
      <c r="A36" s="3">
        <v>30</v>
      </c>
      <c r="B36" s="4" t="s">
        <v>446</v>
      </c>
      <c r="C36" s="4" t="s">
        <v>447</v>
      </c>
      <c r="D36" s="4" t="s">
        <v>121</v>
      </c>
      <c r="E36" s="5">
        <v>9015</v>
      </c>
      <c r="F36" s="6">
        <v>37.389712500000002</v>
      </c>
      <c r="G36" s="7">
        <v>1.3315469999999999E-2</v>
      </c>
      <c r="H36" s="105"/>
    </row>
    <row r="37" spans="1:8" ht="29.1" customHeight="1" x14ac:dyDescent="0.2">
      <c r="A37" s="3">
        <v>31</v>
      </c>
      <c r="B37" s="4" t="s">
        <v>404</v>
      </c>
      <c r="C37" s="4" t="s">
        <v>405</v>
      </c>
      <c r="D37" s="4" t="s">
        <v>406</v>
      </c>
      <c r="E37" s="5">
        <v>9641</v>
      </c>
      <c r="F37" s="6">
        <v>37.084106499999997</v>
      </c>
      <c r="G37" s="7">
        <v>1.320664E-2</v>
      </c>
      <c r="H37" s="105"/>
    </row>
    <row r="38" spans="1:8" ht="29.1" customHeight="1" x14ac:dyDescent="0.2">
      <c r="A38" s="3">
        <v>32</v>
      </c>
      <c r="B38" s="4" t="s">
        <v>498</v>
      </c>
      <c r="C38" s="4" t="s">
        <v>499</v>
      </c>
      <c r="D38" s="4" t="s">
        <v>488</v>
      </c>
      <c r="E38" s="5">
        <v>6151</v>
      </c>
      <c r="F38" s="6">
        <v>37.044397500000002</v>
      </c>
      <c r="G38" s="7">
        <v>1.3192499999999999E-2</v>
      </c>
      <c r="H38" s="105"/>
    </row>
    <row r="39" spans="1:8" ht="17.100000000000001" customHeight="1" x14ac:dyDescent="0.2">
      <c r="A39" s="3">
        <v>33</v>
      </c>
      <c r="B39" s="4" t="s">
        <v>413</v>
      </c>
      <c r="C39" s="4" t="s">
        <v>414</v>
      </c>
      <c r="D39" s="4" t="s">
        <v>128</v>
      </c>
      <c r="E39" s="5">
        <v>38726</v>
      </c>
      <c r="F39" s="6">
        <v>34.001427999999997</v>
      </c>
      <c r="G39" s="7">
        <v>1.2108809999999999E-2</v>
      </c>
      <c r="H39" s="105"/>
    </row>
    <row r="40" spans="1:8" ht="17.100000000000001" customHeight="1" x14ac:dyDescent="0.2">
      <c r="A40" s="3">
        <v>34</v>
      </c>
      <c r="B40" s="4" t="s">
        <v>191</v>
      </c>
      <c r="C40" s="4" t="s">
        <v>192</v>
      </c>
      <c r="D40" s="4" t="s">
        <v>953</v>
      </c>
      <c r="E40" s="5">
        <v>717</v>
      </c>
      <c r="F40" s="6">
        <v>33.966082499999999</v>
      </c>
      <c r="G40" s="7">
        <v>1.2096229999999999E-2</v>
      </c>
      <c r="H40" s="105"/>
    </row>
    <row r="41" spans="1:8" ht="29.1" customHeight="1" x14ac:dyDescent="0.2">
      <c r="A41" s="3">
        <v>35</v>
      </c>
      <c r="B41" s="4" t="s">
        <v>432</v>
      </c>
      <c r="C41" s="4" t="s">
        <v>433</v>
      </c>
      <c r="D41" s="4" t="s">
        <v>212</v>
      </c>
      <c r="E41" s="5">
        <v>1489</v>
      </c>
      <c r="F41" s="6">
        <v>31.713466499999999</v>
      </c>
      <c r="G41" s="7">
        <v>1.129401E-2</v>
      </c>
      <c r="H41" s="105"/>
    </row>
    <row r="42" spans="1:8" ht="17.100000000000001" customHeight="1" x14ac:dyDescent="0.2">
      <c r="A42" s="3">
        <v>36</v>
      </c>
      <c r="B42" s="4" t="s">
        <v>440</v>
      </c>
      <c r="C42" s="4" t="s">
        <v>441</v>
      </c>
      <c r="D42" s="4" t="s">
        <v>271</v>
      </c>
      <c r="E42" s="5">
        <v>4877</v>
      </c>
      <c r="F42" s="6">
        <v>31.261569999999999</v>
      </c>
      <c r="G42" s="7">
        <v>1.113308E-2</v>
      </c>
      <c r="H42" s="105"/>
    </row>
    <row r="43" spans="1:8" ht="17.100000000000001" customHeight="1" x14ac:dyDescent="0.2">
      <c r="A43" s="3">
        <v>37</v>
      </c>
      <c r="B43" s="4" t="s">
        <v>480</v>
      </c>
      <c r="C43" s="4" t="s">
        <v>481</v>
      </c>
      <c r="D43" s="4" t="s">
        <v>954</v>
      </c>
      <c r="E43" s="5">
        <v>2347</v>
      </c>
      <c r="F43" s="6">
        <v>27.693426500000001</v>
      </c>
      <c r="G43" s="7">
        <v>9.8623700000000005E-3</v>
      </c>
      <c r="H43" s="105"/>
    </row>
    <row r="44" spans="1:8" ht="17.100000000000001" customHeight="1" x14ac:dyDescent="0.2">
      <c r="A44" s="3">
        <v>38</v>
      </c>
      <c r="B44" s="4" t="s">
        <v>444</v>
      </c>
      <c r="C44" s="4" t="s">
        <v>445</v>
      </c>
      <c r="D44" s="4" t="s">
        <v>25</v>
      </c>
      <c r="E44" s="5">
        <v>9187</v>
      </c>
      <c r="F44" s="6">
        <v>25.677665000000001</v>
      </c>
      <c r="G44" s="7">
        <v>9.1444999999999999E-3</v>
      </c>
      <c r="H44" s="105"/>
    </row>
    <row r="45" spans="1:8" ht="29.1" customHeight="1" x14ac:dyDescent="0.2">
      <c r="A45" s="3">
        <v>39</v>
      </c>
      <c r="B45" s="4" t="s">
        <v>448</v>
      </c>
      <c r="C45" s="4" t="s">
        <v>449</v>
      </c>
      <c r="D45" s="4" t="s">
        <v>121</v>
      </c>
      <c r="E45" s="5">
        <v>2262</v>
      </c>
      <c r="F45" s="6">
        <v>25.363806</v>
      </c>
      <c r="G45" s="7">
        <v>9.0327299999999992E-3</v>
      </c>
      <c r="H45" s="105"/>
    </row>
    <row r="46" spans="1:8" ht="17.100000000000001" customHeight="1" x14ac:dyDescent="0.2">
      <c r="A46" s="3">
        <v>40</v>
      </c>
      <c r="B46" s="4" t="s">
        <v>482</v>
      </c>
      <c r="C46" s="4" t="s">
        <v>483</v>
      </c>
      <c r="D46" s="4" t="s">
        <v>33</v>
      </c>
      <c r="E46" s="5">
        <v>3949</v>
      </c>
      <c r="F46" s="6">
        <v>25.3506055</v>
      </c>
      <c r="G46" s="7">
        <v>9.0280299999999994E-3</v>
      </c>
      <c r="H46" s="105"/>
    </row>
    <row r="47" spans="1:8" ht="29.1" customHeight="1" x14ac:dyDescent="0.2">
      <c r="A47" s="3">
        <v>41</v>
      </c>
      <c r="B47" s="4" t="s">
        <v>407</v>
      </c>
      <c r="C47" s="4" t="s">
        <v>408</v>
      </c>
      <c r="D47" s="4" t="s">
        <v>212</v>
      </c>
      <c r="E47" s="5">
        <v>536</v>
      </c>
      <c r="F47" s="6">
        <v>24.971167999999999</v>
      </c>
      <c r="G47" s="7">
        <v>8.8929000000000005E-3</v>
      </c>
      <c r="H47" s="105"/>
    </row>
    <row r="48" spans="1:8" ht="17.100000000000001" customHeight="1" x14ac:dyDescent="0.2">
      <c r="A48" s="3">
        <v>42</v>
      </c>
      <c r="B48" s="4" t="s">
        <v>241</v>
      </c>
      <c r="C48" s="4" t="s">
        <v>242</v>
      </c>
      <c r="D48" s="4" t="s">
        <v>81</v>
      </c>
      <c r="E48" s="5">
        <v>601</v>
      </c>
      <c r="F48" s="6">
        <v>24.04</v>
      </c>
      <c r="G48" s="7">
        <v>8.5612799999999992E-3</v>
      </c>
      <c r="H48" s="105"/>
    </row>
    <row r="49" spans="1:8" ht="29.1" customHeight="1" x14ac:dyDescent="0.2">
      <c r="A49" s="3">
        <v>43</v>
      </c>
      <c r="B49" s="4" t="s">
        <v>249</v>
      </c>
      <c r="C49" s="4" t="s">
        <v>250</v>
      </c>
      <c r="D49" s="4" t="s">
        <v>121</v>
      </c>
      <c r="E49" s="5">
        <v>9019</v>
      </c>
      <c r="F49" s="6">
        <v>22.989431</v>
      </c>
      <c r="G49" s="7">
        <v>8.1871500000000007E-3</v>
      </c>
      <c r="H49" s="105"/>
    </row>
    <row r="50" spans="1:8" ht="17.100000000000001" customHeight="1" x14ac:dyDescent="0.2">
      <c r="A50" s="3">
        <v>44</v>
      </c>
      <c r="B50" s="4" t="s">
        <v>411</v>
      </c>
      <c r="C50" s="4" t="s">
        <v>412</v>
      </c>
      <c r="D50" s="4" t="s">
        <v>81</v>
      </c>
      <c r="E50" s="5">
        <v>2373</v>
      </c>
      <c r="F50" s="6">
        <v>19.603352999999998</v>
      </c>
      <c r="G50" s="7">
        <v>6.9812800000000003E-3</v>
      </c>
      <c r="H50" s="105"/>
    </row>
    <row r="51" spans="1:8" ht="17.100000000000001" customHeight="1" x14ac:dyDescent="0.2">
      <c r="A51" s="3">
        <v>45</v>
      </c>
      <c r="B51" s="4" t="s">
        <v>402</v>
      </c>
      <c r="C51" s="4" t="s">
        <v>403</v>
      </c>
      <c r="D51" s="4" t="s">
        <v>207</v>
      </c>
      <c r="E51" s="5">
        <v>2470</v>
      </c>
      <c r="F51" s="6">
        <v>19.2166</v>
      </c>
      <c r="G51" s="7">
        <v>6.8435400000000004E-3</v>
      </c>
      <c r="H51" s="105"/>
    </row>
    <row r="52" spans="1:8" ht="17.100000000000001" customHeight="1" x14ac:dyDescent="0.2">
      <c r="A52" s="3">
        <v>46</v>
      </c>
      <c r="B52" s="4" t="s">
        <v>418</v>
      </c>
      <c r="C52" s="4" t="s">
        <v>419</v>
      </c>
      <c r="D52" s="4" t="s">
        <v>953</v>
      </c>
      <c r="E52" s="5">
        <v>2001</v>
      </c>
      <c r="F52" s="6">
        <v>18.345168000000001</v>
      </c>
      <c r="G52" s="7">
        <v>6.5332000000000003E-3</v>
      </c>
      <c r="H52" s="105"/>
    </row>
    <row r="53" spans="1:8" ht="17.100000000000001" customHeight="1" x14ac:dyDescent="0.2">
      <c r="A53" s="3">
        <v>47</v>
      </c>
      <c r="B53" s="4" t="s">
        <v>450</v>
      </c>
      <c r="C53" s="4" t="s">
        <v>451</v>
      </c>
      <c r="D53" s="4" t="s">
        <v>33</v>
      </c>
      <c r="E53" s="5">
        <v>2121</v>
      </c>
      <c r="F53" s="6">
        <v>17.6965635</v>
      </c>
      <c r="G53" s="7">
        <v>6.3022199999999999E-3</v>
      </c>
      <c r="H53" s="105"/>
    </row>
    <row r="54" spans="1:8" ht="17.100000000000001" customHeight="1" x14ac:dyDescent="0.2">
      <c r="A54" s="3">
        <v>48</v>
      </c>
      <c r="B54" s="4" t="s">
        <v>502</v>
      </c>
      <c r="C54" s="4" t="s">
        <v>503</v>
      </c>
      <c r="D54" s="4" t="s">
        <v>121</v>
      </c>
      <c r="E54" s="5">
        <v>928</v>
      </c>
      <c r="F54" s="6">
        <v>17.335968000000001</v>
      </c>
      <c r="G54" s="7">
        <v>6.1738000000000001E-3</v>
      </c>
      <c r="H54" s="105"/>
    </row>
    <row r="55" spans="1:8" ht="17.100000000000001" customHeight="1" x14ac:dyDescent="0.2">
      <c r="A55" s="3">
        <v>49</v>
      </c>
      <c r="B55" s="4" t="s">
        <v>454</v>
      </c>
      <c r="C55" s="4" t="s">
        <v>455</v>
      </c>
      <c r="D55" s="4" t="s">
        <v>121</v>
      </c>
      <c r="E55" s="5">
        <v>7251</v>
      </c>
      <c r="F55" s="6">
        <v>16.372758000000001</v>
      </c>
      <c r="G55" s="7">
        <v>5.8307799999999998E-3</v>
      </c>
      <c r="H55" s="105"/>
    </row>
    <row r="56" spans="1:8" ht="17.100000000000001" customHeight="1" x14ac:dyDescent="0.2">
      <c r="A56" s="3">
        <v>50</v>
      </c>
      <c r="B56" s="4" t="s">
        <v>452</v>
      </c>
      <c r="C56" s="4" t="s">
        <v>453</v>
      </c>
      <c r="D56" s="4" t="s">
        <v>91</v>
      </c>
      <c r="E56" s="5">
        <v>21625</v>
      </c>
      <c r="F56" s="6">
        <v>14.099500000000001</v>
      </c>
      <c r="G56" s="7">
        <v>5.0212099999999999E-3</v>
      </c>
      <c r="H56" s="105"/>
    </row>
    <row r="57" spans="1:8" ht="29.1" customHeight="1" x14ac:dyDescent="0.2">
      <c r="A57" s="3">
        <v>51</v>
      </c>
      <c r="B57" s="4" t="s">
        <v>391</v>
      </c>
      <c r="C57" s="4" t="s">
        <v>392</v>
      </c>
      <c r="D57" s="4" t="s">
        <v>190</v>
      </c>
      <c r="E57" s="5">
        <v>2505</v>
      </c>
      <c r="F57" s="6">
        <v>12.59013</v>
      </c>
      <c r="G57" s="7">
        <v>4.4836800000000003E-3</v>
      </c>
      <c r="H57" s="105"/>
    </row>
    <row r="58" spans="1:8" ht="29.1" customHeight="1" x14ac:dyDescent="0.2">
      <c r="A58" s="3">
        <v>52</v>
      </c>
      <c r="B58" s="4" t="s">
        <v>459</v>
      </c>
      <c r="C58" s="4" t="s">
        <v>460</v>
      </c>
      <c r="D58" s="4" t="s">
        <v>183</v>
      </c>
      <c r="E58" s="5">
        <v>1926</v>
      </c>
      <c r="F58" s="6">
        <v>9.7002989999999993</v>
      </c>
      <c r="G58" s="7">
        <v>3.4545399999999999E-3</v>
      </c>
      <c r="H58" s="105"/>
    </row>
    <row r="59" spans="1:8" ht="29.1" customHeight="1" x14ac:dyDescent="0.2">
      <c r="A59" s="3">
        <v>53</v>
      </c>
      <c r="B59" s="4" t="s">
        <v>409</v>
      </c>
      <c r="C59" s="4" t="s">
        <v>410</v>
      </c>
      <c r="D59" s="4" t="s">
        <v>212</v>
      </c>
      <c r="E59" s="5">
        <v>1748</v>
      </c>
      <c r="F59" s="6">
        <v>4.4416679999999999</v>
      </c>
      <c r="G59" s="7">
        <v>1.5818E-3</v>
      </c>
      <c r="H59" s="105"/>
    </row>
    <row r="60" spans="1:8" ht="14.1" customHeight="1" x14ac:dyDescent="0.2">
      <c r="A60" s="1"/>
      <c r="B60" s="1"/>
      <c r="C60" s="2" t="s">
        <v>132</v>
      </c>
      <c r="D60" s="1"/>
      <c r="E60" s="1" t="s">
        <v>133</v>
      </c>
      <c r="F60" s="9">
        <v>2544.9647180000002</v>
      </c>
      <c r="G60" s="10">
        <v>0.90632968000000003</v>
      </c>
      <c r="H60" s="105"/>
    </row>
    <row r="61" spans="1:8" ht="14.1" customHeight="1" x14ac:dyDescent="0.2">
      <c r="A61" s="1"/>
      <c r="B61" s="1"/>
      <c r="C61" s="11"/>
      <c r="D61" s="1"/>
      <c r="E61" s="1"/>
      <c r="F61" s="12"/>
      <c r="G61" s="12"/>
      <c r="H61" s="105"/>
    </row>
    <row r="62" spans="1:8" ht="14.1" customHeight="1" x14ac:dyDescent="0.2">
      <c r="A62" s="1"/>
      <c r="B62" s="1"/>
      <c r="C62" s="2" t="s">
        <v>134</v>
      </c>
      <c r="D62" s="1"/>
      <c r="E62" s="1"/>
      <c r="F62" s="1"/>
      <c r="G62" s="1"/>
      <c r="H62" s="105"/>
    </row>
    <row r="63" spans="1:8" ht="14.1" customHeight="1" x14ac:dyDescent="0.2">
      <c r="A63" s="1"/>
      <c r="B63" s="1"/>
      <c r="C63" s="2" t="s">
        <v>132</v>
      </c>
      <c r="D63" s="1"/>
      <c r="E63" s="1" t="s">
        <v>133</v>
      </c>
      <c r="F63" s="13" t="s">
        <v>135</v>
      </c>
      <c r="G63" s="10">
        <v>0</v>
      </c>
      <c r="H63" s="105"/>
    </row>
    <row r="64" spans="1:8" ht="14.1" customHeight="1" x14ac:dyDescent="0.2">
      <c r="A64" s="1"/>
      <c r="B64" s="1"/>
      <c r="C64" s="11"/>
      <c r="D64" s="1"/>
      <c r="E64" s="1"/>
      <c r="F64" s="12"/>
      <c r="G64" s="12"/>
      <c r="H64" s="105"/>
    </row>
    <row r="65" spans="1:8" ht="14.1" customHeight="1" x14ac:dyDescent="0.2">
      <c r="A65" s="1"/>
      <c r="B65" s="1"/>
      <c r="C65" s="2" t="s">
        <v>136</v>
      </c>
      <c r="D65" s="1"/>
      <c r="E65" s="1"/>
      <c r="F65" s="1"/>
      <c r="G65" s="1"/>
      <c r="H65" s="105"/>
    </row>
    <row r="66" spans="1:8" ht="14.1" customHeight="1" x14ac:dyDescent="0.2">
      <c r="A66" s="1"/>
      <c r="B66" s="1"/>
      <c r="C66" s="2" t="s">
        <v>132</v>
      </c>
      <c r="D66" s="1"/>
      <c r="E66" s="1" t="s">
        <v>133</v>
      </c>
      <c r="F66" s="13" t="s">
        <v>135</v>
      </c>
      <c r="G66" s="10">
        <v>0</v>
      </c>
      <c r="H66" s="105"/>
    </row>
    <row r="67" spans="1:8" ht="14.1" customHeight="1" x14ac:dyDescent="0.2">
      <c r="A67" s="1"/>
      <c r="B67" s="1"/>
      <c r="C67" s="11"/>
      <c r="D67" s="1"/>
      <c r="E67" s="1"/>
      <c r="F67" s="12"/>
      <c r="G67" s="12"/>
      <c r="H67" s="105"/>
    </row>
    <row r="68" spans="1:8" ht="14.1" customHeight="1" x14ac:dyDescent="0.2">
      <c r="A68" s="1"/>
      <c r="B68" s="1"/>
      <c r="C68" s="2" t="s">
        <v>137</v>
      </c>
      <c r="D68" s="1"/>
      <c r="E68" s="1"/>
      <c r="F68" s="1"/>
      <c r="G68" s="1"/>
      <c r="H68" s="105"/>
    </row>
    <row r="69" spans="1:8" ht="25.5" customHeight="1" x14ac:dyDescent="0.2">
      <c r="A69" s="3">
        <v>1</v>
      </c>
      <c r="B69" s="40" t="s">
        <v>923</v>
      </c>
      <c r="C69" s="40" t="s">
        <v>924</v>
      </c>
      <c r="D69" s="4" t="s">
        <v>81</v>
      </c>
      <c r="E69" s="5">
        <v>69716</v>
      </c>
      <c r="F69" s="6">
        <v>7.047032712</v>
      </c>
      <c r="G69" s="7">
        <v>2.50964E-3</v>
      </c>
      <c r="H69" s="105"/>
    </row>
    <row r="70" spans="1:8" ht="14.1" customHeight="1" x14ac:dyDescent="0.2">
      <c r="A70" s="1"/>
      <c r="B70" s="1"/>
      <c r="C70" s="2" t="s">
        <v>132</v>
      </c>
      <c r="D70" s="1"/>
      <c r="E70" s="1" t="s">
        <v>133</v>
      </c>
      <c r="F70" s="9">
        <v>7.047032712</v>
      </c>
      <c r="G70" s="10">
        <v>2.50964E-3</v>
      </c>
      <c r="H70" s="105"/>
    </row>
    <row r="71" spans="1:8" ht="14.1" customHeight="1" x14ac:dyDescent="0.2">
      <c r="A71" s="1"/>
      <c r="B71" s="1"/>
      <c r="C71" s="11"/>
      <c r="D71" s="1"/>
      <c r="E71" s="1"/>
      <c r="F71" s="12"/>
      <c r="G71" s="12"/>
      <c r="H71" s="105"/>
    </row>
    <row r="72" spans="1:8" ht="14.1" customHeight="1" x14ac:dyDescent="0.2">
      <c r="A72" s="1"/>
      <c r="B72" s="1"/>
      <c r="C72" s="2" t="s">
        <v>138</v>
      </c>
      <c r="D72" s="1"/>
      <c r="E72" s="1"/>
      <c r="F72" s="12"/>
      <c r="G72" s="12"/>
      <c r="H72" s="105"/>
    </row>
    <row r="73" spans="1:8" ht="14.1" customHeight="1" x14ac:dyDescent="0.2">
      <c r="A73" s="1"/>
      <c r="B73" s="1"/>
      <c r="C73" s="2" t="s">
        <v>132</v>
      </c>
      <c r="D73" s="1"/>
      <c r="E73" s="1" t="s">
        <v>133</v>
      </c>
      <c r="F73" s="13" t="s">
        <v>135</v>
      </c>
      <c r="G73" s="10">
        <v>0</v>
      </c>
      <c r="H73" s="105"/>
    </row>
    <row r="74" spans="1:8" ht="14.1" customHeight="1" x14ac:dyDescent="0.2">
      <c r="A74" s="1"/>
      <c r="B74" s="1"/>
      <c r="C74" s="11"/>
      <c r="D74" s="1"/>
      <c r="E74" s="1"/>
      <c r="F74" s="12"/>
      <c r="G74" s="12"/>
      <c r="H74" s="105"/>
    </row>
    <row r="75" spans="1:8" ht="14.1" customHeight="1" x14ac:dyDescent="0.2">
      <c r="A75" s="1"/>
      <c r="B75" s="1"/>
      <c r="C75" s="2" t="s">
        <v>139</v>
      </c>
      <c r="D75" s="1"/>
      <c r="E75" s="1"/>
      <c r="F75" s="12"/>
      <c r="G75" s="12"/>
      <c r="H75" s="105"/>
    </row>
    <row r="76" spans="1:8" ht="14.1" customHeight="1" x14ac:dyDescent="0.2">
      <c r="A76" s="1"/>
      <c r="B76" s="1"/>
      <c r="C76" s="2" t="s">
        <v>132</v>
      </c>
      <c r="D76" s="1"/>
      <c r="E76" s="1" t="s">
        <v>133</v>
      </c>
      <c r="F76" s="13" t="s">
        <v>135</v>
      </c>
      <c r="G76" s="10">
        <v>0</v>
      </c>
      <c r="H76" s="105"/>
    </row>
    <row r="77" spans="1:8" ht="14.1" customHeight="1" x14ac:dyDescent="0.2">
      <c r="A77" s="1"/>
      <c r="B77" s="1"/>
      <c r="C77" s="11"/>
      <c r="D77" s="1"/>
      <c r="E77" s="1"/>
      <c r="F77" s="12"/>
      <c r="G77" s="12"/>
      <c r="H77" s="105"/>
    </row>
    <row r="78" spans="1:8" ht="18" customHeight="1" x14ac:dyDescent="0.2">
      <c r="A78" s="1"/>
      <c r="B78" s="1"/>
      <c r="C78" s="2" t="s">
        <v>140</v>
      </c>
      <c r="D78" s="1"/>
      <c r="E78" s="1"/>
      <c r="F78" s="9">
        <v>2552.0117507119999</v>
      </c>
      <c r="G78" s="10">
        <v>0.90883932000000001</v>
      </c>
      <c r="H78" s="105"/>
    </row>
    <row r="79" spans="1:8" ht="14.1" customHeight="1" x14ac:dyDescent="0.2">
      <c r="A79" s="1"/>
      <c r="B79" s="1"/>
      <c r="C79" s="11"/>
      <c r="D79" s="1"/>
      <c r="E79" s="1"/>
      <c r="F79" s="12"/>
      <c r="G79" s="12"/>
      <c r="H79" s="105"/>
    </row>
    <row r="80" spans="1:8" ht="14.1" customHeight="1" x14ac:dyDescent="0.2">
      <c r="A80" s="1"/>
      <c r="B80" s="1"/>
      <c r="C80" s="2" t="s">
        <v>141</v>
      </c>
      <c r="D80" s="1"/>
      <c r="E80" s="1"/>
      <c r="F80" s="12"/>
      <c r="G80" s="12"/>
      <c r="H80" s="105"/>
    </row>
    <row r="81" spans="1:8" ht="24" customHeight="1" x14ac:dyDescent="0.2">
      <c r="A81" s="1"/>
      <c r="B81" s="1"/>
      <c r="C81" s="2" t="s">
        <v>10</v>
      </c>
      <c r="D81" s="1"/>
      <c r="E81" s="1"/>
      <c r="F81" s="12"/>
      <c r="G81" s="12"/>
      <c r="H81" s="105"/>
    </row>
    <row r="82" spans="1:8" ht="14.1" customHeight="1" x14ac:dyDescent="0.2">
      <c r="A82" s="1"/>
      <c r="B82" s="1"/>
      <c r="C82" s="2" t="s">
        <v>132</v>
      </c>
      <c r="D82" s="1"/>
      <c r="E82" s="1" t="s">
        <v>133</v>
      </c>
      <c r="F82" s="13" t="s">
        <v>135</v>
      </c>
      <c r="G82" s="10">
        <v>0</v>
      </c>
      <c r="H82" s="105"/>
    </row>
    <row r="83" spans="1:8" ht="14.1" customHeight="1" x14ac:dyDescent="0.2">
      <c r="A83" s="1"/>
      <c r="B83" s="1"/>
      <c r="C83" s="11"/>
      <c r="D83" s="1"/>
      <c r="E83" s="1"/>
      <c r="F83" s="12"/>
      <c r="G83" s="12"/>
      <c r="H83" s="105"/>
    </row>
    <row r="84" spans="1:8" ht="14.1" customHeight="1" x14ac:dyDescent="0.2">
      <c r="A84" s="1"/>
      <c r="B84" s="1"/>
      <c r="C84" s="2" t="s">
        <v>142</v>
      </c>
      <c r="D84" s="1"/>
      <c r="E84" s="1"/>
      <c r="F84" s="1"/>
      <c r="G84" s="1"/>
      <c r="H84" s="105"/>
    </row>
    <row r="85" spans="1:8" ht="14.1" customHeight="1" x14ac:dyDescent="0.2">
      <c r="A85" s="1"/>
      <c r="B85" s="1"/>
      <c r="C85" s="2" t="s">
        <v>132</v>
      </c>
      <c r="D85" s="1"/>
      <c r="E85" s="1" t="s">
        <v>133</v>
      </c>
      <c r="F85" s="13" t="s">
        <v>135</v>
      </c>
      <c r="G85" s="10">
        <v>0</v>
      </c>
      <c r="H85" s="105"/>
    </row>
    <row r="86" spans="1:8" ht="14.1" customHeight="1" x14ac:dyDescent="0.2">
      <c r="A86" s="1"/>
      <c r="B86" s="1"/>
      <c r="C86" s="11"/>
      <c r="D86" s="1"/>
      <c r="E86" s="1"/>
      <c r="F86" s="12"/>
      <c r="G86" s="12"/>
      <c r="H86" s="105"/>
    </row>
    <row r="87" spans="1:8" ht="14.1" customHeight="1" x14ac:dyDescent="0.2">
      <c r="A87" s="1"/>
      <c r="B87" s="1"/>
      <c r="C87" s="2" t="s">
        <v>143</v>
      </c>
      <c r="D87" s="1"/>
      <c r="E87" s="1"/>
      <c r="F87" s="1"/>
      <c r="G87" s="1"/>
      <c r="H87" s="105"/>
    </row>
    <row r="88" spans="1:8" ht="14.1" customHeight="1" x14ac:dyDescent="0.2">
      <c r="A88" s="1"/>
      <c r="B88" s="1"/>
      <c r="C88" s="2" t="s">
        <v>132</v>
      </c>
      <c r="D88" s="1"/>
      <c r="E88" s="1" t="s">
        <v>133</v>
      </c>
      <c r="F88" s="13" t="s">
        <v>135</v>
      </c>
      <c r="G88" s="10">
        <v>0</v>
      </c>
      <c r="H88" s="105"/>
    </row>
    <row r="89" spans="1:8" ht="14.1" customHeight="1" x14ac:dyDescent="0.2">
      <c r="A89" s="1"/>
      <c r="B89" s="1"/>
      <c r="C89" s="11"/>
      <c r="D89" s="1"/>
      <c r="E89" s="1"/>
      <c r="F89" s="12"/>
      <c r="G89" s="12"/>
      <c r="H89" s="105"/>
    </row>
    <row r="90" spans="1:8" ht="14.1" customHeight="1" x14ac:dyDescent="0.2">
      <c r="A90" s="1"/>
      <c r="B90" s="1"/>
      <c r="C90" s="2" t="s">
        <v>144</v>
      </c>
      <c r="D90" s="1"/>
      <c r="E90" s="1"/>
      <c r="F90" s="12"/>
      <c r="G90" s="12"/>
      <c r="H90" s="105"/>
    </row>
    <row r="91" spans="1:8" ht="14.1" customHeight="1" x14ac:dyDescent="0.2">
      <c r="A91" s="1"/>
      <c r="B91" s="1"/>
      <c r="C91" s="2" t="s">
        <v>132</v>
      </c>
      <c r="D91" s="1"/>
      <c r="E91" s="1" t="s">
        <v>133</v>
      </c>
      <c r="F91" s="13" t="s">
        <v>135</v>
      </c>
      <c r="G91" s="10">
        <v>0</v>
      </c>
      <c r="H91" s="105"/>
    </row>
    <row r="92" spans="1:8" ht="14.1" customHeight="1" x14ac:dyDescent="0.2">
      <c r="A92" s="1"/>
      <c r="B92" s="1"/>
      <c r="C92" s="11"/>
      <c r="D92" s="1"/>
      <c r="E92" s="1"/>
      <c r="F92" s="12"/>
      <c r="G92" s="12"/>
      <c r="H92" s="105"/>
    </row>
    <row r="93" spans="1:8" ht="14.1" customHeight="1" x14ac:dyDescent="0.2">
      <c r="A93" s="1"/>
      <c r="B93" s="1"/>
      <c r="C93" s="2" t="s">
        <v>145</v>
      </c>
      <c r="D93" s="1"/>
      <c r="E93" s="1"/>
      <c r="F93" s="9">
        <v>0</v>
      </c>
      <c r="G93" s="10">
        <v>0</v>
      </c>
      <c r="H93" s="105"/>
    </row>
    <row r="94" spans="1:8" ht="14.1" customHeight="1" x14ac:dyDescent="0.2">
      <c r="A94" s="1"/>
      <c r="B94" s="1"/>
      <c r="C94" s="11"/>
      <c r="D94" s="1"/>
      <c r="E94" s="1"/>
      <c r="F94" s="12"/>
      <c r="G94" s="12"/>
      <c r="H94" s="105"/>
    </row>
    <row r="95" spans="1:8" ht="14.1" customHeight="1" x14ac:dyDescent="0.2">
      <c r="A95" s="1"/>
      <c r="B95" s="1"/>
      <c r="C95" s="2" t="s">
        <v>146</v>
      </c>
      <c r="D95" s="1"/>
      <c r="E95" s="1"/>
      <c r="F95" s="12"/>
      <c r="G95" s="12"/>
      <c r="H95" s="105"/>
    </row>
    <row r="96" spans="1:8" ht="14.1" customHeight="1" x14ac:dyDescent="0.2">
      <c r="A96" s="1"/>
      <c r="B96" s="1"/>
      <c r="C96" s="2" t="s">
        <v>147</v>
      </c>
      <c r="D96" s="1"/>
      <c r="E96" s="1"/>
      <c r="F96" s="12"/>
      <c r="G96" s="12"/>
      <c r="H96" s="105"/>
    </row>
    <row r="97" spans="1:8" ht="14.1" customHeight="1" x14ac:dyDescent="0.2">
      <c r="A97" s="1"/>
      <c r="B97" s="1"/>
      <c r="C97" s="2" t="s">
        <v>132</v>
      </c>
      <c r="D97" s="1"/>
      <c r="E97" s="1" t="s">
        <v>133</v>
      </c>
      <c r="F97" s="13" t="s">
        <v>135</v>
      </c>
      <c r="G97" s="10">
        <v>0</v>
      </c>
      <c r="H97" s="105"/>
    </row>
    <row r="98" spans="1:8" ht="14.1" customHeight="1" x14ac:dyDescent="0.2">
      <c r="A98" s="1"/>
      <c r="B98" s="1"/>
      <c r="C98" s="11"/>
      <c r="D98" s="1"/>
      <c r="E98" s="1"/>
      <c r="F98" s="12"/>
      <c r="G98" s="12"/>
      <c r="H98" s="105"/>
    </row>
    <row r="99" spans="1:8" ht="14.1" customHeight="1" x14ac:dyDescent="0.2">
      <c r="A99" s="1"/>
      <c r="B99" s="1"/>
      <c r="C99" s="2" t="s">
        <v>148</v>
      </c>
      <c r="D99" s="1"/>
      <c r="E99" s="1"/>
      <c r="F99" s="12"/>
      <c r="G99" s="12"/>
      <c r="H99" s="105"/>
    </row>
    <row r="100" spans="1:8" ht="14.1" customHeight="1" x14ac:dyDescent="0.2">
      <c r="A100" s="1"/>
      <c r="B100" s="1"/>
      <c r="C100" s="2" t="s">
        <v>132</v>
      </c>
      <c r="D100" s="1"/>
      <c r="E100" s="1" t="s">
        <v>133</v>
      </c>
      <c r="F100" s="13" t="s">
        <v>135</v>
      </c>
      <c r="G100" s="10">
        <v>0</v>
      </c>
      <c r="H100" s="105"/>
    </row>
    <row r="101" spans="1:8" ht="14.1" customHeight="1" x14ac:dyDescent="0.2">
      <c r="A101" s="1"/>
      <c r="B101" s="1"/>
      <c r="C101" s="11"/>
      <c r="D101" s="1"/>
      <c r="E101" s="1"/>
      <c r="F101" s="12"/>
      <c r="G101" s="12"/>
      <c r="H101" s="105"/>
    </row>
    <row r="102" spans="1:8" ht="14.1" customHeight="1" x14ac:dyDescent="0.2">
      <c r="A102" s="1"/>
      <c r="B102" s="1"/>
      <c r="C102" s="2" t="s">
        <v>149</v>
      </c>
      <c r="D102" s="1"/>
      <c r="E102" s="1"/>
      <c r="F102" s="12"/>
      <c r="G102" s="12"/>
      <c r="H102" s="105"/>
    </row>
    <row r="103" spans="1:8" ht="14.1" customHeight="1" x14ac:dyDescent="0.2">
      <c r="A103" s="1"/>
      <c r="B103" s="1"/>
      <c r="C103" s="2" t="s">
        <v>132</v>
      </c>
      <c r="D103" s="1"/>
      <c r="E103" s="1" t="s">
        <v>133</v>
      </c>
      <c r="F103" s="13" t="s">
        <v>135</v>
      </c>
      <c r="G103" s="10">
        <v>0</v>
      </c>
      <c r="H103" s="105"/>
    </row>
    <row r="104" spans="1:8" ht="14.1" customHeight="1" x14ac:dyDescent="0.2">
      <c r="A104" s="1"/>
      <c r="B104" s="1"/>
      <c r="C104" s="11"/>
      <c r="D104" s="1"/>
      <c r="E104" s="1"/>
      <c r="F104" s="12"/>
      <c r="G104" s="12"/>
      <c r="H104" s="105"/>
    </row>
    <row r="105" spans="1:8" ht="14.1" customHeight="1" x14ac:dyDescent="0.2">
      <c r="A105" s="1"/>
      <c r="B105" s="1"/>
      <c r="C105" s="2" t="s">
        <v>150</v>
      </c>
      <c r="D105" s="1"/>
      <c r="E105" s="1"/>
      <c r="F105" s="12"/>
      <c r="G105" s="12"/>
      <c r="H105" s="105"/>
    </row>
    <row r="106" spans="1:8" ht="17.100000000000001" customHeight="1" x14ac:dyDescent="0.2">
      <c r="A106" s="3">
        <v>1</v>
      </c>
      <c r="B106" s="4"/>
      <c r="C106" s="4" t="s">
        <v>151</v>
      </c>
      <c r="D106" s="4"/>
      <c r="E106" s="8"/>
      <c r="F106" s="6">
        <v>224.09886589999999</v>
      </c>
      <c r="G106" s="7">
        <v>7.9807569999999994E-2</v>
      </c>
      <c r="H106" s="105">
        <v>6.8153352377542396</v>
      </c>
    </row>
    <row r="107" spans="1:8" ht="17.100000000000001" customHeight="1" x14ac:dyDescent="0.2">
      <c r="A107" s="3">
        <v>2</v>
      </c>
      <c r="B107" s="4"/>
      <c r="C107" s="4" t="s">
        <v>152</v>
      </c>
      <c r="D107" s="4"/>
      <c r="E107" s="8"/>
      <c r="F107" s="6">
        <v>26.592970999999999</v>
      </c>
      <c r="G107" s="7">
        <v>9.4704699999999999E-3</v>
      </c>
      <c r="H107" s="105">
        <v>6.7952403714590259</v>
      </c>
    </row>
    <row r="108" spans="1:8" ht="14.1" customHeight="1" x14ac:dyDescent="0.2">
      <c r="A108" s="1"/>
      <c r="B108" s="1"/>
      <c r="C108" s="2" t="s">
        <v>132</v>
      </c>
      <c r="D108" s="1"/>
      <c r="E108" s="1" t="s">
        <v>133</v>
      </c>
      <c r="F108" s="9">
        <v>250.6918369</v>
      </c>
      <c r="G108" s="10">
        <v>8.9278040000000003E-2</v>
      </c>
      <c r="H108" s="105"/>
    </row>
    <row r="109" spans="1:8" ht="14.1" customHeight="1" x14ac:dyDescent="0.2">
      <c r="A109" s="1"/>
      <c r="B109" s="1"/>
      <c r="C109" s="11"/>
      <c r="D109" s="1"/>
      <c r="E109" s="1"/>
      <c r="F109" s="12"/>
      <c r="G109" s="12"/>
      <c r="H109" s="105"/>
    </row>
    <row r="110" spans="1:8" ht="14.1" customHeight="1" x14ac:dyDescent="0.2">
      <c r="A110" s="1"/>
      <c r="B110" s="1"/>
      <c r="C110" s="2" t="s">
        <v>153</v>
      </c>
      <c r="D110" s="1"/>
      <c r="E110" s="1"/>
      <c r="F110" s="9">
        <v>250.6918369</v>
      </c>
      <c r="G110" s="10">
        <v>8.9278040000000003E-2</v>
      </c>
      <c r="H110" s="105"/>
    </row>
    <row r="111" spans="1:8" ht="14.1" customHeight="1" x14ac:dyDescent="0.2">
      <c r="A111" s="1"/>
      <c r="B111" s="1"/>
      <c r="C111" s="12"/>
      <c r="D111" s="1"/>
      <c r="E111" s="1"/>
      <c r="F111" s="1"/>
      <c r="G111" s="1"/>
      <c r="H111" s="105"/>
    </row>
    <row r="112" spans="1:8" ht="14.1" customHeight="1" x14ac:dyDescent="0.2">
      <c r="A112" s="1"/>
      <c r="B112" s="1"/>
      <c r="C112" s="2" t="s">
        <v>154</v>
      </c>
      <c r="D112" s="1"/>
      <c r="E112" s="1"/>
      <c r="F112" s="1"/>
      <c r="G112" s="1"/>
      <c r="H112" s="105"/>
    </row>
    <row r="113" spans="1:8" ht="14.1" customHeight="1" x14ac:dyDescent="0.2">
      <c r="A113" s="1"/>
      <c r="B113" s="1"/>
      <c r="C113" s="2" t="s">
        <v>155</v>
      </c>
      <c r="D113" s="1"/>
      <c r="E113" s="1"/>
      <c r="F113" s="1"/>
      <c r="G113" s="1"/>
      <c r="H113" s="105"/>
    </row>
    <row r="114" spans="1:8" ht="14.1" customHeight="1" x14ac:dyDescent="0.2">
      <c r="A114" s="1"/>
      <c r="B114" s="1"/>
      <c r="C114" s="2" t="s">
        <v>132</v>
      </c>
      <c r="D114" s="1"/>
      <c r="E114" s="1" t="s">
        <v>133</v>
      </c>
      <c r="F114" s="13" t="s">
        <v>135</v>
      </c>
      <c r="G114" s="10">
        <v>0</v>
      </c>
      <c r="H114" s="105"/>
    </row>
    <row r="115" spans="1:8" ht="14.1" customHeight="1" x14ac:dyDescent="0.2">
      <c r="A115" s="1"/>
      <c r="B115" s="1"/>
      <c r="C115" s="11"/>
      <c r="D115" s="1"/>
      <c r="E115" s="1"/>
      <c r="F115" s="12"/>
      <c r="G115" s="12"/>
      <c r="H115" s="105"/>
    </row>
    <row r="116" spans="1:8" ht="14.1" customHeight="1" x14ac:dyDescent="0.2">
      <c r="A116" s="1"/>
      <c r="B116" s="1"/>
      <c r="C116" s="2" t="s">
        <v>156</v>
      </c>
      <c r="D116" s="1"/>
      <c r="E116" s="1"/>
      <c r="F116" s="1"/>
      <c r="G116" s="1"/>
      <c r="H116" s="105"/>
    </row>
    <row r="117" spans="1:8" ht="14.1" customHeight="1" x14ac:dyDescent="0.2">
      <c r="A117" s="1"/>
      <c r="B117" s="1"/>
      <c r="C117" s="2" t="s">
        <v>157</v>
      </c>
      <c r="D117" s="1"/>
      <c r="E117" s="1"/>
      <c r="F117" s="1"/>
      <c r="G117" s="1"/>
      <c r="H117" s="105"/>
    </row>
    <row r="118" spans="1:8" ht="14.1" customHeight="1" x14ac:dyDescent="0.2">
      <c r="A118" s="1"/>
      <c r="B118" s="1"/>
      <c r="C118" s="2" t="s">
        <v>132</v>
      </c>
      <c r="D118" s="1"/>
      <c r="E118" s="1" t="s">
        <v>133</v>
      </c>
      <c r="F118" s="13" t="s">
        <v>135</v>
      </c>
      <c r="G118" s="10">
        <v>0</v>
      </c>
      <c r="H118" s="105"/>
    </row>
    <row r="119" spans="1:8" ht="14.1" customHeight="1" x14ac:dyDescent="0.2">
      <c r="A119" s="1"/>
      <c r="B119" s="1"/>
      <c r="C119" s="11"/>
      <c r="D119" s="1"/>
      <c r="E119" s="1"/>
      <c r="F119" s="12"/>
      <c r="G119" s="12"/>
      <c r="H119" s="105"/>
    </row>
    <row r="120" spans="1:8" ht="24" customHeight="1" x14ac:dyDescent="0.2">
      <c r="A120" s="1"/>
      <c r="B120" s="1"/>
      <c r="C120" s="2" t="s">
        <v>158</v>
      </c>
      <c r="D120" s="1"/>
      <c r="E120" s="1"/>
      <c r="F120" s="12"/>
      <c r="G120" s="12"/>
      <c r="H120" s="105"/>
    </row>
    <row r="121" spans="1:8" ht="14.1" customHeight="1" x14ac:dyDescent="0.2">
      <c r="A121" s="1"/>
      <c r="B121" s="1"/>
      <c r="C121" s="2" t="s">
        <v>132</v>
      </c>
      <c r="D121" s="1"/>
      <c r="E121" s="1" t="s">
        <v>133</v>
      </c>
      <c r="F121" s="13" t="s">
        <v>135</v>
      </c>
      <c r="G121" s="10">
        <v>0</v>
      </c>
      <c r="H121" s="105"/>
    </row>
    <row r="122" spans="1:8" ht="14.1" customHeight="1" x14ac:dyDescent="0.2">
      <c r="A122" s="1"/>
      <c r="B122" s="1"/>
      <c r="C122" s="11"/>
      <c r="D122" s="1"/>
      <c r="E122" s="1"/>
      <c r="F122" s="12"/>
      <c r="G122" s="12"/>
      <c r="H122" s="105"/>
    </row>
    <row r="123" spans="1:8" ht="14.1" customHeight="1" x14ac:dyDescent="0.2">
      <c r="A123" s="1"/>
      <c r="B123" s="4"/>
      <c r="C123" s="4"/>
      <c r="D123" s="2"/>
      <c r="E123" s="1"/>
      <c r="F123" s="4"/>
      <c r="G123" s="8"/>
      <c r="H123" s="105"/>
    </row>
    <row r="124" spans="1:8" ht="18" customHeight="1" x14ac:dyDescent="0.2">
      <c r="A124" s="8"/>
      <c r="B124" s="4"/>
      <c r="C124" s="4" t="s">
        <v>159</v>
      </c>
      <c r="D124" s="4"/>
      <c r="E124" s="8"/>
      <c r="F124" s="6">
        <v>5.2865403000000004</v>
      </c>
      <c r="G124" s="7">
        <v>1.8826800000000001E-3</v>
      </c>
      <c r="H124" s="105"/>
    </row>
    <row r="125" spans="1:8" ht="14.1" customHeight="1" x14ac:dyDescent="0.2">
      <c r="A125" s="11"/>
      <c r="B125" s="11"/>
      <c r="C125" s="2" t="s">
        <v>160</v>
      </c>
      <c r="D125" s="12"/>
      <c r="E125" s="12"/>
      <c r="F125" s="9">
        <v>2807.9901279119999</v>
      </c>
      <c r="G125" s="14">
        <v>1.00000004</v>
      </c>
      <c r="H125" s="105"/>
    </row>
    <row r="126" spans="1:8" ht="14.1" customHeight="1" x14ac:dyDescent="0.2">
      <c r="A126" s="15"/>
      <c r="B126" s="15"/>
      <c r="C126" s="15"/>
      <c r="D126" s="16"/>
      <c r="E126" s="16"/>
      <c r="F126" s="16"/>
      <c r="G126" s="16"/>
    </row>
    <row r="127" spans="1:8" ht="14.1" customHeight="1" x14ac:dyDescent="0.2">
      <c r="A127" s="17"/>
      <c r="B127" s="17"/>
      <c r="C127" s="17"/>
      <c r="D127" s="19"/>
      <c r="E127" s="19"/>
      <c r="F127" s="19"/>
      <c r="G127" s="19"/>
    </row>
    <row r="128" spans="1:8" ht="14.1" customHeight="1" x14ac:dyDescent="0.2">
      <c r="A128" s="17"/>
      <c r="B128" s="179" t="s">
        <v>162</v>
      </c>
      <c r="C128" s="180"/>
      <c r="D128" s="181"/>
      <c r="E128" s="20"/>
      <c r="F128" s="19"/>
      <c r="G128" s="19"/>
    </row>
    <row r="129" spans="1:7" ht="29.1" customHeight="1" x14ac:dyDescent="0.2">
      <c r="A129" s="17"/>
      <c r="B129" s="176" t="s">
        <v>163</v>
      </c>
      <c r="C129" s="177"/>
      <c r="D129" s="2" t="s">
        <v>164</v>
      </c>
      <c r="E129" s="20"/>
      <c r="F129" s="19"/>
      <c r="G129" s="19"/>
    </row>
    <row r="130" spans="1:7" ht="17.100000000000001" customHeight="1" x14ac:dyDescent="0.2">
      <c r="A130" s="17"/>
      <c r="B130" s="176" t="s">
        <v>165</v>
      </c>
      <c r="C130" s="177"/>
      <c r="D130" s="2" t="s">
        <v>164</v>
      </c>
      <c r="E130" s="20"/>
      <c r="F130" s="19"/>
      <c r="G130" s="19"/>
    </row>
    <row r="131" spans="1:7" ht="17.100000000000001" customHeight="1" x14ac:dyDescent="0.2">
      <c r="A131" s="17"/>
      <c r="B131" s="176" t="s">
        <v>166</v>
      </c>
      <c r="C131" s="177"/>
      <c r="D131" s="12" t="s">
        <v>133</v>
      </c>
      <c r="E131" s="20"/>
      <c r="F131" s="19"/>
      <c r="G131" s="19"/>
    </row>
    <row r="132" spans="1:7" ht="24" customHeight="1" x14ac:dyDescent="0.2">
      <c r="A132" s="21"/>
      <c r="B132" s="22" t="s">
        <v>133</v>
      </c>
      <c r="C132" s="22" t="s">
        <v>167</v>
      </c>
      <c r="D132" s="22" t="s">
        <v>168</v>
      </c>
      <c r="E132" s="21"/>
      <c r="F132" s="21"/>
      <c r="G132" s="21"/>
    </row>
    <row r="133" spans="1:7" ht="18" customHeight="1" x14ac:dyDescent="0.2">
      <c r="A133" s="21"/>
      <c r="B133" s="23" t="s">
        <v>169</v>
      </c>
      <c r="C133" s="22" t="s">
        <v>170</v>
      </c>
      <c r="D133" s="22" t="s">
        <v>171</v>
      </c>
      <c r="E133" s="21"/>
      <c r="F133" s="21"/>
      <c r="G133" s="21"/>
    </row>
    <row r="134" spans="1:7" ht="17.100000000000001" customHeight="1" x14ac:dyDescent="0.2">
      <c r="A134" s="21"/>
      <c r="B134" s="4" t="s">
        <v>172</v>
      </c>
      <c r="C134" s="24">
        <v>16.467500000000001</v>
      </c>
      <c r="D134" s="24">
        <v>17.587299999999999</v>
      </c>
      <c r="E134" s="21"/>
      <c r="F134" s="18"/>
      <c r="G134" s="25"/>
    </row>
    <row r="135" spans="1:7" ht="17.100000000000001" customHeight="1" x14ac:dyDescent="0.2">
      <c r="A135" s="21"/>
      <c r="B135" s="4" t="s">
        <v>1006</v>
      </c>
      <c r="C135" s="24">
        <v>16.467500000000001</v>
      </c>
      <c r="D135" s="24">
        <v>17.587299999999999</v>
      </c>
      <c r="E135" s="21"/>
      <c r="F135" s="18"/>
      <c r="G135" s="25"/>
    </row>
    <row r="136" spans="1:7" ht="17.100000000000001" customHeight="1" x14ac:dyDescent="0.2">
      <c r="A136" s="21"/>
      <c r="B136" s="4" t="s">
        <v>173</v>
      </c>
      <c r="C136" s="24">
        <v>16.0932</v>
      </c>
      <c r="D136" s="24">
        <v>17.184100000000001</v>
      </c>
      <c r="E136" s="21"/>
      <c r="F136" s="18"/>
      <c r="G136" s="25"/>
    </row>
    <row r="137" spans="1:7" ht="17.100000000000001" customHeight="1" x14ac:dyDescent="0.2">
      <c r="A137" s="21"/>
      <c r="B137" s="4" t="s">
        <v>1007</v>
      </c>
      <c r="C137" s="24">
        <v>16.093299999999999</v>
      </c>
      <c r="D137" s="24">
        <v>17.184100000000001</v>
      </c>
      <c r="E137" s="21"/>
      <c r="F137" s="18"/>
      <c r="G137" s="25"/>
    </row>
    <row r="138" spans="1:7" ht="14.1" customHeight="1" x14ac:dyDescent="0.2">
      <c r="A138" s="21"/>
      <c r="B138" s="21"/>
      <c r="C138" s="21"/>
      <c r="D138" s="21"/>
      <c r="E138" s="21"/>
      <c r="F138" s="21"/>
      <c r="G138" s="21"/>
    </row>
    <row r="139" spans="1:7" ht="17.100000000000001" customHeight="1" x14ac:dyDescent="0.2">
      <c r="A139" s="21"/>
      <c r="B139" s="176" t="s">
        <v>1008</v>
      </c>
      <c r="C139" s="177"/>
      <c r="D139" s="2" t="s">
        <v>164</v>
      </c>
      <c r="E139" s="21"/>
      <c r="F139" s="21"/>
      <c r="G139" s="21"/>
    </row>
    <row r="140" spans="1:7" ht="18" customHeight="1" x14ac:dyDescent="0.2">
      <c r="A140" s="21"/>
      <c r="B140" s="26"/>
      <c r="C140" s="26"/>
      <c r="D140" s="26"/>
      <c r="E140" s="21"/>
      <c r="F140" s="21"/>
      <c r="G140" s="21"/>
    </row>
    <row r="141" spans="1:7" ht="29.1" customHeight="1" x14ac:dyDescent="0.2">
      <c r="A141" s="21"/>
      <c r="B141" s="176" t="s">
        <v>174</v>
      </c>
      <c r="C141" s="177"/>
      <c r="D141" s="2" t="s">
        <v>164</v>
      </c>
      <c r="E141" s="27"/>
      <c r="F141" s="21"/>
      <c r="G141" s="21"/>
    </row>
    <row r="142" spans="1:7" ht="29.1" customHeight="1" x14ac:dyDescent="0.2">
      <c r="A142" s="21"/>
      <c r="B142" s="176" t="s">
        <v>175</v>
      </c>
      <c r="C142" s="177"/>
      <c r="D142" s="2" t="s">
        <v>164</v>
      </c>
      <c r="E142" s="27"/>
      <c r="F142" s="21"/>
      <c r="G142" s="21"/>
    </row>
    <row r="143" spans="1:7" ht="17.100000000000001" customHeight="1" x14ac:dyDescent="0.2">
      <c r="A143" s="21"/>
      <c r="B143" s="176" t="s">
        <v>176</v>
      </c>
      <c r="C143" s="177"/>
      <c r="D143" s="2" t="s">
        <v>164</v>
      </c>
      <c r="E143" s="27"/>
      <c r="F143" s="21"/>
      <c r="G143" s="21"/>
    </row>
    <row r="144" spans="1:7" ht="17.100000000000001" customHeight="1" x14ac:dyDescent="0.2">
      <c r="A144" s="21"/>
      <c r="B144" s="176" t="s">
        <v>177</v>
      </c>
      <c r="C144" s="177"/>
      <c r="D144" s="60">
        <v>0.12924710743712359</v>
      </c>
      <c r="E144" s="21"/>
      <c r="F144" s="18"/>
      <c r="G144" s="25"/>
    </row>
    <row r="154" spans="10:14" x14ac:dyDescent="0.2">
      <c r="J154" s="162"/>
      <c r="K154" s="162"/>
      <c r="L154" s="162"/>
      <c r="M154" s="162"/>
      <c r="N154" s="162"/>
    </row>
  </sheetData>
  <mergeCells count="13">
    <mergeCell ref="B144:C144"/>
    <mergeCell ref="B130:C130"/>
    <mergeCell ref="B131:C131"/>
    <mergeCell ref="B139:C139"/>
    <mergeCell ref="B141:C141"/>
    <mergeCell ref="B142:C142"/>
    <mergeCell ref="B143:C143"/>
    <mergeCell ref="J2:N2"/>
    <mergeCell ref="B129:C129"/>
    <mergeCell ref="B128:D128"/>
    <mergeCell ref="A1:H1"/>
    <mergeCell ref="A2:H2"/>
    <mergeCell ref="A3:H3"/>
  </mergeCells>
  <hyperlinks>
    <hyperlink ref="I1" location="Index!B19" display="Index" xr:uid="{E91509F3-6661-46B9-8F1A-61E039802A0E}"/>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A1:O158"/>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5" ht="18" customHeight="1" x14ac:dyDescent="0.2">
      <c r="A1" s="182" t="s">
        <v>0</v>
      </c>
      <c r="B1" s="182"/>
      <c r="C1" s="182"/>
      <c r="D1" s="182"/>
      <c r="E1" s="182"/>
      <c r="F1" s="182"/>
      <c r="G1" s="182"/>
      <c r="H1" s="182"/>
      <c r="I1" s="159" t="s">
        <v>1044</v>
      </c>
    </row>
    <row r="2" spans="1:15" ht="17.100000000000001" customHeight="1" x14ac:dyDescent="0.2">
      <c r="A2" s="183" t="s">
        <v>506</v>
      </c>
      <c r="B2" s="184"/>
      <c r="C2" s="184"/>
      <c r="D2" s="184"/>
      <c r="E2" s="184"/>
      <c r="F2" s="184"/>
      <c r="G2" s="184"/>
      <c r="H2" s="185"/>
      <c r="J2" s="175" t="s">
        <v>1045</v>
      </c>
      <c r="K2" s="175"/>
      <c r="L2" s="175"/>
      <c r="M2" s="175"/>
      <c r="N2" s="175"/>
    </row>
    <row r="3" spans="1:15" ht="21" customHeight="1" x14ac:dyDescent="0.2">
      <c r="A3" s="182" t="s">
        <v>1016</v>
      </c>
      <c r="B3" s="182"/>
      <c r="C3" s="182"/>
      <c r="D3" s="182"/>
      <c r="E3" s="182"/>
      <c r="F3" s="182"/>
      <c r="G3" s="182"/>
      <c r="H3" s="182"/>
    </row>
    <row r="4" spans="1:15" ht="30" x14ac:dyDescent="0.2">
      <c r="A4" s="107" t="s">
        <v>2</v>
      </c>
      <c r="B4" s="107" t="s">
        <v>3</v>
      </c>
      <c r="C4" s="107" t="s">
        <v>4</v>
      </c>
      <c r="D4" s="107" t="s">
        <v>5</v>
      </c>
      <c r="E4" s="107" t="s">
        <v>6</v>
      </c>
      <c r="F4" s="107" t="s">
        <v>7</v>
      </c>
      <c r="G4" s="107" t="s">
        <v>8</v>
      </c>
      <c r="H4" s="104" t="s">
        <v>1003</v>
      </c>
      <c r="I4" s="108"/>
      <c r="J4" s="108"/>
      <c r="K4" s="108"/>
      <c r="L4" s="108"/>
      <c r="M4" s="108"/>
      <c r="N4" s="108"/>
      <c r="O4" s="108"/>
    </row>
    <row r="5" spans="1:15" ht="14.1" customHeight="1" x14ac:dyDescent="0.2">
      <c r="A5" s="1"/>
      <c r="B5" s="1"/>
      <c r="C5" s="2" t="s">
        <v>9</v>
      </c>
      <c r="D5" s="1"/>
      <c r="E5" s="1"/>
      <c r="F5" s="1"/>
      <c r="G5" s="1"/>
      <c r="H5" s="105"/>
    </row>
    <row r="6" spans="1:15" ht="24" customHeight="1" x14ac:dyDescent="0.2">
      <c r="A6" s="1"/>
      <c r="B6" s="1"/>
      <c r="C6" s="2" t="s">
        <v>10</v>
      </c>
      <c r="D6" s="1"/>
      <c r="E6" s="1"/>
      <c r="F6" s="1"/>
      <c r="G6" s="1"/>
      <c r="H6" s="105"/>
    </row>
    <row r="7" spans="1:15" ht="17.100000000000001" customHeight="1" x14ac:dyDescent="0.2">
      <c r="A7" s="3">
        <v>1</v>
      </c>
      <c r="B7" s="4" t="s">
        <v>383</v>
      </c>
      <c r="C7" s="4" t="s">
        <v>384</v>
      </c>
      <c r="D7" s="4" t="s">
        <v>25</v>
      </c>
      <c r="E7" s="5">
        <v>218556</v>
      </c>
      <c r="F7" s="6">
        <v>150.69436200000001</v>
      </c>
      <c r="G7" s="7">
        <v>4.5049079999999998E-2</v>
      </c>
      <c r="H7" s="105"/>
    </row>
    <row r="8" spans="1:15" ht="17.100000000000001" customHeight="1" x14ac:dyDescent="0.2">
      <c r="A8" s="3">
        <v>2</v>
      </c>
      <c r="B8" s="4" t="s">
        <v>420</v>
      </c>
      <c r="C8" s="4" t="s">
        <v>421</v>
      </c>
      <c r="D8" s="4" t="s">
        <v>121</v>
      </c>
      <c r="E8" s="5">
        <v>5611</v>
      </c>
      <c r="F8" s="6">
        <v>137.06831349999999</v>
      </c>
      <c r="G8" s="7">
        <v>4.0975659999999997E-2</v>
      </c>
      <c r="H8" s="105"/>
    </row>
    <row r="9" spans="1:15" ht="17.100000000000001" customHeight="1" x14ac:dyDescent="0.2">
      <c r="A9" s="3">
        <v>3</v>
      </c>
      <c r="B9" s="4" t="s">
        <v>31</v>
      </c>
      <c r="C9" s="4" t="s">
        <v>32</v>
      </c>
      <c r="D9" s="4" t="s">
        <v>33</v>
      </c>
      <c r="E9" s="5">
        <v>5959</v>
      </c>
      <c r="F9" s="6">
        <v>134.1102745</v>
      </c>
      <c r="G9" s="7">
        <v>4.0091370000000001E-2</v>
      </c>
      <c r="H9" s="105"/>
    </row>
    <row r="10" spans="1:15" ht="17.100000000000001" customHeight="1" x14ac:dyDescent="0.2">
      <c r="A10" s="3">
        <v>4</v>
      </c>
      <c r="B10" s="4" t="s">
        <v>63</v>
      </c>
      <c r="C10" s="4" t="s">
        <v>64</v>
      </c>
      <c r="D10" s="4" t="s">
        <v>33</v>
      </c>
      <c r="E10" s="5">
        <v>6471</v>
      </c>
      <c r="F10" s="6">
        <v>122.6286855</v>
      </c>
      <c r="G10" s="7">
        <v>3.6659030000000002E-2</v>
      </c>
      <c r="H10" s="105"/>
    </row>
    <row r="11" spans="1:15" ht="29.1" customHeight="1" x14ac:dyDescent="0.2">
      <c r="A11" s="3">
        <v>5</v>
      </c>
      <c r="B11" s="4" t="s">
        <v>181</v>
      </c>
      <c r="C11" s="4" t="s">
        <v>182</v>
      </c>
      <c r="D11" s="4" t="s">
        <v>183</v>
      </c>
      <c r="E11" s="5">
        <v>2136</v>
      </c>
      <c r="F11" s="6">
        <v>103.600272</v>
      </c>
      <c r="G11" s="7">
        <v>3.0970609999999999E-2</v>
      </c>
      <c r="H11" s="105"/>
    </row>
    <row r="12" spans="1:15" ht="17.100000000000001" customHeight="1" x14ac:dyDescent="0.2">
      <c r="A12" s="3">
        <v>6</v>
      </c>
      <c r="B12" s="4" t="s">
        <v>426</v>
      </c>
      <c r="C12" s="4" t="s">
        <v>427</v>
      </c>
      <c r="D12" s="4" t="s">
        <v>33</v>
      </c>
      <c r="E12" s="5">
        <v>9243</v>
      </c>
      <c r="F12" s="6">
        <v>96.658672499999994</v>
      </c>
      <c r="G12" s="7">
        <v>2.8895469999999999E-2</v>
      </c>
      <c r="H12" s="105"/>
    </row>
    <row r="13" spans="1:15" ht="17.100000000000001" customHeight="1" x14ac:dyDescent="0.2">
      <c r="A13" s="3">
        <v>7</v>
      </c>
      <c r="B13" s="4" t="s">
        <v>306</v>
      </c>
      <c r="C13" s="4" t="s">
        <v>307</v>
      </c>
      <c r="D13" s="4" t="s">
        <v>232</v>
      </c>
      <c r="E13" s="5">
        <v>6584</v>
      </c>
      <c r="F13" s="6">
        <v>96.333796000000007</v>
      </c>
      <c r="G13" s="7">
        <v>2.879835E-2</v>
      </c>
      <c r="H13" s="105"/>
    </row>
    <row r="14" spans="1:15" ht="17.100000000000001" customHeight="1" x14ac:dyDescent="0.2">
      <c r="A14" s="3">
        <v>8</v>
      </c>
      <c r="B14" s="4" t="s">
        <v>422</v>
      </c>
      <c r="C14" s="4" t="s">
        <v>423</v>
      </c>
      <c r="D14" s="4" t="s">
        <v>202</v>
      </c>
      <c r="E14" s="5">
        <v>32339</v>
      </c>
      <c r="F14" s="6">
        <v>87.315299999999993</v>
      </c>
      <c r="G14" s="7">
        <v>2.610233E-2</v>
      </c>
      <c r="H14" s="105"/>
      <c r="J14" s="161" t="s">
        <v>1054</v>
      </c>
    </row>
    <row r="15" spans="1:15" ht="17.100000000000001" customHeight="1" x14ac:dyDescent="0.2">
      <c r="A15" s="3">
        <v>9</v>
      </c>
      <c r="B15" s="4" t="s">
        <v>99</v>
      </c>
      <c r="C15" s="4" t="s">
        <v>100</v>
      </c>
      <c r="D15" s="4" t="s">
        <v>91</v>
      </c>
      <c r="E15" s="5">
        <v>17357</v>
      </c>
      <c r="F15" s="6">
        <v>87.114783000000003</v>
      </c>
      <c r="G15" s="7">
        <v>2.604238E-2</v>
      </c>
      <c r="H15" s="105"/>
    </row>
    <row r="16" spans="1:15" ht="17.100000000000001" customHeight="1" x14ac:dyDescent="0.2">
      <c r="A16" s="3">
        <v>10</v>
      </c>
      <c r="B16" s="4" t="s">
        <v>438</v>
      </c>
      <c r="C16" s="4" t="s">
        <v>439</v>
      </c>
      <c r="D16" s="4" t="s">
        <v>121</v>
      </c>
      <c r="E16" s="5">
        <v>16581</v>
      </c>
      <c r="F16" s="6">
        <v>86.387010000000004</v>
      </c>
      <c r="G16" s="7">
        <v>2.5824819999999998E-2</v>
      </c>
      <c r="H16" s="105"/>
    </row>
    <row r="17" spans="1:8" ht="17.100000000000001" customHeight="1" x14ac:dyDescent="0.2">
      <c r="A17" s="3">
        <v>11</v>
      </c>
      <c r="B17" s="4" t="s">
        <v>119</v>
      </c>
      <c r="C17" s="4" t="s">
        <v>120</v>
      </c>
      <c r="D17" s="4" t="s">
        <v>121</v>
      </c>
      <c r="E17" s="5">
        <v>28560</v>
      </c>
      <c r="F17" s="6">
        <v>85.194479999999999</v>
      </c>
      <c r="G17" s="7">
        <v>2.5468319999999999E-2</v>
      </c>
      <c r="H17" s="105"/>
    </row>
    <row r="18" spans="1:8" ht="17.100000000000001" customHeight="1" x14ac:dyDescent="0.2">
      <c r="A18" s="3">
        <v>12</v>
      </c>
      <c r="B18" s="4" t="s">
        <v>191</v>
      </c>
      <c r="C18" s="4" t="s">
        <v>192</v>
      </c>
      <c r="D18" s="4" t="s">
        <v>953</v>
      </c>
      <c r="E18" s="5">
        <v>1654</v>
      </c>
      <c r="F18" s="6">
        <v>78.354114999999993</v>
      </c>
      <c r="G18" s="7">
        <v>2.342344E-2</v>
      </c>
      <c r="H18" s="105"/>
    </row>
    <row r="19" spans="1:8" ht="17.100000000000001" customHeight="1" x14ac:dyDescent="0.2">
      <c r="A19" s="3">
        <v>13</v>
      </c>
      <c r="B19" s="4" t="s">
        <v>327</v>
      </c>
      <c r="C19" s="4" t="s">
        <v>328</v>
      </c>
      <c r="D19" s="4" t="s">
        <v>329</v>
      </c>
      <c r="E19" s="5">
        <v>6199</v>
      </c>
      <c r="F19" s="6">
        <v>76.250799499999999</v>
      </c>
      <c r="G19" s="7">
        <v>2.279467E-2</v>
      </c>
      <c r="H19" s="105"/>
    </row>
    <row r="20" spans="1:8" ht="17.100000000000001" customHeight="1" x14ac:dyDescent="0.2">
      <c r="A20" s="3">
        <v>14</v>
      </c>
      <c r="B20" s="4" t="s">
        <v>314</v>
      </c>
      <c r="C20" s="4" t="s">
        <v>315</v>
      </c>
      <c r="D20" s="4" t="s">
        <v>223</v>
      </c>
      <c r="E20" s="5">
        <v>6371</v>
      </c>
      <c r="F20" s="6">
        <v>76.187603499999994</v>
      </c>
      <c r="G20" s="7">
        <v>2.2775779999999999E-2</v>
      </c>
      <c r="H20" s="105"/>
    </row>
    <row r="21" spans="1:8" ht="17.100000000000001" customHeight="1" x14ac:dyDescent="0.2">
      <c r="A21" s="3">
        <v>15</v>
      </c>
      <c r="B21" s="4" t="s">
        <v>415</v>
      </c>
      <c r="C21" s="4" t="s">
        <v>416</v>
      </c>
      <c r="D21" s="4" t="s">
        <v>223</v>
      </c>
      <c r="E21" s="5">
        <v>9506</v>
      </c>
      <c r="F21" s="6">
        <v>72.649604999999994</v>
      </c>
      <c r="G21" s="7">
        <v>2.171812E-2</v>
      </c>
      <c r="H21" s="105"/>
    </row>
    <row r="22" spans="1:8" ht="17.100000000000001" customHeight="1" x14ac:dyDescent="0.2">
      <c r="A22" s="3">
        <v>16</v>
      </c>
      <c r="B22" s="4" t="s">
        <v>464</v>
      </c>
      <c r="C22" s="4" t="s">
        <v>465</v>
      </c>
      <c r="D22" s="4" t="s">
        <v>223</v>
      </c>
      <c r="E22" s="5">
        <v>32152</v>
      </c>
      <c r="F22" s="6">
        <v>71.715035999999998</v>
      </c>
      <c r="G22" s="7">
        <v>2.143873E-2</v>
      </c>
      <c r="H22" s="105"/>
    </row>
    <row r="23" spans="1:8" ht="17.100000000000001" customHeight="1" x14ac:dyDescent="0.2">
      <c r="A23" s="3">
        <v>17</v>
      </c>
      <c r="B23" s="4" t="s">
        <v>385</v>
      </c>
      <c r="C23" s="4" t="s">
        <v>386</v>
      </c>
      <c r="D23" s="4" t="s">
        <v>128</v>
      </c>
      <c r="E23" s="5">
        <v>11039</v>
      </c>
      <c r="F23" s="6">
        <v>68.077512999999996</v>
      </c>
      <c r="G23" s="7">
        <v>2.0351319999999999E-2</v>
      </c>
      <c r="H23" s="105"/>
    </row>
    <row r="24" spans="1:8" ht="29.1" customHeight="1" x14ac:dyDescent="0.2">
      <c r="A24" s="3">
        <v>18</v>
      </c>
      <c r="B24" s="4" t="s">
        <v>73</v>
      </c>
      <c r="C24" s="4" t="s">
        <v>74</v>
      </c>
      <c r="D24" s="4" t="s">
        <v>22</v>
      </c>
      <c r="E24" s="5">
        <v>2267</v>
      </c>
      <c r="F24" s="6">
        <v>67.858110999999994</v>
      </c>
      <c r="G24" s="7">
        <v>2.0285729999999998E-2</v>
      </c>
      <c r="H24" s="105"/>
    </row>
    <row r="25" spans="1:8" ht="17.100000000000001" customHeight="1" x14ac:dyDescent="0.2">
      <c r="A25" s="3">
        <v>19</v>
      </c>
      <c r="B25" s="4" t="s">
        <v>424</v>
      </c>
      <c r="C25" s="4" t="s">
        <v>425</v>
      </c>
      <c r="D25" s="4" t="s">
        <v>329</v>
      </c>
      <c r="E25" s="5">
        <v>4750</v>
      </c>
      <c r="F25" s="6">
        <v>66.471500000000006</v>
      </c>
      <c r="G25" s="7">
        <v>1.987121E-2</v>
      </c>
      <c r="H25" s="105"/>
    </row>
    <row r="26" spans="1:8" ht="29.1" customHeight="1" x14ac:dyDescent="0.2">
      <c r="A26" s="3">
        <v>20</v>
      </c>
      <c r="B26" s="4" t="s">
        <v>428</v>
      </c>
      <c r="C26" s="4" t="s">
        <v>429</v>
      </c>
      <c r="D26" s="4" t="s">
        <v>62</v>
      </c>
      <c r="E26" s="5">
        <v>2903</v>
      </c>
      <c r="F26" s="6">
        <v>66.252266000000006</v>
      </c>
      <c r="G26" s="7">
        <v>1.9805670000000001E-2</v>
      </c>
      <c r="H26" s="105"/>
    </row>
    <row r="27" spans="1:8" ht="17.100000000000001" customHeight="1" x14ac:dyDescent="0.2">
      <c r="A27" s="3">
        <v>21</v>
      </c>
      <c r="B27" s="4" t="s">
        <v>436</v>
      </c>
      <c r="C27" s="4" t="s">
        <v>437</v>
      </c>
      <c r="D27" s="4" t="s">
        <v>253</v>
      </c>
      <c r="E27" s="5">
        <v>37340</v>
      </c>
      <c r="F27" s="6">
        <v>63.160609999999998</v>
      </c>
      <c r="G27" s="7">
        <v>1.8881439999999999E-2</v>
      </c>
      <c r="H27" s="105"/>
    </row>
    <row r="28" spans="1:8" ht="29.1" customHeight="1" x14ac:dyDescent="0.2">
      <c r="A28" s="3">
        <v>22</v>
      </c>
      <c r="B28" s="4" t="s">
        <v>95</v>
      </c>
      <c r="C28" s="4" t="s">
        <v>96</v>
      </c>
      <c r="D28" s="4" t="s">
        <v>41</v>
      </c>
      <c r="E28" s="5">
        <v>3200</v>
      </c>
      <c r="F28" s="6">
        <v>58.009599999999999</v>
      </c>
      <c r="G28" s="7">
        <v>1.7341579999999999E-2</v>
      </c>
      <c r="H28" s="105"/>
    </row>
    <row r="29" spans="1:8" ht="29.1" customHeight="1" x14ac:dyDescent="0.2">
      <c r="A29" s="3">
        <v>23</v>
      </c>
      <c r="B29" s="4" t="s">
        <v>387</v>
      </c>
      <c r="C29" s="4" t="s">
        <v>388</v>
      </c>
      <c r="D29" s="4" t="s">
        <v>212</v>
      </c>
      <c r="E29" s="5">
        <v>17769</v>
      </c>
      <c r="F29" s="6">
        <v>57.473830499999998</v>
      </c>
      <c r="G29" s="7">
        <v>1.7181419999999999E-2</v>
      </c>
      <c r="H29" s="105"/>
    </row>
    <row r="30" spans="1:8" ht="29.1" customHeight="1" x14ac:dyDescent="0.2">
      <c r="A30" s="3">
        <v>24</v>
      </c>
      <c r="B30" s="4" t="s">
        <v>498</v>
      </c>
      <c r="C30" s="4" t="s">
        <v>499</v>
      </c>
      <c r="D30" s="4" t="s">
        <v>488</v>
      </c>
      <c r="E30" s="5">
        <v>9296</v>
      </c>
      <c r="F30" s="6">
        <v>55.98516</v>
      </c>
      <c r="G30" s="7">
        <v>1.673639E-2</v>
      </c>
      <c r="H30" s="105"/>
    </row>
    <row r="31" spans="1:8" ht="17.100000000000001" customHeight="1" x14ac:dyDescent="0.2">
      <c r="A31" s="3">
        <v>25</v>
      </c>
      <c r="B31" s="4" t="s">
        <v>434</v>
      </c>
      <c r="C31" s="4" t="s">
        <v>435</v>
      </c>
      <c r="D31" s="4" t="s">
        <v>13</v>
      </c>
      <c r="E31" s="5">
        <v>10323</v>
      </c>
      <c r="F31" s="6">
        <v>55.739038499999999</v>
      </c>
      <c r="G31" s="7">
        <v>1.666281E-2</v>
      </c>
      <c r="H31" s="105"/>
    </row>
    <row r="32" spans="1:8" ht="17.100000000000001" customHeight="1" x14ac:dyDescent="0.2">
      <c r="A32" s="3">
        <v>26</v>
      </c>
      <c r="B32" s="4" t="s">
        <v>418</v>
      </c>
      <c r="C32" s="4" t="s">
        <v>419</v>
      </c>
      <c r="D32" s="4" t="s">
        <v>953</v>
      </c>
      <c r="E32" s="5">
        <v>6048</v>
      </c>
      <c r="F32" s="6">
        <v>55.448064000000002</v>
      </c>
      <c r="G32" s="7">
        <v>1.657583E-2</v>
      </c>
      <c r="H32" s="105"/>
    </row>
    <row r="33" spans="1:8" ht="17.100000000000001" customHeight="1" x14ac:dyDescent="0.2">
      <c r="A33" s="3">
        <v>27</v>
      </c>
      <c r="B33" s="4" t="s">
        <v>413</v>
      </c>
      <c r="C33" s="4" t="s">
        <v>414</v>
      </c>
      <c r="D33" s="4" t="s">
        <v>128</v>
      </c>
      <c r="E33" s="5">
        <v>62770</v>
      </c>
      <c r="F33" s="6">
        <v>55.11206</v>
      </c>
      <c r="G33" s="7">
        <v>1.6475380000000001E-2</v>
      </c>
      <c r="H33" s="105"/>
    </row>
    <row r="34" spans="1:8" ht="17.100000000000001" customHeight="1" x14ac:dyDescent="0.2">
      <c r="A34" s="3">
        <v>28</v>
      </c>
      <c r="B34" s="4" t="s">
        <v>380</v>
      </c>
      <c r="C34" s="4" t="s">
        <v>381</v>
      </c>
      <c r="D34" s="4" t="s">
        <v>954</v>
      </c>
      <c r="E34" s="5">
        <v>5426</v>
      </c>
      <c r="F34" s="6">
        <v>50.551329000000003</v>
      </c>
      <c r="G34" s="7">
        <v>1.5111980000000001E-2</v>
      </c>
      <c r="H34" s="105"/>
    </row>
    <row r="35" spans="1:8" ht="17.100000000000001" customHeight="1" x14ac:dyDescent="0.2">
      <c r="A35" s="3">
        <v>29</v>
      </c>
      <c r="B35" s="4" t="s">
        <v>478</v>
      </c>
      <c r="C35" s="4" t="s">
        <v>479</v>
      </c>
      <c r="D35" s="4" t="s">
        <v>121</v>
      </c>
      <c r="E35" s="5">
        <v>4417</v>
      </c>
      <c r="F35" s="6">
        <v>48.474366500000002</v>
      </c>
      <c r="G35" s="7">
        <v>1.449109E-2</v>
      </c>
      <c r="H35" s="105"/>
    </row>
    <row r="36" spans="1:8" ht="17.100000000000001" customHeight="1" x14ac:dyDescent="0.2">
      <c r="A36" s="3">
        <v>30</v>
      </c>
      <c r="B36" s="4" t="s">
        <v>446</v>
      </c>
      <c r="C36" s="4" t="s">
        <v>447</v>
      </c>
      <c r="D36" s="4" t="s">
        <v>121</v>
      </c>
      <c r="E36" s="5">
        <v>11129</v>
      </c>
      <c r="F36" s="6">
        <v>46.1575275</v>
      </c>
      <c r="G36" s="7">
        <v>1.379849E-2</v>
      </c>
      <c r="H36" s="105"/>
    </row>
    <row r="37" spans="1:8" ht="29.1" customHeight="1" x14ac:dyDescent="0.2">
      <c r="A37" s="3">
        <v>31</v>
      </c>
      <c r="B37" s="4" t="s">
        <v>247</v>
      </c>
      <c r="C37" s="4" t="s">
        <v>248</v>
      </c>
      <c r="D37" s="4" t="s">
        <v>212</v>
      </c>
      <c r="E37" s="5">
        <v>14944</v>
      </c>
      <c r="F37" s="6">
        <v>45.967744000000003</v>
      </c>
      <c r="G37" s="7">
        <v>1.374175E-2</v>
      </c>
      <c r="H37" s="105"/>
    </row>
    <row r="38" spans="1:8" ht="29.1" customHeight="1" x14ac:dyDescent="0.2">
      <c r="A38" s="3">
        <v>32</v>
      </c>
      <c r="B38" s="4" t="s">
        <v>395</v>
      </c>
      <c r="C38" s="4" t="s">
        <v>396</v>
      </c>
      <c r="D38" s="4" t="s">
        <v>397</v>
      </c>
      <c r="E38" s="5">
        <v>39723</v>
      </c>
      <c r="F38" s="6">
        <v>45.701311500000003</v>
      </c>
      <c r="G38" s="7">
        <v>1.36621E-2</v>
      </c>
      <c r="H38" s="105"/>
    </row>
    <row r="39" spans="1:8" ht="17.100000000000001" customHeight="1" x14ac:dyDescent="0.2">
      <c r="A39" s="3">
        <v>33</v>
      </c>
      <c r="B39" s="4" t="s">
        <v>378</v>
      </c>
      <c r="C39" s="4" t="s">
        <v>379</v>
      </c>
      <c r="D39" s="4" t="s">
        <v>128</v>
      </c>
      <c r="E39" s="5">
        <v>6413</v>
      </c>
      <c r="F39" s="6">
        <v>45.689418500000002</v>
      </c>
      <c r="G39" s="7">
        <v>1.365855E-2</v>
      </c>
      <c r="H39" s="105"/>
    </row>
    <row r="40" spans="1:8" ht="17.100000000000001" customHeight="1" x14ac:dyDescent="0.2">
      <c r="A40" s="3">
        <v>34</v>
      </c>
      <c r="B40" s="4" t="s">
        <v>400</v>
      </c>
      <c r="C40" s="4" t="s">
        <v>401</v>
      </c>
      <c r="D40" s="4" t="s">
        <v>13</v>
      </c>
      <c r="E40" s="5">
        <v>48779</v>
      </c>
      <c r="F40" s="6">
        <v>42.852351499999997</v>
      </c>
      <c r="G40" s="7">
        <v>1.2810429999999999E-2</v>
      </c>
      <c r="H40" s="105"/>
    </row>
    <row r="41" spans="1:8" ht="29.1" customHeight="1" x14ac:dyDescent="0.2">
      <c r="A41" s="3">
        <v>35</v>
      </c>
      <c r="B41" s="4" t="s">
        <v>432</v>
      </c>
      <c r="C41" s="4" t="s">
        <v>433</v>
      </c>
      <c r="D41" s="4" t="s">
        <v>212</v>
      </c>
      <c r="E41" s="5">
        <v>1825</v>
      </c>
      <c r="F41" s="6">
        <v>38.8697625</v>
      </c>
      <c r="G41" s="7">
        <v>1.1619859999999999E-2</v>
      </c>
      <c r="H41" s="105"/>
    </row>
    <row r="42" spans="1:8" ht="29.1" customHeight="1" x14ac:dyDescent="0.2">
      <c r="A42" s="3">
        <v>36</v>
      </c>
      <c r="B42" s="4" t="s">
        <v>404</v>
      </c>
      <c r="C42" s="4" t="s">
        <v>405</v>
      </c>
      <c r="D42" s="4" t="s">
        <v>406</v>
      </c>
      <c r="E42" s="5">
        <v>9760</v>
      </c>
      <c r="F42" s="6">
        <v>37.541840000000001</v>
      </c>
      <c r="G42" s="7">
        <v>1.1222879999999999E-2</v>
      </c>
      <c r="H42" s="105"/>
    </row>
    <row r="43" spans="1:8" ht="29.1" customHeight="1" x14ac:dyDescent="0.2">
      <c r="A43" s="3">
        <v>37</v>
      </c>
      <c r="B43" s="4" t="s">
        <v>500</v>
      </c>
      <c r="C43" s="4" t="s">
        <v>501</v>
      </c>
      <c r="D43" s="4" t="s">
        <v>41</v>
      </c>
      <c r="E43" s="5">
        <v>11833</v>
      </c>
      <c r="F43" s="6">
        <v>36.445639999999997</v>
      </c>
      <c r="G43" s="7">
        <v>1.0895180000000001E-2</v>
      </c>
      <c r="H43" s="105"/>
    </row>
    <row r="44" spans="1:8" ht="17.100000000000001" customHeight="1" x14ac:dyDescent="0.2">
      <c r="A44" s="3">
        <v>38</v>
      </c>
      <c r="B44" s="4" t="s">
        <v>480</v>
      </c>
      <c r="C44" s="4" t="s">
        <v>481</v>
      </c>
      <c r="D44" s="4" t="s">
        <v>954</v>
      </c>
      <c r="E44" s="5">
        <v>2788</v>
      </c>
      <c r="F44" s="6">
        <v>32.897005999999998</v>
      </c>
      <c r="G44" s="7">
        <v>9.8343400000000004E-3</v>
      </c>
      <c r="H44" s="105"/>
    </row>
    <row r="45" spans="1:8" ht="17.100000000000001" customHeight="1" x14ac:dyDescent="0.2">
      <c r="A45" s="3">
        <v>39</v>
      </c>
      <c r="B45" s="4" t="s">
        <v>411</v>
      </c>
      <c r="C45" s="4" t="s">
        <v>412</v>
      </c>
      <c r="D45" s="4" t="s">
        <v>81</v>
      </c>
      <c r="E45" s="5">
        <v>3628</v>
      </c>
      <c r="F45" s="6">
        <v>29.970908000000001</v>
      </c>
      <c r="G45" s="7">
        <v>8.9595999999999999E-3</v>
      </c>
      <c r="H45" s="105"/>
    </row>
    <row r="46" spans="1:8" ht="17.100000000000001" customHeight="1" x14ac:dyDescent="0.2">
      <c r="A46" s="3">
        <v>40</v>
      </c>
      <c r="B46" s="4" t="s">
        <v>482</v>
      </c>
      <c r="C46" s="4" t="s">
        <v>483</v>
      </c>
      <c r="D46" s="4" t="s">
        <v>33</v>
      </c>
      <c r="E46" s="5">
        <v>4646</v>
      </c>
      <c r="F46" s="6">
        <v>29.824997</v>
      </c>
      <c r="G46" s="7">
        <v>8.9159800000000004E-3</v>
      </c>
      <c r="H46" s="105"/>
    </row>
    <row r="47" spans="1:8" ht="29.1" customHeight="1" x14ac:dyDescent="0.2">
      <c r="A47" s="3">
        <v>41</v>
      </c>
      <c r="B47" s="4" t="s">
        <v>391</v>
      </c>
      <c r="C47" s="4" t="s">
        <v>392</v>
      </c>
      <c r="D47" s="4" t="s">
        <v>190</v>
      </c>
      <c r="E47" s="5">
        <v>5842</v>
      </c>
      <c r="F47" s="6">
        <v>29.361892000000001</v>
      </c>
      <c r="G47" s="7">
        <v>8.7775400000000003E-3</v>
      </c>
      <c r="H47" s="105"/>
    </row>
    <row r="48" spans="1:8" ht="17.100000000000001" customHeight="1" x14ac:dyDescent="0.2">
      <c r="A48" s="3">
        <v>42</v>
      </c>
      <c r="B48" s="4" t="s">
        <v>454</v>
      </c>
      <c r="C48" s="4" t="s">
        <v>455</v>
      </c>
      <c r="D48" s="4" t="s">
        <v>121</v>
      </c>
      <c r="E48" s="5">
        <v>12795</v>
      </c>
      <c r="F48" s="6">
        <v>28.891110000000001</v>
      </c>
      <c r="G48" s="7">
        <v>8.63681E-3</v>
      </c>
      <c r="H48" s="105"/>
    </row>
    <row r="49" spans="1:8" ht="17.100000000000001" customHeight="1" x14ac:dyDescent="0.2">
      <c r="A49" s="3">
        <v>43</v>
      </c>
      <c r="B49" s="4" t="s">
        <v>241</v>
      </c>
      <c r="C49" s="4" t="s">
        <v>242</v>
      </c>
      <c r="D49" s="4" t="s">
        <v>81</v>
      </c>
      <c r="E49" s="5">
        <v>707</v>
      </c>
      <c r="F49" s="6">
        <v>28.28</v>
      </c>
      <c r="G49" s="7">
        <v>8.4541200000000007E-3</v>
      </c>
      <c r="H49" s="105"/>
    </row>
    <row r="50" spans="1:8" ht="17.100000000000001" customHeight="1" x14ac:dyDescent="0.2">
      <c r="A50" s="3">
        <v>44</v>
      </c>
      <c r="B50" s="4" t="s">
        <v>444</v>
      </c>
      <c r="C50" s="4" t="s">
        <v>445</v>
      </c>
      <c r="D50" s="4" t="s">
        <v>25</v>
      </c>
      <c r="E50" s="5">
        <v>9697</v>
      </c>
      <c r="F50" s="6">
        <v>27.103114999999999</v>
      </c>
      <c r="G50" s="7">
        <v>8.1022999999999998E-3</v>
      </c>
      <c r="H50" s="105"/>
    </row>
    <row r="51" spans="1:8" ht="29.1" customHeight="1" x14ac:dyDescent="0.2">
      <c r="A51" s="3">
        <v>45</v>
      </c>
      <c r="B51" s="4" t="s">
        <v>448</v>
      </c>
      <c r="C51" s="4" t="s">
        <v>449</v>
      </c>
      <c r="D51" s="4" t="s">
        <v>121</v>
      </c>
      <c r="E51" s="5">
        <v>2285</v>
      </c>
      <c r="F51" s="6">
        <v>25.621704999999999</v>
      </c>
      <c r="G51" s="7">
        <v>7.65944E-3</v>
      </c>
      <c r="H51" s="105"/>
    </row>
    <row r="52" spans="1:8" ht="29.1" customHeight="1" x14ac:dyDescent="0.2">
      <c r="A52" s="3">
        <v>46</v>
      </c>
      <c r="B52" s="4" t="s">
        <v>407</v>
      </c>
      <c r="C52" s="4" t="s">
        <v>408</v>
      </c>
      <c r="D52" s="4" t="s">
        <v>212</v>
      </c>
      <c r="E52" s="5">
        <v>546</v>
      </c>
      <c r="F52" s="6">
        <v>25.437048000000001</v>
      </c>
      <c r="G52" s="7">
        <v>7.60424E-3</v>
      </c>
      <c r="H52" s="105"/>
    </row>
    <row r="53" spans="1:8" ht="17.100000000000001" customHeight="1" x14ac:dyDescent="0.2">
      <c r="A53" s="3">
        <v>47</v>
      </c>
      <c r="B53" s="4" t="s">
        <v>450</v>
      </c>
      <c r="C53" s="4" t="s">
        <v>451</v>
      </c>
      <c r="D53" s="4" t="s">
        <v>33</v>
      </c>
      <c r="E53" s="5">
        <v>2302</v>
      </c>
      <c r="F53" s="6">
        <v>19.206737</v>
      </c>
      <c r="G53" s="7">
        <v>5.7417299999999996E-3</v>
      </c>
      <c r="H53" s="105"/>
    </row>
    <row r="54" spans="1:8" ht="29.1" customHeight="1" x14ac:dyDescent="0.2">
      <c r="A54" s="3">
        <v>48</v>
      </c>
      <c r="B54" s="4" t="s">
        <v>249</v>
      </c>
      <c r="C54" s="4" t="s">
        <v>250</v>
      </c>
      <c r="D54" s="4" t="s">
        <v>121</v>
      </c>
      <c r="E54" s="5">
        <v>7493</v>
      </c>
      <c r="F54" s="6">
        <v>19.099657000000001</v>
      </c>
      <c r="G54" s="7">
        <v>5.7097199999999997E-3</v>
      </c>
      <c r="H54" s="105"/>
    </row>
    <row r="55" spans="1:8" ht="17.100000000000001" customHeight="1" x14ac:dyDescent="0.2">
      <c r="A55" s="3">
        <v>49</v>
      </c>
      <c r="B55" s="4" t="s">
        <v>502</v>
      </c>
      <c r="C55" s="4" t="s">
        <v>503</v>
      </c>
      <c r="D55" s="4" t="s">
        <v>121</v>
      </c>
      <c r="E55" s="5">
        <v>975</v>
      </c>
      <c r="F55" s="6">
        <v>18.213975000000001</v>
      </c>
      <c r="G55" s="7">
        <v>5.4449499999999996E-3</v>
      </c>
      <c r="H55" s="105"/>
    </row>
    <row r="56" spans="1:8" ht="29.1" customHeight="1" x14ac:dyDescent="0.2">
      <c r="A56" s="3">
        <v>50</v>
      </c>
      <c r="B56" s="4" t="s">
        <v>472</v>
      </c>
      <c r="C56" s="4" t="s">
        <v>473</v>
      </c>
      <c r="D56" s="4" t="s">
        <v>474</v>
      </c>
      <c r="E56" s="5">
        <v>3612</v>
      </c>
      <c r="F56" s="6">
        <v>16.376808</v>
      </c>
      <c r="G56" s="7">
        <v>4.89574E-3</v>
      </c>
      <c r="H56" s="105"/>
    </row>
    <row r="57" spans="1:8" ht="17.100000000000001" customHeight="1" x14ac:dyDescent="0.2">
      <c r="A57" s="3">
        <v>51</v>
      </c>
      <c r="B57" s="4" t="s">
        <v>452</v>
      </c>
      <c r="C57" s="4" t="s">
        <v>453</v>
      </c>
      <c r="D57" s="4" t="s">
        <v>91</v>
      </c>
      <c r="E57" s="5">
        <v>22625</v>
      </c>
      <c r="F57" s="6">
        <v>14.7515</v>
      </c>
      <c r="G57" s="7">
        <v>4.4098599999999998E-3</v>
      </c>
      <c r="H57" s="105"/>
    </row>
    <row r="58" spans="1:8" ht="29.1" customHeight="1" x14ac:dyDescent="0.2">
      <c r="A58" s="3">
        <v>52</v>
      </c>
      <c r="B58" s="4" t="s">
        <v>459</v>
      </c>
      <c r="C58" s="4" t="s">
        <v>460</v>
      </c>
      <c r="D58" s="4" t="s">
        <v>183</v>
      </c>
      <c r="E58" s="5">
        <v>1792</v>
      </c>
      <c r="F58" s="6">
        <v>9.0254080000000005</v>
      </c>
      <c r="G58" s="7">
        <v>2.6980900000000002E-3</v>
      </c>
      <c r="H58" s="105"/>
    </row>
    <row r="59" spans="1:8" ht="29.1" customHeight="1" x14ac:dyDescent="0.2">
      <c r="A59" s="3">
        <v>53</v>
      </c>
      <c r="B59" s="4" t="s">
        <v>409</v>
      </c>
      <c r="C59" s="4" t="s">
        <v>410</v>
      </c>
      <c r="D59" s="4" t="s">
        <v>212</v>
      </c>
      <c r="E59" s="5">
        <v>1809</v>
      </c>
      <c r="F59" s="6">
        <v>4.5966690000000003</v>
      </c>
      <c r="G59" s="7">
        <v>1.37414E-3</v>
      </c>
      <c r="H59" s="105"/>
    </row>
    <row r="60" spans="1:8" ht="14.1" customHeight="1" x14ac:dyDescent="0.2">
      <c r="A60" s="1"/>
      <c r="B60" s="1"/>
      <c r="C60" s="2" t="s">
        <v>132</v>
      </c>
      <c r="D60" s="1"/>
      <c r="E60" s="1" t="s">
        <v>133</v>
      </c>
      <c r="F60" s="9">
        <v>3028.760687</v>
      </c>
      <c r="G60" s="10">
        <v>0.90542785000000003</v>
      </c>
      <c r="H60" s="105"/>
    </row>
    <row r="61" spans="1:8" ht="14.1" customHeight="1" x14ac:dyDescent="0.2">
      <c r="A61" s="1"/>
      <c r="B61" s="1"/>
      <c r="C61" s="11"/>
      <c r="D61" s="1"/>
      <c r="E61" s="1"/>
      <c r="F61" s="12"/>
      <c r="G61" s="12"/>
      <c r="H61" s="105"/>
    </row>
    <row r="62" spans="1:8" ht="14.1" customHeight="1" x14ac:dyDescent="0.2">
      <c r="A62" s="1"/>
      <c r="B62" s="1"/>
      <c r="C62" s="2" t="s">
        <v>134</v>
      </c>
      <c r="D62" s="1"/>
      <c r="E62" s="1"/>
      <c r="F62" s="1"/>
      <c r="G62" s="1"/>
      <c r="H62" s="105"/>
    </row>
    <row r="63" spans="1:8" ht="14.1" customHeight="1" x14ac:dyDescent="0.2">
      <c r="A63" s="1"/>
      <c r="B63" s="1"/>
      <c r="C63" s="2" t="s">
        <v>132</v>
      </c>
      <c r="D63" s="1"/>
      <c r="E63" s="1" t="s">
        <v>133</v>
      </c>
      <c r="F63" s="13" t="s">
        <v>135</v>
      </c>
      <c r="G63" s="10">
        <v>0</v>
      </c>
      <c r="H63" s="105"/>
    </row>
    <row r="64" spans="1:8" ht="14.1" customHeight="1" x14ac:dyDescent="0.2">
      <c r="A64" s="1"/>
      <c r="B64" s="1"/>
      <c r="C64" s="11"/>
      <c r="D64" s="1"/>
      <c r="E64" s="1"/>
      <c r="F64" s="12"/>
      <c r="G64" s="12"/>
      <c r="H64" s="105"/>
    </row>
    <row r="65" spans="1:8" ht="14.1" customHeight="1" x14ac:dyDescent="0.2">
      <c r="A65" s="1"/>
      <c r="B65" s="1"/>
      <c r="C65" s="2" t="s">
        <v>136</v>
      </c>
      <c r="D65" s="1"/>
      <c r="E65" s="1"/>
      <c r="F65" s="1"/>
      <c r="G65" s="1"/>
      <c r="H65" s="105"/>
    </row>
    <row r="66" spans="1:8" ht="14.1" customHeight="1" x14ac:dyDescent="0.2">
      <c r="A66" s="1"/>
      <c r="B66" s="1"/>
      <c r="C66" s="2" t="s">
        <v>132</v>
      </c>
      <c r="D66" s="1"/>
      <c r="E66" s="1" t="s">
        <v>133</v>
      </c>
      <c r="F66" s="13" t="s">
        <v>135</v>
      </c>
      <c r="G66" s="10">
        <v>0</v>
      </c>
      <c r="H66" s="105"/>
    </row>
    <row r="67" spans="1:8" ht="14.1" customHeight="1" x14ac:dyDescent="0.2">
      <c r="A67" s="1"/>
      <c r="B67" s="1"/>
      <c r="C67" s="11"/>
      <c r="D67" s="1"/>
      <c r="E67" s="1"/>
      <c r="F67" s="12"/>
      <c r="G67" s="12"/>
      <c r="H67" s="105"/>
    </row>
    <row r="68" spans="1:8" ht="14.1" customHeight="1" x14ac:dyDescent="0.2">
      <c r="A68" s="1"/>
      <c r="B68" s="1"/>
      <c r="C68" s="2" t="s">
        <v>137</v>
      </c>
      <c r="D68" s="1"/>
      <c r="E68" s="1"/>
      <c r="F68" s="1"/>
      <c r="G68" s="1"/>
      <c r="H68" s="105"/>
    </row>
    <row r="69" spans="1:8" ht="26.25" customHeight="1" x14ac:dyDescent="0.2">
      <c r="A69" s="3">
        <v>1</v>
      </c>
      <c r="B69" s="40" t="s">
        <v>923</v>
      </c>
      <c r="C69" s="40" t="s">
        <v>924</v>
      </c>
      <c r="D69" s="4" t="s">
        <v>81</v>
      </c>
      <c r="E69" s="5">
        <v>82012</v>
      </c>
      <c r="F69" s="6">
        <v>8.2899369840000006</v>
      </c>
      <c r="G69" s="7">
        <v>2.4782200000000002E-3</v>
      </c>
      <c r="H69" s="105"/>
    </row>
    <row r="70" spans="1:8" ht="14.1" customHeight="1" x14ac:dyDescent="0.2">
      <c r="A70" s="1"/>
      <c r="B70" s="1"/>
      <c r="C70" s="2" t="s">
        <v>132</v>
      </c>
      <c r="D70" s="1"/>
      <c r="E70" s="1" t="s">
        <v>133</v>
      </c>
      <c r="F70" s="9">
        <v>8.2899369840000006</v>
      </c>
      <c r="G70" s="10">
        <v>2.4782200000000002E-3</v>
      </c>
      <c r="H70" s="105"/>
    </row>
    <row r="71" spans="1:8" ht="14.1" customHeight="1" x14ac:dyDescent="0.2">
      <c r="A71" s="1"/>
      <c r="B71" s="1"/>
      <c r="C71" s="11"/>
      <c r="D71" s="1"/>
      <c r="E71" s="1"/>
      <c r="F71" s="12"/>
      <c r="G71" s="12"/>
      <c r="H71" s="105"/>
    </row>
    <row r="72" spans="1:8" ht="14.1" customHeight="1" x14ac:dyDescent="0.2">
      <c r="A72" s="1"/>
      <c r="B72" s="1"/>
      <c r="C72" s="2" t="s">
        <v>138</v>
      </c>
      <c r="D72" s="1"/>
      <c r="E72" s="1"/>
      <c r="F72" s="12"/>
      <c r="G72" s="12"/>
      <c r="H72" s="105"/>
    </row>
    <row r="73" spans="1:8" ht="14.1" customHeight="1" x14ac:dyDescent="0.2">
      <c r="A73" s="1"/>
      <c r="B73" s="1"/>
      <c r="C73" s="2" t="s">
        <v>132</v>
      </c>
      <c r="D73" s="1"/>
      <c r="E73" s="1" t="s">
        <v>133</v>
      </c>
      <c r="F73" s="13" t="s">
        <v>135</v>
      </c>
      <c r="G73" s="10">
        <v>0</v>
      </c>
      <c r="H73" s="105"/>
    </row>
    <row r="74" spans="1:8" ht="14.1" customHeight="1" x14ac:dyDescent="0.2">
      <c r="A74" s="1"/>
      <c r="B74" s="1"/>
      <c r="C74" s="11"/>
      <c r="D74" s="1"/>
      <c r="E74" s="1"/>
      <c r="F74" s="12"/>
      <c r="G74" s="12"/>
      <c r="H74" s="105"/>
    </row>
    <row r="75" spans="1:8" ht="14.1" customHeight="1" x14ac:dyDescent="0.2">
      <c r="A75" s="1"/>
      <c r="B75" s="1"/>
      <c r="C75" s="2" t="s">
        <v>139</v>
      </c>
      <c r="D75" s="1"/>
      <c r="E75" s="1"/>
      <c r="F75" s="12"/>
      <c r="G75" s="12"/>
      <c r="H75" s="105"/>
    </row>
    <row r="76" spans="1:8" ht="14.1" customHeight="1" x14ac:dyDescent="0.2">
      <c r="A76" s="1"/>
      <c r="B76" s="1"/>
      <c r="C76" s="2" t="s">
        <v>132</v>
      </c>
      <c r="D76" s="1"/>
      <c r="E76" s="1" t="s">
        <v>133</v>
      </c>
      <c r="F76" s="13" t="s">
        <v>135</v>
      </c>
      <c r="G76" s="10">
        <v>0</v>
      </c>
      <c r="H76" s="105"/>
    </row>
    <row r="77" spans="1:8" ht="14.1" customHeight="1" x14ac:dyDescent="0.2">
      <c r="A77" s="1"/>
      <c r="B77" s="1"/>
      <c r="C77" s="11"/>
      <c r="D77" s="1"/>
      <c r="E77" s="1"/>
      <c r="F77" s="12"/>
      <c r="G77" s="12"/>
      <c r="H77" s="105"/>
    </row>
    <row r="78" spans="1:8" ht="18" customHeight="1" x14ac:dyDescent="0.2">
      <c r="A78" s="1"/>
      <c r="B78" s="1"/>
      <c r="C78" s="2" t="s">
        <v>140</v>
      </c>
      <c r="D78" s="1"/>
      <c r="E78" s="1"/>
      <c r="F78" s="9">
        <v>3037.0506239840001</v>
      </c>
      <c r="G78" s="10">
        <v>0.90790607000000001</v>
      </c>
      <c r="H78" s="105"/>
    </row>
    <row r="79" spans="1:8" ht="14.1" customHeight="1" x14ac:dyDescent="0.2">
      <c r="A79" s="1"/>
      <c r="B79" s="1"/>
      <c r="C79" s="11"/>
      <c r="D79" s="1"/>
      <c r="E79" s="1"/>
      <c r="F79" s="12"/>
      <c r="G79" s="12"/>
      <c r="H79" s="105"/>
    </row>
    <row r="80" spans="1:8" ht="14.1" customHeight="1" x14ac:dyDescent="0.2">
      <c r="A80" s="1"/>
      <c r="B80" s="1"/>
      <c r="C80" s="2" t="s">
        <v>141</v>
      </c>
      <c r="D80" s="1"/>
      <c r="E80" s="1"/>
      <c r="F80" s="12"/>
      <c r="G80" s="12"/>
      <c r="H80" s="105"/>
    </row>
    <row r="81" spans="1:8" ht="24" customHeight="1" x14ac:dyDescent="0.2">
      <c r="A81" s="1"/>
      <c r="B81" s="1"/>
      <c r="C81" s="2" t="s">
        <v>10</v>
      </c>
      <c r="D81" s="1"/>
      <c r="E81" s="1"/>
      <c r="F81" s="12"/>
      <c r="G81" s="12"/>
      <c r="H81" s="105"/>
    </row>
    <row r="82" spans="1:8" ht="14.1" customHeight="1" x14ac:dyDescent="0.2">
      <c r="A82" s="1"/>
      <c r="B82" s="1"/>
      <c r="C82" s="2" t="s">
        <v>132</v>
      </c>
      <c r="D82" s="1"/>
      <c r="E82" s="1" t="s">
        <v>133</v>
      </c>
      <c r="F82" s="13" t="s">
        <v>135</v>
      </c>
      <c r="G82" s="10">
        <v>0</v>
      </c>
      <c r="H82" s="105"/>
    </row>
    <row r="83" spans="1:8" ht="14.1" customHeight="1" x14ac:dyDescent="0.2">
      <c r="A83" s="1"/>
      <c r="B83" s="1"/>
      <c r="C83" s="11"/>
      <c r="D83" s="1"/>
      <c r="E83" s="1"/>
      <c r="F83" s="12"/>
      <c r="G83" s="12"/>
      <c r="H83" s="105"/>
    </row>
    <row r="84" spans="1:8" ht="14.1" customHeight="1" x14ac:dyDescent="0.2">
      <c r="A84" s="1"/>
      <c r="B84" s="1"/>
      <c r="C84" s="2" t="s">
        <v>142</v>
      </c>
      <c r="D84" s="1"/>
      <c r="E84" s="1"/>
      <c r="F84" s="1"/>
      <c r="G84" s="1"/>
      <c r="H84" s="105"/>
    </row>
    <row r="85" spans="1:8" ht="14.1" customHeight="1" x14ac:dyDescent="0.2">
      <c r="A85" s="1"/>
      <c r="B85" s="1"/>
      <c r="C85" s="2" t="s">
        <v>132</v>
      </c>
      <c r="D85" s="1"/>
      <c r="E85" s="1" t="s">
        <v>133</v>
      </c>
      <c r="F85" s="13" t="s">
        <v>135</v>
      </c>
      <c r="G85" s="10">
        <v>0</v>
      </c>
      <c r="H85" s="105"/>
    </row>
    <row r="86" spans="1:8" ht="14.1" customHeight="1" x14ac:dyDescent="0.2">
      <c r="A86" s="1"/>
      <c r="B86" s="1"/>
      <c r="C86" s="11"/>
      <c r="D86" s="1"/>
      <c r="E86" s="1"/>
      <c r="F86" s="12"/>
      <c r="G86" s="12"/>
      <c r="H86" s="105"/>
    </row>
    <row r="87" spans="1:8" ht="14.1" customHeight="1" x14ac:dyDescent="0.2">
      <c r="A87" s="1"/>
      <c r="B87" s="1"/>
      <c r="C87" s="2" t="s">
        <v>143</v>
      </c>
      <c r="D87" s="1"/>
      <c r="E87" s="1"/>
      <c r="F87" s="1"/>
      <c r="G87" s="1"/>
      <c r="H87" s="105"/>
    </row>
    <row r="88" spans="1:8" ht="14.1" customHeight="1" x14ac:dyDescent="0.2">
      <c r="A88" s="1"/>
      <c r="B88" s="1"/>
      <c r="C88" s="2" t="s">
        <v>132</v>
      </c>
      <c r="D88" s="1"/>
      <c r="E88" s="1" t="s">
        <v>133</v>
      </c>
      <c r="F88" s="13" t="s">
        <v>135</v>
      </c>
      <c r="G88" s="10">
        <v>0</v>
      </c>
      <c r="H88" s="105"/>
    </row>
    <row r="89" spans="1:8" ht="14.1" customHeight="1" x14ac:dyDescent="0.2">
      <c r="A89" s="1"/>
      <c r="B89" s="1"/>
      <c r="C89" s="11"/>
      <c r="D89" s="1"/>
      <c r="E89" s="1"/>
      <c r="F89" s="12"/>
      <c r="G89" s="12"/>
      <c r="H89" s="105"/>
    </row>
    <row r="90" spans="1:8" ht="14.1" customHeight="1" x14ac:dyDescent="0.2">
      <c r="A90" s="1"/>
      <c r="B90" s="1"/>
      <c r="C90" s="2" t="s">
        <v>144</v>
      </c>
      <c r="D90" s="1"/>
      <c r="E90" s="1"/>
      <c r="F90" s="12"/>
      <c r="G90" s="12"/>
      <c r="H90" s="105"/>
    </row>
    <row r="91" spans="1:8" ht="14.1" customHeight="1" x14ac:dyDescent="0.2">
      <c r="A91" s="1"/>
      <c r="B91" s="1"/>
      <c r="C91" s="2" t="s">
        <v>132</v>
      </c>
      <c r="D91" s="1"/>
      <c r="E91" s="1" t="s">
        <v>133</v>
      </c>
      <c r="F91" s="13" t="s">
        <v>135</v>
      </c>
      <c r="G91" s="10">
        <v>0</v>
      </c>
      <c r="H91" s="105"/>
    </row>
    <row r="92" spans="1:8" ht="14.1" customHeight="1" x14ac:dyDescent="0.2">
      <c r="A92" s="1"/>
      <c r="B92" s="1"/>
      <c r="C92" s="11"/>
      <c r="D92" s="1"/>
      <c r="E92" s="1"/>
      <c r="F92" s="12"/>
      <c r="G92" s="12"/>
      <c r="H92" s="105"/>
    </row>
    <row r="93" spans="1:8" ht="14.1" customHeight="1" x14ac:dyDescent="0.2">
      <c r="A93" s="1"/>
      <c r="B93" s="1"/>
      <c r="C93" s="2" t="s">
        <v>145</v>
      </c>
      <c r="D93" s="1"/>
      <c r="E93" s="1"/>
      <c r="F93" s="9">
        <v>0</v>
      </c>
      <c r="G93" s="10">
        <v>0</v>
      </c>
      <c r="H93" s="105"/>
    </row>
    <row r="94" spans="1:8" ht="14.1" customHeight="1" x14ac:dyDescent="0.2">
      <c r="A94" s="1"/>
      <c r="B94" s="1"/>
      <c r="C94" s="11"/>
      <c r="D94" s="1"/>
      <c r="E94" s="1"/>
      <c r="F94" s="12"/>
      <c r="G94" s="12"/>
      <c r="H94" s="105"/>
    </row>
    <row r="95" spans="1:8" ht="14.1" customHeight="1" x14ac:dyDescent="0.2">
      <c r="A95" s="1"/>
      <c r="B95" s="1"/>
      <c r="C95" s="2" t="s">
        <v>146</v>
      </c>
      <c r="D95" s="1"/>
      <c r="E95" s="1"/>
      <c r="F95" s="12"/>
      <c r="G95" s="12"/>
      <c r="H95" s="105"/>
    </row>
    <row r="96" spans="1:8" ht="14.1" customHeight="1" x14ac:dyDescent="0.2">
      <c r="A96" s="1"/>
      <c r="B96" s="1"/>
      <c r="C96" s="2" t="s">
        <v>147</v>
      </c>
      <c r="D96" s="1"/>
      <c r="E96" s="1"/>
      <c r="F96" s="12"/>
      <c r="G96" s="12"/>
      <c r="H96" s="105"/>
    </row>
    <row r="97" spans="1:8" ht="14.1" customHeight="1" x14ac:dyDescent="0.2">
      <c r="A97" s="1"/>
      <c r="B97" s="1"/>
      <c r="C97" s="2" t="s">
        <v>132</v>
      </c>
      <c r="D97" s="1"/>
      <c r="E97" s="1" t="s">
        <v>133</v>
      </c>
      <c r="F97" s="13" t="s">
        <v>135</v>
      </c>
      <c r="G97" s="10">
        <v>0</v>
      </c>
      <c r="H97" s="105"/>
    </row>
    <row r="98" spans="1:8" ht="14.1" customHeight="1" x14ac:dyDescent="0.2">
      <c r="A98" s="1"/>
      <c r="B98" s="1"/>
      <c r="C98" s="11"/>
      <c r="D98" s="1"/>
      <c r="E98" s="1"/>
      <c r="F98" s="12"/>
      <c r="G98" s="12"/>
      <c r="H98" s="105"/>
    </row>
    <row r="99" spans="1:8" ht="14.1" customHeight="1" x14ac:dyDescent="0.2">
      <c r="A99" s="1"/>
      <c r="B99" s="1"/>
      <c r="C99" s="2" t="s">
        <v>148</v>
      </c>
      <c r="D99" s="1"/>
      <c r="E99" s="1"/>
      <c r="F99" s="12"/>
      <c r="G99" s="12"/>
      <c r="H99" s="105"/>
    </row>
    <row r="100" spans="1:8" ht="14.1" customHeight="1" x14ac:dyDescent="0.2">
      <c r="A100" s="1"/>
      <c r="B100" s="1"/>
      <c r="C100" s="2" t="s">
        <v>132</v>
      </c>
      <c r="D100" s="1"/>
      <c r="E100" s="1" t="s">
        <v>133</v>
      </c>
      <c r="F100" s="13" t="s">
        <v>135</v>
      </c>
      <c r="G100" s="10">
        <v>0</v>
      </c>
      <c r="H100" s="105"/>
    </row>
    <row r="101" spans="1:8" ht="14.1" customHeight="1" x14ac:dyDescent="0.2">
      <c r="A101" s="1"/>
      <c r="B101" s="1"/>
      <c r="C101" s="11"/>
      <c r="D101" s="1"/>
      <c r="E101" s="1"/>
      <c r="F101" s="12"/>
      <c r="G101" s="12"/>
      <c r="H101" s="105"/>
    </row>
    <row r="102" spans="1:8" ht="14.1" customHeight="1" x14ac:dyDescent="0.2">
      <c r="A102" s="1"/>
      <c r="B102" s="1"/>
      <c r="C102" s="2" t="s">
        <v>149</v>
      </c>
      <c r="D102" s="1"/>
      <c r="E102" s="1"/>
      <c r="F102" s="12"/>
      <c r="G102" s="12"/>
      <c r="H102" s="105"/>
    </row>
    <row r="103" spans="1:8" ht="14.1" customHeight="1" x14ac:dyDescent="0.2">
      <c r="A103" s="1"/>
      <c r="B103" s="1"/>
      <c r="C103" s="2" t="s">
        <v>132</v>
      </c>
      <c r="D103" s="1"/>
      <c r="E103" s="1" t="s">
        <v>133</v>
      </c>
      <c r="F103" s="13" t="s">
        <v>135</v>
      </c>
      <c r="G103" s="10">
        <v>0</v>
      </c>
      <c r="H103" s="105"/>
    </row>
    <row r="104" spans="1:8" ht="14.1" customHeight="1" x14ac:dyDescent="0.2">
      <c r="A104" s="1"/>
      <c r="B104" s="1"/>
      <c r="C104" s="11"/>
      <c r="D104" s="1"/>
      <c r="E104" s="1"/>
      <c r="F104" s="12"/>
      <c r="G104" s="12"/>
      <c r="H104" s="105"/>
    </row>
    <row r="105" spans="1:8" ht="14.1" customHeight="1" x14ac:dyDescent="0.2">
      <c r="A105" s="1"/>
      <c r="B105" s="1"/>
      <c r="C105" s="2" t="s">
        <v>150</v>
      </c>
      <c r="D105" s="1"/>
      <c r="E105" s="1"/>
      <c r="F105" s="12"/>
      <c r="G105" s="12"/>
      <c r="H105" s="105"/>
    </row>
    <row r="106" spans="1:8" ht="17.100000000000001" customHeight="1" x14ac:dyDescent="0.2">
      <c r="A106" s="3">
        <v>1</v>
      </c>
      <c r="B106" s="4"/>
      <c r="C106" s="4" t="s">
        <v>151</v>
      </c>
      <c r="D106" s="4"/>
      <c r="E106" s="8"/>
      <c r="F106" s="6">
        <v>270.72761509999998</v>
      </c>
      <c r="G106" s="7">
        <v>8.0932219999999999E-2</v>
      </c>
      <c r="H106" s="105">
        <v>6.8153352377542396</v>
      </c>
    </row>
    <row r="107" spans="1:8" ht="17.100000000000001" customHeight="1" x14ac:dyDescent="0.2">
      <c r="A107" s="3">
        <v>2</v>
      </c>
      <c r="B107" s="4"/>
      <c r="C107" s="4" t="s">
        <v>152</v>
      </c>
      <c r="D107" s="4"/>
      <c r="E107" s="8"/>
      <c r="F107" s="6">
        <v>32.126233399999997</v>
      </c>
      <c r="G107" s="7">
        <v>9.6039200000000002E-3</v>
      </c>
      <c r="H107" s="105">
        <v>6.7952403714590259</v>
      </c>
    </row>
    <row r="108" spans="1:8" ht="14.1" customHeight="1" x14ac:dyDescent="0.2">
      <c r="A108" s="1"/>
      <c r="B108" s="1"/>
      <c r="C108" s="2" t="s">
        <v>132</v>
      </c>
      <c r="D108" s="1"/>
      <c r="E108" s="1" t="s">
        <v>133</v>
      </c>
      <c r="F108" s="9">
        <v>302.85384850000003</v>
      </c>
      <c r="G108" s="10">
        <v>9.0536140000000001E-2</v>
      </c>
      <c r="H108" s="105"/>
    </row>
    <row r="109" spans="1:8" ht="14.1" customHeight="1" x14ac:dyDescent="0.2">
      <c r="A109" s="1"/>
      <c r="B109" s="1"/>
      <c r="C109" s="11"/>
      <c r="D109" s="1"/>
      <c r="E109" s="1"/>
      <c r="F109" s="12"/>
      <c r="G109" s="12"/>
      <c r="H109" s="105"/>
    </row>
    <row r="110" spans="1:8" ht="14.1" customHeight="1" x14ac:dyDescent="0.2">
      <c r="A110" s="1"/>
      <c r="B110" s="1"/>
      <c r="C110" s="2" t="s">
        <v>153</v>
      </c>
      <c r="D110" s="1"/>
      <c r="E110" s="1"/>
      <c r="F110" s="9">
        <v>302.85384850000003</v>
      </c>
      <c r="G110" s="10">
        <v>9.0536140000000001E-2</v>
      </c>
      <c r="H110" s="105"/>
    </row>
    <row r="111" spans="1:8" ht="14.1" customHeight="1" x14ac:dyDescent="0.2">
      <c r="A111" s="1"/>
      <c r="B111" s="1"/>
      <c r="C111" s="12"/>
      <c r="D111" s="1"/>
      <c r="E111" s="1"/>
      <c r="F111" s="1"/>
      <c r="G111" s="1"/>
      <c r="H111" s="105"/>
    </row>
    <row r="112" spans="1:8" ht="14.1" customHeight="1" x14ac:dyDescent="0.2">
      <c r="A112" s="1"/>
      <c r="B112" s="1"/>
      <c r="C112" s="2" t="s">
        <v>154</v>
      </c>
      <c r="D112" s="1"/>
      <c r="E112" s="1"/>
      <c r="F112" s="1"/>
      <c r="G112" s="1"/>
      <c r="H112" s="105"/>
    </row>
    <row r="113" spans="1:8" ht="14.1" customHeight="1" x14ac:dyDescent="0.2">
      <c r="A113" s="1"/>
      <c r="B113" s="1"/>
      <c r="C113" s="2" t="s">
        <v>155</v>
      </c>
      <c r="D113" s="1"/>
      <c r="E113" s="1"/>
      <c r="F113" s="1"/>
      <c r="G113" s="1"/>
      <c r="H113" s="105"/>
    </row>
    <row r="114" spans="1:8" ht="14.1" customHeight="1" x14ac:dyDescent="0.2">
      <c r="A114" s="1"/>
      <c r="B114" s="1"/>
      <c r="C114" s="2" t="s">
        <v>132</v>
      </c>
      <c r="D114" s="1"/>
      <c r="E114" s="1" t="s">
        <v>133</v>
      </c>
      <c r="F114" s="13" t="s">
        <v>135</v>
      </c>
      <c r="G114" s="10">
        <v>0</v>
      </c>
      <c r="H114" s="105"/>
    </row>
    <row r="115" spans="1:8" ht="14.1" customHeight="1" x14ac:dyDescent="0.2">
      <c r="A115" s="1"/>
      <c r="B115" s="1"/>
      <c r="C115" s="11"/>
      <c r="D115" s="1"/>
      <c r="E115" s="1"/>
      <c r="F115" s="12"/>
      <c r="G115" s="12"/>
      <c r="H115" s="105"/>
    </row>
    <row r="116" spans="1:8" ht="14.1" customHeight="1" x14ac:dyDescent="0.2">
      <c r="A116" s="1"/>
      <c r="B116" s="1"/>
      <c r="C116" s="2" t="s">
        <v>156</v>
      </c>
      <c r="D116" s="1"/>
      <c r="E116" s="1"/>
      <c r="F116" s="1"/>
      <c r="G116" s="1"/>
      <c r="H116" s="105"/>
    </row>
    <row r="117" spans="1:8" ht="14.1" customHeight="1" x14ac:dyDescent="0.2">
      <c r="A117" s="1"/>
      <c r="B117" s="1"/>
      <c r="C117" s="2" t="s">
        <v>157</v>
      </c>
      <c r="D117" s="1"/>
      <c r="E117" s="1"/>
      <c r="F117" s="1"/>
      <c r="G117" s="1"/>
      <c r="H117" s="105"/>
    </row>
    <row r="118" spans="1:8" ht="14.1" customHeight="1" x14ac:dyDescent="0.2">
      <c r="A118" s="1"/>
      <c r="B118" s="1"/>
      <c r="C118" s="2" t="s">
        <v>132</v>
      </c>
      <c r="D118" s="1"/>
      <c r="E118" s="1" t="s">
        <v>133</v>
      </c>
      <c r="F118" s="13" t="s">
        <v>135</v>
      </c>
      <c r="G118" s="10">
        <v>0</v>
      </c>
      <c r="H118" s="105"/>
    </row>
    <row r="119" spans="1:8" ht="14.1" customHeight="1" x14ac:dyDescent="0.2">
      <c r="A119" s="1"/>
      <c r="B119" s="1"/>
      <c r="C119" s="11"/>
      <c r="D119" s="1"/>
      <c r="E119" s="1"/>
      <c r="F119" s="12"/>
      <c r="G119" s="12"/>
      <c r="H119" s="105"/>
    </row>
    <row r="120" spans="1:8" ht="24" customHeight="1" x14ac:dyDescent="0.2">
      <c r="A120" s="1"/>
      <c r="B120" s="1"/>
      <c r="C120" s="2" t="s">
        <v>158</v>
      </c>
      <c r="D120" s="1"/>
      <c r="E120" s="1"/>
      <c r="F120" s="12"/>
      <c r="G120" s="12"/>
      <c r="H120" s="105"/>
    </row>
    <row r="121" spans="1:8" ht="14.1" customHeight="1" x14ac:dyDescent="0.2">
      <c r="A121" s="1"/>
      <c r="B121" s="1"/>
      <c r="C121" s="2" t="s">
        <v>132</v>
      </c>
      <c r="D121" s="1"/>
      <c r="E121" s="1" t="s">
        <v>133</v>
      </c>
      <c r="F121" s="13" t="s">
        <v>135</v>
      </c>
      <c r="G121" s="10">
        <v>0</v>
      </c>
      <c r="H121" s="105"/>
    </row>
    <row r="122" spans="1:8" ht="14.1" customHeight="1" x14ac:dyDescent="0.2">
      <c r="A122" s="1"/>
      <c r="B122" s="1"/>
      <c r="C122" s="11"/>
      <c r="D122" s="1"/>
      <c r="E122" s="1"/>
      <c r="F122" s="12"/>
      <c r="G122" s="12"/>
      <c r="H122" s="105"/>
    </row>
    <row r="123" spans="1:8" ht="14.1" customHeight="1" x14ac:dyDescent="0.2">
      <c r="A123" s="1"/>
      <c r="B123" s="4"/>
      <c r="C123" s="4"/>
      <c r="D123" s="2"/>
      <c r="E123" s="1"/>
      <c r="F123" s="4"/>
      <c r="G123" s="8"/>
      <c r="H123" s="105"/>
    </row>
    <row r="124" spans="1:8" ht="18" customHeight="1" x14ac:dyDescent="0.2">
      <c r="A124" s="8"/>
      <c r="B124" s="4"/>
      <c r="C124" s="4" t="s">
        <v>159</v>
      </c>
      <c r="D124" s="4"/>
      <c r="E124" s="8"/>
      <c r="F124" s="6">
        <v>5.2110752800000002</v>
      </c>
      <c r="G124" s="7">
        <v>1.5578199999999999E-3</v>
      </c>
      <c r="H124" s="105"/>
    </row>
    <row r="125" spans="1:8" ht="14.1" customHeight="1" x14ac:dyDescent="0.2">
      <c r="A125" s="11"/>
      <c r="B125" s="11"/>
      <c r="C125" s="2" t="s">
        <v>160</v>
      </c>
      <c r="D125" s="12"/>
      <c r="E125" s="12"/>
      <c r="F125" s="9">
        <v>3345.115547764</v>
      </c>
      <c r="G125" s="14">
        <v>1.00000003</v>
      </c>
      <c r="H125" s="105"/>
    </row>
    <row r="126" spans="1:8" ht="14.1" customHeight="1" x14ac:dyDescent="0.2">
      <c r="A126" s="15"/>
      <c r="B126" s="15"/>
      <c r="C126" s="15"/>
      <c r="D126" s="16"/>
      <c r="E126" s="16"/>
      <c r="F126" s="16"/>
      <c r="G126" s="16"/>
    </row>
    <row r="127" spans="1:8" ht="14.1" customHeight="1" x14ac:dyDescent="0.2">
      <c r="A127" s="17"/>
      <c r="B127" s="17"/>
      <c r="C127" s="17"/>
      <c r="D127" s="19"/>
      <c r="E127" s="19"/>
      <c r="F127" s="19"/>
      <c r="G127" s="19"/>
    </row>
    <row r="128" spans="1:8" ht="14.1" customHeight="1" x14ac:dyDescent="0.2">
      <c r="A128" s="17"/>
      <c r="B128" s="179" t="s">
        <v>162</v>
      </c>
      <c r="C128" s="180"/>
      <c r="D128" s="181"/>
      <c r="E128" s="20"/>
      <c r="F128" s="19"/>
      <c r="G128" s="19"/>
    </row>
    <row r="129" spans="1:7" ht="29.1" customHeight="1" x14ac:dyDescent="0.2">
      <c r="A129" s="17"/>
      <c r="B129" s="176" t="s">
        <v>163</v>
      </c>
      <c r="C129" s="177"/>
      <c r="D129" s="2" t="s">
        <v>164</v>
      </c>
      <c r="E129" s="20"/>
      <c r="F129" s="19"/>
      <c r="G129" s="19"/>
    </row>
    <row r="130" spans="1:7" ht="17.100000000000001" customHeight="1" x14ac:dyDescent="0.2">
      <c r="A130" s="17"/>
      <c r="B130" s="176" t="s">
        <v>165</v>
      </c>
      <c r="C130" s="177"/>
      <c r="D130" s="2" t="s">
        <v>164</v>
      </c>
      <c r="E130" s="20"/>
      <c r="F130" s="19"/>
      <c r="G130" s="19"/>
    </row>
    <row r="131" spans="1:7" ht="17.100000000000001" customHeight="1" x14ac:dyDescent="0.2">
      <c r="A131" s="17"/>
      <c r="B131" s="176" t="s">
        <v>166</v>
      </c>
      <c r="C131" s="177"/>
      <c r="D131" s="12" t="s">
        <v>133</v>
      </c>
      <c r="E131" s="20"/>
      <c r="F131" s="19"/>
      <c r="G131" s="19"/>
    </row>
    <row r="132" spans="1:7" ht="24" customHeight="1" x14ac:dyDescent="0.2">
      <c r="A132" s="21"/>
      <c r="B132" s="22" t="s">
        <v>133</v>
      </c>
      <c r="C132" s="22" t="s">
        <v>167</v>
      </c>
      <c r="D132" s="22" t="s">
        <v>168</v>
      </c>
      <c r="E132" s="21"/>
      <c r="F132" s="21"/>
      <c r="G132" s="21"/>
    </row>
    <row r="133" spans="1:7" ht="18" customHeight="1" x14ac:dyDescent="0.2">
      <c r="A133" s="21"/>
      <c r="B133" s="23" t="s">
        <v>169</v>
      </c>
      <c r="C133" s="22" t="s">
        <v>170</v>
      </c>
      <c r="D133" s="22" t="s">
        <v>171</v>
      </c>
      <c r="E133" s="21"/>
      <c r="F133" s="21"/>
      <c r="G133" s="21"/>
    </row>
    <row r="134" spans="1:7" ht="17.100000000000001" customHeight="1" x14ac:dyDescent="0.2">
      <c r="A134" s="21"/>
      <c r="B134" s="4" t="s">
        <v>172</v>
      </c>
      <c r="C134" s="24">
        <v>16.0779</v>
      </c>
      <c r="D134" s="24">
        <v>17.2014</v>
      </c>
      <c r="E134" s="21"/>
      <c r="F134" s="18"/>
      <c r="G134" s="25"/>
    </row>
    <row r="135" spans="1:7" ht="17.100000000000001" customHeight="1" x14ac:dyDescent="0.2">
      <c r="A135" s="21"/>
      <c r="B135" s="4" t="s">
        <v>1006</v>
      </c>
      <c r="C135" s="24">
        <v>16.0779</v>
      </c>
      <c r="D135" s="24">
        <v>17.2013</v>
      </c>
      <c r="E135" s="21"/>
      <c r="F135" s="18"/>
      <c r="G135" s="25"/>
    </row>
    <row r="136" spans="1:7" ht="17.100000000000001" customHeight="1" x14ac:dyDescent="0.2">
      <c r="A136" s="21"/>
      <c r="B136" s="4" t="s">
        <v>173</v>
      </c>
      <c r="C136" s="24">
        <v>15.4245</v>
      </c>
      <c r="D136" s="24">
        <v>16.4983</v>
      </c>
      <c r="E136" s="21"/>
      <c r="F136" s="18"/>
      <c r="G136" s="25"/>
    </row>
    <row r="137" spans="1:7" ht="17.100000000000001" customHeight="1" x14ac:dyDescent="0.2">
      <c r="A137" s="21"/>
      <c r="B137" s="4" t="s">
        <v>1007</v>
      </c>
      <c r="C137" s="24">
        <v>15.4244</v>
      </c>
      <c r="D137" s="24">
        <v>16.4983</v>
      </c>
      <c r="E137" s="21"/>
      <c r="F137" s="18"/>
      <c r="G137" s="25"/>
    </row>
    <row r="138" spans="1:7" ht="14.1" customHeight="1" x14ac:dyDescent="0.2">
      <c r="A138" s="21"/>
      <c r="B138" s="21"/>
      <c r="C138" s="21"/>
      <c r="D138" s="21"/>
      <c r="E138" s="21"/>
      <c r="F138" s="21"/>
      <c r="G138" s="21"/>
    </row>
    <row r="139" spans="1:7" ht="17.100000000000001" customHeight="1" x14ac:dyDescent="0.2">
      <c r="A139" s="21"/>
      <c r="B139" s="176" t="s">
        <v>1008</v>
      </c>
      <c r="C139" s="177"/>
      <c r="D139" s="2" t="s">
        <v>164</v>
      </c>
      <c r="E139" s="21"/>
      <c r="F139" s="21"/>
      <c r="G139" s="21"/>
    </row>
    <row r="140" spans="1:7" ht="18" customHeight="1" x14ac:dyDescent="0.2">
      <c r="A140" s="21"/>
      <c r="B140" s="26"/>
      <c r="C140" s="26"/>
      <c r="D140" s="26"/>
      <c r="E140" s="21"/>
      <c r="F140" s="21"/>
      <c r="G140" s="21"/>
    </row>
    <row r="141" spans="1:7" ht="29.1" customHeight="1" x14ac:dyDescent="0.2">
      <c r="A141" s="21"/>
      <c r="B141" s="176" t="s">
        <v>174</v>
      </c>
      <c r="C141" s="177"/>
      <c r="D141" s="2" t="s">
        <v>164</v>
      </c>
      <c r="E141" s="27"/>
      <c r="F141" s="21"/>
      <c r="G141" s="21"/>
    </row>
    <row r="142" spans="1:7" ht="29.1" customHeight="1" x14ac:dyDescent="0.2">
      <c r="A142" s="21"/>
      <c r="B142" s="176" t="s">
        <v>175</v>
      </c>
      <c r="C142" s="177"/>
      <c r="D142" s="2" t="s">
        <v>164</v>
      </c>
      <c r="E142" s="27"/>
      <c r="F142" s="21"/>
      <c r="G142" s="21"/>
    </row>
    <row r="143" spans="1:7" ht="17.100000000000001" customHeight="1" x14ac:dyDescent="0.2">
      <c r="A143" s="21"/>
      <c r="B143" s="176" t="s">
        <v>176</v>
      </c>
      <c r="C143" s="177"/>
      <c r="D143" s="2" t="s">
        <v>164</v>
      </c>
      <c r="E143" s="27"/>
      <c r="F143" s="21"/>
      <c r="G143" s="21"/>
    </row>
    <row r="144" spans="1:7" ht="17.100000000000001" customHeight="1" x14ac:dyDescent="0.2">
      <c r="A144" s="21"/>
      <c r="B144" s="176" t="s">
        <v>177</v>
      </c>
      <c r="C144" s="177"/>
      <c r="D144" s="60">
        <v>0.13775815054276402</v>
      </c>
      <c r="E144" s="21"/>
      <c r="F144" s="18"/>
      <c r="G144" s="25"/>
    </row>
    <row r="158" spans="10:14" x14ac:dyDescent="0.2">
      <c r="J158" s="162"/>
      <c r="K158" s="162"/>
      <c r="L158" s="162"/>
      <c r="M158" s="162"/>
      <c r="N158" s="162"/>
    </row>
  </sheetData>
  <mergeCells count="13">
    <mergeCell ref="B144:C144"/>
    <mergeCell ref="B130:C130"/>
    <mergeCell ref="B131:C131"/>
    <mergeCell ref="B139:C139"/>
    <mergeCell ref="B141:C141"/>
    <mergeCell ref="B142:C142"/>
    <mergeCell ref="B143:C143"/>
    <mergeCell ref="J2:N2"/>
    <mergeCell ref="B129:C129"/>
    <mergeCell ref="B128:D128"/>
    <mergeCell ref="A1:H1"/>
    <mergeCell ref="A2:H2"/>
    <mergeCell ref="A3:H3"/>
  </mergeCells>
  <hyperlinks>
    <hyperlink ref="I1" location="Index!B20" display="Index" xr:uid="{C56B4608-163E-4DA0-8FAE-ECEA163C9162}"/>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ummaryRight="0"/>
  </sheetPr>
  <dimension ref="A1:O160"/>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5" ht="18" customHeight="1" x14ac:dyDescent="0.2">
      <c r="A1" s="182" t="s">
        <v>0</v>
      </c>
      <c r="B1" s="182"/>
      <c r="C1" s="182"/>
      <c r="D1" s="182"/>
      <c r="E1" s="182"/>
      <c r="F1" s="182"/>
      <c r="G1" s="182"/>
      <c r="H1" s="182"/>
      <c r="I1" s="159" t="s">
        <v>1044</v>
      </c>
    </row>
    <row r="2" spans="1:15" ht="17.100000000000001" customHeight="1" x14ac:dyDescent="0.2">
      <c r="A2" s="183" t="s">
        <v>507</v>
      </c>
      <c r="B2" s="184"/>
      <c r="C2" s="184"/>
      <c r="D2" s="184"/>
      <c r="E2" s="184"/>
      <c r="F2" s="184"/>
      <c r="G2" s="184"/>
      <c r="H2" s="185"/>
      <c r="J2" s="175" t="s">
        <v>1045</v>
      </c>
      <c r="K2" s="175"/>
      <c r="L2" s="175"/>
      <c r="M2" s="175"/>
      <c r="N2" s="175"/>
    </row>
    <row r="3" spans="1:15" ht="21" customHeight="1" x14ac:dyDescent="0.2">
      <c r="A3" s="182" t="s">
        <v>1016</v>
      </c>
      <c r="B3" s="182"/>
      <c r="C3" s="182"/>
      <c r="D3" s="182"/>
      <c r="E3" s="182"/>
      <c r="F3" s="182"/>
      <c r="G3" s="182"/>
      <c r="H3" s="182"/>
    </row>
    <row r="4" spans="1:15" ht="30" x14ac:dyDescent="0.2">
      <c r="A4" s="107" t="s">
        <v>2</v>
      </c>
      <c r="B4" s="107" t="s">
        <v>3</v>
      </c>
      <c r="C4" s="107" t="s">
        <v>4</v>
      </c>
      <c r="D4" s="107" t="s">
        <v>5</v>
      </c>
      <c r="E4" s="107" t="s">
        <v>6</v>
      </c>
      <c r="F4" s="107" t="s">
        <v>7</v>
      </c>
      <c r="G4" s="107" t="s">
        <v>8</v>
      </c>
      <c r="H4" s="104" t="s">
        <v>1003</v>
      </c>
      <c r="I4" s="108"/>
      <c r="J4" s="108"/>
      <c r="K4" s="108"/>
      <c r="L4" s="108"/>
      <c r="M4" s="108"/>
      <c r="N4" s="108"/>
      <c r="O4" s="108"/>
    </row>
    <row r="5" spans="1:15" ht="14.1" customHeight="1" x14ac:dyDescent="0.2">
      <c r="A5" s="1"/>
      <c r="B5" s="1"/>
      <c r="C5" s="2" t="s">
        <v>9</v>
      </c>
      <c r="D5" s="1"/>
      <c r="E5" s="1"/>
      <c r="F5" s="1"/>
      <c r="G5" s="1"/>
      <c r="H5" s="105"/>
    </row>
    <row r="6" spans="1:15" ht="24" customHeight="1" x14ac:dyDescent="0.2">
      <c r="A6" s="1"/>
      <c r="B6" s="1"/>
      <c r="C6" s="2" t="s">
        <v>10</v>
      </c>
      <c r="D6" s="1"/>
      <c r="E6" s="1"/>
      <c r="F6" s="1"/>
      <c r="G6" s="1"/>
      <c r="H6" s="105"/>
    </row>
    <row r="7" spans="1:15" ht="17.100000000000001" customHeight="1" x14ac:dyDescent="0.2">
      <c r="A7" s="3">
        <v>1</v>
      </c>
      <c r="B7" s="4" t="s">
        <v>31</v>
      </c>
      <c r="C7" s="4" t="s">
        <v>32</v>
      </c>
      <c r="D7" s="4" t="s">
        <v>33</v>
      </c>
      <c r="E7" s="5">
        <v>342887</v>
      </c>
      <c r="F7" s="6">
        <v>7716.8433784999997</v>
      </c>
      <c r="G7" s="7">
        <v>3.7318919999999998E-2</v>
      </c>
      <c r="H7" s="105"/>
    </row>
    <row r="8" spans="1:15" ht="17.100000000000001" customHeight="1" x14ac:dyDescent="0.2">
      <c r="A8" s="3">
        <v>2</v>
      </c>
      <c r="B8" s="4" t="s">
        <v>385</v>
      </c>
      <c r="C8" s="4" t="s">
        <v>386</v>
      </c>
      <c r="D8" s="4" t="s">
        <v>128</v>
      </c>
      <c r="E8" s="5">
        <v>1087000</v>
      </c>
      <c r="F8" s="6">
        <v>6703.5290000000005</v>
      </c>
      <c r="G8" s="7">
        <v>3.2418500000000003E-2</v>
      </c>
      <c r="H8" s="105"/>
    </row>
    <row r="9" spans="1:15" ht="17.100000000000001" customHeight="1" x14ac:dyDescent="0.2">
      <c r="A9" s="3">
        <v>3</v>
      </c>
      <c r="B9" s="4" t="s">
        <v>415</v>
      </c>
      <c r="C9" s="4" t="s">
        <v>416</v>
      </c>
      <c r="D9" s="4" t="s">
        <v>223</v>
      </c>
      <c r="E9" s="5">
        <v>824354</v>
      </c>
      <c r="F9" s="6">
        <v>6300.1254449999997</v>
      </c>
      <c r="G9" s="7">
        <v>3.0467620000000001E-2</v>
      </c>
      <c r="H9" s="105"/>
    </row>
    <row r="10" spans="1:15" ht="17.100000000000001" customHeight="1" x14ac:dyDescent="0.2">
      <c r="A10" s="3">
        <v>4</v>
      </c>
      <c r="B10" s="4" t="s">
        <v>63</v>
      </c>
      <c r="C10" s="4" t="s">
        <v>64</v>
      </c>
      <c r="D10" s="4" t="s">
        <v>33</v>
      </c>
      <c r="E10" s="5">
        <v>327000</v>
      </c>
      <c r="F10" s="6">
        <v>6196.8135000000002</v>
      </c>
      <c r="G10" s="7">
        <v>2.9968000000000002E-2</v>
      </c>
      <c r="H10" s="105"/>
    </row>
    <row r="11" spans="1:15" ht="17.100000000000001" customHeight="1" x14ac:dyDescent="0.2">
      <c r="A11" s="3">
        <v>5</v>
      </c>
      <c r="B11" s="4" t="s">
        <v>418</v>
      </c>
      <c r="C11" s="4" t="s">
        <v>419</v>
      </c>
      <c r="D11" s="4" t="s">
        <v>953</v>
      </c>
      <c r="E11" s="5">
        <v>643156</v>
      </c>
      <c r="F11" s="6">
        <v>5896.4542080000001</v>
      </c>
      <c r="G11" s="7">
        <v>2.8515450000000001E-2</v>
      </c>
      <c r="H11" s="105"/>
    </row>
    <row r="12" spans="1:15" ht="17.100000000000001" customHeight="1" x14ac:dyDescent="0.2">
      <c r="A12" s="3">
        <v>6</v>
      </c>
      <c r="B12" s="4" t="s">
        <v>508</v>
      </c>
      <c r="C12" s="4" t="s">
        <v>509</v>
      </c>
      <c r="D12" s="4" t="s">
        <v>220</v>
      </c>
      <c r="E12" s="5">
        <v>475000</v>
      </c>
      <c r="F12" s="6">
        <v>5354.4375</v>
      </c>
      <c r="G12" s="7">
        <v>2.5894239999999999E-2</v>
      </c>
      <c r="H12" s="105"/>
    </row>
    <row r="13" spans="1:15" ht="17.100000000000001" customHeight="1" x14ac:dyDescent="0.2">
      <c r="A13" s="3">
        <v>7</v>
      </c>
      <c r="B13" s="4" t="s">
        <v>420</v>
      </c>
      <c r="C13" s="4" t="s">
        <v>421</v>
      </c>
      <c r="D13" s="4" t="s">
        <v>121</v>
      </c>
      <c r="E13" s="5">
        <v>201924</v>
      </c>
      <c r="F13" s="6">
        <v>4932.7004340000003</v>
      </c>
      <c r="G13" s="7">
        <v>2.3854710000000001E-2</v>
      </c>
      <c r="H13" s="105"/>
      <c r="J13" s="161" t="s">
        <v>1055</v>
      </c>
    </row>
    <row r="14" spans="1:15" ht="17.100000000000001" customHeight="1" x14ac:dyDescent="0.2">
      <c r="A14" s="3">
        <v>8</v>
      </c>
      <c r="B14" s="4" t="s">
        <v>29</v>
      </c>
      <c r="C14" s="4" t="s">
        <v>30</v>
      </c>
      <c r="D14" s="4" t="s">
        <v>25</v>
      </c>
      <c r="E14" s="5">
        <v>803001</v>
      </c>
      <c r="F14" s="6">
        <v>4643.7547830000003</v>
      </c>
      <c r="G14" s="7">
        <v>2.2457359999999999E-2</v>
      </c>
      <c r="H14" s="105"/>
    </row>
    <row r="15" spans="1:15" ht="53.1" customHeight="1" x14ac:dyDescent="0.2">
      <c r="A15" s="3">
        <v>9</v>
      </c>
      <c r="B15" s="4" t="s">
        <v>50</v>
      </c>
      <c r="C15" s="4" t="s">
        <v>51</v>
      </c>
      <c r="D15" s="4" t="s">
        <v>52</v>
      </c>
      <c r="E15" s="5">
        <v>3150000</v>
      </c>
      <c r="F15" s="6">
        <v>4597.4250000000002</v>
      </c>
      <c r="G15" s="7">
        <v>2.2233300000000001E-2</v>
      </c>
      <c r="H15" s="105"/>
    </row>
    <row r="16" spans="1:15" ht="17.100000000000001" customHeight="1" x14ac:dyDescent="0.2">
      <c r="A16" s="3">
        <v>10</v>
      </c>
      <c r="B16" s="4" t="s">
        <v>510</v>
      </c>
      <c r="C16" s="4" t="s">
        <v>511</v>
      </c>
      <c r="D16" s="4" t="s">
        <v>329</v>
      </c>
      <c r="E16" s="5">
        <v>90000</v>
      </c>
      <c r="F16" s="6">
        <v>4258.08</v>
      </c>
      <c r="G16" s="7">
        <v>2.0592220000000001E-2</v>
      </c>
      <c r="H16" s="105"/>
    </row>
    <row r="17" spans="1:10" ht="17.100000000000001" customHeight="1" x14ac:dyDescent="0.2">
      <c r="A17" s="3">
        <v>11</v>
      </c>
      <c r="B17" s="4" t="s">
        <v>23</v>
      </c>
      <c r="C17" s="4" t="s">
        <v>24</v>
      </c>
      <c r="D17" s="4" t="s">
        <v>25</v>
      </c>
      <c r="E17" s="5">
        <v>464000</v>
      </c>
      <c r="F17" s="6">
        <v>4257.8959999999997</v>
      </c>
      <c r="G17" s="7">
        <v>2.0591330000000001E-2</v>
      </c>
      <c r="H17" s="105"/>
    </row>
    <row r="18" spans="1:10" ht="29.1" customHeight="1" x14ac:dyDescent="0.2">
      <c r="A18" s="3">
        <v>12</v>
      </c>
      <c r="B18" s="4" t="s">
        <v>512</v>
      </c>
      <c r="C18" s="4" t="s">
        <v>513</v>
      </c>
      <c r="D18" s="4" t="s">
        <v>183</v>
      </c>
      <c r="E18" s="5">
        <v>265529</v>
      </c>
      <c r="F18" s="6">
        <v>4175.8418185</v>
      </c>
      <c r="G18" s="7">
        <v>2.0194509999999999E-2</v>
      </c>
      <c r="H18" s="105"/>
    </row>
    <row r="19" spans="1:10" ht="17.100000000000001" customHeight="1" x14ac:dyDescent="0.2">
      <c r="A19" s="3">
        <v>13</v>
      </c>
      <c r="B19" s="4" t="s">
        <v>480</v>
      </c>
      <c r="C19" s="4" t="s">
        <v>481</v>
      </c>
      <c r="D19" s="4" t="s">
        <v>954</v>
      </c>
      <c r="E19" s="5">
        <v>342151</v>
      </c>
      <c r="F19" s="6">
        <v>4037.2107245000002</v>
      </c>
      <c r="G19" s="7">
        <v>1.9524090000000001E-2</v>
      </c>
      <c r="H19" s="105"/>
    </row>
    <row r="20" spans="1:10" ht="17.100000000000001" customHeight="1" x14ac:dyDescent="0.2">
      <c r="A20" s="3">
        <v>14</v>
      </c>
      <c r="B20" s="4" t="s">
        <v>462</v>
      </c>
      <c r="C20" s="4" t="s">
        <v>463</v>
      </c>
      <c r="D20" s="4" t="s">
        <v>33</v>
      </c>
      <c r="E20" s="5">
        <v>365000</v>
      </c>
      <c r="F20" s="6">
        <v>3932.145</v>
      </c>
      <c r="G20" s="7">
        <v>1.901599E-2</v>
      </c>
      <c r="H20" s="105"/>
    </row>
    <row r="21" spans="1:10" ht="17.100000000000001" customHeight="1" x14ac:dyDescent="0.2">
      <c r="A21" s="3">
        <v>15</v>
      </c>
      <c r="B21" s="4" t="s">
        <v>339</v>
      </c>
      <c r="C21" s="4" t="s">
        <v>340</v>
      </c>
      <c r="D21" s="4" t="s">
        <v>25</v>
      </c>
      <c r="E21" s="5">
        <v>1164369</v>
      </c>
      <c r="F21" s="6">
        <v>3696.2893905000001</v>
      </c>
      <c r="G21" s="7">
        <v>1.787538E-2</v>
      </c>
      <c r="H21" s="105"/>
    </row>
    <row r="22" spans="1:10" ht="17.100000000000001" customHeight="1" x14ac:dyDescent="0.2">
      <c r="A22" s="3">
        <v>16</v>
      </c>
      <c r="B22" s="4" t="s">
        <v>99</v>
      </c>
      <c r="C22" s="4" t="s">
        <v>100</v>
      </c>
      <c r="D22" s="4" t="s">
        <v>91</v>
      </c>
      <c r="E22" s="5">
        <v>698780</v>
      </c>
      <c r="F22" s="6">
        <v>3507.1768200000001</v>
      </c>
      <c r="G22" s="7">
        <v>1.696083E-2</v>
      </c>
      <c r="H22" s="105"/>
      <c r="J22" s="161" t="s">
        <v>1056</v>
      </c>
    </row>
    <row r="23" spans="1:10" ht="17.100000000000001" customHeight="1" x14ac:dyDescent="0.2">
      <c r="A23" s="3">
        <v>17</v>
      </c>
      <c r="B23" s="4" t="s">
        <v>424</v>
      </c>
      <c r="C23" s="4" t="s">
        <v>425</v>
      </c>
      <c r="D23" s="4" t="s">
        <v>329</v>
      </c>
      <c r="E23" s="5">
        <v>249715</v>
      </c>
      <c r="F23" s="6">
        <v>3494.5117100000002</v>
      </c>
      <c r="G23" s="7">
        <v>1.6899580000000001E-2</v>
      </c>
      <c r="H23" s="105"/>
    </row>
    <row r="24" spans="1:10" ht="17.100000000000001" customHeight="1" x14ac:dyDescent="0.2">
      <c r="A24" s="3">
        <v>18</v>
      </c>
      <c r="B24" s="4" t="s">
        <v>482</v>
      </c>
      <c r="C24" s="4" t="s">
        <v>483</v>
      </c>
      <c r="D24" s="4" t="s">
        <v>33</v>
      </c>
      <c r="E24" s="5">
        <v>539799</v>
      </c>
      <c r="F24" s="6">
        <v>3465.2396804999998</v>
      </c>
      <c r="G24" s="7">
        <v>1.6758019999999998E-2</v>
      </c>
      <c r="H24" s="105"/>
    </row>
    <row r="25" spans="1:10" ht="29.1" customHeight="1" x14ac:dyDescent="0.2">
      <c r="A25" s="3">
        <v>19</v>
      </c>
      <c r="B25" s="4" t="s">
        <v>514</v>
      </c>
      <c r="C25" s="4" t="s">
        <v>515</v>
      </c>
      <c r="D25" s="4" t="s">
        <v>212</v>
      </c>
      <c r="E25" s="5">
        <v>728334</v>
      </c>
      <c r="F25" s="6">
        <v>3437.0081460000001</v>
      </c>
      <c r="G25" s="7">
        <v>1.6621489999999999E-2</v>
      </c>
      <c r="H25" s="105"/>
    </row>
    <row r="26" spans="1:10" ht="17.100000000000001" customHeight="1" x14ac:dyDescent="0.2">
      <c r="A26" s="3">
        <v>20</v>
      </c>
      <c r="B26" s="4" t="s">
        <v>67</v>
      </c>
      <c r="C26" s="4" t="s">
        <v>68</v>
      </c>
      <c r="D26" s="4" t="s">
        <v>36</v>
      </c>
      <c r="E26" s="5">
        <v>929225</v>
      </c>
      <c r="F26" s="6">
        <v>3394.4589249999999</v>
      </c>
      <c r="G26" s="7">
        <v>1.6415720000000002E-2</v>
      </c>
      <c r="H26" s="105"/>
    </row>
    <row r="27" spans="1:10" ht="29.1" customHeight="1" x14ac:dyDescent="0.2">
      <c r="A27" s="3">
        <v>21</v>
      </c>
      <c r="B27" s="4" t="s">
        <v>432</v>
      </c>
      <c r="C27" s="4" t="s">
        <v>433</v>
      </c>
      <c r="D27" s="4" t="s">
        <v>212</v>
      </c>
      <c r="E27" s="5">
        <v>157039</v>
      </c>
      <c r="F27" s="6">
        <v>3344.6951414999999</v>
      </c>
      <c r="G27" s="7">
        <v>1.6175060000000002E-2</v>
      </c>
      <c r="H27" s="105"/>
    </row>
    <row r="28" spans="1:10" ht="29.1" customHeight="1" x14ac:dyDescent="0.2">
      <c r="A28" s="3">
        <v>22</v>
      </c>
      <c r="B28" s="4" t="s">
        <v>181</v>
      </c>
      <c r="C28" s="4" t="s">
        <v>182</v>
      </c>
      <c r="D28" s="4" t="s">
        <v>183</v>
      </c>
      <c r="E28" s="5">
        <v>65000</v>
      </c>
      <c r="F28" s="6">
        <v>3152.63</v>
      </c>
      <c r="G28" s="7">
        <v>1.524623E-2</v>
      </c>
      <c r="H28" s="105"/>
    </row>
    <row r="29" spans="1:10" ht="17.100000000000001" customHeight="1" x14ac:dyDescent="0.2">
      <c r="A29" s="3">
        <v>23</v>
      </c>
      <c r="B29" s="4" t="s">
        <v>306</v>
      </c>
      <c r="C29" s="4" t="s">
        <v>307</v>
      </c>
      <c r="D29" s="4" t="s">
        <v>232</v>
      </c>
      <c r="E29" s="5">
        <v>214613</v>
      </c>
      <c r="F29" s="6">
        <v>3140.1101094999999</v>
      </c>
      <c r="G29" s="7">
        <v>1.518568E-2</v>
      </c>
      <c r="H29" s="105"/>
    </row>
    <row r="30" spans="1:10" ht="29.1" customHeight="1" x14ac:dyDescent="0.2">
      <c r="A30" s="3">
        <v>24</v>
      </c>
      <c r="B30" s="4" t="s">
        <v>516</v>
      </c>
      <c r="C30" s="4" t="s">
        <v>517</v>
      </c>
      <c r="D30" s="4" t="s">
        <v>212</v>
      </c>
      <c r="E30" s="5">
        <v>504084</v>
      </c>
      <c r="F30" s="6">
        <v>3044.4153179999998</v>
      </c>
      <c r="G30" s="7">
        <v>1.4722900000000001E-2</v>
      </c>
      <c r="H30" s="105"/>
    </row>
    <row r="31" spans="1:10" ht="17.100000000000001" customHeight="1" x14ac:dyDescent="0.2">
      <c r="A31" s="3">
        <v>25</v>
      </c>
      <c r="B31" s="4" t="s">
        <v>235</v>
      </c>
      <c r="C31" s="4" t="s">
        <v>236</v>
      </c>
      <c r="D31" s="4" t="s">
        <v>128</v>
      </c>
      <c r="E31" s="5">
        <v>496749</v>
      </c>
      <c r="F31" s="6">
        <v>3015.2664300000001</v>
      </c>
      <c r="G31" s="7">
        <v>1.458193E-2</v>
      </c>
      <c r="H31" s="105"/>
    </row>
    <row r="32" spans="1:10" ht="17.100000000000001" customHeight="1" x14ac:dyDescent="0.2">
      <c r="A32" s="3">
        <v>26</v>
      </c>
      <c r="B32" s="4" t="s">
        <v>444</v>
      </c>
      <c r="C32" s="4" t="s">
        <v>445</v>
      </c>
      <c r="D32" s="4" t="s">
        <v>25</v>
      </c>
      <c r="E32" s="5">
        <v>1039359</v>
      </c>
      <c r="F32" s="6">
        <v>2905.008405</v>
      </c>
      <c r="G32" s="7">
        <v>1.4048720000000001E-2</v>
      </c>
      <c r="H32" s="105"/>
    </row>
    <row r="33" spans="1:8" ht="17.100000000000001" customHeight="1" x14ac:dyDescent="0.2">
      <c r="A33" s="3">
        <v>27</v>
      </c>
      <c r="B33" s="4" t="s">
        <v>119</v>
      </c>
      <c r="C33" s="4" t="s">
        <v>120</v>
      </c>
      <c r="D33" s="4" t="s">
        <v>121</v>
      </c>
      <c r="E33" s="5">
        <v>950000</v>
      </c>
      <c r="F33" s="6">
        <v>2833.85</v>
      </c>
      <c r="G33" s="7">
        <v>1.3704600000000001E-2</v>
      </c>
      <c r="H33" s="105"/>
    </row>
    <row r="34" spans="1:8" ht="17.100000000000001" customHeight="1" x14ac:dyDescent="0.2">
      <c r="A34" s="3">
        <v>28</v>
      </c>
      <c r="B34" s="4" t="s">
        <v>518</v>
      </c>
      <c r="C34" s="40" t="s">
        <v>997</v>
      </c>
      <c r="D34" s="4" t="s">
        <v>105</v>
      </c>
      <c r="E34" s="5">
        <v>1138715</v>
      </c>
      <c r="F34" s="6">
        <v>2829.1374175000001</v>
      </c>
      <c r="G34" s="7">
        <v>1.3681810000000001E-2</v>
      </c>
      <c r="H34" s="105"/>
    </row>
    <row r="35" spans="1:8" ht="17.100000000000001" customHeight="1" x14ac:dyDescent="0.2">
      <c r="A35" s="3">
        <v>29</v>
      </c>
      <c r="B35" s="4" t="s">
        <v>254</v>
      </c>
      <c r="C35" s="4" t="s">
        <v>255</v>
      </c>
      <c r="D35" s="4" t="s">
        <v>121</v>
      </c>
      <c r="E35" s="5">
        <v>314377</v>
      </c>
      <c r="F35" s="6">
        <v>2720.9329349999998</v>
      </c>
      <c r="G35" s="7">
        <v>1.315852E-2</v>
      </c>
      <c r="H35" s="105"/>
    </row>
    <row r="36" spans="1:8" ht="53.1" customHeight="1" x14ac:dyDescent="0.2">
      <c r="A36" s="3">
        <v>30</v>
      </c>
      <c r="B36" s="4" t="s">
        <v>117</v>
      </c>
      <c r="C36" s="4" t="s">
        <v>118</v>
      </c>
      <c r="D36" s="4" t="s">
        <v>52</v>
      </c>
      <c r="E36" s="5">
        <v>208000</v>
      </c>
      <c r="F36" s="6">
        <v>2530.84</v>
      </c>
      <c r="G36" s="7">
        <v>1.223923E-2</v>
      </c>
      <c r="H36" s="105"/>
    </row>
    <row r="37" spans="1:8" ht="17.100000000000001" customHeight="1" x14ac:dyDescent="0.2">
      <c r="A37" s="3">
        <v>31</v>
      </c>
      <c r="B37" s="4" t="s">
        <v>519</v>
      </c>
      <c r="C37" s="4" t="s">
        <v>520</v>
      </c>
      <c r="D37" s="4" t="s">
        <v>329</v>
      </c>
      <c r="E37" s="5">
        <v>369822</v>
      </c>
      <c r="F37" s="6">
        <v>2434.3533149999998</v>
      </c>
      <c r="G37" s="7">
        <v>1.1772619999999999E-2</v>
      </c>
      <c r="H37" s="105"/>
    </row>
    <row r="38" spans="1:8" ht="29.1" customHeight="1" x14ac:dyDescent="0.2">
      <c r="A38" s="3">
        <v>32</v>
      </c>
      <c r="B38" s="4" t="s">
        <v>489</v>
      </c>
      <c r="C38" s="4" t="s">
        <v>490</v>
      </c>
      <c r="D38" s="4" t="s">
        <v>22</v>
      </c>
      <c r="E38" s="5">
        <v>252888</v>
      </c>
      <c r="F38" s="6">
        <v>2317.8449639999999</v>
      </c>
      <c r="G38" s="7">
        <v>1.1209179999999999E-2</v>
      </c>
      <c r="H38" s="105"/>
    </row>
    <row r="39" spans="1:8" ht="29.1" customHeight="1" x14ac:dyDescent="0.2">
      <c r="A39" s="3">
        <v>33</v>
      </c>
      <c r="B39" s="4" t="s">
        <v>407</v>
      </c>
      <c r="C39" s="4" t="s">
        <v>408</v>
      </c>
      <c r="D39" s="4" t="s">
        <v>212</v>
      </c>
      <c r="E39" s="5">
        <v>48895</v>
      </c>
      <c r="F39" s="6">
        <v>2277.9202599999999</v>
      </c>
      <c r="G39" s="7">
        <v>1.1016099999999999E-2</v>
      </c>
      <c r="H39" s="105"/>
    </row>
    <row r="40" spans="1:8" ht="17.100000000000001" customHeight="1" x14ac:dyDescent="0.2">
      <c r="A40" s="3">
        <v>34</v>
      </c>
      <c r="B40" s="4" t="s">
        <v>521</v>
      </c>
      <c r="C40" s="4" t="s">
        <v>522</v>
      </c>
      <c r="D40" s="4" t="s">
        <v>329</v>
      </c>
      <c r="E40" s="5">
        <v>110000</v>
      </c>
      <c r="F40" s="6">
        <v>2267.375</v>
      </c>
      <c r="G40" s="7">
        <v>1.09651E-2</v>
      </c>
      <c r="H40" s="105"/>
    </row>
    <row r="41" spans="1:8" ht="17.100000000000001" customHeight="1" x14ac:dyDescent="0.2">
      <c r="A41" s="3">
        <v>35</v>
      </c>
      <c r="B41" s="4" t="s">
        <v>203</v>
      </c>
      <c r="C41" s="4" t="s">
        <v>204</v>
      </c>
      <c r="D41" s="4" t="s">
        <v>25</v>
      </c>
      <c r="E41" s="5">
        <v>258000</v>
      </c>
      <c r="F41" s="6">
        <v>2218.8000000000002</v>
      </c>
      <c r="G41" s="7">
        <v>1.0730190000000001E-2</v>
      </c>
      <c r="H41" s="105"/>
    </row>
    <row r="42" spans="1:8" ht="29.1" customHeight="1" x14ac:dyDescent="0.2">
      <c r="A42" s="3">
        <v>36</v>
      </c>
      <c r="B42" s="4" t="s">
        <v>73</v>
      </c>
      <c r="C42" s="4" t="s">
        <v>74</v>
      </c>
      <c r="D42" s="4" t="s">
        <v>22</v>
      </c>
      <c r="E42" s="5">
        <v>74011</v>
      </c>
      <c r="F42" s="6">
        <v>2215.371263</v>
      </c>
      <c r="G42" s="7">
        <v>1.071361E-2</v>
      </c>
      <c r="H42" s="105"/>
    </row>
    <row r="43" spans="1:8" ht="29.1" customHeight="1" x14ac:dyDescent="0.2">
      <c r="A43" s="3">
        <v>37</v>
      </c>
      <c r="B43" s="4" t="s">
        <v>523</v>
      </c>
      <c r="C43" s="4" t="s">
        <v>524</v>
      </c>
      <c r="D43" s="4" t="s">
        <v>488</v>
      </c>
      <c r="E43" s="5">
        <v>525000</v>
      </c>
      <c r="F43" s="6">
        <v>2181.375</v>
      </c>
      <c r="G43" s="7">
        <v>1.05492E-2</v>
      </c>
      <c r="H43" s="105"/>
    </row>
    <row r="44" spans="1:8" ht="29.1" customHeight="1" x14ac:dyDescent="0.2">
      <c r="A44" s="3">
        <v>38</v>
      </c>
      <c r="B44" s="4" t="s">
        <v>308</v>
      </c>
      <c r="C44" s="4" t="s">
        <v>309</v>
      </c>
      <c r="D44" s="4" t="s">
        <v>128</v>
      </c>
      <c r="E44" s="5">
        <v>78090</v>
      </c>
      <c r="F44" s="6">
        <v>2167.4660399999998</v>
      </c>
      <c r="G44" s="7">
        <v>1.048194E-2</v>
      </c>
      <c r="H44" s="105"/>
    </row>
    <row r="45" spans="1:8" ht="17.100000000000001" customHeight="1" x14ac:dyDescent="0.2">
      <c r="A45" s="3">
        <v>39</v>
      </c>
      <c r="B45" s="4" t="s">
        <v>525</v>
      </c>
      <c r="C45" s="4" t="s">
        <v>526</v>
      </c>
      <c r="D45" s="4" t="s">
        <v>128</v>
      </c>
      <c r="E45" s="5">
        <v>757823</v>
      </c>
      <c r="F45" s="6">
        <v>2133.6506565</v>
      </c>
      <c r="G45" s="7">
        <v>1.031841E-2</v>
      </c>
      <c r="H45" s="105"/>
    </row>
    <row r="46" spans="1:8" ht="17.100000000000001" customHeight="1" x14ac:dyDescent="0.2">
      <c r="A46" s="3">
        <v>40</v>
      </c>
      <c r="B46" s="4" t="s">
        <v>85</v>
      </c>
      <c r="C46" s="4" t="s">
        <v>86</v>
      </c>
      <c r="D46" s="4" t="s">
        <v>81</v>
      </c>
      <c r="E46" s="5">
        <v>440335</v>
      </c>
      <c r="F46" s="6">
        <v>2113.6080000000002</v>
      </c>
      <c r="G46" s="7">
        <v>1.022148E-2</v>
      </c>
      <c r="H46" s="105"/>
    </row>
    <row r="47" spans="1:8" ht="17.100000000000001" customHeight="1" x14ac:dyDescent="0.2">
      <c r="A47" s="3">
        <v>41</v>
      </c>
      <c r="B47" s="4" t="s">
        <v>527</v>
      </c>
      <c r="C47" s="4" t="s">
        <v>528</v>
      </c>
      <c r="D47" s="4" t="s">
        <v>121</v>
      </c>
      <c r="E47" s="5">
        <v>33002</v>
      </c>
      <c r="F47" s="6">
        <v>2059.7538260000001</v>
      </c>
      <c r="G47" s="7">
        <v>9.9610400000000009E-3</v>
      </c>
      <c r="H47" s="105"/>
    </row>
    <row r="48" spans="1:8" ht="17.100000000000001" customHeight="1" x14ac:dyDescent="0.2">
      <c r="A48" s="3">
        <v>42</v>
      </c>
      <c r="B48" s="4" t="s">
        <v>186</v>
      </c>
      <c r="C48" s="4" t="s">
        <v>187</v>
      </c>
      <c r="D48" s="4" t="s">
        <v>81</v>
      </c>
      <c r="E48" s="5">
        <v>78756</v>
      </c>
      <c r="F48" s="6">
        <v>2039.1503520000001</v>
      </c>
      <c r="G48" s="7">
        <v>9.8613999999999993E-3</v>
      </c>
      <c r="H48" s="105"/>
    </row>
    <row r="49" spans="1:8" ht="17.100000000000001" customHeight="1" x14ac:dyDescent="0.2">
      <c r="A49" s="3">
        <v>43</v>
      </c>
      <c r="B49" s="4" t="s">
        <v>529</v>
      </c>
      <c r="C49" s="4" t="s">
        <v>530</v>
      </c>
      <c r="D49" s="4" t="s">
        <v>121</v>
      </c>
      <c r="E49" s="5">
        <v>884000</v>
      </c>
      <c r="F49" s="6">
        <v>1968.6679999999999</v>
      </c>
      <c r="G49" s="7">
        <v>9.5205499999999992E-3</v>
      </c>
      <c r="H49" s="105"/>
    </row>
    <row r="50" spans="1:8" ht="17.100000000000001" customHeight="1" x14ac:dyDescent="0.2">
      <c r="A50" s="3">
        <v>44</v>
      </c>
      <c r="B50" s="4" t="s">
        <v>341</v>
      </c>
      <c r="C50" s="4" t="s">
        <v>342</v>
      </c>
      <c r="D50" s="4" t="s">
        <v>33</v>
      </c>
      <c r="E50" s="5">
        <v>205000</v>
      </c>
      <c r="F50" s="6">
        <v>1965.2325000000001</v>
      </c>
      <c r="G50" s="7">
        <v>9.5039300000000007E-3</v>
      </c>
      <c r="H50" s="105"/>
    </row>
    <row r="51" spans="1:8" ht="17.100000000000001" customHeight="1" x14ac:dyDescent="0.2">
      <c r="A51" s="3">
        <v>45</v>
      </c>
      <c r="B51" s="4" t="s">
        <v>263</v>
      </c>
      <c r="C51" s="4" t="s">
        <v>264</v>
      </c>
      <c r="D51" s="4" t="s">
        <v>223</v>
      </c>
      <c r="E51" s="5">
        <v>501980</v>
      </c>
      <c r="F51" s="6">
        <v>1928.10518</v>
      </c>
      <c r="G51" s="7">
        <v>9.3243800000000002E-3</v>
      </c>
      <c r="H51" s="105"/>
    </row>
    <row r="52" spans="1:8" ht="17.100000000000001" customHeight="1" x14ac:dyDescent="0.2">
      <c r="A52" s="3">
        <v>46</v>
      </c>
      <c r="B52" s="4" t="s">
        <v>355</v>
      </c>
      <c r="C52" s="4" t="s">
        <v>356</v>
      </c>
      <c r="D52" s="4" t="s">
        <v>953</v>
      </c>
      <c r="E52" s="5">
        <v>41981</v>
      </c>
      <c r="F52" s="6">
        <v>1855.3293045</v>
      </c>
      <c r="G52" s="7">
        <v>8.9724399999999999E-3</v>
      </c>
      <c r="H52" s="105"/>
    </row>
    <row r="53" spans="1:8" ht="17.100000000000001" customHeight="1" x14ac:dyDescent="0.2">
      <c r="A53" s="3">
        <v>47</v>
      </c>
      <c r="B53" s="4" t="s">
        <v>531</v>
      </c>
      <c r="C53" s="4" t="s">
        <v>532</v>
      </c>
      <c r="D53" s="4" t="s">
        <v>202</v>
      </c>
      <c r="E53" s="5">
        <v>94501</v>
      </c>
      <c r="F53" s="6">
        <v>1854.865628</v>
      </c>
      <c r="G53" s="7">
        <v>8.9701899999999994E-3</v>
      </c>
      <c r="H53" s="105"/>
    </row>
    <row r="54" spans="1:8" ht="17.100000000000001" customHeight="1" x14ac:dyDescent="0.2">
      <c r="A54" s="3">
        <v>48</v>
      </c>
      <c r="B54" s="4" t="s">
        <v>380</v>
      </c>
      <c r="C54" s="4" t="s">
        <v>381</v>
      </c>
      <c r="D54" s="4" t="s">
        <v>954</v>
      </c>
      <c r="E54" s="5">
        <v>199000</v>
      </c>
      <c r="F54" s="6">
        <v>1853.9835</v>
      </c>
      <c r="G54" s="7">
        <v>8.9659300000000004E-3</v>
      </c>
      <c r="H54" s="105"/>
    </row>
    <row r="55" spans="1:8" ht="17.100000000000001" customHeight="1" x14ac:dyDescent="0.2">
      <c r="A55" s="3">
        <v>49</v>
      </c>
      <c r="B55" s="4" t="s">
        <v>533</v>
      </c>
      <c r="C55" s="4" t="s">
        <v>534</v>
      </c>
      <c r="D55" s="4" t="s">
        <v>329</v>
      </c>
      <c r="E55" s="5">
        <v>209888</v>
      </c>
      <c r="F55" s="6">
        <v>1820.4635679999999</v>
      </c>
      <c r="G55" s="7">
        <v>8.8038200000000004E-3</v>
      </c>
      <c r="H55" s="105"/>
    </row>
    <row r="56" spans="1:8" ht="17.100000000000001" customHeight="1" x14ac:dyDescent="0.2">
      <c r="A56" s="3">
        <v>50</v>
      </c>
      <c r="B56" s="4" t="s">
        <v>221</v>
      </c>
      <c r="C56" s="4" t="s">
        <v>222</v>
      </c>
      <c r="D56" s="4" t="s">
        <v>223</v>
      </c>
      <c r="E56" s="5">
        <v>400000</v>
      </c>
      <c r="F56" s="6">
        <v>1785.8</v>
      </c>
      <c r="G56" s="7">
        <v>8.6361900000000002E-3</v>
      </c>
      <c r="H56" s="105"/>
    </row>
    <row r="57" spans="1:8" ht="17.100000000000001" customHeight="1" x14ac:dyDescent="0.2">
      <c r="A57" s="3">
        <v>51</v>
      </c>
      <c r="B57" s="4" t="s">
        <v>349</v>
      </c>
      <c r="C57" s="4" t="s">
        <v>350</v>
      </c>
      <c r="D57" s="4" t="s">
        <v>128</v>
      </c>
      <c r="E57" s="5">
        <v>28000</v>
      </c>
      <c r="F57" s="6">
        <v>1758.4280000000001</v>
      </c>
      <c r="G57" s="7">
        <v>8.5038200000000005E-3</v>
      </c>
      <c r="H57" s="105"/>
    </row>
    <row r="58" spans="1:8" ht="17.100000000000001" customHeight="1" x14ac:dyDescent="0.2">
      <c r="A58" s="3">
        <v>52</v>
      </c>
      <c r="B58" s="4" t="s">
        <v>46</v>
      </c>
      <c r="C58" s="4" t="s">
        <v>47</v>
      </c>
      <c r="D58" s="4" t="s">
        <v>13</v>
      </c>
      <c r="E58" s="5">
        <v>607033</v>
      </c>
      <c r="F58" s="6">
        <v>1720.3315219999999</v>
      </c>
      <c r="G58" s="7">
        <v>8.31958E-3</v>
      </c>
      <c r="H58" s="105"/>
    </row>
    <row r="59" spans="1:8" ht="17.100000000000001" customHeight="1" x14ac:dyDescent="0.2">
      <c r="A59" s="3">
        <v>53</v>
      </c>
      <c r="B59" s="4" t="s">
        <v>535</v>
      </c>
      <c r="C59" s="4" t="s">
        <v>536</v>
      </c>
      <c r="D59" s="4" t="s">
        <v>953</v>
      </c>
      <c r="E59" s="5">
        <v>150000</v>
      </c>
      <c r="F59" s="6">
        <v>1647.3</v>
      </c>
      <c r="G59" s="7">
        <v>7.9664000000000002E-3</v>
      </c>
      <c r="H59" s="105"/>
    </row>
    <row r="60" spans="1:8" ht="17.100000000000001" customHeight="1" x14ac:dyDescent="0.2">
      <c r="A60" s="3">
        <v>54</v>
      </c>
      <c r="B60" s="4" t="s">
        <v>537</v>
      </c>
      <c r="C60" s="4" t="s">
        <v>538</v>
      </c>
      <c r="D60" s="4" t="s">
        <v>329</v>
      </c>
      <c r="E60" s="5">
        <v>160942</v>
      </c>
      <c r="F60" s="6">
        <v>1618.4327519999999</v>
      </c>
      <c r="G60" s="7">
        <v>7.8268000000000001E-3</v>
      </c>
      <c r="H60" s="105"/>
    </row>
    <row r="61" spans="1:8" ht="17.100000000000001" customHeight="1" x14ac:dyDescent="0.2">
      <c r="A61" s="3">
        <v>55</v>
      </c>
      <c r="B61" s="4" t="s">
        <v>478</v>
      </c>
      <c r="C61" s="4" t="s">
        <v>479</v>
      </c>
      <c r="D61" s="4" t="s">
        <v>121</v>
      </c>
      <c r="E61" s="5">
        <v>143771</v>
      </c>
      <c r="F61" s="6">
        <v>1577.8148395000001</v>
      </c>
      <c r="G61" s="7">
        <v>7.63037E-3</v>
      </c>
      <c r="H61" s="105"/>
    </row>
    <row r="62" spans="1:8" ht="29.1" customHeight="1" x14ac:dyDescent="0.2">
      <c r="A62" s="3">
        <v>56</v>
      </c>
      <c r="B62" s="4" t="s">
        <v>95</v>
      </c>
      <c r="C62" s="4" t="s">
        <v>96</v>
      </c>
      <c r="D62" s="4" t="s">
        <v>41</v>
      </c>
      <c r="E62" s="5">
        <v>86000</v>
      </c>
      <c r="F62" s="6">
        <v>1559.008</v>
      </c>
      <c r="G62" s="7">
        <v>7.5394199999999998E-3</v>
      </c>
      <c r="H62" s="105"/>
    </row>
    <row r="63" spans="1:8" ht="17.100000000000001" customHeight="1" x14ac:dyDescent="0.2">
      <c r="A63" s="3">
        <v>57</v>
      </c>
      <c r="B63" s="4" t="s">
        <v>69</v>
      </c>
      <c r="C63" s="4" t="s">
        <v>70</v>
      </c>
      <c r="D63" s="4" t="s">
        <v>13</v>
      </c>
      <c r="E63" s="5">
        <v>634000</v>
      </c>
      <c r="F63" s="6">
        <v>1522.8679999999999</v>
      </c>
      <c r="G63" s="7">
        <v>7.3646400000000004E-3</v>
      </c>
      <c r="H63" s="105"/>
    </row>
    <row r="64" spans="1:8" ht="17.100000000000001" customHeight="1" x14ac:dyDescent="0.2">
      <c r="A64" s="3">
        <v>58</v>
      </c>
      <c r="B64" s="4" t="s">
        <v>365</v>
      </c>
      <c r="C64" s="4" t="s">
        <v>366</v>
      </c>
      <c r="D64" s="4" t="s">
        <v>121</v>
      </c>
      <c r="E64" s="5">
        <v>50000</v>
      </c>
      <c r="F64" s="6">
        <v>1457.65</v>
      </c>
      <c r="G64" s="7">
        <v>7.04925E-3</v>
      </c>
      <c r="H64" s="105"/>
    </row>
    <row r="65" spans="1:8" ht="17.100000000000001" customHeight="1" x14ac:dyDescent="0.2">
      <c r="A65" s="3">
        <v>59</v>
      </c>
      <c r="B65" s="4" t="s">
        <v>450</v>
      </c>
      <c r="C65" s="4" t="s">
        <v>451</v>
      </c>
      <c r="D65" s="4" t="s">
        <v>33</v>
      </c>
      <c r="E65" s="5">
        <v>174450</v>
      </c>
      <c r="F65" s="6">
        <v>1455.5235749999999</v>
      </c>
      <c r="G65" s="7">
        <v>7.0389600000000004E-3</v>
      </c>
      <c r="H65" s="105"/>
    </row>
    <row r="66" spans="1:8" ht="17.100000000000001" customHeight="1" x14ac:dyDescent="0.2">
      <c r="A66" s="3">
        <v>60</v>
      </c>
      <c r="B66" s="4" t="s">
        <v>357</v>
      </c>
      <c r="C66" s="4" t="s">
        <v>358</v>
      </c>
      <c r="D66" s="4" t="s">
        <v>59</v>
      </c>
      <c r="E66" s="5">
        <v>98055</v>
      </c>
      <c r="F66" s="6">
        <v>1445.0855624999999</v>
      </c>
      <c r="G66" s="7">
        <v>6.98848E-3</v>
      </c>
      <c r="H66" s="105"/>
    </row>
    <row r="67" spans="1:8" ht="17.100000000000001" customHeight="1" x14ac:dyDescent="0.2">
      <c r="A67" s="3">
        <v>61</v>
      </c>
      <c r="B67" s="4" t="s">
        <v>539</v>
      </c>
      <c r="C67" s="4" t="s">
        <v>540</v>
      </c>
      <c r="D67" s="4" t="s">
        <v>81</v>
      </c>
      <c r="E67" s="5">
        <v>445678</v>
      </c>
      <c r="F67" s="6">
        <v>1373.356757</v>
      </c>
      <c r="G67" s="7">
        <v>6.6416000000000001E-3</v>
      </c>
      <c r="H67" s="105"/>
    </row>
    <row r="68" spans="1:8" ht="17.100000000000001" customHeight="1" x14ac:dyDescent="0.2">
      <c r="A68" s="3">
        <v>62</v>
      </c>
      <c r="B68" s="4" t="s">
        <v>541</v>
      </c>
      <c r="C68" s="4" t="s">
        <v>542</v>
      </c>
      <c r="D68" s="4" t="s">
        <v>953</v>
      </c>
      <c r="E68" s="5">
        <v>498569</v>
      </c>
      <c r="F68" s="6">
        <v>1360.8440854999999</v>
      </c>
      <c r="G68" s="7">
        <v>6.5810900000000004E-3</v>
      </c>
      <c r="H68" s="105"/>
    </row>
    <row r="69" spans="1:8" ht="17.100000000000001" customHeight="1" x14ac:dyDescent="0.2">
      <c r="A69" s="3">
        <v>63</v>
      </c>
      <c r="B69" s="4" t="s">
        <v>543</v>
      </c>
      <c r="C69" s="4" t="s">
        <v>544</v>
      </c>
      <c r="D69" s="4" t="s">
        <v>195</v>
      </c>
      <c r="E69" s="5">
        <v>120000</v>
      </c>
      <c r="F69" s="6">
        <v>1288.92</v>
      </c>
      <c r="G69" s="7">
        <v>6.23326E-3</v>
      </c>
      <c r="H69" s="105"/>
    </row>
    <row r="70" spans="1:8" ht="17.100000000000001" customHeight="1" x14ac:dyDescent="0.2">
      <c r="A70" s="3">
        <v>64</v>
      </c>
      <c r="B70" s="4" t="s">
        <v>297</v>
      </c>
      <c r="C70" s="4" t="s">
        <v>298</v>
      </c>
      <c r="D70" s="4" t="s">
        <v>271</v>
      </c>
      <c r="E70" s="5">
        <v>200000</v>
      </c>
      <c r="F70" s="6">
        <v>1201.9000000000001</v>
      </c>
      <c r="G70" s="7">
        <v>5.8124300000000004E-3</v>
      </c>
      <c r="H70" s="105"/>
    </row>
    <row r="71" spans="1:8" ht="17.100000000000001" customHeight="1" x14ac:dyDescent="0.2">
      <c r="A71" s="3">
        <v>65</v>
      </c>
      <c r="B71" s="4" t="s">
        <v>545</v>
      </c>
      <c r="C71" s="4" t="s">
        <v>546</v>
      </c>
      <c r="D71" s="4" t="s">
        <v>121</v>
      </c>
      <c r="E71" s="5">
        <v>192900</v>
      </c>
      <c r="F71" s="6">
        <v>1145.92245</v>
      </c>
      <c r="G71" s="7">
        <v>5.54172E-3</v>
      </c>
      <c r="H71" s="105"/>
    </row>
    <row r="72" spans="1:8" ht="17.100000000000001" customHeight="1" x14ac:dyDescent="0.2">
      <c r="A72" s="3">
        <v>66</v>
      </c>
      <c r="B72" s="4" t="s">
        <v>547</v>
      </c>
      <c r="C72" s="4" t="s">
        <v>548</v>
      </c>
      <c r="D72" s="4" t="s">
        <v>105</v>
      </c>
      <c r="E72" s="5">
        <v>82975</v>
      </c>
      <c r="F72" s="6">
        <v>1114.2712750000001</v>
      </c>
      <c r="G72" s="7">
        <v>5.38865E-3</v>
      </c>
      <c r="H72" s="105"/>
    </row>
    <row r="73" spans="1:8" ht="17.100000000000001" customHeight="1" x14ac:dyDescent="0.2">
      <c r="A73" s="3">
        <v>67</v>
      </c>
      <c r="B73" s="4" t="s">
        <v>191</v>
      </c>
      <c r="C73" s="4" t="s">
        <v>192</v>
      </c>
      <c r="D73" s="4" t="s">
        <v>953</v>
      </c>
      <c r="E73" s="5">
        <v>22000</v>
      </c>
      <c r="F73" s="6">
        <v>1042.1949999999999</v>
      </c>
      <c r="G73" s="7">
        <v>5.0400899999999997E-3</v>
      </c>
      <c r="H73" s="105"/>
    </row>
    <row r="74" spans="1:8" ht="17.100000000000001" customHeight="1" x14ac:dyDescent="0.2">
      <c r="A74" s="3">
        <v>68</v>
      </c>
      <c r="B74" s="4" t="s">
        <v>126</v>
      </c>
      <c r="C74" s="4" t="s">
        <v>127</v>
      </c>
      <c r="D74" s="4" t="s">
        <v>128</v>
      </c>
      <c r="E74" s="5">
        <v>112435</v>
      </c>
      <c r="F74" s="6">
        <v>232.12205750000001</v>
      </c>
      <c r="G74" s="7">
        <v>1.1225499999999999E-3</v>
      </c>
      <c r="H74" s="105"/>
    </row>
    <row r="75" spans="1:8" ht="14.1" customHeight="1" x14ac:dyDescent="0.2">
      <c r="A75" s="1"/>
      <c r="B75" s="1"/>
      <c r="C75" s="2" t="s">
        <v>132</v>
      </c>
      <c r="D75" s="1"/>
      <c r="E75" s="1" t="s">
        <v>133</v>
      </c>
      <c r="F75" s="9">
        <v>189495.91746051901</v>
      </c>
      <c r="G75" s="10">
        <v>0.91640874999999999</v>
      </c>
      <c r="H75" s="105"/>
    </row>
    <row r="76" spans="1:8" ht="14.1" customHeight="1" x14ac:dyDescent="0.2">
      <c r="A76" s="1"/>
      <c r="B76" s="1"/>
      <c r="C76" s="11"/>
      <c r="D76" s="1"/>
      <c r="E76" s="1"/>
      <c r="F76" s="12"/>
      <c r="G76" s="12"/>
      <c r="H76" s="105"/>
    </row>
    <row r="77" spans="1:8" ht="14.1" customHeight="1" x14ac:dyDescent="0.2">
      <c r="A77" s="1"/>
      <c r="B77" s="1"/>
      <c r="C77" s="2" t="s">
        <v>134</v>
      </c>
      <c r="D77" s="1"/>
      <c r="E77" s="1"/>
      <c r="F77" s="1"/>
      <c r="G77" s="1"/>
      <c r="H77" s="105"/>
    </row>
    <row r="78" spans="1:8" ht="14.1" customHeight="1" x14ac:dyDescent="0.2">
      <c r="A78" s="1"/>
      <c r="B78" s="1"/>
      <c r="C78" s="2" t="s">
        <v>132</v>
      </c>
      <c r="D78" s="1"/>
      <c r="E78" s="1" t="s">
        <v>133</v>
      </c>
      <c r="F78" s="13" t="s">
        <v>135</v>
      </c>
      <c r="G78" s="10">
        <v>0</v>
      </c>
      <c r="H78" s="105"/>
    </row>
    <row r="79" spans="1:8" ht="14.1" customHeight="1" x14ac:dyDescent="0.2">
      <c r="A79" s="1"/>
      <c r="B79" s="1"/>
      <c r="C79" s="11"/>
      <c r="D79" s="1"/>
      <c r="E79" s="1"/>
      <c r="F79" s="12"/>
      <c r="G79" s="12"/>
      <c r="H79" s="105"/>
    </row>
    <row r="80" spans="1:8" ht="14.1" customHeight="1" x14ac:dyDescent="0.2">
      <c r="A80" s="1"/>
      <c r="B80" s="1"/>
      <c r="C80" s="2" t="s">
        <v>136</v>
      </c>
      <c r="D80" s="1"/>
      <c r="E80" s="1"/>
      <c r="F80" s="1"/>
      <c r="G80" s="1"/>
      <c r="H80" s="105"/>
    </row>
    <row r="81" spans="1:8" ht="17.100000000000001" customHeight="1" x14ac:dyDescent="0.2">
      <c r="A81" s="3">
        <v>1</v>
      </c>
      <c r="B81" s="4" t="s">
        <v>129</v>
      </c>
      <c r="C81" s="40" t="s">
        <v>934</v>
      </c>
      <c r="D81" s="4" t="s">
        <v>130</v>
      </c>
      <c r="E81" s="5">
        <v>375961</v>
      </c>
      <c r="F81" s="6">
        <v>7.5190000000000003E-6</v>
      </c>
      <c r="G81" s="8" t="s">
        <v>131</v>
      </c>
      <c r="H81" s="105"/>
    </row>
    <row r="82" spans="1:8" ht="14.1" customHeight="1" x14ac:dyDescent="0.2">
      <c r="A82" s="1"/>
      <c r="B82" s="1"/>
      <c r="C82" s="2" t="s">
        <v>132</v>
      </c>
      <c r="D82" s="1"/>
      <c r="E82" s="1" t="s">
        <v>133</v>
      </c>
      <c r="F82" s="13" t="s">
        <v>135</v>
      </c>
      <c r="G82" s="10">
        <v>0</v>
      </c>
      <c r="H82" s="105"/>
    </row>
    <row r="83" spans="1:8" ht="14.1" customHeight="1" x14ac:dyDescent="0.2">
      <c r="A83" s="1"/>
      <c r="B83" s="1"/>
      <c r="C83" s="11"/>
      <c r="D83" s="1"/>
      <c r="E83" s="1"/>
      <c r="F83" s="12"/>
      <c r="G83" s="12"/>
      <c r="H83" s="105"/>
    </row>
    <row r="84" spans="1:8" ht="14.1" customHeight="1" x14ac:dyDescent="0.2">
      <c r="A84" s="1"/>
      <c r="B84" s="1"/>
      <c r="C84" s="2" t="s">
        <v>137</v>
      </c>
      <c r="D84" s="1"/>
      <c r="E84" s="1"/>
      <c r="F84" s="1"/>
      <c r="G84" s="1"/>
      <c r="H84" s="105"/>
    </row>
    <row r="85" spans="1:8" ht="14.1" customHeight="1" x14ac:dyDescent="0.2">
      <c r="A85" s="1"/>
      <c r="B85" s="1"/>
      <c r="C85" s="2" t="s">
        <v>132</v>
      </c>
      <c r="D85" s="1"/>
      <c r="E85" s="1" t="s">
        <v>133</v>
      </c>
      <c r="F85" s="13" t="s">
        <v>135</v>
      </c>
      <c r="G85" s="10">
        <v>0</v>
      </c>
      <c r="H85" s="105"/>
    </row>
    <row r="86" spans="1:8" ht="14.1" customHeight="1" x14ac:dyDescent="0.2">
      <c r="A86" s="1"/>
      <c r="B86" s="1"/>
      <c r="C86" s="11"/>
      <c r="D86" s="1"/>
      <c r="E86" s="1"/>
      <c r="F86" s="12"/>
      <c r="G86" s="12"/>
      <c r="H86" s="105"/>
    </row>
    <row r="87" spans="1:8" ht="14.1" customHeight="1" x14ac:dyDescent="0.2">
      <c r="A87" s="1"/>
      <c r="B87" s="1"/>
      <c r="C87" s="2" t="s">
        <v>138</v>
      </c>
      <c r="D87" s="1"/>
      <c r="E87" s="1"/>
      <c r="F87" s="12"/>
      <c r="G87" s="12"/>
      <c r="H87" s="105"/>
    </row>
    <row r="88" spans="1:8" ht="14.1" customHeight="1" x14ac:dyDescent="0.2">
      <c r="A88" s="1"/>
      <c r="B88" s="1"/>
      <c r="C88" s="2" t="s">
        <v>132</v>
      </c>
      <c r="D88" s="1"/>
      <c r="E88" s="1" t="s">
        <v>133</v>
      </c>
      <c r="F88" s="13" t="s">
        <v>135</v>
      </c>
      <c r="G88" s="10">
        <v>0</v>
      </c>
      <c r="H88" s="105"/>
    </row>
    <row r="89" spans="1:8" ht="14.1" customHeight="1" x14ac:dyDescent="0.2">
      <c r="A89" s="1"/>
      <c r="B89" s="1"/>
      <c r="C89" s="11"/>
      <c r="D89" s="1"/>
      <c r="E89" s="1"/>
      <c r="F89" s="12"/>
      <c r="G89" s="12"/>
      <c r="H89" s="105"/>
    </row>
    <row r="90" spans="1:8" ht="14.1" customHeight="1" x14ac:dyDescent="0.2">
      <c r="A90" s="1"/>
      <c r="B90" s="1"/>
      <c r="C90" s="2" t="s">
        <v>139</v>
      </c>
      <c r="D90" s="1"/>
      <c r="E90" s="1"/>
      <c r="F90" s="12"/>
      <c r="G90" s="12"/>
      <c r="H90" s="105"/>
    </row>
    <row r="91" spans="1:8" ht="14.1" customHeight="1" x14ac:dyDescent="0.2">
      <c r="A91" s="1"/>
      <c r="B91" s="1"/>
      <c r="C91" s="2" t="s">
        <v>132</v>
      </c>
      <c r="D91" s="1"/>
      <c r="E91" s="1" t="s">
        <v>133</v>
      </c>
      <c r="F91" s="13" t="s">
        <v>135</v>
      </c>
      <c r="G91" s="10">
        <v>0</v>
      </c>
      <c r="H91" s="105"/>
    </row>
    <row r="92" spans="1:8" ht="14.1" customHeight="1" x14ac:dyDescent="0.2">
      <c r="A92" s="1"/>
      <c r="B92" s="1"/>
      <c r="C92" s="11"/>
      <c r="D92" s="1"/>
      <c r="E92" s="1"/>
      <c r="F92" s="12"/>
      <c r="G92" s="12"/>
      <c r="H92" s="105"/>
    </row>
    <row r="93" spans="1:8" ht="18" customHeight="1" x14ac:dyDescent="0.2">
      <c r="A93" s="1"/>
      <c r="B93" s="1"/>
      <c r="C93" s="2" t="s">
        <v>140</v>
      </c>
      <c r="D93" s="1"/>
      <c r="E93" s="1"/>
      <c r="F93" s="9">
        <v>189495.91746051901</v>
      </c>
      <c r="G93" s="10">
        <v>0.91640874999999999</v>
      </c>
      <c r="H93" s="105"/>
    </row>
    <row r="94" spans="1:8" ht="14.1" customHeight="1" x14ac:dyDescent="0.2">
      <c r="A94" s="1"/>
      <c r="B94" s="1"/>
      <c r="C94" s="11"/>
      <c r="D94" s="1"/>
      <c r="E94" s="1"/>
      <c r="F94" s="12"/>
      <c r="G94" s="12"/>
      <c r="H94" s="105"/>
    </row>
    <row r="95" spans="1:8" ht="14.1" customHeight="1" x14ac:dyDescent="0.2">
      <c r="A95" s="1"/>
      <c r="B95" s="1"/>
      <c r="C95" s="2" t="s">
        <v>141</v>
      </c>
      <c r="D95" s="1"/>
      <c r="E95" s="1"/>
      <c r="F95" s="12"/>
      <c r="G95" s="12"/>
      <c r="H95" s="105"/>
    </row>
    <row r="96" spans="1:8" ht="24" customHeight="1" x14ac:dyDescent="0.2">
      <c r="A96" s="1"/>
      <c r="B96" s="1"/>
      <c r="C96" s="2" t="s">
        <v>10</v>
      </c>
      <c r="D96" s="1"/>
      <c r="E96" s="1"/>
      <c r="F96" s="12"/>
      <c r="G96" s="12"/>
      <c r="H96" s="105"/>
    </row>
    <row r="97" spans="1:8" ht="14.1" customHeight="1" x14ac:dyDescent="0.2">
      <c r="A97" s="1"/>
      <c r="B97" s="1"/>
      <c r="C97" s="2" t="s">
        <v>132</v>
      </c>
      <c r="D97" s="1"/>
      <c r="E97" s="1" t="s">
        <v>133</v>
      </c>
      <c r="F97" s="13" t="s">
        <v>135</v>
      </c>
      <c r="G97" s="10">
        <v>0</v>
      </c>
      <c r="H97" s="105"/>
    </row>
    <row r="98" spans="1:8" ht="14.1" customHeight="1" x14ac:dyDescent="0.2">
      <c r="A98" s="1"/>
      <c r="B98" s="1"/>
      <c r="C98" s="11"/>
      <c r="D98" s="1"/>
      <c r="E98" s="1"/>
      <c r="F98" s="12"/>
      <c r="G98" s="12"/>
      <c r="H98" s="105"/>
    </row>
    <row r="99" spans="1:8" ht="14.1" customHeight="1" x14ac:dyDescent="0.2">
      <c r="A99" s="1"/>
      <c r="B99" s="1"/>
      <c r="C99" s="2" t="s">
        <v>142</v>
      </c>
      <c r="D99" s="1"/>
      <c r="E99" s="1"/>
      <c r="F99" s="1"/>
      <c r="G99" s="1"/>
      <c r="H99" s="105"/>
    </row>
    <row r="100" spans="1:8" ht="14.1" customHeight="1" x14ac:dyDescent="0.2">
      <c r="A100" s="1"/>
      <c r="B100" s="1"/>
      <c r="C100" s="2" t="s">
        <v>132</v>
      </c>
      <c r="D100" s="1"/>
      <c r="E100" s="1" t="s">
        <v>133</v>
      </c>
      <c r="F100" s="13" t="s">
        <v>135</v>
      </c>
      <c r="G100" s="10">
        <v>0</v>
      </c>
      <c r="H100" s="105"/>
    </row>
    <row r="101" spans="1:8" ht="14.1" customHeight="1" x14ac:dyDescent="0.2">
      <c r="A101" s="1"/>
      <c r="B101" s="1"/>
      <c r="C101" s="11"/>
      <c r="D101" s="1"/>
      <c r="E101" s="1"/>
      <c r="F101" s="12"/>
      <c r="G101" s="12"/>
      <c r="H101" s="105"/>
    </row>
    <row r="102" spans="1:8" ht="14.1" customHeight="1" x14ac:dyDescent="0.2">
      <c r="A102" s="1"/>
      <c r="B102" s="1"/>
      <c r="C102" s="2" t="s">
        <v>143</v>
      </c>
      <c r="D102" s="1"/>
      <c r="E102" s="1"/>
      <c r="F102" s="1"/>
      <c r="G102" s="1"/>
      <c r="H102" s="105"/>
    </row>
    <row r="103" spans="1:8" ht="14.1" customHeight="1" x14ac:dyDescent="0.2">
      <c r="A103" s="1"/>
      <c r="B103" s="1"/>
      <c r="C103" s="2" t="s">
        <v>132</v>
      </c>
      <c r="D103" s="1"/>
      <c r="E103" s="1" t="s">
        <v>133</v>
      </c>
      <c r="F103" s="13" t="s">
        <v>135</v>
      </c>
      <c r="G103" s="10">
        <v>0</v>
      </c>
      <c r="H103" s="105"/>
    </row>
    <row r="104" spans="1:8" ht="14.1" customHeight="1" x14ac:dyDescent="0.2">
      <c r="A104" s="1"/>
      <c r="B104" s="1"/>
      <c r="C104" s="11"/>
      <c r="D104" s="1"/>
      <c r="E104" s="1"/>
      <c r="F104" s="12"/>
      <c r="G104" s="12"/>
      <c r="H104" s="105"/>
    </row>
    <row r="105" spans="1:8" ht="14.1" customHeight="1" x14ac:dyDescent="0.2">
      <c r="A105" s="1"/>
      <c r="B105" s="1"/>
      <c r="C105" s="2" t="s">
        <v>144</v>
      </c>
      <c r="D105" s="1"/>
      <c r="E105" s="1"/>
      <c r="F105" s="12"/>
      <c r="G105" s="12"/>
      <c r="H105" s="105"/>
    </row>
    <row r="106" spans="1:8" ht="14.1" customHeight="1" x14ac:dyDescent="0.2">
      <c r="A106" s="1"/>
      <c r="B106" s="1"/>
      <c r="C106" s="2" t="s">
        <v>132</v>
      </c>
      <c r="D106" s="1"/>
      <c r="E106" s="1" t="s">
        <v>133</v>
      </c>
      <c r="F106" s="13" t="s">
        <v>135</v>
      </c>
      <c r="G106" s="10">
        <v>0</v>
      </c>
      <c r="H106" s="105"/>
    </row>
    <row r="107" spans="1:8" ht="14.1" customHeight="1" x14ac:dyDescent="0.2">
      <c r="A107" s="1"/>
      <c r="B107" s="1"/>
      <c r="C107" s="11"/>
      <c r="D107" s="1"/>
      <c r="E107" s="1"/>
      <c r="F107" s="12"/>
      <c r="G107" s="12"/>
      <c r="H107" s="105"/>
    </row>
    <row r="108" spans="1:8" ht="14.1" customHeight="1" x14ac:dyDescent="0.2">
      <c r="A108" s="1"/>
      <c r="B108" s="1"/>
      <c r="C108" s="2" t="s">
        <v>145</v>
      </c>
      <c r="D108" s="1"/>
      <c r="E108" s="1"/>
      <c r="F108" s="9">
        <v>0</v>
      </c>
      <c r="G108" s="10">
        <v>0</v>
      </c>
      <c r="H108" s="105"/>
    </row>
    <row r="109" spans="1:8" ht="14.1" customHeight="1" x14ac:dyDescent="0.2">
      <c r="A109" s="1"/>
      <c r="B109" s="1"/>
      <c r="C109" s="11"/>
      <c r="D109" s="1"/>
      <c r="E109" s="1"/>
      <c r="F109" s="12"/>
      <c r="G109" s="12"/>
      <c r="H109" s="105"/>
    </row>
    <row r="110" spans="1:8" ht="14.1" customHeight="1" x14ac:dyDescent="0.2">
      <c r="A110" s="1"/>
      <c r="B110" s="1"/>
      <c r="C110" s="2" t="s">
        <v>146</v>
      </c>
      <c r="D110" s="1"/>
      <c r="E110" s="1"/>
      <c r="F110" s="12"/>
      <c r="G110" s="12"/>
      <c r="H110" s="105"/>
    </row>
    <row r="111" spans="1:8" ht="14.1" customHeight="1" x14ac:dyDescent="0.2">
      <c r="A111" s="1"/>
      <c r="B111" s="1"/>
      <c r="C111" s="2" t="s">
        <v>147</v>
      </c>
      <c r="D111" s="1"/>
      <c r="E111" s="1"/>
      <c r="F111" s="12"/>
      <c r="G111" s="12"/>
      <c r="H111" s="105"/>
    </row>
    <row r="112" spans="1:8" ht="14.1" customHeight="1" x14ac:dyDescent="0.2">
      <c r="A112" s="1"/>
      <c r="B112" s="1"/>
      <c r="C112" s="2" t="s">
        <v>132</v>
      </c>
      <c r="D112" s="1"/>
      <c r="E112" s="1" t="s">
        <v>133</v>
      </c>
      <c r="F112" s="13" t="s">
        <v>135</v>
      </c>
      <c r="G112" s="10">
        <v>0</v>
      </c>
      <c r="H112" s="105"/>
    </row>
    <row r="113" spans="1:8" ht="14.1" customHeight="1" x14ac:dyDescent="0.2">
      <c r="A113" s="1"/>
      <c r="B113" s="1"/>
      <c r="C113" s="11"/>
      <c r="D113" s="1"/>
      <c r="E113" s="1"/>
      <c r="F113" s="12"/>
      <c r="G113" s="12"/>
      <c r="H113" s="105"/>
    </row>
    <row r="114" spans="1:8" ht="14.1" customHeight="1" x14ac:dyDescent="0.2">
      <c r="A114" s="1"/>
      <c r="B114" s="1"/>
      <c r="C114" s="2" t="s">
        <v>148</v>
      </c>
      <c r="D114" s="1"/>
      <c r="E114" s="1"/>
      <c r="F114" s="12"/>
      <c r="G114" s="12"/>
      <c r="H114" s="105"/>
    </row>
    <row r="115" spans="1:8" ht="14.1" customHeight="1" x14ac:dyDescent="0.2">
      <c r="A115" s="1"/>
      <c r="B115" s="1"/>
      <c r="C115" s="2" t="s">
        <v>132</v>
      </c>
      <c r="D115" s="1"/>
      <c r="E115" s="1" t="s">
        <v>133</v>
      </c>
      <c r="F115" s="13" t="s">
        <v>135</v>
      </c>
      <c r="G115" s="10">
        <v>0</v>
      </c>
      <c r="H115" s="105"/>
    </row>
    <row r="116" spans="1:8" ht="14.1" customHeight="1" x14ac:dyDescent="0.2">
      <c r="A116" s="1"/>
      <c r="B116" s="1"/>
      <c r="C116" s="11"/>
      <c r="D116" s="1"/>
      <c r="E116" s="1"/>
      <c r="F116" s="12"/>
      <c r="G116" s="12"/>
      <c r="H116" s="105"/>
    </row>
    <row r="117" spans="1:8" ht="14.1" customHeight="1" x14ac:dyDescent="0.2">
      <c r="A117" s="1"/>
      <c r="B117" s="1"/>
      <c r="C117" s="2" t="s">
        <v>149</v>
      </c>
      <c r="D117" s="1"/>
      <c r="E117" s="1"/>
      <c r="F117" s="12"/>
      <c r="G117" s="12"/>
      <c r="H117" s="105"/>
    </row>
    <row r="118" spans="1:8" ht="14.1" customHeight="1" x14ac:dyDescent="0.2">
      <c r="A118" s="1"/>
      <c r="B118" s="1"/>
      <c r="C118" s="2" t="s">
        <v>132</v>
      </c>
      <c r="D118" s="1"/>
      <c r="E118" s="1" t="s">
        <v>133</v>
      </c>
      <c r="F118" s="13" t="s">
        <v>135</v>
      </c>
      <c r="G118" s="10">
        <v>0</v>
      </c>
      <c r="H118" s="105"/>
    </row>
    <row r="119" spans="1:8" ht="14.1" customHeight="1" x14ac:dyDescent="0.2">
      <c r="A119" s="1"/>
      <c r="B119" s="1"/>
      <c r="C119" s="11"/>
      <c r="D119" s="1"/>
      <c r="E119" s="1"/>
      <c r="F119" s="12"/>
      <c r="G119" s="12"/>
      <c r="H119" s="105"/>
    </row>
    <row r="120" spans="1:8" ht="14.1" customHeight="1" x14ac:dyDescent="0.2">
      <c r="A120" s="1"/>
      <c r="B120" s="1"/>
      <c r="C120" s="2" t="s">
        <v>150</v>
      </c>
      <c r="D120" s="1"/>
      <c r="E120" s="1"/>
      <c r="F120" s="12"/>
      <c r="G120" s="12"/>
      <c r="H120" s="105"/>
    </row>
    <row r="121" spans="1:8" ht="17.100000000000001" customHeight="1" x14ac:dyDescent="0.2">
      <c r="A121" s="3">
        <v>1</v>
      </c>
      <c r="B121" s="4"/>
      <c r="C121" s="4" t="s">
        <v>151</v>
      </c>
      <c r="D121" s="4"/>
      <c r="E121" s="8"/>
      <c r="F121" s="6">
        <v>14477.3786752</v>
      </c>
      <c r="G121" s="7">
        <v>7.0013099999999995E-2</v>
      </c>
      <c r="H121" s="105">
        <v>6.8153352377542396</v>
      </c>
    </row>
    <row r="122" spans="1:8" ht="17.100000000000001" customHeight="1" x14ac:dyDescent="0.2">
      <c r="A122" s="3">
        <v>2</v>
      </c>
      <c r="B122" s="4"/>
      <c r="C122" s="4" t="s">
        <v>152</v>
      </c>
      <c r="D122" s="4"/>
      <c r="E122" s="8"/>
      <c r="F122" s="6">
        <v>1717.976224107</v>
      </c>
      <c r="G122" s="7">
        <v>8.30819E-3</v>
      </c>
      <c r="H122" s="105">
        <v>6.7952403714590259</v>
      </c>
    </row>
    <row r="123" spans="1:8" ht="14.1" customHeight="1" x14ac:dyDescent="0.2">
      <c r="A123" s="1"/>
      <c r="B123" s="1"/>
      <c r="C123" s="2" t="s">
        <v>132</v>
      </c>
      <c r="D123" s="1"/>
      <c r="E123" s="1" t="s">
        <v>133</v>
      </c>
      <c r="F123" s="9">
        <v>16195.354899307</v>
      </c>
      <c r="G123" s="10">
        <v>7.8321290000000002E-2</v>
      </c>
      <c r="H123" s="105"/>
    </row>
    <row r="124" spans="1:8" ht="14.1" customHeight="1" x14ac:dyDescent="0.2">
      <c r="A124" s="1"/>
      <c r="B124" s="1"/>
      <c r="C124" s="11"/>
      <c r="D124" s="1"/>
      <c r="E124" s="1"/>
      <c r="F124" s="12"/>
      <c r="G124" s="12"/>
      <c r="H124" s="105"/>
    </row>
    <row r="125" spans="1:8" ht="14.1" customHeight="1" x14ac:dyDescent="0.2">
      <c r="A125" s="1"/>
      <c r="B125" s="1"/>
      <c r="C125" s="2" t="s">
        <v>153</v>
      </c>
      <c r="D125" s="1"/>
      <c r="E125" s="1"/>
      <c r="F125" s="9">
        <v>16195.354899307</v>
      </c>
      <c r="G125" s="10">
        <v>7.8321290000000002E-2</v>
      </c>
      <c r="H125" s="105"/>
    </row>
    <row r="126" spans="1:8" ht="14.1" customHeight="1" x14ac:dyDescent="0.2">
      <c r="A126" s="1"/>
      <c r="B126" s="1"/>
      <c r="C126" s="12"/>
      <c r="D126" s="1"/>
      <c r="E126" s="1"/>
      <c r="F126" s="1"/>
      <c r="G126" s="1"/>
      <c r="H126" s="105"/>
    </row>
    <row r="127" spans="1:8" ht="14.1" customHeight="1" x14ac:dyDescent="0.2">
      <c r="A127" s="1"/>
      <c r="B127" s="1"/>
      <c r="C127" s="2" t="s">
        <v>154</v>
      </c>
      <c r="D127" s="1"/>
      <c r="E127" s="1"/>
      <c r="F127" s="1"/>
      <c r="G127" s="1"/>
      <c r="H127" s="105"/>
    </row>
    <row r="128" spans="1:8" ht="14.1" customHeight="1" x14ac:dyDescent="0.2">
      <c r="A128" s="1"/>
      <c r="B128" s="1"/>
      <c r="C128" s="2" t="s">
        <v>155</v>
      </c>
      <c r="D128" s="1"/>
      <c r="E128" s="1"/>
      <c r="F128" s="1"/>
      <c r="G128" s="1"/>
      <c r="H128" s="105"/>
    </row>
    <row r="129" spans="1:8" ht="14.1" customHeight="1" x14ac:dyDescent="0.2">
      <c r="A129" s="1"/>
      <c r="B129" s="1"/>
      <c r="C129" s="2" t="s">
        <v>132</v>
      </c>
      <c r="D129" s="1"/>
      <c r="E129" s="1" t="s">
        <v>133</v>
      </c>
      <c r="F129" s="13" t="s">
        <v>135</v>
      </c>
      <c r="G129" s="10">
        <v>0</v>
      </c>
      <c r="H129" s="105"/>
    </row>
    <row r="130" spans="1:8" ht="14.1" customHeight="1" x14ac:dyDescent="0.2">
      <c r="A130" s="1"/>
      <c r="B130" s="1"/>
      <c r="C130" s="11"/>
      <c r="D130" s="1"/>
      <c r="E130" s="1"/>
      <c r="F130" s="12"/>
      <c r="G130" s="12"/>
      <c r="H130" s="105"/>
    </row>
    <row r="131" spans="1:8" ht="14.1" customHeight="1" x14ac:dyDescent="0.2">
      <c r="A131" s="1"/>
      <c r="B131" s="1"/>
      <c r="C131" s="2" t="s">
        <v>156</v>
      </c>
      <c r="D131" s="1"/>
      <c r="E131" s="1"/>
      <c r="F131" s="1"/>
      <c r="G131" s="1"/>
      <c r="H131" s="105"/>
    </row>
    <row r="132" spans="1:8" ht="14.1" customHeight="1" x14ac:dyDescent="0.2">
      <c r="A132" s="1"/>
      <c r="B132" s="1"/>
      <c r="C132" s="2" t="s">
        <v>157</v>
      </c>
      <c r="D132" s="1"/>
      <c r="E132" s="1"/>
      <c r="F132" s="1"/>
      <c r="G132" s="1"/>
      <c r="H132" s="105"/>
    </row>
    <row r="133" spans="1:8" ht="14.1" customHeight="1" x14ac:dyDescent="0.2">
      <c r="A133" s="1"/>
      <c r="B133" s="1"/>
      <c r="C133" s="2" t="s">
        <v>132</v>
      </c>
      <c r="D133" s="1"/>
      <c r="E133" s="1" t="s">
        <v>133</v>
      </c>
      <c r="F133" s="13" t="s">
        <v>135</v>
      </c>
      <c r="G133" s="10">
        <v>0</v>
      </c>
      <c r="H133" s="105"/>
    </row>
    <row r="134" spans="1:8" ht="14.1" customHeight="1" x14ac:dyDescent="0.2">
      <c r="A134" s="1"/>
      <c r="B134" s="1"/>
      <c r="C134" s="11"/>
      <c r="D134" s="1"/>
      <c r="E134" s="1"/>
      <c r="F134" s="12"/>
      <c r="G134" s="12"/>
      <c r="H134" s="105"/>
    </row>
    <row r="135" spans="1:8" ht="24" customHeight="1" x14ac:dyDescent="0.2">
      <c r="A135" s="1"/>
      <c r="B135" s="1"/>
      <c r="C135" s="2" t="s">
        <v>158</v>
      </c>
      <c r="D135" s="1"/>
      <c r="E135" s="1"/>
      <c r="F135" s="12"/>
      <c r="G135" s="12"/>
      <c r="H135" s="105"/>
    </row>
    <row r="136" spans="1:8" ht="14.1" customHeight="1" x14ac:dyDescent="0.2">
      <c r="A136" s="1"/>
      <c r="B136" s="1"/>
      <c r="C136" s="2" t="s">
        <v>132</v>
      </c>
      <c r="D136" s="1"/>
      <c r="E136" s="1" t="s">
        <v>133</v>
      </c>
      <c r="F136" s="13" t="s">
        <v>135</v>
      </c>
      <c r="G136" s="10">
        <v>0</v>
      </c>
      <c r="H136" s="105"/>
    </row>
    <row r="137" spans="1:8" ht="14.1" customHeight="1" x14ac:dyDescent="0.2">
      <c r="A137" s="1"/>
      <c r="B137" s="1"/>
      <c r="C137" s="11"/>
      <c r="D137" s="1"/>
      <c r="E137" s="1"/>
      <c r="F137" s="12"/>
      <c r="G137" s="12"/>
      <c r="H137" s="105"/>
    </row>
    <row r="138" spans="1:8" ht="14.1" customHeight="1" x14ac:dyDescent="0.2">
      <c r="A138" s="1"/>
      <c r="B138" s="4"/>
      <c r="C138" s="4"/>
      <c r="D138" s="2"/>
      <c r="E138" s="1"/>
      <c r="F138" s="4"/>
      <c r="G138" s="8"/>
      <c r="H138" s="105"/>
    </row>
    <row r="139" spans="1:8" ht="18" customHeight="1" x14ac:dyDescent="0.2">
      <c r="A139" s="8"/>
      <c r="B139" s="4"/>
      <c r="C139" s="4" t="s">
        <v>159</v>
      </c>
      <c r="D139" s="4"/>
      <c r="E139" s="8"/>
      <c r="F139" s="6">
        <v>1089.7345083800001</v>
      </c>
      <c r="G139" s="7">
        <v>5.2699899999999996E-3</v>
      </c>
      <c r="H139" s="105"/>
    </row>
    <row r="140" spans="1:8" ht="14.1" customHeight="1" x14ac:dyDescent="0.2">
      <c r="A140" s="11"/>
      <c r="B140" s="11"/>
      <c r="C140" s="2" t="s">
        <v>160</v>
      </c>
      <c r="D140" s="12"/>
      <c r="E140" s="12"/>
      <c r="F140" s="9">
        <v>206781.00686820599</v>
      </c>
      <c r="G140" s="14">
        <v>1.00000003</v>
      </c>
      <c r="H140" s="105"/>
    </row>
    <row r="141" spans="1:8" ht="14.1" customHeight="1" x14ac:dyDescent="0.2">
      <c r="A141" s="15"/>
      <c r="B141" s="15"/>
      <c r="C141" s="15"/>
      <c r="D141" s="16"/>
      <c r="E141" s="16"/>
      <c r="F141" s="16"/>
      <c r="G141" s="16"/>
    </row>
    <row r="142" spans="1:8" ht="17.100000000000001" customHeight="1" x14ac:dyDescent="0.2">
      <c r="A142" s="17"/>
      <c r="B142" s="178" t="s">
        <v>161</v>
      </c>
      <c r="C142" s="178"/>
      <c r="D142" s="178"/>
      <c r="E142" s="178"/>
      <c r="F142" s="178"/>
      <c r="G142" s="19"/>
    </row>
    <row r="143" spans="1:8" ht="14.1" customHeight="1" x14ac:dyDescent="0.2">
      <c r="A143" s="17"/>
      <c r="B143" s="17"/>
      <c r="C143" s="17"/>
      <c r="D143" s="19"/>
      <c r="E143" s="19"/>
      <c r="F143" s="19"/>
      <c r="G143" s="19"/>
    </row>
    <row r="144" spans="1:8" ht="14.1" customHeight="1" x14ac:dyDescent="0.2">
      <c r="A144" s="17"/>
      <c r="B144" s="179" t="s">
        <v>162</v>
      </c>
      <c r="C144" s="180"/>
      <c r="D144" s="181"/>
      <c r="E144" s="20"/>
      <c r="F144" s="19"/>
      <c r="G144" s="19"/>
    </row>
    <row r="145" spans="1:14" ht="29.1" customHeight="1" x14ac:dyDescent="0.2">
      <c r="A145" s="17"/>
      <c r="B145" s="176" t="s">
        <v>163</v>
      </c>
      <c r="C145" s="177"/>
      <c r="D145" s="2" t="s">
        <v>164</v>
      </c>
      <c r="E145" s="20"/>
      <c r="F145" s="19"/>
      <c r="G145" s="19"/>
    </row>
    <row r="146" spans="1:14" ht="17.100000000000001" customHeight="1" x14ac:dyDescent="0.2">
      <c r="A146" s="17"/>
      <c r="B146" s="176" t="s">
        <v>935</v>
      </c>
      <c r="C146" s="177"/>
      <c r="D146" s="2" t="s">
        <v>936</v>
      </c>
      <c r="E146" s="20"/>
      <c r="F146" s="19"/>
      <c r="G146" s="19"/>
    </row>
    <row r="147" spans="1:14" ht="17.100000000000001" customHeight="1" x14ac:dyDescent="0.2">
      <c r="A147" s="17"/>
      <c r="B147" s="176" t="s">
        <v>166</v>
      </c>
      <c r="C147" s="177"/>
      <c r="D147" s="12" t="s">
        <v>133</v>
      </c>
      <c r="E147" s="20"/>
      <c r="F147" s="19"/>
      <c r="G147" s="19"/>
    </row>
    <row r="148" spans="1:14" ht="24" customHeight="1" x14ac:dyDescent="0.2">
      <c r="A148" s="21"/>
      <c r="B148" s="22" t="s">
        <v>133</v>
      </c>
      <c r="C148" s="22" t="s">
        <v>167</v>
      </c>
      <c r="D148" s="22" t="s">
        <v>168</v>
      </c>
      <c r="E148" s="21"/>
      <c r="F148" s="21"/>
      <c r="G148" s="21"/>
    </row>
    <row r="149" spans="1:14" ht="18" customHeight="1" x14ac:dyDescent="0.2">
      <c r="A149" s="21"/>
      <c r="B149" s="23" t="s">
        <v>169</v>
      </c>
      <c r="C149" s="22" t="s">
        <v>170</v>
      </c>
      <c r="D149" s="22" t="s">
        <v>171</v>
      </c>
      <c r="E149" s="21"/>
      <c r="F149" s="21"/>
      <c r="G149" s="21"/>
    </row>
    <row r="150" spans="1:14" ht="17.100000000000001" customHeight="1" x14ac:dyDescent="0.2">
      <c r="A150" s="21"/>
      <c r="B150" s="4" t="s">
        <v>172</v>
      </c>
      <c r="C150" s="24">
        <v>157.0975</v>
      </c>
      <c r="D150" s="24">
        <v>165.63929999999999</v>
      </c>
      <c r="E150" s="21"/>
      <c r="F150" s="18"/>
      <c r="G150" s="25"/>
    </row>
    <row r="151" spans="1:14" ht="17.100000000000001" customHeight="1" x14ac:dyDescent="0.2">
      <c r="A151" s="21"/>
      <c r="B151" s="4" t="s">
        <v>1006</v>
      </c>
      <c r="C151" s="24">
        <v>25.625</v>
      </c>
      <c r="D151" s="24">
        <v>27.0183</v>
      </c>
      <c r="E151" s="21"/>
      <c r="F151" s="18"/>
      <c r="G151" s="25"/>
    </row>
    <row r="152" spans="1:14" ht="17.100000000000001" customHeight="1" x14ac:dyDescent="0.2">
      <c r="A152" s="21"/>
      <c r="B152" s="4" t="s">
        <v>173</v>
      </c>
      <c r="C152" s="24">
        <v>145.54249999999999</v>
      </c>
      <c r="D152" s="24">
        <v>153.31659999999999</v>
      </c>
      <c r="E152" s="21"/>
      <c r="F152" s="18"/>
      <c r="G152" s="25"/>
    </row>
    <row r="153" spans="1:14" ht="17.100000000000001" customHeight="1" x14ac:dyDescent="0.2">
      <c r="A153" s="21"/>
      <c r="B153" s="4" t="s">
        <v>1007</v>
      </c>
      <c r="C153" s="24">
        <v>23.104399999999998</v>
      </c>
      <c r="D153" s="24">
        <v>24.3386</v>
      </c>
      <c r="E153" s="21"/>
      <c r="F153" s="18"/>
      <c r="G153" s="25"/>
    </row>
    <row r="154" spans="1:14" ht="14.1" customHeight="1" x14ac:dyDescent="0.2">
      <c r="A154" s="21"/>
      <c r="B154" s="21"/>
      <c r="C154" s="21"/>
      <c r="D154" s="21"/>
      <c r="E154" s="21"/>
      <c r="F154" s="21"/>
      <c r="G154" s="21"/>
    </row>
    <row r="155" spans="1:14" ht="17.100000000000001" customHeight="1" x14ac:dyDescent="0.2">
      <c r="A155" s="21"/>
      <c r="B155" s="176" t="s">
        <v>1008</v>
      </c>
      <c r="C155" s="177"/>
      <c r="D155" s="2" t="s">
        <v>164</v>
      </c>
      <c r="E155" s="21"/>
      <c r="F155" s="21"/>
      <c r="G155" s="21"/>
    </row>
    <row r="156" spans="1:14" ht="18" customHeight="1" x14ac:dyDescent="0.2">
      <c r="A156" s="21"/>
      <c r="B156" s="26"/>
      <c r="C156" s="26"/>
      <c r="D156" s="26"/>
      <c r="E156" s="21"/>
      <c r="F156" s="21"/>
      <c r="G156" s="21"/>
    </row>
    <row r="157" spans="1:14" ht="29.1" customHeight="1" x14ac:dyDescent="0.2">
      <c r="A157" s="21"/>
      <c r="B157" s="176" t="s">
        <v>174</v>
      </c>
      <c r="C157" s="177"/>
      <c r="D157" s="2" t="s">
        <v>164</v>
      </c>
      <c r="E157" s="27"/>
      <c r="F157" s="21"/>
      <c r="G157" s="21"/>
      <c r="J157" s="162"/>
      <c r="K157" s="162"/>
      <c r="L157" s="162"/>
      <c r="M157" s="162"/>
      <c r="N157" s="162"/>
    </row>
    <row r="158" spans="1:14" ht="29.1" customHeight="1" x14ac:dyDescent="0.2">
      <c r="A158" s="21"/>
      <c r="B158" s="176" t="s">
        <v>175</v>
      </c>
      <c r="C158" s="177"/>
      <c r="D158" s="2" t="s">
        <v>164</v>
      </c>
      <c r="E158" s="27"/>
      <c r="F158" s="21"/>
      <c r="G158" s="21"/>
    </row>
    <row r="159" spans="1:14" ht="17.100000000000001" customHeight="1" x14ac:dyDescent="0.2">
      <c r="A159" s="21"/>
      <c r="B159" s="176" t="s">
        <v>176</v>
      </c>
      <c r="C159" s="177"/>
      <c r="D159" s="2" t="s">
        <v>164</v>
      </c>
      <c r="E159" s="27"/>
      <c r="F159" s="21"/>
      <c r="G159" s="21"/>
    </row>
    <row r="160" spans="1:14" ht="17.100000000000001" customHeight="1" x14ac:dyDescent="0.2">
      <c r="A160" s="21"/>
      <c r="B160" s="176" t="s">
        <v>177</v>
      </c>
      <c r="C160" s="177"/>
      <c r="D160" s="60">
        <v>0.17954628820389171</v>
      </c>
      <c r="E160" s="21"/>
      <c r="F160" s="18"/>
      <c r="G160" s="25"/>
    </row>
  </sheetData>
  <mergeCells count="14">
    <mergeCell ref="B160:C160"/>
    <mergeCell ref="B146:C146"/>
    <mergeCell ref="B147:C147"/>
    <mergeCell ref="B155:C155"/>
    <mergeCell ref="B157:C157"/>
    <mergeCell ref="B158:C158"/>
    <mergeCell ref="B159:C159"/>
    <mergeCell ref="J2:N2"/>
    <mergeCell ref="B145:C145"/>
    <mergeCell ref="B142:F142"/>
    <mergeCell ref="B144:D144"/>
    <mergeCell ref="A1:H1"/>
    <mergeCell ref="A2:H2"/>
    <mergeCell ref="A3:H3"/>
  </mergeCells>
  <hyperlinks>
    <hyperlink ref="I1" location="Index!B20" display="Index" xr:uid="{ADBA16E8-04D3-47E4-8F98-0A4A2E203CA9}"/>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ummaryRight="0"/>
  </sheetPr>
  <dimension ref="A1:P226"/>
  <sheetViews>
    <sheetView showGridLines="0" workbookViewId="0">
      <selection sqref="A1: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8" max="8" width="11.7109375" customWidth="1"/>
    <col min="9" max="9" width="9.140625" customWidth="1"/>
    <col min="10" max="10" width="7.140625" customWidth="1"/>
    <col min="11" max="11" width="16.7109375" bestFit="1" customWidth="1"/>
  </cols>
  <sheetData>
    <row r="1" spans="1:16" ht="18" customHeight="1" x14ac:dyDescent="0.2">
      <c r="A1" s="182" t="s">
        <v>0</v>
      </c>
      <c r="B1" s="182"/>
      <c r="C1" s="182"/>
      <c r="D1" s="182"/>
      <c r="E1" s="182"/>
      <c r="F1" s="182"/>
      <c r="G1" s="182"/>
      <c r="H1" s="182"/>
      <c r="I1" s="182"/>
      <c r="J1" s="159" t="s">
        <v>1044</v>
      </c>
      <c r="K1" s="53"/>
      <c r="L1" s="53"/>
      <c r="M1" s="53"/>
      <c r="N1" s="53"/>
      <c r="O1" s="53"/>
    </row>
    <row r="2" spans="1:16" ht="17.100000000000001" customHeight="1" x14ac:dyDescent="0.2">
      <c r="A2" s="182" t="s">
        <v>549</v>
      </c>
      <c r="B2" s="189"/>
      <c r="C2" s="189"/>
      <c r="D2" s="189"/>
      <c r="E2" s="189"/>
      <c r="F2" s="189"/>
      <c r="G2" s="189"/>
      <c r="H2" s="189"/>
      <c r="I2" s="189"/>
      <c r="K2" s="175" t="s">
        <v>1045</v>
      </c>
      <c r="L2" s="175"/>
      <c r="M2" s="175"/>
      <c r="N2" s="175"/>
      <c r="O2" s="175"/>
    </row>
    <row r="3" spans="1:16" ht="21" customHeight="1" x14ac:dyDescent="0.2">
      <c r="A3" s="182" t="s">
        <v>1016</v>
      </c>
      <c r="B3" s="182"/>
      <c r="C3" s="182"/>
      <c r="D3" s="182"/>
      <c r="E3" s="182"/>
      <c r="F3" s="182"/>
      <c r="G3" s="182"/>
      <c r="H3" s="182"/>
      <c r="I3" s="182"/>
      <c r="K3" s="53"/>
      <c r="L3" s="53"/>
      <c r="M3" s="53"/>
      <c r="N3" s="53"/>
      <c r="O3" s="53"/>
    </row>
    <row r="4" spans="1:16" ht="45" x14ac:dyDescent="0.2">
      <c r="A4" s="107" t="s">
        <v>2</v>
      </c>
      <c r="B4" s="107" t="s">
        <v>3</v>
      </c>
      <c r="C4" s="107" t="s">
        <v>4</v>
      </c>
      <c r="D4" s="107" t="s">
        <v>5</v>
      </c>
      <c r="E4" s="107" t="s">
        <v>6</v>
      </c>
      <c r="F4" s="107" t="s">
        <v>7</v>
      </c>
      <c r="G4" s="107" t="s">
        <v>8</v>
      </c>
      <c r="H4" s="106" t="s">
        <v>1019</v>
      </c>
      <c r="I4" s="106" t="s">
        <v>1005</v>
      </c>
      <c r="J4" s="108"/>
      <c r="K4" s="163"/>
      <c r="L4" s="163"/>
      <c r="M4" s="163"/>
      <c r="N4" s="163"/>
      <c r="O4" s="163"/>
      <c r="P4" s="108"/>
    </row>
    <row r="5" spans="1:16" ht="14.1" customHeight="1" x14ac:dyDescent="0.2">
      <c r="A5" s="1"/>
      <c r="B5" s="1"/>
      <c r="C5" s="2" t="s">
        <v>9</v>
      </c>
      <c r="D5" s="1"/>
      <c r="E5" s="1"/>
      <c r="F5" s="1"/>
      <c r="G5" s="1"/>
      <c r="H5" s="105"/>
      <c r="I5" s="105"/>
      <c r="K5" s="53"/>
      <c r="L5" s="53"/>
      <c r="M5" s="53"/>
      <c r="N5" s="53"/>
      <c r="O5" s="53"/>
    </row>
    <row r="6" spans="1:16" ht="24" customHeight="1" x14ac:dyDescent="0.2">
      <c r="A6" s="1"/>
      <c r="B6" s="1"/>
      <c r="C6" s="2" t="s">
        <v>10</v>
      </c>
      <c r="D6" s="1"/>
      <c r="E6" s="1"/>
      <c r="F6" s="1"/>
      <c r="G6" s="1"/>
      <c r="H6" s="105"/>
      <c r="I6" s="105"/>
      <c r="K6" s="53"/>
      <c r="L6" s="53"/>
      <c r="M6" s="53"/>
      <c r="N6" s="53"/>
      <c r="O6" s="53"/>
    </row>
    <row r="7" spans="1:16" ht="17.100000000000001" customHeight="1" x14ac:dyDescent="0.2">
      <c r="A7" s="3">
        <v>1</v>
      </c>
      <c r="B7" s="4" t="s">
        <v>23</v>
      </c>
      <c r="C7" s="4" t="s">
        <v>24</v>
      </c>
      <c r="D7" s="4" t="s">
        <v>25</v>
      </c>
      <c r="E7" s="5">
        <v>2050000</v>
      </c>
      <c r="F7" s="6">
        <v>18811.825000000001</v>
      </c>
      <c r="G7" s="7">
        <v>6.1206860000000002E-2</v>
      </c>
      <c r="H7" s="105"/>
      <c r="I7" s="105"/>
      <c r="K7" s="53"/>
      <c r="L7" s="53"/>
      <c r="M7" s="53"/>
      <c r="N7" s="53"/>
      <c r="O7" s="53"/>
    </row>
    <row r="8" spans="1:16" ht="17.100000000000001" customHeight="1" x14ac:dyDescent="0.2">
      <c r="A8" s="3">
        <v>2</v>
      </c>
      <c r="B8" s="4" t="s">
        <v>317</v>
      </c>
      <c r="C8" s="4" t="s">
        <v>318</v>
      </c>
      <c r="D8" s="4" t="s">
        <v>25</v>
      </c>
      <c r="E8" s="5">
        <v>1000000</v>
      </c>
      <c r="F8" s="6">
        <v>16876</v>
      </c>
      <c r="G8" s="7">
        <v>5.4908390000000001E-2</v>
      </c>
      <c r="H8" s="105"/>
      <c r="I8" s="105"/>
      <c r="K8" s="53"/>
      <c r="L8" s="53"/>
      <c r="M8" s="53"/>
      <c r="N8" s="53"/>
      <c r="O8" s="53"/>
    </row>
    <row r="9" spans="1:16" ht="17.100000000000001" customHeight="1" x14ac:dyDescent="0.2">
      <c r="A9" s="3">
        <v>3</v>
      </c>
      <c r="B9" s="4" t="s">
        <v>17</v>
      </c>
      <c r="C9" s="4" t="s">
        <v>18</v>
      </c>
      <c r="D9" s="4" t="s">
        <v>19</v>
      </c>
      <c r="E9" s="5">
        <v>550000</v>
      </c>
      <c r="F9" s="6">
        <v>13312.75</v>
      </c>
      <c r="G9" s="7">
        <v>4.3314869999999998E-2</v>
      </c>
      <c r="H9" s="105"/>
      <c r="I9" s="105"/>
      <c r="K9" s="53"/>
      <c r="L9" s="53"/>
      <c r="M9" s="53"/>
      <c r="N9" s="53"/>
      <c r="O9" s="53"/>
    </row>
    <row r="10" spans="1:16" ht="17.100000000000001" customHeight="1" x14ac:dyDescent="0.2">
      <c r="A10" s="3">
        <v>4</v>
      </c>
      <c r="B10" s="4" t="s">
        <v>302</v>
      </c>
      <c r="C10" s="4" t="s">
        <v>303</v>
      </c>
      <c r="D10" s="4" t="s">
        <v>953</v>
      </c>
      <c r="E10" s="5">
        <v>1050000</v>
      </c>
      <c r="F10" s="6">
        <v>13153.875</v>
      </c>
      <c r="G10" s="7">
        <v>4.279794E-2</v>
      </c>
      <c r="H10" s="105"/>
      <c r="I10" s="105"/>
      <c r="K10" s="53"/>
      <c r="L10" s="53"/>
      <c r="M10" s="53"/>
      <c r="N10" s="53"/>
      <c r="O10" s="53"/>
    </row>
    <row r="11" spans="1:16" ht="17.100000000000001" customHeight="1" x14ac:dyDescent="0.2">
      <c r="A11" s="3">
        <v>5</v>
      </c>
      <c r="B11" s="4" t="s">
        <v>29</v>
      </c>
      <c r="C11" s="4" t="s">
        <v>30</v>
      </c>
      <c r="D11" s="4" t="s">
        <v>25</v>
      </c>
      <c r="E11" s="5">
        <v>1600000</v>
      </c>
      <c r="F11" s="6">
        <v>9252.7999999999993</v>
      </c>
      <c r="G11" s="7">
        <v>3.0105259999999998E-2</v>
      </c>
      <c r="H11" s="105"/>
      <c r="I11" s="105"/>
      <c r="K11" s="53"/>
      <c r="L11" s="53"/>
      <c r="M11" s="53"/>
      <c r="N11" s="53"/>
      <c r="O11" s="53"/>
    </row>
    <row r="12" spans="1:16" ht="17.100000000000001" customHeight="1" x14ac:dyDescent="0.2">
      <c r="A12" s="3">
        <v>6</v>
      </c>
      <c r="B12" s="4" t="s">
        <v>11</v>
      </c>
      <c r="C12" s="4" t="s">
        <v>12</v>
      </c>
      <c r="D12" s="4" t="s">
        <v>13</v>
      </c>
      <c r="E12" s="5">
        <v>385000</v>
      </c>
      <c r="F12" s="6">
        <v>9102.94</v>
      </c>
      <c r="G12" s="7">
        <v>2.9617669999999999E-2</v>
      </c>
      <c r="H12" s="105"/>
      <c r="I12" s="105"/>
      <c r="K12" s="161" t="s">
        <v>1057</v>
      </c>
      <c r="L12" s="53"/>
      <c r="M12" s="53"/>
      <c r="N12" s="53"/>
      <c r="O12" s="53"/>
    </row>
    <row r="13" spans="1:16" ht="29.1" customHeight="1" x14ac:dyDescent="0.2">
      <c r="A13" s="3">
        <v>7</v>
      </c>
      <c r="B13" s="4" t="s">
        <v>308</v>
      </c>
      <c r="C13" s="4" t="s">
        <v>309</v>
      </c>
      <c r="D13" s="4" t="s">
        <v>128</v>
      </c>
      <c r="E13" s="5">
        <v>300000</v>
      </c>
      <c r="F13" s="6">
        <v>8326.7999999999993</v>
      </c>
      <c r="G13" s="7">
        <v>2.7092390000000001E-2</v>
      </c>
      <c r="H13" s="105"/>
      <c r="I13" s="105"/>
      <c r="K13" s="53"/>
      <c r="L13" s="53"/>
      <c r="M13" s="53"/>
      <c r="N13" s="53"/>
      <c r="O13" s="53"/>
    </row>
    <row r="14" spans="1:16" ht="17.100000000000001" customHeight="1" x14ac:dyDescent="0.2">
      <c r="A14" s="3">
        <v>8</v>
      </c>
      <c r="B14" s="4" t="s">
        <v>14</v>
      </c>
      <c r="C14" s="4" t="s">
        <v>15</v>
      </c>
      <c r="D14" s="4" t="s">
        <v>16</v>
      </c>
      <c r="E14" s="5">
        <v>1000000</v>
      </c>
      <c r="F14" s="6">
        <v>7993</v>
      </c>
      <c r="G14" s="7">
        <v>2.6006330000000001E-2</v>
      </c>
      <c r="H14" s="105"/>
      <c r="I14" s="105"/>
      <c r="K14" s="53"/>
      <c r="L14" s="53"/>
      <c r="M14" s="53"/>
      <c r="N14" s="53"/>
      <c r="O14" s="53"/>
    </row>
    <row r="15" spans="1:16" ht="29.1" customHeight="1" x14ac:dyDescent="0.2">
      <c r="A15" s="3">
        <v>9</v>
      </c>
      <c r="B15" s="4" t="s">
        <v>304</v>
      </c>
      <c r="C15" s="4" t="s">
        <v>305</v>
      </c>
      <c r="D15" s="4" t="s">
        <v>212</v>
      </c>
      <c r="E15" s="5">
        <v>676000</v>
      </c>
      <c r="F15" s="6">
        <v>6676.5140000000001</v>
      </c>
      <c r="G15" s="7">
        <v>2.1722959999999999E-2</v>
      </c>
      <c r="H15" s="105"/>
      <c r="I15" s="105"/>
      <c r="K15" s="53"/>
      <c r="L15" s="53"/>
      <c r="M15" s="53"/>
      <c r="N15" s="53"/>
      <c r="O15" s="53"/>
    </row>
    <row r="16" spans="1:16" ht="17.100000000000001" customHeight="1" x14ac:dyDescent="0.2">
      <c r="A16" s="3">
        <v>10</v>
      </c>
      <c r="B16" s="4" t="s">
        <v>224</v>
      </c>
      <c r="C16" s="4" t="s">
        <v>225</v>
      </c>
      <c r="D16" s="4" t="s">
        <v>220</v>
      </c>
      <c r="E16" s="5">
        <v>450000</v>
      </c>
      <c r="F16" s="6">
        <v>6503.4</v>
      </c>
      <c r="G16" s="7">
        <v>2.1159710000000002E-2</v>
      </c>
      <c r="H16" s="105"/>
      <c r="I16" s="105"/>
      <c r="K16" s="53"/>
      <c r="L16" s="53"/>
      <c r="M16" s="53"/>
      <c r="N16" s="53"/>
      <c r="O16" s="53"/>
    </row>
    <row r="17" spans="1:15" ht="17.100000000000001" customHeight="1" x14ac:dyDescent="0.2">
      <c r="A17" s="3">
        <v>11</v>
      </c>
      <c r="B17" s="4" t="s">
        <v>203</v>
      </c>
      <c r="C17" s="4" t="s">
        <v>204</v>
      </c>
      <c r="D17" s="4" t="s">
        <v>25</v>
      </c>
      <c r="E17" s="5">
        <v>630000</v>
      </c>
      <c r="F17" s="6">
        <v>5418</v>
      </c>
      <c r="G17" s="7">
        <v>1.7628209999999998E-2</v>
      </c>
      <c r="H17" s="105"/>
      <c r="I17" s="105"/>
      <c r="K17" s="53"/>
      <c r="L17" s="53"/>
      <c r="M17" s="53"/>
      <c r="N17" s="53"/>
      <c r="O17" s="53"/>
    </row>
    <row r="18" spans="1:15" ht="17.100000000000001" customHeight="1" x14ac:dyDescent="0.2">
      <c r="A18" s="3">
        <v>12</v>
      </c>
      <c r="B18" s="4" t="s">
        <v>325</v>
      </c>
      <c r="C18" s="4" t="s">
        <v>326</v>
      </c>
      <c r="D18" s="4" t="s">
        <v>1020</v>
      </c>
      <c r="E18" s="5">
        <v>190000</v>
      </c>
      <c r="F18" s="6">
        <v>4668.87</v>
      </c>
      <c r="G18" s="7">
        <v>1.5190810000000001E-2</v>
      </c>
      <c r="H18" s="105"/>
      <c r="I18" s="105"/>
      <c r="K18" s="53"/>
      <c r="L18" s="53"/>
      <c r="M18" s="53"/>
      <c r="N18" s="53"/>
      <c r="O18" s="53"/>
    </row>
    <row r="19" spans="1:15" ht="17.100000000000001" customHeight="1" x14ac:dyDescent="0.2">
      <c r="A19" s="3">
        <v>13</v>
      </c>
      <c r="B19" s="4" t="s">
        <v>550</v>
      </c>
      <c r="C19" s="4" t="s">
        <v>551</v>
      </c>
      <c r="D19" s="4" t="s">
        <v>220</v>
      </c>
      <c r="E19" s="5">
        <v>560000</v>
      </c>
      <c r="F19" s="6">
        <v>4352.04</v>
      </c>
      <c r="G19" s="7">
        <v>1.4159959999999999E-2</v>
      </c>
      <c r="H19" s="105"/>
      <c r="I19" s="105"/>
      <c r="K19" s="53"/>
      <c r="L19" s="53"/>
      <c r="M19" s="53"/>
      <c r="N19" s="53"/>
      <c r="O19" s="53"/>
    </row>
    <row r="20" spans="1:15" ht="17.100000000000001" customHeight="1" x14ac:dyDescent="0.2">
      <c r="A20" s="3">
        <v>14</v>
      </c>
      <c r="B20" s="4" t="s">
        <v>415</v>
      </c>
      <c r="C20" s="4" t="s">
        <v>416</v>
      </c>
      <c r="D20" s="4" t="s">
        <v>223</v>
      </c>
      <c r="E20" s="5">
        <v>500000</v>
      </c>
      <c r="F20" s="6">
        <v>3821.25</v>
      </c>
      <c r="G20" s="7">
        <v>1.243296E-2</v>
      </c>
      <c r="H20" s="105"/>
      <c r="I20" s="105"/>
      <c r="K20" s="53"/>
      <c r="L20" s="53"/>
      <c r="M20" s="53"/>
      <c r="N20" s="53"/>
      <c r="O20" s="53"/>
    </row>
    <row r="21" spans="1:15" ht="17.100000000000001" customHeight="1" x14ac:dyDescent="0.2">
      <c r="A21" s="3">
        <v>15</v>
      </c>
      <c r="B21" s="4" t="s">
        <v>552</v>
      </c>
      <c r="C21" s="4" t="s">
        <v>553</v>
      </c>
      <c r="D21" s="4" t="s">
        <v>260</v>
      </c>
      <c r="E21" s="5">
        <v>400000</v>
      </c>
      <c r="F21" s="6">
        <v>3630</v>
      </c>
      <c r="G21" s="7">
        <v>1.181071E-2</v>
      </c>
      <c r="H21" s="105"/>
      <c r="I21" s="105"/>
      <c r="K21" s="53"/>
      <c r="L21" s="53"/>
      <c r="M21" s="53"/>
      <c r="N21" s="53"/>
      <c r="O21" s="53"/>
    </row>
    <row r="22" spans="1:15" ht="17.100000000000001" customHeight="1" x14ac:dyDescent="0.2">
      <c r="A22" s="3">
        <v>16</v>
      </c>
      <c r="B22" s="4" t="s">
        <v>378</v>
      </c>
      <c r="C22" s="4" t="s">
        <v>379</v>
      </c>
      <c r="D22" s="4" t="s">
        <v>128</v>
      </c>
      <c r="E22" s="5">
        <v>500363</v>
      </c>
      <c r="F22" s="6">
        <v>3564.8361934999998</v>
      </c>
      <c r="G22" s="7">
        <v>1.159869E-2</v>
      </c>
      <c r="H22" s="105"/>
      <c r="I22" s="105"/>
      <c r="K22" s="53"/>
      <c r="L22" s="53"/>
      <c r="M22" s="53"/>
      <c r="N22" s="53"/>
      <c r="O22" s="53"/>
    </row>
    <row r="23" spans="1:15" ht="17.100000000000001" customHeight="1" x14ac:dyDescent="0.2">
      <c r="A23" s="3">
        <v>17</v>
      </c>
      <c r="B23" s="4" t="s">
        <v>103</v>
      </c>
      <c r="C23" s="4" t="s">
        <v>104</v>
      </c>
      <c r="D23" s="4" t="s">
        <v>105</v>
      </c>
      <c r="E23" s="5">
        <v>40000</v>
      </c>
      <c r="F23" s="6">
        <v>3435.82</v>
      </c>
      <c r="G23" s="7">
        <v>1.117891E-2</v>
      </c>
      <c r="H23" s="105"/>
      <c r="I23" s="105"/>
      <c r="K23" s="53"/>
      <c r="L23" s="53"/>
      <c r="M23" s="53"/>
      <c r="N23" s="53"/>
      <c r="O23" s="53"/>
    </row>
    <row r="24" spans="1:15" ht="17.100000000000001" customHeight="1" x14ac:dyDescent="0.2">
      <c r="A24" s="3">
        <v>18</v>
      </c>
      <c r="B24" s="4" t="s">
        <v>321</v>
      </c>
      <c r="C24" s="4" t="s">
        <v>322</v>
      </c>
      <c r="D24" s="4" t="s">
        <v>217</v>
      </c>
      <c r="E24" s="5">
        <v>300000</v>
      </c>
      <c r="F24" s="6">
        <v>3420.3</v>
      </c>
      <c r="G24" s="7">
        <v>1.112842E-2</v>
      </c>
      <c r="H24" s="105"/>
      <c r="I24" s="105"/>
      <c r="K24" s="53"/>
      <c r="L24" s="53"/>
      <c r="M24" s="53"/>
      <c r="N24" s="53"/>
      <c r="O24" s="53"/>
    </row>
    <row r="25" spans="1:15" ht="17.100000000000001" customHeight="1" x14ac:dyDescent="0.2">
      <c r="A25" s="3">
        <v>19</v>
      </c>
      <c r="B25" s="4" t="s">
        <v>319</v>
      </c>
      <c r="C25" s="4" t="s">
        <v>320</v>
      </c>
      <c r="D25" s="4" t="s">
        <v>953</v>
      </c>
      <c r="E25" s="5">
        <v>100000</v>
      </c>
      <c r="F25" s="6">
        <v>3219.25</v>
      </c>
      <c r="G25" s="7">
        <v>1.0474270000000001E-2</v>
      </c>
      <c r="H25" s="105"/>
      <c r="I25" s="105"/>
      <c r="K25" s="53"/>
      <c r="L25" s="53"/>
      <c r="M25" s="53"/>
      <c r="N25" s="53"/>
      <c r="O25" s="53"/>
    </row>
    <row r="26" spans="1:15" ht="17.100000000000001" customHeight="1" x14ac:dyDescent="0.2">
      <c r="A26" s="3">
        <v>20</v>
      </c>
      <c r="B26" s="4" t="s">
        <v>367</v>
      </c>
      <c r="C26" s="4" t="s">
        <v>368</v>
      </c>
      <c r="D26" s="4" t="s">
        <v>128</v>
      </c>
      <c r="E26" s="5">
        <v>235000</v>
      </c>
      <c r="F26" s="6">
        <v>3183.4274999999998</v>
      </c>
      <c r="G26" s="7">
        <v>1.0357720000000001E-2</v>
      </c>
      <c r="H26" s="105"/>
      <c r="I26" s="105"/>
      <c r="K26" s="53"/>
      <c r="L26" s="53"/>
      <c r="M26" s="53"/>
      <c r="N26" s="53"/>
      <c r="O26" s="53"/>
    </row>
    <row r="27" spans="1:15" ht="17.100000000000001" customHeight="1" x14ac:dyDescent="0.2">
      <c r="A27" s="3">
        <v>21</v>
      </c>
      <c r="B27" s="4" t="s">
        <v>79</v>
      </c>
      <c r="C27" s="4" t="s">
        <v>80</v>
      </c>
      <c r="D27" s="4" t="s">
        <v>81</v>
      </c>
      <c r="E27" s="5">
        <v>110000</v>
      </c>
      <c r="F27" s="6">
        <v>3052.1149999999998</v>
      </c>
      <c r="G27" s="7">
        <v>9.9304800000000002E-3</v>
      </c>
      <c r="H27" s="105"/>
      <c r="I27" s="105"/>
      <c r="K27" s="53"/>
      <c r="L27" s="53"/>
      <c r="M27" s="53"/>
      <c r="N27" s="53"/>
      <c r="O27" s="53"/>
    </row>
    <row r="28" spans="1:15" ht="17.100000000000001" customHeight="1" x14ac:dyDescent="0.2">
      <c r="A28" s="3">
        <v>22</v>
      </c>
      <c r="B28" s="4" t="s">
        <v>26</v>
      </c>
      <c r="C28" s="4" t="s">
        <v>27</v>
      </c>
      <c r="D28" s="4" t="s">
        <v>28</v>
      </c>
      <c r="E28" s="5">
        <v>1750000</v>
      </c>
      <c r="F28" s="6">
        <v>3010</v>
      </c>
      <c r="G28" s="7">
        <v>9.7934500000000004E-3</v>
      </c>
      <c r="H28" s="105"/>
      <c r="I28" s="105"/>
      <c r="K28" s="53"/>
      <c r="L28" s="53"/>
      <c r="M28" s="53"/>
      <c r="N28" s="53"/>
      <c r="O28" s="53"/>
    </row>
    <row r="29" spans="1:15" ht="29.1" customHeight="1" x14ac:dyDescent="0.2">
      <c r="A29" s="3">
        <v>23</v>
      </c>
      <c r="B29" s="4" t="s">
        <v>243</v>
      </c>
      <c r="C29" s="4" t="s">
        <v>244</v>
      </c>
      <c r="D29" s="4" t="s">
        <v>190</v>
      </c>
      <c r="E29" s="5">
        <v>85000</v>
      </c>
      <c r="F29" s="6">
        <v>2876.8249999999998</v>
      </c>
      <c r="G29" s="7">
        <v>9.3601499999999994E-3</v>
      </c>
      <c r="H29" s="105"/>
      <c r="I29" s="105"/>
    </row>
    <row r="30" spans="1:15" ht="29.1" customHeight="1" x14ac:dyDescent="0.2">
      <c r="A30" s="3">
        <v>24</v>
      </c>
      <c r="B30" s="4" t="s">
        <v>20</v>
      </c>
      <c r="C30" s="4" t="s">
        <v>21</v>
      </c>
      <c r="D30" s="4" t="s">
        <v>22</v>
      </c>
      <c r="E30" s="5">
        <v>37000</v>
      </c>
      <c r="F30" s="6">
        <v>2795.7939999999999</v>
      </c>
      <c r="G30" s="7">
        <v>9.0965000000000004E-3</v>
      </c>
      <c r="H30" s="105"/>
      <c r="I30" s="105"/>
    </row>
    <row r="31" spans="1:15" ht="53.1" customHeight="1" x14ac:dyDescent="0.2">
      <c r="A31" s="3">
        <v>25</v>
      </c>
      <c r="B31" s="4" t="s">
        <v>50</v>
      </c>
      <c r="C31" s="4" t="s">
        <v>51</v>
      </c>
      <c r="D31" s="4" t="s">
        <v>52</v>
      </c>
      <c r="E31" s="5">
        <v>1875000</v>
      </c>
      <c r="F31" s="6">
        <v>2736.5625</v>
      </c>
      <c r="G31" s="7">
        <v>8.90378E-3</v>
      </c>
      <c r="H31" s="105"/>
      <c r="I31" s="105"/>
    </row>
    <row r="32" spans="1:15" ht="29.1" customHeight="1" x14ac:dyDescent="0.2">
      <c r="A32" s="3">
        <v>26</v>
      </c>
      <c r="B32" s="4" t="s">
        <v>491</v>
      </c>
      <c r="C32" s="4" t="s">
        <v>492</v>
      </c>
      <c r="D32" s="4" t="s">
        <v>212</v>
      </c>
      <c r="E32" s="5">
        <v>300000</v>
      </c>
      <c r="F32" s="6">
        <v>2724.15</v>
      </c>
      <c r="G32" s="7">
        <v>8.8634000000000004E-3</v>
      </c>
      <c r="H32" s="105"/>
      <c r="I32" s="105"/>
    </row>
    <row r="33" spans="1:9" ht="17.100000000000001" customHeight="1" x14ac:dyDescent="0.2">
      <c r="A33" s="3">
        <v>27</v>
      </c>
      <c r="B33" s="4" t="s">
        <v>184</v>
      </c>
      <c r="C33" s="4" t="s">
        <v>185</v>
      </c>
      <c r="D33" s="4" t="s">
        <v>128</v>
      </c>
      <c r="E33" s="5">
        <v>200000</v>
      </c>
      <c r="F33" s="6">
        <v>2665.2</v>
      </c>
      <c r="G33" s="7">
        <v>8.6715999999999998E-3</v>
      </c>
      <c r="H33" s="105"/>
      <c r="I33" s="105"/>
    </row>
    <row r="34" spans="1:9" ht="29.1" customHeight="1" x14ac:dyDescent="0.2">
      <c r="A34" s="3">
        <v>28</v>
      </c>
      <c r="B34" s="4" t="s">
        <v>210</v>
      </c>
      <c r="C34" s="4" t="s">
        <v>211</v>
      </c>
      <c r="D34" s="4" t="s">
        <v>212</v>
      </c>
      <c r="E34" s="5">
        <v>507400</v>
      </c>
      <c r="F34" s="6">
        <v>2637.9726000000001</v>
      </c>
      <c r="G34" s="7">
        <v>8.5830100000000003E-3</v>
      </c>
      <c r="H34" s="105"/>
      <c r="I34" s="105"/>
    </row>
    <row r="35" spans="1:9" ht="17.100000000000001" customHeight="1" x14ac:dyDescent="0.2">
      <c r="A35" s="3">
        <v>29</v>
      </c>
      <c r="B35" s="4" t="s">
        <v>218</v>
      </c>
      <c r="C35" s="4" t="s">
        <v>219</v>
      </c>
      <c r="D35" s="4" t="s">
        <v>220</v>
      </c>
      <c r="E35" s="5">
        <v>176400</v>
      </c>
      <c r="F35" s="6">
        <v>2609.8380000000002</v>
      </c>
      <c r="G35" s="7">
        <v>8.4914699999999992E-3</v>
      </c>
      <c r="H35" s="105"/>
      <c r="I35" s="105"/>
    </row>
    <row r="36" spans="1:9" ht="17.100000000000001" customHeight="1" x14ac:dyDescent="0.2">
      <c r="A36" s="3">
        <v>30</v>
      </c>
      <c r="B36" s="4" t="s">
        <v>312</v>
      </c>
      <c r="C36" s="4" t="s">
        <v>313</v>
      </c>
      <c r="D36" s="4" t="s">
        <v>25</v>
      </c>
      <c r="E36" s="5">
        <v>225000</v>
      </c>
      <c r="F36" s="6">
        <v>2593.8000000000002</v>
      </c>
      <c r="G36" s="7">
        <v>8.4392900000000003E-3</v>
      </c>
      <c r="H36" s="105"/>
      <c r="I36" s="105"/>
    </row>
    <row r="37" spans="1:9" ht="17.100000000000001" customHeight="1" x14ac:dyDescent="0.2">
      <c r="A37" s="3">
        <v>31</v>
      </c>
      <c r="B37" s="4" t="s">
        <v>332</v>
      </c>
      <c r="C37" s="4" t="s">
        <v>333</v>
      </c>
      <c r="D37" s="4" t="s">
        <v>105</v>
      </c>
      <c r="E37" s="5">
        <v>200000</v>
      </c>
      <c r="F37" s="6">
        <v>2453.8000000000002</v>
      </c>
      <c r="G37" s="7">
        <v>7.9837799999999993E-3</v>
      </c>
      <c r="H37" s="105"/>
      <c r="I37" s="105"/>
    </row>
    <row r="38" spans="1:9" ht="29.1" customHeight="1" x14ac:dyDescent="0.2">
      <c r="A38" s="3">
        <v>32</v>
      </c>
      <c r="B38" s="4" t="s">
        <v>188</v>
      </c>
      <c r="C38" s="4" t="s">
        <v>189</v>
      </c>
      <c r="D38" s="4" t="s">
        <v>190</v>
      </c>
      <c r="E38" s="5">
        <v>250000</v>
      </c>
      <c r="F38" s="6">
        <v>2356.125</v>
      </c>
      <c r="G38" s="7">
        <v>7.6659800000000002E-3</v>
      </c>
      <c r="H38" s="105"/>
      <c r="I38" s="105"/>
    </row>
    <row r="39" spans="1:9" ht="17.100000000000001" customHeight="1" x14ac:dyDescent="0.2">
      <c r="A39" s="3">
        <v>33</v>
      </c>
      <c r="B39" s="4" t="s">
        <v>554</v>
      </c>
      <c r="C39" s="4" t="s">
        <v>555</v>
      </c>
      <c r="D39" s="4" t="s">
        <v>105</v>
      </c>
      <c r="E39" s="5">
        <v>66000</v>
      </c>
      <c r="F39" s="6">
        <v>2178.7260000000001</v>
      </c>
      <c r="G39" s="7">
        <v>7.0887900000000002E-3</v>
      </c>
      <c r="H39" s="105"/>
      <c r="I39" s="105"/>
    </row>
    <row r="40" spans="1:9" ht="29.1" customHeight="1" x14ac:dyDescent="0.2">
      <c r="A40" s="3">
        <v>34</v>
      </c>
      <c r="B40" s="4" t="s">
        <v>556</v>
      </c>
      <c r="C40" s="4" t="s">
        <v>557</v>
      </c>
      <c r="D40" s="4" t="s">
        <v>260</v>
      </c>
      <c r="E40" s="5">
        <v>15500</v>
      </c>
      <c r="F40" s="6">
        <v>2170.7905000000001</v>
      </c>
      <c r="G40" s="7">
        <v>7.06297E-3</v>
      </c>
      <c r="H40" s="105"/>
      <c r="I40" s="105"/>
    </row>
    <row r="41" spans="1:9" ht="29.1" customHeight="1" x14ac:dyDescent="0.2">
      <c r="A41" s="3">
        <v>35</v>
      </c>
      <c r="B41" s="4" t="s">
        <v>261</v>
      </c>
      <c r="C41" s="4" t="s">
        <v>262</v>
      </c>
      <c r="D41" s="4" t="s">
        <v>212</v>
      </c>
      <c r="E41" s="5">
        <v>151887</v>
      </c>
      <c r="F41" s="6">
        <v>2063.8405560000001</v>
      </c>
      <c r="G41" s="7">
        <v>6.7149899999999997E-3</v>
      </c>
      <c r="H41" s="105"/>
      <c r="I41" s="105"/>
    </row>
    <row r="42" spans="1:9" ht="29.1" customHeight="1" x14ac:dyDescent="0.2">
      <c r="A42" s="3">
        <v>36</v>
      </c>
      <c r="B42" s="4" t="s">
        <v>249</v>
      </c>
      <c r="C42" s="4" t="s">
        <v>250</v>
      </c>
      <c r="D42" s="4" t="s">
        <v>121</v>
      </c>
      <c r="E42" s="5">
        <v>775000</v>
      </c>
      <c r="F42" s="6">
        <v>1975.4749999999999</v>
      </c>
      <c r="G42" s="7">
        <v>6.4274800000000002E-3</v>
      </c>
      <c r="H42" s="105"/>
      <c r="I42" s="105"/>
    </row>
    <row r="43" spans="1:9" ht="17.100000000000001" customHeight="1" x14ac:dyDescent="0.2">
      <c r="A43" s="3">
        <v>37</v>
      </c>
      <c r="B43" s="4" t="s">
        <v>233</v>
      </c>
      <c r="C43" s="4" t="s">
        <v>234</v>
      </c>
      <c r="D43" s="4" t="s">
        <v>33</v>
      </c>
      <c r="E43" s="5">
        <v>117306</v>
      </c>
      <c r="F43" s="6">
        <v>1698.0043499999999</v>
      </c>
      <c r="G43" s="7">
        <v>5.5246899999999996E-3</v>
      </c>
      <c r="H43" s="105"/>
      <c r="I43" s="105"/>
    </row>
    <row r="44" spans="1:9" ht="17.100000000000001" customHeight="1" x14ac:dyDescent="0.2">
      <c r="A44" s="3">
        <v>38</v>
      </c>
      <c r="B44" s="4" t="s">
        <v>251</v>
      </c>
      <c r="C44" s="4" t="s">
        <v>252</v>
      </c>
      <c r="D44" s="4" t="s">
        <v>253</v>
      </c>
      <c r="E44" s="5">
        <v>192280</v>
      </c>
      <c r="F44" s="6">
        <v>1630.5344</v>
      </c>
      <c r="G44" s="7">
        <v>5.3051699999999997E-3</v>
      </c>
      <c r="H44" s="105"/>
      <c r="I44" s="105"/>
    </row>
    <row r="45" spans="1:9" ht="17.100000000000001" customHeight="1" x14ac:dyDescent="0.2">
      <c r="A45" s="3">
        <v>39</v>
      </c>
      <c r="B45" s="4" t="s">
        <v>339</v>
      </c>
      <c r="C45" s="4" t="s">
        <v>340</v>
      </c>
      <c r="D45" s="4" t="s">
        <v>25</v>
      </c>
      <c r="E45" s="5">
        <v>489500</v>
      </c>
      <c r="F45" s="6">
        <v>1553.9177500000001</v>
      </c>
      <c r="G45" s="7">
        <v>5.0558900000000004E-3</v>
      </c>
      <c r="H45" s="105"/>
      <c r="I45" s="105"/>
    </row>
    <row r="46" spans="1:9" ht="29.1" customHeight="1" x14ac:dyDescent="0.2">
      <c r="A46" s="3">
        <v>40</v>
      </c>
      <c r="B46" s="4" t="s">
        <v>486</v>
      </c>
      <c r="C46" s="4" t="s">
        <v>487</v>
      </c>
      <c r="D46" s="4" t="s">
        <v>488</v>
      </c>
      <c r="E46" s="5">
        <v>200000</v>
      </c>
      <c r="F46" s="6">
        <v>1527.7</v>
      </c>
      <c r="G46" s="7">
        <v>4.9705799999999996E-3</v>
      </c>
      <c r="H46" s="105"/>
      <c r="I46" s="105"/>
    </row>
    <row r="47" spans="1:9" ht="17.100000000000001" customHeight="1" x14ac:dyDescent="0.2">
      <c r="A47" s="3">
        <v>41</v>
      </c>
      <c r="B47" s="4" t="s">
        <v>310</v>
      </c>
      <c r="C47" s="4" t="s">
        <v>311</v>
      </c>
      <c r="D47" s="4" t="s">
        <v>207</v>
      </c>
      <c r="E47" s="5">
        <v>1375000</v>
      </c>
      <c r="F47" s="6">
        <v>1484.3125</v>
      </c>
      <c r="G47" s="7">
        <v>4.8294200000000001E-3</v>
      </c>
      <c r="H47" s="105"/>
      <c r="I47" s="105"/>
    </row>
    <row r="48" spans="1:9" ht="17.100000000000001" customHeight="1" x14ac:dyDescent="0.2">
      <c r="A48" s="3">
        <v>42</v>
      </c>
      <c r="B48" s="4" t="s">
        <v>355</v>
      </c>
      <c r="C48" s="4" t="s">
        <v>356</v>
      </c>
      <c r="D48" s="4" t="s">
        <v>953</v>
      </c>
      <c r="E48" s="5">
        <v>30000</v>
      </c>
      <c r="F48" s="6">
        <v>1325.835</v>
      </c>
      <c r="G48" s="7">
        <v>4.3137899999999996E-3</v>
      </c>
      <c r="H48" s="105"/>
      <c r="I48" s="105"/>
    </row>
    <row r="49" spans="1:9" ht="17.100000000000001" customHeight="1" x14ac:dyDescent="0.2">
      <c r="A49" s="3">
        <v>43</v>
      </c>
      <c r="B49" s="4" t="s">
        <v>85</v>
      </c>
      <c r="C49" s="4" t="s">
        <v>86</v>
      </c>
      <c r="D49" s="4" t="s">
        <v>81</v>
      </c>
      <c r="E49" s="5">
        <v>268513</v>
      </c>
      <c r="F49" s="6">
        <v>1288.8624</v>
      </c>
      <c r="G49" s="7">
        <v>4.1934900000000002E-3</v>
      </c>
      <c r="H49" s="105"/>
      <c r="I49" s="105"/>
    </row>
    <row r="50" spans="1:9" ht="29.1" customHeight="1" x14ac:dyDescent="0.2">
      <c r="A50" s="3">
        <v>44</v>
      </c>
      <c r="B50" s="4" t="s">
        <v>65</v>
      </c>
      <c r="C50" s="4" t="s">
        <v>66</v>
      </c>
      <c r="D50" s="4" t="s">
        <v>22</v>
      </c>
      <c r="E50" s="5">
        <v>64250</v>
      </c>
      <c r="F50" s="6">
        <v>1282.5585000000001</v>
      </c>
      <c r="G50" s="7">
        <v>4.1729799999999997E-3</v>
      </c>
      <c r="H50" s="105"/>
      <c r="I50" s="105"/>
    </row>
    <row r="51" spans="1:9" ht="17.100000000000001" customHeight="1" x14ac:dyDescent="0.2">
      <c r="A51" s="3">
        <v>45</v>
      </c>
      <c r="B51" s="4" t="s">
        <v>323</v>
      </c>
      <c r="C51" s="4" t="s">
        <v>324</v>
      </c>
      <c r="D51" s="4" t="s">
        <v>953</v>
      </c>
      <c r="E51" s="5">
        <v>114500</v>
      </c>
      <c r="F51" s="6">
        <v>1218.3945000000001</v>
      </c>
      <c r="G51" s="7">
        <v>3.9642100000000001E-3</v>
      </c>
      <c r="H51" s="105"/>
      <c r="I51" s="105"/>
    </row>
    <row r="52" spans="1:9" ht="17.100000000000001" customHeight="1" x14ac:dyDescent="0.2">
      <c r="A52" s="3">
        <v>46</v>
      </c>
      <c r="B52" s="4" t="s">
        <v>353</v>
      </c>
      <c r="C52" s="4" t="s">
        <v>354</v>
      </c>
      <c r="D52" s="4" t="s">
        <v>105</v>
      </c>
      <c r="E52" s="5">
        <v>250000</v>
      </c>
      <c r="F52" s="6">
        <v>1212.375</v>
      </c>
      <c r="G52" s="7">
        <v>3.9446300000000002E-3</v>
      </c>
      <c r="H52" s="105"/>
      <c r="I52" s="105"/>
    </row>
    <row r="53" spans="1:9" ht="17.100000000000001" customHeight="1" x14ac:dyDescent="0.2">
      <c r="A53" s="3">
        <v>47</v>
      </c>
      <c r="B53" s="4" t="s">
        <v>337</v>
      </c>
      <c r="C53" s="4" t="s">
        <v>338</v>
      </c>
      <c r="D53" s="4" t="s">
        <v>223</v>
      </c>
      <c r="E53" s="5">
        <v>345000</v>
      </c>
      <c r="F53" s="6">
        <v>1169.895</v>
      </c>
      <c r="G53" s="7">
        <v>3.80642E-3</v>
      </c>
      <c r="H53" s="105"/>
      <c r="I53" s="105"/>
    </row>
    <row r="54" spans="1:9" ht="17.100000000000001" customHeight="1" x14ac:dyDescent="0.2">
      <c r="A54" s="3">
        <v>48</v>
      </c>
      <c r="B54" s="4" t="s">
        <v>361</v>
      </c>
      <c r="C54" s="4" t="s">
        <v>362</v>
      </c>
      <c r="D54" s="4" t="s">
        <v>25</v>
      </c>
      <c r="E54" s="5">
        <v>60010</v>
      </c>
      <c r="F54" s="6">
        <v>1163.023805</v>
      </c>
      <c r="G54" s="7">
        <v>3.7840600000000001E-3</v>
      </c>
      <c r="H54" s="105"/>
      <c r="I54" s="105"/>
    </row>
    <row r="55" spans="1:9" ht="17.100000000000001" customHeight="1" x14ac:dyDescent="0.2">
      <c r="A55" s="3">
        <v>49</v>
      </c>
      <c r="B55" s="4" t="s">
        <v>235</v>
      </c>
      <c r="C55" s="4" t="s">
        <v>236</v>
      </c>
      <c r="D55" s="4" t="s">
        <v>128</v>
      </c>
      <c r="E55" s="5">
        <v>180000</v>
      </c>
      <c r="F55" s="6">
        <v>1092.5999999999999</v>
      </c>
      <c r="G55" s="7">
        <v>3.55493E-3</v>
      </c>
      <c r="H55" s="105"/>
      <c r="I55" s="105"/>
    </row>
    <row r="56" spans="1:9" ht="17.100000000000001" customHeight="1" x14ac:dyDescent="0.2">
      <c r="A56" s="3">
        <v>50</v>
      </c>
      <c r="B56" s="4" t="s">
        <v>343</v>
      </c>
      <c r="C56" s="4" t="s">
        <v>344</v>
      </c>
      <c r="D56" s="4" t="s">
        <v>1020</v>
      </c>
      <c r="E56" s="5">
        <v>256000</v>
      </c>
      <c r="F56" s="6">
        <v>1089.4079999999999</v>
      </c>
      <c r="G56" s="7">
        <v>3.5445400000000001E-3</v>
      </c>
      <c r="H56" s="105"/>
      <c r="I56" s="105"/>
    </row>
    <row r="57" spans="1:9" ht="17.100000000000001" customHeight="1" x14ac:dyDescent="0.2">
      <c r="A57" s="3">
        <v>51</v>
      </c>
      <c r="B57" s="4" t="s">
        <v>53</v>
      </c>
      <c r="C57" s="4" t="s">
        <v>54</v>
      </c>
      <c r="D57" s="4" t="s">
        <v>33</v>
      </c>
      <c r="E57" s="5">
        <v>30000</v>
      </c>
      <c r="F57" s="6">
        <v>961.60500000000002</v>
      </c>
      <c r="G57" s="7">
        <v>3.1287099999999998E-3</v>
      </c>
      <c r="H57" s="105"/>
      <c r="I57" s="105"/>
    </row>
    <row r="58" spans="1:9" ht="17.100000000000001" customHeight="1" x14ac:dyDescent="0.2">
      <c r="A58" s="3">
        <v>52</v>
      </c>
      <c r="B58" s="4" t="s">
        <v>114</v>
      </c>
      <c r="C58" s="4" t="s">
        <v>115</v>
      </c>
      <c r="D58" s="4" t="s">
        <v>116</v>
      </c>
      <c r="E58" s="5">
        <v>200000</v>
      </c>
      <c r="F58" s="6">
        <v>872.2</v>
      </c>
      <c r="G58" s="7">
        <v>2.83782E-3</v>
      </c>
      <c r="H58" s="105"/>
      <c r="I58" s="105"/>
    </row>
    <row r="59" spans="1:9" ht="17.100000000000001" customHeight="1" x14ac:dyDescent="0.2">
      <c r="A59" s="3">
        <v>53</v>
      </c>
      <c r="B59" s="4" t="s">
        <v>245</v>
      </c>
      <c r="C59" s="4" t="s">
        <v>246</v>
      </c>
      <c r="D59" s="4" t="s">
        <v>81</v>
      </c>
      <c r="E59" s="5">
        <v>167200</v>
      </c>
      <c r="F59" s="6">
        <v>871.44640000000004</v>
      </c>
      <c r="G59" s="7">
        <v>2.8353699999999998E-3</v>
      </c>
      <c r="H59" s="105"/>
      <c r="I59" s="105"/>
    </row>
    <row r="60" spans="1:9" ht="53.1" customHeight="1" x14ac:dyDescent="0.2">
      <c r="A60" s="3">
        <v>54</v>
      </c>
      <c r="B60" s="4" t="s">
        <v>117</v>
      </c>
      <c r="C60" s="4" t="s">
        <v>118</v>
      </c>
      <c r="D60" s="4" t="s">
        <v>52</v>
      </c>
      <c r="E60" s="5">
        <v>69000</v>
      </c>
      <c r="F60" s="6">
        <v>839.5575</v>
      </c>
      <c r="G60" s="7">
        <v>2.7316200000000001E-3</v>
      </c>
      <c r="H60" s="105"/>
      <c r="I60" s="105"/>
    </row>
    <row r="61" spans="1:9" ht="17.100000000000001" customHeight="1" x14ac:dyDescent="0.2">
      <c r="A61" s="3">
        <v>55</v>
      </c>
      <c r="B61" s="4" t="s">
        <v>558</v>
      </c>
      <c r="C61" s="4" t="s">
        <v>559</v>
      </c>
      <c r="D61" s="4" t="s">
        <v>253</v>
      </c>
      <c r="E61" s="5">
        <v>16000</v>
      </c>
      <c r="F61" s="6">
        <v>728.56799999999998</v>
      </c>
      <c r="G61" s="7">
        <v>2.3705000000000002E-3</v>
      </c>
      <c r="H61" s="105"/>
      <c r="I61" s="105"/>
    </row>
    <row r="62" spans="1:9" ht="29.1" customHeight="1" x14ac:dyDescent="0.2">
      <c r="A62" s="3">
        <v>56</v>
      </c>
      <c r="B62" s="4" t="s">
        <v>560</v>
      </c>
      <c r="C62" s="4" t="s">
        <v>561</v>
      </c>
      <c r="D62" s="4" t="s">
        <v>458</v>
      </c>
      <c r="E62" s="5">
        <v>97208</v>
      </c>
      <c r="F62" s="6">
        <v>662.27810399999998</v>
      </c>
      <c r="G62" s="7">
        <v>2.1548100000000001E-3</v>
      </c>
      <c r="H62" s="105"/>
      <c r="I62" s="105"/>
    </row>
    <row r="63" spans="1:9" ht="17.100000000000001" customHeight="1" x14ac:dyDescent="0.2">
      <c r="A63" s="3">
        <v>57</v>
      </c>
      <c r="B63" s="4" t="s">
        <v>37</v>
      </c>
      <c r="C63" s="4" t="s">
        <v>38</v>
      </c>
      <c r="D63" s="4" t="s">
        <v>33</v>
      </c>
      <c r="E63" s="5">
        <v>30950</v>
      </c>
      <c r="F63" s="6">
        <v>588.17380000000003</v>
      </c>
      <c r="G63" s="7">
        <v>1.9136999999999999E-3</v>
      </c>
      <c r="H63" s="105"/>
      <c r="I63" s="105"/>
    </row>
    <row r="64" spans="1:9" ht="17.100000000000001" customHeight="1" x14ac:dyDescent="0.2">
      <c r="A64" s="3">
        <v>58</v>
      </c>
      <c r="B64" s="4" t="s">
        <v>77</v>
      </c>
      <c r="C64" s="4" t="s">
        <v>78</v>
      </c>
      <c r="D64" s="4" t="s">
        <v>33</v>
      </c>
      <c r="E64" s="5">
        <v>22371</v>
      </c>
      <c r="F64" s="6">
        <v>352.48866149999998</v>
      </c>
      <c r="G64" s="7">
        <v>1.1468699999999999E-3</v>
      </c>
      <c r="H64" s="105"/>
      <c r="I64" s="105"/>
    </row>
    <row r="65" spans="1:9" ht="17.100000000000001" customHeight="1" x14ac:dyDescent="0.2">
      <c r="A65" s="3">
        <v>59</v>
      </c>
      <c r="B65" s="4" t="s">
        <v>226</v>
      </c>
      <c r="C65" s="4" t="s">
        <v>227</v>
      </c>
      <c r="D65" s="4" t="s">
        <v>121</v>
      </c>
      <c r="E65" s="5">
        <v>200000</v>
      </c>
      <c r="F65" s="6">
        <v>205.4</v>
      </c>
      <c r="G65" s="7">
        <v>6.6830000000000004E-4</v>
      </c>
      <c r="H65" s="105"/>
      <c r="I65" s="105"/>
    </row>
    <row r="66" spans="1:9" ht="17.100000000000001" customHeight="1" x14ac:dyDescent="0.2">
      <c r="A66" s="3">
        <v>60</v>
      </c>
      <c r="B66" s="4" t="s">
        <v>82</v>
      </c>
      <c r="C66" s="4" t="s">
        <v>83</v>
      </c>
      <c r="D66" s="4" t="s">
        <v>84</v>
      </c>
      <c r="E66" s="5">
        <v>183000</v>
      </c>
      <c r="F66" s="6">
        <v>196.35900000000001</v>
      </c>
      <c r="G66" s="7">
        <v>6.3887999999999998E-4</v>
      </c>
      <c r="H66" s="105"/>
      <c r="I66" s="105"/>
    </row>
    <row r="67" spans="1:9" ht="14.1" customHeight="1" x14ac:dyDescent="0.2">
      <c r="A67" s="1"/>
      <c r="B67" s="1"/>
      <c r="C67" s="2" t="s">
        <v>132</v>
      </c>
      <c r="D67" s="1"/>
      <c r="E67" s="1" t="s">
        <v>133</v>
      </c>
      <c r="F67" s="9">
        <v>214640.20951999997</v>
      </c>
      <c r="G67" s="10">
        <v>0.69836153999999984</v>
      </c>
      <c r="H67" s="105"/>
      <c r="I67" s="105"/>
    </row>
    <row r="68" spans="1:9" ht="14.1" customHeight="1" x14ac:dyDescent="0.2">
      <c r="A68" s="1"/>
      <c r="B68" s="1"/>
      <c r="C68" s="11"/>
      <c r="D68" s="1"/>
      <c r="E68" s="1"/>
      <c r="F68" s="12"/>
      <c r="G68" s="12"/>
      <c r="H68" s="105"/>
      <c r="I68" s="105"/>
    </row>
    <row r="69" spans="1:9" ht="14.1" customHeight="1" x14ac:dyDescent="0.2">
      <c r="A69" s="1"/>
      <c r="B69" s="1"/>
      <c r="C69" s="2" t="s">
        <v>134</v>
      </c>
      <c r="D69" s="1"/>
      <c r="E69" s="1"/>
      <c r="F69" s="1"/>
      <c r="G69" s="1"/>
      <c r="H69" s="105"/>
      <c r="I69" s="105"/>
    </row>
    <row r="70" spans="1:9" ht="14.1" customHeight="1" x14ac:dyDescent="0.2">
      <c r="A70" s="1"/>
      <c r="B70" s="1"/>
      <c r="C70" s="2" t="s">
        <v>132</v>
      </c>
      <c r="D70" s="1"/>
      <c r="E70" s="1" t="s">
        <v>133</v>
      </c>
      <c r="F70" s="13" t="s">
        <v>135</v>
      </c>
      <c r="G70" s="10">
        <v>0</v>
      </c>
      <c r="H70" s="105"/>
      <c r="I70" s="105"/>
    </row>
    <row r="71" spans="1:9" ht="14.1" customHeight="1" x14ac:dyDescent="0.2">
      <c r="A71" s="1"/>
      <c r="B71" s="1"/>
      <c r="C71" s="11"/>
      <c r="D71" s="1"/>
      <c r="E71" s="1"/>
      <c r="F71" s="12"/>
      <c r="G71" s="12"/>
      <c r="H71" s="105"/>
      <c r="I71" s="105"/>
    </row>
    <row r="72" spans="1:9" ht="14.1" customHeight="1" x14ac:dyDescent="0.2">
      <c r="A72" s="1"/>
      <c r="B72" s="1"/>
      <c r="C72" s="2" t="s">
        <v>136</v>
      </c>
      <c r="D72" s="1"/>
      <c r="E72" s="1"/>
      <c r="F72" s="1"/>
      <c r="G72" s="1"/>
      <c r="H72" s="105"/>
      <c r="I72" s="105"/>
    </row>
    <row r="73" spans="1:9" ht="17.100000000000001" customHeight="1" x14ac:dyDescent="0.2">
      <c r="A73" s="3">
        <v>1</v>
      </c>
      <c r="B73" s="4" t="s">
        <v>562</v>
      </c>
      <c r="C73" s="40" t="s">
        <v>942</v>
      </c>
      <c r="D73" s="4" t="s">
        <v>223</v>
      </c>
      <c r="E73" s="5">
        <v>30579</v>
      </c>
      <c r="F73" s="6">
        <v>1.52895</v>
      </c>
      <c r="G73" s="52" t="s">
        <v>131</v>
      </c>
      <c r="H73" s="105"/>
      <c r="I73" s="105"/>
    </row>
    <row r="74" spans="1:9" ht="14.1" customHeight="1" x14ac:dyDescent="0.2">
      <c r="A74" s="1"/>
      <c r="B74" s="1"/>
      <c r="C74" s="2" t="s">
        <v>132</v>
      </c>
      <c r="D74" s="1"/>
      <c r="E74" s="1" t="s">
        <v>133</v>
      </c>
      <c r="F74" s="9">
        <v>1.52895</v>
      </c>
      <c r="G74" s="10">
        <v>4.9799999999999998E-6</v>
      </c>
      <c r="H74" s="105"/>
      <c r="I74" s="105"/>
    </row>
    <row r="75" spans="1:9" ht="14.1" customHeight="1" x14ac:dyDescent="0.2">
      <c r="A75" s="1"/>
      <c r="B75" s="1"/>
      <c r="C75" s="11"/>
      <c r="D75" s="1"/>
      <c r="E75" s="1"/>
      <c r="F75" s="12"/>
      <c r="G75" s="12"/>
      <c r="H75" s="105"/>
      <c r="I75" s="105"/>
    </row>
    <row r="76" spans="1:9" ht="14.1" customHeight="1" x14ac:dyDescent="0.2">
      <c r="A76" s="1"/>
      <c r="B76" s="1"/>
      <c r="C76" s="2" t="s">
        <v>137</v>
      </c>
      <c r="D76" s="1"/>
      <c r="E76" s="1"/>
      <c r="F76" s="1"/>
      <c r="G76" s="1"/>
      <c r="H76" s="105"/>
      <c r="I76" s="105"/>
    </row>
    <row r="77" spans="1:9" ht="14.1" customHeight="1" x14ac:dyDescent="0.2">
      <c r="A77" s="1"/>
      <c r="B77" s="1"/>
      <c r="C77" s="2" t="s">
        <v>132</v>
      </c>
      <c r="D77" s="1"/>
      <c r="E77" s="1" t="s">
        <v>133</v>
      </c>
      <c r="F77" s="13" t="s">
        <v>135</v>
      </c>
      <c r="G77" s="10">
        <v>0</v>
      </c>
      <c r="H77" s="105"/>
      <c r="I77" s="105"/>
    </row>
    <row r="78" spans="1:9" ht="14.1" customHeight="1" x14ac:dyDescent="0.2">
      <c r="A78" s="1"/>
      <c r="B78" s="1"/>
      <c r="C78" s="11"/>
      <c r="D78" s="1"/>
      <c r="E78" s="1"/>
      <c r="F78" s="12"/>
      <c r="G78" s="12"/>
      <c r="H78" s="105"/>
      <c r="I78" s="105"/>
    </row>
    <row r="79" spans="1:9" ht="14.1" customHeight="1" x14ac:dyDescent="0.2">
      <c r="A79" s="1"/>
      <c r="B79" s="1"/>
      <c r="C79" s="2" t="s">
        <v>138</v>
      </c>
      <c r="D79" s="1"/>
      <c r="E79" s="1"/>
      <c r="F79" s="12"/>
      <c r="G79" s="12"/>
      <c r="H79" s="105"/>
      <c r="I79" s="105"/>
    </row>
    <row r="80" spans="1:9" ht="14.1" customHeight="1" x14ac:dyDescent="0.2">
      <c r="A80" s="1"/>
      <c r="B80" s="1"/>
      <c r="C80" s="2" t="s">
        <v>132</v>
      </c>
      <c r="D80" s="1"/>
      <c r="E80" s="1" t="s">
        <v>133</v>
      </c>
      <c r="F80" s="13" t="s">
        <v>135</v>
      </c>
      <c r="G80" s="10">
        <v>0</v>
      </c>
      <c r="H80" s="105"/>
      <c r="I80" s="105"/>
    </row>
    <row r="81" spans="1:10" ht="14.1" customHeight="1" x14ac:dyDescent="0.2">
      <c r="A81" s="1"/>
      <c r="B81" s="1"/>
      <c r="C81" s="11"/>
      <c r="D81" s="1"/>
      <c r="E81" s="1"/>
      <c r="F81" s="12"/>
      <c r="G81" s="12"/>
      <c r="H81" s="105"/>
      <c r="I81" s="105"/>
    </row>
    <row r="82" spans="1:10" ht="14.1" customHeight="1" x14ac:dyDescent="0.2">
      <c r="A82" s="1"/>
      <c r="B82" s="1"/>
      <c r="C82" s="2" t="s">
        <v>139</v>
      </c>
      <c r="D82" s="1"/>
      <c r="E82" s="1"/>
      <c r="F82" s="12"/>
      <c r="G82" s="12"/>
      <c r="H82" s="105"/>
      <c r="I82" s="105"/>
    </row>
    <row r="83" spans="1:10" ht="14.1" customHeight="1" x14ac:dyDescent="0.2">
      <c r="A83" s="1"/>
      <c r="B83" s="1"/>
      <c r="C83" s="2" t="s">
        <v>132</v>
      </c>
      <c r="D83" s="1"/>
      <c r="E83" s="1" t="s">
        <v>133</v>
      </c>
      <c r="F83" s="13" t="s">
        <v>135</v>
      </c>
      <c r="G83" s="10">
        <v>0</v>
      </c>
      <c r="H83" s="105"/>
      <c r="I83" s="105"/>
    </row>
    <row r="84" spans="1:10" ht="14.1" customHeight="1" x14ac:dyDescent="0.2">
      <c r="A84" s="1"/>
      <c r="B84" s="1"/>
      <c r="C84" s="11"/>
      <c r="D84" s="1"/>
      <c r="E84" s="1"/>
      <c r="F84" s="12"/>
      <c r="G84" s="12"/>
      <c r="H84" s="105"/>
      <c r="I84" s="105"/>
    </row>
    <row r="85" spans="1:10" ht="18" customHeight="1" x14ac:dyDescent="0.2">
      <c r="A85" s="1"/>
      <c r="B85" s="1"/>
      <c r="C85" s="2" t="s">
        <v>140</v>
      </c>
      <c r="D85" s="1"/>
      <c r="E85" s="1"/>
      <c r="F85" s="9">
        <v>214641.73847000001</v>
      </c>
      <c r="G85" s="10">
        <v>0.69836651999999999</v>
      </c>
      <c r="H85" s="105"/>
      <c r="I85" s="105"/>
    </row>
    <row r="86" spans="1:10" ht="14.1" customHeight="1" x14ac:dyDescent="0.2">
      <c r="A86" s="1"/>
      <c r="B86" s="1"/>
      <c r="C86" s="11"/>
      <c r="D86" s="1"/>
      <c r="E86" s="1"/>
      <c r="F86" s="12"/>
      <c r="G86" s="12"/>
      <c r="H86" s="105"/>
      <c r="I86" s="105"/>
    </row>
    <row r="87" spans="1:10" ht="14.1" customHeight="1" x14ac:dyDescent="0.2">
      <c r="A87" s="1"/>
      <c r="B87" s="1"/>
      <c r="C87" s="2" t="s">
        <v>141</v>
      </c>
      <c r="D87" s="1"/>
      <c r="E87" s="1"/>
      <c r="F87" s="12"/>
      <c r="G87" s="12"/>
      <c r="H87" s="105"/>
      <c r="I87" s="105"/>
    </row>
    <row r="88" spans="1:10" ht="24" customHeight="1" x14ac:dyDescent="0.2">
      <c r="A88" s="1"/>
      <c r="B88" s="1"/>
      <c r="C88" s="2" t="s">
        <v>10</v>
      </c>
      <c r="D88" s="1"/>
      <c r="E88" s="1"/>
      <c r="F88" s="12"/>
      <c r="G88" s="12"/>
      <c r="H88" s="105"/>
      <c r="I88" s="105"/>
      <c r="J88" s="164"/>
    </row>
    <row r="89" spans="1:10" ht="29.1" customHeight="1" x14ac:dyDescent="0.2">
      <c r="A89" s="3">
        <v>1</v>
      </c>
      <c r="B89" s="4" t="s">
        <v>563</v>
      </c>
      <c r="C89" s="4" t="s">
        <v>564</v>
      </c>
      <c r="D89" s="4" t="s">
        <v>565</v>
      </c>
      <c r="E89" s="5">
        <v>2500</v>
      </c>
      <c r="F89" s="6">
        <v>2539.375</v>
      </c>
      <c r="G89" s="7">
        <v>8.2622100000000007E-3</v>
      </c>
      <c r="H89" s="105">
        <v>7.6349999999999998</v>
      </c>
      <c r="I89" s="105"/>
    </row>
    <row r="90" spans="1:10" ht="29.1" customHeight="1" x14ac:dyDescent="0.2">
      <c r="A90" s="3">
        <v>2</v>
      </c>
      <c r="B90" s="4" t="s">
        <v>566</v>
      </c>
      <c r="C90" s="4" t="s">
        <v>567</v>
      </c>
      <c r="D90" s="4" t="s">
        <v>565</v>
      </c>
      <c r="E90" s="5">
        <v>250</v>
      </c>
      <c r="F90" s="6">
        <v>2537.9524999999999</v>
      </c>
      <c r="G90" s="7">
        <v>8.2575800000000005E-3</v>
      </c>
      <c r="H90" s="105">
        <v>7.7949999999999999</v>
      </c>
      <c r="I90" s="105"/>
    </row>
    <row r="91" spans="1:10" ht="29.1" customHeight="1" x14ac:dyDescent="0.2">
      <c r="A91" s="3">
        <v>3</v>
      </c>
      <c r="B91" s="4" t="s">
        <v>568</v>
      </c>
      <c r="C91" s="4" t="s">
        <v>569</v>
      </c>
      <c r="D91" s="4" t="s">
        <v>570</v>
      </c>
      <c r="E91" s="5">
        <v>2500</v>
      </c>
      <c r="F91" s="6">
        <v>2513.4375</v>
      </c>
      <c r="G91" s="7">
        <v>8.1778200000000006E-3</v>
      </c>
      <c r="H91" s="105">
        <v>7.4649999999999999</v>
      </c>
      <c r="I91" s="105"/>
      <c r="J91" s="164"/>
    </row>
    <row r="92" spans="1:10" ht="29.1" customHeight="1" x14ac:dyDescent="0.2">
      <c r="A92" s="3">
        <v>4</v>
      </c>
      <c r="B92" s="4" t="s">
        <v>571</v>
      </c>
      <c r="C92" s="4" t="s">
        <v>572</v>
      </c>
      <c r="D92" s="4" t="s">
        <v>565</v>
      </c>
      <c r="E92" s="5">
        <v>2500</v>
      </c>
      <c r="F92" s="6">
        <v>2504.145</v>
      </c>
      <c r="G92" s="7">
        <v>8.1475799999999998E-3</v>
      </c>
      <c r="H92" s="105">
        <v>7.5270000000000001</v>
      </c>
      <c r="I92" s="105"/>
    </row>
    <row r="93" spans="1:10" ht="17.100000000000001" customHeight="1" x14ac:dyDescent="0.2">
      <c r="A93" s="3">
        <v>5</v>
      </c>
      <c r="B93" s="4" t="s">
        <v>573</v>
      </c>
      <c r="C93" s="4" t="s">
        <v>574</v>
      </c>
      <c r="D93" s="4" t="s">
        <v>570</v>
      </c>
      <c r="E93" s="5">
        <v>250</v>
      </c>
      <c r="F93" s="6">
        <v>2455.1475</v>
      </c>
      <c r="G93" s="7">
        <v>7.9881599999999994E-3</v>
      </c>
      <c r="H93" s="105">
        <v>7.42</v>
      </c>
      <c r="I93" s="105"/>
    </row>
    <row r="94" spans="1:10" ht="17.100000000000001" customHeight="1" x14ac:dyDescent="0.2">
      <c r="A94" s="3">
        <v>6</v>
      </c>
      <c r="B94" s="4" t="s">
        <v>575</v>
      </c>
      <c r="C94" s="4" t="s">
        <v>576</v>
      </c>
      <c r="D94" s="4" t="s">
        <v>570</v>
      </c>
      <c r="E94" s="5">
        <v>200</v>
      </c>
      <c r="F94" s="6">
        <v>2028.88</v>
      </c>
      <c r="G94" s="7">
        <v>6.6012400000000004E-3</v>
      </c>
      <c r="H94" s="105">
        <v>7.3949999999999996</v>
      </c>
      <c r="I94" s="105"/>
    </row>
    <row r="95" spans="1:10" ht="29.1" customHeight="1" x14ac:dyDescent="0.2">
      <c r="A95" s="3">
        <v>7</v>
      </c>
      <c r="B95" s="4" t="s">
        <v>577</v>
      </c>
      <c r="C95" s="4" t="s">
        <v>578</v>
      </c>
      <c r="D95" s="4" t="s">
        <v>565</v>
      </c>
      <c r="E95" s="5">
        <v>1500</v>
      </c>
      <c r="F95" s="6">
        <v>1535.3115</v>
      </c>
      <c r="G95" s="7">
        <v>4.99535E-3</v>
      </c>
      <c r="H95" s="105">
        <v>7.48</v>
      </c>
      <c r="I95" s="105"/>
    </row>
    <row r="96" spans="1:10" ht="29.1" customHeight="1" x14ac:dyDescent="0.2">
      <c r="A96" s="3">
        <v>8</v>
      </c>
      <c r="B96" s="4" t="s">
        <v>579</v>
      </c>
      <c r="C96" s="4" t="s">
        <v>580</v>
      </c>
      <c r="D96" s="4" t="s">
        <v>565</v>
      </c>
      <c r="E96" s="5">
        <v>1500</v>
      </c>
      <c r="F96" s="6">
        <v>1520.0235</v>
      </c>
      <c r="G96" s="7">
        <v>4.9456099999999996E-3</v>
      </c>
      <c r="H96" s="105">
        <v>7.3949999999999996</v>
      </c>
      <c r="I96" s="105"/>
    </row>
    <row r="97" spans="1:9" ht="29.1" customHeight="1" x14ac:dyDescent="0.2">
      <c r="A97" s="3">
        <v>9</v>
      </c>
      <c r="B97" s="4" t="s">
        <v>581</v>
      </c>
      <c r="C97" s="4" t="s">
        <v>582</v>
      </c>
      <c r="D97" s="4" t="s">
        <v>565</v>
      </c>
      <c r="E97" s="5">
        <v>1500</v>
      </c>
      <c r="F97" s="6">
        <v>1519.098</v>
      </c>
      <c r="G97" s="7">
        <v>4.9426000000000001E-3</v>
      </c>
      <c r="H97" s="105">
        <v>7.45</v>
      </c>
      <c r="I97" s="105"/>
    </row>
    <row r="98" spans="1:9" ht="29.1" customHeight="1" x14ac:dyDescent="0.2">
      <c r="A98" s="3">
        <v>10</v>
      </c>
      <c r="B98" s="4" t="s">
        <v>583</v>
      </c>
      <c r="C98" s="4" t="s">
        <v>584</v>
      </c>
      <c r="D98" s="4" t="s">
        <v>565</v>
      </c>
      <c r="E98" s="5">
        <v>1500</v>
      </c>
      <c r="F98" s="6">
        <v>1513.518</v>
      </c>
      <c r="G98" s="7">
        <v>4.9244400000000004E-3</v>
      </c>
      <c r="H98" s="105">
        <v>7.45</v>
      </c>
      <c r="I98" s="105"/>
    </row>
    <row r="99" spans="1:9" ht="17.100000000000001" customHeight="1" x14ac:dyDescent="0.2">
      <c r="A99" s="3">
        <v>11</v>
      </c>
      <c r="B99" s="4" t="s">
        <v>585</v>
      </c>
      <c r="C99" s="4" t="s">
        <v>586</v>
      </c>
      <c r="D99" s="4" t="s">
        <v>565</v>
      </c>
      <c r="E99" s="5">
        <v>1500</v>
      </c>
      <c r="F99" s="6">
        <v>1511.451</v>
      </c>
      <c r="G99" s="7">
        <v>4.9177099999999996E-3</v>
      </c>
      <c r="H99" s="105">
        <v>7.4649999999999999</v>
      </c>
      <c r="I99" s="105"/>
    </row>
    <row r="100" spans="1:9" ht="32.25" customHeight="1" x14ac:dyDescent="0.2">
      <c r="A100" s="3">
        <v>12</v>
      </c>
      <c r="B100" s="4" t="s">
        <v>587</v>
      </c>
      <c r="C100" s="4" t="s">
        <v>1004</v>
      </c>
      <c r="D100" s="4" t="s">
        <v>588</v>
      </c>
      <c r="E100" s="5">
        <v>150</v>
      </c>
      <c r="F100" s="6">
        <v>1509.0225</v>
      </c>
      <c r="G100" s="7">
        <v>4.9098099999999997E-3</v>
      </c>
      <c r="H100" s="105">
        <v>8.4021000000000008</v>
      </c>
      <c r="I100" s="105">
        <v>7.6151938747000001</v>
      </c>
    </row>
    <row r="101" spans="1:9" ht="29.1" customHeight="1" x14ac:dyDescent="0.2">
      <c r="A101" s="3">
        <v>13</v>
      </c>
      <c r="B101" s="4" t="s">
        <v>589</v>
      </c>
      <c r="C101" s="4" t="s">
        <v>590</v>
      </c>
      <c r="D101" s="4" t="s">
        <v>565</v>
      </c>
      <c r="E101" s="5">
        <v>1500</v>
      </c>
      <c r="F101" s="6">
        <v>1502.6189999999999</v>
      </c>
      <c r="G101" s="7">
        <v>4.8889800000000002E-3</v>
      </c>
      <c r="H101" s="105">
        <v>7.8655999999999997</v>
      </c>
      <c r="I101" s="105"/>
    </row>
    <row r="102" spans="1:9" ht="29.1" customHeight="1" x14ac:dyDescent="0.2">
      <c r="A102" s="3">
        <v>14</v>
      </c>
      <c r="B102" s="4" t="s">
        <v>591</v>
      </c>
      <c r="C102" s="4" t="s">
        <v>592</v>
      </c>
      <c r="D102" s="4" t="s">
        <v>565</v>
      </c>
      <c r="E102" s="5">
        <v>150</v>
      </c>
      <c r="F102" s="6">
        <v>1493.1075000000001</v>
      </c>
      <c r="G102" s="7">
        <v>4.8580300000000002E-3</v>
      </c>
      <c r="H102" s="105">
        <v>7.32</v>
      </c>
      <c r="I102" s="105"/>
    </row>
    <row r="103" spans="1:9" ht="29.1" customHeight="1" x14ac:dyDescent="0.2">
      <c r="A103" s="3">
        <v>15</v>
      </c>
      <c r="B103" s="4" t="s">
        <v>593</v>
      </c>
      <c r="C103" s="4" t="s">
        <v>594</v>
      </c>
      <c r="D103" s="4" t="s">
        <v>570</v>
      </c>
      <c r="E103" s="5">
        <v>150</v>
      </c>
      <c r="F103" s="6">
        <v>1487.652</v>
      </c>
      <c r="G103" s="7">
        <v>4.8402799999999998E-3</v>
      </c>
      <c r="H103" s="105">
        <v>7.8338000000000001</v>
      </c>
      <c r="I103" s="105"/>
    </row>
    <row r="104" spans="1:9" ht="29.1" customHeight="1" x14ac:dyDescent="0.2">
      <c r="A104" s="3">
        <v>16</v>
      </c>
      <c r="B104" s="4" t="s">
        <v>595</v>
      </c>
      <c r="C104" s="4" t="s">
        <v>596</v>
      </c>
      <c r="D104" s="4" t="s">
        <v>570</v>
      </c>
      <c r="E104" s="5">
        <v>100</v>
      </c>
      <c r="F104" s="6">
        <v>1006.599</v>
      </c>
      <c r="G104" s="7">
        <v>3.2751099999999999E-3</v>
      </c>
      <c r="H104" s="105">
        <v>7.4249999999999998</v>
      </c>
      <c r="I104" s="105"/>
    </row>
    <row r="105" spans="1:9" ht="29.1" customHeight="1" x14ac:dyDescent="0.2">
      <c r="A105" s="3">
        <v>17</v>
      </c>
      <c r="B105" s="4" t="s">
        <v>597</v>
      </c>
      <c r="C105" s="4" t="s">
        <v>598</v>
      </c>
      <c r="D105" s="4" t="s">
        <v>565</v>
      </c>
      <c r="E105" s="5">
        <v>100</v>
      </c>
      <c r="F105" s="6">
        <v>1005.2619999999999</v>
      </c>
      <c r="G105" s="7">
        <v>3.2707600000000002E-3</v>
      </c>
      <c r="H105" s="105">
        <v>7.4050000000000002</v>
      </c>
      <c r="I105" s="105"/>
    </row>
    <row r="106" spans="1:9" ht="29.1" customHeight="1" x14ac:dyDescent="0.2">
      <c r="A106" s="3">
        <v>18</v>
      </c>
      <c r="B106" s="4" t="s">
        <v>599</v>
      </c>
      <c r="C106" s="4" t="s">
        <v>600</v>
      </c>
      <c r="D106" s="4" t="s">
        <v>565</v>
      </c>
      <c r="E106" s="5">
        <v>100</v>
      </c>
      <c r="F106" s="6">
        <v>1002.452</v>
      </c>
      <c r="G106" s="7">
        <v>3.2616199999999998E-3</v>
      </c>
      <c r="H106" s="105">
        <v>7.4249999999999998</v>
      </c>
      <c r="I106" s="105"/>
    </row>
    <row r="107" spans="1:9" ht="17.100000000000001" customHeight="1" x14ac:dyDescent="0.2">
      <c r="A107" s="3">
        <v>19</v>
      </c>
      <c r="B107" s="4" t="s">
        <v>601</v>
      </c>
      <c r="C107" s="4" t="s">
        <v>602</v>
      </c>
      <c r="D107" s="4" t="s">
        <v>565</v>
      </c>
      <c r="E107" s="5">
        <v>1000</v>
      </c>
      <c r="F107" s="6">
        <v>1001.961</v>
      </c>
      <c r="G107" s="7">
        <v>3.2600200000000002E-3</v>
      </c>
      <c r="H107" s="105">
        <v>7.4550000000000001</v>
      </c>
      <c r="I107" s="105"/>
    </row>
    <row r="108" spans="1:9" ht="29.1" customHeight="1" x14ac:dyDescent="0.2">
      <c r="A108" s="3">
        <v>20</v>
      </c>
      <c r="B108" s="4" t="s">
        <v>603</v>
      </c>
      <c r="C108" s="4" t="s">
        <v>604</v>
      </c>
      <c r="D108" s="4" t="s">
        <v>570</v>
      </c>
      <c r="E108" s="5">
        <v>100</v>
      </c>
      <c r="F108" s="6">
        <v>999.61900000000003</v>
      </c>
      <c r="G108" s="7">
        <v>3.2523999999999999E-3</v>
      </c>
      <c r="H108" s="105">
        <v>7.46</v>
      </c>
      <c r="I108" s="105"/>
    </row>
    <row r="109" spans="1:9" ht="29.1" customHeight="1" x14ac:dyDescent="0.2">
      <c r="A109" s="3">
        <v>21</v>
      </c>
      <c r="B109" s="4" t="s">
        <v>605</v>
      </c>
      <c r="C109" s="4" t="s">
        <v>606</v>
      </c>
      <c r="D109" s="4" t="s">
        <v>570</v>
      </c>
      <c r="E109" s="5">
        <v>100</v>
      </c>
      <c r="F109" s="6">
        <v>964.45600000000002</v>
      </c>
      <c r="G109" s="7">
        <v>3.1379899999999998E-3</v>
      </c>
      <c r="H109" s="105">
        <v>7.4450000000000003</v>
      </c>
      <c r="I109" s="105"/>
    </row>
    <row r="110" spans="1:9" ht="17.100000000000001" customHeight="1" x14ac:dyDescent="0.2">
      <c r="A110" s="3">
        <v>22</v>
      </c>
      <c r="B110" s="4" t="s">
        <v>609</v>
      </c>
      <c r="C110" s="4" t="s">
        <v>610</v>
      </c>
      <c r="D110" s="4" t="s">
        <v>570</v>
      </c>
      <c r="E110" s="5">
        <v>50</v>
      </c>
      <c r="F110" s="6">
        <v>499.31299999999999</v>
      </c>
      <c r="G110" s="7">
        <v>1.62458E-3</v>
      </c>
      <c r="H110" s="105">
        <v>7.6</v>
      </c>
      <c r="I110" s="105"/>
    </row>
    <row r="111" spans="1:9" ht="29.1" customHeight="1" x14ac:dyDescent="0.2">
      <c r="A111" s="3">
        <v>23</v>
      </c>
      <c r="B111" s="4" t="s">
        <v>611</v>
      </c>
      <c r="C111" s="4" t="s">
        <v>612</v>
      </c>
      <c r="D111" s="4" t="s">
        <v>588</v>
      </c>
      <c r="E111" s="5">
        <v>50</v>
      </c>
      <c r="F111" s="6">
        <v>496.46550000000002</v>
      </c>
      <c r="G111" s="7">
        <v>1.61532E-3</v>
      </c>
      <c r="H111" s="105">
        <v>7.45</v>
      </c>
      <c r="I111" s="105"/>
    </row>
    <row r="112" spans="1:9" ht="29.1" customHeight="1" x14ac:dyDescent="0.2">
      <c r="A112" s="3">
        <v>24</v>
      </c>
      <c r="B112" s="4" t="s">
        <v>613</v>
      </c>
      <c r="C112" s="4" t="s">
        <v>614</v>
      </c>
      <c r="D112" s="4" t="s">
        <v>565</v>
      </c>
      <c r="E112" s="5">
        <v>20</v>
      </c>
      <c r="F112" s="6">
        <v>195.02600000000001</v>
      </c>
      <c r="G112" s="7">
        <v>6.3453999999999995E-4</v>
      </c>
      <c r="H112" s="105">
        <v>7.4349999999999996</v>
      </c>
      <c r="I112" s="105"/>
    </row>
    <row r="113" spans="1:9" ht="14.1" customHeight="1" x14ac:dyDescent="0.2">
      <c r="A113" s="1"/>
      <c r="B113" s="1"/>
      <c r="C113" s="2" t="s">
        <v>132</v>
      </c>
      <c r="D113" s="1"/>
      <c r="E113" s="1" t="s">
        <v>133</v>
      </c>
      <c r="F113" s="9">
        <v>35341.893999999993</v>
      </c>
      <c r="G113" s="10">
        <v>0.11498974000000001</v>
      </c>
      <c r="H113" s="105"/>
      <c r="I113" s="105"/>
    </row>
    <row r="114" spans="1:9" ht="14.1" customHeight="1" x14ac:dyDescent="0.2">
      <c r="A114" s="1"/>
      <c r="B114" s="1"/>
      <c r="C114" s="11"/>
      <c r="D114" s="1"/>
      <c r="E114" s="1"/>
      <c r="F114" s="12"/>
      <c r="G114" s="12"/>
      <c r="H114" s="105"/>
      <c r="I114" s="105"/>
    </row>
    <row r="115" spans="1:9" ht="14.1" customHeight="1" x14ac:dyDescent="0.2">
      <c r="A115" s="1"/>
      <c r="B115" s="1"/>
      <c r="C115" s="2" t="s">
        <v>142</v>
      </c>
      <c r="D115" s="1"/>
      <c r="E115" s="1"/>
      <c r="F115" s="1"/>
      <c r="G115" s="1"/>
      <c r="H115" s="105"/>
      <c r="I115" s="105"/>
    </row>
    <row r="116" spans="1:9" ht="17.100000000000001" customHeight="1" x14ac:dyDescent="0.2">
      <c r="A116" s="3">
        <v>1</v>
      </c>
      <c r="B116" s="4" t="s">
        <v>607</v>
      </c>
      <c r="C116" s="4" t="s">
        <v>608</v>
      </c>
      <c r="D116" s="4" t="s">
        <v>570</v>
      </c>
      <c r="E116" s="5">
        <v>50</v>
      </c>
      <c r="F116" s="6">
        <v>504.32249999999999</v>
      </c>
      <c r="G116" s="7">
        <v>1.6408799999999999E-3</v>
      </c>
      <c r="H116" s="105">
        <v>8.4924999999999997</v>
      </c>
      <c r="I116" s="105"/>
    </row>
    <row r="117" spans="1:9" ht="14.1" customHeight="1" x14ac:dyDescent="0.2">
      <c r="A117" s="1"/>
      <c r="B117" s="1"/>
      <c r="C117" s="2" t="s">
        <v>132</v>
      </c>
      <c r="D117" s="1"/>
      <c r="E117" s="1" t="s">
        <v>133</v>
      </c>
      <c r="F117" s="9">
        <v>504.32249999999999</v>
      </c>
      <c r="G117" s="10">
        <v>1.6408799999999999E-3</v>
      </c>
      <c r="H117" s="105"/>
      <c r="I117" s="105"/>
    </row>
    <row r="118" spans="1:9" ht="14.1" customHeight="1" x14ac:dyDescent="0.2">
      <c r="A118" s="1"/>
      <c r="B118" s="1"/>
      <c r="C118" s="11"/>
      <c r="D118" s="1"/>
      <c r="E118" s="1"/>
      <c r="F118" s="12"/>
      <c r="G118" s="12"/>
      <c r="H118" s="105"/>
      <c r="I118" s="105"/>
    </row>
    <row r="119" spans="1:9" ht="14.1" customHeight="1" x14ac:dyDescent="0.2">
      <c r="A119" s="1"/>
      <c r="B119" s="1"/>
      <c r="C119" s="2" t="s">
        <v>143</v>
      </c>
      <c r="D119" s="1"/>
      <c r="E119" s="1"/>
      <c r="F119" s="1"/>
      <c r="G119" s="1"/>
      <c r="H119" s="105"/>
      <c r="I119" s="105"/>
    </row>
    <row r="120" spans="1:9" ht="29.1" customHeight="1" x14ac:dyDescent="0.2">
      <c r="A120" s="3">
        <v>1</v>
      </c>
      <c r="B120" s="4" t="s">
        <v>615</v>
      </c>
      <c r="C120" s="4" t="s">
        <v>616</v>
      </c>
      <c r="D120" s="4" t="s">
        <v>617</v>
      </c>
      <c r="E120" s="5">
        <v>8500000</v>
      </c>
      <c r="F120" s="6">
        <v>8634.3680000000004</v>
      </c>
      <c r="G120" s="7">
        <v>2.8093110000000001E-2</v>
      </c>
      <c r="H120" s="105">
        <v>7.3524000000000003</v>
      </c>
      <c r="I120" s="105"/>
    </row>
    <row r="121" spans="1:9" ht="29.1" customHeight="1" x14ac:dyDescent="0.2">
      <c r="A121" s="3">
        <v>2</v>
      </c>
      <c r="B121" s="4" t="s">
        <v>618</v>
      </c>
      <c r="C121" s="4" t="s">
        <v>619</v>
      </c>
      <c r="D121" s="4" t="s">
        <v>617</v>
      </c>
      <c r="E121" s="5">
        <v>6000000</v>
      </c>
      <c r="F121" s="6">
        <v>6059.2740000000003</v>
      </c>
      <c r="G121" s="7">
        <v>1.9714679999999998E-2</v>
      </c>
      <c r="H121" s="105">
        <v>7.2409999999999997</v>
      </c>
      <c r="I121" s="105"/>
    </row>
    <row r="122" spans="1:9" ht="29.1" customHeight="1" x14ac:dyDescent="0.2">
      <c r="A122" s="3">
        <v>3</v>
      </c>
      <c r="B122" s="4" t="s">
        <v>620</v>
      </c>
      <c r="C122" s="4" t="s">
        <v>621</v>
      </c>
      <c r="D122" s="4" t="s">
        <v>617</v>
      </c>
      <c r="E122" s="5">
        <v>2500000</v>
      </c>
      <c r="F122" s="6">
        <v>2533.9575</v>
      </c>
      <c r="G122" s="7">
        <v>8.2445799999999996E-3</v>
      </c>
      <c r="H122" s="105">
        <v>7.1124000000000001</v>
      </c>
      <c r="I122" s="105"/>
    </row>
    <row r="123" spans="1:9" ht="29.1" customHeight="1" x14ac:dyDescent="0.2">
      <c r="A123" s="3">
        <v>4</v>
      </c>
      <c r="B123" s="4" t="s">
        <v>622</v>
      </c>
      <c r="C123" s="4" t="s">
        <v>623</v>
      </c>
      <c r="D123" s="4" t="s">
        <v>617</v>
      </c>
      <c r="E123" s="5">
        <v>2500000</v>
      </c>
      <c r="F123" s="6">
        <v>2517.3024999999998</v>
      </c>
      <c r="G123" s="7">
        <v>8.1903900000000005E-3</v>
      </c>
      <c r="H123" s="105">
        <v>7.2812999999999999</v>
      </c>
      <c r="I123" s="105"/>
    </row>
    <row r="124" spans="1:9" ht="29.1" customHeight="1" x14ac:dyDescent="0.2">
      <c r="A124" s="3">
        <v>5</v>
      </c>
      <c r="B124" s="4" t="s">
        <v>624</v>
      </c>
      <c r="C124" s="4" t="s">
        <v>625</v>
      </c>
      <c r="D124" s="4" t="s">
        <v>617</v>
      </c>
      <c r="E124" s="5">
        <v>2500000</v>
      </c>
      <c r="F124" s="6">
        <v>2504.6125000000002</v>
      </c>
      <c r="G124" s="7">
        <v>8.1490999999999994E-3</v>
      </c>
      <c r="H124" s="105">
        <v>7.1877000000000004</v>
      </c>
      <c r="I124" s="105"/>
    </row>
    <row r="125" spans="1:9" ht="29.1" customHeight="1" x14ac:dyDescent="0.2">
      <c r="A125" s="3">
        <v>6</v>
      </c>
      <c r="B125" s="4" t="s">
        <v>626</v>
      </c>
      <c r="C125" s="4" t="s">
        <v>627</v>
      </c>
      <c r="D125" s="4" t="s">
        <v>617</v>
      </c>
      <c r="E125" s="5">
        <v>2000000</v>
      </c>
      <c r="F125" s="6">
        <v>1934.9179999999999</v>
      </c>
      <c r="G125" s="7">
        <v>6.2955199999999998E-3</v>
      </c>
      <c r="H125" s="105">
        <v>7.0095000000000001</v>
      </c>
      <c r="I125" s="105"/>
    </row>
    <row r="126" spans="1:9" ht="29.1" customHeight="1" x14ac:dyDescent="0.2">
      <c r="A126" s="3">
        <v>7</v>
      </c>
      <c r="B126" s="4" t="s">
        <v>628</v>
      </c>
      <c r="C126" s="4" t="s">
        <v>629</v>
      </c>
      <c r="D126" s="4" t="s">
        <v>617</v>
      </c>
      <c r="E126" s="5">
        <v>2000000</v>
      </c>
      <c r="F126" s="6">
        <v>1923.7919999999999</v>
      </c>
      <c r="G126" s="7">
        <v>6.2593199999999996E-3</v>
      </c>
      <c r="H126" s="105">
        <v>7.0919999999999996</v>
      </c>
      <c r="I126" s="105"/>
    </row>
    <row r="127" spans="1:9" ht="41.1" customHeight="1" x14ac:dyDescent="0.2">
      <c r="A127" s="3">
        <v>8</v>
      </c>
      <c r="B127" s="4" t="s">
        <v>630</v>
      </c>
      <c r="C127" s="40" t="s">
        <v>880</v>
      </c>
      <c r="D127" s="4" t="s">
        <v>617</v>
      </c>
      <c r="E127" s="5">
        <v>1500000</v>
      </c>
      <c r="F127" s="6">
        <v>1482.8610000000001</v>
      </c>
      <c r="G127" s="7">
        <v>4.8246900000000004E-3</v>
      </c>
      <c r="H127" s="105">
        <v>7.9237071687427845</v>
      </c>
      <c r="I127" s="105"/>
    </row>
    <row r="128" spans="1:9" ht="29.1" customHeight="1" x14ac:dyDescent="0.2">
      <c r="A128" s="3">
        <v>9</v>
      </c>
      <c r="B128" s="4" t="s">
        <v>631</v>
      </c>
      <c r="C128" s="4" t="s">
        <v>632</v>
      </c>
      <c r="D128" s="4" t="s">
        <v>617</v>
      </c>
      <c r="E128" s="5">
        <v>400000</v>
      </c>
      <c r="F128" s="6">
        <v>408.40640000000002</v>
      </c>
      <c r="G128" s="7">
        <v>1.3288099999999999E-3</v>
      </c>
      <c r="H128" s="105">
        <v>7.28</v>
      </c>
      <c r="I128" s="105"/>
    </row>
    <row r="129" spans="1:9" ht="29.1" customHeight="1" x14ac:dyDescent="0.2">
      <c r="A129" s="3">
        <v>10</v>
      </c>
      <c r="B129" s="4" t="s">
        <v>633</v>
      </c>
      <c r="C129" s="4" t="s">
        <v>634</v>
      </c>
      <c r="D129" s="4" t="s">
        <v>617</v>
      </c>
      <c r="E129" s="5">
        <v>400000</v>
      </c>
      <c r="F129" s="6">
        <v>406.59719999999999</v>
      </c>
      <c r="G129" s="7">
        <v>1.32292E-3</v>
      </c>
      <c r="H129" s="105">
        <v>7.2363999999999997</v>
      </c>
      <c r="I129" s="105"/>
    </row>
    <row r="130" spans="1:9" ht="29.1" customHeight="1" x14ac:dyDescent="0.2">
      <c r="A130" s="3">
        <v>11</v>
      </c>
      <c r="B130" s="4" t="s">
        <v>635</v>
      </c>
      <c r="C130" s="4" t="s">
        <v>636</v>
      </c>
      <c r="D130" s="4" t="s">
        <v>617</v>
      </c>
      <c r="E130" s="5">
        <v>400000</v>
      </c>
      <c r="F130" s="6">
        <v>406.0924</v>
      </c>
      <c r="G130" s="7">
        <v>1.32128E-3</v>
      </c>
      <c r="H130" s="105">
        <v>7.2489999999999997</v>
      </c>
      <c r="I130" s="105"/>
    </row>
    <row r="131" spans="1:9" ht="14.1" customHeight="1" x14ac:dyDescent="0.2">
      <c r="A131" s="1"/>
      <c r="B131" s="1"/>
      <c r="C131" s="2" t="s">
        <v>132</v>
      </c>
      <c r="D131" s="1"/>
      <c r="E131" s="1" t="s">
        <v>133</v>
      </c>
      <c r="F131" s="9">
        <v>28812.181499999999</v>
      </c>
      <c r="G131" s="10">
        <v>9.3744400000000006E-2</v>
      </c>
      <c r="H131" s="105"/>
      <c r="I131" s="105"/>
    </row>
    <row r="132" spans="1:9" ht="14.1" customHeight="1" x14ac:dyDescent="0.2">
      <c r="A132" s="1"/>
      <c r="B132" s="1"/>
      <c r="C132" s="11"/>
      <c r="D132" s="1"/>
      <c r="E132" s="1"/>
      <c r="F132" s="12"/>
      <c r="G132" s="12"/>
      <c r="H132" s="105"/>
      <c r="I132" s="105"/>
    </row>
    <row r="133" spans="1:9" ht="14.1" customHeight="1" x14ac:dyDescent="0.2">
      <c r="A133" s="1"/>
      <c r="B133" s="1"/>
      <c r="C133" s="2" t="s">
        <v>144</v>
      </c>
      <c r="D133" s="1"/>
      <c r="E133" s="1"/>
      <c r="F133" s="12"/>
      <c r="G133" s="12"/>
      <c r="H133" s="105"/>
      <c r="I133" s="105"/>
    </row>
    <row r="134" spans="1:9" ht="14.1" customHeight="1" x14ac:dyDescent="0.2">
      <c r="A134" s="1"/>
      <c r="B134" s="1"/>
      <c r="C134" s="2" t="s">
        <v>132</v>
      </c>
      <c r="D134" s="1"/>
      <c r="E134" s="1" t="s">
        <v>133</v>
      </c>
      <c r="F134" s="13" t="s">
        <v>135</v>
      </c>
      <c r="G134" s="10">
        <v>0</v>
      </c>
      <c r="H134" s="105"/>
      <c r="I134" s="105"/>
    </row>
    <row r="135" spans="1:9" ht="14.1" customHeight="1" x14ac:dyDescent="0.2">
      <c r="A135" s="1"/>
      <c r="B135" s="1"/>
      <c r="C135" s="11"/>
      <c r="D135" s="1"/>
      <c r="E135" s="1"/>
      <c r="F135" s="12"/>
      <c r="G135" s="12"/>
      <c r="H135" s="105"/>
      <c r="I135" s="105"/>
    </row>
    <row r="136" spans="1:9" ht="14.1" customHeight="1" x14ac:dyDescent="0.2">
      <c r="A136" s="1"/>
      <c r="B136" s="1"/>
      <c r="C136" s="2" t="s">
        <v>145</v>
      </c>
      <c r="D136" s="1"/>
      <c r="E136" s="1"/>
      <c r="F136" s="9">
        <v>64658.398000000001</v>
      </c>
      <c r="G136" s="10">
        <v>0.21037502</v>
      </c>
      <c r="H136" s="105"/>
      <c r="I136" s="105"/>
    </row>
    <row r="137" spans="1:9" ht="14.1" customHeight="1" x14ac:dyDescent="0.2">
      <c r="A137" s="1"/>
      <c r="B137" s="1"/>
      <c r="C137" s="11"/>
      <c r="D137" s="1"/>
      <c r="E137" s="1"/>
      <c r="F137" s="12"/>
      <c r="G137" s="12"/>
      <c r="H137" s="105"/>
      <c r="I137" s="105"/>
    </row>
    <row r="138" spans="1:9" ht="14.1" customHeight="1" x14ac:dyDescent="0.2">
      <c r="A138" s="1"/>
      <c r="B138" s="1"/>
      <c r="C138" s="2" t="s">
        <v>146</v>
      </c>
      <c r="D138" s="1"/>
      <c r="E138" s="1"/>
      <c r="F138" s="12"/>
      <c r="G138" s="12"/>
      <c r="H138" s="105"/>
      <c r="I138" s="105"/>
    </row>
    <row r="139" spans="1:9" ht="14.1" customHeight="1" x14ac:dyDescent="0.2">
      <c r="A139" s="1"/>
      <c r="B139" s="1"/>
      <c r="C139" s="2" t="s">
        <v>147</v>
      </c>
      <c r="D139" s="1"/>
      <c r="E139" s="1"/>
      <c r="F139" s="12"/>
      <c r="G139" s="12"/>
      <c r="H139" s="105"/>
      <c r="I139" s="105"/>
    </row>
    <row r="140" spans="1:9" ht="17.100000000000001" customHeight="1" x14ac:dyDescent="0.2">
      <c r="A140" s="3">
        <v>1</v>
      </c>
      <c r="B140" s="4" t="s">
        <v>637</v>
      </c>
      <c r="C140" s="4" t="s">
        <v>638</v>
      </c>
      <c r="D140" s="4" t="s">
        <v>639</v>
      </c>
      <c r="E140" s="5">
        <v>500</v>
      </c>
      <c r="F140" s="6">
        <v>2447.92</v>
      </c>
      <c r="G140" s="7">
        <v>7.9646500000000002E-3</v>
      </c>
      <c r="H140" s="105">
        <v>7.1901000000000002</v>
      </c>
      <c r="I140" s="105"/>
    </row>
    <row r="141" spans="1:9" ht="29.1" customHeight="1" x14ac:dyDescent="0.2">
      <c r="A141" s="3">
        <v>2</v>
      </c>
      <c r="B141" s="4" t="s">
        <v>640</v>
      </c>
      <c r="C141" s="4" t="s">
        <v>641</v>
      </c>
      <c r="D141" s="4" t="s">
        <v>642</v>
      </c>
      <c r="E141" s="5">
        <v>500</v>
      </c>
      <c r="F141" s="6">
        <v>2440.7800000000002</v>
      </c>
      <c r="G141" s="7">
        <v>7.9414099999999994E-3</v>
      </c>
      <c r="H141" s="105">
        <v>7.2000999999999999</v>
      </c>
      <c r="I141" s="105"/>
    </row>
    <row r="142" spans="1:9" ht="17.100000000000001" customHeight="1" x14ac:dyDescent="0.2">
      <c r="A142" s="3">
        <v>3</v>
      </c>
      <c r="B142" s="4" t="s">
        <v>643</v>
      </c>
      <c r="C142" s="4" t="s">
        <v>644</v>
      </c>
      <c r="D142" s="4" t="s">
        <v>639</v>
      </c>
      <c r="E142" s="5">
        <v>500</v>
      </c>
      <c r="F142" s="6">
        <v>2436.0549999999998</v>
      </c>
      <c r="G142" s="7">
        <v>7.9260400000000005E-3</v>
      </c>
      <c r="H142" s="105">
        <v>7.15</v>
      </c>
      <c r="I142" s="105"/>
    </row>
    <row r="143" spans="1:9" ht="14.1" customHeight="1" x14ac:dyDescent="0.2">
      <c r="A143" s="1"/>
      <c r="B143" s="1"/>
      <c r="C143" s="2" t="s">
        <v>132</v>
      </c>
      <c r="D143" s="1"/>
      <c r="E143" s="1" t="s">
        <v>133</v>
      </c>
      <c r="F143" s="9">
        <v>7324.7550000000001</v>
      </c>
      <c r="G143" s="10">
        <v>2.3832099999999998E-2</v>
      </c>
      <c r="H143" s="105"/>
      <c r="I143" s="105"/>
    </row>
    <row r="144" spans="1:9" ht="14.1" customHeight="1" x14ac:dyDescent="0.2">
      <c r="A144" s="1"/>
      <c r="B144" s="1"/>
      <c r="C144" s="11"/>
      <c r="D144" s="1"/>
      <c r="E144" s="1"/>
      <c r="F144" s="12"/>
      <c r="G144" s="12"/>
      <c r="H144" s="105"/>
      <c r="I144" s="105"/>
    </row>
    <row r="145" spans="1:9" ht="14.1" customHeight="1" x14ac:dyDescent="0.2">
      <c r="A145" s="1"/>
      <c r="B145" s="1"/>
      <c r="C145" s="2" t="s">
        <v>148</v>
      </c>
      <c r="D145" s="1"/>
      <c r="E145" s="1"/>
      <c r="F145" s="12"/>
      <c r="G145" s="12"/>
      <c r="H145" s="105"/>
      <c r="I145" s="105"/>
    </row>
    <row r="146" spans="1:9" ht="29.1" customHeight="1" x14ac:dyDescent="0.2">
      <c r="A146" s="3">
        <v>1</v>
      </c>
      <c r="B146" s="4" t="s">
        <v>645</v>
      </c>
      <c r="C146" s="4" t="s">
        <v>646</v>
      </c>
      <c r="D146" s="4" t="s">
        <v>642</v>
      </c>
      <c r="E146" s="5">
        <v>500</v>
      </c>
      <c r="F146" s="6">
        <v>2415.62</v>
      </c>
      <c r="G146" s="7">
        <v>7.8595499999999999E-3</v>
      </c>
      <c r="H146" s="105">
        <v>7.5000999999999998</v>
      </c>
      <c r="I146" s="105"/>
    </row>
    <row r="147" spans="1:9" ht="29.1" customHeight="1" x14ac:dyDescent="0.2">
      <c r="A147" s="3">
        <v>2</v>
      </c>
      <c r="B147" s="4" t="s">
        <v>647</v>
      </c>
      <c r="C147" s="4" t="s">
        <v>648</v>
      </c>
      <c r="D147" s="4" t="s">
        <v>642</v>
      </c>
      <c r="E147" s="5">
        <v>500</v>
      </c>
      <c r="F147" s="6">
        <v>2367.4</v>
      </c>
      <c r="G147" s="7">
        <v>7.7026600000000001E-3</v>
      </c>
      <c r="H147" s="105">
        <v>7.6</v>
      </c>
      <c r="I147" s="105"/>
    </row>
    <row r="148" spans="1:9" ht="14.1" customHeight="1" x14ac:dyDescent="0.2">
      <c r="A148" s="1"/>
      <c r="B148" s="1"/>
      <c r="C148" s="2" t="s">
        <v>132</v>
      </c>
      <c r="D148" s="1"/>
      <c r="E148" s="1" t="s">
        <v>133</v>
      </c>
      <c r="F148" s="9">
        <v>4783.0200000000004</v>
      </c>
      <c r="G148" s="10">
        <v>1.556221E-2</v>
      </c>
      <c r="H148" s="105"/>
      <c r="I148" s="105"/>
    </row>
    <row r="149" spans="1:9" ht="14.1" customHeight="1" x14ac:dyDescent="0.2">
      <c r="A149" s="1"/>
      <c r="B149" s="1"/>
      <c r="C149" s="11"/>
      <c r="D149" s="1"/>
      <c r="E149" s="1"/>
      <c r="F149" s="12"/>
      <c r="G149" s="12"/>
      <c r="H149" s="105"/>
      <c r="I149" s="105"/>
    </row>
    <row r="150" spans="1:9" ht="14.1" customHeight="1" x14ac:dyDescent="0.2">
      <c r="A150" s="1"/>
      <c r="B150" s="1"/>
      <c r="C150" s="2" t="s">
        <v>149</v>
      </c>
      <c r="D150" s="1"/>
      <c r="E150" s="1"/>
      <c r="F150" s="12"/>
      <c r="G150" s="12"/>
      <c r="H150" s="105"/>
      <c r="I150" s="105"/>
    </row>
    <row r="151" spans="1:9" ht="17.100000000000001" customHeight="1" x14ac:dyDescent="0.2">
      <c r="A151" s="3">
        <v>1</v>
      </c>
      <c r="B151" s="4" t="s">
        <v>649</v>
      </c>
      <c r="C151" s="40" t="s">
        <v>957</v>
      </c>
      <c r="D151" s="4" t="s">
        <v>617</v>
      </c>
      <c r="E151" s="5">
        <v>1500000</v>
      </c>
      <c r="F151" s="6">
        <v>1415.4449999999999</v>
      </c>
      <c r="G151" s="7">
        <v>4.6053500000000002E-3</v>
      </c>
      <c r="H151" s="105">
        <v>7.0110999999999999</v>
      </c>
      <c r="I151" s="105"/>
    </row>
    <row r="152" spans="1:9" ht="17.100000000000001" customHeight="1" x14ac:dyDescent="0.2">
      <c r="A152" s="3">
        <v>2</v>
      </c>
      <c r="B152" s="4" t="s">
        <v>650</v>
      </c>
      <c r="C152" s="40" t="s">
        <v>958</v>
      </c>
      <c r="D152" s="4" t="s">
        <v>617</v>
      </c>
      <c r="E152" s="5">
        <v>1000000</v>
      </c>
      <c r="F152" s="6">
        <v>941.13800000000003</v>
      </c>
      <c r="G152" s="7">
        <v>3.0621200000000002E-3</v>
      </c>
      <c r="H152" s="105">
        <v>7.0025000000000004</v>
      </c>
      <c r="I152" s="105"/>
    </row>
    <row r="153" spans="1:9" ht="14.1" customHeight="1" x14ac:dyDescent="0.2">
      <c r="A153" s="1"/>
      <c r="B153" s="1"/>
      <c r="C153" s="2" t="s">
        <v>132</v>
      </c>
      <c r="D153" s="1"/>
      <c r="E153" s="1" t="s">
        <v>133</v>
      </c>
      <c r="F153" s="9">
        <v>2356.5830000000001</v>
      </c>
      <c r="G153" s="10">
        <v>7.66747E-3</v>
      </c>
      <c r="H153" s="105"/>
      <c r="I153" s="105"/>
    </row>
    <row r="154" spans="1:9" ht="14.1" customHeight="1" x14ac:dyDescent="0.2">
      <c r="A154" s="1"/>
      <c r="B154" s="1"/>
      <c r="C154" s="11"/>
      <c r="D154" s="1"/>
      <c r="E154" s="1"/>
      <c r="F154" s="12"/>
      <c r="G154" s="12"/>
      <c r="H154" s="105"/>
      <c r="I154" s="105"/>
    </row>
    <row r="155" spans="1:9" ht="14.1" customHeight="1" x14ac:dyDescent="0.2">
      <c r="A155" s="1"/>
      <c r="B155" s="1"/>
      <c r="C155" s="2" t="s">
        <v>150</v>
      </c>
      <c r="D155" s="1"/>
      <c r="E155" s="1"/>
      <c r="F155" s="12"/>
      <c r="G155" s="12"/>
      <c r="H155" s="105"/>
      <c r="I155" s="105"/>
    </row>
    <row r="156" spans="1:9" ht="17.100000000000001" customHeight="1" x14ac:dyDescent="0.2">
      <c r="A156" s="3">
        <v>1</v>
      </c>
      <c r="B156" s="4"/>
      <c r="C156" s="4" t="s">
        <v>151</v>
      </c>
      <c r="D156" s="4"/>
      <c r="E156" s="8"/>
      <c r="F156" s="6">
        <v>7923.8958055000003</v>
      </c>
      <c r="G156" s="7">
        <v>2.5781490000000001E-2</v>
      </c>
      <c r="H156" s="105">
        <v>6.8153352377542396</v>
      </c>
      <c r="I156" s="105"/>
    </row>
    <row r="157" spans="1:9" ht="17.100000000000001" customHeight="1" x14ac:dyDescent="0.2">
      <c r="A157" s="3">
        <v>2</v>
      </c>
      <c r="B157" s="4"/>
      <c r="C157" s="4" t="s">
        <v>152</v>
      </c>
      <c r="D157" s="4"/>
      <c r="E157" s="8"/>
      <c r="F157" s="6">
        <v>940.29899629700003</v>
      </c>
      <c r="G157" s="7">
        <v>3.0593899999999999E-3</v>
      </c>
      <c r="H157" s="105">
        <v>6.7952403714590259</v>
      </c>
      <c r="I157" s="105"/>
    </row>
    <row r="158" spans="1:9" ht="14.1" customHeight="1" x14ac:dyDescent="0.2">
      <c r="A158" s="1"/>
      <c r="B158" s="1"/>
      <c r="C158" s="2" t="s">
        <v>132</v>
      </c>
      <c r="D158" s="1"/>
      <c r="E158" s="1" t="s">
        <v>133</v>
      </c>
      <c r="F158" s="9">
        <v>8864.1948017970008</v>
      </c>
      <c r="G158" s="10">
        <v>2.8840879999999999E-2</v>
      </c>
      <c r="H158" s="105"/>
      <c r="I158" s="105"/>
    </row>
    <row r="159" spans="1:9" ht="14.1" customHeight="1" x14ac:dyDescent="0.2">
      <c r="A159" s="1"/>
      <c r="B159" s="1"/>
      <c r="C159" s="11"/>
      <c r="D159" s="1"/>
      <c r="E159" s="1"/>
      <c r="F159" s="12"/>
      <c r="G159" s="12"/>
      <c r="H159" s="105"/>
      <c r="I159" s="105"/>
    </row>
    <row r="160" spans="1:9" ht="14.1" customHeight="1" x14ac:dyDescent="0.2">
      <c r="A160" s="1"/>
      <c r="B160" s="1"/>
      <c r="C160" s="2" t="s">
        <v>153</v>
      </c>
      <c r="D160" s="1"/>
      <c r="E160" s="1"/>
      <c r="F160" s="9">
        <v>23328.552801796999</v>
      </c>
      <c r="G160" s="10">
        <v>7.5902659999999997E-2</v>
      </c>
      <c r="H160" s="105"/>
      <c r="I160" s="105"/>
    </row>
    <row r="161" spans="1:9" ht="14.1" customHeight="1" x14ac:dyDescent="0.2">
      <c r="A161" s="1"/>
      <c r="B161" s="1"/>
      <c r="C161" s="12"/>
      <c r="D161" s="1"/>
      <c r="E161" s="1"/>
      <c r="F161" s="1"/>
      <c r="G161" s="1"/>
      <c r="H161" s="105"/>
      <c r="I161" s="105"/>
    </row>
    <row r="162" spans="1:9" ht="14.1" customHeight="1" x14ac:dyDescent="0.2">
      <c r="A162" s="1"/>
      <c r="B162" s="1"/>
      <c r="C162" s="2" t="s">
        <v>154</v>
      </c>
      <c r="D162" s="1"/>
      <c r="E162" s="1"/>
      <c r="F162" s="1"/>
      <c r="G162" s="1"/>
      <c r="H162" s="105"/>
      <c r="I162" s="105"/>
    </row>
    <row r="163" spans="1:9" ht="14.1" customHeight="1" x14ac:dyDescent="0.2">
      <c r="A163" s="1"/>
      <c r="B163" s="1"/>
      <c r="C163" s="2" t="s">
        <v>155</v>
      </c>
      <c r="D163" s="1"/>
      <c r="E163" s="1"/>
      <c r="F163" s="1"/>
      <c r="G163" s="1"/>
      <c r="H163" s="105"/>
      <c r="I163" s="105"/>
    </row>
    <row r="164" spans="1:9" ht="14.1" customHeight="1" x14ac:dyDescent="0.2">
      <c r="A164" s="1"/>
      <c r="B164" s="1"/>
      <c r="C164" s="2" t="s">
        <v>132</v>
      </c>
      <c r="D164" s="1"/>
      <c r="E164" s="1" t="s">
        <v>133</v>
      </c>
      <c r="F164" s="13" t="s">
        <v>135</v>
      </c>
      <c r="G164" s="10">
        <v>0</v>
      </c>
      <c r="H164" s="105"/>
      <c r="I164" s="105"/>
    </row>
    <row r="165" spans="1:9" ht="14.1" customHeight="1" x14ac:dyDescent="0.2">
      <c r="A165" s="1"/>
      <c r="B165" s="1"/>
      <c r="C165" s="11"/>
      <c r="D165" s="1"/>
      <c r="E165" s="1"/>
      <c r="F165" s="12"/>
      <c r="G165" s="12"/>
      <c r="H165" s="105"/>
      <c r="I165" s="105"/>
    </row>
    <row r="166" spans="1:9" ht="14.1" customHeight="1" x14ac:dyDescent="0.2">
      <c r="A166" s="1"/>
      <c r="B166" s="1"/>
      <c r="C166" s="2" t="s">
        <v>156</v>
      </c>
      <c r="D166" s="1"/>
      <c r="E166" s="1"/>
      <c r="F166" s="1"/>
      <c r="G166" s="1"/>
      <c r="H166" s="105"/>
      <c r="I166" s="105"/>
    </row>
    <row r="167" spans="1:9" ht="14.1" customHeight="1" x14ac:dyDescent="0.2">
      <c r="A167" s="1"/>
      <c r="B167" s="1"/>
      <c r="C167" s="2" t="s">
        <v>157</v>
      </c>
      <c r="D167" s="1"/>
      <c r="E167" s="1"/>
      <c r="F167" s="1"/>
      <c r="G167" s="1"/>
      <c r="H167" s="105"/>
      <c r="I167" s="105"/>
    </row>
    <row r="168" spans="1:9" ht="14.1" customHeight="1" x14ac:dyDescent="0.2">
      <c r="A168" s="1"/>
      <c r="B168" s="1"/>
      <c r="C168" s="2" t="s">
        <v>132</v>
      </c>
      <c r="D168" s="1"/>
      <c r="E168" s="1" t="s">
        <v>133</v>
      </c>
      <c r="F168" s="13" t="s">
        <v>135</v>
      </c>
      <c r="G168" s="10">
        <v>0</v>
      </c>
      <c r="H168" s="105"/>
      <c r="I168" s="105"/>
    </row>
    <row r="169" spans="1:9" ht="14.1" customHeight="1" x14ac:dyDescent="0.2">
      <c r="A169" s="1"/>
      <c r="B169" s="1"/>
      <c r="C169" s="11"/>
      <c r="D169" s="1"/>
      <c r="E169" s="1"/>
      <c r="F169" s="12"/>
      <c r="G169" s="12"/>
      <c r="H169" s="105"/>
      <c r="I169" s="105"/>
    </row>
    <row r="170" spans="1:9" ht="24" customHeight="1" x14ac:dyDescent="0.2">
      <c r="A170" s="1"/>
      <c r="B170" s="1"/>
      <c r="C170" s="2" t="s">
        <v>158</v>
      </c>
      <c r="D170" s="1"/>
      <c r="E170" s="1"/>
      <c r="F170" s="12"/>
      <c r="G170" s="12"/>
      <c r="H170" s="105"/>
      <c r="I170" s="105"/>
    </row>
    <row r="171" spans="1:9" ht="14.1" customHeight="1" x14ac:dyDescent="0.2">
      <c r="A171" s="1"/>
      <c r="B171" s="1"/>
      <c r="C171" s="2" t="s">
        <v>132</v>
      </c>
      <c r="D171" s="1"/>
      <c r="E171" s="1" t="s">
        <v>133</v>
      </c>
      <c r="F171" s="13" t="s">
        <v>135</v>
      </c>
      <c r="G171" s="10">
        <v>0</v>
      </c>
      <c r="H171" s="105"/>
      <c r="I171" s="105"/>
    </row>
    <row r="172" spans="1:9" ht="14.1" customHeight="1" x14ac:dyDescent="0.2">
      <c r="A172" s="1"/>
      <c r="B172" s="1"/>
      <c r="C172" s="11"/>
      <c r="D172" s="1"/>
      <c r="E172" s="1"/>
      <c r="F172" s="12"/>
      <c r="G172" s="12"/>
      <c r="H172" s="105"/>
      <c r="I172" s="105"/>
    </row>
    <row r="173" spans="1:9" ht="14.1" customHeight="1" x14ac:dyDescent="0.2">
      <c r="A173" s="1"/>
      <c r="B173" s="4"/>
      <c r="C173" s="4"/>
      <c r="D173" s="2"/>
      <c r="E173" s="1"/>
      <c r="F173" s="4"/>
      <c r="G173" s="8"/>
      <c r="H173" s="105"/>
      <c r="I173" s="105"/>
    </row>
    <row r="174" spans="1:9" ht="18" customHeight="1" x14ac:dyDescent="0.2">
      <c r="A174" s="8"/>
      <c r="B174" s="4"/>
      <c r="C174" s="40" t="s">
        <v>955</v>
      </c>
      <c r="D174" s="4"/>
      <c r="E174" s="8"/>
      <c r="F174" s="6">
        <v>4719.60020394</v>
      </c>
      <c r="G174" s="7">
        <v>1.5355870000000001E-2</v>
      </c>
      <c r="H174" s="105"/>
      <c r="I174" s="105"/>
    </row>
    <row r="175" spans="1:9" ht="14.1" customHeight="1" x14ac:dyDescent="0.2">
      <c r="A175" s="11"/>
      <c r="B175" s="11"/>
      <c r="C175" s="2" t="s">
        <v>160</v>
      </c>
      <c r="D175" s="12"/>
      <c r="E175" s="12"/>
      <c r="F175" s="9">
        <v>307348.28947573702</v>
      </c>
      <c r="G175" s="14">
        <v>1.00000007</v>
      </c>
      <c r="H175" s="105"/>
      <c r="I175" s="105"/>
    </row>
    <row r="176" spans="1:9" ht="14.1" customHeight="1" x14ac:dyDescent="0.2">
      <c r="A176" s="15"/>
      <c r="B176" s="15"/>
      <c r="C176" s="15"/>
      <c r="D176" s="16"/>
      <c r="E176" s="16"/>
      <c r="F176" s="16"/>
      <c r="G176" s="16"/>
    </row>
    <row r="177" spans="1:16" ht="17.100000000000001" customHeight="1" x14ac:dyDescent="0.2">
      <c r="A177" s="45"/>
      <c r="B177" s="192" t="s">
        <v>932</v>
      </c>
      <c r="C177" s="192"/>
      <c r="D177" s="192"/>
      <c r="E177" s="192"/>
      <c r="F177" s="192"/>
      <c r="G177" s="46"/>
    </row>
    <row r="178" spans="1:16" ht="17.100000000000001" customHeight="1" x14ac:dyDescent="0.2">
      <c r="A178" s="57"/>
      <c r="B178" s="192" t="s">
        <v>161</v>
      </c>
      <c r="C178" s="192"/>
      <c r="D178" s="192"/>
      <c r="E178" s="192"/>
      <c r="F178" s="192"/>
      <c r="G178" s="46"/>
    </row>
    <row r="179" spans="1:16" ht="17.100000000000001" customHeight="1" x14ac:dyDescent="0.2">
      <c r="A179" s="45"/>
      <c r="B179" s="192" t="s">
        <v>933</v>
      </c>
      <c r="C179" s="192"/>
      <c r="D179" s="192"/>
      <c r="E179" s="192"/>
      <c r="F179" s="192"/>
      <c r="G179" s="46"/>
    </row>
    <row r="180" spans="1:16" s="53" customFormat="1" x14ac:dyDescent="0.2">
      <c r="A180" s="58"/>
      <c r="B180" s="198" t="s">
        <v>956</v>
      </c>
      <c r="C180" s="198"/>
      <c r="D180" s="198"/>
      <c r="E180" s="198"/>
      <c r="F180" s="198"/>
      <c r="G180" s="59"/>
      <c r="H180"/>
      <c r="I180"/>
      <c r="J180"/>
      <c r="K180"/>
      <c r="L180"/>
      <c r="M180"/>
      <c r="N180"/>
      <c r="O180"/>
      <c r="P180"/>
    </row>
    <row r="181" spans="1:16" s="43" customFormat="1" ht="69.75" customHeight="1" x14ac:dyDescent="0.25">
      <c r="A181" s="41"/>
      <c r="B181" s="191" t="s">
        <v>881</v>
      </c>
      <c r="C181" s="191"/>
      <c r="D181" s="191"/>
      <c r="E181" s="191"/>
      <c r="F181" s="191"/>
      <c r="G181" s="42"/>
      <c r="H181"/>
      <c r="I181"/>
      <c r="J181"/>
      <c r="K181"/>
      <c r="L181"/>
      <c r="M181"/>
      <c r="N181"/>
      <c r="O181"/>
      <c r="P181"/>
    </row>
    <row r="182" spans="1:16" ht="14.1" customHeight="1" x14ac:dyDescent="0.2">
      <c r="A182" s="17"/>
      <c r="B182" s="17"/>
      <c r="C182" s="17"/>
      <c r="D182" s="19"/>
      <c r="E182" s="19"/>
      <c r="F182" s="19"/>
      <c r="G182" s="19"/>
    </row>
    <row r="183" spans="1:16" ht="14.1" customHeight="1" x14ac:dyDescent="0.2">
      <c r="A183" s="17"/>
      <c r="B183" s="179" t="s">
        <v>162</v>
      </c>
      <c r="C183" s="180"/>
      <c r="D183" s="181"/>
      <c r="E183" s="20"/>
      <c r="F183" s="19"/>
      <c r="G183" s="19"/>
    </row>
    <row r="184" spans="1:16" ht="29.1" customHeight="1" x14ac:dyDescent="0.2">
      <c r="A184" s="17"/>
      <c r="B184" s="176" t="s">
        <v>163</v>
      </c>
      <c r="C184" s="177"/>
      <c r="D184" s="56" t="s">
        <v>989</v>
      </c>
      <c r="E184" s="20"/>
      <c r="F184" s="19"/>
      <c r="G184" s="19"/>
    </row>
    <row r="185" spans="1:16" ht="17.100000000000001" customHeight="1" x14ac:dyDescent="0.2">
      <c r="A185" s="17"/>
      <c r="B185" s="190" t="s">
        <v>935</v>
      </c>
      <c r="C185" s="177"/>
      <c r="D185" s="56" t="s">
        <v>952</v>
      </c>
      <c r="E185" s="20"/>
      <c r="F185" s="19"/>
      <c r="G185" s="19"/>
    </row>
    <row r="186" spans="1:16" ht="17.100000000000001" customHeight="1" x14ac:dyDescent="0.2">
      <c r="A186" s="17"/>
      <c r="B186" s="176" t="s">
        <v>166</v>
      </c>
      <c r="C186" s="177"/>
      <c r="D186" s="12" t="s">
        <v>133</v>
      </c>
      <c r="E186" s="20"/>
      <c r="F186" s="19"/>
      <c r="G186" s="19"/>
    </row>
    <row r="187" spans="1:16" ht="24" customHeight="1" x14ac:dyDescent="0.2">
      <c r="A187" s="21"/>
      <c r="B187" s="22" t="s">
        <v>133</v>
      </c>
      <c r="C187" s="22" t="s">
        <v>167</v>
      </c>
      <c r="D187" s="22" t="s">
        <v>168</v>
      </c>
      <c r="E187" s="21"/>
      <c r="F187" s="21"/>
      <c r="G187" s="21"/>
    </row>
    <row r="188" spans="1:16" ht="18" customHeight="1" x14ac:dyDescent="0.2">
      <c r="A188" s="21"/>
      <c r="B188" s="23" t="s">
        <v>169</v>
      </c>
      <c r="C188" s="22" t="s">
        <v>170</v>
      </c>
      <c r="D188" s="22" t="s">
        <v>171</v>
      </c>
      <c r="E188" s="21"/>
      <c r="F188" s="21"/>
      <c r="G188" s="21"/>
    </row>
    <row r="189" spans="1:16" ht="17.100000000000001" customHeight="1" x14ac:dyDescent="0.2">
      <c r="A189" s="21"/>
      <c r="B189" s="4" t="s">
        <v>172</v>
      </c>
      <c r="C189" s="24">
        <v>123.6979</v>
      </c>
      <c r="D189" s="24">
        <v>126.6515</v>
      </c>
      <c r="E189" s="21"/>
      <c r="F189" s="18"/>
      <c r="G189" s="25"/>
    </row>
    <row r="190" spans="1:16" ht="29.1" customHeight="1" x14ac:dyDescent="0.2">
      <c r="A190" s="21"/>
      <c r="B190" s="4" t="s">
        <v>1011</v>
      </c>
      <c r="C190" s="24">
        <v>36.33</v>
      </c>
      <c r="D190" s="24">
        <v>36.843200000000003</v>
      </c>
      <c r="E190" s="21"/>
      <c r="F190" s="18"/>
      <c r="G190" s="25"/>
    </row>
    <row r="191" spans="1:16" ht="17.100000000000001" customHeight="1" x14ac:dyDescent="0.2">
      <c r="A191" s="21"/>
      <c r="B191" s="4" t="s">
        <v>173</v>
      </c>
      <c r="C191" s="24">
        <v>110.7679</v>
      </c>
      <c r="D191" s="24">
        <v>113.3047</v>
      </c>
      <c r="E191" s="21"/>
      <c r="F191" s="18"/>
      <c r="G191" s="25"/>
      <c r="P191" s="61"/>
    </row>
    <row r="192" spans="1:16" ht="29.1" customHeight="1" x14ac:dyDescent="0.2">
      <c r="A192" s="21"/>
      <c r="B192" s="4" t="s">
        <v>1013</v>
      </c>
      <c r="C192" s="24">
        <v>24.662800000000001</v>
      </c>
      <c r="D192" s="24">
        <v>24.974599999999999</v>
      </c>
      <c r="E192" s="21"/>
      <c r="F192" s="18"/>
      <c r="G192" s="25"/>
      <c r="P192" s="61"/>
    </row>
    <row r="193" spans="1:16" ht="14.1" customHeight="1" x14ac:dyDescent="0.2">
      <c r="A193" s="21"/>
      <c r="B193" s="21"/>
      <c r="C193" s="21"/>
      <c r="D193" s="21"/>
      <c r="E193" s="21"/>
      <c r="F193" s="21"/>
      <c r="G193" s="21"/>
      <c r="P193" s="61"/>
    </row>
    <row r="194" spans="1:16" ht="17.100000000000001" customHeight="1" x14ac:dyDescent="0.2">
      <c r="A194" s="21"/>
      <c r="B194" s="176" t="s">
        <v>1008</v>
      </c>
      <c r="C194" s="177"/>
      <c r="D194" s="2" t="s">
        <v>133</v>
      </c>
      <c r="E194" s="21"/>
      <c r="F194" s="21"/>
      <c r="G194" s="21"/>
      <c r="P194" s="61"/>
    </row>
    <row r="195" spans="1:16" ht="18" customHeight="1" x14ac:dyDescent="0.2">
      <c r="A195" s="21"/>
      <c r="B195" s="29" t="s">
        <v>169</v>
      </c>
      <c r="C195" s="30" t="s">
        <v>651</v>
      </c>
      <c r="D195" s="30" t="s">
        <v>652</v>
      </c>
      <c r="E195" s="21"/>
      <c r="F195" s="21"/>
      <c r="G195" s="21"/>
      <c r="P195" s="61"/>
    </row>
    <row r="196" spans="1:16" ht="29.1" customHeight="1" x14ac:dyDescent="0.2">
      <c r="A196" s="21"/>
      <c r="B196" s="4" t="s">
        <v>1011</v>
      </c>
      <c r="C196" s="31">
        <v>0.35</v>
      </c>
      <c r="D196" s="31">
        <v>0.35</v>
      </c>
      <c r="E196" s="21"/>
      <c r="F196" s="18"/>
      <c r="G196" s="25"/>
      <c r="P196" s="61"/>
    </row>
    <row r="197" spans="1:16" ht="29.1" customHeight="1" x14ac:dyDescent="0.2">
      <c r="A197" s="21"/>
      <c r="B197" s="4" t="s">
        <v>1013</v>
      </c>
      <c r="C197" s="31">
        <v>0.25</v>
      </c>
      <c r="D197" s="31">
        <v>0.25</v>
      </c>
      <c r="E197" s="21"/>
      <c r="F197" s="18"/>
      <c r="G197" s="25"/>
      <c r="P197" s="61"/>
    </row>
    <row r="198" spans="1:16" ht="14.1" customHeight="1" x14ac:dyDescent="0.2">
      <c r="A198" s="21"/>
      <c r="B198" s="32"/>
      <c r="C198" s="32"/>
      <c r="D198" s="33"/>
      <c r="E198" s="21"/>
      <c r="F198" s="18"/>
      <c r="G198" s="25"/>
      <c r="P198" s="61"/>
    </row>
    <row r="199" spans="1:16" ht="29.1" customHeight="1" x14ac:dyDescent="0.2">
      <c r="A199" s="21"/>
      <c r="B199" s="176" t="s">
        <v>174</v>
      </c>
      <c r="C199" s="177"/>
      <c r="D199" s="2" t="s">
        <v>164</v>
      </c>
      <c r="E199" s="27"/>
      <c r="F199" s="21"/>
      <c r="G199" s="21"/>
      <c r="P199" s="61"/>
    </row>
    <row r="200" spans="1:16" ht="29.1" customHeight="1" x14ac:dyDescent="0.2">
      <c r="A200" s="21"/>
      <c r="B200" s="176" t="s">
        <v>175</v>
      </c>
      <c r="C200" s="177"/>
      <c r="D200" s="2" t="s">
        <v>164</v>
      </c>
      <c r="E200" s="27"/>
      <c r="F200" s="21"/>
      <c r="G200" s="21"/>
      <c r="P200" s="61"/>
    </row>
    <row r="201" spans="1:16" ht="17.100000000000001" customHeight="1" x14ac:dyDescent="0.2">
      <c r="A201" s="21"/>
      <c r="B201" s="176" t="s">
        <v>176</v>
      </c>
      <c r="C201" s="177"/>
      <c r="D201" s="2" t="s">
        <v>164</v>
      </c>
      <c r="E201" s="27"/>
      <c r="F201" s="21"/>
      <c r="G201" s="21"/>
      <c r="P201" s="61"/>
    </row>
    <row r="202" spans="1:16" ht="17.100000000000001" customHeight="1" x14ac:dyDescent="0.2">
      <c r="A202" s="21"/>
      <c r="B202" s="176" t="s">
        <v>177</v>
      </c>
      <c r="C202" s="177"/>
      <c r="D202" s="60">
        <v>0.63033358765521397</v>
      </c>
      <c r="E202" s="21"/>
      <c r="F202" s="18"/>
      <c r="G202" s="25"/>
    </row>
    <row r="204" spans="1:16" s="61" customFormat="1" x14ac:dyDescent="0.2">
      <c r="B204" s="62" t="s">
        <v>996</v>
      </c>
      <c r="J204"/>
      <c r="K204"/>
      <c r="L204"/>
      <c r="M204"/>
      <c r="N204"/>
      <c r="O204"/>
      <c r="P204"/>
    </row>
    <row r="205" spans="1:16" s="61" customFormat="1" ht="38.25" x14ac:dyDescent="0.2">
      <c r="B205" s="63" t="s">
        <v>961</v>
      </c>
      <c r="C205" s="63" t="s">
        <v>962</v>
      </c>
      <c r="D205" s="63" t="s">
        <v>963</v>
      </c>
      <c r="E205" s="63" t="s">
        <v>964</v>
      </c>
      <c r="F205" s="63" t="s">
        <v>965</v>
      </c>
      <c r="J205" s="53"/>
      <c r="K205"/>
      <c r="L205"/>
      <c r="M205"/>
      <c r="N205"/>
      <c r="O205"/>
      <c r="P205"/>
    </row>
    <row r="206" spans="1:16" s="61" customFormat="1" ht="25.5" x14ac:dyDescent="0.2">
      <c r="B206" s="64" t="s">
        <v>966</v>
      </c>
      <c r="C206" s="65" t="s">
        <v>967</v>
      </c>
      <c r="D206" s="66">
        <v>0</v>
      </c>
      <c r="E206" s="67">
        <v>0</v>
      </c>
      <c r="F206" s="68">
        <v>1000</v>
      </c>
      <c r="J206" s="53"/>
      <c r="K206"/>
      <c r="L206"/>
      <c r="M206"/>
      <c r="N206"/>
      <c r="O206"/>
      <c r="P206"/>
    </row>
    <row r="207" spans="1:16" s="61" customFormat="1" x14ac:dyDescent="0.2">
      <c r="B207" s="62"/>
      <c r="J207" s="53"/>
      <c r="K207"/>
      <c r="L207"/>
      <c r="M207"/>
      <c r="N207"/>
      <c r="O207"/>
      <c r="P207"/>
    </row>
    <row r="208" spans="1:16" s="61" customFormat="1" ht="29.25" customHeight="1" x14ac:dyDescent="0.2">
      <c r="B208" s="69" t="s">
        <v>968</v>
      </c>
      <c r="C208" s="69" t="s">
        <v>969</v>
      </c>
      <c r="D208" s="193" t="s">
        <v>970</v>
      </c>
      <c r="E208" s="194"/>
      <c r="F208" s="195" t="s">
        <v>971</v>
      </c>
      <c r="G208" s="195"/>
      <c r="H208" s="70"/>
      <c r="I208" s="71"/>
      <c r="J208" s="53"/>
      <c r="K208"/>
      <c r="L208"/>
      <c r="M208"/>
      <c r="N208"/>
      <c r="O208"/>
      <c r="P208"/>
    </row>
    <row r="209" spans="2:16" s="61" customFormat="1" ht="25.5" x14ac:dyDescent="0.2">
      <c r="B209" s="72" t="s">
        <v>972</v>
      </c>
      <c r="C209" s="73" t="s">
        <v>973</v>
      </c>
      <c r="D209" s="196">
        <v>0</v>
      </c>
      <c r="E209" s="197"/>
      <c r="F209" s="196">
        <v>0</v>
      </c>
      <c r="G209" s="197"/>
      <c r="H209" s="74"/>
      <c r="I209" s="71"/>
      <c r="J209" s="53"/>
      <c r="K209"/>
      <c r="L209"/>
      <c r="M209"/>
      <c r="N209"/>
      <c r="O209"/>
      <c r="P209"/>
    </row>
    <row r="210" spans="2:16" s="61" customFormat="1" x14ac:dyDescent="0.2">
      <c r="B210" s="199" t="s">
        <v>974</v>
      </c>
      <c r="C210" s="200"/>
      <c r="D210" s="200"/>
      <c r="E210" s="200"/>
      <c r="F210" s="200"/>
      <c r="G210" s="201"/>
      <c r="H210" s="74"/>
      <c r="I210" s="71"/>
      <c r="J210" s="53"/>
      <c r="K210"/>
      <c r="L210"/>
      <c r="M210"/>
      <c r="N210"/>
      <c r="O210"/>
      <c r="P210"/>
    </row>
    <row r="211" spans="2:16" s="61" customFormat="1" x14ac:dyDescent="0.2">
      <c r="B211" s="195" t="s">
        <v>968</v>
      </c>
      <c r="C211" s="195" t="s">
        <v>969</v>
      </c>
      <c r="D211" s="199" t="s">
        <v>975</v>
      </c>
      <c r="E211" s="200"/>
      <c r="F211" s="201"/>
      <c r="G211" s="72"/>
      <c r="H211" s="74"/>
      <c r="I211" s="71"/>
      <c r="J211" s="53"/>
      <c r="K211"/>
      <c r="L211"/>
      <c r="M211"/>
      <c r="N211"/>
      <c r="O211"/>
      <c r="P211"/>
    </row>
    <row r="212" spans="2:16" s="61" customFormat="1" ht="38.25" x14ac:dyDescent="0.2">
      <c r="B212" s="195"/>
      <c r="C212" s="195"/>
      <c r="D212" s="75" t="s">
        <v>976</v>
      </c>
      <c r="E212" s="75" t="s">
        <v>977</v>
      </c>
      <c r="F212" s="75" t="s">
        <v>978</v>
      </c>
      <c r="G212" s="75" t="s">
        <v>988</v>
      </c>
      <c r="H212" s="74"/>
      <c r="I212" s="71"/>
      <c r="J212" s="53"/>
      <c r="K212"/>
      <c r="L212"/>
      <c r="M212"/>
      <c r="N212"/>
      <c r="O212"/>
      <c r="P212"/>
    </row>
    <row r="213" spans="2:16" s="61" customFormat="1" ht="25.5" x14ac:dyDescent="0.2">
      <c r="B213" s="76" t="s">
        <v>972</v>
      </c>
      <c r="C213" s="73" t="s">
        <v>973</v>
      </c>
      <c r="D213" s="77">
        <v>700</v>
      </c>
      <c r="E213" s="77">
        <v>24.098357999999998</v>
      </c>
      <c r="F213" s="78">
        <v>724.09835799999996</v>
      </c>
      <c r="G213" s="79">
        <v>2.4193962481950503E-3</v>
      </c>
      <c r="H213" s="74"/>
      <c r="I213" s="71"/>
      <c r="J213" s="53"/>
      <c r="K213"/>
      <c r="L213"/>
      <c r="M213"/>
      <c r="N213"/>
      <c r="O213"/>
      <c r="P213"/>
    </row>
    <row r="214" spans="2:16" s="61" customFormat="1" ht="27.75" customHeight="1" x14ac:dyDescent="0.2">
      <c r="B214" s="202" t="s">
        <v>979</v>
      </c>
      <c r="C214" s="203"/>
      <c r="D214" s="203"/>
      <c r="E214" s="203"/>
      <c r="F214" s="203"/>
      <c r="G214" s="204"/>
      <c r="H214" s="74"/>
      <c r="I214" s="71"/>
      <c r="J214" s="53"/>
      <c r="K214"/>
      <c r="L214"/>
      <c r="M214"/>
      <c r="N214"/>
      <c r="O214"/>
      <c r="P214"/>
    </row>
    <row r="215" spans="2:16" ht="15" x14ac:dyDescent="0.2">
      <c r="J215" s="80"/>
    </row>
    <row r="216" spans="2:16" ht="15" x14ac:dyDescent="0.25">
      <c r="B216" s="205" t="s">
        <v>980</v>
      </c>
      <c r="C216" s="206"/>
      <c r="D216" s="207"/>
      <c r="J216" s="82"/>
    </row>
    <row r="217" spans="2:16" ht="38.25" x14ac:dyDescent="0.2">
      <c r="B217" s="208" t="s">
        <v>981</v>
      </c>
      <c r="C217" s="208"/>
      <c r="D217" s="81" t="s">
        <v>549</v>
      </c>
      <c r="J217" s="53"/>
    </row>
    <row r="218" spans="2:16" x14ac:dyDescent="0.2">
      <c r="B218" s="208" t="s">
        <v>982</v>
      </c>
      <c r="C218" s="208"/>
      <c r="D218" s="81"/>
    </row>
    <row r="219" spans="2:16" x14ac:dyDescent="0.2">
      <c r="B219" s="209"/>
      <c r="C219" s="210"/>
      <c r="D219" s="83"/>
    </row>
    <row r="220" spans="2:16" x14ac:dyDescent="0.2">
      <c r="B220" s="208" t="s">
        <v>983</v>
      </c>
      <c r="C220" s="208"/>
      <c r="D220" s="84">
        <v>7.3291169123217887</v>
      </c>
    </row>
    <row r="221" spans="2:16" x14ac:dyDescent="0.2">
      <c r="B221" s="209"/>
      <c r="C221" s="210"/>
      <c r="D221" s="83"/>
    </row>
    <row r="222" spans="2:16" x14ac:dyDescent="0.2">
      <c r="B222" s="208" t="s">
        <v>984</v>
      </c>
      <c r="C222" s="208"/>
      <c r="D222" s="84">
        <v>3.3632724699877476</v>
      </c>
    </row>
    <row r="223" spans="2:16" x14ac:dyDescent="0.2">
      <c r="B223" s="208" t="s">
        <v>985</v>
      </c>
      <c r="C223" s="208"/>
      <c r="D223" s="84">
        <v>4.7288667999236704</v>
      </c>
    </row>
    <row r="224" spans="2:16" x14ac:dyDescent="0.2">
      <c r="B224" s="209"/>
      <c r="C224" s="210"/>
      <c r="D224" s="83"/>
    </row>
    <row r="225" spans="2:4" x14ac:dyDescent="0.2">
      <c r="B225" s="208" t="s">
        <v>986</v>
      </c>
      <c r="C225" s="208"/>
      <c r="D225" s="85">
        <v>45046</v>
      </c>
    </row>
    <row r="226" spans="2:4" ht="12.75" customHeight="1" x14ac:dyDescent="0.2">
      <c r="B226" s="209" t="s">
        <v>987</v>
      </c>
      <c r="C226" s="211"/>
      <c r="D226" s="210"/>
    </row>
  </sheetData>
  <mergeCells count="38">
    <mergeCell ref="B226:D226"/>
    <mergeCell ref="B221:C221"/>
    <mergeCell ref="B222:C222"/>
    <mergeCell ref="B223:C223"/>
    <mergeCell ref="B224:C224"/>
    <mergeCell ref="B225:C225"/>
    <mergeCell ref="B216:D216"/>
    <mergeCell ref="B217:C217"/>
    <mergeCell ref="B218:C218"/>
    <mergeCell ref="B219:C219"/>
    <mergeCell ref="B220:C220"/>
    <mergeCell ref="B210:G210"/>
    <mergeCell ref="B211:B212"/>
    <mergeCell ref="C211:C212"/>
    <mergeCell ref="D211:F211"/>
    <mergeCell ref="B214:G214"/>
    <mergeCell ref="B178:F178"/>
    <mergeCell ref="D208:E208"/>
    <mergeCell ref="F208:G208"/>
    <mergeCell ref="D209:E209"/>
    <mergeCell ref="F209:G209"/>
    <mergeCell ref="B180:F180"/>
    <mergeCell ref="K2:O2"/>
    <mergeCell ref="A1:I1"/>
    <mergeCell ref="A2:I2"/>
    <mergeCell ref="A3:I3"/>
    <mergeCell ref="B202:C202"/>
    <mergeCell ref="B185:C185"/>
    <mergeCell ref="B186:C186"/>
    <mergeCell ref="B194:C194"/>
    <mergeCell ref="B199:C199"/>
    <mergeCell ref="B200:C200"/>
    <mergeCell ref="B201:C201"/>
    <mergeCell ref="B184:C184"/>
    <mergeCell ref="B181:F181"/>
    <mergeCell ref="B183:D183"/>
    <mergeCell ref="B177:F177"/>
    <mergeCell ref="B179:F179"/>
  </mergeCells>
  <hyperlinks>
    <hyperlink ref="J1" location="Index!B21" display="Index" xr:uid="{80F3EBDB-D6AD-4C5A-ACB3-66DA9AD368D3}"/>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outlinePr summaryBelow="0" summaryRight="0"/>
  </sheetPr>
  <dimension ref="A1:O156"/>
  <sheetViews>
    <sheetView showGridLines="0" workbookViewId="0">
      <selection sqref="A1:H1"/>
    </sheetView>
  </sheetViews>
  <sheetFormatPr defaultRowHeight="12.75" x14ac:dyDescent="0.2"/>
  <cols>
    <col min="1" max="1" width="6.85546875" customWidth="1"/>
    <col min="2" max="2" width="20.5703125" customWidth="1"/>
    <col min="3" max="3" width="35" customWidth="1"/>
    <col min="4" max="4" width="17.85546875" customWidth="1"/>
    <col min="5" max="6" width="19.140625" customWidth="1"/>
    <col min="7" max="7" width="16.42578125" customWidth="1"/>
  </cols>
  <sheetData>
    <row r="1" spans="1:15" ht="18" customHeight="1" x14ac:dyDescent="0.2">
      <c r="A1" s="182" t="s">
        <v>0</v>
      </c>
      <c r="B1" s="182"/>
      <c r="C1" s="182"/>
      <c r="D1" s="182"/>
      <c r="E1" s="182"/>
      <c r="F1" s="182"/>
      <c r="G1" s="182"/>
      <c r="H1" s="182"/>
      <c r="I1" s="159" t="s">
        <v>1044</v>
      </c>
    </row>
    <row r="2" spans="1:15" ht="17.100000000000001" customHeight="1" x14ac:dyDescent="0.2">
      <c r="A2" s="183" t="s">
        <v>653</v>
      </c>
      <c r="B2" s="184"/>
      <c r="C2" s="184"/>
      <c r="D2" s="184"/>
      <c r="E2" s="184"/>
      <c r="F2" s="184"/>
      <c r="G2" s="184"/>
      <c r="H2" s="185"/>
      <c r="J2" s="175" t="s">
        <v>1045</v>
      </c>
      <c r="K2" s="175"/>
      <c r="L2" s="175"/>
      <c r="M2" s="175"/>
      <c r="N2" s="175"/>
    </row>
    <row r="3" spans="1:15" ht="21" customHeight="1" x14ac:dyDescent="0.2">
      <c r="A3" s="182" t="s">
        <v>1016</v>
      </c>
      <c r="B3" s="182"/>
      <c r="C3" s="182"/>
      <c r="D3" s="182"/>
      <c r="E3" s="182"/>
      <c r="F3" s="182"/>
      <c r="G3" s="182"/>
      <c r="H3" s="182"/>
    </row>
    <row r="4" spans="1:15" ht="30" x14ac:dyDescent="0.2">
      <c r="A4" s="107" t="s">
        <v>2</v>
      </c>
      <c r="B4" s="107" t="s">
        <v>3</v>
      </c>
      <c r="C4" s="107" t="s">
        <v>4</v>
      </c>
      <c r="D4" s="107" t="s">
        <v>5</v>
      </c>
      <c r="E4" s="107" t="s">
        <v>6</v>
      </c>
      <c r="F4" s="107" t="s">
        <v>7</v>
      </c>
      <c r="G4" s="107" t="s">
        <v>8</v>
      </c>
      <c r="H4" s="104" t="s">
        <v>1003</v>
      </c>
      <c r="I4" s="108"/>
      <c r="J4" s="108"/>
      <c r="K4" s="108"/>
      <c r="L4" s="108"/>
      <c r="M4" s="108"/>
      <c r="N4" s="108"/>
      <c r="O4" s="108"/>
    </row>
    <row r="5" spans="1:15" ht="14.1" customHeight="1" x14ac:dyDescent="0.2">
      <c r="A5" s="1"/>
      <c r="B5" s="1"/>
      <c r="C5" s="2" t="s">
        <v>9</v>
      </c>
      <c r="D5" s="1"/>
      <c r="E5" s="1"/>
      <c r="F5" s="1"/>
      <c r="G5" s="1"/>
      <c r="H5" s="105"/>
    </row>
    <row r="6" spans="1:15" ht="24" customHeight="1" x14ac:dyDescent="0.2">
      <c r="A6" s="1"/>
      <c r="B6" s="1"/>
      <c r="C6" s="2" t="s">
        <v>10</v>
      </c>
      <c r="D6" s="1"/>
      <c r="E6" s="1"/>
      <c r="F6" s="1"/>
      <c r="G6" s="1"/>
      <c r="H6" s="105"/>
    </row>
    <row r="7" spans="1:15" ht="17.100000000000001" customHeight="1" x14ac:dyDescent="0.2">
      <c r="A7" s="3">
        <v>1</v>
      </c>
      <c r="B7" s="4" t="s">
        <v>361</v>
      </c>
      <c r="C7" s="4" t="s">
        <v>362</v>
      </c>
      <c r="D7" s="4" t="s">
        <v>25</v>
      </c>
      <c r="E7" s="5">
        <v>39200</v>
      </c>
      <c r="F7" s="6">
        <v>759.71559999999999</v>
      </c>
      <c r="G7" s="7">
        <v>0.10221073999999999</v>
      </c>
      <c r="H7" s="105"/>
    </row>
    <row r="8" spans="1:15" ht="17.100000000000001" customHeight="1" x14ac:dyDescent="0.2">
      <c r="A8" s="3">
        <v>2</v>
      </c>
      <c r="B8" s="4" t="s">
        <v>92</v>
      </c>
      <c r="C8" s="4" t="s">
        <v>93</v>
      </c>
      <c r="D8" s="4" t="s">
        <v>94</v>
      </c>
      <c r="E8" s="5">
        <v>454300</v>
      </c>
      <c r="F8" s="6">
        <v>722.10985000000005</v>
      </c>
      <c r="G8" s="7">
        <v>9.7151329999999994E-2</v>
      </c>
      <c r="H8" s="105"/>
    </row>
    <row r="9" spans="1:15" ht="17.100000000000001" customHeight="1" x14ac:dyDescent="0.2">
      <c r="A9" s="3">
        <v>3</v>
      </c>
      <c r="B9" s="4" t="s">
        <v>23</v>
      </c>
      <c r="C9" s="4" t="s">
        <v>24</v>
      </c>
      <c r="D9" s="4" t="s">
        <v>25</v>
      </c>
      <c r="E9" s="5">
        <v>77700</v>
      </c>
      <c r="F9" s="6">
        <v>713.01405</v>
      </c>
      <c r="G9" s="7">
        <v>9.5927600000000002E-2</v>
      </c>
      <c r="H9" s="105"/>
    </row>
    <row r="10" spans="1:15" ht="17.100000000000001" customHeight="1" x14ac:dyDescent="0.2">
      <c r="A10" s="3">
        <v>4</v>
      </c>
      <c r="B10" s="4" t="s">
        <v>349</v>
      </c>
      <c r="C10" s="4" t="s">
        <v>350</v>
      </c>
      <c r="D10" s="4" t="s">
        <v>128</v>
      </c>
      <c r="E10" s="5">
        <v>6375</v>
      </c>
      <c r="F10" s="6">
        <v>400.35637500000001</v>
      </c>
      <c r="G10" s="7">
        <v>5.3863210000000002E-2</v>
      </c>
      <c r="H10" s="105"/>
    </row>
    <row r="11" spans="1:15" ht="17.100000000000001" customHeight="1" x14ac:dyDescent="0.2">
      <c r="A11" s="3">
        <v>5</v>
      </c>
      <c r="B11" s="4" t="s">
        <v>654</v>
      </c>
      <c r="C11" s="4" t="s">
        <v>655</v>
      </c>
      <c r="D11" s="4" t="s">
        <v>91</v>
      </c>
      <c r="E11" s="5">
        <v>85800</v>
      </c>
      <c r="F11" s="6">
        <v>365.67959999999999</v>
      </c>
      <c r="G11" s="7">
        <v>4.9197860000000003E-2</v>
      </c>
      <c r="H11" s="105"/>
    </row>
    <row r="12" spans="1:15" ht="17.100000000000001" customHeight="1" x14ac:dyDescent="0.2">
      <c r="A12" s="3">
        <v>6</v>
      </c>
      <c r="B12" s="4" t="s">
        <v>230</v>
      </c>
      <c r="C12" s="4" t="s">
        <v>231</v>
      </c>
      <c r="D12" s="4" t="s">
        <v>232</v>
      </c>
      <c r="E12" s="5">
        <v>180000</v>
      </c>
      <c r="F12" s="6">
        <v>354.15</v>
      </c>
      <c r="G12" s="7">
        <v>4.7646689999999998E-2</v>
      </c>
      <c r="H12" s="105"/>
      <c r="J12" s="161"/>
    </row>
    <row r="13" spans="1:15" ht="17.100000000000001" customHeight="1" x14ac:dyDescent="0.2">
      <c r="A13" s="3">
        <v>7</v>
      </c>
      <c r="B13" s="4" t="s">
        <v>17</v>
      </c>
      <c r="C13" s="4" t="s">
        <v>18</v>
      </c>
      <c r="D13" s="4" t="s">
        <v>19</v>
      </c>
      <c r="E13" s="5">
        <v>13750</v>
      </c>
      <c r="F13" s="6">
        <v>332.81875000000002</v>
      </c>
      <c r="G13" s="7">
        <v>4.4776820000000002E-2</v>
      </c>
      <c r="H13" s="105"/>
    </row>
    <row r="14" spans="1:15" ht="17.100000000000001" customHeight="1" x14ac:dyDescent="0.2">
      <c r="A14" s="3">
        <v>8</v>
      </c>
      <c r="B14" s="4" t="s">
        <v>14</v>
      </c>
      <c r="C14" s="4" t="s">
        <v>15</v>
      </c>
      <c r="D14" s="4" t="s">
        <v>16</v>
      </c>
      <c r="E14" s="5">
        <v>38950</v>
      </c>
      <c r="F14" s="6">
        <v>311.32735000000002</v>
      </c>
      <c r="G14" s="7">
        <v>4.1885409999999998E-2</v>
      </c>
      <c r="H14" s="105"/>
      <c r="J14" s="161" t="s">
        <v>1058</v>
      </c>
    </row>
    <row r="15" spans="1:15" ht="17.100000000000001" customHeight="1" x14ac:dyDescent="0.2">
      <c r="A15" s="3">
        <v>9</v>
      </c>
      <c r="B15" s="4" t="s">
        <v>103</v>
      </c>
      <c r="C15" s="4" t="s">
        <v>104</v>
      </c>
      <c r="D15" s="4" t="s">
        <v>105</v>
      </c>
      <c r="E15" s="5">
        <v>2900</v>
      </c>
      <c r="F15" s="6">
        <v>249.09694999999999</v>
      </c>
      <c r="G15" s="7">
        <v>3.3513050000000003E-2</v>
      </c>
      <c r="H15" s="105"/>
    </row>
    <row r="16" spans="1:15" ht="17.100000000000001" customHeight="1" x14ac:dyDescent="0.2">
      <c r="A16" s="3">
        <v>10</v>
      </c>
      <c r="B16" s="4" t="s">
        <v>371</v>
      </c>
      <c r="C16" s="4" t="s">
        <v>372</v>
      </c>
      <c r="D16" s="4" t="s">
        <v>121</v>
      </c>
      <c r="E16" s="5">
        <v>7000</v>
      </c>
      <c r="F16" s="6">
        <v>203.1645</v>
      </c>
      <c r="G16" s="7">
        <v>2.7333380000000001E-2</v>
      </c>
      <c r="H16" s="105"/>
    </row>
    <row r="17" spans="1:8" ht="29.1" customHeight="1" x14ac:dyDescent="0.2">
      <c r="A17" s="3">
        <v>11</v>
      </c>
      <c r="B17" s="4" t="s">
        <v>656</v>
      </c>
      <c r="C17" s="4" t="s">
        <v>657</v>
      </c>
      <c r="D17" s="4" t="s">
        <v>22</v>
      </c>
      <c r="E17" s="5">
        <v>43200</v>
      </c>
      <c r="F17" s="6">
        <v>171.28800000000001</v>
      </c>
      <c r="G17" s="7">
        <v>2.3044769999999999E-2</v>
      </c>
      <c r="H17" s="105"/>
    </row>
    <row r="18" spans="1:8" ht="17.100000000000001" customHeight="1" x14ac:dyDescent="0.2">
      <c r="A18" s="3">
        <v>12</v>
      </c>
      <c r="B18" s="4" t="s">
        <v>203</v>
      </c>
      <c r="C18" s="4" t="s">
        <v>204</v>
      </c>
      <c r="D18" s="4" t="s">
        <v>25</v>
      </c>
      <c r="E18" s="5">
        <v>18000</v>
      </c>
      <c r="F18" s="6">
        <v>154.80000000000001</v>
      </c>
      <c r="G18" s="7">
        <v>2.0826509999999999E-2</v>
      </c>
      <c r="H18" s="105"/>
    </row>
    <row r="19" spans="1:8" ht="17.100000000000001" customHeight="1" x14ac:dyDescent="0.2">
      <c r="A19" s="3">
        <v>13</v>
      </c>
      <c r="B19" s="4" t="s">
        <v>658</v>
      </c>
      <c r="C19" s="4" t="s">
        <v>659</v>
      </c>
      <c r="D19" s="4" t="s">
        <v>260</v>
      </c>
      <c r="E19" s="5">
        <v>28750</v>
      </c>
      <c r="F19" s="6">
        <v>153.20875000000001</v>
      </c>
      <c r="G19" s="7">
        <v>2.0612419999999999E-2</v>
      </c>
      <c r="H19" s="105"/>
    </row>
    <row r="20" spans="1:8" ht="17.100000000000001" customHeight="1" x14ac:dyDescent="0.2">
      <c r="A20" s="3">
        <v>14</v>
      </c>
      <c r="B20" s="4" t="s">
        <v>48</v>
      </c>
      <c r="C20" s="4" t="s">
        <v>49</v>
      </c>
      <c r="D20" s="4" t="s">
        <v>36</v>
      </c>
      <c r="E20" s="5">
        <v>3575</v>
      </c>
      <c r="F20" s="6">
        <v>123.3232</v>
      </c>
      <c r="G20" s="7">
        <v>1.6591680000000001E-2</v>
      </c>
      <c r="H20" s="105"/>
    </row>
    <row r="21" spans="1:8" ht="17.100000000000001" customHeight="1" x14ac:dyDescent="0.2">
      <c r="A21" s="3">
        <v>15</v>
      </c>
      <c r="B21" s="4" t="s">
        <v>660</v>
      </c>
      <c r="C21" s="4" t="s">
        <v>661</v>
      </c>
      <c r="D21" s="4" t="s">
        <v>121</v>
      </c>
      <c r="E21" s="5">
        <v>4950</v>
      </c>
      <c r="F21" s="6">
        <v>72.995175000000003</v>
      </c>
      <c r="G21" s="7">
        <v>9.8206400000000003E-3</v>
      </c>
      <c r="H21" s="105"/>
    </row>
    <row r="22" spans="1:8" ht="29.1" customHeight="1" x14ac:dyDescent="0.2">
      <c r="A22" s="3">
        <v>16</v>
      </c>
      <c r="B22" s="4" t="s">
        <v>662</v>
      </c>
      <c r="C22" s="4" t="s">
        <v>663</v>
      </c>
      <c r="D22" s="4" t="s">
        <v>212</v>
      </c>
      <c r="E22" s="5">
        <v>11000</v>
      </c>
      <c r="F22" s="6">
        <v>67.87</v>
      </c>
      <c r="G22" s="7">
        <v>9.1311099999999996E-3</v>
      </c>
      <c r="H22" s="105"/>
    </row>
    <row r="23" spans="1:8" ht="29.1" customHeight="1" x14ac:dyDescent="0.2">
      <c r="A23" s="3">
        <v>17</v>
      </c>
      <c r="B23" s="4" t="s">
        <v>210</v>
      </c>
      <c r="C23" s="4" t="s">
        <v>211</v>
      </c>
      <c r="D23" s="4" t="s">
        <v>212</v>
      </c>
      <c r="E23" s="5">
        <v>10800</v>
      </c>
      <c r="F23" s="6">
        <v>56.1492</v>
      </c>
      <c r="G23" s="7">
        <v>7.5542099999999996E-3</v>
      </c>
      <c r="H23" s="105"/>
    </row>
    <row r="24" spans="1:8" ht="17.100000000000001" customHeight="1" x14ac:dyDescent="0.2">
      <c r="A24" s="3">
        <v>18</v>
      </c>
      <c r="B24" s="4" t="s">
        <v>664</v>
      </c>
      <c r="C24" s="4" t="s">
        <v>665</v>
      </c>
      <c r="D24" s="4" t="s">
        <v>195</v>
      </c>
      <c r="E24" s="5">
        <v>23400</v>
      </c>
      <c r="F24" s="6">
        <v>52.100099999999998</v>
      </c>
      <c r="G24" s="7">
        <v>7.0094500000000004E-3</v>
      </c>
      <c r="H24" s="105"/>
    </row>
    <row r="25" spans="1:8" ht="17.100000000000001" customHeight="1" x14ac:dyDescent="0.2">
      <c r="A25" s="3">
        <v>19</v>
      </c>
      <c r="B25" s="4" t="s">
        <v>347</v>
      </c>
      <c r="C25" s="4" t="s">
        <v>348</v>
      </c>
      <c r="D25" s="4" t="s">
        <v>121</v>
      </c>
      <c r="E25" s="5">
        <v>1875</v>
      </c>
      <c r="F25" s="6">
        <v>49.534687499999997</v>
      </c>
      <c r="G25" s="7">
        <v>6.6643099999999997E-3</v>
      </c>
      <c r="H25" s="105"/>
    </row>
    <row r="26" spans="1:8" ht="17.100000000000001" customHeight="1" x14ac:dyDescent="0.2">
      <c r="A26" s="3">
        <v>20</v>
      </c>
      <c r="B26" s="4" t="s">
        <v>205</v>
      </c>
      <c r="C26" s="4" t="s">
        <v>206</v>
      </c>
      <c r="D26" s="4" t="s">
        <v>207</v>
      </c>
      <c r="E26" s="5">
        <v>5000</v>
      </c>
      <c r="F26" s="6">
        <v>29.142499999999998</v>
      </c>
      <c r="G26" s="7">
        <v>3.9207799999999996E-3</v>
      </c>
      <c r="H26" s="105"/>
    </row>
    <row r="27" spans="1:8" ht="17.100000000000001" customHeight="1" x14ac:dyDescent="0.2">
      <c r="A27" s="3">
        <v>21</v>
      </c>
      <c r="B27" s="4" t="s">
        <v>666</v>
      </c>
      <c r="C27" s="4" t="s">
        <v>667</v>
      </c>
      <c r="D27" s="4" t="s">
        <v>128</v>
      </c>
      <c r="E27" s="5">
        <v>8924</v>
      </c>
      <c r="F27" s="6">
        <v>8.2591619999999999</v>
      </c>
      <c r="G27" s="7">
        <v>1.1111700000000001E-3</v>
      </c>
      <c r="H27" s="105"/>
    </row>
    <row r="28" spans="1:8" ht="14.1" customHeight="1" x14ac:dyDescent="0.2">
      <c r="A28" s="1"/>
      <c r="B28" s="1"/>
      <c r="C28" s="2" t="s">
        <v>132</v>
      </c>
      <c r="D28" s="1"/>
      <c r="E28" s="1" t="s">
        <v>133</v>
      </c>
      <c r="F28" s="9">
        <v>5350.1037994999997</v>
      </c>
      <c r="G28" s="10">
        <v>0.71979314000000005</v>
      </c>
      <c r="H28" s="105"/>
    </row>
    <row r="29" spans="1:8" ht="14.1" customHeight="1" x14ac:dyDescent="0.2">
      <c r="A29" s="1"/>
      <c r="B29" s="1"/>
      <c r="C29" s="11"/>
      <c r="D29" s="1"/>
      <c r="E29" s="1"/>
      <c r="F29" s="12"/>
      <c r="G29" s="12"/>
      <c r="H29" s="105"/>
    </row>
    <row r="30" spans="1:8" ht="14.1" customHeight="1" x14ac:dyDescent="0.2">
      <c r="A30" s="1"/>
      <c r="B30" s="1"/>
      <c r="C30" s="2" t="s">
        <v>134</v>
      </c>
      <c r="D30" s="1"/>
      <c r="E30" s="1"/>
      <c r="F30" s="1"/>
      <c r="G30" s="1"/>
      <c r="H30" s="105"/>
    </row>
    <row r="31" spans="1:8" ht="14.1" customHeight="1" x14ac:dyDescent="0.2">
      <c r="A31" s="1"/>
      <c r="B31" s="1"/>
      <c r="C31" s="2" t="s">
        <v>132</v>
      </c>
      <c r="D31" s="1"/>
      <c r="E31" s="1" t="s">
        <v>133</v>
      </c>
      <c r="F31" s="13" t="s">
        <v>135</v>
      </c>
      <c r="G31" s="10">
        <v>0</v>
      </c>
      <c r="H31" s="105"/>
    </row>
    <row r="32" spans="1:8" ht="14.1" customHeight="1" x14ac:dyDescent="0.2">
      <c r="A32" s="1"/>
      <c r="B32" s="1"/>
      <c r="C32" s="11"/>
      <c r="D32" s="1"/>
      <c r="E32" s="1"/>
      <c r="F32" s="12"/>
      <c r="G32" s="12"/>
      <c r="H32" s="105"/>
    </row>
    <row r="33" spans="1:8" ht="14.1" customHeight="1" x14ac:dyDescent="0.2">
      <c r="A33" s="1"/>
      <c r="B33" s="1"/>
      <c r="C33" s="2" t="s">
        <v>136</v>
      </c>
      <c r="D33" s="1"/>
      <c r="E33" s="1"/>
      <c r="F33" s="1"/>
      <c r="G33" s="1"/>
      <c r="H33" s="105"/>
    </row>
    <row r="34" spans="1:8" ht="14.1" customHeight="1" x14ac:dyDescent="0.2">
      <c r="A34" s="1"/>
      <c r="B34" s="1"/>
      <c r="C34" s="2" t="s">
        <v>132</v>
      </c>
      <c r="D34" s="1"/>
      <c r="E34" s="1" t="s">
        <v>133</v>
      </c>
      <c r="F34" s="13" t="s">
        <v>135</v>
      </c>
      <c r="G34" s="10">
        <v>0</v>
      </c>
      <c r="H34" s="105"/>
    </row>
    <row r="35" spans="1:8" ht="14.1" customHeight="1" x14ac:dyDescent="0.2">
      <c r="A35" s="1"/>
      <c r="B35" s="1"/>
      <c r="C35" s="11"/>
      <c r="D35" s="1"/>
      <c r="E35" s="1"/>
      <c r="F35" s="12"/>
      <c r="G35" s="12"/>
      <c r="H35" s="105"/>
    </row>
    <row r="36" spans="1:8" ht="14.1" customHeight="1" x14ac:dyDescent="0.2">
      <c r="A36" s="1"/>
      <c r="B36" s="1"/>
      <c r="C36" s="2" t="s">
        <v>137</v>
      </c>
      <c r="D36" s="1"/>
      <c r="E36" s="1"/>
      <c r="F36" s="1"/>
      <c r="G36" s="1"/>
      <c r="H36" s="105"/>
    </row>
    <row r="37" spans="1:8" ht="14.1" customHeight="1" x14ac:dyDescent="0.2">
      <c r="A37" s="1"/>
      <c r="B37" s="1"/>
      <c r="C37" s="2" t="s">
        <v>132</v>
      </c>
      <c r="D37" s="1"/>
      <c r="E37" s="1" t="s">
        <v>133</v>
      </c>
      <c r="F37" s="13" t="s">
        <v>135</v>
      </c>
      <c r="G37" s="10">
        <v>0</v>
      </c>
      <c r="H37" s="105"/>
    </row>
    <row r="38" spans="1:8" ht="14.1" customHeight="1" x14ac:dyDescent="0.2">
      <c r="A38" s="1"/>
      <c r="B38" s="1"/>
      <c r="C38" s="11"/>
      <c r="D38" s="1"/>
      <c r="E38" s="1"/>
      <c r="F38" s="12"/>
      <c r="G38" s="12"/>
      <c r="H38" s="105"/>
    </row>
    <row r="39" spans="1:8" ht="14.1" customHeight="1" x14ac:dyDescent="0.2">
      <c r="A39" s="1"/>
      <c r="B39" s="1"/>
      <c r="C39" s="2" t="s">
        <v>138</v>
      </c>
      <c r="D39" s="1"/>
      <c r="E39" s="1"/>
      <c r="F39" s="12"/>
      <c r="G39" s="12"/>
      <c r="H39" s="105"/>
    </row>
    <row r="40" spans="1:8" ht="14.1" customHeight="1" x14ac:dyDescent="0.2">
      <c r="A40" s="1"/>
      <c r="B40" s="1"/>
      <c r="C40" s="2" t="s">
        <v>132</v>
      </c>
      <c r="D40" s="1"/>
      <c r="E40" s="1" t="s">
        <v>133</v>
      </c>
      <c r="F40" s="13" t="s">
        <v>135</v>
      </c>
      <c r="G40" s="10">
        <v>0</v>
      </c>
      <c r="H40" s="105"/>
    </row>
    <row r="41" spans="1:8" ht="14.1" customHeight="1" x14ac:dyDescent="0.2">
      <c r="A41" s="1"/>
      <c r="B41" s="1"/>
      <c r="C41" s="11"/>
      <c r="D41" s="1"/>
      <c r="E41" s="1"/>
      <c r="F41" s="12"/>
      <c r="G41" s="12"/>
      <c r="H41" s="105"/>
    </row>
    <row r="42" spans="1:8" ht="14.1" customHeight="1" x14ac:dyDescent="0.2">
      <c r="A42" s="1"/>
      <c r="B42" s="1"/>
      <c r="C42" s="2" t="s">
        <v>139</v>
      </c>
      <c r="D42" s="1"/>
      <c r="E42" s="1"/>
      <c r="F42" s="12"/>
      <c r="G42" s="12"/>
      <c r="H42" s="105"/>
    </row>
    <row r="43" spans="1:8" ht="15.75" customHeight="1" x14ac:dyDescent="0.2">
      <c r="A43" s="3">
        <v>1</v>
      </c>
      <c r="B43" s="4"/>
      <c r="C43" s="4" t="s">
        <v>882</v>
      </c>
      <c r="D43" s="4" t="s">
        <v>668</v>
      </c>
      <c r="E43" s="5">
        <v>-8924</v>
      </c>
      <c r="F43" s="6">
        <v>-8.3216300000000007</v>
      </c>
      <c r="G43" s="7">
        <v>-1.1195999999999999E-3</v>
      </c>
      <c r="H43" s="105"/>
    </row>
    <row r="44" spans="1:8" ht="15.75" customHeight="1" x14ac:dyDescent="0.2">
      <c r="A44" s="3">
        <v>2</v>
      </c>
      <c r="B44" s="4"/>
      <c r="C44" s="4" t="s">
        <v>883</v>
      </c>
      <c r="D44" s="4" t="s">
        <v>668</v>
      </c>
      <c r="E44" s="5">
        <v>-5000</v>
      </c>
      <c r="F44" s="6">
        <v>-29.234999999999999</v>
      </c>
      <c r="G44" s="7">
        <v>-3.9332000000000004E-3</v>
      </c>
      <c r="H44" s="105"/>
    </row>
    <row r="45" spans="1:8" ht="15.75" customHeight="1" x14ac:dyDescent="0.2">
      <c r="A45" s="3">
        <v>3</v>
      </c>
      <c r="B45" s="4"/>
      <c r="C45" s="4" t="s">
        <v>884</v>
      </c>
      <c r="D45" s="4" t="s">
        <v>668</v>
      </c>
      <c r="E45" s="5">
        <v>-1875</v>
      </c>
      <c r="F45" s="6">
        <v>-49.674374999999998</v>
      </c>
      <c r="G45" s="7">
        <v>-6.6831E-3</v>
      </c>
      <c r="H45" s="105"/>
    </row>
    <row r="46" spans="1:8" ht="25.5" customHeight="1" x14ac:dyDescent="0.2">
      <c r="A46" s="3">
        <v>4</v>
      </c>
      <c r="B46" s="4"/>
      <c r="C46" s="4" t="s">
        <v>885</v>
      </c>
      <c r="D46" s="4" t="s">
        <v>668</v>
      </c>
      <c r="E46" s="5">
        <v>-23400</v>
      </c>
      <c r="F46" s="6">
        <v>-52.287300000000002</v>
      </c>
      <c r="G46" s="7">
        <v>-7.0346000000000002E-3</v>
      </c>
      <c r="H46" s="105"/>
    </row>
    <row r="47" spans="1:8" ht="15.75" customHeight="1" x14ac:dyDescent="0.2">
      <c r="A47" s="3">
        <v>5</v>
      </c>
      <c r="B47" s="4"/>
      <c r="C47" s="4" t="s">
        <v>886</v>
      </c>
      <c r="D47" s="4" t="s">
        <v>668</v>
      </c>
      <c r="E47" s="5">
        <v>-10800</v>
      </c>
      <c r="F47" s="6">
        <v>-56.4786</v>
      </c>
      <c r="G47" s="7">
        <v>-7.5985000000000002E-3</v>
      </c>
      <c r="H47" s="105"/>
    </row>
    <row r="48" spans="1:8" ht="15.75" customHeight="1" x14ac:dyDescent="0.2">
      <c r="A48" s="3">
        <v>6</v>
      </c>
      <c r="B48" s="4"/>
      <c r="C48" s="4" t="s">
        <v>887</v>
      </c>
      <c r="D48" s="4" t="s">
        <v>668</v>
      </c>
      <c r="E48" s="5">
        <v>-11000</v>
      </c>
      <c r="F48" s="6">
        <v>-68.095500000000001</v>
      </c>
      <c r="G48" s="7">
        <v>-9.1614000000000001E-3</v>
      </c>
      <c r="H48" s="105"/>
    </row>
    <row r="49" spans="1:8" ht="15.75" customHeight="1" x14ac:dyDescent="0.2">
      <c r="A49" s="3">
        <v>7</v>
      </c>
      <c r="B49" s="4"/>
      <c r="C49" s="4" t="s">
        <v>888</v>
      </c>
      <c r="D49" s="4" t="s">
        <v>668</v>
      </c>
      <c r="E49" s="5">
        <v>-4950</v>
      </c>
      <c r="F49" s="6">
        <v>-73.457999999999998</v>
      </c>
      <c r="G49" s="7">
        <v>-9.8829E-3</v>
      </c>
      <c r="H49" s="105"/>
    </row>
    <row r="50" spans="1:8" ht="15.75" customHeight="1" x14ac:dyDescent="0.2">
      <c r="A50" s="3">
        <v>8</v>
      </c>
      <c r="B50" s="4"/>
      <c r="C50" s="4" t="s">
        <v>889</v>
      </c>
      <c r="D50" s="4" t="s">
        <v>668</v>
      </c>
      <c r="E50" s="5">
        <v>-3575</v>
      </c>
      <c r="F50" s="6">
        <v>-124.24554999999999</v>
      </c>
      <c r="G50" s="7">
        <v>-1.6715799999999999E-2</v>
      </c>
      <c r="H50" s="105"/>
    </row>
    <row r="51" spans="1:8" ht="15.75" customHeight="1" x14ac:dyDescent="0.2">
      <c r="A51" s="3">
        <v>9</v>
      </c>
      <c r="B51" s="4"/>
      <c r="C51" s="4" t="s">
        <v>890</v>
      </c>
      <c r="D51" s="4" t="s">
        <v>668</v>
      </c>
      <c r="E51" s="5">
        <v>-28750</v>
      </c>
      <c r="F51" s="6">
        <v>-153.769375</v>
      </c>
      <c r="G51" s="7">
        <v>-2.0687799999999999E-2</v>
      </c>
      <c r="H51" s="105"/>
    </row>
    <row r="52" spans="1:8" ht="15.75" customHeight="1" x14ac:dyDescent="0.2">
      <c r="A52" s="3">
        <v>10</v>
      </c>
      <c r="B52" s="4"/>
      <c r="C52" s="4" t="s">
        <v>891</v>
      </c>
      <c r="D52" s="4" t="s">
        <v>668</v>
      </c>
      <c r="E52" s="5">
        <v>-18000</v>
      </c>
      <c r="F52" s="6">
        <v>-155.71799999999999</v>
      </c>
      <c r="G52" s="7">
        <v>-2.095E-2</v>
      </c>
      <c r="H52" s="105"/>
    </row>
    <row r="53" spans="1:8" ht="15.75" customHeight="1" x14ac:dyDescent="0.2">
      <c r="A53" s="3">
        <v>11</v>
      </c>
      <c r="B53" s="4"/>
      <c r="C53" s="4" t="s">
        <v>892</v>
      </c>
      <c r="D53" s="4" t="s">
        <v>668</v>
      </c>
      <c r="E53" s="5">
        <v>-43200</v>
      </c>
      <c r="F53" s="6">
        <v>-172.49760000000001</v>
      </c>
      <c r="G53" s="7">
        <v>-2.3207499999999999E-2</v>
      </c>
      <c r="H53" s="105"/>
    </row>
    <row r="54" spans="1:8" ht="15.75" customHeight="1" x14ac:dyDescent="0.2">
      <c r="A54" s="3">
        <v>12</v>
      </c>
      <c r="B54" s="4"/>
      <c r="C54" s="4" t="s">
        <v>893</v>
      </c>
      <c r="D54" s="4" t="s">
        <v>668</v>
      </c>
      <c r="E54" s="5">
        <v>-7000</v>
      </c>
      <c r="F54" s="6">
        <v>-203.88550000000001</v>
      </c>
      <c r="G54" s="7">
        <v>-2.7430400000000001E-2</v>
      </c>
      <c r="H54" s="105"/>
    </row>
    <row r="55" spans="1:8" ht="15.75" customHeight="1" x14ac:dyDescent="0.2">
      <c r="A55" s="3">
        <v>13</v>
      </c>
      <c r="B55" s="4"/>
      <c r="C55" s="4" t="s">
        <v>894</v>
      </c>
      <c r="D55" s="4" t="s">
        <v>668</v>
      </c>
      <c r="E55" s="5">
        <v>-2900</v>
      </c>
      <c r="F55" s="6">
        <v>-250.80070000000001</v>
      </c>
      <c r="G55" s="7">
        <v>-3.3742300000000003E-2</v>
      </c>
      <c r="H55" s="105"/>
    </row>
    <row r="56" spans="1:8" ht="15.75" customHeight="1" x14ac:dyDescent="0.2">
      <c r="A56" s="3">
        <v>14</v>
      </c>
      <c r="B56" s="4"/>
      <c r="C56" s="4" t="s">
        <v>895</v>
      </c>
      <c r="D56" s="4" t="s">
        <v>668</v>
      </c>
      <c r="E56" s="5">
        <v>-38950</v>
      </c>
      <c r="F56" s="6">
        <v>-312.34005000000002</v>
      </c>
      <c r="G56" s="7">
        <v>-4.2021700000000002E-2</v>
      </c>
      <c r="H56" s="105"/>
    </row>
    <row r="57" spans="1:8" ht="15.75" customHeight="1" x14ac:dyDescent="0.2">
      <c r="A57" s="3">
        <v>15</v>
      </c>
      <c r="B57" s="4"/>
      <c r="C57" s="4" t="s">
        <v>896</v>
      </c>
      <c r="D57" s="4" t="s">
        <v>668</v>
      </c>
      <c r="E57" s="5">
        <v>-13750</v>
      </c>
      <c r="F57" s="6">
        <v>-334.20749999999998</v>
      </c>
      <c r="G57" s="7">
        <v>-4.4963700000000002E-2</v>
      </c>
      <c r="H57" s="105"/>
    </row>
    <row r="58" spans="1:8" ht="25.5" customHeight="1" x14ac:dyDescent="0.2">
      <c r="A58" s="3">
        <v>16</v>
      </c>
      <c r="B58" s="4"/>
      <c r="C58" s="4" t="s">
        <v>897</v>
      </c>
      <c r="D58" s="4" t="s">
        <v>668</v>
      </c>
      <c r="E58" s="5">
        <v>-180000</v>
      </c>
      <c r="F58" s="6">
        <v>-356.85</v>
      </c>
      <c r="G58" s="7">
        <v>-4.8009900000000001E-2</v>
      </c>
      <c r="H58" s="105"/>
    </row>
    <row r="59" spans="1:8" ht="15.75" customHeight="1" x14ac:dyDescent="0.2">
      <c r="A59" s="3">
        <v>17</v>
      </c>
      <c r="B59" s="4"/>
      <c r="C59" s="4" t="s">
        <v>898</v>
      </c>
      <c r="D59" s="4" t="s">
        <v>668</v>
      </c>
      <c r="E59" s="5">
        <v>-85800</v>
      </c>
      <c r="F59" s="6">
        <v>-366.79500000000002</v>
      </c>
      <c r="G59" s="7">
        <v>-4.93479E-2</v>
      </c>
      <c r="H59" s="105"/>
    </row>
    <row r="60" spans="1:8" ht="15.75" customHeight="1" x14ac:dyDescent="0.2">
      <c r="A60" s="3">
        <v>18</v>
      </c>
      <c r="B60" s="4"/>
      <c r="C60" s="4" t="s">
        <v>899</v>
      </c>
      <c r="D60" s="4" t="s">
        <v>668</v>
      </c>
      <c r="E60" s="5">
        <v>-6375</v>
      </c>
      <c r="F60" s="6">
        <v>-401.669625</v>
      </c>
      <c r="G60" s="7">
        <v>-5.4039900000000002E-2</v>
      </c>
      <c r="H60" s="105"/>
    </row>
    <row r="61" spans="1:8" ht="15.75" customHeight="1" x14ac:dyDescent="0.2">
      <c r="A61" s="3">
        <v>19</v>
      </c>
      <c r="B61" s="4"/>
      <c r="C61" s="4" t="s">
        <v>900</v>
      </c>
      <c r="D61" s="4" t="s">
        <v>668</v>
      </c>
      <c r="E61" s="5">
        <v>-77700</v>
      </c>
      <c r="F61" s="6">
        <v>-717.17100000000005</v>
      </c>
      <c r="G61" s="7">
        <v>-9.64869E-2</v>
      </c>
      <c r="H61" s="105"/>
    </row>
    <row r="62" spans="1:8" ht="25.5" customHeight="1" x14ac:dyDescent="0.2">
      <c r="A62" s="3">
        <v>20</v>
      </c>
      <c r="B62" s="4"/>
      <c r="C62" s="4" t="s">
        <v>901</v>
      </c>
      <c r="D62" s="4" t="s">
        <v>668</v>
      </c>
      <c r="E62" s="5">
        <v>-454300</v>
      </c>
      <c r="F62" s="6">
        <v>-725.74424999999997</v>
      </c>
      <c r="G62" s="7">
        <v>-9.7640299999999999E-2</v>
      </c>
      <c r="H62" s="105"/>
    </row>
    <row r="63" spans="1:8" ht="15.75" customHeight="1" x14ac:dyDescent="0.2">
      <c r="A63" s="3">
        <v>21</v>
      </c>
      <c r="B63" s="4"/>
      <c r="C63" s="4" t="s">
        <v>902</v>
      </c>
      <c r="D63" s="4" t="s">
        <v>668</v>
      </c>
      <c r="E63" s="5">
        <v>-39200</v>
      </c>
      <c r="F63" s="6">
        <v>-762.85159999999996</v>
      </c>
      <c r="G63" s="7">
        <v>-0.1026326</v>
      </c>
      <c r="H63" s="105"/>
    </row>
    <row r="64" spans="1:8" ht="14.1" customHeight="1" x14ac:dyDescent="0.2">
      <c r="A64" s="1"/>
      <c r="B64" s="1"/>
      <c r="C64" s="2" t="s">
        <v>132</v>
      </c>
      <c r="D64" s="1"/>
      <c r="E64" s="1" t="s">
        <v>133</v>
      </c>
      <c r="F64" s="9">
        <v>-5376.0961550000002</v>
      </c>
      <c r="G64" s="10">
        <v>-0.72329007000000001</v>
      </c>
      <c r="H64" s="105"/>
    </row>
    <row r="65" spans="1:8" ht="14.1" customHeight="1" x14ac:dyDescent="0.2">
      <c r="A65" s="1"/>
      <c r="B65" s="1"/>
      <c r="C65" s="11"/>
      <c r="D65" s="1"/>
      <c r="E65" s="1"/>
      <c r="F65" s="12"/>
      <c r="G65" s="12"/>
      <c r="H65" s="105"/>
    </row>
    <row r="66" spans="1:8" ht="18" customHeight="1" x14ac:dyDescent="0.2">
      <c r="A66" s="1"/>
      <c r="B66" s="1"/>
      <c r="C66" s="2" t="s">
        <v>140</v>
      </c>
      <c r="D66" s="1"/>
      <c r="E66" s="1"/>
      <c r="F66" s="9">
        <v>5350.1037994999997</v>
      </c>
      <c r="G66" s="10">
        <v>0.71979314000000005</v>
      </c>
      <c r="H66" s="105"/>
    </row>
    <row r="67" spans="1:8" ht="14.1" customHeight="1" x14ac:dyDescent="0.2">
      <c r="A67" s="1"/>
      <c r="B67" s="1"/>
      <c r="C67" s="11"/>
      <c r="D67" s="1"/>
      <c r="E67" s="1"/>
      <c r="F67" s="12"/>
      <c r="G67" s="12"/>
      <c r="H67" s="105"/>
    </row>
    <row r="68" spans="1:8" ht="14.1" customHeight="1" x14ac:dyDescent="0.2">
      <c r="A68" s="1"/>
      <c r="B68" s="1"/>
      <c r="C68" s="2" t="s">
        <v>141</v>
      </c>
      <c r="D68" s="1"/>
      <c r="E68" s="1"/>
      <c r="F68" s="12"/>
      <c r="G68" s="12"/>
      <c r="H68" s="105"/>
    </row>
    <row r="69" spans="1:8" ht="24" customHeight="1" x14ac:dyDescent="0.2">
      <c r="A69" s="1"/>
      <c r="B69" s="1"/>
      <c r="C69" s="2" t="s">
        <v>10</v>
      </c>
      <c r="D69" s="1"/>
      <c r="E69" s="1"/>
      <c r="F69" s="12"/>
      <c r="G69" s="12"/>
      <c r="H69" s="105"/>
    </row>
    <row r="70" spans="1:8" ht="14.1" customHeight="1" x14ac:dyDescent="0.2">
      <c r="A70" s="1"/>
      <c r="B70" s="1"/>
      <c r="C70" s="2" t="s">
        <v>132</v>
      </c>
      <c r="D70" s="1"/>
      <c r="E70" s="1" t="s">
        <v>133</v>
      </c>
      <c r="F70" s="13" t="s">
        <v>135</v>
      </c>
      <c r="G70" s="10">
        <v>0</v>
      </c>
      <c r="H70" s="105"/>
    </row>
    <row r="71" spans="1:8" ht="14.1" customHeight="1" x14ac:dyDescent="0.2">
      <c r="A71" s="1"/>
      <c r="B71" s="1"/>
      <c r="C71" s="11"/>
      <c r="D71" s="1"/>
      <c r="E71" s="1"/>
      <c r="F71" s="12"/>
      <c r="G71" s="12"/>
      <c r="H71" s="105"/>
    </row>
    <row r="72" spans="1:8" ht="14.1" customHeight="1" x14ac:dyDescent="0.2">
      <c r="A72" s="1"/>
      <c r="B72" s="1"/>
      <c r="C72" s="2" t="s">
        <v>142</v>
      </c>
      <c r="D72" s="1"/>
      <c r="E72" s="1"/>
      <c r="F72" s="1"/>
      <c r="G72" s="1"/>
      <c r="H72" s="105"/>
    </row>
    <row r="73" spans="1:8" ht="14.1" customHeight="1" x14ac:dyDescent="0.2">
      <c r="A73" s="1"/>
      <c r="B73" s="1"/>
      <c r="C73" s="2" t="s">
        <v>132</v>
      </c>
      <c r="D73" s="1"/>
      <c r="E73" s="1" t="s">
        <v>133</v>
      </c>
      <c r="F73" s="13" t="s">
        <v>135</v>
      </c>
      <c r="G73" s="10">
        <v>0</v>
      </c>
      <c r="H73" s="105"/>
    </row>
    <row r="74" spans="1:8" ht="14.1" customHeight="1" x14ac:dyDescent="0.2">
      <c r="A74" s="1"/>
      <c r="B74" s="1"/>
      <c r="C74" s="11"/>
      <c r="D74" s="1"/>
      <c r="E74" s="1"/>
      <c r="F74" s="12"/>
      <c r="G74" s="12"/>
      <c r="H74" s="105"/>
    </row>
    <row r="75" spans="1:8" ht="14.1" customHeight="1" x14ac:dyDescent="0.2">
      <c r="A75" s="1"/>
      <c r="B75" s="1"/>
      <c r="C75" s="2" t="s">
        <v>143</v>
      </c>
      <c r="D75" s="1"/>
      <c r="E75" s="1"/>
      <c r="F75" s="1"/>
      <c r="G75" s="1"/>
      <c r="H75" s="105"/>
    </row>
    <row r="76" spans="1:8" ht="14.1" customHeight="1" x14ac:dyDescent="0.2">
      <c r="A76" s="1"/>
      <c r="B76" s="1"/>
      <c r="C76" s="2" t="s">
        <v>132</v>
      </c>
      <c r="D76" s="1"/>
      <c r="E76" s="1" t="s">
        <v>133</v>
      </c>
      <c r="F76" s="13" t="s">
        <v>135</v>
      </c>
      <c r="G76" s="10">
        <v>0</v>
      </c>
      <c r="H76" s="105"/>
    </row>
    <row r="77" spans="1:8" ht="14.1" customHeight="1" x14ac:dyDescent="0.2">
      <c r="A77" s="1"/>
      <c r="B77" s="1"/>
      <c r="C77" s="11"/>
      <c r="D77" s="1"/>
      <c r="E77" s="1"/>
      <c r="F77" s="12"/>
      <c r="G77" s="12"/>
      <c r="H77" s="105"/>
    </row>
    <row r="78" spans="1:8" ht="14.1" customHeight="1" x14ac:dyDescent="0.2">
      <c r="A78" s="1"/>
      <c r="B78" s="1"/>
      <c r="C78" s="2" t="s">
        <v>144</v>
      </c>
      <c r="D78" s="1"/>
      <c r="E78" s="1"/>
      <c r="F78" s="12"/>
      <c r="G78" s="12"/>
      <c r="H78" s="105"/>
    </row>
    <row r="79" spans="1:8" ht="14.1" customHeight="1" x14ac:dyDescent="0.2">
      <c r="A79" s="1"/>
      <c r="B79" s="1"/>
      <c r="C79" s="2" t="s">
        <v>132</v>
      </c>
      <c r="D79" s="1"/>
      <c r="E79" s="1" t="s">
        <v>133</v>
      </c>
      <c r="F79" s="13" t="s">
        <v>135</v>
      </c>
      <c r="G79" s="10">
        <v>0</v>
      </c>
      <c r="H79" s="105"/>
    </row>
    <row r="80" spans="1:8" ht="14.1" customHeight="1" x14ac:dyDescent="0.2">
      <c r="A80" s="1"/>
      <c r="B80" s="1"/>
      <c r="C80" s="11"/>
      <c r="D80" s="1"/>
      <c r="E80" s="1"/>
      <c r="F80" s="12"/>
      <c r="G80" s="12"/>
      <c r="H80" s="105"/>
    </row>
    <row r="81" spans="1:8" ht="14.1" customHeight="1" x14ac:dyDescent="0.2">
      <c r="A81" s="1"/>
      <c r="B81" s="1"/>
      <c r="C81" s="2" t="s">
        <v>145</v>
      </c>
      <c r="D81" s="1"/>
      <c r="E81" s="1"/>
      <c r="F81" s="9">
        <v>0</v>
      </c>
      <c r="G81" s="10">
        <v>0</v>
      </c>
      <c r="H81" s="105"/>
    </row>
    <row r="82" spans="1:8" ht="14.1" customHeight="1" x14ac:dyDescent="0.2">
      <c r="A82" s="1"/>
      <c r="B82" s="1"/>
      <c r="C82" s="11"/>
      <c r="D82" s="1"/>
      <c r="E82" s="1"/>
      <c r="F82" s="12"/>
      <c r="G82" s="12"/>
      <c r="H82" s="105"/>
    </row>
    <row r="83" spans="1:8" ht="14.1" customHeight="1" x14ac:dyDescent="0.2">
      <c r="A83" s="1"/>
      <c r="B83" s="1"/>
      <c r="C83" s="2" t="s">
        <v>146</v>
      </c>
      <c r="D83" s="1"/>
      <c r="E83" s="1"/>
      <c r="F83" s="12"/>
      <c r="G83" s="12"/>
      <c r="H83" s="105"/>
    </row>
    <row r="84" spans="1:8" ht="14.1" customHeight="1" x14ac:dyDescent="0.2">
      <c r="A84" s="1"/>
      <c r="B84" s="1"/>
      <c r="C84" s="2" t="s">
        <v>147</v>
      </c>
      <c r="D84" s="1"/>
      <c r="E84" s="1"/>
      <c r="F84" s="12"/>
      <c r="G84" s="12"/>
      <c r="H84" s="105"/>
    </row>
    <row r="85" spans="1:8" ht="14.1" customHeight="1" x14ac:dyDescent="0.2">
      <c r="A85" s="1"/>
      <c r="B85" s="1"/>
      <c r="C85" s="2" t="s">
        <v>132</v>
      </c>
      <c r="D85" s="1"/>
      <c r="E85" s="1" t="s">
        <v>133</v>
      </c>
      <c r="F85" s="13" t="s">
        <v>135</v>
      </c>
      <c r="G85" s="10">
        <v>0</v>
      </c>
      <c r="H85" s="105"/>
    </row>
    <row r="86" spans="1:8" ht="14.1" customHeight="1" x14ac:dyDescent="0.2">
      <c r="A86" s="1"/>
      <c r="B86" s="1"/>
      <c r="C86" s="11"/>
      <c r="D86" s="1"/>
      <c r="E86" s="1"/>
      <c r="F86" s="12"/>
      <c r="G86" s="12"/>
      <c r="H86" s="105"/>
    </row>
    <row r="87" spans="1:8" ht="14.1" customHeight="1" x14ac:dyDescent="0.2">
      <c r="A87" s="1"/>
      <c r="B87" s="1"/>
      <c r="C87" s="2" t="s">
        <v>148</v>
      </c>
      <c r="D87" s="1"/>
      <c r="E87" s="1"/>
      <c r="F87" s="12"/>
      <c r="G87" s="12"/>
      <c r="H87" s="105"/>
    </row>
    <row r="88" spans="1:8" ht="14.1" customHeight="1" x14ac:dyDescent="0.2">
      <c r="A88" s="1"/>
      <c r="B88" s="1"/>
      <c r="C88" s="2" t="s">
        <v>132</v>
      </c>
      <c r="D88" s="1"/>
      <c r="E88" s="1" t="s">
        <v>133</v>
      </c>
      <c r="F88" s="13" t="s">
        <v>135</v>
      </c>
      <c r="G88" s="10">
        <v>0</v>
      </c>
      <c r="H88" s="105"/>
    </row>
    <row r="89" spans="1:8" ht="14.1" customHeight="1" x14ac:dyDescent="0.2">
      <c r="A89" s="1"/>
      <c r="B89" s="1"/>
      <c r="C89" s="11"/>
      <c r="D89" s="1"/>
      <c r="E89" s="1"/>
      <c r="F89" s="12"/>
      <c r="G89" s="12"/>
      <c r="H89" s="105"/>
    </row>
    <row r="90" spans="1:8" ht="14.1" customHeight="1" x14ac:dyDescent="0.2">
      <c r="A90" s="1"/>
      <c r="B90" s="1"/>
      <c r="C90" s="2" t="s">
        <v>149</v>
      </c>
      <c r="D90" s="1"/>
      <c r="E90" s="1"/>
      <c r="F90" s="12"/>
      <c r="G90" s="12"/>
      <c r="H90" s="105"/>
    </row>
    <row r="91" spans="1:8" ht="17.100000000000001" customHeight="1" x14ac:dyDescent="0.2">
      <c r="A91" s="3">
        <v>1</v>
      </c>
      <c r="B91" s="4" t="s">
        <v>669</v>
      </c>
      <c r="C91" s="40" t="s">
        <v>998</v>
      </c>
      <c r="D91" s="4" t="s">
        <v>617</v>
      </c>
      <c r="E91" s="5">
        <v>631100</v>
      </c>
      <c r="F91" s="6">
        <v>618.48178659999996</v>
      </c>
      <c r="G91" s="7">
        <v>8.3209400000000003E-2</v>
      </c>
      <c r="H91" s="105">
        <v>6.8951000000000002</v>
      </c>
    </row>
    <row r="92" spans="1:8" ht="17.100000000000001" customHeight="1" x14ac:dyDescent="0.2">
      <c r="A92" s="3">
        <v>2</v>
      </c>
      <c r="B92" s="4" t="s">
        <v>670</v>
      </c>
      <c r="C92" s="40" t="s">
        <v>999</v>
      </c>
      <c r="D92" s="4" t="s">
        <v>617</v>
      </c>
      <c r="E92" s="5">
        <v>500000</v>
      </c>
      <c r="F92" s="6">
        <v>497.15</v>
      </c>
      <c r="G92" s="7">
        <v>6.6885650000000005E-2</v>
      </c>
      <c r="H92" s="105">
        <v>6.75</v>
      </c>
    </row>
    <row r="93" spans="1:8" ht="17.100000000000001" customHeight="1" x14ac:dyDescent="0.2">
      <c r="A93" s="3">
        <v>3</v>
      </c>
      <c r="B93" s="4" t="s">
        <v>671</v>
      </c>
      <c r="C93" s="40" t="s">
        <v>1000</v>
      </c>
      <c r="D93" s="4" t="s">
        <v>617</v>
      </c>
      <c r="E93" s="5">
        <v>500000</v>
      </c>
      <c r="F93" s="6">
        <v>495.25200000000001</v>
      </c>
      <c r="G93" s="7">
        <v>6.6630289999999995E-2</v>
      </c>
      <c r="H93" s="105">
        <v>6.7297000000000002</v>
      </c>
    </row>
    <row r="94" spans="1:8" ht="14.1" customHeight="1" x14ac:dyDescent="0.2">
      <c r="A94" s="1"/>
      <c r="B94" s="1"/>
      <c r="C94" s="2" t="s">
        <v>132</v>
      </c>
      <c r="D94" s="1"/>
      <c r="E94" s="1" t="s">
        <v>133</v>
      </c>
      <c r="F94" s="9">
        <v>1610.8837865999999</v>
      </c>
      <c r="G94" s="10">
        <v>0.21672533999999999</v>
      </c>
      <c r="H94" s="105"/>
    </row>
    <row r="95" spans="1:8" ht="14.1" customHeight="1" x14ac:dyDescent="0.2">
      <c r="A95" s="1"/>
      <c r="B95" s="1"/>
      <c r="C95" s="11"/>
      <c r="D95" s="1"/>
      <c r="E95" s="1"/>
      <c r="F95" s="12"/>
      <c r="G95" s="12"/>
      <c r="H95" s="105"/>
    </row>
    <row r="96" spans="1:8" ht="14.1" customHeight="1" x14ac:dyDescent="0.2">
      <c r="A96" s="1"/>
      <c r="B96" s="1"/>
      <c r="C96" s="2" t="s">
        <v>150</v>
      </c>
      <c r="D96" s="1"/>
      <c r="E96" s="1"/>
      <c r="F96" s="12"/>
      <c r="G96" s="12"/>
      <c r="H96" s="105"/>
    </row>
    <row r="97" spans="1:8" ht="17.100000000000001" customHeight="1" x14ac:dyDescent="0.2">
      <c r="A97" s="3">
        <v>1</v>
      </c>
      <c r="B97" s="4"/>
      <c r="C97" s="4" t="s">
        <v>151</v>
      </c>
      <c r="D97" s="4"/>
      <c r="E97" s="8"/>
      <c r="F97" s="6">
        <v>160.65481819999999</v>
      </c>
      <c r="G97" s="7">
        <v>2.16142E-2</v>
      </c>
      <c r="H97" s="105">
        <v>6.8153352377542396</v>
      </c>
    </row>
    <row r="98" spans="1:8" ht="17.100000000000001" customHeight="1" x14ac:dyDescent="0.2">
      <c r="A98" s="3">
        <v>2</v>
      </c>
      <c r="B98" s="4"/>
      <c r="C98" s="4" t="s">
        <v>152</v>
      </c>
      <c r="D98" s="4"/>
      <c r="E98" s="8"/>
      <c r="F98" s="6">
        <v>19.064306800000001</v>
      </c>
      <c r="G98" s="7">
        <v>2.5648799999999999E-3</v>
      </c>
      <c r="H98" s="105">
        <v>6.7952403714590259</v>
      </c>
    </row>
    <row r="99" spans="1:8" ht="14.1" customHeight="1" x14ac:dyDescent="0.2">
      <c r="A99" s="1"/>
      <c r="B99" s="1"/>
      <c r="C99" s="2" t="s">
        <v>132</v>
      </c>
      <c r="D99" s="1"/>
      <c r="E99" s="1" t="s">
        <v>133</v>
      </c>
      <c r="F99" s="9">
        <v>179.71912499999999</v>
      </c>
      <c r="G99" s="10">
        <v>2.4179079999999999E-2</v>
      </c>
      <c r="H99" s="105"/>
    </row>
    <row r="100" spans="1:8" ht="14.1" customHeight="1" x14ac:dyDescent="0.2">
      <c r="A100" s="1"/>
      <c r="B100" s="1"/>
      <c r="C100" s="11"/>
      <c r="D100" s="1"/>
      <c r="E100" s="1"/>
      <c r="F100" s="12"/>
      <c r="G100" s="12"/>
      <c r="H100" s="105"/>
    </row>
    <row r="101" spans="1:8" ht="14.1" customHeight="1" x14ac:dyDescent="0.2">
      <c r="A101" s="1"/>
      <c r="B101" s="1"/>
      <c r="C101" s="2" t="s">
        <v>153</v>
      </c>
      <c r="D101" s="1"/>
      <c r="E101" s="1"/>
      <c r="F101" s="9">
        <v>1790.6029116</v>
      </c>
      <c r="G101" s="10">
        <v>0.24090442000000001</v>
      </c>
      <c r="H101" s="105"/>
    </row>
    <row r="102" spans="1:8" ht="14.1" customHeight="1" x14ac:dyDescent="0.2">
      <c r="A102" s="1"/>
      <c r="B102" s="1"/>
      <c r="C102" s="12"/>
      <c r="D102" s="1"/>
      <c r="E102" s="1"/>
      <c r="F102" s="1"/>
      <c r="G102" s="1"/>
      <c r="H102" s="105"/>
    </row>
    <row r="103" spans="1:8" ht="14.1" customHeight="1" x14ac:dyDescent="0.2">
      <c r="A103" s="1"/>
      <c r="B103" s="1"/>
      <c r="C103" s="2" t="s">
        <v>154</v>
      </c>
      <c r="D103" s="1"/>
      <c r="E103" s="1"/>
      <c r="F103" s="1"/>
      <c r="G103" s="1"/>
      <c r="H103" s="105"/>
    </row>
    <row r="104" spans="1:8" ht="14.1" customHeight="1" x14ac:dyDescent="0.2">
      <c r="A104" s="1"/>
      <c r="B104" s="1"/>
      <c r="C104" s="2" t="s">
        <v>155</v>
      </c>
      <c r="D104" s="1"/>
      <c r="E104" s="1"/>
      <c r="F104" s="1"/>
      <c r="G104" s="1"/>
      <c r="H104" s="105"/>
    </row>
    <row r="105" spans="1:8" ht="17.100000000000001" customHeight="1" x14ac:dyDescent="0.2">
      <c r="A105" s="3">
        <v>1</v>
      </c>
      <c r="B105" s="4" t="s">
        <v>672</v>
      </c>
      <c r="C105" s="44" t="s">
        <v>929</v>
      </c>
      <c r="D105" s="4"/>
      <c r="E105" s="5">
        <v>14785.79</v>
      </c>
      <c r="F105" s="6">
        <v>295.58176681399999</v>
      </c>
      <c r="G105" s="7">
        <v>3.9767030000000002E-2</v>
      </c>
      <c r="H105" s="105"/>
    </row>
    <row r="106" spans="1:8" ht="14.1" customHeight="1" x14ac:dyDescent="0.2">
      <c r="A106" s="1"/>
      <c r="B106" s="1"/>
      <c r="C106" s="2" t="s">
        <v>132</v>
      </c>
      <c r="D106" s="1"/>
      <c r="E106" s="1" t="s">
        <v>133</v>
      </c>
      <c r="F106" s="9">
        <v>295.58176681399999</v>
      </c>
      <c r="G106" s="10">
        <v>3.9767030000000002E-2</v>
      </c>
      <c r="H106" s="105"/>
    </row>
    <row r="107" spans="1:8" ht="14.1" customHeight="1" x14ac:dyDescent="0.2">
      <c r="A107" s="1"/>
      <c r="B107" s="1"/>
      <c r="C107" s="11"/>
      <c r="D107" s="1"/>
      <c r="E107" s="1"/>
      <c r="F107" s="12"/>
      <c r="G107" s="12"/>
      <c r="H107" s="105"/>
    </row>
    <row r="108" spans="1:8" ht="14.1" customHeight="1" x14ac:dyDescent="0.2">
      <c r="A108" s="1"/>
      <c r="B108" s="1"/>
      <c r="C108" s="2" t="s">
        <v>156</v>
      </c>
      <c r="D108" s="1"/>
      <c r="E108" s="1"/>
      <c r="F108" s="1"/>
      <c r="G108" s="1"/>
      <c r="H108" s="105"/>
    </row>
    <row r="109" spans="1:8" ht="14.1" customHeight="1" x14ac:dyDescent="0.2">
      <c r="A109" s="1"/>
      <c r="B109" s="1"/>
      <c r="C109" s="2" t="s">
        <v>157</v>
      </c>
      <c r="D109" s="1"/>
      <c r="E109" s="1"/>
      <c r="F109" s="1"/>
      <c r="G109" s="1"/>
      <c r="H109" s="105"/>
    </row>
    <row r="110" spans="1:8" ht="14.1" customHeight="1" x14ac:dyDescent="0.2">
      <c r="A110" s="1"/>
      <c r="B110" s="1"/>
      <c r="C110" s="2" t="s">
        <v>132</v>
      </c>
      <c r="D110" s="1"/>
      <c r="E110" s="1" t="s">
        <v>133</v>
      </c>
      <c r="F110" s="13" t="s">
        <v>135</v>
      </c>
      <c r="G110" s="10">
        <v>0</v>
      </c>
      <c r="H110" s="105"/>
    </row>
    <row r="111" spans="1:8" ht="14.1" customHeight="1" x14ac:dyDescent="0.2">
      <c r="A111" s="1"/>
      <c r="B111" s="1"/>
      <c r="C111" s="11"/>
      <c r="D111" s="1"/>
      <c r="E111" s="1"/>
      <c r="F111" s="12"/>
      <c r="G111" s="12"/>
      <c r="H111" s="105"/>
    </row>
    <row r="112" spans="1:8" ht="24" customHeight="1" x14ac:dyDescent="0.2">
      <c r="A112" s="1"/>
      <c r="B112" s="1"/>
      <c r="C112" s="2" t="s">
        <v>158</v>
      </c>
      <c r="D112" s="1"/>
      <c r="E112" s="1"/>
      <c r="F112" s="12"/>
      <c r="G112" s="12"/>
      <c r="H112" s="105"/>
    </row>
    <row r="113" spans="1:14" ht="14.1" customHeight="1" x14ac:dyDescent="0.2">
      <c r="A113" s="1"/>
      <c r="B113" s="1"/>
      <c r="C113" s="2" t="s">
        <v>132</v>
      </c>
      <c r="D113" s="1"/>
      <c r="E113" s="1" t="s">
        <v>133</v>
      </c>
      <c r="F113" s="13" t="s">
        <v>135</v>
      </c>
      <c r="G113" s="10">
        <v>0</v>
      </c>
      <c r="H113" s="105"/>
    </row>
    <row r="114" spans="1:14" ht="14.1" customHeight="1" x14ac:dyDescent="0.2">
      <c r="A114" s="1"/>
      <c r="B114" s="1"/>
      <c r="C114" s="11"/>
      <c r="D114" s="1"/>
      <c r="E114" s="1"/>
      <c r="F114" s="12"/>
      <c r="G114" s="12"/>
      <c r="H114" s="105"/>
    </row>
    <row r="115" spans="1:14" ht="18" customHeight="1" x14ac:dyDescent="0.2">
      <c r="A115" s="8"/>
      <c r="B115" s="4"/>
      <c r="C115" s="4" t="s">
        <v>673</v>
      </c>
      <c r="D115" s="4"/>
      <c r="E115" s="8"/>
      <c r="F115" s="6">
        <v>6.8781388000000003</v>
      </c>
      <c r="G115" s="7">
        <v>9.2537000000000001E-4</v>
      </c>
      <c r="H115" s="105"/>
    </row>
    <row r="116" spans="1:14" ht="18" customHeight="1" x14ac:dyDescent="0.2">
      <c r="A116" s="8"/>
      <c r="B116" s="4"/>
      <c r="C116" s="40" t="s">
        <v>955</v>
      </c>
      <c r="D116" s="4"/>
      <c r="E116" s="8"/>
      <c r="F116" s="6">
        <v>-10.33105599999908</v>
      </c>
      <c r="G116" s="7">
        <f>F116/F117</f>
        <v>-1.3899212374081738E-3</v>
      </c>
      <c r="H116" s="105"/>
      <c r="J116" s="53"/>
      <c r="K116" s="53"/>
      <c r="L116" s="53"/>
      <c r="M116" s="53"/>
      <c r="N116" s="53"/>
    </row>
    <row r="117" spans="1:14" ht="14.1" customHeight="1" x14ac:dyDescent="0.2">
      <c r="A117" s="11"/>
      <c r="B117" s="11"/>
      <c r="C117" s="2" t="s">
        <v>160</v>
      </c>
      <c r="D117" s="12"/>
      <c r="E117" s="12"/>
      <c r="F117" s="9">
        <v>7432.8355607140002</v>
      </c>
      <c r="G117" s="14">
        <v>1.00000004</v>
      </c>
      <c r="H117" s="105"/>
      <c r="J117" s="165"/>
      <c r="K117" s="165"/>
      <c r="L117" s="165"/>
      <c r="M117" s="165"/>
      <c r="N117" s="165"/>
    </row>
    <row r="118" spans="1:14" ht="14.1" customHeight="1" x14ac:dyDescent="0.2">
      <c r="A118" s="15"/>
      <c r="B118" s="15"/>
      <c r="C118" s="15"/>
      <c r="D118" s="16"/>
      <c r="E118" s="16"/>
      <c r="F118" s="48"/>
      <c r="G118" s="49"/>
    </row>
    <row r="119" spans="1:14" ht="17.100000000000001" customHeight="1" x14ac:dyDescent="0.2">
      <c r="A119" s="45"/>
      <c r="B119" s="192" t="s">
        <v>933</v>
      </c>
      <c r="C119" s="192"/>
      <c r="D119" s="192"/>
      <c r="E119" s="192"/>
      <c r="F119" s="192"/>
      <c r="G119" s="46"/>
    </row>
    <row r="120" spans="1:14" ht="14.1" customHeight="1" x14ac:dyDescent="0.2">
      <c r="A120" s="45"/>
      <c r="B120" s="198" t="s">
        <v>956</v>
      </c>
      <c r="C120" s="198"/>
      <c r="D120" s="198"/>
      <c r="E120" s="198"/>
      <c r="F120" s="198"/>
      <c r="G120" s="46"/>
    </row>
    <row r="121" spans="1:14" ht="14.1" customHeight="1" x14ac:dyDescent="0.2">
      <c r="A121" s="45"/>
      <c r="B121" s="191" t="s">
        <v>930</v>
      </c>
      <c r="C121" s="191"/>
      <c r="D121" s="191"/>
      <c r="E121" s="191"/>
      <c r="F121" s="191"/>
      <c r="G121" s="46"/>
    </row>
    <row r="122" spans="1:14" ht="14.1" customHeight="1" x14ac:dyDescent="0.2">
      <c r="A122" s="17"/>
      <c r="B122" s="17"/>
      <c r="C122" s="17"/>
      <c r="D122" s="19"/>
      <c r="E122" s="19"/>
      <c r="F122" s="19"/>
      <c r="G122" s="19"/>
      <c r="I122" s="53"/>
    </row>
    <row r="123" spans="1:14" ht="14.1" customHeight="1" x14ac:dyDescent="0.2">
      <c r="A123" s="17"/>
      <c r="B123" s="179" t="s">
        <v>162</v>
      </c>
      <c r="C123" s="180"/>
      <c r="D123" s="181"/>
      <c r="E123" s="20"/>
      <c r="F123" s="19"/>
      <c r="G123" s="19"/>
      <c r="I123" s="165"/>
    </row>
    <row r="124" spans="1:14" ht="29.1" customHeight="1" x14ac:dyDescent="0.2">
      <c r="A124" s="17"/>
      <c r="B124" s="176" t="s">
        <v>163</v>
      </c>
      <c r="C124" s="177"/>
      <c r="D124" s="56" t="s">
        <v>989</v>
      </c>
      <c r="E124" s="20"/>
      <c r="F124" s="19"/>
      <c r="G124" s="19"/>
      <c r="I124" s="53"/>
    </row>
    <row r="125" spans="1:14" ht="17.100000000000001" customHeight="1" x14ac:dyDescent="0.2">
      <c r="A125" s="17"/>
      <c r="B125" s="176" t="s">
        <v>165</v>
      </c>
      <c r="C125" s="177"/>
      <c r="D125" s="2" t="s">
        <v>164</v>
      </c>
      <c r="E125" s="20"/>
      <c r="F125" s="19"/>
      <c r="G125" s="19"/>
    </row>
    <row r="126" spans="1:14" ht="17.100000000000001" customHeight="1" x14ac:dyDescent="0.2">
      <c r="A126" s="17"/>
      <c r="B126" s="176" t="s">
        <v>166</v>
      </c>
      <c r="C126" s="177"/>
      <c r="D126" s="12" t="s">
        <v>133</v>
      </c>
      <c r="E126" s="20"/>
      <c r="F126" s="19"/>
      <c r="G126" s="19"/>
    </row>
    <row r="127" spans="1:14" ht="24" customHeight="1" x14ac:dyDescent="0.2">
      <c r="A127" s="21"/>
      <c r="B127" s="22" t="s">
        <v>133</v>
      </c>
      <c r="C127" s="22" t="s">
        <v>167</v>
      </c>
      <c r="D127" s="22" t="s">
        <v>168</v>
      </c>
      <c r="E127" s="21"/>
      <c r="F127" s="21"/>
      <c r="G127" s="21"/>
    </row>
    <row r="128" spans="1:14" ht="18" customHeight="1" x14ac:dyDescent="0.2">
      <c r="A128" s="21"/>
      <c r="B128" s="23" t="s">
        <v>169</v>
      </c>
      <c r="C128" s="22" t="s">
        <v>170</v>
      </c>
      <c r="D128" s="22" t="s">
        <v>171</v>
      </c>
      <c r="E128" s="21"/>
      <c r="F128" s="21"/>
      <c r="G128" s="21"/>
    </row>
    <row r="129" spans="1:15" ht="17.100000000000001" customHeight="1" x14ac:dyDescent="0.2">
      <c r="A129" s="21"/>
      <c r="B129" s="4" t="s">
        <v>172</v>
      </c>
      <c r="C129" s="24">
        <v>12.887600000000001</v>
      </c>
      <c r="D129" s="24">
        <v>12.9725</v>
      </c>
      <c r="E129" s="21"/>
      <c r="F129" s="18"/>
      <c r="G129" s="25"/>
    </row>
    <row r="130" spans="1:15" ht="25.5" x14ac:dyDescent="0.2">
      <c r="A130" s="21"/>
      <c r="B130" s="4" t="s">
        <v>1011</v>
      </c>
      <c r="C130" s="24">
        <v>11.144399999999999</v>
      </c>
      <c r="D130" s="24">
        <v>11.2178</v>
      </c>
      <c r="E130" s="21"/>
      <c r="F130" s="18"/>
      <c r="G130" s="25"/>
    </row>
    <row r="131" spans="1:15" ht="17.100000000000001" customHeight="1" x14ac:dyDescent="0.2">
      <c r="A131" s="21"/>
      <c r="B131" s="4" t="s">
        <v>173</v>
      </c>
      <c r="C131" s="24">
        <v>12.4131</v>
      </c>
      <c r="D131" s="24">
        <v>12.4839</v>
      </c>
      <c r="E131" s="21"/>
      <c r="F131" s="18"/>
      <c r="G131" s="25"/>
    </row>
    <row r="132" spans="1:15" ht="25.5" x14ac:dyDescent="0.2">
      <c r="A132" s="21"/>
      <c r="B132" s="4" t="s">
        <v>1013</v>
      </c>
      <c r="C132" s="24">
        <v>10.9137</v>
      </c>
      <c r="D132" s="24">
        <v>10.976000000000001</v>
      </c>
      <c r="E132" s="21"/>
      <c r="F132" s="18"/>
      <c r="G132" s="25"/>
    </row>
    <row r="133" spans="1:15" ht="14.1" customHeight="1" x14ac:dyDescent="0.2">
      <c r="A133" s="21"/>
      <c r="B133" s="21"/>
      <c r="C133" s="21"/>
      <c r="D133" s="21"/>
      <c r="E133" s="21"/>
      <c r="F133" s="21"/>
      <c r="G133" s="21"/>
    </row>
    <row r="134" spans="1:15" ht="17.100000000000001" customHeight="1" x14ac:dyDescent="0.2">
      <c r="A134" s="21"/>
      <c r="B134" s="176" t="s">
        <v>1008</v>
      </c>
      <c r="C134" s="177"/>
      <c r="D134" s="55" t="s">
        <v>164</v>
      </c>
      <c r="E134" s="21"/>
      <c r="F134" s="21"/>
      <c r="G134" s="21"/>
      <c r="O134" s="53"/>
    </row>
    <row r="135" spans="1:15" ht="18" customHeight="1" x14ac:dyDescent="0.2">
      <c r="A135" s="21"/>
      <c r="B135" s="26"/>
      <c r="C135" s="26"/>
      <c r="D135" s="26"/>
      <c r="E135" s="21"/>
      <c r="F135" s="21"/>
      <c r="G135" s="21"/>
    </row>
    <row r="136" spans="1:15" ht="29.1" customHeight="1" x14ac:dyDescent="0.2">
      <c r="A136" s="21"/>
      <c r="B136" s="176" t="s">
        <v>174</v>
      </c>
      <c r="C136" s="177"/>
      <c r="D136" s="56" t="s">
        <v>959</v>
      </c>
      <c r="E136" s="27"/>
      <c r="F136" s="21"/>
      <c r="G136" s="21"/>
    </row>
    <row r="137" spans="1:15" ht="29.1" customHeight="1" x14ac:dyDescent="0.2">
      <c r="A137" s="21"/>
      <c r="B137" s="176" t="s">
        <v>175</v>
      </c>
      <c r="C137" s="177"/>
      <c r="D137" s="2" t="s">
        <v>164</v>
      </c>
      <c r="E137" s="27"/>
      <c r="F137" s="21"/>
      <c r="G137" s="21"/>
    </row>
    <row r="138" spans="1:15" ht="17.100000000000001" customHeight="1" x14ac:dyDescent="0.2">
      <c r="A138" s="21"/>
      <c r="B138" s="176" t="s">
        <v>176</v>
      </c>
      <c r="C138" s="177"/>
      <c r="D138" s="2" t="s">
        <v>164</v>
      </c>
      <c r="E138" s="27"/>
      <c r="F138" s="21"/>
      <c r="G138" s="21"/>
    </row>
    <row r="139" spans="1:15" ht="17.100000000000001" customHeight="1" x14ac:dyDescent="0.2">
      <c r="A139" s="21"/>
      <c r="B139" s="176" t="s">
        <v>177</v>
      </c>
      <c r="C139" s="177"/>
      <c r="D139" s="60">
        <v>10.455296507203142</v>
      </c>
      <c r="E139" s="21"/>
      <c r="F139" s="18"/>
      <c r="G139" s="25"/>
    </row>
    <row r="140" spans="1:15" x14ac:dyDescent="0.2">
      <c r="J140" s="61"/>
      <c r="K140" s="61"/>
      <c r="L140" s="61"/>
      <c r="M140" s="61"/>
      <c r="N140" s="61"/>
    </row>
    <row r="141" spans="1:15" x14ac:dyDescent="0.2">
      <c r="B141" s="86" t="s">
        <v>996</v>
      </c>
      <c r="C141" s="86"/>
      <c r="D141" s="86"/>
      <c r="E141" s="87"/>
      <c r="F141" s="88"/>
    </row>
    <row r="142" spans="1:15" ht="38.25" x14ac:dyDescent="0.2">
      <c r="B142" s="63" t="s">
        <v>961</v>
      </c>
      <c r="C142" s="63" t="s">
        <v>962</v>
      </c>
      <c r="D142" s="63" t="s">
        <v>963</v>
      </c>
      <c r="E142" s="63" t="s">
        <v>964</v>
      </c>
      <c r="F142" s="63" t="s">
        <v>965</v>
      </c>
    </row>
    <row r="143" spans="1:15" s="61" customFormat="1" ht="25.5" x14ac:dyDescent="0.2">
      <c r="B143" s="64" t="s">
        <v>966</v>
      </c>
      <c r="C143" s="65" t="s">
        <v>967</v>
      </c>
      <c r="D143" s="66">
        <v>0</v>
      </c>
      <c r="E143" s="67">
        <v>0</v>
      </c>
      <c r="F143" s="68">
        <v>50</v>
      </c>
      <c r="I143"/>
      <c r="J143"/>
      <c r="K143"/>
      <c r="L143"/>
      <c r="M143"/>
      <c r="N143"/>
      <c r="O143"/>
    </row>
    <row r="145" spans="2:15" x14ac:dyDescent="0.2">
      <c r="B145" s="205" t="s">
        <v>980</v>
      </c>
      <c r="C145" s="206"/>
      <c r="D145" s="207"/>
    </row>
    <row r="146" spans="2:15" ht="25.5" x14ac:dyDescent="0.2">
      <c r="B146" s="208" t="s">
        <v>981</v>
      </c>
      <c r="C146" s="208"/>
      <c r="D146" s="81" t="s">
        <v>653</v>
      </c>
    </row>
    <row r="147" spans="2:15" x14ac:dyDescent="0.2">
      <c r="B147" s="208" t="s">
        <v>982</v>
      </c>
      <c r="C147" s="208"/>
      <c r="D147" s="89"/>
    </row>
    <row r="148" spans="2:15" x14ac:dyDescent="0.2">
      <c r="B148" s="209"/>
      <c r="C148" s="210"/>
      <c r="D148" s="83"/>
      <c r="I148" s="61"/>
    </row>
    <row r="149" spans="2:15" x14ac:dyDescent="0.2">
      <c r="B149" s="208" t="s">
        <v>983</v>
      </c>
      <c r="C149" s="208"/>
      <c r="D149" s="84">
        <v>6.6379782565054981</v>
      </c>
    </row>
    <row r="150" spans="2:15" x14ac:dyDescent="0.2">
      <c r="B150" s="209"/>
      <c r="C150" s="210"/>
      <c r="D150" s="83"/>
    </row>
    <row r="151" spans="2:15" x14ac:dyDescent="0.2">
      <c r="B151" s="208" t="s">
        <v>984</v>
      </c>
      <c r="C151" s="208"/>
      <c r="D151" s="84">
        <v>0.14623862835054363</v>
      </c>
    </row>
    <row r="152" spans="2:15" x14ac:dyDescent="0.2">
      <c r="B152" s="208" t="s">
        <v>985</v>
      </c>
      <c r="C152" s="208"/>
      <c r="D152" s="84">
        <v>0.14623862835054363</v>
      </c>
    </row>
    <row r="153" spans="2:15" x14ac:dyDescent="0.2">
      <c r="B153" s="209"/>
      <c r="C153" s="210"/>
      <c r="D153" s="83"/>
    </row>
    <row r="154" spans="2:15" x14ac:dyDescent="0.2">
      <c r="B154" s="208" t="s">
        <v>986</v>
      </c>
      <c r="C154" s="208"/>
      <c r="D154" s="85">
        <v>45046</v>
      </c>
    </row>
    <row r="155" spans="2:15" ht="12.75" customHeight="1" x14ac:dyDescent="0.2">
      <c r="B155" s="209" t="s">
        <v>990</v>
      </c>
      <c r="C155" s="211"/>
      <c r="D155" s="210"/>
    </row>
    <row r="156" spans="2:15" x14ac:dyDescent="0.2">
      <c r="O156" s="61"/>
    </row>
  </sheetData>
  <mergeCells count="27">
    <mergeCell ref="B155:D155"/>
    <mergeCell ref="B150:C150"/>
    <mergeCell ref="B151:C151"/>
    <mergeCell ref="B152:C152"/>
    <mergeCell ref="B153:C153"/>
    <mergeCell ref="B154:C154"/>
    <mergeCell ref="B145:D145"/>
    <mergeCell ref="B146:C146"/>
    <mergeCell ref="B147:C147"/>
    <mergeCell ref="B148:C148"/>
    <mergeCell ref="B149:C149"/>
    <mergeCell ref="J2:N2"/>
    <mergeCell ref="A1:H1"/>
    <mergeCell ref="A2:H2"/>
    <mergeCell ref="A3:H3"/>
    <mergeCell ref="B139:C139"/>
    <mergeCell ref="B125:C125"/>
    <mergeCell ref="B126:C126"/>
    <mergeCell ref="B134:C134"/>
    <mergeCell ref="B136:C136"/>
    <mergeCell ref="B137:C137"/>
    <mergeCell ref="B138:C138"/>
    <mergeCell ref="B124:C124"/>
    <mergeCell ref="B121:F121"/>
    <mergeCell ref="B123:D123"/>
    <mergeCell ref="B119:F119"/>
    <mergeCell ref="B120:F120"/>
  </mergeCells>
  <hyperlinks>
    <hyperlink ref="I1" location="Index!B22" display="Index" xr:uid="{4B1BF672-AE02-4049-A337-D5BF2A4322D9}"/>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outlinePr summaryBelow="0" summaryRight="0"/>
  </sheetPr>
  <dimension ref="A1:O209"/>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8" max="8" width="11.140625" customWidth="1"/>
  </cols>
  <sheetData>
    <row r="1" spans="1:14" ht="18" customHeight="1" x14ac:dyDescent="0.2">
      <c r="A1" s="182" t="s">
        <v>0</v>
      </c>
      <c r="B1" s="182"/>
      <c r="C1" s="182"/>
      <c r="D1" s="182"/>
      <c r="E1" s="182"/>
      <c r="F1" s="182"/>
      <c r="G1" s="182"/>
      <c r="H1" s="182"/>
      <c r="I1" s="159" t="s">
        <v>1044</v>
      </c>
      <c r="J1" s="53"/>
      <c r="K1" s="53"/>
      <c r="L1" s="53"/>
      <c r="M1" s="53"/>
      <c r="N1" s="53"/>
    </row>
    <row r="2" spans="1:14" ht="17.100000000000001" customHeight="1" x14ac:dyDescent="0.2">
      <c r="A2" s="183" t="s">
        <v>674</v>
      </c>
      <c r="B2" s="184"/>
      <c r="C2" s="184"/>
      <c r="D2" s="184"/>
      <c r="E2" s="184"/>
      <c r="F2" s="184"/>
      <c r="G2" s="184"/>
      <c r="H2" s="185"/>
      <c r="J2" s="175" t="s">
        <v>1045</v>
      </c>
      <c r="K2" s="175"/>
      <c r="L2" s="175"/>
      <c r="M2" s="175"/>
      <c r="N2" s="175"/>
    </row>
    <row r="3" spans="1:14" ht="21" customHeight="1" x14ac:dyDescent="0.2">
      <c r="A3" s="182" t="s">
        <v>1016</v>
      </c>
      <c r="B3" s="182"/>
      <c r="C3" s="182"/>
      <c r="D3" s="182"/>
      <c r="E3" s="182"/>
      <c r="F3" s="182"/>
      <c r="G3" s="182"/>
      <c r="H3" s="182"/>
      <c r="J3" s="53"/>
      <c r="K3" s="53"/>
      <c r="L3" s="53"/>
      <c r="M3" s="53"/>
      <c r="N3" s="53"/>
    </row>
    <row r="4" spans="1:14" ht="30" x14ac:dyDescent="0.2">
      <c r="A4" s="107" t="s">
        <v>2</v>
      </c>
      <c r="B4" s="107" t="s">
        <v>3</v>
      </c>
      <c r="C4" s="107" t="s">
        <v>4</v>
      </c>
      <c r="D4" s="107" t="s">
        <v>5</v>
      </c>
      <c r="E4" s="107" t="s">
        <v>6</v>
      </c>
      <c r="F4" s="107" t="s">
        <v>7</v>
      </c>
      <c r="G4" s="107" t="s">
        <v>8</v>
      </c>
      <c r="H4" s="106" t="s">
        <v>1019</v>
      </c>
      <c r="I4" s="108"/>
      <c r="J4" s="163"/>
      <c r="K4" s="163"/>
      <c r="L4" s="163"/>
      <c r="M4" s="163"/>
      <c r="N4" s="163"/>
    </row>
    <row r="5" spans="1:14" ht="14.1" customHeight="1" x14ac:dyDescent="0.2">
      <c r="A5" s="1"/>
      <c r="B5" s="1"/>
      <c r="C5" s="2" t="s">
        <v>9</v>
      </c>
      <c r="D5" s="1"/>
      <c r="E5" s="1"/>
      <c r="F5" s="1"/>
      <c r="G5" s="1"/>
      <c r="H5" s="105"/>
      <c r="J5" s="53"/>
      <c r="K5" s="53"/>
      <c r="L5" s="53"/>
      <c r="M5" s="53"/>
      <c r="N5" s="53"/>
    </row>
    <row r="6" spans="1:14" ht="24" customHeight="1" x14ac:dyDescent="0.2">
      <c r="A6" s="1"/>
      <c r="B6" s="1"/>
      <c r="C6" s="2" t="s">
        <v>10</v>
      </c>
      <c r="D6" s="1"/>
      <c r="E6" s="1"/>
      <c r="F6" s="1"/>
      <c r="G6" s="1"/>
      <c r="H6" s="105"/>
      <c r="J6" s="53"/>
      <c r="K6" s="53"/>
      <c r="L6" s="53"/>
      <c r="M6" s="53"/>
      <c r="N6" s="53"/>
    </row>
    <row r="7" spans="1:14" ht="17.100000000000001" customHeight="1" x14ac:dyDescent="0.2">
      <c r="A7" s="3">
        <v>1</v>
      </c>
      <c r="B7" s="4" t="s">
        <v>317</v>
      </c>
      <c r="C7" s="4" t="s">
        <v>318</v>
      </c>
      <c r="D7" s="4" t="s">
        <v>25</v>
      </c>
      <c r="E7" s="5">
        <v>807300</v>
      </c>
      <c r="F7" s="6">
        <v>13623.9948</v>
      </c>
      <c r="G7" s="7">
        <v>8.7815989999999997E-2</v>
      </c>
      <c r="H7" s="105"/>
      <c r="J7" s="53"/>
      <c r="K7" s="53"/>
      <c r="L7" s="53"/>
      <c r="M7" s="53"/>
      <c r="N7" s="53"/>
    </row>
    <row r="8" spans="1:14" ht="17.100000000000001" customHeight="1" x14ac:dyDescent="0.2">
      <c r="A8" s="3">
        <v>2</v>
      </c>
      <c r="B8" s="4" t="s">
        <v>23</v>
      </c>
      <c r="C8" s="4" t="s">
        <v>24</v>
      </c>
      <c r="D8" s="4" t="s">
        <v>25</v>
      </c>
      <c r="E8" s="5">
        <v>1092125</v>
      </c>
      <c r="F8" s="6">
        <v>10021.8850625</v>
      </c>
      <c r="G8" s="7">
        <v>6.4597929999999998E-2</v>
      </c>
      <c r="H8" s="105"/>
      <c r="J8" s="53"/>
      <c r="K8" s="53"/>
      <c r="L8" s="53"/>
      <c r="M8" s="53"/>
      <c r="N8" s="53"/>
    </row>
    <row r="9" spans="1:14" ht="17.100000000000001" customHeight="1" x14ac:dyDescent="0.2">
      <c r="A9" s="3">
        <v>3</v>
      </c>
      <c r="B9" s="4" t="s">
        <v>17</v>
      </c>
      <c r="C9" s="4" t="s">
        <v>18</v>
      </c>
      <c r="D9" s="4" t="s">
        <v>19</v>
      </c>
      <c r="E9" s="5">
        <v>325000</v>
      </c>
      <c r="F9" s="6">
        <v>7866.625</v>
      </c>
      <c r="G9" s="7">
        <v>5.0705800000000002E-2</v>
      </c>
      <c r="H9" s="105"/>
      <c r="J9" s="53"/>
      <c r="K9" s="53"/>
      <c r="L9" s="53"/>
      <c r="M9" s="53"/>
      <c r="N9" s="53"/>
    </row>
    <row r="10" spans="1:14" ht="17.100000000000001" customHeight="1" x14ac:dyDescent="0.2">
      <c r="A10" s="3">
        <v>4</v>
      </c>
      <c r="B10" s="4" t="s">
        <v>302</v>
      </c>
      <c r="C10" s="4" t="s">
        <v>303</v>
      </c>
      <c r="D10" s="4" t="s">
        <v>953</v>
      </c>
      <c r="E10" s="5">
        <v>435000</v>
      </c>
      <c r="F10" s="6">
        <v>5449.4624999999996</v>
      </c>
      <c r="G10" s="7">
        <v>3.5125530000000002E-2</v>
      </c>
      <c r="H10" s="105"/>
      <c r="J10" s="53"/>
      <c r="K10" s="53"/>
      <c r="L10" s="53"/>
      <c r="M10" s="53"/>
      <c r="N10" s="53"/>
    </row>
    <row r="11" spans="1:14" ht="29.1" customHeight="1" x14ac:dyDescent="0.2">
      <c r="A11" s="3">
        <v>5</v>
      </c>
      <c r="B11" s="4" t="s">
        <v>308</v>
      </c>
      <c r="C11" s="4" t="s">
        <v>309</v>
      </c>
      <c r="D11" s="4" t="s">
        <v>128</v>
      </c>
      <c r="E11" s="5">
        <v>185100</v>
      </c>
      <c r="F11" s="6">
        <v>5137.6355999999996</v>
      </c>
      <c r="G11" s="7">
        <v>3.311559E-2</v>
      </c>
      <c r="H11" s="105"/>
      <c r="J11" s="164"/>
      <c r="K11" s="164"/>
      <c r="L11" s="164"/>
      <c r="M11" s="164"/>
      <c r="N11" s="164"/>
    </row>
    <row r="12" spans="1:14" ht="17.100000000000001" customHeight="1" x14ac:dyDescent="0.2">
      <c r="A12" s="3">
        <v>6</v>
      </c>
      <c r="B12" s="4" t="s">
        <v>29</v>
      </c>
      <c r="C12" s="4" t="s">
        <v>30</v>
      </c>
      <c r="D12" s="4" t="s">
        <v>25</v>
      </c>
      <c r="E12" s="5">
        <v>740000</v>
      </c>
      <c r="F12" s="6">
        <v>4279.42</v>
      </c>
      <c r="G12" s="7">
        <v>2.7583799999999999E-2</v>
      </c>
      <c r="H12" s="105"/>
      <c r="J12" s="161" t="s">
        <v>1059</v>
      </c>
      <c r="K12" s="53"/>
      <c r="L12" s="53"/>
      <c r="M12" s="53"/>
      <c r="N12" s="53"/>
    </row>
    <row r="13" spans="1:14" ht="17.100000000000001" customHeight="1" x14ac:dyDescent="0.2">
      <c r="A13" s="3">
        <v>7</v>
      </c>
      <c r="B13" s="4" t="s">
        <v>925</v>
      </c>
      <c r="C13" s="4" t="s">
        <v>926</v>
      </c>
      <c r="D13" s="4" t="s">
        <v>91</v>
      </c>
      <c r="E13" s="5">
        <v>1200000</v>
      </c>
      <c r="F13" s="6">
        <v>3956.28</v>
      </c>
      <c r="G13" s="7">
        <v>2.550094E-2</v>
      </c>
      <c r="H13" s="105"/>
      <c r="J13" s="53"/>
      <c r="K13" s="53"/>
      <c r="L13" s="53"/>
      <c r="M13" s="53"/>
      <c r="N13" s="53"/>
    </row>
    <row r="14" spans="1:14" ht="17.100000000000001" customHeight="1" x14ac:dyDescent="0.2">
      <c r="A14" s="3">
        <v>8</v>
      </c>
      <c r="B14" s="4" t="s">
        <v>361</v>
      </c>
      <c r="C14" s="4" t="s">
        <v>362</v>
      </c>
      <c r="D14" s="4" t="s">
        <v>25</v>
      </c>
      <c r="E14" s="5">
        <v>152600</v>
      </c>
      <c r="F14" s="6">
        <v>2957.4643000000001</v>
      </c>
      <c r="G14" s="7">
        <v>1.9062889999999999E-2</v>
      </c>
      <c r="H14" s="105"/>
      <c r="J14" s="53"/>
      <c r="K14" s="53"/>
      <c r="L14" s="53"/>
      <c r="M14" s="53"/>
      <c r="N14" s="53"/>
    </row>
    <row r="15" spans="1:14" ht="17.100000000000001" customHeight="1" x14ac:dyDescent="0.2">
      <c r="A15" s="3">
        <v>9</v>
      </c>
      <c r="B15" s="4" t="s">
        <v>11</v>
      </c>
      <c r="C15" s="4" t="s">
        <v>12</v>
      </c>
      <c r="D15" s="4" t="s">
        <v>13</v>
      </c>
      <c r="E15" s="5">
        <v>120000</v>
      </c>
      <c r="F15" s="6">
        <v>2837.28</v>
      </c>
      <c r="G15" s="7">
        <v>1.8288220000000001E-2</v>
      </c>
      <c r="H15" s="105"/>
      <c r="J15" s="53"/>
      <c r="K15" s="53"/>
      <c r="L15" s="53"/>
      <c r="M15" s="53"/>
      <c r="N15" s="53"/>
    </row>
    <row r="16" spans="1:14" ht="17.100000000000001" customHeight="1" x14ac:dyDescent="0.2">
      <c r="A16" s="3">
        <v>10</v>
      </c>
      <c r="B16" s="4" t="s">
        <v>203</v>
      </c>
      <c r="C16" s="4" t="s">
        <v>204</v>
      </c>
      <c r="D16" s="4" t="s">
        <v>25</v>
      </c>
      <c r="E16" s="5">
        <v>325600</v>
      </c>
      <c r="F16" s="6">
        <v>2800.16</v>
      </c>
      <c r="G16" s="7">
        <v>1.8048950000000001E-2</v>
      </c>
      <c r="H16" s="105"/>
      <c r="J16" s="164"/>
      <c r="K16" s="164"/>
      <c r="L16" s="164"/>
      <c r="M16" s="164"/>
      <c r="N16" s="164"/>
    </row>
    <row r="17" spans="1:14" ht="17.100000000000001" customHeight="1" x14ac:dyDescent="0.2">
      <c r="A17" s="3">
        <v>11</v>
      </c>
      <c r="B17" s="4" t="s">
        <v>79</v>
      </c>
      <c r="C17" s="4" t="s">
        <v>80</v>
      </c>
      <c r="D17" s="4" t="s">
        <v>81</v>
      </c>
      <c r="E17" s="5">
        <v>87000</v>
      </c>
      <c r="F17" s="6">
        <v>2413.9454999999998</v>
      </c>
      <c r="G17" s="7">
        <v>1.555954E-2</v>
      </c>
      <c r="H17" s="105"/>
      <c r="J17" s="53"/>
      <c r="K17" s="53"/>
      <c r="L17" s="53"/>
      <c r="M17" s="53"/>
      <c r="N17" s="53"/>
    </row>
    <row r="18" spans="1:14" ht="17.100000000000001" customHeight="1" x14ac:dyDescent="0.2">
      <c r="A18" s="3">
        <v>12</v>
      </c>
      <c r="B18" s="4" t="s">
        <v>325</v>
      </c>
      <c r="C18" s="4" t="s">
        <v>326</v>
      </c>
      <c r="D18" s="4" t="s">
        <v>1020</v>
      </c>
      <c r="E18" s="5">
        <v>92100</v>
      </c>
      <c r="F18" s="6">
        <v>2263.1732999999999</v>
      </c>
      <c r="G18" s="7">
        <v>1.458771E-2</v>
      </c>
      <c r="H18" s="105"/>
      <c r="J18" s="53"/>
      <c r="K18" s="53"/>
      <c r="L18" s="53"/>
      <c r="M18" s="53"/>
      <c r="N18" s="53"/>
    </row>
    <row r="19" spans="1:14" ht="17.100000000000001" customHeight="1" x14ac:dyDescent="0.2">
      <c r="A19" s="3">
        <v>13</v>
      </c>
      <c r="B19" s="4" t="s">
        <v>14</v>
      </c>
      <c r="C19" s="4" t="s">
        <v>15</v>
      </c>
      <c r="D19" s="4" t="s">
        <v>16</v>
      </c>
      <c r="E19" s="5">
        <v>275205</v>
      </c>
      <c r="F19" s="6">
        <v>2199.713565</v>
      </c>
      <c r="G19" s="7">
        <v>1.4178659999999999E-2</v>
      </c>
      <c r="H19" s="105"/>
      <c r="J19" s="53"/>
      <c r="K19" s="53"/>
      <c r="L19" s="53"/>
      <c r="M19" s="53"/>
      <c r="N19" s="53"/>
    </row>
    <row r="20" spans="1:14" ht="17.100000000000001" customHeight="1" x14ac:dyDescent="0.2">
      <c r="A20" s="3">
        <v>14</v>
      </c>
      <c r="B20" s="4" t="s">
        <v>319</v>
      </c>
      <c r="C20" s="4" t="s">
        <v>320</v>
      </c>
      <c r="D20" s="4" t="s">
        <v>953</v>
      </c>
      <c r="E20" s="5">
        <v>68060</v>
      </c>
      <c r="F20" s="6">
        <v>2191.0215499999999</v>
      </c>
      <c r="G20" s="7">
        <v>1.4122640000000001E-2</v>
      </c>
      <c r="H20" s="105"/>
      <c r="J20" s="53"/>
      <c r="K20" s="53"/>
      <c r="L20" s="53"/>
      <c r="M20" s="53"/>
      <c r="N20" s="53"/>
    </row>
    <row r="21" spans="1:14" ht="17.100000000000001" customHeight="1" x14ac:dyDescent="0.2">
      <c r="A21" s="3">
        <v>15</v>
      </c>
      <c r="B21" s="4" t="s">
        <v>224</v>
      </c>
      <c r="C21" s="4" t="s">
        <v>225</v>
      </c>
      <c r="D21" s="4" t="s">
        <v>220</v>
      </c>
      <c r="E21" s="5">
        <v>150000</v>
      </c>
      <c r="F21" s="6">
        <v>2167.8000000000002</v>
      </c>
      <c r="G21" s="7">
        <v>1.397296E-2</v>
      </c>
      <c r="H21" s="105"/>
      <c r="J21" s="53"/>
      <c r="K21" s="53"/>
      <c r="L21" s="53"/>
      <c r="M21" s="53"/>
      <c r="N21" s="53"/>
    </row>
    <row r="22" spans="1:14" ht="17.100000000000001" customHeight="1" x14ac:dyDescent="0.2">
      <c r="A22" s="3">
        <v>16</v>
      </c>
      <c r="B22" s="4" t="s">
        <v>186</v>
      </c>
      <c r="C22" s="4" t="s">
        <v>187</v>
      </c>
      <c r="D22" s="4" t="s">
        <v>81</v>
      </c>
      <c r="E22" s="5">
        <v>75000</v>
      </c>
      <c r="F22" s="6">
        <v>1941.9</v>
      </c>
      <c r="G22" s="7">
        <v>1.2516879999999999E-2</v>
      </c>
      <c r="H22" s="105"/>
    </row>
    <row r="23" spans="1:14" ht="17.100000000000001" customHeight="1" x14ac:dyDescent="0.2">
      <c r="A23" s="3">
        <v>17</v>
      </c>
      <c r="B23" s="4" t="s">
        <v>367</v>
      </c>
      <c r="C23" s="4" t="s">
        <v>368</v>
      </c>
      <c r="D23" s="4" t="s">
        <v>128</v>
      </c>
      <c r="E23" s="5">
        <v>125000</v>
      </c>
      <c r="F23" s="6">
        <v>1693.3125</v>
      </c>
      <c r="G23" s="7">
        <v>1.091456E-2</v>
      </c>
      <c r="H23" s="105"/>
    </row>
    <row r="24" spans="1:14" ht="29.1" customHeight="1" x14ac:dyDescent="0.2">
      <c r="A24" s="3">
        <v>18</v>
      </c>
      <c r="B24" s="4" t="s">
        <v>927</v>
      </c>
      <c r="C24" s="4" t="s">
        <v>928</v>
      </c>
      <c r="D24" s="4" t="s">
        <v>28</v>
      </c>
      <c r="E24" s="5">
        <v>1278000</v>
      </c>
      <c r="F24" s="6">
        <v>1577.5632000000001</v>
      </c>
      <c r="G24" s="7">
        <v>1.0168480000000001E-2</v>
      </c>
      <c r="H24" s="105"/>
      <c r="J24" s="53"/>
      <c r="K24" s="53"/>
      <c r="L24" s="53"/>
      <c r="M24" s="53"/>
      <c r="N24" s="53"/>
    </row>
    <row r="25" spans="1:14" ht="29.1" customHeight="1" x14ac:dyDescent="0.2">
      <c r="A25" s="3">
        <v>19</v>
      </c>
      <c r="B25" s="4" t="s">
        <v>20</v>
      </c>
      <c r="C25" s="4" t="s">
        <v>21</v>
      </c>
      <c r="D25" s="4" t="s">
        <v>22</v>
      </c>
      <c r="E25" s="5">
        <v>21500</v>
      </c>
      <c r="F25" s="6">
        <v>1624.5830000000001</v>
      </c>
      <c r="G25" s="7">
        <v>1.047155E-2</v>
      </c>
      <c r="H25" s="105"/>
      <c r="J25" s="53"/>
      <c r="K25" s="53"/>
      <c r="L25" s="53"/>
      <c r="M25" s="53"/>
      <c r="N25" s="53"/>
    </row>
    <row r="26" spans="1:14" ht="17.100000000000001" customHeight="1" x14ac:dyDescent="0.2">
      <c r="A26" s="3">
        <v>20</v>
      </c>
      <c r="B26" s="4" t="s">
        <v>213</v>
      </c>
      <c r="C26" s="4" t="s">
        <v>214</v>
      </c>
      <c r="D26" s="4" t="s">
        <v>25</v>
      </c>
      <c r="E26" s="5">
        <v>837750</v>
      </c>
      <c r="F26" s="6">
        <v>1572.8756249999999</v>
      </c>
      <c r="G26" s="7">
        <v>1.013826E-2</v>
      </c>
      <c r="H26" s="105"/>
      <c r="J26" s="53"/>
      <c r="K26" s="53"/>
      <c r="L26" s="53"/>
      <c r="M26" s="53"/>
      <c r="N26" s="53"/>
    </row>
    <row r="27" spans="1:14" ht="17.100000000000001" customHeight="1" x14ac:dyDescent="0.2">
      <c r="A27" s="3">
        <v>21</v>
      </c>
      <c r="B27" s="4" t="s">
        <v>552</v>
      </c>
      <c r="C27" s="4" t="s">
        <v>553</v>
      </c>
      <c r="D27" s="4" t="s">
        <v>260</v>
      </c>
      <c r="E27" s="5">
        <v>165000</v>
      </c>
      <c r="F27" s="6">
        <v>1497.375</v>
      </c>
      <c r="G27" s="7">
        <v>9.6516099999999997E-3</v>
      </c>
      <c r="H27" s="105"/>
      <c r="J27" s="53"/>
      <c r="K27" s="53"/>
      <c r="L27" s="53"/>
      <c r="M27" s="53"/>
      <c r="N27" s="53"/>
    </row>
    <row r="28" spans="1:14" ht="17.100000000000001" customHeight="1" x14ac:dyDescent="0.2">
      <c r="A28" s="3">
        <v>22</v>
      </c>
      <c r="B28" s="4" t="s">
        <v>343</v>
      </c>
      <c r="C28" s="4" t="s">
        <v>344</v>
      </c>
      <c r="D28" s="4" t="s">
        <v>1020</v>
      </c>
      <c r="E28" s="5">
        <v>345400</v>
      </c>
      <c r="F28" s="6">
        <v>1469.8497</v>
      </c>
      <c r="G28" s="7">
        <v>9.4741900000000004E-3</v>
      </c>
      <c r="H28" s="105"/>
      <c r="J28" s="53"/>
      <c r="K28" s="53"/>
      <c r="L28" s="53"/>
      <c r="M28" s="53"/>
      <c r="N28" s="53"/>
    </row>
    <row r="29" spans="1:14" ht="17.100000000000001" customHeight="1" x14ac:dyDescent="0.2">
      <c r="A29" s="3">
        <v>23</v>
      </c>
      <c r="B29" s="4" t="s">
        <v>26</v>
      </c>
      <c r="C29" s="4" t="s">
        <v>27</v>
      </c>
      <c r="D29" s="4" t="s">
        <v>28</v>
      </c>
      <c r="E29" s="5">
        <v>825000</v>
      </c>
      <c r="F29" s="6">
        <v>1419</v>
      </c>
      <c r="G29" s="7">
        <v>9.1464300000000005E-3</v>
      </c>
      <c r="H29" s="105"/>
      <c r="J29" s="53"/>
      <c r="K29" s="53"/>
      <c r="L29" s="53"/>
      <c r="M29" s="53"/>
      <c r="N29" s="53"/>
    </row>
    <row r="30" spans="1:14" ht="17.100000000000001" customHeight="1" x14ac:dyDescent="0.2">
      <c r="A30" s="3">
        <v>24</v>
      </c>
      <c r="B30" s="4" t="s">
        <v>103</v>
      </c>
      <c r="C30" s="4" t="s">
        <v>104</v>
      </c>
      <c r="D30" s="4" t="s">
        <v>105</v>
      </c>
      <c r="E30" s="5">
        <v>16000</v>
      </c>
      <c r="F30" s="6">
        <v>1374.328</v>
      </c>
      <c r="G30" s="7">
        <v>8.8584900000000001E-3</v>
      </c>
      <c r="H30" s="105"/>
      <c r="J30" s="53"/>
      <c r="K30" s="53"/>
      <c r="L30" s="53"/>
      <c r="M30" s="53"/>
      <c r="N30" s="53"/>
    </row>
    <row r="31" spans="1:14" ht="17.100000000000001" customHeight="1" x14ac:dyDescent="0.2">
      <c r="A31" s="3">
        <v>25</v>
      </c>
      <c r="B31" s="4" t="s">
        <v>321</v>
      </c>
      <c r="C31" s="4" t="s">
        <v>322</v>
      </c>
      <c r="D31" s="4" t="s">
        <v>217</v>
      </c>
      <c r="E31" s="5">
        <v>120000</v>
      </c>
      <c r="F31" s="6">
        <v>1368.12</v>
      </c>
      <c r="G31" s="7">
        <v>8.8184700000000001E-3</v>
      </c>
      <c r="H31" s="105"/>
      <c r="J31" s="53"/>
      <c r="K31" s="53"/>
      <c r="L31" s="53"/>
      <c r="M31" s="53"/>
      <c r="N31" s="53"/>
    </row>
    <row r="32" spans="1:14" ht="17.100000000000001" customHeight="1" x14ac:dyDescent="0.2">
      <c r="A32" s="3">
        <v>26</v>
      </c>
      <c r="B32" s="4" t="s">
        <v>550</v>
      </c>
      <c r="C32" s="4" t="s">
        <v>551</v>
      </c>
      <c r="D32" s="4" t="s">
        <v>220</v>
      </c>
      <c r="E32" s="5">
        <v>174375</v>
      </c>
      <c r="F32" s="6">
        <v>1355.1553125</v>
      </c>
      <c r="G32" s="7">
        <v>8.7349100000000002E-3</v>
      </c>
      <c r="H32" s="105"/>
      <c r="J32" s="53"/>
      <c r="K32" s="53"/>
      <c r="L32" s="53"/>
      <c r="M32" s="53"/>
      <c r="N32" s="53"/>
    </row>
    <row r="33" spans="1:14" ht="17.100000000000001" customHeight="1" x14ac:dyDescent="0.2">
      <c r="A33" s="3">
        <v>27</v>
      </c>
      <c r="B33" s="4" t="s">
        <v>37</v>
      </c>
      <c r="C33" s="4" t="s">
        <v>38</v>
      </c>
      <c r="D33" s="4" t="s">
        <v>33</v>
      </c>
      <c r="E33" s="5">
        <v>70000</v>
      </c>
      <c r="F33" s="6">
        <v>1330.28</v>
      </c>
      <c r="G33" s="7">
        <v>8.5745700000000001E-3</v>
      </c>
      <c r="H33" s="105"/>
      <c r="J33" s="53"/>
      <c r="K33" s="53"/>
      <c r="L33" s="53"/>
      <c r="M33" s="53"/>
      <c r="N33" s="53"/>
    </row>
    <row r="34" spans="1:14" ht="29.1" customHeight="1" x14ac:dyDescent="0.2">
      <c r="A34" s="3">
        <v>28</v>
      </c>
      <c r="B34" s="4" t="s">
        <v>304</v>
      </c>
      <c r="C34" s="4" t="s">
        <v>305</v>
      </c>
      <c r="D34" s="4" t="s">
        <v>212</v>
      </c>
      <c r="E34" s="5">
        <v>128100</v>
      </c>
      <c r="F34" s="6">
        <v>1265.17965</v>
      </c>
      <c r="G34" s="7">
        <v>8.1549499999999994E-3</v>
      </c>
      <c r="H34" s="105"/>
      <c r="J34" s="53"/>
      <c r="K34" s="53"/>
      <c r="L34" s="53"/>
      <c r="M34" s="53"/>
      <c r="N34" s="53"/>
    </row>
    <row r="35" spans="1:14" ht="17.100000000000001" customHeight="1" x14ac:dyDescent="0.2">
      <c r="A35" s="3">
        <v>29</v>
      </c>
      <c r="B35" s="4" t="s">
        <v>184</v>
      </c>
      <c r="C35" s="4" t="s">
        <v>185</v>
      </c>
      <c r="D35" s="4" t="s">
        <v>128</v>
      </c>
      <c r="E35" s="5">
        <v>94150</v>
      </c>
      <c r="F35" s="6">
        <v>1254.6429000000001</v>
      </c>
      <c r="G35" s="7">
        <v>8.0870300000000003E-3</v>
      </c>
      <c r="H35" s="105"/>
    </row>
    <row r="36" spans="1:14" ht="29.1" customHeight="1" x14ac:dyDescent="0.2">
      <c r="A36" s="3">
        <v>30</v>
      </c>
      <c r="B36" s="4" t="s">
        <v>560</v>
      </c>
      <c r="C36" s="4" t="s">
        <v>561</v>
      </c>
      <c r="D36" s="4" t="s">
        <v>458</v>
      </c>
      <c r="E36" s="5">
        <v>181250</v>
      </c>
      <c r="F36" s="6">
        <v>1234.85625</v>
      </c>
      <c r="G36" s="7">
        <v>7.9594999999999996E-3</v>
      </c>
      <c r="H36" s="105"/>
    </row>
    <row r="37" spans="1:14" ht="29.1" customHeight="1" x14ac:dyDescent="0.2">
      <c r="A37" s="3">
        <v>31</v>
      </c>
      <c r="B37" s="4" t="s">
        <v>188</v>
      </c>
      <c r="C37" s="4" t="s">
        <v>189</v>
      </c>
      <c r="D37" s="4" t="s">
        <v>190</v>
      </c>
      <c r="E37" s="5">
        <v>125000</v>
      </c>
      <c r="F37" s="6">
        <v>1178.0625</v>
      </c>
      <c r="G37" s="7">
        <v>7.59342E-3</v>
      </c>
      <c r="H37" s="105"/>
    </row>
    <row r="38" spans="1:14" ht="29.1" customHeight="1" x14ac:dyDescent="0.2">
      <c r="A38" s="3">
        <v>32</v>
      </c>
      <c r="B38" s="4" t="s">
        <v>210</v>
      </c>
      <c r="C38" s="4" t="s">
        <v>211</v>
      </c>
      <c r="D38" s="4" t="s">
        <v>212</v>
      </c>
      <c r="E38" s="5">
        <v>221600</v>
      </c>
      <c r="F38" s="6">
        <v>1152.0984000000001</v>
      </c>
      <c r="G38" s="7">
        <v>7.4260699999999999E-3</v>
      </c>
      <c r="H38" s="105"/>
    </row>
    <row r="39" spans="1:14" ht="29.1" customHeight="1" x14ac:dyDescent="0.2">
      <c r="A39" s="3">
        <v>33</v>
      </c>
      <c r="B39" s="4" t="s">
        <v>243</v>
      </c>
      <c r="C39" s="4" t="s">
        <v>244</v>
      </c>
      <c r="D39" s="4" t="s">
        <v>190</v>
      </c>
      <c r="E39" s="5">
        <v>33000</v>
      </c>
      <c r="F39" s="6">
        <v>1116.885</v>
      </c>
      <c r="G39" s="7">
        <v>7.19909E-3</v>
      </c>
      <c r="H39" s="105"/>
    </row>
    <row r="40" spans="1:14" ht="17.100000000000001" customHeight="1" x14ac:dyDescent="0.2">
      <c r="A40" s="3">
        <v>34</v>
      </c>
      <c r="B40" s="4" t="s">
        <v>355</v>
      </c>
      <c r="C40" s="4" t="s">
        <v>356</v>
      </c>
      <c r="D40" s="4" t="s">
        <v>953</v>
      </c>
      <c r="E40" s="5">
        <v>24750</v>
      </c>
      <c r="F40" s="6">
        <v>1093.8138750000001</v>
      </c>
      <c r="G40" s="7">
        <v>7.0503800000000002E-3</v>
      </c>
      <c r="H40" s="105"/>
    </row>
    <row r="41" spans="1:14" ht="29.1" customHeight="1" x14ac:dyDescent="0.2">
      <c r="A41" s="3">
        <v>35</v>
      </c>
      <c r="B41" s="4" t="s">
        <v>491</v>
      </c>
      <c r="C41" s="4" t="s">
        <v>492</v>
      </c>
      <c r="D41" s="4" t="s">
        <v>212</v>
      </c>
      <c r="E41" s="5">
        <v>114950</v>
      </c>
      <c r="F41" s="6">
        <v>1043.8034749999999</v>
      </c>
      <c r="G41" s="7">
        <v>6.7280300000000003E-3</v>
      </c>
      <c r="H41" s="105"/>
    </row>
    <row r="42" spans="1:14" ht="17.100000000000001" customHeight="1" x14ac:dyDescent="0.2">
      <c r="A42" s="3">
        <v>36</v>
      </c>
      <c r="B42" s="4" t="s">
        <v>218</v>
      </c>
      <c r="C42" s="4" t="s">
        <v>219</v>
      </c>
      <c r="D42" s="4" t="s">
        <v>220</v>
      </c>
      <c r="E42" s="5">
        <v>70000</v>
      </c>
      <c r="F42" s="6">
        <v>1035.6500000000001</v>
      </c>
      <c r="G42" s="7">
        <v>6.6754800000000001E-3</v>
      </c>
      <c r="H42" s="105"/>
    </row>
    <row r="43" spans="1:14" ht="29.1" customHeight="1" x14ac:dyDescent="0.2">
      <c r="A43" s="3">
        <v>37</v>
      </c>
      <c r="B43" s="4" t="s">
        <v>334</v>
      </c>
      <c r="C43" s="4" t="s">
        <v>335</v>
      </c>
      <c r="D43" s="4" t="s">
        <v>183</v>
      </c>
      <c r="E43" s="5">
        <v>230000</v>
      </c>
      <c r="F43" s="6">
        <v>986.35500000000002</v>
      </c>
      <c r="G43" s="7">
        <v>6.3577399999999997E-3</v>
      </c>
      <c r="H43" s="105"/>
    </row>
    <row r="44" spans="1:14" ht="17.100000000000001" customHeight="1" x14ac:dyDescent="0.2">
      <c r="A44" s="3">
        <v>38</v>
      </c>
      <c r="B44" s="4" t="s">
        <v>226</v>
      </c>
      <c r="C44" s="4" t="s">
        <v>227</v>
      </c>
      <c r="D44" s="4" t="s">
        <v>121</v>
      </c>
      <c r="E44" s="5">
        <v>950000</v>
      </c>
      <c r="F44" s="6">
        <v>975.65</v>
      </c>
      <c r="G44" s="7">
        <v>6.2887300000000002E-3</v>
      </c>
      <c r="H44" s="105"/>
    </row>
    <row r="45" spans="1:14" ht="17.100000000000001" customHeight="1" x14ac:dyDescent="0.2">
      <c r="A45" s="3">
        <v>39</v>
      </c>
      <c r="B45" s="4" t="s">
        <v>554</v>
      </c>
      <c r="C45" s="4" t="s">
        <v>555</v>
      </c>
      <c r="D45" s="4" t="s">
        <v>105</v>
      </c>
      <c r="E45" s="5">
        <v>28000</v>
      </c>
      <c r="F45" s="6">
        <v>924.30799999999999</v>
      </c>
      <c r="G45" s="7">
        <v>5.9578000000000001E-3</v>
      </c>
      <c r="H45" s="105"/>
    </row>
    <row r="46" spans="1:14" ht="17.100000000000001" customHeight="1" x14ac:dyDescent="0.2">
      <c r="A46" s="3">
        <v>40</v>
      </c>
      <c r="B46" s="4" t="s">
        <v>332</v>
      </c>
      <c r="C46" s="4" t="s">
        <v>333</v>
      </c>
      <c r="D46" s="4" t="s">
        <v>105</v>
      </c>
      <c r="E46" s="5">
        <v>74400</v>
      </c>
      <c r="F46" s="6">
        <v>912.81359999999995</v>
      </c>
      <c r="G46" s="7">
        <v>5.8837100000000003E-3</v>
      </c>
      <c r="H46" s="105"/>
    </row>
    <row r="47" spans="1:14" ht="17.100000000000001" customHeight="1" x14ac:dyDescent="0.2">
      <c r="A47" s="3">
        <v>41</v>
      </c>
      <c r="B47" s="4" t="s">
        <v>235</v>
      </c>
      <c r="C47" s="4" t="s">
        <v>236</v>
      </c>
      <c r="D47" s="4" t="s">
        <v>128</v>
      </c>
      <c r="E47" s="5">
        <v>129500</v>
      </c>
      <c r="F47" s="6">
        <v>786.06500000000005</v>
      </c>
      <c r="G47" s="7">
        <v>5.0667300000000002E-3</v>
      </c>
      <c r="H47" s="105"/>
    </row>
    <row r="48" spans="1:14" ht="17.100000000000001" customHeight="1" x14ac:dyDescent="0.2">
      <c r="A48" s="3">
        <v>42</v>
      </c>
      <c r="B48" s="4" t="s">
        <v>349</v>
      </c>
      <c r="C48" s="4" t="s">
        <v>350</v>
      </c>
      <c r="D48" s="4" t="s">
        <v>128</v>
      </c>
      <c r="E48" s="5">
        <v>12250</v>
      </c>
      <c r="F48" s="6">
        <v>769.31224999999995</v>
      </c>
      <c r="G48" s="7">
        <v>4.9587499999999996E-3</v>
      </c>
      <c r="H48" s="105"/>
    </row>
    <row r="49" spans="1:8" ht="17.100000000000001" customHeight="1" x14ac:dyDescent="0.2">
      <c r="A49" s="3">
        <v>43</v>
      </c>
      <c r="B49" s="4" t="s">
        <v>337</v>
      </c>
      <c r="C49" s="4" t="s">
        <v>338</v>
      </c>
      <c r="D49" s="4" t="s">
        <v>223</v>
      </c>
      <c r="E49" s="5">
        <v>225000</v>
      </c>
      <c r="F49" s="6">
        <v>762.97500000000002</v>
      </c>
      <c r="G49" s="7">
        <v>4.9179000000000002E-3</v>
      </c>
      <c r="H49" s="105"/>
    </row>
    <row r="50" spans="1:8" ht="17.100000000000001" customHeight="1" x14ac:dyDescent="0.2">
      <c r="A50" s="3">
        <v>44</v>
      </c>
      <c r="B50" s="4" t="s">
        <v>205</v>
      </c>
      <c r="C50" s="4" t="s">
        <v>206</v>
      </c>
      <c r="D50" s="4" t="s">
        <v>207</v>
      </c>
      <c r="E50" s="5">
        <v>125000</v>
      </c>
      <c r="F50" s="6">
        <v>728.5625</v>
      </c>
      <c r="G50" s="7">
        <v>4.69609E-3</v>
      </c>
      <c r="H50" s="105"/>
    </row>
    <row r="51" spans="1:8" ht="17.100000000000001" customHeight="1" x14ac:dyDescent="0.2">
      <c r="A51" s="3">
        <v>45</v>
      </c>
      <c r="B51" s="4" t="s">
        <v>323</v>
      </c>
      <c r="C51" s="4" t="s">
        <v>324</v>
      </c>
      <c r="D51" s="4" t="s">
        <v>953</v>
      </c>
      <c r="E51" s="5">
        <v>66500</v>
      </c>
      <c r="F51" s="6">
        <v>707.62649999999996</v>
      </c>
      <c r="G51" s="7">
        <v>4.56114E-3</v>
      </c>
      <c r="H51" s="105"/>
    </row>
    <row r="52" spans="1:8" ht="17.100000000000001" customHeight="1" x14ac:dyDescent="0.2">
      <c r="A52" s="3">
        <v>46</v>
      </c>
      <c r="B52" s="4" t="s">
        <v>254</v>
      </c>
      <c r="C52" s="4" t="s">
        <v>255</v>
      </c>
      <c r="D52" s="4" t="s">
        <v>121</v>
      </c>
      <c r="E52" s="5">
        <v>80000</v>
      </c>
      <c r="F52" s="6">
        <v>692.4</v>
      </c>
      <c r="G52" s="7">
        <v>4.46299E-3</v>
      </c>
      <c r="H52" s="105"/>
    </row>
    <row r="53" spans="1:8" ht="17.100000000000001" customHeight="1" x14ac:dyDescent="0.2">
      <c r="A53" s="3">
        <v>47</v>
      </c>
      <c r="B53" s="4" t="s">
        <v>85</v>
      </c>
      <c r="C53" s="4" t="s">
        <v>86</v>
      </c>
      <c r="D53" s="4" t="s">
        <v>81</v>
      </c>
      <c r="E53" s="5">
        <v>137609</v>
      </c>
      <c r="F53" s="6">
        <v>660.52319999999997</v>
      </c>
      <c r="G53" s="7">
        <v>4.2575299999999998E-3</v>
      </c>
      <c r="H53" s="105"/>
    </row>
    <row r="54" spans="1:8" ht="29.1" customHeight="1" x14ac:dyDescent="0.2">
      <c r="A54" s="3">
        <v>48</v>
      </c>
      <c r="B54" s="4" t="s">
        <v>486</v>
      </c>
      <c r="C54" s="4" t="s">
        <v>487</v>
      </c>
      <c r="D54" s="4" t="s">
        <v>488</v>
      </c>
      <c r="E54" s="5">
        <v>86000</v>
      </c>
      <c r="F54" s="6">
        <v>656.91099999999994</v>
      </c>
      <c r="G54" s="7">
        <v>4.2342400000000002E-3</v>
      </c>
      <c r="H54" s="105"/>
    </row>
    <row r="55" spans="1:8" ht="17.100000000000001" customHeight="1" x14ac:dyDescent="0.2">
      <c r="A55" s="3">
        <v>49</v>
      </c>
      <c r="B55" s="4" t="s">
        <v>452</v>
      </c>
      <c r="C55" s="4" t="s">
        <v>453</v>
      </c>
      <c r="D55" s="4" t="s">
        <v>91</v>
      </c>
      <c r="E55" s="5">
        <v>989100</v>
      </c>
      <c r="F55" s="6">
        <v>644.89319999999998</v>
      </c>
      <c r="G55" s="7">
        <v>4.1567799999999997E-3</v>
      </c>
      <c r="H55" s="105"/>
    </row>
    <row r="56" spans="1:8" ht="29.1" customHeight="1" x14ac:dyDescent="0.2">
      <c r="A56" s="3">
        <v>50</v>
      </c>
      <c r="B56" s="4" t="s">
        <v>249</v>
      </c>
      <c r="C56" s="4" t="s">
        <v>250</v>
      </c>
      <c r="D56" s="4" t="s">
        <v>121</v>
      </c>
      <c r="E56" s="5">
        <v>250000</v>
      </c>
      <c r="F56" s="6">
        <v>637.25</v>
      </c>
      <c r="G56" s="7">
        <v>4.10751E-3</v>
      </c>
      <c r="H56" s="105"/>
    </row>
    <row r="57" spans="1:8" ht="17.100000000000001" customHeight="1" x14ac:dyDescent="0.2">
      <c r="A57" s="3">
        <v>51</v>
      </c>
      <c r="B57" s="4" t="s">
        <v>179</v>
      </c>
      <c r="C57" s="4" t="s">
        <v>180</v>
      </c>
      <c r="D57" s="4" t="s">
        <v>25</v>
      </c>
      <c r="E57" s="5">
        <v>450000</v>
      </c>
      <c r="F57" s="6">
        <v>607.27499999999998</v>
      </c>
      <c r="G57" s="7">
        <v>3.9142999999999999E-3</v>
      </c>
      <c r="H57" s="105"/>
    </row>
    <row r="58" spans="1:8" ht="17.100000000000001" customHeight="1" x14ac:dyDescent="0.2">
      <c r="A58" s="3">
        <v>52</v>
      </c>
      <c r="B58" s="4" t="s">
        <v>353</v>
      </c>
      <c r="C58" s="4" t="s">
        <v>354</v>
      </c>
      <c r="D58" s="4" t="s">
        <v>105</v>
      </c>
      <c r="E58" s="5">
        <v>125000</v>
      </c>
      <c r="F58" s="6">
        <v>606.1875</v>
      </c>
      <c r="G58" s="7">
        <v>3.9072899999999999E-3</v>
      </c>
      <c r="H58" s="105"/>
    </row>
    <row r="59" spans="1:8" ht="29.1" customHeight="1" x14ac:dyDescent="0.2">
      <c r="A59" s="3">
        <v>53</v>
      </c>
      <c r="B59" s="4" t="s">
        <v>65</v>
      </c>
      <c r="C59" s="4" t="s">
        <v>66</v>
      </c>
      <c r="D59" s="4" t="s">
        <v>22</v>
      </c>
      <c r="E59" s="5">
        <v>30250</v>
      </c>
      <c r="F59" s="6">
        <v>603.85050000000001</v>
      </c>
      <c r="G59" s="7">
        <v>3.89223E-3</v>
      </c>
      <c r="H59" s="105"/>
    </row>
    <row r="60" spans="1:8" ht="17.100000000000001" customHeight="1" x14ac:dyDescent="0.2">
      <c r="A60" s="3">
        <v>54</v>
      </c>
      <c r="B60" s="4" t="s">
        <v>310</v>
      </c>
      <c r="C60" s="4" t="s">
        <v>311</v>
      </c>
      <c r="D60" s="4" t="s">
        <v>207</v>
      </c>
      <c r="E60" s="5">
        <v>550000</v>
      </c>
      <c r="F60" s="6">
        <v>593.72500000000002</v>
      </c>
      <c r="G60" s="7">
        <v>3.8269699999999999E-3</v>
      </c>
      <c r="H60" s="105"/>
    </row>
    <row r="61" spans="1:8" ht="17.100000000000001" customHeight="1" x14ac:dyDescent="0.2">
      <c r="A61" s="3">
        <v>55</v>
      </c>
      <c r="B61" s="4" t="s">
        <v>82</v>
      </c>
      <c r="C61" s="4" t="s">
        <v>83</v>
      </c>
      <c r="D61" s="4" t="s">
        <v>84</v>
      </c>
      <c r="E61" s="5">
        <v>549000</v>
      </c>
      <c r="F61" s="6">
        <v>589.077</v>
      </c>
      <c r="G61" s="7">
        <v>3.79701E-3</v>
      </c>
      <c r="H61" s="105"/>
    </row>
    <row r="62" spans="1:8" ht="29.1" customHeight="1" x14ac:dyDescent="0.2">
      <c r="A62" s="3">
        <v>56</v>
      </c>
      <c r="B62" s="4" t="s">
        <v>261</v>
      </c>
      <c r="C62" s="4" t="s">
        <v>262</v>
      </c>
      <c r="D62" s="4" t="s">
        <v>212</v>
      </c>
      <c r="E62" s="5">
        <v>42500</v>
      </c>
      <c r="F62" s="6">
        <v>577.49</v>
      </c>
      <c r="G62" s="7">
        <v>3.7223199999999999E-3</v>
      </c>
      <c r="H62" s="105"/>
    </row>
    <row r="63" spans="1:8" ht="17.100000000000001" customHeight="1" x14ac:dyDescent="0.2">
      <c r="A63" s="3">
        <v>57</v>
      </c>
      <c r="B63" s="4" t="s">
        <v>251</v>
      </c>
      <c r="C63" s="4" t="s">
        <v>252</v>
      </c>
      <c r="D63" s="4" t="s">
        <v>253</v>
      </c>
      <c r="E63" s="5">
        <v>65100</v>
      </c>
      <c r="F63" s="6">
        <v>552.048</v>
      </c>
      <c r="G63" s="7">
        <v>3.5583300000000002E-3</v>
      </c>
      <c r="H63" s="105"/>
    </row>
    <row r="64" spans="1:8" ht="17.100000000000001" customHeight="1" x14ac:dyDescent="0.2">
      <c r="A64" s="3">
        <v>58</v>
      </c>
      <c r="B64" s="4" t="s">
        <v>53</v>
      </c>
      <c r="C64" s="4" t="s">
        <v>54</v>
      </c>
      <c r="D64" s="4" t="s">
        <v>33</v>
      </c>
      <c r="E64" s="5">
        <v>15000</v>
      </c>
      <c r="F64" s="6">
        <v>480.80250000000001</v>
      </c>
      <c r="G64" s="7">
        <v>3.0991E-3</v>
      </c>
      <c r="H64" s="105"/>
    </row>
    <row r="65" spans="1:8" ht="17.100000000000001" customHeight="1" x14ac:dyDescent="0.2">
      <c r="A65" s="3">
        <v>59</v>
      </c>
      <c r="B65" s="4" t="s">
        <v>114</v>
      </c>
      <c r="C65" s="4" t="s">
        <v>115</v>
      </c>
      <c r="D65" s="4" t="s">
        <v>116</v>
      </c>
      <c r="E65" s="5">
        <v>100000</v>
      </c>
      <c r="F65" s="6">
        <v>436.1</v>
      </c>
      <c r="G65" s="7">
        <v>2.8109599999999999E-3</v>
      </c>
      <c r="H65" s="105"/>
    </row>
    <row r="66" spans="1:8" ht="17.100000000000001" customHeight="1" x14ac:dyDescent="0.2">
      <c r="A66" s="3">
        <v>60</v>
      </c>
      <c r="B66" s="4" t="s">
        <v>558</v>
      </c>
      <c r="C66" s="4" t="s">
        <v>559</v>
      </c>
      <c r="D66" s="4" t="s">
        <v>253</v>
      </c>
      <c r="E66" s="5">
        <v>4000</v>
      </c>
      <c r="F66" s="6">
        <v>182.142</v>
      </c>
      <c r="G66" s="7">
        <v>1.17403E-3</v>
      </c>
      <c r="H66" s="105"/>
    </row>
    <row r="67" spans="1:8" ht="17.100000000000001" customHeight="1" x14ac:dyDescent="0.2">
      <c r="A67" s="3">
        <v>61</v>
      </c>
      <c r="B67" s="4" t="s">
        <v>77</v>
      </c>
      <c r="C67" s="4" t="s">
        <v>78</v>
      </c>
      <c r="D67" s="4" t="s">
        <v>33</v>
      </c>
      <c r="E67" s="5">
        <v>11388</v>
      </c>
      <c r="F67" s="6">
        <v>179.435022</v>
      </c>
      <c r="G67" s="7">
        <v>1.1565799999999999E-3</v>
      </c>
      <c r="H67" s="105"/>
    </row>
    <row r="68" spans="1:8" ht="53.1" customHeight="1" x14ac:dyDescent="0.2">
      <c r="A68" s="3">
        <v>62</v>
      </c>
      <c r="B68" s="4" t="s">
        <v>117</v>
      </c>
      <c r="C68" s="4" t="s">
        <v>118</v>
      </c>
      <c r="D68" s="4" t="s">
        <v>52</v>
      </c>
      <c r="E68" s="5">
        <v>14000</v>
      </c>
      <c r="F68" s="6">
        <v>170.345</v>
      </c>
      <c r="G68" s="7">
        <v>1.0979900000000001E-3</v>
      </c>
      <c r="H68" s="105"/>
    </row>
    <row r="69" spans="1:8" ht="14.1" customHeight="1" x14ac:dyDescent="0.2">
      <c r="A69" s="1"/>
      <c r="B69" s="1"/>
      <c r="C69" s="2" t="s">
        <v>132</v>
      </c>
      <c r="D69" s="1"/>
      <c r="E69" s="1" t="s">
        <v>133</v>
      </c>
      <c r="F69" s="9">
        <v>115189.31833700003</v>
      </c>
      <c r="G69" s="10">
        <v>0.74247425000000011</v>
      </c>
      <c r="H69" s="105"/>
    </row>
    <row r="70" spans="1:8" ht="14.1" customHeight="1" x14ac:dyDescent="0.2">
      <c r="A70" s="1"/>
      <c r="B70" s="1"/>
      <c r="C70" s="11"/>
      <c r="D70" s="1"/>
      <c r="E70" s="1"/>
      <c r="F70" s="12"/>
      <c r="G70" s="12"/>
      <c r="H70" s="105"/>
    </row>
    <row r="71" spans="1:8" ht="14.1" customHeight="1" x14ac:dyDescent="0.2">
      <c r="A71" s="1"/>
      <c r="B71" s="1"/>
      <c r="C71" s="2" t="s">
        <v>134</v>
      </c>
      <c r="D71" s="1"/>
      <c r="E71" s="1"/>
      <c r="F71" s="1"/>
      <c r="G71" s="1"/>
      <c r="H71" s="105"/>
    </row>
    <row r="72" spans="1:8" ht="14.1" customHeight="1" x14ac:dyDescent="0.2">
      <c r="A72" s="1"/>
      <c r="B72" s="1"/>
      <c r="C72" s="2" t="s">
        <v>132</v>
      </c>
      <c r="D72" s="1"/>
      <c r="E72" s="1" t="s">
        <v>133</v>
      </c>
      <c r="F72" s="13" t="s">
        <v>135</v>
      </c>
      <c r="G72" s="10">
        <v>0</v>
      </c>
      <c r="H72" s="105"/>
    </row>
    <row r="73" spans="1:8" ht="14.1" customHeight="1" x14ac:dyDescent="0.2">
      <c r="A73" s="1"/>
      <c r="B73" s="1"/>
      <c r="C73" s="11"/>
      <c r="D73" s="1"/>
      <c r="E73" s="1"/>
      <c r="F73" s="12"/>
      <c r="G73" s="12"/>
      <c r="H73" s="105"/>
    </row>
    <row r="74" spans="1:8" ht="14.1" customHeight="1" x14ac:dyDescent="0.2">
      <c r="A74" s="1"/>
      <c r="B74" s="1"/>
      <c r="C74" s="2" t="s">
        <v>136</v>
      </c>
      <c r="D74" s="1"/>
      <c r="E74" s="1"/>
      <c r="F74" s="1"/>
      <c r="G74" s="1"/>
      <c r="H74" s="105"/>
    </row>
    <row r="75" spans="1:8" ht="14.1" customHeight="1" x14ac:dyDescent="0.2">
      <c r="A75" s="1"/>
      <c r="B75" s="1"/>
      <c r="C75" s="2" t="s">
        <v>132</v>
      </c>
      <c r="D75" s="1"/>
      <c r="E75" s="1" t="s">
        <v>133</v>
      </c>
      <c r="F75" s="13" t="s">
        <v>135</v>
      </c>
      <c r="G75" s="10">
        <v>0</v>
      </c>
      <c r="H75" s="105"/>
    </row>
    <row r="76" spans="1:8" ht="14.1" customHeight="1" x14ac:dyDescent="0.2">
      <c r="A76" s="1"/>
      <c r="B76" s="1"/>
      <c r="C76" s="11"/>
      <c r="D76" s="1"/>
      <c r="E76" s="1"/>
      <c r="F76" s="12"/>
      <c r="G76" s="12"/>
      <c r="H76" s="105"/>
    </row>
    <row r="77" spans="1:8" ht="14.1" customHeight="1" x14ac:dyDescent="0.2">
      <c r="A77" s="1"/>
      <c r="B77" s="1"/>
      <c r="C77" s="2" t="s">
        <v>137</v>
      </c>
      <c r="D77" s="1"/>
      <c r="E77" s="1"/>
      <c r="F77" s="1"/>
      <c r="G77" s="1"/>
      <c r="H77" s="105"/>
    </row>
    <row r="78" spans="1:8" ht="14.1" customHeight="1" x14ac:dyDescent="0.2">
      <c r="A78" s="1"/>
      <c r="B78" s="1"/>
      <c r="C78" s="2" t="s">
        <v>132</v>
      </c>
      <c r="D78" s="1"/>
      <c r="E78" s="1" t="s">
        <v>133</v>
      </c>
      <c r="F78" s="13" t="s">
        <v>135</v>
      </c>
      <c r="G78" s="10">
        <v>0</v>
      </c>
      <c r="H78" s="105"/>
    </row>
    <row r="79" spans="1:8" ht="14.1" customHeight="1" x14ac:dyDescent="0.2">
      <c r="A79" s="1"/>
      <c r="B79" s="1"/>
      <c r="C79" s="11"/>
      <c r="D79" s="1"/>
      <c r="E79" s="1"/>
      <c r="F79" s="12"/>
      <c r="G79" s="12"/>
      <c r="H79" s="105"/>
    </row>
    <row r="80" spans="1:8" ht="14.1" customHeight="1" x14ac:dyDescent="0.2">
      <c r="A80" s="1"/>
      <c r="B80" s="1"/>
      <c r="C80" s="2" t="s">
        <v>138</v>
      </c>
      <c r="D80" s="1"/>
      <c r="E80" s="1"/>
      <c r="F80" s="12"/>
      <c r="G80" s="12"/>
      <c r="H80" s="105"/>
    </row>
    <row r="81" spans="1:8" ht="14.1" customHeight="1" x14ac:dyDescent="0.2">
      <c r="A81" s="1"/>
      <c r="B81" s="1"/>
      <c r="C81" s="2" t="s">
        <v>132</v>
      </c>
      <c r="D81" s="1"/>
      <c r="E81" s="1" t="s">
        <v>133</v>
      </c>
      <c r="F81" s="13" t="s">
        <v>135</v>
      </c>
      <c r="G81" s="10">
        <v>0</v>
      </c>
      <c r="H81" s="105"/>
    </row>
    <row r="82" spans="1:8" ht="14.1" customHeight="1" x14ac:dyDescent="0.2">
      <c r="A82" s="1"/>
      <c r="B82" s="1"/>
      <c r="C82" s="11"/>
      <c r="D82" s="1"/>
      <c r="E82" s="1"/>
      <c r="F82" s="12"/>
      <c r="G82" s="12"/>
      <c r="H82" s="105"/>
    </row>
    <row r="83" spans="1:8" ht="14.1" customHeight="1" x14ac:dyDescent="0.2">
      <c r="A83" s="1"/>
      <c r="B83" s="1"/>
      <c r="C83" s="2" t="s">
        <v>139</v>
      </c>
      <c r="D83" s="1"/>
      <c r="E83" s="1"/>
      <c r="F83" s="12"/>
      <c r="G83" s="12"/>
      <c r="H83" s="105"/>
    </row>
    <row r="84" spans="1:8" ht="17.100000000000001" customHeight="1" x14ac:dyDescent="0.2">
      <c r="A84" s="3">
        <v>1</v>
      </c>
      <c r="B84" s="4"/>
      <c r="C84" s="4" t="s">
        <v>891</v>
      </c>
      <c r="D84" s="4" t="s">
        <v>668</v>
      </c>
      <c r="E84" s="5">
        <v>-14400</v>
      </c>
      <c r="F84" s="6">
        <v>-124.5744</v>
      </c>
      <c r="G84" s="7">
        <v>-8.03E-4</v>
      </c>
      <c r="H84" s="105"/>
    </row>
    <row r="85" spans="1:8" ht="17.100000000000001" customHeight="1" x14ac:dyDescent="0.2">
      <c r="A85" s="3">
        <v>2</v>
      </c>
      <c r="B85" s="4"/>
      <c r="C85" s="4" t="s">
        <v>903</v>
      </c>
      <c r="D85" s="4" t="s">
        <v>668</v>
      </c>
      <c r="E85" s="5">
        <v>-14950</v>
      </c>
      <c r="F85" s="6">
        <v>-136.62805</v>
      </c>
      <c r="G85" s="7">
        <v>-8.8069999999999999E-4</v>
      </c>
      <c r="H85" s="105"/>
    </row>
    <row r="86" spans="1:8" ht="17.100000000000001" customHeight="1" x14ac:dyDescent="0.2">
      <c r="A86" s="3">
        <v>3</v>
      </c>
      <c r="B86" s="4"/>
      <c r="C86" s="4" t="s">
        <v>904</v>
      </c>
      <c r="D86" s="4" t="s">
        <v>668</v>
      </c>
      <c r="E86" s="5">
        <v>-25000</v>
      </c>
      <c r="F86" s="6">
        <v>-340.05</v>
      </c>
      <c r="G86" s="7">
        <v>-2.1919000000000001E-3</v>
      </c>
      <c r="H86" s="105"/>
    </row>
    <row r="87" spans="1:8" ht="17.100000000000001" customHeight="1" x14ac:dyDescent="0.2">
      <c r="A87" s="3">
        <v>4</v>
      </c>
      <c r="B87" s="4"/>
      <c r="C87" s="4" t="s">
        <v>905</v>
      </c>
      <c r="D87" s="4" t="s">
        <v>668</v>
      </c>
      <c r="E87" s="5">
        <v>-5000</v>
      </c>
      <c r="F87" s="6">
        <v>-380.125</v>
      </c>
      <c r="G87" s="7">
        <v>-2.4502E-3</v>
      </c>
      <c r="H87" s="105"/>
    </row>
    <row r="88" spans="1:8" ht="17.100000000000001" customHeight="1" x14ac:dyDescent="0.2">
      <c r="A88" s="3">
        <v>5</v>
      </c>
      <c r="B88" s="4"/>
      <c r="C88" s="4" t="s">
        <v>906</v>
      </c>
      <c r="D88" s="4" t="s">
        <v>668</v>
      </c>
      <c r="E88" s="5">
        <v>-75000</v>
      </c>
      <c r="F88" s="6">
        <v>-431.96249999999998</v>
      </c>
      <c r="G88" s="7">
        <v>-2.7843E-3</v>
      </c>
      <c r="H88" s="105"/>
    </row>
    <row r="89" spans="1:8" ht="17.100000000000001" customHeight="1" x14ac:dyDescent="0.2">
      <c r="A89" s="3">
        <v>6</v>
      </c>
      <c r="B89" s="4"/>
      <c r="C89" s="4" t="s">
        <v>907</v>
      </c>
      <c r="D89" s="4" t="s">
        <v>668</v>
      </c>
      <c r="E89" s="5">
        <v>-68750</v>
      </c>
      <c r="F89" s="6">
        <v>-537.83124999999995</v>
      </c>
      <c r="G89" s="7">
        <v>-3.4667000000000001E-3</v>
      </c>
      <c r="H89" s="105"/>
    </row>
    <row r="90" spans="1:8" ht="17.100000000000001" customHeight="1" x14ac:dyDescent="0.2">
      <c r="A90" s="3">
        <v>7</v>
      </c>
      <c r="B90" s="4"/>
      <c r="C90" s="4" t="s">
        <v>896</v>
      </c>
      <c r="D90" s="4" t="s">
        <v>668</v>
      </c>
      <c r="E90" s="5">
        <v>-25000</v>
      </c>
      <c r="F90" s="6">
        <v>-607.65</v>
      </c>
      <c r="G90" s="7">
        <v>-3.9167000000000004E-3</v>
      </c>
      <c r="H90" s="105"/>
    </row>
    <row r="91" spans="1:8" ht="17.100000000000001" customHeight="1" x14ac:dyDescent="0.2">
      <c r="A91" s="3">
        <v>8</v>
      </c>
      <c r="B91" s="4"/>
      <c r="C91" s="4" t="s">
        <v>899</v>
      </c>
      <c r="D91" s="4" t="s">
        <v>668</v>
      </c>
      <c r="E91" s="5">
        <v>-12250</v>
      </c>
      <c r="F91" s="6">
        <v>-771.83574999999996</v>
      </c>
      <c r="G91" s="7">
        <v>-4.9750000000000003E-3</v>
      </c>
      <c r="H91" s="105"/>
    </row>
    <row r="92" spans="1:8" ht="17.100000000000001" customHeight="1" x14ac:dyDescent="0.2">
      <c r="A92" s="3">
        <v>9</v>
      </c>
      <c r="B92" s="4"/>
      <c r="C92" s="4" t="s">
        <v>908</v>
      </c>
      <c r="D92" s="4" t="s">
        <v>668</v>
      </c>
      <c r="E92" s="5">
        <v>-150000</v>
      </c>
      <c r="F92" s="6">
        <v>-1028.55</v>
      </c>
      <c r="G92" s="7">
        <v>-6.6296999999999997E-3</v>
      </c>
      <c r="H92" s="105"/>
    </row>
    <row r="93" spans="1:8" ht="17.100000000000001" customHeight="1" x14ac:dyDescent="0.2">
      <c r="A93" s="3">
        <v>10</v>
      </c>
      <c r="B93" s="4"/>
      <c r="C93" s="4" t="s">
        <v>900</v>
      </c>
      <c r="D93" s="4" t="s">
        <v>668</v>
      </c>
      <c r="E93" s="5">
        <v>-185500</v>
      </c>
      <c r="F93" s="6">
        <v>-1712.165</v>
      </c>
      <c r="G93" s="7">
        <v>-1.10361E-2</v>
      </c>
      <c r="H93" s="105"/>
    </row>
    <row r="94" spans="1:8" ht="23.25" customHeight="1" x14ac:dyDescent="0.2">
      <c r="A94" s="3">
        <v>11</v>
      </c>
      <c r="B94" s="4"/>
      <c r="C94" s="4" t="s">
        <v>909</v>
      </c>
      <c r="D94" s="4" t="s">
        <v>668</v>
      </c>
      <c r="E94" s="5">
        <v>-65100</v>
      </c>
      <c r="F94" s="6">
        <v>-1810.0404000000001</v>
      </c>
      <c r="G94" s="7">
        <v>-1.1667E-2</v>
      </c>
      <c r="H94" s="105"/>
    </row>
    <row r="95" spans="1:8" ht="17.100000000000001" customHeight="1" x14ac:dyDescent="0.2">
      <c r="A95" s="3">
        <v>12</v>
      </c>
      <c r="B95" s="4"/>
      <c r="C95" s="4" t="s">
        <v>902</v>
      </c>
      <c r="D95" s="4" t="s">
        <v>668</v>
      </c>
      <c r="E95" s="5">
        <v>-117600</v>
      </c>
      <c r="F95" s="6">
        <v>-2288.5547999999999</v>
      </c>
      <c r="G95" s="7">
        <v>-1.47513E-2</v>
      </c>
      <c r="H95" s="105"/>
    </row>
    <row r="96" spans="1:8" ht="17.100000000000001" customHeight="1" x14ac:dyDescent="0.2">
      <c r="A96" s="3">
        <v>13</v>
      </c>
      <c r="B96" s="4"/>
      <c r="C96" s="4" t="s">
        <v>910</v>
      </c>
      <c r="D96" s="4" t="s">
        <v>668</v>
      </c>
      <c r="E96" s="5">
        <v>-292050</v>
      </c>
      <c r="F96" s="6">
        <v>-4895.7801749999999</v>
      </c>
      <c r="G96" s="7">
        <v>-3.15567E-2</v>
      </c>
      <c r="H96" s="105"/>
    </row>
    <row r="97" spans="1:8" ht="17.100000000000001" customHeight="1" x14ac:dyDescent="0.2">
      <c r="A97" s="3">
        <v>14</v>
      </c>
      <c r="B97" s="4"/>
      <c r="C97" s="4" t="s">
        <v>911</v>
      </c>
      <c r="D97" s="4" t="s">
        <v>675</v>
      </c>
      <c r="E97" s="5">
        <v>-62250</v>
      </c>
      <c r="F97" s="6">
        <v>-11274.190875</v>
      </c>
      <c r="G97" s="7">
        <v>-7.2669899999999996E-2</v>
      </c>
      <c r="H97" s="105"/>
    </row>
    <row r="98" spans="1:8" ht="14.1" customHeight="1" x14ac:dyDescent="0.2">
      <c r="A98" s="1"/>
      <c r="B98" s="1"/>
      <c r="C98" s="2" t="s">
        <v>132</v>
      </c>
      <c r="D98" s="1"/>
      <c r="E98" s="1" t="s">
        <v>133</v>
      </c>
      <c r="F98" s="9">
        <v>-26339.938200000001</v>
      </c>
      <c r="G98" s="10">
        <v>-0.16977898999999999</v>
      </c>
      <c r="H98" s="105"/>
    </row>
    <row r="99" spans="1:8" ht="14.1" customHeight="1" x14ac:dyDescent="0.2">
      <c r="A99" s="1"/>
      <c r="B99" s="1"/>
      <c r="C99" s="11"/>
      <c r="D99" s="1"/>
      <c r="E99" s="1"/>
      <c r="F99" s="12"/>
      <c r="G99" s="12"/>
      <c r="H99" s="105"/>
    </row>
    <row r="100" spans="1:8" ht="18" customHeight="1" x14ac:dyDescent="0.2">
      <c r="A100" s="1"/>
      <c r="B100" s="1"/>
      <c r="C100" s="2" t="s">
        <v>140</v>
      </c>
      <c r="D100" s="1"/>
      <c r="E100" s="1"/>
      <c r="F100" s="9">
        <v>115189.31833700003</v>
      </c>
      <c r="G100" s="10">
        <v>0.74247425000000011</v>
      </c>
      <c r="H100" s="105"/>
    </row>
    <row r="101" spans="1:8" ht="14.1" customHeight="1" x14ac:dyDescent="0.2">
      <c r="A101" s="1"/>
      <c r="B101" s="1"/>
      <c r="C101" s="11"/>
      <c r="D101" s="1"/>
      <c r="E101" s="1"/>
      <c r="F101" s="12"/>
      <c r="G101" s="12"/>
      <c r="H101" s="105"/>
    </row>
    <row r="102" spans="1:8" ht="14.1" customHeight="1" x14ac:dyDescent="0.2">
      <c r="A102" s="1"/>
      <c r="B102" s="1"/>
      <c r="C102" s="2" t="s">
        <v>141</v>
      </c>
      <c r="D102" s="1"/>
      <c r="E102" s="1"/>
      <c r="F102" s="12"/>
      <c r="G102" s="12"/>
      <c r="H102" s="105"/>
    </row>
    <row r="103" spans="1:8" ht="24" customHeight="1" x14ac:dyDescent="0.2">
      <c r="A103" s="1"/>
      <c r="B103" s="1"/>
      <c r="C103" s="2" t="s">
        <v>10</v>
      </c>
      <c r="D103" s="1"/>
      <c r="E103" s="1"/>
      <c r="F103" s="12"/>
      <c r="G103" s="12"/>
      <c r="H103" s="105"/>
    </row>
    <row r="104" spans="1:8" ht="29.1" customHeight="1" x14ac:dyDescent="0.2">
      <c r="A104" s="3">
        <v>1</v>
      </c>
      <c r="B104" s="4" t="s">
        <v>676</v>
      </c>
      <c r="C104" s="4" t="s">
        <v>677</v>
      </c>
      <c r="D104" s="4" t="s">
        <v>570</v>
      </c>
      <c r="E104" s="5">
        <v>250</v>
      </c>
      <c r="F104" s="6">
        <v>2479.2125000000001</v>
      </c>
      <c r="G104" s="7">
        <v>1.5980230000000002E-2</v>
      </c>
      <c r="H104" s="105">
        <v>7.835</v>
      </c>
    </row>
    <row r="105" spans="1:8" ht="29.1" customHeight="1" x14ac:dyDescent="0.2">
      <c r="A105" s="3">
        <v>2</v>
      </c>
      <c r="B105" s="4" t="s">
        <v>566</v>
      </c>
      <c r="C105" s="4" t="s">
        <v>567</v>
      </c>
      <c r="D105" s="4" t="s">
        <v>565</v>
      </c>
      <c r="E105" s="5">
        <v>200</v>
      </c>
      <c r="F105" s="6">
        <v>2030.3620000000001</v>
      </c>
      <c r="G105" s="7">
        <v>1.3087079999999999E-2</v>
      </c>
      <c r="H105" s="105">
        <v>7.7949999999999999</v>
      </c>
    </row>
    <row r="106" spans="1:8" ht="29.1" customHeight="1" x14ac:dyDescent="0.2">
      <c r="A106" s="3">
        <v>3</v>
      </c>
      <c r="B106" s="4" t="s">
        <v>568</v>
      </c>
      <c r="C106" s="4" t="s">
        <v>569</v>
      </c>
      <c r="D106" s="4" t="s">
        <v>570</v>
      </c>
      <c r="E106" s="5">
        <v>1500</v>
      </c>
      <c r="F106" s="6">
        <v>1508.0625</v>
      </c>
      <c r="G106" s="7">
        <v>9.7205E-3</v>
      </c>
      <c r="H106" s="105">
        <v>7.4649999999999999</v>
      </c>
    </row>
    <row r="107" spans="1:8" ht="29.1" customHeight="1" x14ac:dyDescent="0.2">
      <c r="A107" s="3">
        <v>4</v>
      </c>
      <c r="B107" s="4" t="s">
        <v>571</v>
      </c>
      <c r="C107" s="4" t="s">
        <v>572</v>
      </c>
      <c r="D107" s="4" t="s">
        <v>565</v>
      </c>
      <c r="E107" s="5">
        <v>1500</v>
      </c>
      <c r="F107" s="6">
        <v>1502.4870000000001</v>
      </c>
      <c r="G107" s="7">
        <v>9.68456E-3</v>
      </c>
      <c r="H107" s="105">
        <v>7.5270000000000001</v>
      </c>
    </row>
    <row r="108" spans="1:8" ht="29.1" customHeight="1" x14ac:dyDescent="0.2">
      <c r="A108" s="3">
        <v>5</v>
      </c>
      <c r="B108" s="4" t="s">
        <v>577</v>
      </c>
      <c r="C108" s="4" t="s">
        <v>578</v>
      </c>
      <c r="D108" s="4" t="s">
        <v>565</v>
      </c>
      <c r="E108" s="5">
        <v>1000</v>
      </c>
      <c r="F108" s="6">
        <v>1023.5410000000001</v>
      </c>
      <c r="G108" s="7">
        <v>6.5974199999999997E-3</v>
      </c>
      <c r="H108" s="105">
        <v>7.48</v>
      </c>
    </row>
    <row r="109" spans="1:8" ht="17.100000000000001" customHeight="1" x14ac:dyDescent="0.2">
      <c r="A109" s="3">
        <v>6</v>
      </c>
      <c r="B109" s="4" t="s">
        <v>601</v>
      </c>
      <c r="C109" s="4" t="s">
        <v>602</v>
      </c>
      <c r="D109" s="4" t="s">
        <v>565</v>
      </c>
      <c r="E109" s="5">
        <v>1000</v>
      </c>
      <c r="F109" s="6">
        <v>1001.961</v>
      </c>
      <c r="G109" s="7">
        <v>6.45833E-3</v>
      </c>
      <c r="H109" s="105">
        <v>7.4550000000000001</v>
      </c>
    </row>
    <row r="110" spans="1:8" ht="29.1" customHeight="1" x14ac:dyDescent="0.2">
      <c r="A110" s="3">
        <v>7</v>
      </c>
      <c r="B110" s="4" t="s">
        <v>678</v>
      </c>
      <c r="C110" s="4" t="s">
        <v>679</v>
      </c>
      <c r="D110" s="4" t="s">
        <v>570</v>
      </c>
      <c r="E110" s="5">
        <v>100</v>
      </c>
      <c r="F110" s="6">
        <v>996.10299999999995</v>
      </c>
      <c r="G110" s="7">
        <v>6.4205699999999996E-3</v>
      </c>
      <c r="H110" s="105">
        <v>7.8422999999999998</v>
      </c>
    </row>
    <row r="111" spans="1:8" ht="29.1" customHeight="1" x14ac:dyDescent="0.2">
      <c r="A111" s="3">
        <v>8</v>
      </c>
      <c r="B111" s="4" t="s">
        <v>611</v>
      </c>
      <c r="C111" s="4" t="s">
        <v>612</v>
      </c>
      <c r="D111" s="4" t="s">
        <v>588</v>
      </c>
      <c r="E111" s="5">
        <v>100</v>
      </c>
      <c r="F111" s="6">
        <v>992.93100000000004</v>
      </c>
      <c r="G111" s="7">
        <v>6.4001199999999996E-3</v>
      </c>
      <c r="H111" s="105">
        <v>7.45</v>
      </c>
    </row>
    <row r="112" spans="1:8" ht="17.100000000000001" customHeight="1" x14ac:dyDescent="0.2">
      <c r="A112" s="3">
        <v>9</v>
      </c>
      <c r="B112" s="4" t="s">
        <v>680</v>
      </c>
      <c r="C112" s="4" t="s">
        <v>681</v>
      </c>
      <c r="D112" s="4" t="s">
        <v>570</v>
      </c>
      <c r="E112" s="5">
        <v>100</v>
      </c>
      <c r="F112" s="6">
        <v>992.84500000000003</v>
      </c>
      <c r="G112" s="7">
        <v>6.3995700000000003E-3</v>
      </c>
      <c r="H112" s="105">
        <v>7.22</v>
      </c>
    </row>
    <row r="113" spans="1:8" ht="17.100000000000001" customHeight="1" x14ac:dyDescent="0.2">
      <c r="A113" s="3">
        <v>10</v>
      </c>
      <c r="B113" s="4" t="s">
        <v>575</v>
      </c>
      <c r="C113" s="4" t="s">
        <v>576</v>
      </c>
      <c r="D113" s="4" t="s">
        <v>570</v>
      </c>
      <c r="E113" s="5">
        <v>50</v>
      </c>
      <c r="F113" s="6">
        <v>507.22</v>
      </c>
      <c r="G113" s="7">
        <v>3.2693800000000001E-3</v>
      </c>
      <c r="H113" s="105">
        <v>7.3949999999999996</v>
      </c>
    </row>
    <row r="114" spans="1:8" ht="29.1" customHeight="1" x14ac:dyDescent="0.2">
      <c r="A114" s="3">
        <v>11</v>
      </c>
      <c r="B114" s="4" t="s">
        <v>682</v>
      </c>
      <c r="C114" s="4" t="s">
        <v>683</v>
      </c>
      <c r="D114" s="4" t="s">
        <v>570</v>
      </c>
      <c r="E114" s="5">
        <v>50</v>
      </c>
      <c r="F114" s="6">
        <v>498.59050000000002</v>
      </c>
      <c r="G114" s="7">
        <v>3.21376E-3</v>
      </c>
      <c r="H114" s="105">
        <v>7.2050000000000001</v>
      </c>
    </row>
    <row r="115" spans="1:8" ht="29.1" customHeight="1" x14ac:dyDescent="0.2">
      <c r="A115" s="3">
        <v>12</v>
      </c>
      <c r="B115" s="4" t="s">
        <v>613</v>
      </c>
      <c r="C115" s="4" t="s">
        <v>614</v>
      </c>
      <c r="D115" s="4" t="s">
        <v>565</v>
      </c>
      <c r="E115" s="5">
        <v>30</v>
      </c>
      <c r="F115" s="6">
        <v>292.53899999999999</v>
      </c>
      <c r="G115" s="7">
        <v>1.88562E-3</v>
      </c>
      <c r="H115" s="105">
        <v>7.4349999999999996</v>
      </c>
    </row>
    <row r="116" spans="1:8" ht="29.1" customHeight="1" x14ac:dyDescent="0.2">
      <c r="A116" s="3">
        <v>13</v>
      </c>
      <c r="B116" s="4" t="s">
        <v>684</v>
      </c>
      <c r="C116" s="4" t="s">
        <v>685</v>
      </c>
      <c r="D116" s="4" t="s">
        <v>570</v>
      </c>
      <c r="E116" s="5">
        <v>10</v>
      </c>
      <c r="F116" s="6">
        <v>100.74290000000001</v>
      </c>
      <c r="G116" s="7">
        <v>6.4935999999999998E-4</v>
      </c>
      <c r="H116" s="105">
        <v>7.2850000000000001</v>
      </c>
    </row>
    <row r="117" spans="1:8" ht="14.1" customHeight="1" x14ac:dyDescent="0.2">
      <c r="A117" s="1"/>
      <c r="B117" s="1"/>
      <c r="C117" s="2" t="s">
        <v>132</v>
      </c>
      <c r="D117" s="1"/>
      <c r="E117" s="1" t="s">
        <v>133</v>
      </c>
      <c r="F117" s="9">
        <v>13926.597400000001</v>
      </c>
      <c r="G117" s="10">
        <v>8.9766499999999999E-2</v>
      </c>
      <c r="H117" s="105"/>
    </row>
    <row r="118" spans="1:8" ht="14.1" customHeight="1" x14ac:dyDescent="0.2">
      <c r="A118" s="1"/>
      <c r="B118" s="1"/>
      <c r="C118" s="11"/>
      <c r="D118" s="1"/>
      <c r="E118" s="1"/>
      <c r="F118" s="12"/>
      <c r="G118" s="12"/>
      <c r="H118" s="105"/>
    </row>
    <row r="119" spans="1:8" ht="14.1" customHeight="1" x14ac:dyDescent="0.2">
      <c r="A119" s="1"/>
      <c r="B119" s="1"/>
      <c r="C119" s="2" t="s">
        <v>142</v>
      </c>
      <c r="D119" s="1"/>
      <c r="E119" s="1"/>
      <c r="F119" s="1"/>
      <c r="G119" s="1"/>
      <c r="H119" s="105"/>
    </row>
    <row r="120" spans="1:8" ht="14.1" customHeight="1" x14ac:dyDescent="0.2">
      <c r="A120" s="1"/>
      <c r="B120" s="1"/>
      <c r="C120" s="2" t="s">
        <v>132</v>
      </c>
      <c r="D120" s="1"/>
      <c r="E120" s="1" t="s">
        <v>133</v>
      </c>
      <c r="F120" s="13" t="s">
        <v>135</v>
      </c>
      <c r="G120" s="10">
        <v>0</v>
      </c>
      <c r="H120" s="105"/>
    </row>
    <row r="121" spans="1:8" ht="14.1" customHeight="1" x14ac:dyDescent="0.2">
      <c r="A121" s="1"/>
      <c r="B121" s="1"/>
      <c r="C121" s="11"/>
      <c r="D121" s="1"/>
      <c r="E121" s="1"/>
      <c r="F121" s="12"/>
      <c r="G121" s="12"/>
      <c r="H121" s="105"/>
    </row>
    <row r="122" spans="1:8" ht="14.1" customHeight="1" x14ac:dyDescent="0.2">
      <c r="A122" s="1"/>
      <c r="B122" s="1"/>
      <c r="C122" s="2" t="s">
        <v>143</v>
      </c>
      <c r="D122" s="1"/>
      <c r="E122" s="1"/>
      <c r="F122" s="1"/>
      <c r="G122" s="1"/>
      <c r="H122" s="105"/>
    </row>
    <row r="123" spans="1:8" ht="29.1" customHeight="1" x14ac:dyDescent="0.2">
      <c r="A123" s="3">
        <v>1</v>
      </c>
      <c r="B123" s="4" t="s">
        <v>620</v>
      </c>
      <c r="C123" s="4" t="s">
        <v>621</v>
      </c>
      <c r="D123" s="4" t="s">
        <v>617</v>
      </c>
      <c r="E123" s="5">
        <v>4000000</v>
      </c>
      <c r="F123" s="6">
        <v>4054.3319999999999</v>
      </c>
      <c r="G123" s="7">
        <v>2.6132949999999999E-2</v>
      </c>
      <c r="H123" s="105">
        <v>7.1124000000000001</v>
      </c>
    </row>
    <row r="124" spans="1:8" ht="29.1" customHeight="1" x14ac:dyDescent="0.2">
      <c r="A124" s="3">
        <v>2</v>
      </c>
      <c r="B124" s="4" t="s">
        <v>626</v>
      </c>
      <c r="C124" s="4" t="s">
        <v>627</v>
      </c>
      <c r="D124" s="4" t="s">
        <v>617</v>
      </c>
      <c r="E124" s="5">
        <v>3500000</v>
      </c>
      <c r="F124" s="6">
        <v>3386.1064999999999</v>
      </c>
      <c r="G124" s="7">
        <v>2.1825779999999999E-2</v>
      </c>
      <c r="H124" s="105">
        <v>7.0095000000000001</v>
      </c>
    </row>
    <row r="125" spans="1:8" ht="29.1" customHeight="1" x14ac:dyDescent="0.2">
      <c r="A125" s="3">
        <v>3</v>
      </c>
      <c r="B125" s="4" t="s">
        <v>615</v>
      </c>
      <c r="C125" s="4" t="s">
        <v>616</v>
      </c>
      <c r="D125" s="4" t="s">
        <v>617</v>
      </c>
      <c r="E125" s="5">
        <v>3000000</v>
      </c>
      <c r="F125" s="6">
        <v>3047.424</v>
      </c>
      <c r="G125" s="7">
        <v>1.9642739999999999E-2</v>
      </c>
      <c r="H125" s="105">
        <v>7.3524000000000003</v>
      </c>
    </row>
    <row r="126" spans="1:8" ht="29.1" customHeight="1" x14ac:dyDescent="0.2">
      <c r="A126" s="3">
        <v>4</v>
      </c>
      <c r="B126" s="4" t="s">
        <v>618</v>
      </c>
      <c r="C126" s="4" t="s">
        <v>619</v>
      </c>
      <c r="D126" s="4" t="s">
        <v>617</v>
      </c>
      <c r="E126" s="5">
        <v>2500000</v>
      </c>
      <c r="F126" s="6">
        <v>2524.6975000000002</v>
      </c>
      <c r="G126" s="7">
        <v>1.6273409999999999E-2</v>
      </c>
      <c r="H126" s="105">
        <v>7.2409999999999997</v>
      </c>
    </row>
    <row r="127" spans="1:8" ht="29.1" customHeight="1" x14ac:dyDescent="0.2">
      <c r="A127" s="3">
        <v>5</v>
      </c>
      <c r="B127" s="4" t="s">
        <v>622</v>
      </c>
      <c r="C127" s="4" t="s">
        <v>623</v>
      </c>
      <c r="D127" s="4" t="s">
        <v>617</v>
      </c>
      <c r="E127" s="5">
        <v>2000000</v>
      </c>
      <c r="F127" s="6">
        <v>2013.8420000000001</v>
      </c>
      <c r="G127" s="7">
        <v>1.298059E-2</v>
      </c>
      <c r="H127" s="105">
        <v>7.2812999999999999</v>
      </c>
    </row>
    <row r="128" spans="1:8" ht="29.1" customHeight="1" x14ac:dyDescent="0.2">
      <c r="A128" s="3">
        <v>6</v>
      </c>
      <c r="B128" s="4" t="s">
        <v>628</v>
      </c>
      <c r="C128" s="4" t="s">
        <v>629</v>
      </c>
      <c r="D128" s="4" t="s">
        <v>617</v>
      </c>
      <c r="E128" s="5">
        <v>1000000</v>
      </c>
      <c r="F128" s="6">
        <v>961.89599999999996</v>
      </c>
      <c r="G128" s="7">
        <v>6.2000800000000002E-3</v>
      </c>
      <c r="H128" s="105">
        <v>7.0919999999999996</v>
      </c>
    </row>
    <row r="129" spans="1:8" ht="41.1" customHeight="1" x14ac:dyDescent="0.2">
      <c r="A129" s="3">
        <v>7</v>
      </c>
      <c r="B129" s="4" t="s">
        <v>630</v>
      </c>
      <c r="C129" s="40" t="s">
        <v>880</v>
      </c>
      <c r="D129" s="4" t="s">
        <v>617</v>
      </c>
      <c r="E129" s="5">
        <v>500000</v>
      </c>
      <c r="F129" s="6">
        <v>494.28699999999998</v>
      </c>
      <c r="G129" s="7">
        <v>3.1860199999999999E-3</v>
      </c>
      <c r="H129" s="105">
        <v>7.9237071687427845</v>
      </c>
    </row>
    <row r="130" spans="1:8" ht="29.1" customHeight="1" x14ac:dyDescent="0.2">
      <c r="A130" s="3">
        <v>8</v>
      </c>
      <c r="B130" s="4" t="s">
        <v>631</v>
      </c>
      <c r="C130" s="4" t="s">
        <v>632</v>
      </c>
      <c r="D130" s="4" t="s">
        <v>617</v>
      </c>
      <c r="E130" s="5">
        <v>100000</v>
      </c>
      <c r="F130" s="6">
        <v>102.1016</v>
      </c>
      <c r="G130" s="7">
        <v>6.5811999999999999E-4</v>
      </c>
      <c r="H130" s="105">
        <v>7.28</v>
      </c>
    </row>
    <row r="131" spans="1:8" ht="29.1" customHeight="1" x14ac:dyDescent="0.2">
      <c r="A131" s="3">
        <v>9</v>
      </c>
      <c r="B131" s="4" t="s">
        <v>633</v>
      </c>
      <c r="C131" s="4" t="s">
        <v>634</v>
      </c>
      <c r="D131" s="4" t="s">
        <v>617</v>
      </c>
      <c r="E131" s="5">
        <v>100000</v>
      </c>
      <c r="F131" s="6">
        <v>101.6493</v>
      </c>
      <c r="G131" s="7">
        <v>6.5519999999999999E-4</v>
      </c>
      <c r="H131" s="105">
        <v>7.2363999999999997</v>
      </c>
    </row>
    <row r="132" spans="1:8" ht="29.1" customHeight="1" x14ac:dyDescent="0.2">
      <c r="A132" s="3">
        <v>10</v>
      </c>
      <c r="B132" s="4" t="s">
        <v>635</v>
      </c>
      <c r="C132" s="4" t="s">
        <v>636</v>
      </c>
      <c r="D132" s="4" t="s">
        <v>617</v>
      </c>
      <c r="E132" s="5">
        <v>100000</v>
      </c>
      <c r="F132" s="6">
        <v>101.5231</v>
      </c>
      <c r="G132" s="7">
        <v>6.5439000000000003E-4</v>
      </c>
      <c r="H132" s="105">
        <v>7.2489999999999997</v>
      </c>
    </row>
    <row r="133" spans="1:8" ht="14.1" customHeight="1" x14ac:dyDescent="0.2">
      <c r="A133" s="1"/>
      <c r="B133" s="1"/>
      <c r="C133" s="2" t="s">
        <v>132</v>
      </c>
      <c r="D133" s="1"/>
      <c r="E133" s="1" t="s">
        <v>133</v>
      </c>
      <c r="F133" s="9">
        <v>16787.859</v>
      </c>
      <c r="G133" s="10">
        <v>0.10820928</v>
      </c>
      <c r="H133" s="105"/>
    </row>
    <row r="134" spans="1:8" ht="14.1" customHeight="1" x14ac:dyDescent="0.2">
      <c r="A134" s="1"/>
      <c r="B134" s="1"/>
      <c r="C134" s="11"/>
      <c r="D134" s="1"/>
      <c r="E134" s="1"/>
      <c r="F134" s="12"/>
      <c r="G134" s="12"/>
      <c r="H134" s="105"/>
    </row>
    <row r="135" spans="1:8" ht="14.1" customHeight="1" x14ac:dyDescent="0.2">
      <c r="A135" s="1"/>
      <c r="B135" s="1"/>
      <c r="C135" s="2" t="s">
        <v>144</v>
      </c>
      <c r="D135" s="1"/>
      <c r="E135" s="1"/>
      <c r="F135" s="12"/>
      <c r="G135" s="12"/>
      <c r="H135" s="105"/>
    </row>
    <row r="136" spans="1:8" ht="14.1" customHeight="1" x14ac:dyDescent="0.2">
      <c r="A136" s="1"/>
      <c r="B136" s="1"/>
      <c r="C136" s="2" t="s">
        <v>132</v>
      </c>
      <c r="D136" s="1"/>
      <c r="E136" s="1" t="s">
        <v>133</v>
      </c>
      <c r="F136" s="13" t="s">
        <v>135</v>
      </c>
      <c r="G136" s="10">
        <v>0</v>
      </c>
      <c r="H136" s="105"/>
    </row>
    <row r="137" spans="1:8" ht="14.1" customHeight="1" x14ac:dyDescent="0.2">
      <c r="A137" s="1"/>
      <c r="B137" s="1"/>
      <c r="C137" s="11"/>
      <c r="D137" s="1"/>
      <c r="E137" s="1"/>
      <c r="F137" s="12"/>
      <c r="G137" s="12"/>
      <c r="H137" s="105"/>
    </row>
    <row r="138" spans="1:8" ht="14.1" customHeight="1" x14ac:dyDescent="0.2">
      <c r="A138" s="1"/>
      <c r="B138" s="1"/>
      <c r="C138" s="2" t="s">
        <v>145</v>
      </c>
      <c r="D138" s="1"/>
      <c r="E138" s="1"/>
      <c r="F138" s="9">
        <v>30714.456399999999</v>
      </c>
      <c r="G138" s="10">
        <v>0.19797577999999999</v>
      </c>
      <c r="H138" s="105"/>
    </row>
    <row r="139" spans="1:8" ht="14.1" customHeight="1" x14ac:dyDescent="0.2">
      <c r="A139" s="1"/>
      <c r="B139" s="1"/>
      <c r="C139" s="11"/>
      <c r="D139" s="1"/>
      <c r="E139" s="1"/>
      <c r="F139" s="12"/>
      <c r="G139" s="12"/>
      <c r="H139" s="105"/>
    </row>
    <row r="140" spans="1:8" ht="14.1" customHeight="1" x14ac:dyDescent="0.2">
      <c r="A140" s="1"/>
      <c r="B140" s="1"/>
      <c r="C140" s="2" t="s">
        <v>146</v>
      </c>
      <c r="D140" s="1"/>
      <c r="E140" s="1"/>
      <c r="F140" s="12"/>
      <c r="G140" s="12"/>
      <c r="H140" s="105"/>
    </row>
    <row r="141" spans="1:8" ht="14.1" customHeight="1" x14ac:dyDescent="0.2">
      <c r="A141" s="1"/>
      <c r="B141" s="1"/>
      <c r="C141" s="2" t="s">
        <v>147</v>
      </c>
      <c r="D141" s="1"/>
      <c r="E141" s="1"/>
      <c r="F141" s="12"/>
      <c r="G141" s="12"/>
      <c r="H141" s="105"/>
    </row>
    <row r="142" spans="1:8" ht="14.1" customHeight="1" x14ac:dyDescent="0.2">
      <c r="A142" s="1"/>
      <c r="B142" s="1"/>
      <c r="C142" s="2" t="s">
        <v>132</v>
      </c>
      <c r="D142" s="1"/>
      <c r="E142" s="1" t="s">
        <v>133</v>
      </c>
      <c r="F142" s="13" t="s">
        <v>135</v>
      </c>
      <c r="G142" s="10">
        <v>0</v>
      </c>
      <c r="H142" s="105"/>
    </row>
    <row r="143" spans="1:8" ht="14.1" customHeight="1" x14ac:dyDescent="0.2">
      <c r="A143" s="1"/>
      <c r="B143" s="1"/>
      <c r="C143" s="11"/>
      <c r="D143" s="1"/>
      <c r="E143" s="1"/>
      <c r="F143" s="12"/>
      <c r="G143" s="12"/>
      <c r="H143" s="105"/>
    </row>
    <row r="144" spans="1:8" ht="14.1" customHeight="1" x14ac:dyDescent="0.2">
      <c r="A144" s="1"/>
      <c r="B144" s="1"/>
      <c r="C144" s="2" t="s">
        <v>148</v>
      </c>
      <c r="D144" s="1"/>
      <c r="E144" s="1"/>
      <c r="F144" s="12"/>
      <c r="G144" s="12"/>
      <c r="H144" s="105"/>
    </row>
    <row r="145" spans="1:8" ht="14.1" customHeight="1" x14ac:dyDescent="0.2">
      <c r="A145" s="1"/>
      <c r="B145" s="1"/>
      <c r="C145" s="2" t="s">
        <v>132</v>
      </c>
      <c r="D145" s="1"/>
      <c r="E145" s="1" t="s">
        <v>133</v>
      </c>
      <c r="F145" s="13" t="s">
        <v>135</v>
      </c>
      <c r="G145" s="10">
        <v>0</v>
      </c>
      <c r="H145" s="105"/>
    </row>
    <row r="146" spans="1:8" ht="14.1" customHeight="1" x14ac:dyDescent="0.2">
      <c r="A146" s="1"/>
      <c r="B146" s="1"/>
      <c r="C146" s="11"/>
      <c r="D146" s="1"/>
      <c r="E146" s="1"/>
      <c r="F146" s="12"/>
      <c r="G146" s="12"/>
      <c r="H146" s="105"/>
    </row>
    <row r="147" spans="1:8" ht="14.1" customHeight="1" x14ac:dyDescent="0.2">
      <c r="A147" s="1"/>
      <c r="B147" s="1"/>
      <c r="C147" s="2" t="s">
        <v>149</v>
      </c>
      <c r="D147" s="1"/>
      <c r="E147" s="1"/>
      <c r="F147" s="12"/>
      <c r="G147" s="12"/>
      <c r="H147" s="105"/>
    </row>
    <row r="148" spans="1:8" ht="17.100000000000001" customHeight="1" x14ac:dyDescent="0.2">
      <c r="A148" s="3">
        <v>1</v>
      </c>
      <c r="B148" s="4" t="s">
        <v>671</v>
      </c>
      <c r="C148" s="40" t="s">
        <v>1000</v>
      </c>
      <c r="D148" s="4" t="s">
        <v>617</v>
      </c>
      <c r="E148" s="5">
        <v>5000000</v>
      </c>
      <c r="F148" s="6">
        <v>4952.5200000000004</v>
      </c>
      <c r="G148" s="7">
        <v>3.1922390000000002E-2</v>
      </c>
      <c r="H148" s="105">
        <v>6.7297000000000002</v>
      </c>
    </row>
    <row r="149" spans="1:8" ht="14.1" customHeight="1" x14ac:dyDescent="0.2">
      <c r="A149" s="1"/>
      <c r="B149" s="1"/>
      <c r="C149" s="2" t="s">
        <v>132</v>
      </c>
      <c r="D149" s="1"/>
      <c r="E149" s="1" t="s">
        <v>133</v>
      </c>
      <c r="F149" s="9">
        <v>4952.5200000000004</v>
      </c>
      <c r="G149" s="10">
        <v>3.1922390000000002E-2</v>
      </c>
      <c r="H149" s="105"/>
    </row>
    <row r="150" spans="1:8" ht="14.1" customHeight="1" x14ac:dyDescent="0.2">
      <c r="A150" s="1"/>
      <c r="B150" s="1"/>
      <c r="C150" s="11"/>
      <c r="D150" s="1"/>
      <c r="E150" s="1"/>
      <c r="F150" s="12"/>
      <c r="G150" s="12"/>
      <c r="H150" s="105"/>
    </row>
    <row r="151" spans="1:8" ht="14.1" customHeight="1" x14ac:dyDescent="0.2">
      <c r="A151" s="1"/>
      <c r="B151" s="1"/>
      <c r="C151" s="2" t="s">
        <v>150</v>
      </c>
      <c r="D151" s="1"/>
      <c r="E151" s="1"/>
      <c r="F151" s="12"/>
      <c r="G151" s="12"/>
      <c r="H151" s="105"/>
    </row>
    <row r="152" spans="1:8" ht="17.100000000000001" customHeight="1" x14ac:dyDescent="0.2">
      <c r="A152" s="3">
        <v>1</v>
      </c>
      <c r="B152" s="4"/>
      <c r="C152" s="4" t="s">
        <v>151</v>
      </c>
      <c r="D152" s="4"/>
      <c r="E152" s="8"/>
      <c r="F152" s="6">
        <v>1848.2221489999999</v>
      </c>
      <c r="G152" s="7">
        <v>1.191306E-2</v>
      </c>
      <c r="H152" s="105">
        <v>6.8153352377542396</v>
      </c>
    </row>
    <row r="153" spans="1:8" ht="17.100000000000001" customHeight="1" x14ac:dyDescent="0.2">
      <c r="A153" s="3">
        <v>2</v>
      </c>
      <c r="B153" s="4"/>
      <c r="C153" s="4" t="s">
        <v>152</v>
      </c>
      <c r="D153" s="4"/>
      <c r="E153" s="8"/>
      <c r="F153" s="6">
        <v>219.32159149899999</v>
      </c>
      <c r="G153" s="7">
        <v>1.4136800000000001E-3</v>
      </c>
      <c r="H153" s="105">
        <v>6.7952403714590259</v>
      </c>
    </row>
    <row r="154" spans="1:8" ht="14.1" customHeight="1" x14ac:dyDescent="0.2">
      <c r="A154" s="1"/>
      <c r="B154" s="1"/>
      <c r="C154" s="2" t="s">
        <v>132</v>
      </c>
      <c r="D154" s="1"/>
      <c r="E154" s="1" t="s">
        <v>133</v>
      </c>
      <c r="F154" s="9">
        <v>2067.5437404989998</v>
      </c>
      <c r="G154" s="10">
        <v>1.332674E-2</v>
      </c>
      <c r="H154" s="105"/>
    </row>
    <row r="155" spans="1:8" ht="14.1" customHeight="1" x14ac:dyDescent="0.2">
      <c r="A155" s="1"/>
      <c r="B155" s="1"/>
      <c r="C155" s="11"/>
      <c r="D155" s="1"/>
      <c r="E155" s="1"/>
      <c r="F155" s="12"/>
      <c r="G155" s="12"/>
      <c r="H155" s="105"/>
    </row>
    <row r="156" spans="1:8" ht="14.1" customHeight="1" x14ac:dyDescent="0.2">
      <c r="A156" s="1"/>
      <c r="B156" s="1"/>
      <c r="C156" s="2" t="s">
        <v>153</v>
      </c>
      <c r="D156" s="1"/>
      <c r="E156" s="1"/>
      <c r="F156" s="9">
        <v>7020.0637404990002</v>
      </c>
      <c r="G156" s="10">
        <v>4.5249129999999999E-2</v>
      </c>
      <c r="H156" s="105"/>
    </row>
    <row r="157" spans="1:8" ht="14.1" customHeight="1" x14ac:dyDescent="0.2">
      <c r="A157" s="1"/>
      <c r="B157" s="1"/>
      <c r="C157" s="12"/>
      <c r="D157" s="1"/>
      <c r="E157" s="1"/>
      <c r="F157" s="1"/>
      <c r="G157" s="1"/>
      <c r="H157" s="105"/>
    </row>
    <row r="158" spans="1:8" ht="14.1" customHeight="1" x14ac:dyDescent="0.2">
      <c r="A158" s="1"/>
      <c r="B158" s="1"/>
      <c r="C158" s="2" t="s">
        <v>154</v>
      </c>
      <c r="D158" s="1"/>
      <c r="E158" s="1"/>
      <c r="F158" s="1"/>
      <c r="G158" s="1"/>
      <c r="H158" s="105"/>
    </row>
    <row r="159" spans="1:8" ht="14.1" customHeight="1" x14ac:dyDescent="0.2">
      <c r="A159" s="1"/>
      <c r="B159" s="1"/>
      <c r="C159" s="2" t="s">
        <v>155</v>
      </c>
      <c r="D159" s="1"/>
      <c r="E159" s="1"/>
      <c r="F159" s="1"/>
      <c r="G159" s="1"/>
      <c r="H159" s="105"/>
    </row>
    <row r="160" spans="1:8" ht="14.1" customHeight="1" x14ac:dyDescent="0.2">
      <c r="A160" s="1"/>
      <c r="B160" s="1"/>
      <c r="C160" s="2" t="s">
        <v>132</v>
      </c>
      <c r="D160" s="1"/>
      <c r="E160" s="1" t="s">
        <v>133</v>
      </c>
      <c r="F160" s="13" t="s">
        <v>135</v>
      </c>
      <c r="G160" s="10">
        <v>0</v>
      </c>
      <c r="H160" s="105"/>
    </row>
    <row r="161" spans="1:15" ht="14.1" customHeight="1" x14ac:dyDescent="0.2">
      <c r="A161" s="1"/>
      <c r="B161" s="1"/>
      <c r="C161" s="11"/>
      <c r="D161" s="1"/>
      <c r="E161" s="1"/>
      <c r="F161" s="12"/>
      <c r="G161" s="12"/>
      <c r="H161" s="105"/>
    </row>
    <row r="162" spans="1:15" ht="14.1" customHeight="1" x14ac:dyDescent="0.2">
      <c r="A162" s="1"/>
      <c r="B162" s="1"/>
      <c r="C162" s="2" t="s">
        <v>156</v>
      </c>
      <c r="D162" s="1"/>
      <c r="E162" s="1"/>
      <c r="F162" s="1"/>
      <c r="G162" s="1"/>
      <c r="H162" s="105"/>
    </row>
    <row r="163" spans="1:15" ht="14.1" customHeight="1" x14ac:dyDescent="0.2">
      <c r="A163" s="1"/>
      <c r="B163" s="1"/>
      <c r="C163" s="2" t="s">
        <v>157</v>
      </c>
      <c r="D163" s="1"/>
      <c r="E163" s="1"/>
      <c r="F163" s="1"/>
      <c r="G163" s="1"/>
      <c r="H163" s="105"/>
    </row>
    <row r="164" spans="1:15" ht="14.1" customHeight="1" x14ac:dyDescent="0.2">
      <c r="A164" s="1"/>
      <c r="B164" s="1"/>
      <c r="C164" s="2" t="s">
        <v>132</v>
      </c>
      <c r="D164" s="1"/>
      <c r="E164" s="1" t="s">
        <v>133</v>
      </c>
      <c r="F164" s="13" t="s">
        <v>135</v>
      </c>
      <c r="G164" s="10">
        <v>0</v>
      </c>
      <c r="H164" s="105"/>
    </row>
    <row r="165" spans="1:15" ht="14.1" customHeight="1" x14ac:dyDescent="0.2">
      <c r="A165" s="1"/>
      <c r="B165" s="1"/>
      <c r="C165" s="11"/>
      <c r="D165" s="1"/>
      <c r="E165" s="1"/>
      <c r="F165" s="12"/>
      <c r="G165" s="12"/>
      <c r="H165" s="105"/>
    </row>
    <row r="166" spans="1:15" ht="24" customHeight="1" x14ac:dyDescent="0.2">
      <c r="A166" s="1"/>
      <c r="B166" s="1"/>
      <c r="C166" s="2" t="s">
        <v>158</v>
      </c>
      <c r="D166" s="1"/>
      <c r="E166" s="1"/>
      <c r="F166" s="12"/>
      <c r="G166" s="12"/>
      <c r="H166" s="105"/>
    </row>
    <row r="167" spans="1:15" ht="14.1" customHeight="1" x14ac:dyDescent="0.2">
      <c r="A167" s="1"/>
      <c r="B167" s="1"/>
      <c r="C167" s="2" t="s">
        <v>132</v>
      </c>
      <c r="D167" s="1"/>
      <c r="E167" s="1" t="s">
        <v>133</v>
      </c>
      <c r="F167" s="13" t="s">
        <v>135</v>
      </c>
      <c r="G167" s="10">
        <v>0</v>
      </c>
      <c r="H167" s="105"/>
    </row>
    <row r="168" spans="1:15" ht="14.1" customHeight="1" x14ac:dyDescent="0.2">
      <c r="A168" s="1"/>
      <c r="B168" s="1"/>
      <c r="C168" s="11"/>
      <c r="D168" s="1"/>
      <c r="E168" s="1"/>
      <c r="F168" s="12"/>
      <c r="G168" s="12"/>
      <c r="H168" s="105"/>
    </row>
    <row r="169" spans="1:15" ht="18" customHeight="1" x14ac:dyDescent="0.2">
      <c r="A169" s="8"/>
      <c r="B169" s="4"/>
      <c r="C169" s="4" t="s">
        <v>673</v>
      </c>
      <c r="D169" s="4"/>
      <c r="E169" s="8"/>
      <c r="F169" s="6">
        <v>1811.4276866</v>
      </c>
      <c r="G169" s="7">
        <v>1.167589424889264E-2</v>
      </c>
      <c r="H169" s="105"/>
    </row>
    <row r="170" spans="1:15" ht="18" customHeight="1" x14ac:dyDescent="0.2">
      <c r="A170" s="8"/>
      <c r="B170" s="4"/>
      <c r="C170" s="40" t="s">
        <v>955</v>
      </c>
      <c r="D170" s="4"/>
      <c r="E170" s="8"/>
      <c r="F170" s="6">
        <v>407.25636875093898</v>
      </c>
      <c r="G170" s="7">
        <v>2.6250467125459201E-3</v>
      </c>
      <c r="H170" s="105"/>
    </row>
    <row r="171" spans="1:15" ht="14.1" customHeight="1" x14ac:dyDescent="0.2">
      <c r="A171" s="11"/>
      <c r="B171" s="11"/>
      <c r="C171" s="2" t="s">
        <v>160</v>
      </c>
      <c r="D171" s="12"/>
      <c r="E171" s="12"/>
      <c r="F171" s="9">
        <v>155142.52253284998</v>
      </c>
      <c r="G171" s="10">
        <v>1.0000001009614388</v>
      </c>
      <c r="H171" s="105"/>
    </row>
    <row r="172" spans="1:15" ht="14.1" customHeight="1" x14ac:dyDescent="0.2">
      <c r="A172" s="15"/>
      <c r="B172" s="15"/>
      <c r="C172" s="15"/>
      <c r="D172" s="16"/>
      <c r="E172" s="16"/>
      <c r="F172" s="16"/>
      <c r="G172" s="47"/>
    </row>
    <row r="173" spans="1:15" ht="17.100000000000001" customHeight="1" x14ac:dyDescent="0.2">
      <c r="A173" s="45"/>
      <c r="B173" s="192" t="s">
        <v>932</v>
      </c>
      <c r="C173" s="192"/>
      <c r="D173" s="192"/>
      <c r="E173" s="192"/>
      <c r="F173" s="192"/>
      <c r="G173" s="46"/>
    </row>
    <row r="174" spans="1:15" ht="17.100000000000001" customHeight="1" x14ac:dyDescent="0.2">
      <c r="A174" s="45"/>
      <c r="B174" s="192" t="s">
        <v>933</v>
      </c>
      <c r="C174" s="192"/>
      <c r="D174" s="192"/>
      <c r="E174" s="192"/>
      <c r="F174" s="192"/>
      <c r="G174" s="46"/>
    </row>
    <row r="175" spans="1:15" ht="17.100000000000001" customHeight="1" x14ac:dyDescent="0.2">
      <c r="A175" s="17"/>
      <c r="B175" s="192" t="s">
        <v>956</v>
      </c>
      <c r="C175" s="178"/>
      <c r="D175" s="178"/>
      <c r="E175" s="178"/>
      <c r="F175" s="178"/>
      <c r="G175" s="19"/>
      <c r="O175" s="53"/>
    </row>
    <row r="176" spans="1:15" s="43" customFormat="1" ht="68.25" customHeight="1" x14ac:dyDescent="0.25">
      <c r="A176" s="41"/>
      <c r="B176" s="191" t="s">
        <v>881</v>
      </c>
      <c r="C176" s="191"/>
      <c r="D176" s="191"/>
      <c r="E176" s="191"/>
      <c r="F176" s="191"/>
      <c r="G176" s="42"/>
      <c r="H176"/>
      <c r="I176"/>
      <c r="J176"/>
      <c r="K176"/>
      <c r="L176"/>
      <c r="M176"/>
      <c r="N176"/>
      <c r="O176"/>
    </row>
    <row r="177" spans="1:7" ht="14.1" customHeight="1" x14ac:dyDescent="0.2">
      <c r="A177" s="17"/>
      <c r="B177" s="17"/>
      <c r="C177" s="17"/>
      <c r="D177" s="19"/>
      <c r="E177" s="19"/>
      <c r="F177" s="19"/>
      <c r="G177" s="19"/>
    </row>
    <row r="178" spans="1:7" ht="14.1" customHeight="1" x14ac:dyDescent="0.2">
      <c r="A178" s="17"/>
      <c r="B178" s="179" t="s">
        <v>162</v>
      </c>
      <c r="C178" s="180"/>
      <c r="D178" s="181"/>
      <c r="E178" s="20"/>
      <c r="F178" s="19"/>
      <c r="G178" s="19"/>
    </row>
    <row r="179" spans="1:7" ht="29.1" customHeight="1" x14ac:dyDescent="0.2">
      <c r="A179" s="17"/>
      <c r="B179" s="176" t="s">
        <v>163</v>
      </c>
      <c r="C179" s="177"/>
      <c r="D179" s="2" t="s">
        <v>164</v>
      </c>
      <c r="E179" s="20"/>
      <c r="F179" s="19"/>
      <c r="G179" s="19"/>
    </row>
    <row r="180" spans="1:7" ht="17.100000000000001" customHeight="1" x14ac:dyDescent="0.2">
      <c r="A180" s="17"/>
      <c r="B180" s="176" t="s">
        <v>165</v>
      </c>
      <c r="C180" s="177"/>
      <c r="D180" s="2" t="s">
        <v>164</v>
      </c>
      <c r="E180" s="20"/>
      <c r="F180" s="19"/>
      <c r="G180" s="19"/>
    </row>
    <row r="181" spans="1:7" ht="17.100000000000001" customHeight="1" x14ac:dyDescent="0.2">
      <c r="A181" s="17"/>
      <c r="B181" s="176" t="s">
        <v>166</v>
      </c>
      <c r="C181" s="177"/>
      <c r="D181" s="12" t="s">
        <v>133</v>
      </c>
      <c r="E181" s="20"/>
      <c r="F181" s="19"/>
      <c r="G181" s="19"/>
    </row>
    <row r="182" spans="1:7" ht="24" customHeight="1" x14ac:dyDescent="0.2">
      <c r="A182" s="21"/>
      <c r="B182" s="22" t="s">
        <v>133</v>
      </c>
      <c r="C182" s="22" t="s">
        <v>167</v>
      </c>
      <c r="D182" s="22" t="s">
        <v>168</v>
      </c>
      <c r="E182" s="21"/>
      <c r="F182" s="21"/>
      <c r="G182" s="21"/>
    </row>
    <row r="183" spans="1:7" ht="18" customHeight="1" x14ac:dyDescent="0.2">
      <c r="A183" s="21"/>
      <c r="B183" s="23" t="s">
        <v>169</v>
      </c>
      <c r="C183" s="22" t="s">
        <v>170</v>
      </c>
      <c r="D183" s="22" t="s">
        <v>171</v>
      </c>
      <c r="E183" s="21"/>
      <c r="F183" s="21"/>
      <c r="G183" s="21"/>
    </row>
    <row r="184" spans="1:7" ht="17.100000000000001" customHeight="1" x14ac:dyDescent="0.2">
      <c r="A184" s="21"/>
      <c r="B184" s="4" t="s">
        <v>172</v>
      </c>
      <c r="C184" s="24">
        <v>29.331099999999999</v>
      </c>
      <c r="D184" s="24">
        <v>29.9328</v>
      </c>
      <c r="E184" s="21"/>
      <c r="F184" s="18"/>
      <c r="G184" s="25"/>
    </row>
    <row r="185" spans="1:7" ht="29.1" customHeight="1" x14ac:dyDescent="0.2">
      <c r="A185" s="21"/>
      <c r="B185" s="4" t="s">
        <v>1011</v>
      </c>
      <c r="C185" s="24">
        <v>16.057200000000002</v>
      </c>
      <c r="D185" s="24">
        <v>16.290600000000001</v>
      </c>
      <c r="E185" s="21"/>
      <c r="F185" s="18"/>
      <c r="G185" s="25"/>
    </row>
    <row r="186" spans="1:7" ht="17.100000000000001" customHeight="1" x14ac:dyDescent="0.2">
      <c r="A186" s="21"/>
      <c r="B186" s="4" t="s">
        <v>173</v>
      </c>
      <c r="C186" s="24">
        <v>25.851199999999999</v>
      </c>
      <c r="D186" s="24">
        <v>26.349299999999999</v>
      </c>
      <c r="E186" s="21"/>
      <c r="F186" s="18"/>
      <c r="G186" s="25"/>
    </row>
    <row r="187" spans="1:7" ht="29.1" customHeight="1" x14ac:dyDescent="0.2">
      <c r="A187" s="21"/>
      <c r="B187" s="4" t="s">
        <v>1013</v>
      </c>
      <c r="C187" s="24">
        <v>13.5869</v>
      </c>
      <c r="D187" s="24">
        <v>13.767899999999999</v>
      </c>
      <c r="E187" s="21"/>
      <c r="F187" s="18"/>
      <c r="G187" s="25"/>
    </row>
    <row r="188" spans="1:7" ht="14.1" customHeight="1" x14ac:dyDescent="0.2">
      <c r="A188" s="21"/>
      <c r="B188" s="21"/>
      <c r="C188" s="21"/>
      <c r="D188" s="21"/>
      <c r="E188" s="21"/>
      <c r="F188" s="21"/>
      <c r="G188" s="21"/>
    </row>
    <row r="189" spans="1:7" ht="17.100000000000001" customHeight="1" x14ac:dyDescent="0.2">
      <c r="A189" s="21"/>
      <c r="B189" s="176" t="s">
        <v>1008</v>
      </c>
      <c r="C189" s="177"/>
      <c r="D189" s="2" t="s">
        <v>133</v>
      </c>
      <c r="E189" s="21"/>
      <c r="F189" s="21"/>
      <c r="G189" s="21"/>
    </row>
    <row r="190" spans="1:7" ht="18" customHeight="1" x14ac:dyDescent="0.2">
      <c r="A190" s="21"/>
      <c r="B190" s="29" t="s">
        <v>169</v>
      </c>
      <c r="C190" s="30" t="s">
        <v>651</v>
      </c>
      <c r="D190" s="30" t="s">
        <v>652</v>
      </c>
      <c r="E190" s="21"/>
      <c r="F190" s="21"/>
      <c r="G190" s="21"/>
    </row>
    <row r="191" spans="1:7" ht="29.1" customHeight="1" x14ac:dyDescent="0.2">
      <c r="A191" s="21"/>
      <c r="B191" s="4" t="s">
        <v>1011</v>
      </c>
      <c r="C191" s="31">
        <v>9.5000000000000001E-2</v>
      </c>
      <c r="D191" s="8" t="s">
        <v>686</v>
      </c>
      <c r="E191" s="21"/>
      <c r="F191" s="18"/>
      <c r="G191" s="25"/>
    </row>
    <row r="192" spans="1:7" ht="29.1" customHeight="1" x14ac:dyDescent="0.2">
      <c r="A192" s="21"/>
      <c r="B192" s="4" t="s">
        <v>1013</v>
      </c>
      <c r="C192" s="31">
        <v>0.08</v>
      </c>
      <c r="D192" s="31">
        <v>0.08</v>
      </c>
      <c r="E192" s="21"/>
      <c r="F192" s="18"/>
      <c r="G192" s="25"/>
    </row>
    <row r="193" spans="1:9" ht="14.1" customHeight="1" x14ac:dyDescent="0.2">
      <c r="A193" s="21"/>
      <c r="B193" s="32"/>
      <c r="C193" s="32"/>
      <c r="D193" s="33"/>
      <c r="E193" s="21"/>
      <c r="F193" s="18"/>
      <c r="G193" s="25"/>
    </row>
    <row r="194" spans="1:9" ht="29.1" customHeight="1" x14ac:dyDescent="0.2">
      <c r="A194" s="21"/>
      <c r="B194" s="176" t="s">
        <v>174</v>
      </c>
      <c r="C194" s="177"/>
      <c r="D194" s="56" t="s">
        <v>959</v>
      </c>
      <c r="E194" s="27"/>
      <c r="F194" s="21"/>
      <c r="G194" s="21"/>
    </row>
    <row r="195" spans="1:9" ht="29.1" customHeight="1" x14ac:dyDescent="0.2">
      <c r="A195" s="21"/>
      <c r="B195" s="176" t="s">
        <v>175</v>
      </c>
      <c r="C195" s="177"/>
      <c r="D195" s="2" t="s">
        <v>164</v>
      </c>
      <c r="E195" s="27"/>
      <c r="F195" s="21"/>
      <c r="G195" s="21"/>
    </row>
    <row r="196" spans="1:9" ht="17.100000000000001" customHeight="1" x14ac:dyDescent="0.2">
      <c r="A196" s="21"/>
      <c r="B196" s="176" t="s">
        <v>176</v>
      </c>
      <c r="C196" s="177"/>
      <c r="D196" s="2" t="s">
        <v>164</v>
      </c>
      <c r="E196" s="27"/>
      <c r="F196" s="21"/>
      <c r="G196" s="21"/>
    </row>
    <row r="197" spans="1:9" ht="17.100000000000001" customHeight="1" x14ac:dyDescent="0.2">
      <c r="A197" s="21"/>
      <c r="B197" s="176" t="s">
        <v>177</v>
      </c>
      <c r="C197" s="177"/>
      <c r="D197" s="60">
        <v>2.6967449039628648</v>
      </c>
      <c r="E197" s="21"/>
      <c r="F197" s="18"/>
      <c r="G197" s="25"/>
    </row>
    <row r="199" spans="1:9" x14ac:dyDescent="0.2">
      <c r="B199" s="205" t="s">
        <v>980</v>
      </c>
      <c r="C199" s="206"/>
      <c r="D199" s="207"/>
    </row>
    <row r="200" spans="1:9" ht="25.5" x14ac:dyDescent="0.2">
      <c r="B200" s="208" t="s">
        <v>981</v>
      </c>
      <c r="C200" s="208"/>
      <c r="D200" s="81" t="s">
        <v>674</v>
      </c>
    </row>
    <row r="201" spans="1:9" x14ac:dyDescent="0.2">
      <c r="B201" s="208" t="s">
        <v>982</v>
      </c>
      <c r="C201" s="208"/>
      <c r="D201" s="89"/>
    </row>
    <row r="202" spans="1:9" x14ac:dyDescent="0.2">
      <c r="B202" s="209"/>
      <c r="C202" s="210"/>
      <c r="D202" s="83"/>
    </row>
    <row r="203" spans="1:9" x14ac:dyDescent="0.2">
      <c r="B203" s="208" t="s">
        <v>983</v>
      </c>
      <c r="C203" s="208"/>
      <c r="D203" s="84">
        <v>7.2448430004572977</v>
      </c>
    </row>
    <row r="204" spans="1:9" x14ac:dyDescent="0.2">
      <c r="B204" s="209"/>
      <c r="C204" s="210"/>
      <c r="D204" s="83"/>
    </row>
    <row r="205" spans="1:9" x14ac:dyDescent="0.2">
      <c r="B205" s="208" t="s">
        <v>984</v>
      </c>
      <c r="C205" s="208"/>
      <c r="D205" s="84">
        <v>3.3302068306386334</v>
      </c>
      <c r="I205" s="53"/>
    </row>
    <row r="206" spans="1:9" x14ac:dyDescent="0.2">
      <c r="B206" s="208" t="s">
        <v>985</v>
      </c>
      <c r="C206" s="208"/>
      <c r="D206" s="84">
        <v>4.5254053520033857</v>
      </c>
    </row>
    <row r="207" spans="1:9" x14ac:dyDescent="0.2">
      <c r="B207" s="209"/>
      <c r="C207" s="210"/>
      <c r="D207" s="83"/>
    </row>
    <row r="208" spans="1:9" x14ac:dyDescent="0.2">
      <c r="B208" s="208" t="s">
        <v>986</v>
      </c>
      <c r="C208" s="208"/>
      <c r="D208" s="85">
        <v>45046</v>
      </c>
    </row>
    <row r="209" spans="2:4" x14ac:dyDescent="0.2">
      <c r="B209" s="209" t="s">
        <v>987</v>
      </c>
      <c r="C209" s="211"/>
      <c r="D209" s="210"/>
    </row>
  </sheetData>
  <mergeCells count="28">
    <mergeCell ref="B203:C203"/>
    <mergeCell ref="B209:D209"/>
    <mergeCell ref="B204:C204"/>
    <mergeCell ref="B205:C205"/>
    <mergeCell ref="B206:C206"/>
    <mergeCell ref="B207:C207"/>
    <mergeCell ref="B208:C208"/>
    <mergeCell ref="B174:F174"/>
    <mergeCell ref="B199:D199"/>
    <mergeCell ref="B200:C200"/>
    <mergeCell ref="B201:C201"/>
    <mergeCell ref="B202:C202"/>
    <mergeCell ref="J2:N2"/>
    <mergeCell ref="A1:H1"/>
    <mergeCell ref="A2:H2"/>
    <mergeCell ref="A3:H3"/>
    <mergeCell ref="B197:C197"/>
    <mergeCell ref="B180:C180"/>
    <mergeCell ref="B181:C181"/>
    <mergeCell ref="B189:C189"/>
    <mergeCell ref="B194:C194"/>
    <mergeCell ref="B195:C195"/>
    <mergeCell ref="B196:C196"/>
    <mergeCell ref="B179:C179"/>
    <mergeCell ref="B176:F176"/>
    <mergeCell ref="B175:F175"/>
    <mergeCell ref="B178:D178"/>
    <mergeCell ref="B173:F173"/>
  </mergeCells>
  <hyperlinks>
    <hyperlink ref="I1" location="Index!B23" display="Index" xr:uid="{704E6CA2-5448-428C-9F1D-8CBDE728D8B7}"/>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outlinePr summaryBelow="0" summaryRight="0"/>
  </sheetPr>
  <dimension ref="A1:N160"/>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182" t="s">
        <v>0</v>
      </c>
      <c r="B1" s="182"/>
      <c r="C1" s="182"/>
      <c r="D1" s="182"/>
      <c r="E1" s="182"/>
      <c r="F1" s="182"/>
      <c r="G1" s="182"/>
      <c r="H1" s="182"/>
      <c r="I1" s="159" t="s">
        <v>1044</v>
      </c>
    </row>
    <row r="2" spans="1:14" ht="17.100000000000001" customHeight="1" x14ac:dyDescent="0.2">
      <c r="A2" s="183" t="s">
        <v>687</v>
      </c>
      <c r="B2" s="184"/>
      <c r="C2" s="184"/>
      <c r="D2" s="184"/>
      <c r="E2" s="184"/>
      <c r="F2" s="184"/>
      <c r="G2" s="184"/>
      <c r="H2" s="185"/>
      <c r="J2" s="175" t="s">
        <v>1045</v>
      </c>
      <c r="K2" s="175"/>
      <c r="L2" s="175"/>
      <c r="M2" s="175"/>
      <c r="N2" s="175"/>
    </row>
    <row r="3" spans="1:14" ht="21" customHeight="1" x14ac:dyDescent="0.2">
      <c r="A3" s="182" t="s">
        <v>1016</v>
      </c>
      <c r="B3" s="182"/>
      <c r="C3" s="182"/>
      <c r="D3" s="182"/>
      <c r="E3" s="182"/>
      <c r="F3" s="182"/>
      <c r="G3" s="182"/>
      <c r="H3" s="182"/>
    </row>
    <row r="4" spans="1:14" ht="30" x14ac:dyDescent="0.2">
      <c r="A4" s="107" t="s">
        <v>2</v>
      </c>
      <c r="B4" s="107" t="s">
        <v>3</v>
      </c>
      <c r="C4" s="107" t="s">
        <v>4</v>
      </c>
      <c r="D4" s="107" t="s">
        <v>5</v>
      </c>
      <c r="E4" s="107" t="s">
        <v>6</v>
      </c>
      <c r="F4" s="107" t="s">
        <v>7</v>
      </c>
      <c r="G4" s="107" t="s">
        <v>8</v>
      </c>
      <c r="H4" s="104" t="s">
        <v>1003</v>
      </c>
      <c r="I4" s="108"/>
      <c r="J4" s="108"/>
      <c r="K4" s="108"/>
      <c r="L4" s="108"/>
      <c r="M4" s="108"/>
      <c r="N4" s="108"/>
    </row>
    <row r="5" spans="1:14" ht="14.1" customHeight="1" x14ac:dyDescent="0.2">
      <c r="A5" s="1"/>
      <c r="B5" s="1"/>
      <c r="C5" s="2" t="s">
        <v>9</v>
      </c>
      <c r="D5" s="1"/>
      <c r="E5" s="1"/>
      <c r="F5" s="1"/>
      <c r="G5" s="1"/>
      <c r="H5" s="105"/>
    </row>
    <row r="6" spans="1:14" ht="24" customHeight="1" x14ac:dyDescent="0.2">
      <c r="A6" s="1"/>
      <c r="B6" s="1"/>
      <c r="C6" s="2" t="s">
        <v>10</v>
      </c>
      <c r="D6" s="1"/>
      <c r="E6" s="1"/>
      <c r="F6" s="1"/>
      <c r="G6" s="1"/>
      <c r="H6" s="105"/>
    </row>
    <row r="7" spans="1:14" ht="17.100000000000001" customHeight="1" x14ac:dyDescent="0.2">
      <c r="A7" s="3">
        <v>1</v>
      </c>
      <c r="B7" s="4" t="s">
        <v>317</v>
      </c>
      <c r="C7" s="4" t="s">
        <v>318</v>
      </c>
      <c r="D7" s="4" t="s">
        <v>25</v>
      </c>
      <c r="E7" s="5">
        <v>149000</v>
      </c>
      <c r="F7" s="6">
        <v>2514.5239999999999</v>
      </c>
      <c r="G7" s="7">
        <v>5.9859709999999997E-2</v>
      </c>
      <c r="H7" s="105"/>
    </row>
    <row r="8" spans="1:14" ht="17.100000000000001" customHeight="1" x14ac:dyDescent="0.2">
      <c r="A8" s="3">
        <v>2</v>
      </c>
      <c r="B8" s="4" t="s">
        <v>302</v>
      </c>
      <c r="C8" s="4" t="s">
        <v>303</v>
      </c>
      <c r="D8" s="4" t="s">
        <v>953</v>
      </c>
      <c r="E8" s="5">
        <v>155000</v>
      </c>
      <c r="F8" s="6">
        <v>1941.7625</v>
      </c>
      <c r="G8" s="7">
        <v>4.6224790000000002E-2</v>
      </c>
      <c r="H8" s="105"/>
    </row>
    <row r="9" spans="1:14" ht="17.100000000000001" customHeight="1" x14ac:dyDescent="0.2">
      <c r="A9" s="3">
        <v>3</v>
      </c>
      <c r="B9" s="4" t="s">
        <v>26</v>
      </c>
      <c r="C9" s="4" t="s">
        <v>27</v>
      </c>
      <c r="D9" s="4" t="s">
        <v>28</v>
      </c>
      <c r="E9" s="5">
        <v>1085000</v>
      </c>
      <c r="F9" s="6">
        <v>1866.2</v>
      </c>
      <c r="G9" s="7">
        <v>4.4425979999999997E-2</v>
      </c>
      <c r="H9" s="105"/>
    </row>
    <row r="10" spans="1:14" ht="17.100000000000001" customHeight="1" x14ac:dyDescent="0.2">
      <c r="A10" s="3">
        <v>4</v>
      </c>
      <c r="B10" s="4" t="s">
        <v>23</v>
      </c>
      <c r="C10" s="4" t="s">
        <v>24</v>
      </c>
      <c r="D10" s="4" t="s">
        <v>25</v>
      </c>
      <c r="E10" s="5">
        <v>200000</v>
      </c>
      <c r="F10" s="6">
        <v>1835.3</v>
      </c>
      <c r="G10" s="7">
        <v>4.3690390000000003E-2</v>
      </c>
      <c r="H10" s="105"/>
    </row>
    <row r="11" spans="1:14" ht="17.100000000000001" customHeight="1" x14ac:dyDescent="0.2">
      <c r="A11" s="3">
        <v>5</v>
      </c>
      <c r="B11" s="4" t="s">
        <v>343</v>
      </c>
      <c r="C11" s="4" t="s">
        <v>344</v>
      </c>
      <c r="D11" s="4" t="s">
        <v>1020</v>
      </c>
      <c r="E11" s="5">
        <v>404000</v>
      </c>
      <c r="F11" s="6">
        <v>1719.222</v>
      </c>
      <c r="G11" s="7">
        <v>4.0927079999999998E-2</v>
      </c>
      <c r="H11" s="105"/>
    </row>
    <row r="12" spans="1:14" ht="17.100000000000001" customHeight="1" x14ac:dyDescent="0.2">
      <c r="A12" s="3">
        <v>6</v>
      </c>
      <c r="B12" s="4" t="s">
        <v>17</v>
      </c>
      <c r="C12" s="4" t="s">
        <v>18</v>
      </c>
      <c r="D12" s="4" t="s">
        <v>19</v>
      </c>
      <c r="E12" s="5">
        <v>63000</v>
      </c>
      <c r="F12" s="6">
        <v>1524.915</v>
      </c>
      <c r="G12" s="7">
        <v>3.6301489999999999E-2</v>
      </c>
      <c r="H12" s="105"/>
    </row>
    <row r="13" spans="1:14" ht="17.100000000000001" customHeight="1" x14ac:dyDescent="0.2">
      <c r="A13" s="3">
        <v>7</v>
      </c>
      <c r="B13" s="4" t="s">
        <v>29</v>
      </c>
      <c r="C13" s="4" t="s">
        <v>30</v>
      </c>
      <c r="D13" s="4" t="s">
        <v>25</v>
      </c>
      <c r="E13" s="5">
        <v>231000</v>
      </c>
      <c r="F13" s="6">
        <v>1335.873</v>
      </c>
      <c r="G13" s="7">
        <v>3.1801240000000001E-2</v>
      </c>
      <c r="H13" s="105"/>
    </row>
    <row r="14" spans="1:14" ht="17.100000000000001" customHeight="1" x14ac:dyDescent="0.2">
      <c r="A14" s="3">
        <v>8</v>
      </c>
      <c r="B14" s="4" t="s">
        <v>319</v>
      </c>
      <c r="C14" s="4" t="s">
        <v>320</v>
      </c>
      <c r="D14" s="4" t="s">
        <v>953</v>
      </c>
      <c r="E14" s="5">
        <v>36600</v>
      </c>
      <c r="F14" s="6">
        <v>1178.2455</v>
      </c>
      <c r="G14" s="7">
        <v>2.8048819999999999E-2</v>
      </c>
      <c r="H14" s="105"/>
      <c r="J14" s="166" t="s">
        <v>1060</v>
      </c>
    </row>
    <row r="15" spans="1:14" ht="17.100000000000001" customHeight="1" x14ac:dyDescent="0.2">
      <c r="A15" s="3">
        <v>9</v>
      </c>
      <c r="B15" s="4" t="s">
        <v>323</v>
      </c>
      <c r="C15" s="4" t="s">
        <v>324</v>
      </c>
      <c r="D15" s="4" t="s">
        <v>953</v>
      </c>
      <c r="E15" s="5">
        <v>110500</v>
      </c>
      <c r="F15" s="6">
        <v>1175.8305</v>
      </c>
      <c r="G15" s="7">
        <v>2.7991329999999998E-2</v>
      </c>
      <c r="H15" s="105"/>
    </row>
    <row r="16" spans="1:14" ht="17.100000000000001" customHeight="1" x14ac:dyDescent="0.2">
      <c r="A16" s="3">
        <v>10</v>
      </c>
      <c r="B16" s="4" t="s">
        <v>325</v>
      </c>
      <c r="C16" s="4" t="s">
        <v>326</v>
      </c>
      <c r="D16" s="4" t="s">
        <v>1020</v>
      </c>
      <c r="E16" s="5">
        <v>46000</v>
      </c>
      <c r="F16" s="6">
        <v>1130.3579999999999</v>
      </c>
      <c r="G16" s="7">
        <v>2.6908830000000002E-2</v>
      </c>
      <c r="H16" s="105"/>
    </row>
    <row r="17" spans="1:10" ht="17.100000000000001" customHeight="1" x14ac:dyDescent="0.2">
      <c r="A17" s="3">
        <v>11</v>
      </c>
      <c r="B17" s="4" t="s">
        <v>11</v>
      </c>
      <c r="C17" s="4" t="s">
        <v>12</v>
      </c>
      <c r="D17" s="4" t="s">
        <v>13</v>
      </c>
      <c r="E17" s="5">
        <v>47000</v>
      </c>
      <c r="F17" s="6">
        <v>1111.268</v>
      </c>
      <c r="G17" s="7">
        <v>2.645438E-2</v>
      </c>
      <c r="H17" s="105"/>
    </row>
    <row r="18" spans="1:10" ht="29.1" customHeight="1" x14ac:dyDescent="0.2">
      <c r="A18" s="3">
        <v>12</v>
      </c>
      <c r="B18" s="4" t="s">
        <v>39</v>
      </c>
      <c r="C18" s="4" t="s">
        <v>40</v>
      </c>
      <c r="D18" s="4" t="s">
        <v>41</v>
      </c>
      <c r="E18" s="5">
        <v>940000</v>
      </c>
      <c r="F18" s="6">
        <v>971.02</v>
      </c>
      <c r="G18" s="7">
        <v>2.3115699999999999E-2</v>
      </c>
      <c r="H18" s="105"/>
    </row>
    <row r="19" spans="1:10" ht="29.1" customHeight="1" x14ac:dyDescent="0.2">
      <c r="A19" s="3">
        <v>13</v>
      </c>
      <c r="B19" s="4" t="s">
        <v>20</v>
      </c>
      <c r="C19" s="4" t="s">
        <v>21</v>
      </c>
      <c r="D19" s="4" t="s">
        <v>22</v>
      </c>
      <c r="E19" s="5">
        <v>12000</v>
      </c>
      <c r="F19" s="6">
        <v>906.74400000000003</v>
      </c>
      <c r="G19" s="7">
        <v>2.1585569999999998E-2</v>
      </c>
      <c r="H19" s="105"/>
    </row>
    <row r="20" spans="1:10" ht="53.1" customHeight="1" x14ac:dyDescent="0.2">
      <c r="A20" s="3">
        <v>14</v>
      </c>
      <c r="B20" s="4" t="s">
        <v>50</v>
      </c>
      <c r="C20" s="4" t="s">
        <v>51</v>
      </c>
      <c r="D20" s="4" t="s">
        <v>52</v>
      </c>
      <c r="E20" s="5">
        <v>550000</v>
      </c>
      <c r="F20" s="6">
        <v>802.72500000000002</v>
      </c>
      <c r="G20" s="7">
        <v>1.9109339999999999E-2</v>
      </c>
      <c r="H20" s="105"/>
    </row>
    <row r="21" spans="1:10" ht="17.100000000000001" customHeight="1" x14ac:dyDescent="0.2">
      <c r="A21" s="3">
        <v>15</v>
      </c>
      <c r="B21" s="4" t="s">
        <v>42</v>
      </c>
      <c r="C21" s="4" t="s">
        <v>43</v>
      </c>
      <c r="D21" s="4" t="s">
        <v>28</v>
      </c>
      <c r="E21" s="5">
        <v>328000</v>
      </c>
      <c r="F21" s="6">
        <v>778.18</v>
      </c>
      <c r="G21" s="7">
        <v>1.8525030000000001E-2</v>
      </c>
      <c r="H21" s="105"/>
    </row>
    <row r="22" spans="1:10" ht="17.100000000000001" customHeight="1" x14ac:dyDescent="0.2">
      <c r="A22" s="3">
        <v>16</v>
      </c>
      <c r="B22" s="4" t="s">
        <v>339</v>
      </c>
      <c r="C22" s="4" t="s">
        <v>340</v>
      </c>
      <c r="D22" s="4" t="s">
        <v>25</v>
      </c>
      <c r="E22" s="5">
        <v>235822</v>
      </c>
      <c r="F22" s="6">
        <v>748.616939</v>
      </c>
      <c r="G22" s="7">
        <v>1.7821259999999998E-2</v>
      </c>
      <c r="H22" s="105"/>
    </row>
    <row r="23" spans="1:10" ht="17.100000000000001" customHeight="1" x14ac:dyDescent="0.2">
      <c r="A23" s="3">
        <v>17</v>
      </c>
      <c r="B23" s="4" t="s">
        <v>330</v>
      </c>
      <c r="C23" s="4" t="s">
        <v>331</v>
      </c>
      <c r="D23" s="4" t="s">
        <v>953</v>
      </c>
      <c r="E23" s="5">
        <v>73000</v>
      </c>
      <c r="F23" s="6">
        <v>747.30100000000004</v>
      </c>
      <c r="G23" s="7">
        <v>1.7789940000000001E-2</v>
      </c>
      <c r="H23" s="105"/>
      <c r="J23" s="161" t="s">
        <v>1061</v>
      </c>
    </row>
    <row r="24" spans="1:10" ht="17.100000000000001" customHeight="1" x14ac:dyDescent="0.2">
      <c r="A24" s="3">
        <v>18</v>
      </c>
      <c r="B24" s="4" t="s">
        <v>312</v>
      </c>
      <c r="C24" s="4" t="s">
        <v>313</v>
      </c>
      <c r="D24" s="4" t="s">
        <v>25</v>
      </c>
      <c r="E24" s="5">
        <v>59000</v>
      </c>
      <c r="F24" s="6">
        <v>680.15200000000004</v>
      </c>
      <c r="G24" s="7">
        <v>1.6191420000000002E-2</v>
      </c>
      <c r="H24" s="105"/>
    </row>
    <row r="25" spans="1:10" ht="17.100000000000001" customHeight="1" x14ac:dyDescent="0.2">
      <c r="A25" s="3">
        <v>19</v>
      </c>
      <c r="B25" s="4" t="s">
        <v>373</v>
      </c>
      <c r="C25" s="4" t="s">
        <v>374</v>
      </c>
      <c r="D25" s="4" t="s">
        <v>375</v>
      </c>
      <c r="E25" s="5">
        <v>270000</v>
      </c>
      <c r="F25" s="6">
        <v>629.37</v>
      </c>
      <c r="G25" s="7">
        <v>1.4982519999999999E-2</v>
      </c>
      <c r="H25" s="105"/>
    </row>
    <row r="26" spans="1:10" ht="29.1" customHeight="1" x14ac:dyDescent="0.2">
      <c r="A26" s="3">
        <v>20</v>
      </c>
      <c r="B26" s="4" t="s">
        <v>181</v>
      </c>
      <c r="C26" s="4" t="s">
        <v>182</v>
      </c>
      <c r="D26" s="4" t="s">
        <v>183</v>
      </c>
      <c r="E26" s="5">
        <v>12675</v>
      </c>
      <c r="F26" s="6">
        <v>614.76284999999996</v>
      </c>
      <c r="G26" s="7">
        <v>1.463479E-2</v>
      </c>
      <c r="H26" s="105"/>
    </row>
    <row r="27" spans="1:10" ht="17.100000000000001" customHeight="1" x14ac:dyDescent="0.2">
      <c r="A27" s="3">
        <v>21</v>
      </c>
      <c r="B27" s="4" t="s">
        <v>310</v>
      </c>
      <c r="C27" s="4" t="s">
        <v>311</v>
      </c>
      <c r="D27" s="4" t="s">
        <v>207</v>
      </c>
      <c r="E27" s="5">
        <v>552970</v>
      </c>
      <c r="F27" s="6">
        <v>596.93111499999998</v>
      </c>
      <c r="G27" s="7">
        <v>1.421029E-2</v>
      </c>
      <c r="H27" s="105"/>
    </row>
    <row r="28" spans="1:10" ht="17.100000000000001" customHeight="1" x14ac:dyDescent="0.2">
      <c r="A28" s="3">
        <v>22</v>
      </c>
      <c r="B28" s="4" t="s">
        <v>14</v>
      </c>
      <c r="C28" s="4" t="s">
        <v>15</v>
      </c>
      <c r="D28" s="4" t="s">
        <v>16</v>
      </c>
      <c r="E28" s="5">
        <v>70000</v>
      </c>
      <c r="F28" s="6">
        <v>559.51</v>
      </c>
      <c r="G28" s="7">
        <v>1.331946E-2</v>
      </c>
      <c r="H28" s="105"/>
    </row>
    <row r="29" spans="1:10" ht="17.100000000000001" customHeight="1" x14ac:dyDescent="0.2">
      <c r="A29" s="3">
        <v>23</v>
      </c>
      <c r="B29" s="4" t="s">
        <v>688</v>
      </c>
      <c r="C29" s="4" t="s">
        <v>689</v>
      </c>
      <c r="D29" s="4" t="s">
        <v>33</v>
      </c>
      <c r="E29" s="5">
        <v>20500</v>
      </c>
      <c r="F29" s="6">
        <v>557.34375</v>
      </c>
      <c r="G29" s="7">
        <v>1.3267889999999999E-2</v>
      </c>
      <c r="H29" s="105"/>
    </row>
    <row r="30" spans="1:10" ht="17.100000000000001" customHeight="1" x14ac:dyDescent="0.2">
      <c r="A30" s="3">
        <v>24</v>
      </c>
      <c r="B30" s="4" t="s">
        <v>690</v>
      </c>
      <c r="C30" s="4" t="s">
        <v>691</v>
      </c>
      <c r="D30" s="4" t="s">
        <v>105</v>
      </c>
      <c r="E30" s="5">
        <v>12160</v>
      </c>
      <c r="F30" s="6">
        <v>538.92511999999999</v>
      </c>
      <c r="G30" s="7">
        <v>1.2829429999999999E-2</v>
      </c>
      <c r="H30" s="105"/>
    </row>
    <row r="31" spans="1:10" ht="29.1" customHeight="1" x14ac:dyDescent="0.2">
      <c r="A31" s="3">
        <v>25</v>
      </c>
      <c r="B31" s="4" t="s">
        <v>304</v>
      </c>
      <c r="C31" s="4" t="s">
        <v>305</v>
      </c>
      <c r="D31" s="4" t="s">
        <v>212</v>
      </c>
      <c r="E31" s="5">
        <v>54500</v>
      </c>
      <c r="F31" s="6">
        <v>538.26925000000006</v>
      </c>
      <c r="G31" s="7">
        <v>1.281381E-2</v>
      </c>
      <c r="H31" s="105"/>
    </row>
    <row r="32" spans="1:10" ht="17.100000000000001" customHeight="1" x14ac:dyDescent="0.2">
      <c r="A32" s="3">
        <v>26</v>
      </c>
      <c r="B32" s="4" t="s">
        <v>77</v>
      </c>
      <c r="C32" s="4" t="s">
        <v>78</v>
      </c>
      <c r="D32" s="4" t="s">
        <v>33</v>
      </c>
      <c r="E32" s="5">
        <v>33000</v>
      </c>
      <c r="F32" s="6">
        <v>519.96450000000004</v>
      </c>
      <c r="G32" s="7">
        <v>1.237806E-2</v>
      </c>
      <c r="H32" s="105"/>
    </row>
    <row r="33" spans="1:8" ht="17.100000000000001" customHeight="1" x14ac:dyDescent="0.2">
      <c r="A33" s="3">
        <v>27</v>
      </c>
      <c r="B33" s="4" t="s">
        <v>361</v>
      </c>
      <c r="C33" s="4" t="s">
        <v>362</v>
      </c>
      <c r="D33" s="4" t="s">
        <v>25</v>
      </c>
      <c r="E33" s="5">
        <v>26000</v>
      </c>
      <c r="F33" s="6">
        <v>503.89299999999997</v>
      </c>
      <c r="G33" s="7">
        <v>1.1995469999999999E-2</v>
      </c>
      <c r="H33" s="105"/>
    </row>
    <row r="34" spans="1:8" ht="17.100000000000001" customHeight="1" x14ac:dyDescent="0.2">
      <c r="A34" s="3">
        <v>28</v>
      </c>
      <c r="B34" s="4" t="s">
        <v>92</v>
      </c>
      <c r="C34" s="4" t="s">
        <v>93</v>
      </c>
      <c r="D34" s="4" t="s">
        <v>94</v>
      </c>
      <c r="E34" s="5">
        <v>295000</v>
      </c>
      <c r="F34" s="6">
        <v>468.90249999999997</v>
      </c>
      <c r="G34" s="7">
        <v>1.1162500000000001E-2</v>
      </c>
      <c r="H34" s="105"/>
    </row>
    <row r="35" spans="1:8" ht="17.100000000000001" customHeight="1" x14ac:dyDescent="0.2">
      <c r="A35" s="3">
        <v>29</v>
      </c>
      <c r="B35" s="4" t="s">
        <v>103</v>
      </c>
      <c r="C35" s="4" t="s">
        <v>104</v>
      </c>
      <c r="D35" s="4" t="s">
        <v>105</v>
      </c>
      <c r="E35" s="5">
        <v>5400</v>
      </c>
      <c r="F35" s="6">
        <v>463.83569999999997</v>
      </c>
      <c r="G35" s="7">
        <v>1.104188E-2</v>
      </c>
      <c r="H35" s="105"/>
    </row>
    <row r="36" spans="1:8" ht="29.1" customHeight="1" x14ac:dyDescent="0.2">
      <c r="A36" s="3">
        <v>30</v>
      </c>
      <c r="B36" s="4" t="s">
        <v>188</v>
      </c>
      <c r="C36" s="4" t="s">
        <v>189</v>
      </c>
      <c r="D36" s="4" t="s">
        <v>190</v>
      </c>
      <c r="E36" s="5">
        <v>48000</v>
      </c>
      <c r="F36" s="6">
        <v>452.37599999999998</v>
      </c>
      <c r="G36" s="7">
        <v>1.076908E-2</v>
      </c>
      <c r="H36" s="105"/>
    </row>
    <row r="37" spans="1:8" ht="29.1" customHeight="1" x14ac:dyDescent="0.2">
      <c r="A37" s="3">
        <v>31</v>
      </c>
      <c r="B37" s="4" t="s">
        <v>265</v>
      </c>
      <c r="C37" s="4" t="s">
        <v>266</v>
      </c>
      <c r="D37" s="4" t="s">
        <v>183</v>
      </c>
      <c r="E37" s="5">
        <v>17781</v>
      </c>
      <c r="F37" s="6">
        <v>451.68185249999999</v>
      </c>
      <c r="G37" s="7">
        <v>1.075255E-2</v>
      </c>
      <c r="H37" s="105"/>
    </row>
    <row r="38" spans="1:8" ht="17.100000000000001" customHeight="1" x14ac:dyDescent="0.2">
      <c r="A38" s="3">
        <v>32</v>
      </c>
      <c r="B38" s="4" t="s">
        <v>558</v>
      </c>
      <c r="C38" s="4" t="s">
        <v>559</v>
      </c>
      <c r="D38" s="4" t="s">
        <v>253</v>
      </c>
      <c r="E38" s="5">
        <v>9850</v>
      </c>
      <c r="F38" s="6">
        <v>448.524675</v>
      </c>
      <c r="G38" s="7">
        <v>1.067739E-2</v>
      </c>
      <c r="H38" s="105"/>
    </row>
    <row r="39" spans="1:8" ht="17.100000000000001" customHeight="1" x14ac:dyDescent="0.2">
      <c r="A39" s="3">
        <v>33</v>
      </c>
      <c r="B39" s="4" t="s">
        <v>692</v>
      </c>
      <c r="C39" s="4" t="s">
        <v>693</v>
      </c>
      <c r="D39" s="4" t="s">
        <v>28</v>
      </c>
      <c r="E39" s="5">
        <v>1000000</v>
      </c>
      <c r="F39" s="6">
        <v>442.5</v>
      </c>
      <c r="G39" s="7">
        <v>1.053397E-2</v>
      </c>
      <c r="H39" s="105"/>
    </row>
    <row r="40" spans="1:8" ht="17.100000000000001" customHeight="1" x14ac:dyDescent="0.2">
      <c r="A40" s="3">
        <v>34</v>
      </c>
      <c r="B40" s="4" t="s">
        <v>355</v>
      </c>
      <c r="C40" s="4" t="s">
        <v>356</v>
      </c>
      <c r="D40" s="4" t="s">
        <v>953</v>
      </c>
      <c r="E40" s="5">
        <v>10000</v>
      </c>
      <c r="F40" s="6">
        <v>441.94499999999999</v>
      </c>
      <c r="G40" s="7">
        <v>1.0520760000000001E-2</v>
      </c>
      <c r="H40" s="105"/>
    </row>
    <row r="41" spans="1:8" ht="17.100000000000001" customHeight="1" x14ac:dyDescent="0.2">
      <c r="A41" s="3">
        <v>35</v>
      </c>
      <c r="B41" s="4" t="s">
        <v>480</v>
      </c>
      <c r="C41" s="4" t="s">
        <v>481</v>
      </c>
      <c r="D41" s="4" t="s">
        <v>954</v>
      </c>
      <c r="E41" s="5">
        <v>37000</v>
      </c>
      <c r="F41" s="6">
        <v>436.58150000000001</v>
      </c>
      <c r="G41" s="7">
        <v>1.0393080000000001E-2</v>
      </c>
      <c r="H41" s="105"/>
    </row>
    <row r="42" spans="1:8" ht="17.100000000000001" customHeight="1" x14ac:dyDescent="0.2">
      <c r="A42" s="3">
        <v>36</v>
      </c>
      <c r="B42" s="4" t="s">
        <v>424</v>
      </c>
      <c r="C42" s="4" t="s">
        <v>425</v>
      </c>
      <c r="D42" s="4" t="s">
        <v>329</v>
      </c>
      <c r="E42" s="5">
        <v>30457</v>
      </c>
      <c r="F42" s="6">
        <v>426.21525800000001</v>
      </c>
      <c r="G42" s="7">
        <v>1.01463E-2</v>
      </c>
      <c r="H42" s="105"/>
    </row>
    <row r="43" spans="1:8" ht="17.100000000000001" customHeight="1" x14ac:dyDescent="0.2">
      <c r="A43" s="3">
        <v>37</v>
      </c>
      <c r="B43" s="4" t="s">
        <v>101</v>
      </c>
      <c r="C43" s="4" t="s">
        <v>102</v>
      </c>
      <c r="D43" s="4" t="s">
        <v>59</v>
      </c>
      <c r="E43" s="5">
        <v>21000</v>
      </c>
      <c r="F43" s="6">
        <v>424.39949999999999</v>
      </c>
      <c r="G43" s="7">
        <v>1.010308E-2</v>
      </c>
      <c r="H43" s="105"/>
    </row>
    <row r="44" spans="1:8" ht="17.100000000000001" customHeight="1" x14ac:dyDescent="0.2">
      <c r="A44" s="3">
        <v>38</v>
      </c>
      <c r="B44" s="4" t="s">
        <v>321</v>
      </c>
      <c r="C44" s="4" t="s">
        <v>322</v>
      </c>
      <c r="D44" s="4" t="s">
        <v>217</v>
      </c>
      <c r="E44" s="5">
        <v>37000</v>
      </c>
      <c r="F44" s="6">
        <v>421.83699999999999</v>
      </c>
      <c r="G44" s="7">
        <v>1.004208E-2</v>
      </c>
      <c r="H44" s="105"/>
    </row>
    <row r="45" spans="1:8" ht="17.100000000000001" customHeight="1" x14ac:dyDescent="0.2">
      <c r="A45" s="3">
        <v>39</v>
      </c>
      <c r="B45" s="4" t="s">
        <v>57</v>
      </c>
      <c r="C45" s="4" t="s">
        <v>58</v>
      </c>
      <c r="D45" s="4" t="s">
        <v>59</v>
      </c>
      <c r="E45" s="5">
        <v>68282</v>
      </c>
      <c r="F45" s="6">
        <v>417.680994</v>
      </c>
      <c r="G45" s="7">
        <v>9.9431399999999996E-3</v>
      </c>
      <c r="H45" s="105"/>
    </row>
    <row r="46" spans="1:8" ht="17.100000000000001" customHeight="1" x14ac:dyDescent="0.2">
      <c r="A46" s="3">
        <v>40</v>
      </c>
      <c r="B46" s="4" t="s">
        <v>367</v>
      </c>
      <c r="C46" s="4" t="s">
        <v>368</v>
      </c>
      <c r="D46" s="4" t="s">
        <v>128</v>
      </c>
      <c r="E46" s="5">
        <v>30000</v>
      </c>
      <c r="F46" s="6">
        <v>406.39499999999998</v>
      </c>
      <c r="G46" s="7">
        <v>9.6744699999999993E-3</v>
      </c>
      <c r="H46" s="105"/>
    </row>
    <row r="47" spans="1:8" ht="17.100000000000001" customHeight="1" x14ac:dyDescent="0.2">
      <c r="A47" s="3">
        <v>41</v>
      </c>
      <c r="B47" s="4" t="s">
        <v>82</v>
      </c>
      <c r="C47" s="4" t="s">
        <v>83</v>
      </c>
      <c r="D47" s="4" t="s">
        <v>84</v>
      </c>
      <c r="E47" s="5">
        <v>375000</v>
      </c>
      <c r="F47" s="6">
        <v>402.375</v>
      </c>
      <c r="G47" s="7">
        <v>9.5787700000000003E-3</v>
      </c>
      <c r="H47" s="105"/>
    </row>
    <row r="48" spans="1:8" ht="17.100000000000001" customHeight="1" x14ac:dyDescent="0.2">
      <c r="A48" s="3">
        <v>42</v>
      </c>
      <c r="B48" s="4" t="s">
        <v>347</v>
      </c>
      <c r="C48" s="4" t="s">
        <v>348</v>
      </c>
      <c r="D48" s="4" t="s">
        <v>121</v>
      </c>
      <c r="E48" s="5">
        <v>15000</v>
      </c>
      <c r="F48" s="6">
        <v>396.27749999999997</v>
      </c>
      <c r="G48" s="7">
        <v>9.4336200000000002E-3</v>
      </c>
      <c r="H48" s="105"/>
    </row>
    <row r="49" spans="1:8" ht="17.100000000000001" customHeight="1" x14ac:dyDescent="0.2">
      <c r="A49" s="3">
        <v>43</v>
      </c>
      <c r="B49" s="4" t="s">
        <v>478</v>
      </c>
      <c r="C49" s="4" t="s">
        <v>479</v>
      </c>
      <c r="D49" s="4" t="s">
        <v>121</v>
      </c>
      <c r="E49" s="5">
        <v>36064</v>
      </c>
      <c r="F49" s="6">
        <v>395.78436799999997</v>
      </c>
      <c r="G49" s="7">
        <v>9.4218800000000005E-3</v>
      </c>
      <c r="H49" s="105"/>
    </row>
    <row r="50" spans="1:8" ht="17.100000000000001" customHeight="1" x14ac:dyDescent="0.2">
      <c r="A50" s="3">
        <v>44</v>
      </c>
      <c r="B50" s="4" t="s">
        <v>269</v>
      </c>
      <c r="C50" s="4" t="s">
        <v>270</v>
      </c>
      <c r="D50" s="4" t="s">
        <v>271</v>
      </c>
      <c r="E50" s="5">
        <v>970</v>
      </c>
      <c r="F50" s="6">
        <v>391.11079000000001</v>
      </c>
      <c r="G50" s="7">
        <v>9.3106200000000004E-3</v>
      </c>
      <c r="H50" s="105"/>
    </row>
    <row r="51" spans="1:8" ht="17.100000000000001" customHeight="1" x14ac:dyDescent="0.2">
      <c r="A51" s="3">
        <v>45</v>
      </c>
      <c r="B51" s="4" t="s">
        <v>272</v>
      </c>
      <c r="C51" s="4" t="s">
        <v>273</v>
      </c>
      <c r="D51" s="4" t="s">
        <v>128</v>
      </c>
      <c r="E51" s="5">
        <v>225000</v>
      </c>
      <c r="F51" s="6">
        <v>382.27499999999998</v>
      </c>
      <c r="G51" s="7">
        <v>9.1002800000000005E-3</v>
      </c>
      <c r="H51" s="105"/>
    </row>
    <row r="52" spans="1:8" ht="17.100000000000001" customHeight="1" x14ac:dyDescent="0.2">
      <c r="A52" s="3">
        <v>46</v>
      </c>
      <c r="B52" s="4" t="s">
        <v>293</v>
      </c>
      <c r="C52" s="4" t="s">
        <v>294</v>
      </c>
      <c r="D52" s="4" t="s">
        <v>19</v>
      </c>
      <c r="E52" s="5">
        <v>150000</v>
      </c>
      <c r="F52" s="6">
        <v>376.875</v>
      </c>
      <c r="G52" s="7">
        <v>8.9717300000000007E-3</v>
      </c>
      <c r="H52" s="105"/>
    </row>
    <row r="53" spans="1:8" ht="17.100000000000001" customHeight="1" x14ac:dyDescent="0.2">
      <c r="A53" s="3">
        <v>47</v>
      </c>
      <c r="B53" s="4" t="s">
        <v>353</v>
      </c>
      <c r="C53" s="4" t="s">
        <v>354</v>
      </c>
      <c r="D53" s="4" t="s">
        <v>105</v>
      </c>
      <c r="E53" s="5">
        <v>72000</v>
      </c>
      <c r="F53" s="6">
        <v>349.16399999999999</v>
      </c>
      <c r="G53" s="7">
        <v>8.3120499999999996E-3</v>
      </c>
      <c r="H53" s="105"/>
    </row>
    <row r="54" spans="1:8" ht="17.100000000000001" customHeight="1" x14ac:dyDescent="0.2">
      <c r="A54" s="3">
        <v>48</v>
      </c>
      <c r="B54" s="4" t="s">
        <v>694</v>
      </c>
      <c r="C54" s="4" t="s">
        <v>695</v>
      </c>
      <c r="D54" s="4" t="s">
        <v>953</v>
      </c>
      <c r="E54" s="5">
        <v>8300</v>
      </c>
      <c r="F54" s="6">
        <v>347.31349999999998</v>
      </c>
      <c r="G54" s="7">
        <v>8.2679999999999993E-3</v>
      </c>
      <c r="H54" s="105"/>
    </row>
    <row r="55" spans="1:8" ht="29.1" customHeight="1" x14ac:dyDescent="0.2">
      <c r="A55" s="3">
        <v>49</v>
      </c>
      <c r="B55" s="4" t="s">
        <v>696</v>
      </c>
      <c r="C55" s="4" t="s">
        <v>697</v>
      </c>
      <c r="D55" s="4" t="s">
        <v>698</v>
      </c>
      <c r="E55" s="5">
        <v>10516</v>
      </c>
      <c r="F55" s="6">
        <v>345.17192599999998</v>
      </c>
      <c r="G55" s="7">
        <v>8.2170200000000002E-3</v>
      </c>
      <c r="H55" s="105"/>
    </row>
    <row r="56" spans="1:8" ht="17.100000000000001" customHeight="1" x14ac:dyDescent="0.2">
      <c r="A56" s="3">
        <v>50</v>
      </c>
      <c r="B56" s="4" t="s">
        <v>203</v>
      </c>
      <c r="C56" s="4" t="s">
        <v>204</v>
      </c>
      <c r="D56" s="4" t="s">
        <v>25</v>
      </c>
      <c r="E56" s="5">
        <v>40000</v>
      </c>
      <c r="F56" s="6">
        <v>344</v>
      </c>
      <c r="G56" s="7">
        <v>8.1891199999999994E-3</v>
      </c>
      <c r="H56" s="105"/>
    </row>
    <row r="57" spans="1:8" ht="17.100000000000001" customHeight="1" x14ac:dyDescent="0.2">
      <c r="A57" s="3">
        <v>51</v>
      </c>
      <c r="B57" s="4" t="s">
        <v>198</v>
      </c>
      <c r="C57" s="4" t="s">
        <v>199</v>
      </c>
      <c r="D57" s="4" t="s">
        <v>84</v>
      </c>
      <c r="E57" s="5">
        <v>120000</v>
      </c>
      <c r="F57" s="6">
        <v>341.94</v>
      </c>
      <c r="G57" s="7">
        <v>8.1400799999999992E-3</v>
      </c>
      <c r="H57" s="105"/>
    </row>
    <row r="58" spans="1:8" ht="29.1" customHeight="1" x14ac:dyDescent="0.2">
      <c r="A58" s="3">
        <v>52</v>
      </c>
      <c r="B58" s="4" t="s">
        <v>466</v>
      </c>
      <c r="C58" s="4" t="s">
        <v>467</v>
      </c>
      <c r="D58" s="4" t="s">
        <v>212</v>
      </c>
      <c r="E58" s="5">
        <v>5548</v>
      </c>
      <c r="F58" s="6">
        <v>309.02914800000002</v>
      </c>
      <c r="G58" s="7">
        <v>7.3566200000000003E-3</v>
      </c>
      <c r="H58" s="105"/>
    </row>
    <row r="59" spans="1:8" ht="29.1" customHeight="1" x14ac:dyDescent="0.2">
      <c r="A59" s="3">
        <v>53</v>
      </c>
      <c r="B59" s="4" t="s">
        <v>256</v>
      </c>
      <c r="C59" s="4" t="s">
        <v>257</v>
      </c>
      <c r="D59" s="4" t="s">
        <v>212</v>
      </c>
      <c r="E59" s="5">
        <v>35000</v>
      </c>
      <c r="F59" s="6">
        <v>248.32499999999999</v>
      </c>
      <c r="G59" s="7">
        <v>5.91152E-3</v>
      </c>
      <c r="H59" s="105"/>
    </row>
    <row r="60" spans="1:8" ht="17.100000000000001" customHeight="1" x14ac:dyDescent="0.2">
      <c r="A60" s="3">
        <v>54</v>
      </c>
      <c r="B60" s="4" t="s">
        <v>241</v>
      </c>
      <c r="C60" s="4" t="s">
        <v>242</v>
      </c>
      <c r="D60" s="4" t="s">
        <v>81</v>
      </c>
      <c r="E60" s="5">
        <v>6010</v>
      </c>
      <c r="F60" s="6">
        <v>240.4</v>
      </c>
      <c r="G60" s="7">
        <v>5.7228599999999998E-3</v>
      </c>
      <c r="H60" s="105"/>
    </row>
    <row r="61" spans="1:8" ht="29.1" customHeight="1" x14ac:dyDescent="0.2">
      <c r="A61" s="3">
        <v>55</v>
      </c>
      <c r="B61" s="4" t="s">
        <v>345</v>
      </c>
      <c r="C61" s="4" t="s">
        <v>346</v>
      </c>
      <c r="D61" s="4" t="s">
        <v>212</v>
      </c>
      <c r="E61" s="5">
        <v>6700</v>
      </c>
      <c r="F61" s="6">
        <v>218.94929999999999</v>
      </c>
      <c r="G61" s="7">
        <v>5.21222E-3</v>
      </c>
      <c r="H61" s="105"/>
    </row>
    <row r="62" spans="1:8" ht="17.100000000000001" customHeight="1" x14ac:dyDescent="0.2">
      <c r="A62" s="3">
        <v>56</v>
      </c>
      <c r="B62" s="4" t="s">
        <v>699</v>
      </c>
      <c r="C62" s="4" t="s">
        <v>700</v>
      </c>
      <c r="D62" s="4" t="s">
        <v>121</v>
      </c>
      <c r="E62" s="5">
        <v>18278</v>
      </c>
      <c r="F62" s="6">
        <v>191.03251700000001</v>
      </c>
      <c r="G62" s="7">
        <v>4.5476400000000004E-3</v>
      </c>
      <c r="H62" s="105"/>
    </row>
    <row r="63" spans="1:8" ht="14.1" customHeight="1" x14ac:dyDescent="0.2">
      <c r="A63" s="1"/>
      <c r="B63" s="1"/>
      <c r="C63" s="2" t="s">
        <v>132</v>
      </c>
      <c r="D63" s="1"/>
      <c r="E63" s="1" t="s">
        <v>133</v>
      </c>
      <c r="F63" s="9">
        <v>39010.105052499988</v>
      </c>
      <c r="G63" s="10">
        <v>0.92865832999999975</v>
      </c>
      <c r="H63" s="105"/>
    </row>
    <row r="64" spans="1:8" ht="14.1" customHeight="1" x14ac:dyDescent="0.2">
      <c r="A64" s="1"/>
      <c r="B64" s="1"/>
      <c r="C64" s="11"/>
      <c r="D64" s="1"/>
      <c r="E64" s="1"/>
      <c r="F64" s="12"/>
      <c r="G64" s="12"/>
      <c r="H64" s="105"/>
    </row>
    <row r="65" spans="1:8" ht="14.1" customHeight="1" x14ac:dyDescent="0.2">
      <c r="A65" s="1"/>
      <c r="B65" s="1"/>
      <c r="C65" s="2" t="s">
        <v>134</v>
      </c>
      <c r="D65" s="1"/>
      <c r="E65" s="1"/>
      <c r="F65" s="1"/>
      <c r="G65" s="1"/>
      <c r="H65" s="105"/>
    </row>
    <row r="66" spans="1:8" ht="14.1" customHeight="1" x14ac:dyDescent="0.2">
      <c r="A66" s="1"/>
      <c r="B66" s="1"/>
      <c r="C66" s="2" t="s">
        <v>132</v>
      </c>
      <c r="D66" s="1"/>
      <c r="E66" s="1" t="s">
        <v>133</v>
      </c>
      <c r="F66" s="13" t="s">
        <v>135</v>
      </c>
      <c r="G66" s="10">
        <v>0</v>
      </c>
      <c r="H66" s="105"/>
    </row>
    <row r="67" spans="1:8" ht="14.1" customHeight="1" x14ac:dyDescent="0.2">
      <c r="A67" s="1"/>
      <c r="B67" s="1"/>
      <c r="C67" s="11"/>
      <c r="D67" s="1"/>
      <c r="E67" s="1"/>
      <c r="F67" s="12"/>
      <c r="G67" s="12"/>
      <c r="H67" s="105"/>
    </row>
    <row r="68" spans="1:8" ht="14.1" customHeight="1" x14ac:dyDescent="0.2">
      <c r="A68" s="1"/>
      <c r="B68" s="1"/>
      <c r="C68" s="2" t="s">
        <v>136</v>
      </c>
      <c r="D68" s="1"/>
      <c r="E68" s="1"/>
      <c r="F68" s="1"/>
      <c r="G68" s="1"/>
      <c r="H68" s="105"/>
    </row>
    <row r="69" spans="1:8" ht="17.100000000000001" customHeight="1" x14ac:dyDescent="0.2">
      <c r="A69" s="3">
        <v>1</v>
      </c>
      <c r="B69" s="4" t="s">
        <v>701</v>
      </c>
      <c r="C69" s="40" t="s">
        <v>937</v>
      </c>
      <c r="D69" s="4"/>
      <c r="E69" s="5">
        <v>50000</v>
      </c>
      <c r="F69" s="6">
        <v>4.7350000000000003</v>
      </c>
      <c r="G69" s="7">
        <v>1.1272E-4</v>
      </c>
      <c r="H69" s="105"/>
    </row>
    <row r="70" spans="1:8" ht="17.100000000000001" customHeight="1" x14ac:dyDescent="0.2">
      <c r="A70" s="3">
        <v>2</v>
      </c>
      <c r="B70" s="4" t="s">
        <v>702</v>
      </c>
      <c r="C70" s="40" t="s">
        <v>938</v>
      </c>
      <c r="D70" s="4"/>
      <c r="E70" s="5">
        <v>50000</v>
      </c>
      <c r="F70" s="6">
        <v>4.9999999999999998E-7</v>
      </c>
      <c r="G70" s="8" t="s">
        <v>131</v>
      </c>
      <c r="H70" s="105"/>
    </row>
    <row r="71" spans="1:8" ht="17.100000000000001" customHeight="1" x14ac:dyDescent="0.2">
      <c r="A71" s="3">
        <v>3</v>
      </c>
      <c r="B71" s="4" t="s">
        <v>703</v>
      </c>
      <c r="C71" s="40" t="s">
        <v>940</v>
      </c>
      <c r="D71" s="4"/>
      <c r="E71" s="5">
        <v>200000</v>
      </c>
      <c r="F71" s="6">
        <v>1.9999999999999999E-6</v>
      </c>
      <c r="G71" s="8" t="s">
        <v>131</v>
      </c>
      <c r="H71" s="105"/>
    </row>
    <row r="72" spans="1:8" ht="17.100000000000001" customHeight="1" x14ac:dyDescent="0.2">
      <c r="A72" s="3">
        <v>4</v>
      </c>
      <c r="B72" s="4" t="s">
        <v>704</v>
      </c>
      <c r="C72" s="40" t="s">
        <v>939</v>
      </c>
      <c r="D72" s="4"/>
      <c r="E72" s="5">
        <v>20</v>
      </c>
      <c r="F72" s="6">
        <v>0</v>
      </c>
      <c r="G72" s="8" t="s">
        <v>131</v>
      </c>
      <c r="H72" s="105"/>
    </row>
    <row r="73" spans="1:8" ht="14.1" customHeight="1" x14ac:dyDescent="0.2">
      <c r="A73" s="1"/>
      <c r="B73" s="1"/>
      <c r="C73" s="2" t="s">
        <v>132</v>
      </c>
      <c r="D73" s="1"/>
      <c r="E73" s="1" t="s">
        <v>133</v>
      </c>
      <c r="F73" s="9">
        <v>4.7350025000000002</v>
      </c>
      <c r="G73" s="10">
        <v>1.1272E-4</v>
      </c>
      <c r="H73" s="105"/>
    </row>
    <row r="74" spans="1:8" ht="14.1" customHeight="1" x14ac:dyDescent="0.2">
      <c r="A74" s="1"/>
      <c r="B74" s="1"/>
      <c r="C74" s="11"/>
      <c r="D74" s="1"/>
      <c r="E74" s="1"/>
      <c r="F74" s="12"/>
      <c r="G74" s="12"/>
      <c r="H74" s="105"/>
    </row>
    <row r="75" spans="1:8" ht="14.1" customHeight="1" x14ac:dyDescent="0.2">
      <c r="A75" s="1"/>
      <c r="B75" s="1"/>
      <c r="C75" s="2" t="s">
        <v>137</v>
      </c>
      <c r="D75" s="1"/>
      <c r="E75" s="1"/>
      <c r="F75" s="1"/>
      <c r="G75" s="1"/>
      <c r="H75" s="105"/>
    </row>
    <row r="76" spans="1:8" ht="25.5" customHeight="1" x14ac:dyDescent="0.2">
      <c r="A76" s="3">
        <v>1</v>
      </c>
      <c r="B76" s="40" t="s">
        <v>923</v>
      </c>
      <c r="C76" s="40" t="s">
        <v>924</v>
      </c>
      <c r="D76" s="4" t="s">
        <v>81</v>
      </c>
      <c r="E76" s="5">
        <v>697160</v>
      </c>
      <c r="F76" s="6">
        <v>70.470327119999993</v>
      </c>
      <c r="G76" s="7">
        <v>1.6775900000000001E-3</v>
      </c>
      <c r="H76" s="105"/>
    </row>
    <row r="77" spans="1:8" ht="14.1" customHeight="1" x14ac:dyDescent="0.2">
      <c r="A77" s="1"/>
      <c r="B77" s="1"/>
      <c r="C77" s="2" t="s">
        <v>132</v>
      </c>
      <c r="D77" s="1"/>
      <c r="E77" s="1" t="s">
        <v>133</v>
      </c>
      <c r="F77" s="9">
        <v>70.470327119999993</v>
      </c>
      <c r="G77" s="10">
        <v>1.6775900000000001E-3</v>
      </c>
      <c r="H77" s="105"/>
    </row>
    <row r="78" spans="1:8" ht="14.1" customHeight="1" x14ac:dyDescent="0.2">
      <c r="A78" s="1"/>
      <c r="B78" s="1"/>
      <c r="C78" s="11"/>
      <c r="D78" s="1"/>
      <c r="E78" s="1"/>
      <c r="F78" s="12"/>
      <c r="G78" s="12"/>
      <c r="H78" s="105"/>
    </row>
    <row r="79" spans="1:8" ht="14.1" customHeight="1" x14ac:dyDescent="0.2">
      <c r="A79" s="1"/>
      <c r="B79" s="1"/>
      <c r="C79" s="2" t="s">
        <v>138</v>
      </c>
      <c r="D79" s="1"/>
      <c r="E79" s="1"/>
      <c r="F79" s="12"/>
      <c r="G79" s="12"/>
      <c r="H79" s="105"/>
    </row>
    <row r="80" spans="1:8" ht="14.1" customHeight="1" x14ac:dyDescent="0.2">
      <c r="A80" s="1"/>
      <c r="B80" s="1"/>
      <c r="C80" s="2" t="s">
        <v>132</v>
      </c>
      <c r="D80" s="1"/>
      <c r="E80" s="1" t="s">
        <v>133</v>
      </c>
      <c r="F80" s="13" t="s">
        <v>135</v>
      </c>
      <c r="G80" s="10">
        <v>0</v>
      </c>
      <c r="H80" s="105"/>
    </row>
    <row r="81" spans="1:8" ht="14.1" customHeight="1" x14ac:dyDescent="0.2">
      <c r="A81" s="1"/>
      <c r="B81" s="1"/>
      <c r="C81" s="11"/>
      <c r="D81" s="1"/>
      <c r="E81" s="1"/>
      <c r="F81" s="12"/>
      <c r="G81" s="12"/>
      <c r="H81" s="105"/>
    </row>
    <row r="82" spans="1:8" ht="14.1" customHeight="1" x14ac:dyDescent="0.2">
      <c r="A82" s="1"/>
      <c r="B82" s="1"/>
      <c r="C82" s="2" t="s">
        <v>139</v>
      </c>
      <c r="D82" s="1"/>
      <c r="E82" s="1"/>
      <c r="F82" s="12"/>
      <c r="G82" s="12"/>
      <c r="H82" s="105"/>
    </row>
    <row r="83" spans="1:8" ht="14.1" customHeight="1" x14ac:dyDescent="0.2">
      <c r="A83" s="1"/>
      <c r="B83" s="1"/>
      <c r="C83" s="2" t="s">
        <v>132</v>
      </c>
      <c r="D83" s="1"/>
      <c r="E83" s="1" t="s">
        <v>133</v>
      </c>
      <c r="F83" s="13" t="s">
        <v>135</v>
      </c>
      <c r="G83" s="10">
        <v>0</v>
      </c>
      <c r="H83" s="105"/>
    </row>
    <row r="84" spans="1:8" ht="14.1" customHeight="1" x14ac:dyDescent="0.2">
      <c r="A84" s="1"/>
      <c r="B84" s="1"/>
      <c r="C84" s="11"/>
      <c r="D84" s="1"/>
      <c r="E84" s="1"/>
      <c r="F84" s="12"/>
      <c r="G84" s="12"/>
      <c r="H84" s="105"/>
    </row>
    <row r="85" spans="1:8" ht="18" customHeight="1" x14ac:dyDescent="0.2">
      <c r="A85" s="1"/>
      <c r="B85" s="1"/>
      <c r="C85" s="2" t="s">
        <v>140</v>
      </c>
      <c r="D85" s="1"/>
      <c r="E85" s="1"/>
      <c r="F85" s="9">
        <v>39085.310382119998</v>
      </c>
      <c r="G85" s="10">
        <v>0.93044864000000005</v>
      </c>
      <c r="H85" s="105"/>
    </row>
    <row r="86" spans="1:8" ht="14.1" customHeight="1" x14ac:dyDescent="0.2">
      <c r="A86" s="1"/>
      <c r="B86" s="1"/>
      <c r="C86" s="11"/>
      <c r="D86" s="1"/>
      <c r="E86" s="1"/>
      <c r="F86" s="12"/>
      <c r="G86" s="12"/>
      <c r="H86" s="105"/>
    </row>
    <row r="87" spans="1:8" ht="14.1" customHeight="1" x14ac:dyDescent="0.2">
      <c r="A87" s="1"/>
      <c r="B87" s="1"/>
      <c r="C87" s="2" t="s">
        <v>141</v>
      </c>
      <c r="D87" s="1"/>
      <c r="E87" s="1"/>
      <c r="F87" s="12"/>
      <c r="G87" s="12"/>
      <c r="H87" s="105"/>
    </row>
    <row r="88" spans="1:8" ht="24" customHeight="1" x14ac:dyDescent="0.2">
      <c r="A88" s="1"/>
      <c r="B88" s="1"/>
      <c r="C88" s="2" t="s">
        <v>10</v>
      </c>
      <c r="D88" s="1"/>
      <c r="E88" s="1"/>
      <c r="F88" s="12"/>
      <c r="G88" s="12"/>
      <c r="H88" s="105"/>
    </row>
    <row r="89" spans="1:8" ht="29.1" customHeight="1" x14ac:dyDescent="0.2">
      <c r="A89" s="3">
        <v>1</v>
      </c>
      <c r="B89" s="4" t="s">
        <v>705</v>
      </c>
      <c r="C89" s="4" t="s">
        <v>706</v>
      </c>
      <c r="D89" s="4" t="s">
        <v>570</v>
      </c>
      <c r="E89" s="5">
        <v>4200</v>
      </c>
      <c r="F89" s="6">
        <v>1.1926497659999999</v>
      </c>
      <c r="G89" s="52" t="s">
        <v>131</v>
      </c>
      <c r="H89" s="105">
        <v>7.5430000000000001</v>
      </c>
    </row>
    <row r="90" spans="1:8" ht="14.1" customHeight="1" x14ac:dyDescent="0.2">
      <c r="A90" s="1"/>
      <c r="B90" s="1"/>
      <c r="C90" s="2" t="s">
        <v>132</v>
      </c>
      <c r="D90" s="1"/>
      <c r="E90" s="1" t="s">
        <v>133</v>
      </c>
      <c r="F90" s="9">
        <v>1.1926497659999999</v>
      </c>
      <c r="G90" s="10">
        <v>2.8390000000000001E-5</v>
      </c>
      <c r="H90" s="105"/>
    </row>
    <row r="91" spans="1:8" ht="14.1" customHeight="1" x14ac:dyDescent="0.2">
      <c r="A91" s="1"/>
      <c r="B91" s="1"/>
      <c r="C91" s="11"/>
      <c r="D91" s="1"/>
      <c r="E91" s="1"/>
      <c r="F91" s="12"/>
      <c r="G91" s="12"/>
      <c r="H91" s="105"/>
    </row>
    <row r="92" spans="1:8" ht="14.1" customHeight="1" x14ac:dyDescent="0.2">
      <c r="A92" s="1"/>
      <c r="B92" s="1"/>
      <c r="C92" s="2" t="s">
        <v>142</v>
      </c>
      <c r="D92" s="1"/>
      <c r="E92" s="1"/>
      <c r="F92" s="1"/>
      <c r="G92" s="1"/>
      <c r="H92" s="105"/>
    </row>
    <row r="93" spans="1:8" ht="14.1" customHeight="1" x14ac:dyDescent="0.2">
      <c r="A93" s="1"/>
      <c r="B93" s="1"/>
      <c r="C93" s="2" t="s">
        <v>132</v>
      </c>
      <c r="D93" s="1"/>
      <c r="E93" s="1" t="s">
        <v>133</v>
      </c>
      <c r="F93" s="13" t="s">
        <v>135</v>
      </c>
      <c r="G93" s="10">
        <v>0</v>
      </c>
      <c r="H93" s="105"/>
    </row>
    <row r="94" spans="1:8" ht="14.1" customHeight="1" x14ac:dyDescent="0.2">
      <c r="A94" s="1"/>
      <c r="B94" s="1"/>
      <c r="C94" s="11"/>
      <c r="D94" s="1"/>
      <c r="E94" s="1"/>
      <c r="F94" s="12"/>
      <c r="G94" s="12"/>
      <c r="H94" s="105"/>
    </row>
    <row r="95" spans="1:8" ht="14.1" customHeight="1" x14ac:dyDescent="0.2">
      <c r="A95" s="1"/>
      <c r="B95" s="1"/>
      <c r="C95" s="2" t="s">
        <v>143</v>
      </c>
      <c r="D95" s="1"/>
      <c r="E95" s="1"/>
      <c r="F95" s="1"/>
      <c r="G95" s="1"/>
      <c r="H95" s="105"/>
    </row>
    <row r="96" spans="1:8" ht="14.1" customHeight="1" x14ac:dyDescent="0.2">
      <c r="A96" s="1"/>
      <c r="B96" s="1"/>
      <c r="C96" s="2" t="s">
        <v>132</v>
      </c>
      <c r="D96" s="1"/>
      <c r="E96" s="1" t="s">
        <v>133</v>
      </c>
      <c r="F96" s="13" t="s">
        <v>135</v>
      </c>
      <c r="G96" s="10">
        <v>0</v>
      </c>
      <c r="H96" s="105"/>
    </row>
    <row r="97" spans="1:8" ht="14.1" customHeight="1" x14ac:dyDescent="0.2">
      <c r="A97" s="1"/>
      <c r="B97" s="1"/>
      <c r="C97" s="11"/>
      <c r="D97" s="1"/>
      <c r="E97" s="1"/>
      <c r="F97" s="12"/>
      <c r="G97" s="12"/>
      <c r="H97" s="105"/>
    </row>
    <row r="98" spans="1:8" ht="14.1" customHeight="1" x14ac:dyDescent="0.2">
      <c r="A98" s="1"/>
      <c r="B98" s="1"/>
      <c r="C98" s="2" t="s">
        <v>144</v>
      </c>
      <c r="D98" s="1"/>
      <c r="E98" s="1"/>
      <c r="F98" s="12"/>
      <c r="G98" s="12"/>
      <c r="H98" s="105"/>
    </row>
    <row r="99" spans="1:8" ht="14.1" customHeight="1" x14ac:dyDescent="0.2">
      <c r="A99" s="1"/>
      <c r="B99" s="1"/>
      <c r="C99" s="2" t="s">
        <v>132</v>
      </c>
      <c r="D99" s="1"/>
      <c r="E99" s="1" t="s">
        <v>133</v>
      </c>
      <c r="F99" s="13" t="s">
        <v>135</v>
      </c>
      <c r="G99" s="10">
        <v>0</v>
      </c>
      <c r="H99" s="105"/>
    </row>
    <row r="100" spans="1:8" ht="14.1" customHeight="1" x14ac:dyDescent="0.2">
      <c r="A100" s="1"/>
      <c r="B100" s="1"/>
      <c r="C100" s="11"/>
      <c r="D100" s="1"/>
      <c r="E100" s="1"/>
      <c r="F100" s="12"/>
      <c r="G100" s="12"/>
      <c r="H100" s="105"/>
    </row>
    <row r="101" spans="1:8" ht="14.1" customHeight="1" x14ac:dyDescent="0.2">
      <c r="A101" s="1"/>
      <c r="B101" s="1"/>
      <c r="C101" s="2" t="s">
        <v>145</v>
      </c>
      <c r="D101" s="1"/>
      <c r="E101" s="1"/>
      <c r="F101" s="9">
        <v>1.1926497659999999</v>
      </c>
      <c r="G101" s="10">
        <v>2.8390000000000001E-5</v>
      </c>
      <c r="H101" s="105"/>
    </row>
    <row r="102" spans="1:8" ht="14.1" customHeight="1" x14ac:dyDescent="0.2">
      <c r="A102" s="1"/>
      <c r="B102" s="1"/>
      <c r="C102" s="11"/>
      <c r="D102" s="1"/>
      <c r="E102" s="1"/>
      <c r="F102" s="12"/>
      <c r="G102" s="12"/>
      <c r="H102" s="105"/>
    </row>
    <row r="103" spans="1:8" ht="14.1" customHeight="1" x14ac:dyDescent="0.2">
      <c r="A103" s="1"/>
      <c r="B103" s="1"/>
      <c r="C103" s="2" t="s">
        <v>146</v>
      </c>
      <c r="D103" s="1"/>
      <c r="E103" s="1"/>
      <c r="F103" s="12"/>
      <c r="G103" s="12"/>
      <c r="H103" s="105"/>
    </row>
    <row r="104" spans="1:8" ht="14.1" customHeight="1" x14ac:dyDescent="0.2">
      <c r="A104" s="1"/>
      <c r="B104" s="1"/>
      <c r="C104" s="2" t="s">
        <v>147</v>
      </c>
      <c r="D104" s="1"/>
      <c r="E104" s="1"/>
      <c r="F104" s="12"/>
      <c r="G104" s="12"/>
      <c r="H104" s="105"/>
    </row>
    <row r="105" spans="1:8" ht="14.1" customHeight="1" x14ac:dyDescent="0.2">
      <c r="A105" s="1"/>
      <c r="B105" s="1"/>
      <c r="C105" s="2" t="s">
        <v>132</v>
      </c>
      <c r="D105" s="1"/>
      <c r="E105" s="1" t="s">
        <v>133</v>
      </c>
      <c r="F105" s="13" t="s">
        <v>135</v>
      </c>
      <c r="G105" s="10">
        <v>0</v>
      </c>
      <c r="H105" s="105"/>
    </row>
    <row r="106" spans="1:8" ht="14.1" customHeight="1" x14ac:dyDescent="0.2">
      <c r="A106" s="1"/>
      <c r="B106" s="1"/>
      <c r="C106" s="11"/>
      <c r="D106" s="1"/>
      <c r="E106" s="1"/>
      <c r="F106" s="12"/>
      <c r="G106" s="12"/>
      <c r="H106" s="105"/>
    </row>
    <row r="107" spans="1:8" ht="14.1" customHeight="1" x14ac:dyDescent="0.2">
      <c r="A107" s="1"/>
      <c r="B107" s="1"/>
      <c r="C107" s="2" t="s">
        <v>148</v>
      </c>
      <c r="D107" s="1"/>
      <c r="E107" s="1"/>
      <c r="F107" s="12"/>
      <c r="G107" s="12"/>
      <c r="H107" s="105"/>
    </row>
    <row r="108" spans="1:8" ht="14.1" customHeight="1" x14ac:dyDescent="0.2">
      <c r="A108" s="1"/>
      <c r="B108" s="1"/>
      <c r="C108" s="2" t="s">
        <v>132</v>
      </c>
      <c r="D108" s="1"/>
      <c r="E108" s="1" t="s">
        <v>133</v>
      </c>
      <c r="F108" s="13" t="s">
        <v>135</v>
      </c>
      <c r="G108" s="10">
        <v>0</v>
      </c>
      <c r="H108" s="105"/>
    </row>
    <row r="109" spans="1:8" ht="14.1" customHeight="1" x14ac:dyDescent="0.2">
      <c r="A109" s="1"/>
      <c r="B109" s="1"/>
      <c r="C109" s="11"/>
      <c r="D109" s="1"/>
      <c r="E109" s="1"/>
      <c r="F109" s="12"/>
      <c r="G109" s="12"/>
      <c r="H109" s="105"/>
    </row>
    <row r="110" spans="1:8" ht="14.1" customHeight="1" x14ac:dyDescent="0.2">
      <c r="A110" s="1"/>
      <c r="B110" s="1"/>
      <c r="C110" s="2" t="s">
        <v>149</v>
      </c>
      <c r="D110" s="1"/>
      <c r="E110" s="1"/>
      <c r="F110" s="12"/>
      <c r="G110" s="12"/>
      <c r="H110" s="105"/>
    </row>
    <row r="111" spans="1:8" ht="14.1" customHeight="1" x14ac:dyDescent="0.2">
      <c r="A111" s="1"/>
      <c r="B111" s="1"/>
      <c r="C111" s="2" t="s">
        <v>132</v>
      </c>
      <c r="D111" s="1"/>
      <c r="E111" s="1" t="s">
        <v>133</v>
      </c>
      <c r="F111" s="13" t="s">
        <v>135</v>
      </c>
      <c r="G111" s="10">
        <v>0</v>
      </c>
      <c r="H111" s="105"/>
    </row>
    <row r="112" spans="1:8" ht="14.1" customHeight="1" x14ac:dyDescent="0.2">
      <c r="A112" s="1"/>
      <c r="B112" s="1"/>
      <c r="C112" s="11"/>
      <c r="D112" s="1"/>
      <c r="E112" s="1"/>
      <c r="F112" s="12"/>
      <c r="G112" s="12"/>
      <c r="H112" s="105"/>
    </row>
    <row r="113" spans="1:14" ht="14.1" customHeight="1" x14ac:dyDescent="0.2">
      <c r="A113" s="1"/>
      <c r="B113" s="1"/>
      <c r="C113" s="2" t="s">
        <v>150</v>
      </c>
      <c r="D113" s="1"/>
      <c r="E113" s="1"/>
      <c r="F113" s="12"/>
      <c r="G113" s="12"/>
      <c r="H113" s="105"/>
    </row>
    <row r="114" spans="1:14" ht="17.100000000000001" customHeight="1" x14ac:dyDescent="0.2">
      <c r="A114" s="3">
        <v>1</v>
      </c>
      <c r="B114" s="4"/>
      <c r="C114" s="4" t="s">
        <v>151</v>
      </c>
      <c r="D114" s="4"/>
      <c r="E114" s="8"/>
      <c r="F114" s="6">
        <v>3026.7603869999998</v>
      </c>
      <c r="G114" s="7">
        <v>7.2053800000000001E-2</v>
      </c>
      <c r="H114" s="105">
        <v>6.8153352377542396</v>
      </c>
    </row>
    <row r="115" spans="1:14" ht="17.100000000000001" customHeight="1" x14ac:dyDescent="0.2">
      <c r="A115" s="3">
        <v>2</v>
      </c>
      <c r="B115" s="4"/>
      <c r="C115" s="4" t="s">
        <v>152</v>
      </c>
      <c r="D115" s="4"/>
      <c r="E115" s="8"/>
      <c r="F115" s="6">
        <v>359.17430550099999</v>
      </c>
      <c r="G115" s="7">
        <v>8.55035E-3</v>
      </c>
      <c r="H115" s="105">
        <v>6.7952403714590259</v>
      </c>
    </row>
    <row r="116" spans="1:14" ht="14.1" customHeight="1" x14ac:dyDescent="0.2">
      <c r="A116" s="1"/>
      <c r="B116" s="1"/>
      <c r="C116" s="2" t="s">
        <v>132</v>
      </c>
      <c r="D116" s="1"/>
      <c r="E116" s="1" t="s">
        <v>133</v>
      </c>
      <c r="F116" s="9">
        <v>3385.934692501</v>
      </c>
      <c r="G116" s="10">
        <v>8.0604149999999999E-2</v>
      </c>
      <c r="H116" s="105"/>
    </row>
    <row r="117" spans="1:14" ht="14.1" customHeight="1" x14ac:dyDescent="0.2">
      <c r="A117" s="1"/>
      <c r="B117" s="1"/>
      <c r="C117" s="11"/>
      <c r="D117" s="1"/>
      <c r="E117" s="1"/>
      <c r="F117" s="12"/>
      <c r="G117" s="12"/>
      <c r="H117" s="105"/>
    </row>
    <row r="118" spans="1:14" ht="14.1" customHeight="1" x14ac:dyDescent="0.2">
      <c r="A118" s="1"/>
      <c r="B118" s="1"/>
      <c r="C118" s="2" t="s">
        <v>153</v>
      </c>
      <c r="D118" s="1"/>
      <c r="E118" s="1"/>
      <c r="F118" s="9">
        <v>3385.934692501</v>
      </c>
      <c r="G118" s="10">
        <v>8.0604149999999999E-2</v>
      </c>
      <c r="H118" s="105"/>
    </row>
    <row r="119" spans="1:14" ht="14.1" customHeight="1" x14ac:dyDescent="0.2">
      <c r="A119" s="1"/>
      <c r="B119" s="1"/>
      <c r="C119" s="12"/>
      <c r="D119" s="1"/>
      <c r="E119" s="1"/>
      <c r="F119" s="1"/>
      <c r="G119" s="1"/>
      <c r="H119" s="105"/>
    </row>
    <row r="120" spans="1:14" ht="14.1" customHeight="1" x14ac:dyDescent="0.2">
      <c r="A120" s="1"/>
      <c r="B120" s="1"/>
      <c r="C120" s="2" t="s">
        <v>154</v>
      </c>
      <c r="D120" s="1"/>
      <c r="E120" s="1"/>
      <c r="F120" s="1"/>
      <c r="G120" s="1"/>
      <c r="H120" s="105"/>
    </row>
    <row r="121" spans="1:14" ht="14.1" customHeight="1" x14ac:dyDescent="0.2">
      <c r="A121" s="1"/>
      <c r="B121" s="1"/>
      <c r="C121" s="2" t="s">
        <v>155</v>
      </c>
      <c r="D121" s="1"/>
      <c r="E121" s="1"/>
      <c r="F121" s="1"/>
      <c r="G121" s="1"/>
      <c r="H121" s="105"/>
      <c r="J121" s="53"/>
      <c r="K121" s="53"/>
      <c r="L121" s="53"/>
      <c r="M121" s="53"/>
      <c r="N121" s="53"/>
    </row>
    <row r="122" spans="1:14" ht="14.1" customHeight="1" x14ac:dyDescent="0.2">
      <c r="A122" s="1"/>
      <c r="B122" s="1"/>
      <c r="C122" s="2" t="s">
        <v>132</v>
      </c>
      <c r="D122" s="1"/>
      <c r="E122" s="1" t="s">
        <v>133</v>
      </c>
      <c r="F122" s="13" t="s">
        <v>135</v>
      </c>
      <c r="G122" s="10">
        <v>0</v>
      </c>
      <c r="H122" s="105"/>
    </row>
    <row r="123" spans="1:14" ht="14.1" customHeight="1" x14ac:dyDescent="0.2">
      <c r="A123" s="1"/>
      <c r="B123" s="1"/>
      <c r="C123" s="11"/>
      <c r="D123" s="1"/>
      <c r="E123" s="1"/>
      <c r="F123" s="12"/>
      <c r="G123" s="12"/>
      <c r="H123" s="105"/>
    </row>
    <row r="124" spans="1:14" ht="14.1" customHeight="1" x14ac:dyDescent="0.2">
      <c r="A124" s="1"/>
      <c r="B124" s="1"/>
      <c r="C124" s="2" t="s">
        <v>156</v>
      </c>
      <c r="D124" s="1"/>
      <c r="E124" s="1"/>
      <c r="F124" s="1"/>
      <c r="G124" s="1"/>
      <c r="H124" s="105"/>
    </row>
    <row r="125" spans="1:14" ht="14.1" customHeight="1" x14ac:dyDescent="0.2">
      <c r="A125" s="1"/>
      <c r="B125" s="1"/>
      <c r="C125" s="2" t="s">
        <v>157</v>
      </c>
      <c r="D125" s="1"/>
      <c r="E125" s="1"/>
      <c r="F125" s="1"/>
      <c r="G125" s="1"/>
      <c r="H125" s="105"/>
    </row>
    <row r="126" spans="1:14" ht="14.1" customHeight="1" x14ac:dyDescent="0.2">
      <c r="A126" s="1"/>
      <c r="B126" s="1"/>
      <c r="C126" s="2" t="s">
        <v>132</v>
      </c>
      <c r="D126" s="1"/>
      <c r="E126" s="1" t="s">
        <v>133</v>
      </c>
      <c r="F126" s="13" t="s">
        <v>135</v>
      </c>
      <c r="G126" s="10">
        <v>0</v>
      </c>
      <c r="H126" s="105"/>
      <c r="I126" s="53"/>
    </row>
    <row r="127" spans="1:14" ht="14.1" customHeight="1" x14ac:dyDescent="0.2">
      <c r="A127" s="1"/>
      <c r="B127" s="1"/>
      <c r="C127" s="11"/>
      <c r="D127" s="1"/>
      <c r="E127" s="1"/>
      <c r="F127" s="12"/>
      <c r="G127" s="12"/>
      <c r="H127" s="105"/>
    </row>
    <row r="128" spans="1:14" ht="24" customHeight="1" x14ac:dyDescent="0.2">
      <c r="A128" s="1"/>
      <c r="B128" s="1"/>
      <c r="C128" s="2" t="s">
        <v>158</v>
      </c>
      <c r="D128" s="1"/>
      <c r="E128" s="1"/>
      <c r="F128" s="12"/>
      <c r="G128" s="12"/>
      <c r="H128" s="105"/>
    </row>
    <row r="129" spans="1:8" ht="14.1" customHeight="1" x14ac:dyDescent="0.2">
      <c r="A129" s="1"/>
      <c r="B129" s="1"/>
      <c r="C129" s="2" t="s">
        <v>132</v>
      </c>
      <c r="D129" s="1"/>
      <c r="E129" s="1" t="s">
        <v>133</v>
      </c>
      <c r="F129" s="13" t="s">
        <v>135</v>
      </c>
      <c r="G129" s="10">
        <v>0</v>
      </c>
      <c r="H129" s="105"/>
    </row>
    <row r="130" spans="1:8" ht="14.1" customHeight="1" x14ac:dyDescent="0.2">
      <c r="A130" s="1"/>
      <c r="B130" s="1"/>
      <c r="C130" s="11"/>
      <c r="D130" s="1"/>
      <c r="E130" s="1"/>
      <c r="F130" s="12"/>
      <c r="G130" s="12"/>
      <c r="H130" s="105"/>
    </row>
    <row r="131" spans="1:8" ht="14.1" customHeight="1" x14ac:dyDescent="0.2">
      <c r="A131" s="1"/>
      <c r="B131" s="4"/>
      <c r="C131" s="4"/>
      <c r="D131" s="2"/>
      <c r="E131" s="1"/>
      <c r="F131" s="4"/>
      <c r="G131" s="8"/>
      <c r="H131" s="105"/>
    </row>
    <row r="132" spans="1:8" ht="18" customHeight="1" x14ac:dyDescent="0.2">
      <c r="A132" s="8"/>
      <c r="B132" s="4"/>
      <c r="C132" s="40" t="s">
        <v>955</v>
      </c>
      <c r="D132" s="4"/>
      <c r="E132" s="8"/>
      <c r="F132" s="6">
        <v>-465.48558021999997</v>
      </c>
      <c r="G132" s="7">
        <v>-1.108116E-2</v>
      </c>
      <c r="H132" s="105"/>
    </row>
    <row r="133" spans="1:8" ht="14.1" customHeight="1" x14ac:dyDescent="0.2">
      <c r="A133" s="11"/>
      <c r="B133" s="11"/>
      <c r="C133" s="2" t="s">
        <v>160</v>
      </c>
      <c r="D133" s="12"/>
      <c r="E133" s="12"/>
      <c r="F133" s="9">
        <v>42006.952144167</v>
      </c>
      <c r="G133" s="14">
        <v>1.0000000200000001</v>
      </c>
      <c r="H133" s="105"/>
    </row>
    <row r="134" spans="1:8" ht="14.1" customHeight="1" x14ac:dyDescent="0.2">
      <c r="A134" s="15"/>
      <c r="B134" s="15"/>
      <c r="C134" s="15"/>
      <c r="D134" s="16"/>
      <c r="E134" s="16"/>
      <c r="F134" s="16"/>
      <c r="G134" s="16"/>
    </row>
    <row r="135" spans="1:8" ht="17.100000000000001" customHeight="1" x14ac:dyDescent="0.2">
      <c r="A135" s="45"/>
      <c r="B135" s="192" t="s">
        <v>932</v>
      </c>
      <c r="C135" s="192"/>
      <c r="D135" s="192"/>
      <c r="E135" s="192"/>
      <c r="F135" s="192"/>
      <c r="G135" s="46"/>
    </row>
    <row r="136" spans="1:8" ht="17.100000000000001" customHeight="1" x14ac:dyDescent="0.2">
      <c r="A136" s="45"/>
      <c r="B136" s="192" t="s">
        <v>933</v>
      </c>
      <c r="C136" s="192"/>
      <c r="D136" s="192"/>
      <c r="E136" s="192"/>
      <c r="F136" s="192"/>
      <c r="G136" s="46"/>
    </row>
    <row r="137" spans="1:8" ht="17.100000000000001" customHeight="1" x14ac:dyDescent="0.2">
      <c r="A137" s="17"/>
      <c r="B137" s="178" t="s">
        <v>161</v>
      </c>
      <c r="C137" s="178"/>
      <c r="D137" s="178"/>
      <c r="E137" s="178"/>
      <c r="F137" s="178"/>
      <c r="G137" s="19"/>
    </row>
    <row r="138" spans="1:8" ht="14.1" customHeight="1" x14ac:dyDescent="0.2">
      <c r="A138" s="17"/>
      <c r="B138" s="17"/>
      <c r="C138" s="17"/>
      <c r="D138" s="19"/>
      <c r="E138" s="19"/>
      <c r="F138" s="19"/>
      <c r="G138" s="19"/>
    </row>
    <row r="139" spans="1:8" ht="14.1" customHeight="1" x14ac:dyDescent="0.2">
      <c r="A139" s="17"/>
      <c r="B139" s="179" t="s">
        <v>162</v>
      </c>
      <c r="C139" s="180"/>
      <c r="D139" s="181"/>
      <c r="E139" s="20"/>
      <c r="F139" s="19"/>
      <c r="G139" s="19"/>
    </row>
    <row r="140" spans="1:8" ht="29.1" customHeight="1" x14ac:dyDescent="0.2">
      <c r="A140" s="17"/>
      <c r="B140" s="176" t="s">
        <v>163</v>
      </c>
      <c r="C140" s="177"/>
      <c r="D140" s="55" t="s">
        <v>989</v>
      </c>
      <c r="E140" s="20"/>
      <c r="F140" s="19"/>
      <c r="G140" s="19"/>
    </row>
    <row r="141" spans="1:8" ht="17.100000000000001" customHeight="1" x14ac:dyDescent="0.2">
      <c r="A141" s="17"/>
      <c r="B141" s="176" t="s">
        <v>935</v>
      </c>
      <c r="C141" s="177"/>
      <c r="D141" s="2" t="s">
        <v>941</v>
      </c>
      <c r="E141" s="20"/>
      <c r="F141" s="19"/>
      <c r="G141" s="19"/>
    </row>
    <row r="142" spans="1:8" ht="17.100000000000001" customHeight="1" x14ac:dyDescent="0.2">
      <c r="A142" s="17"/>
      <c r="B142" s="176" t="s">
        <v>166</v>
      </c>
      <c r="C142" s="177"/>
      <c r="D142" s="12" t="s">
        <v>133</v>
      </c>
      <c r="E142" s="20"/>
      <c r="F142" s="19"/>
      <c r="G142" s="19"/>
    </row>
    <row r="143" spans="1:8" ht="24" customHeight="1" x14ac:dyDescent="0.2">
      <c r="A143" s="21"/>
      <c r="B143" s="22" t="s">
        <v>133</v>
      </c>
      <c r="C143" s="22" t="s">
        <v>167</v>
      </c>
      <c r="D143" s="22" t="s">
        <v>168</v>
      </c>
      <c r="E143" s="21"/>
      <c r="F143" s="21"/>
      <c r="G143" s="21"/>
    </row>
    <row r="144" spans="1:8" ht="18" customHeight="1" x14ac:dyDescent="0.2">
      <c r="A144" s="21"/>
      <c r="B144" s="23" t="s">
        <v>169</v>
      </c>
      <c r="C144" s="22" t="s">
        <v>170</v>
      </c>
      <c r="D144" s="22" t="s">
        <v>171</v>
      </c>
      <c r="E144" s="21"/>
      <c r="F144" s="21"/>
      <c r="G144" s="21"/>
    </row>
    <row r="145" spans="1:7" ht="17.100000000000001" customHeight="1" x14ac:dyDescent="0.2">
      <c r="A145" s="21"/>
      <c r="B145" s="4" t="s">
        <v>172</v>
      </c>
      <c r="C145" s="24">
        <v>91.200299999999999</v>
      </c>
      <c r="D145" s="24">
        <v>93.845399999999998</v>
      </c>
      <c r="E145" s="21"/>
      <c r="F145" s="18"/>
      <c r="G145" s="25"/>
    </row>
    <row r="146" spans="1:7" ht="29.1" customHeight="1" x14ac:dyDescent="0.2">
      <c r="A146" s="21"/>
      <c r="B146" s="4" t="s">
        <v>1009</v>
      </c>
      <c r="C146" s="24">
        <v>46.991999999999997</v>
      </c>
      <c r="D146" s="24">
        <v>48.354900000000001</v>
      </c>
      <c r="E146" s="21"/>
      <c r="F146" s="18"/>
      <c r="G146" s="25"/>
    </row>
    <row r="147" spans="1:7" ht="17.100000000000001" customHeight="1" x14ac:dyDescent="0.2">
      <c r="A147" s="21"/>
      <c r="B147" s="4" t="s">
        <v>173</v>
      </c>
      <c r="C147" s="24">
        <v>85.9773</v>
      </c>
      <c r="D147" s="24">
        <v>88.373099999999994</v>
      </c>
      <c r="E147" s="21"/>
      <c r="F147" s="18"/>
      <c r="G147" s="25"/>
    </row>
    <row r="148" spans="1:7" ht="29.1" customHeight="1" x14ac:dyDescent="0.2">
      <c r="A148" s="21"/>
      <c r="B148" s="4" t="s">
        <v>1010</v>
      </c>
      <c r="C148" s="24">
        <v>28.883299999999998</v>
      </c>
      <c r="D148" s="24">
        <v>29.688199999999998</v>
      </c>
      <c r="E148" s="21"/>
      <c r="F148" s="18"/>
      <c r="G148" s="25"/>
    </row>
    <row r="149" spans="1:7" ht="14.1" customHeight="1" x14ac:dyDescent="0.2">
      <c r="A149" s="21"/>
      <c r="B149" s="21"/>
      <c r="C149" s="21"/>
      <c r="D149" s="21"/>
      <c r="E149" s="21"/>
      <c r="F149" s="21"/>
      <c r="G149" s="21"/>
    </row>
    <row r="150" spans="1:7" ht="17.100000000000001" customHeight="1" x14ac:dyDescent="0.2">
      <c r="A150" s="21"/>
      <c r="B150" s="176" t="s">
        <v>1008</v>
      </c>
      <c r="C150" s="177"/>
      <c r="D150" s="2" t="s">
        <v>164</v>
      </c>
      <c r="E150" s="21"/>
      <c r="F150" s="21"/>
      <c r="G150" s="21"/>
    </row>
    <row r="151" spans="1:7" ht="18" customHeight="1" x14ac:dyDescent="0.2">
      <c r="A151" s="21"/>
      <c r="B151" s="26"/>
      <c r="C151" s="26"/>
      <c r="D151" s="26"/>
      <c r="E151" s="21"/>
      <c r="F151" s="21"/>
      <c r="G151" s="21"/>
    </row>
    <row r="152" spans="1:7" ht="29.1" customHeight="1" x14ac:dyDescent="0.2">
      <c r="A152" s="21"/>
      <c r="B152" s="176" t="s">
        <v>174</v>
      </c>
      <c r="C152" s="177"/>
      <c r="D152" s="2" t="s">
        <v>164</v>
      </c>
      <c r="E152" s="27"/>
      <c r="F152" s="21"/>
      <c r="G152" s="21"/>
    </row>
    <row r="153" spans="1:7" ht="29.1" customHeight="1" x14ac:dyDescent="0.2">
      <c r="A153" s="21"/>
      <c r="B153" s="176" t="s">
        <v>175</v>
      </c>
      <c r="C153" s="177"/>
      <c r="D153" s="2" t="s">
        <v>164</v>
      </c>
      <c r="E153" s="27"/>
      <c r="F153" s="21"/>
      <c r="G153" s="21"/>
    </row>
    <row r="154" spans="1:7" ht="17.100000000000001" customHeight="1" x14ac:dyDescent="0.2">
      <c r="A154" s="21"/>
      <c r="B154" s="176" t="s">
        <v>176</v>
      </c>
      <c r="C154" s="177"/>
      <c r="D154" s="2" t="s">
        <v>164</v>
      </c>
      <c r="E154" s="27"/>
      <c r="F154" s="21"/>
      <c r="G154" s="21"/>
    </row>
    <row r="155" spans="1:7" ht="17.100000000000001" customHeight="1" x14ac:dyDescent="0.2">
      <c r="A155" s="21"/>
      <c r="B155" s="176" t="s">
        <v>177</v>
      </c>
      <c r="C155" s="177"/>
      <c r="D155" s="60">
        <v>0.23590515024017897</v>
      </c>
      <c r="E155" s="21"/>
      <c r="F155" s="18"/>
      <c r="G155" s="25"/>
    </row>
    <row r="157" spans="1:7" x14ac:dyDescent="0.2">
      <c r="B157" s="86" t="s">
        <v>996</v>
      </c>
      <c r="C157" s="86"/>
      <c r="D157" s="86"/>
      <c r="E157" s="90"/>
      <c r="F157" s="91"/>
    </row>
    <row r="158" spans="1:7" ht="38.25" x14ac:dyDescent="0.2">
      <c r="B158" s="92" t="s">
        <v>961</v>
      </c>
      <c r="C158" s="93" t="s">
        <v>962</v>
      </c>
      <c r="D158" s="93" t="s">
        <v>963</v>
      </c>
      <c r="E158" s="93" t="s">
        <v>964</v>
      </c>
      <c r="F158" s="93" t="s">
        <v>965</v>
      </c>
    </row>
    <row r="159" spans="1:7" ht="25.5" x14ac:dyDescent="0.2">
      <c r="B159" s="94" t="s">
        <v>991</v>
      </c>
      <c r="C159" s="95" t="s">
        <v>992</v>
      </c>
      <c r="D159" s="96">
        <v>0</v>
      </c>
      <c r="E159" s="97">
        <v>0</v>
      </c>
      <c r="F159" s="98">
        <v>241.97234</v>
      </c>
    </row>
    <row r="160" spans="1:7" ht="25.5" x14ac:dyDescent="0.2">
      <c r="B160" s="94" t="s">
        <v>993</v>
      </c>
      <c r="C160" s="95" t="s">
        <v>992</v>
      </c>
      <c r="D160" s="96">
        <v>0</v>
      </c>
      <c r="E160" s="97">
        <v>0</v>
      </c>
      <c r="F160" s="98">
        <v>23.186299999999999</v>
      </c>
    </row>
  </sheetData>
  <mergeCells count="16">
    <mergeCell ref="J2:N2"/>
    <mergeCell ref="A1:H1"/>
    <mergeCell ref="A2:H2"/>
    <mergeCell ref="A3:H3"/>
    <mergeCell ref="B155:C155"/>
    <mergeCell ref="B141:C141"/>
    <mergeCell ref="B142:C142"/>
    <mergeCell ref="B150:C150"/>
    <mergeCell ref="B152:C152"/>
    <mergeCell ref="B153:C153"/>
    <mergeCell ref="B154:C154"/>
    <mergeCell ref="B140:C140"/>
    <mergeCell ref="B137:F137"/>
    <mergeCell ref="B139:D139"/>
    <mergeCell ref="B135:F135"/>
    <mergeCell ref="B136:F136"/>
  </mergeCells>
  <hyperlinks>
    <hyperlink ref="I1" location="Index!B24" display="Index" xr:uid="{7C355062-9287-4240-B9C7-645E547539B3}"/>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outlinePr summaryBelow="0" summaryRight="0"/>
  </sheetPr>
  <dimension ref="A1:O183"/>
  <sheetViews>
    <sheetView showGridLines="0" workbookViewId="0">
      <selection sqref="A1:H1"/>
    </sheetView>
  </sheetViews>
  <sheetFormatPr defaultRowHeight="12.75" x14ac:dyDescent="0.2"/>
  <cols>
    <col min="1" max="1" width="6.85546875" customWidth="1"/>
    <col min="2" max="2" width="20.5703125" customWidth="1"/>
    <col min="3" max="3" width="32.85546875" customWidth="1"/>
    <col min="4" max="4" width="17.85546875" customWidth="1"/>
    <col min="5" max="6" width="19.140625" customWidth="1"/>
    <col min="7" max="7" width="16.42578125" customWidth="1"/>
    <col min="8" max="8" width="11.140625" customWidth="1"/>
  </cols>
  <sheetData>
    <row r="1" spans="1:14" ht="18" customHeight="1" x14ac:dyDescent="0.2">
      <c r="A1" s="182" t="s">
        <v>0</v>
      </c>
      <c r="B1" s="182"/>
      <c r="C1" s="182"/>
      <c r="D1" s="182"/>
      <c r="E1" s="182"/>
      <c r="F1" s="182"/>
      <c r="G1" s="182"/>
      <c r="H1" s="182"/>
      <c r="I1" s="159" t="s">
        <v>1044</v>
      </c>
    </row>
    <row r="2" spans="1:14" ht="17.100000000000001" customHeight="1" x14ac:dyDescent="0.2">
      <c r="A2" s="183" t="s">
        <v>707</v>
      </c>
      <c r="B2" s="184"/>
      <c r="C2" s="184"/>
      <c r="D2" s="184"/>
      <c r="E2" s="184"/>
      <c r="F2" s="184"/>
      <c r="G2" s="184"/>
      <c r="H2" s="185"/>
      <c r="J2" s="175" t="s">
        <v>1045</v>
      </c>
      <c r="K2" s="175"/>
      <c r="L2" s="175"/>
      <c r="M2" s="175"/>
      <c r="N2" s="175"/>
    </row>
    <row r="3" spans="1:14" ht="21" customHeight="1" x14ac:dyDescent="0.2">
      <c r="A3" s="182" t="s">
        <v>1016</v>
      </c>
      <c r="B3" s="182"/>
      <c r="C3" s="182"/>
      <c r="D3" s="182"/>
      <c r="E3" s="182"/>
      <c r="F3" s="182"/>
      <c r="G3" s="182"/>
      <c r="H3" s="182"/>
    </row>
    <row r="4" spans="1:14" ht="30" x14ac:dyDescent="0.2">
      <c r="A4" s="107" t="s">
        <v>2</v>
      </c>
      <c r="B4" s="107" t="s">
        <v>3</v>
      </c>
      <c r="C4" s="107" t="s">
        <v>4</v>
      </c>
      <c r="D4" s="107" t="s">
        <v>5</v>
      </c>
      <c r="E4" s="107" t="s">
        <v>6</v>
      </c>
      <c r="F4" s="107" t="s">
        <v>7</v>
      </c>
      <c r="G4" s="107" t="s">
        <v>8</v>
      </c>
      <c r="H4" s="106" t="s">
        <v>1019</v>
      </c>
      <c r="I4" s="108"/>
      <c r="J4" s="108"/>
      <c r="K4" s="108"/>
      <c r="L4" s="108"/>
      <c r="M4" s="108"/>
      <c r="N4" s="108"/>
    </row>
    <row r="5" spans="1:14" ht="14.1" customHeight="1" x14ac:dyDescent="0.2">
      <c r="A5" s="1"/>
      <c r="B5" s="1"/>
      <c r="C5" s="2" t="s">
        <v>9</v>
      </c>
      <c r="D5" s="1"/>
      <c r="E5" s="1"/>
      <c r="F5" s="1"/>
      <c r="G5" s="1"/>
      <c r="H5" s="105"/>
    </row>
    <row r="6" spans="1:14" ht="24" customHeight="1" x14ac:dyDescent="0.2">
      <c r="A6" s="1"/>
      <c r="B6" s="1"/>
      <c r="C6" s="2" t="s">
        <v>10</v>
      </c>
      <c r="D6" s="1"/>
      <c r="E6" s="1"/>
      <c r="F6" s="1"/>
      <c r="G6" s="1"/>
      <c r="H6" s="105"/>
    </row>
    <row r="7" spans="1:14" ht="17.100000000000001" customHeight="1" x14ac:dyDescent="0.2">
      <c r="A7" s="3">
        <v>1</v>
      </c>
      <c r="B7" s="4" t="s">
        <v>317</v>
      </c>
      <c r="C7" s="4" t="s">
        <v>318</v>
      </c>
      <c r="D7" s="4" t="s">
        <v>25</v>
      </c>
      <c r="E7" s="5">
        <v>208423</v>
      </c>
      <c r="F7" s="6">
        <v>3517.346548</v>
      </c>
      <c r="G7" s="7">
        <v>8.3174520000000002E-2</v>
      </c>
      <c r="H7" s="105"/>
    </row>
    <row r="8" spans="1:14" ht="17.100000000000001" customHeight="1" x14ac:dyDescent="0.2">
      <c r="A8" s="3">
        <v>2</v>
      </c>
      <c r="B8" s="4" t="s">
        <v>23</v>
      </c>
      <c r="C8" s="4" t="s">
        <v>24</v>
      </c>
      <c r="D8" s="4" t="s">
        <v>25</v>
      </c>
      <c r="E8" s="5">
        <v>302700</v>
      </c>
      <c r="F8" s="6">
        <v>2777.7265499999999</v>
      </c>
      <c r="G8" s="7">
        <v>6.5684759999999995E-2</v>
      </c>
      <c r="H8" s="105"/>
    </row>
    <row r="9" spans="1:14" ht="17.100000000000001" customHeight="1" x14ac:dyDescent="0.2">
      <c r="A9" s="3">
        <v>3</v>
      </c>
      <c r="B9" s="4" t="s">
        <v>302</v>
      </c>
      <c r="C9" s="4" t="s">
        <v>303</v>
      </c>
      <c r="D9" s="4" t="s">
        <v>953</v>
      </c>
      <c r="E9" s="5">
        <v>165900</v>
      </c>
      <c r="F9" s="6">
        <v>2078.3122499999999</v>
      </c>
      <c r="G9" s="7">
        <v>4.914574E-2</v>
      </c>
      <c r="H9" s="105"/>
    </row>
    <row r="10" spans="1:14" ht="29.1" customHeight="1" x14ac:dyDescent="0.2">
      <c r="A10" s="3">
        <v>4</v>
      </c>
      <c r="B10" s="4" t="s">
        <v>308</v>
      </c>
      <c r="C10" s="4" t="s">
        <v>309</v>
      </c>
      <c r="D10" s="4" t="s">
        <v>128</v>
      </c>
      <c r="E10" s="5">
        <v>57100</v>
      </c>
      <c r="F10" s="6">
        <v>1584.8676</v>
      </c>
      <c r="G10" s="7">
        <v>3.7477280000000002E-2</v>
      </c>
      <c r="H10" s="105"/>
    </row>
    <row r="11" spans="1:14" ht="17.100000000000001" customHeight="1" x14ac:dyDescent="0.2">
      <c r="A11" s="3">
        <v>5</v>
      </c>
      <c r="B11" s="4" t="s">
        <v>330</v>
      </c>
      <c r="C11" s="4" t="s">
        <v>331</v>
      </c>
      <c r="D11" s="4" t="s">
        <v>953</v>
      </c>
      <c r="E11" s="5">
        <v>132600</v>
      </c>
      <c r="F11" s="6">
        <v>1357.4262000000001</v>
      </c>
      <c r="G11" s="7">
        <v>3.2098990000000001E-2</v>
      </c>
      <c r="H11" s="105"/>
      <c r="K11" s="167"/>
      <c r="L11" s="167"/>
      <c r="M11" s="167"/>
      <c r="N11" s="167"/>
    </row>
    <row r="12" spans="1:14" ht="17.100000000000001" customHeight="1" x14ac:dyDescent="0.2">
      <c r="A12" s="3">
        <v>6</v>
      </c>
      <c r="B12" s="4" t="s">
        <v>325</v>
      </c>
      <c r="C12" s="4" t="s">
        <v>326</v>
      </c>
      <c r="D12" s="4" t="s">
        <v>1020</v>
      </c>
      <c r="E12" s="5">
        <v>48458</v>
      </c>
      <c r="F12" s="6">
        <v>1190.7584340000001</v>
      </c>
      <c r="G12" s="7">
        <v>2.81578E-2</v>
      </c>
      <c r="H12" s="105"/>
      <c r="J12" s="161" t="s">
        <v>1062</v>
      </c>
    </row>
    <row r="13" spans="1:14" ht="17.100000000000001" customHeight="1" x14ac:dyDescent="0.2">
      <c r="A13" s="3">
        <v>7</v>
      </c>
      <c r="B13" s="4" t="s">
        <v>29</v>
      </c>
      <c r="C13" s="4" t="s">
        <v>30</v>
      </c>
      <c r="D13" s="4" t="s">
        <v>25</v>
      </c>
      <c r="E13" s="5">
        <v>204500</v>
      </c>
      <c r="F13" s="6">
        <v>1182.6234999999999</v>
      </c>
      <c r="G13" s="7">
        <v>2.7965440000000001E-2</v>
      </c>
      <c r="H13" s="105"/>
    </row>
    <row r="14" spans="1:14" ht="53.1" customHeight="1" x14ac:dyDescent="0.2">
      <c r="A14" s="3">
        <v>8</v>
      </c>
      <c r="B14" s="4" t="s">
        <v>50</v>
      </c>
      <c r="C14" s="4" t="s">
        <v>51</v>
      </c>
      <c r="D14" s="4" t="s">
        <v>52</v>
      </c>
      <c r="E14" s="5">
        <v>772000</v>
      </c>
      <c r="F14" s="6">
        <v>1126.7339999999999</v>
      </c>
      <c r="G14" s="7">
        <v>2.6643819999999999E-2</v>
      </c>
      <c r="H14" s="105"/>
    </row>
    <row r="15" spans="1:14" ht="17.100000000000001" customHeight="1" x14ac:dyDescent="0.2">
      <c r="A15" s="3">
        <v>9</v>
      </c>
      <c r="B15" s="4" t="s">
        <v>203</v>
      </c>
      <c r="C15" s="4" t="s">
        <v>204</v>
      </c>
      <c r="D15" s="4" t="s">
        <v>25</v>
      </c>
      <c r="E15" s="5">
        <v>108800</v>
      </c>
      <c r="F15" s="6">
        <v>935.68</v>
      </c>
      <c r="G15" s="7">
        <v>2.212598E-2</v>
      </c>
      <c r="H15" s="105"/>
    </row>
    <row r="16" spans="1:14" ht="17.100000000000001" customHeight="1" x14ac:dyDescent="0.2">
      <c r="A16" s="3">
        <v>10</v>
      </c>
      <c r="B16" s="4" t="s">
        <v>17</v>
      </c>
      <c r="C16" s="4" t="s">
        <v>18</v>
      </c>
      <c r="D16" s="4" t="s">
        <v>19</v>
      </c>
      <c r="E16" s="5">
        <v>36000</v>
      </c>
      <c r="F16" s="6">
        <v>871.38</v>
      </c>
      <c r="G16" s="7">
        <v>2.0605479999999999E-2</v>
      </c>
      <c r="H16" s="105"/>
    </row>
    <row r="17" spans="1:14" ht="17.100000000000001" customHeight="1" x14ac:dyDescent="0.2">
      <c r="A17" s="3">
        <v>11</v>
      </c>
      <c r="B17" s="4" t="s">
        <v>349</v>
      </c>
      <c r="C17" s="4" t="s">
        <v>350</v>
      </c>
      <c r="D17" s="4" t="s">
        <v>128</v>
      </c>
      <c r="E17" s="5">
        <v>13125</v>
      </c>
      <c r="F17" s="6">
        <v>824.26312499999995</v>
      </c>
      <c r="G17" s="7">
        <v>1.9491310000000001E-2</v>
      </c>
      <c r="H17" s="105"/>
    </row>
    <row r="18" spans="1:14" ht="17.100000000000001" customHeight="1" x14ac:dyDescent="0.2">
      <c r="A18" s="3">
        <v>12</v>
      </c>
      <c r="B18" s="4" t="s">
        <v>103</v>
      </c>
      <c r="C18" s="4" t="s">
        <v>104</v>
      </c>
      <c r="D18" s="4" t="s">
        <v>105</v>
      </c>
      <c r="E18" s="5">
        <v>9000</v>
      </c>
      <c r="F18" s="6">
        <v>773.05949999999996</v>
      </c>
      <c r="G18" s="7">
        <v>1.8280500000000002E-2</v>
      </c>
      <c r="H18" s="105"/>
    </row>
    <row r="19" spans="1:14" ht="17.100000000000001" customHeight="1" x14ac:dyDescent="0.2">
      <c r="A19" s="3">
        <v>13</v>
      </c>
      <c r="B19" s="4" t="s">
        <v>67</v>
      </c>
      <c r="C19" s="4" t="s">
        <v>68</v>
      </c>
      <c r="D19" s="4" t="s">
        <v>36</v>
      </c>
      <c r="E19" s="5">
        <v>200000</v>
      </c>
      <c r="F19" s="6">
        <v>730.6</v>
      </c>
      <c r="G19" s="7">
        <v>1.727646E-2</v>
      </c>
      <c r="H19" s="105"/>
    </row>
    <row r="20" spans="1:14" ht="17.100000000000001" customHeight="1" x14ac:dyDescent="0.2">
      <c r="A20" s="3">
        <v>14</v>
      </c>
      <c r="B20" s="4" t="s">
        <v>312</v>
      </c>
      <c r="C20" s="4" t="s">
        <v>313</v>
      </c>
      <c r="D20" s="4" t="s">
        <v>25</v>
      </c>
      <c r="E20" s="5">
        <v>63000</v>
      </c>
      <c r="F20" s="6">
        <v>726.26400000000001</v>
      </c>
      <c r="G20" s="7">
        <v>1.717393E-2</v>
      </c>
      <c r="H20" s="105"/>
    </row>
    <row r="21" spans="1:14" ht="17.100000000000001" customHeight="1" x14ac:dyDescent="0.2">
      <c r="A21" s="3">
        <v>15</v>
      </c>
      <c r="B21" s="4" t="s">
        <v>510</v>
      </c>
      <c r="C21" s="4" t="s">
        <v>511</v>
      </c>
      <c r="D21" s="4" t="s">
        <v>329</v>
      </c>
      <c r="E21" s="5">
        <v>15000</v>
      </c>
      <c r="F21" s="6">
        <v>709.68</v>
      </c>
      <c r="G21" s="7">
        <v>1.6781770000000001E-2</v>
      </c>
      <c r="H21" s="105"/>
    </row>
    <row r="22" spans="1:14" ht="17.100000000000001" customHeight="1" x14ac:dyDescent="0.2">
      <c r="A22" s="3">
        <v>16</v>
      </c>
      <c r="B22" s="4" t="s">
        <v>101</v>
      </c>
      <c r="C22" s="4" t="s">
        <v>102</v>
      </c>
      <c r="D22" s="4" t="s">
        <v>59</v>
      </c>
      <c r="E22" s="5">
        <v>30000</v>
      </c>
      <c r="F22" s="6">
        <v>606.28499999999997</v>
      </c>
      <c r="G22" s="7">
        <v>1.433679E-2</v>
      </c>
      <c r="H22" s="105"/>
    </row>
    <row r="23" spans="1:14" ht="17.100000000000001" customHeight="1" x14ac:dyDescent="0.2">
      <c r="A23" s="3">
        <v>17</v>
      </c>
      <c r="B23" s="4" t="s">
        <v>518</v>
      </c>
      <c r="C23" s="40" t="s">
        <v>997</v>
      </c>
      <c r="D23" s="4" t="s">
        <v>105</v>
      </c>
      <c r="E23" s="5">
        <v>234000</v>
      </c>
      <c r="F23" s="6">
        <v>581.37300000000005</v>
      </c>
      <c r="G23" s="7">
        <v>1.37477E-2</v>
      </c>
      <c r="H23" s="105"/>
    </row>
    <row r="24" spans="1:14" ht="17.100000000000001" customHeight="1" x14ac:dyDescent="0.2">
      <c r="A24" s="3">
        <v>18</v>
      </c>
      <c r="B24" s="4" t="s">
        <v>708</v>
      </c>
      <c r="C24" s="4" t="s">
        <v>709</v>
      </c>
      <c r="D24" s="4" t="s">
        <v>329</v>
      </c>
      <c r="E24" s="5">
        <v>182240</v>
      </c>
      <c r="F24" s="6">
        <v>572.32471999999996</v>
      </c>
      <c r="G24" s="7">
        <v>1.3533730000000001E-2</v>
      </c>
      <c r="H24" s="105"/>
    </row>
    <row r="25" spans="1:14" ht="17.100000000000001" customHeight="1" x14ac:dyDescent="0.2">
      <c r="A25" s="3">
        <v>19</v>
      </c>
      <c r="B25" s="4" t="s">
        <v>179</v>
      </c>
      <c r="C25" s="4" t="s">
        <v>180</v>
      </c>
      <c r="D25" s="4" t="s">
        <v>25</v>
      </c>
      <c r="E25" s="5">
        <v>400000</v>
      </c>
      <c r="F25" s="6">
        <v>539.79999999999995</v>
      </c>
      <c r="G25" s="7">
        <v>1.2764620000000001E-2</v>
      </c>
      <c r="H25" s="105"/>
    </row>
    <row r="26" spans="1:14" ht="17.100000000000001" customHeight="1" x14ac:dyDescent="0.2">
      <c r="A26" s="3">
        <v>20</v>
      </c>
      <c r="B26" s="4" t="s">
        <v>53</v>
      </c>
      <c r="C26" s="4" t="s">
        <v>54</v>
      </c>
      <c r="D26" s="4" t="s">
        <v>33</v>
      </c>
      <c r="E26" s="5">
        <v>16000</v>
      </c>
      <c r="F26" s="6">
        <v>512.85599999999999</v>
      </c>
      <c r="G26" s="7">
        <v>1.212748E-2</v>
      </c>
      <c r="H26" s="105"/>
    </row>
    <row r="27" spans="1:14" ht="17.100000000000001" customHeight="1" x14ac:dyDescent="0.2">
      <c r="A27" s="3">
        <v>21</v>
      </c>
      <c r="B27" s="4" t="s">
        <v>347</v>
      </c>
      <c r="C27" s="4" t="s">
        <v>348</v>
      </c>
      <c r="D27" s="4" t="s">
        <v>121</v>
      </c>
      <c r="E27" s="5">
        <v>19125</v>
      </c>
      <c r="F27" s="6">
        <v>505.25381249999998</v>
      </c>
      <c r="G27" s="7">
        <v>1.194771E-2</v>
      </c>
      <c r="H27" s="105"/>
    </row>
    <row r="28" spans="1:14" ht="17.100000000000001" customHeight="1" x14ac:dyDescent="0.2">
      <c r="A28" s="3">
        <v>22</v>
      </c>
      <c r="B28" s="4" t="s">
        <v>371</v>
      </c>
      <c r="C28" s="4" t="s">
        <v>372</v>
      </c>
      <c r="D28" s="4" t="s">
        <v>121</v>
      </c>
      <c r="E28" s="5">
        <v>15600</v>
      </c>
      <c r="F28" s="6">
        <v>452.76659999999998</v>
      </c>
      <c r="G28" s="7">
        <v>1.070655E-2</v>
      </c>
      <c r="H28" s="105"/>
    </row>
    <row r="29" spans="1:14" ht="17.100000000000001" customHeight="1" x14ac:dyDescent="0.2">
      <c r="A29" s="3">
        <v>23</v>
      </c>
      <c r="B29" s="4" t="s">
        <v>319</v>
      </c>
      <c r="C29" s="4" t="s">
        <v>320</v>
      </c>
      <c r="D29" s="4" t="s">
        <v>953</v>
      </c>
      <c r="E29" s="5">
        <v>14050</v>
      </c>
      <c r="F29" s="6">
        <v>452.30462499999999</v>
      </c>
      <c r="G29" s="7">
        <v>1.0695629999999999E-2</v>
      </c>
      <c r="H29" s="105"/>
    </row>
    <row r="30" spans="1:14" ht="17.100000000000001" customHeight="1" x14ac:dyDescent="0.2">
      <c r="A30" s="3">
        <v>24</v>
      </c>
      <c r="B30" s="4" t="s">
        <v>339</v>
      </c>
      <c r="C30" s="4" t="s">
        <v>340</v>
      </c>
      <c r="D30" s="4" t="s">
        <v>25</v>
      </c>
      <c r="E30" s="5">
        <v>140000</v>
      </c>
      <c r="F30" s="6">
        <v>444.43</v>
      </c>
      <c r="G30" s="7">
        <v>1.050941E-2</v>
      </c>
      <c r="H30" s="105"/>
    </row>
    <row r="31" spans="1:14" ht="17.100000000000001" customHeight="1" x14ac:dyDescent="0.2">
      <c r="A31" s="3">
        <v>25</v>
      </c>
      <c r="B31" s="4" t="s">
        <v>310</v>
      </c>
      <c r="C31" s="4" t="s">
        <v>311</v>
      </c>
      <c r="D31" s="4" t="s">
        <v>207</v>
      </c>
      <c r="E31" s="5">
        <v>401500</v>
      </c>
      <c r="F31" s="6">
        <v>433.41924999999998</v>
      </c>
      <c r="G31" s="7">
        <v>1.0249039999999999E-2</v>
      </c>
      <c r="H31" s="105"/>
      <c r="J31" s="167"/>
      <c r="K31" s="167"/>
      <c r="L31" s="167"/>
      <c r="M31" s="167"/>
      <c r="N31" s="167"/>
    </row>
    <row r="32" spans="1:14" ht="29.1" customHeight="1" x14ac:dyDescent="0.2">
      <c r="A32" s="3">
        <v>26</v>
      </c>
      <c r="B32" s="4" t="s">
        <v>196</v>
      </c>
      <c r="C32" s="4" t="s">
        <v>197</v>
      </c>
      <c r="D32" s="4" t="s">
        <v>128</v>
      </c>
      <c r="E32" s="5">
        <v>48000</v>
      </c>
      <c r="F32" s="6">
        <v>418.12799999999999</v>
      </c>
      <c r="G32" s="7">
        <v>9.8874500000000008E-3</v>
      </c>
      <c r="H32" s="105"/>
    </row>
    <row r="33" spans="1:8" ht="17.100000000000001" customHeight="1" x14ac:dyDescent="0.2">
      <c r="A33" s="3">
        <v>27</v>
      </c>
      <c r="B33" s="4" t="s">
        <v>85</v>
      </c>
      <c r="C33" s="4" t="s">
        <v>86</v>
      </c>
      <c r="D33" s="4" t="s">
        <v>81</v>
      </c>
      <c r="E33" s="5">
        <v>83539</v>
      </c>
      <c r="F33" s="6">
        <v>400.98719999999997</v>
      </c>
      <c r="G33" s="7">
        <v>9.4821200000000001E-3</v>
      </c>
      <c r="H33" s="105"/>
    </row>
    <row r="34" spans="1:8" ht="17.100000000000001" customHeight="1" x14ac:dyDescent="0.2">
      <c r="A34" s="3">
        <v>28</v>
      </c>
      <c r="B34" s="4" t="s">
        <v>215</v>
      </c>
      <c r="C34" s="4" t="s">
        <v>216</v>
      </c>
      <c r="D34" s="4" t="s">
        <v>217</v>
      </c>
      <c r="E34" s="5">
        <v>53000</v>
      </c>
      <c r="F34" s="6">
        <v>339.0675</v>
      </c>
      <c r="G34" s="7">
        <v>8.0179099999999996E-3</v>
      </c>
      <c r="H34" s="105"/>
    </row>
    <row r="35" spans="1:8" ht="17.100000000000001" customHeight="1" x14ac:dyDescent="0.2">
      <c r="A35" s="3">
        <v>29</v>
      </c>
      <c r="B35" s="4" t="s">
        <v>11</v>
      </c>
      <c r="C35" s="4" t="s">
        <v>12</v>
      </c>
      <c r="D35" s="4" t="s">
        <v>13</v>
      </c>
      <c r="E35" s="5">
        <v>13950</v>
      </c>
      <c r="F35" s="6">
        <v>329.8338</v>
      </c>
      <c r="G35" s="7">
        <v>7.7995599999999997E-3</v>
      </c>
      <c r="H35" s="105"/>
    </row>
    <row r="36" spans="1:8" ht="17.100000000000001" customHeight="1" x14ac:dyDescent="0.2">
      <c r="A36" s="3">
        <v>30</v>
      </c>
      <c r="B36" s="4" t="s">
        <v>550</v>
      </c>
      <c r="C36" s="4" t="s">
        <v>551</v>
      </c>
      <c r="D36" s="4" t="s">
        <v>220</v>
      </c>
      <c r="E36" s="5">
        <v>40000</v>
      </c>
      <c r="F36" s="6">
        <v>310.86</v>
      </c>
      <c r="G36" s="7">
        <v>7.3508899999999997E-3</v>
      </c>
      <c r="H36" s="105"/>
    </row>
    <row r="37" spans="1:8" ht="29.1" customHeight="1" x14ac:dyDescent="0.2">
      <c r="A37" s="3">
        <v>31</v>
      </c>
      <c r="B37" s="4" t="s">
        <v>710</v>
      </c>
      <c r="C37" s="4" t="s">
        <v>711</v>
      </c>
      <c r="D37" s="4" t="s">
        <v>183</v>
      </c>
      <c r="E37" s="5">
        <v>20000</v>
      </c>
      <c r="F37" s="6">
        <v>288.8</v>
      </c>
      <c r="G37" s="7">
        <v>6.8292400000000003E-3</v>
      </c>
      <c r="H37" s="105"/>
    </row>
    <row r="38" spans="1:8" ht="17.100000000000001" customHeight="1" x14ac:dyDescent="0.2">
      <c r="A38" s="3">
        <v>32</v>
      </c>
      <c r="B38" s="4" t="s">
        <v>355</v>
      </c>
      <c r="C38" s="4" t="s">
        <v>356</v>
      </c>
      <c r="D38" s="4" t="s">
        <v>953</v>
      </c>
      <c r="E38" s="5">
        <v>6000</v>
      </c>
      <c r="F38" s="6">
        <v>265.16699999999997</v>
      </c>
      <c r="G38" s="7">
        <v>6.2703899999999998E-3</v>
      </c>
      <c r="H38" s="105"/>
    </row>
    <row r="39" spans="1:8" ht="17.100000000000001" customHeight="1" x14ac:dyDescent="0.2">
      <c r="A39" s="3">
        <v>33</v>
      </c>
      <c r="B39" s="4" t="s">
        <v>535</v>
      </c>
      <c r="C39" s="4" t="s">
        <v>536</v>
      </c>
      <c r="D39" s="4" t="s">
        <v>953</v>
      </c>
      <c r="E39" s="5">
        <v>24014</v>
      </c>
      <c r="F39" s="6">
        <v>263.72174799999999</v>
      </c>
      <c r="G39" s="7">
        <v>6.2362199999999998E-3</v>
      </c>
      <c r="H39" s="105"/>
    </row>
    <row r="40" spans="1:8" ht="17.100000000000001" customHeight="1" x14ac:dyDescent="0.2">
      <c r="A40" s="3">
        <v>34</v>
      </c>
      <c r="B40" s="4" t="s">
        <v>213</v>
      </c>
      <c r="C40" s="4" t="s">
        <v>214</v>
      </c>
      <c r="D40" s="4" t="s">
        <v>25</v>
      </c>
      <c r="E40" s="5">
        <v>128700</v>
      </c>
      <c r="F40" s="6">
        <v>241.63425000000001</v>
      </c>
      <c r="G40" s="7">
        <v>5.71391E-3</v>
      </c>
      <c r="H40" s="105"/>
    </row>
    <row r="41" spans="1:8" ht="29.1" customHeight="1" x14ac:dyDescent="0.2">
      <c r="A41" s="3">
        <v>35</v>
      </c>
      <c r="B41" s="4" t="s">
        <v>304</v>
      </c>
      <c r="C41" s="4" t="s">
        <v>305</v>
      </c>
      <c r="D41" s="4" t="s">
        <v>212</v>
      </c>
      <c r="E41" s="5">
        <v>23742</v>
      </c>
      <c r="F41" s="6">
        <v>234.487863</v>
      </c>
      <c r="G41" s="7">
        <v>5.5449200000000001E-3</v>
      </c>
      <c r="H41" s="105"/>
    </row>
    <row r="42" spans="1:8" ht="17.100000000000001" customHeight="1" x14ac:dyDescent="0.2">
      <c r="A42" s="3">
        <v>36</v>
      </c>
      <c r="B42" s="4" t="s">
        <v>547</v>
      </c>
      <c r="C42" s="4" t="s">
        <v>548</v>
      </c>
      <c r="D42" s="4" t="s">
        <v>105</v>
      </c>
      <c r="E42" s="5">
        <v>14930</v>
      </c>
      <c r="F42" s="6">
        <v>200.49497</v>
      </c>
      <c r="G42" s="7">
        <v>4.7410899999999999E-3</v>
      </c>
      <c r="H42" s="105"/>
    </row>
    <row r="43" spans="1:8" ht="17.100000000000001" customHeight="1" x14ac:dyDescent="0.2">
      <c r="A43" s="3">
        <v>37</v>
      </c>
      <c r="B43" s="4" t="s">
        <v>34</v>
      </c>
      <c r="C43" s="4" t="s">
        <v>35</v>
      </c>
      <c r="D43" s="4" t="s">
        <v>36</v>
      </c>
      <c r="E43" s="5">
        <v>5785</v>
      </c>
      <c r="F43" s="6">
        <v>197.7284075</v>
      </c>
      <c r="G43" s="7">
        <v>4.6756699999999998E-3</v>
      </c>
      <c r="H43" s="105"/>
    </row>
    <row r="44" spans="1:8" ht="17.100000000000001" customHeight="1" x14ac:dyDescent="0.2">
      <c r="A44" s="3">
        <v>38</v>
      </c>
      <c r="B44" s="4" t="s">
        <v>254</v>
      </c>
      <c r="C44" s="4" t="s">
        <v>255</v>
      </c>
      <c r="D44" s="4" t="s">
        <v>121</v>
      </c>
      <c r="E44" s="5">
        <v>21793</v>
      </c>
      <c r="F44" s="6">
        <v>188.618415</v>
      </c>
      <c r="G44" s="7">
        <v>4.4602499999999998E-3</v>
      </c>
      <c r="H44" s="105"/>
    </row>
    <row r="45" spans="1:8" ht="17.100000000000001" customHeight="1" x14ac:dyDescent="0.2">
      <c r="A45" s="3">
        <v>39</v>
      </c>
      <c r="B45" s="4" t="s">
        <v>367</v>
      </c>
      <c r="C45" s="4" t="s">
        <v>368</v>
      </c>
      <c r="D45" s="4" t="s">
        <v>128</v>
      </c>
      <c r="E45" s="5">
        <v>13000</v>
      </c>
      <c r="F45" s="6">
        <v>176.1045</v>
      </c>
      <c r="G45" s="7">
        <v>4.1643299999999999E-3</v>
      </c>
      <c r="H45" s="105"/>
    </row>
    <row r="46" spans="1:8" ht="29.1" customHeight="1" x14ac:dyDescent="0.2">
      <c r="A46" s="3">
        <v>40</v>
      </c>
      <c r="B46" s="4" t="s">
        <v>486</v>
      </c>
      <c r="C46" s="4" t="s">
        <v>487</v>
      </c>
      <c r="D46" s="4" t="s">
        <v>488</v>
      </c>
      <c r="E46" s="5">
        <v>21600</v>
      </c>
      <c r="F46" s="6">
        <v>164.99160000000001</v>
      </c>
      <c r="G46" s="7">
        <v>3.9015500000000002E-3</v>
      </c>
      <c r="H46" s="105"/>
    </row>
    <row r="47" spans="1:8" ht="17.100000000000001" customHeight="1" x14ac:dyDescent="0.2">
      <c r="A47" s="3">
        <v>41</v>
      </c>
      <c r="B47" s="4" t="s">
        <v>712</v>
      </c>
      <c r="C47" s="4" t="s">
        <v>713</v>
      </c>
      <c r="D47" s="4" t="s">
        <v>217</v>
      </c>
      <c r="E47" s="5">
        <v>26400</v>
      </c>
      <c r="F47" s="6">
        <v>139.85400000000001</v>
      </c>
      <c r="G47" s="7">
        <v>3.3071200000000002E-3</v>
      </c>
      <c r="H47" s="105"/>
    </row>
    <row r="48" spans="1:8" ht="17.100000000000001" customHeight="1" x14ac:dyDescent="0.2">
      <c r="A48" s="3">
        <v>42</v>
      </c>
      <c r="B48" s="4" t="s">
        <v>714</v>
      </c>
      <c r="C48" s="4" t="s">
        <v>715</v>
      </c>
      <c r="D48" s="4" t="s">
        <v>195</v>
      </c>
      <c r="E48" s="5">
        <v>9417</v>
      </c>
      <c r="F48" s="6">
        <v>119.7983655</v>
      </c>
      <c r="G48" s="7">
        <v>2.8328699999999999E-3</v>
      </c>
      <c r="H48" s="105"/>
    </row>
    <row r="49" spans="1:8" ht="17.100000000000001" customHeight="1" x14ac:dyDescent="0.2">
      <c r="A49" s="3">
        <v>43</v>
      </c>
      <c r="B49" s="4" t="s">
        <v>332</v>
      </c>
      <c r="C49" s="4" t="s">
        <v>333</v>
      </c>
      <c r="D49" s="4" t="s">
        <v>105</v>
      </c>
      <c r="E49" s="5">
        <v>8400</v>
      </c>
      <c r="F49" s="6">
        <v>103.0596</v>
      </c>
      <c r="G49" s="7">
        <v>2.4370500000000001E-3</v>
      </c>
      <c r="H49" s="105"/>
    </row>
    <row r="50" spans="1:8" ht="29.1" customHeight="1" x14ac:dyDescent="0.2">
      <c r="A50" s="3">
        <v>44</v>
      </c>
      <c r="B50" s="4" t="s">
        <v>656</v>
      </c>
      <c r="C50" s="4" t="s">
        <v>657</v>
      </c>
      <c r="D50" s="4" t="s">
        <v>22</v>
      </c>
      <c r="E50" s="5">
        <v>9000</v>
      </c>
      <c r="F50" s="6">
        <v>35.685000000000002</v>
      </c>
      <c r="G50" s="7">
        <v>8.4384E-4</v>
      </c>
      <c r="H50" s="105"/>
    </row>
    <row r="51" spans="1:8" ht="17.100000000000001" customHeight="1" x14ac:dyDescent="0.2">
      <c r="A51" s="3">
        <v>45</v>
      </c>
      <c r="B51" s="4" t="s">
        <v>293</v>
      </c>
      <c r="C51" s="4" t="s">
        <v>294</v>
      </c>
      <c r="D51" s="4" t="s">
        <v>19</v>
      </c>
      <c r="E51" s="5">
        <v>10800</v>
      </c>
      <c r="F51" s="6">
        <v>27.135000000000002</v>
      </c>
      <c r="G51" s="7">
        <v>6.4165999999999995E-4</v>
      </c>
      <c r="H51" s="105"/>
    </row>
    <row r="52" spans="1:8" ht="17.100000000000001" customHeight="1" x14ac:dyDescent="0.2">
      <c r="A52" s="3">
        <v>46</v>
      </c>
      <c r="B52" s="4" t="s">
        <v>126</v>
      </c>
      <c r="C52" s="4" t="s">
        <v>127</v>
      </c>
      <c r="D52" s="4" t="s">
        <v>128</v>
      </c>
      <c r="E52" s="5">
        <v>6426</v>
      </c>
      <c r="F52" s="6">
        <v>13.266477</v>
      </c>
      <c r="G52" s="7">
        <v>3.1370999999999998E-4</v>
      </c>
      <c r="H52" s="105"/>
    </row>
    <row r="53" spans="1:8" ht="14.1" customHeight="1" x14ac:dyDescent="0.2">
      <c r="A53" s="1"/>
      <c r="B53" s="1"/>
      <c r="C53" s="2" t="s">
        <v>132</v>
      </c>
      <c r="D53" s="1"/>
      <c r="E53" s="1" t="s">
        <v>133</v>
      </c>
      <c r="F53" s="9">
        <v>29946.958410499999</v>
      </c>
      <c r="G53" s="10">
        <v>0.70815419000000002</v>
      </c>
      <c r="H53" s="105"/>
    </row>
    <row r="54" spans="1:8" ht="14.1" customHeight="1" x14ac:dyDescent="0.2">
      <c r="A54" s="1"/>
      <c r="B54" s="1"/>
      <c r="C54" s="11"/>
      <c r="D54" s="1"/>
      <c r="E54" s="1"/>
      <c r="F54" s="12"/>
      <c r="G54" s="12"/>
      <c r="H54" s="105"/>
    </row>
    <row r="55" spans="1:8" ht="14.1" customHeight="1" x14ac:dyDescent="0.2">
      <c r="A55" s="1"/>
      <c r="B55" s="1"/>
      <c r="C55" s="2" t="s">
        <v>134</v>
      </c>
      <c r="D55" s="1"/>
      <c r="E55" s="1"/>
      <c r="F55" s="1"/>
      <c r="G55" s="1"/>
      <c r="H55" s="105"/>
    </row>
    <row r="56" spans="1:8" ht="14.1" customHeight="1" x14ac:dyDescent="0.2">
      <c r="A56" s="1"/>
      <c r="B56" s="1"/>
      <c r="C56" s="2" t="s">
        <v>132</v>
      </c>
      <c r="D56" s="1"/>
      <c r="E56" s="1" t="s">
        <v>133</v>
      </c>
      <c r="F56" s="13" t="s">
        <v>135</v>
      </c>
      <c r="G56" s="10">
        <v>0</v>
      </c>
      <c r="H56" s="105"/>
    </row>
    <row r="57" spans="1:8" ht="14.1" customHeight="1" x14ac:dyDescent="0.2">
      <c r="A57" s="1"/>
      <c r="B57" s="1"/>
      <c r="C57" s="11"/>
      <c r="D57" s="1"/>
      <c r="E57" s="1"/>
      <c r="F57" s="12"/>
      <c r="G57" s="12"/>
      <c r="H57" s="105"/>
    </row>
    <row r="58" spans="1:8" ht="14.1" customHeight="1" x14ac:dyDescent="0.2">
      <c r="A58" s="1"/>
      <c r="B58" s="1"/>
      <c r="C58" s="2" t="s">
        <v>136</v>
      </c>
      <c r="D58" s="1"/>
      <c r="E58" s="1"/>
      <c r="F58" s="1"/>
      <c r="G58" s="1"/>
      <c r="H58" s="105"/>
    </row>
    <row r="59" spans="1:8" ht="14.1" customHeight="1" x14ac:dyDescent="0.2">
      <c r="A59" s="1"/>
      <c r="B59" s="1"/>
      <c r="C59" s="2" t="s">
        <v>132</v>
      </c>
      <c r="D59" s="1"/>
      <c r="E59" s="1" t="s">
        <v>133</v>
      </c>
      <c r="F59" s="13" t="s">
        <v>135</v>
      </c>
      <c r="G59" s="10">
        <v>0</v>
      </c>
      <c r="H59" s="105"/>
    </row>
    <row r="60" spans="1:8" ht="14.1" customHeight="1" x14ac:dyDescent="0.2">
      <c r="A60" s="1"/>
      <c r="B60" s="1"/>
      <c r="C60" s="11"/>
      <c r="D60" s="1"/>
      <c r="E60" s="1"/>
      <c r="F60" s="12"/>
      <c r="G60" s="12"/>
      <c r="H60" s="105"/>
    </row>
    <row r="61" spans="1:8" ht="14.1" customHeight="1" x14ac:dyDescent="0.2">
      <c r="A61" s="1"/>
      <c r="B61" s="1"/>
      <c r="C61" s="2" t="s">
        <v>137</v>
      </c>
      <c r="D61" s="1"/>
      <c r="E61" s="1"/>
      <c r="F61" s="1"/>
      <c r="G61" s="1"/>
      <c r="H61" s="105"/>
    </row>
    <row r="62" spans="1:8" ht="14.1" customHeight="1" x14ac:dyDescent="0.2">
      <c r="A62" s="1"/>
      <c r="B62" s="1"/>
      <c r="C62" s="2" t="s">
        <v>132</v>
      </c>
      <c r="D62" s="1"/>
      <c r="E62" s="1" t="s">
        <v>133</v>
      </c>
      <c r="F62" s="13" t="s">
        <v>135</v>
      </c>
      <c r="G62" s="10">
        <v>0</v>
      </c>
      <c r="H62" s="105"/>
    </row>
    <row r="63" spans="1:8" ht="14.1" customHeight="1" x14ac:dyDescent="0.2">
      <c r="A63" s="1"/>
      <c r="B63" s="1"/>
      <c r="C63" s="11"/>
      <c r="D63" s="1"/>
      <c r="E63" s="1"/>
      <c r="F63" s="12"/>
      <c r="G63" s="12"/>
      <c r="H63" s="105"/>
    </row>
    <row r="64" spans="1:8" ht="14.1" customHeight="1" x14ac:dyDescent="0.2">
      <c r="A64" s="1"/>
      <c r="B64" s="1"/>
      <c r="C64" s="2" t="s">
        <v>138</v>
      </c>
      <c r="D64" s="1"/>
      <c r="E64" s="1"/>
      <c r="F64" s="12"/>
      <c r="G64" s="12"/>
      <c r="H64" s="105"/>
    </row>
    <row r="65" spans="1:8" ht="14.1" customHeight="1" x14ac:dyDescent="0.2">
      <c r="A65" s="1"/>
      <c r="B65" s="1"/>
      <c r="C65" s="2" t="s">
        <v>132</v>
      </c>
      <c r="D65" s="1"/>
      <c r="E65" s="1" t="s">
        <v>133</v>
      </c>
      <c r="F65" s="13" t="s">
        <v>135</v>
      </c>
      <c r="G65" s="10">
        <v>0</v>
      </c>
      <c r="H65" s="105"/>
    </row>
    <row r="66" spans="1:8" ht="14.1" customHeight="1" x14ac:dyDescent="0.2">
      <c r="A66" s="1"/>
      <c r="B66" s="1"/>
      <c r="C66" s="11"/>
      <c r="D66" s="1"/>
      <c r="E66" s="1"/>
      <c r="F66" s="12"/>
      <c r="G66" s="12"/>
      <c r="H66" s="105"/>
    </row>
    <row r="67" spans="1:8" ht="14.1" customHeight="1" x14ac:dyDescent="0.2">
      <c r="A67" s="1"/>
      <c r="B67" s="1"/>
      <c r="C67" s="2" t="s">
        <v>139</v>
      </c>
      <c r="D67" s="1"/>
      <c r="E67" s="1"/>
      <c r="F67" s="12"/>
      <c r="G67" s="12"/>
      <c r="H67" s="105"/>
    </row>
    <row r="68" spans="1:8" ht="22.5" customHeight="1" x14ac:dyDescent="0.2">
      <c r="A68" s="3">
        <v>1</v>
      </c>
      <c r="B68" s="4"/>
      <c r="C68" s="4" t="s">
        <v>912</v>
      </c>
      <c r="D68" s="4" t="s">
        <v>668</v>
      </c>
      <c r="E68" s="5">
        <v>-10800</v>
      </c>
      <c r="F68" s="6">
        <v>-27.313199999999998</v>
      </c>
      <c r="G68" s="7">
        <v>-6.4590000000000003E-4</v>
      </c>
      <c r="H68" s="105"/>
    </row>
    <row r="69" spans="1:8" ht="17.100000000000001" customHeight="1" x14ac:dyDescent="0.2">
      <c r="A69" s="3">
        <v>2</v>
      </c>
      <c r="B69" s="4"/>
      <c r="C69" s="4" t="s">
        <v>892</v>
      </c>
      <c r="D69" s="4" t="s">
        <v>668</v>
      </c>
      <c r="E69" s="5">
        <v>-9000</v>
      </c>
      <c r="F69" s="6">
        <v>-35.936999999999998</v>
      </c>
      <c r="G69" s="7">
        <v>-8.4979999999999995E-4</v>
      </c>
      <c r="H69" s="105"/>
    </row>
    <row r="70" spans="1:8" ht="17.100000000000001" customHeight="1" x14ac:dyDescent="0.2">
      <c r="A70" s="3">
        <v>3</v>
      </c>
      <c r="B70" s="4"/>
      <c r="C70" s="4" t="s">
        <v>913</v>
      </c>
      <c r="D70" s="4" t="s">
        <v>668</v>
      </c>
      <c r="E70" s="5">
        <v>-8400</v>
      </c>
      <c r="F70" s="6">
        <v>-103.4376</v>
      </c>
      <c r="G70" s="7">
        <v>-2.4459999999999998E-3</v>
      </c>
      <c r="H70" s="105"/>
    </row>
    <row r="71" spans="1:8" ht="24" customHeight="1" x14ac:dyDescent="0.2">
      <c r="A71" s="3">
        <v>4</v>
      </c>
      <c r="B71" s="4"/>
      <c r="C71" s="4" t="s">
        <v>914</v>
      </c>
      <c r="D71" s="4" t="s">
        <v>668</v>
      </c>
      <c r="E71" s="5">
        <v>-26400</v>
      </c>
      <c r="F71" s="6">
        <v>-140.6592</v>
      </c>
      <c r="G71" s="7">
        <v>-3.3262000000000001E-3</v>
      </c>
      <c r="H71" s="105"/>
    </row>
    <row r="72" spans="1:8" ht="23.25" customHeight="1" x14ac:dyDescent="0.2">
      <c r="A72" s="3">
        <v>5</v>
      </c>
      <c r="B72" s="4"/>
      <c r="C72" s="4" t="s">
        <v>915</v>
      </c>
      <c r="D72" s="4" t="s">
        <v>668</v>
      </c>
      <c r="E72" s="5">
        <v>-21600</v>
      </c>
      <c r="F72" s="6">
        <v>-163.6848</v>
      </c>
      <c r="G72" s="7">
        <v>-3.8706000000000001E-3</v>
      </c>
      <c r="H72" s="105"/>
    </row>
    <row r="73" spans="1:8" ht="17.100000000000001" customHeight="1" x14ac:dyDescent="0.2">
      <c r="A73" s="3">
        <v>6</v>
      </c>
      <c r="B73" s="4"/>
      <c r="C73" s="4" t="s">
        <v>884</v>
      </c>
      <c r="D73" s="4" t="s">
        <v>668</v>
      </c>
      <c r="E73" s="5">
        <v>-7125</v>
      </c>
      <c r="F73" s="6">
        <v>-188.76262500000001</v>
      </c>
      <c r="G73" s="7">
        <v>-4.4637000000000001E-3</v>
      </c>
      <c r="H73" s="105"/>
    </row>
    <row r="74" spans="1:8" ht="17.100000000000001" customHeight="1" x14ac:dyDescent="0.2">
      <c r="A74" s="3">
        <v>7</v>
      </c>
      <c r="B74" s="4"/>
      <c r="C74" s="4" t="s">
        <v>893</v>
      </c>
      <c r="D74" s="4" t="s">
        <v>668</v>
      </c>
      <c r="E74" s="5">
        <v>-6600</v>
      </c>
      <c r="F74" s="6">
        <v>-192.23490000000001</v>
      </c>
      <c r="G74" s="7">
        <v>-4.5458E-3</v>
      </c>
      <c r="H74" s="105"/>
    </row>
    <row r="75" spans="1:8" ht="17.100000000000001" customHeight="1" x14ac:dyDescent="0.2">
      <c r="A75" s="3">
        <v>8</v>
      </c>
      <c r="B75" s="4"/>
      <c r="C75" s="4" t="s">
        <v>906</v>
      </c>
      <c r="D75" s="4" t="s">
        <v>668</v>
      </c>
      <c r="E75" s="5">
        <v>-37500</v>
      </c>
      <c r="F75" s="6">
        <v>-215.98124999999999</v>
      </c>
      <c r="G75" s="7">
        <v>-5.1073000000000004E-3</v>
      </c>
      <c r="H75" s="105"/>
    </row>
    <row r="76" spans="1:8" ht="17.100000000000001" customHeight="1" x14ac:dyDescent="0.2">
      <c r="A76" s="3">
        <v>9</v>
      </c>
      <c r="B76" s="4"/>
      <c r="C76" s="4" t="s">
        <v>916</v>
      </c>
      <c r="D76" s="4" t="s">
        <v>668</v>
      </c>
      <c r="E76" s="5">
        <v>-128700</v>
      </c>
      <c r="F76" s="6">
        <v>-242.79255000000001</v>
      </c>
      <c r="G76" s="7">
        <v>-5.7413000000000004E-3</v>
      </c>
      <c r="H76" s="105"/>
    </row>
    <row r="77" spans="1:8" ht="24.75" customHeight="1" x14ac:dyDescent="0.2">
      <c r="A77" s="3">
        <v>10</v>
      </c>
      <c r="B77" s="4"/>
      <c r="C77" s="4" t="s">
        <v>917</v>
      </c>
      <c r="D77" s="4" t="s">
        <v>668</v>
      </c>
      <c r="E77" s="5">
        <v>-8050</v>
      </c>
      <c r="F77" s="6">
        <v>-259.95060000000001</v>
      </c>
      <c r="G77" s="7">
        <v>-6.1469999999999997E-3</v>
      </c>
      <c r="H77" s="105"/>
    </row>
    <row r="78" spans="1:8" ht="17.100000000000001" customHeight="1" x14ac:dyDescent="0.2">
      <c r="A78" s="3">
        <v>11</v>
      </c>
      <c r="B78" s="4"/>
      <c r="C78" s="4" t="s">
        <v>891</v>
      </c>
      <c r="D78" s="4" t="s">
        <v>668</v>
      </c>
      <c r="E78" s="5">
        <v>-34800</v>
      </c>
      <c r="F78" s="6">
        <v>-301.0548</v>
      </c>
      <c r="G78" s="7">
        <v>-7.1190000000000003E-3</v>
      </c>
      <c r="H78" s="105"/>
    </row>
    <row r="79" spans="1:8" ht="17.100000000000001" customHeight="1" x14ac:dyDescent="0.2">
      <c r="A79" s="3">
        <v>12</v>
      </c>
      <c r="B79" s="4"/>
      <c r="C79" s="4" t="s">
        <v>907</v>
      </c>
      <c r="D79" s="4" t="s">
        <v>668</v>
      </c>
      <c r="E79" s="5">
        <v>-40000</v>
      </c>
      <c r="F79" s="6">
        <v>-312.92</v>
      </c>
      <c r="G79" s="7">
        <v>-7.3996000000000001E-3</v>
      </c>
      <c r="H79" s="105"/>
    </row>
    <row r="80" spans="1:8" ht="17.100000000000001" customHeight="1" x14ac:dyDescent="0.2">
      <c r="A80" s="3">
        <v>13</v>
      </c>
      <c r="B80" s="4"/>
      <c r="C80" s="4" t="s">
        <v>918</v>
      </c>
      <c r="D80" s="4" t="s">
        <v>668</v>
      </c>
      <c r="E80" s="5">
        <v>-220000</v>
      </c>
      <c r="F80" s="6">
        <v>-322.19</v>
      </c>
      <c r="G80" s="7">
        <v>-7.6188000000000002E-3</v>
      </c>
      <c r="H80" s="105"/>
    </row>
    <row r="81" spans="1:8" ht="24" customHeight="1" x14ac:dyDescent="0.2">
      <c r="A81" s="3">
        <v>14</v>
      </c>
      <c r="B81" s="4"/>
      <c r="C81" s="4" t="s">
        <v>909</v>
      </c>
      <c r="D81" s="4" t="s">
        <v>668</v>
      </c>
      <c r="E81" s="5">
        <v>-14100</v>
      </c>
      <c r="F81" s="6">
        <v>-392.03640000000001</v>
      </c>
      <c r="G81" s="7">
        <v>-9.2704999999999992E-3</v>
      </c>
      <c r="H81" s="105"/>
    </row>
    <row r="82" spans="1:8" ht="17.100000000000001" customHeight="1" x14ac:dyDescent="0.2">
      <c r="A82" s="3">
        <v>15</v>
      </c>
      <c r="B82" s="4"/>
      <c r="C82" s="4" t="s">
        <v>919</v>
      </c>
      <c r="D82" s="4" t="s">
        <v>668</v>
      </c>
      <c r="E82" s="5">
        <v>-401500</v>
      </c>
      <c r="F82" s="6">
        <v>-436.43049999999999</v>
      </c>
      <c r="G82" s="7">
        <v>-1.0320299999999999E-2</v>
      </c>
      <c r="H82" s="105"/>
    </row>
    <row r="83" spans="1:8" ht="17.100000000000001" customHeight="1" x14ac:dyDescent="0.2">
      <c r="A83" s="3">
        <v>16</v>
      </c>
      <c r="B83" s="4"/>
      <c r="C83" s="4" t="s">
        <v>899</v>
      </c>
      <c r="D83" s="4" t="s">
        <v>668</v>
      </c>
      <c r="E83" s="5">
        <v>-13125</v>
      </c>
      <c r="F83" s="6">
        <v>-826.96687499999996</v>
      </c>
      <c r="G83" s="7">
        <v>-1.9555199999999998E-2</v>
      </c>
      <c r="H83" s="105"/>
    </row>
    <row r="84" spans="1:8" ht="17.100000000000001" customHeight="1" x14ac:dyDescent="0.2">
      <c r="A84" s="3">
        <v>17</v>
      </c>
      <c r="B84" s="4"/>
      <c r="C84" s="4" t="s">
        <v>920</v>
      </c>
      <c r="D84" s="4" t="s">
        <v>668</v>
      </c>
      <c r="E84" s="5">
        <v>-42600</v>
      </c>
      <c r="F84" s="6">
        <v>-1051.4319</v>
      </c>
      <c r="G84" s="7">
        <v>-2.4863199999999998E-2</v>
      </c>
      <c r="H84" s="105"/>
    </row>
    <row r="85" spans="1:8" ht="17.100000000000001" customHeight="1" x14ac:dyDescent="0.2">
      <c r="A85" s="3">
        <v>18</v>
      </c>
      <c r="B85" s="4"/>
      <c r="C85" s="4" t="s">
        <v>921</v>
      </c>
      <c r="D85" s="4" t="s">
        <v>668</v>
      </c>
      <c r="E85" s="5">
        <v>-88000</v>
      </c>
      <c r="F85" s="6">
        <v>-1107.26</v>
      </c>
      <c r="G85" s="7">
        <v>-2.61833E-2</v>
      </c>
      <c r="H85" s="105"/>
    </row>
    <row r="86" spans="1:8" ht="17.100000000000001" customHeight="1" x14ac:dyDescent="0.2">
      <c r="A86" s="3">
        <v>19</v>
      </c>
      <c r="B86" s="4"/>
      <c r="C86" s="4" t="s">
        <v>922</v>
      </c>
      <c r="D86" s="4" t="s">
        <v>668</v>
      </c>
      <c r="E86" s="5">
        <v>-132600</v>
      </c>
      <c r="F86" s="6">
        <v>-1365.2496000000001</v>
      </c>
      <c r="G86" s="7">
        <v>-3.2284E-2</v>
      </c>
      <c r="H86" s="105"/>
    </row>
    <row r="87" spans="1:8" ht="17.100000000000001" customHeight="1" x14ac:dyDescent="0.2">
      <c r="A87" s="3">
        <v>20</v>
      </c>
      <c r="B87" s="4"/>
      <c r="C87" s="4" t="s">
        <v>900</v>
      </c>
      <c r="D87" s="4" t="s">
        <v>668</v>
      </c>
      <c r="E87" s="5">
        <v>-196700</v>
      </c>
      <c r="F87" s="6">
        <v>-1815.5409999999999</v>
      </c>
      <c r="G87" s="7">
        <v>-4.2931999999999998E-2</v>
      </c>
      <c r="H87" s="105"/>
    </row>
    <row r="88" spans="1:8" ht="17.100000000000001" customHeight="1" x14ac:dyDescent="0.2">
      <c r="A88" s="3">
        <v>21</v>
      </c>
      <c r="B88" s="4"/>
      <c r="C88" s="4" t="s">
        <v>910</v>
      </c>
      <c r="D88" s="4" t="s">
        <v>668</v>
      </c>
      <c r="E88" s="5">
        <v>-156200</v>
      </c>
      <c r="F88" s="6">
        <v>-2618.4587000000001</v>
      </c>
      <c r="G88" s="7">
        <v>-6.1918599999999997E-2</v>
      </c>
      <c r="H88" s="105"/>
    </row>
    <row r="89" spans="1:8" ht="14.1" customHeight="1" x14ac:dyDescent="0.2">
      <c r="A89" s="1"/>
      <c r="B89" s="1"/>
      <c r="C89" s="2" t="s">
        <v>132</v>
      </c>
      <c r="D89" s="1"/>
      <c r="E89" s="1" t="s">
        <v>133</v>
      </c>
      <c r="F89" s="9">
        <v>-12120.2935</v>
      </c>
      <c r="G89" s="10">
        <v>-0.28660796999999999</v>
      </c>
      <c r="H89" s="105"/>
    </row>
    <row r="90" spans="1:8" ht="14.1" customHeight="1" x14ac:dyDescent="0.2">
      <c r="A90" s="1"/>
      <c r="B90" s="1"/>
      <c r="C90" s="11"/>
      <c r="D90" s="1"/>
      <c r="E90" s="1"/>
      <c r="F90" s="12"/>
      <c r="G90" s="12"/>
      <c r="H90" s="105"/>
    </row>
    <row r="91" spans="1:8" ht="18" customHeight="1" x14ac:dyDescent="0.2">
      <c r="A91" s="1"/>
      <c r="B91" s="1"/>
      <c r="C91" s="2" t="s">
        <v>140</v>
      </c>
      <c r="D91" s="1"/>
      <c r="E91" s="1"/>
      <c r="F91" s="9">
        <v>29946.958410499999</v>
      </c>
      <c r="G91" s="10">
        <v>0.70815419000000002</v>
      </c>
      <c r="H91" s="105"/>
    </row>
    <row r="92" spans="1:8" ht="14.1" customHeight="1" x14ac:dyDescent="0.2">
      <c r="A92" s="1"/>
      <c r="B92" s="1"/>
      <c r="C92" s="11"/>
      <c r="D92" s="1"/>
      <c r="E92" s="1"/>
      <c r="F92" s="12"/>
      <c r="G92" s="12"/>
      <c r="H92" s="105"/>
    </row>
    <row r="93" spans="1:8" ht="14.1" customHeight="1" x14ac:dyDescent="0.2">
      <c r="A93" s="1"/>
      <c r="B93" s="1"/>
      <c r="C93" s="2" t="s">
        <v>141</v>
      </c>
      <c r="D93" s="1"/>
      <c r="E93" s="1"/>
      <c r="F93" s="12"/>
      <c r="G93" s="12"/>
      <c r="H93" s="105"/>
    </row>
    <row r="94" spans="1:8" ht="24" customHeight="1" x14ac:dyDescent="0.2">
      <c r="A94" s="1"/>
      <c r="B94" s="1"/>
      <c r="C94" s="2" t="s">
        <v>10</v>
      </c>
      <c r="D94" s="1"/>
      <c r="E94" s="1"/>
      <c r="F94" s="12"/>
      <c r="G94" s="12"/>
      <c r="H94" s="105"/>
    </row>
    <row r="95" spans="1:8" ht="29.1" customHeight="1" x14ac:dyDescent="0.2">
      <c r="A95" s="3">
        <v>1</v>
      </c>
      <c r="B95" s="4" t="s">
        <v>611</v>
      </c>
      <c r="C95" s="4" t="s">
        <v>612</v>
      </c>
      <c r="D95" s="4" t="s">
        <v>588</v>
      </c>
      <c r="E95" s="5">
        <v>50</v>
      </c>
      <c r="F95" s="6">
        <v>496.46550000000002</v>
      </c>
      <c r="G95" s="7">
        <v>1.1739889999999999E-2</v>
      </c>
      <c r="H95" s="105">
        <v>7.45</v>
      </c>
    </row>
    <row r="96" spans="1:8" ht="29.1" customHeight="1" x14ac:dyDescent="0.2">
      <c r="A96" s="3">
        <v>2</v>
      </c>
      <c r="B96" s="4" t="s">
        <v>684</v>
      </c>
      <c r="C96" s="4" t="s">
        <v>685</v>
      </c>
      <c r="D96" s="4" t="s">
        <v>570</v>
      </c>
      <c r="E96" s="5">
        <v>5</v>
      </c>
      <c r="F96" s="6">
        <v>50.371450000000003</v>
      </c>
      <c r="G96" s="7">
        <v>1.1911300000000001E-3</v>
      </c>
      <c r="H96" s="105">
        <v>7.2850000000000001</v>
      </c>
    </row>
    <row r="97" spans="1:8" ht="29.1" customHeight="1" x14ac:dyDescent="0.2">
      <c r="A97" s="3">
        <v>3</v>
      </c>
      <c r="B97" s="4" t="s">
        <v>705</v>
      </c>
      <c r="C97" s="4" t="s">
        <v>706</v>
      </c>
      <c r="D97" s="4" t="s">
        <v>570</v>
      </c>
      <c r="E97" s="5">
        <v>1640</v>
      </c>
      <c r="F97" s="6">
        <v>0.46570133699999999</v>
      </c>
      <c r="G97" s="52" t="s">
        <v>131</v>
      </c>
      <c r="H97" s="105">
        <v>7.5430000000000001</v>
      </c>
    </row>
    <row r="98" spans="1:8" ht="14.1" customHeight="1" x14ac:dyDescent="0.2">
      <c r="A98" s="1"/>
      <c r="B98" s="1"/>
      <c r="C98" s="2" t="s">
        <v>132</v>
      </c>
      <c r="D98" s="1"/>
      <c r="E98" s="1" t="s">
        <v>133</v>
      </c>
      <c r="F98" s="9">
        <v>547.30265133700004</v>
      </c>
      <c r="G98" s="10">
        <v>1.294203E-2</v>
      </c>
      <c r="H98" s="105"/>
    </row>
    <row r="99" spans="1:8" ht="14.1" customHeight="1" x14ac:dyDescent="0.2">
      <c r="A99" s="1"/>
      <c r="B99" s="1"/>
      <c r="C99" s="11"/>
      <c r="D99" s="1"/>
      <c r="E99" s="1"/>
      <c r="F99" s="12"/>
      <c r="G99" s="12"/>
      <c r="H99" s="105"/>
    </row>
    <row r="100" spans="1:8" ht="14.1" customHeight="1" x14ac:dyDescent="0.2">
      <c r="A100" s="1"/>
      <c r="B100" s="1"/>
      <c r="C100" s="2" t="s">
        <v>142</v>
      </c>
      <c r="D100" s="1"/>
      <c r="E100" s="1"/>
      <c r="F100" s="1"/>
      <c r="G100" s="1"/>
      <c r="H100" s="105"/>
    </row>
    <row r="101" spans="1:8" ht="14.1" customHeight="1" x14ac:dyDescent="0.2">
      <c r="A101" s="1"/>
      <c r="B101" s="1"/>
      <c r="C101" s="2" t="s">
        <v>132</v>
      </c>
      <c r="D101" s="1"/>
      <c r="E101" s="1" t="s">
        <v>133</v>
      </c>
      <c r="F101" s="13" t="s">
        <v>135</v>
      </c>
      <c r="G101" s="10">
        <v>0</v>
      </c>
      <c r="H101" s="105"/>
    </row>
    <row r="102" spans="1:8" ht="14.1" customHeight="1" x14ac:dyDescent="0.2">
      <c r="A102" s="1"/>
      <c r="B102" s="1"/>
      <c r="C102" s="11"/>
      <c r="D102" s="1"/>
      <c r="E102" s="1"/>
      <c r="F102" s="12"/>
      <c r="G102" s="12"/>
      <c r="H102" s="105"/>
    </row>
    <row r="103" spans="1:8" ht="14.1" customHeight="1" x14ac:dyDescent="0.2">
      <c r="A103" s="1"/>
      <c r="B103" s="1"/>
      <c r="C103" s="2" t="s">
        <v>143</v>
      </c>
      <c r="D103" s="1"/>
      <c r="E103" s="1"/>
      <c r="F103" s="1"/>
      <c r="G103" s="1"/>
      <c r="H103" s="105"/>
    </row>
    <row r="104" spans="1:8" ht="29.1" customHeight="1" x14ac:dyDescent="0.2">
      <c r="A104" s="3">
        <v>1</v>
      </c>
      <c r="B104" s="4" t="s">
        <v>626</v>
      </c>
      <c r="C104" s="4" t="s">
        <v>627</v>
      </c>
      <c r="D104" s="4" t="s">
        <v>617</v>
      </c>
      <c r="E104" s="5">
        <v>1500000</v>
      </c>
      <c r="F104" s="6">
        <v>1451.1885</v>
      </c>
      <c r="G104" s="7">
        <v>3.4316180000000002E-2</v>
      </c>
      <c r="H104" s="105">
        <v>7.0095000000000001</v>
      </c>
    </row>
    <row r="105" spans="1:8" ht="29.1" customHeight="1" x14ac:dyDescent="0.2">
      <c r="A105" s="3">
        <v>2</v>
      </c>
      <c r="B105" s="4" t="s">
        <v>716</v>
      </c>
      <c r="C105" s="4" t="s">
        <v>717</v>
      </c>
      <c r="D105" s="4" t="s">
        <v>617</v>
      </c>
      <c r="E105" s="5">
        <v>500000</v>
      </c>
      <c r="F105" s="6">
        <v>479.70249999999999</v>
      </c>
      <c r="G105" s="7">
        <v>1.1343499999999999E-2</v>
      </c>
      <c r="H105" s="105">
        <v>7.0506000000000002</v>
      </c>
    </row>
    <row r="106" spans="1:8" ht="29.1" customHeight="1" x14ac:dyDescent="0.2">
      <c r="A106" s="3">
        <v>3</v>
      </c>
      <c r="B106" s="4" t="s">
        <v>718</v>
      </c>
      <c r="C106" s="4" t="s">
        <v>719</v>
      </c>
      <c r="D106" s="4" t="s">
        <v>617</v>
      </c>
      <c r="E106" s="5">
        <v>100000</v>
      </c>
      <c r="F106" s="6">
        <v>101.8629</v>
      </c>
      <c r="G106" s="7">
        <v>2.4087499999999999E-3</v>
      </c>
      <c r="H106" s="105">
        <v>7.28</v>
      </c>
    </row>
    <row r="107" spans="1:8" ht="14.1" customHeight="1" x14ac:dyDescent="0.2">
      <c r="A107" s="1"/>
      <c r="B107" s="1"/>
      <c r="C107" s="2" t="s">
        <v>132</v>
      </c>
      <c r="D107" s="1"/>
      <c r="E107" s="1" t="s">
        <v>133</v>
      </c>
      <c r="F107" s="9">
        <v>2032.7538999999999</v>
      </c>
      <c r="G107" s="10">
        <v>4.8068430000000002E-2</v>
      </c>
      <c r="H107" s="105"/>
    </row>
    <row r="108" spans="1:8" ht="14.1" customHeight="1" x14ac:dyDescent="0.2">
      <c r="A108" s="1"/>
      <c r="B108" s="1"/>
      <c r="C108" s="11"/>
      <c r="D108" s="1"/>
      <c r="E108" s="1"/>
      <c r="F108" s="12"/>
      <c r="G108" s="12"/>
      <c r="H108" s="105"/>
    </row>
    <row r="109" spans="1:8" ht="14.1" customHeight="1" x14ac:dyDescent="0.2">
      <c r="A109" s="1"/>
      <c r="B109" s="1"/>
      <c r="C109" s="2" t="s">
        <v>144</v>
      </c>
      <c r="D109" s="1"/>
      <c r="E109" s="1"/>
      <c r="F109" s="12"/>
      <c r="G109" s="12"/>
      <c r="H109" s="105"/>
    </row>
    <row r="110" spans="1:8" ht="14.1" customHeight="1" x14ac:dyDescent="0.2">
      <c r="A110" s="1"/>
      <c r="B110" s="1"/>
      <c r="C110" s="2" t="s">
        <v>132</v>
      </c>
      <c r="D110" s="1"/>
      <c r="E110" s="1" t="s">
        <v>133</v>
      </c>
      <c r="F110" s="13" t="s">
        <v>135</v>
      </c>
      <c r="G110" s="10">
        <v>0</v>
      </c>
      <c r="H110" s="105"/>
    </row>
    <row r="111" spans="1:8" ht="14.1" customHeight="1" x14ac:dyDescent="0.2">
      <c r="A111" s="1"/>
      <c r="B111" s="1"/>
      <c r="C111" s="11"/>
      <c r="D111" s="1"/>
      <c r="E111" s="1"/>
      <c r="F111" s="12"/>
      <c r="G111" s="12"/>
      <c r="H111" s="105"/>
    </row>
    <row r="112" spans="1:8" ht="14.1" customHeight="1" x14ac:dyDescent="0.2">
      <c r="A112" s="1"/>
      <c r="B112" s="1"/>
      <c r="C112" s="2" t="s">
        <v>145</v>
      </c>
      <c r="D112" s="1"/>
      <c r="E112" s="1"/>
      <c r="F112" s="9">
        <v>2580.0565513370002</v>
      </c>
      <c r="G112" s="10">
        <v>6.1010460000000002E-2</v>
      </c>
      <c r="H112" s="105"/>
    </row>
    <row r="113" spans="1:8" ht="14.1" customHeight="1" x14ac:dyDescent="0.2">
      <c r="A113" s="1"/>
      <c r="B113" s="1"/>
      <c r="C113" s="11"/>
      <c r="D113" s="1"/>
      <c r="E113" s="1"/>
      <c r="F113" s="12"/>
      <c r="G113" s="12"/>
      <c r="H113" s="105"/>
    </row>
    <row r="114" spans="1:8" ht="14.1" customHeight="1" x14ac:dyDescent="0.2">
      <c r="A114" s="1"/>
      <c r="B114" s="1"/>
      <c r="C114" s="2" t="s">
        <v>146</v>
      </c>
      <c r="D114" s="1"/>
      <c r="E114" s="1"/>
      <c r="F114" s="12"/>
      <c r="G114" s="12"/>
      <c r="H114" s="105"/>
    </row>
    <row r="115" spans="1:8" ht="14.1" customHeight="1" x14ac:dyDescent="0.2">
      <c r="A115" s="1"/>
      <c r="B115" s="1"/>
      <c r="C115" s="2" t="s">
        <v>147</v>
      </c>
      <c r="D115" s="1"/>
      <c r="E115" s="1"/>
      <c r="F115" s="12"/>
      <c r="G115" s="12"/>
      <c r="H115" s="105"/>
    </row>
    <row r="116" spans="1:8" ht="14.1" customHeight="1" x14ac:dyDescent="0.2">
      <c r="A116" s="1"/>
      <c r="B116" s="1"/>
      <c r="C116" s="2" t="s">
        <v>132</v>
      </c>
      <c r="D116" s="1"/>
      <c r="E116" s="1" t="s">
        <v>133</v>
      </c>
      <c r="F116" s="13" t="s">
        <v>135</v>
      </c>
      <c r="G116" s="10">
        <v>0</v>
      </c>
      <c r="H116" s="105"/>
    </row>
    <row r="117" spans="1:8" ht="14.1" customHeight="1" x14ac:dyDescent="0.2">
      <c r="A117" s="1"/>
      <c r="B117" s="1"/>
      <c r="C117" s="11"/>
      <c r="D117" s="1"/>
      <c r="E117" s="1"/>
      <c r="F117" s="12"/>
      <c r="G117" s="12"/>
      <c r="H117" s="105"/>
    </row>
    <row r="118" spans="1:8" ht="14.1" customHeight="1" x14ac:dyDescent="0.2">
      <c r="A118" s="1"/>
      <c r="B118" s="1"/>
      <c r="C118" s="2" t="s">
        <v>148</v>
      </c>
      <c r="D118" s="1"/>
      <c r="E118" s="1"/>
      <c r="F118" s="12"/>
      <c r="G118" s="12"/>
      <c r="H118" s="105"/>
    </row>
    <row r="119" spans="1:8" ht="14.1" customHeight="1" x14ac:dyDescent="0.2">
      <c r="A119" s="1"/>
      <c r="B119" s="1"/>
      <c r="C119" s="2" t="s">
        <v>132</v>
      </c>
      <c r="D119" s="1"/>
      <c r="E119" s="1" t="s">
        <v>133</v>
      </c>
      <c r="F119" s="13" t="s">
        <v>135</v>
      </c>
      <c r="G119" s="10">
        <v>0</v>
      </c>
      <c r="H119" s="105"/>
    </row>
    <row r="120" spans="1:8" ht="14.1" customHeight="1" x14ac:dyDescent="0.2">
      <c r="A120" s="1"/>
      <c r="B120" s="1"/>
      <c r="C120" s="11"/>
      <c r="D120" s="1"/>
      <c r="E120" s="1"/>
      <c r="F120" s="12"/>
      <c r="G120" s="12"/>
      <c r="H120" s="105"/>
    </row>
    <row r="121" spans="1:8" ht="14.1" customHeight="1" x14ac:dyDescent="0.2">
      <c r="A121" s="1"/>
      <c r="B121" s="1"/>
      <c r="C121" s="2" t="s">
        <v>149</v>
      </c>
      <c r="D121" s="1"/>
      <c r="E121" s="1"/>
      <c r="F121" s="12"/>
      <c r="G121" s="12"/>
      <c r="H121" s="105"/>
    </row>
    <row r="122" spans="1:8" ht="17.100000000000001" customHeight="1" x14ac:dyDescent="0.2">
      <c r="A122" s="3">
        <v>1</v>
      </c>
      <c r="B122" s="4" t="s">
        <v>720</v>
      </c>
      <c r="C122" s="40" t="s">
        <v>1001</v>
      </c>
      <c r="D122" s="4" t="s">
        <v>617</v>
      </c>
      <c r="E122" s="5">
        <v>2000000</v>
      </c>
      <c r="F122" s="6">
        <v>1975.9780000000001</v>
      </c>
      <c r="G122" s="7">
        <v>4.6725849999999999E-2</v>
      </c>
      <c r="H122" s="105">
        <v>6.7230999999999996</v>
      </c>
    </row>
    <row r="123" spans="1:8" ht="17.100000000000001" customHeight="1" x14ac:dyDescent="0.2">
      <c r="A123" s="3">
        <v>2</v>
      </c>
      <c r="B123" s="4" t="s">
        <v>721</v>
      </c>
      <c r="C123" s="40" t="s">
        <v>1002</v>
      </c>
      <c r="D123" s="4" t="s">
        <v>617</v>
      </c>
      <c r="E123" s="5">
        <v>1000000</v>
      </c>
      <c r="F123" s="6">
        <v>995.649</v>
      </c>
      <c r="G123" s="7">
        <v>2.3544059999999999E-2</v>
      </c>
      <c r="H123" s="105">
        <v>6.6459999999999999</v>
      </c>
    </row>
    <row r="124" spans="1:8" ht="14.1" customHeight="1" x14ac:dyDescent="0.2">
      <c r="A124" s="1"/>
      <c r="B124" s="1"/>
      <c r="C124" s="2" t="s">
        <v>132</v>
      </c>
      <c r="D124" s="1"/>
      <c r="E124" s="1" t="s">
        <v>133</v>
      </c>
      <c r="F124" s="9">
        <v>2971.627</v>
      </c>
      <c r="G124" s="10">
        <v>7.0269910000000005E-2</v>
      </c>
      <c r="H124" s="105"/>
    </row>
    <row r="125" spans="1:8" ht="14.1" customHeight="1" x14ac:dyDescent="0.2">
      <c r="A125" s="1"/>
      <c r="B125" s="1"/>
      <c r="C125" s="11"/>
      <c r="D125" s="1"/>
      <c r="E125" s="1"/>
      <c r="F125" s="12"/>
      <c r="G125" s="12"/>
      <c r="H125" s="105"/>
    </row>
    <row r="126" spans="1:8" ht="14.1" customHeight="1" x14ac:dyDescent="0.2">
      <c r="A126" s="1"/>
      <c r="B126" s="1"/>
      <c r="C126" s="2" t="s">
        <v>150</v>
      </c>
      <c r="D126" s="1"/>
      <c r="E126" s="1"/>
      <c r="F126" s="12"/>
      <c r="G126" s="12"/>
      <c r="H126" s="105"/>
    </row>
    <row r="127" spans="1:8" ht="17.100000000000001" customHeight="1" x14ac:dyDescent="0.2">
      <c r="A127" s="3">
        <v>1</v>
      </c>
      <c r="B127" s="4"/>
      <c r="C127" s="4" t="s">
        <v>151</v>
      </c>
      <c r="D127" s="4"/>
      <c r="E127" s="8"/>
      <c r="F127" s="6">
        <v>5482.6365121999997</v>
      </c>
      <c r="G127" s="7">
        <v>0.12964763000000001</v>
      </c>
      <c r="H127" s="105">
        <v>6.8153352377542396</v>
      </c>
    </row>
    <row r="128" spans="1:8" ht="17.100000000000001" customHeight="1" x14ac:dyDescent="0.2">
      <c r="A128" s="3">
        <v>2</v>
      </c>
      <c r="B128" s="4"/>
      <c r="C128" s="4" t="s">
        <v>152</v>
      </c>
      <c r="D128" s="4"/>
      <c r="E128" s="8"/>
      <c r="F128" s="6">
        <v>650.60391000100003</v>
      </c>
      <c r="G128" s="7">
        <v>1.5384800000000001E-2</v>
      </c>
      <c r="H128" s="105">
        <v>6.7952403714590259</v>
      </c>
    </row>
    <row r="129" spans="1:8" ht="14.1" customHeight="1" x14ac:dyDescent="0.2">
      <c r="A129" s="1"/>
      <c r="B129" s="1"/>
      <c r="C129" s="2" t="s">
        <v>132</v>
      </c>
      <c r="D129" s="1"/>
      <c r="E129" s="1" t="s">
        <v>133</v>
      </c>
      <c r="F129" s="9">
        <v>6133.240422201</v>
      </c>
      <c r="G129" s="10">
        <v>0.14503242999999999</v>
      </c>
      <c r="H129" s="105"/>
    </row>
    <row r="130" spans="1:8" ht="14.1" customHeight="1" x14ac:dyDescent="0.2">
      <c r="A130" s="1"/>
      <c r="B130" s="1"/>
      <c r="C130" s="11"/>
      <c r="D130" s="1"/>
      <c r="E130" s="1"/>
      <c r="F130" s="12"/>
      <c r="G130" s="12"/>
      <c r="H130" s="105"/>
    </row>
    <row r="131" spans="1:8" ht="14.1" customHeight="1" x14ac:dyDescent="0.2">
      <c r="A131" s="1"/>
      <c r="B131" s="1"/>
      <c r="C131" s="2" t="s">
        <v>153</v>
      </c>
      <c r="D131" s="1"/>
      <c r="E131" s="1"/>
      <c r="F131" s="9">
        <v>9104.8674222009995</v>
      </c>
      <c r="G131" s="10">
        <v>0.21530234000000001</v>
      </c>
      <c r="H131" s="105"/>
    </row>
    <row r="132" spans="1:8" ht="14.1" customHeight="1" x14ac:dyDescent="0.2">
      <c r="A132" s="1"/>
      <c r="B132" s="1"/>
      <c r="C132" s="12"/>
      <c r="D132" s="1"/>
      <c r="E132" s="1"/>
      <c r="F132" s="1"/>
      <c r="G132" s="1"/>
      <c r="H132" s="105"/>
    </row>
    <row r="133" spans="1:8" ht="14.1" customHeight="1" x14ac:dyDescent="0.2">
      <c r="A133" s="1"/>
      <c r="B133" s="1"/>
      <c r="C133" s="2" t="s">
        <v>154</v>
      </c>
      <c r="D133" s="1"/>
      <c r="E133" s="1"/>
      <c r="F133" s="1"/>
      <c r="G133" s="1"/>
      <c r="H133" s="105"/>
    </row>
    <row r="134" spans="1:8" ht="14.1" customHeight="1" x14ac:dyDescent="0.2">
      <c r="A134" s="1"/>
      <c r="B134" s="1"/>
      <c r="C134" s="2" t="s">
        <v>155</v>
      </c>
      <c r="D134" s="1"/>
      <c r="E134" s="1"/>
      <c r="F134" s="1"/>
      <c r="G134" s="1"/>
      <c r="H134" s="105"/>
    </row>
    <row r="135" spans="1:8" ht="14.1" customHeight="1" x14ac:dyDescent="0.2">
      <c r="A135" s="1"/>
      <c r="B135" s="1"/>
      <c r="C135" s="2" t="s">
        <v>132</v>
      </c>
      <c r="D135" s="1"/>
      <c r="E135" s="1" t="s">
        <v>133</v>
      </c>
      <c r="F135" s="13" t="s">
        <v>135</v>
      </c>
      <c r="G135" s="10">
        <v>0</v>
      </c>
      <c r="H135" s="105"/>
    </row>
    <row r="136" spans="1:8" ht="14.1" customHeight="1" x14ac:dyDescent="0.2">
      <c r="A136" s="1"/>
      <c r="B136" s="1"/>
      <c r="C136" s="11"/>
      <c r="D136" s="1"/>
      <c r="E136" s="1"/>
      <c r="F136" s="12"/>
      <c r="G136" s="12"/>
      <c r="H136" s="105"/>
    </row>
    <row r="137" spans="1:8" ht="14.1" customHeight="1" x14ac:dyDescent="0.2">
      <c r="A137" s="1"/>
      <c r="B137" s="1"/>
      <c r="C137" s="2" t="s">
        <v>156</v>
      </c>
      <c r="D137" s="1"/>
      <c r="E137" s="1"/>
      <c r="F137" s="1"/>
      <c r="G137" s="1"/>
      <c r="H137" s="105"/>
    </row>
    <row r="138" spans="1:8" ht="14.1" customHeight="1" x14ac:dyDescent="0.2">
      <c r="A138" s="1"/>
      <c r="B138" s="1"/>
      <c r="C138" s="2" t="s">
        <v>157</v>
      </c>
      <c r="D138" s="1"/>
      <c r="E138" s="1"/>
      <c r="F138" s="1"/>
      <c r="G138" s="1"/>
      <c r="H138" s="105"/>
    </row>
    <row r="139" spans="1:8" ht="14.1" customHeight="1" x14ac:dyDescent="0.2">
      <c r="A139" s="1"/>
      <c r="B139" s="1"/>
      <c r="C139" s="2" t="s">
        <v>132</v>
      </c>
      <c r="D139" s="1"/>
      <c r="E139" s="1" t="s">
        <v>133</v>
      </c>
      <c r="F139" s="13" t="s">
        <v>135</v>
      </c>
      <c r="G139" s="10">
        <v>0</v>
      </c>
      <c r="H139" s="105"/>
    </row>
    <row r="140" spans="1:8" ht="14.1" customHeight="1" x14ac:dyDescent="0.2">
      <c r="A140" s="1"/>
      <c r="B140" s="1"/>
      <c r="C140" s="11"/>
      <c r="D140" s="1"/>
      <c r="E140" s="1"/>
      <c r="F140" s="12"/>
      <c r="G140" s="12"/>
      <c r="H140" s="105"/>
    </row>
    <row r="141" spans="1:8" ht="24" customHeight="1" x14ac:dyDescent="0.2">
      <c r="A141" s="1"/>
      <c r="B141" s="1"/>
      <c r="C141" s="2" t="s">
        <v>158</v>
      </c>
      <c r="D141" s="1"/>
      <c r="E141" s="1"/>
      <c r="F141" s="12"/>
      <c r="G141" s="12"/>
      <c r="H141" s="105"/>
    </row>
    <row r="142" spans="1:8" ht="14.1" customHeight="1" x14ac:dyDescent="0.2">
      <c r="A142" s="1"/>
      <c r="B142" s="1"/>
      <c r="C142" s="2" t="s">
        <v>132</v>
      </c>
      <c r="D142" s="1"/>
      <c r="E142" s="1" t="s">
        <v>133</v>
      </c>
      <c r="F142" s="13" t="s">
        <v>135</v>
      </c>
      <c r="G142" s="10">
        <v>0</v>
      </c>
      <c r="H142" s="105"/>
    </row>
    <row r="143" spans="1:8" ht="14.1" customHeight="1" x14ac:dyDescent="0.2">
      <c r="A143" s="1"/>
      <c r="B143" s="1"/>
      <c r="C143" s="11"/>
      <c r="D143" s="1"/>
      <c r="E143" s="1"/>
      <c r="F143" s="12"/>
      <c r="G143" s="12"/>
      <c r="H143" s="105"/>
    </row>
    <row r="144" spans="1:8" ht="18" customHeight="1" x14ac:dyDescent="0.2">
      <c r="A144" s="8"/>
      <c r="B144" s="4"/>
      <c r="C144" s="4" t="s">
        <v>673</v>
      </c>
      <c r="D144" s="4"/>
      <c r="E144" s="8"/>
      <c r="F144" s="6">
        <v>643.3825951</v>
      </c>
      <c r="G144" s="7">
        <v>1.5214035558546011E-2</v>
      </c>
      <c r="H144" s="105"/>
    </row>
    <row r="145" spans="1:15" ht="18" customHeight="1" x14ac:dyDescent="0.2">
      <c r="A145" s="8"/>
      <c r="B145" s="4"/>
      <c r="C145" s="40" t="s">
        <v>955</v>
      </c>
      <c r="D145" s="4"/>
      <c r="E145" s="8"/>
      <c r="F145" s="6">
        <v>13.488233259999999</v>
      </c>
      <c r="G145" s="7">
        <v>3.1895556703349687E-4</v>
      </c>
      <c r="H145" s="105"/>
    </row>
    <row r="146" spans="1:15" ht="14.1" customHeight="1" x14ac:dyDescent="0.2">
      <c r="A146" s="11"/>
      <c r="B146" s="11"/>
      <c r="C146" s="2" t="s">
        <v>160</v>
      </c>
      <c r="D146" s="12"/>
      <c r="E146" s="12"/>
      <c r="F146" s="9">
        <v>42288.753212397998</v>
      </c>
      <c r="G146" s="14">
        <v>0.99999998000000001</v>
      </c>
      <c r="H146" s="105"/>
    </row>
    <row r="147" spans="1:15" ht="14.1" customHeight="1" x14ac:dyDescent="0.2">
      <c r="A147" s="15"/>
      <c r="B147" s="15"/>
      <c r="C147" s="15"/>
      <c r="D147" s="16"/>
      <c r="E147" s="16"/>
      <c r="H147" s="50"/>
    </row>
    <row r="148" spans="1:15" ht="17.100000000000001" customHeight="1" x14ac:dyDescent="0.2">
      <c r="A148" s="45"/>
      <c r="B148" s="192" t="s">
        <v>932</v>
      </c>
      <c r="C148" s="192"/>
      <c r="D148" s="192"/>
      <c r="E148" s="192"/>
      <c r="F148" s="192"/>
      <c r="G148" s="46"/>
    </row>
    <row r="149" spans="1:15" ht="17.100000000000001" customHeight="1" x14ac:dyDescent="0.2">
      <c r="A149" s="45"/>
      <c r="B149" s="192" t="s">
        <v>933</v>
      </c>
      <c r="C149" s="192"/>
      <c r="D149" s="192"/>
      <c r="E149" s="192"/>
      <c r="F149" s="192"/>
      <c r="G149" s="46"/>
    </row>
    <row r="150" spans="1:15" ht="17.100000000000001" customHeight="1" x14ac:dyDescent="0.2">
      <c r="A150" s="17"/>
      <c r="B150" s="178" t="s">
        <v>161</v>
      </c>
      <c r="C150" s="178"/>
      <c r="D150" s="178"/>
      <c r="E150" s="178"/>
      <c r="F150" s="178"/>
      <c r="G150" s="19"/>
    </row>
    <row r="151" spans="1:15" s="53" customFormat="1" x14ac:dyDescent="0.2">
      <c r="A151" s="58"/>
      <c r="B151" s="198" t="s">
        <v>956</v>
      </c>
      <c r="C151" s="198"/>
      <c r="D151" s="198"/>
      <c r="E151" s="198"/>
      <c r="F151" s="198"/>
      <c r="G151" s="59"/>
      <c r="H151"/>
      <c r="I151"/>
      <c r="J151"/>
      <c r="K151"/>
      <c r="L151"/>
      <c r="M151"/>
      <c r="N151"/>
      <c r="O151"/>
    </row>
    <row r="152" spans="1:15" ht="14.1" customHeight="1" x14ac:dyDescent="0.2">
      <c r="A152" s="17"/>
      <c r="B152" s="17"/>
      <c r="C152" s="17"/>
      <c r="D152" s="19"/>
      <c r="E152" s="19"/>
      <c r="F152" s="19"/>
      <c r="G152" s="19"/>
    </row>
    <row r="153" spans="1:15" ht="14.1" customHeight="1" x14ac:dyDescent="0.2">
      <c r="A153" s="17"/>
      <c r="B153" s="179" t="s">
        <v>162</v>
      </c>
      <c r="C153" s="180"/>
      <c r="D153" s="181"/>
      <c r="E153" s="20"/>
      <c r="F153" s="19"/>
      <c r="G153" s="19"/>
    </row>
    <row r="154" spans="1:15" ht="29.1" customHeight="1" x14ac:dyDescent="0.2">
      <c r="A154" s="17"/>
      <c r="B154" s="176" t="s">
        <v>163</v>
      </c>
      <c r="C154" s="177"/>
      <c r="D154" s="2" t="s">
        <v>164</v>
      </c>
      <c r="E154" s="20"/>
      <c r="F154" s="19"/>
      <c r="G154" s="19"/>
    </row>
    <row r="155" spans="1:15" ht="17.100000000000001" customHeight="1" x14ac:dyDescent="0.2">
      <c r="A155" s="17"/>
      <c r="B155" s="176" t="s">
        <v>165</v>
      </c>
      <c r="C155" s="177"/>
      <c r="D155" s="2" t="s">
        <v>164</v>
      </c>
      <c r="E155" s="20"/>
      <c r="F155" s="19"/>
      <c r="G155" s="19"/>
    </row>
    <row r="156" spans="1:15" ht="17.100000000000001" customHeight="1" x14ac:dyDescent="0.2">
      <c r="A156" s="17"/>
      <c r="B156" s="176" t="s">
        <v>166</v>
      </c>
      <c r="C156" s="177"/>
      <c r="D156" s="12" t="s">
        <v>133</v>
      </c>
      <c r="E156" s="20"/>
      <c r="F156" s="19"/>
      <c r="G156" s="19"/>
    </row>
    <row r="157" spans="1:15" ht="24" customHeight="1" x14ac:dyDescent="0.2">
      <c r="A157" s="21"/>
      <c r="B157" s="22" t="s">
        <v>133</v>
      </c>
      <c r="C157" s="22" t="s">
        <v>167</v>
      </c>
      <c r="D157" s="22" t="s">
        <v>168</v>
      </c>
      <c r="E157" s="21"/>
      <c r="F157" s="21"/>
      <c r="G157" s="21"/>
    </row>
    <row r="158" spans="1:15" ht="18" customHeight="1" x14ac:dyDescent="0.2">
      <c r="A158" s="21"/>
      <c r="B158" s="23" t="s">
        <v>169</v>
      </c>
      <c r="C158" s="22" t="s">
        <v>170</v>
      </c>
      <c r="D158" s="22" t="s">
        <v>171</v>
      </c>
      <c r="E158" s="21"/>
      <c r="F158" s="21"/>
      <c r="G158" s="21"/>
    </row>
    <row r="159" spans="1:15" ht="17.100000000000001" customHeight="1" x14ac:dyDescent="0.2">
      <c r="A159" s="21"/>
      <c r="B159" s="4" t="s">
        <v>172</v>
      </c>
      <c r="C159" s="24">
        <v>57.329099999999997</v>
      </c>
      <c r="D159" s="24">
        <v>58.835500000000003</v>
      </c>
      <c r="E159" s="21"/>
      <c r="F159" s="18"/>
      <c r="G159" s="25"/>
    </row>
    <row r="160" spans="1:15" ht="29.1" customHeight="1" x14ac:dyDescent="0.2">
      <c r="A160" s="21"/>
      <c r="B160" s="4" t="s">
        <v>1017</v>
      </c>
      <c r="C160" s="24">
        <v>13.652799999999999</v>
      </c>
      <c r="D160" s="24">
        <v>14.0115</v>
      </c>
      <c r="E160" s="21"/>
      <c r="F160" s="18"/>
      <c r="G160" s="25"/>
    </row>
    <row r="161" spans="1:15" ht="29.1" customHeight="1" x14ac:dyDescent="0.2">
      <c r="A161" s="21"/>
      <c r="B161" s="4" t="s">
        <v>1012</v>
      </c>
      <c r="C161" s="24">
        <v>20.259499999999999</v>
      </c>
      <c r="D161" s="24">
        <v>20.791799999999999</v>
      </c>
      <c r="E161" s="21"/>
      <c r="F161" s="18"/>
      <c r="G161" s="25"/>
    </row>
    <row r="162" spans="1:15" ht="17.100000000000001" customHeight="1" x14ac:dyDescent="0.2">
      <c r="A162" s="21"/>
      <c r="B162" s="4" t="s">
        <v>173</v>
      </c>
      <c r="C162" s="24">
        <v>51.2547</v>
      </c>
      <c r="D162" s="24">
        <v>52.530500000000004</v>
      </c>
      <c r="E162" s="21"/>
      <c r="F162" s="18"/>
      <c r="G162" s="25"/>
    </row>
    <row r="163" spans="1:15" ht="29.1" customHeight="1" x14ac:dyDescent="0.2">
      <c r="A163" s="21"/>
      <c r="B163" s="4" t="s">
        <v>1018</v>
      </c>
      <c r="C163" s="24">
        <v>13.209899999999999</v>
      </c>
      <c r="D163" s="24">
        <v>13.5388</v>
      </c>
      <c r="E163" s="21"/>
      <c r="F163" s="18"/>
      <c r="G163" s="25"/>
    </row>
    <row r="164" spans="1:15" ht="29.1" customHeight="1" x14ac:dyDescent="0.2">
      <c r="A164" s="21"/>
      <c r="B164" s="4" t="s">
        <v>1014</v>
      </c>
      <c r="C164" s="24">
        <v>14.480600000000001</v>
      </c>
      <c r="D164" s="24">
        <v>14.841100000000001</v>
      </c>
      <c r="E164" s="21"/>
      <c r="F164" s="18"/>
      <c r="G164" s="25"/>
      <c r="O164" s="53"/>
    </row>
    <row r="165" spans="1:15" ht="14.1" customHeight="1" x14ac:dyDescent="0.2">
      <c r="A165" s="21"/>
      <c r="B165" s="21"/>
      <c r="C165" s="21"/>
      <c r="D165" s="21"/>
      <c r="E165" s="21"/>
      <c r="F165" s="21"/>
      <c r="G165" s="21"/>
    </row>
    <row r="166" spans="1:15" ht="17.100000000000001" customHeight="1" x14ac:dyDescent="0.2">
      <c r="A166" s="21"/>
      <c r="B166" s="176" t="s">
        <v>1008</v>
      </c>
      <c r="C166" s="177"/>
      <c r="D166" s="2" t="s">
        <v>164</v>
      </c>
      <c r="E166" s="21"/>
      <c r="F166" s="21"/>
      <c r="G166" s="21"/>
    </row>
    <row r="167" spans="1:15" ht="18" customHeight="1" x14ac:dyDescent="0.2">
      <c r="A167" s="21"/>
      <c r="B167" s="26"/>
      <c r="C167" s="26"/>
      <c r="D167" s="26"/>
      <c r="E167" s="21"/>
      <c r="F167" s="21"/>
      <c r="G167" s="21"/>
    </row>
    <row r="168" spans="1:15" ht="29.1" customHeight="1" x14ac:dyDescent="0.2">
      <c r="A168" s="21"/>
      <c r="B168" s="176" t="s">
        <v>174</v>
      </c>
      <c r="C168" s="177"/>
      <c r="D168" s="56" t="s">
        <v>959</v>
      </c>
      <c r="E168" s="27"/>
      <c r="F168" s="21"/>
      <c r="G168" s="21"/>
    </row>
    <row r="169" spans="1:15" ht="29.1" customHeight="1" x14ac:dyDescent="0.2">
      <c r="A169" s="21"/>
      <c r="B169" s="176" t="s">
        <v>175</v>
      </c>
      <c r="C169" s="177"/>
      <c r="D169" s="2" t="s">
        <v>164</v>
      </c>
      <c r="E169" s="27"/>
      <c r="F169" s="21"/>
      <c r="G169" s="21"/>
    </row>
    <row r="170" spans="1:15" ht="17.100000000000001" customHeight="1" x14ac:dyDescent="0.2">
      <c r="A170" s="21"/>
      <c r="B170" s="176" t="s">
        <v>176</v>
      </c>
      <c r="C170" s="177"/>
      <c r="D170" s="2" t="s">
        <v>164</v>
      </c>
      <c r="E170" s="27"/>
      <c r="F170" s="21"/>
      <c r="G170" s="21"/>
    </row>
    <row r="171" spans="1:15" ht="17.100000000000001" customHeight="1" x14ac:dyDescent="0.2">
      <c r="A171" s="21"/>
      <c r="B171" s="176" t="s">
        <v>177</v>
      </c>
      <c r="C171" s="177"/>
      <c r="D171" s="60">
        <v>3.8970052713024561</v>
      </c>
      <c r="E171" s="21"/>
      <c r="F171" s="18"/>
      <c r="G171" s="25"/>
    </row>
    <row r="173" spans="1:15" x14ac:dyDescent="0.2">
      <c r="B173" s="205" t="s">
        <v>980</v>
      </c>
      <c r="C173" s="206"/>
      <c r="D173" s="207"/>
    </row>
    <row r="174" spans="1:15" ht="25.5" x14ac:dyDescent="0.2">
      <c r="B174" s="208" t="s">
        <v>981</v>
      </c>
      <c r="C174" s="208"/>
      <c r="D174" s="81" t="s">
        <v>707</v>
      </c>
    </row>
    <row r="175" spans="1:15" x14ac:dyDescent="0.2">
      <c r="B175" s="208" t="s">
        <v>982</v>
      </c>
      <c r="C175" s="208"/>
      <c r="D175" s="89"/>
    </row>
    <row r="176" spans="1:15" x14ac:dyDescent="0.2">
      <c r="B176" s="209"/>
      <c r="C176" s="210"/>
      <c r="D176" s="83"/>
      <c r="I176" s="53"/>
    </row>
    <row r="177" spans="2:14" x14ac:dyDescent="0.2">
      <c r="B177" s="208" t="s">
        <v>983</v>
      </c>
      <c r="C177" s="208"/>
      <c r="D177" s="84">
        <v>6.8492184515678529</v>
      </c>
    </row>
    <row r="178" spans="2:14" x14ac:dyDescent="0.2">
      <c r="B178" s="209"/>
      <c r="C178" s="210"/>
      <c r="D178" s="83"/>
      <c r="I178" s="53"/>
      <c r="J178" s="53"/>
      <c r="K178" s="53"/>
      <c r="L178" s="53"/>
      <c r="M178" s="53"/>
      <c r="N178" s="53"/>
    </row>
    <row r="179" spans="2:14" x14ac:dyDescent="0.2">
      <c r="B179" s="208" t="s">
        <v>984</v>
      </c>
      <c r="C179" s="208"/>
      <c r="D179" s="84">
        <v>0.39974823345861155</v>
      </c>
    </row>
    <row r="180" spans="2:14" x14ac:dyDescent="0.2">
      <c r="B180" s="208" t="s">
        <v>985</v>
      </c>
      <c r="C180" s="208"/>
      <c r="D180" s="84">
        <v>0.42557189791872191</v>
      </c>
    </row>
    <row r="181" spans="2:14" x14ac:dyDescent="0.2">
      <c r="B181" s="209"/>
      <c r="C181" s="210"/>
      <c r="D181" s="83"/>
    </row>
    <row r="182" spans="2:14" x14ac:dyDescent="0.2">
      <c r="B182" s="208" t="s">
        <v>986</v>
      </c>
      <c r="C182" s="208"/>
      <c r="D182" s="85">
        <v>45046</v>
      </c>
    </row>
    <row r="183" spans="2:14" ht="12.75" customHeight="1" x14ac:dyDescent="0.2">
      <c r="B183" s="209" t="s">
        <v>987</v>
      </c>
      <c r="C183" s="211"/>
      <c r="D183" s="210"/>
    </row>
  </sheetData>
  <mergeCells count="28">
    <mergeCell ref="B177:C177"/>
    <mergeCell ref="B183:D183"/>
    <mergeCell ref="B178:C178"/>
    <mergeCell ref="B179:C179"/>
    <mergeCell ref="B180:C180"/>
    <mergeCell ref="B181:C181"/>
    <mergeCell ref="B182:C182"/>
    <mergeCell ref="B151:F151"/>
    <mergeCell ref="B173:D173"/>
    <mergeCell ref="B174:C174"/>
    <mergeCell ref="B175:C175"/>
    <mergeCell ref="B176:C176"/>
    <mergeCell ref="J2:N2"/>
    <mergeCell ref="A1:H1"/>
    <mergeCell ref="A2:H2"/>
    <mergeCell ref="A3:H3"/>
    <mergeCell ref="B171:C171"/>
    <mergeCell ref="B155:C155"/>
    <mergeCell ref="B156:C156"/>
    <mergeCell ref="B166:C166"/>
    <mergeCell ref="B168:C168"/>
    <mergeCell ref="B169:C169"/>
    <mergeCell ref="B170:C170"/>
    <mergeCell ref="B154:C154"/>
    <mergeCell ref="B150:F150"/>
    <mergeCell ref="B153:D153"/>
    <mergeCell ref="B148:F148"/>
    <mergeCell ref="B149:F149"/>
  </mergeCells>
  <hyperlinks>
    <hyperlink ref="I1" location="Index!B25" display="Index" xr:uid="{99128A60-5BF7-400C-99DD-866A813425CC}"/>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outlinePr summaryBelow="0" summaryRight="0"/>
  </sheetPr>
  <dimension ref="A1:N120"/>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182" t="s">
        <v>0</v>
      </c>
      <c r="B1" s="182"/>
      <c r="C1" s="182"/>
      <c r="D1" s="182"/>
      <c r="E1" s="182"/>
      <c r="F1" s="182"/>
      <c r="G1" s="182"/>
      <c r="H1" s="182"/>
      <c r="I1" s="159" t="s">
        <v>1044</v>
      </c>
    </row>
    <row r="2" spans="1:14" ht="17.100000000000001" customHeight="1" x14ac:dyDescent="0.2">
      <c r="A2" s="183" t="s">
        <v>722</v>
      </c>
      <c r="B2" s="184"/>
      <c r="C2" s="184"/>
      <c r="D2" s="184"/>
      <c r="E2" s="184"/>
      <c r="F2" s="184"/>
      <c r="G2" s="184"/>
      <c r="H2" s="185"/>
      <c r="J2" s="175" t="s">
        <v>1045</v>
      </c>
      <c r="K2" s="175"/>
      <c r="L2" s="175"/>
      <c r="M2" s="175"/>
      <c r="N2" s="175"/>
    </row>
    <row r="3" spans="1:14" ht="21" customHeight="1" x14ac:dyDescent="0.2">
      <c r="A3" s="182" t="s">
        <v>1016</v>
      </c>
      <c r="B3" s="182"/>
      <c r="C3" s="182"/>
      <c r="D3" s="182"/>
      <c r="E3" s="182"/>
      <c r="F3" s="182"/>
      <c r="G3" s="182"/>
      <c r="H3" s="182"/>
    </row>
    <row r="4" spans="1:14" ht="30" x14ac:dyDescent="0.2">
      <c r="A4" s="107" t="s">
        <v>2</v>
      </c>
      <c r="B4" s="107" t="s">
        <v>3</v>
      </c>
      <c r="C4" s="107" t="s">
        <v>4</v>
      </c>
      <c r="D4" s="107" t="s">
        <v>5</v>
      </c>
      <c r="E4" s="107" t="s">
        <v>6</v>
      </c>
      <c r="F4" s="107" t="s">
        <v>7</v>
      </c>
      <c r="G4" s="107" t="s">
        <v>8</v>
      </c>
      <c r="H4" s="104" t="s">
        <v>1003</v>
      </c>
      <c r="I4" s="108"/>
      <c r="J4" s="108"/>
      <c r="K4" s="108"/>
      <c r="L4" s="108"/>
      <c r="M4" s="108"/>
      <c r="N4" s="108"/>
    </row>
    <row r="5" spans="1:14" ht="14.1" customHeight="1" x14ac:dyDescent="0.2">
      <c r="A5" s="1"/>
      <c r="B5" s="1"/>
      <c r="C5" s="2" t="s">
        <v>9</v>
      </c>
      <c r="D5" s="1"/>
      <c r="E5" s="1"/>
      <c r="F5" s="1"/>
      <c r="G5" s="1"/>
      <c r="H5" s="105"/>
    </row>
    <row r="6" spans="1:14" ht="24" customHeight="1" x14ac:dyDescent="0.2">
      <c r="A6" s="1"/>
      <c r="B6" s="1"/>
      <c r="C6" s="2" t="s">
        <v>10</v>
      </c>
      <c r="D6" s="1"/>
      <c r="E6" s="1"/>
      <c r="F6" s="1"/>
      <c r="G6" s="1"/>
      <c r="H6" s="105"/>
    </row>
    <row r="7" spans="1:14" ht="17.100000000000001" customHeight="1" x14ac:dyDescent="0.2">
      <c r="A7" s="3">
        <v>1</v>
      </c>
      <c r="B7" s="4" t="s">
        <v>23</v>
      </c>
      <c r="C7" s="4" t="s">
        <v>24</v>
      </c>
      <c r="D7" s="4" t="s">
        <v>25</v>
      </c>
      <c r="E7" s="5">
        <v>690000</v>
      </c>
      <c r="F7" s="6">
        <v>6331.7849999999999</v>
      </c>
      <c r="G7" s="7">
        <v>7.8274739999999995E-2</v>
      </c>
      <c r="H7" s="105"/>
    </row>
    <row r="8" spans="1:14" ht="17.100000000000001" customHeight="1" x14ac:dyDescent="0.2">
      <c r="A8" s="3">
        <v>2</v>
      </c>
      <c r="B8" s="4" t="s">
        <v>17</v>
      </c>
      <c r="C8" s="4" t="s">
        <v>18</v>
      </c>
      <c r="D8" s="4" t="s">
        <v>19</v>
      </c>
      <c r="E8" s="5">
        <v>243000</v>
      </c>
      <c r="F8" s="6">
        <v>5881.8149999999996</v>
      </c>
      <c r="G8" s="7">
        <v>7.271213E-2</v>
      </c>
      <c r="H8" s="105"/>
    </row>
    <row r="9" spans="1:14" ht="29.1" customHeight="1" x14ac:dyDescent="0.2">
      <c r="A9" s="3">
        <v>3</v>
      </c>
      <c r="B9" s="4" t="s">
        <v>308</v>
      </c>
      <c r="C9" s="4" t="s">
        <v>309</v>
      </c>
      <c r="D9" s="4" t="s">
        <v>128</v>
      </c>
      <c r="E9" s="5">
        <v>206000</v>
      </c>
      <c r="F9" s="6">
        <v>5717.7359999999999</v>
      </c>
      <c r="G9" s="7">
        <v>7.0683750000000004E-2</v>
      </c>
      <c r="H9" s="105"/>
    </row>
    <row r="10" spans="1:14" ht="17.100000000000001" customHeight="1" x14ac:dyDescent="0.2">
      <c r="A10" s="3">
        <v>4</v>
      </c>
      <c r="B10" s="4" t="s">
        <v>302</v>
      </c>
      <c r="C10" s="4" t="s">
        <v>303</v>
      </c>
      <c r="D10" s="4" t="s">
        <v>953</v>
      </c>
      <c r="E10" s="5">
        <v>411000</v>
      </c>
      <c r="F10" s="6">
        <v>5148.8024999999998</v>
      </c>
      <c r="G10" s="7">
        <v>6.3650490000000004E-2</v>
      </c>
      <c r="H10" s="105"/>
    </row>
    <row r="11" spans="1:14" ht="17.100000000000001" customHeight="1" x14ac:dyDescent="0.2">
      <c r="A11" s="3">
        <v>5</v>
      </c>
      <c r="B11" s="4" t="s">
        <v>11</v>
      </c>
      <c r="C11" s="4" t="s">
        <v>12</v>
      </c>
      <c r="D11" s="4" t="s">
        <v>13</v>
      </c>
      <c r="E11" s="5">
        <v>156000</v>
      </c>
      <c r="F11" s="6">
        <v>3688.4639999999999</v>
      </c>
      <c r="G11" s="7">
        <v>4.5597499999999999E-2</v>
      </c>
      <c r="H11" s="105"/>
    </row>
    <row r="12" spans="1:14" ht="17.100000000000001" customHeight="1" x14ac:dyDescent="0.2">
      <c r="A12" s="3">
        <v>6</v>
      </c>
      <c r="B12" s="4" t="s">
        <v>339</v>
      </c>
      <c r="C12" s="4" t="s">
        <v>340</v>
      </c>
      <c r="D12" s="4" t="s">
        <v>25</v>
      </c>
      <c r="E12" s="5">
        <v>1116000</v>
      </c>
      <c r="F12" s="6">
        <v>3542.7420000000002</v>
      </c>
      <c r="G12" s="7">
        <v>4.3796059999999998E-2</v>
      </c>
      <c r="H12" s="105"/>
    </row>
    <row r="13" spans="1:14" ht="17.100000000000001" customHeight="1" x14ac:dyDescent="0.2">
      <c r="A13" s="3">
        <v>7</v>
      </c>
      <c r="B13" s="4" t="s">
        <v>29</v>
      </c>
      <c r="C13" s="4" t="s">
        <v>30</v>
      </c>
      <c r="D13" s="4" t="s">
        <v>25</v>
      </c>
      <c r="E13" s="5">
        <v>565000</v>
      </c>
      <c r="F13" s="6">
        <v>3267.395</v>
      </c>
      <c r="G13" s="7">
        <v>4.0392169999999998E-2</v>
      </c>
      <c r="H13" s="105"/>
    </row>
    <row r="14" spans="1:14" ht="17.100000000000001" customHeight="1" x14ac:dyDescent="0.2">
      <c r="A14" s="3">
        <v>8</v>
      </c>
      <c r="B14" s="4" t="s">
        <v>359</v>
      </c>
      <c r="C14" s="4" t="s">
        <v>360</v>
      </c>
      <c r="D14" s="4" t="s">
        <v>195</v>
      </c>
      <c r="E14" s="5">
        <v>72000</v>
      </c>
      <c r="F14" s="6">
        <v>2528.6039999999998</v>
      </c>
      <c r="G14" s="7">
        <v>3.1259090000000003E-2</v>
      </c>
      <c r="H14" s="105"/>
      <c r="J14" s="161" t="s">
        <v>1063</v>
      </c>
    </row>
    <row r="15" spans="1:14" ht="53.1" customHeight="1" x14ac:dyDescent="0.2">
      <c r="A15" s="3">
        <v>9</v>
      </c>
      <c r="B15" s="4" t="s">
        <v>50</v>
      </c>
      <c r="C15" s="4" t="s">
        <v>51</v>
      </c>
      <c r="D15" s="4" t="s">
        <v>52</v>
      </c>
      <c r="E15" s="5">
        <v>1625000</v>
      </c>
      <c r="F15" s="6">
        <v>2371.6875</v>
      </c>
      <c r="G15" s="7">
        <v>2.931926E-2</v>
      </c>
      <c r="H15" s="105"/>
    </row>
    <row r="16" spans="1:14" ht="17.100000000000001" customHeight="1" x14ac:dyDescent="0.2">
      <c r="A16" s="3">
        <v>10</v>
      </c>
      <c r="B16" s="4" t="s">
        <v>67</v>
      </c>
      <c r="C16" s="4" t="s">
        <v>68</v>
      </c>
      <c r="D16" s="4" t="s">
        <v>36</v>
      </c>
      <c r="E16" s="5">
        <v>621000</v>
      </c>
      <c r="F16" s="6">
        <v>2268.5129999999999</v>
      </c>
      <c r="G16" s="7">
        <v>2.8043789999999999E-2</v>
      </c>
      <c r="H16" s="105"/>
    </row>
    <row r="17" spans="1:10" ht="17.100000000000001" customHeight="1" x14ac:dyDescent="0.2">
      <c r="A17" s="3">
        <v>11</v>
      </c>
      <c r="B17" s="4" t="s">
        <v>353</v>
      </c>
      <c r="C17" s="4" t="s">
        <v>354</v>
      </c>
      <c r="D17" s="4" t="s">
        <v>105</v>
      </c>
      <c r="E17" s="5">
        <v>450000</v>
      </c>
      <c r="F17" s="6">
        <v>2182.2750000000001</v>
      </c>
      <c r="G17" s="7">
        <v>2.69777E-2</v>
      </c>
      <c r="H17" s="105"/>
    </row>
    <row r="18" spans="1:10" ht="29.1" customHeight="1" x14ac:dyDescent="0.2">
      <c r="A18" s="3">
        <v>12</v>
      </c>
      <c r="B18" s="4" t="s">
        <v>39</v>
      </c>
      <c r="C18" s="4" t="s">
        <v>40</v>
      </c>
      <c r="D18" s="4" t="s">
        <v>41</v>
      </c>
      <c r="E18" s="5">
        <v>2100000</v>
      </c>
      <c r="F18" s="6">
        <v>2169.3000000000002</v>
      </c>
      <c r="G18" s="7">
        <v>2.6817299999999999E-2</v>
      </c>
      <c r="H18" s="105"/>
    </row>
    <row r="19" spans="1:10" ht="17.100000000000001" customHeight="1" x14ac:dyDescent="0.2">
      <c r="A19" s="3">
        <v>13</v>
      </c>
      <c r="B19" s="4" t="s">
        <v>103</v>
      </c>
      <c r="C19" s="4" t="s">
        <v>104</v>
      </c>
      <c r="D19" s="4" t="s">
        <v>105</v>
      </c>
      <c r="E19" s="5">
        <v>25000</v>
      </c>
      <c r="F19" s="6">
        <v>2147.3874999999998</v>
      </c>
      <c r="G19" s="7">
        <v>2.6546420000000001E-2</v>
      </c>
      <c r="H19" s="105"/>
    </row>
    <row r="20" spans="1:10" ht="17.100000000000001" customHeight="1" x14ac:dyDescent="0.2">
      <c r="A20" s="3">
        <v>14</v>
      </c>
      <c r="B20" s="4" t="s">
        <v>510</v>
      </c>
      <c r="C20" s="4" t="s">
        <v>511</v>
      </c>
      <c r="D20" s="4" t="s">
        <v>329</v>
      </c>
      <c r="E20" s="5">
        <v>45000</v>
      </c>
      <c r="F20" s="6">
        <v>2129.04</v>
      </c>
      <c r="G20" s="7">
        <v>2.6319599999999999E-2</v>
      </c>
      <c r="H20" s="105"/>
    </row>
    <row r="21" spans="1:10" ht="17.100000000000001" customHeight="1" x14ac:dyDescent="0.2">
      <c r="A21" s="3">
        <v>15</v>
      </c>
      <c r="B21" s="4" t="s">
        <v>218</v>
      </c>
      <c r="C21" s="4" t="s">
        <v>219</v>
      </c>
      <c r="D21" s="4" t="s">
        <v>220</v>
      </c>
      <c r="E21" s="5">
        <v>134000</v>
      </c>
      <c r="F21" s="6">
        <v>1982.53</v>
      </c>
      <c r="G21" s="7">
        <v>2.450842E-2</v>
      </c>
      <c r="H21" s="105"/>
    </row>
    <row r="22" spans="1:10" ht="17.100000000000001" customHeight="1" x14ac:dyDescent="0.2">
      <c r="A22" s="3">
        <v>16</v>
      </c>
      <c r="B22" s="4" t="s">
        <v>367</v>
      </c>
      <c r="C22" s="4" t="s">
        <v>368</v>
      </c>
      <c r="D22" s="4" t="s">
        <v>128</v>
      </c>
      <c r="E22" s="5">
        <v>146000</v>
      </c>
      <c r="F22" s="6">
        <v>1977.789</v>
      </c>
      <c r="G22" s="7">
        <v>2.4449809999999999E-2</v>
      </c>
      <c r="H22" s="105"/>
      <c r="J22" s="161" t="s">
        <v>1064</v>
      </c>
    </row>
    <row r="23" spans="1:10" ht="29.1" customHeight="1" x14ac:dyDescent="0.2">
      <c r="A23" s="3">
        <v>17</v>
      </c>
      <c r="B23" s="4" t="s">
        <v>181</v>
      </c>
      <c r="C23" s="4" t="s">
        <v>182</v>
      </c>
      <c r="D23" s="4" t="s">
        <v>183</v>
      </c>
      <c r="E23" s="5">
        <v>40584</v>
      </c>
      <c r="F23" s="6">
        <v>1968.405168</v>
      </c>
      <c r="G23" s="7">
        <v>2.4333799999999999E-2</v>
      </c>
      <c r="H23" s="105"/>
    </row>
    <row r="24" spans="1:10" ht="29.1" customHeight="1" x14ac:dyDescent="0.2">
      <c r="A24" s="3">
        <v>18</v>
      </c>
      <c r="B24" s="4" t="s">
        <v>196</v>
      </c>
      <c r="C24" s="4" t="s">
        <v>197</v>
      </c>
      <c r="D24" s="4" t="s">
        <v>128</v>
      </c>
      <c r="E24" s="5">
        <v>225000</v>
      </c>
      <c r="F24" s="6">
        <v>1959.9749999999999</v>
      </c>
      <c r="G24" s="7">
        <v>2.4229589999999999E-2</v>
      </c>
      <c r="H24" s="105"/>
    </row>
    <row r="25" spans="1:10" ht="17.100000000000001" customHeight="1" x14ac:dyDescent="0.2">
      <c r="A25" s="3">
        <v>19</v>
      </c>
      <c r="B25" s="4" t="s">
        <v>34</v>
      </c>
      <c r="C25" s="4" t="s">
        <v>35</v>
      </c>
      <c r="D25" s="4" t="s">
        <v>36</v>
      </c>
      <c r="E25" s="5">
        <v>54000</v>
      </c>
      <c r="F25" s="6">
        <v>1845.693</v>
      </c>
      <c r="G25" s="7">
        <v>2.281681E-2</v>
      </c>
      <c r="H25" s="105"/>
    </row>
    <row r="26" spans="1:10" ht="17.100000000000001" customHeight="1" x14ac:dyDescent="0.2">
      <c r="A26" s="3">
        <v>20</v>
      </c>
      <c r="B26" s="4" t="s">
        <v>97</v>
      </c>
      <c r="C26" s="4" t="s">
        <v>98</v>
      </c>
      <c r="D26" s="4" t="s">
        <v>91</v>
      </c>
      <c r="E26" s="5">
        <v>193000</v>
      </c>
      <c r="F26" s="6">
        <v>1766.143</v>
      </c>
      <c r="G26" s="7">
        <v>2.1833399999999999E-2</v>
      </c>
      <c r="H26" s="105"/>
    </row>
    <row r="27" spans="1:10" ht="17.100000000000001" customHeight="1" x14ac:dyDescent="0.2">
      <c r="A27" s="3">
        <v>21</v>
      </c>
      <c r="B27" s="4" t="s">
        <v>355</v>
      </c>
      <c r="C27" s="4" t="s">
        <v>356</v>
      </c>
      <c r="D27" s="4" t="s">
        <v>953</v>
      </c>
      <c r="E27" s="5">
        <v>38000</v>
      </c>
      <c r="F27" s="6">
        <v>1679.3910000000001</v>
      </c>
      <c r="G27" s="7">
        <v>2.076095E-2</v>
      </c>
      <c r="H27" s="105"/>
    </row>
    <row r="28" spans="1:10" ht="17.100000000000001" customHeight="1" x14ac:dyDescent="0.2">
      <c r="A28" s="3">
        <v>22</v>
      </c>
      <c r="B28" s="4" t="s">
        <v>337</v>
      </c>
      <c r="C28" s="4" t="s">
        <v>338</v>
      </c>
      <c r="D28" s="4" t="s">
        <v>223</v>
      </c>
      <c r="E28" s="5">
        <v>463000</v>
      </c>
      <c r="F28" s="6">
        <v>1570.0329999999999</v>
      </c>
      <c r="G28" s="7">
        <v>1.9409050000000001E-2</v>
      </c>
      <c r="H28" s="105"/>
    </row>
    <row r="29" spans="1:10" ht="17.100000000000001" customHeight="1" x14ac:dyDescent="0.2">
      <c r="A29" s="3">
        <v>23</v>
      </c>
      <c r="B29" s="4" t="s">
        <v>85</v>
      </c>
      <c r="C29" s="4" t="s">
        <v>86</v>
      </c>
      <c r="D29" s="4" t="s">
        <v>81</v>
      </c>
      <c r="E29" s="5">
        <v>319788</v>
      </c>
      <c r="F29" s="6">
        <v>1534.9824000000001</v>
      </c>
      <c r="G29" s="7">
        <v>1.897575E-2</v>
      </c>
      <c r="H29" s="105"/>
    </row>
    <row r="30" spans="1:10" ht="17.100000000000001" customHeight="1" x14ac:dyDescent="0.2">
      <c r="A30" s="3">
        <v>24</v>
      </c>
      <c r="B30" s="4" t="s">
        <v>112</v>
      </c>
      <c r="C30" s="4" t="s">
        <v>113</v>
      </c>
      <c r="D30" s="4" t="s">
        <v>36</v>
      </c>
      <c r="E30" s="5">
        <v>1945000</v>
      </c>
      <c r="F30" s="6">
        <v>1524.88</v>
      </c>
      <c r="G30" s="7">
        <v>1.8850860000000001E-2</v>
      </c>
      <c r="H30" s="105"/>
    </row>
    <row r="31" spans="1:10" ht="17.100000000000001" customHeight="1" x14ac:dyDescent="0.2">
      <c r="A31" s="3">
        <v>25</v>
      </c>
      <c r="B31" s="4" t="s">
        <v>200</v>
      </c>
      <c r="C31" s="4" t="s">
        <v>201</v>
      </c>
      <c r="D31" s="4" t="s">
        <v>202</v>
      </c>
      <c r="E31" s="5">
        <v>404000</v>
      </c>
      <c r="F31" s="6">
        <v>1053.6320000000001</v>
      </c>
      <c r="G31" s="7">
        <v>1.3025200000000001E-2</v>
      </c>
      <c r="H31" s="105"/>
    </row>
    <row r="32" spans="1:10" ht="17.100000000000001" customHeight="1" x14ac:dyDescent="0.2">
      <c r="A32" s="3">
        <v>26</v>
      </c>
      <c r="B32" s="4" t="s">
        <v>365</v>
      </c>
      <c r="C32" s="4" t="s">
        <v>366</v>
      </c>
      <c r="D32" s="4" t="s">
        <v>121</v>
      </c>
      <c r="E32" s="5">
        <v>28000</v>
      </c>
      <c r="F32" s="6">
        <v>816.28399999999999</v>
      </c>
      <c r="G32" s="7">
        <v>1.0091060000000001E-2</v>
      </c>
      <c r="H32" s="105"/>
    </row>
    <row r="33" spans="1:8" ht="17.100000000000001" customHeight="1" x14ac:dyDescent="0.2">
      <c r="A33" s="3">
        <v>27</v>
      </c>
      <c r="B33" s="4" t="s">
        <v>269</v>
      </c>
      <c r="C33" s="4" t="s">
        <v>270</v>
      </c>
      <c r="D33" s="4" t="s">
        <v>271</v>
      </c>
      <c r="E33" s="5">
        <v>2000</v>
      </c>
      <c r="F33" s="6">
        <v>806.41399999999999</v>
      </c>
      <c r="G33" s="7">
        <v>9.9690500000000001E-3</v>
      </c>
      <c r="H33" s="105"/>
    </row>
    <row r="34" spans="1:8" ht="17.100000000000001" customHeight="1" x14ac:dyDescent="0.2">
      <c r="A34" s="3">
        <v>28</v>
      </c>
      <c r="B34" s="4" t="s">
        <v>351</v>
      </c>
      <c r="C34" s="4" t="s">
        <v>352</v>
      </c>
      <c r="D34" s="4" t="s">
        <v>202</v>
      </c>
      <c r="E34" s="5">
        <v>157101</v>
      </c>
      <c r="F34" s="6">
        <v>722.74315049999996</v>
      </c>
      <c r="G34" s="7">
        <v>8.9346900000000003E-3</v>
      </c>
      <c r="H34" s="105"/>
    </row>
    <row r="35" spans="1:8" ht="53.1" customHeight="1" x14ac:dyDescent="0.2">
      <c r="A35" s="3">
        <v>29</v>
      </c>
      <c r="B35" s="4" t="s">
        <v>117</v>
      </c>
      <c r="C35" s="4" t="s">
        <v>118</v>
      </c>
      <c r="D35" s="4" t="s">
        <v>52</v>
      </c>
      <c r="E35" s="5">
        <v>48540</v>
      </c>
      <c r="F35" s="6">
        <v>590.61045000000001</v>
      </c>
      <c r="G35" s="7">
        <v>7.3012399999999996E-3</v>
      </c>
      <c r="H35" s="105"/>
    </row>
    <row r="36" spans="1:8" ht="17.100000000000001" customHeight="1" x14ac:dyDescent="0.2">
      <c r="A36" s="3">
        <v>30</v>
      </c>
      <c r="B36" s="4" t="s">
        <v>126</v>
      </c>
      <c r="C36" s="4" t="s">
        <v>127</v>
      </c>
      <c r="D36" s="4" t="s">
        <v>128</v>
      </c>
      <c r="E36" s="5">
        <v>105793</v>
      </c>
      <c r="F36" s="6">
        <v>218.4096485</v>
      </c>
      <c r="G36" s="7">
        <v>2.70002E-3</v>
      </c>
      <c r="H36" s="105"/>
    </row>
    <row r="37" spans="1:8" ht="14.1" customHeight="1" x14ac:dyDescent="0.2">
      <c r="A37" s="1"/>
      <c r="B37" s="1"/>
      <c r="C37" s="2" t="s">
        <v>132</v>
      </c>
      <c r="D37" s="1"/>
      <c r="E37" s="1" t="s">
        <v>133</v>
      </c>
      <c r="F37" s="9">
        <v>71393.461316999994</v>
      </c>
      <c r="G37" s="10">
        <v>0.88257969999999997</v>
      </c>
      <c r="H37" s="105"/>
    </row>
    <row r="38" spans="1:8" ht="14.1" customHeight="1" x14ac:dyDescent="0.2">
      <c r="A38" s="1"/>
      <c r="B38" s="1"/>
      <c r="C38" s="11"/>
      <c r="D38" s="1"/>
      <c r="E38" s="1"/>
      <c r="F38" s="12"/>
      <c r="G38" s="12"/>
      <c r="H38" s="105"/>
    </row>
    <row r="39" spans="1:8" ht="14.1" customHeight="1" x14ac:dyDescent="0.2">
      <c r="A39" s="1"/>
      <c r="B39" s="1"/>
      <c r="C39" s="2" t="s">
        <v>134</v>
      </c>
      <c r="D39" s="1"/>
      <c r="E39" s="1"/>
      <c r="F39" s="1"/>
      <c r="G39" s="1"/>
      <c r="H39" s="105"/>
    </row>
    <row r="40" spans="1:8" ht="14.1" customHeight="1" x14ac:dyDescent="0.2">
      <c r="A40" s="1"/>
      <c r="B40" s="1"/>
      <c r="C40" s="2" t="s">
        <v>132</v>
      </c>
      <c r="D40" s="1"/>
      <c r="E40" s="1" t="s">
        <v>133</v>
      </c>
      <c r="F40" s="13" t="s">
        <v>135</v>
      </c>
      <c r="G40" s="10">
        <v>0</v>
      </c>
      <c r="H40" s="105"/>
    </row>
    <row r="41" spans="1:8" ht="14.1" customHeight="1" x14ac:dyDescent="0.2">
      <c r="A41" s="1"/>
      <c r="B41" s="1"/>
      <c r="C41" s="11"/>
      <c r="D41" s="1"/>
      <c r="E41" s="1"/>
      <c r="F41" s="12"/>
      <c r="G41" s="12"/>
      <c r="H41" s="105"/>
    </row>
    <row r="42" spans="1:8" ht="14.1" customHeight="1" x14ac:dyDescent="0.2">
      <c r="A42" s="1"/>
      <c r="B42" s="1"/>
      <c r="C42" s="2" t="s">
        <v>136</v>
      </c>
      <c r="D42" s="1"/>
      <c r="E42" s="1"/>
      <c r="F42" s="1"/>
      <c r="G42" s="1"/>
      <c r="H42" s="105"/>
    </row>
    <row r="43" spans="1:8" ht="14.1" customHeight="1" x14ac:dyDescent="0.2">
      <c r="A43" s="1"/>
      <c r="B43" s="1"/>
      <c r="C43" s="2" t="s">
        <v>132</v>
      </c>
      <c r="D43" s="1"/>
      <c r="E43" s="1" t="s">
        <v>133</v>
      </c>
      <c r="F43" s="13" t="s">
        <v>135</v>
      </c>
      <c r="G43" s="10">
        <v>0</v>
      </c>
      <c r="H43" s="105"/>
    </row>
    <row r="44" spans="1:8" ht="14.1" customHeight="1" x14ac:dyDescent="0.2">
      <c r="A44" s="1"/>
      <c r="B44" s="1"/>
      <c r="C44" s="11"/>
      <c r="D44" s="1"/>
      <c r="E44" s="1"/>
      <c r="F44" s="12"/>
      <c r="G44" s="12"/>
      <c r="H44" s="105"/>
    </row>
    <row r="45" spans="1:8" ht="14.1" customHeight="1" x14ac:dyDescent="0.2">
      <c r="A45" s="1"/>
      <c r="B45" s="1"/>
      <c r="C45" s="2" t="s">
        <v>137</v>
      </c>
      <c r="D45" s="1"/>
      <c r="E45" s="1"/>
      <c r="F45" s="1"/>
      <c r="G45" s="1"/>
      <c r="H45" s="105"/>
    </row>
    <row r="46" spans="1:8" ht="14.1" customHeight="1" x14ac:dyDescent="0.2">
      <c r="A46" s="1"/>
      <c r="B46" s="1"/>
      <c r="C46" s="2" t="s">
        <v>132</v>
      </c>
      <c r="D46" s="1"/>
      <c r="E46" s="1" t="s">
        <v>133</v>
      </c>
      <c r="F46" s="13" t="s">
        <v>135</v>
      </c>
      <c r="G46" s="10">
        <v>0</v>
      </c>
      <c r="H46" s="105"/>
    </row>
    <row r="47" spans="1:8" ht="14.1" customHeight="1" x14ac:dyDescent="0.2">
      <c r="A47" s="1"/>
      <c r="B47" s="1"/>
      <c r="C47" s="11"/>
      <c r="D47" s="1"/>
      <c r="E47" s="1"/>
      <c r="F47" s="12"/>
      <c r="G47" s="12"/>
      <c r="H47" s="105"/>
    </row>
    <row r="48" spans="1:8" ht="14.1" customHeight="1" x14ac:dyDescent="0.2">
      <c r="A48" s="1"/>
      <c r="B48" s="1"/>
      <c r="C48" s="2" t="s">
        <v>138</v>
      </c>
      <c r="D48" s="1"/>
      <c r="E48" s="1"/>
      <c r="F48" s="12"/>
      <c r="G48" s="12"/>
      <c r="H48" s="105"/>
    </row>
    <row r="49" spans="1:8" ht="14.1" customHeight="1" x14ac:dyDescent="0.2">
      <c r="A49" s="1"/>
      <c r="B49" s="1"/>
      <c r="C49" s="2" t="s">
        <v>132</v>
      </c>
      <c r="D49" s="1"/>
      <c r="E49" s="1" t="s">
        <v>133</v>
      </c>
      <c r="F49" s="13" t="s">
        <v>135</v>
      </c>
      <c r="G49" s="10">
        <v>0</v>
      </c>
      <c r="H49" s="105"/>
    </row>
    <row r="50" spans="1:8" ht="14.1" customHeight="1" x14ac:dyDescent="0.2">
      <c r="A50" s="1"/>
      <c r="B50" s="1"/>
      <c r="C50" s="11"/>
      <c r="D50" s="1"/>
      <c r="E50" s="1"/>
      <c r="F50" s="12"/>
      <c r="G50" s="12"/>
      <c r="H50" s="105"/>
    </row>
    <row r="51" spans="1:8" ht="14.1" customHeight="1" x14ac:dyDescent="0.2">
      <c r="A51" s="1"/>
      <c r="B51" s="1"/>
      <c r="C51" s="2" t="s">
        <v>139</v>
      </c>
      <c r="D51" s="1"/>
      <c r="E51" s="1"/>
      <c r="F51" s="12"/>
      <c r="G51" s="12"/>
      <c r="H51" s="105"/>
    </row>
    <row r="52" spans="1:8" ht="14.1" customHeight="1" x14ac:dyDescent="0.2">
      <c r="A52" s="1"/>
      <c r="B52" s="1"/>
      <c r="C52" s="2" t="s">
        <v>132</v>
      </c>
      <c r="D52" s="1"/>
      <c r="E52" s="1" t="s">
        <v>133</v>
      </c>
      <c r="F52" s="13" t="s">
        <v>135</v>
      </c>
      <c r="G52" s="10">
        <v>0</v>
      </c>
      <c r="H52" s="105"/>
    </row>
    <row r="53" spans="1:8" ht="14.1" customHeight="1" x14ac:dyDescent="0.2">
      <c r="A53" s="1"/>
      <c r="B53" s="1"/>
      <c r="C53" s="11"/>
      <c r="D53" s="1"/>
      <c r="E53" s="1"/>
      <c r="F53" s="12"/>
      <c r="G53" s="12"/>
      <c r="H53" s="105"/>
    </row>
    <row r="54" spans="1:8" ht="18" customHeight="1" x14ac:dyDescent="0.2">
      <c r="A54" s="1"/>
      <c r="B54" s="1"/>
      <c r="C54" s="2" t="s">
        <v>140</v>
      </c>
      <c r="D54" s="1"/>
      <c r="E54" s="1"/>
      <c r="F54" s="9">
        <v>71393.461316999994</v>
      </c>
      <c r="G54" s="10">
        <v>0.88257969999999997</v>
      </c>
      <c r="H54" s="105"/>
    </row>
    <row r="55" spans="1:8" ht="14.1" customHeight="1" x14ac:dyDescent="0.2">
      <c r="A55" s="1"/>
      <c r="B55" s="1"/>
      <c r="C55" s="11"/>
      <c r="D55" s="1"/>
      <c r="E55" s="1"/>
      <c r="F55" s="12"/>
      <c r="G55" s="12"/>
      <c r="H55" s="105"/>
    </row>
    <row r="56" spans="1:8" ht="14.1" customHeight="1" x14ac:dyDescent="0.2">
      <c r="A56" s="1"/>
      <c r="B56" s="1"/>
      <c r="C56" s="2" t="s">
        <v>141</v>
      </c>
      <c r="D56" s="1"/>
      <c r="E56" s="1"/>
      <c r="F56" s="12"/>
      <c r="G56" s="12"/>
      <c r="H56" s="105"/>
    </row>
    <row r="57" spans="1:8" ht="24" customHeight="1" x14ac:dyDescent="0.2">
      <c r="A57" s="1"/>
      <c r="B57" s="1"/>
      <c r="C57" s="2" t="s">
        <v>10</v>
      </c>
      <c r="D57" s="1"/>
      <c r="E57" s="1"/>
      <c r="F57" s="12"/>
      <c r="G57" s="12"/>
      <c r="H57" s="105"/>
    </row>
    <row r="58" spans="1:8" ht="14.1" customHeight="1" x14ac:dyDescent="0.2">
      <c r="A58" s="1"/>
      <c r="B58" s="1"/>
      <c r="C58" s="2" t="s">
        <v>132</v>
      </c>
      <c r="D58" s="1"/>
      <c r="E58" s="1" t="s">
        <v>133</v>
      </c>
      <c r="F58" s="13" t="s">
        <v>135</v>
      </c>
      <c r="G58" s="10">
        <v>0</v>
      </c>
      <c r="H58" s="105"/>
    </row>
    <row r="59" spans="1:8" ht="14.1" customHeight="1" x14ac:dyDescent="0.2">
      <c r="A59" s="1"/>
      <c r="B59" s="1"/>
      <c r="C59" s="11"/>
      <c r="D59" s="1"/>
      <c r="E59" s="1"/>
      <c r="F59" s="12"/>
      <c r="G59" s="12"/>
      <c r="H59" s="105"/>
    </row>
    <row r="60" spans="1:8" ht="14.1" customHeight="1" x14ac:dyDescent="0.2">
      <c r="A60" s="1"/>
      <c r="B60" s="1"/>
      <c r="C60" s="2" t="s">
        <v>142</v>
      </c>
      <c r="D60" s="1"/>
      <c r="E60" s="1"/>
      <c r="F60" s="1"/>
      <c r="G60" s="1"/>
      <c r="H60" s="105"/>
    </row>
    <row r="61" spans="1:8" ht="14.1" customHeight="1" x14ac:dyDescent="0.2">
      <c r="A61" s="1"/>
      <c r="B61" s="1"/>
      <c r="C61" s="2" t="s">
        <v>132</v>
      </c>
      <c r="D61" s="1"/>
      <c r="E61" s="1" t="s">
        <v>133</v>
      </c>
      <c r="F61" s="13" t="s">
        <v>135</v>
      </c>
      <c r="G61" s="10">
        <v>0</v>
      </c>
      <c r="H61" s="105"/>
    </row>
    <row r="62" spans="1:8" ht="14.1" customHeight="1" x14ac:dyDescent="0.2">
      <c r="A62" s="1"/>
      <c r="B62" s="1"/>
      <c r="C62" s="11"/>
      <c r="D62" s="1"/>
      <c r="E62" s="1"/>
      <c r="F62" s="12"/>
      <c r="G62" s="12"/>
      <c r="H62" s="105"/>
    </row>
    <row r="63" spans="1:8" ht="14.1" customHeight="1" x14ac:dyDescent="0.2">
      <c r="A63" s="1"/>
      <c r="B63" s="1"/>
      <c r="C63" s="2" t="s">
        <v>143</v>
      </c>
      <c r="D63" s="1"/>
      <c r="E63" s="1"/>
      <c r="F63" s="1"/>
      <c r="G63" s="1"/>
      <c r="H63" s="105"/>
    </row>
    <row r="64" spans="1:8" ht="14.1" customHeight="1" x14ac:dyDescent="0.2">
      <c r="A64" s="1"/>
      <c r="B64" s="1"/>
      <c r="C64" s="2" t="s">
        <v>132</v>
      </c>
      <c r="D64" s="1"/>
      <c r="E64" s="1" t="s">
        <v>133</v>
      </c>
      <c r="F64" s="13" t="s">
        <v>135</v>
      </c>
      <c r="G64" s="10">
        <v>0</v>
      </c>
      <c r="H64" s="105"/>
    </row>
    <row r="65" spans="1:8" ht="14.1" customHeight="1" x14ac:dyDescent="0.2">
      <c r="A65" s="1"/>
      <c r="B65" s="1"/>
      <c r="C65" s="11"/>
      <c r="D65" s="1"/>
      <c r="E65" s="1"/>
      <c r="F65" s="12"/>
      <c r="G65" s="12"/>
      <c r="H65" s="105"/>
    </row>
    <row r="66" spans="1:8" ht="14.1" customHeight="1" x14ac:dyDescent="0.2">
      <c r="A66" s="1"/>
      <c r="B66" s="1"/>
      <c r="C66" s="2" t="s">
        <v>144</v>
      </c>
      <c r="D66" s="1"/>
      <c r="E66" s="1"/>
      <c r="F66" s="12"/>
      <c r="G66" s="12"/>
      <c r="H66" s="105"/>
    </row>
    <row r="67" spans="1:8" ht="14.1" customHeight="1" x14ac:dyDescent="0.2">
      <c r="A67" s="1"/>
      <c r="B67" s="1"/>
      <c r="C67" s="2" t="s">
        <v>132</v>
      </c>
      <c r="D67" s="1"/>
      <c r="E67" s="1" t="s">
        <v>133</v>
      </c>
      <c r="F67" s="13" t="s">
        <v>135</v>
      </c>
      <c r="G67" s="10">
        <v>0</v>
      </c>
      <c r="H67" s="105"/>
    </row>
    <row r="68" spans="1:8" ht="14.1" customHeight="1" x14ac:dyDescent="0.2">
      <c r="A68" s="1"/>
      <c r="B68" s="1"/>
      <c r="C68" s="11"/>
      <c r="D68" s="1"/>
      <c r="E68" s="1"/>
      <c r="F68" s="12"/>
      <c r="G68" s="12"/>
      <c r="H68" s="105"/>
    </row>
    <row r="69" spans="1:8" ht="14.1" customHeight="1" x14ac:dyDescent="0.2">
      <c r="A69" s="1"/>
      <c r="B69" s="1"/>
      <c r="C69" s="2" t="s">
        <v>145</v>
      </c>
      <c r="D69" s="1"/>
      <c r="E69" s="1"/>
      <c r="F69" s="9">
        <v>0</v>
      </c>
      <c r="G69" s="10">
        <v>0</v>
      </c>
      <c r="H69" s="105"/>
    </row>
    <row r="70" spans="1:8" ht="14.1" customHeight="1" x14ac:dyDescent="0.2">
      <c r="A70" s="1"/>
      <c r="B70" s="1"/>
      <c r="C70" s="11"/>
      <c r="D70" s="1"/>
      <c r="E70" s="1"/>
      <c r="F70" s="12"/>
      <c r="G70" s="12"/>
      <c r="H70" s="105"/>
    </row>
    <row r="71" spans="1:8" ht="14.1" customHeight="1" x14ac:dyDescent="0.2">
      <c r="A71" s="1"/>
      <c r="B71" s="1"/>
      <c r="C71" s="2" t="s">
        <v>146</v>
      </c>
      <c r="D71" s="1"/>
      <c r="E71" s="1"/>
      <c r="F71" s="12"/>
      <c r="G71" s="12"/>
      <c r="H71" s="105"/>
    </row>
    <row r="72" spans="1:8" ht="14.1" customHeight="1" x14ac:dyDescent="0.2">
      <c r="A72" s="1"/>
      <c r="B72" s="1"/>
      <c r="C72" s="2" t="s">
        <v>147</v>
      </c>
      <c r="D72" s="1"/>
      <c r="E72" s="1"/>
      <c r="F72" s="12"/>
      <c r="G72" s="12"/>
      <c r="H72" s="105"/>
    </row>
    <row r="73" spans="1:8" ht="14.1" customHeight="1" x14ac:dyDescent="0.2">
      <c r="A73" s="1"/>
      <c r="B73" s="1"/>
      <c r="C73" s="2" t="s">
        <v>132</v>
      </c>
      <c r="D73" s="1"/>
      <c r="E73" s="1" t="s">
        <v>133</v>
      </c>
      <c r="F73" s="13" t="s">
        <v>135</v>
      </c>
      <c r="G73" s="10">
        <v>0</v>
      </c>
      <c r="H73" s="105"/>
    </row>
    <row r="74" spans="1:8" ht="14.1" customHeight="1" x14ac:dyDescent="0.2">
      <c r="A74" s="1"/>
      <c r="B74" s="1"/>
      <c r="C74" s="11"/>
      <c r="D74" s="1"/>
      <c r="E74" s="1"/>
      <c r="F74" s="12"/>
      <c r="G74" s="12"/>
      <c r="H74" s="105"/>
    </row>
    <row r="75" spans="1:8" ht="14.1" customHeight="1" x14ac:dyDescent="0.2">
      <c r="A75" s="1"/>
      <c r="B75" s="1"/>
      <c r="C75" s="2" t="s">
        <v>148</v>
      </c>
      <c r="D75" s="1"/>
      <c r="E75" s="1"/>
      <c r="F75" s="12"/>
      <c r="G75" s="12"/>
      <c r="H75" s="105"/>
    </row>
    <row r="76" spans="1:8" ht="14.1" customHeight="1" x14ac:dyDescent="0.2">
      <c r="A76" s="1"/>
      <c r="B76" s="1"/>
      <c r="C76" s="2" t="s">
        <v>132</v>
      </c>
      <c r="D76" s="1"/>
      <c r="E76" s="1" t="s">
        <v>133</v>
      </c>
      <c r="F76" s="13" t="s">
        <v>135</v>
      </c>
      <c r="G76" s="10">
        <v>0</v>
      </c>
      <c r="H76" s="105"/>
    </row>
    <row r="77" spans="1:8" ht="14.1" customHeight="1" x14ac:dyDescent="0.2">
      <c r="A77" s="1"/>
      <c r="B77" s="1"/>
      <c r="C77" s="11"/>
      <c r="D77" s="1"/>
      <c r="E77" s="1"/>
      <c r="F77" s="12"/>
      <c r="G77" s="12"/>
      <c r="H77" s="105"/>
    </row>
    <row r="78" spans="1:8" ht="14.1" customHeight="1" x14ac:dyDescent="0.2">
      <c r="A78" s="1"/>
      <c r="B78" s="1"/>
      <c r="C78" s="2" t="s">
        <v>149</v>
      </c>
      <c r="D78" s="1"/>
      <c r="E78" s="1"/>
      <c r="F78" s="12"/>
      <c r="G78" s="12"/>
      <c r="H78" s="105"/>
    </row>
    <row r="79" spans="1:8" ht="14.1" customHeight="1" x14ac:dyDescent="0.2">
      <c r="A79" s="1"/>
      <c r="B79" s="1"/>
      <c r="C79" s="2" t="s">
        <v>132</v>
      </c>
      <c r="D79" s="1"/>
      <c r="E79" s="1" t="s">
        <v>133</v>
      </c>
      <c r="F79" s="13" t="s">
        <v>135</v>
      </c>
      <c r="G79" s="10">
        <v>0</v>
      </c>
      <c r="H79" s="105"/>
    </row>
    <row r="80" spans="1:8" ht="14.1" customHeight="1" x14ac:dyDescent="0.2">
      <c r="A80" s="1"/>
      <c r="B80" s="1"/>
      <c r="C80" s="11"/>
      <c r="D80" s="1"/>
      <c r="E80" s="1"/>
      <c r="F80" s="12"/>
      <c r="G80" s="12"/>
      <c r="H80" s="105"/>
    </row>
    <row r="81" spans="1:8" ht="14.1" customHeight="1" x14ac:dyDescent="0.2">
      <c r="A81" s="1"/>
      <c r="B81" s="1"/>
      <c r="C81" s="2" t="s">
        <v>150</v>
      </c>
      <c r="D81" s="1"/>
      <c r="E81" s="1"/>
      <c r="F81" s="12"/>
      <c r="G81" s="12"/>
      <c r="H81" s="105"/>
    </row>
    <row r="82" spans="1:8" ht="17.100000000000001" customHeight="1" x14ac:dyDescent="0.2">
      <c r="A82" s="3">
        <v>1</v>
      </c>
      <c r="B82" s="4"/>
      <c r="C82" s="4" t="s">
        <v>151</v>
      </c>
      <c r="D82" s="4"/>
      <c r="E82" s="8"/>
      <c r="F82" s="6">
        <v>8307.8017863000005</v>
      </c>
      <c r="G82" s="7">
        <v>0.10270264</v>
      </c>
      <c r="H82" s="105">
        <v>6.8153352377542396</v>
      </c>
    </row>
    <row r="83" spans="1:8" ht="17.100000000000001" customHeight="1" x14ac:dyDescent="0.2">
      <c r="A83" s="3">
        <v>2</v>
      </c>
      <c r="B83" s="4"/>
      <c r="C83" s="4" t="s">
        <v>152</v>
      </c>
      <c r="D83" s="4"/>
      <c r="E83" s="8"/>
      <c r="F83" s="6">
        <v>985.85567069599995</v>
      </c>
      <c r="G83" s="7">
        <v>1.218734E-2</v>
      </c>
      <c r="H83" s="105">
        <v>6.7952403714590259</v>
      </c>
    </row>
    <row r="84" spans="1:8" ht="14.1" customHeight="1" x14ac:dyDescent="0.2">
      <c r="A84" s="1"/>
      <c r="B84" s="1"/>
      <c r="C84" s="2" t="s">
        <v>132</v>
      </c>
      <c r="D84" s="1"/>
      <c r="E84" s="1" t="s">
        <v>133</v>
      </c>
      <c r="F84" s="9">
        <v>9293.6574569959994</v>
      </c>
      <c r="G84" s="10">
        <v>0.11488998</v>
      </c>
      <c r="H84" s="105"/>
    </row>
    <row r="85" spans="1:8" ht="14.1" customHeight="1" x14ac:dyDescent="0.2">
      <c r="A85" s="1"/>
      <c r="B85" s="1"/>
      <c r="C85" s="11"/>
      <c r="D85" s="1"/>
      <c r="E85" s="1"/>
      <c r="F85" s="12"/>
      <c r="G85" s="12"/>
      <c r="H85" s="105"/>
    </row>
    <row r="86" spans="1:8" ht="14.1" customHeight="1" x14ac:dyDescent="0.2">
      <c r="A86" s="1"/>
      <c r="B86" s="1"/>
      <c r="C86" s="2" t="s">
        <v>153</v>
      </c>
      <c r="D86" s="1"/>
      <c r="E86" s="1"/>
      <c r="F86" s="9">
        <v>9293.6574569959994</v>
      </c>
      <c r="G86" s="10">
        <v>0.11488998</v>
      </c>
      <c r="H86" s="105"/>
    </row>
    <row r="87" spans="1:8" ht="14.1" customHeight="1" x14ac:dyDescent="0.2">
      <c r="A87" s="1"/>
      <c r="B87" s="1"/>
      <c r="C87" s="12"/>
      <c r="D87" s="1"/>
      <c r="E87" s="1"/>
      <c r="F87" s="1"/>
      <c r="G87" s="1"/>
      <c r="H87" s="105"/>
    </row>
    <row r="88" spans="1:8" ht="14.1" customHeight="1" x14ac:dyDescent="0.2">
      <c r="A88" s="1"/>
      <c r="B88" s="1"/>
      <c r="C88" s="2" t="s">
        <v>154</v>
      </c>
      <c r="D88" s="1"/>
      <c r="E88" s="1"/>
      <c r="F88" s="1"/>
      <c r="G88" s="1"/>
      <c r="H88" s="105"/>
    </row>
    <row r="89" spans="1:8" ht="14.1" customHeight="1" x14ac:dyDescent="0.2">
      <c r="A89" s="1"/>
      <c r="B89" s="1"/>
      <c r="C89" s="2" t="s">
        <v>155</v>
      </c>
      <c r="D89" s="1"/>
      <c r="E89" s="1"/>
      <c r="F89" s="1"/>
      <c r="G89" s="1"/>
      <c r="H89" s="105"/>
    </row>
    <row r="90" spans="1:8" ht="14.1" customHeight="1" x14ac:dyDescent="0.2">
      <c r="A90" s="1"/>
      <c r="B90" s="1"/>
      <c r="C90" s="2" t="s">
        <v>132</v>
      </c>
      <c r="D90" s="1"/>
      <c r="E90" s="1" t="s">
        <v>133</v>
      </c>
      <c r="F90" s="13" t="s">
        <v>135</v>
      </c>
      <c r="G90" s="10">
        <v>0</v>
      </c>
      <c r="H90" s="105"/>
    </row>
    <row r="91" spans="1:8" ht="14.1" customHeight="1" x14ac:dyDescent="0.2">
      <c r="A91" s="1"/>
      <c r="B91" s="1"/>
      <c r="C91" s="11"/>
      <c r="D91" s="1"/>
      <c r="E91" s="1"/>
      <c r="F91" s="12"/>
      <c r="G91" s="12"/>
      <c r="H91" s="105"/>
    </row>
    <row r="92" spans="1:8" ht="14.1" customHeight="1" x14ac:dyDescent="0.2">
      <c r="A92" s="1"/>
      <c r="B92" s="1"/>
      <c r="C92" s="2" t="s">
        <v>156</v>
      </c>
      <c r="D92" s="1"/>
      <c r="E92" s="1"/>
      <c r="F92" s="1"/>
      <c r="G92" s="1"/>
      <c r="H92" s="105"/>
    </row>
    <row r="93" spans="1:8" ht="14.1" customHeight="1" x14ac:dyDescent="0.2">
      <c r="A93" s="1"/>
      <c r="B93" s="1"/>
      <c r="C93" s="2" t="s">
        <v>157</v>
      </c>
      <c r="D93" s="1"/>
      <c r="E93" s="1"/>
      <c r="F93" s="1"/>
      <c r="G93" s="1"/>
      <c r="H93" s="105"/>
    </row>
    <row r="94" spans="1:8" ht="14.1" customHeight="1" x14ac:dyDescent="0.2">
      <c r="A94" s="1"/>
      <c r="B94" s="1"/>
      <c r="C94" s="2" t="s">
        <v>132</v>
      </c>
      <c r="D94" s="1"/>
      <c r="E94" s="1" t="s">
        <v>133</v>
      </c>
      <c r="F94" s="13" t="s">
        <v>135</v>
      </c>
      <c r="G94" s="10">
        <v>0</v>
      </c>
      <c r="H94" s="105"/>
    </row>
    <row r="95" spans="1:8" ht="14.1" customHeight="1" x14ac:dyDescent="0.2">
      <c r="A95" s="1"/>
      <c r="B95" s="1"/>
      <c r="C95" s="11"/>
      <c r="D95" s="1"/>
      <c r="E95" s="1"/>
      <c r="F95" s="12"/>
      <c r="G95" s="12"/>
      <c r="H95" s="105"/>
    </row>
    <row r="96" spans="1:8" ht="24" customHeight="1" x14ac:dyDescent="0.2">
      <c r="A96" s="1"/>
      <c r="B96" s="1"/>
      <c r="C96" s="2" t="s">
        <v>158</v>
      </c>
      <c r="D96" s="1"/>
      <c r="E96" s="1"/>
      <c r="F96" s="12"/>
      <c r="G96" s="12"/>
      <c r="H96" s="105"/>
    </row>
    <row r="97" spans="1:8" ht="14.1" customHeight="1" x14ac:dyDescent="0.2">
      <c r="A97" s="1"/>
      <c r="B97" s="1"/>
      <c r="C97" s="2" t="s">
        <v>132</v>
      </c>
      <c r="D97" s="1"/>
      <c r="E97" s="1" t="s">
        <v>133</v>
      </c>
      <c r="F97" s="13" t="s">
        <v>135</v>
      </c>
      <c r="G97" s="10">
        <v>0</v>
      </c>
      <c r="H97" s="105"/>
    </row>
    <row r="98" spans="1:8" ht="14.1" customHeight="1" x14ac:dyDescent="0.2">
      <c r="A98" s="1"/>
      <c r="B98" s="1"/>
      <c r="C98" s="11"/>
      <c r="D98" s="1"/>
      <c r="E98" s="1"/>
      <c r="F98" s="12"/>
      <c r="G98" s="12"/>
      <c r="H98" s="105"/>
    </row>
    <row r="99" spans="1:8" ht="14.1" customHeight="1" x14ac:dyDescent="0.2">
      <c r="A99" s="1"/>
      <c r="B99" s="4"/>
      <c r="C99" s="4"/>
      <c r="D99" s="2"/>
      <c r="E99" s="1"/>
      <c r="F99" s="4"/>
      <c r="G99" s="8"/>
      <c r="H99" s="105"/>
    </row>
    <row r="100" spans="1:8" ht="18" customHeight="1" x14ac:dyDescent="0.2">
      <c r="A100" s="8"/>
      <c r="B100" s="4"/>
      <c r="C100" s="4" t="s">
        <v>159</v>
      </c>
      <c r="D100" s="4"/>
      <c r="E100" s="8"/>
      <c r="F100" s="6">
        <v>204.68278090000001</v>
      </c>
      <c r="G100" s="7">
        <v>2.5303299999999999E-3</v>
      </c>
      <c r="H100" s="105"/>
    </row>
    <row r="101" spans="1:8" ht="14.1" customHeight="1" x14ac:dyDescent="0.2">
      <c r="A101" s="11"/>
      <c r="B101" s="11"/>
      <c r="C101" s="2" t="s">
        <v>160</v>
      </c>
      <c r="D101" s="12"/>
      <c r="E101" s="12"/>
      <c r="F101" s="9">
        <v>80891.801554895996</v>
      </c>
      <c r="G101" s="14">
        <v>1.0000000099999999</v>
      </c>
      <c r="H101" s="105"/>
    </row>
    <row r="102" spans="1:8" ht="14.1" customHeight="1" x14ac:dyDescent="0.2">
      <c r="A102" s="15"/>
      <c r="B102" s="15"/>
      <c r="C102" s="15"/>
      <c r="D102" s="16"/>
      <c r="E102" s="16"/>
      <c r="F102" s="16"/>
      <c r="G102" s="16"/>
    </row>
    <row r="103" spans="1:8" ht="14.1" customHeight="1" x14ac:dyDescent="0.2">
      <c r="A103" s="17"/>
      <c r="B103" s="17"/>
      <c r="C103" s="17"/>
      <c r="D103" s="19"/>
      <c r="E103" s="19"/>
      <c r="F103" s="19"/>
      <c r="G103" s="19"/>
    </row>
    <row r="104" spans="1:8" ht="14.1" customHeight="1" x14ac:dyDescent="0.2">
      <c r="A104" s="17"/>
      <c r="B104" s="179" t="s">
        <v>162</v>
      </c>
      <c r="C104" s="180"/>
      <c r="D104" s="181"/>
      <c r="E104" s="20"/>
      <c r="F104" s="19"/>
      <c r="G104" s="19"/>
    </row>
    <row r="105" spans="1:8" ht="29.1" customHeight="1" x14ac:dyDescent="0.2">
      <c r="A105" s="17"/>
      <c r="B105" s="176" t="s">
        <v>163</v>
      </c>
      <c r="C105" s="177"/>
      <c r="D105" s="2" t="s">
        <v>164</v>
      </c>
      <c r="E105" s="20"/>
      <c r="F105" s="19"/>
      <c r="G105" s="19"/>
    </row>
    <row r="106" spans="1:8" ht="17.100000000000001" customHeight="1" x14ac:dyDescent="0.2">
      <c r="A106" s="17"/>
      <c r="B106" s="176" t="s">
        <v>165</v>
      </c>
      <c r="C106" s="177"/>
      <c r="D106" s="2" t="s">
        <v>164</v>
      </c>
      <c r="E106" s="20"/>
      <c r="F106" s="19"/>
      <c r="G106" s="19"/>
    </row>
    <row r="107" spans="1:8" ht="17.100000000000001" customHeight="1" x14ac:dyDescent="0.2">
      <c r="A107" s="17"/>
      <c r="B107" s="176" t="s">
        <v>166</v>
      </c>
      <c r="C107" s="177"/>
      <c r="D107" s="12" t="s">
        <v>133</v>
      </c>
      <c r="E107" s="20"/>
      <c r="F107" s="19"/>
      <c r="G107" s="19"/>
    </row>
    <row r="108" spans="1:8" ht="24" customHeight="1" x14ac:dyDescent="0.2">
      <c r="A108" s="21"/>
      <c r="B108" s="22" t="s">
        <v>133</v>
      </c>
      <c r="C108" s="22" t="s">
        <v>167</v>
      </c>
      <c r="D108" s="22" t="s">
        <v>168</v>
      </c>
      <c r="E108" s="21"/>
      <c r="F108" s="21"/>
      <c r="G108" s="21"/>
    </row>
    <row r="109" spans="1:8" ht="18" customHeight="1" x14ac:dyDescent="0.2">
      <c r="A109" s="21"/>
      <c r="B109" s="23" t="s">
        <v>169</v>
      </c>
      <c r="C109" s="22" t="s">
        <v>170</v>
      </c>
      <c r="D109" s="22" t="s">
        <v>171</v>
      </c>
      <c r="E109" s="21"/>
      <c r="F109" s="21"/>
      <c r="G109" s="21"/>
    </row>
    <row r="110" spans="1:8" ht="17.100000000000001" customHeight="1" x14ac:dyDescent="0.2">
      <c r="A110" s="21"/>
      <c r="B110" s="4" t="s">
        <v>172</v>
      </c>
      <c r="C110" s="24">
        <v>113.48</v>
      </c>
      <c r="D110" s="24">
        <v>118.68129999999999</v>
      </c>
      <c r="E110" s="21"/>
      <c r="F110" s="18"/>
      <c r="G110" s="25"/>
    </row>
    <row r="111" spans="1:8" ht="29.1" customHeight="1" x14ac:dyDescent="0.2">
      <c r="A111" s="21"/>
      <c r="B111" s="4" t="s">
        <v>1009</v>
      </c>
      <c r="C111" s="24">
        <v>33.405999999999999</v>
      </c>
      <c r="D111" s="24">
        <v>34.937199999999997</v>
      </c>
      <c r="E111" s="21"/>
      <c r="F111" s="18"/>
      <c r="G111" s="25"/>
    </row>
    <row r="112" spans="1:8" ht="17.100000000000001" customHeight="1" x14ac:dyDescent="0.2">
      <c r="A112" s="21"/>
      <c r="B112" s="4" t="s">
        <v>173</v>
      </c>
      <c r="C112" s="24">
        <v>104.88890000000001</v>
      </c>
      <c r="D112" s="24">
        <v>109.5986</v>
      </c>
      <c r="E112" s="21"/>
      <c r="F112" s="18"/>
      <c r="G112" s="25"/>
    </row>
    <row r="113" spans="1:7" ht="29.1" customHeight="1" x14ac:dyDescent="0.2">
      <c r="A113" s="21"/>
      <c r="B113" s="4" t="s">
        <v>1010</v>
      </c>
      <c r="C113" s="24">
        <v>31.449000000000002</v>
      </c>
      <c r="D113" s="24">
        <v>32.8611</v>
      </c>
      <c r="E113" s="21"/>
      <c r="F113" s="18"/>
      <c r="G113" s="25"/>
    </row>
    <row r="114" spans="1:7" ht="14.1" customHeight="1" x14ac:dyDescent="0.2">
      <c r="A114" s="21"/>
      <c r="B114" s="21"/>
      <c r="C114" s="21"/>
      <c r="D114" s="21"/>
      <c r="E114" s="21"/>
      <c r="F114" s="21"/>
      <c r="G114" s="21"/>
    </row>
    <row r="115" spans="1:7" ht="17.100000000000001" customHeight="1" x14ac:dyDescent="0.2">
      <c r="A115" s="21"/>
      <c r="B115" s="176" t="s">
        <v>1008</v>
      </c>
      <c r="C115" s="177"/>
      <c r="D115" s="2" t="s">
        <v>164</v>
      </c>
      <c r="E115" s="21"/>
      <c r="F115" s="21"/>
      <c r="G115" s="21"/>
    </row>
    <row r="116" spans="1:7" ht="18" customHeight="1" x14ac:dyDescent="0.2">
      <c r="A116" s="21"/>
      <c r="B116" s="26"/>
      <c r="C116" s="26"/>
      <c r="D116" s="26"/>
      <c r="E116" s="21"/>
      <c r="F116" s="21"/>
      <c r="G116" s="21"/>
    </row>
    <row r="117" spans="1:7" ht="29.1" customHeight="1" x14ac:dyDescent="0.2">
      <c r="A117" s="21"/>
      <c r="B117" s="176" t="s">
        <v>174</v>
      </c>
      <c r="C117" s="177"/>
      <c r="D117" s="2" t="s">
        <v>164</v>
      </c>
      <c r="E117" s="27"/>
      <c r="F117" s="21"/>
      <c r="G117" s="21"/>
    </row>
    <row r="118" spans="1:7" ht="29.1" customHeight="1" x14ac:dyDescent="0.2">
      <c r="A118" s="21"/>
      <c r="B118" s="176" t="s">
        <v>175</v>
      </c>
      <c r="C118" s="177"/>
      <c r="D118" s="2" t="s">
        <v>164</v>
      </c>
      <c r="E118" s="27"/>
      <c r="F118" s="21"/>
      <c r="G118" s="21"/>
    </row>
    <row r="119" spans="1:7" ht="17.100000000000001" customHeight="1" x14ac:dyDescent="0.2">
      <c r="A119" s="21"/>
      <c r="B119" s="176" t="s">
        <v>176</v>
      </c>
      <c r="C119" s="177"/>
      <c r="D119" s="2" t="s">
        <v>164</v>
      </c>
      <c r="E119" s="27"/>
      <c r="F119" s="21"/>
      <c r="G119" s="21"/>
    </row>
    <row r="120" spans="1:7" ht="17.100000000000001" customHeight="1" x14ac:dyDescent="0.2">
      <c r="A120" s="21"/>
      <c r="B120" s="176" t="s">
        <v>177</v>
      </c>
      <c r="C120" s="177"/>
      <c r="D120" s="60">
        <v>0.2897387788820156</v>
      </c>
      <c r="E120" s="21"/>
      <c r="F120" s="18"/>
      <c r="G120" s="25"/>
    </row>
  </sheetData>
  <mergeCells count="13">
    <mergeCell ref="B120:C120"/>
    <mergeCell ref="B106:C106"/>
    <mergeCell ref="B107:C107"/>
    <mergeCell ref="B115:C115"/>
    <mergeCell ref="B117:C117"/>
    <mergeCell ref="B118:C118"/>
    <mergeCell ref="B119:C119"/>
    <mergeCell ref="J2:N2"/>
    <mergeCell ref="B105:C105"/>
    <mergeCell ref="B104:D104"/>
    <mergeCell ref="A1:H1"/>
    <mergeCell ref="A2:H2"/>
    <mergeCell ref="A3:H3"/>
  </mergeCells>
  <hyperlinks>
    <hyperlink ref="I1" location="Index!B26" display="Index" xr:uid="{CE89E016-6A93-4259-8A69-C99BB190B1B4}"/>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outlinePr summaryBelow="0" summaryRight="0"/>
  </sheetPr>
  <dimension ref="A1:O165"/>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5" ht="18" customHeight="1" x14ac:dyDescent="0.2">
      <c r="A1" s="182" t="s">
        <v>0</v>
      </c>
      <c r="B1" s="182"/>
      <c r="C1" s="182"/>
      <c r="D1" s="182"/>
      <c r="E1" s="182"/>
      <c r="F1" s="182"/>
      <c r="G1" s="182"/>
      <c r="H1" s="182"/>
      <c r="I1" s="159" t="s">
        <v>1044</v>
      </c>
    </row>
    <row r="2" spans="1:15" ht="17.100000000000001" customHeight="1" x14ac:dyDescent="0.2">
      <c r="A2" s="183" t="s">
        <v>723</v>
      </c>
      <c r="B2" s="184"/>
      <c r="C2" s="184"/>
      <c r="D2" s="184"/>
      <c r="E2" s="184"/>
      <c r="F2" s="184"/>
      <c r="G2" s="184"/>
      <c r="H2" s="185"/>
      <c r="J2" s="175" t="s">
        <v>1045</v>
      </c>
      <c r="K2" s="175"/>
      <c r="L2" s="175"/>
      <c r="M2" s="175"/>
      <c r="N2" s="175"/>
    </row>
    <row r="3" spans="1:15" ht="21" customHeight="1" x14ac:dyDescent="0.2">
      <c r="A3" s="182" t="s">
        <v>1016</v>
      </c>
      <c r="B3" s="182"/>
      <c r="C3" s="182"/>
      <c r="D3" s="182"/>
      <c r="E3" s="182"/>
      <c r="F3" s="182"/>
      <c r="G3" s="182"/>
      <c r="H3" s="182"/>
    </row>
    <row r="4" spans="1:15" ht="30" x14ac:dyDescent="0.2">
      <c r="A4" s="107" t="s">
        <v>2</v>
      </c>
      <c r="B4" s="107" t="s">
        <v>3</v>
      </c>
      <c r="C4" s="107" t="s">
        <v>4</v>
      </c>
      <c r="D4" s="107" t="s">
        <v>5</v>
      </c>
      <c r="E4" s="107" t="s">
        <v>6</v>
      </c>
      <c r="F4" s="107" t="s">
        <v>7</v>
      </c>
      <c r="G4" s="107" t="s">
        <v>8</v>
      </c>
      <c r="H4" s="104" t="s">
        <v>1003</v>
      </c>
      <c r="I4" s="108"/>
      <c r="J4" s="108"/>
      <c r="K4" s="108"/>
      <c r="L4" s="108"/>
      <c r="M4" s="108"/>
      <c r="N4" s="108"/>
      <c r="O4" s="108"/>
    </row>
    <row r="5" spans="1:15" ht="14.1" customHeight="1" x14ac:dyDescent="0.2">
      <c r="A5" s="1"/>
      <c r="B5" s="1"/>
      <c r="C5" s="2" t="s">
        <v>9</v>
      </c>
      <c r="D5" s="1"/>
      <c r="E5" s="1"/>
      <c r="F5" s="1"/>
      <c r="G5" s="1"/>
      <c r="H5" s="105"/>
    </row>
    <row r="6" spans="1:15" ht="24" customHeight="1" x14ac:dyDescent="0.2">
      <c r="A6" s="1"/>
      <c r="B6" s="1"/>
      <c r="C6" s="2" t="s">
        <v>10</v>
      </c>
      <c r="D6" s="1"/>
      <c r="E6" s="1"/>
      <c r="F6" s="1"/>
      <c r="G6" s="1"/>
      <c r="H6" s="105"/>
    </row>
    <row r="7" spans="1:15" ht="17.100000000000001" customHeight="1" x14ac:dyDescent="0.2">
      <c r="A7" s="3">
        <v>1</v>
      </c>
      <c r="B7" s="4" t="s">
        <v>23</v>
      </c>
      <c r="C7" s="4" t="s">
        <v>24</v>
      </c>
      <c r="D7" s="4" t="s">
        <v>25</v>
      </c>
      <c r="E7" s="5">
        <v>1174228</v>
      </c>
      <c r="F7" s="6">
        <v>10775.303242</v>
      </c>
      <c r="G7" s="7">
        <v>5.8221920000000003E-2</v>
      </c>
      <c r="H7" s="105"/>
    </row>
    <row r="8" spans="1:15" ht="17.100000000000001" customHeight="1" x14ac:dyDescent="0.2">
      <c r="A8" s="3">
        <v>2</v>
      </c>
      <c r="B8" s="4" t="s">
        <v>317</v>
      </c>
      <c r="C8" s="4" t="s">
        <v>318</v>
      </c>
      <c r="D8" s="4" t="s">
        <v>25</v>
      </c>
      <c r="E8" s="5">
        <v>530246</v>
      </c>
      <c r="F8" s="6">
        <v>8948.4314959999992</v>
      </c>
      <c r="G8" s="7">
        <v>4.8350829999999997E-2</v>
      </c>
      <c r="H8" s="105"/>
    </row>
    <row r="9" spans="1:15" ht="17.100000000000001" customHeight="1" x14ac:dyDescent="0.2">
      <c r="A9" s="3">
        <v>3</v>
      </c>
      <c r="B9" s="4" t="s">
        <v>29</v>
      </c>
      <c r="C9" s="4" t="s">
        <v>30</v>
      </c>
      <c r="D9" s="4" t="s">
        <v>25</v>
      </c>
      <c r="E9" s="5">
        <v>1357380</v>
      </c>
      <c r="F9" s="6">
        <v>7849.7285400000001</v>
      </c>
      <c r="G9" s="7">
        <v>4.2414239999999999E-2</v>
      </c>
      <c r="H9" s="105"/>
    </row>
    <row r="10" spans="1:15" ht="17.100000000000001" customHeight="1" x14ac:dyDescent="0.2">
      <c r="A10" s="3">
        <v>4</v>
      </c>
      <c r="B10" s="4" t="s">
        <v>17</v>
      </c>
      <c r="C10" s="4" t="s">
        <v>18</v>
      </c>
      <c r="D10" s="4" t="s">
        <v>19</v>
      </c>
      <c r="E10" s="5">
        <v>308999</v>
      </c>
      <c r="F10" s="6">
        <v>7479.3207949999996</v>
      </c>
      <c r="G10" s="7">
        <v>4.0412820000000002E-2</v>
      </c>
      <c r="H10" s="105"/>
    </row>
    <row r="11" spans="1:15" ht="17.100000000000001" customHeight="1" x14ac:dyDescent="0.2">
      <c r="A11" s="3">
        <v>5</v>
      </c>
      <c r="B11" s="4" t="s">
        <v>302</v>
      </c>
      <c r="C11" s="4" t="s">
        <v>303</v>
      </c>
      <c r="D11" s="4" t="s">
        <v>953</v>
      </c>
      <c r="E11" s="5">
        <v>596069</v>
      </c>
      <c r="F11" s="6">
        <v>7467.2543974999999</v>
      </c>
      <c r="G11" s="7">
        <v>4.0347630000000002E-2</v>
      </c>
      <c r="H11" s="105"/>
    </row>
    <row r="12" spans="1:15" ht="17.100000000000001" customHeight="1" x14ac:dyDescent="0.2">
      <c r="A12" s="3">
        <v>6</v>
      </c>
      <c r="B12" s="4" t="s">
        <v>203</v>
      </c>
      <c r="C12" s="4" t="s">
        <v>204</v>
      </c>
      <c r="D12" s="4" t="s">
        <v>25</v>
      </c>
      <c r="E12" s="5">
        <v>610098</v>
      </c>
      <c r="F12" s="6">
        <v>5246.8428000000004</v>
      </c>
      <c r="G12" s="7">
        <v>2.8350130000000001E-2</v>
      </c>
      <c r="H12" s="105"/>
    </row>
    <row r="13" spans="1:15" ht="29.1" customHeight="1" x14ac:dyDescent="0.2">
      <c r="A13" s="3">
        <v>7</v>
      </c>
      <c r="B13" s="4" t="s">
        <v>181</v>
      </c>
      <c r="C13" s="4" t="s">
        <v>182</v>
      </c>
      <c r="D13" s="4" t="s">
        <v>183</v>
      </c>
      <c r="E13" s="5">
        <v>105931</v>
      </c>
      <c r="F13" s="6">
        <v>5137.8653619999995</v>
      </c>
      <c r="G13" s="7">
        <v>2.7761299999999999E-2</v>
      </c>
      <c r="H13" s="105"/>
    </row>
    <row r="14" spans="1:15" ht="17.100000000000001" customHeight="1" x14ac:dyDescent="0.2">
      <c r="A14" s="3">
        <v>8</v>
      </c>
      <c r="B14" s="4" t="s">
        <v>31</v>
      </c>
      <c r="C14" s="4" t="s">
        <v>32</v>
      </c>
      <c r="D14" s="4" t="s">
        <v>33</v>
      </c>
      <c r="E14" s="5">
        <v>199452</v>
      </c>
      <c r="F14" s="6">
        <v>4488.7669859999996</v>
      </c>
      <c r="G14" s="7">
        <v>2.4254040000000001E-2</v>
      </c>
      <c r="H14" s="105"/>
      <c r="J14" s="161" t="s">
        <v>1065</v>
      </c>
    </row>
    <row r="15" spans="1:15" ht="17.100000000000001" customHeight="1" x14ac:dyDescent="0.2">
      <c r="A15" s="3">
        <v>9</v>
      </c>
      <c r="B15" s="4" t="s">
        <v>325</v>
      </c>
      <c r="C15" s="4" t="s">
        <v>326</v>
      </c>
      <c r="D15" s="4" t="s">
        <v>1020</v>
      </c>
      <c r="E15" s="5">
        <v>172869</v>
      </c>
      <c r="F15" s="6">
        <v>4247.9099370000004</v>
      </c>
      <c r="G15" s="7">
        <v>2.295262E-2</v>
      </c>
      <c r="H15" s="105"/>
    </row>
    <row r="16" spans="1:15" ht="17.100000000000001" customHeight="1" x14ac:dyDescent="0.2">
      <c r="A16" s="3">
        <v>10</v>
      </c>
      <c r="B16" s="4" t="s">
        <v>26</v>
      </c>
      <c r="C16" s="4" t="s">
        <v>27</v>
      </c>
      <c r="D16" s="4" t="s">
        <v>28</v>
      </c>
      <c r="E16" s="5">
        <v>2433441</v>
      </c>
      <c r="F16" s="6">
        <v>4185.5185199999996</v>
      </c>
      <c r="G16" s="7">
        <v>2.2615509999999998E-2</v>
      </c>
      <c r="H16" s="105"/>
    </row>
    <row r="17" spans="1:10" ht="17.100000000000001" customHeight="1" x14ac:dyDescent="0.2">
      <c r="A17" s="3">
        <v>11</v>
      </c>
      <c r="B17" s="4" t="s">
        <v>510</v>
      </c>
      <c r="C17" s="4" t="s">
        <v>511</v>
      </c>
      <c r="D17" s="4" t="s">
        <v>329</v>
      </c>
      <c r="E17" s="5">
        <v>88206</v>
      </c>
      <c r="F17" s="6">
        <v>4173.2022720000004</v>
      </c>
      <c r="G17" s="7">
        <v>2.254896E-2</v>
      </c>
      <c r="H17" s="105"/>
    </row>
    <row r="18" spans="1:10" ht="29.1" customHeight="1" x14ac:dyDescent="0.2">
      <c r="A18" s="3">
        <v>12</v>
      </c>
      <c r="B18" s="4" t="s">
        <v>514</v>
      </c>
      <c r="C18" s="4" t="s">
        <v>515</v>
      </c>
      <c r="D18" s="4" t="s">
        <v>212</v>
      </c>
      <c r="E18" s="5">
        <v>878213</v>
      </c>
      <c r="F18" s="6">
        <v>4144.287147</v>
      </c>
      <c r="G18" s="7">
        <v>2.2392720000000001E-2</v>
      </c>
      <c r="H18" s="105"/>
    </row>
    <row r="19" spans="1:10" ht="17.100000000000001" customHeight="1" x14ac:dyDescent="0.2">
      <c r="A19" s="3">
        <v>13</v>
      </c>
      <c r="B19" s="4" t="s">
        <v>14</v>
      </c>
      <c r="C19" s="4" t="s">
        <v>15</v>
      </c>
      <c r="D19" s="4" t="s">
        <v>16</v>
      </c>
      <c r="E19" s="5">
        <v>503797</v>
      </c>
      <c r="F19" s="6">
        <v>4026.8494209999999</v>
      </c>
      <c r="G19" s="7">
        <v>2.175817E-2</v>
      </c>
      <c r="H19" s="105"/>
    </row>
    <row r="20" spans="1:10" ht="17.100000000000001" customHeight="1" x14ac:dyDescent="0.2">
      <c r="A20" s="3">
        <v>14</v>
      </c>
      <c r="B20" s="4" t="s">
        <v>63</v>
      </c>
      <c r="C20" s="4" t="s">
        <v>64</v>
      </c>
      <c r="D20" s="4" t="s">
        <v>33</v>
      </c>
      <c r="E20" s="5">
        <v>205288</v>
      </c>
      <c r="F20" s="6">
        <v>3890.3102439999998</v>
      </c>
      <c r="G20" s="7">
        <v>2.1020420000000001E-2</v>
      </c>
      <c r="H20" s="105"/>
    </row>
    <row r="21" spans="1:10" ht="17.100000000000001" customHeight="1" x14ac:dyDescent="0.2">
      <c r="A21" s="3">
        <v>15</v>
      </c>
      <c r="B21" s="4" t="s">
        <v>53</v>
      </c>
      <c r="C21" s="4" t="s">
        <v>54</v>
      </c>
      <c r="D21" s="4" t="s">
        <v>33</v>
      </c>
      <c r="E21" s="5">
        <v>113415</v>
      </c>
      <c r="F21" s="6">
        <v>3635.3477025000002</v>
      </c>
      <c r="G21" s="7">
        <v>1.9642779999999999E-2</v>
      </c>
      <c r="H21" s="105"/>
    </row>
    <row r="22" spans="1:10" ht="17.100000000000001" customHeight="1" x14ac:dyDescent="0.2">
      <c r="A22" s="3">
        <v>16</v>
      </c>
      <c r="B22" s="4" t="s">
        <v>200</v>
      </c>
      <c r="C22" s="4" t="s">
        <v>201</v>
      </c>
      <c r="D22" s="4" t="s">
        <v>202</v>
      </c>
      <c r="E22" s="5">
        <v>1384835</v>
      </c>
      <c r="F22" s="6">
        <v>3611.64968</v>
      </c>
      <c r="G22" s="7">
        <v>1.9514739999999999E-2</v>
      </c>
      <c r="H22" s="105"/>
    </row>
    <row r="23" spans="1:10" ht="17.100000000000001" customHeight="1" x14ac:dyDescent="0.2">
      <c r="A23" s="3">
        <v>17</v>
      </c>
      <c r="B23" s="4" t="s">
        <v>99</v>
      </c>
      <c r="C23" s="4" t="s">
        <v>100</v>
      </c>
      <c r="D23" s="4" t="s">
        <v>91</v>
      </c>
      <c r="E23" s="5">
        <v>679527</v>
      </c>
      <c r="F23" s="6">
        <v>3410.5460130000001</v>
      </c>
      <c r="G23" s="7">
        <v>1.8428119999999999E-2</v>
      </c>
      <c r="H23" s="105"/>
    </row>
    <row r="24" spans="1:10" ht="29.1" customHeight="1" x14ac:dyDescent="0.2">
      <c r="A24" s="3">
        <v>18</v>
      </c>
      <c r="B24" s="4" t="s">
        <v>196</v>
      </c>
      <c r="C24" s="4" t="s">
        <v>197</v>
      </c>
      <c r="D24" s="4" t="s">
        <v>128</v>
      </c>
      <c r="E24" s="5">
        <v>388492</v>
      </c>
      <c r="F24" s="6">
        <v>3384.153812</v>
      </c>
      <c r="G24" s="7">
        <v>1.8285510000000001E-2</v>
      </c>
      <c r="H24" s="105"/>
      <c r="J24" s="161" t="s">
        <v>1066</v>
      </c>
    </row>
    <row r="25" spans="1:10" ht="17.100000000000001" customHeight="1" x14ac:dyDescent="0.2">
      <c r="A25" s="3">
        <v>19</v>
      </c>
      <c r="B25" s="4" t="s">
        <v>103</v>
      </c>
      <c r="C25" s="4" t="s">
        <v>104</v>
      </c>
      <c r="D25" s="4" t="s">
        <v>105</v>
      </c>
      <c r="E25" s="5">
        <v>39000</v>
      </c>
      <c r="F25" s="6">
        <v>3349.9245000000001</v>
      </c>
      <c r="G25" s="7">
        <v>1.8100560000000002E-2</v>
      </c>
      <c r="H25" s="105"/>
    </row>
    <row r="26" spans="1:10" ht="17.100000000000001" customHeight="1" x14ac:dyDescent="0.2">
      <c r="A26" s="3">
        <v>20</v>
      </c>
      <c r="B26" s="4" t="s">
        <v>319</v>
      </c>
      <c r="C26" s="4" t="s">
        <v>320</v>
      </c>
      <c r="D26" s="4" t="s">
        <v>953</v>
      </c>
      <c r="E26" s="5">
        <v>101500</v>
      </c>
      <c r="F26" s="6">
        <v>3267.5387500000002</v>
      </c>
      <c r="G26" s="7">
        <v>1.765541E-2</v>
      </c>
      <c r="H26" s="105"/>
    </row>
    <row r="27" spans="1:10" ht="17.100000000000001" customHeight="1" x14ac:dyDescent="0.2">
      <c r="A27" s="3">
        <v>21</v>
      </c>
      <c r="B27" s="4" t="s">
        <v>79</v>
      </c>
      <c r="C27" s="4" t="s">
        <v>80</v>
      </c>
      <c r="D27" s="4" t="s">
        <v>81</v>
      </c>
      <c r="E27" s="5">
        <v>116816</v>
      </c>
      <c r="F27" s="6">
        <v>3241.2351440000002</v>
      </c>
      <c r="G27" s="7">
        <v>1.7513279999999999E-2</v>
      </c>
      <c r="H27" s="105"/>
    </row>
    <row r="28" spans="1:10" ht="53.1" customHeight="1" x14ac:dyDescent="0.2">
      <c r="A28" s="3">
        <v>22</v>
      </c>
      <c r="B28" s="4" t="s">
        <v>50</v>
      </c>
      <c r="C28" s="4" t="s">
        <v>51</v>
      </c>
      <c r="D28" s="4" t="s">
        <v>52</v>
      </c>
      <c r="E28" s="5">
        <v>1984455</v>
      </c>
      <c r="F28" s="6">
        <v>2896.3120724999999</v>
      </c>
      <c r="G28" s="7">
        <v>1.5649570000000002E-2</v>
      </c>
      <c r="H28" s="105"/>
    </row>
    <row r="29" spans="1:10" ht="17.100000000000001" customHeight="1" x14ac:dyDescent="0.2">
      <c r="A29" s="3">
        <v>23</v>
      </c>
      <c r="B29" s="4" t="s">
        <v>267</v>
      </c>
      <c r="C29" s="4" t="s">
        <v>268</v>
      </c>
      <c r="D29" s="4" t="s">
        <v>128</v>
      </c>
      <c r="E29" s="5">
        <v>207407</v>
      </c>
      <c r="F29" s="6">
        <v>2877.1499039999999</v>
      </c>
      <c r="G29" s="7">
        <v>1.5546030000000001E-2</v>
      </c>
      <c r="H29" s="105"/>
    </row>
    <row r="30" spans="1:10" ht="17.100000000000001" customHeight="1" x14ac:dyDescent="0.2">
      <c r="A30" s="3">
        <v>24</v>
      </c>
      <c r="B30" s="4" t="s">
        <v>218</v>
      </c>
      <c r="C30" s="4" t="s">
        <v>219</v>
      </c>
      <c r="D30" s="4" t="s">
        <v>220</v>
      </c>
      <c r="E30" s="5">
        <v>190589</v>
      </c>
      <c r="F30" s="6">
        <v>2819.764255</v>
      </c>
      <c r="G30" s="7">
        <v>1.523596E-2</v>
      </c>
      <c r="H30" s="105"/>
    </row>
    <row r="31" spans="1:10" ht="29.1" customHeight="1" x14ac:dyDescent="0.2">
      <c r="A31" s="3">
        <v>25</v>
      </c>
      <c r="B31" s="4" t="s">
        <v>432</v>
      </c>
      <c r="C31" s="4" t="s">
        <v>433</v>
      </c>
      <c r="D31" s="4" t="s">
        <v>212</v>
      </c>
      <c r="E31" s="5">
        <v>130672</v>
      </c>
      <c r="F31" s="6">
        <v>2783.1175920000001</v>
      </c>
      <c r="G31" s="7">
        <v>1.503795E-2</v>
      </c>
      <c r="H31" s="105"/>
    </row>
    <row r="32" spans="1:10" ht="17.100000000000001" customHeight="1" x14ac:dyDescent="0.2">
      <c r="A32" s="3">
        <v>26</v>
      </c>
      <c r="B32" s="4" t="s">
        <v>254</v>
      </c>
      <c r="C32" s="4" t="s">
        <v>255</v>
      </c>
      <c r="D32" s="4" t="s">
        <v>121</v>
      </c>
      <c r="E32" s="5">
        <v>314277</v>
      </c>
      <c r="F32" s="6">
        <v>2720.0674349999999</v>
      </c>
      <c r="G32" s="7">
        <v>1.469727E-2</v>
      </c>
      <c r="H32" s="105"/>
    </row>
    <row r="33" spans="1:8" ht="17.100000000000001" customHeight="1" x14ac:dyDescent="0.2">
      <c r="A33" s="3">
        <v>27</v>
      </c>
      <c r="B33" s="4" t="s">
        <v>310</v>
      </c>
      <c r="C33" s="4" t="s">
        <v>311</v>
      </c>
      <c r="D33" s="4" t="s">
        <v>207</v>
      </c>
      <c r="E33" s="5">
        <v>2519568</v>
      </c>
      <c r="F33" s="6">
        <v>2719.8736560000002</v>
      </c>
      <c r="G33" s="7">
        <v>1.4696219999999999E-2</v>
      </c>
      <c r="H33" s="105"/>
    </row>
    <row r="34" spans="1:8" ht="17.100000000000001" customHeight="1" x14ac:dyDescent="0.2">
      <c r="A34" s="3">
        <v>28</v>
      </c>
      <c r="B34" s="4" t="s">
        <v>85</v>
      </c>
      <c r="C34" s="4" t="s">
        <v>86</v>
      </c>
      <c r="D34" s="4" t="s">
        <v>81</v>
      </c>
      <c r="E34" s="5">
        <v>555015</v>
      </c>
      <c r="F34" s="6">
        <v>2664.0720000000001</v>
      </c>
      <c r="G34" s="7">
        <v>1.439471E-2</v>
      </c>
      <c r="H34" s="105"/>
    </row>
    <row r="35" spans="1:8" ht="17.100000000000001" customHeight="1" x14ac:dyDescent="0.2">
      <c r="A35" s="3">
        <v>29</v>
      </c>
      <c r="B35" s="4" t="s">
        <v>321</v>
      </c>
      <c r="C35" s="4" t="s">
        <v>322</v>
      </c>
      <c r="D35" s="4" t="s">
        <v>217</v>
      </c>
      <c r="E35" s="5">
        <v>232912</v>
      </c>
      <c r="F35" s="6">
        <v>2655.4297120000001</v>
      </c>
      <c r="G35" s="7">
        <v>1.434802E-2</v>
      </c>
      <c r="H35" s="105"/>
    </row>
    <row r="36" spans="1:8" ht="29.1" customHeight="1" x14ac:dyDescent="0.2">
      <c r="A36" s="3">
        <v>30</v>
      </c>
      <c r="B36" s="4" t="s">
        <v>308</v>
      </c>
      <c r="C36" s="4" t="s">
        <v>309</v>
      </c>
      <c r="D36" s="4" t="s">
        <v>128</v>
      </c>
      <c r="E36" s="5">
        <v>92333</v>
      </c>
      <c r="F36" s="6">
        <v>2562.7947479999998</v>
      </c>
      <c r="G36" s="7">
        <v>1.3847480000000001E-2</v>
      </c>
      <c r="H36" s="105"/>
    </row>
    <row r="37" spans="1:8" ht="17.100000000000001" customHeight="1" x14ac:dyDescent="0.2">
      <c r="A37" s="3">
        <v>31</v>
      </c>
      <c r="B37" s="4" t="s">
        <v>724</v>
      </c>
      <c r="C37" s="4" t="s">
        <v>725</v>
      </c>
      <c r="D37" s="4" t="s">
        <v>726</v>
      </c>
      <c r="E37" s="5">
        <v>11067</v>
      </c>
      <c r="F37" s="6">
        <v>2495.409294</v>
      </c>
      <c r="G37" s="7">
        <v>1.348338E-2</v>
      </c>
      <c r="H37" s="105"/>
    </row>
    <row r="38" spans="1:8" ht="17.100000000000001" customHeight="1" x14ac:dyDescent="0.2">
      <c r="A38" s="3">
        <v>32</v>
      </c>
      <c r="B38" s="4" t="s">
        <v>46</v>
      </c>
      <c r="C38" s="4" t="s">
        <v>47</v>
      </c>
      <c r="D38" s="4" t="s">
        <v>13</v>
      </c>
      <c r="E38" s="5">
        <v>871340</v>
      </c>
      <c r="F38" s="6">
        <v>2469.3775599999999</v>
      </c>
      <c r="G38" s="7">
        <v>1.3342730000000001E-2</v>
      </c>
      <c r="H38" s="105"/>
    </row>
    <row r="39" spans="1:8" ht="17.100000000000001" customHeight="1" x14ac:dyDescent="0.2">
      <c r="A39" s="3">
        <v>33</v>
      </c>
      <c r="B39" s="4" t="s">
        <v>357</v>
      </c>
      <c r="C39" s="4" t="s">
        <v>358</v>
      </c>
      <c r="D39" s="4" t="s">
        <v>59</v>
      </c>
      <c r="E39" s="5">
        <v>165258</v>
      </c>
      <c r="F39" s="6">
        <v>2435.489775</v>
      </c>
      <c r="G39" s="7">
        <v>1.315962E-2</v>
      </c>
      <c r="H39" s="105"/>
    </row>
    <row r="40" spans="1:8" ht="29.1" customHeight="1" x14ac:dyDescent="0.2">
      <c r="A40" s="3">
        <v>34</v>
      </c>
      <c r="B40" s="4" t="s">
        <v>512</v>
      </c>
      <c r="C40" s="4" t="s">
        <v>513</v>
      </c>
      <c r="D40" s="4" t="s">
        <v>183</v>
      </c>
      <c r="E40" s="5">
        <v>152819</v>
      </c>
      <c r="F40" s="6">
        <v>2403.3080034999998</v>
      </c>
      <c r="G40" s="7">
        <v>1.2985729999999999E-2</v>
      </c>
      <c r="H40" s="105"/>
    </row>
    <row r="41" spans="1:8" ht="29.1" customHeight="1" x14ac:dyDescent="0.2">
      <c r="A41" s="3">
        <v>35</v>
      </c>
      <c r="B41" s="4" t="s">
        <v>228</v>
      </c>
      <c r="C41" s="4" t="s">
        <v>229</v>
      </c>
      <c r="D41" s="4" t="s">
        <v>81</v>
      </c>
      <c r="E41" s="5">
        <v>23034</v>
      </c>
      <c r="F41" s="6">
        <v>2351.3222369999999</v>
      </c>
      <c r="G41" s="7">
        <v>1.270484E-2</v>
      </c>
      <c r="H41" s="105"/>
    </row>
    <row r="42" spans="1:8" ht="17.100000000000001" customHeight="1" x14ac:dyDescent="0.2">
      <c r="A42" s="3">
        <v>36</v>
      </c>
      <c r="B42" s="4" t="s">
        <v>430</v>
      </c>
      <c r="C42" s="4" t="s">
        <v>431</v>
      </c>
      <c r="D42" s="4" t="s">
        <v>121</v>
      </c>
      <c r="E42" s="5">
        <v>156000</v>
      </c>
      <c r="F42" s="6">
        <v>2309.1120000000001</v>
      </c>
      <c r="G42" s="7">
        <v>1.247677E-2</v>
      </c>
      <c r="H42" s="105"/>
    </row>
    <row r="43" spans="1:8" ht="17.100000000000001" customHeight="1" x14ac:dyDescent="0.2">
      <c r="A43" s="3">
        <v>37</v>
      </c>
      <c r="B43" s="4" t="s">
        <v>221</v>
      </c>
      <c r="C43" s="4" t="s">
        <v>222</v>
      </c>
      <c r="D43" s="4" t="s">
        <v>223</v>
      </c>
      <c r="E43" s="5">
        <v>513688</v>
      </c>
      <c r="F43" s="6">
        <v>2293.3600759999999</v>
      </c>
      <c r="G43" s="7">
        <v>1.2391650000000001E-2</v>
      </c>
      <c r="H43" s="105"/>
    </row>
    <row r="44" spans="1:8" ht="29.1" customHeight="1" x14ac:dyDescent="0.2">
      <c r="A44" s="3">
        <v>38</v>
      </c>
      <c r="B44" s="4" t="s">
        <v>261</v>
      </c>
      <c r="C44" s="4" t="s">
        <v>262</v>
      </c>
      <c r="D44" s="4" t="s">
        <v>212</v>
      </c>
      <c r="E44" s="5">
        <v>162230</v>
      </c>
      <c r="F44" s="6">
        <v>2204.3812400000002</v>
      </c>
      <c r="G44" s="7">
        <v>1.191088E-2</v>
      </c>
      <c r="H44" s="105"/>
    </row>
    <row r="45" spans="1:8" ht="29.1" customHeight="1" x14ac:dyDescent="0.2">
      <c r="A45" s="3">
        <v>39</v>
      </c>
      <c r="B45" s="4" t="s">
        <v>489</v>
      </c>
      <c r="C45" s="4" t="s">
        <v>490</v>
      </c>
      <c r="D45" s="4" t="s">
        <v>22</v>
      </c>
      <c r="E45" s="5">
        <v>239227</v>
      </c>
      <c r="F45" s="6">
        <v>2192.6350685000002</v>
      </c>
      <c r="G45" s="7">
        <v>1.1847409999999999E-2</v>
      </c>
      <c r="H45" s="105"/>
    </row>
    <row r="46" spans="1:8" ht="17.100000000000001" customHeight="1" x14ac:dyDescent="0.2">
      <c r="A46" s="3">
        <v>40</v>
      </c>
      <c r="B46" s="4" t="s">
        <v>306</v>
      </c>
      <c r="C46" s="4" t="s">
        <v>307</v>
      </c>
      <c r="D46" s="4" t="s">
        <v>232</v>
      </c>
      <c r="E46" s="5">
        <v>146195</v>
      </c>
      <c r="F46" s="6">
        <v>2139.0521425000002</v>
      </c>
      <c r="G46" s="7">
        <v>1.1557889999999999E-2</v>
      </c>
      <c r="H46" s="105"/>
    </row>
    <row r="47" spans="1:8" ht="17.100000000000001" customHeight="1" x14ac:dyDescent="0.2">
      <c r="A47" s="3">
        <v>41</v>
      </c>
      <c r="B47" s="4" t="s">
        <v>37</v>
      </c>
      <c r="C47" s="4" t="s">
        <v>38</v>
      </c>
      <c r="D47" s="4" t="s">
        <v>33</v>
      </c>
      <c r="E47" s="5">
        <v>109387</v>
      </c>
      <c r="F47" s="6">
        <v>2078.7905479999999</v>
      </c>
      <c r="G47" s="7">
        <v>1.1232280000000001E-2</v>
      </c>
      <c r="H47" s="105"/>
    </row>
    <row r="48" spans="1:8" ht="17.100000000000001" customHeight="1" x14ac:dyDescent="0.2">
      <c r="A48" s="3">
        <v>42</v>
      </c>
      <c r="B48" s="4" t="s">
        <v>502</v>
      </c>
      <c r="C48" s="4" t="s">
        <v>503</v>
      </c>
      <c r="D48" s="4" t="s">
        <v>121</v>
      </c>
      <c r="E48" s="5">
        <v>110000</v>
      </c>
      <c r="F48" s="6">
        <v>2054.91</v>
      </c>
      <c r="G48" s="7">
        <v>1.110324E-2</v>
      </c>
      <c r="H48" s="105"/>
    </row>
    <row r="49" spans="1:8" ht="17.100000000000001" customHeight="1" x14ac:dyDescent="0.2">
      <c r="A49" s="3">
        <v>43</v>
      </c>
      <c r="B49" s="4" t="s">
        <v>119</v>
      </c>
      <c r="C49" s="4" t="s">
        <v>120</v>
      </c>
      <c r="D49" s="4" t="s">
        <v>121</v>
      </c>
      <c r="E49" s="5">
        <v>674234</v>
      </c>
      <c r="F49" s="6">
        <v>2011.240022</v>
      </c>
      <c r="G49" s="7">
        <v>1.086728E-2</v>
      </c>
      <c r="H49" s="105"/>
    </row>
    <row r="50" spans="1:8" ht="17.100000000000001" customHeight="1" x14ac:dyDescent="0.2">
      <c r="A50" s="3">
        <v>44</v>
      </c>
      <c r="B50" s="4" t="s">
        <v>278</v>
      </c>
      <c r="C50" s="4" t="s">
        <v>279</v>
      </c>
      <c r="D50" s="4" t="s">
        <v>121</v>
      </c>
      <c r="E50" s="5">
        <v>170074</v>
      </c>
      <c r="F50" s="6">
        <v>1861.9701520000001</v>
      </c>
      <c r="G50" s="7">
        <v>1.006074E-2</v>
      </c>
      <c r="H50" s="105"/>
    </row>
    <row r="51" spans="1:8" ht="29.1" customHeight="1" x14ac:dyDescent="0.2">
      <c r="A51" s="3">
        <v>45</v>
      </c>
      <c r="B51" s="4" t="s">
        <v>243</v>
      </c>
      <c r="C51" s="4" t="s">
        <v>244</v>
      </c>
      <c r="D51" s="4" t="s">
        <v>190</v>
      </c>
      <c r="E51" s="5">
        <v>54319</v>
      </c>
      <c r="F51" s="6">
        <v>1838.426555</v>
      </c>
      <c r="G51" s="7">
        <v>9.9335199999999995E-3</v>
      </c>
      <c r="H51" s="105"/>
    </row>
    <row r="52" spans="1:8" ht="17.100000000000001" customHeight="1" x14ac:dyDescent="0.2">
      <c r="A52" s="3">
        <v>46</v>
      </c>
      <c r="B52" s="4" t="s">
        <v>186</v>
      </c>
      <c r="C52" s="4" t="s">
        <v>187</v>
      </c>
      <c r="D52" s="4" t="s">
        <v>81</v>
      </c>
      <c r="E52" s="5">
        <v>69445</v>
      </c>
      <c r="F52" s="6">
        <v>1798.0699400000001</v>
      </c>
      <c r="G52" s="7">
        <v>9.7154700000000004E-3</v>
      </c>
      <c r="H52" s="105"/>
    </row>
    <row r="53" spans="1:8" ht="17.100000000000001" customHeight="1" x14ac:dyDescent="0.2">
      <c r="A53" s="3">
        <v>47</v>
      </c>
      <c r="B53" s="4" t="s">
        <v>251</v>
      </c>
      <c r="C53" s="4" t="s">
        <v>252</v>
      </c>
      <c r="D53" s="4" t="s">
        <v>253</v>
      </c>
      <c r="E53" s="5">
        <v>199432</v>
      </c>
      <c r="F53" s="6">
        <v>1691.18336</v>
      </c>
      <c r="G53" s="7">
        <v>9.1379300000000007E-3</v>
      </c>
      <c r="H53" s="105"/>
    </row>
    <row r="54" spans="1:8" ht="29.1" customHeight="1" x14ac:dyDescent="0.2">
      <c r="A54" s="3">
        <v>48</v>
      </c>
      <c r="B54" s="4" t="s">
        <v>39</v>
      </c>
      <c r="C54" s="4" t="s">
        <v>40</v>
      </c>
      <c r="D54" s="4" t="s">
        <v>41</v>
      </c>
      <c r="E54" s="5">
        <v>1468484</v>
      </c>
      <c r="F54" s="6">
        <v>1516.943972</v>
      </c>
      <c r="G54" s="7">
        <v>8.1964700000000008E-3</v>
      </c>
      <c r="H54" s="105"/>
    </row>
    <row r="55" spans="1:8" ht="17.100000000000001" customHeight="1" x14ac:dyDescent="0.2">
      <c r="A55" s="3">
        <v>49</v>
      </c>
      <c r="B55" s="4" t="s">
        <v>480</v>
      </c>
      <c r="C55" s="4" t="s">
        <v>481</v>
      </c>
      <c r="D55" s="4" t="s">
        <v>954</v>
      </c>
      <c r="E55" s="5">
        <v>125485</v>
      </c>
      <c r="F55" s="6">
        <v>1480.6602574999999</v>
      </c>
      <c r="G55" s="7">
        <v>8.0004099999999995E-3</v>
      </c>
      <c r="H55" s="105"/>
    </row>
    <row r="56" spans="1:8" ht="29.1" customHeight="1" x14ac:dyDescent="0.2">
      <c r="A56" s="3">
        <v>50</v>
      </c>
      <c r="B56" s="4" t="s">
        <v>73</v>
      </c>
      <c r="C56" s="4" t="s">
        <v>74</v>
      </c>
      <c r="D56" s="4" t="s">
        <v>22</v>
      </c>
      <c r="E56" s="5">
        <v>44808</v>
      </c>
      <c r="F56" s="6">
        <v>1341.2378639999999</v>
      </c>
      <c r="G56" s="7">
        <v>7.2470800000000004E-3</v>
      </c>
      <c r="H56" s="105"/>
    </row>
    <row r="57" spans="1:8" ht="17.100000000000001" customHeight="1" x14ac:dyDescent="0.2">
      <c r="A57" s="3">
        <v>51</v>
      </c>
      <c r="B57" s="4" t="s">
        <v>179</v>
      </c>
      <c r="C57" s="4" t="s">
        <v>180</v>
      </c>
      <c r="D57" s="4" t="s">
        <v>25</v>
      </c>
      <c r="E57" s="5">
        <v>960423</v>
      </c>
      <c r="F57" s="6">
        <v>1296.0908385</v>
      </c>
      <c r="G57" s="7">
        <v>7.0031399999999997E-3</v>
      </c>
      <c r="H57" s="105"/>
    </row>
    <row r="58" spans="1:8" ht="17.100000000000001" customHeight="1" x14ac:dyDescent="0.2">
      <c r="A58" s="3">
        <v>52</v>
      </c>
      <c r="B58" s="4" t="s">
        <v>349</v>
      </c>
      <c r="C58" s="4" t="s">
        <v>350</v>
      </c>
      <c r="D58" s="4" t="s">
        <v>128</v>
      </c>
      <c r="E58" s="5">
        <v>20000</v>
      </c>
      <c r="F58" s="6">
        <v>1256.02</v>
      </c>
      <c r="G58" s="7">
        <v>6.7866200000000002E-3</v>
      </c>
      <c r="H58" s="105"/>
    </row>
    <row r="59" spans="1:8" ht="17.100000000000001" customHeight="1" x14ac:dyDescent="0.2">
      <c r="A59" s="3">
        <v>53</v>
      </c>
      <c r="B59" s="4" t="s">
        <v>263</v>
      </c>
      <c r="C59" s="4" t="s">
        <v>264</v>
      </c>
      <c r="D59" s="4" t="s">
        <v>223</v>
      </c>
      <c r="E59" s="5">
        <v>292443</v>
      </c>
      <c r="F59" s="6">
        <v>1123.273563</v>
      </c>
      <c r="G59" s="7">
        <v>6.0693600000000002E-3</v>
      </c>
      <c r="H59" s="105"/>
    </row>
    <row r="60" spans="1:8" ht="17.100000000000001" customHeight="1" x14ac:dyDescent="0.2">
      <c r="A60" s="3">
        <v>54</v>
      </c>
      <c r="B60" s="4" t="s">
        <v>235</v>
      </c>
      <c r="C60" s="4" t="s">
        <v>236</v>
      </c>
      <c r="D60" s="4" t="s">
        <v>128</v>
      </c>
      <c r="E60" s="5">
        <v>172164</v>
      </c>
      <c r="F60" s="6">
        <v>1045.03548</v>
      </c>
      <c r="G60" s="7">
        <v>5.6466099999999998E-3</v>
      </c>
      <c r="H60" s="105"/>
    </row>
    <row r="61" spans="1:8" ht="17.100000000000001" customHeight="1" x14ac:dyDescent="0.2">
      <c r="A61" s="3">
        <v>55</v>
      </c>
      <c r="B61" s="4" t="s">
        <v>272</v>
      </c>
      <c r="C61" s="4" t="s">
        <v>273</v>
      </c>
      <c r="D61" s="4" t="s">
        <v>128</v>
      </c>
      <c r="E61" s="5">
        <v>600000</v>
      </c>
      <c r="F61" s="6">
        <v>1019.4</v>
      </c>
      <c r="G61" s="7">
        <v>5.5081000000000001E-3</v>
      </c>
      <c r="H61" s="105"/>
    </row>
    <row r="62" spans="1:8" ht="17.100000000000001" customHeight="1" x14ac:dyDescent="0.2">
      <c r="A62" s="3">
        <v>56</v>
      </c>
      <c r="B62" s="4" t="s">
        <v>71</v>
      </c>
      <c r="C62" s="4" t="s">
        <v>72</v>
      </c>
      <c r="D62" s="4" t="s">
        <v>33</v>
      </c>
      <c r="E62" s="5">
        <v>85238</v>
      </c>
      <c r="F62" s="6">
        <v>1018.636719</v>
      </c>
      <c r="G62" s="7">
        <v>5.5039700000000004E-3</v>
      </c>
      <c r="H62" s="105"/>
    </row>
    <row r="63" spans="1:8" ht="17.100000000000001" customHeight="1" x14ac:dyDescent="0.2">
      <c r="A63" s="3">
        <v>57</v>
      </c>
      <c r="B63" s="4" t="s">
        <v>233</v>
      </c>
      <c r="C63" s="4" t="s">
        <v>234</v>
      </c>
      <c r="D63" s="4" t="s">
        <v>33</v>
      </c>
      <c r="E63" s="5">
        <v>66435</v>
      </c>
      <c r="F63" s="6">
        <v>961.64662499999997</v>
      </c>
      <c r="G63" s="7">
        <v>5.1960399999999999E-3</v>
      </c>
      <c r="H63" s="105"/>
    </row>
    <row r="64" spans="1:8" ht="17.100000000000001" customHeight="1" x14ac:dyDescent="0.2">
      <c r="A64" s="3">
        <v>58</v>
      </c>
      <c r="B64" s="4" t="s">
        <v>727</v>
      </c>
      <c r="C64" s="4" t="s">
        <v>728</v>
      </c>
      <c r="D64" s="4" t="s">
        <v>202</v>
      </c>
      <c r="E64" s="5">
        <v>74997</v>
      </c>
      <c r="F64" s="6">
        <v>938.58745499999998</v>
      </c>
      <c r="G64" s="7">
        <v>5.0714499999999999E-3</v>
      </c>
      <c r="H64" s="105"/>
    </row>
    <row r="65" spans="1:15" ht="29.1" customHeight="1" x14ac:dyDescent="0.2">
      <c r="A65" s="3">
        <v>59</v>
      </c>
      <c r="B65" s="4" t="s">
        <v>265</v>
      </c>
      <c r="C65" s="4" t="s">
        <v>266</v>
      </c>
      <c r="D65" s="4" t="s">
        <v>183</v>
      </c>
      <c r="E65" s="5">
        <v>29907</v>
      </c>
      <c r="F65" s="6">
        <v>759.71256749999998</v>
      </c>
      <c r="G65" s="7">
        <v>4.1049399999999996E-3</v>
      </c>
      <c r="H65" s="105"/>
    </row>
    <row r="66" spans="1:15" ht="17.100000000000001" customHeight="1" x14ac:dyDescent="0.2">
      <c r="A66" s="3">
        <v>60</v>
      </c>
      <c r="B66" s="4" t="s">
        <v>380</v>
      </c>
      <c r="C66" s="4" t="s">
        <v>381</v>
      </c>
      <c r="D66" s="4" t="s">
        <v>954</v>
      </c>
      <c r="E66" s="5">
        <v>74345</v>
      </c>
      <c r="F66" s="6">
        <v>692.63519250000002</v>
      </c>
      <c r="G66" s="7">
        <v>3.7425000000000002E-3</v>
      </c>
      <c r="H66" s="105"/>
    </row>
    <row r="67" spans="1:15" ht="17.100000000000001" customHeight="1" x14ac:dyDescent="0.2">
      <c r="A67" s="3">
        <v>61</v>
      </c>
      <c r="B67" s="4" t="s">
        <v>126</v>
      </c>
      <c r="C67" s="4" t="s">
        <v>127</v>
      </c>
      <c r="D67" s="4" t="s">
        <v>128</v>
      </c>
      <c r="E67" s="5">
        <v>177729</v>
      </c>
      <c r="F67" s="6">
        <v>366.92152049999999</v>
      </c>
      <c r="G67" s="7">
        <v>1.9825799999999998E-3</v>
      </c>
      <c r="H67" s="105"/>
    </row>
    <row r="68" spans="1:15" ht="17.100000000000001" customHeight="1" x14ac:dyDescent="0.2">
      <c r="A68" s="3">
        <v>62</v>
      </c>
      <c r="B68" s="4" t="s">
        <v>365</v>
      </c>
      <c r="C68" s="4" t="s">
        <v>366</v>
      </c>
      <c r="D68" s="4" t="s">
        <v>121</v>
      </c>
      <c r="E68" s="5">
        <v>6459</v>
      </c>
      <c r="F68" s="6">
        <v>188.299227</v>
      </c>
      <c r="G68" s="7">
        <v>1.0174299999999999E-3</v>
      </c>
      <c r="H68" s="105"/>
    </row>
    <row r="69" spans="1:15" ht="14.1" customHeight="1" x14ac:dyDescent="0.2">
      <c r="A69" s="1"/>
      <c r="B69" s="1"/>
      <c r="C69" s="2" t="s">
        <v>132</v>
      </c>
      <c r="D69" s="1"/>
      <c r="E69" s="1" t="s">
        <v>133</v>
      </c>
      <c r="F69" s="9">
        <v>182293.7073905</v>
      </c>
      <c r="G69" s="10">
        <v>0.98498297999999984</v>
      </c>
      <c r="H69" s="105"/>
    </row>
    <row r="70" spans="1:15" ht="14.1" customHeight="1" x14ac:dyDescent="0.2">
      <c r="A70" s="1"/>
      <c r="B70" s="1"/>
      <c r="C70" s="11"/>
      <c r="D70" s="1"/>
      <c r="E70" s="1"/>
      <c r="F70" s="12"/>
      <c r="G70" s="12"/>
      <c r="H70" s="105"/>
    </row>
    <row r="71" spans="1:15" ht="14.1" customHeight="1" x14ac:dyDescent="0.2">
      <c r="A71" s="1"/>
      <c r="B71" s="1"/>
      <c r="C71" s="2" t="s">
        <v>134</v>
      </c>
      <c r="D71" s="1"/>
      <c r="E71" s="1"/>
      <c r="F71" s="1"/>
      <c r="G71" s="1"/>
      <c r="H71" s="105"/>
    </row>
    <row r="72" spans="1:15" ht="14.1" customHeight="1" x14ac:dyDescent="0.2">
      <c r="A72" s="1"/>
      <c r="B72" s="1"/>
      <c r="C72" s="2" t="s">
        <v>132</v>
      </c>
      <c r="D72" s="1"/>
      <c r="E72" s="1" t="s">
        <v>133</v>
      </c>
      <c r="F72" s="13" t="s">
        <v>135</v>
      </c>
      <c r="G72" s="10">
        <v>0</v>
      </c>
      <c r="H72" s="105"/>
    </row>
    <row r="73" spans="1:15" ht="14.1" customHeight="1" x14ac:dyDescent="0.2">
      <c r="A73" s="1"/>
      <c r="B73" s="1"/>
      <c r="C73" s="11"/>
      <c r="D73" s="1"/>
      <c r="E73" s="1"/>
      <c r="F73" s="12"/>
      <c r="G73" s="12"/>
      <c r="H73" s="105"/>
    </row>
    <row r="74" spans="1:15" ht="14.1" customHeight="1" x14ac:dyDescent="0.2">
      <c r="A74" s="1"/>
      <c r="B74" s="1"/>
      <c r="C74" s="2" t="s">
        <v>136</v>
      </c>
      <c r="D74" s="1"/>
      <c r="E74" s="1"/>
      <c r="F74" s="1"/>
      <c r="G74" s="1"/>
      <c r="H74" s="105"/>
    </row>
    <row r="75" spans="1:15" ht="17.100000000000001" customHeight="1" x14ac:dyDescent="0.2">
      <c r="A75" s="3">
        <v>1</v>
      </c>
      <c r="B75" s="40" t="s">
        <v>562</v>
      </c>
      <c r="C75" s="40" t="s">
        <v>942</v>
      </c>
      <c r="D75" s="4" t="s">
        <v>223</v>
      </c>
      <c r="E75" s="5">
        <v>511578</v>
      </c>
      <c r="F75" s="6">
        <v>25.578900000000001</v>
      </c>
      <c r="G75" s="7">
        <v>1.3820999999999999E-4</v>
      </c>
      <c r="H75" s="105"/>
      <c r="O75" s="164"/>
    </row>
    <row r="76" spans="1:15" ht="17.100000000000001" customHeight="1" x14ac:dyDescent="0.2">
      <c r="A76" s="3">
        <v>2</v>
      </c>
      <c r="B76" s="40" t="s">
        <v>729</v>
      </c>
      <c r="C76" s="40" t="s">
        <v>943</v>
      </c>
      <c r="D76" s="4" t="s">
        <v>329</v>
      </c>
      <c r="E76" s="5">
        <v>39500</v>
      </c>
      <c r="F76" s="6">
        <v>21.448499999999999</v>
      </c>
      <c r="G76" s="7">
        <v>1.1589E-4</v>
      </c>
      <c r="H76" s="105"/>
      <c r="I76" s="164"/>
      <c r="O76" s="164"/>
    </row>
    <row r="77" spans="1:15" ht="29.1" customHeight="1" x14ac:dyDescent="0.2">
      <c r="A77" s="3">
        <v>3</v>
      </c>
      <c r="B77" s="40" t="s">
        <v>730</v>
      </c>
      <c r="C77" s="40" t="s">
        <v>944</v>
      </c>
      <c r="D77" s="4" t="s">
        <v>474</v>
      </c>
      <c r="E77" s="5">
        <v>50800</v>
      </c>
      <c r="F77" s="6">
        <v>5.0800000000000003E-3</v>
      </c>
      <c r="G77" s="7">
        <v>2.9999999999999997E-8</v>
      </c>
      <c r="H77" s="105"/>
      <c r="I77" s="164"/>
      <c r="O77" s="164"/>
    </row>
    <row r="78" spans="1:15" ht="17.100000000000001" customHeight="1" x14ac:dyDescent="0.2">
      <c r="A78" s="3">
        <v>4</v>
      </c>
      <c r="B78" s="40" t="s">
        <v>731</v>
      </c>
      <c r="C78" s="40" t="s">
        <v>945</v>
      </c>
      <c r="D78" s="4"/>
      <c r="E78" s="5">
        <v>200</v>
      </c>
      <c r="F78" s="6">
        <v>2.0000000000000001E-9</v>
      </c>
      <c r="G78" s="8" t="s">
        <v>131</v>
      </c>
      <c r="H78" s="105"/>
      <c r="I78" s="164"/>
      <c r="O78" s="164"/>
    </row>
    <row r="79" spans="1:15" ht="41.1" customHeight="1" x14ac:dyDescent="0.2">
      <c r="A79" s="3">
        <v>5</v>
      </c>
      <c r="B79" s="40" t="s">
        <v>732</v>
      </c>
      <c r="C79" s="40" t="s">
        <v>946</v>
      </c>
      <c r="D79" s="4" t="s">
        <v>733</v>
      </c>
      <c r="E79" s="5">
        <v>200000</v>
      </c>
      <c r="F79" s="6">
        <v>1.9999999999999999E-6</v>
      </c>
      <c r="G79" s="8" t="s">
        <v>131</v>
      </c>
      <c r="H79" s="105"/>
      <c r="I79" s="164"/>
      <c r="O79" s="164"/>
    </row>
    <row r="80" spans="1:15" ht="17.100000000000001" customHeight="1" x14ac:dyDescent="0.2">
      <c r="A80" s="3">
        <v>6</v>
      </c>
      <c r="B80" s="40" t="s">
        <v>734</v>
      </c>
      <c r="C80" s="40" t="s">
        <v>947</v>
      </c>
      <c r="D80" s="4"/>
      <c r="E80" s="5">
        <v>176305</v>
      </c>
      <c r="F80" s="6">
        <v>1.7630000000000001E-6</v>
      </c>
      <c r="G80" s="8" t="s">
        <v>131</v>
      </c>
      <c r="H80" s="105"/>
      <c r="I80" s="164"/>
      <c r="O80" s="164"/>
    </row>
    <row r="81" spans="1:15" ht="29.1" customHeight="1" x14ac:dyDescent="0.2">
      <c r="A81" s="3">
        <v>7</v>
      </c>
      <c r="B81" s="40" t="s">
        <v>735</v>
      </c>
      <c r="C81" s="40" t="s">
        <v>948</v>
      </c>
      <c r="D81" s="4"/>
      <c r="E81" s="5">
        <v>54000</v>
      </c>
      <c r="F81" s="6">
        <v>5.4000000000000002E-7</v>
      </c>
      <c r="G81" s="8" t="s">
        <v>131</v>
      </c>
      <c r="H81" s="105"/>
      <c r="I81" s="164"/>
      <c r="O81" s="164"/>
    </row>
    <row r="82" spans="1:15" ht="17.100000000000001" customHeight="1" x14ac:dyDescent="0.2">
      <c r="A82" s="3">
        <v>8</v>
      </c>
      <c r="B82" s="40" t="s">
        <v>736</v>
      </c>
      <c r="C82" s="40" t="s">
        <v>949</v>
      </c>
      <c r="D82" s="4"/>
      <c r="E82" s="5">
        <v>93200</v>
      </c>
      <c r="F82" s="6">
        <v>9.3200000000000003E-7</v>
      </c>
      <c r="G82" s="8" t="s">
        <v>131</v>
      </c>
      <c r="H82" s="105"/>
      <c r="I82" s="164"/>
      <c r="O82" s="164"/>
    </row>
    <row r="83" spans="1:15" ht="14.1" customHeight="1" x14ac:dyDescent="0.2">
      <c r="A83" s="1"/>
      <c r="B83" s="1"/>
      <c r="C83" s="2" t="s">
        <v>132</v>
      </c>
      <c r="D83" s="1"/>
      <c r="E83" s="1" t="s">
        <v>133</v>
      </c>
      <c r="F83" s="9">
        <v>47.032485237000003</v>
      </c>
      <c r="G83" s="10">
        <v>2.5412999999999998E-4</v>
      </c>
      <c r="H83" s="105"/>
      <c r="I83" s="164"/>
    </row>
    <row r="84" spans="1:15" ht="14.1" customHeight="1" x14ac:dyDescent="0.2">
      <c r="A84" s="1"/>
      <c r="B84" s="1"/>
      <c r="C84" s="11"/>
      <c r="D84" s="1"/>
      <c r="E84" s="1"/>
      <c r="F84" s="12"/>
      <c r="G84" s="12"/>
      <c r="H84" s="105"/>
    </row>
    <row r="85" spans="1:15" ht="14.1" customHeight="1" x14ac:dyDescent="0.2">
      <c r="A85" s="1"/>
      <c r="B85" s="1"/>
      <c r="C85" s="2" t="s">
        <v>137</v>
      </c>
      <c r="D85" s="1"/>
      <c r="E85" s="1"/>
      <c r="F85" s="1"/>
      <c r="G85" s="1"/>
      <c r="H85" s="105"/>
    </row>
    <row r="86" spans="1:15" ht="14.1" customHeight="1" x14ac:dyDescent="0.2">
      <c r="A86" s="1"/>
      <c r="B86" s="1"/>
      <c r="C86" s="2" t="s">
        <v>132</v>
      </c>
      <c r="D86" s="1"/>
      <c r="E86" s="1" t="s">
        <v>133</v>
      </c>
      <c r="F86" s="13" t="s">
        <v>135</v>
      </c>
      <c r="G86" s="10">
        <v>0</v>
      </c>
      <c r="H86" s="105"/>
    </row>
    <row r="87" spans="1:15" ht="14.1" customHeight="1" x14ac:dyDescent="0.2">
      <c r="A87" s="1"/>
      <c r="B87" s="1"/>
      <c r="C87" s="11"/>
      <c r="D87" s="1"/>
      <c r="E87" s="1"/>
      <c r="F87" s="12"/>
      <c r="G87" s="12"/>
      <c r="H87" s="105"/>
    </row>
    <row r="88" spans="1:15" ht="14.1" customHeight="1" x14ac:dyDescent="0.2">
      <c r="A88" s="1"/>
      <c r="B88" s="1"/>
      <c r="C88" s="2" t="s">
        <v>138</v>
      </c>
      <c r="D88" s="1"/>
      <c r="E88" s="1"/>
      <c r="F88" s="12"/>
      <c r="G88" s="12"/>
      <c r="H88" s="105"/>
    </row>
    <row r="89" spans="1:15" ht="14.1" customHeight="1" x14ac:dyDescent="0.2">
      <c r="A89" s="1"/>
      <c r="B89" s="1"/>
      <c r="C89" s="2" t="s">
        <v>132</v>
      </c>
      <c r="D89" s="1"/>
      <c r="E89" s="1" t="s">
        <v>133</v>
      </c>
      <c r="F89" s="13" t="s">
        <v>135</v>
      </c>
      <c r="G89" s="10">
        <v>0</v>
      </c>
      <c r="H89" s="105"/>
    </row>
    <row r="90" spans="1:15" ht="14.1" customHeight="1" x14ac:dyDescent="0.2">
      <c r="A90" s="1"/>
      <c r="B90" s="1"/>
      <c r="C90" s="11"/>
      <c r="D90" s="1"/>
      <c r="E90" s="1"/>
      <c r="F90" s="12"/>
      <c r="G90" s="12"/>
      <c r="H90" s="105"/>
    </row>
    <row r="91" spans="1:15" ht="14.1" customHeight="1" x14ac:dyDescent="0.2">
      <c r="A91" s="1"/>
      <c r="B91" s="1"/>
      <c r="C91" s="2" t="s">
        <v>139</v>
      </c>
      <c r="D91" s="1"/>
      <c r="E91" s="1"/>
      <c r="F91" s="12"/>
      <c r="G91" s="12"/>
      <c r="H91" s="105"/>
    </row>
    <row r="92" spans="1:15" ht="14.1" customHeight="1" x14ac:dyDescent="0.2">
      <c r="A92" s="1"/>
      <c r="B92" s="1"/>
      <c r="C92" s="2" t="s">
        <v>132</v>
      </c>
      <c r="D92" s="1"/>
      <c r="E92" s="1" t="s">
        <v>133</v>
      </c>
      <c r="F92" s="13" t="s">
        <v>135</v>
      </c>
      <c r="G92" s="10">
        <v>0</v>
      </c>
      <c r="H92" s="105"/>
    </row>
    <row r="93" spans="1:15" ht="14.1" customHeight="1" x14ac:dyDescent="0.2">
      <c r="A93" s="1"/>
      <c r="B93" s="1"/>
      <c r="C93" s="11"/>
      <c r="D93" s="1"/>
      <c r="E93" s="1"/>
      <c r="F93" s="12"/>
      <c r="G93" s="12"/>
      <c r="H93" s="105"/>
    </row>
    <row r="94" spans="1:15" ht="18" customHeight="1" x14ac:dyDescent="0.2">
      <c r="A94" s="1"/>
      <c r="B94" s="1"/>
      <c r="C94" s="2" t="s">
        <v>140</v>
      </c>
      <c r="D94" s="1"/>
      <c r="E94" s="1"/>
      <c r="F94" s="9">
        <v>182340.739875737</v>
      </c>
      <c r="G94" s="10">
        <v>0.98523711000000003</v>
      </c>
      <c r="H94" s="105"/>
    </row>
    <row r="95" spans="1:15" ht="14.1" customHeight="1" x14ac:dyDescent="0.2">
      <c r="A95" s="1"/>
      <c r="B95" s="1"/>
      <c r="C95" s="11"/>
      <c r="D95" s="1"/>
      <c r="E95" s="1"/>
      <c r="F95" s="12"/>
      <c r="G95" s="12"/>
      <c r="H95" s="105"/>
    </row>
    <row r="96" spans="1:15" ht="14.1" customHeight="1" x14ac:dyDescent="0.2">
      <c r="A96" s="1"/>
      <c r="B96" s="1"/>
      <c r="C96" s="2" t="s">
        <v>141</v>
      </c>
      <c r="D96" s="1"/>
      <c r="E96" s="1"/>
      <c r="F96" s="12"/>
      <c r="G96" s="12"/>
      <c r="H96" s="105"/>
    </row>
    <row r="97" spans="1:8" ht="24" customHeight="1" x14ac:dyDescent="0.2">
      <c r="A97" s="1"/>
      <c r="B97" s="1"/>
      <c r="C97" s="2" t="s">
        <v>10</v>
      </c>
      <c r="D97" s="1"/>
      <c r="E97" s="1"/>
      <c r="F97" s="12"/>
      <c r="G97" s="12"/>
      <c r="H97" s="105"/>
    </row>
    <row r="98" spans="1:8" ht="14.1" customHeight="1" x14ac:dyDescent="0.2">
      <c r="A98" s="1"/>
      <c r="B98" s="1"/>
      <c r="C98" s="2" t="s">
        <v>132</v>
      </c>
      <c r="D98" s="1"/>
      <c r="E98" s="1" t="s">
        <v>133</v>
      </c>
      <c r="F98" s="13" t="s">
        <v>135</v>
      </c>
      <c r="G98" s="10">
        <v>0</v>
      </c>
      <c r="H98" s="105"/>
    </row>
    <row r="99" spans="1:8" ht="14.1" customHeight="1" x14ac:dyDescent="0.2">
      <c r="A99" s="1"/>
      <c r="B99" s="1"/>
      <c r="C99" s="11"/>
      <c r="D99" s="1"/>
      <c r="E99" s="1"/>
      <c r="F99" s="12"/>
      <c r="G99" s="12"/>
      <c r="H99" s="105"/>
    </row>
    <row r="100" spans="1:8" ht="14.1" customHeight="1" x14ac:dyDescent="0.2">
      <c r="A100" s="1"/>
      <c r="B100" s="1"/>
      <c r="C100" s="2" t="s">
        <v>142</v>
      </c>
      <c r="D100" s="1"/>
      <c r="E100" s="1"/>
      <c r="F100" s="1"/>
      <c r="G100" s="1"/>
      <c r="H100" s="105"/>
    </row>
    <row r="101" spans="1:8" ht="14.1" customHeight="1" x14ac:dyDescent="0.2">
      <c r="A101" s="1"/>
      <c r="B101" s="1"/>
      <c r="C101" s="2" t="s">
        <v>132</v>
      </c>
      <c r="D101" s="1"/>
      <c r="E101" s="1" t="s">
        <v>133</v>
      </c>
      <c r="F101" s="13" t="s">
        <v>135</v>
      </c>
      <c r="G101" s="10">
        <v>0</v>
      </c>
      <c r="H101" s="105"/>
    </row>
    <row r="102" spans="1:8" ht="14.1" customHeight="1" x14ac:dyDescent="0.2">
      <c r="A102" s="1"/>
      <c r="B102" s="1"/>
      <c r="C102" s="11"/>
      <c r="D102" s="1"/>
      <c r="E102" s="1"/>
      <c r="F102" s="12"/>
      <c r="G102" s="12"/>
      <c r="H102" s="105"/>
    </row>
    <row r="103" spans="1:8" ht="14.1" customHeight="1" x14ac:dyDescent="0.2">
      <c r="A103" s="1"/>
      <c r="B103" s="1"/>
      <c r="C103" s="2" t="s">
        <v>143</v>
      </c>
      <c r="D103" s="1"/>
      <c r="E103" s="1"/>
      <c r="F103" s="1"/>
      <c r="G103" s="1"/>
      <c r="H103" s="105"/>
    </row>
    <row r="104" spans="1:8" ht="14.1" customHeight="1" x14ac:dyDescent="0.2">
      <c r="A104" s="1"/>
      <c r="B104" s="1"/>
      <c r="C104" s="2" t="s">
        <v>132</v>
      </c>
      <c r="D104" s="1"/>
      <c r="E104" s="1" t="s">
        <v>133</v>
      </c>
      <c r="F104" s="13" t="s">
        <v>135</v>
      </c>
      <c r="G104" s="10">
        <v>0</v>
      </c>
      <c r="H104" s="105"/>
    </row>
    <row r="105" spans="1:8" ht="14.1" customHeight="1" x14ac:dyDescent="0.2">
      <c r="A105" s="1"/>
      <c r="B105" s="1"/>
      <c r="C105" s="11"/>
      <c r="D105" s="1"/>
      <c r="E105" s="1"/>
      <c r="F105" s="12"/>
      <c r="G105" s="12"/>
      <c r="H105" s="105"/>
    </row>
    <row r="106" spans="1:8" ht="14.1" customHeight="1" x14ac:dyDescent="0.2">
      <c r="A106" s="1"/>
      <c r="B106" s="1"/>
      <c r="C106" s="2" t="s">
        <v>144</v>
      </c>
      <c r="D106" s="1"/>
      <c r="E106" s="1"/>
      <c r="F106" s="12"/>
      <c r="G106" s="12"/>
      <c r="H106" s="105"/>
    </row>
    <row r="107" spans="1:8" ht="14.1" customHeight="1" x14ac:dyDescent="0.2">
      <c r="A107" s="1"/>
      <c r="B107" s="1"/>
      <c r="C107" s="2" t="s">
        <v>132</v>
      </c>
      <c r="D107" s="1"/>
      <c r="E107" s="1" t="s">
        <v>133</v>
      </c>
      <c r="F107" s="13" t="s">
        <v>135</v>
      </c>
      <c r="G107" s="10">
        <v>0</v>
      </c>
      <c r="H107" s="105"/>
    </row>
    <row r="108" spans="1:8" ht="14.1" customHeight="1" x14ac:dyDescent="0.2">
      <c r="A108" s="1"/>
      <c r="B108" s="1"/>
      <c r="C108" s="11"/>
      <c r="D108" s="1"/>
      <c r="E108" s="1"/>
      <c r="F108" s="12"/>
      <c r="G108" s="12"/>
      <c r="H108" s="105"/>
    </row>
    <row r="109" spans="1:8" ht="14.1" customHeight="1" x14ac:dyDescent="0.2">
      <c r="A109" s="1"/>
      <c r="B109" s="1"/>
      <c r="C109" s="2" t="s">
        <v>145</v>
      </c>
      <c r="D109" s="1"/>
      <c r="E109" s="1"/>
      <c r="F109" s="9">
        <v>0</v>
      </c>
      <c r="G109" s="10">
        <v>0</v>
      </c>
      <c r="H109" s="105"/>
    </row>
    <row r="110" spans="1:8" ht="14.1" customHeight="1" x14ac:dyDescent="0.2">
      <c r="A110" s="1"/>
      <c r="B110" s="1"/>
      <c r="C110" s="11"/>
      <c r="D110" s="1"/>
      <c r="E110" s="1"/>
      <c r="F110" s="12"/>
      <c r="G110" s="12"/>
      <c r="H110" s="105"/>
    </row>
    <row r="111" spans="1:8" ht="14.1" customHeight="1" x14ac:dyDescent="0.2">
      <c r="A111" s="1"/>
      <c r="B111" s="1"/>
      <c r="C111" s="2" t="s">
        <v>146</v>
      </c>
      <c r="D111" s="1"/>
      <c r="E111" s="1"/>
      <c r="F111" s="12"/>
      <c r="G111" s="12"/>
      <c r="H111" s="105"/>
    </row>
    <row r="112" spans="1:8" ht="14.1" customHeight="1" x14ac:dyDescent="0.2">
      <c r="A112" s="1"/>
      <c r="B112" s="1"/>
      <c r="C112" s="2" t="s">
        <v>147</v>
      </c>
      <c r="D112" s="1"/>
      <c r="E112" s="1"/>
      <c r="F112" s="12"/>
      <c r="G112" s="12"/>
      <c r="H112" s="105"/>
    </row>
    <row r="113" spans="1:8" ht="14.1" customHeight="1" x14ac:dyDescent="0.2">
      <c r="A113" s="1"/>
      <c r="B113" s="1"/>
      <c r="C113" s="2" t="s">
        <v>132</v>
      </c>
      <c r="D113" s="1"/>
      <c r="E113" s="1" t="s">
        <v>133</v>
      </c>
      <c r="F113" s="13" t="s">
        <v>135</v>
      </c>
      <c r="G113" s="10">
        <v>0</v>
      </c>
      <c r="H113" s="105"/>
    </row>
    <row r="114" spans="1:8" ht="14.1" customHeight="1" x14ac:dyDescent="0.2">
      <c r="A114" s="1"/>
      <c r="B114" s="1"/>
      <c r="C114" s="11"/>
      <c r="D114" s="1"/>
      <c r="E114" s="1"/>
      <c r="F114" s="12"/>
      <c r="G114" s="12"/>
      <c r="H114" s="105"/>
    </row>
    <row r="115" spans="1:8" ht="14.1" customHeight="1" x14ac:dyDescent="0.2">
      <c r="A115" s="1"/>
      <c r="B115" s="1"/>
      <c r="C115" s="2" t="s">
        <v>148</v>
      </c>
      <c r="D115" s="1"/>
      <c r="E115" s="1"/>
      <c r="F115" s="12"/>
      <c r="G115" s="12"/>
      <c r="H115" s="105"/>
    </row>
    <row r="116" spans="1:8" ht="14.1" customHeight="1" x14ac:dyDescent="0.2">
      <c r="A116" s="1"/>
      <c r="B116" s="1"/>
      <c r="C116" s="2" t="s">
        <v>132</v>
      </c>
      <c r="D116" s="1"/>
      <c r="E116" s="1" t="s">
        <v>133</v>
      </c>
      <c r="F116" s="13" t="s">
        <v>135</v>
      </c>
      <c r="G116" s="10">
        <v>0</v>
      </c>
      <c r="H116" s="105"/>
    </row>
    <row r="117" spans="1:8" ht="14.1" customHeight="1" x14ac:dyDescent="0.2">
      <c r="A117" s="1"/>
      <c r="B117" s="1"/>
      <c r="C117" s="11"/>
      <c r="D117" s="1"/>
      <c r="E117" s="1"/>
      <c r="F117" s="12"/>
      <c r="G117" s="12"/>
      <c r="H117" s="105"/>
    </row>
    <row r="118" spans="1:8" ht="14.1" customHeight="1" x14ac:dyDescent="0.2">
      <c r="A118" s="1"/>
      <c r="B118" s="1"/>
      <c r="C118" s="2" t="s">
        <v>149</v>
      </c>
      <c r="D118" s="1"/>
      <c r="E118" s="1"/>
      <c r="F118" s="12"/>
      <c r="G118" s="12"/>
      <c r="H118" s="105"/>
    </row>
    <row r="119" spans="1:8" ht="14.1" customHeight="1" x14ac:dyDescent="0.2">
      <c r="A119" s="1"/>
      <c r="B119" s="1"/>
      <c r="C119" s="2" t="s">
        <v>132</v>
      </c>
      <c r="D119" s="1"/>
      <c r="E119" s="1" t="s">
        <v>133</v>
      </c>
      <c r="F119" s="13" t="s">
        <v>135</v>
      </c>
      <c r="G119" s="10">
        <v>0</v>
      </c>
      <c r="H119" s="105"/>
    </row>
    <row r="120" spans="1:8" ht="14.1" customHeight="1" x14ac:dyDescent="0.2">
      <c r="A120" s="1"/>
      <c r="B120" s="1"/>
      <c r="C120" s="11"/>
      <c r="D120" s="1"/>
      <c r="E120" s="1"/>
      <c r="F120" s="12"/>
      <c r="G120" s="12"/>
      <c r="H120" s="105"/>
    </row>
    <row r="121" spans="1:8" ht="14.1" customHeight="1" x14ac:dyDescent="0.2">
      <c r="A121" s="1"/>
      <c r="B121" s="1"/>
      <c r="C121" s="2" t="s">
        <v>150</v>
      </c>
      <c r="D121" s="1"/>
      <c r="E121" s="1"/>
      <c r="F121" s="12"/>
      <c r="G121" s="12"/>
      <c r="H121" s="105"/>
    </row>
    <row r="122" spans="1:8" ht="17.100000000000001" customHeight="1" x14ac:dyDescent="0.2">
      <c r="A122" s="3">
        <v>1</v>
      </c>
      <c r="B122" s="4"/>
      <c r="C122" s="4" t="s">
        <v>151</v>
      </c>
      <c r="D122" s="4"/>
      <c r="E122" s="8"/>
      <c r="F122" s="6">
        <v>2254.6939615000001</v>
      </c>
      <c r="G122" s="7">
        <v>1.2182729999999999E-2</v>
      </c>
      <c r="H122" s="105">
        <v>6.8153352377542396</v>
      </c>
    </row>
    <row r="123" spans="1:8" ht="17.100000000000001" customHeight="1" x14ac:dyDescent="0.2">
      <c r="A123" s="3">
        <v>2</v>
      </c>
      <c r="B123" s="4"/>
      <c r="C123" s="4" t="s">
        <v>152</v>
      </c>
      <c r="D123" s="4"/>
      <c r="E123" s="8"/>
      <c r="F123" s="6">
        <v>267.55607569900002</v>
      </c>
      <c r="G123" s="7">
        <v>1.44568E-3</v>
      </c>
      <c r="H123" s="105">
        <v>6.7952403714590259</v>
      </c>
    </row>
    <row r="124" spans="1:8" ht="14.1" customHeight="1" x14ac:dyDescent="0.2">
      <c r="A124" s="1"/>
      <c r="B124" s="1"/>
      <c r="C124" s="2" t="s">
        <v>132</v>
      </c>
      <c r="D124" s="1"/>
      <c r="E124" s="1" t="s">
        <v>133</v>
      </c>
      <c r="F124" s="9">
        <v>2522.250037199</v>
      </c>
      <c r="G124" s="10">
        <v>1.3628410000000001E-2</v>
      </c>
      <c r="H124" s="105"/>
    </row>
    <row r="125" spans="1:8" ht="14.1" customHeight="1" x14ac:dyDescent="0.2">
      <c r="A125" s="1"/>
      <c r="B125" s="1"/>
      <c r="C125" s="11"/>
      <c r="D125" s="1"/>
      <c r="E125" s="1"/>
      <c r="F125" s="12"/>
      <c r="G125" s="12"/>
      <c r="H125" s="105"/>
    </row>
    <row r="126" spans="1:8" ht="14.1" customHeight="1" x14ac:dyDescent="0.2">
      <c r="A126" s="1"/>
      <c r="B126" s="1"/>
      <c r="C126" s="2" t="s">
        <v>153</v>
      </c>
      <c r="D126" s="1"/>
      <c r="E126" s="1"/>
      <c r="F126" s="9">
        <v>2522.250037199</v>
      </c>
      <c r="G126" s="10">
        <v>1.3628410000000001E-2</v>
      </c>
      <c r="H126" s="105"/>
    </row>
    <row r="127" spans="1:8" ht="14.1" customHeight="1" x14ac:dyDescent="0.2">
      <c r="A127" s="1"/>
      <c r="B127" s="1"/>
      <c r="C127" s="12"/>
      <c r="D127" s="1"/>
      <c r="E127" s="1"/>
      <c r="F127" s="1"/>
      <c r="G127" s="1"/>
      <c r="H127" s="105"/>
    </row>
    <row r="128" spans="1:8" ht="14.1" customHeight="1" x14ac:dyDescent="0.2">
      <c r="A128" s="1"/>
      <c r="B128" s="1"/>
      <c r="C128" s="2" t="s">
        <v>154</v>
      </c>
      <c r="D128" s="1"/>
      <c r="E128" s="1"/>
      <c r="F128" s="1"/>
      <c r="G128" s="1"/>
      <c r="H128" s="105"/>
    </row>
    <row r="129" spans="1:8" ht="14.1" customHeight="1" x14ac:dyDescent="0.2">
      <c r="A129" s="1"/>
      <c r="B129" s="1"/>
      <c r="C129" s="2" t="s">
        <v>155</v>
      </c>
      <c r="D129" s="1"/>
      <c r="E129" s="1"/>
      <c r="F129" s="1"/>
      <c r="G129" s="1"/>
      <c r="H129" s="105"/>
    </row>
    <row r="130" spans="1:8" ht="14.1" customHeight="1" x14ac:dyDescent="0.2">
      <c r="A130" s="1"/>
      <c r="B130" s="1"/>
      <c r="C130" s="2" t="s">
        <v>132</v>
      </c>
      <c r="D130" s="1"/>
      <c r="E130" s="1" t="s">
        <v>133</v>
      </c>
      <c r="F130" s="13" t="s">
        <v>135</v>
      </c>
      <c r="G130" s="10">
        <v>0</v>
      </c>
      <c r="H130" s="105"/>
    </row>
    <row r="131" spans="1:8" ht="14.1" customHeight="1" x14ac:dyDescent="0.2">
      <c r="A131" s="1"/>
      <c r="B131" s="1"/>
      <c r="C131" s="11"/>
      <c r="D131" s="1"/>
      <c r="E131" s="1"/>
      <c r="F131" s="12"/>
      <c r="G131" s="12"/>
      <c r="H131" s="105"/>
    </row>
    <row r="132" spans="1:8" ht="14.1" customHeight="1" x14ac:dyDescent="0.2">
      <c r="A132" s="1"/>
      <c r="B132" s="1"/>
      <c r="C132" s="2" t="s">
        <v>156</v>
      </c>
      <c r="D132" s="1"/>
      <c r="E132" s="1"/>
      <c r="F132" s="1"/>
      <c r="G132" s="1"/>
      <c r="H132" s="105"/>
    </row>
    <row r="133" spans="1:8" ht="14.1" customHeight="1" x14ac:dyDescent="0.2">
      <c r="A133" s="1"/>
      <c r="B133" s="1"/>
      <c r="C133" s="2" t="s">
        <v>157</v>
      </c>
      <c r="D133" s="1"/>
      <c r="E133" s="1"/>
      <c r="F133" s="1"/>
      <c r="G133" s="1"/>
      <c r="H133" s="105"/>
    </row>
    <row r="134" spans="1:8" ht="14.1" customHeight="1" x14ac:dyDescent="0.2">
      <c r="A134" s="1"/>
      <c r="B134" s="1"/>
      <c r="C134" s="2" t="s">
        <v>132</v>
      </c>
      <c r="D134" s="1"/>
      <c r="E134" s="1" t="s">
        <v>133</v>
      </c>
      <c r="F134" s="13" t="s">
        <v>135</v>
      </c>
      <c r="G134" s="10">
        <v>0</v>
      </c>
      <c r="H134" s="105"/>
    </row>
    <row r="135" spans="1:8" ht="14.1" customHeight="1" x14ac:dyDescent="0.2">
      <c r="A135" s="1"/>
      <c r="B135" s="1"/>
      <c r="C135" s="11"/>
      <c r="D135" s="1"/>
      <c r="E135" s="1"/>
      <c r="F135" s="12"/>
      <c r="G135" s="12"/>
      <c r="H135" s="105"/>
    </row>
    <row r="136" spans="1:8" ht="24" customHeight="1" x14ac:dyDescent="0.2">
      <c r="A136" s="1"/>
      <c r="B136" s="1"/>
      <c r="C136" s="2" t="s">
        <v>158</v>
      </c>
      <c r="D136" s="1"/>
      <c r="E136" s="1"/>
      <c r="F136" s="12"/>
      <c r="G136" s="12"/>
      <c r="H136" s="105"/>
    </row>
    <row r="137" spans="1:8" ht="14.1" customHeight="1" x14ac:dyDescent="0.2">
      <c r="A137" s="1"/>
      <c r="B137" s="1"/>
      <c r="C137" s="2" t="s">
        <v>132</v>
      </c>
      <c r="D137" s="1"/>
      <c r="E137" s="1" t="s">
        <v>133</v>
      </c>
      <c r="F137" s="13" t="s">
        <v>135</v>
      </c>
      <c r="G137" s="10">
        <v>0</v>
      </c>
      <c r="H137" s="105"/>
    </row>
    <row r="138" spans="1:8" ht="14.1" customHeight="1" x14ac:dyDescent="0.2">
      <c r="A138" s="1"/>
      <c r="B138" s="1"/>
      <c r="C138" s="11"/>
      <c r="D138" s="1"/>
      <c r="E138" s="1"/>
      <c r="F138" s="12"/>
      <c r="G138" s="12"/>
      <c r="H138" s="105"/>
    </row>
    <row r="139" spans="1:8" ht="14.1" customHeight="1" x14ac:dyDescent="0.2">
      <c r="A139" s="1"/>
      <c r="B139" s="4"/>
      <c r="C139" s="4"/>
      <c r="D139" s="2"/>
      <c r="E139" s="1"/>
      <c r="F139" s="4"/>
      <c r="G139" s="8"/>
      <c r="H139" s="105"/>
    </row>
    <row r="140" spans="1:8" ht="18" customHeight="1" x14ac:dyDescent="0.2">
      <c r="A140" s="8"/>
      <c r="B140" s="4"/>
      <c r="C140" s="4" t="s">
        <v>159</v>
      </c>
      <c r="D140" s="4"/>
      <c r="E140" s="8"/>
      <c r="F140" s="6">
        <v>209.96441240999999</v>
      </c>
      <c r="G140" s="7">
        <v>1.1345000000000001E-3</v>
      </c>
      <c r="H140" s="105"/>
    </row>
    <row r="141" spans="1:8" ht="14.1" customHeight="1" x14ac:dyDescent="0.2">
      <c r="A141" s="11"/>
      <c r="B141" s="11"/>
      <c r="C141" s="2" t="s">
        <v>160</v>
      </c>
      <c r="D141" s="12"/>
      <c r="E141" s="12"/>
      <c r="F141" s="9">
        <v>185072.95432534601</v>
      </c>
      <c r="G141" s="14">
        <v>1.0000000200000001</v>
      </c>
      <c r="H141" s="105"/>
    </row>
    <row r="142" spans="1:8" ht="14.1" customHeight="1" x14ac:dyDescent="0.2">
      <c r="A142" s="15"/>
      <c r="B142" s="15"/>
      <c r="C142" s="15"/>
      <c r="D142" s="16"/>
      <c r="E142" s="16"/>
      <c r="F142" s="16"/>
      <c r="G142" s="16"/>
    </row>
    <row r="143" spans="1:8" ht="17.100000000000001" customHeight="1" x14ac:dyDescent="0.2">
      <c r="A143" s="17"/>
      <c r="B143" s="178" t="s">
        <v>161</v>
      </c>
      <c r="C143" s="178"/>
      <c r="D143" s="178"/>
      <c r="E143" s="178"/>
      <c r="F143" s="178"/>
      <c r="G143" s="19"/>
    </row>
    <row r="144" spans="1:8" ht="14.1" customHeight="1" x14ac:dyDescent="0.2">
      <c r="A144" s="17"/>
      <c r="B144" s="17"/>
      <c r="C144" s="17"/>
      <c r="D144" s="19"/>
      <c r="E144" s="19"/>
      <c r="F144" s="19"/>
      <c r="G144" s="19"/>
    </row>
    <row r="145" spans="1:7" ht="14.1" customHeight="1" x14ac:dyDescent="0.2">
      <c r="A145" s="17"/>
      <c r="B145" s="179" t="s">
        <v>162</v>
      </c>
      <c r="C145" s="180"/>
      <c r="D145" s="181"/>
      <c r="E145" s="20"/>
      <c r="F145" s="19"/>
      <c r="G145" s="19"/>
    </row>
    <row r="146" spans="1:7" ht="29.1" customHeight="1" x14ac:dyDescent="0.2">
      <c r="A146" s="17"/>
      <c r="B146" s="176" t="s">
        <v>163</v>
      </c>
      <c r="C146" s="177"/>
      <c r="D146" s="2" t="s">
        <v>164</v>
      </c>
      <c r="E146" s="20"/>
      <c r="F146" s="19"/>
      <c r="G146" s="19"/>
    </row>
    <row r="147" spans="1:7" ht="17.100000000000001" customHeight="1" x14ac:dyDescent="0.2">
      <c r="A147" s="17"/>
      <c r="B147" s="190" t="s">
        <v>935</v>
      </c>
      <c r="C147" s="212"/>
      <c r="D147" s="55" t="s">
        <v>950</v>
      </c>
      <c r="E147" s="20"/>
      <c r="F147" s="19"/>
      <c r="G147" s="19"/>
    </row>
    <row r="148" spans="1:7" ht="17.100000000000001" customHeight="1" x14ac:dyDescent="0.2">
      <c r="A148" s="17"/>
      <c r="B148" s="176" t="s">
        <v>166</v>
      </c>
      <c r="C148" s="177"/>
      <c r="D148" s="12" t="s">
        <v>133</v>
      </c>
      <c r="E148" s="20"/>
      <c r="F148" s="19"/>
      <c r="G148" s="19"/>
    </row>
    <row r="149" spans="1:7" ht="24" customHeight="1" x14ac:dyDescent="0.2">
      <c r="A149" s="21"/>
      <c r="B149" s="22" t="s">
        <v>133</v>
      </c>
      <c r="C149" s="22" t="s">
        <v>167</v>
      </c>
      <c r="D149" s="22" t="s">
        <v>168</v>
      </c>
      <c r="E149" s="21"/>
      <c r="F149" s="21"/>
      <c r="G149" s="21"/>
    </row>
    <row r="150" spans="1:7" ht="18" customHeight="1" x14ac:dyDescent="0.2">
      <c r="A150" s="21"/>
      <c r="B150" s="23" t="s">
        <v>169</v>
      </c>
      <c r="C150" s="22" t="s">
        <v>170</v>
      </c>
      <c r="D150" s="22" t="s">
        <v>171</v>
      </c>
      <c r="E150" s="21"/>
      <c r="F150" s="21"/>
      <c r="G150" s="21"/>
    </row>
    <row r="151" spans="1:7" ht="17.100000000000001" customHeight="1" x14ac:dyDescent="0.2">
      <c r="A151" s="21"/>
      <c r="B151" s="4" t="s">
        <v>172</v>
      </c>
      <c r="C151" s="24">
        <v>247.14789999999999</v>
      </c>
      <c r="D151" s="24">
        <v>256.22800000000001</v>
      </c>
      <c r="E151" s="21"/>
      <c r="F151" s="18"/>
      <c r="G151" s="25"/>
    </row>
    <row r="152" spans="1:7" ht="29.1" customHeight="1" x14ac:dyDescent="0.2">
      <c r="A152" s="21"/>
      <c r="B152" s="4" t="s">
        <v>1009</v>
      </c>
      <c r="C152" s="24">
        <v>61.020600000000002</v>
      </c>
      <c r="D152" s="24">
        <v>63.262500000000003</v>
      </c>
      <c r="E152" s="21"/>
      <c r="F152" s="18"/>
      <c r="G152" s="25"/>
    </row>
    <row r="153" spans="1:7" ht="17.100000000000001" customHeight="1" x14ac:dyDescent="0.2">
      <c r="A153" s="21"/>
      <c r="B153" s="4" t="s">
        <v>173</v>
      </c>
      <c r="C153" s="24">
        <v>227.65610000000001</v>
      </c>
      <c r="D153" s="24">
        <v>235.80439999999999</v>
      </c>
      <c r="E153" s="21"/>
      <c r="F153" s="18"/>
      <c r="G153" s="25"/>
    </row>
    <row r="154" spans="1:7" ht="29.1" customHeight="1" x14ac:dyDescent="0.2">
      <c r="A154" s="21"/>
      <c r="B154" s="4" t="s">
        <v>1010</v>
      </c>
      <c r="C154" s="24">
        <v>46.404499999999999</v>
      </c>
      <c r="D154" s="24">
        <v>48.065399999999997</v>
      </c>
      <c r="E154" s="21"/>
      <c r="F154" s="18"/>
      <c r="G154" s="25"/>
    </row>
    <row r="155" spans="1:7" ht="14.1" customHeight="1" x14ac:dyDescent="0.2">
      <c r="A155" s="21"/>
      <c r="B155" s="21"/>
      <c r="C155" s="21"/>
      <c r="D155" s="21"/>
      <c r="E155" s="21"/>
      <c r="F155" s="21"/>
      <c r="G155" s="21"/>
    </row>
    <row r="156" spans="1:7" ht="17.100000000000001" customHeight="1" x14ac:dyDescent="0.2">
      <c r="A156" s="21"/>
      <c r="B156" s="176" t="s">
        <v>1008</v>
      </c>
      <c r="C156" s="177"/>
      <c r="D156" s="2" t="s">
        <v>164</v>
      </c>
      <c r="E156" s="21"/>
      <c r="F156" s="21"/>
      <c r="G156" s="21"/>
    </row>
    <row r="157" spans="1:7" ht="18" customHeight="1" x14ac:dyDescent="0.2">
      <c r="A157" s="21"/>
      <c r="B157" s="26"/>
      <c r="C157" s="26"/>
      <c r="D157" s="26"/>
      <c r="E157" s="21"/>
      <c r="F157" s="21"/>
      <c r="G157" s="21"/>
    </row>
    <row r="158" spans="1:7" ht="29.1" customHeight="1" x14ac:dyDescent="0.2">
      <c r="A158" s="21"/>
      <c r="B158" s="176" t="s">
        <v>174</v>
      </c>
      <c r="C158" s="177"/>
      <c r="D158" s="2" t="s">
        <v>164</v>
      </c>
      <c r="E158" s="27"/>
      <c r="F158" s="21"/>
      <c r="G158" s="21"/>
    </row>
    <row r="159" spans="1:7" ht="29.1" customHeight="1" x14ac:dyDescent="0.2">
      <c r="A159" s="21"/>
      <c r="B159" s="176" t="s">
        <v>175</v>
      </c>
      <c r="C159" s="177"/>
      <c r="D159" s="2" t="s">
        <v>164</v>
      </c>
      <c r="E159" s="27"/>
      <c r="F159" s="21"/>
      <c r="G159" s="21"/>
    </row>
    <row r="160" spans="1:7" ht="17.100000000000001" customHeight="1" x14ac:dyDescent="0.2">
      <c r="A160" s="21"/>
      <c r="B160" s="176" t="s">
        <v>176</v>
      </c>
      <c r="C160" s="177"/>
      <c r="D160" s="2" t="s">
        <v>164</v>
      </c>
      <c r="E160" s="27"/>
      <c r="F160" s="21"/>
      <c r="G160" s="21"/>
    </row>
    <row r="161" spans="1:7" ht="17.100000000000001" customHeight="1" x14ac:dyDescent="0.2">
      <c r="A161" s="21"/>
      <c r="B161" s="176" t="s">
        <v>177</v>
      </c>
      <c r="C161" s="177"/>
      <c r="D161" s="60">
        <v>0.68448928428996236</v>
      </c>
      <c r="E161" s="21"/>
      <c r="F161" s="18"/>
      <c r="G161" s="25"/>
    </row>
    <row r="163" spans="1:7" x14ac:dyDescent="0.2">
      <c r="B163" s="99" t="s">
        <v>996</v>
      </c>
    </row>
    <row r="164" spans="1:7" ht="38.25" x14ac:dyDescent="0.2">
      <c r="B164" s="63" t="s">
        <v>961</v>
      </c>
      <c r="C164" s="63" t="s">
        <v>962</v>
      </c>
      <c r="D164" s="63" t="s">
        <v>963</v>
      </c>
      <c r="E164" s="63" t="s">
        <v>964</v>
      </c>
      <c r="F164" s="63" t="s">
        <v>965</v>
      </c>
    </row>
    <row r="165" spans="1:7" x14ac:dyDescent="0.2">
      <c r="B165" s="100" t="s">
        <v>994</v>
      </c>
      <c r="C165" s="95" t="s">
        <v>992</v>
      </c>
      <c r="D165" s="96">
        <v>0</v>
      </c>
      <c r="E165" s="97">
        <v>0</v>
      </c>
      <c r="F165" s="98">
        <v>29.407129999999999</v>
      </c>
    </row>
  </sheetData>
  <mergeCells count="14">
    <mergeCell ref="B161:C161"/>
    <mergeCell ref="B147:C147"/>
    <mergeCell ref="B148:C148"/>
    <mergeCell ref="B156:C156"/>
    <mergeCell ref="B158:C158"/>
    <mergeCell ref="B159:C159"/>
    <mergeCell ref="B160:C160"/>
    <mergeCell ref="J2:N2"/>
    <mergeCell ref="B146:C146"/>
    <mergeCell ref="B143:F143"/>
    <mergeCell ref="B145:D145"/>
    <mergeCell ref="A1:H1"/>
    <mergeCell ref="A2:H2"/>
    <mergeCell ref="A3:H3"/>
  </mergeCells>
  <hyperlinks>
    <hyperlink ref="I1" location="Index!B27" display="Index" xr:uid="{E8410BB0-DDE4-4A2F-A063-0DDDDAC0B956}"/>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outlinePr summaryBelow="0" summaryRight="0"/>
  </sheetPr>
  <dimension ref="A1:O194"/>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5" ht="18" customHeight="1" x14ac:dyDescent="0.2">
      <c r="A1" s="182" t="s">
        <v>0</v>
      </c>
      <c r="B1" s="182"/>
      <c r="C1" s="182"/>
      <c r="D1" s="182"/>
      <c r="E1" s="182"/>
      <c r="F1" s="182"/>
      <c r="G1" s="182"/>
      <c r="H1" s="182"/>
      <c r="I1" s="159" t="s">
        <v>1044</v>
      </c>
    </row>
    <row r="2" spans="1:15" ht="17.100000000000001" customHeight="1" x14ac:dyDescent="0.2">
      <c r="A2" s="183" t="s">
        <v>737</v>
      </c>
      <c r="B2" s="184"/>
      <c r="C2" s="184"/>
      <c r="D2" s="184"/>
      <c r="E2" s="184"/>
      <c r="F2" s="184"/>
      <c r="G2" s="184"/>
      <c r="H2" s="185"/>
      <c r="J2" s="175" t="s">
        <v>1045</v>
      </c>
      <c r="K2" s="175"/>
      <c r="L2" s="175"/>
      <c r="M2" s="175"/>
      <c r="N2" s="175"/>
    </row>
    <row r="3" spans="1:15" ht="21" customHeight="1" x14ac:dyDescent="0.2">
      <c r="A3" s="182" t="s">
        <v>1016</v>
      </c>
      <c r="B3" s="182"/>
      <c r="C3" s="182"/>
      <c r="D3" s="182"/>
      <c r="E3" s="182"/>
      <c r="F3" s="182"/>
      <c r="G3" s="182"/>
      <c r="H3" s="182"/>
    </row>
    <row r="4" spans="1:15" ht="30" x14ac:dyDescent="0.2">
      <c r="A4" s="107" t="s">
        <v>2</v>
      </c>
      <c r="B4" s="107" t="s">
        <v>3</v>
      </c>
      <c r="C4" s="107" t="s">
        <v>4</v>
      </c>
      <c r="D4" s="107" t="s">
        <v>5</v>
      </c>
      <c r="E4" s="107" t="s">
        <v>6</v>
      </c>
      <c r="F4" s="107" t="s">
        <v>7</v>
      </c>
      <c r="G4" s="107" t="s">
        <v>8</v>
      </c>
      <c r="H4" s="104" t="s">
        <v>1003</v>
      </c>
      <c r="I4" s="108"/>
      <c r="J4" s="108"/>
      <c r="K4" s="108"/>
      <c r="L4" s="108"/>
      <c r="M4" s="108"/>
      <c r="N4" s="108"/>
      <c r="O4" s="108"/>
    </row>
    <row r="5" spans="1:15" ht="14.1" customHeight="1" x14ac:dyDescent="0.2">
      <c r="A5" s="1"/>
      <c r="B5" s="1"/>
      <c r="C5" s="2" t="s">
        <v>9</v>
      </c>
      <c r="D5" s="1"/>
      <c r="E5" s="1"/>
      <c r="F5" s="1"/>
      <c r="G5" s="1"/>
      <c r="H5" s="105"/>
    </row>
    <row r="6" spans="1:15" ht="24" customHeight="1" x14ac:dyDescent="0.2">
      <c r="A6" s="1"/>
      <c r="B6" s="1"/>
      <c r="C6" s="2" t="s">
        <v>10</v>
      </c>
      <c r="D6" s="1"/>
      <c r="E6" s="1"/>
      <c r="F6" s="1"/>
      <c r="G6" s="1"/>
      <c r="H6" s="105"/>
    </row>
    <row r="7" spans="1:15" ht="17.100000000000001" customHeight="1" x14ac:dyDescent="0.2">
      <c r="A7" s="3">
        <v>1</v>
      </c>
      <c r="B7" s="4" t="s">
        <v>738</v>
      </c>
      <c r="C7" s="4" t="s">
        <v>739</v>
      </c>
      <c r="D7" s="4" t="s">
        <v>195</v>
      </c>
      <c r="E7" s="5">
        <v>100885</v>
      </c>
      <c r="F7" s="6">
        <v>65.474365000000006</v>
      </c>
      <c r="G7" s="7">
        <v>1.1879799999999999E-2</v>
      </c>
      <c r="H7" s="105"/>
    </row>
    <row r="8" spans="1:15" ht="17.100000000000001" customHeight="1" x14ac:dyDescent="0.2">
      <c r="A8" s="3">
        <v>2</v>
      </c>
      <c r="B8" s="4" t="s">
        <v>654</v>
      </c>
      <c r="C8" s="4" t="s">
        <v>655</v>
      </c>
      <c r="D8" s="4" t="s">
        <v>91</v>
      </c>
      <c r="E8" s="5">
        <v>14477</v>
      </c>
      <c r="F8" s="6">
        <v>61.700974000000002</v>
      </c>
      <c r="G8" s="7">
        <v>1.1195139999999999E-2</v>
      </c>
      <c r="H8" s="105"/>
    </row>
    <row r="9" spans="1:15" ht="29.1" customHeight="1" x14ac:dyDescent="0.2">
      <c r="A9" s="3">
        <v>3</v>
      </c>
      <c r="B9" s="4" t="s">
        <v>196</v>
      </c>
      <c r="C9" s="4" t="s">
        <v>197</v>
      </c>
      <c r="D9" s="4" t="s">
        <v>128</v>
      </c>
      <c r="E9" s="5">
        <v>7060</v>
      </c>
      <c r="F9" s="6">
        <v>61.499659999999999</v>
      </c>
      <c r="G9" s="7">
        <v>1.1158619999999999E-2</v>
      </c>
      <c r="H9" s="105"/>
    </row>
    <row r="10" spans="1:15" ht="17.100000000000001" customHeight="1" x14ac:dyDescent="0.2">
      <c r="A10" s="3">
        <v>4</v>
      </c>
      <c r="B10" s="4" t="s">
        <v>353</v>
      </c>
      <c r="C10" s="4" t="s">
        <v>354</v>
      </c>
      <c r="D10" s="4" t="s">
        <v>105</v>
      </c>
      <c r="E10" s="5">
        <v>12266</v>
      </c>
      <c r="F10" s="6">
        <v>59.483967</v>
      </c>
      <c r="G10" s="7">
        <v>1.0792889999999999E-2</v>
      </c>
      <c r="H10" s="105"/>
    </row>
    <row r="11" spans="1:15" ht="17.100000000000001" customHeight="1" x14ac:dyDescent="0.2">
      <c r="A11" s="3">
        <v>5</v>
      </c>
      <c r="B11" s="4" t="s">
        <v>690</v>
      </c>
      <c r="C11" s="4" t="s">
        <v>691</v>
      </c>
      <c r="D11" s="4" t="s">
        <v>105</v>
      </c>
      <c r="E11" s="5">
        <v>1339</v>
      </c>
      <c r="F11" s="6">
        <v>59.343810499999996</v>
      </c>
      <c r="G11" s="7">
        <v>1.076746E-2</v>
      </c>
      <c r="H11" s="105"/>
    </row>
    <row r="12" spans="1:15" ht="17.100000000000001" customHeight="1" x14ac:dyDescent="0.2">
      <c r="A12" s="3">
        <v>6</v>
      </c>
      <c r="B12" s="4" t="s">
        <v>213</v>
      </c>
      <c r="C12" s="4" t="s">
        <v>214</v>
      </c>
      <c r="D12" s="4" t="s">
        <v>25</v>
      </c>
      <c r="E12" s="5">
        <v>31430</v>
      </c>
      <c r="F12" s="6">
        <v>59.009824999999999</v>
      </c>
      <c r="G12" s="7">
        <v>1.070686E-2</v>
      </c>
      <c r="H12" s="105"/>
    </row>
    <row r="13" spans="1:15" ht="17.100000000000001" customHeight="1" x14ac:dyDescent="0.2">
      <c r="A13" s="3">
        <v>7</v>
      </c>
      <c r="B13" s="4" t="s">
        <v>740</v>
      </c>
      <c r="C13" s="4" t="s">
        <v>741</v>
      </c>
      <c r="D13" s="4" t="s">
        <v>253</v>
      </c>
      <c r="E13" s="5">
        <v>271</v>
      </c>
      <c r="F13" s="6">
        <v>58.973393999999999</v>
      </c>
      <c r="G13" s="7">
        <v>1.070025E-2</v>
      </c>
      <c r="H13" s="105"/>
      <c r="J13" s="161" t="s">
        <v>1067</v>
      </c>
    </row>
    <row r="14" spans="1:15" ht="29.1" customHeight="1" x14ac:dyDescent="0.2">
      <c r="A14" s="3">
        <v>8</v>
      </c>
      <c r="B14" s="4" t="s">
        <v>243</v>
      </c>
      <c r="C14" s="4" t="s">
        <v>244</v>
      </c>
      <c r="D14" s="4" t="s">
        <v>190</v>
      </c>
      <c r="E14" s="5">
        <v>1735</v>
      </c>
      <c r="F14" s="6">
        <v>58.721074999999999</v>
      </c>
      <c r="G14" s="7">
        <v>1.0654469999999999E-2</v>
      </c>
      <c r="H14" s="105"/>
    </row>
    <row r="15" spans="1:15" ht="29.1" customHeight="1" x14ac:dyDescent="0.2">
      <c r="A15" s="3">
        <v>9</v>
      </c>
      <c r="B15" s="4" t="s">
        <v>345</v>
      </c>
      <c r="C15" s="4" t="s">
        <v>346</v>
      </c>
      <c r="D15" s="4" t="s">
        <v>212</v>
      </c>
      <c r="E15" s="5">
        <v>1792</v>
      </c>
      <c r="F15" s="6">
        <v>58.560768000000003</v>
      </c>
      <c r="G15" s="7">
        <v>1.062538E-2</v>
      </c>
      <c r="H15" s="105"/>
    </row>
    <row r="16" spans="1:15" ht="17.100000000000001" customHeight="1" x14ac:dyDescent="0.2">
      <c r="A16" s="3">
        <v>10</v>
      </c>
      <c r="B16" s="4" t="s">
        <v>554</v>
      </c>
      <c r="C16" s="4" t="s">
        <v>555</v>
      </c>
      <c r="D16" s="4" t="s">
        <v>105</v>
      </c>
      <c r="E16" s="5">
        <v>1766</v>
      </c>
      <c r="F16" s="6">
        <v>58.297426000000002</v>
      </c>
      <c r="G16" s="7">
        <v>1.05776E-2</v>
      </c>
      <c r="H16" s="105"/>
    </row>
    <row r="17" spans="1:8" ht="17.100000000000001" customHeight="1" x14ac:dyDescent="0.2">
      <c r="A17" s="3">
        <v>11</v>
      </c>
      <c r="B17" s="4" t="s">
        <v>339</v>
      </c>
      <c r="C17" s="4" t="s">
        <v>340</v>
      </c>
      <c r="D17" s="4" t="s">
        <v>25</v>
      </c>
      <c r="E17" s="5">
        <v>18360</v>
      </c>
      <c r="F17" s="6">
        <v>58.283819999999999</v>
      </c>
      <c r="G17" s="7">
        <v>1.057513E-2</v>
      </c>
      <c r="H17" s="105"/>
    </row>
    <row r="18" spans="1:8" ht="17.100000000000001" customHeight="1" x14ac:dyDescent="0.2">
      <c r="A18" s="3">
        <v>12</v>
      </c>
      <c r="B18" s="4" t="s">
        <v>742</v>
      </c>
      <c r="C18" s="4" t="s">
        <v>743</v>
      </c>
      <c r="D18" s="4" t="s">
        <v>81</v>
      </c>
      <c r="E18" s="5">
        <v>78806</v>
      </c>
      <c r="F18" s="6">
        <v>57.843603999999999</v>
      </c>
      <c r="G18" s="7">
        <v>1.0495259999999999E-2</v>
      </c>
      <c r="H18" s="105"/>
    </row>
    <row r="19" spans="1:8" ht="17.100000000000001" customHeight="1" x14ac:dyDescent="0.2">
      <c r="A19" s="3">
        <v>13</v>
      </c>
      <c r="B19" s="4" t="s">
        <v>312</v>
      </c>
      <c r="C19" s="4" t="s">
        <v>313</v>
      </c>
      <c r="D19" s="4" t="s">
        <v>25</v>
      </c>
      <c r="E19" s="5">
        <v>5016</v>
      </c>
      <c r="F19" s="6">
        <v>57.824447999999997</v>
      </c>
      <c r="G19" s="7">
        <v>1.0491779999999999E-2</v>
      </c>
      <c r="H19" s="105"/>
    </row>
    <row r="20" spans="1:8" ht="17.100000000000001" customHeight="1" x14ac:dyDescent="0.2">
      <c r="A20" s="3">
        <v>14</v>
      </c>
      <c r="B20" s="4" t="s">
        <v>29</v>
      </c>
      <c r="C20" s="4" t="s">
        <v>30</v>
      </c>
      <c r="D20" s="4" t="s">
        <v>25</v>
      </c>
      <c r="E20" s="5">
        <v>9976</v>
      </c>
      <c r="F20" s="6">
        <v>57.691208000000003</v>
      </c>
      <c r="G20" s="7">
        <v>1.0467600000000001E-2</v>
      </c>
      <c r="H20" s="105"/>
    </row>
    <row r="21" spans="1:8" ht="17.100000000000001" customHeight="1" x14ac:dyDescent="0.2">
      <c r="A21" s="3">
        <v>15</v>
      </c>
      <c r="B21" s="4" t="s">
        <v>361</v>
      </c>
      <c r="C21" s="4" t="s">
        <v>362</v>
      </c>
      <c r="D21" s="4" t="s">
        <v>25</v>
      </c>
      <c r="E21" s="5">
        <v>2961</v>
      </c>
      <c r="F21" s="6">
        <v>57.3856605</v>
      </c>
      <c r="G21" s="7">
        <v>1.041216E-2</v>
      </c>
      <c r="H21" s="105"/>
    </row>
    <row r="22" spans="1:8" ht="17.100000000000001" customHeight="1" x14ac:dyDescent="0.2">
      <c r="A22" s="3">
        <v>16</v>
      </c>
      <c r="B22" s="4" t="s">
        <v>744</v>
      </c>
      <c r="C22" s="4" t="s">
        <v>745</v>
      </c>
      <c r="D22" s="4" t="s">
        <v>128</v>
      </c>
      <c r="E22" s="5">
        <v>835</v>
      </c>
      <c r="F22" s="6">
        <v>57.1803825</v>
      </c>
      <c r="G22" s="7">
        <v>1.0374919999999999E-2</v>
      </c>
      <c r="H22" s="105"/>
    </row>
    <row r="23" spans="1:8" ht="17.100000000000001" customHeight="1" x14ac:dyDescent="0.2">
      <c r="A23" s="3">
        <v>17</v>
      </c>
      <c r="B23" s="4" t="s">
        <v>114</v>
      </c>
      <c r="C23" s="4" t="s">
        <v>115</v>
      </c>
      <c r="D23" s="4" t="s">
        <v>116</v>
      </c>
      <c r="E23" s="5">
        <v>13072</v>
      </c>
      <c r="F23" s="6">
        <v>57.006991999999997</v>
      </c>
      <c r="G23" s="7">
        <v>1.0343460000000001E-2</v>
      </c>
      <c r="H23" s="105"/>
    </row>
    <row r="24" spans="1:8" ht="29.1" customHeight="1" x14ac:dyDescent="0.2">
      <c r="A24" s="3">
        <v>18</v>
      </c>
      <c r="B24" s="4" t="s">
        <v>39</v>
      </c>
      <c r="C24" s="4" t="s">
        <v>40</v>
      </c>
      <c r="D24" s="4" t="s">
        <v>41</v>
      </c>
      <c r="E24" s="5">
        <v>55170</v>
      </c>
      <c r="F24" s="6">
        <v>56.990609999999997</v>
      </c>
      <c r="G24" s="7">
        <v>1.0340490000000001E-2</v>
      </c>
      <c r="H24" s="105"/>
    </row>
    <row r="25" spans="1:8" ht="29.1" customHeight="1" x14ac:dyDescent="0.2">
      <c r="A25" s="3">
        <v>19</v>
      </c>
      <c r="B25" s="4" t="s">
        <v>746</v>
      </c>
      <c r="C25" s="4" t="s">
        <v>747</v>
      </c>
      <c r="D25" s="4" t="s">
        <v>748</v>
      </c>
      <c r="E25" s="5">
        <v>2959</v>
      </c>
      <c r="F25" s="6">
        <v>56.959270500000002</v>
      </c>
      <c r="G25" s="7">
        <v>1.03348E-2</v>
      </c>
      <c r="H25" s="105"/>
    </row>
    <row r="26" spans="1:8" ht="29.1" customHeight="1" x14ac:dyDescent="0.2">
      <c r="A26" s="3">
        <v>20</v>
      </c>
      <c r="B26" s="4" t="s">
        <v>106</v>
      </c>
      <c r="C26" s="4" t="s">
        <v>107</v>
      </c>
      <c r="D26" s="4" t="s">
        <v>41</v>
      </c>
      <c r="E26" s="5">
        <v>1943</v>
      </c>
      <c r="F26" s="6">
        <v>56.739485999999999</v>
      </c>
      <c r="G26" s="7">
        <v>1.0294920000000001E-2</v>
      </c>
      <c r="H26" s="105"/>
    </row>
    <row r="27" spans="1:8" ht="17.100000000000001" customHeight="1" x14ac:dyDescent="0.2">
      <c r="A27" s="3">
        <v>21</v>
      </c>
      <c r="B27" s="4" t="s">
        <v>373</v>
      </c>
      <c r="C27" s="4" t="s">
        <v>374</v>
      </c>
      <c r="D27" s="4" t="s">
        <v>375</v>
      </c>
      <c r="E27" s="5">
        <v>24321</v>
      </c>
      <c r="F27" s="6">
        <v>56.692250999999999</v>
      </c>
      <c r="G27" s="7">
        <v>1.028635E-2</v>
      </c>
      <c r="H27" s="105"/>
    </row>
    <row r="28" spans="1:8" ht="17.100000000000001" customHeight="1" x14ac:dyDescent="0.2">
      <c r="A28" s="3">
        <v>22</v>
      </c>
      <c r="B28" s="4" t="s">
        <v>343</v>
      </c>
      <c r="C28" s="4" t="s">
        <v>344</v>
      </c>
      <c r="D28" s="4" t="s">
        <v>1020</v>
      </c>
      <c r="E28" s="5">
        <v>13279</v>
      </c>
      <c r="F28" s="6">
        <v>56.508784499999997</v>
      </c>
      <c r="G28" s="7">
        <v>1.025306E-2</v>
      </c>
      <c r="H28" s="105"/>
    </row>
    <row r="29" spans="1:8" ht="17.100000000000001" customHeight="1" x14ac:dyDescent="0.2">
      <c r="A29" s="3">
        <v>23</v>
      </c>
      <c r="B29" s="4" t="s">
        <v>349</v>
      </c>
      <c r="C29" s="4" t="s">
        <v>350</v>
      </c>
      <c r="D29" s="4" t="s">
        <v>128</v>
      </c>
      <c r="E29" s="5">
        <v>894</v>
      </c>
      <c r="F29" s="6">
        <v>56.144094000000003</v>
      </c>
      <c r="G29" s="7">
        <v>1.0186890000000001E-2</v>
      </c>
      <c r="H29" s="105"/>
    </row>
    <row r="30" spans="1:8" ht="17.100000000000001" customHeight="1" x14ac:dyDescent="0.2">
      <c r="A30" s="3">
        <v>24</v>
      </c>
      <c r="B30" s="4" t="s">
        <v>749</v>
      </c>
      <c r="C30" s="4" t="s">
        <v>750</v>
      </c>
      <c r="D30" s="4" t="s">
        <v>105</v>
      </c>
      <c r="E30" s="5">
        <v>2188</v>
      </c>
      <c r="F30" s="6">
        <v>55.982168000000001</v>
      </c>
      <c r="G30" s="7">
        <v>1.015751E-2</v>
      </c>
      <c r="H30" s="105"/>
    </row>
    <row r="31" spans="1:8" ht="17.100000000000001" customHeight="1" x14ac:dyDescent="0.2">
      <c r="A31" s="3">
        <v>25</v>
      </c>
      <c r="B31" s="4" t="s">
        <v>751</v>
      </c>
      <c r="C31" s="4" t="s">
        <v>752</v>
      </c>
      <c r="D31" s="4" t="s">
        <v>207</v>
      </c>
      <c r="E31" s="5">
        <v>7713</v>
      </c>
      <c r="F31" s="6">
        <v>55.942388999999999</v>
      </c>
      <c r="G31" s="7">
        <v>1.0150289999999999E-2</v>
      </c>
      <c r="H31" s="105"/>
    </row>
    <row r="32" spans="1:8" ht="29.1" customHeight="1" x14ac:dyDescent="0.2">
      <c r="A32" s="3">
        <v>26</v>
      </c>
      <c r="B32" s="4" t="s">
        <v>753</v>
      </c>
      <c r="C32" s="4" t="s">
        <v>754</v>
      </c>
      <c r="D32" s="4" t="s">
        <v>212</v>
      </c>
      <c r="E32" s="5">
        <v>1129</v>
      </c>
      <c r="F32" s="6">
        <v>55.658006499999999</v>
      </c>
      <c r="G32" s="7">
        <v>1.00987E-2</v>
      </c>
      <c r="H32" s="105"/>
    </row>
    <row r="33" spans="1:8" ht="29.1" customHeight="1" x14ac:dyDescent="0.2">
      <c r="A33" s="3">
        <v>27</v>
      </c>
      <c r="B33" s="4" t="s">
        <v>486</v>
      </c>
      <c r="C33" s="4" t="s">
        <v>487</v>
      </c>
      <c r="D33" s="4" t="s">
        <v>488</v>
      </c>
      <c r="E33" s="5">
        <v>7267</v>
      </c>
      <c r="F33" s="6">
        <v>55.508979500000002</v>
      </c>
      <c r="G33" s="7">
        <v>1.007166E-2</v>
      </c>
      <c r="H33" s="105"/>
    </row>
    <row r="34" spans="1:8" ht="17.100000000000001" customHeight="1" x14ac:dyDescent="0.2">
      <c r="A34" s="3">
        <v>28</v>
      </c>
      <c r="B34" s="4" t="s">
        <v>367</v>
      </c>
      <c r="C34" s="4" t="s">
        <v>368</v>
      </c>
      <c r="D34" s="4" t="s">
        <v>128</v>
      </c>
      <c r="E34" s="5">
        <v>4097</v>
      </c>
      <c r="F34" s="6">
        <v>55.500010500000002</v>
      </c>
      <c r="G34" s="7">
        <v>1.0070030000000001E-2</v>
      </c>
      <c r="H34" s="105"/>
    </row>
    <row r="35" spans="1:8" ht="17.100000000000001" customHeight="1" x14ac:dyDescent="0.2">
      <c r="A35" s="3">
        <v>29</v>
      </c>
      <c r="B35" s="4" t="s">
        <v>101</v>
      </c>
      <c r="C35" s="4" t="s">
        <v>102</v>
      </c>
      <c r="D35" s="4" t="s">
        <v>59</v>
      </c>
      <c r="E35" s="5">
        <v>2740</v>
      </c>
      <c r="F35" s="6">
        <v>55.374029999999998</v>
      </c>
      <c r="G35" s="7">
        <v>1.0047169999999999E-2</v>
      </c>
      <c r="H35" s="105"/>
    </row>
    <row r="36" spans="1:8" ht="17.100000000000001" customHeight="1" x14ac:dyDescent="0.2">
      <c r="A36" s="3">
        <v>30</v>
      </c>
      <c r="B36" s="4" t="s">
        <v>11</v>
      </c>
      <c r="C36" s="4" t="s">
        <v>12</v>
      </c>
      <c r="D36" s="4" t="s">
        <v>13</v>
      </c>
      <c r="E36" s="5">
        <v>2330</v>
      </c>
      <c r="F36" s="6">
        <v>55.090519999999998</v>
      </c>
      <c r="G36" s="7">
        <v>9.9957299999999995E-3</v>
      </c>
      <c r="H36" s="105"/>
    </row>
    <row r="37" spans="1:8" ht="17.100000000000001" customHeight="1" x14ac:dyDescent="0.2">
      <c r="A37" s="3">
        <v>31</v>
      </c>
      <c r="B37" s="4" t="s">
        <v>23</v>
      </c>
      <c r="C37" s="4" t="s">
        <v>24</v>
      </c>
      <c r="D37" s="4" t="s">
        <v>25</v>
      </c>
      <c r="E37" s="5">
        <v>5985</v>
      </c>
      <c r="F37" s="6">
        <v>54.921352499999998</v>
      </c>
      <c r="G37" s="7">
        <v>9.9650399999999997E-3</v>
      </c>
      <c r="H37" s="105"/>
    </row>
    <row r="38" spans="1:8" ht="17.100000000000001" customHeight="1" x14ac:dyDescent="0.2">
      <c r="A38" s="3">
        <v>32</v>
      </c>
      <c r="B38" s="4" t="s">
        <v>332</v>
      </c>
      <c r="C38" s="4" t="s">
        <v>333</v>
      </c>
      <c r="D38" s="4" t="s">
        <v>105</v>
      </c>
      <c r="E38" s="5">
        <v>4471</v>
      </c>
      <c r="F38" s="6">
        <v>54.854698999999997</v>
      </c>
      <c r="G38" s="7">
        <v>9.9529400000000004E-3</v>
      </c>
      <c r="H38" s="105"/>
    </row>
    <row r="39" spans="1:8" ht="17.100000000000001" customHeight="1" x14ac:dyDescent="0.2">
      <c r="A39" s="3">
        <v>33</v>
      </c>
      <c r="B39" s="4" t="s">
        <v>42</v>
      </c>
      <c r="C39" s="4" t="s">
        <v>43</v>
      </c>
      <c r="D39" s="4" t="s">
        <v>28</v>
      </c>
      <c r="E39" s="5">
        <v>23120</v>
      </c>
      <c r="F39" s="6">
        <v>54.852200000000003</v>
      </c>
      <c r="G39" s="7">
        <v>9.9524899999999996E-3</v>
      </c>
      <c r="H39" s="105"/>
    </row>
    <row r="40" spans="1:8" ht="17.100000000000001" customHeight="1" x14ac:dyDescent="0.2">
      <c r="A40" s="3">
        <v>34</v>
      </c>
      <c r="B40" s="4" t="s">
        <v>17</v>
      </c>
      <c r="C40" s="4" t="s">
        <v>18</v>
      </c>
      <c r="D40" s="4" t="s">
        <v>19</v>
      </c>
      <c r="E40" s="5">
        <v>2261</v>
      </c>
      <c r="F40" s="6">
        <v>54.727505000000001</v>
      </c>
      <c r="G40" s="7">
        <v>9.9298600000000004E-3</v>
      </c>
      <c r="H40" s="105"/>
    </row>
    <row r="41" spans="1:8" ht="29.1" customHeight="1" x14ac:dyDescent="0.2">
      <c r="A41" s="3">
        <v>35</v>
      </c>
      <c r="B41" s="4" t="s">
        <v>560</v>
      </c>
      <c r="C41" s="4" t="s">
        <v>561</v>
      </c>
      <c r="D41" s="4" t="s">
        <v>458</v>
      </c>
      <c r="E41" s="5">
        <v>8031</v>
      </c>
      <c r="F41" s="6">
        <v>54.715203000000002</v>
      </c>
      <c r="G41" s="7">
        <v>9.9276299999999998E-3</v>
      </c>
      <c r="H41" s="105"/>
    </row>
    <row r="42" spans="1:8" ht="17.100000000000001" customHeight="1" x14ac:dyDescent="0.2">
      <c r="A42" s="3">
        <v>36</v>
      </c>
      <c r="B42" s="4" t="s">
        <v>75</v>
      </c>
      <c r="C42" s="4" t="s">
        <v>76</v>
      </c>
      <c r="D42" s="4" t="s">
        <v>28</v>
      </c>
      <c r="E42" s="5">
        <v>27189</v>
      </c>
      <c r="F42" s="6">
        <v>54.677078999999999</v>
      </c>
      <c r="G42" s="7">
        <v>9.9207099999999993E-3</v>
      </c>
      <c r="H42" s="105"/>
    </row>
    <row r="43" spans="1:8" ht="17.100000000000001" customHeight="1" x14ac:dyDescent="0.2">
      <c r="A43" s="3">
        <v>37</v>
      </c>
      <c r="B43" s="4" t="s">
        <v>755</v>
      </c>
      <c r="C43" s="4" t="s">
        <v>756</v>
      </c>
      <c r="D43" s="4" t="s">
        <v>128</v>
      </c>
      <c r="E43" s="5">
        <v>7073</v>
      </c>
      <c r="F43" s="6">
        <v>54.621242500000001</v>
      </c>
      <c r="G43" s="7">
        <v>9.9105800000000004E-3</v>
      </c>
      <c r="H43" s="105"/>
    </row>
    <row r="44" spans="1:8" ht="17.100000000000001" customHeight="1" x14ac:dyDescent="0.2">
      <c r="A44" s="3">
        <v>38</v>
      </c>
      <c r="B44" s="4" t="s">
        <v>558</v>
      </c>
      <c r="C44" s="4" t="s">
        <v>559</v>
      </c>
      <c r="D44" s="4" t="s">
        <v>253</v>
      </c>
      <c r="E44" s="5">
        <v>1199</v>
      </c>
      <c r="F44" s="6">
        <v>54.597064500000002</v>
      </c>
      <c r="G44" s="7">
        <v>9.9062000000000004E-3</v>
      </c>
      <c r="H44" s="105"/>
    </row>
    <row r="45" spans="1:8" ht="29.1" customHeight="1" x14ac:dyDescent="0.2">
      <c r="A45" s="3">
        <v>39</v>
      </c>
      <c r="B45" s="4" t="s">
        <v>757</v>
      </c>
      <c r="C45" s="4" t="s">
        <v>758</v>
      </c>
      <c r="D45" s="4" t="s">
        <v>488</v>
      </c>
      <c r="E45" s="5">
        <v>13231</v>
      </c>
      <c r="F45" s="6">
        <v>54.491873499999997</v>
      </c>
      <c r="G45" s="7">
        <v>9.8871099999999993E-3</v>
      </c>
      <c r="H45" s="105"/>
    </row>
    <row r="46" spans="1:8" ht="29.1" customHeight="1" x14ac:dyDescent="0.2">
      <c r="A46" s="3">
        <v>40</v>
      </c>
      <c r="B46" s="4" t="s">
        <v>759</v>
      </c>
      <c r="C46" s="4" t="s">
        <v>760</v>
      </c>
      <c r="D46" s="4" t="s">
        <v>212</v>
      </c>
      <c r="E46" s="5">
        <v>3294</v>
      </c>
      <c r="F46" s="6">
        <v>54.426761999999997</v>
      </c>
      <c r="G46" s="7">
        <v>9.8753000000000001E-3</v>
      </c>
      <c r="H46" s="105"/>
    </row>
    <row r="47" spans="1:8" ht="17.100000000000001" customHeight="1" x14ac:dyDescent="0.2">
      <c r="A47" s="3">
        <v>41</v>
      </c>
      <c r="B47" s="4" t="s">
        <v>712</v>
      </c>
      <c r="C47" s="4" t="s">
        <v>713</v>
      </c>
      <c r="D47" s="4" t="s">
        <v>217</v>
      </c>
      <c r="E47" s="5">
        <v>10271</v>
      </c>
      <c r="F47" s="6">
        <v>54.410622500000002</v>
      </c>
      <c r="G47" s="7">
        <v>9.8723700000000001E-3</v>
      </c>
      <c r="H47" s="105"/>
    </row>
    <row r="48" spans="1:8" ht="29.1" customHeight="1" x14ac:dyDescent="0.2">
      <c r="A48" s="3">
        <v>42</v>
      </c>
      <c r="B48" s="4" t="s">
        <v>308</v>
      </c>
      <c r="C48" s="4" t="s">
        <v>309</v>
      </c>
      <c r="D48" s="4" t="s">
        <v>128</v>
      </c>
      <c r="E48" s="5">
        <v>1955</v>
      </c>
      <c r="F48" s="6">
        <v>54.262979999999999</v>
      </c>
      <c r="G48" s="7">
        <v>9.8455799999999996E-3</v>
      </c>
      <c r="H48" s="105"/>
    </row>
    <row r="49" spans="1:8" ht="29.1" customHeight="1" x14ac:dyDescent="0.2">
      <c r="A49" s="3">
        <v>43</v>
      </c>
      <c r="B49" s="4" t="s">
        <v>656</v>
      </c>
      <c r="C49" s="4" t="s">
        <v>657</v>
      </c>
      <c r="D49" s="4" t="s">
        <v>22</v>
      </c>
      <c r="E49" s="5">
        <v>13664</v>
      </c>
      <c r="F49" s="6">
        <v>54.177759999999999</v>
      </c>
      <c r="G49" s="7">
        <v>9.8301199999999995E-3</v>
      </c>
      <c r="H49" s="105"/>
    </row>
    <row r="50" spans="1:8" ht="17.100000000000001" customHeight="1" x14ac:dyDescent="0.2">
      <c r="A50" s="3">
        <v>44</v>
      </c>
      <c r="B50" s="4" t="s">
        <v>92</v>
      </c>
      <c r="C50" s="4" t="s">
        <v>93</v>
      </c>
      <c r="D50" s="4" t="s">
        <v>94</v>
      </c>
      <c r="E50" s="5">
        <v>34052</v>
      </c>
      <c r="F50" s="6">
        <v>54.125653999999997</v>
      </c>
      <c r="G50" s="7">
        <v>9.8206600000000002E-3</v>
      </c>
      <c r="H50" s="105"/>
    </row>
    <row r="51" spans="1:8" ht="17.100000000000001" customHeight="1" x14ac:dyDescent="0.2">
      <c r="A51" s="3">
        <v>45</v>
      </c>
      <c r="B51" s="4" t="s">
        <v>269</v>
      </c>
      <c r="C51" s="4" t="s">
        <v>270</v>
      </c>
      <c r="D51" s="4" t="s">
        <v>271</v>
      </c>
      <c r="E51" s="5">
        <v>134</v>
      </c>
      <c r="F51" s="6">
        <v>54.029738000000002</v>
      </c>
      <c r="G51" s="7">
        <v>9.8032599999999994E-3</v>
      </c>
      <c r="H51" s="105"/>
    </row>
    <row r="52" spans="1:8" ht="29.1" customHeight="1" x14ac:dyDescent="0.2">
      <c r="A52" s="3">
        <v>46</v>
      </c>
      <c r="B52" s="4" t="s">
        <v>761</v>
      </c>
      <c r="C52" s="4" t="s">
        <v>762</v>
      </c>
      <c r="D52" s="4" t="s">
        <v>223</v>
      </c>
      <c r="E52" s="5">
        <v>8745</v>
      </c>
      <c r="F52" s="6">
        <v>54.026609999999998</v>
      </c>
      <c r="G52" s="7">
        <v>9.8026899999999993E-3</v>
      </c>
      <c r="H52" s="105"/>
    </row>
    <row r="53" spans="1:8" ht="17.100000000000001" customHeight="1" x14ac:dyDescent="0.2">
      <c r="A53" s="3">
        <v>47</v>
      </c>
      <c r="B53" s="4" t="s">
        <v>317</v>
      </c>
      <c r="C53" s="4" t="s">
        <v>318</v>
      </c>
      <c r="D53" s="4" t="s">
        <v>25</v>
      </c>
      <c r="E53" s="5">
        <v>3193</v>
      </c>
      <c r="F53" s="6">
        <v>53.885067999999997</v>
      </c>
      <c r="G53" s="7">
        <v>9.7770099999999992E-3</v>
      </c>
      <c r="H53" s="105"/>
    </row>
    <row r="54" spans="1:8" ht="17.100000000000001" customHeight="1" x14ac:dyDescent="0.2">
      <c r="A54" s="3">
        <v>48</v>
      </c>
      <c r="B54" s="4" t="s">
        <v>493</v>
      </c>
      <c r="C54" s="4" t="s">
        <v>494</v>
      </c>
      <c r="D54" s="4" t="s">
        <v>953</v>
      </c>
      <c r="E54" s="5">
        <v>13996</v>
      </c>
      <c r="F54" s="6">
        <v>53.884599999999999</v>
      </c>
      <c r="G54" s="7">
        <v>9.7769299999999996E-3</v>
      </c>
      <c r="H54" s="105"/>
    </row>
    <row r="55" spans="1:8" ht="17.100000000000001" customHeight="1" x14ac:dyDescent="0.2">
      <c r="A55" s="3">
        <v>49</v>
      </c>
      <c r="B55" s="4" t="s">
        <v>359</v>
      </c>
      <c r="C55" s="4" t="s">
        <v>360</v>
      </c>
      <c r="D55" s="4" t="s">
        <v>195</v>
      </c>
      <c r="E55" s="5">
        <v>1532</v>
      </c>
      <c r="F55" s="6">
        <v>53.803074000000002</v>
      </c>
      <c r="G55" s="7">
        <v>9.7621300000000008E-3</v>
      </c>
      <c r="H55" s="105"/>
    </row>
    <row r="56" spans="1:8" ht="17.100000000000001" customHeight="1" x14ac:dyDescent="0.2">
      <c r="A56" s="3">
        <v>50</v>
      </c>
      <c r="B56" s="4" t="s">
        <v>763</v>
      </c>
      <c r="C56" s="4" t="s">
        <v>764</v>
      </c>
      <c r="D56" s="4" t="s">
        <v>260</v>
      </c>
      <c r="E56" s="5">
        <v>3369</v>
      </c>
      <c r="F56" s="6">
        <v>53.738919000000003</v>
      </c>
      <c r="G56" s="7">
        <v>9.7504900000000005E-3</v>
      </c>
      <c r="H56" s="105"/>
    </row>
    <row r="57" spans="1:8" ht="17.100000000000001" customHeight="1" x14ac:dyDescent="0.2">
      <c r="A57" s="3">
        <v>51</v>
      </c>
      <c r="B57" s="4" t="s">
        <v>765</v>
      </c>
      <c r="C57" s="4" t="s">
        <v>766</v>
      </c>
      <c r="D57" s="4" t="s">
        <v>19</v>
      </c>
      <c r="E57" s="5">
        <v>65899</v>
      </c>
      <c r="F57" s="6">
        <v>53.641786000000003</v>
      </c>
      <c r="G57" s="7">
        <v>9.7328699999999994E-3</v>
      </c>
      <c r="H57" s="105"/>
    </row>
    <row r="58" spans="1:8" ht="29.1" customHeight="1" x14ac:dyDescent="0.2">
      <c r="A58" s="3">
        <v>52</v>
      </c>
      <c r="B58" s="4" t="s">
        <v>265</v>
      </c>
      <c r="C58" s="4" t="s">
        <v>266</v>
      </c>
      <c r="D58" s="4" t="s">
        <v>183</v>
      </c>
      <c r="E58" s="5">
        <v>2111</v>
      </c>
      <c r="F58" s="6">
        <v>53.624677499999997</v>
      </c>
      <c r="G58" s="7">
        <v>9.7297600000000005E-3</v>
      </c>
      <c r="H58" s="105"/>
    </row>
    <row r="59" spans="1:8" ht="29.1" customHeight="1" x14ac:dyDescent="0.2">
      <c r="A59" s="3">
        <v>53</v>
      </c>
      <c r="B59" s="4" t="s">
        <v>767</v>
      </c>
      <c r="C59" s="4" t="s">
        <v>768</v>
      </c>
      <c r="D59" s="4" t="s">
        <v>190</v>
      </c>
      <c r="E59" s="5">
        <v>7243</v>
      </c>
      <c r="F59" s="6">
        <v>53.619928999999999</v>
      </c>
      <c r="G59" s="7">
        <v>9.7289000000000004E-3</v>
      </c>
      <c r="H59" s="105"/>
    </row>
    <row r="60" spans="1:8" ht="17.100000000000001" customHeight="1" x14ac:dyDescent="0.2">
      <c r="A60" s="3">
        <v>54</v>
      </c>
      <c r="B60" s="4" t="s">
        <v>347</v>
      </c>
      <c r="C60" s="4" t="s">
        <v>348</v>
      </c>
      <c r="D60" s="4" t="s">
        <v>121</v>
      </c>
      <c r="E60" s="5">
        <v>2029</v>
      </c>
      <c r="F60" s="6">
        <v>53.603136499999998</v>
      </c>
      <c r="G60" s="7">
        <v>9.7258599999999994E-3</v>
      </c>
      <c r="H60" s="105"/>
    </row>
    <row r="61" spans="1:8" ht="17.100000000000001" customHeight="1" x14ac:dyDescent="0.2">
      <c r="A61" s="3">
        <v>55</v>
      </c>
      <c r="B61" s="4" t="s">
        <v>769</v>
      </c>
      <c r="C61" s="4" t="s">
        <v>770</v>
      </c>
      <c r="D61" s="4" t="s">
        <v>195</v>
      </c>
      <c r="E61" s="5">
        <v>1419</v>
      </c>
      <c r="F61" s="6">
        <v>53.584277999999998</v>
      </c>
      <c r="G61" s="7">
        <v>9.7224300000000007E-3</v>
      </c>
      <c r="H61" s="105"/>
    </row>
    <row r="62" spans="1:8" ht="17.100000000000001" customHeight="1" x14ac:dyDescent="0.2">
      <c r="A62" s="3">
        <v>56</v>
      </c>
      <c r="B62" s="4" t="s">
        <v>224</v>
      </c>
      <c r="C62" s="4" t="s">
        <v>225</v>
      </c>
      <c r="D62" s="4" t="s">
        <v>220</v>
      </c>
      <c r="E62" s="5">
        <v>3701</v>
      </c>
      <c r="F62" s="6">
        <v>53.486851999999999</v>
      </c>
      <c r="G62" s="7">
        <v>9.7047599999999998E-3</v>
      </c>
      <c r="H62" s="105"/>
    </row>
    <row r="63" spans="1:8" ht="17.100000000000001" customHeight="1" x14ac:dyDescent="0.2">
      <c r="A63" s="3">
        <v>57</v>
      </c>
      <c r="B63" s="4" t="s">
        <v>771</v>
      </c>
      <c r="C63" s="4" t="s">
        <v>772</v>
      </c>
      <c r="D63" s="4" t="s">
        <v>81</v>
      </c>
      <c r="E63" s="5">
        <v>276</v>
      </c>
      <c r="F63" s="6">
        <v>53.466306000000003</v>
      </c>
      <c r="G63" s="7">
        <v>9.7010299999999994E-3</v>
      </c>
      <c r="H63" s="105"/>
    </row>
    <row r="64" spans="1:8" ht="17.100000000000001" customHeight="1" x14ac:dyDescent="0.2">
      <c r="A64" s="3">
        <v>58</v>
      </c>
      <c r="B64" s="4" t="s">
        <v>773</v>
      </c>
      <c r="C64" s="4" t="s">
        <v>774</v>
      </c>
      <c r="D64" s="4" t="s">
        <v>128</v>
      </c>
      <c r="E64" s="5">
        <v>5234</v>
      </c>
      <c r="F64" s="6">
        <v>53.423437999999997</v>
      </c>
      <c r="G64" s="7">
        <v>9.6932500000000005E-3</v>
      </c>
      <c r="H64" s="105"/>
    </row>
    <row r="65" spans="1:8" ht="17.100000000000001" customHeight="1" x14ac:dyDescent="0.2">
      <c r="A65" s="3">
        <v>59</v>
      </c>
      <c r="B65" s="4" t="s">
        <v>775</v>
      </c>
      <c r="C65" s="4" t="s">
        <v>776</v>
      </c>
      <c r="D65" s="4" t="s">
        <v>16</v>
      </c>
      <c r="E65" s="5">
        <v>34462</v>
      </c>
      <c r="F65" s="6">
        <v>53.4161</v>
      </c>
      <c r="G65" s="7">
        <v>9.6919199999999997E-3</v>
      </c>
      <c r="H65" s="105"/>
    </row>
    <row r="66" spans="1:8" ht="17.100000000000001" customHeight="1" x14ac:dyDescent="0.2">
      <c r="A66" s="3">
        <v>60</v>
      </c>
      <c r="B66" s="4" t="s">
        <v>14</v>
      </c>
      <c r="C66" s="4" t="s">
        <v>15</v>
      </c>
      <c r="D66" s="4" t="s">
        <v>16</v>
      </c>
      <c r="E66" s="5">
        <v>6674</v>
      </c>
      <c r="F66" s="6">
        <v>53.345281999999997</v>
      </c>
      <c r="G66" s="7">
        <v>9.6790699999999997E-3</v>
      </c>
      <c r="H66" s="105"/>
    </row>
    <row r="67" spans="1:8" ht="17.100000000000001" customHeight="1" x14ac:dyDescent="0.2">
      <c r="A67" s="3">
        <v>61</v>
      </c>
      <c r="B67" s="4" t="s">
        <v>777</v>
      </c>
      <c r="C67" s="4" t="s">
        <v>778</v>
      </c>
      <c r="D67" s="4" t="s">
        <v>121</v>
      </c>
      <c r="E67" s="5">
        <v>8732</v>
      </c>
      <c r="F67" s="6">
        <v>53.295762000000003</v>
      </c>
      <c r="G67" s="7">
        <v>9.6700899999999992E-3</v>
      </c>
      <c r="H67" s="105"/>
    </row>
    <row r="68" spans="1:8" ht="17.100000000000001" customHeight="1" x14ac:dyDescent="0.2">
      <c r="A68" s="3">
        <v>62</v>
      </c>
      <c r="B68" s="4" t="s">
        <v>310</v>
      </c>
      <c r="C68" s="4" t="s">
        <v>311</v>
      </c>
      <c r="D68" s="4" t="s">
        <v>207</v>
      </c>
      <c r="E68" s="5">
        <v>49359</v>
      </c>
      <c r="F68" s="6">
        <v>53.283040499999998</v>
      </c>
      <c r="G68" s="7">
        <v>9.6677800000000008E-3</v>
      </c>
      <c r="H68" s="105"/>
    </row>
    <row r="69" spans="1:8" ht="17.100000000000001" customHeight="1" x14ac:dyDescent="0.2">
      <c r="A69" s="3">
        <v>63</v>
      </c>
      <c r="B69" s="4" t="s">
        <v>779</v>
      </c>
      <c r="C69" s="4" t="s">
        <v>780</v>
      </c>
      <c r="D69" s="4" t="s">
        <v>329</v>
      </c>
      <c r="E69" s="5">
        <v>3014</v>
      </c>
      <c r="F69" s="6">
        <v>53.176001999999997</v>
      </c>
      <c r="G69" s="7">
        <v>9.6483599999999999E-3</v>
      </c>
      <c r="H69" s="105"/>
    </row>
    <row r="70" spans="1:8" ht="29.1" customHeight="1" x14ac:dyDescent="0.2">
      <c r="A70" s="3">
        <v>64</v>
      </c>
      <c r="B70" s="4" t="s">
        <v>781</v>
      </c>
      <c r="C70" s="4" t="s">
        <v>782</v>
      </c>
      <c r="D70" s="4" t="s">
        <v>22</v>
      </c>
      <c r="E70" s="5">
        <v>3090</v>
      </c>
      <c r="F70" s="6">
        <v>53.157269999999997</v>
      </c>
      <c r="G70" s="7">
        <v>9.6449599999999993E-3</v>
      </c>
      <c r="H70" s="105"/>
    </row>
    <row r="71" spans="1:8" ht="29.1" customHeight="1" x14ac:dyDescent="0.2">
      <c r="A71" s="3">
        <v>65</v>
      </c>
      <c r="B71" s="4" t="s">
        <v>783</v>
      </c>
      <c r="C71" s="4" t="s">
        <v>784</v>
      </c>
      <c r="D71" s="4" t="s">
        <v>22</v>
      </c>
      <c r="E71" s="5">
        <v>3007</v>
      </c>
      <c r="F71" s="6">
        <v>53.008899499999998</v>
      </c>
      <c r="G71" s="7">
        <v>9.6180399999999996E-3</v>
      </c>
      <c r="H71" s="105"/>
    </row>
    <row r="72" spans="1:8" ht="17.100000000000001" customHeight="1" x14ac:dyDescent="0.2">
      <c r="A72" s="3">
        <v>66</v>
      </c>
      <c r="B72" s="4" t="s">
        <v>108</v>
      </c>
      <c r="C72" s="4" t="s">
        <v>109</v>
      </c>
      <c r="D72" s="4" t="s">
        <v>19</v>
      </c>
      <c r="E72" s="5">
        <v>14810</v>
      </c>
      <c r="F72" s="6">
        <v>52.960560000000001</v>
      </c>
      <c r="G72" s="7">
        <v>9.6092699999999996E-3</v>
      </c>
      <c r="H72" s="105"/>
    </row>
    <row r="73" spans="1:8" ht="17.100000000000001" customHeight="1" x14ac:dyDescent="0.2">
      <c r="A73" s="3">
        <v>67</v>
      </c>
      <c r="B73" s="4" t="s">
        <v>103</v>
      </c>
      <c r="C73" s="4" t="s">
        <v>104</v>
      </c>
      <c r="D73" s="4" t="s">
        <v>105</v>
      </c>
      <c r="E73" s="5">
        <v>616</v>
      </c>
      <c r="F73" s="6">
        <v>52.911628</v>
      </c>
      <c r="G73" s="7">
        <v>9.6003900000000003E-3</v>
      </c>
      <c r="H73" s="105"/>
    </row>
    <row r="74" spans="1:8" ht="17.100000000000001" customHeight="1" x14ac:dyDescent="0.2">
      <c r="A74" s="3">
        <v>68</v>
      </c>
      <c r="B74" s="4" t="s">
        <v>237</v>
      </c>
      <c r="C74" s="4" t="s">
        <v>238</v>
      </c>
      <c r="D74" s="4" t="s">
        <v>202</v>
      </c>
      <c r="E74" s="5">
        <v>1172</v>
      </c>
      <c r="F74" s="6">
        <v>52.900564000000003</v>
      </c>
      <c r="G74" s="7">
        <v>9.5983800000000001E-3</v>
      </c>
      <c r="H74" s="105"/>
    </row>
    <row r="75" spans="1:8" ht="17.100000000000001" customHeight="1" x14ac:dyDescent="0.2">
      <c r="A75" s="3">
        <v>69</v>
      </c>
      <c r="B75" s="4" t="s">
        <v>48</v>
      </c>
      <c r="C75" s="4" t="s">
        <v>49</v>
      </c>
      <c r="D75" s="4" t="s">
        <v>36</v>
      </c>
      <c r="E75" s="5">
        <v>1533</v>
      </c>
      <c r="F75" s="6">
        <v>52.882368</v>
      </c>
      <c r="G75" s="7">
        <v>9.5950800000000006E-3</v>
      </c>
      <c r="H75" s="105"/>
    </row>
    <row r="76" spans="1:8" ht="17.100000000000001" customHeight="1" x14ac:dyDescent="0.2">
      <c r="A76" s="3">
        <v>70</v>
      </c>
      <c r="B76" s="4" t="s">
        <v>785</v>
      </c>
      <c r="C76" s="4" t="s">
        <v>786</v>
      </c>
      <c r="D76" s="4" t="s">
        <v>121</v>
      </c>
      <c r="E76" s="5">
        <v>4288</v>
      </c>
      <c r="F76" s="6">
        <v>52.750976000000001</v>
      </c>
      <c r="G76" s="7">
        <v>9.57124E-3</v>
      </c>
      <c r="H76" s="105"/>
    </row>
    <row r="77" spans="1:8" ht="29.1" customHeight="1" x14ac:dyDescent="0.2">
      <c r="A77" s="3">
        <v>71</v>
      </c>
      <c r="B77" s="4" t="s">
        <v>787</v>
      </c>
      <c r="C77" s="4" t="s">
        <v>788</v>
      </c>
      <c r="D77" s="4" t="s">
        <v>488</v>
      </c>
      <c r="E77" s="5">
        <v>10588</v>
      </c>
      <c r="F77" s="6">
        <v>52.558832000000002</v>
      </c>
      <c r="G77" s="7">
        <v>9.5363800000000006E-3</v>
      </c>
      <c r="H77" s="105"/>
    </row>
    <row r="78" spans="1:8" ht="29.1" customHeight="1" x14ac:dyDescent="0.2">
      <c r="A78" s="3">
        <v>72</v>
      </c>
      <c r="B78" s="4" t="s">
        <v>789</v>
      </c>
      <c r="C78" s="4" t="s">
        <v>790</v>
      </c>
      <c r="D78" s="4" t="s">
        <v>217</v>
      </c>
      <c r="E78" s="5">
        <v>12096</v>
      </c>
      <c r="F78" s="6">
        <v>52.557119999999998</v>
      </c>
      <c r="G78" s="7">
        <v>9.5360700000000007E-3</v>
      </c>
      <c r="H78" s="105"/>
    </row>
    <row r="79" spans="1:8" ht="17.100000000000001" customHeight="1" x14ac:dyDescent="0.2">
      <c r="A79" s="3">
        <v>73</v>
      </c>
      <c r="B79" s="4" t="s">
        <v>550</v>
      </c>
      <c r="C79" s="4" t="s">
        <v>551</v>
      </c>
      <c r="D79" s="4" t="s">
        <v>220</v>
      </c>
      <c r="E79" s="5">
        <v>6755</v>
      </c>
      <c r="F79" s="6">
        <v>52.496482499999999</v>
      </c>
      <c r="G79" s="7">
        <v>9.5250600000000001E-3</v>
      </c>
      <c r="H79" s="105"/>
    </row>
    <row r="80" spans="1:8" ht="17.100000000000001" customHeight="1" x14ac:dyDescent="0.2">
      <c r="A80" s="3">
        <v>74</v>
      </c>
      <c r="B80" s="4" t="s">
        <v>321</v>
      </c>
      <c r="C80" s="4" t="s">
        <v>322</v>
      </c>
      <c r="D80" s="4" t="s">
        <v>217</v>
      </c>
      <c r="E80" s="5">
        <v>4603</v>
      </c>
      <c r="F80" s="6">
        <v>52.478802999999999</v>
      </c>
      <c r="G80" s="7">
        <v>9.52186E-3</v>
      </c>
      <c r="H80" s="105"/>
    </row>
    <row r="81" spans="1:8" ht="17.100000000000001" customHeight="1" x14ac:dyDescent="0.2">
      <c r="A81" s="3">
        <v>75</v>
      </c>
      <c r="B81" s="4" t="s">
        <v>203</v>
      </c>
      <c r="C81" s="4" t="s">
        <v>204</v>
      </c>
      <c r="D81" s="4" t="s">
        <v>25</v>
      </c>
      <c r="E81" s="5">
        <v>6099</v>
      </c>
      <c r="F81" s="6">
        <v>52.4514</v>
      </c>
      <c r="G81" s="7">
        <v>9.5168800000000001E-3</v>
      </c>
      <c r="H81" s="105"/>
    </row>
    <row r="82" spans="1:8" ht="17.100000000000001" customHeight="1" x14ac:dyDescent="0.2">
      <c r="A82" s="3">
        <v>76</v>
      </c>
      <c r="B82" s="4" t="s">
        <v>82</v>
      </c>
      <c r="C82" s="4" t="s">
        <v>83</v>
      </c>
      <c r="D82" s="4" t="s">
        <v>84</v>
      </c>
      <c r="E82" s="5">
        <v>48810</v>
      </c>
      <c r="F82" s="6">
        <v>52.373130000000003</v>
      </c>
      <c r="G82" s="7">
        <v>9.5026799999999995E-3</v>
      </c>
      <c r="H82" s="105"/>
    </row>
    <row r="83" spans="1:8" ht="17.100000000000001" customHeight="1" x14ac:dyDescent="0.2">
      <c r="A83" s="3">
        <v>77</v>
      </c>
      <c r="B83" s="4" t="s">
        <v>371</v>
      </c>
      <c r="C83" s="4" t="s">
        <v>372</v>
      </c>
      <c r="D83" s="4" t="s">
        <v>121</v>
      </c>
      <c r="E83" s="5">
        <v>1802</v>
      </c>
      <c r="F83" s="6">
        <v>52.300347000000002</v>
      </c>
      <c r="G83" s="7">
        <v>9.4894799999999998E-3</v>
      </c>
      <c r="H83" s="105"/>
    </row>
    <row r="84" spans="1:8" ht="17.100000000000001" customHeight="1" x14ac:dyDescent="0.2">
      <c r="A84" s="3">
        <v>78</v>
      </c>
      <c r="B84" s="4" t="s">
        <v>319</v>
      </c>
      <c r="C84" s="4" t="s">
        <v>320</v>
      </c>
      <c r="D84" s="4" t="s">
        <v>953</v>
      </c>
      <c r="E84" s="5">
        <v>1620</v>
      </c>
      <c r="F84" s="6">
        <v>52.151850000000003</v>
      </c>
      <c r="G84" s="7">
        <v>9.4625300000000002E-3</v>
      </c>
      <c r="H84" s="105"/>
    </row>
    <row r="85" spans="1:8" ht="17.100000000000001" customHeight="1" x14ac:dyDescent="0.2">
      <c r="A85" s="3">
        <v>79</v>
      </c>
      <c r="B85" s="4" t="s">
        <v>34</v>
      </c>
      <c r="C85" s="4" t="s">
        <v>35</v>
      </c>
      <c r="D85" s="4" t="s">
        <v>36</v>
      </c>
      <c r="E85" s="5">
        <v>1517</v>
      </c>
      <c r="F85" s="6">
        <v>51.8503015</v>
      </c>
      <c r="G85" s="7">
        <v>9.4078200000000008E-3</v>
      </c>
      <c r="H85" s="105"/>
    </row>
    <row r="86" spans="1:8" ht="29.1" customHeight="1" x14ac:dyDescent="0.2">
      <c r="A86" s="3">
        <v>80</v>
      </c>
      <c r="B86" s="4" t="s">
        <v>791</v>
      </c>
      <c r="C86" s="4" t="s">
        <v>792</v>
      </c>
      <c r="D86" s="4" t="s">
        <v>183</v>
      </c>
      <c r="E86" s="5">
        <v>2143</v>
      </c>
      <c r="F86" s="6">
        <v>51.844527499999998</v>
      </c>
      <c r="G86" s="7">
        <v>9.4067700000000001E-3</v>
      </c>
      <c r="H86" s="105"/>
    </row>
    <row r="87" spans="1:8" ht="29.1" customHeight="1" x14ac:dyDescent="0.2">
      <c r="A87" s="3">
        <v>81</v>
      </c>
      <c r="B87" s="4" t="s">
        <v>491</v>
      </c>
      <c r="C87" s="4" t="s">
        <v>492</v>
      </c>
      <c r="D87" s="4" t="s">
        <v>212</v>
      </c>
      <c r="E87" s="5">
        <v>5692</v>
      </c>
      <c r="F87" s="6">
        <v>51.686205999999999</v>
      </c>
      <c r="G87" s="7">
        <v>9.3780400000000007E-3</v>
      </c>
      <c r="H87" s="105"/>
    </row>
    <row r="88" spans="1:8" ht="17.100000000000001" customHeight="1" x14ac:dyDescent="0.2">
      <c r="A88" s="3">
        <v>82</v>
      </c>
      <c r="B88" s="4" t="s">
        <v>793</v>
      </c>
      <c r="C88" s="4" t="s">
        <v>794</v>
      </c>
      <c r="D88" s="4" t="s">
        <v>84</v>
      </c>
      <c r="E88" s="5">
        <v>5468</v>
      </c>
      <c r="F88" s="6">
        <v>51.672600000000003</v>
      </c>
      <c r="G88" s="7">
        <v>9.3755799999999997E-3</v>
      </c>
      <c r="H88" s="105"/>
    </row>
    <row r="89" spans="1:8" ht="17.100000000000001" customHeight="1" x14ac:dyDescent="0.2">
      <c r="A89" s="3">
        <v>83</v>
      </c>
      <c r="B89" s="4" t="s">
        <v>795</v>
      </c>
      <c r="C89" s="4" t="s">
        <v>796</v>
      </c>
      <c r="D89" s="4" t="s">
        <v>797</v>
      </c>
      <c r="E89" s="5">
        <v>18473</v>
      </c>
      <c r="F89" s="6">
        <v>51.604325500000002</v>
      </c>
      <c r="G89" s="7">
        <v>9.3631900000000004E-3</v>
      </c>
      <c r="H89" s="105"/>
    </row>
    <row r="90" spans="1:8" ht="17.100000000000001" customHeight="1" x14ac:dyDescent="0.2">
      <c r="A90" s="3">
        <v>84</v>
      </c>
      <c r="B90" s="4" t="s">
        <v>323</v>
      </c>
      <c r="C90" s="4" t="s">
        <v>324</v>
      </c>
      <c r="D90" s="4" t="s">
        <v>953</v>
      </c>
      <c r="E90" s="5">
        <v>4820</v>
      </c>
      <c r="F90" s="6">
        <v>51.289619999999999</v>
      </c>
      <c r="G90" s="7">
        <v>9.3060899999999995E-3</v>
      </c>
      <c r="H90" s="105"/>
    </row>
    <row r="91" spans="1:8" ht="29.1" customHeight="1" x14ac:dyDescent="0.2">
      <c r="A91" s="3">
        <v>85</v>
      </c>
      <c r="B91" s="4" t="s">
        <v>556</v>
      </c>
      <c r="C91" s="4" t="s">
        <v>557</v>
      </c>
      <c r="D91" s="4" t="s">
        <v>260</v>
      </c>
      <c r="E91" s="5">
        <v>366</v>
      </c>
      <c r="F91" s="6">
        <v>51.258665999999998</v>
      </c>
      <c r="G91" s="7">
        <v>9.3004699999999999E-3</v>
      </c>
      <c r="H91" s="105"/>
    </row>
    <row r="92" spans="1:8" ht="29.1" customHeight="1" x14ac:dyDescent="0.2">
      <c r="A92" s="3">
        <v>86</v>
      </c>
      <c r="B92" s="4" t="s">
        <v>20</v>
      </c>
      <c r="C92" s="4" t="s">
        <v>21</v>
      </c>
      <c r="D92" s="4" t="s">
        <v>22</v>
      </c>
      <c r="E92" s="5">
        <v>677</v>
      </c>
      <c r="F92" s="6">
        <v>51.155473999999998</v>
      </c>
      <c r="G92" s="7">
        <v>9.2817500000000001E-3</v>
      </c>
      <c r="H92" s="105"/>
    </row>
    <row r="93" spans="1:8" ht="17.100000000000001" customHeight="1" x14ac:dyDescent="0.2">
      <c r="A93" s="3">
        <v>87</v>
      </c>
      <c r="B93" s="4" t="s">
        <v>798</v>
      </c>
      <c r="C93" s="4" t="s">
        <v>799</v>
      </c>
      <c r="D93" s="4" t="s">
        <v>28</v>
      </c>
      <c r="E93" s="5">
        <v>5357</v>
      </c>
      <c r="F93" s="6">
        <v>50.945070000000001</v>
      </c>
      <c r="G93" s="7">
        <v>9.2435699999999996E-3</v>
      </c>
      <c r="H93" s="105"/>
    </row>
    <row r="94" spans="1:8" ht="17.100000000000001" customHeight="1" x14ac:dyDescent="0.2">
      <c r="A94" s="3">
        <v>88</v>
      </c>
      <c r="B94" s="4" t="s">
        <v>26</v>
      </c>
      <c r="C94" s="4" t="s">
        <v>27</v>
      </c>
      <c r="D94" s="4" t="s">
        <v>28</v>
      </c>
      <c r="E94" s="5">
        <v>29618</v>
      </c>
      <c r="F94" s="6">
        <v>50.942959999999999</v>
      </c>
      <c r="G94" s="7">
        <v>9.2431900000000001E-3</v>
      </c>
      <c r="H94" s="105"/>
    </row>
    <row r="95" spans="1:8" ht="29.1" customHeight="1" x14ac:dyDescent="0.2">
      <c r="A95" s="3">
        <v>89</v>
      </c>
      <c r="B95" s="4" t="s">
        <v>304</v>
      </c>
      <c r="C95" s="4" t="s">
        <v>305</v>
      </c>
      <c r="D95" s="4" t="s">
        <v>212</v>
      </c>
      <c r="E95" s="5">
        <v>5149</v>
      </c>
      <c r="F95" s="6">
        <v>50.854098499999999</v>
      </c>
      <c r="G95" s="7">
        <v>9.2270700000000004E-3</v>
      </c>
      <c r="H95" s="105"/>
    </row>
    <row r="96" spans="1:8" ht="17.100000000000001" customHeight="1" x14ac:dyDescent="0.2">
      <c r="A96" s="3">
        <v>90</v>
      </c>
      <c r="B96" s="4" t="s">
        <v>800</v>
      </c>
      <c r="C96" s="4" t="s">
        <v>801</v>
      </c>
      <c r="D96" s="4" t="s">
        <v>217</v>
      </c>
      <c r="E96" s="5">
        <v>9236</v>
      </c>
      <c r="F96" s="6">
        <v>50.788764</v>
      </c>
      <c r="G96" s="7">
        <v>9.2152099999999997E-3</v>
      </c>
      <c r="H96" s="105"/>
    </row>
    <row r="97" spans="1:8" ht="29.1" customHeight="1" x14ac:dyDescent="0.2">
      <c r="A97" s="3">
        <v>91</v>
      </c>
      <c r="B97" s="4" t="s">
        <v>802</v>
      </c>
      <c r="C97" s="4" t="s">
        <v>803</v>
      </c>
      <c r="D97" s="4" t="s">
        <v>217</v>
      </c>
      <c r="E97" s="5">
        <v>4705</v>
      </c>
      <c r="F97" s="6">
        <v>50.774007500000003</v>
      </c>
      <c r="G97" s="7">
        <v>9.21253E-3</v>
      </c>
      <c r="H97" s="105"/>
    </row>
    <row r="98" spans="1:8" ht="17.100000000000001" customHeight="1" x14ac:dyDescent="0.2">
      <c r="A98" s="3">
        <v>92</v>
      </c>
      <c r="B98" s="4" t="s">
        <v>804</v>
      </c>
      <c r="C98" s="4" t="s">
        <v>805</v>
      </c>
      <c r="D98" s="4" t="s">
        <v>28</v>
      </c>
      <c r="E98" s="5">
        <v>4909</v>
      </c>
      <c r="F98" s="6">
        <v>50.535700499999997</v>
      </c>
      <c r="G98" s="7">
        <v>9.1693E-3</v>
      </c>
      <c r="H98" s="105"/>
    </row>
    <row r="99" spans="1:8" ht="17.100000000000001" customHeight="1" x14ac:dyDescent="0.2">
      <c r="A99" s="3">
        <v>93</v>
      </c>
      <c r="B99" s="4" t="s">
        <v>658</v>
      </c>
      <c r="C99" s="4" t="s">
        <v>659</v>
      </c>
      <c r="D99" s="4" t="s">
        <v>260</v>
      </c>
      <c r="E99" s="5">
        <v>9412</v>
      </c>
      <c r="F99" s="6">
        <v>50.156548000000001</v>
      </c>
      <c r="G99" s="7">
        <v>9.1004999999999992E-3</v>
      </c>
      <c r="H99" s="105"/>
    </row>
    <row r="100" spans="1:8" ht="17.100000000000001" customHeight="1" x14ac:dyDescent="0.2">
      <c r="A100" s="3">
        <v>94</v>
      </c>
      <c r="B100" s="4" t="s">
        <v>325</v>
      </c>
      <c r="C100" s="4" t="s">
        <v>326</v>
      </c>
      <c r="D100" s="4" t="s">
        <v>1020</v>
      </c>
      <c r="E100" s="5">
        <v>2025</v>
      </c>
      <c r="F100" s="6">
        <v>49.760325000000002</v>
      </c>
      <c r="G100" s="7">
        <v>9.0286099999999994E-3</v>
      </c>
      <c r="H100" s="105"/>
    </row>
    <row r="101" spans="1:8" ht="17.100000000000001" customHeight="1" x14ac:dyDescent="0.2">
      <c r="A101" s="3">
        <v>95</v>
      </c>
      <c r="B101" s="4" t="s">
        <v>355</v>
      </c>
      <c r="C101" s="4" t="s">
        <v>356</v>
      </c>
      <c r="D101" s="4" t="s">
        <v>953</v>
      </c>
      <c r="E101" s="5">
        <v>1115</v>
      </c>
      <c r="F101" s="6">
        <v>49.276867500000002</v>
      </c>
      <c r="G101" s="7">
        <v>8.9408899999999999E-3</v>
      </c>
      <c r="H101" s="105"/>
    </row>
    <row r="102" spans="1:8" ht="29.1" customHeight="1" x14ac:dyDescent="0.2">
      <c r="A102" s="3">
        <v>96</v>
      </c>
      <c r="B102" s="4" t="s">
        <v>110</v>
      </c>
      <c r="C102" s="4" t="s">
        <v>111</v>
      </c>
      <c r="D102" s="4" t="s">
        <v>22</v>
      </c>
      <c r="E102" s="5">
        <v>197</v>
      </c>
      <c r="F102" s="6">
        <v>47.938866500000003</v>
      </c>
      <c r="G102" s="7">
        <v>8.6981200000000002E-3</v>
      </c>
      <c r="H102" s="105"/>
    </row>
    <row r="103" spans="1:8" ht="17.100000000000001" customHeight="1" x14ac:dyDescent="0.2">
      <c r="A103" s="3">
        <v>97</v>
      </c>
      <c r="B103" s="4" t="s">
        <v>552</v>
      </c>
      <c r="C103" s="4" t="s">
        <v>553</v>
      </c>
      <c r="D103" s="4" t="s">
        <v>260</v>
      </c>
      <c r="E103" s="5">
        <v>5277</v>
      </c>
      <c r="F103" s="6">
        <v>47.888775000000003</v>
      </c>
      <c r="G103" s="7">
        <v>8.6890300000000004E-3</v>
      </c>
      <c r="H103" s="105"/>
    </row>
    <row r="104" spans="1:8" ht="17.100000000000001" customHeight="1" x14ac:dyDescent="0.2">
      <c r="A104" s="3">
        <v>98</v>
      </c>
      <c r="B104" s="4" t="s">
        <v>330</v>
      </c>
      <c r="C104" s="4" t="s">
        <v>331</v>
      </c>
      <c r="D104" s="4" t="s">
        <v>953</v>
      </c>
      <c r="E104" s="5">
        <v>4579</v>
      </c>
      <c r="F104" s="6">
        <v>46.875222999999998</v>
      </c>
      <c r="G104" s="7">
        <v>8.5051299999999996E-3</v>
      </c>
      <c r="H104" s="105"/>
    </row>
    <row r="105" spans="1:8" ht="17.100000000000001" customHeight="1" x14ac:dyDescent="0.2">
      <c r="A105" s="3">
        <v>99</v>
      </c>
      <c r="B105" s="4" t="s">
        <v>302</v>
      </c>
      <c r="C105" s="4" t="s">
        <v>303</v>
      </c>
      <c r="D105" s="4" t="s">
        <v>953</v>
      </c>
      <c r="E105" s="5">
        <v>3628</v>
      </c>
      <c r="F105" s="6">
        <v>45.449770000000001</v>
      </c>
      <c r="G105" s="7">
        <v>8.2464900000000004E-3</v>
      </c>
      <c r="H105" s="105"/>
    </row>
    <row r="106" spans="1:8" ht="17.100000000000001" customHeight="1" x14ac:dyDescent="0.2">
      <c r="A106" s="3">
        <v>100</v>
      </c>
      <c r="B106" s="4" t="s">
        <v>806</v>
      </c>
      <c r="C106" s="4" t="s">
        <v>807</v>
      </c>
      <c r="D106" s="4" t="s">
        <v>195</v>
      </c>
      <c r="E106" s="5">
        <v>36800</v>
      </c>
      <c r="F106" s="6">
        <v>45.116799999999998</v>
      </c>
      <c r="G106" s="7">
        <v>8.1860800000000001E-3</v>
      </c>
      <c r="H106" s="105"/>
    </row>
    <row r="107" spans="1:8" ht="14.1" customHeight="1" x14ac:dyDescent="0.2">
      <c r="A107" s="1"/>
      <c r="B107" s="1"/>
      <c r="C107" s="2" t="s">
        <v>132</v>
      </c>
      <c r="D107" s="1"/>
      <c r="E107" s="1" t="s">
        <v>133</v>
      </c>
      <c r="F107" s="9">
        <v>5405.174301</v>
      </c>
      <c r="G107" s="10">
        <v>0.98072528999999997</v>
      </c>
      <c r="H107" s="105"/>
    </row>
    <row r="108" spans="1:8" ht="14.1" customHeight="1" x14ac:dyDescent="0.2">
      <c r="A108" s="1"/>
      <c r="B108" s="1"/>
      <c r="C108" s="11"/>
      <c r="D108" s="1"/>
      <c r="E108" s="1"/>
      <c r="F108" s="12"/>
      <c r="G108" s="12"/>
      <c r="H108" s="105"/>
    </row>
    <row r="109" spans="1:8" ht="14.1" customHeight="1" x14ac:dyDescent="0.2">
      <c r="A109" s="1"/>
      <c r="B109" s="1"/>
      <c r="C109" s="2" t="s">
        <v>134</v>
      </c>
      <c r="D109" s="1"/>
      <c r="E109" s="1"/>
      <c r="F109" s="1"/>
      <c r="G109" s="1"/>
      <c r="H109" s="105"/>
    </row>
    <row r="110" spans="1:8" ht="14.1" customHeight="1" x14ac:dyDescent="0.2">
      <c r="A110" s="1"/>
      <c r="B110" s="1"/>
      <c r="C110" s="2" t="s">
        <v>132</v>
      </c>
      <c r="D110" s="1"/>
      <c r="E110" s="1" t="s">
        <v>133</v>
      </c>
      <c r="F110" s="13" t="s">
        <v>135</v>
      </c>
      <c r="G110" s="10">
        <v>0</v>
      </c>
      <c r="H110" s="105"/>
    </row>
    <row r="111" spans="1:8" ht="14.1" customHeight="1" x14ac:dyDescent="0.2">
      <c r="A111" s="1"/>
      <c r="B111" s="1"/>
      <c r="C111" s="11"/>
      <c r="D111" s="1"/>
      <c r="E111" s="1"/>
      <c r="F111" s="12"/>
      <c r="G111" s="12"/>
      <c r="H111" s="105"/>
    </row>
    <row r="112" spans="1:8" ht="14.1" customHeight="1" x14ac:dyDescent="0.2">
      <c r="A112" s="1"/>
      <c r="B112" s="1"/>
      <c r="C112" s="2" t="s">
        <v>136</v>
      </c>
      <c r="D112" s="1"/>
      <c r="E112" s="1"/>
      <c r="F112" s="1"/>
      <c r="G112" s="1"/>
      <c r="H112" s="105"/>
    </row>
    <row r="113" spans="1:8" ht="14.1" customHeight="1" x14ac:dyDescent="0.2">
      <c r="A113" s="1"/>
      <c r="B113" s="1"/>
      <c r="C113" s="2" t="s">
        <v>132</v>
      </c>
      <c r="D113" s="1"/>
      <c r="E113" s="1" t="s">
        <v>133</v>
      </c>
      <c r="F113" s="13" t="s">
        <v>135</v>
      </c>
      <c r="G113" s="10">
        <v>0</v>
      </c>
      <c r="H113" s="105"/>
    </row>
    <row r="114" spans="1:8" ht="14.1" customHeight="1" x14ac:dyDescent="0.2">
      <c r="A114" s="1"/>
      <c r="B114" s="1"/>
      <c r="C114" s="11"/>
      <c r="D114" s="1"/>
      <c r="E114" s="1"/>
      <c r="F114" s="12"/>
      <c r="G114" s="12"/>
      <c r="H114" s="105"/>
    </row>
    <row r="115" spans="1:8" ht="14.1" customHeight="1" x14ac:dyDescent="0.2">
      <c r="A115" s="1"/>
      <c r="B115" s="1"/>
      <c r="C115" s="2" t="s">
        <v>137</v>
      </c>
      <c r="D115" s="1"/>
      <c r="E115" s="1"/>
      <c r="F115" s="1"/>
      <c r="G115" s="1"/>
      <c r="H115" s="105"/>
    </row>
    <row r="116" spans="1:8" ht="14.1" customHeight="1" x14ac:dyDescent="0.2">
      <c r="A116" s="1"/>
      <c r="B116" s="1"/>
      <c r="C116" s="2" t="s">
        <v>132</v>
      </c>
      <c r="D116" s="1"/>
      <c r="E116" s="1" t="s">
        <v>133</v>
      </c>
      <c r="F116" s="13" t="s">
        <v>135</v>
      </c>
      <c r="G116" s="10">
        <v>0</v>
      </c>
      <c r="H116" s="105"/>
    </row>
    <row r="117" spans="1:8" ht="14.1" customHeight="1" x14ac:dyDescent="0.2">
      <c r="A117" s="1"/>
      <c r="B117" s="1"/>
      <c r="C117" s="11"/>
      <c r="D117" s="1"/>
      <c r="E117" s="1"/>
      <c r="F117" s="12"/>
      <c r="G117" s="12"/>
      <c r="H117" s="105"/>
    </row>
    <row r="118" spans="1:8" ht="14.1" customHeight="1" x14ac:dyDescent="0.2">
      <c r="A118" s="1"/>
      <c r="B118" s="1"/>
      <c r="C118" s="2" t="s">
        <v>138</v>
      </c>
      <c r="D118" s="1"/>
      <c r="E118" s="1"/>
      <c r="F118" s="12"/>
      <c r="G118" s="12"/>
      <c r="H118" s="105"/>
    </row>
    <row r="119" spans="1:8" ht="14.1" customHeight="1" x14ac:dyDescent="0.2">
      <c r="A119" s="1"/>
      <c r="B119" s="1"/>
      <c r="C119" s="2" t="s">
        <v>132</v>
      </c>
      <c r="D119" s="1"/>
      <c r="E119" s="1" t="s">
        <v>133</v>
      </c>
      <c r="F119" s="13" t="s">
        <v>135</v>
      </c>
      <c r="G119" s="10">
        <v>0</v>
      </c>
      <c r="H119" s="105"/>
    </row>
    <row r="120" spans="1:8" ht="14.1" customHeight="1" x14ac:dyDescent="0.2">
      <c r="A120" s="1"/>
      <c r="B120" s="1"/>
      <c r="C120" s="11"/>
      <c r="D120" s="1"/>
      <c r="E120" s="1"/>
      <c r="F120" s="12"/>
      <c r="G120" s="12"/>
      <c r="H120" s="105"/>
    </row>
    <row r="121" spans="1:8" ht="14.1" customHeight="1" x14ac:dyDescent="0.2">
      <c r="A121" s="1"/>
      <c r="B121" s="1"/>
      <c r="C121" s="2" t="s">
        <v>139</v>
      </c>
      <c r="D121" s="1"/>
      <c r="E121" s="1"/>
      <c r="F121" s="12"/>
      <c r="G121" s="12"/>
      <c r="H121" s="105"/>
    </row>
    <row r="122" spans="1:8" ht="14.1" customHeight="1" x14ac:dyDescent="0.2">
      <c r="A122" s="1"/>
      <c r="B122" s="1"/>
      <c r="C122" s="2" t="s">
        <v>132</v>
      </c>
      <c r="D122" s="1"/>
      <c r="E122" s="1" t="s">
        <v>133</v>
      </c>
      <c r="F122" s="13" t="s">
        <v>135</v>
      </c>
      <c r="G122" s="10">
        <v>0</v>
      </c>
      <c r="H122" s="105"/>
    </row>
    <row r="123" spans="1:8" ht="14.1" customHeight="1" x14ac:dyDescent="0.2">
      <c r="A123" s="1"/>
      <c r="B123" s="1"/>
      <c r="C123" s="11"/>
      <c r="D123" s="1"/>
      <c r="E123" s="1"/>
      <c r="F123" s="12"/>
      <c r="G123" s="12"/>
      <c r="H123" s="105"/>
    </row>
    <row r="124" spans="1:8" ht="18" customHeight="1" x14ac:dyDescent="0.2">
      <c r="A124" s="1"/>
      <c r="B124" s="1"/>
      <c r="C124" s="2" t="s">
        <v>140</v>
      </c>
      <c r="D124" s="1"/>
      <c r="E124" s="1"/>
      <c r="F124" s="9">
        <v>5405.174301</v>
      </c>
      <c r="G124" s="10">
        <v>0.98072528999999997</v>
      </c>
      <c r="H124" s="105"/>
    </row>
    <row r="125" spans="1:8" ht="14.1" customHeight="1" x14ac:dyDescent="0.2">
      <c r="A125" s="1"/>
      <c r="B125" s="1"/>
      <c r="C125" s="11"/>
      <c r="D125" s="1"/>
      <c r="E125" s="1"/>
      <c r="F125" s="12"/>
      <c r="G125" s="12"/>
      <c r="H125" s="105"/>
    </row>
    <row r="126" spans="1:8" ht="14.1" customHeight="1" x14ac:dyDescent="0.2">
      <c r="A126" s="1"/>
      <c r="B126" s="1"/>
      <c r="C126" s="2" t="s">
        <v>141</v>
      </c>
      <c r="D126" s="1"/>
      <c r="E126" s="1"/>
      <c r="F126" s="12"/>
      <c r="G126" s="12"/>
      <c r="H126" s="105"/>
    </row>
    <row r="127" spans="1:8" ht="24" customHeight="1" x14ac:dyDescent="0.2">
      <c r="A127" s="1"/>
      <c r="B127" s="1"/>
      <c r="C127" s="2" t="s">
        <v>10</v>
      </c>
      <c r="D127" s="1"/>
      <c r="E127" s="1"/>
      <c r="F127" s="12"/>
      <c r="G127" s="12"/>
      <c r="H127" s="105"/>
    </row>
    <row r="128" spans="1:8" ht="29.1" customHeight="1" x14ac:dyDescent="0.2">
      <c r="A128" s="3">
        <v>1</v>
      </c>
      <c r="B128" s="4" t="s">
        <v>705</v>
      </c>
      <c r="C128" s="4" t="s">
        <v>706</v>
      </c>
      <c r="D128" s="4" t="s">
        <v>570</v>
      </c>
      <c r="E128" s="5">
        <v>828</v>
      </c>
      <c r="F128" s="6">
        <v>0.23512238199999999</v>
      </c>
      <c r="G128" s="52" t="s">
        <v>131</v>
      </c>
      <c r="H128" s="105">
        <v>7.5430000000000001</v>
      </c>
    </row>
    <row r="129" spans="1:8" ht="14.1" customHeight="1" x14ac:dyDescent="0.2">
      <c r="A129" s="1"/>
      <c r="B129" s="1"/>
      <c r="C129" s="2" t="s">
        <v>132</v>
      </c>
      <c r="D129" s="1"/>
      <c r="E129" s="1" t="s">
        <v>133</v>
      </c>
      <c r="F129" s="9">
        <v>0.23512238199999999</v>
      </c>
      <c r="G129" s="10">
        <v>4.2660000000000002E-5</v>
      </c>
      <c r="H129" s="105"/>
    </row>
    <row r="130" spans="1:8" ht="14.1" customHeight="1" x14ac:dyDescent="0.2">
      <c r="A130" s="1"/>
      <c r="B130" s="1"/>
      <c r="C130" s="11"/>
      <c r="D130" s="1"/>
      <c r="E130" s="1"/>
      <c r="F130" s="12"/>
      <c r="G130" s="12"/>
      <c r="H130" s="105"/>
    </row>
    <row r="131" spans="1:8" ht="14.1" customHeight="1" x14ac:dyDescent="0.2">
      <c r="A131" s="1"/>
      <c r="B131" s="1"/>
      <c r="C131" s="2" t="s">
        <v>142</v>
      </c>
      <c r="D131" s="1"/>
      <c r="E131" s="1"/>
      <c r="F131" s="1"/>
      <c r="G131" s="1"/>
      <c r="H131" s="105"/>
    </row>
    <row r="132" spans="1:8" ht="14.1" customHeight="1" x14ac:dyDescent="0.2">
      <c r="A132" s="1"/>
      <c r="B132" s="1"/>
      <c r="C132" s="2" t="s">
        <v>132</v>
      </c>
      <c r="D132" s="1"/>
      <c r="E132" s="1" t="s">
        <v>133</v>
      </c>
      <c r="F132" s="13" t="s">
        <v>135</v>
      </c>
      <c r="G132" s="10">
        <v>0</v>
      </c>
      <c r="H132" s="105"/>
    </row>
    <row r="133" spans="1:8" ht="14.1" customHeight="1" x14ac:dyDescent="0.2">
      <c r="A133" s="1"/>
      <c r="B133" s="1"/>
      <c r="C133" s="11"/>
      <c r="D133" s="1"/>
      <c r="E133" s="1"/>
      <c r="F133" s="12"/>
      <c r="G133" s="12"/>
      <c r="H133" s="105"/>
    </row>
    <row r="134" spans="1:8" ht="14.1" customHeight="1" x14ac:dyDescent="0.2">
      <c r="A134" s="1"/>
      <c r="B134" s="1"/>
      <c r="C134" s="2" t="s">
        <v>143</v>
      </c>
      <c r="D134" s="1"/>
      <c r="E134" s="1"/>
      <c r="F134" s="1"/>
      <c r="G134" s="1"/>
      <c r="H134" s="105"/>
    </row>
    <row r="135" spans="1:8" ht="14.1" customHeight="1" x14ac:dyDescent="0.2">
      <c r="A135" s="1"/>
      <c r="B135" s="1"/>
      <c r="C135" s="2" t="s">
        <v>132</v>
      </c>
      <c r="D135" s="1"/>
      <c r="E135" s="1" t="s">
        <v>133</v>
      </c>
      <c r="F135" s="13" t="s">
        <v>135</v>
      </c>
      <c r="G135" s="10">
        <v>0</v>
      </c>
      <c r="H135" s="105"/>
    </row>
    <row r="136" spans="1:8" ht="14.1" customHeight="1" x14ac:dyDescent="0.2">
      <c r="A136" s="1"/>
      <c r="B136" s="1"/>
      <c r="C136" s="11"/>
      <c r="D136" s="1"/>
      <c r="E136" s="1"/>
      <c r="F136" s="12"/>
      <c r="G136" s="12"/>
      <c r="H136" s="105"/>
    </row>
    <row r="137" spans="1:8" ht="14.1" customHeight="1" x14ac:dyDescent="0.2">
      <c r="A137" s="1"/>
      <c r="B137" s="1"/>
      <c r="C137" s="2" t="s">
        <v>144</v>
      </c>
      <c r="D137" s="1"/>
      <c r="E137" s="1"/>
      <c r="F137" s="12"/>
      <c r="G137" s="12"/>
      <c r="H137" s="105"/>
    </row>
    <row r="138" spans="1:8" ht="14.1" customHeight="1" x14ac:dyDescent="0.2">
      <c r="A138" s="1"/>
      <c r="B138" s="1"/>
      <c r="C138" s="2" t="s">
        <v>132</v>
      </c>
      <c r="D138" s="1"/>
      <c r="E138" s="1" t="s">
        <v>133</v>
      </c>
      <c r="F138" s="13" t="s">
        <v>135</v>
      </c>
      <c r="G138" s="10">
        <v>0</v>
      </c>
      <c r="H138" s="105"/>
    </row>
    <row r="139" spans="1:8" ht="14.1" customHeight="1" x14ac:dyDescent="0.2">
      <c r="A139" s="1"/>
      <c r="B139" s="1"/>
      <c r="C139" s="11"/>
      <c r="D139" s="1"/>
      <c r="E139" s="1"/>
      <c r="F139" s="12"/>
      <c r="G139" s="12"/>
      <c r="H139" s="105"/>
    </row>
    <row r="140" spans="1:8" ht="14.1" customHeight="1" x14ac:dyDescent="0.2">
      <c r="A140" s="1"/>
      <c r="B140" s="1"/>
      <c r="C140" s="2" t="s">
        <v>145</v>
      </c>
      <c r="D140" s="1"/>
      <c r="E140" s="1"/>
      <c r="F140" s="9">
        <v>0.23512238199999999</v>
      </c>
      <c r="G140" s="10">
        <v>4.2660000000000002E-5</v>
      </c>
      <c r="H140" s="105"/>
    </row>
    <row r="141" spans="1:8" ht="14.1" customHeight="1" x14ac:dyDescent="0.2">
      <c r="A141" s="1"/>
      <c r="B141" s="1"/>
      <c r="C141" s="11"/>
      <c r="D141" s="1"/>
      <c r="E141" s="1"/>
      <c r="F141" s="12"/>
      <c r="G141" s="12"/>
      <c r="H141" s="105"/>
    </row>
    <row r="142" spans="1:8" ht="14.1" customHeight="1" x14ac:dyDescent="0.2">
      <c r="A142" s="1"/>
      <c r="B142" s="1"/>
      <c r="C142" s="2" t="s">
        <v>146</v>
      </c>
      <c r="D142" s="1"/>
      <c r="E142" s="1"/>
      <c r="F142" s="12"/>
      <c r="G142" s="12"/>
      <c r="H142" s="105"/>
    </row>
    <row r="143" spans="1:8" ht="14.1" customHeight="1" x14ac:dyDescent="0.2">
      <c r="A143" s="1"/>
      <c r="B143" s="1"/>
      <c r="C143" s="2" t="s">
        <v>147</v>
      </c>
      <c r="D143" s="1"/>
      <c r="E143" s="1"/>
      <c r="F143" s="12"/>
      <c r="G143" s="12"/>
      <c r="H143" s="105"/>
    </row>
    <row r="144" spans="1:8" ht="14.1" customHeight="1" x14ac:dyDescent="0.2">
      <c r="A144" s="1"/>
      <c r="B144" s="1"/>
      <c r="C144" s="2" t="s">
        <v>132</v>
      </c>
      <c r="D144" s="1"/>
      <c r="E144" s="1" t="s">
        <v>133</v>
      </c>
      <c r="F144" s="13" t="s">
        <v>135</v>
      </c>
      <c r="G144" s="10">
        <v>0</v>
      </c>
      <c r="H144" s="105"/>
    </row>
    <row r="145" spans="1:8" ht="14.1" customHeight="1" x14ac:dyDescent="0.2">
      <c r="A145" s="1"/>
      <c r="B145" s="1"/>
      <c r="C145" s="11"/>
      <c r="D145" s="1"/>
      <c r="E145" s="1"/>
      <c r="F145" s="12"/>
      <c r="G145" s="12"/>
      <c r="H145" s="105"/>
    </row>
    <row r="146" spans="1:8" ht="14.1" customHeight="1" x14ac:dyDescent="0.2">
      <c r="A146" s="1"/>
      <c r="B146" s="1"/>
      <c r="C146" s="2" t="s">
        <v>148</v>
      </c>
      <c r="D146" s="1"/>
      <c r="E146" s="1"/>
      <c r="F146" s="12"/>
      <c r="G146" s="12"/>
      <c r="H146" s="105"/>
    </row>
    <row r="147" spans="1:8" ht="14.1" customHeight="1" x14ac:dyDescent="0.2">
      <c r="A147" s="1"/>
      <c r="B147" s="1"/>
      <c r="C147" s="2" t="s">
        <v>132</v>
      </c>
      <c r="D147" s="1"/>
      <c r="E147" s="1" t="s">
        <v>133</v>
      </c>
      <c r="F147" s="13" t="s">
        <v>135</v>
      </c>
      <c r="G147" s="10">
        <v>0</v>
      </c>
      <c r="H147" s="105"/>
    </row>
    <row r="148" spans="1:8" ht="14.1" customHeight="1" x14ac:dyDescent="0.2">
      <c r="A148" s="1"/>
      <c r="B148" s="1"/>
      <c r="C148" s="11"/>
      <c r="D148" s="1"/>
      <c r="E148" s="1"/>
      <c r="F148" s="12"/>
      <c r="G148" s="12"/>
      <c r="H148" s="105"/>
    </row>
    <row r="149" spans="1:8" ht="14.1" customHeight="1" x14ac:dyDescent="0.2">
      <c r="A149" s="1"/>
      <c r="B149" s="1"/>
      <c r="C149" s="2" t="s">
        <v>149</v>
      </c>
      <c r="D149" s="1"/>
      <c r="E149" s="1"/>
      <c r="F149" s="12"/>
      <c r="G149" s="12"/>
      <c r="H149" s="105"/>
    </row>
    <row r="150" spans="1:8" ht="14.1" customHeight="1" x14ac:dyDescent="0.2">
      <c r="A150" s="1"/>
      <c r="B150" s="1"/>
      <c r="C150" s="2" t="s">
        <v>132</v>
      </c>
      <c r="D150" s="1"/>
      <c r="E150" s="1" t="s">
        <v>133</v>
      </c>
      <c r="F150" s="13" t="s">
        <v>135</v>
      </c>
      <c r="G150" s="10">
        <v>0</v>
      </c>
      <c r="H150" s="105"/>
    </row>
    <row r="151" spans="1:8" ht="14.1" customHeight="1" x14ac:dyDescent="0.2">
      <c r="A151" s="1"/>
      <c r="B151" s="1"/>
      <c r="C151" s="11"/>
      <c r="D151" s="1"/>
      <c r="E151" s="1"/>
      <c r="F151" s="12"/>
      <c r="G151" s="12"/>
      <c r="H151" s="105"/>
    </row>
    <row r="152" spans="1:8" ht="14.1" customHeight="1" x14ac:dyDescent="0.2">
      <c r="A152" s="1"/>
      <c r="B152" s="1"/>
      <c r="C152" s="2" t="s">
        <v>150</v>
      </c>
      <c r="D152" s="1"/>
      <c r="E152" s="1"/>
      <c r="F152" s="12"/>
      <c r="G152" s="12"/>
      <c r="H152" s="105"/>
    </row>
    <row r="153" spans="1:8" ht="17.100000000000001" customHeight="1" x14ac:dyDescent="0.2">
      <c r="A153" s="3">
        <v>1</v>
      </c>
      <c r="B153" s="4"/>
      <c r="C153" s="4" t="s">
        <v>151</v>
      </c>
      <c r="D153" s="4"/>
      <c r="E153" s="8"/>
      <c r="F153" s="6">
        <v>105.8556263</v>
      </c>
      <c r="G153" s="7">
        <v>1.9206649999999999E-2</v>
      </c>
      <c r="H153" s="105">
        <v>6.8153352377542396</v>
      </c>
    </row>
    <row r="154" spans="1:8" ht="17.100000000000001" customHeight="1" x14ac:dyDescent="0.2">
      <c r="A154" s="3">
        <v>2</v>
      </c>
      <c r="B154" s="4"/>
      <c r="C154" s="4" t="s">
        <v>152</v>
      </c>
      <c r="D154" s="4"/>
      <c r="E154" s="8"/>
      <c r="F154" s="6">
        <v>12.561494700000001</v>
      </c>
      <c r="G154" s="7">
        <v>2.27918E-3</v>
      </c>
      <c r="H154" s="105">
        <v>6.7952403714590259</v>
      </c>
    </row>
    <row r="155" spans="1:8" ht="14.1" customHeight="1" x14ac:dyDescent="0.2">
      <c r="A155" s="1"/>
      <c r="B155" s="1"/>
      <c r="C155" s="2" t="s">
        <v>132</v>
      </c>
      <c r="D155" s="1"/>
      <c r="E155" s="1" t="s">
        <v>133</v>
      </c>
      <c r="F155" s="9">
        <v>118.41712099999999</v>
      </c>
      <c r="G155" s="10">
        <v>2.1485830000000001E-2</v>
      </c>
      <c r="H155" s="105"/>
    </row>
    <row r="156" spans="1:8" ht="14.1" customHeight="1" x14ac:dyDescent="0.2">
      <c r="A156" s="1"/>
      <c r="B156" s="1"/>
      <c r="C156" s="11"/>
      <c r="D156" s="1"/>
      <c r="E156" s="1"/>
      <c r="F156" s="12"/>
      <c r="G156" s="12"/>
      <c r="H156" s="105"/>
    </row>
    <row r="157" spans="1:8" ht="14.1" customHeight="1" x14ac:dyDescent="0.2">
      <c r="A157" s="1"/>
      <c r="B157" s="1"/>
      <c r="C157" s="2" t="s">
        <v>153</v>
      </c>
      <c r="D157" s="1"/>
      <c r="E157" s="1"/>
      <c r="F157" s="9">
        <v>118.41712099999999</v>
      </c>
      <c r="G157" s="10">
        <v>2.1485830000000001E-2</v>
      </c>
      <c r="H157" s="105"/>
    </row>
    <row r="158" spans="1:8" ht="14.1" customHeight="1" x14ac:dyDescent="0.2">
      <c r="A158" s="1"/>
      <c r="B158" s="1"/>
      <c r="C158" s="12"/>
      <c r="D158" s="1"/>
      <c r="E158" s="1"/>
      <c r="F158" s="1"/>
      <c r="G158" s="1"/>
      <c r="H158" s="105"/>
    </row>
    <row r="159" spans="1:8" ht="14.1" customHeight="1" x14ac:dyDescent="0.2">
      <c r="A159" s="1"/>
      <c r="B159" s="1"/>
      <c r="C159" s="2" t="s">
        <v>154</v>
      </c>
      <c r="D159" s="1"/>
      <c r="E159" s="1"/>
      <c r="F159" s="1"/>
      <c r="G159" s="1"/>
      <c r="H159" s="105"/>
    </row>
    <row r="160" spans="1:8" ht="14.1" customHeight="1" x14ac:dyDescent="0.2">
      <c r="A160" s="1"/>
      <c r="B160" s="1"/>
      <c r="C160" s="2" t="s">
        <v>155</v>
      </c>
      <c r="D160" s="1"/>
      <c r="E160" s="1"/>
      <c r="F160" s="1"/>
      <c r="G160" s="1"/>
      <c r="H160" s="105"/>
    </row>
    <row r="161" spans="1:14" ht="14.1" customHeight="1" x14ac:dyDescent="0.2">
      <c r="A161" s="1"/>
      <c r="B161" s="1"/>
      <c r="C161" s="2" t="s">
        <v>132</v>
      </c>
      <c r="D161" s="1"/>
      <c r="E161" s="1" t="s">
        <v>133</v>
      </c>
      <c r="F161" s="13" t="s">
        <v>135</v>
      </c>
      <c r="G161" s="10">
        <v>0</v>
      </c>
      <c r="H161" s="105"/>
    </row>
    <row r="162" spans="1:14" ht="14.1" customHeight="1" x14ac:dyDescent="0.2">
      <c r="A162" s="1"/>
      <c r="B162" s="1"/>
      <c r="C162" s="11"/>
      <c r="D162" s="1"/>
      <c r="E162" s="1"/>
      <c r="F162" s="12"/>
      <c r="G162" s="12"/>
      <c r="H162" s="105"/>
    </row>
    <row r="163" spans="1:14" ht="14.1" customHeight="1" x14ac:dyDescent="0.2">
      <c r="A163" s="1"/>
      <c r="B163" s="1"/>
      <c r="C163" s="2" t="s">
        <v>156</v>
      </c>
      <c r="D163" s="1"/>
      <c r="E163" s="1"/>
      <c r="F163" s="1"/>
      <c r="G163" s="1"/>
      <c r="H163" s="105"/>
    </row>
    <row r="164" spans="1:14" ht="14.1" customHeight="1" x14ac:dyDescent="0.2">
      <c r="A164" s="1"/>
      <c r="B164" s="1"/>
      <c r="C164" s="2" t="s">
        <v>157</v>
      </c>
      <c r="D164" s="1"/>
      <c r="E164" s="1"/>
      <c r="F164" s="1"/>
      <c r="G164" s="1"/>
      <c r="H164" s="105"/>
    </row>
    <row r="165" spans="1:14" ht="14.1" customHeight="1" x14ac:dyDescent="0.2">
      <c r="A165" s="1"/>
      <c r="B165" s="1"/>
      <c r="C165" s="2" t="s">
        <v>132</v>
      </c>
      <c r="D165" s="1"/>
      <c r="E165" s="1" t="s">
        <v>133</v>
      </c>
      <c r="F165" s="13" t="s">
        <v>135</v>
      </c>
      <c r="G165" s="10">
        <v>0</v>
      </c>
      <c r="H165" s="105"/>
    </row>
    <row r="166" spans="1:14" ht="14.1" customHeight="1" x14ac:dyDescent="0.2">
      <c r="A166" s="1"/>
      <c r="B166" s="1"/>
      <c r="C166" s="11"/>
      <c r="D166" s="1"/>
      <c r="E166" s="1"/>
      <c r="F166" s="12"/>
      <c r="G166" s="12"/>
      <c r="H166" s="105"/>
    </row>
    <row r="167" spans="1:14" ht="24" customHeight="1" x14ac:dyDescent="0.2">
      <c r="A167" s="1"/>
      <c r="B167" s="1"/>
      <c r="C167" s="2" t="s">
        <v>158</v>
      </c>
      <c r="D167" s="1"/>
      <c r="E167" s="1"/>
      <c r="F167" s="12"/>
      <c r="G167" s="12"/>
      <c r="H167" s="105"/>
    </row>
    <row r="168" spans="1:14" ht="14.1" customHeight="1" x14ac:dyDescent="0.2">
      <c r="A168" s="1"/>
      <c r="B168" s="1"/>
      <c r="C168" s="2" t="s">
        <v>132</v>
      </c>
      <c r="D168" s="1"/>
      <c r="E168" s="1" t="s">
        <v>133</v>
      </c>
      <c r="F168" s="13" t="s">
        <v>135</v>
      </c>
      <c r="G168" s="10">
        <v>0</v>
      </c>
      <c r="H168" s="105"/>
    </row>
    <row r="169" spans="1:14" ht="14.1" customHeight="1" x14ac:dyDescent="0.2">
      <c r="A169" s="1"/>
      <c r="B169" s="1"/>
      <c r="C169" s="11"/>
      <c r="D169" s="1"/>
      <c r="E169" s="1"/>
      <c r="F169" s="12"/>
      <c r="G169" s="12"/>
      <c r="H169" s="105"/>
    </row>
    <row r="170" spans="1:14" ht="14.1" customHeight="1" x14ac:dyDescent="0.2">
      <c r="A170" s="1"/>
      <c r="B170" s="4"/>
      <c r="C170" s="4"/>
      <c r="D170" s="2"/>
      <c r="E170" s="1"/>
      <c r="F170" s="4"/>
      <c r="G170" s="8"/>
      <c r="H170" s="105"/>
    </row>
    <row r="171" spans="1:14" ht="18" customHeight="1" x14ac:dyDescent="0.2">
      <c r="A171" s="8"/>
      <c r="B171" s="4"/>
      <c r="C171" s="40" t="s">
        <v>955</v>
      </c>
      <c r="D171" s="4"/>
      <c r="E171" s="8"/>
      <c r="F171" s="6">
        <v>-12.421036190000001</v>
      </c>
      <c r="G171" s="7">
        <v>-2.2537E-3</v>
      </c>
      <c r="H171" s="105"/>
    </row>
    <row r="172" spans="1:14" ht="14.1" customHeight="1" x14ac:dyDescent="0.2">
      <c r="A172" s="11"/>
      <c r="B172" s="11"/>
      <c r="C172" s="2" t="s">
        <v>160</v>
      </c>
      <c r="D172" s="12"/>
      <c r="E172" s="12"/>
      <c r="F172" s="9">
        <v>5511.4055081919996</v>
      </c>
      <c r="G172" s="14">
        <v>1.00000008</v>
      </c>
      <c r="H172" s="105"/>
    </row>
    <row r="173" spans="1:14" ht="14.1" customHeight="1" x14ac:dyDescent="0.2">
      <c r="A173" s="15"/>
      <c r="B173" s="15"/>
      <c r="C173" s="15"/>
      <c r="D173" s="16"/>
      <c r="E173" s="16"/>
      <c r="F173" s="16"/>
      <c r="G173" s="16"/>
    </row>
    <row r="174" spans="1:14" ht="17.100000000000001" customHeight="1" x14ac:dyDescent="0.2">
      <c r="A174" s="45"/>
      <c r="B174" s="192" t="s">
        <v>932</v>
      </c>
      <c r="C174" s="192"/>
      <c r="D174" s="192"/>
      <c r="E174" s="192"/>
      <c r="F174" s="192"/>
      <c r="G174" s="46"/>
    </row>
    <row r="175" spans="1:14" ht="17.100000000000001" customHeight="1" x14ac:dyDescent="0.2">
      <c r="A175" s="45"/>
      <c r="B175" s="191" t="s">
        <v>933</v>
      </c>
      <c r="C175" s="191"/>
      <c r="D175" s="191"/>
      <c r="E175" s="191"/>
      <c r="F175" s="191"/>
      <c r="G175" s="46"/>
    </row>
    <row r="176" spans="1:14" ht="17.100000000000001" customHeight="1" x14ac:dyDescent="0.2">
      <c r="A176" s="17"/>
      <c r="B176" s="178" t="s">
        <v>161</v>
      </c>
      <c r="C176" s="178"/>
      <c r="D176" s="178"/>
      <c r="E176" s="178"/>
      <c r="F176" s="178"/>
      <c r="G176" s="19"/>
      <c r="I176" s="53"/>
      <c r="J176" s="53"/>
      <c r="K176" s="53"/>
      <c r="L176" s="53"/>
      <c r="M176" s="53"/>
      <c r="N176" s="53"/>
    </row>
    <row r="177" spans="1:7" ht="14.1" customHeight="1" x14ac:dyDescent="0.2">
      <c r="A177" s="17"/>
      <c r="B177" s="17"/>
      <c r="C177" s="17"/>
      <c r="D177" s="19"/>
      <c r="E177" s="19"/>
      <c r="F177" s="19"/>
      <c r="G177" s="19"/>
    </row>
    <row r="178" spans="1:7" ht="14.1" customHeight="1" x14ac:dyDescent="0.2">
      <c r="A178" s="17"/>
      <c r="B178" s="179" t="s">
        <v>162</v>
      </c>
      <c r="C178" s="180"/>
      <c r="D178" s="181"/>
      <c r="E178" s="20"/>
      <c r="F178" s="19"/>
      <c r="G178" s="19"/>
    </row>
    <row r="179" spans="1:7" ht="29.1" customHeight="1" x14ac:dyDescent="0.2">
      <c r="A179" s="17"/>
      <c r="B179" s="176" t="s">
        <v>163</v>
      </c>
      <c r="C179" s="177"/>
      <c r="D179" s="2" t="s">
        <v>164</v>
      </c>
      <c r="E179" s="20"/>
      <c r="F179" s="19"/>
      <c r="G179" s="19"/>
    </row>
    <row r="180" spans="1:7" ht="17.100000000000001" customHeight="1" x14ac:dyDescent="0.2">
      <c r="A180" s="17"/>
      <c r="B180" s="176" t="s">
        <v>165</v>
      </c>
      <c r="C180" s="177"/>
      <c r="D180" s="2" t="s">
        <v>164</v>
      </c>
      <c r="E180" s="20"/>
      <c r="F180" s="19"/>
      <c r="G180" s="19"/>
    </row>
    <row r="181" spans="1:7" ht="17.100000000000001" customHeight="1" x14ac:dyDescent="0.2">
      <c r="A181" s="17"/>
      <c r="B181" s="176" t="s">
        <v>166</v>
      </c>
      <c r="C181" s="177"/>
      <c r="D181" s="12" t="s">
        <v>133</v>
      </c>
      <c r="E181" s="20"/>
      <c r="F181" s="19"/>
      <c r="G181" s="19"/>
    </row>
    <row r="182" spans="1:7" ht="24" customHeight="1" x14ac:dyDescent="0.2">
      <c r="A182" s="21"/>
      <c r="B182" s="22" t="s">
        <v>133</v>
      </c>
      <c r="C182" s="22" t="s">
        <v>167</v>
      </c>
      <c r="D182" s="22" t="s">
        <v>168</v>
      </c>
      <c r="E182" s="21"/>
      <c r="F182" s="21"/>
      <c r="G182" s="21"/>
    </row>
    <row r="183" spans="1:7" ht="18" customHeight="1" x14ac:dyDescent="0.2">
      <c r="A183" s="21"/>
      <c r="B183" s="23" t="s">
        <v>169</v>
      </c>
      <c r="C183" s="22" t="s">
        <v>170</v>
      </c>
      <c r="D183" s="22" t="s">
        <v>171</v>
      </c>
      <c r="E183" s="21"/>
      <c r="F183" s="21"/>
      <c r="G183" s="21"/>
    </row>
    <row r="184" spans="1:7" ht="17.100000000000001" customHeight="1" x14ac:dyDescent="0.2">
      <c r="A184" s="21"/>
      <c r="B184" s="4" t="s">
        <v>172</v>
      </c>
      <c r="C184" s="24">
        <v>107.4997</v>
      </c>
      <c r="D184" s="24">
        <v>113.3638</v>
      </c>
      <c r="E184" s="21"/>
      <c r="F184" s="18"/>
      <c r="G184" s="25"/>
    </row>
    <row r="185" spans="1:7" ht="17.100000000000001" customHeight="1" x14ac:dyDescent="0.2">
      <c r="A185" s="21"/>
      <c r="B185" s="4" t="s">
        <v>1006</v>
      </c>
      <c r="C185" s="24">
        <v>58.733699999999999</v>
      </c>
      <c r="D185" s="24">
        <v>61.937600000000003</v>
      </c>
      <c r="E185" s="21"/>
      <c r="F185" s="18"/>
      <c r="G185" s="25"/>
    </row>
    <row r="186" spans="1:7" ht="17.100000000000001" customHeight="1" x14ac:dyDescent="0.2">
      <c r="A186" s="21"/>
      <c r="B186" s="4" t="s">
        <v>173</v>
      </c>
      <c r="C186" s="24">
        <v>103.1857</v>
      </c>
      <c r="D186" s="24">
        <v>108.7632</v>
      </c>
      <c r="E186" s="21"/>
      <c r="F186" s="18"/>
      <c r="G186" s="25"/>
    </row>
    <row r="187" spans="1:7" ht="17.100000000000001" customHeight="1" x14ac:dyDescent="0.2">
      <c r="A187" s="21"/>
      <c r="B187" s="4" t="s">
        <v>1007</v>
      </c>
      <c r="C187" s="24">
        <v>56.3795</v>
      </c>
      <c r="D187" s="24">
        <v>59.427100000000003</v>
      </c>
      <c r="E187" s="21"/>
      <c r="F187" s="18"/>
      <c r="G187" s="25"/>
    </row>
    <row r="188" spans="1:7" ht="14.1" customHeight="1" x14ac:dyDescent="0.2">
      <c r="A188" s="21"/>
      <c r="B188" s="21"/>
      <c r="C188" s="21"/>
      <c r="D188" s="21"/>
      <c r="E188" s="21"/>
      <c r="F188" s="21"/>
      <c r="G188" s="21"/>
    </row>
    <row r="189" spans="1:7" ht="17.100000000000001" customHeight="1" x14ac:dyDescent="0.2">
      <c r="A189" s="21"/>
      <c r="B189" s="176" t="s">
        <v>1008</v>
      </c>
      <c r="C189" s="177"/>
      <c r="D189" s="2" t="s">
        <v>164</v>
      </c>
      <c r="E189" s="21"/>
      <c r="F189" s="21"/>
      <c r="G189" s="21"/>
    </row>
    <row r="190" spans="1:7" ht="18" customHeight="1" x14ac:dyDescent="0.2">
      <c r="A190" s="21"/>
      <c r="B190" s="26"/>
      <c r="C190" s="26"/>
      <c r="D190" s="26"/>
      <c r="E190" s="21"/>
      <c r="F190" s="21"/>
      <c r="G190" s="21"/>
    </row>
    <row r="191" spans="1:7" ht="29.1" customHeight="1" x14ac:dyDescent="0.2">
      <c r="A191" s="21"/>
      <c r="B191" s="176" t="s">
        <v>174</v>
      </c>
      <c r="C191" s="177"/>
      <c r="D191" s="2" t="s">
        <v>164</v>
      </c>
      <c r="E191" s="27"/>
      <c r="F191" s="21"/>
      <c r="G191" s="21"/>
    </row>
    <row r="192" spans="1:7" ht="29.1" customHeight="1" x14ac:dyDescent="0.2">
      <c r="A192" s="21"/>
      <c r="B192" s="176" t="s">
        <v>175</v>
      </c>
      <c r="C192" s="177"/>
      <c r="D192" s="2" t="s">
        <v>164</v>
      </c>
      <c r="E192" s="27"/>
      <c r="F192" s="21"/>
      <c r="G192" s="21"/>
    </row>
    <row r="193" spans="1:7" ht="17.100000000000001" customHeight="1" x14ac:dyDescent="0.2">
      <c r="A193" s="21"/>
      <c r="B193" s="176" t="s">
        <v>176</v>
      </c>
      <c r="C193" s="177"/>
      <c r="D193" s="2" t="s">
        <v>164</v>
      </c>
      <c r="E193" s="27"/>
      <c r="F193" s="21"/>
      <c r="G193" s="21"/>
    </row>
    <row r="194" spans="1:7" ht="17.100000000000001" customHeight="1" x14ac:dyDescent="0.2">
      <c r="A194" s="21"/>
      <c r="B194" s="176" t="s">
        <v>177</v>
      </c>
      <c r="C194" s="177"/>
      <c r="D194" s="60">
        <v>0.35952176754125287</v>
      </c>
      <c r="E194" s="21"/>
      <c r="F194" s="18"/>
      <c r="G194" s="25"/>
    </row>
  </sheetData>
  <mergeCells count="16">
    <mergeCell ref="J2:N2"/>
    <mergeCell ref="A1:H1"/>
    <mergeCell ref="A2:H2"/>
    <mergeCell ref="A3:H3"/>
    <mergeCell ref="B194:C194"/>
    <mergeCell ref="B180:C180"/>
    <mergeCell ref="B181:C181"/>
    <mergeCell ref="B189:C189"/>
    <mergeCell ref="B191:C191"/>
    <mergeCell ref="B192:C192"/>
    <mergeCell ref="B193:C193"/>
    <mergeCell ref="B179:C179"/>
    <mergeCell ref="B176:F176"/>
    <mergeCell ref="B178:D178"/>
    <mergeCell ref="B174:F174"/>
    <mergeCell ref="B175:F175"/>
  </mergeCells>
  <hyperlinks>
    <hyperlink ref="I1" location="Index!B28" display="Index" xr:uid="{4517CA59-9FAA-4FED-9A80-A7131C30E97A}"/>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outlinePr summaryBelow="0" summaryRight="0"/>
  </sheetPr>
  <dimension ref="A1:N160"/>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182" t="s">
        <v>0</v>
      </c>
      <c r="B1" s="182"/>
      <c r="C1" s="182"/>
      <c r="D1" s="182"/>
      <c r="E1" s="182"/>
      <c r="F1" s="182"/>
      <c r="G1" s="182"/>
      <c r="H1" s="182"/>
      <c r="I1" s="159" t="s">
        <v>1044</v>
      </c>
    </row>
    <row r="2" spans="1:14" ht="17.100000000000001" customHeight="1" x14ac:dyDescent="0.2">
      <c r="A2" s="183" t="s">
        <v>808</v>
      </c>
      <c r="B2" s="184"/>
      <c r="C2" s="184"/>
      <c r="D2" s="184"/>
      <c r="E2" s="184"/>
      <c r="F2" s="184"/>
      <c r="G2" s="184"/>
      <c r="H2" s="185"/>
      <c r="J2" s="175" t="s">
        <v>1045</v>
      </c>
      <c r="K2" s="175"/>
      <c r="L2" s="175"/>
      <c r="M2" s="175"/>
      <c r="N2" s="175"/>
    </row>
    <row r="3" spans="1:14" ht="21" customHeight="1" x14ac:dyDescent="0.2">
      <c r="A3" s="182" t="s">
        <v>1016</v>
      </c>
      <c r="B3" s="182"/>
      <c r="C3" s="182"/>
      <c r="D3" s="182"/>
      <c r="E3" s="182"/>
      <c r="F3" s="182"/>
      <c r="G3" s="182"/>
      <c r="H3" s="182"/>
    </row>
    <row r="4" spans="1:14" ht="30" x14ac:dyDescent="0.2">
      <c r="A4" s="107" t="s">
        <v>2</v>
      </c>
      <c r="B4" s="107" t="s">
        <v>3</v>
      </c>
      <c r="C4" s="107" t="s">
        <v>4</v>
      </c>
      <c r="D4" s="107" t="s">
        <v>5</v>
      </c>
      <c r="E4" s="107" t="s">
        <v>6</v>
      </c>
      <c r="F4" s="107" t="s">
        <v>7</v>
      </c>
      <c r="G4" s="107" t="s">
        <v>8</v>
      </c>
      <c r="H4" s="104" t="s">
        <v>1003</v>
      </c>
      <c r="I4" s="108"/>
      <c r="J4" s="108"/>
      <c r="K4" s="108"/>
      <c r="L4" s="108"/>
      <c r="M4" s="108"/>
      <c r="N4" s="108"/>
    </row>
    <row r="5" spans="1:14" ht="14.1" customHeight="1" x14ac:dyDescent="0.2">
      <c r="A5" s="1"/>
      <c r="B5" s="1"/>
      <c r="C5" s="2" t="s">
        <v>9</v>
      </c>
      <c r="D5" s="1"/>
      <c r="E5" s="1"/>
      <c r="F5" s="1"/>
      <c r="G5" s="1"/>
      <c r="H5" s="105"/>
    </row>
    <row r="6" spans="1:14" ht="24" customHeight="1" x14ac:dyDescent="0.2">
      <c r="A6" s="1"/>
      <c r="B6" s="1"/>
      <c r="C6" s="2" t="s">
        <v>10</v>
      </c>
      <c r="D6" s="1"/>
      <c r="E6" s="1"/>
      <c r="F6" s="1"/>
      <c r="G6" s="1"/>
      <c r="H6" s="105"/>
    </row>
    <row r="7" spans="1:14" ht="17.100000000000001" customHeight="1" x14ac:dyDescent="0.2">
      <c r="A7" s="3">
        <v>1</v>
      </c>
      <c r="B7" s="4" t="s">
        <v>23</v>
      </c>
      <c r="C7" s="4" t="s">
        <v>24</v>
      </c>
      <c r="D7" s="4" t="s">
        <v>25</v>
      </c>
      <c r="E7" s="5">
        <v>770000</v>
      </c>
      <c r="F7" s="6">
        <v>7065.9049999999997</v>
      </c>
      <c r="G7" s="7">
        <v>7.3097540000000003E-2</v>
      </c>
      <c r="H7" s="105"/>
    </row>
    <row r="8" spans="1:14" ht="17.100000000000001" customHeight="1" x14ac:dyDescent="0.2">
      <c r="A8" s="3">
        <v>2</v>
      </c>
      <c r="B8" s="4" t="s">
        <v>17</v>
      </c>
      <c r="C8" s="4" t="s">
        <v>18</v>
      </c>
      <c r="D8" s="4" t="s">
        <v>19</v>
      </c>
      <c r="E8" s="5">
        <v>258000</v>
      </c>
      <c r="F8" s="6">
        <v>6244.89</v>
      </c>
      <c r="G8" s="7">
        <v>6.4604049999999996E-2</v>
      </c>
      <c r="H8" s="105"/>
    </row>
    <row r="9" spans="1:14" ht="17.100000000000001" customHeight="1" x14ac:dyDescent="0.2">
      <c r="A9" s="3">
        <v>3</v>
      </c>
      <c r="B9" s="4" t="s">
        <v>317</v>
      </c>
      <c r="C9" s="4" t="s">
        <v>318</v>
      </c>
      <c r="D9" s="4" t="s">
        <v>25</v>
      </c>
      <c r="E9" s="5">
        <v>335117</v>
      </c>
      <c r="F9" s="6">
        <v>5655.4344920000003</v>
      </c>
      <c r="G9" s="7">
        <v>5.850607E-2</v>
      </c>
      <c r="H9" s="105"/>
    </row>
    <row r="10" spans="1:14" ht="29.1" customHeight="1" x14ac:dyDescent="0.2">
      <c r="A10" s="3">
        <v>4</v>
      </c>
      <c r="B10" s="4" t="s">
        <v>308</v>
      </c>
      <c r="C10" s="4" t="s">
        <v>309</v>
      </c>
      <c r="D10" s="4" t="s">
        <v>128</v>
      </c>
      <c r="E10" s="5">
        <v>157000</v>
      </c>
      <c r="F10" s="6">
        <v>4357.692</v>
      </c>
      <c r="G10" s="7">
        <v>4.5080790000000003E-2</v>
      </c>
      <c r="H10" s="105"/>
    </row>
    <row r="11" spans="1:14" ht="17.100000000000001" customHeight="1" x14ac:dyDescent="0.2">
      <c r="A11" s="3">
        <v>5</v>
      </c>
      <c r="B11" s="4" t="s">
        <v>302</v>
      </c>
      <c r="C11" s="4" t="s">
        <v>303</v>
      </c>
      <c r="D11" s="4" t="s">
        <v>953</v>
      </c>
      <c r="E11" s="5">
        <v>333000</v>
      </c>
      <c r="F11" s="6">
        <v>4171.6575000000003</v>
      </c>
      <c r="G11" s="7">
        <v>4.3156239999999998E-2</v>
      </c>
      <c r="H11" s="105"/>
    </row>
    <row r="12" spans="1:14" ht="17.100000000000001" customHeight="1" x14ac:dyDescent="0.2">
      <c r="A12" s="3">
        <v>6</v>
      </c>
      <c r="B12" s="4" t="s">
        <v>29</v>
      </c>
      <c r="C12" s="4" t="s">
        <v>30</v>
      </c>
      <c r="D12" s="4" t="s">
        <v>25</v>
      </c>
      <c r="E12" s="5">
        <v>683000</v>
      </c>
      <c r="F12" s="6">
        <v>3949.7890000000002</v>
      </c>
      <c r="G12" s="7">
        <v>4.086099E-2</v>
      </c>
      <c r="H12" s="105"/>
    </row>
    <row r="13" spans="1:14" ht="17.100000000000001" customHeight="1" x14ac:dyDescent="0.2">
      <c r="A13" s="3">
        <v>7</v>
      </c>
      <c r="B13" s="4" t="s">
        <v>203</v>
      </c>
      <c r="C13" s="4" t="s">
        <v>204</v>
      </c>
      <c r="D13" s="4" t="s">
        <v>25</v>
      </c>
      <c r="E13" s="5">
        <v>334000</v>
      </c>
      <c r="F13" s="6">
        <v>2872.4</v>
      </c>
      <c r="G13" s="7">
        <v>2.9715289999999998E-2</v>
      </c>
      <c r="H13" s="105"/>
      <c r="J13" s="161" t="s">
        <v>1060</v>
      </c>
    </row>
    <row r="14" spans="1:14" ht="17.100000000000001" customHeight="1" x14ac:dyDescent="0.2">
      <c r="A14" s="3">
        <v>8</v>
      </c>
      <c r="B14" s="4" t="s">
        <v>319</v>
      </c>
      <c r="C14" s="4" t="s">
        <v>320</v>
      </c>
      <c r="D14" s="4" t="s">
        <v>953</v>
      </c>
      <c r="E14" s="5">
        <v>78000</v>
      </c>
      <c r="F14" s="6">
        <v>2511.0149999999999</v>
      </c>
      <c r="G14" s="7">
        <v>2.5976719999999998E-2</v>
      </c>
      <c r="H14" s="105"/>
    </row>
    <row r="15" spans="1:14" ht="53.1" customHeight="1" x14ac:dyDescent="0.2">
      <c r="A15" s="3">
        <v>9</v>
      </c>
      <c r="B15" s="4" t="s">
        <v>50</v>
      </c>
      <c r="C15" s="4" t="s">
        <v>51</v>
      </c>
      <c r="D15" s="4" t="s">
        <v>52</v>
      </c>
      <c r="E15" s="5">
        <v>1630000</v>
      </c>
      <c r="F15" s="6">
        <v>2378.9850000000001</v>
      </c>
      <c r="G15" s="7">
        <v>2.461085E-2</v>
      </c>
      <c r="H15" s="105"/>
    </row>
    <row r="16" spans="1:14" ht="17.100000000000001" customHeight="1" x14ac:dyDescent="0.2">
      <c r="A16" s="3">
        <v>10</v>
      </c>
      <c r="B16" s="4" t="s">
        <v>53</v>
      </c>
      <c r="C16" s="4" t="s">
        <v>54</v>
      </c>
      <c r="D16" s="4" t="s">
        <v>33</v>
      </c>
      <c r="E16" s="5">
        <v>67000</v>
      </c>
      <c r="F16" s="6">
        <v>2147.5844999999999</v>
      </c>
      <c r="G16" s="7">
        <v>2.2216989999999999E-2</v>
      </c>
      <c r="H16" s="105"/>
    </row>
    <row r="17" spans="1:10" ht="17.100000000000001" customHeight="1" x14ac:dyDescent="0.2">
      <c r="A17" s="3">
        <v>11</v>
      </c>
      <c r="B17" s="4" t="s">
        <v>325</v>
      </c>
      <c r="C17" s="4" t="s">
        <v>326</v>
      </c>
      <c r="D17" s="4" t="s">
        <v>1020</v>
      </c>
      <c r="E17" s="5">
        <v>78900</v>
      </c>
      <c r="F17" s="6">
        <v>1938.8097</v>
      </c>
      <c r="G17" s="7">
        <v>2.0057189999999999E-2</v>
      </c>
      <c r="H17" s="105"/>
    </row>
    <row r="18" spans="1:10" ht="17.100000000000001" customHeight="1" x14ac:dyDescent="0.2">
      <c r="A18" s="3">
        <v>12</v>
      </c>
      <c r="B18" s="4" t="s">
        <v>103</v>
      </c>
      <c r="C18" s="4" t="s">
        <v>104</v>
      </c>
      <c r="D18" s="4" t="s">
        <v>105</v>
      </c>
      <c r="E18" s="5">
        <v>22000</v>
      </c>
      <c r="F18" s="6">
        <v>1889.701</v>
      </c>
      <c r="G18" s="7">
        <v>1.9549159999999999E-2</v>
      </c>
      <c r="H18" s="105"/>
    </row>
    <row r="19" spans="1:10" ht="17.100000000000001" customHeight="1" x14ac:dyDescent="0.2">
      <c r="A19" s="3">
        <v>13</v>
      </c>
      <c r="B19" s="4" t="s">
        <v>353</v>
      </c>
      <c r="C19" s="4" t="s">
        <v>354</v>
      </c>
      <c r="D19" s="4" t="s">
        <v>105</v>
      </c>
      <c r="E19" s="5">
        <v>360000</v>
      </c>
      <c r="F19" s="6">
        <v>1745.82</v>
      </c>
      <c r="G19" s="7">
        <v>1.8060690000000001E-2</v>
      </c>
      <c r="H19" s="105"/>
    </row>
    <row r="20" spans="1:10" ht="29.1" customHeight="1" x14ac:dyDescent="0.2">
      <c r="A20" s="3">
        <v>14</v>
      </c>
      <c r="B20" s="4" t="s">
        <v>304</v>
      </c>
      <c r="C20" s="4" t="s">
        <v>305</v>
      </c>
      <c r="D20" s="4" t="s">
        <v>212</v>
      </c>
      <c r="E20" s="5">
        <v>176000</v>
      </c>
      <c r="F20" s="6">
        <v>1738.2639999999999</v>
      </c>
      <c r="G20" s="7">
        <v>1.798253E-2</v>
      </c>
      <c r="H20" s="105"/>
    </row>
    <row r="21" spans="1:10" ht="17.100000000000001" customHeight="1" x14ac:dyDescent="0.2">
      <c r="A21" s="3">
        <v>15</v>
      </c>
      <c r="B21" s="4" t="s">
        <v>213</v>
      </c>
      <c r="C21" s="4" t="s">
        <v>214</v>
      </c>
      <c r="D21" s="4" t="s">
        <v>25</v>
      </c>
      <c r="E21" s="5">
        <v>906000</v>
      </c>
      <c r="F21" s="6">
        <v>1701.0150000000001</v>
      </c>
      <c r="G21" s="7">
        <v>1.759718E-2</v>
      </c>
      <c r="H21" s="105"/>
    </row>
    <row r="22" spans="1:10" ht="17.100000000000001" customHeight="1" x14ac:dyDescent="0.2">
      <c r="A22" s="3">
        <v>16</v>
      </c>
      <c r="B22" s="4" t="s">
        <v>11</v>
      </c>
      <c r="C22" s="4" t="s">
        <v>12</v>
      </c>
      <c r="D22" s="4" t="s">
        <v>13</v>
      </c>
      <c r="E22" s="5">
        <v>70588</v>
      </c>
      <c r="F22" s="6">
        <v>1668.9826720000001</v>
      </c>
      <c r="G22" s="7">
        <v>1.7265800000000001E-2</v>
      </c>
      <c r="H22" s="105"/>
      <c r="J22" s="161" t="s">
        <v>1068</v>
      </c>
    </row>
    <row r="23" spans="1:10" ht="17.100000000000001" customHeight="1" x14ac:dyDescent="0.2">
      <c r="A23" s="3">
        <v>17</v>
      </c>
      <c r="B23" s="4" t="s">
        <v>101</v>
      </c>
      <c r="C23" s="4" t="s">
        <v>102</v>
      </c>
      <c r="D23" s="4" t="s">
        <v>59</v>
      </c>
      <c r="E23" s="5">
        <v>78000</v>
      </c>
      <c r="F23" s="6">
        <v>1576.3409999999999</v>
      </c>
      <c r="G23" s="7">
        <v>1.630742E-2</v>
      </c>
      <c r="H23" s="105"/>
    </row>
    <row r="24" spans="1:10" ht="17.100000000000001" customHeight="1" x14ac:dyDescent="0.2">
      <c r="A24" s="3">
        <v>18</v>
      </c>
      <c r="B24" s="4" t="s">
        <v>510</v>
      </c>
      <c r="C24" s="4" t="s">
        <v>511</v>
      </c>
      <c r="D24" s="4" t="s">
        <v>329</v>
      </c>
      <c r="E24" s="5">
        <v>33000</v>
      </c>
      <c r="F24" s="6">
        <v>1561.296</v>
      </c>
      <c r="G24" s="7">
        <v>1.6151769999999999E-2</v>
      </c>
      <c r="H24" s="105"/>
    </row>
    <row r="25" spans="1:10" ht="17.100000000000001" customHeight="1" x14ac:dyDescent="0.2">
      <c r="A25" s="3">
        <v>19</v>
      </c>
      <c r="B25" s="4" t="s">
        <v>34</v>
      </c>
      <c r="C25" s="4" t="s">
        <v>35</v>
      </c>
      <c r="D25" s="4" t="s">
        <v>36</v>
      </c>
      <c r="E25" s="5">
        <v>45000</v>
      </c>
      <c r="F25" s="6">
        <v>1538.0775000000001</v>
      </c>
      <c r="G25" s="7">
        <v>1.5911580000000002E-2</v>
      </c>
      <c r="H25" s="105"/>
    </row>
    <row r="26" spans="1:10" ht="17.100000000000001" customHeight="1" x14ac:dyDescent="0.2">
      <c r="A26" s="3">
        <v>20</v>
      </c>
      <c r="B26" s="4" t="s">
        <v>221</v>
      </c>
      <c r="C26" s="4" t="s">
        <v>222</v>
      </c>
      <c r="D26" s="4" t="s">
        <v>223</v>
      </c>
      <c r="E26" s="5">
        <v>317000</v>
      </c>
      <c r="F26" s="6">
        <v>1415.2465</v>
      </c>
      <c r="G26" s="7">
        <v>1.464088E-2</v>
      </c>
      <c r="H26" s="105"/>
    </row>
    <row r="27" spans="1:10" ht="17.100000000000001" customHeight="1" x14ac:dyDescent="0.2">
      <c r="A27" s="3">
        <v>21</v>
      </c>
      <c r="B27" s="4" t="s">
        <v>179</v>
      </c>
      <c r="C27" s="4" t="s">
        <v>180</v>
      </c>
      <c r="D27" s="4" t="s">
        <v>25</v>
      </c>
      <c r="E27" s="5">
        <v>932000</v>
      </c>
      <c r="F27" s="6">
        <v>1257.7339999999999</v>
      </c>
      <c r="G27" s="7">
        <v>1.3011389999999999E-2</v>
      </c>
      <c r="H27" s="105"/>
    </row>
    <row r="28" spans="1:10" ht="17.100000000000001" customHeight="1" x14ac:dyDescent="0.2">
      <c r="A28" s="3">
        <v>22</v>
      </c>
      <c r="B28" s="4" t="s">
        <v>339</v>
      </c>
      <c r="C28" s="4" t="s">
        <v>340</v>
      </c>
      <c r="D28" s="4" t="s">
        <v>25</v>
      </c>
      <c r="E28" s="5">
        <v>394000</v>
      </c>
      <c r="F28" s="6">
        <v>1250.7529999999999</v>
      </c>
      <c r="G28" s="7">
        <v>1.293917E-2</v>
      </c>
      <c r="H28" s="105"/>
    </row>
    <row r="29" spans="1:10" ht="53.1" customHeight="1" x14ac:dyDescent="0.2">
      <c r="A29" s="3">
        <v>23</v>
      </c>
      <c r="B29" s="4" t="s">
        <v>117</v>
      </c>
      <c r="C29" s="4" t="s">
        <v>118</v>
      </c>
      <c r="D29" s="4" t="s">
        <v>52</v>
      </c>
      <c r="E29" s="5">
        <v>98510</v>
      </c>
      <c r="F29" s="6">
        <v>1198.6204250000001</v>
      </c>
      <c r="G29" s="7">
        <v>1.239986E-2</v>
      </c>
      <c r="H29" s="105"/>
    </row>
    <row r="30" spans="1:10" ht="29.1" customHeight="1" x14ac:dyDescent="0.2">
      <c r="A30" s="3">
        <v>24</v>
      </c>
      <c r="B30" s="4" t="s">
        <v>181</v>
      </c>
      <c r="C30" s="4" t="s">
        <v>182</v>
      </c>
      <c r="D30" s="4" t="s">
        <v>183</v>
      </c>
      <c r="E30" s="5">
        <v>24000</v>
      </c>
      <c r="F30" s="6">
        <v>1164.048</v>
      </c>
      <c r="G30" s="7">
        <v>1.2042199999999999E-2</v>
      </c>
      <c r="H30" s="105"/>
    </row>
    <row r="31" spans="1:10" ht="17.100000000000001" customHeight="1" x14ac:dyDescent="0.2">
      <c r="A31" s="3">
        <v>25</v>
      </c>
      <c r="B31" s="4" t="s">
        <v>495</v>
      </c>
      <c r="C31" s="40" t="s">
        <v>931</v>
      </c>
      <c r="D31" s="4" t="s">
        <v>16</v>
      </c>
      <c r="E31" s="5">
        <v>283000</v>
      </c>
      <c r="F31" s="6">
        <v>1162.5640000000001</v>
      </c>
      <c r="G31" s="7">
        <v>1.202685E-2</v>
      </c>
      <c r="H31" s="105"/>
    </row>
    <row r="32" spans="1:10" ht="29.1" customHeight="1" x14ac:dyDescent="0.2">
      <c r="A32" s="3">
        <v>26</v>
      </c>
      <c r="B32" s="4" t="s">
        <v>196</v>
      </c>
      <c r="C32" s="4" t="s">
        <v>197</v>
      </c>
      <c r="D32" s="4" t="s">
        <v>128</v>
      </c>
      <c r="E32" s="5">
        <v>132000</v>
      </c>
      <c r="F32" s="6">
        <v>1149.8520000000001</v>
      </c>
      <c r="G32" s="7">
        <v>1.1895340000000001E-2</v>
      </c>
      <c r="H32" s="105"/>
    </row>
    <row r="33" spans="1:8" ht="29.1" customHeight="1" x14ac:dyDescent="0.2">
      <c r="A33" s="3">
        <v>27</v>
      </c>
      <c r="B33" s="4" t="s">
        <v>20</v>
      </c>
      <c r="C33" s="4" t="s">
        <v>21</v>
      </c>
      <c r="D33" s="4" t="s">
        <v>22</v>
      </c>
      <c r="E33" s="5">
        <v>15000</v>
      </c>
      <c r="F33" s="6">
        <v>1133.43</v>
      </c>
      <c r="G33" s="7">
        <v>1.172545E-2</v>
      </c>
      <c r="H33" s="105"/>
    </row>
    <row r="34" spans="1:8" ht="17.100000000000001" customHeight="1" x14ac:dyDescent="0.2">
      <c r="A34" s="3">
        <v>28</v>
      </c>
      <c r="B34" s="4" t="s">
        <v>367</v>
      </c>
      <c r="C34" s="4" t="s">
        <v>368</v>
      </c>
      <c r="D34" s="4" t="s">
        <v>128</v>
      </c>
      <c r="E34" s="5">
        <v>80000</v>
      </c>
      <c r="F34" s="6">
        <v>1083.72</v>
      </c>
      <c r="G34" s="7">
        <v>1.1211199999999999E-2</v>
      </c>
      <c r="H34" s="105"/>
    </row>
    <row r="35" spans="1:8" ht="17.100000000000001" customHeight="1" x14ac:dyDescent="0.2">
      <c r="A35" s="3">
        <v>29</v>
      </c>
      <c r="B35" s="4" t="s">
        <v>347</v>
      </c>
      <c r="C35" s="4" t="s">
        <v>348</v>
      </c>
      <c r="D35" s="4" t="s">
        <v>121</v>
      </c>
      <c r="E35" s="5">
        <v>40000</v>
      </c>
      <c r="F35" s="6">
        <v>1056.74</v>
      </c>
      <c r="G35" s="7">
        <v>1.093209E-2</v>
      </c>
      <c r="H35" s="105"/>
    </row>
    <row r="36" spans="1:8" ht="17.100000000000001" customHeight="1" x14ac:dyDescent="0.2">
      <c r="A36" s="3">
        <v>30</v>
      </c>
      <c r="B36" s="4" t="s">
        <v>545</v>
      </c>
      <c r="C36" s="4" t="s">
        <v>546</v>
      </c>
      <c r="D36" s="4" t="s">
        <v>121</v>
      </c>
      <c r="E36" s="5">
        <v>165000</v>
      </c>
      <c r="F36" s="6">
        <v>980.1825</v>
      </c>
      <c r="G36" s="7">
        <v>1.0140089999999999E-2</v>
      </c>
      <c r="H36" s="105"/>
    </row>
    <row r="37" spans="1:8" ht="17.100000000000001" customHeight="1" x14ac:dyDescent="0.2">
      <c r="A37" s="3">
        <v>31</v>
      </c>
      <c r="B37" s="4" t="s">
        <v>385</v>
      </c>
      <c r="C37" s="4" t="s">
        <v>386</v>
      </c>
      <c r="D37" s="4" t="s">
        <v>128</v>
      </c>
      <c r="E37" s="5">
        <v>150000</v>
      </c>
      <c r="F37" s="6">
        <v>925.05</v>
      </c>
      <c r="G37" s="7">
        <v>9.5697400000000002E-3</v>
      </c>
      <c r="H37" s="105"/>
    </row>
    <row r="38" spans="1:8" ht="17.100000000000001" customHeight="1" x14ac:dyDescent="0.2">
      <c r="A38" s="3">
        <v>32</v>
      </c>
      <c r="B38" s="4" t="s">
        <v>359</v>
      </c>
      <c r="C38" s="4" t="s">
        <v>360</v>
      </c>
      <c r="D38" s="4" t="s">
        <v>195</v>
      </c>
      <c r="E38" s="5">
        <v>26000</v>
      </c>
      <c r="F38" s="6">
        <v>913.10699999999997</v>
      </c>
      <c r="G38" s="7">
        <v>9.4461900000000001E-3</v>
      </c>
      <c r="H38" s="105"/>
    </row>
    <row r="39" spans="1:8" ht="17.100000000000001" customHeight="1" x14ac:dyDescent="0.2">
      <c r="A39" s="3">
        <v>33</v>
      </c>
      <c r="B39" s="4" t="s">
        <v>355</v>
      </c>
      <c r="C39" s="4" t="s">
        <v>356</v>
      </c>
      <c r="D39" s="4" t="s">
        <v>953</v>
      </c>
      <c r="E39" s="5">
        <v>20000</v>
      </c>
      <c r="F39" s="6">
        <v>883.89</v>
      </c>
      <c r="G39" s="7">
        <v>9.1439399999999997E-3</v>
      </c>
      <c r="H39" s="105"/>
    </row>
    <row r="40" spans="1:8" ht="17.100000000000001" customHeight="1" x14ac:dyDescent="0.2">
      <c r="A40" s="3">
        <v>34</v>
      </c>
      <c r="B40" s="4" t="s">
        <v>312</v>
      </c>
      <c r="C40" s="4" t="s">
        <v>313</v>
      </c>
      <c r="D40" s="4" t="s">
        <v>25</v>
      </c>
      <c r="E40" s="5">
        <v>75000</v>
      </c>
      <c r="F40" s="6">
        <v>864.6</v>
      </c>
      <c r="G40" s="7">
        <v>8.94438E-3</v>
      </c>
      <c r="H40" s="105"/>
    </row>
    <row r="41" spans="1:8" ht="17.100000000000001" customHeight="1" x14ac:dyDescent="0.2">
      <c r="A41" s="3">
        <v>35</v>
      </c>
      <c r="B41" s="4" t="s">
        <v>539</v>
      </c>
      <c r="C41" s="4" t="s">
        <v>540</v>
      </c>
      <c r="D41" s="4" t="s">
        <v>81</v>
      </c>
      <c r="E41" s="5">
        <v>278622</v>
      </c>
      <c r="F41" s="6">
        <v>858.57369300000005</v>
      </c>
      <c r="G41" s="7">
        <v>8.8820400000000008E-3</v>
      </c>
      <c r="H41" s="105"/>
    </row>
    <row r="42" spans="1:8" ht="17.100000000000001" customHeight="1" x14ac:dyDescent="0.2">
      <c r="A42" s="3">
        <v>36</v>
      </c>
      <c r="B42" s="4" t="s">
        <v>215</v>
      </c>
      <c r="C42" s="4" t="s">
        <v>216</v>
      </c>
      <c r="D42" s="4" t="s">
        <v>217</v>
      </c>
      <c r="E42" s="5">
        <v>130000</v>
      </c>
      <c r="F42" s="6">
        <v>831.67499999999995</v>
      </c>
      <c r="G42" s="7">
        <v>8.6037700000000002E-3</v>
      </c>
      <c r="H42" s="105"/>
    </row>
    <row r="43" spans="1:8" ht="17.100000000000001" customHeight="1" x14ac:dyDescent="0.2">
      <c r="A43" s="3">
        <v>37</v>
      </c>
      <c r="B43" s="4" t="s">
        <v>269</v>
      </c>
      <c r="C43" s="4" t="s">
        <v>270</v>
      </c>
      <c r="D43" s="4" t="s">
        <v>271</v>
      </c>
      <c r="E43" s="5">
        <v>2000</v>
      </c>
      <c r="F43" s="6">
        <v>806.41399999999999</v>
      </c>
      <c r="G43" s="7">
        <v>8.3424399999999996E-3</v>
      </c>
      <c r="H43" s="105"/>
    </row>
    <row r="44" spans="1:8" ht="17.100000000000001" customHeight="1" x14ac:dyDescent="0.2">
      <c r="A44" s="3">
        <v>38</v>
      </c>
      <c r="B44" s="4" t="s">
        <v>547</v>
      </c>
      <c r="C44" s="4" t="s">
        <v>548</v>
      </c>
      <c r="D44" s="4" t="s">
        <v>105</v>
      </c>
      <c r="E44" s="5">
        <v>59013</v>
      </c>
      <c r="F44" s="6">
        <v>792.48557700000003</v>
      </c>
      <c r="G44" s="7">
        <v>8.1983500000000001E-3</v>
      </c>
      <c r="H44" s="105"/>
    </row>
    <row r="45" spans="1:8" ht="29.1" customHeight="1" x14ac:dyDescent="0.2">
      <c r="A45" s="3">
        <v>39</v>
      </c>
      <c r="B45" s="4" t="s">
        <v>249</v>
      </c>
      <c r="C45" s="4" t="s">
        <v>250</v>
      </c>
      <c r="D45" s="4" t="s">
        <v>121</v>
      </c>
      <c r="E45" s="5">
        <v>294000</v>
      </c>
      <c r="F45" s="6">
        <v>749.40599999999995</v>
      </c>
      <c r="G45" s="7">
        <v>7.7526899999999996E-3</v>
      </c>
      <c r="H45" s="105"/>
    </row>
    <row r="46" spans="1:8" ht="17.100000000000001" customHeight="1" x14ac:dyDescent="0.2">
      <c r="A46" s="3">
        <v>40</v>
      </c>
      <c r="B46" s="4" t="s">
        <v>310</v>
      </c>
      <c r="C46" s="4" t="s">
        <v>311</v>
      </c>
      <c r="D46" s="4" t="s">
        <v>207</v>
      </c>
      <c r="E46" s="5">
        <v>690000</v>
      </c>
      <c r="F46" s="6">
        <v>744.85500000000002</v>
      </c>
      <c r="G46" s="7">
        <v>7.7055999999999999E-3</v>
      </c>
      <c r="H46" s="105"/>
    </row>
    <row r="47" spans="1:8" ht="29.1" customHeight="1" x14ac:dyDescent="0.2">
      <c r="A47" s="3">
        <v>41</v>
      </c>
      <c r="B47" s="4" t="s">
        <v>710</v>
      </c>
      <c r="C47" s="4" t="s">
        <v>711</v>
      </c>
      <c r="D47" s="4" t="s">
        <v>183</v>
      </c>
      <c r="E47" s="5">
        <v>50000</v>
      </c>
      <c r="F47" s="6">
        <v>722</v>
      </c>
      <c r="G47" s="7">
        <v>7.4691699999999998E-3</v>
      </c>
      <c r="H47" s="105"/>
    </row>
    <row r="48" spans="1:8" ht="17.100000000000001" customHeight="1" x14ac:dyDescent="0.2">
      <c r="A48" s="3">
        <v>42</v>
      </c>
      <c r="B48" s="4" t="s">
        <v>694</v>
      </c>
      <c r="C48" s="4" t="s">
        <v>695</v>
      </c>
      <c r="D48" s="4" t="s">
        <v>953</v>
      </c>
      <c r="E48" s="5">
        <v>17000</v>
      </c>
      <c r="F48" s="6">
        <v>711.36500000000001</v>
      </c>
      <c r="G48" s="7">
        <v>7.3591500000000001E-3</v>
      </c>
      <c r="H48" s="105"/>
    </row>
    <row r="49" spans="1:8" ht="29.1" customHeight="1" x14ac:dyDescent="0.2">
      <c r="A49" s="3">
        <v>43</v>
      </c>
      <c r="B49" s="4" t="s">
        <v>486</v>
      </c>
      <c r="C49" s="4" t="s">
        <v>487</v>
      </c>
      <c r="D49" s="4" t="s">
        <v>488</v>
      </c>
      <c r="E49" s="5">
        <v>92000</v>
      </c>
      <c r="F49" s="6">
        <v>702.74199999999996</v>
      </c>
      <c r="G49" s="7">
        <v>7.2699399999999999E-3</v>
      </c>
      <c r="H49" s="105"/>
    </row>
    <row r="50" spans="1:8" ht="17.100000000000001" customHeight="1" x14ac:dyDescent="0.2">
      <c r="A50" s="3">
        <v>44</v>
      </c>
      <c r="B50" s="4" t="s">
        <v>85</v>
      </c>
      <c r="C50" s="4" t="s">
        <v>86</v>
      </c>
      <c r="D50" s="4" t="s">
        <v>81</v>
      </c>
      <c r="E50" s="5">
        <v>144388</v>
      </c>
      <c r="F50" s="6">
        <v>693.06240000000003</v>
      </c>
      <c r="G50" s="7">
        <v>7.1697999999999996E-3</v>
      </c>
      <c r="H50" s="105"/>
    </row>
    <row r="51" spans="1:8" ht="17.100000000000001" customHeight="1" x14ac:dyDescent="0.2">
      <c r="A51" s="3">
        <v>45</v>
      </c>
      <c r="B51" s="4" t="s">
        <v>343</v>
      </c>
      <c r="C51" s="4" t="s">
        <v>344</v>
      </c>
      <c r="D51" s="4" t="s">
        <v>1020</v>
      </c>
      <c r="E51" s="5">
        <v>159000</v>
      </c>
      <c r="F51" s="6">
        <v>676.62450000000001</v>
      </c>
      <c r="G51" s="7">
        <v>6.9997499999999999E-3</v>
      </c>
      <c r="H51" s="105"/>
    </row>
    <row r="52" spans="1:8" ht="17.100000000000001" customHeight="1" x14ac:dyDescent="0.2">
      <c r="A52" s="3">
        <v>46</v>
      </c>
      <c r="B52" s="4" t="s">
        <v>79</v>
      </c>
      <c r="C52" s="4" t="s">
        <v>80</v>
      </c>
      <c r="D52" s="4" t="s">
        <v>81</v>
      </c>
      <c r="E52" s="5">
        <v>24000</v>
      </c>
      <c r="F52" s="6">
        <v>665.91600000000005</v>
      </c>
      <c r="G52" s="7">
        <v>6.8889700000000003E-3</v>
      </c>
      <c r="H52" s="105"/>
    </row>
    <row r="53" spans="1:8" ht="17.100000000000001" customHeight="1" x14ac:dyDescent="0.2">
      <c r="A53" s="3">
        <v>47</v>
      </c>
      <c r="B53" s="4" t="s">
        <v>218</v>
      </c>
      <c r="C53" s="4" t="s">
        <v>219</v>
      </c>
      <c r="D53" s="4" t="s">
        <v>220</v>
      </c>
      <c r="E53" s="5">
        <v>45000</v>
      </c>
      <c r="F53" s="6">
        <v>665.77499999999998</v>
      </c>
      <c r="G53" s="7">
        <v>6.8875100000000003E-3</v>
      </c>
      <c r="H53" s="105"/>
    </row>
    <row r="54" spans="1:8" ht="17.100000000000001" customHeight="1" x14ac:dyDescent="0.2">
      <c r="A54" s="3">
        <v>48</v>
      </c>
      <c r="B54" s="4" t="s">
        <v>493</v>
      </c>
      <c r="C54" s="4" t="s">
        <v>494</v>
      </c>
      <c r="D54" s="4" t="s">
        <v>953</v>
      </c>
      <c r="E54" s="5">
        <v>161000</v>
      </c>
      <c r="F54" s="6">
        <v>619.85</v>
      </c>
      <c r="G54" s="7">
        <v>6.4124100000000003E-3</v>
      </c>
      <c r="H54" s="105"/>
    </row>
    <row r="55" spans="1:8" ht="17.100000000000001" customHeight="1" x14ac:dyDescent="0.2">
      <c r="A55" s="3">
        <v>49</v>
      </c>
      <c r="B55" s="4" t="s">
        <v>97</v>
      </c>
      <c r="C55" s="4" t="s">
        <v>98</v>
      </c>
      <c r="D55" s="4" t="s">
        <v>91</v>
      </c>
      <c r="E55" s="5">
        <v>66000</v>
      </c>
      <c r="F55" s="6">
        <v>603.96600000000001</v>
      </c>
      <c r="G55" s="7">
        <v>6.2480900000000004E-3</v>
      </c>
      <c r="H55" s="105"/>
    </row>
    <row r="56" spans="1:8" ht="29.1" customHeight="1" x14ac:dyDescent="0.2">
      <c r="A56" s="3">
        <v>50</v>
      </c>
      <c r="B56" s="4" t="s">
        <v>280</v>
      </c>
      <c r="C56" s="4" t="s">
        <v>281</v>
      </c>
      <c r="D56" s="4" t="s">
        <v>212</v>
      </c>
      <c r="E56" s="5">
        <v>79880</v>
      </c>
      <c r="F56" s="6">
        <v>567.26782000000003</v>
      </c>
      <c r="G56" s="7">
        <v>5.8684499999999999E-3</v>
      </c>
      <c r="H56" s="105"/>
    </row>
    <row r="57" spans="1:8" ht="17.100000000000001" customHeight="1" x14ac:dyDescent="0.2">
      <c r="A57" s="3">
        <v>51</v>
      </c>
      <c r="B57" s="4" t="s">
        <v>535</v>
      </c>
      <c r="C57" s="4" t="s">
        <v>536</v>
      </c>
      <c r="D57" s="4" t="s">
        <v>953</v>
      </c>
      <c r="E57" s="5">
        <v>50504</v>
      </c>
      <c r="F57" s="6">
        <v>554.63492799999995</v>
      </c>
      <c r="G57" s="7">
        <v>5.7377599999999997E-3</v>
      </c>
      <c r="H57" s="105"/>
    </row>
    <row r="58" spans="1:8" ht="17.100000000000001" customHeight="1" x14ac:dyDescent="0.2">
      <c r="A58" s="3">
        <v>52</v>
      </c>
      <c r="B58" s="4" t="s">
        <v>809</v>
      </c>
      <c r="C58" s="4" t="s">
        <v>810</v>
      </c>
      <c r="D58" s="4" t="s">
        <v>253</v>
      </c>
      <c r="E58" s="5">
        <v>35000</v>
      </c>
      <c r="F58" s="6">
        <v>543.48</v>
      </c>
      <c r="G58" s="7">
        <v>5.6223599999999999E-3</v>
      </c>
      <c r="H58" s="105"/>
    </row>
    <row r="59" spans="1:8" ht="17.100000000000001" customHeight="1" x14ac:dyDescent="0.2">
      <c r="A59" s="3">
        <v>53</v>
      </c>
      <c r="B59" s="4" t="s">
        <v>200</v>
      </c>
      <c r="C59" s="4" t="s">
        <v>201</v>
      </c>
      <c r="D59" s="4" t="s">
        <v>202</v>
      </c>
      <c r="E59" s="5">
        <v>200000</v>
      </c>
      <c r="F59" s="6">
        <v>521.6</v>
      </c>
      <c r="G59" s="7">
        <v>5.3960099999999997E-3</v>
      </c>
      <c r="H59" s="105"/>
    </row>
    <row r="60" spans="1:8" ht="17.100000000000001" customHeight="1" x14ac:dyDescent="0.2">
      <c r="A60" s="3">
        <v>54</v>
      </c>
      <c r="B60" s="4" t="s">
        <v>558</v>
      </c>
      <c r="C60" s="4" t="s">
        <v>559</v>
      </c>
      <c r="D60" s="4" t="s">
        <v>253</v>
      </c>
      <c r="E60" s="5">
        <v>11000</v>
      </c>
      <c r="F60" s="6">
        <v>500.89049999999997</v>
      </c>
      <c r="G60" s="7">
        <v>5.1817699999999996E-3</v>
      </c>
      <c r="H60" s="105"/>
    </row>
    <row r="61" spans="1:8" ht="17.100000000000001" customHeight="1" x14ac:dyDescent="0.2">
      <c r="A61" s="3">
        <v>55</v>
      </c>
      <c r="B61" s="4" t="s">
        <v>371</v>
      </c>
      <c r="C61" s="4" t="s">
        <v>372</v>
      </c>
      <c r="D61" s="4" t="s">
        <v>121</v>
      </c>
      <c r="E61" s="5">
        <v>17000</v>
      </c>
      <c r="F61" s="6">
        <v>493.39949999999999</v>
      </c>
      <c r="G61" s="7">
        <v>5.1042700000000002E-3</v>
      </c>
      <c r="H61" s="105"/>
    </row>
    <row r="62" spans="1:8" ht="29.1" customHeight="1" x14ac:dyDescent="0.2">
      <c r="A62" s="3">
        <v>56</v>
      </c>
      <c r="B62" s="4" t="s">
        <v>345</v>
      </c>
      <c r="C62" s="4" t="s">
        <v>346</v>
      </c>
      <c r="D62" s="4" t="s">
        <v>212</v>
      </c>
      <c r="E62" s="5">
        <v>14839</v>
      </c>
      <c r="F62" s="6">
        <v>484.92368099999999</v>
      </c>
      <c r="G62" s="7">
        <v>5.0165899999999996E-3</v>
      </c>
      <c r="H62" s="105"/>
    </row>
    <row r="63" spans="1:8" ht="17.100000000000001" customHeight="1" x14ac:dyDescent="0.2">
      <c r="A63" s="3">
        <v>57</v>
      </c>
      <c r="B63" s="4" t="s">
        <v>314</v>
      </c>
      <c r="C63" s="4" t="s">
        <v>315</v>
      </c>
      <c r="D63" s="4" t="s">
        <v>223</v>
      </c>
      <c r="E63" s="5">
        <v>34000</v>
      </c>
      <c r="F63" s="6">
        <v>406.589</v>
      </c>
      <c r="G63" s="7">
        <v>4.2062100000000002E-3</v>
      </c>
      <c r="H63" s="105"/>
    </row>
    <row r="64" spans="1:8" ht="17.100000000000001" customHeight="1" x14ac:dyDescent="0.2">
      <c r="A64" s="3">
        <v>58</v>
      </c>
      <c r="B64" s="4" t="s">
        <v>550</v>
      </c>
      <c r="C64" s="4" t="s">
        <v>551</v>
      </c>
      <c r="D64" s="4" t="s">
        <v>220</v>
      </c>
      <c r="E64" s="5">
        <v>52000</v>
      </c>
      <c r="F64" s="6">
        <v>404.11799999999999</v>
      </c>
      <c r="G64" s="7">
        <v>4.1806400000000002E-3</v>
      </c>
      <c r="H64" s="105"/>
    </row>
    <row r="65" spans="1:8" ht="29.1" customHeight="1" x14ac:dyDescent="0.2">
      <c r="A65" s="3">
        <v>59</v>
      </c>
      <c r="B65" s="4" t="s">
        <v>491</v>
      </c>
      <c r="C65" s="4" t="s">
        <v>492</v>
      </c>
      <c r="D65" s="4" t="s">
        <v>212</v>
      </c>
      <c r="E65" s="5">
        <v>37000</v>
      </c>
      <c r="F65" s="6">
        <v>335.9785</v>
      </c>
      <c r="G65" s="7">
        <v>3.4757299999999998E-3</v>
      </c>
      <c r="H65" s="105"/>
    </row>
    <row r="66" spans="1:8" ht="17.100000000000001" customHeight="1" x14ac:dyDescent="0.2">
      <c r="A66" s="3">
        <v>60</v>
      </c>
      <c r="B66" s="4" t="s">
        <v>365</v>
      </c>
      <c r="C66" s="4" t="s">
        <v>366</v>
      </c>
      <c r="D66" s="4" t="s">
        <v>121</v>
      </c>
      <c r="E66" s="5">
        <v>10000</v>
      </c>
      <c r="F66" s="6">
        <v>291.52999999999997</v>
      </c>
      <c r="G66" s="7">
        <v>3.0159100000000001E-3</v>
      </c>
      <c r="H66" s="105"/>
    </row>
    <row r="67" spans="1:8" ht="17.100000000000001" customHeight="1" x14ac:dyDescent="0.2">
      <c r="A67" s="3">
        <v>61</v>
      </c>
      <c r="B67" s="4" t="s">
        <v>738</v>
      </c>
      <c r="C67" s="4" t="s">
        <v>739</v>
      </c>
      <c r="D67" s="4" t="s">
        <v>195</v>
      </c>
      <c r="E67" s="5">
        <v>370890</v>
      </c>
      <c r="F67" s="6">
        <v>240.70760999999999</v>
      </c>
      <c r="G67" s="7">
        <v>2.49015E-3</v>
      </c>
      <c r="H67" s="105"/>
    </row>
    <row r="68" spans="1:8" ht="17.100000000000001" customHeight="1" x14ac:dyDescent="0.2">
      <c r="A68" s="3">
        <v>62</v>
      </c>
      <c r="B68" s="4" t="s">
        <v>239</v>
      </c>
      <c r="C68" s="4" t="s">
        <v>240</v>
      </c>
      <c r="D68" s="4" t="s">
        <v>121</v>
      </c>
      <c r="E68" s="5">
        <v>24000</v>
      </c>
      <c r="F68" s="6">
        <v>191.77199999999999</v>
      </c>
      <c r="G68" s="7">
        <v>1.9838999999999998E-3</v>
      </c>
      <c r="H68" s="105"/>
    </row>
    <row r="69" spans="1:8" ht="17.100000000000001" customHeight="1" x14ac:dyDescent="0.2">
      <c r="A69" s="3">
        <v>63</v>
      </c>
      <c r="B69" s="4" t="s">
        <v>126</v>
      </c>
      <c r="C69" s="4" t="s">
        <v>127</v>
      </c>
      <c r="D69" s="4" t="s">
        <v>128</v>
      </c>
      <c r="E69" s="5">
        <v>53908</v>
      </c>
      <c r="F69" s="6">
        <v>111.293066</v>
      </c>
      <c r="G69" s="7">
        <v>1.15134E-3</v>
      </c>
      <c r="H69" s="105"/>
    </row>
    <row r="70" spans="1:8" ht="14.1" customHeight="1" x14ac:dyDescent="0.2">
      <c r="A70" s="1"/>
      <c r="B70" s="1"/>
      <c r="C70" s="2" t="s">
        <v>132</v>
      </c>
      <c r="D70" s="1"/>
      <c r="E70" s="1" t="s">
        <v>133</v>
      </c>
      <c r="F70" s="9">
        <v>89646.091564000002</v>
      </c>
      <c r="G70" s="10">
        <v>0.92739839000000013</v>
      </c>
      <c r="H70" s="105"/>
    </row>
    <row r="71" spans="1:8" ht="14.1" customHeight="1" x14ac:dyDescent="0.2">
      <c r="A71" s="1"/>
      <c r="B71" s="1"/>
      <c r="C71" s="11"/>
      <c r="D71" s="1"/>
      <c r="E71" s="1"/>
      <c r="F71" s="12"/>
      <c r="G71" s="12"/>
      <c r="H71" s="105"/>
    </row>
    <row r="72" spans="1:8" ht="14.1" customHeight="1" x14ac:dyDescent="0.2">
      <c r="A72" s="1"/>
      <c r="B72" s="1"/>
      <c r="C72" s="2" t="s">
        <v>134</v>
      </c>
      <c r="D72" s="1"/>
      <c r="E72" s="1"/>
      <c r="F72" s="1"/>
      <c r="G72" s="1"/>
      <c r="H72" s="105"/>
    </row>
    <row r="73" spans="1:8" ht="14.1" customHeight="1" x14ac:dyDescent="0.2">
      <c r="A73" s="1"/>
      <c r="B73" s="1"/>
      <c r="C73" s="2" t="s">
        <v>132</v>
      </c>
      <c r="D73" s="1"/>
      <c r="E73" s="1" t="s">
        <v>133</v>
      </c>
      <c r="F73" s="13" t="s">
        <v>135</v>
      </c>
      <c r="G73" s="10">
        <v>0</v>
      </c>
      <c r="H73" s="105"/>
    </row>
    <row r="74" spans="1:8" ht="14.1" customHeight="1" x14ac:dyDescent="0.2">
      <c r="A74" s="1"/>
      <c r="B74" s="1"/>
      <c r="C74" s="11"/>
      <c r="D74" s="1"/>
      <c r="E74" s="1"/>
      <c r="F74" s="12"/>
      <c r="G74" s="12"/>
      <c r="H74" s="105"/>
    </row>
    <row r="75" spans="1:8" ht="14.1" customHeight="1" x14ac:dyDescent="0.2">
      <c r="A75" s="1"/>
      <c r="B75" s="1"/>
      <c r="C75" s="2" t="s">
        <v>136</v>
      </c>
      <c r="D75" s="1"/>
      <c r="E75" s="1"/>
      <c r="F75" s="1"/>
      <c r="G75" s="1"/>
      <c r="H75" s="105"/>
    </row>
    <row r="76" spans="1:8" ht="17.100000000000001" customHeight="1" x14ac:dyDescent="0.2">
      <c r="A76" s="3">
        <v>1</v>
      </c>
      <c r="B76" s="4" t="s">
        <v>562</v>
      </c>
      <c r="C76" s="40" t="s">
        <v>942</v>
      </c>
      <c r="D76" s="4" t="s">
        <v>223</v>
      </c>
      <c r="E76" s="5">
        <v>374002</v>
      </c>
      <c r="F76" s="6">
        <v>18.700099999999999</v>
      </c>
      <c r="G76" s="7">
        <v>1.9346000000000001E-4</v>
      </c>
      <c r="H76" s="105"/>
    </row>
    <row r="77" spans="1:8" ht="17.100000000000001" customHeight="1" x14ac:dyDescent="0.2">
      <c r="A77" s="3">
        <v>2</v>
      </c>
      <c r="B77" s="4" t="s">
        <v>734</v>
      </c>
      <c r="C77" s="40" t="s">
        <v>947</v>
      </c>
      <c r="D77" s="4"/>
      <c r="E77" s="5">
        <v>200000</v>
      </c>
      <c r="F77" s="6">
        <v>1.9999999999999999E-6</v>
      </c>
      <c r="G77" s="8" t="s">
        <v>131</v>
      </c>
      <c r="H77" s="105"/>
    </row>
    <row r="78" spans="1:8" ht="14.1" customHeight="1" x14ac:dyDescent="0.2">
      <c r="A78" s="1"/>
      <c r="B78" s="1"/>
      <c r="C78" s="2" t="s">
        <v>132</v>
      </c>
      <c r="D78" s="1"/>
      <c r="E78" s="1" t="s">
        <v>133</v>
      </c>
      <c r="F78" s="9">
        <v>18.700101999999998</v>
      </c>
      <c r="G78" s="10">
        <v>1.9346000000000001E-4</v>
      </c>
      <c r="H78" s="105"/>
    </row>
    <row r="79" spans="1:8" ht="14.1" customHeight="1" x14ac:dyDescent="0.2">
      <c r="A79" s="1"/>
      <c r="B79" s="1"/>
      <c r="C79" s="11"/>
      <c r="D79" s="1"/>
      <c r="E79" s="1"/>
      <c r="F79" s="12"/>
      <c r="G79" s="12"/>
      <c r="H79" s="105"/>
    </row>
    <row r="80" spans="1:8" ht="14.1" customHeight="1" x14ac:dyDescent="0.2">
      <c r="A80" s="1"/>
      <c r="B80" s="1"/>
      <c r="C80" s="2" t="s">
        <v>137</v>
      </c>
      <c r="D80" s="1"/>
      <c r="E80" s="1"/>
      <c r="F80" s="1"/>
      <c r="G80" s="1"/>
      <c r="H80" s="105"/>
    </row>
    <row r="81" spans="1:8" ht="14.1" customHeight="1" x14ac:dyDescent="0.2">
      <c r="A81" s="1"/>
      <c r="B81" s="1"/>
      <c r="C81" s="2" t="s">
        <v>132</v>
      </c>
      <c r="D81" s="1"/>
      <c r="E81" s="1" t="s">
        <v>133</v>
      </c>
      <c r="F81" s="9">
        <v>0</v>
      </c>
      <c r="G81" s="10">
        <v>0</v>
      </c>
      <c r="H81" s="105"/>
    </row>
    <row r="82" spans="1:8" ht="14.1" customHeight="1" x14ac:dyDescent="0.2">
      <c r="A82" s="1"/>
      <c r="B82" s="1"/>
      <c r="C82" s="11"/>
      <c r="D82" s="1"/>
      <c r="E82" s="1"/>
      <c r="F82" s="12"/>
      <c r="G82" s="12"/>
      <c r="H82" s="105"/>
    </row>
    <row r="83" spans="1:8" ht="14.1" customHeight="1" x14ac:dyDescent="0.2">
      <c r="A83" s="1"/>
      <c r="B83" s="1"/>
      <c r="C83" s="2" t="s">
        <v>138</v>
      </c>
      <c r="D83" s="1"/>
      <c r="E83" s="1"/>
      <c r="F83" s="12"/>
      <c r="G83" s="12"/>
      <c r="H83" s="105"/>
    </row>
    <row r="84" spans="1:8" ht="14.1" customHeight="1" x14ac:dyDescent="0.2">
      <c r="A84" s="1"/>
      <c r="B84" s="1"/>
      <c r="C84" s="2" t="s">
        <v>132</v>
      </c>
      <c r="D84" s="1"/>
      <c r="E84" s="1" t="s">
        <v>133</v>
      </c>
      <c r="F84" s="13" t="s">
        <v>135</v>
      </c>
      <c r="G84" s="10">
        <v>0</v>
      </c>
      <c r="H84" s="105"/>
    </row>
    <row r="85" spans="1:8" ht="14.1" customHeight="1" x14ac:dyDescent="0.2">
      <c r="A85" s="1"/>
      <c r="B85" s="1"/>
      <c r="C85" s="11"/>
      <c r="D85" s="1"/>
      <c r="E85" s="1"/>
      <c r="F85" s="12"/>
      <c r="G85" s="12"/>
      <c r="H85" s="105"/>
    </row>
    <row r="86" spans="1:8" ht="14.1" customHeight="1" x14ac:dyDescent="0.2">
      <c r="A86" s="1"/>
      <c r="B86" s="1"/>
      <c r="C86" s="2" t="s">
        <v>139</v>
      </c>
      <c r="D86" s="1"/>
      <c r="E86" s="1"/>
      <c r="F86" s="12"/>
      <c r="G86" s="12"/>
      <c r="H86" s="105"/>
    </row>
    <row r="87" spans="1:8" ht="14.1" customHeight="1" x14ac:dyDescent="0.2">
      <c r="A87" s="1"/>
      <c r="B87" s="1"/>
      <c r="C87" s="2" t="s">
        <v>132</v>
      </c>
      <c r="D87" s="1"/>
      <c r="E87" s="1" t="s">
        <v>133</v>
      </c>
      <c r="F87" s="13" t="s">
        <v>135</v>
      </c>
      <c r="G87" s="10">
        <v>0</v>
      </c>
      <c r="H87" s="105"/>
    </row>
    <row r="88" spans="1:8" ht="14.1" customHeight="1" x14ac:dyDescent="0.2">
      <c r="A88" s="1"/>
      <c r="B88" s="1"/>
      <c r="C88" s="11"/>
      <c r="D88" s="1"/>
      <c r="E88" s="1"/>
      <c r="F88" s="12"/>
      <c r="G88" s="12"/>
      <c r="H88" s="105"/>
    </row>
    <row r="89" spans="1:8" ht="18" customHeight="1" x14ac:dyDescent="0.2">
      <c r="A89" s="1"/>
      <c r="B89" s="1"/>
      <c r="C89" s="2" t="s">
        <v>140</v>
      </c>
      <c r="D89" s="1"/>
      <c r="E89" s="1"/>
      <c r="F89" s="9">
        <v>89664.791666000005</v>
      </c>
      <c r="G89" s="10">
        <v>0.92759185</v>
      </c>
      <c r="H89" s="105"/>
    </row>
    <row r="90" spans="1:8" ht="14.1" customHeight="1" x14ac:dyDescent="0.2">
      <c r="A90" s="1"/>
      <c r="B90" s="1"/>
      <c r="C90" s="11"/>
      <c r="D90" s="1"/>
      <c r="E90" s="1"/>
      <c r="F90" s="12"/>
      <c r="G90" s="12"/>
      <c r="H90" s="105"/>
    </row>
    <row r="91" spans="1:8" ht="14.1" customHeight="1" x14ac:dyDescent="0.2">
      <c r="A91" s="1"/>
      <c r="B91" s="1"/>
      <c r="C91" s="2" t="s">
        <v>141</v>
      </c>
      <c r="D91" s="1"/>
      <c r="E91" s="1"/>
      <c r="F91" s="12"/>
      <c r="G91" s="12"/>
      <c r="H91" s="105"/>
    </row>
    <row r="92" spans="1:8" ht="24" customHeight="1" x14ac:dyDescent="0.2">
      <c r="A92" s="1"/>
      <c r="B92" s="1"/>
      <c r="C92" s="2" t="s">
        <v>10</v>
      </c>
      <c r="D92" s="1"/>
      <c r="E92" s="1"/>
      <c r="F92" s="12"/>
      <c r="G92" s="12"/>
      <c r="H92" s="105"/>
    </row>
    <row r="93" spans="1:8" ht="14.1" customHeight="1" x14ac:dyDescent="0.2">
      <c r="A93" s="1"/>
      <c r="B93" s="1"/>
      <c r="C93" s="2" t="s">
        <v>132</v>
      </c>
      <c r="D93" s="1"/>
      <c r="E93" s="1" t="s">
        <v>133</v>
      </c>
      <c r="F93" s="13" t="s">
        <v>135</v>
      </c>
      <c r="G93" s="10">
        <v>0</v>
      </c>
      <c r="H93" s="105"/>
    </row>
    <row r="94" spans="1:8" ht="14.1" customHeight="1" x14ac:dyDescent="0.2">
      <c r="A94" s="1"/>
      <c r="B94" s="1"/>
      <c r="C94" s="11"/>
      <c r="D94" s="1"/>
      <c r="E94" s="1"/>
      <c r="F94" s="12"/>
      <c r="G94" s="12"/>
      <c r="H94" s="105"/>
    </row>
    <row r="95" spans="1:8" ht="14.1" customHeight="1" x14ac:dyDescent="0.2">
      <c r="A95" s="1"/>
      <c r="B95" s="1"/>
      <c r="C95" s="2" t="s">
        <v>142</v>
      </c>
      <c r="D95" s="1"/>
      <c r="E95" s="1"/>
      <c r="F95" s="1"/>
      <c r="G95" s="1"/>
      <c r="H95" s="105"/>
    </row>
    <row r="96" spans="1:8" ht="14.1" customHeight="1" x14ac:dyDescent="0.2">
      <c r="A96" s="1"/>
      <c r="B96" s="1"/>
      <c r="C96" s="2" t="s">
        <v>132</v>
      </c>
      <c r="D96" s="1"/>
      <c r="E96" s="1" t="s">
        <v>133</v>
      </c>
      <c r="F96" s="13" t="s">
        <v>135</v>
      </c>
      <c r="G96" s="10">
        <v>0</v>
      </c>
      <c r="H96" s="105"/>
    </row>
    <row r="97" spans="1:8" ht="14.1" customHeight="1" x14ac:dyDescent="0.2">
      <c r="A97" s="1"/>
      <c r="B97" s="1"/>
      <c r="C97" s="11"/>
      <c r="D97" s="1"/>
      <c r="E97" s="1"/>
      <c r="F97" s="12"/>
      <c r="G97" s="12"/>
      <c r="H97" s="105"/>
    </row>
    <row r="98" spans="1:8" ht="14.1" customHeight="1" x14ac:dyDescent="0.2">
      <c r="A98" s="1"/>
      <c r="B98" s="1"/>
      <c r="C98" s="2" t="s">
        <v>143</v>
      </c>
      <c r="D98" s="1"/>
      <c r="E98" s="1"/>
      <c r="F98" s="1"/>
      <c r="G98" s="1"/>
      <c r="H98" s="105"/>
    </row>
    <row r="99" spans="1:8" ht="14.1" customHeight="1" x14ac:dyDescent="0.2">
      <c r="A99" s="1"/>
      <c r="B99" s="1"/>
      <c r="C99" s="2" t="s">
        <v>132</v>
      </c>
      <c r="D99" s="1"/>
      <c r="E99" s="1" t="s">
        <v>133</v>
      </c>
      <c r="F99" s="13" t="s">
        <v>135</v>
      </c>
      <c r="G99" s="10">
        <v>0</v>
      </c>
      <c r="H99" s="105"/>
    </row>
    <row r="100" spans="1:8" ht="14.1" customHeight="1" x14ac:dyDescent="0.2">
      <c r="A100" s="1"/>
      <c r="B100" s="1"/>
      <c r="C100" s="11"/>
      <c r="D100" s="1"/>
      <c r="E100" s="1"/>
      <c r="F100" s="12"/>
      <c r="G100" s="12"/>
      <c r="H100" s="105"/>
    </row>
    <row r="101" spans="1:8" ht="14.1" customHeight="1" x14ac:dyDescent="0.2">
      <c r="A101" s="1"/>
      <c r="B101" s="1"/>
      <c r="C101" s="2" t="s">
        <v>144</v>
      </c>
      <c r="D101" s="1"/>
      <c r="E101" s="1"/>
      <c r="F101" s="12"/>
      <c r="G101" s="12"/>
      <c r="H101" s="105"/>
    </row>
    <row r="102" spans="1:8" ht="14.1" customHeight="1" x14ac:dyDescent="0.2">
      <c r="A102" s="1"/>
      <c r="B102" s="1"/>
      <c r="C102" s="2" t="s">
        <v>132</v>
      </c>
      <c r="D102" s="1"/>
      <c r="E102" s="1" t="s">
        <v>133</v>
      </c>
      <c r="F102" s="13" t="s">
        <v>135</v>
      </c>
      <c r="G102" s="10">
        <v>0</v>
      </c>
      <c r="H102" s="105"/>
    </row>
    <row r="103" spans="1:8" ht="14.1" customHeight="1" x14ac:dyDescent="0.2">
      <c r="A103" s="1"/>
      <c r="B103" s="1"/>
      <c r="C103" s="11"/>
      <c r="D103" s="1"/>
      <c r="E103" s="1"/>
      <c r="F103" s="12"/>
      <c r="G103" s="12"/>
      <c r="H103" s="105"/>
    </row>
    <row r="104" spans="1:8" ht="14.1" customHeight="1" x14ac:dyDescent="0.2">
      <c r="A104" s="1"/>
      <c r="B104" s="1"/>
      <c r="C104" s="2" t="s">
        <v>145</v>
      </c>
      <c r="D104" s="1"/>
      <c r="E104" s="1"/>
      <c r="F104" s="9">
        <v>0</v>
      </c>
      <c r="G104" s="10">
        <v>0</v>
      </c>
      <c r="H104" s="105"/>
    </row>
    <row r="105" spans="1:8" ht="14.1" customHeight="1" x14ac:dyDescent="0.2">
      <c r="A105" s="1"/>
      <c r="B105" s="1"/>
      <c r="C105" s="11"/>
      <c r="D105" s="1"/>
      <c r="E105" s="1"/>
      <c r="F105" s="12"/>
      <c r="G105" s="12"/>
      <c r="H105" s="105"/>
    </row>
    <row r="106" spans="1:8" ht="14.1" customHeight="1" x14ac:dyDescent="0.2">
      <c r="A106" s="1"/>
      <c r="B106" s="1"/>
      <c r="C106" s="2" t="s">
        <v>146</v>
      </c>
      <c r="D106" s="1"/>
      <c r="E106" s="1"/>
      <c r="F106" s="12"/>
      <c r="G106" s="12"/>
      <c r="H106" s="105"/>
    </row>
    <row r="107" spans="1:8" ht="14.1" customHeight="1" x14ac:dyDescent="0.2">
      <c r="A107" s="1"/>
      <c r="B107" s="1"/>
      <c r="C107" s="2" t="s">
        <v>147</v>
      </c>
      <c r="D107" s="1"/>
      <c r="E107" s="1"/>
      <c r="F107" s="12"/>
      <c r="G107" s="12"/>
      <c r="H107" s="105"/>
    </row>
    <row r="108" spans="1:8" ht="14.1" customHeight="1" x14ac:dyDescent="0.2">
      <c r="A108" s="1"/>
      <c r="B108" s="1"/>
      <c r="C108" s="2" t="s">
        <v>132</v>
      </c>
      <c r="D108" s="1"/>
      <c r="E108" s="1" t="s">
        <v>133</v>
      </c>
      <c r="F108" s="13" t="s">
        <v>135</v>
      </c>
      <c r="G108" s="10">
        <v>0</v>
      </c>
      <c r="H108" s="105"/>
    </row>
    <row r="109" spans="1:8" ht="14.1" customHeight="1" x14ac:dyDescent="0.2">
      <c r="A109" s="1"/>
      <c r="B109" s="1"/>
      <c r="C109" s="11"/>
      <c r="D109" s="1"/>
      <c r="E109" s="1"/>
      <c r="F109" s="12"/>
      <c r="G109" s="12"/>
      <c r="H109" s="105"/>
    </row>
    <row r="110" spans="1:8" ht="14.1" customHeight="1" x14ac:dyDescent="0.2">
      <c r="A110" s="1"/>
      <c r="B110" s="1"/>
      <c r="C110" s="2" t="s">
        <v>148</v>
      </c>
      <c r="D110" s="1"/>
      <c r="E110" s="1"/>
      <c r="F110" s="12"/>
      <c r="G110" s="12"/>
      <c r="H110" s="105"/>
    </row>
    <row r="111" spans="1:8" ht="14.1" customHeight="1" x14ac:dyDescent="0.2">
      <c r="A111" s="1"/>
      <c r="B111" s="1"/>
      <c r="C111" s="2" t="s">
        <v>132</v>
      </c>
      <c r="D111" s="1"/>
      <c r="E111" s="1" t="s">
        <v>133</v>
      </c>
      <c r="F111" s="13" t="s">
        <v>135</v>
      </c>
      <c r="G111" s="10">
        <v>0</v>
      </c>
      <c r="H111" s="105"/>
    </row>
    <row r="112" spans="1:8" ht="14.1" customHeight="1" x14ac:dyDescent="0.2">
      <c r="A112" s="1"/>
      <c r="B112" s="1"/>
      <c r="C112" s="11"/>
      <c r="D112" s="1"/>
      <c r="E112" s="1"/>
      <c r="F112" s="12"/>
      <c r="G112" s="12"/>
      <c r="H112" s="105"/>
    </row>
    <row r="113" spans="1:8" ht="14.1" customHeight="1" x14ac:dyDescent="0.2">
      <c r="A113" s="1"/>
      <c r="B113" s="1"/>
      <c r="C113" s="2" t="s">
        <v>149</v>
      </c>
      <c r="D113" s="1"/>
      <c r="E113" s="1"/>
      <c r="F113" s="12"/>
      <c r="G113" s="12"/>
      <c r="H113" s="105"/>
    </row>
    <row r="114" spans="1:8" ht="14.1" customHeight="1" x14ac:dyDescent="0.2">
      <c r="A114" s="1"/>
      <c r="B114" s="1"/>
      <c r="C114" s="2" t="s">
        <v>132</v>
      </c>
      <c r="D114" s="1"/>
      <c r="E114" s="1" t="s">
        <v>133</v>
      </c>
      <c r="F114" s="13" t="s">
        <v>135</v>
      </c>
      <c r="G114" s="10">
        <v>0</v>
      </c>
      <c r="H114" s="105"/>
    </row>
    <row r="115" spans="1:8" ht="14.1" customHeight="1" x14ac:dyDescent="0.2">
      <c r="A115" s="1"/>
      <c r="B115" s="1"/>
      <c r="C115" s="11"/>
      <c r="D115" s="1"/>
      <c r="E115" s="1"/>
      <c r="F115" s="12"/>
      <c r="G115" s="12"/>
      <c r="H115" s="105"/>
    </row>
    <row r="116" spans="1:8" ht="14.1" customHeight="1" x14ac:dyDescent="0.2">
      <c r="A116" s="1"/>
      <c r="B116" s="1"/>
      <c r="C116" s="2" t="s">
        <v>150</v>
      </c>
      <c r="D116" s="1"/>
      <c r="E116" s="1"/>
      <c r="F116" s="12"/>
      <c r="G116" s="12"/>
      <c r="H116" s="105"/>
    </row>
    <row r="117" spans="1:8" ht="17.100000000000001" customHeight="1" x14ac:dyDescent="0.2">
      <c r="A117" s="3">
        <v>1</v>
      </c>
      <c r="B117" s="4"/>
      <c r="C117" s="4" t="s">
        <v>151</v>
      </c>
      <c r="D117" s="4"/>
      <c r="E117" s="8"/>
      <c r="F117" s="6">
        <v>5848.9714402</v>
      </c>
      <c r="G117" s="7">
        <v>6.0508230000000003E-2</v>
      </c>
      <c r="H117" s="105">
        <v>6.8153352377542396</v>
      </c>
    </row>
    <row r="118" spans="1:8" ht="17.100000000000001" customHeight="1" x14ac:dyDescent="0.2">
      <c r="A118" s="3">
        <v>2</v>
      </c>
      <c r="B118" s="4"/>
      <c r="C118" s="4" t="s">
        <v>152</v>
      </c>
      <c r="D118" s="4"/>
      <c r="E118" s="8"/>
      <c r="F118" s="6">
        <v>694.07550140199999</v>
      </c>
      <c r="G118" s="7">
        <v>7.1802899999999998E-3</v>
      </c>
      <c r="H118" s="105">
        <v>6.7952403714590259</v>
      </c>
    </row>
    <row r="119" spans="1:8" ht="14.1" customHeight="1" x14ac:dyDescent="0.2">
      <c r="A119" s="1"/>
      <c r="B119" s="1"/>
      <c r="C119" s="2" t="s">
        <v>132</v>
      </c>
      <c r="D119" s="1"/>
      <c r="E119" s="1" t="s">
        <v>133</v>
      </c>
      <c r="F119" s="9">
        <v>6543.0469416019996</v>
      </c>
      <c r="G119" s="10">
        <v>6.7688520000000002E-2</v>
      </c>
      <c r="H119" s="105"/>
    </row>
    <row r="120" spans="1:8" ht="14.1" customHeight="1" x14ac:dyDescent="0.2">
      <c r="A120" s="1"/>
      <c r="B120" s="1"/>
      <c r="C120" s="11"/>
      <c r="D120" s="1"/>
      <c r="E120" s="1"/>
      <c r="F120" s="12"/>
      <c r="G120" s="12"/>
      <c r="H120" s="105"/>
    </row>
    <row r="121" spans="1:8" ht="14.1" customHeight="1" x14ac:dyDescent="0.2">
      <c r="A121" s="1"/>
      <c r="B121" s="1"/>
      <c r="C121" s="2" t="s">
        <v>153</v>
      </c>
      <c r="D121" s="1"/>
      <c r="E121" s="1"/>
      <c r="F121" s="9">
        <v>6543.0469416019996</v>
      </c>
      <c r="G121" s="10">
        <v>6.7688520000000002E-2</v>
      </c>
      <c r="H121" s="105"/>
    </row>
    <row r="122" spans="1:8" ht="14.1" customHeight="1" x14ac:dyDescent="0.2">
      <c r="A122" s="1"/>
      <c r="B122" s="1"/>
      <c r="C122" s="12"/>
      <c r="D122" s="1"/>
      <c r="E122" s="1"/>
      <c r="F122" s="1"/>
      <c r="G122" s="1"/>
      <c r="H122" s="105"/>
    </row>
    <row r="123" spans="1:8" ht="14.1" customHeight="1" x14ac:dyDescent="0.2">
      <c r="A123" s="1"/>
      <c r="B123" s="1"/>
      <c r="C123" s="2" t="s">
        <v>154</v>
      </c>
      <c r="D123" s="1"/>
      <c r="E123" s="1"/>
      <c r="F123" s="1"/>
      <c r="G123" s="1"/>
      <c r="H123" s="105"/>
    </row>
    <row r="124" spans="1:8" ht="14.1" customHeight="1" x14ac:dyDescent="0.2">
      <c r="A124" s="1"/>
      <c r="B124" s="1"/>
      <c r="C124" s="2" t="s">
        <v>155</v>
      </c>
      <c r="D124" s="1"/>
      <c r="E124" s="1"/>
      <c r="F124" s="1"/>
      <c r="G124" s="1"/>
      <c r="H124" s="105"/>
    </row>
    <row r="125" spans="1:8" ht="14.1" customHeight="1" x14ac:dyDescent="0.2">
      <c r="A125" s="1"/>
      <c r="B125" s="1"/>
      <c r="C125" s="2" t="s">
        <v>132</v>
      </c>
      <c r="D125" s="1"/>
      <c r="E125" s="1" t="s">
        <v>133</v>
      </c>
      <c r="F125" s="13" t="s">
        <v>135</v>
      </c>
      <c r="G125" s="10">
        <v>0</v>
      </c>
      <c r="H125" s="105"/>
    </row>
    <row r="126" spans="1:8" ht="14.1" customHeight="1" x14ac:dyDescent="0.2">
      <c r="A126" s="1"/>
      <c r="B126" s="1"/>
      <c r="C126" s="11"/>
      <c r="D126" s="1"/>
      <c r="E126" s="1"/>
      <c r="F126" s="12"/>
      <c r="G126" s="12"/>
      <c r="H126" s="105"/>
    </row>
    <row r="127" spans="1:8" ht="14.1" customHeight="1" x14ac:dyDescent="0.2">
      <c r="A127" s="1"/>
      <c r="B127" s="1"/>
      <c r="C127" s="2" t="s">
        <v>156</v>
      </c>
      <c r="D127" s="1"/>
      <c r="E127" s="1"/>
      <c r="F127" s="1"/>
      <c r="G127" s="1"/>
      <c r="H127" s="105"/>
    </row>
    <row r="128" spans="1:8" ht="14.1" customHeight="1" x14ac:dyDescent="0.2">
      <c r="A128" s="1"/>
      <c r="B128" s="1"/>
      <c r="C128" s="2" t="s">
        <v>157</v>
      </c>
      <c r="D128" s="1"/>
      <c r="E128" s="1"/>
      <c r="F128" s="1"/>
      <c r="G128" s="1"/>
      <c r="H128" s="105"/>
    </row>
    <row r="129" spans="1:8" ht="14.1" customHeight="1" x14ac:dyDescent="0.2">
      <c r="A129" s="1"/>
      <c r="B129" s="1"/>
      <c r="C129" s="2" t="s">
        <v>132</v>
      </c>
      <c r="D129" s="1"/>
      <c r="E129" s="1" t="s">
        <v>133</v>
      </c>
      <c r="F129" s="13" t="s">
        <v>135</v>
      </c>
      <c r="G129" s="10">
        <v>0</v>
      </c>
      <c r="H129" s="105"/>
    </row>
    <row r="130" spans="1:8" ht="14.1" customHeight="1" x14ac:dyDescent="0.2">
      <c r="A130" s="1"/>
      <c r="B130" s="1"/>
      <c r="C130" s="11"/>
      <c r="D130" s="1"/>
      <c r="E130" s="1"/>
      <c r="F130" s="12"/>
      <c r="G130" s="12"/>
      <c r="H130" s="105"/>
    </row>
    <row r="131" spans="1:8" ht="24" customHeight="1" x14ac:dyDescent="0.2">
      <c r="A131" s="1"/>
      <c r="B131" s="1"/>
      <c r="C131" s="2" t="s">
        <v>158</v>
      </c>
      <c r="D131" s="1"/>
      <c r="E131" s="1"/>
      <c r="F131" s="12"/>
      <c r="G131" s="12"/>
      <c r="H131" s="105"/>
    </row>
    <row r="132" spans="1:8" ht="14.1" customHeight="1" x14ac:dyDescent="0.2">
      <c r="A132" s="1"/>
      <c r="B132" s="1"/>
      <c r="C132" s="2" t="s">
        <v>132</v>
      </c>
      <c r="D132" s="1"/>
      <c r="E132" s="1" t="s">
        <v>133</v>
      </c>
      <c r="F132" s="13" t="s">
        <v>135</v>
      </c>
      <c r="G132" s="10">
        <v>0</v>
      </c>
      <c r="H132" s="105"/>
    </row>
    <row r="133" spans="1:8" ht="14.1" customHeight="1" x14ac:dyDescent="0.2">
      <c r="A133" s="1"/>
      <c r="B133" s="1"/>
      <c r="C133" s="11"/>
      <c r="D133" s="1"/>
      <c r="E133" s="1"/>
      <c r="F133" s="12"/>
      <c r="G133" s="12"/>
      <c r="H133" s="105"/>
    </row>
    <row r="134" spans="1:8" ht="14.1" customHeight="1" x14ac:dyDescent="0.2">
      <c r="A134" s="1"/>
      <c r="B134" s="4"/>
      <c r="C134" s="4"/>
      <c r="D134" s="2"/>
      <c r="E134" s="1"/>
      <c r="F134" s="4"/>
      <c r="G134" s="8"/>
      <c r="H134" s="105"/>
    </row>
    <row r="135" spans="1:8" ht="18" customHeight="1" x14ac:dyDescent="0.2">
      <c r="A135" s="8"/>
      <c r="B135" s="4"/>
      <c r="C135" s="4" t="s">
        <v>159</v>
      </c>
      <c r="D135" s="4"/>
      <c r="E135" s="8"/>
      <c r="F135" s="6">
        <v>456.21982126</v>
      </c>
      <c r="G135" s="7">
        <v>4.7196399999999998E-3</v>
      </c>
      <c r="H135" s="105"/>
    </row>
    <row r="136" spans="1:8" ht="14.1" customHeight="1" x14ac:dyDescent="0.2">
      <c r="A136" s="11"/>
      <c r="B136" s="11"/>
      <c r="C136" s="2" t="s">
        <v>160</v>
      </c>
      <c r="D136" s="12"/>
      <c r="E136" s="12"/>
      <c r="F136" s="9">
        <v>96664.058428862001</v>
      </c>
      <c r="G136" s="14">
        <v>1.0000000099999999</v>
      </c>
      <c r="H136" s="105"/>
    </row>
    <row r="137" spans="1:8" ht="14.1" customHeight="1" x14ac:dyDescent="0.2">
      <c r="A137" s="15"/>
      <c r="B137" s="15"/>
      <c r="C137" s="15"/>
      <c r="D137" s="16"/>
      <c r="E137" s="16"/>
      <c r="F137" s="16"/>
      <c r="G137" s="16"/>
    </row>
    <row r="138" spans="1:8" ht="17.100000000000001" customHeight="1" x14ac:dyDescent="0.2">
      <c r="A138" s="17"/>
      <c r="B138" s="178" t="s">
        <v>161</v>
      </c>
      <c r="C138" s="178"/>
      <c r="D138" s="178"/>
      <c r="E138" s="178"/>
      <c r="F138" s="178"/>
      <c r="G138" s="19"/>
    </row>
    <row r="139" spans="1:8" ht="14.1" customHeight="1" x14ac:dyDescent="0.2">
      <c r="A139" s="17"/>
      <c r="B139" s="17"/>
      <c r="C139" s="17"/>
      <c r="D139" s="19"/>
      <c r="E139" s="19"/>
      <c r="F139" s="19"/>
      <c r="G139" s="19"/>
    </row>
    <row r="140" spans="1:8" ht="14.1" customHeight="1" x14ac:dyDescent="0.2">
      <c r="A140" s="17"/>
      <c r="B140" s="179" t="s">
        <v>162</v>
      </c>
      <c r="C140" s="180"/>
      <c r="D140" s="181"/>
      <c r="E140" s="20"/>
      <c r="F140" s="19"/>
      <c r="G140" s="19"/>
    </row>
    <row r="141" spans="1:8" ht="29.1" customHeight="1" x14ac:dyDescent="0.2">
      <c r="A141" s="17"/>
      <c r="B141" s="176" t="s">
        <v>163</v>
      </c>
      <c r="C141" s="177"/>
      <c r="D141" s="2" t="s">
        <v>164</v>
      </c>
      <c r="E141" s="20"/>
      <c r="F141" s="19"/>
      <c r="G141" s="19"/>
    </row>
    <row r="142" spans="1:8" ht="17.100000000000001" customHeight="1" x14ac:dyDescent="0.2">
      <c r="A142" s="17"/>
      <c r="B142" s="190" t="s">
        <v>935</v>
      </c>
      <c r="C142" s="177"/>
      <c r="D142" s="55" t="s">
        <v>951</v>
      </c>
      <c r="E142" s="20"/>
      <c r="F142" s="19"/>
      <c r="G142" s="19"/>
    </row>
    <row r="143" spans="1:8" ht="17.100000000000001" customHeight="1" x14ac:dyDescent="0.2">
      <c r="A143" s="17"/>
      <c r="B143" s="176" t="s">
        <v>166</v>
      </c>
      <c r="C143" s="177"/>
      <c r="D143" s="12" t="s">
        <v>133</v>
      </c>
      <c r="E143" s="20"/>
      <c r="F143" s="19"/>
      <c r="G143" s="19"/>
    </row>
    <row r="144" spans="1:8" ht="24" customHeight="1" x14ac:dyDescent="0.2">
      <c r="A144" s="21"/>
      <c r="B144" s="22" t="s">
        <v>133</v>
      </c>
      <c r="C144" s="22" t="s">
        <v>167</v>
      </c>
      <c r="D144" s="22" t="s">
        <v>168</v>
      </c>
      <c r="E144" s="21"/>
      <c r="F144" s="21"/>
      <c r="G144" s="21"/>
    </row>
    <row r="145" spans="1:7" ht="18" customHeight="1" x14ac:dyDescent="0.2">
      <c r="A145" s="21"/>
      <c r="B145" s="23" t="s">
        <v>169</v>
      </c>
      <c r="C145" s="22" t="s">
        <v>170</v>
      </c>
      <c r="D145" s="22" t="s">
        <v>171</v>
      </c>
      <c r="E145" s="21"/>
      <c r="F145" s="21"/>
      <c r="G145" s="21"/>
    </row>
    <row r="146" spans="1:7" ht="17.100000000000001" customHeight="1" x14ac:dyDescent="0.2">
      <c r="A146" s="21"/>
      <c r="B146" s="4" t="s">
        <v>172</v>
      </c>
      <c r="C146" s="24">
        <v>343.08580000000001</v>
      </c>
      <c r="D146" s="24">
        <v>355.68889999999999</v>
      </c>
      <c r="E146" s="21"/>
      <c r="F146" s="18"/>
      <c r="G146" s="25"/>
    </row>
    <row r="147" spans="1:7" ht="29.1" customHeight="1" x14ac:dyDescent="0.2">
      <c r="A147" s="21"/>
      <c r="B147" s="4" t="s">
        <v>1009</v>
      </c>
      <c r="C147" s="24">
        <v>342.75470000000001</v>
      </c>
      <c r="D147" s="24">
        <v>355.34559999999999</v>
      </c>
      <c r="E147" s="21"/>
      <c r="F147" s="18"/>
      <c r="G147" s="25"/>
    </row>
    <row r="148" spans="1:7" ht="17.100000000000001" customHeight="1" x14ac:dyDescent="0.2">
      <c r="A148" s="21"/>
      <c r="B148" s="4" t="s">
        <v>173</v>
      </c>
      <c r="C148" s="24">
        <v>324.9513</v>
      </c>
      <c r="D148" s="24">
        <v>336.72750000000002</v>
      </c>
      <c r="E148" s="21"/>
      <c r="F148" s="18"/>
      <c r="G148" s="25"/>
    </row>
    <row r="149" spans="1:7" ht="29.1" customHeight="1" x14ac:dyDescent="0.2">
      <c r="A149" s="21"/>
      <c r="B149" s="4" t="s">
        <v>1010</v>
      </c>
      <c r="C149" s="24">
        <v>302.16680000000002</v>
      </c>
      <c r="D149" s="24">
        <v>313.11720000000003</v>
      </c>
      <c r="E149" s="21"/>
      <c r="F149" s="18"/>
      <c r="G149" s="25"/>
    </row>
    <row r="150" spans="1:7" ht="14.1" customHeight="1" x14ac:dyDescent="0.2">
      <c r="A150" s="21"/>
      <c r="B150" s="21"/>
      <c r="C150" s="21"/>
      <c r="D150" s="21"/>
      <c r="E150" s="21"/>
      <c r="F150" s="21"/>
      <c r="G150" s="21"/>
    </row>
    <row r="151" spans="1:7" ht="17.100000000000001" customHeight="1" x14ac:dyDescent="0.2">
      <c r="A151" s="21"/>
      <c r="B151" s="176" t="s">
        <v>1008</v>
      </c>
      <c r="C151" s="177"/>
      <c r="D151" s="2" t="s">
        <v>164</v>
      </c>
      <c r="E151" s="21"/>
      <c r="F151" s="21"/>
      <c r="G151" s="21"/>
    </row>
    <row r="152" spans="1:7" ht="18" customHeight="1" x14ac:dyDescent="0.2">
      <c r="A152" s="21"/>
      <c r="B152" s="26"/>
      <c r="C152" s="26"/>
      <c r="D152" s="26"/>
      <c r="E152" s="21"/>
      <c r="F152" s="21"/>
      <c r="G152" s="21"/>
    </row>
    <row r="153" spans="1:7" ht="29.1" customHeight="1" x14ac:dyDescent="0.2">
      <c r="A153" s="21"/>
      <c r="B153" s="176" t="s">
        <v>174</v>
      </c>
      <c r="C153" s="177"/>
      <c r="D153" s="2" t="s">
        <v>164</v>
      </c>
      <c r="E153" s="27"/>
      <c r="F153" s="21"/>
      <c r="G153" s="21"/>
    </row>
    <row r="154" spans="1:7" ht="29.1" customHeight="1" x14ac:dyDescent="0.2">
      <c r="A154" s="21"/>
      <c r="B154" s="176" t="s">
        <v>175</v>
      </c>
      <c r="C154" s="177"/>
      <c r="D154" s="2" t="s">
        <v>164</v>
      </c>
      <c r="E154" s="27"/>
      <c r="F154" s="21"/>
      <c r="G154" s="21"/>
    </row>
    <row r="155" spans="1:7" ht="17.100000000000001" customHeight="1" x14ac:dyDescent="0.2">
      <c r="A155" s="21"/>
      <c r="B155" s="176" t="s">
        <v>176</v>
      </c>
      <c r="C155" s="177"/>
      <c r="D155" s="2" t="s">
        <v>164</v>
      </c>
      <c r="E155" s="27"/>
      <c r="F155" s="21"/>
      <c r="G155" s="21"/>
    </row>
    <row r="156" spans="1:7" ht="17.100000000000001" customHeight="1" x14ac:dyDescent="0.2">
      <c r="A156" s="21"/>
      <c r="B156" s="176" t="s">
        <v>177</v>
      </c>
      <c r="C156" s="177"/>
      <c r="D156" s="60">
        <v>0.19714548598386272</v>
      </c>
      <c r="E156" s="21"/>
      <c r="F156" s="18"/>
      <c r="G156" s="25"/>
    </row>
    <row r="158" spans="1:7" x14ac:dyDescent="0.2">
      <c r="B158" s="86" t="s">
        <v>996</v>
      </c>
      <c r="C158" s="86"/>
      <c r="D158" s="86"/>
      <c r="E158" s="90"/>
      <c r="F158" s="91"/>
    </row>
    <row r="159" spans="1:7" ht="38.25" x14ac:dyDescent="0.2">
      <c r="B159" s="93" t="s">
        <v>961</v>
      </c>
      <c r="C159" s="93" t="s">
        <v>962</v>
      </c>
      <c r="D159" s="93" t="s">
        <v>963</v>
      </c>
      <c r="E159" s="93" t="s">
        <v>964</v>
      </c>
      <c r="F159" s="93" t="s">
        <v>965</v>
      </c>
    </row>
    <row r="160" spans="1:7" x14ac:dyDescent="0.2">
      <c r="B160" s="100" t="s">
        <v>995</v>
      </c>
      <c r="C160" s="95" t="s">
        <v>992</v>
      </c>
      <c r="D160" s="101">
        <v>0</v>
      </c>
      <c r="E160" s="102">
        <v>0</v>
      </c>
      <c r="F160" s="103">
        <v>0.54925000000000002</v>
      </c>
    </row>
  </sheetData>
  <mergeCells count="14">
    <mergeCell ref="B156:C156"/>
    <mergeCell ref="B142:C142"/>
    <mergeCell ref="B143:C143"/>
    <mergeCell ref="B151:C151"/>
    <mergeCell ref="B153:C153"/>
    <mergeCell ref="B154:C154"/>
    <mergeCell ref="B155:C155"/>
    <mergeCell ref="J2:N2"/>
    <mergeCell ref="B141:C141"/>
    <mergeCell ref="B138:F138"/>
    <mergeCell ref="B140:D140"/>
    <mergeCell ref="A1:H1"/>
    <mergeCell ref="A2:H2"/>
    <mergeCell ref="A3:H3"/>
  </mergeCells>
  <hyperlinks>
    <hyperlink ref="I1" location="Index!B29" display="Index" xr:uid="{21EB95F9-4D13-4453-9215-B10F77173A5C}"/>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outlinePr summaryBelow="0" summaryRight="0"/>
  </sheetPr>
  <dimension ref="A1:O128"/>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5" ht="18" customHeight="1" x14ac:dyDescent="0.2">
      <c r="A1" s="182" t="s">
        <v>0</v>
      </c>
      <c r="B1" s="182"/>
      <c r="C1" s="182"/>
      <c r="D1" s="182"/>
      <c r="E1" s="182"/>
      <c r="F1" s="182"/>
      <c r="G1" s="182"/>
      <c r="H1" s="182"/>
      <c r="I1" s="159" t="s">
        <v>1044</v>
      </c>
    </row>
    <row r="2" spans="1:15" ht="17.100000000000001" customHeight="1" x14ac:dyDescent="0.2">
      <c r="A2" s="183" t="s">
        <v>811</v>
      </c>
      <c r="B2" s="184"/>
      <c r="C2" s="184"/>
      <c r="D2" s="184"/>
      <c r="E2" s="184"/>
      <c r="F2" s="184"/>
      <c r="G2" s="184"/>
      <c r="H2" s="185"/>
      <c r="J2" s="175" t="s">
        <v>1045</v>
      </c>
      <c r="K2" s="175"/>
      <c r="L2" s="175"/>
      <c r="M2" s="175"/>
      <c r="N2" s="175"/>
    </row>
    <row r="3" spans="1:15" ht="21" customHeight="1" x14ac:dyDescent="0.2">
      <c r="A3" s="182" t="s">
        <v>1016</v>
      </c>
      <c r="B3" s="182"/>
      <c r="C3" s="182"/>
      <c r="D3" s="182"/>
      <c r="E3" s="182"/>
      <c r="F3" s="182"/>
      <c r="G3" s="182"/>
      <c r="H3" s="182"/>
    </row>
    <row r="4" spans="1:15" ht="30" x14ac:dyDescent="0.2">
      <c r="A4" s="107" t="s">
        <v>2</v>
      </c>
      <c r="B4" s="107" t="s">
        <v>3</v>
      </c>
      <c r="C4" s="107" t="s">
        <v>4</v>
      </c>
      <c r="D4" s="107" t="s">
        <v>5</v>
      </c>
      <c r="E4" s="107" t="s">
        <v>6</v>
      </c>
      <c r="F4" s="107" t="s">
        <v>7</v>
      </c>
      <c r="G4" s="107" t="s">
        <v>8</v>
      </c>
      <c r="H4" s="104" t="s">
        <v>1003</v>
      </c>
      <c r="I4" s="108"/>
      <c r="J4" s="108"/>
      <c r="K4" s="108"/>
      <c r="L4" s="108"/>
      <c r="M4" s="108"/>
      <c r="N4" s="108"/>
      <c r="O4" s="108"/>
    </row>
    <row r="5" spans="1:15" ht="14.1" customHeight="1" x14ac:dyDescent="0.2">
      <c r="A5" s="1"/>
      <c r="B5" s="1"/>
      <c r="C5" s="2" t="s">
        <v>9</v>
      </c>
      <c r="D5" s="1"/>
      <c r="E5" s="1"/>
      <c r="F5" s="1"/>
      <c r="G5" s="1"/>
      <c r="H5" s="105"/>
    </row>
    <row r="6" spans="1:15" ht="24" customHeight="1" x14ac:dyDescent="0.2">
      <c r="A6" s="1"/>
      <c r="B6" s="1"/>
      <c r="C6" s="2" t="s">
        <v>10</v>
      </c>
      <c r="D6" s="1"/>
      <c r="E6" s="1"/>
      <c r="F6" s="1"/>
      <c r="G6" s="1"/>
      <c r="H6" s="105"/>
    </row>
    <row r="7" spans="1:15" ht="17.100000000000001" customHeight="1" x14ac:dyDescent="0.2">
      <c r="A7" s="3">
        <v>1</v>
      </c>
      <c r="B7" s="4" t="s">
        <v>325</v>
      </c>
      <c r="C7" s="4" t="s">
        <v>326</v>
      </c>
      <c r="D7" s="4" t="s">
        <v>1020</v>
      </c>
      <c r="E7" s="5">
        <v>416782</v>
      </c>
      <c r="F7" s="6">
        <v>10241.584086000001</v>
      </c>
      <c r="G7" s="7">
        <v>9.114941E-2</v>
      </c>
      <c r="H7" s="105"/>
    </row>
    <row r="8" spans="1:15" ht="17.100000000000001" customHeight="1" x14ac:dyDescent="0.2">
      <c r="A8" s="3">
        <v>2</v>
      </c>
      <c r="B8" s="4" t="s">
        <v>343</v>
      </c>
      <c r="C8" s="4" t="s">
        <v>344</v>
      </c>
      <c r="D8" s="4" t="s">
        <v>1020</v>
      </c>
      <c r="E8" s="5">
        <v>1820266</v>
      </c>
      <c r="F8" s="6">
        <v>7746.141963</v>
      </c>
      <c r="G8" s="7">
        <v>6.8940139999999997E-2</v>
      </c>
      <c r="H8" s="105"/>
    </row>
    <row r="9" spans="1:15" ht="17.100000000000001" customHeight="1" x14ac:dyDescent="0.2">
      <c r="A9" s="3">
        <v>3</v>
      </c>
      <c r="B9" s="4" t="s">
        <v>14</v>
      </c>
      <c r="C9" s="4" t="s">
        <v>15</v>
      </c>
      <c r="D9" s="4" t="s">
        <v>16</v>
      </c>
      <c r="E9" s="5">
        <v>901929</v>
      </c>
      <c r="F9" s="6">
        <v>7209.1184970000004</v>
      </c>
      <c r="G9" s="7">
        <v>6.4160670000000003E-2</v>
      </c>
      <c r="H9" s="105"/>
    </row>
    <row r="10" spans="1:15" ht="17.100000000000001" customHeight="1" x14ac:dyDescent="0.2">
      <c r="A10" s="3">
        <v>4</v>
      </c>
      <c r="B10" s="4" t="s">
        <v>347</v>
      </c>
      <c r="C10" s="4" t="s">
        <v>348</v>
      </c>
      <c r="D10" s="4" t="s">
        <v>121</v>
      </c>
      <c r="E10" s="5">
        <v>255389</v>
      </c>
      <c r="F10" s="6">
        <v>6746.9942965</v>
      </c>
      <c r="G10" s="7">
        <v>6.0047789999999997E-2</v>
      </c>
      <c r="H10" s="105"/>
    </row>
    <row r="11" spans="1:15" ht="17.100000000000001" customHeight="1" x14ac:dyDescent="0.2">
      <c r="A11" s="3">
        <v>5</v>
      </c>
      <c r="B11" s="4" t="s">
        <v>103</v>
      </c>
      <c r="C11" s="4" t="s">
        <v>104</v>
      </c>
      <c r="D11" s="4" t="s">
        <v>105</v>
      </c>
      <c r="E11" s="5">
        <v>63703</v>
      </c>
      <c r="F11" s="6">
        <v>5471.8010365</v>
      </c>
      <c r="G11" s="7">
        <v>4.8698659999999998E-2</v>
      </c>
      <c r="H11" s="105"/>
    </row>
    <row r="12" spans="1:15" ht="17.100000000000001" customHeight="1" x14ac:dyDescent="0.2">
      <c r="A12" s="3">
        <v>6</v>
      </c>
      <c r="B12" s="4" t="s">
        <v>420</v>
      </c>
      <c r="C12" s="4" t="s">
        <v>421</v>
      </c>
      <c r="D12" s="4" t="s">
        <v>121</v>
      </c>
      <c r="E12" s="5">
        <v>179924</v>
      </c>
      <c r="F12" s="6">
        <v>4395.2734339999997</v>
      </c>
      <c r="G12" s="7">
        <v>3.9117640000000002E-2</v>
      </c>
      <c r="H12" s="105"/>
      <c r="J12" s="161"/>
    </row>
    <row r="13" spans="1:15" ht="17.100000000000001" customHeight="1" x14ac:dyDescent="0.2">
      <c r="A13" s="3">
        <v>7</v>
      </c>
      <c r="B13" s="4" t="s">
        <v>550</v>
      </c>
      <c r="C13" s="4" t="s">
        <v>551</v>
      </c>
      <c r="D13" s="4" t="s">
        <v>220</v>
      </c>
      <c r="E13" s="5">
        <v>564432</v>
      </c>
      <c r="F13" s="6">
        <v>4386.4832880000004</v>
      </c>
      <c r="G13" s="7">
        <v>3.9039409999999997E-2</v>
      </c>
      <c r="H13" s="105"/>
    </row>
    <row r="14" spans="1:15" ht="17.100000000000001" customHeight="1" x14ac:dyDescent="0.2">
      <c r="A14" s="3">
        <v>8</v>
      </c>
      <c r="B14" s="4" t="s">
        <v>29</v>
      </c>
      <c r="C14" s="4" t="s">
        <v>30</v>
      </c>
      <c r="D14" s="4" t="s">
        <v>25</v>
      </c>
      <c r="E14" s="5">
        <v>662265</v>
      </c>
      <c r="F14" s="6">
        <v>3829.8784949999999</v>
      </c>
      <c r="G14" s="7">
        <v>3.4085659999999997E-2</v>
      </c>
      <c r="H14" s="105"/>
      <c r="J14" s="161" t="s">
        <v>1069</v>
      </c>
    </row>
    <row r="15" spans="1:15" ht="17.100000000000001" customHeight="1" x14ac:dyDescent="0.2">
      <c r="A15" s="3">
        <v>9</v>
      </c>
      <c r="B15" s="4" t="s">
        <v>332</v>
      </c>
      <c r="C15" s="4" t="s">
        <v>333</v>
      </c>
      <c r="D15" s="4" t="s">
        <v>105</v>
      </c>
      <c r="E15" s="5">
        <v>304016</v>
      </c>
      <c r="F15" s="6">
        <v>3729.9723039999999</v>
      </c>
      <c r="G15" s="7">
        <v>3.3196499999999997E-2</v>
      </c>
      <c r="H15" s="105"/>
    </row>
    <row r="16" spans="1:15" ht="17.100000000000001" customHeight="1" x14ac:dyDescent="0.2">
      <c r="A16" s="3">
        <v>10</v>
      </c>
      <c r="B16" s="4" t="s">
        <v>554</v>
      </c>
      <c r="C16" s="4" t="s">
        <v>555</v>
      </c>
      <c r="D16" s="4" t="s">
        <v>105</v>
      </c>
      <c r="E16" s="5">
        <v>110762</v>
      </c>
      <c r="F16" s="6">
        <v>3656.3643820000002</v>
      </c>
      <c r="G16" s="7">
        <v>3.2541399999999998E-2</v>
      </c>
      <c r="H16" s="105"/>
    </row>
    <row r="17" spans="1:8" ht="17.100000000000001" customHeight="1" x14ac:dyDescent="0.2">
      <c r="A17" s="3">
        <v>11</v>
      </c>
      <c r="B17" s="4" t="s">
        <v>740</v>
      </c>
      <c r="C17" s="4" t="s">
        <v>741</v>
      </c>
      <c r="D17" s="4" t="s">
        <v>253</v>
      </c>
      <c r="E17" s="5">
        <v>15917</v>
      </c>
      <c r="F17" s="6">
        <v>3463.7620379999998</v>
      </c>
      <c r="G17" s="7">
        <v>3.082725E-2</v>
      </c>
      <c r="H17" s="105"/>
    </row>
    <row r="18" spans="1:8" ht="17.100000000000001" customHeight="1" x14ac:dyDescent="0.2">
      <c r="A18" s="3">
        <v>12</v>
      </c>
      <c r="B18" s="4" t="s">
        <v>371</v>
      </c>
      <c r="C18" s="4" t="s">
        <v>372</v>
      </c>
      <c r="D18" s="4" t="s">
        <v>121</v>
      </c>
      <c r="E18" s="5">
        <v>117508</v>
      </c>
      <c r="F18" s="6">
        <v>3410.493438</v>
      </c>
      <c r="G18" s="7">
        <v>3.0353160000000001E-2</v>
      </c>
      <c r="H18" s="105"/>
    </row>
    <row r="19" spans="1:8" ht="17.100000000000001" customHeight="1" x14ac:dyDescent="0.2">
      <c r="A19" s="3">
        <v>13</v>
      </c>
      <c r="B19" s="4" t="s">
        <v>237</v>
      </c>
      <c r="C19" s="4" t="s">
        <v>238</v>
      </c>
      <c r="D19" s="4" t="s">
        <v>202</v>
      </c>
      <c r="E19" s="5">
        <v>60999</v>
      </c>
      <c r="F19" s="6">
        <v>2753.3118629999999</v>
      </c>
      <c r="G19" s="7">
        <v>2.4504290000000001E-2</v>
      </c>
      <c r="H19" s="105"/>
    </row>
    <row r="20" spans="1:8" ht="17.100000000000001" customHeight="1" x14ac:dyDescent="0.2">
      <c r="A20" s="3">
        <v>14</v>
      </c>
      <c r="B20" s="4" t="s">
        <v>224</v>
      </c>
      <c r="C20" s="4" t="s">
        <v>225</v>
      </c>
      <c r="D20" s="4" t="s">
        <v>220</v>
      </c>
      <c r="E20" s="5">
        <v>172804</v>
      </c>
      <c r="F20" s="6">
        <v>2497.3634080000002</v>
      </c>
      <c r="G20" s="7">
        <v>2.2226369999999999E-2</v>
      </c>
      <c r="H20" s="105"/>
    </row>
    <row r="21" spans="1:8" ht="17.100000000000001" customHeight="1" x14ac:dyDescent="0.2">
      <c r="A21" s="3">
        <v>15</v>
      </c>
      <c r="B21" s="4" t="s">
        <v>99</v>
      </c>
      <c r="C21" s="4" t="s">
        <v>100</v>
      </c>
      <c r="D21" s="4" t="s">
        <v>91</v>
      </c>
      <c r="E21" s="5">
        <v>461525</v>
      </c>
      <c r="F21" s="6">
        <v>2316.393975</v>
      </c>
      <c r="G21" s="7">
        <v>2.0615749999999999E-2</v>
      </c>
      <c r="H21" s="105"/>
    </row>
    <row r="22" spans="1:8" ht="17.100000000000001" customHeight="1" x14ac:dyDescent="0.2">
      <c r="A22" s="3">
        <v>16</v>
      </c>
      <c r="B22" s="4" t="s">
        <v>806</v>
      </c>
      <c r="C22" s="4" t="s">
        <v>807</v>
      </c>
      <c r="D22" s="4" t="s">
        <v>195</v>
      </c>
      <c r="E22" s="5">
        <v>1884147</v>
      </c>
      <c r="F22" s="6">
        <v>2309.9642220000001</v>
      </c>
      <c r="G22" s="7">
        <v>2.0558529999999998E-2</v>
      </c>
      <c r="H22" s="105"/>
    </row>
    <row r="23" spans="1:8" ht="17.100000000000001" customHeight="1" x14ac:dyDescent="0.2">
      <c r="A23" s="3">
        <v>17</v>
      </c>
      <c r="B23" s="4" t="s">
        <v>226</v>
      </c>
      <c r="C23" s="4" t="s">
        <v>227</v>
      </c>
      <c r="D23" s="4" t="s">
        <v>121</v>
      </c>
      <c r="E23" s="5">
        <v>2213929</v>
      </c>
      <c r="F23" s="6">
        <v>2273.7050829999998</v>
      </c>
      <c r="G23" s="7">
        <v>2.0235820000000002E-2</v>
      </c>
      <c r="H23" s="105"/>
    </row>
    <row r="24" spans="1:8" ht="17.100000000000001" customHeight="1" x14ac:dyDescent="0.2">
      <c r="A24" s="3">
        <v>18</v>
      </c>
      <c r="B24" s="4" t="s">
        <v>415</v>
      </c>
      <c r="C24" s="4" t="s">
        <v>416</v>
      </c>
      <c r="D24" s="4" t="s">
        <v>223</v>
      </c>
      <c r="E24" s="5">
        <v>295409</v>
      </c>
      <c r="F24" s="6">
        <v>2257.6632825000002</v>
      </c>
      <c r="G24" s="7">
        <v>2.0093050000000001E-2</v>
      </c>
      <c r="H24" s="105"/>
    </row>
    <row r="25" spans="1:8" ht="17.100000000000001" customHeight="1" x14ac:dyDescent="0.2">
      <c r="A25" s="3">
        <v>19</v>
      </c>
      <c r="B25" s="4" t="s">
        <v>269</v>
      </c>
      <c r="C25" s="4" t="s">
        <v>270</v>
      </c>
      <c r="D25" s="4" t="s">
        <v>271</v>
      </c>
      <c r="E25" s="5">
        <v>5467</v>
      </c>
      <c r="F25" s="6">
        <v>2204.3326689999999</v>
      </c>
      <c r="G25" s="7">
        <v>1.9618409999999999E-2</v>
      </c>
      <c r="H25" s="105"/>
    </row>
    <row r="26" spans="1:8" ht="17.100000000000001" customHeight="1" x14ac:dyDescent="0.2">
      <c r="A26" s="3">
        <v>20</v>
      </c>
      <c r="B26" s="4" t="s">
        <v>558</v>
      </c>
      <c r="C26" s="4" t="s">
        <v>559</v>
      </c>
      <c r="D26" s="4" t="s">
        <v>253</v>
      </c>
      <c r="E26" s="5">
        <v>47367</v>
      </c>
      <c r="F26" s="6">
        <v>2156.8800285000002</v>
      </c>
      <c r="G26" s="7">
        <v>1.9196089999999999E-2</v>
      </c>
      <c r="H26" s="105"/>
    </row>
    <row r="27" spans="1:8" ht="17.100000000000001" customHeight="1" x14ac:dyDescent="0.2">
      <c r="A27" s="3">
        <v>21</v>
      </c>
      <c r="B27" s="4" t="s">
        <v>812</v>
      </c>
      <c r="C27" s="4" t="s">
        <v>813</v>
      </c>
      <c r="D27" s="4" t="s">
        <v>223</v>
      </c>
      <c r="E27" s="5">
        <v>1245270</v>
      </c>
      <c r="F27" s="6">
        <v>2009.8657800000001</v>
      </c>
      <c r="G27" s="7">
        <v>1.7887670000000001E-2</v>
      </c>
      <c r="H27" s="105"/>
    </row>
    <row r="28" spans="1:8" ht="17.100000000000001" customHeight="1" x14ac:dyDescent="0.2">
      <c r="A28" s="3">
        <v>22</v>
      </c>
      <c r="B28" s="4" t="s">
        <v>814</v>
      </c>
      <c r="C28" s="4" t="s">
        <v>815</v>
      </c>
      <c r="D28" s="4" t="s">
        <v>195</v>
      </c>
      <c r="E28" s="5">
        <v>2567571</v>
      </c>
      <c r="F28" s="6">
        <v>1969.326957</v>
      </c>
      <c r="G28" s="7">
        <v>1.7526880000000002E-2</v>
      </c>
      <c r="H28" s="105"/>
    </row>
    <row r="29" spans="1:8" ht="17.100000000000001" customHeight="1" x14ac:dyDescent="0.2">
      <c r="A29" s="3">
        <v>23</v>
      </c>
      <c r="B29" s="4" t="s">
        <v>478</v>
      </c>
      <c r="C29" s="4" t="s">
        <v>479</v>
      </c>
      <c r="D29" s="4" t="s">
        <v>121</v>
      </c>
      <c r="E29" s="5">
        <v>174506</v>
      </c>
      <c r="F29" s="6">
        <v>1915.1160970000001</v>
      </c>
      <c r="G29" s="7">
        <v>1.7044400000000001E-2</v>
      </c>
      <c r="H29" s="105"/>
    </row>
    <row r="30" spans="1:8" ht="17.100000000000001" customHeight="1" x14ac:dyDescent="0.2">
      <c r="A30" s="3">
        <v>24</v>
      </c>
      <c r="B30" s="4" t="s">
        <v>306</v>
      </c>
      <c r="C30" s="4" t="s">
        <v>307</v>
      </c>
      <c r="D30" s="4" t="s">
        <v>232</v>
      </c>
      <c r="E30" s="5">
        <v>119499</v>
      </c>
      <c r="F30" s="6">
        <v>1748.4496185</v>
      </c>
      <c r="G30" s="7">
        <v>1.556108E-2</v>
      </c>
      <c r="H30" s="105"/>
    </row>
    <row r="31" spans="1:8" ht="17.100000000000001" customHeight="1" x14ac:dyDescent="0.2">
      <c r="A31" s="3">
        <v>25</v>
      </c>
      <c r="B31" s="4" t="s">
        <v>552</v>
      </c>
      <c r="C31" s="4" t="s">
        <v>553</v>
      </c>
      <c r="D31" s="4" t="s">
        <v>260</v>
      </c>
      <c r="E31" s="5">
        <v>190121</v>
      </c>
      <c r="F31" s="6">
        <v>1725.3480750000001</v>
      </c>
      <c r="G31" s="7">
        <v>1.5355479999999999E-2</v>
      </c>
      <c r="H31" s="105"/>
    </row>
    <row r="32" spans="1:8" ht="29.1" customHeight="1" x14ac:dyDescent="0.2">
      <c r="A32" s="3">
        <v>26</v>
      </c>
      <c r="B32" s="4" t="s">
        <v>448</v>
      </c>
      <c r="C32" s="4" t="s">
        <v>449</v>
      </c>
      <c r="D32" s="4" t="s">
        <v>121</v>
      </c>
      <c r="E32" s="5">
        <v>151844</v>
      </c>
      <c r="F32" s="6">
        <v>1702.6267720000001</v>
      </c>
      <c r="G32" s="7">
        <v>1.515326E-2</v>
      </c>
      <c r="H32" s="105"/>
    </row>
    <row r="33" spans="1:8" ht="17.100000000000001" customHeight="1" x14ac:dyDescent="0.2">
      <c r="A33" s="3">
        <v>27</v>
      </c>
      <c r="B33" s="4" t="s">
        <v>218</v>
      </c>
      <c r="C33" s="4" t="s">
        <v>219</v>
      </c>
      <c r="D33" s="4" t="s">
        <v>220</v>
      </c>
      <c r="E33" s="5">
        <v>114437</v>
      </c>
      <c r="F33" s="6">
        <v>1693.095415</v>
      </c>
      <c r="G33" s="7">
        <v>1.5068440000000001E-2</v>
      </c>
      <c r="H33" s="105"/>
    </row>
    <row r="34" spans="1:8" ht="17.100000000000001" customHeight="1" x14ac:dyDescent="0.2">
      <c r="A34" s="3">
        <v>28</v>
      </c>
      <c r="B34" s="4" t="s">
        <v>230</v>
      </c>
      <c r="C34" s="4" t="s">
        <v>231</v>
      </c>
      <c r="D34" s="4" t="s">
        <v>232</v>
      </c>
      <c r="E34" s="5">
        <v>840000</v>
      </c>
      <c r="F34" s="6">
        <v>1652.7</v>
      </c>
      <c r="G34" s="7">
        <v>1.470892E-2</v>
      </c>
      <c r="H34" s="105"/>
    </row>
    <row r="35" spans="1:8" ht="17.100000000000001" customHeight="1" x14ac:dyDescent="0.2">
      <c r="A35" s="3">
        <v>29</v>
      </c>
      <c r="B35" s="4" t="s">
        <v>359</v>
      </c>
      <c r="C35" s="4" t="s">
        <v>360</v>
      </c>
      <c r="D35" s="4" t="s">
        <v>195</v>
      </c>
      <c r="E35" s="5">
        <v>45680</v>
      </c>
      <c r="F35" s="6">
        <v>1604.2587599999999</v>
      </c>
      <c r="G35" s="7">
        <v>1.42778E-2</v>
      </c>
      <c r="H35" s="105"/>
    </row>
    <row r="36" spans="1:8" ht="17.100000000000001" customHeight="1" x14ac:dyDescent="0.2">
      <c r="A36" s="3">
        <v>30</v>
      </c>
      <c r="B36" s="4" t="s">
        <v>769</v>
      </c>
      <c r="C36" s="4" t="s">
        <v>770</v>
      </c>
      <c r="D36" s="4" t="s">
        <v>195</v>
      </c>
      <c r="E36" s="5">
        <v>38277</v>
      </c>
      <c r="F36" s="6">
        <v>1445.416074</v>
      </c>
      <c r="G36" s="7">
        <v>1.286411E-2</v>
      </c>
      <c r="H36" s="105"/>
    </row>
    <row r="37" spans="1:8" ht="17.100000000000001" customHeight="1" x14ac:dyDescent="0.2">
      <c r="A37" s="3">
        <v>31</v>
      </c>
      <c r="B37" s="4" t="s">
        <v>251</v>
      </c>
      <c r="C37" s="4" t="s">
        <v>252</v>
      </c>
      <c r="D37" s="4" t="s">
        <v>253</v>
      </c>
      <c r="E37" s="5">
        <v>149150</v>
      </c>
      <c r="F37" s="6">
        <v>1264.7919999999999</v>
      </c>
      <c r="G37" s="7">
        <v>1.1256560000000001E-2</v>
      </c>
      <c r="H37" s="105"/>
    </row>
    <row r="38" spans="1:8" ht="17.100000000000001" customHeight="1" x14ac:dyDescent="0.2">
      <c r="A38" s="3">
        <v>32</v>
      </c>
      <c r="B38" s="4" t="s">
        <v>519</v>
      </c>
      <c r="C38" s="4" t="s">
        <v>520</v>
      </c>
      <c r="D38" s="4" t="s">
        <v>329</v>
      </c>
      <c r="E38" s="5">
        <v>180000</v>
      </c>
      <c r="F38" s="6">
        <v>1184.8499999999999</v>
      </c>
      <c r="G38" s="7">
        <v>1.054509E-2</v>
      </c>
      <c r="H38" s="105"/>
    </row>
    <row r="39" spans="1:8" ht="17.100000000000001" customHeight="1" x14ac:dyDescent="0.2">
      <c r="A39" s="3">
        <v>33</v>
      </c>
      <c r="B39" s="4" t="s">
        <v>699</v>
      </c>
      <c r="C39" s="4" t="s">
        <v>700</v>
      </c>
      <c r="D39" s="4" t="s">
        <v>121</v>
      </c>
      <c r="E39" s="5">
        <v>108360</v>
      </c>
      <c r="F39" s="6">
        <v>1132.5245399999999</v>
      </c>
      <c r="G39" s="7">
        <v>1.0079390000000001E-2</v>
      </c>
      <c r="H39" s="105"/>
    </row>
    <row r="40" spans="1:8" ht="29.1" customHeight="1" x14ac:dyDescent="0.2">
      <c r="A40" s="3">
        <v>34</v>
      </c>
      <c r="B40" s="4" t="s">
        <v>249</v>
      </c>
      <c r="C40" s="4" t="s">
        <v>250</v>
      </c>
      <c r="D40" s="4" t="s">
        <v>121</v>
      </c>
      <c r="E40" s="5">
        <v>281117</v>
      </c>
      <c r="F40" s="6">
        <v>716.56723299999999</v>
      </c>
      <c r="G40" s="7">
        <v>6.3774000000000001E-3</v>
      </c>
      <c r="H40" s="105"/>
    </row>
    <row r="41" spans="1:8" ht="17.100000000000001" customHeight="1" x14ac:dyDescent="0.2">
      <c r="A41" s="3">
        <v>35</v>
      </c>
      <c r="B41" s="4" t="s">
        <v>816</v>
      </c>
      <c r="C41" s="4" t="s">
        <v>817</v>
      </c>
      <c r="D41" s="4" t="s">
        <v>121</v>
      </c>
      <c r="E41" s="5">
        <v>116900</v>
      </c>
      <c r="F41" s="6">
        <v>621.67420000000004</v>
      </c>
      <c r="G41" s="7">
        <v>5.5328599999999997E-3</v>
      </c>
      <c r="H41" s="105"/>
    </row>
    <row r="42" spans="1:8" ht="29.1" customHeight="1" x14ac:dyDescent="0.2">
      <c r="A42" s="3">
        <v>36</v>
      </c>
      <c r="B42" s="4" t="s">
        <v>787</v>
      </c>
      <c r="C42" s="4" t="s">
        <v>788</v>
      </c>
      <c r="D42" s="4" t="s">
        <v>488</v>
      </c>
      <c r="E42" s="5">
        <v>100000</v>
      </c>
      <c r="F42" s="6">
        <v>496.4</v>
      </c>
      <c r="G42" s="7">
        <v>4.4179299999999996E-3</v>
      </c>
      <c r="H42" s="105"/>
    </row>
    <row r="43" spans="1:8" ht="17.100000000000001" customHeight="1" x14ac:dyDescent="0.2">
      <c r="A43" s="3">
        <v>37</v>
      </c>
      <c r="B43" s="4" t="s">
        <v>119</v>
      </c>
      <c r="C43" s="4" t="s">
        <v>120</v>
      </c>
      <c r="D43" s="4" t="s">
        <v>121</v>
      </c>
      <c r="E43" s="5">
        <v>84369</v>
      </c>
      <c r="F43" s="6">
        <v>251.67272700000001</v>
      </c>
      <c r="G43" s="7">
        <v>2.2398700000000001E-3</v>
      </c>
      <c r="H43" s="105"/>
    </row>
    <row r="44" spans="1:8" ht="17.100000000000001" customHeight="1" x14ac:dyDescent="0.2">
      <c r="A44" s="3">
        <v>38</v>
      </c>
      <c r="B44" s="4" t="s">
        <v>263</v>
      </c>
      <c r="C44" s="4" t="s">
        <v>264</v>
      </c>
      <c r="D44" s="4" t="s">
        <v>223</v>
      </c>
      <c r="E44" s="5">
        <v>24600</v>
      </c>
      <c r="F44" s="6">
        <v>94.488600000000005</v>
      </c>
      <c r="G44" s="7">
        <v>8.4093999999999998E-4</v>
      </c>
      <c r="H44" s="105"/>
    </row>
    <row r="45" spans="1:8" ht="14.1" customHeight="1" x14ac:dyDescent="0.2">
      <c r="A45" s="1"/>
      <c r="B45" s="1"/>
      <c r="C45" s="2" t="s">
        <v>132</v>
      </c>
      <c r="D45" s="1"/>
      <c r="E45" s="1" t="s">
        <v>133</v>
      </c>
      <c r="F45" s="9">
        <v>106286.6546375</v>
      </c>
      <c r="G45" s="10">
        <v>0.94594407999999996</v>
      </c>
      <c r="H45" s="105"/>
    </row>
    <row r="46" spans="1:8" ht="14.1" customHeight="1" x14ac:dyDescent="0.2">
      <c r="A46" s="1"/>
      <c r="B46" s="1"/>
      <c r="C46" s="11"/>
      <c r="D46" s="1"/>
      <c r="E46" s="1"/>
      <c r="F46" s="12"/>
      <c r="G46" s="12"/>
      <c r="H46" s="105"/>
    </row>
    <row r="47" spans="1:8" ht="14.1" customHeight="1" x14ac:dyDescent="0.2">
      <c r="A47" s="1"/>
      <c r="B47" s="1"/>
      <c r="C47" s="2" t="s">
        <v>134</v>
      </c>
      <c r="D47" s="1"/>
      <c r="E47" s="1"/>
      <c r="F47" s="1"/>
      <c r="G47" s="1"/>
      <c r="H47" s="105"/>
    </row>
    <row r="48" spans="1:8" ht="14.1" customHeight="1" x14ac:dyDescent="0.2">
      <c r="A48" s="1"/>
      <c r="B48" s="1"/>
      <c r="C48" s="2" t="s">
        <v>132</v>
      </c>
      <c r="D48" s="1"/>
      <c r="E48" s="1" t="s">
        <v>133</v>
      </c>
      <c r="F48" s="13" t="s">
        <v>135</v>
      </c>
      <c r="G48" s="10">
        <v>0</v>
      </c>
      <c r="H48" s="105"/>
    </row>
    <row r="49" spans="1:8" ht="14.1" customHeight="1" x14ac:dyDescent="0.2">
      <c r="A49" s="1"/>
      <c r="B49" s="1"/>
      <c r="C49" s="11"/>
      <c r="D49" s="1"/>
      <c r="E49" s="1"/>
      <c r="F49" s="12"/>
      <c r="G49" s="12"/>
      <c r="H49" s="105"/>
    </row>
    <row r="50" spans="1:8" ht="14.1" customHeight="1" x14ac:dyDescent="0.2">
      <c r="A50" s="1"/>
      <c r="B50" s="1"/>
      <c r="C50" s="2" t="s">
        <v>136</v>
      </c>
      <c r="D50" s="1"/>
      <c r="E50" s="1"/>
      <c r="F50" s="1"/>
      <c r="G50" s="1"/>
      <c r="H50" s="105"/>
    </row>
    <row r="51" spans="1:8" ht="14.1" customHeight="1" x14ac:dyDescent="0.2">
      <c r="A51" s="1"/>
      <c r="B51" s="1"/>
      <c r="C51" s="2" t="s">
        <v>132</v>
      </c>
      <c r="D51" s="1"/>
      <c r="E51" s="1" t="s">
        <v>133</v>
      </c>
      <c r="F51" s="13" t="s">
        <v>135</v>
      </c>
      <c r="G51" s="10">
        <v>0</v>
      </c>
      <c r="H51" s="105"/>
    </row>
    <row r="52" spans="1:8" ht="14.1" customHeight="1" x14ac:dyDescent="0.2">
      <c r="A52" s="1"/>
      <c r="B52" s="1"/>
      <c r="C52" s="11"/>
      <c r="D52" s="1"/>
      <c r="E52" s="1"/>
      <c r="F52" s="12"/>
      <c r="G52" s="12"/>
      <c r="H52" s="105"/>
    </row>
    <row r="53" spans="1:8" ht="14.1" customHeight="1" x14ac:dyDescent="0.2">
      <c r="A53" s="1"/>
      <c r="B53" s="1"/>
      <c r="C53" s="2" t="s">
        <v>137</v>
      </c>
      <c r="D53" s="1"/>
      <c r="E53" s="1"/>
      <c r="F53" s="1"/>
      <c r="G53" s="1"/>
      <c r="H53" s="105"/>
    </row>
    <row r="54" spans="1:8" ht="14.1" customHeight="1" x14ac:dyDescent="0.2">
      <c r="A54" s="1"/>
      <c r="B54" s="1"/>
      <c r="C54" s="2" t="s">
        <v>132</v>
      </c>
      <c r="D54" s="1"/>
      <c r="E54" s="1" t="s">
        <v>133</v>
      </c>
      <c r="F54" s="13" t="s">
        <v>135</v>
      </c>
      <c r="G54" s="10">
        <v>0</v>
      </c>
      <c r="H54" s="105"/>
    </row>
    <row r="55" spans="1:8" ht="14.1" customHeight="1" x14ac:dyDescent="0.2">
      <c r="A55" s="1"/>
      <c r="B55" s="1"/>
      <c r="C55" s="11"/>
      <c r="D55" s="1"/>
      <c r="E55" s="1"/>
      <c r="F55" s="12"/>
      <c r="G55" s="12"/>
      <c r="H55" s="105"/>
    </row>
    <row r="56" spans="1:8" ht="14.1" customHeight="1" x14ac:dyDescent="0.2">
      <c r="A56" s="1"/>
      <c r="B56" s="1"/>
      <c r="C56" s="2" t="s">
        <v>138</v>
      </c>
      <c r="D56" s="1"/>
      <c r="E56" s="1"/>
      <c r="F56" s="12"/>
      <c r="G56" s="12"/>
      <c r="H56" s="105"/>
    </row>
    <row r="57" spans="1:8" ht="14.1" customHeight="1" x14ac:dyDescent="0.2">
      <c r="A57" s="1"/>
      <c r="B57" s="1"/>
      <c r="C57" s="2" t="s">
        <v>132</v>
      </c>
      <c r="D57" s="1"/>
      <c r="E57" s="1" t="s">
        <v>133</v>
      </c>
      <c r="F57" s="13" t="s">
        <v>135</v>
      </c>
      <c r="G57" s="10">
        <v>0</v>
      </c>
      <c r="H57" s="105"/>
    </row>
    <row r="58" spans="1:8" ht="14.1" customHeight="1" x14ac:dyDescent="0.2">
      <c r="A58" s="1"/>
      <c r="B58" s="1"/>
      <c r="C58" s="11"/>
      <c r="D58" s="1"/>
      <c r="E58" s="1"/>
      <c r="F58" s="12"/>
      <c r="G58" s="12"/>
      <c r="H58" s="105"/>
    </row>
    <row r="59" spans="1:8" ht="14.1" customHeight="1" x14ac:dyDescent="0.2">
      <c r="A59" s="1"/>
      <c r="B59" s="1"/>
      <c r="C59" s="2" t="s">
        <v>139</v>
      </c>
      <c r="D59" s="1"/>
      <c r="E59" s="1"/>
      <c r="F59" s="12"/>
      <c r="G59" s="12"/>
      <c r="H59" s="105"/>
    </row>
    <row r="60" spans="1:8" ht="14.1" customHeight="1" x14ac:dyDescent="0.2">
      <c r="A60" s="1"/>
      <c r="B60" s="1"/>
      <c r="C60" s="2" t="s">
        <v>132</v>
      </c>
      <c r="D60" s="1"/>
      <c r="E60" s="1" t="s">
        <v>133</v>
      </c>
      <c r="F60" s="13" t="s">
        <v>135</v>
      </c>
      <c r="G60" s="10">
        <v>0</v>
      </c>
      <c r="H60" s="105"/>
    </row>
    <row r="61" spans="1:8" ht="14.1" customHeight="1" x14ac:dyDescent="0.2">
      <c r="A61" s="1"/>
      <c r="B61" s="1"/>
      <c r="C61" s="11"/>
      <c r="D61" s="1"/>
      <c r="E61" s="1"/>
      <c r="F61" s="12"/>
      <c r="G61" s="12"/>
      <c r="H61" s="105"/>
    </row>
    <row r="62" spans="1:8" ht="18" customHeight="1" x14ac:dyDescent="0.2">
      <c r="A62" s="1"/>
      <c r="B62" s="1"/>
      <c r="C62" s="2" t="s">
        <v>140</v>
      </c>
      <c r="D62" s="1"/>
      <c r="E62" s="1"/>
      <c r="F62" s="9">
        <v>106286.6546375</v>
      </c>
      <c r="G62" s="10">
        <v>0.94594407999999996</v>
      </c>
      <c r="H62" s="105"/>
    </row>
    <row r="63" spans="1:8" ht="14.1" customHeight="1" x14ac:dyDescent="0.2">
      <c r="A63" s="1"/>
      <c r="B63" s="1"/>
      <c r="C63" s="11"/>
      <c r="D63" s="1"/>
      <c r="E63" s="1"/>
      <c r="F63" s="12"/>
      <c r="G63" s="12"/>
      <c r="H63" s="105"/>
    </row>
    <row r="64" spans="1:8" ht="14.1" customHeight="1" x14ac:dyDescent="0.2">
      <c r="A64" s="1"/>
      <c r="B64" s="1"/>
      <c r="C64" s="2" t="s">
        <v>141</v>
      </c>
      <c r="D64" s="1"/>
      <c r="E64" s="1"/>
      <c r="F64" s="12"/>
      <c r="G64" s="12"/>
      <c r="H64" s="105"/>
    </row>
    <row r="65" spans="1:8" ht="24" customHeight="1" x14ac:dyDescent="0.2">
      <c r="A65" s="1"/>
      <c r="B65" s="1"/>
      <c r="C65" s="2" t="s">
        <v>10</v>
      </c>
      <c r="D65" s="1"/>
      <c r="E65" s="1"/>
      <c r="F65" s="12"/>
      <c r="G65" s="12"/>
      <c r="H65" s="105"/>
    </row>
    <row r="66" spans="1:8" ht="14.1" customHeight="1" x14ac:dyDescent="0.2">
      <c r="A66" s="1"/>
      <c r="B66" s="1"/>
      <c r="C66" s="2" t="s">
        <v>132</v>
      </c>
      <c r="D66" s="1"/>
      <c r="E66" s="1" t="s">
        <v>133</v>
      </c>
      <c r="F66" s="13" t="s">
        <v>135</v>
      </c>
      <c r="G66" s="10">
        <v>0</v>
      </c>
      <c r="H66" s="105"/>
    </row>
    <row r="67" spans="1:8" ht="14.1" customHeight="1" x14ac:dyDescent="0.2">
      <c r="A67" s="1"/>
      <c r="B67" s="1"/>
      <c r="C67" s="11"/>
      <c r="D67" s="1"/>
      <c r="E67" s="1"/>
      <c r="F67" s="12"/>
      <c r="G67" s="12"/>
      <c r="H67" s="105"/>
    </row>
    <row r="68" spans="1:8" ht="14.1" customHeight="1" x14ac:dyDescent="0.2">
      <c r="A68" s="1"/>
      <c r="B68" s="1"/>
      <c r="C68" s="2" t="s">
        <v>142</v>
      </c>
      <c r="D68" s="1"/>
      <c r="E68" s="1"/>
      <c r="F68" s="1"/>
      <c r="G68" s="1"/>
      <c r="H68" s="105"/>
    </row>
    <row r="69" spans="1:8" ht="14.1" customHeight="1" x14ac:dyDescent="0.2">
      <c r="A69" s="1"/>
      <c r="B69" s="1"/>
      <c r="C69" s="2" t="s">
        <v>132</v>
      </c>
      <c r="D69" s="1"/>
      <c r="E69" s="1" t="s">
        <v>133</v>
      </c>
      <c r="F69" s="13" t="s">
        <v>135</v>
      </c>
      <c r="G69" s="10">
        <v>0</v>
      </c>
      <c r="H69" s="105"/>
    </row>
    <row r="70" spans="1:8" ht="14.1" customHeight="1" x14ac:dyDescent="0.2">
      <c r="A70" s="1"/>
      <c r="B70" s="1"/>
      <c r="C70" s="11"/>
      <c r="D70" s="1"/>
      <c r="E70" s="1"/>
      <c r="F70" s="12"/>
      <c r="G70" s="12"/>
      <c r="H70" s="105"/>
    </row>
    <row r="71" spans="1:8" ht="14.1" customHeight="1" x14ac:dyDescent="0.2">
      <c r="A71" s="1"/>
      <c r="B71" s="1"/>
      <c r="C71" s="2" t="s">
        <v>143</v>
      </c>
      <c r="D71" s="1"/>
      <c r="E71" s="1"/>
      <c r="F71" s="1"/>
      <c r="G71" s="1"/>
      <c r="H71" s="105"/>
    </row>
    <row r="72" spans="1:8" ht="14.1" customHeight="1" x14ac:dyDescent="0.2">
      <c r="A72" s="1"/>
      <c r="B72" s="1"/>
      <c r="C72" s="2" t="s">
        <v>132</v>
      </c>
      <c r="D72" s="1"/>
      <c r="E72" s="1" t="s">
        <v>133</v>
      </c>
      <c r="F72" s="13" t="s">
        <v>135</v>
      </c>
      <c r="G72" s="10">
        <v>0</v>
      </c>
      <c r="H72" s="105"/>
    </row>
    <row r="73" spans="1:8" ht="14.1" customHeight="1" x14ac:dyDescent="0.2">
      <c r="A73" s="1"/>
      <c r="B73" s="1"/>
      <c r="C73" s="11"/>
      <c r="D73" s="1"/>
      <c r="E73" s="1"/>
      <c r="F73" s="12"/>
      <c r="G73" s="12"/>
      <c r="H73" s="105"/>
    </row>
    <row r="74" spans="1:8" ht="14.1" customHeight="1" x14ac:dyDescent="0.2">
      <c r="A74" s="1"/>
      <c r="B74" s="1"/>
      <c r="C74" s="2" t="s">
        <v>144</v>
      </c>
      <c r="D74" s="1"/>
      <c r="E74" s="1"/>
      <c r="F74" s="12"/>
      <c r="G74" s="12"/>
      <c r="H74" s="105"/>
    </row>
    <row r="75" spans="1:8" ht="14.1" customHeight="1" x14ac:dyDescent="0.2">
      <c r="A75" s="1"/>
      <c r="B75" s="1"/>
      <c r="C75" s="2" t="s">
        <v>132</v>
      </c>
      <c r="D75" s="1"/>
      <c r="E75" s="1" t="s">
        <v>133</v>
      </c>
      <c r="F75" s="13" t="s">
        <v>135</v>
      </c>
      <c r="G75" s="10">
        <v>0</v>
      </c>
      <c r="H75" s="105"/>
    </row>
    <row r="76" spans="1:8" ht="14.1" customHeight="1" x14ac:dyDescent="0.2">
      <c r="A76" s="1"/>
      <c r="B76" s="1"/>
      <c r="C76" s="11"/>
      <c r="D76" s="1"/>
      <c r="E76" s="1"/>
      <c r="F76" s="12"/>
      <c r="G76" s="12"/>
      <c r="H76" s="105"/>
    </row>
    <row r="77" spans="1:8" ht="14.1" customHeight="1" x14ac:dyDescent="0.2">
      <c r="A77" s="1"/>
      <c r="B77" s="1"/>
      <c r="C77" s="2" t="s">
        <v>145</v>
      </c>
      <c r="D77" s="1"/>
      <c r="E77" s="1"/>
      <c r="F77" s="9">
        <v>0</v>
      </c>
      <c r="G77" s="10">
        <v>0</v>
      </c>
      <c r="H77" s="105"/>
    </row>
    <row r="78" spans="1:8" ht="14.1" customHeight="1" x14ac:dyDescent="0.2">
      <c r="A78" s="1"/>
      <c r="B78" s="1"/>
      <c r="C78" s="11"/>
      <c r="D78" s="1"/>
      <c r="E78" s="1"/>
      <c r="F78" s="12"/>
      <c r="G78" s="12"/>
      <c r="H78" s="105"/>
    </row>
    <row r="79" spans="1:8" ht="14.1" customHeight="1" x14ac:dyDescent="0.2">
      <c r="A79" s="1"/>
      <c r="B79" s="1"/>
      <c r="C79" s="2" t="s">
        <v>146</v>
      </c>
      <c r="D79" s="1"/>
      <c r="E79" s="1"/>
      <c r="F79" s="12"/>
      <c r="G79" s="12"/>
      <c r="H79" s="105"/>
    </row>
    <row r="80" spans="1:8" ht="14.1" customHeight="1" x14ac:dyDescent="0.2">
      <c r="A80" s="1"/>
      <c r="B80" s="1"/>
      <c r="C80" s="2" t="s">
        <v>147</v>
      </c>
      <c r="D80" s="1"/>
      <c r="E80" s="1"/>
      <c r="F80" s="12"/>
      <c r="G80" s="12"/>
      <c r="H80" s="105"/>
    </row>
    <row r="81" spans="1:8" ht="14.1" customHeight="1" x14ac:dyDescent="0.2">
      <c r="A81" s="1"/>
      <c r="B81" s="1"/>
      <c r="C81" s="2" t="s">
        <v>132</v>
      </c>
      <c r="D81" s="1"/>
      <c r="E81" s="1" t="s">
        <v>133</v>
      </c>
      <c r="F81" s="13" t="s">
        <v>135</v>
      </c>
      <c r="G81" s="10">
        <v>0</v>
      </c>
      <c r="H81" s="105"/>
    </row>
    <row r="82" spans="1:8" ht="14.1" customHeight="1" x14ac:dyDescent="0.2">
      <c r="A82" s="1"/>
      <c r="B82" s="1"/>
      <c r="C82" s="11"/>
      <c r="D82" s="1"/>
      <c r="E82" s="1"/>
      <c r="F82" s="12"/>
      <c r="G82" s="12"/>
      <c r="H82" s="105"/>
    </row>
    <row r="83" spans="1:8" ht="14.1" customHeight="1" x14ac:dyDescent="0.2">
      <c r="A83" s="1"/>
      <c r="B83" s="1"/>
      <c r="C83" s="2" t="s">
        <v>148</v>
      </c>
      <c r="D83" s="1"/>
      <c r="E83" s="1"/>
      <c r="F83" s="12"/>
      <c r="G83" s="12"/>
      <c r="H83" s="105"/>
    </row>
    <row r="84" spans="1:8" ht="14.1" customHeight="1" x14ac:dyDescent="0.2">
      <c r="A84" s="1"/>
      <c r="B84" s="1"/>
      <c r="C84" s="2" t="s">
        <v>132</v>
      </c>
      <c r="D84" s="1"/>
      <c r="E84" s="1" t="s">
        <v>133</v>
      </c>
      <c r="F84" s="13" t="s">
        <v>135</v>
      </c>
      <c r="G84" s="10">
        <v>0</v>
      </c>
      <c r="H84" s="105"/>
    </row>
    <row r="85" spans="1:8" ht="14.1" customHeight="1" x14ac:dyDescent="0.2">
      <c r="A85" s="1"/>
      <c r="B85" s="1"/>
      <c r="C85" s="11"/>
      <c r="D85" s="1"/>
      <c r="E85" s="1"/>
      <c r="F85" s="12"/>
      <c r="G85" s="12"/>
      <c r="H85" s="105"/>
    </row>
    <row r="86" spans="1:8" ht="14.1" customHeight="1" x14ac:dyDescent="0.2">
      <c r="A86" s="1"/>
      <c r="B86" s="1"/>
      <c r="C86" s="2" t="s">
        <v>149</v>
      </c>
      <c r="D86" s="1"/>
      <c r="E86" s="1"/>
      <c r="F86" s="12"/>
      <c r="G86" s="12"/>
      <c r="H86" s="105"/>
    </row>
    <row r="87" spans="1:8" ht="14.1" customHeight="1" x14ac:dyDescent="0.2">
      <c r="A87" s="1"/>
      <c r="B87" s="1"/>
      <c r="C87" s="2" t="s">
        <v>132</v>
      </c>
      <c r="D87" s="1"/>
      <c r="E87" s="1" t="s">
        <v>133</v>
      </c>
      <c r="F87" s="13" t="s">
        <v>135</v>
      </c>
      <c r="G87" s="10">
        <v>0</v>
      </c>
      <c r="H87" s="105"/>
    </row>
    <row r="88" spans="1:8" ht="14.1" customHeight="1" x14ac:dyDescent="0.2">
      <c r="A88" s="1"/>
      <c r="B88" s="1"/>
      <c r="C88" s="11"/>
      <c r="D88" s="1"/>
      <c r="E88" s="1"/>
      <c r="F88" s="12"/>
      <c r="G88" s="12"/>
      <c r="H88" s="105"/>
    </row>
    <row r="89" spans="1:8" ht="14.1" customHeight="1" x14ac:dyDescent="0.2">
      <c r="A89" s="1"/>
      <c r="B89" s="1"/>
      <c r="C89" s="2" t="s">
        <v>150</v>
      </c>
      <c r="D89" s="1"/>
      <c r="E89" s="1"/>
      <c r="F89" s="12"/>
      <c r="G89" s="12"/>
      <c r="H89" s="105"/>
    </row>
    <row r="90" spans="1:8" ht="17.100000000000001" customHeight="1" x14ac:dyDescent="0.2">
      <c r="A90" s="3">
        <v>1</v>
      </c>
      <c r="B90" s="4"/>
      <c r="C90" s="4" t="s">
        <v>151</v>
      </c>
      <c r="D90" s="4"/>
      <c r="E90" s="8"/>
      <c r="F90" s="6">
        <v>5594.4773340000002</v>
      </c>
      <c r="G90" s="7">
        <v>4.9790470000000003E-2</v>
      </c>
      <c r="H90" s="105">
        <v>6.8153352377542396</v>
      </c>
    </row>
    <row r="91" spans="1:8" ht="17.100000000000001" customHeight="1" x14ac:dyDescent="0.2">
      <c r="A91" s="3">
        <v>2</v>
      </c>
      <c r="B91" s="4"/>
      <c r="C91" s="4" t="s">
        <v>152</v>
      </c>
      <c r="D91" s="4"/>
      <c r="E91" s="8"/>
      <c r="F91" s="6">
        <v>663.87564259700002</v>
      </c>
      <c r="G91" s="7">
        <v>5.90845E-3</v>
      </c>
      <c r="H91" s="105">
        <v>6.7952403714590259</v>
      </c>
    </row>
    <row r="92" spans="1:8" ht="14.1" customHeight="1" x14ac:dyDescent="0.2">
      <c r="A92" s="1"/>
      <c r="B92" s="1"/>
      <c r="C92" s="2" t="s">
        <v>132</v>
      </c>
      <c r="D92" s="1"/>
      <c r="E92" s="1" t="s">
        <v>133</v>
      </c>
      <c r="F92" s="9">
        <v>6258.3529765969997</v>
      </c>
      <c r="G92" s="10">
        <v>5.5698919999999999E-2</v>
      </c>
      <c r="H92" s="105"/>
    </row>
    <row r="93" spans="1:8" ht="14.1" customHeight="1" x14ac:dyDescent="0.2">
      <c r="A93" s="1"/>
      <c r="B93" s="1"/>
      <c r="C93" s="11"/>
      <c r="D93" s="1"/>
      <c r="E93" s="1"/>
      <c r="F93" s="12"/>
      <c r="G93" s="12"/>
      <c r="H93" s="105"/>
    </row>
    <row r="94" spans="1:8" ht="14.1" customHeight="1" x14ac:dyDescent="0.2">
      <c r="A94" s="1"/>
      <c r="B94" s="1"/>
      <c r="C94" s="2" t="s">
        <v>153</v>
      </c>
      <c r="D94" s="1"/>
      <c r="E94" s="1"/>
      <c r="F94" s="9">
        <v>6258.3529765969997</v>
      </c>
      <c r="G94" s="10">
        <v>5.5698919999999999E-2</v>
      </c>
      <c r="H94" s="105"/>
    </row>
    <row r="95" spans="1:8" ht="14.1" customHeight="1" x14ac:dyDescent="0.2">
      <c r="A95" s="1"/>
      <c r="B95" s="1"/>
      <c r="C95" s="12"/>
      <c r="D95" s="1"/>
      <c r="E95" s="1"/>
      <c r="F95" s="1"/>
      <c r="G95" s="1"/>
      <c r="H95" s="105"/>
    </row>
    <row r="96" spans="1:8" ht="14.1" customHeight="1" x14ac:dyDescent="0.2">
      <c r="A96" s="1"/>
      <c r="B96" s="1"/>
      <c r="C96" s="2" t="s">
        <v>154</v>
      </c>
      <c r="D96" s="1"/>
      <c r="E96" s="1"/>
      <c r="F96" s="1"/>
      <c r="G96" s="1"/>
      <c r="H96" s="105"/>
    </row>
    <row r="97" spans="1:8" ht="14.1" customHeight="1" x14ac:dyDescent="0.2">
      <c r="A97" s="1"/>
      <c r="B97" s="1"/>
      <c r="C97" s="2" t="s">
        <v>155</v>
      </c>
      <c r="D97" s="1"/>
      <c r="E97" s="1"/>
      <c r="F97" s="1"/>
      <c r="G97" s="1"/>
      <c r="H97" s="105"/>
    </row>
    <row r="98" spans="1:8" ht="14.1" customHeight="1" x14ac:dyDescent="0.2">
      <c r="A98" s="1"/>
      <c r="B98" s="1"/>
      <c r="C98" s="2" t="s">
        <v>132</v>
      </c>
      <c r="D98" s="1"/>
      <c r="E98" s="1" t="s">
        <v>133</v>
      </c>
      <c r="F98" s="13" t="s">
        <v>135</v>
      </c>
      <c r="G98" s="10">
        <v>0</v>
      </c>
      <c r="H98" s="105"/>
    </row>
    <row r="99" spans="1:8" ht="14.1" customHeight="1" x14ac:dyDescent="0.2">
      <c r="A99" s="1"/>
      <c r="B99" s="1"/>
      <c r="C99" s="11"/>
      <c r="D99" s="1"/>
      <c r="E99" s="1"/>
      <c r="F99" s="12"/>
      <c r="G99" s="12"/>
      <c r="H99" s="105"/>
    </row>
    <row r="100" spans="1:8" ht="14.1" customHeight="1" x14ac:dyDescent="0.2">
      <c r="A100" s="1"/>
      <c r="B100" s="1"/>
      <c r="C100" s="2" t="s">
        <v>156</v>
      </c>
      <c r="D100" s="1"/>
      <c r="E100" s="1"/>
      <c r="F100" s="1"/>
      <c r="G100" s="1"/>
      <c r="H100" s="105"/>
    </row>
    <row r="101" spans="1:8" ht="14.1" customHeight="1" x14ac:dyDescent="0.2">
      <c r="A101" s="1"/>
      <c r="B101" s="1"/>
      <c r="C101" s="2" t="s">
        <v>157</v>
      </c>
      <c r="D101" s="1"/>
      <c r="E101" s="1"/>
      <c r="F101" s="1"/>
      <c r="G101" s="1"/>
      <c r="H101" s="105"/>
    </row>
    <row r="102" spans="1:8" ht="14.1" customHeight="1" x14ac:dyDescent="0.2">
      <c r="A102" s="1"/>
      <c r="B102" s="1"/>
      <c r="C102" s="2" t="s">
        <v>132</v>
      </c>
      <c r="D102" s="1"/>
      <c r="E102" s="1" t="s">
        <v>133</v>
      </c>
      <c r="F102" s="13" t="s">
        <v>135</v>
      </c>
      <c r="G102" s="10">
        <v>0</v>
      </c>
      <c r="H102" s="105"/>
    </row>
    <row r="103" spans="1:8" ht="14.1" customHeight="1" x14ac:dyDescent="0.2">
      <c r="A103" s="1"/>
      <c r="B103" s="1"/>
      <c r="C103" s="11"/>
      <c r="D103" s="1"/>
      <c r="E103" s="1"/>
      <c r="F103" s="12"/>
      <c r="G103" s="12"/>
      <c r="H103" s="105"/>
    </row>
    <row r="104" spans="1:8" ht="24" customHeight="1" x14ac:dyDescent="0.2">
      <c r="A104" s="1"/>
      <c r="B104" s="1"/>
      <c r="C104" s="2" t="s">
        <v>158</v>
      </c>
      <c r="D104" s="1"/>
      <c r="E104" s="1"/>
      <c r="F104" s="12"/>
      <c r="G104" s="12"/>
      <c r="H104" s="105"/>
    </row>
    <row r="105" spans="1:8" ht="14.1" customHeight="1" x14ac:dyDescent="0.2">
      <c r="A105" s="1"/>
      <c r="B105" s="1"/>
      <c r="C105" s="2" t="s">
        <v>132</v>
      </c>
      <c r="D105" s="1"/>
      <c r="E105" s="1" t="s">
        <v>133</v>
      </c>
      <c r="F105" s="13" t="s">
        <v>135</v>
      </c>
      <c r="G105" s="10">
        <v>0</v>
      </c>
      <c r="H105" s="105"/>
    </row>
    <row r="106" spans="1:8" ht="14.1" customHeight="1" x14ac:dyDescent="0.2">
      <c r="A106" s="1"/>
      <c r="B106" s="1"/>
      <c r="C106" s="11"/>
      <c r="D106" s="1"/>
      <c r="E106" s="1"/>
      <c r="F106" s="12"/>
      <c r="G106" s="12"/>
      <c r="H106" s="105"/>
    </row>
    <row r="107" spans="1:8" ht="14.1" customHeight="1" x14ac:dyDescent="0.2">
      <c r="A107" s="1"/>
      <c r="B107" s="4"/>
      <c r="C107" s="4"/>
      <c r="D107" s="2"/>
      <c r="E107" s="1"/>
      <c r="F107" s="4"/>
      <c r="G107" s="8"/>
      <c r="H107" s="105"/>
    </row>
    <row r="108" spans="1:8" ht="18" customHeight="1" x14ac:dyDescent="0.2">
      <c r="A108" s="8"/>
      <c r="B108" s="4"/>
      <c r="C108" s="4" t="s">
        <v>159</v>
      </c>
      <c r="D108" s="4"/>
      <c r="E108" s="8"/>
      <c r="F108" s="6">
        <v>-184.60465887999999</v>
      </c>
      <c r="G108" s="7">
        <v>-1.6429700000000001E-3</v>
      </c>
      <c r="H108" s="105"/>
    </row>
    <row r="109" spans="1:8" ht="14.1" customHeight="1" x14ac:dyDescent="0.2">
      <c r="A109" s="11"/>
      <c r="B109" s="11"/>
      <c r="C109" s="2" t="s">
        <v>160</v>
      </c>
      <c r="D109" s="12"/>
      <c r="E109" s="12"/>
      <c r="F109" s="9">
        <v>112360.402955217</v>
      </c>
      <c r="G109" s="14">
        <v>1.00000003</v>
      </c>
      <c r="H109" s="105"/>
    </row>
    <row r="110" spans="1:8" ht="14.1" customHeight="1" x14ac:dyDescent="0.2">
      <c r="A110" s="15"/>
      <c r="B110" s="15"/>
      <c r="C110" s="15"/>
      <c r="D110" s="16"/>
      <c r="E110" s="16"/>
      <c r="F110" s="16"/>
      <c r="G110" s="16"/>
    </row>
    <row r="111" spans="1:8" ht="14.1" customHeight="1" x14ac:dyDescent="0.2">
      <c r="A111" s="17"/>
      <c r="B111" s="17"/>
      <c r="C111" s="17"/>
      <c r="D111" s="19"/>
      <c r="E111" s="19"/>
      <c r="F111" s="19"/>
      <c r="G111" s="19"/>
    </row>
    <row r="112" spans="1:8" ht="14.1" customHeight="1" x14ac:dyDescent="0.2">
      <c r="A112" s="17"/>
      <c r="B112" s="179" t="s">
        <v>162</v>
      </c>
      <c r="C112" s="180"/>
      <c r="D112" s="181"/>
      <c r="E112" s="20"/>
      <c r="F112" s="19"/>
      <c r="G112" s="19"/>
    </row>
    <row r="113" spans="1:7" ht="29.1" customHeight="1" x14ac:dyDescent="0.2">
      <c r="A113" s="17"/>
      <c r="B113" s="176" t="s">
        <v>163</v>
      </c>
      <c r="C113" s="177"/>
      <c r="D113" s="2" t="s">
        <v>164</v>
      </c>
      <c r="E113" s="20"/>
      <c r="F113" s="19"/>
      <c r="G113" s="19"/>
    </row>
    <row r="114" spans="1:7" ht="17.100000000000001" customHeight="1" x14ac:dyDescent="0.2">
      <c r="A114" s="17"/>
      <c r="B114" s="176" t="s">
        <v>165</v>
      </c>
      <c r="C114" s="177"/>
      <c r="D114" s="2" t="s">
        <v>164</v>
      </c>
      <c r="E114" s="20"/>
      <c r="F114" s="19"/>
      <c r="G114" s="19"/>
    </row>
    <row r="115" spans="1:7" ht="17.100000000000001" customHeight="1" x14ac:dyDescent="0.2">
      <c r="A115" s="17"/>
      <c r="B115" s="176" t="s">
        <v>166</v>
      </c>
      <c r="C115" s="177"/>
      <c r="D115" s="12" t="s">
        <v>133</v>
      </c>
      <c r="E115" s="20"/>
      <c r="F115" s="19"/>
      <c r="G115" s="19"/>
    </row>
    <row r="116" spans="1:7" ht="24" customHeight="1" x14ac:dyDescent="0.2">
      <c r="A116" s="21"/>
      <c r="B116" s="22" t="s">
        <v>133</v>
      </c>
      <c r="C116" s="22" t="s">
        <v>167</v>
      </c>
      <c r="D116" s="22" t="s">
        <v>168</v>
      </c>
      <c r="E116" s="21"/>
      <c r="F116" s="21"/>
      <c r="G116" s="21"/>
    </row>
    <row r="117" spans="1:7" ht="18" customHeight="1" x14ac:dyDescent="0.2">
      <c r="A117" s="21"/>
      <c r="B117" s="23" t="s">
        <v>169</v>
      </c>
      <c r="C117" s="22" t="s">
        <v>170</v>
      </c>
      <c r="D117" s="22" t="s">
        <v>171</v>
      </c>
      <c r="E117" s="21"/>
      <c r="F117" s="21"/>
      <c r="G117" s="21"/>
    </row>
    <row r="118" spans="1:7" ht="17.100000000000001" customHeight="1" x14ac:dyDescent="0.2">
      <c r="A118" s="21"/>
      <c r="B118" s="4" t="s">
        <v>172</v>
      </c>
      <c r="C118" s="24">
        <v>63.5535</v>
      </c>
      <c r="D118" s="24">
        <v>66.303299999999993</v>
      </c>
      <c r="E118" s="21"/>
      <c r="F118" s="18"/>
      <c r="G118" s="25"/>
    </row>
    <row r="119" spans="1:7" ht="17.100000000000001" customHeight="1" x14ac:dyDescent="0.2">
      <c r="A119" s="21"/>
      <c r="B119" s="4" t="s">
        <v>1006</v>
      </c>
      <c r="C119" s="24">
        <v>22.752700000000001</v>
      </c>
      <c r="D119" s="24">
        <v>23.737100000000002</v>
      </c>
      <c r="E119" s="21"/>
      <c r="F119" s="18"/>
      <c r="G119" s="25"/>
    </row>
    <row r="120" spans="1:7" ht="17.100000000000001" customHeight="1" x14ac:dyDescent="0.2">
      <c r="A120" s="21"/>
      <c r="B120" s="4" t="s">
        <v>173</v>
      </c>
      <c r="C120" s="24">
        <v>59.141500000000001</v>
      </c>
      <c r="D120" s="24">
        <v>61.658799999999999</v>
      </c>
      <c r="E120" s="21"/>
      <c r="F120" s="18"/>
      <c r="G120" s="25"/>
    </row>
    <row r="121" spans="1:7" ht="17.100000000000001" customHeight="1" x14ac:dyDescent="0.2">
      <c r="A121" s="21"/>
      <c r="B121" s="4" t="s">
        <v>1007</v>
      </c>
      <c r="C121" s="24">
        <v>20.8233</v>
      </c>
      <c r="D121" s="24">
        <v>21.709599999999998</v>
      </c>
      <c r="E121" s="21"/>
      <c r="F121" s="18"/>
      <c r="G121" s="25"/>
    </row>
    <row r="122" spans="1:7" ht="14.1" customHeight="1" x14ac:dyDescent="0.2">
      <c r="A122" s="21"/>
      <c r="B122" s="21"/>
      <c r="C122" s="21"/>
      <c r="D122" s="21"/>
      <c r="E122" s="21"/>
      <c r="F122" s="21"/>
      <c r="G122" s="21"/>
    </row>
    <row r="123" spans="1:7" ht="17.100000000000001" customHeight="1" x14ac:dyDescent="0.2">
      <c r="A123" s="21"/>
      <c r="B123" s="176" t="s">
        <v>1008</v>
      </c>
      <c r="C123" s="177"/>
      <c r="D123" s="2" t="s">
        <v>164</v>
      </c>
      <c r="E123" s="21"/>
      <c r="F123" s="21"/>
      <c r="G123" s="21"/>
    </row>
    <row r="124" spans="1:7" ht="18" customHeight="1" x14ac:dyDescent="0.2">
      <c r="A124" s="21"/>
      <c r="B124" s="26"/>
      <c r="C124" s="26"/>
      <c r="D124" s="26"/>
      <c r="E124" s="21"/>
      <c r="F124" s="21"/>
      <c r="G124" s="21"/>
    </row>
    <row r="125" spans="1:7" ht="29.1" customHeight="1" x14ac:dyDescent="0.2">
      <c r="A125" s="21"/>
      <c r="B125" s="176" t="s">
        <v>174</v>
      </c>
      <c r="C125" s="177"/>
      <c r="D125" s="2" t="s">
        <v>164</v>
      </c>
      <c r="E125" s="27"/>
      <c r="F125" s="21"/>
      <c r="G125" s="21"/>
    </row>
    <row r="126" spans="1:7" ht="29.1" customHeight="1" x14ac:dyDescent="0.2">
      <c r="A126" s="21"/>
      <c r="B126" s="176" t="s">
        <v>175</v>
      </c>
      <c r="C126" s="177"/>
      <c r="D126" s="2" t="s">
        <v>164</v>
      </c>
      <c r="E126" s="27"/>
      <c r="F126" s="21"/>
      <c r="G126" s="21"/>
    </row>
    <row r="127" spans="1:7" ht="17.100000000000001" customHeight="1" x14ac:dyDescent="0.2">
      <c r="A127" s="21"/>
      <c r="B127" s="176" t="s">
        <v>176</v>
      </c>
      <c r="C127" s="177"/>
      <c r="D127" s="2" t="s">
        <v>164</v>
      </c>
      <c r="E127" s="27"/>
      <c r="F127" s="21"/>
      <c r="G127" s="21"/>
    </row>
    <row r="128" spans="1:7" ht="17.100000000000001" customHeight="1" x14ac:dyDescent="0.2">
      <c r="A128" s="21"/>
      <c r="B128" s="176" t="s">
        <v>177</v>
      </c>
      <c r="C128" s="177"/>
      <c r="D128" s="60">
        <v>0.55058341287213008</v>
      </c>
      <c r="E128" s="21"/>
      <c r="F128" s="18"/>
      <c r="G128" s="25"/>
    </row>
  </sheetData>
  <mergeCells count="13">
    <mergeCell ref="B128:C128"/>
    <mergeCell ref="B114:C114"/>
    <mergeCell ref="B115:C115"/>
    <mergeCell ref="B123:C123"/>
    <mergeCell ref="B125:C125"/>
    <mergeCell ref="B126:C126"/>
    <mergeCell ref="B127:C127"/>
    <mergeCell ref="J2:N2"/>
    <mergeCell ref="B113:C113"/>
    <mergeCell ref="B112:D112"/>
    <mergeCell ref="A1:H1"/>
    <mergeCell ref="A2:H2"/>
    <mergeCell ref="A3:H3"/>
  </mergeCells>
  <hyperlinks>
    <hyperlink ref="I1" location="Index!B30" display="Index" xr:uid="{636BD8A7-56C1-4A00-83F7-AB5E14BEA9DD}"/>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outlinePr summaryBelow="0" summaryRight="0"/>
  </sheetPr>
  <dimension ref="A1:O135"/>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5" ht="18" customHeight="1" x14ac:dyDescent="0.2">
      <c r="A1" s="182" t="s">
        <v>0</v>
      </c>
      <c r="B1" s="182"/>
      <c r="C1" s="182"/>
      <c r="D1" s="182"/>
      <c r="E1" s="182"/>
      <c r="F1" s="182"/>
      <c r="G1" s="182"/>
      <c r="H1" s="182"/>
      <c r="I1" s="159" t="s">
        <v>1044</v>
      </c>
    </row>
    <row r="2" spans="1:15" ht="17.100000000000001" customHeight="1" x14ac:dyDescent="0.2">
      <c r="A2" s="183" t="s">
        <v>818</v>
      </c>
      <c r="B2" s="184"/>
      <c r="C2" s="184"/>
      <c r="D2" s="184"/>
      <c r="E2" s="184"/>
      <c r="F2" s="184"/>
      <c r="G2" s="184"/>
      <c r="H2" s="185"/>
      <c r="J2" s="175" t="s">
        <v>1045</v>
      </c>
      <c r="K2" s="175"/>
      <c r="L2" s="175"/>
      <c r="M2" s="175"/>
      <c r="N2" s="175"/>
    </row>
    <row r="3" spans="1:15" ht="21" customHeight="1" x14ac:dyDescent="0.2">
      <c r="A3" s="182" t="s">
        <v>1016</v>
      </c>
      <c r="B3" s="182"/>
      <c r="C3" s="182"/>
      <c r="D3" s="182"/>
      <c r="E3" s="182"/>
      <c r="F3" s="182"/>
      <c r="G3" s="182"/>
      <c r="H3" s="182"/>
    </row>
    <row r="4" spans="1:15" ht="30" x14ac:dyDescent="0.2">
      <c r="A4" s="107" t="s">
        <v>2</v>
      </c>
      <c r="B4" s="107" t="s">
        <v>3</v>
      </c>
      <c r="C4" s="107" t="s">
        <v>4</v>
      </c>
      <c r="D4" s="107" t="s">
        <v>5</v>
      </c>
      <c r="E4" s="107" t="s">
        <v>6</v>
      </c>
      <c r="F4" s="107" t="s">
        <v>7</v>
      </c>
      <c r="G4" s="107" t="s">
        <v>8</v>
      </c>
      <c r="H4" s="104" t="s">
        <v>1003</v>
      </c>
      <c r="I4" s="108"/>
      <c r="J4" s="108"/>
      <c r="K4" s="108"/>
      <c r="L4" s="108"/>
      <c r="M4" s="108"/>
      <c r="N4" s="108"/>
      <c r="O4" s="108"/>
    </row>
    <row r="5" spans="1:15" ht="14.1" customHeight="1" x14ac:dyDescent="0.2">
      <c r="A5" s="1"/>
      <c r="B5" s="1"/>
      <c r="C5" s="2" t="s">
        <v>9</v>
      </c>
      <c r="D5" s="1"/>
      <c r="E5" s="1"/>
      <c r="F5" s="1"/>
      <c r="G5" s="1"/>
      <c r="H5" s="105"/>
    </row>
    <row r="6" spans="1:15" ht="24" customHeight="1" x14ac:dyDescent="0.2">
      <c r="A6" s="1"/>
      <c r="B6" s="1"/>
      <c r="C6" s="2" t="s">
        <v>10</v>
      </c>
      <c r="D6" s="1"/>
      <c r="E6" s="1"/>
      <c r="F6" s="1"/>
      <c r="G6" s="1"/>
      <c r="H6" s="105"/>
    </row>
    <row r="7" spans="1:15" ht="17.100000000000001" customHeight="1" x14ac:dyDescent="0.2">
      <c r="A7" s="3">
        <v>1</v>
      </c>
      <c r="B7" s="4" t="s">
        <v>23</v>
      </c>
      <c r="C7" s="4" t="s">
        <v>24</v>
      </c>
      <c r="D7" s="4" t="s">
        <v>25</v>
      </c>
      <c r="E7" s="5">
        <v>2576455</v>
      </c>
      <c r="F7" s="6">
        <v>23642.839307499999</v>
      </c>
      <c r="G7" s="7">
        <v>9.878837E-2</v>
      </c>
      <c r="H7" s="105"/>
    </row>
    <row r="8" spans="1:15" ht="29.1" customHeight="1" x14ac:dyDescent="0.2">
      <c r="A8" s="3">
        <v>2</v>
      </c>
      <c r="B8" s="4" t="s">
        <v>308</v>
      </c>
      <c r="C8" s="4" t="s">
        <v>309</v>
      </c>
      <c r="D8" s="4" t="s">
        <v>128</v>
      </c>
      <c r="E8" s="5">
        <v>662200</v>
      </c>
      <c r="F8" s="6">
        <v>18380.0232</v>
      </c>
      <c r="G8" s="7">
        <v>7.6798409999999998E-2</v>
      </c>
      <c r="H8" s="105"/>
    </row>
    <row r="9" spans="1:15" ht="17.100000000000001" customHeight="1" x14ac:dyDescent="0.2">
      <c r="A9" s="3">
        <v>3</v>
      </c>
      <c r="B9" s="4" t="s">
        <v>14</v>
      </c>
      <c r="C9" s="4" t="s">
        <v>15</v>
      </c>
      <c r="D9" s="4" t="s">
        <v>16</v>
      </c>
      <c r="E9" s="5">
        <v>2087172</v>
      </c>
      <c r="F9" s="6">
        <v>16682.765796</v>
      </c>
      <c r="G9" s="7">
        <v>6.9706660000000004E-2</v>
      </c>
      <c r="H9" s="105"/>
    </row>
    <row r="10" spans="1:15" ht="17.100000000000001" customHeight="1" x14ac:dyDescent="0.2">
      <c r="A10" s="3">
        <v>4</v>
      </c>
      <c r="B10" s="4" t="s">
        <v>17</v>
      </c>
      <c r="C10" s="4" t="s">
        <v>18</v>
      </c>
      <c r="D10" s="4" t="s">
        <v>19</v>
      </c>
      <c r="E10" s="5">
        <v>523988</v>
      </c>
      <c r="F10" s="6">
        <v>12683.12954</v>
      </c>
      <c r="G10" s="7">
        <v>5.2994720000000002E-2</v>
      </c>
      <c r="H10" s="105"/>
    </row>
    <row r="11" spans="1:15" ht="17.100000000000001" customHeight="1" x14ac:dyDescent="0.2">
      <c r="A11" s="3">
        <v>5</v>
      </c>
      <c r="B11" s="4" t="s">
        <v>317</v>
      </c>
      <c r="C11" s="4" t="s">
        <v>318</v>
      </c>
      <c r="D11" s="4" t="s">
        <v>25</v>
      </c>
      <c r="E11" s="5">
        <v>653081</v>
      </c>
      <c r="F11" s="6">
        <v>11021.394956</v>
      </c>
      <c r="G11" s="7">
        <v>4.6051389999999998E-2</v>
      </c>
      <c r="H11" s="105"/>
    </row>
    <row r="12" spans="1:15" ht="17.100000000000001" customHeight="1" x14ac:dyDescent="0.2">
      <c r="A12" s="3">
        <v>6</v>
      </c>
      <c r="B12" s="4" t="s">
        <v>203</v>
      </c>
      <c r="C12" s="4" t="s">
        <v>204</v>
      </c>
      <c r="D12" s="4" t="s">
        <v>25</v>
      </c>
      <c r="E12" s="5">
        <v>879673</v>
      </c>
      <c r="F12" s="6">
        <v>7565.1877999999997</v>
      </c>
      <c r="G12" s="7">
        <v>3.1610100000000002E-2</v>
      </c>
      <c r="H12" s="105"/>
    </row>
    <row r="13" spans="1:15" ht="17.100000000000001" customHeight="1" x14ac:dyDescent="0.2">
      <c r="A13" s="3">
        <v>7</v>
      </c>
      <c r="B13" s="4" t="s">
        <v>237</v>
      </c>
      <c r="C13" s="4" t="s">
        <v>238</v>
      </c>
      <c r="D13" s="4" t="s">
        <v>202</v>
      </c>
      <c r="E13" s="5">
        <v>159237</v>
      </c>
      <c r="F13" s="6">
        <v>7187.4804690000001</v>
      </c>
      <c r="G13" s="7">
        <v>3.00319E-2</v>
      </c>
      <c r="H13" s="105"/>
      <c r="J13" s="161" t="s">
        <v>1070</v>
      </c>
    </row>
    <row r="14" spans="1:15" ht="17.100000000000001" customHeight="1" x14ac:dyDescent="0.2">
      <c r="A14" s="3">
        <v>8</v>
      </c>
      <c r="B14" s="4" t="s">
        <v>347</v>
      </c>
      <c r="C14" s="4" t="s">
        <v>348</v>
      </c>
      <c r="D14" s="4" t="s">
        <v>121</v>
      </c>
      <c r="E14" s="5">
        <v>254041</v>
      </c>
      <c r="F14" s="6">
        <v>6711.3821584999996</v>
      </c>
      <c r="G14" s="7">
        <v>2.8042589999999999E-2</v>
      </c>
      <c r="H14" s="105"/>
    </row>
    <row r="15" spans="1:15" ht="17.100000000000001" customHeight="1" x14ac:dyDescent="0.2">
      <c r="A15" s="3">
        <v>9</v>
      </c>
      <c r="B15" s="4" t="s">
        <v>321</v>
      </c>
      <c r="C15" s="4" t="s">
        <v>322</v>
      </c>
      <c r="D15" s="4" t="s">
        <v>217</v>
      </c>
      <c r="E15" s="5">
        <v>531396</v>
      </c>
      <c r="F15" s="6">
        <v>6058.445796</v>
      </c>
      <c r="G15" s="7">
        <v>2.5314389999999999E-2</v>
      </c>
      <c r="H15" s="105"/>
    </row>
    <row r="16" spans="1:15" ht="17.100000000000001" customHeight="1" x14ac:dyDescent="0.2">
      <c r="A16" s="3">
        <v>10</v>
      </c>
      <c r="B16" s="4" t="s">
        <v>355</v>
      </c>
      <c r="C16" s="4" t="s">
        <v>356</v>
      </c>
      <c r="D16" s="4" t="s">
        <v>953</v>
      </c>
      <c r="E16" s="5">
        <v>136226</v>
      </c>
      <c r="F16" s="6">
        <v>6020.4399569999996</v>
      </c>
      <c r="G16" s="7">
        <v>2.5155589999999999E-2</v>
      </c>
      <c r="H16" s="105"/>
    </row>
    <row r="17" spans="1:10" ht="17.100000000000001" customHeight="1" x14ac:dyDescent="0.2">
      <c r="A17" s="3">
        <v>11</v>
      </c>
      <c r="B17" s="4" t="s">
        <v>306</v>
      </c>
      <c r="C17" s="4" t="s">
        <v>307</v>
      </c>
      <c r="D17" s="4" t="s">
        <v>232</v>
      </c>
      <c r="E17" s="5">
        <v>399510</v>
      </c>
      <c r="F17" s="6">
        <v>5845.4305649999997</v>
      </c>
      <c r="G17" s="7">
        <v>2.4424330000000001E-2</v>
      </c>
      <c r="H17" s="105"/>
    </row>
    <row r="18" spans="1:10" ht="17.100000000000001" customHeight="1" x14ac:dyDescent="0.2">
      <c r="A18" s="3">
        <v>12</v>
      </c>
      <c r="B18" s="4" t="s">
        <v>389</v>
      </c>
      <c r="C18" s="4" t="s">
        <v>390</v>
      </c>
      <c r="D18" s="4" t="s">
        <v>91</v>
      </c>
      <c r="E18" s="5">
        <v>400823</v>
      </c>
      <c r="F18" s="6">
        <v>5794.6981109999997</v>
      </c>
      <c r="G18" s="7">
        <v>2.4212350000000001E-2</v>
      </c>
      <c r="H18" s="105"/>
    </row>
    <row r="19" spans="1:10" ht="17.100000000000001" customHeight="1" x14ac:dyDescent="0.2">
      <c r="A19" s="3">
        <v>13</v>
      </c>
      <c r="B19" s="4" t="s">
        <v>235</v>
      </c>
      <c r="C19" s="4" t="s">
        <v>236</v>
      </c>
      <c r="D19" s="4" t="s">
        <v>128</v>
      </c>
      <c r="E19" s="5">
        <v>903399</v>
      </c>
      <c r="F19" s="6">
        <v>5483.6319299999996</v>
      </c>
      <c r="G19" s="7">
        <v>2.291261E-2</v>
      </c>
      <c r="H19" s="105"/>
    </row>
    <row r="20" spans="1:10" ht="17.100000000000001" customHeight="1" x14ac:dyDescent="0.2">
      <c r="A20" s="3">
        <v>14</v>
      </c>
      <c r="B20" s="4" t="s">
        <v>230</v>
      </c>
      <c r="C20" s="4" t="s">
        <v>231</v>
      </c>
      <c r="D20" s="4" t="s">
        <v>232</v>
      </c>
      <c r="E20" s="5">
        <v>2785164</v>
      </c>
      <c r="F20" s="6">
        <v>5479.8101699999997</v>
      </c>
      <c r="G20" s="7">
        <v>2.2896639999999999E-2</v>
      </c>
      <c r="H20" s="105"/>
    </row>
    <row r="21" spans="1:10" ht="17.100000000000001" customHeight="1" x14ac:dyDescent="0.2">
      <c r="A21" s="3">
        <v>15</v>
      </c>
      <c r="B21" s="4" t="s">
        <v>282</v>
      </c>
      <c r="C21" s="4" t="s">
        <v>283</v>
      </c>
      <c r="D21" s="4" t="s">
        <v>84</v>
      </c>
      <c r="E21" s="5">
        <v>1046544</v>
      </c>
      <c r="F21" s="6">
        <v>5183.532432</v>
      </c>
      <c r="G21" s="7">
        <v>2.165868E-2</v>
      </c>
      <c r="H21" s="105"/>
    </row>
    <row r="22" spans="1:10" ht="17.100000000000001" customHeight="1" x14ac:dyDescent="0.2">
      <c r="A22" s="3">
        <v>16</v>
      </c>
      <c r="B22" s="4" t="s">
        <v>415</v>
      </c>
      <c r="C22" s="4" t="s">
        <v>416</v>
      </c>
      <c r="D22" s="4" t="s">
        <v>223</v>
      </c>
      <c r="E22" s="5">
        <v>667345</v>
      </c>
      <c r="F22" s="6">
        <v>5100.1841624999997</v>
      </c>
      <c r="G22" s="7">
        <v>2.131042E-2</v>
      </c>
      <c r="H22" s="105"/>
    </row>
    <row r="23" spans="1:10" ht="17.100000000000001" customHeight="1" x14ac:dyDescent="0.2">
      <c r="A23" s="3">
        <v>17</v>
      </c>
      <c r="B23" s="4" t="s">
        <v>312</v>
      </c>
      <c r="C23" s="4" t="s">
        <v>313</v>
      </c>
      <c r="D23" s="4" t="s">
        <v>25</v>
      </c>
      <c r="E23" s="5">
        <v>367837</v>
      </c>
      <c r="F23" s="6">
        <v>4240.4249360000003</v>
      </c>
      <c r="G23" s="7">
        <v>1.7718040000000001E-2</v>
      </c>
      <c r="H23" s="105"/>
    </row>
    <row r="24" spans="1:10" ht="17.100000000000001" customHeight="1" x14ac:dyDescent="0.2">
      <c r="A24" s="3">
        <v>18</v>
      </c>
      <c r="B24" s="4" t="s">
        <v>191</v>
      </c>
      <c r="C24" s="4" t="s">
        <v>192</v>
      </c>
      <c r="D24" s="4" t="s">
        <v>953</v>
      </c>
      <c r="E24" s="5">
        <v>86867</v>
      </c>
      <c r="F24" s="6">
        <v>4115.1069575000001</v>
      </c>
      <c r="G24" s="7">
        <v>1.719441E-2</v>
      </c>
      <c r="H24" s="105"/>
    </row>
    <row r="25" spans="1:10" ht="17.100000000000001" customHeight="1" x14ac:dyDescent="0.2">
      <c r="A25" s="3">
        <v>19</v>
      </c>
      <c r="B25" s="4" t="s">
        <v>57</v>
      </c>
      <c r="C25" s="4" t="s">
        <v>58</v>
      </c>
      <c r="D25" s="4" t="s">
        <v>59</v>
      </c>
      <c r="E25" s="5">
        <v>615445</v>
      </c>
      <c r="F25" s="6">
        <v>3764.6770649999999</v>
      </c>
      <c r="G25" s="7">
        <v>1.5730190000000002E-2</v>
      </c>
      <c r="H25" s="105"/>
      <c r="J25" s="161" t="s">
        <v>1071</v>
      </c>
    </row>
    <row r="26" spans="1:10" ht="17.100000000000001" customHeight="1" x14ac:dyDescent="0.2">
      <c r="A26" s="3">
        <v>20</v>
      </c>
      <c r="B26" s="4" t="s">
        <v>269</v>
      </c>
      <c r="C26" s="4" t="s">
        <v>270</v>
      </c>
      <c r="D26" s="4" t="s">
        <v>271</v>
      </c>
      <c r="E26" s="5">
        <v>8958</v>
      </c>
      <c r="F26" s="6">
        <v>3611.9283059999998</v>
      </c>
      <c r="G26" s="7">
        <v>1.509195E-2</v>
      </c>
      <c r="H26" s="105"/>
    </row>
    <row r="27" spans="1:10" ht="17.100000000000001" customHeight="1" x14ac:dyDescent="0.2">
      <c r="A27" s="3">
        <v>21</v>
      </c>
      <c r="B27" s="4" t="s">
        <v>383</v>
      </c>
      <c r="C27" s="4" t="s">
        <v>384</v>
      </c>
      <c r="D27" s="4" t="s">
        <v>25</v>
      </c>
      <c r="E27" s="5">
        <v>5218105</v>
      </c>
      <c r="F27" s="6">
        <v>3597.8833974999998</v>
      </c>
      <c r="G27" s="7">
        <v>1.503326E-2</v>
      </c>
      <c r="H27" s="105"/>
    </row>
    <row r="28" spans="1:10" ht="17.100000000000001" customHeight="1" x14ac:dyDescent="0.2">
      <c r="A28" s="3">
        <v>22</v>
      </c>
      <c r="B28" s="4" t="s">
        <v>424</v>
      </c>
      <c r="C28" s="4" t="s">
        <v>425</v>
      </c>
      <c r="D28" s="4" t="s">
        <v>329</v>
      </c>
      <c r="E28" s="5">
        <v>244389</v>
      </c>
      <c r="F28" s="6">
        <v>3419.9796660000002</v>
      </c>
      <c r="G28" s="7">
        <v>1.4289919999999999E-2</v>
      </c>
      <c r="H28" s="105"/>
    </row>
    <row r="29" spans="1:10" ht="17.100000000000001" customHeight="1" x14ac:dyDescent="0.2">
      <c r="A29" s="3">
        <v>23</v>
      </c>
      <c r="B29" s="4" t="s">
        <v>200</v>
      </c>
      <c r="C29" s="4" t="s">
        <v>201</v>
      </c>
      <c r="D29" s="4" t="s">
        <v>202</v>
      </c>
      <c r="E29" s="5">
        <v>1201373</v>
      </c>
      <c r="F29" s="6">
        <v>3133.1807840000001</v>
      </c>
      <c r="G29" s="7">
        <v>1.309157E-2</v>
      </c>
      <c r="H29" s="105"/>
    </row>
    <row r="30" spans="1:10" ht="17.100000000000001" customHeight="1" x14ac:dyDescent="0.2">
      <c r="A30" s="3">
        <v>24</v>
      </c>
      <c r="B30" s="4" t="s">
        <v>378</v>
      </c>
      <c r="C30" s="4" t="s">
        <v>379</v>
      </c>
      <c r="D30" s="4" t="s">
        <v>128</v>
      </c>
      <c r="E30" s="5">
        <v>434221</v>
      </c>
      <c r="F30" s="6">
        <v>3093.6075145</v>
      </c>
      <c r="G30" s="7">
        <v>1.292622E-2</v>
      </c>
      <c r="H30" s="105"/>
    </row>
    <row r="31" spans="1:10" ht="17.100000000000001" customHeight="1" x14ac:dyDescent="0.2">
      <c r="A31" s="3">
        <v>25</v>
      </c>
      <c r="B31" s="4" t="s">
        <v>380</v>
      </c>
      <c r="C31" s="4" t="s">
        <v>381</v>
      </c>
      <c r="D31" s="4" t="s">
        <v>954</v>
      </c>
      <c r="E31" s="5">
        <v>313182</v>
      </c>
      <c r="F31" s="6">
        <v>2917.7601030000001</v>
      </c>
      <c r="G31" s="7">
        <v>1.2191459999999999E-2</v>
      </c>
      <c r="H31" s="105"/>
    </row>
    <row r="32" spans="1:10" ht="17.100000000000001" customHeight="1" x14ac:dyDescent="0.2">
      <c r="A32" s="3">
        <v>26</v>
      </c>
      <c r="B32" s="4" t="s">
        <v>263</v>
      </c>
      <c r="C32" s="4" t="s">
        <v>264</v>
      </c>
      <c r="D32" s="4" t="s">
        <v>223</v>
      </c>
      <c r="E32" s="5">
        <v>748590</v>
      </c>
      <c r="F32" s="6">
        <v>2875.33419</v>
      </c>
      <c r="G32" s="7">
        <v>1.2014189999999999E-2</v>
      </c>
      <c r="H32" s="105"/>
    </row>
    <row r="33" spans="1:8" ht="17.100000000000001" customHeight="1" x14ac:dyDescent="0.2">
      <c r="A33" s="3">
        <v>27</v>
      </c>
      <c r="B33" s="4" t="s">
        <v>393</v>
      </c>
      <c r="C33" s="4" t="s">
        <v>394</v>
      </c>
      <c r="D33" s="4" t="s">
        <v>128</v>
      </c>
      <c r="E33" s="5">
        <v>289323</v>
      </c>
      <c r="F33" s="6">
        <v>2789.9416890000002</v>
      </c>
      <c r="G33" s="7">
        <v>1.165739E-2</v>
      </c>
      <c r="H33" s="105"/>
    </row>
    <row r="34" spans="1:8" ht="17.100000000000001" customHeight="1" x14ac:dyDescent="0.2">
      <c r="A34" s="3">
        <v>28</v>
      </c>
      <c r="B34" s="4" t="s">
        <v>314</v>
      </c>
      <c r="C34" s="4" t="s">
        <v>315</v>
      </c>
      <c r="D34" s="4" t="s">
        <v>223</v>
      </c>
      <c r="E34" s="5">
        <v>226690</v>
      </c>
      <c r="F34" s="6">
        <v>2710.8723650000002</v>
      </c>
      <c r="G34" s="7">
        <v>1.132701E-2</v>
      </c>
      <c r="H34" s="105"/>
    </row>
    <row r="35" spans="1:8" ht="17.100000000000001" customHeight="1" x14ac:dyDescent="0.2">
      <c r="A35" s="3">
        <v>29</v>
      </c>
      <c r="B35" s="4" t="s">
        <v>444</v>
      </c>
      <c r="C35" s="4" t="s">
        <v>445</v>
      </c>
      <c r="D35" s="4" t="s">
        <v>25</v>
      </c>
      <c r="E35" s="5">
        <v>959334</v>
      </c>
      <c r="F35" s="6">
        <v>2681.33853</v>
      </c>
      <c r="G35" s="7">
        <v>1.1203609999999999E-2</v>
      </c>
      <c r="H35" s="105"/>
    </row>
    <row r="36" spans="1:8" ht="29.1" customHeight="1" x14ac:dyDescent="0.2">
      <c r="A36" s="3">
        <v>30</v>
      </c>
      <c r="B36" s="4" t="s">
        <v>456</v>
      </c>
      <c r="C36" s="4" t="s">
        <v>457</v>
      </c>
      <c r="D36" s="4" t="s">
        <v>458</v>
      </c>
      <c r="E36" s="5">
        <v>600503</v>
      </c>
      <c r="F36" s="6">
        <v>2642.5134515</v>
      </c>
      <c r="G36" s="7">
        <v>1.104138E-2</v>
      </c>
      <c r="H36" s="105"/>
    </row>
    <row r="37" spans="1:8" ht="17.100000000000001" customHeight="1" x14ac:dyDescent="0.2">
      <c r="A37" s="3">
        <v>31</v>
      </c>
      <c r="B37" s="4" t="s">
        <v>769</v>
      </c>
      <c r="C37" s="4" t="s">
        <v>770</v>
      </c>
      <c r="D37" s="4" t="s">
        <v>195</v>
      </c>
      <c r="E37" s="5">
        <v>67293</v>
      </c>
      <c r="F37" s="6">
        <v>2541.1182659999999</v>
      </c>
      <c r="G37" s="7">
        <v>1.0617720000000001E-2</v>
      </c>
      <c r="H37" s="105"/>
    </row>
    <row r="38" spans="1:8" ht="17.100000000000001" customHeight="1" x14ac:dyDescent="0.2">
      <c r="A38" s="3">
        <v>32</v>
      </c>
      <c r="B38" s="4" t="s">
        <v>327</v>
      </c>
      <c r="C38" s="4" t="s">
        <v>328</v>
      </c>
      <c r="D38" s="4" t="s">
        <v>329</v>
      </c>
      <c r="E38" s="5">
        <v>195227</v>
      </c>
      <c r="F38" s="6">
        <v>2401.3897135000002</v>
      </c>
      <c r="G38" s="7">
        <v>1.003388E-2</v>
      </c>
      <c r="H38" s="105"/>
    </row>
    <row r="39" spans="1:8" ht="29.1" customHeight="1" x14ac:dyDescent="0.2">
      <c r="A39" s="3">
        <v>33</v>
      </c>
      <c r="B39" s="4" t="s">
        <v>404</v>
      </c>
      <c r="C39" s="4" t="s">
        <v>405</v>
      </c>
      <c r="D39" s="4" t="s">
        <v>406</v>
      </c>
      <c r="E39" s="5">
        <v>572545</v>
      </c>
      <c r="F39" s="6">
        <v>2202.2943424999999</v>
      </c>
      <c r="G39" s="7">
        <v>9.2019900000000002E-3</v>
      </c>
      <c r="H39" s="105"/>
    </row>
    <row r="40" spans="1:8" ht="17.100000000000001" customHeight="1" x14ac:dyDescent="0.2">
      <c r="A40" s="3">
        <v>34</v>
      </c>
      <c r="B40" s="4" t="s">
        <v>727</v>
      </c>
      <c r="C40" s="4" t="s">
        <v>728</v>
      </c>
      <c r="D40" s="4" t="s">
        <v>202</v>
      </c>
      <c r="E40" s="5">
        <v>170251</v>
      </c>
      <c r="F40" s="6">
        <v>2130.6912649999999</v>
      </c>
      <c r="G40" s="7">
        <v>8.9028000000000006E-3</v>
      </c>
      <c r="H40" s="105"/>
    </row>
    <row r="41" spans="1:8" ht="29.1" customHeight="1" x14ac:dyDescent="0.2">
      <c r="A41" s="3">
        <v>35</v>
      </c>
      <c r="B41" s="4" t="s">
        <v>802</v>
      </c>
      <c r="C41" s="4" t="s">
        <v>803</v>
      </c>
      <c r="D41" s="4" t="s">
        <v>217</v>
      </c>
      <c r="E41" s="5">
        <v>191985</v>
      </c>
      <c r="F41" s="6">
        <v>2071.8061275</v>
      </c>
      <c r="G41" s="7">
        <v>8.6567599999999995E-3</v>
      </c>
      <c r="H41" s="105"/>
    </row>
    <row r="42" spans="1:8" ht="17.100000000000001" customHeight="1" x14ac:dyDescent="0.2">
      <c r="A42" s="3">
        <v>36</v>
      </c>
      <c r="B42" s="4" t="s">
        <v>398</v>
      </c>
      <c r="C42" s="4" t="s">
        <v>399</v>
      </c>
      <c r="D42" s="4" t="s">
        <v>59</v>
      </c>
      <c r="E42" s="5">
        <v>302329</v>
      </c>
      <c r="F42" s="6">
        <v>1916.3123665000001</v>
      </c>
      <c r="G42" s="7">
        <v>8.0070499999999999E-3</v>
      </c>
      <c r="H42" s="105"/>
    </row>
    <row r="43" spans="1:8" ht="29.1" customHeight="1" x14ac:dyDescent="0.2">
      <c r="A43" s="3">
        <v>37</v>
      </c>
      <c r="B43" s="4" t="s">
        <v>196</v>
      </c>
      <c r="C43" s="4" t="s">
        <v>197</v>
      </c>
      <c r="D43" s="4" t="s">
        <v>128</v>
      </c>
      <c r="E43" s="5">
        <v>207877</v>
      </c>
      <c r="F43" s="6">
        <v>1810.8165469999999</v>
      </c>
      <c r="G43" s="7">
        <v>7.5662500000000001E-3</v>
      </c>
      <c r="H43" s="105"/>
    </row>
    <row r="44" spans="1:8" ht="17.100000000000001" customHeight="1" x14ac:dyDescent="0.2">
      <c r="A44" s="3">
        <v>38</v>
      </c>
      <c r="B44" s="4" t="s">
        <v>819</v>
      </c>
      <c r="C44" s="4" t="s">
        <v>820</v>
      </c>
      <c r="D44" s="4" t="s">
        <v>202</v>
      </c>
      <c r="E44" s="5">
        <v>339666</v>
      </c>
      <c r="F44" s="6">
        <v>1752.506727</v>
      </c>
      <c r="G44" s="7">
        <v>7.3226100000000002E-3</v>
      </c>
      <c r="H44" s="105"/>
    </row>
    <row r="45" spans="1:8" ht="17.100000000000001" customHeight="1" x14ac:dyDescent="0.2">
      <c r="A45" s="3">
        <v>39</v>
      </c>
      <c r="B45" s="4" t="s">
        <v>267</v>
      </c>
      <c r="C45" s="4" t="s">
        <v>268</v>
      </c>
      <c r="D45" s="4" t="s">
        <v>128</v>
      </c>
      <c r="E45" s="5">
        <v>125000</v>
      </c>
      <c r="F45" s="6">
        <v>1734</v>
      </c>
      <c r="G45" s="7">
        <v>7.2452799999999998E-3</v>
      </c>
      <c r="H45" s="105"/>
    </row>
    <row r="46" spans="1:8" ht="17.100000000000001" customHeight="1" x14ac:dyDescent="0.2">
      <c r="A46" s="3">
        <v>40</v>
      </c>
      <c r="B46" s="4" t="s">
        <v>519</v>
      </c>
      <c r="C46" s="4" t="s">
        <v>520</v>
      </c>
      <c r="D46" s="4" t="s">
        <v>329</v>
      </c>
      <c r="E46" s="5">
        <v>260880</v>
      </c>
      <c r="F46" s="6">
        <v>1717.2426</v>
      </c>
      <c r="G46" s="7">
        <v>7.1752600000000001E-3</v>
      </c>
      <c r="H46" s="105"/>
    </row>
    <row r="47" spans="1:8" ht="29.1" customHeight="1" x14ac:dyDescent="0.2">
      <c r="A47" s="3">
        <v>41</v>
      </c>
      <c r="B47" s="4" t="s">
        <v>789</v>
      </c>
      <c r="C47" s="4" t="s">
        <v>790</v>
      </c>
      <c r="D47" s="4" t="s">
        <v>217</v>
      </c>
      <c r="E47" s="5">
        <v>379016</v>
      </c>
      <c r="F47" s="6">
        <v>1646.8245199999999</v>
      </c>
      <c r="G47" s="7">
        <v>6.8810299999999998E-3</v>
      </c>
      <c r="H47" s="105"/>
    </row>
    <row r="48" spans="1:8" ht="17.100000000000001" customHeight="1" x14ac:dyDescent="0.2">
      <c r="A48" s="3">
        <v>42</v>
      </c>
      <c r="B48" s="4" t="s">
        <v>361</v>
      </c>
      <c r="C48" s="4" t="s">
        <v>362</v>
      </c>
      <c r="D48" s="4" t="s">
        <v>25</v>
      </c>
      <c r="E48" s="5">
        <v>81043</v>
      </c>
      <c r="F48" s="6">
        <v>1570.6538614999999</v>
      </c>
      <c r="G48" s="7">
        <v>6.5627599999999999E-3</v>
      </c>
      <c r="H48" s="105"/>
    </row>
    <row r="49" spans="1:8" ht="17.100000000000001" customHeight="1" x14ac:dyDescent="0.2">
      <c r="A49" s="3">
        <v>43</v>
      </c>
      <c r="B49" s="4" t="s">
        <v>349</v>
      </c>
      <c r="C49" s="4" t="s">
        <v>350</v>
      </c>
      <c r="D49" s="4" t="s">
        <v>128</v>
      </c>
      <c r="E49" s="5">
        <v>24749</v>
      </c>
      <c r="F49" s="6">
        <v>1554.261949</v>
      </c>
      <c r="G49" s="7">
        <v>6.4942699999999999E-3</v>
      </c>
      <c r="H49" s="105"/>
    </row>
    <row r="50" spans="1:8" ht="17.100000000000001" customHeight="1" x14ac:dyDescent="0.2">
      <c r="A50" s="3">
        <v>44</v>
      </c>
      <c r="B50" s="4" t="s">
        <v>535</v>
      </c>
      <c r="C50" s="4" t="s">
        <v>536</v>
      </c>
      <c r="D50" s="4" t="s">
        <v>953</v>
      </c>
      <c r="E50" s="5">
        <v>120044</v>
      </c>
      <c r="F50" s="6">
        <v>1318.323208</v>
      </c>
      <c r="G50" s="7">
        <v>5.5084299999999999E-3</v>
      </c>
      <c r="H50" s="105"/>
    </row>
    <row r="51" spans="1:8" ht="14.1" customHeight="1" x14ac:dyDescent="0.2">
      <c r="A51" s="1"/>
      <c r="B51" s="1"/>
      <c r="C51" s="2" t="s">
        <v>132</v>
      </c>
      <c r="D51" s="1"/>
      <c r="E51" s="1" t="s">
        <v>133</v>
      </c>
      <c r="F51" s="9">
        <v>220803.166799</v>
      </c>
      <c r="G51" s="10">
        <v>0.92259583999999994</v>
      </c>
      <c r="H51" s="105"/>
    </row>
    <row r="52" spans="1:8" ht="14.1" customHeight="1" x14ac:dyDescent="0.2">
      <c r="A52" s="1"/>
      <c r="B52" s="1"/>
      <c r="C52" s="11"/>
      <c r="D52" s="1"/>
      <c r="E52" s="1"/>
      <c r="F52" s="12"/>
      <c r="G52" s="12"/>
      <c r="H52" s="105"/>
    </row>
    <row r="53" spans="1:8" ht="14.1" customHeight="1" x14ac:dyDescent="0.2">
      <c r="A53" s="1"/>
      <c r="B53" s="1"/>
      <c r="C53" s="2" t="s">
        <v>134</v>
      </c>
      <c r="D53" s="1"/>
      <c r="E53" s="1"/>
      <c r="F53" s="1"/>
      <c r="G53" s="1"/>
      <c r="H53" s="105"/>
    </row>
    <row r="54" spans="1:8" ht="17.100000000000001" customHeight="1" x14ac:dyDescent="0.2">
      <c r="A54" s="3">
        <v>1</v>
      </c>
      <c r="B54" s="4" t="s">
        <v>821</v>
      </c>
      <c r="C54" s="4" t="s">
        <v>822</v>
      </c>
      <c r="D54" s="4" t="s">
        <v>223</v>
      </c>
      <c r="E54" s="5">
        <v>37829</v>
      </c>
      <c r="F54" s="6">
        <v>704.75974083000006</v>
      </c>
      <c r="G54" s="7">
        <v>2.9447399999999999E-3</v>
      </c>
      <c r="H54" s="105"/>
    </row>
    <row r="55" spans="1:8" ht="14.1" customHeight="1" x14ac:dyDescent="0.2">
      <c r="A55" s="1"/>
      <c r="B55" s="1"/>
      <c r="C55" s="2" t="s">
        <v>132</v>
      </c>
      <c r="D55" s="1"/>
      <c r="E55" s="1" t="s">
        <v>133</v>
      </c>
      <c r="F55" s="9">
        <v>704.75974083000006</v>
      </c>
      <c r="G55" s="10">
        <v>2.9447399999999999E-3</v>
      </c>
      <c r="H55" s="105"/>
    </row>
    <row r="56" spans="1:8" ht="14.1" customHeight="1" x14ac:dyDescent="0.2">
      <c r="A56" s="1"/>
      <c r="B56" s="1"/>
      <c r="C56" s="11"/>
      <c r="D56" s="1"/>
      <c r="E56" s="1"/>
      <c r="F56" s="12"/>
      <c r="G56" s="12"/>
      <c r="H56" s="105"/>
    </row>
    <row r="57" spans="1:8" ht="14.1" customHeight="1" x14ac:dyDescent="0.2">
      <c r="A57" s="1"/>
      <c r="B57" s="1"/>
      <c r="C57" s="2" t="s">
        <v>136</v>
      </c>
      <c r="D57" s="1"/>
      <c r="E57" s="1"/>
      <c r="F57" s="1"/>
      <c r="G57" s="1"/>
      <c r="H57" s="105"/>
    </row>
    <row r="58" spans="1:8" ht="14.1" customHeight="1" x14ac:dyDescent="0.2">
      <c r="A58" s="1"/>
      <c r="B58" s="1"/>
      <c r="C58" s="2" t="s">
        <v>132</v>
      </c>
      <c r="D58" s="1"/>
      <c r="E58" s="1" t="s">
        <v>133</v>
      </c>
      <c r="F58" s="13" t="s">
        <v>135</v>
      </c>
      <c r="G58" s="10">
        <v>0</v>
      </c>
      <c r="H58" s="105"/>
    </row>
    <row r="59" spans="1:8" ht="14.1" customHeight="1" x14ac:dyDescent="0.2">
      <c r="A59" s="1"/>
      <c r="B59" s="1"/>
      <c r="C59" s="11"/>
      <c r="D59" s="1"/>
      <c r="E59" s="1"/>
      <c r="F59" s="12"/>
      <c r="G59" s="12"/>
      <c r="H59" s="105"/>
    </row>
    <row r="60" spans="1:8" ht="14.1" customHeight="1" x14ac:dyDescent="0.2">
      <c r="A60" s="1"/>
      <c r="B60" s="1"/>
      <c r="C60" s="2" t="s">
        <v>137</v>
      </c>
      <c r="D60" s="1"/>
      <c r="E60" s="1"/>
      <c r="F60" s="1"/>
      <c r="G60" s="1"/>
      <c r="H60" s="105"/>
    </row>
    <row r="61" spans="1:8" ht="14.1" customHeight="1" x14ac:dyDescent="0.2">
      <c r="A61" s="1"/>
      <c r="B61" s="1"/>
      <c r="C61" s="2" t="s">
        <v>132</v>
      </c>
      <c r="D61" s="1"/>
      <c r="E61" s="1" t="s">
        <v>133</v>
      </c>
      <c r="F61" s="13" t="s">
        <v>135</v>
      </c>
      <c r="G61" s="10">
        <v>0</v>
      </c>
      <c r="H61" s="105"/>
    </row>
    <row r="62" spans="1:8" ht="14.1" customHeight="1" x14ac:dyDescent="0.2">
      <c r="A62" s="1"/>
      <c r="B62" s="1"/>
      <c r="C62" s="11"/>
      <c r="D62" s="1"/>
      <c r="E62" s="1"/>
      <c r="F62" s="12"/>
      <c r="G62" s="12"/>
      <c r="H62" s="105"/>
    </row>
    <row r="63" spans="1:8" ht="14.1" customHeight="1" x14ac:dyDescent="0.2">
      <c r="A63" s="1"/>
      <c r="B63" s="1"/>
      <c r="C63" s="2" t="s">
        <v>138</v>
      </c>
      <c r="D63" s="1"/>
      <c r="E63" s="1"/>
      <c r="F63" s="12"/>
      <c r="G63" s="12"/>
      <c r="H63" s="105"/>
    </row>
    <row r="64" spans="1:8" ht="14.1" customHeight="1" x14ac:dyDescent="0.2">
      <c r="A64" s="1"/>
      <c r="B64" s="1"/>
      <c r="C64" s="2" t="s">
        <v>132</v>
      </c>
      <c r="D64" s="1"/>
      <c r="E64" s="1" t="s">
        <v>133</v>
      </c>
      <c r="F64" s="13" t="s">
        <v>135</v>
      </c>
      <c r="G64" s="10">
        <v>0</v>
      </c>
      <c r="H64" s="105"/>
    </row>
    <row r="65" spans="1:8" ht="14.1" customHeight="1" x14ac:dyDescent="0.2">
      <c r="A65" s="1"/>
      <c r="B65" s="1"/>
      <c r="C65" s="11"/>
      <c r="D65" s="1"/>
      <c r="E65" s="1"/>
      <c r="F65" s="12"/>
      <c r="G65" s="12"/>
      <c r="H65" s="105"/>
    </row>
    <row r="66" spans="1:8" ht="14.1" customHeight="1" x14ac:dyDescent="0.2">
      <c r="A66" s="1"/>
      <c r="B66" s="1"/>
      <c r="C66" s="2" t="s">
        <v>139</v>
      </c>
      <c r="D66" s="1"/>
      <c r="E66" s="1"/>
      <c r="F66" s="12"/>
      <c r="G66" s="12"/>
      <c r="H66" s="105"/>
    </row>
    <row r="67" spans="1:8" ht="14.1" customHeight="1" x14ac:dyDescent="0.2">
      <c r="A67" s="1"/>
      <c r="B67" s="1"/>
      <c r="C67" s="2" t="s">
        <v>132</v>
      </c>
      <c r="D67" s="1"/>
      <c r="E67" s="1" t="s">
        <v>133</v>
      </c>
      <c r="F67" s="13" t="s">
        <v>135</v>
      </c>
      <c r="G67" s="10">
        <v>0</v>
      </c>
      <c r="H67" s="105"/>
    </row>
    <row r="68" spans="1:8" ht="14.1" customHeight="1" x14ac:dyDescent="0.2">
      <c r="A68" s="1"/>
      <c r="B68" s="1"/>
      <c r="C68" s="11"/>
      <c r="D68" s="1"/>
      <c r="E68" s="1"/>
      <c r="F68" s="12"/>
      <c r="G68" s="12"/>
      <c r="H68" s="105"/>
    </row>
    <row r="69" spans="1:8" ht="18" customHeight="1" x14ac:dyDescent="0.2">
      <c r="A69" s="1"/>
      <c r="B69" s="1"/>
      <c r="C69" s="2" t="s">
        <v>140</v>
      </c>
      <c r="D69" s="1"/>
      <c r="E69" s="1"/>
      <c r="F69" s="9">
        <v>221507.92653982999</v>
      </c>
      <c r="G69" s="10">
        <v>0.92554057999999995</v>
      </c>
      <c r="H69" s="105"/>
    </row>
    <row r="70" spans="1:8" ht="14.1" customHeight="1" x14ac:dyDescent="0.2">
      <c r="A70" s="1"/>
      <c r="B70" s="1"/>
      <c r="C70" s="11"/>
      <c r="D70" s="1"/>
      <c r="E70" s="1"/>
      <c r="F70" s="12"/>
      <c r="G70" s="12"/>
      <c r="H70" s="105"/>
    </row>
    <row r="71" spans="1:8" ht="14.1" customHeight="1" x14ac:dyDescent="0.2">
      <c r="A71" s="1"/>
      <c r="B71" s="1"/>
      <c r="C71" s="2" t="s">
        <v>141</v>
      </c>
      <c r="D71" s="1"/>
      <c r="E71" s="1"/>
      <c r="F71" s="12"/>
      <c r="G71" s="12"/>
      <c r="H71" s="105"/>
    </row>
    <row r="72" spans="1:8" ht="24" customHeight="1" x14ac:dyDescent="0.2">
      <c r="A72" s="1"/>
      <c r="B72" s="1"/>
      <c r="C72" s="2" t="s">
        <v>10</v>
      </c>
      <c r="D72" s="1"/>
      <c r="E72" s="1"/>
      <c r="F72" s="12"/>
      <c r="G72" s="12"/>
      <c r="H72" s="105"/>
    </row>
    <row r="73" spans="1:8" ht="14.1" customHeight="1" x14ac:dyDescent="0.2">
      <c r="A73" s="1"/>
      <c r="B73" s="1"/>
      <c r="C73" s="2" t="s">
        <v>132</v>
      </c>
      <c r="D73" s="1"/>
      <c r="E73" s="1" t="s">
        <v>133</v>
      </c>
      <c r="F73" s="13" t="s">
        <v>135</v>
      </c>
      <c r="G73" s="10">
        <v>0</v>
      </c>
      <c r="H73" s="105"/>
    </row>
    <row r="74" spans="1:8" ht="14.1" customHeight="1" x14ac:dyDescent="0.2">
      <c r="A74" s="1"/>
      <c r="B74" s="1"/>
      <c r="C74" s="11"/>
      <c r="D74" s="1"/>
      <c r="E74" s="1"/>
      <c r="F74" s="12"/>
      <c r="G74" s="12"/>
      <c r="H74" s="105"/>
    </row>
    <row r="75" spans="1:8" ht="14.1" customHeight="1" x14ac:dyDescent="0.2">
      <c r="A75" s="1"/>
      <c r="B75" s="1"/>
      <c r="C75" s="2" t="s">
        <v>142</v>
      </c>
      <c r="D75" s="1"/>
      <c r="E75" s="1"/>
      <c r="F75" s="1"/>
      <c r="G75" s="1"/>
      <c r="H75" s="105"/>
    </row>
    <row r="76" spans="1:8" ht="14.1" customHeight="1" x14ac:dyDescent="0.2">
      <c r="A76" s="1"/>
      <c r="B76" s="1"/>
      <c r="C76" s="2" t="s">
        <v>132</v>
      </c>
      <c r="D76" s="1"/>
      <c r="E76" s="1" t="s">
        <v>133</v>
      </c>
      <c r="F76" s="13" t="s">
        <v>135</v>
      </c>
      <c r="G76" s="10">
        <v>0</v>
      </c>
      <c r="H76" s="105"/>
    </row>
    <row r="77" spans="1:8" ht="14.1" customHeight="1" x14ac:dyDescent="0.2">
      <c r="A77" s="1"/>
      <c r="B77" s="1"/>
      <c r="C77" s="11"/>
      <c r="D77" s="1"/>
      <c r="E77" s="1"/>
      <c r="F77" s="12"/>
      <c r="G77" s="12"/>
      <c r="H77" s="105"/>
    </row>
    <row r="78" spans="1:8" ht="14.1" customHeight="1" x14ac:dyDescent="0.2">
      <c r="A78" s="1"/>
      <c r="B78" s="1"/>
      <c r="C78" s="2" t="s">
        <v>143</v>
      </c>
      <c r="D78" s="1"/>
      <c r="E78" s="1"/>
      <c r="F78" s="1"/>
      <c r="G78" s="1"/>
      <c r="H78" s="105"/>
    </row>
    <row r="79" spans="1:8" ht="14.1" customHeight="1" x14ac:dyDescent="0.2">
      <c r="A79" s="1"/>
      <c r="B79" s="1"/>
      <c r="C79" s="2" t="s">
        <v>132</v>
      </c>
      <c r="D79" s="1"/>
      <c r="E79" s="1" t="s">
        <v>133</v>
      </c>
      <c r="F79" s="13" t="s">
        <v>135</v>
      </c>
      <c r="G79" s="10">
        <v>0</v>
      </c>
      <c r="H79" s="105"/>
    </row>
    <row r="80" spans="1:8" ht="14.1" customHeight="1" x14ac:dyDescent="0.2">
      <c r="A80" s="1"/>
      <c r="B80" s="1"/>
      <c r="C80" s="11"/>
      <c r="D80" s="1"/>
      <c r="E80" s="1"/>
      <c r="F80" s="12"/>
      <c r="G80" s="12"/>
      <c r="H80" s="105"/>
    </row>
    <row r="81" spans="1:8" ht="14.1" customHeight="1" x14ac:dyDescent="0.2">
      <c r="A81" s="1"/>
      <c r="B81" s="1"/>
      <c r="C81" s="2" t="s">
        <v>144</v>
      </c>
      <c r="D81" s="1"/>
      <c r="E81" s="1"/>
      <c r="F81" s="12"/>
      <c r="G81" s="12"/>
      <c r="H81" s="105"/>
    </row>
    <row r="82" spans="1:8" ht="14.1" customHeight="1" x14ac:dyDescent="0.2">
      <c r="A82" s="1"/>
      <c r="B82" s="1"/>
      <c r="C82" s="2" t="s">
        <v>132</v>
      </c>
      <c r="D82" s="1"/>
      <c r="E82" s="1" t="s">
        <v>133</v>
      </c>
      <c r="F82" s="13" t="s">
        <v>135</v>
      </c>
      <c r="G82" s="10">
        <v>0</v>
      </c>
      <c r="H82" s="105"/>
    </row>
    <row r="83" spans="1:8" ht="14.1" customHeight="1" x14ac:dyDescent="0.2">
      <c r="A83" s="1"/>
      <c r="B83" s="1"/>
      <c r="C83" s="11"/>
      <c r="D83" s="1"/>
      <c r="E83" s="1"/>
      <c r="F83" s="12"/>
      <c r="G83" s="12"/>
      <c r="H83" s="105"/>
    </row>
    <row r="84" spans="1:8" ht="14.1" customHeight="1" x14ac:dyDescent="0.2">
      <c r="A84" s="1"/>
      <c r="B84" s="1"/>
      <c r="C84" s="2" t="s">
        <v>145</v>
      </c>
      <c r="D84" s="1"/>
      <c r="E84" s="1"/>
      <c r="F84" s="9">
        <v>0</v>
      </c>
      <c r="G84" s="10">
        <v>0</v>
      </c>
      <c r="H84" s="105"/>
    </row>
    <row r="85" spans="1:8" ht="14.1" customHeight="1" x14ac:dyDescent="0.2">
      <c r="A85" s="1"/>
      <c r="B85" s="1"/>
      <c r="C85" s="11"/>
      <c r="D85" s="1"/>
      <c r="E85" s="1"/>
      <c r="F85" s="12"/>
      <c r="G85" s="12"/>
      <c r="H85" s="105"/>
    </row>
    <row r="86" spans="1:8" ht="14.1" customHeight="1" x14ac:dyDescent="0.2">
      <c r="A86" s="1"/>
      <c r="B86" s="1"/>
      <c r="C86" s="2" t="s">
        <v>146</v>
      </c>
      <c r="D86" s="1"/>
      <c r="E86" s="1"/>
      <c r="F86" s="12"/>
      <c r="G86" s="12"/>
      <c r="H86" s="105"/>
    </row>
    <row r="87" spans="1:8" ht="14.1" customHeight="1" x14ac:dyDescent="0.2">
      <c r="A87" s="1"/>
      <c r="B87" s="1"/>
      <c r="C87" s="2" t="s">
        <v>147</v>
      </c>
      <c r="D87" s="1"/>
      <c r="E87" s="1"/>
      <c r="F87" s="12"/>
      <c r="G87" s="12"/>
      <c r="H87" s="105"/>
    </row>
    <row r="88" spans="1:8" ht="14.1" customHeight="1" x14ac:dyDescent="0.2">
      <c r="A88" s="1"/>
      <c r="B88" s="1"/>
      <c r="C88" s="2" t="s">
        <v>132</v>
      </c>
      <c r="D88" s="1"/>
      <c r="E88" s="1" t="s">
        <v>133</v>
      </c>
      <c r="F88" s="13" t="s">
        <v>135</v>
      </c>
      <c r="G88" s="10">
        <v>0</v>
      </c>
      <c r="H88" s="105"/>
    </row>
    <row r="89" spans="1:8" ht="14.1" customHeight="1" x14ac:dyDescent="0.2">
      <c r="A89" s="1"/>
      <c r="B89" s="1"/>
      <c r="C89" s="11"/>
      <c r="D89" s="1"/>
      <c r="E89" s="1"/>
      <c r="F89" s="12"/>
      <c r="G89" s="12"/>
      <c r="H89" s="105"/>
    </row>
    <row r="90" spans="1:8" ht="14.1" customHeight="1" x14ac:dyDescent="0.2">
      <c r="A90" s="1"/>
      <c r="B90" s="1"/>
      <c r="C90" s="2" t="s">
        <v>148</v>
      </c>
      <c r="D90" s="1"/>
      <c r="E90" s="1"/>
      <c r="F90" s="12"/>
      <c r="G90" s="12"/>
      <c r="H90" s="105"/>
    </row>
    <row r="91" spans="1:8" ht="14.1" customHeight="1" x14ac:dyDescent="0.2">
      <c r="A91" s="1"/>
      <c r="B91" s="1"/>
      <c r="C91" s="2" t="s">
        <v>132</v>
      </c>
      <c r="D91" s="1"/>
      <c r="E91" s="1" t="s">
        <v>133</v>
      </c>
      <c r="F91" s="13" t="s">
        <v>135</v>
      </c>
      <c r="G91" s="10">
        <v>0</v>
      </c>
      <c r="H91" s="105"/>
    </row>
    <row r="92" spans="1:8" ht="14.1" customHeight="1" x14ac:dyDescent="0.2">
      <c r="A92" s="1"/>
      <c r="B92" s="1"/>
      <c r="C92" s="11"/>
      <c r="D92" s="1"/>
      <c r="E92" s="1"/>
      <c r="F92" s="12"/>
      <c r="G92" s="12"/>
      <c r="H92" s="105"/>
    </row>
    <row r="93" spans="1:8" ht="14.1" customHeight="1" x14ac:dyDescent="0.2">
      <c r="A93" s="1"/>
      <c r="B93" s="1"/>
      <c r="C93" s="2" t="s">
        <v>149</v>
      </c>
      <c r="D93" s="1"/>
      <c r="E93" s="1"/>
      <c r="F93" s="12"/>
      <c r="G93" s="12"/>
      <c r="H93" s="105"/>
    </row>
    <row r="94" spans="1:8" ht="14.1" customHeight="1" x14ac:dyDescent="0.2">
      <c r="A94" s="1"/>
      <c r="B94" s="1"/>
      <c r="C94" s="2" t="s">
        <v>132</v>
      </c>
      <c r="D94" s="1"/>
      <c r="E94" s="1" t="s">
        <v>133</v>
      </c>
      <c r="F94" s="13" t="s">
        <v>135</v>
      </c>
      <c r="G94" s="10">
        <v>0</v>
      </c>
      <c r="H94" s="105"/>
    </row>
    <row r="95" spans="1:8" ht="14.1" customHeight="1" x14ac:dyDescent="0.2">
      <c r="A95" s="1"/>
      <c r="B95" s="1"/>
      <c r="C95" s="11"/>
      <c r="D95" s="1"/>
      <c r="E95" s="1"/>
      <c r="F95" s="12"/>
      <c r="G95" s="12"/>
      <c r="H95" s="105"/>
    </row>
    <row r="96" spans="1:8" ht="14.1" customHeight="1" x14ac:dyDescent="0.2">
      <c r="A96" s="1"/>
      <c r="B96" s="1"/>
      <c r="C96" s="2" t="s">
        <v>150</v>
      </c>
      <c r="D96" s="1"/>
      <c r="E96" s="1"/>
      <c r="F96" s="12"/>
      <c r="G96" s="12"/>
      <c r="H96" s="105"/>
    </row>
    <row r="97" spans="1:8" ht="17.100000000000001" customHeight="1" x14ac:dyDescent="0.2">
      <c r="A97" s="3">
        <v>1</v>
      </c>
      <c r="B97" s="4"/>
      <c r="C97" s="4" t="s">
        <v>151</v>
      </c>
      <c r="D97" s="4"/>
      <c r="E97" s="8"/>
      <c r="F97" s="6">
        <v>15410.9803715</v>
      </c>
      <c r="G97" s="7">
        <v>6.4392669999999999E-2</v>
      </c>
      <c r="H97" s="105">
        <v>6.8153352377542396</v>
      </c>
    </row>
    <row r="98" spans="1:8" ht="17.100000000000001" customHeight="1" x14ac:dyDescent="0.2">
      <c r="A98" s="3">
        <v>2</v>
      </c>
      <c r="B98" s="4"/>
      <c r="C98" s="4" t="s">
        <v>152</v>
      </c>
      <c r="D98" s="4"/>
      <c r="E98" s="8"/>
      <c r="F98" s="6">
        <v>1828.7632283089999</v>
      </c>
      <c r="G98" s="7">
        <v>7.6412399999999997E-3</v>
      </c>
      <c r="H98" s="105">
        <v>6.7952403714590259</v>
      </c>
    </row>
    <row r="99" spans="1:8" ht="14.1" customHeight="1" x14ac:dyDescent="0.2">
      <c r="A99" s="1"/>
      <c r="B99" s="1"/>
      <c r="C99" s="2" t="s">
        <v>132</v>
      </c>
      <c r="D99" s="1"/>
      <c r="E99" s="1" t="s">
        <v>133</v>
      </c>
      <c r="F99" s="9">
        <v>17239.743599809</v>
      </c>
      <c r="G99" s="10">
        <v>7.2033910000000007E-2</v>
      </c>
      <c r="H99" s="105"/>
    </row>
    <row r="100" spans="1:8" ht="14.1" customHeight="1" x14ac:dyDescent="0.2">
      <c r="A100" s="1"/>
      <c r="B100" s="1"/>
      <c r="C100" s="11"/>
      <c r="D100" s="1"/>
      <c r="E100" s="1"/>
      <c r="F100" s="12"/>
      <c r="G100" s="12"/>
      <c r="H100" s="105"/>
    </row>
    <row r="101" spans="1:8" ht="14.1" customHeight="1" x14ac:dyDescent="0.2">
      <c r="A101" s="1"/>
      <c r="B101" s="1"/>
      <c r="C101" s="2" t="s">
        <v>153</v>
      </c>
      <c r="D101" s="1"/>
      <c r="E101" s="1"/>
      <c r="F101" s="9">
        <v>17239.743599809</v>
      </c>
      <c r="G101" s="10">
        <v>7.2033910000000007E-2</v>
      </c>
      <c r="H101" s="105"/>
    </row>
    <row r="102" spans="1:8" ht="14.1" customHeight="1" x14ac:dyDescent="0.2">
      <c r="A102" s="1"/>
      <c r="B102" s="1"/>
      <c r="C102" s="12"/>
      <c r="D102" s="1"/>
      <c r="E102" s="1"/>
      <c r="F102" s="1"/>
      <c r="G102" s="1"/>
      <c r="H102" s="105"/>
    </row>
    <row r="103" spans="1:8" ht="14.1" customHeight="1" x14ac:dyDescent="0.2">
      <c r="A103" s="1"/>
      <c r="B103" s="1"/>
      <c r="C103" s="2" t="s">
        <v>154</v>
      </c>
      <c r="D103" s="1"/>
      <c r="E103" s="1"/>
      <c r="F103" s="1"/>
      <c r="G103" s="1"/>
      <c r="H103" s="105"/>
    </row>
    <row r="104" spans="1:8" ht="14.1" customHeight="1" x14ac:dyDescent="0.2">
      <c r="A104" s="1"/>
      <c r="B104" s="1"/>
      <c r="C104" s="2" t="s">
        <v>155</v>
      </c>
      <c r="D104" s="1"/>
      <c r="E104" s="1"/>
      <c r="F104" s="1"/>
      <c r="G104" s="1"/>
      <c r="H104" s="105"/>
    </row>
    <row r="105" spans="1:8" ht="14.1" customHeight="1" x14ac:dyDescent="0.2">
      <c r="A105" s="1"/>
      <c r="B105" s="1"/>
      <c r="C105" s="2" t="s">
        <v>132</v>
      </c>
      <c r="D105" s="1"/>
      <c r="E105" s="1" t="s">
        <v>133</v>
      </c>
      <c r="F105" s="13" t="s">
        <v>135</v>
      </c>
      <c r="G105" s="10">
        <v>0</v>
      </c>
      <c r="H105" s="105"/>
    </row>
    <row r="106" spans="1:8" ht="14.1" customHeight="1" x14ac:dyDescent="0.2">
      <c r="A106" s="1"/>
      <c r="B106" s="1"/>
      <c r="C106" s="11"/>
      <c r="D106" s="1"/>
      <c r="E106" s="1"/>
      <c r="F106" s="12"/>
      <c r="G106" s="12"/>
      <c r="H106" s="105"/>
    </row>
    <row r="107" spans="1:8" ht="14.1" customHeight="1" x14ac:dyDescent="0.2">
      <c r="A107" s="1"/>
      <c r="B107" s="1"/>
      <c r="C107" s="2" t="s">
        <v>156</v>
      </c>
      <c r="D107" s="1"/>
      <c r="E107" s="1"/>
      <c r="F107" s="1"/>
      <c r="G107" s="1"/>
      <c r="H107" s="105"/>
    </row>
    <row r="108" spans="1:8" ht="14.1" customHeight="1" x14ac:dyDescent="0.2">
      <c r="A108" s="1"/>
      <c r="B108" s="1"/>
      <c r="C108" s="2" t="s">
        <v>157</v>
      </c>
      <c r="D108" s="1"/>
      <c r="E108" s="1"/>
      <c r="F108" s="1"/>
      <c r="G108" s="1"/>
      <c r="H108" s="105"/>
    </row>
    <row r="109" spans="1:8" ht="14.1" customHeight="1" x14ac:dyDescent="0.2">
      <c r="A109" s="1"/>
      <c r="B109" s="1"/>
      <c r="C109" s="2" t="s">
        <v>132</v>
      </c>
      <c r="D109" s="1"/>
      <c r="E109" s="1" t="s">
        <v>133</v>
      </c>
      <c r="F109" s="13" t="s">
        <v>135</v>
      </c>
      <c r="G109" s="10">
        <v>0</v>
      </c>
      <c r="H109" s="105"/>
    </row>
    <row r="110" spans="1:8" ht="14.1" customHeight="1" x14ac:dyDescent="0.2">
      <c r="A110" s="1"/>
      <c r="B110" s="1"/>
      <c r="C110" s="11"/>
      <c r="D110" s="1"/>
      <c r="E110" s="1"/>
      <c r="F110" s="12"/>
      <c r="G110" s="12"/>
      <c r="H110" s="105"/>
    </row>
    <row r="111" spans="1:8" ht="24" customHeight="1" x14ac:dyDescent="0.2">
      <c r="A111" s="1"/>
      <c r="B111" s="1"/>
      <c r="C111" s="2" t="s">
        <v>158</v>
      </c>
      <c r="D111" s="1"/>
      <c r="E111" s="1"/>
      <c r="F111" s="12"/>
      <c r="G111" s="12"/>
      <c r="H111" s="105"/>
    </row>
    <row r="112" spans="1:8" ht="14.1" customHeight="1" x14ac:dyDescent="0.2">
      <c r="A112" s="1"/>
      <c r="B112" s="1"/>
      <c r="C112" s="2" t="s">
        <v>132</v>
      </c>
      <c r="D112" s="1"/>
      <c r="E112" s="1" t="s">
        <v>133</v>
      </c>
      <c r="F112" s="13" t="s">
        <v>135</v>
      </c>
      <c r="G112" s="10">
        <v>0</v>
      </c>
      <c r="H112" s="105"/>
    </row>
    <row r="113" spans="1:8" ht="14.1" customHeight="1" x14ac:dyDescent="0.2">
      <c r="A113" s="1"/>
      <c r="B113" s="1"/>
      <c r="C113" s="11"/>
      <c r="D113" s="1"/>
      <c r="E113" s="1"/>
      <c r="F113" s="12"/>
      <c r="G113" s="12"/>
      <c r="H113" s="105"/>
    </row>
    <row r="114" spans="1:8" ht="14.1" customHeight="1" x14ac:dyDescent="0.2">
      <c r="A114" s="1"/>
      <c r="B114" s="4"/>
      <c r="C114" s="4"/>
      <c r="D114" s="2"/>
      <c r="E114" s="1"/>
      <c r="F114" s="4"/>
      <c r="G114" s="8"/>
      <c r="H114" s="105"/>
    </row>
    <row r="115" spans="1:8" ht="18" customHeight="1" x14ac:dyDescent="0.2">
      <c r="A115" s="8"/>
      <c r="B115" s="4"/>
      <c r="C115" s="4" t="s">
        <v>159</v>
      </c>
      <c r="D115" s="4"/>
      <c r="E115" s="8"/>
      <c r="F115" s="6">
        <v>580.49280780000004</v>
      </c>
      <c r="G115" s="7">
        <v>2.4255100000000001E-3</v>
      </c>
      <c r="H115" s="105"/>
    </row>
    <row r="116" spans="1:8" ht="14.1" customHeight="1" x14ac:dyDescent="0.2">
      <c r="A116" s="11"/>
      <c r="B116" s="11"/>
      <c r="C116" s="2" t="s">
        <v>160</v>
      </c>
      <c r="D116" s="12"/>
      <c r="E116" s="12"/>
      <c r="F116" s="9">
        <v>239328.16294743901</v>
      </c>
      <c r="G116" s="14">
        <v>1</v>
      </c>
      <c r="H116" s="105"/>
    </row>
    <row r="117" spans="1:8" ht="14.1" customHeight="1" x14ac:dyDescent="0.2">
      <c r="A117" s="15"/>
      <c r="B117" s="15"/>
      <c r="C117" s="15"/>
      <c r="D117" s="16"/>
      <c r="E117" s="16"/>
      <c r="F117" s="16"/>
      <c r="G117" s="16"/>
    </row>
    <row r="118" spans="1:8" ht="14.1" customHeight="1" x14ac:dyDescent="0.2">
      <c r="A118" s="17"/>
      <c r="B118" s="17"/>
      <c r="C118" s="17"/>
      <c r="D118" s="19"/>
      <c r="E118" s="19"/>
      <c r="F118" s="19"/>
      <c r="G118" s="19"/>
    </row>
    <row r="119" spans="1:8" ht="14.1" customHeight="1" x14ac:dyDescent="0.2">
      <c r="A119" s="17"/>
      <c r="B119" s="179" t="s">
        <v>162</v>
      </c>
      <c r="C119" s="180"/>
      <c r="D119" s="181"/>
      <c r="E119" s="20"/>
      <c r="F119" s="19"/>
      <c r="G119" s="19"/>
    </row>
    <row r="120" spans="1:8" ht="29.1" customHeight="1" x14ac:dyDescent="0.2">
      <c r="A120" s="17"/>
      <c r="B120" s="176" t="s">
        <v>163</v>
      </c>
      <c r="C120" s="177"/>
      <c r="D120" s="2" t="s">
        <v>164</v>
      </c>
      <c r="E120" s="20"/>
      <c r="F120" s="19"/>
      <c r="G120" s="19"/>
    </row>
    <row r="121" spans="1:8" ht="17.100000000000001" customHeight="1" x14ac:dyDescent="0.2">
      <c r="A121" s="17"/>
      <c r="B121" s="176" t="s">
        <v>165</v>
      </c>
      <c r="C121" s="177"/>
      <c r="D121" s="2" t="s">
        <v>164</v>
      </c>
      <c r="E121" s="20"/>
      <c r="F121" s="19"/>
      <c r="G121" s="19"/>
    </row>
    <row r="122" spans="1:8" ht="17.100000000000001" customHeight="1" x14ac:dyDescent="0.2">
      <c r="A122" s="17"/>
      <c r="B122" s="176" t="s">
        <v>166</v>
      </c>
      <c r="C122" s="177"/>
      <c r="D122" s="12" t="s">
        <v>133</v>
      </c>
      <c r="E122" s="20"/>
      <c r="F122" s="19"/>
      <c r="G122" s="19"/>
    </row>
    <row r="123" spans="1:8" ht="24" customHeight="1" x14ac:dyDescent="0.2">
      <c r="A123" s="21"/>
      <c r="B123" s="22" t="s">
        <v>133</v>
      </c>
      <c r="C123" s="22" t="s">
        <v>167</v>
      </c>
      <c r="D123" s="22" t="s">
        <v>168</v>
      </c>
      <c r="E123" s="21"/>
      <c r="F123" s="21"/>
      <c r="G123" s="21"/>
    </row>
    <row r="124" spans="1:8" ht="18" customHeight="1" x14ac:dyDescent="0.2">
      <c r="A124" s="21"/>
      <c r="B124" s="23" t="s">
        <v>169</v>
      </c>
      <c r="C124" s="22" t="s">
        <v>170</v>
      </c>
      <c r="D124" s="22" t="s">
        <v>171</v>
      </c>
      <c r="E124" s="21"/>
      <c r="F124" s="21"/>
      <c r="G124" s="21"/>
    </row>
    <row r="125" spans="1:8" ht="17.100000000000001" customHeight="1" x14ac:dyDescent="0.2">
      <c r="A125" s="21"/>
      <c r="B125" s="4" t="s">
        <v>172</v>
      </c>
      <c r="C125" s="24">
        <v>21.8489</v>
      </c>
      <c r="D125" s="24">
        <v>22.639800000000001</v>
      </c>
      <c r="E125" s="21"/>
      <c r="F125" s="18"/>
      <c r="G125" s="25"/>
    </row>
    <row r="126" spans="1:8" ht="17.100000000000001" customHeight="1" x14ac:dyDescent="0.2">
      <c r="A126" s="21"/>
      <c r="B126" s="4" t="s">
        <v>1006</v>
      </c>
      <c r="C126" s="24">
        <v>17.379000000000001</v>
      </c>
      <c r="D126" s="24">
        <v>18.008099999999999</v>
      </c>
      <c r="E126" s="21"/>
      <c r="F126" s="18"/>
      <c r="G126" s="25"/>
    </row>
    <row r="127" spans="1:8" ht="17.100000000000001" customHeight="1" x14ac:dyDescent="0.2">
      <c r="A127" s="21"/>
      <c r="B127" s="4" t="s">
        <v>173</v>
      </c>
      <c r="C127" s="24">
        <v>20.727900000000002</v>
      </c>
      <c r="D127" s="24">
        <v>21.4575</v>
      </c>
      <c r="E127" s="21"/>
      <c r="F127" s="18"/>
      <c r="G127" s="25"/>
    </row>
    <row r="128" spans="1:8" ht="17.100000000000001" customHeight="1" x14ac:dyDescent="0.2">
      <c r="A128" s="21"/>
      <c r="B128" s="4" t="s">
        <v>1007</v>
      </c>
      <c r="C128" s="24">
        <v>16.470800000000001</v>
      </c>
      <c r="D128" s="24">
        <v>17.0505</v>
      </c>
      <c r="E128" s="21"/>
      <c r="F128" s="18"/>
      <c r="G128" s="25"/>
    </row>
    <row r="129" spans="1:7" ht="14.1" customHeight="1" x14ac:dyDescent="0.2">
      <c r="A129" s="21"/>
      <c r="B129" s="21"/>
      <c r="C129" s="21"/>
      <c r="D129" s="21"/>
      <c r="E129" s="21"/>
      <c r="F129" s="21"/>
      <c r="G129" s="21"/>
    </row>
    <row r="130" spans="1:7" ht="17.100000000000001" customHeight="1" x14ac:dyDescent="0.2">
      <c r="A130" s="21"/>
      <c r="B130" s="176" t="s">
        <v>1008</v>
      </c>
      <c r="C130" s="177"/>
      <c r="D130" s="2" t="s">
        <v>164</v>
      </c>
      <c r="E130" s="21"/>
      <c r="F130" s="21"/>
      <c r="G130" s="21"/>
    </row>
    <row r="131" spans="1:7" ht="18" customHeight="1" x14ac:dyDescent="0.2">
      <c r="A131" s="21"/>
      <c r="B131" s="26"/>
      <c r="C131" s="26"/>
      <c r="D131" s="26"/>
      <c r="E131" s="21"/>
      <c r="F131" s="21"/>
      <c r="G131" s="21"/>
    </row>
    <row r="132" spans="1:7" ht="29.1" customHeight="1" x14ac:dyDescent="0.2">
      <c r="A132" s="21"/>
      <c r="B132" s="176" t="s">
        <v>174</v>
      </c>
      <c r="C132" s="177"/>
      <c r="D132" s="2" t="s">
        <v>164</v>
      </c>
      <c r="E132" s="27"/>
      <c r="F132" s="21"/>
      <c r="G132" s="21"/>
    </row>
    <row r="133" spans="1:7" ht="29.1" customHeight="1" x14ac:dyDescent="0.2">
      <c r="A133" s="21"/>
      <c r="B133" s="176" t="s">
        <v>175</v>
      </c>
      <c r="C133" s="177"/>
      <c r="D133" s="55" t="s">
        <v>960</v>
      </c>
      <c r="E133" s="27"/>
      <c r="F133" s="21"/>
      <c r="G133" s="21"/>
    </row>
    <row r="134" spans="1:7" ht="17.100000000000001" customHeight="1" x14ac:dyDescent="0.2">
      <c r="A134" s="21"/>
      <c r="B134" s="176" t="s">
        <v>176</v>
      </c>
      <c r="C134" s="177"/>
      <c r="D134" s="2" t="s">
        <v>164</v>
      </c>
      <c r="E134" s="27"/>
      <c r="F134" s="21"/>
      <c r="G134" s="21"/>
    </row>
    <row r="135" spans="1:7" ht="17.100000000000001" customHeight="1" x14ac:dyDescent="0.2">
      <c r="A135" s="21"/>
      <c r="B135" s="176" t="s">
        <v>177</v>
      </c>
      <c r="C135" s="177"/>
      <c r="D135" s="60">
        <v>0.28194559547678377</v>
      </c>
      <c r="E135" s="21"/>
      <c r="F135" s="18"/>
      <c r="G135" s="25"/>
    </row>
  </sheetData>
  <mergeCells count="13">
    <mergeCell ref="B135:C135"/>
    <mergeCell ref="B121:C121"/>
    <mergeCell ref="B122:C122"/>
    <mergeCell ref="B130:C130"/>
    <mergeCell ref="B132:C132"/>
    <mergeCell ref="B133:C133"/>
    <mergeCell ref="B134:C134"/>
    <mergeCell ref="J2:N2"/>
    <mergeCell ref="B120:C120"/>
    <mergeCell ref="B119:D119"/>
    <mergeCell ref="A1:H1"/>
    <mergeCell ref="A2:H2"/>
    <mergeCell ref="A3:H3"/>
  </mergeCells>
  <hyperlinks>
    <hyperlink ref="I1" location="Index!B31" display="Index" xr:uid="{9CCDD6D0-15B0-4D0D-9D9C-2BA4EEAD2094}"/>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outlinePr summaryBelow="0" summaryRight="0"/>
  </sheetPr>
  <dimension ref="A1:O150"/>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5" ht="18" customHeight="1" x14ac:dyDescent="0.2">
      <c r="A1" s="182" t="s">
        <v>0</v>
      </c>
      <c r="B1" s="182"/>
      <c r="C1" s="182"/>
      <c r="D1" s="182"/>
      <c r="E1" s="182"/>
      <c r="F1" s="182"/>
      <c r="G1" s="182"/>
      <c r="H1" s="182"/>
      <c r="I1" s="159" t="s">
        <v>1044</v>
      </c>
    </row>
    <row r="2" spans="1:15" ht="17.100000000000001" customHeight="1" x14ac:dyDescent="0.2">
      <c r="A2" s="183" t="s">
        <v>823</v>
      </c>
      <c r="B2" s="184"/>
      <c r="C2" s="184"/>
      <c r="D2" s="184"/>
      <c r="E2" s="184"/>
      <c r="F2" s="184"/>
      <c r="G2" s="184"/>
      <c r="H2" s="185"/>
      <c r="J2" s="175" t="s">
        <v>1045</v>
      </c>
      <c r="K2" s="175"/>
      <c r="L2" s="175"/>
      <c r="M2" s="175"/>
      <c r="N2" s="175"/>
    </row>
    <row r="3" spans="1:15" ht="21" customHeight="1" x14ac:dyDescent="0.2">
      <c r="A3" s="182" t="s">
        <v>1016</v>
      </c>
      <c r="B3" s="182"/>
      <c r="C3" s="182"/>
      <c r="D3" s="182"/>
      <c r="E3" s="182"/>
      <c r="F3" s="182"/>
      <c r="G3" s="182"/>
      <c r="H3" s="182"/>
    </row>
    <row r="4" spans="1:15" ht="30" x14ac:dyDescent="0.2">
      <c r="A4" s="107" t="s">
        <v>2</v>
      </c>
      <c r="B4" s="107" t="s">
        <v>3</v>
      </c>
      <c r="C4" s="107" t="s">
        <v>4</v>
      </c>
      <c r="D4" s="107" t="s">
        <v>5</v>
      </c>
      <c r="E4" s="107" t="s">
        <v>6</v>
      </c>
      <c r="F4" s="107" t="s">
        <v>7</v>
      </c>
      <c r="G4" s="107" t="s">
        <v>8</v>
      </c>
      <c r="H4" s="104" t="s">
        <v>1003</v>
      </c>
      <c r="I4" s="108"/>
      <c r="J4" s="108"/>
      <c r="K4" s="108"/>
      <c r="L4" s="108"/>
      <c r="M4" s="108"/>
      <c r="N4" s="108"/>
      <c r="O4" s="108"/>
    </row>
    <row r="5" spans="1:15" ht="14.1" customHeight="1" x14ac:dyDescent="0.2">
      <c r="A5" s="1"/>
      <c r="B5" s="1"/>
      <c r="C5" s="2" t="s">
        <v>9</v>
      </c>
      <c r="D5" s="1"/>
      <c r="E5" s="1"/>
      <c r="F5" s="1"/>
      <c r="G5" s="1"/>
      <c r="H5" s="105"/>
    </row>
    <row r="6" spans="1:15" ht="24" customHeight="1" x14ac:dyDescent="0.2">
      <c r="A6" s="1"/>
      <c r="B6" s="1"/>
      <c r="C6" s="2" t="s">
        <v>10</v>
      </c>
      <c r="D6" s="1"/>
      <c r="E6" s="1"/>
      <c r="F6" s="1"/>
      <c r="G6" s="1"/>
      <c r="H6" s="105"/>
    </row>
    <row r="7" spans="1:15" ht="17.100000000000001" customHeight="1" x14ac:dyDescent="0.2">
      <c r="A7" s="3">
        <v>1</v>
      </c>
      <c r="B7" s="4" t="s">
        <v>23</v>
      </c>
      <c r="C7" s="4" t="s">
        <v>24</v>
      </c>
      <c r="D7" s="4" t="s">
        <v>25</v>
      </c>
      <c r="E7" s="5">
        <v>1348000</v>
      </c>
      <c r="F7" s="6">
        <v>12369.922</v>
      </c>
      <c r="G7" s="7">
        <v>7.6272290000000006E-2</v>
      </c>
      <c r="H7" s="105"/>
    </row>
    <row r="8" spans="1:15" ht="17.100000000000001" customHeight="1" x14ac:dyDescent="0.2">
      <c r="A8" s="3">
        <v>2</v>
      </c>
      <c r="B8" s="4" t="s">
        <v>17</v>
      </c>
      <c r="C8" s="4" t="s">
        <v>18</v>
      </c>
      <c r="D8" s="4" t="s">
        <v>19</v>
      </c>
      <c r="E8" s="5">
        <v>447000</v>
      </c>
      <c r="F8" s="6">
        <v>10819.635</v>
      </c>
      <c r="G8" s="7">
        <v>6.6713300000000003E-2</v>
      </c>
      <c r="H8" s="105"/>
    </row>
    <row r="9" spans="1:15" ht="17.100000000000001" customHeight="1" x14ac:dyDescent="0.2">
      <c r="A9" s="3">
        <v>3</v>
      </c>
      <c r="B9" s="4" t="s">
        <v>317</v>
      </c>
      <c r="C9" s="4" t="s">
        <v>318</v>
      </c>
      <c r="D9" s="4" t="s">
        <v>25</v>
      </c>
      <c r="E9" s="5">
        <v>611000</v>
      </c>
      <c r="F9" s="6">
        <v>10311.236000000001</v>
      </c>
      <c r="G9" s="7">
        <v>6.3578540000000003E-2</v>
      </c>
      <c r="H9" s="105"/>
    </row>
    <row r="10" spans="1:15" ht="29.1" customHeight="1" x14ac:dyDescent="0.2">
      <c r="A10" s="3">
        <v>4</v>
      </c>
      <c r="B10" s="4" t="s">
        <v>308</v>
      </c>
      <c r="C10" s="4" t="s">
        <v>309</v>
      </c>
      <c r="D10" s="4" t="s">
        <v>128</v>
      </c>
      <c r="E10" s="5">
        <v>272000</v>
      </c>
      <c r="F10" s="6">
        <v>7549.6319999999996</v>
      </c>
      <c r="G10" s="7">
        <v>4.6550630000000003E-2</v>
      </c>
      <c r="H10" s="105"/>
    </row>
    <row r="11" spans="1:15" ht="17.100000000000001" customHeight="1" x14ac:dyDescent="0.2">
      <c r="A11" s="3">
        <v>5</v>
      </c>
      <c r="B11" s="4" t="s">
        <v>302</v>
      </c>
      <c r="C11" s="4" t="s">
        <v>303</v>
      </c>
      <c r="D11" s="4" t="s">
        <v>953</v>
      </c>
      <c r="E11" s="5">
        <v>570000</v>
      </c>
      <c r="F11" s="6">
        <v>7140.6750000000002</v>
      </c>
      <c r="G11" s="7">
        <v>4.4029029999999997E-2</v>
      </c>
      <c r="H11" s="105"/>
    </row>
    <row r="12" spans="1:15" ht="17.100000000000001" customHeight="1" x14ac:dyDescent="0.2">
      <c r="A12" s="3">
        <v>6</v>
      </c>
      <c r="B12" s="4" t="s">
        <v>29</v>
      </c>
      <c r="C12" s="4" t="s">
        <v>30</v>
      </c>
      <c r="D12" s="4" t="s">
        <v>25</v>
      </c>
      <c r="E12" s="5">
        <v>1207000</v>
      </c>
      <c r="F12" s="6">
        <v>6980.0810000000001</v>
      </c>
      <c r="G12" s="7">
        <v>4.3038809999999997E-2</v>
      </c>
      <c r="H12" s="105"/>
    </row>
    <row r="13" spans="1:15" ht="17.100000000000001" customHeight="1" x14ac:dyDescent="0.25">
      <c r="A13" s="3">
        <v>7</v>
      </c>
      <c r="B13" s="4" t="s">
        <v>319</v>
      </c>
      <c r="C13" s="4" t="s">
        <v>320</v>
      </c>
      <c r="D13" s="4" t="s">
        <v>953</v>
      </c>
      <c r="E13" s="5">
        <v>165000</v>
      </c>
      <c r="F13" s="6">
        <v>5311.7624999999998</v>
      </c>
      <c r="G13" s="7">
        <v>3.2752049999999998E-2</v>
      </c>
      <c r="H13" s="105"/>
      <c r="J13" s="168" t="s">
        <v>1060</v>
      </c>
    </row>
    <row r="14" spans="1:15" ht="17.100000000000001" customHeight="1" x14ac:dyDescent="0.2">
      <c r="A14" s="3">
        <v>8</v>
      </c>
      <c r="B14" s="4" t="s">
        <v>203</v>
      </c>
      <c r="C14" s="4" t="s">
        <v>204</v>
      </c>
      <c r="D14" s="4" t="s">
        <v>25</v>
      </c>
      <c r="E14" s="5">
        <v>590000</v>
      </c>
      <c r="F14" s="6">
        <v>5074</v>
      </c>
      <c r="G14" s="7">
        <v>3.1286019999999998E-2</v>
      </c>
      <c r="H14" s="105"/>
      <c r="J14" s="161"/>
    </row>
    <row r="15" spans="1:15" ht="53.1" customHeight="1" x14ac:dyDescent="0.2">
      <c r="A15" s="3">
        <v>9</v>
      </c>
      <c r="B15" s="4" t="s">
        <v>50</v>
      </c>
      <c r="C15" s="4" t="s">
        <v>51</v>
      </c>
      <c r="D15" s="4" t="s">
        <v>52</v>
      </c>
      <c r="E15" s="5">
        <v>3184000</v>
      </c>
      <c r="F15" s="6">
        <v>4647.0479999999998</v>
      </c>
      <c r="G15" s="7">
        <v>2.865345E-2</v>
      </c>
      <c r="H15" s="105"/>
    </row>
    <row r="16" spans="1:15" ht="17.100000000000001" customHeight="1" x14ac:dyDescent="0.2">
      <c r="A16" s="3">
        <v>10</v>
      </c>
      <c r="B16" s="4" t="s">
        <v>11</v>
      </c>
      <c r="C16" s="4" t="s">
        <v>12</v>
      </c>
      <c r="D16" s="4" t="s">
        <v>13</v>
      </c>
      <c r="E16" s="5">
        <v>160000</v>
      </c>
      <c r="F16" s="6">
        <v>3783.04</v>
      </c>
      <c r="G16" s="7">
        <v>2.3326030000000001E-2</v>
      </c>
      <c r="H16" s="105"/>
    </row>
    <row r="17" spans="1:10" ht="17.100000000000001" customHeight="1" x14ac:dyDescent="0.2">
      <c r="A17" s="3">
        <v>11</v>
      </c>
      <c r="B17" s="4" t="s">
        <v>103</v>
      </c>
      <c r="C17" s="4" t="s">
        <v>104</v>
      </c>
      <c r="D17" s="4" t="s">
        <v>105</v>
      </c>
      <c r="E17" s="5">
        <v>44000</v>
      </c>
      <c r="F17" s="6">
        <v>3779.402</v>
      </c>
      <c r="G17" s="7">
        <v>2.3303589999999999E-2</v>
      </c>
      <c r="H17" s="105"/>
    </row>
    <row r="18" spans="1:10" ht="17.100000000000001" customHeight="1" x14ac:dyDescent="0.2">
      <c r="A18" s="3">
        <v>12</v>
      </c>
      <c r="B18" s="4" t="s">
        <v>53</v>
      </c>
      <c r="C18" s="4" t="s">
        <v>54</v>
      </c>
      <c r="D18" s="4" t="s">
        <v>33</v>
      </c>
      <c r="E18" s="5">
        <v>116000</v>
      </c>
      <c r="F18" s="6">
        <v>3718.2060000000001</v>
      </c>
      <c r="G18" s="7">
        <v>2.292626E-2</v>
      </c>
      <c r="H18" s="105"/>
    </row>
    <row r="19" spans="1:10" ht="17.100000000000001" customHeight="1" x14ac:dyDescent="0.2">
      <c r="A19" s="3">
        <v>13</v>
      </c>
      <c r="B19" s="4" t="s">
        <v>353</v>
      </c>
      <c r="C19" s="4" t="s">
        <v>354</v>
      </c>
      <c r="D19" s="4" t="s">
        <v>105</v>
      </c>
      <c r="E19" s="5">
        <v>719000</v>
      </c>
      <c r="F19" s="6">
        <v>3486.7905000000001</v>
      </c>
      <c r="G19" s="7">
        <v>2.149937E-2</v>
      </c>
      <c r="H19" s="105"/>
    </row>
    <row r="20" spans="1:10" ht="17.100000000000001" customHeight="1" x14ac:dyDescent="0.2">
      <c r="A20" s="3">
        <v>14</v>
      </c>
      <c r="B20" s="4" t="s">
        <v>37</v>
      </c>
      <c r="C20" s="4" t="s">
        <v>38</v>
      </c>
      <c r="D20" s="4" t="s">
        <v>33</v>
      </c>
      <c r="E20" s="5">
        <v>178000</v>
      </c>
      <c r="F20" s="6">
        <v>3382.712</v>
      </c>
      <c r="G20" s="7">
        <v>2.085762E-2</v>
      </c>
      <c r="H20" s="105"/>
    </row>
    <row r="21" spans="1:10" ht="29.1" customHeight="1" x14ac:dyDescent="0.2">
      <c r="A21" s="3">
        <v>15</v>
      </c>
      <c r="B21" s="4" t="s">
        <v>304</v>
      </c>
      <c r="C21" s="4" t="s">
        <v>305</v>
      </c>
      <c r="D21" s="4" t="s">
        <v>212</v>
      </c>
      <c r="E21" s="5">
        <v>328000</v>
      </c>
      <c r="F21" s="6">
        <v>3239.4920000000002</v>
      </c>
      <c r="G21" s="7">
        <v>1.9974539999999999E-2</v>
      </c>
      <c r="H21" s="105"/>
    </row>
    <row r="22" spans="1:10" ht="17.100000000000001" customHeight="1" x14ac:dyDescent="0.2">
      <c r="A22" s="3">
        <v>16</v>
      </c>
      <c r="B22" s="4" t="s">
        <v>510</v>
      </c>
      <c r="C22" s="4" t="s">
        <v>511</v>
      </c>
      <c r="D22" s="4" t="s">
        <v>329</v>
      </c>
      <c r="E22" s="5">
        <v>67000</v>
      </c>
      <c r="F22" s="6">
        <v>3169.904</v>
      </c>
      <c r="G22" s="7">
        <v>1.9545460000000001E-2</v>
      </c>
      <c r="H22" s="105"/>
    </row>
    <row r="23" spans="1:10" ht="17.100000000000001" customHeight="1" x14ac:dyDescent="0.2">
      <c r="A23" s="3">
        <v>17</v>
      </c>
      <c r="B23" s="4" t="s">
        <v>325</v>
      </c>
      <c r="C23" s="4" t="s">
        <v>326</v>
      </c>
      <c r="D23" s="4" t="s">
        <v>1020</v>
      </c>
      <c r="E23" s="5">
        <v>124000</v>
      </c>
      <c r="F23" s="6">
        <v>3047.0520000000001</v>
      </c>
      <c r="G23" s="7">
        <v>1.8787959999999999E-2</v>
      </c>
      <c r="H23" s="105"/>
      <c r="J23" s="161" t="s">
        <v>1068</v>
      </c>
    </row>
    <row r="24" spans="1:10" ht="17.100000000000001" customHeight="1" x14ac:dyDescent="0.2">
      <c r="A24" s="3">
        <v>18</v>
      </c>
      <c r="B24" s="4" t="s">
        <v>14</v>
      </c>
      <c r="C24" s="4" t="s">
        <v>15</v>
      </c>
      <c r="D24" s="4" t="s">
        <v>16</v>
      </c>
      <c r="E24" s="5">
        <v>368000</v>
      </c>
      <c r="F24" s="6">
        <v>2941.424</v>
      </c>
      <c r="G24" s="7">
        <v>1.8136670000000001E-2</v>
      </c>
      <c r="H24" s="105"/>
    </row>
    <row r="25" spans="1:10" ht="17.100000000000001" customHeight="1" x14ac:dyDescent="0.2">
      <c r="A25" s="3">
        <v>19</v>
      </c>
      <c r="B25" s="4" t="s">
        <v>101</v>
      </c>
      <c r="C25" s="4" t="s">
        <v>102</v>
      </c>
      <c r="D25" s="4" t="s">
        <v>59</v>
      </c>
      <c r="E25" s="5">
        <v>136000</v>
      </c>
      <c r="F25" s="6">
        <v>2748.4920000000002</v>
      </c>
      <c r="G25" s="7">
        <v>1.694706E-2</v>
      </c>
      <c r="H25" s="105"/>
    </row>
    <row r="26" spans="1:10" ht="17.100000000000001" customHeight="1" x14ac:dyDescent="0.2">
      <c r="A26" s="3">
        <v>20</v>
      </c>
      <c r="B26" s="4" t="s">
        <v>367</v>
      </c>
      <c r="C26" s="4" t="s">
        <v>368</v>
      </c>
      <c r="D26" s="4" t="s">
        <v>128</v>
      </c>
      <c r="E26" s="5">
        <v>199000</v>
      </c>
      <c r="F26" s="6">
        <v>2695.7534999999998</v>
      </c>
      <c r="G26" s="7">
        <v>1.662187E-2</v>
      </c>
      <c r="H26" s="105"/>
    </row>
    <row r="27" spans="1:10" ht="17.100000000000001" customHeight="1" x14ac:dyDescent="0.2">
      <c r="A27" s="3">
        <v>21</v>
      </c>
      <c r="B27" s="4" t="s">
        <v>221</v>
      </c>
      <c r="C27" s="4" t="s">
        <v>222</v>
      </c>
      <c r="D27" s="4" t="s">
        <v>223</v>
      </c>
      <c r="E27" s="5">
        <v>529000</v>
      </c>
      <c r="F27" s="6">
        <v>2361.7204999999999</v>
      </c>
      <c r="G27" s="7">
        <v>1.4562240000000001E-2</v>
      </c>
      <c r="H27" s="105"/>
    </row>
    <row r="28" spans="1:10" ht="29.1" customHeight="1" x14ac:dyDescent="0.2">
      <c r="A28" s="3">
        <v>22</v>
      </c>
      <c r="B28" s="4" t="s">
        <v>20</v>
      </c>
      <c r="C28" s="4" t="s">
        <v>21</v>
      </c>
      <c r="D28" s="4" t="s">
        <v>22</v>
      </c>
      <c r="E28" s="5">
        <v>31000</v>
      </c>
      <c r="F28" s="6">
        <v>2342.422</v>
      </c>
      <c r="G28" s="7">
        <v>1.4443249999999999E-2</v>
      </c>
      <c r="H28" s="105"/>
    </row>
    <row r="29" spans="1:10" ht="17.100000000000001" customHeight="1" x14ac:dyDescent="0.2">
      <c r="A29" s="3">
        <v>23</v>
      </c>
      <c r="B29" s="4" t="s">
        <v>179</v>
      </c>
      <c r="C29" s="4" t="s">
        <v>180</v>
      </c>
      <c r="D29" s="4" t="s">
        <v>25</v>
      </c>
      <c r="E29" s="5">
        <v>1689981</v>
      </c>
      <c r="F29" s="6">
        <v>2280.6293595000002</v>
      </c>
      <c r="G29" s="7">
        <v>1.406224E-2</v>
      </c>
      <c r="H29" s="105"/>
    </row>
    <row r="30" spans="1:10" ht="17.100000000000001" customHeight="1" x14ac:dyDescent="0.2">
      <c r="A30" s="3">
        <v>24</v>
      </c>
      <c r="B30" s="4" t="s">
        <v>339</v>
      </c>
      <c r="C30" s="4" t="s">
        <v>340</v>
      </c>
      <c r="D30" s="4" t="s">
        <v>25</v>
      </c>
      <c r="E30" s="5">
        <v>693000</v>
      </c>
      <c r="F30" s="6">
        <v>2199.9285</v>
      </c>
      <c r="G30" s="7">
        <v>1.3564639999999999E-2</v>
      </c>
      <c r="H30" s="105"/>
    </row>
    <row r="31" spans="1:10" ht="29.1" customHeight="1" x14ac:dyDescent="0.2">
      <c r="A31" s="3">
        <v>25</v>
      </c>
      <c r="B31" s="4" t="s">
        <v>181</v>
      </c>
      <c r="C31" s="4" t="s">
        <v>182</v>
      </c>
      <c r="D31" s="4" t="s">
        <v>183</v>
      </c>
      <c r="E31" s="5">
        <v>44000</v>
      </c>
      <c r="F31" s="6">
        <v>2134.0880000000002</v>
      </c>
      <c r="G31" s="7">
        <v>1.3158670000000001E-2</v>
      </c>
      <c r="H31" s="105"/>
    </row>
    <row r="32" spans="1:10" ht="29.1" customHeight="1" x14ac:dyDescent="0.2">
      <c r="A32" s="3">
        <v>26</v>
      </c>
      <c r="B32" s="4" t="s">
        <v>196</v>
      </c>
      <c r="C32" s="4" t="s">
        <v>197</v>
      </c>
      <c r="D32" s="4" t="s">
        <v>128</v>
      </c>
      <c r="E32" s="5">
        <v>231000</v>
      </c>
      <c r="F32" s="6">
        <v>2012.241</v>
      </c>
      <c r="G32" s="7">
        <v>1.2407369999999999E-2</v>
      </c>
      <c r="H32" s="105"/>
    </row>
    <row r="33" spans="1:8" ht="17.100000000000001" customHeight="1" x14ac:dyDescent="0.2">
      <c r="A33" s="3">
        <v>27</v>
      </c>
      <c r="B33" s="4" t="s">
        <v>34</v>
      </c>
      <c r="C33" s="4" t="s">
        <v>35</v>
      </c>
      <c r="D33" s="4" t="s">
        <v>36</v>
      </c>
      <c r="E33" s="5">
        <v>55000</v>
      </c>
      <c r="F33" s="6">
        <v>1879.8724999999999</v>
      </c>
      <c r="G33" s="7">
        <v>1.1591199999999999E-2</v>
      </c>
      <c r="H33" s="105"/>
    </row>
    <row r="34" spans="1:8" ht="17.100000000000001" customHeight="1" x14ac:dyDescent="0.2">
      <c r="A34" s="3">
        <v>28</v>
      </c>
      <c r="B34" s="4" t="s">
        <v>213</v>
      </c>
      <c r="C34" s="4" t="s">
        <v>214</v>
      </c>
      <c r="D34" s="4" t="s">
        <v>25</v>
      </c>
      <c r="E34" s="5">
        <v>1000000</v>
      </c>
      <c r="F34" s="6">
        <v>1877.5</v>
      </c>
      <c r="G34" s="7">
        <v>1.157657E-2</v>
      </c>
      <c r="H34" s="105"/>
    </row>
    <row r="35" spans="1:8" ht="17.100000000000001" customHeight="1" x14ac:dyDescent="0.2">
      <c r="A35" s="3">
        <v>29</v>
      </c>
      <c r="B35" s="4" t="s">
        <v>359</v>
      </c>
      <c r="C35" s="4" t="s">
        <v>360</v>
      </c>
      <c r="D35" s="4" t="s">
        <v>195</v>
      </c>
      <c r="E35" s="5">
        <v>52000</v>
      </c>
      <c r="F35" s="6">
        <v>1826.2139999999999</v>
      </c>
      <c r="G35" s="7">
        <v>1.1260340000000001E-2</v>
      </c>
      <c r="H35" s="105"/>
    </row>
    <row r="36" spans="1:8" ht="17.100000000000001" customHeight="1" x14ac:dyDescent="0.2">
      <c r="A36" s="3">
        <v>30</v>
      </c>
      <c r="B36" s="4" t="s">
        <v>224</v>
      </c>
      <c r="C36" s="4" t="s">
        <v>225</v>
      </c>
      <c r="D36" s="4" t="s">
        <v>220</v>
      </c>
      <c r="E36" s="5">
        <v>123000</v>
      </c>
      <c r="F36" s="6">
        <v>1777.596</v>
      </c>
      <c r="G36" s="7">
        <v>1.0960559999999999E-2</v>
      </c>
      <c r="H36" s="105"/>
    </row>
    <row r="37" spans="1:8" ht="17.100000000000001" customHeight="1" x14ac:dyDescent="0.2">
      <c r="A37" s="3">
        <v>31</v>
      </c>
      <c r="B37" s="4" t="s">
        <v>347</v>
      </c>
      <c r="C37" s="4" t="s">
        <v>348</v>
      </c>
      <c r="D37" s="4" t="s">
        <v>121</v>
      </c>
      <c r="E37" s="5">
        <v>64000</v>
      </c>
      <c r="F37" s="6">
        <v>1690.7840000000001</v>
      </c>
      <c r="G37" s="7">
        <v>1.042529E-2</v>
      </c>
      <c r="H37" s="105"/>
    </row>
    <row r="38" spans="1:8" ht="17.100000000000001" customHeight="1" x14ac:dyDescent="0.2">
      <c r="A38" s="3">
        <v>32</v>
      </c>
      <c r="B38" s="4" t="s">
        <v>269</v>
      </c>
      <c r="C38" s="4" t="s">
        <v>270</v>
      </c>
      <c r="D38" s="4" t="s">
        <v>271</v>
      </c>
      <c r="E38" s="5">
        <v>4000</v>
      </c>
      <c r="F38" s="6">
        <v>1612.828</v>
      </c>
      <c r="G38" s="7">
        <v>9.9446099999999996E-3</v>
      </c>
      <c r="H38" s="105"/>
    </row>
    <row r="39" spans="1:8" ht="17.100000000000001" customHeight="1" x14ac:dyDescent="0.2">
      <c r="A39" s="3">
        <v>33</v>
      </c>
      <c r="B39" s="4" t="s">
        <v>355</v>
      </c>
      <c r="C39" s="4" t="s">
        <v>356</v>
      </c>
      <c r="D39" s="4" t="s">
        <v>953</v>
      </c>
      <c r="E39" s="5">
        <v>36000</v>
      </c>
      <c r="F39" s="6">
        <v>1591.002</v>
      </c>
      <c r="G39" s="7">
        <v>9.8100400000000008E-3</v>
      </c>
      <c r="H39" s="105"/>
    </row>
    <row r="40" spans="1:8" ht="29.1" customHeight="1" x14ac:dyDescent="0.2">
      <c r="A40" s="3">
        <v>34</v>
      </c>
      <c r="B40" s="4" t="s">
        <v>249</v>
      </c>
      <c r="C40" s="4" t="s">
        <v>250</v>
      </c>
      <c r="D40" s="4" t="s">
        <v>121</v>
      </c>
      <c r="E40" s="5">
        <v>600000</v>
      </c>
      <c r="F40" s="6">
        <v>1529.4</v>
      </c>
      <c r="G40" s="7">
        <v>9.4301999999999997E-3</v>
      </c>
      <c r="H40" s="105"/>
    </row>
    <row r="41" spans="1:8" ht="17.100000000000001" customHeight="1" x14ac:dyDescent="0.2">
      <c r="A41" s="3">
        <v>35</v>
      </c>
      <c r="B41" s="4" t="s">
        <v>215</v>
      </c>
      <c r="C41" s="4" t="s">
        <v>216</v>
      </c>
      <c r="D41" s="4" t="s">
        <v>217</v>
      </c>
      <c r="E41" s="5">
        <v>238000</v>
      </c>
      <c r="F41" s="6">
        <v>1522.605</v>
      </c>
      <c r="G41" s="7">
        <v>9.3883000000000005E-3</v>
      </c>
      <c r="H41" s="105"/>
    </row>
    <row r="42" spans="1:8" ht="17.100000000000001" customHeight="1" x14ac:dyDescent="0.2">
      <c r="A42" s="3">
        <v>36</v>
      </c>
      <c r="B42" s="4" t="s">
        <v>694</v>
      </c>
      <c r="C42" s="4" t="s">
        <v>695</v>
      </c>
      <c r="D42" s="4" t="s">
        <v>953</v>
      </c>
      <c r="E42" s="5">
        <v>36000</v>
      </c>
      <c r="F42" s="6">
        <v>1506.42</v>
      </c>
      <c r="G42" s="7">
        <v>9.2885099999999998E-3</v>
      </c>
      <c r="H42" s="105"/>
    </row>
    <row r="43" spans="1:8" ht="29.1" customHeight="1" x14ac:dyDescent="0.2">
      <c r="A43" s="3">
        <v>37</v>
      </c>
      <c r="B43" s="4" t="s">
        <v>710</v>
      </c>
      <c r="C43" s="4" t="s">
        <v>711</v>
      </c>
      <c r="D43" s="4" t="s">
        <v>183</v>
      </c>
      <c r="E43" s="5">
        <v>100000</v>
      </c>
      <c r="F43" s="6">
        <v>1444</v>
      </c>
      <c r="G43" s="7">
        <v>8.9036299999999992E-3</v>
      </c>
      <c r="H43" s="105"/>
    </row>
    <row r="44" spans="1:8" ht="17.100000000000001" customHeight="1" x14ac:dyDescent="0.2">
      <c r="A44" s="3">
        <v>38</v>
      </c>
      <c r="B44" s="4" t="s">
        <v>85</v>
      </c>
      <c r="C44" s="4" t="s">
        <v>86</v>
      </c>
      <c r="D44" s="4" t="s">
        <v>81</v>
      </c>
      <c r="E44" s="5">
        <v>283527</v>
      </c>
      <c r="F44" s="6">
        <v>1360.9295999999999</v>
      </c>
      <c r="G44" s="7">
        <v>8.3914200000000001E-3</v>
      </c>
      <c r="H44" s="105"/>
    </row>
    <row r="45" spans="1:8" ht="17.100000000000001" customHeight="1" x14ac:dyDescent="0.2">
      <c r="A45" s="3">
        <v>39</v>
      </c>
      <c r="B45" s="4" t="s">
        <v>79</v>
      </c>
      <c r="C45" s="4" t="s">
        <v>80</v>
      </c>
      <c r="D45" s="4" t="s">
        <v>81</v>
      </c>
      <c r="E45" s="5">
        <v>46000</v>
      </c>
      <c r="F45" s="6">
        <v>1276.3389999999999</v>
      </c>
      <c r="G45" s="7">
        <v>7.8698399999999995E-3</v>
      </c>
      <c r="H45" s="105"/>
    </row>
    <row r="46" spans="1:8" ht="29.1" customHeight="1" x14ac:dyDescent="0.2">
      <c r="A46" s="3">
        <v>40</v>
      </c>
      <c r="B46" s="4" t="s">
        <v>486</v>
      </c>
      <c r="C46" s="4" t="s">
        <v>487</v>
      </c>
      <c r="D46" s="4" t="s">
        <v>488</v>
      </c>
      <c r="E46" s="5">
        <v>162000</v>
      </c>
      <c r="F46" s="6">
        <v>1237.4369999999999</v>
      </c>
      <c r="G46" s="7">
        <v>7.6299699999999998E-3</v>
      </c>
      <c r="H46" s="105"/>
    </row>
    <row r="47" spans="1:8" ht="17.100000000000001" customHeight="1" x14ac:dyDescent="0.2">
      <c r="A47" s="3">
        <v>41</v>
      </c>
      <c r="B47" s="4" t="s">
        <v>312</v>
      </c>
      <c r="C47" s="4" t="s">
        <v>313</v>
      </c>
      <c r="D47" s="4" t="s">
        <v>25</v>
      </c>
      <c r="E47" s="5">
        <v>107000</v>
      </c>
      <c r="F47" s="6">
        <v>1233.4960000000001</v>
      </c>
      <c r="G47" s="7">
        <v>7.6056700000000001E-3</v>
      </c>
      <c r="H47" s="105"/>
    </row>
    <row r="48" spans="1:8" ht="17.100000000000001" customHeight="1" x14ac:dyDescent="0.2">
      <c r="A48" s="3">
        <v>42</v>
      </c>
      <c r="B48" s="4" t="s">
        <v>493</v>
      </c>
      <c r="C48" s="4" t="s">
        <v>494</v>
      </c>
      <c r="D48" s="4" t="s">
        <v>953</v>
      </c>
      <c r="E48" s="5">
        <v>311000</v>
      </c>
      <c r="F48" s="6">
        <v>1197.3499999999999</v>
      </c>
      <c r="G48" s="7">
        <v>7.3828000000000001E-3</v>
      </c>
      <c r="H48" s="105"/>
    </row>
    <row r="49" spans="1:8" ht="17.100000000000001" customHeight="1" x14ac:dyDescent="0.2">
      <c r="A49" s="3">
        <v>43</v>
      </c>
      <c r="B49" s="4" t="s">
        <v>205</v>
      </c>
      <c r="C49" s="4" t="s">
        <v>206</v>
      </c>
      <c r="D49" s="4" t="s">
        <v>207</v>
      </c>
      <c r="E49" s="5">
        <v>194000</v>
      </c>
      <c r="F49" s="6">
        <v>1130.729</v>
      </c>
      <c r="G49" s="7">
        <v>6.9720199999999998E-3</v>
      </c>
      <c r="H49" s="105"/>
    </row>
    <row r="50" spans="1:8" ht="17.100000000000001" customHeight="1" x14ac:dyDescent="0.2">
      <c r="A50" s="3">
        <v>44</v>
      </c>
      <c r="B50" s="4" t="s">
        <v>535</v>
      </c>
      <c r="C50" s="4" t="s">
        <v>536</v>
      </c>
      <c r="D50" s="4" t="s">
        <v>953</v>
      </c>
      <c r="E50" s="5">
        <v>102772</v>
      </c>
      <c r="F50" s="6">
        <v>1128.642104</v>
      </c>
      <c r="G50" s="7">
        <v>6.9591499999999999E-3</v>
      </c>
      <c r="H50" s="105"/>
    </row>
    <row r="51" spans="1:8" ht="17.100000000000001" customHeight="1" x14ac:dyDescent="0.2">
      <c r="A51" s="3">
        <v>45</v>
      </c>
      <c r="B51" s="4" t="s">
        <v>809</v>
      </c>
      <c r="C51" s="4" t="s">
        <v>810</v>
      </c>
      <c r="D51" s="4" t="s">
        <v>253</v>
      </c>
      <c r="E51" s="5">
        <v>67000</v>
      </c>
      <c r="F51" s="6">
        <v>1040.376</v>
      </c>
      <c r="G51" s="7">
        <v>6.4149000000000003E-3</v>
      </c>
      <c r="H51" s="105"/>
    </row>
    <row r="52" spans="1:8" ht="17.100000000000001" customHeight="1" x14ac:dyDescent="0.2">
      <c r="A52" s="3">
        <v>46</v>
      </c>
      <c r="B52" s="4" t="s">
        <v>343</v>
      </c>
      <c r="C52" s="4" t="s">
        <v>344</v>
      </c>
      <c r="D52" s="4" t="s">
        <v>1020</v>
      </c>
      <c r="E52" s="5">
        <v>240000</v>
      </c>
      <c r="F52" s="6">
        <v>1021.32</v>
      </c>
      <c r="G52" s="7">
        <v>6.2974099999999998E-3</v>
      </c>
      <c r="H52" s="105"/>
    </row>
    <row r="53" spans="1:8" ht="17.100000000000001" customHeight="1" x14ac:dyDescent="0.2">
      <c r="A53" s="3">
        <v>47</v>
      </c>
      <c r="B53" s="4" t="s">
        <v>218</v>
      </c>
      <c r="C53" s="4" t="s">
        <v>219</v>
      </c>
      <c r="D53" s="4" t="s">
        <v>220</v>
      </c>
      <c r="E53" s="5">
        <v>69000</v>
      </c>
      <c r="F53" s="6">
        <v>1020.855</v>
      </c>
      <c r="G53" s="7">
        <v>6.2945400000000004E-3</v>
      </c>
      <c r="H53" s="105"/>
    </row>
    <row r="54" spans="1:8" ht="17.100000000000001" customHeight="1" x14ac:dyDescent="0.2">
      <c r="A54" s="3">
        <v>48</v>
      </c>
      <c r="B54" s="4" t="s">
        <v>97</v>
      </c>
      <c r="C54" s="4" t="s">
        <v>98</v>
      </c>
      <c r="D54" s="4" t="s">
        <v>91</v>
      </c>
      <c r="E54" s="5">
        <v>101000</v>
      </c>
      <c r="F54" s="6">
        <v>924.25099999999998</v>
      </c>
      <c r="G54" s="7">
        <v>5.6988799999999999E-3</v>
      </c>
      <c r="H54" s="105"/>
    </row>
    <row r="55" spans="1:8" ht="17.100000000000001" customHeight="1" x14ac:dyDescent="0.2">
      <c r="A55" s="3">
        <v>49</v>
      </c>
      <c r="B55" s="4" t="s">
        <v>558</v>
      </c>
      <c r="C55" s="4" t="s">
        <v>559</v>
      </c>
      <c r="D55" s="4" t="s">
        <v>253</v>
      </c>
      <c r="E55" s="5">
        <v>19000</v>
      </c>
      <c r="F55" s="6">
        <v>865.17449999999997</v>
      </c>
      <c r="G55" s="7">
        <v>5.33462E-3</v>
      </c>
      <c r="H55" s="105"/>
    </row>
    <row r="56" spans="1:8" ht="17.100000000000001" customHeight="1" x14ac:dyDescent="0.2">
      <c r="A56" s="3">
        <v>50</v>
      </c>
      <c r="B56" s="4" t="s">
        <v>385</v>
      </c>
      <c r="C56" s="4" t="s">
        <v>386</v>
      </c>
      <c r="D56" s="4" t="s">
        <v>128</v>
      </c>
      <c r="E56" s="5">
        <v>140000</v>
      </c>
      <c r="F56" s="6">
        <v>863.38</v>
      </c>
      <c r="G56" s="7">
        <v>5.3235599999999998E-3</v>
      </c>
      <c r="H56" s="105"/>
    </row>
    <row r="57" spans="1:8" ht="17.100000000000001" customHeight="1" x14ac:dyDescent="0.2">
      <c r="A57" s="3">
        <v>51</v>
      </c>
      <c r="B57" s="4" t="s">
        <v>371</v>
      </c>
      <c r="C57" s="4" t="s">
        <v>372</v>
      </c>
      <c r="D57" s="4" t="s">
        <v>121</v>
      </c>
      <c r="E57" s="5">
        <v>29000</v>
      </c>
      <c r="F57" s="6">
        <v>841.68150000000003</v>
      </c>
      <c r="G57" s="7">
        <v>5.1897599999999999E-3</v>
      </c>
      <c r="H57" s="105"/>
    </row>
    <row r="58" spans="1:8" ht="17.100000000000001" customHeight="1" x14ac:dyDescent="0.2">
      <c r="A58" s="3">
        <v>52</v>
      </c>
      <c r="B58" s="4" t="s">
        <v>200</v>
      </c>
      <c r="C58" s="4" t="s">
        <v>201</v>
      </c>
      <c r="D58" s="4" t="s">
        <v>202</v>
      </c>
      <c r="E58" s="5">
        <v>300000</v>
      </c>
      <c r="F58" s="6">
        <v>782.4</v>
      </c>
      <c r="G58" s="7">
        <v>4.8242399999999996E-3</v>
      </c>
      <c r="H58" s="105"/>
    </row>
    <row r="59" spans="1:8" ht="17.100000000000001" customHeight="1" x14ac:dyDescent="0.2">
      <c r="A59" s="3">
        <v>53</v>
      </c>
      <c r="B59" s="4" t="s">
        <v>314</v>
      </c>
      <c r="C59" s="4" t="s">
        <v>315</v>
      </c>
      <c r="D59" s="4" t="s">
        <v>223</v>
      </c>
      <c r="E59" s="5">
        <v>64000</v>
      </c>
      <c r="F59" s="6">
        <v>765.34400000000005</v>
      </c>
      <c r="G59" s="7">
        <v>4.7190699999999997E-3</v>
      </c>
      <c r="H59" s="105"/>
    </row>
    <row r="60" spans="1:8" ht="17.100000000000001" customHeight="1" x14ac:dyDescent="0.2">
      <c r="A60" s="3">
        <v>54</v>
      </c>
      <c r="B60" s="4" t="s">
        <v>550</v>
      </c>
      <c r="C60" s="4" t="s">
        <v>551</v>
      </c>
      <c r="D60" s="4" t="s">
        <v>220</v>
      </c>
      <c r="E60" s="5">
        <v>96000</v>
      </c>
      <c r="F60" s="6">
        <v>746.06399999999996</v>
      </c>
      <c r="G60" s="7">
        <v>4.6001899999999997E-3</v>
      </c>
      <c r="H60" s="105"/>
    </row>
    <row r="61" spans="1:8" ht="29.1" customHeight="1" x14ac:dyDescent="0.2">
      <c r="A61" s="3">
        <v>55</v>
      </c>
      <c r="B61" s="4" t="s">
        <v>491</v>
      </c>
      <c r="C61" s="4" t="s">
        <v>492</v>
      </c>
      <c r="D61" s="4" t="s">
        <v>212</v>
      </c>
      <c r="E61" s="5">
        <v>58000</v>
      </c>
      <c r="F61" s="6">
        <v>526.66899999999998</v>
      </c>
      <c r="G61" s="7">
        <v>3.2474100000000001E-3</v>
      </c>
      <c r="H61" s="105"/>
    </row>
    <row r="62" spans="1:8" ht="17.100000000000001" customHeight="1" x14ac:dyDescent="0.2">
      <c r="A62" s="3">
        <v>56</v>
      </c>
      <c r="B62" s="4" t="s">
        <v>365</v>
      </c>
      <c r="C62" s="4" t="s">
        <v>366</v>
      </c>
      <c r="D62" s="4" t="s">
        <v>121</v>
      </c>
      <c r="E62" s="5">
        <v>13000</v>
      </c>
      <c r="F62" s="6">
        <v>378.98899999999998</v>
      </c>
      <c r="G62" s="7">
        <v>2.3368299999999998E-3</v>
      </c>
      <c r="H62" s="105"/>
    </row>
    <row r="63" spans="1:8" ht="17.100000000000001" customHeight="1" x14ac:dyDescent="0.2">
      <c r="A63" s="3">
        <v>57</v>
      </c>
      <c r="B63" s="4" t="s">
        <v>310</v>
      </c>
      <c r="C63" s="4" t="s">
        <v>311</v>
      </c>
      <c r="D63" s="4" t="s">
        <v>207</v>
      </c>
      <c r="E63" s="5">
        <v>300000</v>
      </c>
      <c r="F63" s="6">
        <v>323.85000000000002</v>
      </c>
      <c r="G63" s="7">
        <v>1.9968400000000002E-3</v>
      </c>
      <c r="H63" s="105"/>
    </row>
    <row r="64" spans="1:8" ht="17.100000000000001" customHeight="1" x14ac:dyDescent="0.2">
      <c r="A64" s="3">
        <v>58</v>
      </c>
      <c r="B64" s="4" t="s">
        <v>239</v>
      </c>
      <c r="C64" s="4" t="s">
        <v>240</v>
      </c>
      <c r="D64" s="4" t="s">
        <v>121</v>
      </c>
      <c r="E64" s="5">
        <v>40000</v>
      </c>
      <c r="F64" s="6">
        <v>319.62</v>
      </c>
      <c r="G64" s="7">
        <v>1.9707599999999998E-3</v>
      </c>
      <c r="H64" s="105"/>
    </row>
    <row r="65" spans="1:8" ht="53.1" customHeight="1" x14ac:dyDescent="0.2">
      <c r="A65" s="3">
        <v>59</v>
      </c>
      <c r="B65" s="4" t="s">
        <v>117</v>
      </c>
      <c r="C65" s="4" t="s">
        <v>118</v>
      </c>
      <c r="D65" s="4" t="s">
        <v>52</v>
      </c>
      <c r="E65" s="5">
        <v>11000</v>
      </c>
      <c r="F65" s="6">
        <v>133.8425</v>
      </c>
      <c r="G65" s="7">
        <v>8.2527000000000002E-4</v>
      </c>
      <c r="H65" s="105"/>
    </row>
    <row r="66" spans="1:8" ht="17.100000000000001" customHeight="1" x14ac:dyDescent="0.2">
      <c r="A66" s="3">
        <v>60</v>
      </c>
      <c r="B66" s="4" t="s">
        <v>126</v>
      </c>
      <c r="C66" s="4" t="s">
        <v>127</v>
      </c>
      <c r="D66" s="4" t="s">
        <v>128</v>
      </c>
      <c r="E66" s="5">
        <v>50895</v>
      </c>
      <c r="F66" s="6">
        <v>105.0727275</v>
      </c>
      <c r="G66" s="7">
        <v>6.4787000000000004E-4</v>
      </c>
      <c r="H66" s="105"/>
    </row>
    <row r="67" spans="1:8" ht="14.1" customHeight="1" x14ac:dyDescent="0.2">
      <c r="A67" s="1"/>
      <c r="B67" s="1"/>
      <c r="C67" s="2" t="s">
        <v>132</v>
      </c>
      <c r="D67" s="1"/>
      <c r="E67" s="1" t="s">
        <v>133</v>
      </c>
      <c r="F67" s="9">
        <v>157009.32229099999</v>
      </c>
      <c r="G67" s="10">
        <v>0.96811122999999999</v>
      </c>
      <c r="H67" s="105"/>
    </row>
    <row r="68" spans="1:8" ht="14.1" customHeight="1" x14ac:dyDescent="0.2">
      <c r="A68" s="1"/>
      <c r="B68" s="1"/>
      <c r="C68" s="11"/>
      <c r="D68" s="1"/>
      <c r="E68" s="1"/>
      <c r="F68" s="12"/>
      <c r="G68" s="12"/>
      <c r="H68" s="105"/>
    </row>
    <row r="69" spans="1:8" ht="14.1" customHeight="1" x14ac:dyDescent="0.2">
      <c r="A69" s="1"/>
      <c r="B69" s="1"/>
      <c r="C69" s="2" t="s">
        <v>134</v>
      </c>
      <c r="D69" s="1"/>
      <c r="E69" s="1"/>
      <c r="F69" s="1"/>
      <c r="G69" s="1"/>
      <c r="H69" s="105"/>
    </row>
    <row r="70" spans="1:8" ht="14.1" customHeight="1" x14ac:dyDescent="0.2">
      <c r="A70" s="1"/>
      <c r="B70" s="1"/>
      <c r="C70" s="2" t="s">
        <v>132</v>
      </c>
      <c r="D70" s="1"/>
      <c r="E70" s="1" t="s">
        <v>133</v>
      </c>
      <c r="F70" s="13" t="s">
        <v>135</v>
      </c>
      <c r="G70" s="10">
        <v>0</v>
      </c>
      <c r="H70" s="105"/>
    </row>
    <row r="71" spans="1:8" ht="14.1" customHeight="1" x14ac:dyDescent="0.2">
      <c r="A71" s="1"/>
      <c r="B71" s="1"/>
      <c r="C71" s="11"/>
      <c r="D71" s="1"/>
      <c r="E71" s="1"/>
      <c r="F71" s="12"/>
      <c r="G71" s="12"/>
      <c r="H71" s="105"/>
    </row>
    <row r="72" spans="1:8" ht="14.1" customHeight="1" x14ac:dyDescent="0.2">
      <c r="A72" s="1"/>
      <c r="B72" s="1"/>
      <c r="C72" s="2" t="s">
        <v>136</v>
      </c>
      <c r="D72" s="1"/>
      <c r="E72" s="1"/>
      <c r="F72" s="1"/>
      <c r="G72" s="1"/>
      <c r="H72" s="105"/>
    </row>
    <row r="73" spans="1:8" ht="14.1" customHeight="1" x14ac:dyDescent="0.2">
      <c r="A73" s="1"/>
      <c r="B73" s="1"/>
      <c r="C73" s="2" t="s">
        <v>132</v>
      </c>
      <c r="D73" s="1"/>
      <c r="E73" s="1" t="s">
        <v>133</v>
      </c>
      <c r="F73" s="13" t="s">
        <v>135</v>
      </c>
      <c r="G73" s="10">
        <v>0</v>
      </c>
      <c r="H73" s="105"/>
    </row>
    <row r="74" spans="1:8" ht="14.1" customHeight="1" x14ac:dyDescent="0.2">
      <c r="A74" s="1"/>
      <c r="B74" s="1"/>
      <c r="C74" s="11"/>
      <c r="D74" s="1"/>
      <c r="E74" s="1"/>
      <c r="F74" s="12"/>
      <c r="G74" s="12"/>
      <c r="H74" s="105"/>
    </row>
    <row r="75" spans="1:8" ht="14.1" customHeight="1" x14ac:dyDescent="0.2">
      <c r="A75" s="1"/>
      <c r="B75" s="1"/>
      <c r="C75" s="2" t="s">
        <v>137</v>
      </c>
      <c r="D75" s="1"/>
      <c r="E75" s="1"/>
      <c r="F75" s="1"/>
      <c r="G75" s="1"/>
      <c r="H75" s="105"/>
    </row>
    <row r="76" spans="1:8" ht="14.1" customHeight="1" x14ac:dyDescent="0.2">
      <c r="A76" s="1"/>
      <c r="B76" s="1"/>
      <c r="C76" s="2" t="s">
        <v>132</v>
      </c>
      <c r="D76" s="1"/>
      <c r="E76" s="1" t="s">
        <v>133</v>
      </c>
      <c r="F76" s="13" t="s">
        <v>135</v>
      </c>
      <c r="G76" s="10">
        <v>0</v>
      </c>
      <c r="H76" s="105"/>
    </row>
    <row r="77" spans="1:8" ht="14.1" customHeight="1" x14ac:dyDescent="0.2">
      <c r="A77" s="1"/>
      <c r="B77" s="1"/>
      <c r="C77" s="11"/>
      <c r="D77" s="1"/>
      <c r="E77" s="1"/>
      <c r="F77" s="12"/>
      <c r="G77" s="12"/>
      <c r="H77" s="105"/>
    </row>
    <row r="78" spans="1:8" ht="14.1" customHeight="1" x14ac:dyDescent="0.2">
      <c r="A78" s="1"/>
      <c r="B78" s="1"/>
      <c r="C78" s="2" t="s">
        <v>138</v>
      </c>
      <c r="D78" s="1"/>
      <c r="E78" s="1"/>
      <c r="F78" s="12"/>
      <c r="G78" s="12"/>
      <c r="H78" s="105"/>
    </row>
    <row r="79" spans="1:8" ht="14.1" customHeight="1" x14ac:dyDescent="0.2">
      <c r="A79" s="1"/>
      <c r="B79" s="1"/>
      <c r="C79" s="2" t="s">
        <v>132</v>
      </c>
      <c r="D79" s="1"/>
      <c r="E79" s="1" t="s">
        <v>133</v>
      </c>
      <c r="F79" s="13" t="s">
        <v>135</v>
      </c>
      <c r="G79" s="10">
        <v>0</v>
      </c>
      <c r="H79" s="105"/>
    </row>
    <row r="80" spans="1:8" ht="14.1" customHeight="1" x14ac:dyDescent="0.2">
      <c r="A80" s="1"/>
      <c r="B80" s="1"/>
      <c r="C80" s="11"/>
      <c r="D80" s="1"/>
      <c r="E80" s="1"/>
      <c r="F80" s="12"/>
      <c r="G80" s="12"/>
      <c r="H80" s="105"/>
    </row>
    <row r="81" spans="1:8" ht="14.1" customHeight="1" x14ac:dyDescent="0.2">
      <c r="A81" s="1"/>
      <c r="B81" s="1"/>
      <c r="C81" s="2" t="s">
        <v>139</v>
      </c>
      <c r="D81" s="1"/>
      <c r="E81" s="1"/>
      <c r="F81" s="12"/>
      <c r="G81" s="12"/>
      <c r="H81" s="105"/>
    </row>
    <row r="82" spans="1:8" ht="14.1" customHeight="1" x14ac:dyDescent="0.2">
      <c r="A82" s="1"/>
      <c r="B82" s="1"/>
      <c r="C82" s="2" t="s">
        <v>132</v>
      </c>
      <c r="D82" s="1"/>
      <c r="E82" s="1" t="s">
        <v>133</v>
      </c>
      <c r="F82" s="13" t="s">
        <v>135</v>
      </c>
      <c r="G82" s="10">
        <v>0</v>
      </c>
      <c r="H82" s="105"/>
    </row>
    <row r="83" spans="1:8" ht="14.1" customHeight="1" x14ac:dyDescent="0.2">
      <c r="A83" s="1"/>
      <c r="B83" s="1"/>
      <c r="C83" s="11"/>
      <c r="D83" s="1"/>
      <c r="E83" s="1"/>
      <c r="F83" s="12"/>
      <c r="G83" s="12"/>
      <c r="H83" s="105"/>
    </row>
    <row r="84" spans="1:8" ht="18" customHeight="1" x14ac:dyDescent="0.2">
      <c r="A84" s="1"/>
      <c r="B84" s="1"/>
      <c r="C84" s="2" t="s">
        <v>140</v>
      </c>
      <c r="D84" s="1"/>
      <c r="E84" s="1"/>
      <c r="F84" s="9">
        <v>157009.32229099999</v>
      </c>
      <c r="G84" s="10">
        <v>0.96811122999999999</v>
      </c>
      <c r="H84" s="105"/>
    </row>
    <row r="85" spans="1:8" ht="14.1" customHeight="1" x14ac:dyDescent="0.2">
      <c r="A85" s="1"/>
      <c r="B85" s="1"/>
      <c r="C85" s="11"/>
      <c r="D85" s="1"/>
      <c r="E85" s="1"/>
      <c r="F85" s="12"/>
      <c r="G85" s="12"/>
      <c r="H85" s="105"/>
    </row>
    <row r="86" spans="1:8" ht="14.1" customHeight="1" x14ac:dyDescent="0.2">
      <c r="A86" s="1"/>
      <c r="B86" s="1"/>
      <c r="C86" s="2" t="s">
        <v>141</v>
      </c>
      <c r="D86" s="1"/>
      <c r="E86" s="1"/>
      <c r="F86" s="12"/>
      <c r="G86" s="12"/>
      <c r="H86" s="105"/>
    </row>
    <row r="87" spans="1:8" ht="24" customHeight="1" x14ac:dyDescent="0.2">
      <c r="A87" s="1"/>
      <c r="B87" s="1"/>
      <c r="C87" s="2" t="s">
        <v>10</v>
      </c>
      <c r="D87" s="1"/>
      <c r="E87" s="1"/>
      <c r="F87" s="12"/>
      <c r="G87" s="12"/>
      <c r="H87" s="105"/>
    </row>
    <row r="88" spans="1:8" ht="14.1" customHeight="1" x14ac:dyDescent="0.2">
      <c r="A88" s="1"/>
      <c r="B88" s="1"/>
      <c r="C88" s="2" t="s">
        <v>132</v>
      </c>
      <c r="D88" s="1"/>
      <c r="E88" s="1" t="s">
        <v>133</v>
      </c>
      <c r="F88" s="13" t="s">
        <v>135</v>
      </c>
      <c r="G88" s="10">
        <v>0</v>
      </c>
      <c r="H88" s="105"/>
    </row>
    <row r="89" spans="1:8" ht="14.1" customHeight="1" x14ac:dyDescent="0.2">
      <c r="A89" s="1"/>
      <c r="B89" s="1"/>
      <c r="C89" s="11"/>
      <c r="D89" s="1"/>
      <c r="E89" s="1"/>
      <c r="F89" s="12"/>
      <c r="G89" s="12"/>
      <c r="H89" s="105"/>
    </row>
    <row r="90" spans="1:8" ht="14.1" customHeight="1" x14ac:dyDescent="0.2">
      <c r="A90" s="1"/>
      <c r="B90" s="1"/>
      <c r="C90" s="2" t="s">
        <v>142</v>
      </c>
      <c r="D90" s="1"/>
      <c r="E90" s="1"/>
      <c r="F90" s="1"/>
      <c r="G90" s="1"/>
      <c r="H90" s="105"/>
    </row>
    <row r="91" spans="1:8" ht="14.1" customHeight="1" x14ac:dyDescent="0.2">
      <c r="A91" s="1"/>
      <c r="B91" s="1"/>
      <c r="C91" s="2" t="s">
        <v>132</v>
      </c>
      <c r="D91" s="1"/>
      <c r="E91" s="1" t="s">
        <v>133</v>
      </c>
      <c r="F91" s="13" t="s">
        <v>135</v>
      </c>
      <c r="G91" s="10">
        <v>0</v>
      </c>
      <c r="H91" s="105"/>
    </row>
    <row r="92" spans="1:8" ht="14.1" customHeight="1" x14ac:dyDescent="0.2">
      <c r="A92" s="1"/>
      <c r="B92" s="1"/>
      <c r="C92" s="11"/>
      <c r="D92" s="1"/>
      <c r="E92" s="1"/>
      <c r="F92" s="12"/>
      <c r="G92" s="12"/>
      <c r="H92" s="105"/>
    </row>
    <row r="93" spans="1:8" ht="14.1" customHeight="1" x14ac:dyDescent="0.2">
      <c r="A93" s="1"/>
      <c r="B93" s="1"/>
      <c r="C93" s="2" t="s">
        <v>143</v>
      </c>
      <c r="D93" s="1"/>
      <c r="E93" s="1"/>
      <c r="F93" s="1"/>
      <c r="G93" s="1"/>
      <c r="H93" s="105"/>
    </row>
    <row r="94" spans="1:8" ht="14.1" customHeight="1" x14ac:dyDescent="0.2">
      <c r="A94" s="1"/>
      <c r="B94" s="1"/>
      <c r="C94" s="2" t="s">
        <v>132</v>
      </c>
      <c r="D94" s="1"/>
      <c r="E94" s="1" t="s">
        <v>133</v>
      </c>
      <c r="F94" s="13" t="s">
        <v>135</v>
      </c>
      <c r="G94" s="10">
        <v>0</v>
      </c>
      <c r="H94" s="105"/>
    </row>
    <row r="95" spans="1:8" ht="14.1" customHeight="1" x14ac:dyDescent="0.2">
      <c r="A95" s="1"/>
      <c r="B95" s="1"/>
      <c r="C95" s="11"/>
      <c r="D95" s="1"/>
      <c r="E95" s="1"/>
      <c r="F95" s="12"/>
      <c r="G95" s="12"/>
      <c r="H95" s="105"/>
    </row>
    <row r="96" spans="1:8" ht="14.1" customHeight="1" x14ac:dyDescent="0.2">
      <c r="A96" s="1"/>
      <c r="B96" s="1"/>
      <c r="C96" s="2" t="s">
        <v>144</v>
      </c>
      <c r="D96" s="1"/>
      <c r="E96" s="1"/>
      <c r="F96" s="12"/>
      <c r="G96" s="12"/>
      <c r="H96" s="105"/>
    </row>
    <row r="97" spans="1:8" ht="14.1" customHeight="1" x14ac:dyDescent="0.2">
      <c r="A97" s="1"/>
      <c r="B97" s="1"/>
      <c r="C97" s="2" t="s">
        <v>132</v>
      </c>
      <c r="D97" s="1"/>
      <c r="E97" s="1" t="s">
        <v>133</v>
      </c>
      <c r="F97" s="13" t="s">
        <v>135</v>
      </c>
      <c r="G97" s="10">
        <v>0</v>
      </c>
      <c r="H97" s="105"/>
    </row>
    <row r="98" spans="1:8" ht="14.1" customHeight="1" x14ac:dyDescent="0.2">
      <c r="A98" s="1"/>
      <c r="B98" s="1"/>
      <c r="C98" s="11"/>
      <c r="D98" s="1"/>
      <c r="E98" s="1"/>
      <c r="F98" s="12"/>
      <c r="G98" s="12"/>
      <c r="H98" s="105"/>
    </row>
    <row r="99" spans="1:8" ht="14.1" customHeight="1" x14ac:dyDescent="0.2">
      <c r="A99" s="1"/>
      <c r="B99" s="1"/>
      <c r="C99" s="2" t="s">
        <v>145</v>
      </c>
      <c r="D99" s="1"/>
      <c r="E99" s="1"/>
      <c r="F99" s="9">
        <v>0</v>
      </c>
      <c r="G99" s="10">
        <v>0</v>
      </c>
      <c r="H99" s="105"/>
    </row>
    <row r="100" spans="1:8" ht="14.1" customHeight="1" x14ac:dyDescent="0.2">
      <c r="A100" s="1"/>
      <c r="B100" s="1"/>
      <c r="C100" s="11"/>
      <c r="D100" s="1"/>
      <c r="E100" s="1"/>
      <c r="F100" s="12"/>
      <c r="G100" s="12"/>
      <c r="H100" s="105"/>
    </row>
    <row r="101" spans="1:8" ht="14.1" customHeight="1" x14ac:dyDescent="0.2">
      <c r="A101" s="1"/>
      <c r="B101" s="1"/>
      <c r="C101" s="2" t="s">
        <v>146</v>
      </c>
      <c r="D101" s="1"/>
      <c r="E101" s="1"/>
      <c r="F101" s="12"/>
      <c r="G101" s="12"/>
      <c r="H101" s="105"/>
    </row>
    <row r="102" spans="1:8" ht="14.1" customHeight="1" x14ac:dyDescent="0.2">
      <c r="A102" s="1"/>
      <c r="B102" s="1"/>
      <c r="C102" s="2" t="s">
        <v>147</v>
      </c>
      <c r="D102" s="1"/>
      <c r="E102" s="1"/>
      <c r="F102" s="12"/>
      <c r="G102" s="12"/>
      <c r="H102" s="105"/>
    </row>
    <row r="103" spans="1:8" ht="14.1" customHeight="1" x14ac:dyDescent="0.2">
      <c r="A103" s="1"/>
      <c r="B103" s="1"/>
      <c r="C103" s="2" t="s">
        <v>132</v>
      </c>
      <c r="D103" s="1"/>
      <c r="E103" s="1" t="s">
        <v>133</v>
      </c>
      <c r="F103" s="13" t="s">
        <v>135</v>
      </c>
      <c r="G103" s="10">
        <v>0</v>
      </c>
      <c r="H103" s="105"/>
    </row>
    <row r="104" spans="1:8" ht="14.1" customHeight="1" x14ac:dyDescent="0.2">
      <c r="A104" s="1"/>
      <c r="B104" s="1"/>
      <c r="C104" s="11"/>
      <c r="D104" s="1"/>
      <c r="E104" s="1"/>
      <c r="F104" s="12"/>
      <c r="G104" s="12"/>
      <c r="H104" s="105"/>
    </row>
    <row r="105" spans="1:8" ht="14.1" customHeight="1" x14ac:dyDescent="0.2">
      <c r="A105" s="1"/>
      <c r="B105" s="1"/>
      <c r="C105" s="2" t="s">
        <v>148</v>
      </c>
      <c r="D105" s="1"/>
      <c r="E105" s="1"/>
      <c r="F105" s="12"/>
      <c r="G105" s="12"/>
      <c r="H105" s="105"/>
    </row>
    <row r="106" spans="1:8" ht="14.1" customHeight="1" x14ac:dyDescent="0.2">
      <c r="A106" s="1"/>
      <c r="B106" s="1"/>
      <c r="C106" s="2" t="s">
        <v>132</v>
      </c>
      <c r="D106" s="1"/>
      <c r="E106" s="1" t="s">
        <v>133</v>
      </c>
      <c r="F106" s="13" t="s">
        <v>135</v>
      </c>
      <c r="G106" s="10">
        <v>0</v>
      </c>
      <c r="H106" s="105"/>
    </row>
    <row r="107" spans="1:8" ht="14.1" customHeight="1" x14ac:dyDescent="0.2">
      <c r="A107" s="1"/>
      <c r="B107" s="1"/>
      <c r="C107" s="11"/>
      <c r="D107" s="1"/>
      <c r="E107" s="1"/>
      <c r="F107" s="12"/>
      <c r="G107" s="12"/>
      <c r="H107" s="105"/>
    </row>
    <row r="108" spans="1:8" ht="14.1" customHeight="1" x14ac:dyDescent="0.2">
      <c r="A108" s="1"/>
      <c r="B108" s="1"/>
      <c r="C108" s="2" t="s">
        <v>149</v>
      </c>
      <c r="D108" s="1"/>
      <c r="E108" s="1"/>
      <c r="F108" s="12"/>
      <c r="G108" s="12"/>
      <c r="H108" s="105"/>
    </row>
    <row r="109" spans="1:8" ht="14.1" customHeight="1" x14ac:dyDescent="0.2">
      <c r="A109" s="1"/>
      <c r="B109" s="1"/>
      <c r="C109" s="2" t="s">
        <v>132</v>
      </c>
      <c r="D109" s="1"/>
      <c r="E109" s="1" t="s">
        <v>133</v>
      </c>
      <c r="F109" s="13" t="s">
        <v>135</v>
      </c>
      <c r="G109" s="10">
        <v>0</v>
      </c>
      <c r="H109" s="105"/>
    </row>
    <row r="110" spans="1:8" ht="14.1" customHeight="1" x14ac:dyDescent="0.2">
      <c r="A110" s="1"/>
      <c r="B110" s="1"/>
      <c r="C110" s="11"/>
      <c r="D110" s="1"/>
      <c r="E110" s="1"/>
      <c r="F110" s="12"/>
      <c r="G110" s="12"/>
      <c r="H110" s="105"/>
    </row>
    <row r="111" spans="1:8" ht="14.1" customHeight="1" x14ac:dyDescent="0.2">
      <c r="A111" s="1"/>
      <c r="B111" s="1"/>
      <c r="C111" s="2" t="s">
        <v>150</v>
      </c>
      <c r="D111" s="1"/>
      <c r="E111" s="1"/>
      <c r="F111" s="12"/>
      <c r="G111" s="12"/>
      <c r="H111" s="105"/>
    </row>
    <row r="112" spans="1:8" ht="17.100000000000001" customHeight="1" x14ac:dyDescent="0.2">
      <c r="A112" s="3">
        <v>1</v>
      </c>
      <c r="B112" s="4"/>
      <c r="C112" s="4" t="s">
        <v>151</v>
      </c>
      <c r="D112" s="4"/>
      <c r="E112" s="8"/>
      <c r="F112" s="6">
        <v>4179.8493176000002</v>
      </c>
      <c r="G112" s="7">
        <v>2.5772730000000001E-2</v>
      </c>
      <c r="H112" s="105">
        <v>6.8153352377542396</v>
      </c>
    </row>
    <row r="113" spans="1:8" ht="17.100000000000001" customHeight="1" x14ac:dyDescent="0.2">
      <c r="A113" s="3">
        <v>2</v>
      </c>
      <c r="B113" s="4"/>
      <c r="C113" s="4" t="s">
        <v>152</v>
      </c>
      <c r="D113" s="4"/>
      <c r="E113" s="8"/>
      <c r="F113" s="6">
        <v>496.0070364</v>
      </c>
      <c r="G113" s="7">
        <v>3.05835E-3</v>
      </c>
      <c r="H113" s="105">
        <v>6.7952403714590259</v>
      </c>
    </row>
    <row r="114" spans="1:8" ht="14.1" customHeight="1" x14ac:dyDescent="0.2">
      <c r="A114" s="1"/>
      <c r="B114" s="1"/>
      <c r="C114" s="2" t="s">
        <v>132</v>
      </c>
      <c r="D114" s="1"/>
      <c r="E114" s="1" t="s">
        <v>133</v>
      </c>
      <c r="F114" s="9">
        <v>4675.8563539999996</v>
      </c>
      <c r="G114" s="10">
        <v>2.8831079999999999E-2</v>
      </c>
      <c r="H114" s="105"/>
    </row>
    <row r="115" spans="1:8" ht="14.1" customHeight="1" x14ac:dyDescent="0.2">
      <c r="A115" s="1"/>
      <c r="B115" s="1"/>
      <c r="C115" s="11"/>
      <c r="D115" s="1"/>
      <c r="E115" s="1"/>
      <c r="F115" s="12"/>
      <c r="G115" s="12"/>
      <c r="H115" s="105"/>
    </row>
    <row r="116" spans="1:8" ht="14.1" customHeight="1" x14ac:dyDescent="0.2">
      <c r="A116" s="1"/>
      <c r="B116" s="1"/>
      <c r="C116" s="2" t="s">
        <v>153</v>
      </c>
      <c r="D116" s="1"/>
      <c r="E116" s="1"/>
      <c r="F116" s="9">
        <v>4675.8563539999996</v>
      </c>
      <c r="G116" s="10">
        <v>2.8831079999999999E-2</v>
      </c>
      <c r="H116" s="105"/>
    </row>
    <row r="117" spans="1:8" ht="14.1" customHeight="1" x14ac:dyDescent="0.2">
      <c r="A117" s="1"/>
      <c r="B117" s="1"/>
      <c r="C117" s="12"/>
      <c r="D117" s="1"/>
      <c r="E117" s="1"/>
      <c r="F117" s="1"/>
      <c r="G117" s="1"/>
      <c r="H117" s="105"/>
    </row>
    <row r="118" spans="1:8" ht="14.1" customHeight="1" x14ac:dyDescent="0.2">
      <c r="A118" s="1"/>
      <c r="B118" s="1"/>
      <c r="C118" s="2" t="s">
        <v>154</v>
      </c>
      <c r="D118" s="1"/>
      <c r="E118" s="1"/>
      <c r="F118" s="1"/>
      <c r="G118" s="1"/>
      <c r="H118" s="105"/>
    </row>
    <row r="119" spans="1:8" ht="14.1" customHeight="1" x14ac:dyDescent="0.2">
      <c r="A119" s="1"/>
      <c r="B119" s="1"/>
      <c r="C119" s="2" t="s">
        <v>155</v>
      </c>
      <c r="D119" s="1"/>
      <c r="E119" s="1"/>
      <c r="F119" s="1"/>
      <c r="G119" s="1"/>
      <c r="H119" s="105"/>
    </row>
    <row r="120" spans="1:8" ht="14.1" customHeight="1" x14ac:dyDescent="0.2">
      <c r="A120" s="1"/>
      <c r="B120" s="1"/>
      <c r="C120" s="2" t="s">
        <v>132</v>
      </c>
      <c r="D120" s="1"/>
      <c r="E120" s="1" t="s">
        <v>133</v>
      </c>
      <c r="F120" s="13" t="s">
        <v>135</v>
      </c>
      <c r="G120" s="10">
        <v>0</v>
      </c>
      <c r="H120" s="105"/>
    </row>
    <row r="121" spans="1:8" ht="14.1" customHeight="1" x14ac:dyDescent="0.2">
      <c r="A121" s="1"/>
      <c r="B121" s="1"/>
      <c r="C121" s="11"/>
      <c r="D121" s="1"/>
      <c r="E121" s="1"/>
      <c r="F121" s="12"/>
      <c r="G121" s="12"/>
      <c r="H121" s="105"/>
    </row>
    <row r="122" spans="1:8" ht="14.1" customHeight="1" x14ac:dyDescent="0.2">
      <c r="A122" s="1"/>
      <c r="B122" s="1"/>
      <c r="C122" s="2" t="s">
        <v>156</v>
      </c>
      <c r="D122" s="1"/>
      <c r="E122" s="1"/>
      <c r="F122" s="1"/>
      <c r="G122" s="1"/>
      <c r="H122" s="105"/>
    </row>
    <row r="123" spans="1:8" ht="14.1" customHeight="1" x14ac:dyDescent="0.2">
      <c r="A123" s="1"/>
      <c r="B123" s="1"/>
      <c r="C123" s="2" t="s">
        <v>157</v>
      </c>
      <c r="D123" s="1"/>
      <c r="E123" s="1"/>
      <c r="F123" s="1"/>
      <c r="G123" s="1"/>
      <c r="H123" s="105"/>
    </row>
    <row r="124" spans="1:8" ht="14.1" customHeight="1" x14ac:dyDescent="0.2">
      <c r="A124" s="1"/>
      <c r="B124" s="1"/>
      <c r="C124" s="2" t="s">
        <v>132</v>
      </c>
      <c r="D124" s="1"/>
      <c r="E124" s="1" t="s">
        <v>133</v>
      </c>
      <c r="F124" s="13" t="s">
        <v>135</v>
      </c>
      <c r="G124" s="10">
        <v>0</v>
      </c>
      <c r="H124" s="105"/>
    </row>
    <row r="125" spans="1:8" ht="14.1" customHeight="1" x14ac:dyDescent="0.2">
      <c r="A125" s="1"/>
      <c r="B125" s="1"/>
      <c r="C125" s="11"/>
      <c r="D125" s="1"/>
      <c r="E125" s="1"/>
      <c r="F125" s="12"/>
      <c r="G125" s="12"/>
      <c r="H125" s="105"/>
    </row>
    <row r="126" spans="1:8" ht="24" customHeight="1" x14ac:dyDescent="0.2">
      <c r="A126" s="1"/>
      <c r="B126" s="1"/>
      <c r="C126" s="2" t="s">
        <v>158</v>
      </c>
      <c r="D126" s="1"/>
      <c r="E126" s="1"/>
      <c r="F126" s="12"/>
      <c r="G126" s="12"/>
      <c r="H126" s="105"/>
    </row>
    <row r="127" spans="1:8" ht="14.1" customHeight="1" x14ac:dyDescent="0.2">
      <c r="A127" s="1"/>
      <c r="B127" s="1"/>
      <c r="C127" s="2" t="s">
        <v>132</v>
      </c>
      <c r="D127" s="1"/>
      <c r="E127" s="1" t="s">
        <v>133</v>
      </c>
      <c r="F127" s="13" t="s">
        <v>135</v>
      </c>
      <c r="G127" s="10">
        <v>0</v>
      </c>
      <c r="H127" s="105"/>
    </row>
    <row r="128" spans="1:8" ht="14.1" customHeight="1" x14ac:dyDescent="0.2">
      <c r="A128" s="1"/>
      <c r="B128" s="1"/>
      <c r="C128" s="11"/>
      <c r="D128" s="1"/>
      <c r="E128" s="1"/>
      <c r="F128" s="12"/>
      <c r="G128" s="12"/>
      <c r="H128" s="105"/>
    </row>
    <row r="129" spans="1:8" ht="14.1" customHeight="1" x14ac:dyDescent="0.2">
      <c r="A129" s="1"/>
      <c r="B129" s="4"/>
      <c r="C129" s="4"/>
      <c r="D129" s="2"/>
      <c r="E129" s="1"/>
      <c r="F129" s="4"/>
      <c r="G129" s="8"/>
      <c r="H129" s="105"/>
    </row>
    <row r="130" spans="1:8" ht="18" customHeight="1" x14ac:dyDescent="0.2">
      <c r="A130" s="8"/>
      <c r="B130" s="4"/>
      <c r="C130" s="4" t="s">
        <v>159</v>
      </c>
      <c r="D130" s="4"/>
      <c r="E130" s="8"/>
      <c r="F130" s="6">
        <v>495.89982075</v>
      </c>
      <c r="G130" s="7">
        <v>3.0576900000000001E-3</v>
      </c>
      <c r="H130" s="105"/>
    </row>
    <row r="131" spans="1:8" ht="14.1" customHeight="1" x14ac:dyDescent="0.2">
      <c r="A131" s="11"/>
      <c r="B131" s="11"/>
      <c r="C131" s="2" t="s">
        <v>160</v>
      </c>
      <c r="D131" s="12"/>
      <c r="E131" s="12"/>
      <c r="F131" s="9">
        <v>162181.07846575</v>
      </c>
      <c r="G131" s="14">
        <v>1</v>
      </c>
      <c r="H131" s="105"/>
    </row>
    <row r="132" spans="1:8" ht="14.1" customHeight="1" x14ac:dyDescent="0.2">
      <c r="A132" s="15"/>
      <c r="B132" s="15"/>
      <c r="C132" s="15"/>
      <c r="D132" s="16"/>
      <c r="E132" s="16"/>
      <c r="F132" s="16"/>
      <c r="G132" s="16"/>
    </row>
    <row r="133" spans="1:8" ht="14.1" customHeight="1" x14ac:dyDescent="0.2">
      <c r="A133" s="17"/>
      <c r="B133" s="17"/>
      <c r="C133" s="17"/>
      <c r="D133" s="19"/>
      <c r="E133" s="19"/>
      <c r="F133" s="19"/>
      <c r="G133" s="19"/>
    </row>
    <row r="134" spans="1:8" ht="14.1" customHeight="1" x14ac:dyDescent="0.2">
      <c r="A134" s="17"/>
      <c r="B134" s="179" t="s">
        <v>162</v>
      </c>
      <c r="C134" s="180"/>
      <c r="D134" s="181"/>
      <c r="E134" s="20"/>
      <c r="F134" s="19"/>
      <c r="G134" s="19"/>
    </row>
    <row r="135" spans="1:8" ht="29.1" customHeight="1" x14ac:dyDescent="0.2">
      <c r="A135" s="17"/>
      <c r="B135" s="176" t="s">
        <v>163</v>
      </c>
      <c r="C135" s="177"/>
      <c r="D135" s="2" t="s">
        <v>164</v>
      </c>
      <c r="E135" s="20"/>
      <c r="F135" s="19"/>
      <c r="G135" s="19"/>
    </row>
    <row r="136" spans="1:8" ht="17.100000000000001" customHeight="1" x14ac:dyDescent="0.2">
      <c r="A136" s="17"/>
      <c r="B136" s="176" t="s">
        <v>165</v>
      </c>
      <c r="C136" s="177"/>
      <c r="D136" s="2" t="s">
        <v>164</v>
      </c>
      <c r="E136" s="20"/>
      <c r="F136" s="19"/>
      <c r="G136" s="19"/>
    </row>
    <row r="137" spans="1:8" ht="17.100000000000001" customHeight="1" x14ac:dyDescent="0.2">
      <c r="A137" s="17"/>
      <c r="B137" s="176" t="s">
        <v>166</v>
      </c>
      <c r="C137" s="177"/>
      <c r="D137" s="12" t="s">
        <v>133</v>
      </c>
      <c r="E137" s="20"/>
      <c r="F137" s="19"/>
      <c r="G137" s="19"/>
    </row>
    <row r="138" spans="1:8" ht="24" customHeight="1" x14ac:dyDescent="0.2">
      <c r="A138" s="21"/>
      <c r="B138" s="22" t="s">
        <v>133</v>
      </c>
      <c r="C138" s="22" t="s">
        <v>167</v>
      </c>
      <c r="D138" s="22" t="s">
        <v>168</v>
      </c>
      <c r="E138" s="21"/>
      <c r="F138" s="21"/>
      <c r="G138" s="21"/>
    </row>
    <row r="139" spans="1:8" ht="18" customHeight="1" x14ac:dyDescent="0.2">
      <c r="A139" s="21"/>
      <c r="B139" s="23" t="s">
        <v>169</v>
      </c>
      <c r="C139" s="22" t="s">
        <v>170</v>
      </c>
      <c r="D139" s="22" t="s">
        <v>171</v>
      </c>
      <c r="E139" s="21"/>
      <c r="F139" s="21"/>
      <c r="G139" s="21"/>
    </row>
    <row r="140" spans="1:8" ht="17.100000000000001" customHeight="1" x14ac:dyDescent="0.2">
      <c r="A140" s="21"/>
      <c r="B140" s="4" t="s">
        <v>172</v>
      </c>
      <c r="C140" s="24">
        <v>155.12020000000001</v>
      </c>
      <c r="D140" s="24">
        <v>160.91919999999999</v>
      </c>
      <c r="E140" s="21"/>
      <c r="F140" s="18"/>
      <c r="G140" s="25"/>
    </row>
    <row r="141" spans="1:8" ht="17.100000000000001" customHeight="1" x14ac:dyDescent="0.2">
      <c r="A141" s="21"/>
      <c r="B141" s="4" t="s">
        <v>1006</v>
      </c>
      <c r="C141" s="24">
        <v>14.639200000000001</v>
      </c>
      <c r="D141" s="24">
        <v>15.186500000000001</v>
      </c>
      <c r="E141" s="21"/>
      <c r="F141" s="18"/>
      <c r="G141" s="25"/>
    </row>
    <row r="142" spans="1:8" ht="17.100000000000001" customHeight="1" x14ac:dyDescent="0.2">
      <c r="A142" s="21"/>
      <c r="B142" s="4" t="s">
        <v>173</v>
      </c>
      <c r="C142" s="24">
        <v>148.30430000000001</v>
      </c>
      <c r="D142" s="24">
        <v>153.7955</v>
      </c>
      <c r="E142" s="21"/>
      <c r="F142" s="18"/>
      <c r="G142" s="25"/>
    </row>
    <row r="143" spans="1:8" ht="17.100000000000001" customHeight="1" x14ac:dyDescent="0.2">
      <c r="A143" s="21"/>
      <c r="B143" s="4" t="s">
        <v>1007</v>
      </c>
      <c r="C143" s="24">
        <v>12.2026</v>
      </c>
      <c r="D143" s="24">
        <v>12.654400000000001</v>
      </c>
      <c r="E143" s="21"/>
      <c r="F143" s="18"/>
      <c r="G143" s="25"/>
    </row>
    <row r="144" spans="1:8" ht="14.1" customHeight="1" x14ac:dyDescent="0.2">
      <c r="A144" s="21"/>
      <c r="B144" s="21"/>
      <c r="C144" s="21"/>
      <c r="D144" s="21"/>
      <c r="E144" s="21"/>
      <c r="F144" s="21"/>
      <c r="G144" s="21"/>
    </row>
    <row r="145" spans="1:7" ht="17.100000000000001" customHeight="1" x14ac:dyDescent="0.2">
      <c r="A145" s="21"/>
      <c r="B145" s="176" t="s">
        <v>1008</v>
      </c>
      <c r="C145" s="177"/>
      <c r="D145" s="2" t="s">
        <v>164</v>
      </c>
      <c r="E145" s="21"/>
      <c r="F145" s="21"/>
      <c r="G145" s="21"/>
    </row>
    <row r="146" spans="1:7" ht="18" customHeight="1" x14ac:dyDescent="0.2">
      <c r="A146" s="21"/>
      <c r="B146" s="26"/>
      <c r="C146" s="26"/>
      <c r="D146" s="26"/>
      <c r="E146" s="21"/>
      <c r="F146" s="21"/>
      <c r="G146" s="21"/>
    </row>
    <row r="147" spans="1:7" ht="29.1" customHeight="1" x14ac:dyDescent="0.2">
      <c r="A147" s="21"/>
      <c r="B147" s="176" t="s">
        <v>174</v>
      </c>
      <c r="C147" s="177"/>
      <c r="D147" s="2" t="s">
        <v>164</v>
      </c>
      <c r="E147" s="27"/>
      <c r="F147" s="21"/>
      <c r="G147" s="21"/>
    </row>
    <row r="148" spans="1:7" ht="29.1" customHeight="1" x14ac:dyDescent="0.2">
      <c r="A148" s="21"/>
      <c r="B148" s="176" t="s">
        <v>175</v>
      </c>
      <c r="C148" s="177"/>
      <c r="D148" s="2" t="s">
        <v>164</v>
      </c>
      <c r="E148" s="27"/>
      <c r="F148" s="21"/>
      <c r="G148" s="21"/>
    </row>
    <row r="149" spans="1:7" ht="17.100000000000001" customHeight="1" x14ac:dyDescent="0.2">
      <c r="A149" s="21"/>
      <c r="B149" s="176" t="s">
        <v>176</v>
      </c>
      <c r="C149" s="177"/>
      <c r="D149" s="2" t="s">
        <v>164</v>
      </c>
      <c r="E149" s="27"/>
      <c r="F149" s="21"/>
      <c r="G149" s="21"/>
    </row>
    <row r="150" spans="1:7" ht="17.100000000000001" customHeight="1" x14ac:dyDescent="0.2">
      <c r="A150" s="21"/>
      <c r="B150" s="176" t="s">
        <v>177</v>
      </c>
      <c r="C150" s="177"/>
      <c r="D150" s="60">
        <v>0.14344787804044298</v>
      </c>
      <c r="E150" s="21"/>
      <c r="F150" s="18"/>
      <c r="G150" s="25"/>
    </row>
  </sheetData>
  <mergeCells count="13">
    <mergeCell ref="B150:C150"/>
    <mergeCell ref="B136:C136"/>
    <mergeCell ref="B137:C137"/>
    <mergeCell ref="B145:C145"/>
    <mergeCell ref="B147:C147"/>
    <mergeCell ref="B148:C148"/>
    <mergeCell ref="B149:C149"/>
    <mergeCell ref="J2:N2"/>
    <mergeCell ref="B135:C135"/>
    <mergeCell ref="B134:D134"/>
    <mergeCell ref="A1:H1"/>
    <mergeCell ref="A2:H2"/>
    <mergeCell ref="A3:H3"/>
  </mergeCells>
  <hyperlinks>
    <hyperlink ref="I1" location="Index!B32" display="Index" xr:uid="{3D98AAD2-17B4-45B8-9C90-03D9F3F079B4}"/>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outlinePr summaryBelow="0" summaryRight="0"/>
  </sheetPr>
  <dimension ref="A1:O146"/>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5" ht="18" customHeight="1" x14ac:dyDescent="0.2">
      <c r="A1" s="182" t="s">
        <v>0</v>
      </c>
      <c r="B1" s="182"/>
      <c r="C1" s="182"/>
      <c r="D1" s="182"/>
      <c r="E1" s="182"/>
      <c r="F1" s="182"/>
      <c r="G1" s="182"/>
      <c r="H1" s="182"/>
      <c r="I1" s="159" t="s">
        <v>1044</v>
      </c>
    </row>
    <row r="2" spans="1:15" ht="17.100000000000001" customHeight="1" x14ac:dyDescent="0.2">
      <c r="A2" s="183" t="s">
        <v>824</v>
      </c>
      <c r="B2" s="184"/>
      <c r="C2" s="184"/>
      <c r="D2" s="184"/>
      <c r="E2" s="184"/>
      <c r="F2" s="184"/>
      <c r="G2" s="184"/>
      <c r="H2" s="185"/>
      <c r="J2" s="175" t="s">
        <v>1045</v>
      </c>
      <c r="K2" s="175"/>
      <c r="L2" s="175"/>
      <c r="M2" s="175"/>
      <c r="N2" s="175"/>
    </row>
    <row r="3" spans="1:15" ht="21" customHeight="1" x14ac:dyDescent="0.2">
      <c r="A3" s="182" t="s">
        <v>1016</v>
      </c>
      <c r="B3" s="182"/>
      <c r="C3" s="182"/>
      <c r="D3" s="182"/>
      <c r="E3" s="182"/>
      <c r="F3" s="182"/>
      <c r="G3" s="182"/>
      <c r="H3" s="182"/>
    </row>
    <row r="4" spans="1:15" ht="30" x14ac:dyDescent="0.2">
      <c r="A4" s="107" t="s">
        <v>2</v>
      </c>
      <c r="B4" s="107" t="s">
        <v>3</v>
      </c>
      <c r="C4" s="107" t="s">
        <v>4</v>
      </c>
      <c r="D4" s="107" t="s">
        <v>5</v>
      </c>
      <c r="E4" s="107" t="s">
        <v>6</v>
      </c>
      <c r="F4" s="107" t="s">
        <v>7</v>
      </c>
      <c r="G4" s="107" t="s">
        <v>8</v>
      </c>
      <c r="H4" s="104" t="s">
        <v>1003</v>
      </c>
      <c r="I4" s="108"/>
      <c r="J4" s="108"/>
      <c r="K4" s="108"/>
      <c r="L4" s="108"/>
      <c r="M4" s="108"/>
      <c r="N4" s="108"/>
      <c r="O4" s="108"/>
    </row>
    <row r="5" spans="1:15" ht="14.1" customHeight="1" x14ac:dyDescent="0.2">
      <c r="A5" s="1"/>
      <c r="B5" s="1"/>
      <c r="C5" s="2" t="s">
        <v>9</v>
      </c>
      <c r="D5" s="1"/>
      <c r="E5" s="1"/>
      <c r="F5" s="1"/>
      <c r="G5" s="1"/>
      <c r="H5" s="105"/>
    </row>
    <row r="6" spans="1:15" ht="24" customHeight="1" x14ac:dyDescent="0.2">
      <c r="A6" s="1"/>
      <c r="B6" s="1"/>
      <c r="C6" s="2" t="s">
        <v>10</v>
      </c>
      <c r="D6" s="1"/>
      <c r="E6" s="1"/>
      <c r="F6" s="1"/>
      <c r="G6" s="1"/>
      <c r="H6" s="105"/>
    </row>
    <row r="7" spans="1:15" ht="17.100000000000001" customHeight="1" x14ac:dyDescent="0.2">
      <c r="A7" s="3">
        <v>1</v>
      </c>
      <c r="B7" s="4" t="s">
        <v>23</v>
      </c>
      <c r="C7" s="4" t="s">
        <v>24</v>
      </c>
      <c r="D7" s="4" t="s">
        <v>25</v>
      </c>
      <c r="E7" s="5">
        <v>2834000</v>
      </c>
      <c r="F7" s="6">
        <v>26006.201000000001</v>
      </c>
      <c r="G7" s="7">
        <v>8.921366E-2</v>
      </c>
      <c r="H7" s="105"/>
    </row>
    <row r="8" spans="1:15" ht="17.100000000000001" customHeight="1" x14ac:dyDescent="0.2">
      <c r="A8" s="3">
        <v>2</v>
      </c>
      <c r="B8" s="4" t="s">
        <v>17</v>
      </c>
      <c r="C8" s="4" t="s">
        <v>18</v>
      </c>
      <c r="D8" s="4" t="s">
        <v>19</v>
      </c>
      <c r="E8" s="5">
        <v>1043000</v>
      </c>
      <c r="F8" s="6">
        <v>25245.814999999999</v>
      </c>
      <c r="G8" s="7">
        <v>8.6605169999999995E-2</v>
      </c>
      <c r="H8" s="105"/>
    </row>
    <row r="9" spans="1:15" ht="17.100000000000001" customHeight="1" x14ac:dyDescent="0.2">
      <c r="A9" s="3">
        <v>3</v>
      </c>
      <c r="B9" s="4" t="s">
        <v>317</v>
      </c>
      <c r="C9" s="4" t="s">
        <v>318</v>
      </c>
      <c r="D9" s="4" t="s">
        <v>25</v>
      </c>
      <c r="E9" s="5">
        <v>1341000</v>
      </c>
      <c r="F9" s="6">
        <v>22630.716</v>
      </c>
      <c r="G9" s="7">
        <v>7.7634140000000004E-2</v>
      </c>
      <c r="H9" s="105"/>
    </row>
    <row r="10" spans="1:15" ht="29.1" customHeight="1" x14ac:dyDescent="0.2">
      <c r="A10" s="3">
        <v>4</v>
      </c>
      <c r="B10" s="4" t="s">
        <v>308</v>
      </c>
      <c r="C10" s="4" t="s">
        <v>309</v>
      </c>
      <c r="D10" s="4" t="s">
        <v>128</v>
      </c>
      <c r="E10" s="5">
        <v>723000</v>
      </c>
      <c r="F10" s="6">
        <v>20067.588</v>
      </c>
      <c r="G10" s="7">
        <v>6.8841390000000002E-2</v>
      </c>
      <c r="H10" s="105"/>
    </row>
    <row r="11" spans="1:15" ht="17.100000000000001" customHeight="1" x14ac:dyDescent="0.2">
      <c r="A11" s="3">
        <v>5</v>
      </c>
      <c r="B11" s="4" t="s">
        <v>302</v>
      </c>
      <c r="C11" s="4" t="s">
        <v>303</v>
      </c>
      <c r="D11" s="4" t="s">
        <v>953</v>
      </c>
      <c r="E11" s="5">
        <v>1316000</v>
      </c>
      <c r="F11" s="6">
        <v>16486.189999999999</v>
      </c>
      <c r="G11" s="7">
        <v>5.655549E-2</v>
      </c>
      <c r="H11" s="105"/>
    </row>
    <row r="12" spans="1:15" ht="17.100000000000001" customHeight="1" x14ac:dyDescent="0.2">
      <c r="A12" s="3">
        <v>6</v>
      </c>
      <c r="B12" s="4" t="s">
        <v>11</v>
      </c>
      <c r="C12" s="4" t="s">
        <v>12</v>
      </c>
      <c r="D12" s="4" t="s">
        <v>13</v>
      </c>
      <c r="E12" s="5">
        <v>697000</v>
      </c>
      <c r="F12" s="6">
        <v>16479.867999999999</v>
      </c>
      <c r="G12" s="7">
        <v>5.6533800000000002E-2</v>
      </c>
      <c r="H12" s="105"/>
    </row>
    <row r="13" spans="1:15" ht="17.100000000000001" customHeight="1" x14ac:dyDescent="0.2">
      <c r="A13" s="3">
        <v>7</v>
      </c>
      <c r="B13" s="4" t="s">
        <v>29</v>
      </c>
      <c r="C13" s="4" t="s">
        <v>30</v>
      </c>
      <c r="D13" s="4" t="s">
        <v>25</v>
      </c>
      <c r="E13" s="5">
        <v>2394000</v>
      </c>
      <c r="F13" s="6">
        <v>13844.502</v>
      </c>
      <c r="G13" s="7">
        <v>4.7493239999999999E-2</v>
      </c>
      <c r="H13" s="105"/>
      <c r="J13" s="161" t="s">
        <v>1072</v>
      </c>
    </row>
    <row r="14" spans="1:15" ht="17.100000000000001" customHeight="1" x14ac:dyDescent="0.2">
      <c r="A14" s="3">
        <v>8</v>
      </c>
      <c r="B14" s="4" t="s">
        <v>203</v>
      </c>
      <c r="C14" s="4" t="s">
        <v>204</v>
      </c>
      <c r="D14" s="4" t="s">
        <v>25</v>
      </c>
      <c r="E14" s="5">
        <v>1357000</v>
      </c>
      <c r="F14" s="6">
        <v>11670.2</v>
      </c>
      <c r="G14" s="7">
        <v>4.0034350000000003E-2</v>
      </c>
      <c r="H14" s="105"/>
    </row>
    <row r="15" spans="1:15" ht="29.1" customHeight="1" x14ac:dyDescent="0.2">
      <c r="A15" s="3">
        <v>9</v>
      </c>
      <c r="B15" s="4" t="s">
        <v>304</v>
      </c>
      <c r="C15" s="4" t="s">
        <v>305</v>
      </c>
      <c r="D15" s="4" t="s">
        <v>212</v>
      </c>
      <c r="E15" s="5">
        <v>1058000</v>
      </c>
      <c r="F15" s="6">
        <v>10449.337</v>
      </c>
      <c r="G15" s="7">
        <v>3.5846200000000002E-2</v>
      </c>
      <c r="H15" s="105"/>
    </row>
    <row r="16" spans="1:15" ht="17.100000000000001" customHeight="1" x14ac:dyDescent="0.2">
      <c r="A16" s="3">
        <v>10</v>
      </c>
      <c r="B16" s="4" t="s">
        <v>103</v>
      </c>
      <c r="C16" s="4" t="s">
        <v>104</v>
      </c>
      <c r="D16" s="4" t="s">
        <v>105</v>
      </c>
      <c r="E16" s="5">
        <v>95000</v>
      </c>
      <c r="F16" s="6">
        <v>8160.0725000000002</v>
      </c>
      <c r="G16" s="7">
        <v>2.7992940000000001E-2</v>
      </c>
      <c r="H16" s="105"/>
    </row>
    <row r="17" spans="1:10" ht="17.100000000000001" customHeight="1" x14ac:dyDescent="0.2">
      <c r="A17" s="3">
        <v>11</v>
      </c>
      <c r="B17" s="4" t="s">
        <v>319</v>
      </c>
      <c r="C17" s="4" t="s">
        <v>320</v>
      </c>
      <c r="D17" s="4" t="s">
        <v>953</v>
      </c>
      <c r="E17" s="5">
        <v>252000</v>
      </c>
      <c r="F17" s="6">
        <v>8112.51</v>
      </c>
      <c r="G17" s="7">
        <v>2.782977E-2</v>
      </c>
      <c r="H17" s="105"/>
    </row>
    <row r="18" spans="1:10" ht="53.1" customHeight="1" x14ac:dyDescent="0.2">
      <c r="A18" s="3">
        <v>12</v>
      </c>
      <c r="B18" s="4" t="s">
        <v>50</v>
      </c>
      <c r="C18" s="4" t="s">
        <v>51</v>
      </c>
      <c r="D18" s="4" t="s">
        <v>52</v>
      </c>
      <c r="E18" s="5">
        <v>5051000</v>
      </c>
      <c r="F18" s="6">
        <v>7371.9345000000003</v>
      </c>
      <c r="G18" s="7">
        <v>2.5289249999999999E-2</v>
      </c>
      <c r="H18" s="105"/>
    </row>
    <row r="19" spans="1:10" ht="17.100000000000001" customHeight="1" x14ac:dyDescent="0.2">
      <c r="A19" s="3">
        <v>13</v>
      </c>
      <c r="B19" s="4" t="s">
        <v>14</v>
      </c>
      <c r="C19" s="4" t="s">
        <v>15</v>
      </c>
      <c r="D19" s="4" t="s">
        <v>16</v>
      </c>
      <c r="E19" s="5">
        <v>816000</v>
      </c>
      <c r="F19" s="6">
        <v>6522.2879999999996</v>
      </c>
      <c r="G19" s="7">
        <v>2.2374560000000002E-2</v>
      </c>
      <c r="H19" s="105"/>
    </row>
    <row r="20" spans="1:10" ht="17.100000000000001" customHeight="1" x14ac:dyDescent="0.2">
      <c r="A20" s="3">
        <v>14</v>
      </c>
      <c r="B20" s="4" t="s">
        <v>325</v>
      </c>
      <c r="C20" s="4" t="s">
        <v>326</v>
      </c>
      <c r="D20" s="4" t="s">
        <v>1020</v>
      </c>
      <c r="E20" s="5">
        <v>236000</v>
      </c>
      <c r="F20" s="6">
        <v>5799.2280000000001</v>
      </c>
      <c r="G20" s="7">
        <v>1.989411E-2</v>
      </c>
      <c r="H20" s="105"/>
    </row>
    <row r="21" spans="1:10" ht="17.100000000000001" customHeight="1" x14ac:dyDescent="0.2">
      <c r="A21" s="3">
        <v>15</v>
      </c>
      <c r="B21" s="4" t="s">
        <v>367</v>
      </c>
      <c r="C21" s="4" t="s">
        <v>368</v>
      </c>
      <c r="D21" s="4" t="s">
        <v>128</v>
      </c>
      <c r="E21" s="5">
        <v>381000</v>
      </c>
      <c r="F21" s="6">
        <v>5161.2165000000005</v>
      </c>
      <c r="G21" s="7">
        <v>1.7705430000000001E-2</v>
      </c>
      <c r="H21" s="105"/>
    </row>
    <row r="22" spans="1:10" ht="17.100000000000001" customHeight="1" x14ac:dyDescent="0.2">
      <c r="A22" s="3">
        <v>16</v>
      </c>
      <c r="B22" s="4" t="s">
        <v>312</v>
      </c>
      <c r="C22" s="4" t="s">
        <v>313</v>
      </c>
      <c r="D22" s="4" t="s">
        <v>25</v>
      </c>
      <c r="E22" s="5">
        <v>442000</v>
      </c>
      <c r="F22" s="6">
        <v>5095.3760000000002</v>
      </c>
      <c r="G22" s="7">
        <v>1.747957E-2</v>
      </c>
      <c r="H22" s="105"/>
    </row>
    <row r="23" spans="1:10" ht="17.100000000000001" customHeight="1" x14ac:dyDescent="0.2">
      <c r="A23" s="3">
        <v>17</v>
      </c>
      <c r="B23" s="4" t="s">
        <v>224</v>
      </c>
      <c r="C23" s="4" t="s">
        <v>225</v>
      </c>
      <c r="D23" s="4" t="s">
        <v>220</v>
      </c>
      <c r="E23" s="5">
        <v>322000</v>
      </c>
      <c r="F23" s="6">
        <v>4653.5439999999999</v>
      </c>
      <c r="G23" s="7">
        <v>1.5963870000000002E-2</v>
      </c>
      <c r="H23" s="105"/>
      <c r="J23" s="161" t="s">
        <v>1073</v>
      </c>
    </row>
    <row r="24" spans="1:10" ht="17.100000000000001" customHeight="1" x14ac:dyDescent="0.2">
      <c r="A24" s="3">
        <v>18</v>
      </c>
      <c r="B24" s="4" t="s">
        <v>518</v>
      </c>
      <c r="C24" s="40" t="s">
        <v>997</v>
      </c>
      <c r="D24" s="4" t="s">
        <v>105</v>
      </c>
      <c r="E24" s="5">
        <v>1702000</v>
      </c>
      <c r="F24" s="6">
        <v>4228.6189999999997</v>
      </c>
      <c r="G24" s="7">
        <v>1.450618E-2</v>
      </c>
      <c r="H24" s="105"/>
    </row>
    <row r="25" spans="1:10" ht="29.1" customHeight="1" x14ac:dyDescent="0.2">
      <c r="A25" s="3">
        <v>19</v>
      </c>
      <c r="B25" s="4" t="s">
        <v>491</v>
      </c>
      <c r="C25" s="4" t="s">
        <v>492</v>
      </c>
      <c r="D25" s="4" t="s">
        <v>212</v>
      </c>
      <c r="E25" s="5">
        <v>451000</v>
      </c>
      <c r="F25" s="6">
        <v>4095.3054999999999</v>
      </c>
      <c r="G25" s="7">
        <v>1.404885E-2</v>
      </c>
      <c r="H25" s="105"/>
    </row>
    <row r="26" spans="1:10" ht="17.100000000000001" customHeight="1" x14ac:dyDescent="0.2">
      <c r="A26" s="3">
        <v>20</v>
      </c>
      <c r="B26" s="4" t="s">
        <v>101</v>
      </c>
      <c r="C26" s="4" t="s">
        <v>102</v>
      </c>
      <c r="D26" s="4" t="s">
        <v>59</v>
      </c>
      <c r="E26" s="5">
        <v>193000</v>
      </c>
      <c r="F26" s="6">
        <v>3900.4335000000001</v>
      </c>
      <c r="G26" s="7">
        <v>1.3380349999999999E-2</v>
      </c>
      <c r="H26" s="105"/>
    </row>
    <row r="27" spans="1:10" ht="17.100000000000001" customHeight="1" x14ac:dyDescent="0.2">
      <c r="A27" s="3">
        <v>21</v>
      </c>
      <c r="B27" s="4" t="s">
        <v>26</v>
      </c>
      <c r="C27" s="4" t="s">
        <v>27</v>
      </c>
      <c r="D27" s="4" t="s">
        <v>28</v>
      </c>
      <c r="E27" s="5">
        <v>2077000</v>
      </c>
      <c r="F27" s="6">
        <v>3572.44</v>
      </c>
      <c r="G27" s="7">
        <v>1.2255169999999999E-2</v>
      </c>
      <c r="H27" s="105"/>
    </row>
    <row r="28" spans="1:10" ht="17.100000000000001" customHeight="1" x14ac:dyDescent="0.2">
      <c r="A28" s="3">
        <v>22</v>
      </c>
      <c r="B28" s="4" t="s">
        <v>85</v>
      </c>
      <c r="C28" s="4" t="s">
        <v>86</v>
      </c>
      <c r="D28" s="4" t="s">
        <v>81</v>
      </c>
      <c r="E28" s="5">
        <v>705260</v>
      </c>
      <c r="F28" s="6">
        <v>3385.248</v>
      </c>
      <c r="G28" s="7">
        <v>1.161301E-2</v>
      </c>
      <c r="H28" s="105"/>
    </row>
    <row r="29" spans="1:10" ht="17.100000000000001" customHeight="1" x14ac:dyDescent="0.2">
      <c r="A29" s="3">
        <v>23</v>
      </c>
      <c r="B29" s="4" t="s">
        <v>343</v>
      </c>
      <c r="C29" s="4" t="s">
        <v>344</v>
      </c>
      <c r="D29" s="4" t="s">
        <v>1020</v>
      </c>
      <c r="E29" s="5">
        <v>750000</v>
      </c>
      <c r="F29" s="6">
        <v>3191.625</v>
      </c>
      <c r="G29" s="7">
        <v>1.094879E-2</v>
      </c>
      <c r="H29" s="105"/>
    </row>
    <row r="30" spans="1:10" ht="29.1" customHeight="1" x14ac:dyDescent="0.2">
      <c r="A30" s="3">
        <v>24</v>
      </c>
      <c r="B30" s="4" t="s">
        <v>196</v>
      </c>
      <c r="C30" s="4" t="s">
        <v>197</v>
      </c>
      <c r="D30" s="4" t="s">
        <v>128</v>
      </c>
      <c r="E30" s="5">
        <v>363000</v>
      </c>
      <c r="F30" s="6">
        <v>3162.0929999999998</v>
      </c>
      <c r="G30" s="7">
        <v>1.084749E-2</v>
      </c>
      <c r="H30" s="105"/>
    </row>
    <row r="31" spans="1:10" ht="17.100000000000001" customHeight="1" x14ac:dyDescent="0.2">
      <c r="A31" s="3">
        <v>25</v>
      </c>
      <c r="B31" s="4" t="s">
        <v>323</v>
      </c>
      <c r="C31" s="4" t="s">
        <v>324</v>
      </c>
      <c r="D31" s="4" t="s">
        <v>953</v>
      </c>
      <c r="E31" s="5">
        <v>285965</v>
      </c>
      <c r="F31" s="6">
        <v>3042.9535649999998</v>
      </c>
      <c r="G31" s="7">
        <v>1.043878E-2</v>
      </c>
      <c r="H31" s="105"/>
    </row>
    <row r="32" spans="1:10" ht="17.100000000000001" customHeight="1" x14ac:dyDescent="0.2">
      <c r="A32" s="3">
        <v>26</v>
      </c>
      <c r="B32" s="4" t="s">
        <v>550</v>
      </c>
      <c r="C32" s="4" t="s">
        <v>551</v>
      </c>
      <c r="D32" s="4" t="s">
        <v>220</v>
      </c>
      <c r="E32" s="5">
        <v>390000</v>
      </c>
      <c r="F32" s="6">
        <v>3030.8850000000002</v>
      </c>
      <c r="G32" s="7">
        <v>1.0397379999999999E-2</v>
      </c>
      <c r="H32" s="105"/>
    </row>
    <row r="33" spans="1:8" ht="29.1" customHeight="1" x14ac:dyDescent="0.2">
      <c r="A33" s="3">
        <v>27</v>
      </c>
      <c r="B33" s="4" t="s">
        <v>20</v>
      </c>
      <c r="C33" s="4" t="s">
        <v>21</v>
      </c>
      <c r="D33" s="4" t="s">
        <v>22</v>
      </c>
      <c r="E33" s="5">
        <v>39000</v>
      </c>
      <c r="F33" s="6">
        <v>2946.9180000000001</v>
      </c>
      <c r="G33" s="7">
        <v>1.010933E-2</v>
      </c>
      <c r="H33" s="105"/>
    </row>
    <row r="34" spans="1:8" ht="17.100000000000001" customHeight="1" x14ac:dyDescent="0.2">
      <c r="A34" s="3">
        <v>28</v>
      </c>
      <c r="B34" s="4" t="s">
        <v>347</v>
      </c>
      <c r="C34" s="4" t="s">
        <v>348</v>
      </c>
      <c r="D34" s="4" t="s">
        <v>121</v>
      </c>
      <c r="E34" s="5">
        <v>95000</v>
      </c>
      <c r="F34" s="6">
        <v>2509.7575000000002</v>
      </c>
      <c r="G34" s="7">
        <v>8.6096599999999999E-3</v>
      </c>
      <c r="H34" s="105"/>
    </row>
    <row r="35" spans="1:8" ht="29.1" customHeight="1" x14ac:dyDescent="0.2">
      <c r="A35" s="3">
        <v>29</v>
      </c>
      <c r="B35" s="4" t="s">
        <v>556</v>
      </c>
      <c r="C35" s="4" t="s">
        <v>557</v>
      </c>
      <c r="D35" s="4" t="s">
        <v>260</v>
      </c>
      <c r="E35" s="5">
        <v>16757</v>
      </c>
      <c r="F35" s="6">
        <v>2346.8346069999998</v>
      </c>
      <c r="G35" s="7">
        <v>8.0507600000000006E-3</v>
      </c>
      <c r="H35" s="105"/>
    </row>
    <row r="36" spans="1:8" ht="29.1" customHeight="1" x14ac:dyDescent="0.2">
      <c r="A36" s="3">
        <v>30</v>
      </c>
      <c r="B36" s="4" t="s">
        <v>486</v>
      </c>
      <c r="C36" s="4" t="s">
        <v>487</v>
      </c>
      <c r="D36" s="4" t="s">
        <v>488</v>
      </c>
      <c r="E36" s="5">
        <v>305000</v>
      </c>
      <c r="F36" s="6">
        <v>2329.7424999999998</v>
      </c>
      <c r="G36" s="7">
        <v>7.9921300000000001E-3</v>
      </c>
      <c r="H36" s="105"/>
    </row>
    <row r="37" spans="1:8" ht="17.100000000000001" customHeight="1" x14ac:dyDescent="0.2">
      <c r="A37" s="3">
        <v>31</v>
      </c>
      <c r="B37" s="4" t="s">
        <v>349</v>
      </c>
      <c r="C37" s="4" t="s">
        <v>350</v>
      </c>
      <c r="D37" s="4" t="s">
        <v>128</v>
      </c>
      <c r="E37" s="5">
        <v>37000</v>
      </c>
      <c r="F37" s="6">
        <v>2323.6370000000002</v>
      </c>
      <c r="G37" s="7">
        <v>7.9711799999999996E-3</v>
      </c>
      <c r="H37" s="105"/>
    </row>
    <row r="38" spans="1:8" ht="17.100000000000001" customHeight="1" x14ac:dyDescent="0.2">
      <c r="A38" s="3">
        <v>32</v>
      </c>
      <c r="B38" s="4" t="s">
        <v>371</v>
      </c>
      <c r="C38" s="4" t="s">
        <v>372</v>
      </c>
      <c r="D38" s="4" t="s">
        <v>121</v>
      </c>
      <c r="E38" s="5">
        <v>80000</v>
      </c>
      <c r="F38" s="6">
        <v>2321.88</v>
      </c>
      <c r="G38" s="7">
        <v>7.9651500000000007E-3</v>
      </c>
      <c r="H38" s="105"/>
    </row>
    <row r="39" spans="1:8" ht="17.100000000000001" customHeight="1" x14ac:dyDescent="0.2">
      <c r="A39" s="3">
        <v>33</v>
      </c>
      <c r="B39" s="4" t="s">
        <v>359</v>
      </c>
      <c r="C39" s="4" t="s">
        <v>360</v>
      </c>
      <c r="D39" s="4" t="s">
        <v>195</v>
      </c>
      <c r="E39" s="5">
        <v>63000</v>
      </c>
      <c r="F39" s="6">
        <v>2212.5284999999999</v>
      </c>
      <c r="G39" s="7">
        <v>7.5900300000000002E-3</v>
      </c>
      <c r="H39" s="105"/>
    </row>
    <row r="40" spans="1:8" ht="17.100000000000001" customHeight="1" x14ac:dyDescent="0.2">
      <c r="A40" s="3">
        <v>34</v>
      </c>
      <c r="B40" s="4" t="s">
        <v>493</v>
      </c>
      <c r="C40" s="4" t="s">
        <v>494</v>
      </c>
      <c r="D40" s="4" t="s">
        <v>953</v>
      </c>
      <c r="E40" s="5">
        <v>571413</v>
      </c>
      <c r="F40" s="6">
        <v>2199.9400500000002</v>
      </c>
      <c r="G40" s="7">
        <v>7.54684E-3</v>
      </c>
      <c r="H40" s="105"/>
    </row>
    <row r="41" spans="1:8" ht="17.100000000000001" customHeight="1" x14ac:dyDescent="0.2">
      <c r="A41" s="3">
        <v>35</v>
      </c>
      <c r="B41" s="4" t="s">
        <v>355</v>
      </c>
      <c r="C41" s="4" t="s">
        <v>356</v>
      </c>
      <c r="D41" s="4" t="s">
        <v>953</v>
      </c>
      <c r="E41" s="5">
        <v>48000</v>
      </c>
      <c r="F41" s="6">
        <v>2121.3359999999998</v>
      </c>
      <c r="G41" s="7">
        <v>7.2771900000000002E-3</v>
      </c>
      <c r="H41" s="105"/>
    </row>
    <row r="42" spans="1:8" ht="17.100000000000001" customHeight="1" x14ac:dyDescent="0.2">
      <c r="A42" s="3">
        <v>36</v>
      </c>
      <c r="B42" s="4" t="s">
        <v>114</v>
      </c>
      <c r="C42" s="4" t="s">
        <v>115</v>
      </c>
      <c r="D42" s="4" t="s">
        <v>116</v>
      </c>
      <c r="E42" s="5">
        <v>466000</v>
      </c>
      <c r="F42" s="6">
        <v>2032.2260000000001</v>
      </c>
      <c r="G42" s="7">
        <v>6.9715000000000003E-3</v>
      </c>
      <c r="H42" s="105"/>
    </row>
    <row r="43" spans="1:8" ht="17.100000000000001" customHeight="1" x14ac:dyDescent="0.2">
      <c r="A43" s="3">
        <v>37</v>
      </c>
      <c r="B43" s="4" t="s">
        <v>339</v>
      </c>
      <c r="C43" s="4" t="s">
        <v>340</v>
      </c>
      <c r="D43" s="4" t="s">
        <v>25</v>
      </c>
      <c r="E43" s="5">
        <v>600000</v>
      </c>
      <c r="F43" s="6">
        <v>1904.7</v>
      </c>
      <c r="G43" s="7">
        <v>6.5340299999999997E-3</v>
      </c>
      <c r="H43" s="105"/>
    </row>
    <row r="44" spans="1:8" ht="17.100000000000001" customHeight="1" x14ac:dyDescent="0.2">
      <c r="A44" s="3">
        <v>38</v>
      </c>
      <c r="B44" s="4" t="s">
        <v>361</v>
      </c>
      <c r="C44" s="4" t="s">
        <v>362</v>
      </c>
      <c r="D44" s="4" t="s">
        <v>25</v>
      </c>
      <c r="E44" s="5">
        <v>90000</v>
      </c>
      <c r="F44" s="6">
        <v>1744.2449999999999</v>
      </c>
      <c r="G44" s="7">
        <v>5.9835899999999996E-3</v>
      </c>
      <c r="H44" s="105"/>
    </row>
    <row r="45" spans="1:8" ht="17.100000000000001" customHeight="1" x14ac:dyDescent="0.2">
      <c r="A45" s="3">
        <v>39</v>
      </c>
      <c r="B45" s="4" t="s">
        <v>558</v>
      </c>
      <c r="C45" s="4" t="s">
        <v>559</v>
      </c>
      <c r="D45" s="4" t="s">
        <v>253</v>
      </c>
      <c r="E45" s="5">
        <v>38000</v>
      </c>
      <c r="F45" s="6">
        <v>1730.3489999999999</v>
      </c>
      <c r="G45" s="7">
        <v>5.9359199999999999E-3</v>
      </c>
      <c r="H45" s="105"/>
    </row>
    <row r="46" spans="1:8" ht="17.100000000000001" customHeight="1" x14ac:dyDescent="0.2">
      <c r="A46" s="3">
        <v>40</v>
      </c>
      <c r="B46" s="4" t="s">
        <v>237</v>
      </c>
      <c r="C46" s="4" t="s">
        <v>238</v>
      </c>
      <c r="D46" s="4" t="s">
        <v>202</v>
      </c>
      <c r="E46" s="5">
        <v>36866</v>
      </c>
      <c r="F46" s="6">
        <v>1664.020642</v>
      </c>
      <c r="G46" s="7">
        <v>5.7083799999999999E-3</v>
      </c>
      <c r="H46" s="105"/>
    </row>
    <row r="47" spans="1:8" ht="29.1" customHeight="1" x14ac:dyDescent="0.2">
      <c r="A47" s="3">
        <v>41</v>
      </c>
      <c r="B47" s="4" t="s">
        <v>802</v>
      </c>
      <c r="C47" s="4" t="s">
        <v>803</v>
      </c>
      <c r="D47" s="4" t="s">
        <v>217</v>
      </c>
      <c r="E47" s="5">
        <v>153000</v>
      </c>
      <c r="F47" s="6">
        <v>1651.0995</v>
      </c>
      <c r="G47" s="7">
        <v>5.6640600000000003E-3</v>
      </c>
      <c r="H47" s="105"/>
    </row>
    <row r="48" spans="1:8" ht="17.100000000000001" customHeight="1" x14ac:dyDescent="0.2">
      <c r="A48" s="3">
        <v>42</v>
      </c>
      <c r="B48" s="4" t="s">
        <v>321</v>
      </c>
      <c r="C48" s="4" t="s">
        <v>322</v>
      </c>
      <c r="D48" s="4" t="s">
        <v>217</v>
      </c>
      <c r="E48" s="5">
        <v>143000</v>
      </c>
      <c r="F48" s="6">
        <v>1630.3430000000001</v>
      </c>
      <c r="G48" s="7">
        <v>5.5928499999999999E-3</v>
      </c>
      <c r="H48" s="105"/>
    </row>
    <row r="49" spans="1:8" ht="17.100000000000001" customHeight="1" x14ac:dyDescent="0.2">
      <c r="A49" s="3">
        <v>43</v>
      </c>
      <c r="B49" s="4" t="s">
        <v>269</v>
      </c>
      <c r="C49" s="4" t="s">
        <v>270</v>
      </c>
      <c r="D49" s="4" t="s">
        <v>271</v>
      </c>
      <c r="E49" s="5">
        <v>4000</v>
      </c>
      <c r="F49" s="6">
        <v>1612.828</v>
      </c>
      <c r="G49" s="7">
        <v>5.5327700000000002E-3</v>
      </c>
      <c r="H49" s="105"/>
    </row>
    <row r="50" spans="1:8" ht="17.100000000000001" customHeight="1" x14ac:dyDescent="0.2">
      <c r="A50" s="3">
        <v>44</v>
      </c>
      <c r="B50" s="4" t="s">
        <v>785</v>
      </c>
      <c r="C50" s="4" t="s">
        <v>786</v>
      </c>
      <c r="D50" s="4" t="s">
        <v>121</v>
      </c>
      <c r="E50" s="5">
        <v>127000</v>
      </c>
      <c r="F50" s="6">
        <v>1562.354</v>
      </c>
      <c r="G50" s="7">
        <v>5.3596199999999998E-3</v>
      </c>
      <c r="H50" s="105"/>
    </row>
    <row r="51" spans="1:8" ht="29.1" customHeight="1" x14ac:dyDescent="0.2">
      <c r="A51" s="3">
        <v>45</v>
      </c>
      <c r="B51" s="4" t="s">
        <v>249</v>
      </c>
      <c r="C51" s="4" t="s">
        <v>250</v>
      </c>
      <c r="D51" s="4" t="s">
        <v>121</v>
      </c>
      <c r="E51" s="5">
        <v>476000</v>
      </c>
      <c r="F51" s="6">
        <v>1213.3240000000001</v>
      </c>
      <c r="G51" s="7">
        <v>4.16228E-3</v>
      </c>
      <c r="H51" s="105"/>
    </row>
    <row r="52" spans="1:8" ht="29.1" customHeight="1" x14ac:dyDescent="0.2">
      <c r="A52" s="3">
        <v>46</v>
      </c>
      <c r="B52" s="4" t="s">
        <v>265</v>
      </c>
      <c r="C52" s="4" t="s">
        <v>266</v>
      </c>
      <c r="D52" s="4" t="s">
        <v>183</v>
      </c>
      <c r="E52" s="5">
        <v>45821</v>
      </c>
      <c r="F52" s="6">
        <v>1163.9679524999999</v>
      </c>
      <c r="G52" s="7">
        <v>3.9929700000000002E-3</v>
      </c>
      <c r="H52" s="105"/>
    </row>
    <row r="53" spans="1:8" ht="17.100000000000001" customHeight="1" x14ac:dyDescent="0.2">
      <c r="A53" s="3">
        <v>47</v>
      </c>
      <c r="B53" s="4" t="s">
        <v>34</v>
      </c>
      <c r="C53" s="4" t="s">
        <v>35</v>
      </c>
      <c r="D53" s="4" t="s">
        <v>36</v>
      </c>
      <c r="E53" s="5">
        <v>33000</v>
      </c>
      <c r="F53" s="6">
        <v>1127.9235000000001</v>
      </c>
      <c r="G53" s="7">
        <v>3.8693199999999999E-3</v>
      </c>
      <c r="H53" s="105"/>
    </row>
    <row r="54" spans="1:8" ht="17.100000000000001" customHeight="1" x14ac:dyDescent="0.2">
      <c r="A54" s="3">
        <v>48</v>
      </c>
      <c r="B54" s="4" t="s">
        <v>112</v>
      </c>
      <c r="C54" s="4" t="s">
        <v>113</v>
      </c>
      <c r="D54" s="4" t="s">
        <v>36</v>
      </c>
      <c r="E54" s="5">
        <v>1188000</v>
      </c>
      <c r="F54" s="6">
        <v>931.39200000000005</v>
      </c>
      <c r="G54" s="7">
        <v>3.1951200000000001E-3</v>
      </c>
      <c r="H54" s="105"/>
    </row>
    <row r="55" spans="1:8" ht="17.100000000000001" customHeight="1" x14ac:dyDescent="0.2">
      <c r="A55" s="3">
        <v>49</v>
      </c>
      <c r="B55" s="4" t="s">
        <v>310</v>
      </c>
      <c r="C55" s="4" t="s">
        <v>311</v>
      </c>
      <c r="D55" s="4" t="s">
        <v>207</v>
      </c>
      <c r="E55" s="5">
        <v>800000</v>
      </c>
      <c r="F55" s="6">
        <v>863.6</v>
      </c>
      <c r="G55" s="7">
        <v>2.9625599999999999E-3</v>
      </c>
      <c r="H55" s="105"/>
    </row>
    <row r="56" spans="1:8" ht="29.1" customHeight="1" x14ac:dyDescent="0.2">
      <c r="A56" s="3">
        <v>50</v>
      </c>
      <c r="B56" s="4" t="s">
        <v>345</v>
      </c>
      <c r="C56" s="4" t="s">
        <v>346</v>
      </c>
      <c r="D56" s="4" t="s">
        <v>212</v>
      </c>
      <c r="E56" s="5">
        <v>13721</v>
      </c>
      <c r="F56" s="6">
        <v>448.38855899999999</v>
      </c>
      <c r="G56" s="7">
        <v>1.53819E-3</v>
      </c>
      <c r="H56" s="105"/>
    </row>
    <row r="57" spans="1:8" ht="17.100000000000001" customHeight="1" x14ac:dyDescent="0.2">
      <c r="A57" s="3">
        <v>51</v>
      </c>
      <c r="B57" s="4" t="s">
        <v>535</v>
      </c>
      <c r="C57" s="4" t="s">
        <v>536</v>
      </c>
      <c r="D57" s="4" t="s">
        <v>953</v>
      </c>
      <c r="E57" s="5">
        <v>29261</v>
      </c>
      <c r="F57" s="6">
        <v>321.34430200000003</v>
      </c>
      <c r="G57" s="7">
        <v>1.1023599999999999E-3</v>
      </c>
      <c r="H57" s="105"/>
    </row>
    <row r="58" spans="1:8" ht="17.100000000000001" customHeight="1" x14ac:dyDescent="0.2">
      <c r="A58" s="3">
        <v>52</v>
      </c>
      <c r="B58" s="4" t="s">
        <v>353</v>
      </c>
      <c r="C58" s="4" t="s">
        <v>354</v>
      </c>
      <c r="D58" s="4" t="s">
        <v>105</v>
      </c>
      <c r="E58" s="5">
        <v>58791</v>
      </c>
      <c r="F58" s="6">
        <v>285.10695449999997</v>
      </c>
      <c r="G58" s="7">
        <v>9.7805000000000006E-4</v>
      </c>
      <c r="H58" s="105"/>
    </row>
    <row r="59" spans="1:8" ht="14.1" customHeight="1" x14ac:dyDescent="0.2">
      <c r="A59" s="1"/>
      <c r="B59" s="1"/>
      <c r="C59" s="2" t="s">
        <v>132</v>
      </c>
      <c r="D59" s="1"/>
      <c r="E59" s="1" t="s">
        <v>133</v>
      </c>
      <c r="F59" s="9">
        <v>288565.97563200002</v>
      </c>
      <c r="G59" s="10">
        <v>0.98991878</v>
      </c>
      <c r="H59" s="105"/>
    </row>
    <row r="60" spans="1:8" ht="14.1" customHeight="1" x14ac:dyDescent="0.2">
      <c r="A60" s="1"/>
      <c r="B60" s="1"/>
      <c r="C60" s="11"/>
      <c r="D60" s="1"/>
      <c r="E60" s="1"/>
      <c r="F60" s="12"/>
      <c r="G60" s="12"/>
      <c r="H60" s="105"/>
    </row>
    <row r="61" spans="1:8" ht="14.1" customHeight="1" x14ac:dyDescent="0.2">
      <c r="A61" s="1"/>
      <c r="B61" s="1"/>
      <c r="C61" s="2" t="s">
        <v>134</v>
      </c>
      <c r="D61" s="1"/>
      <c r="E61" s="1"/>
      <c r="F61" s="1"/>
      <c r="G61" s="1"/>
      <c r="H61" s="105"/>
    </row>
    <row r="62" spans="1:8" ht="14.1" customHeight="1" x14ac:dyDescent="0.2">
      <c r="A62" s="1"/>
      <c r="B62" s="1"/>
      <c r="C62" s="2" t="s">
        <v>132</v>
      </c>
      <c r="D62" s="1"/>
      <c r="E62" s="1" t="s">
        <v>133</v>
      </c>
      <c r="F62" s="13" t="s">
        <v>135</v>
      </c>
      <c r="G62" s="10">
        <v>0</v>
      </c>
      <c r="H62" s="105"/>
    </row>
    <row r="63" spans="1:8" ht="14.1" customHeight="1" x14ac:dyDescent="0.2">
      <c r="A63" s="1"/>
      <c r="B63" s="1"/>
      <c r="C63" s="11"/>
      <c r="D63" s="1"/>
      <c r="E63" s="1"/>
      <c r="F63" s="12"/>
      <c r="G63" s="12"/>
      <c r="H63" s="105"/>
    </row>
    <row r="64" spans="1:8" ht="14.1" customHeight="1" x14ac:dyDescent="0.2">
      <c r="A64" s="1"/>
      <c r="B64" s="1"/>
      <c r="C64" s="2" t="s">
        <v>136</v>
      </c>
      <c r="D64" s="1"/>
      <c r="E64" s="1"/>
      <c r="F64" s="1"/>
      <c r="G64" s="1"/>
      <c r="H64" s="105"/>
    </row>
    <row r="65" spans="1:8" ht="14.1" customHeight="1" x14ac:dyDescent="0.2">
      <c r="A65" s="1"/>
      <c r="B65" s="1"/>
      <c r="C65" s="2" t="s">
        <v>132</v>
      </c>
      <c r="D65" s="1"/>
      <c r="E65" s="1" t="s">
        <v>133</v>
      </c>
      <c r="F65" s="13" t="s">
        <v>135</v>
      </c>
      <c r="G65" s="10">
        <v>0</v>
      </c>
      <c r="H65" s="105"/>
    </row>
    <row r="66" spans="1:8" ht="14.1" customHeight="1" x14ac:dyDescent="0.2">
      <c r="A66" s="1"/>
      <c r="B66" s="1"/>
      <c r="C66" s="11"/>
      <c r="D66" s="1"/>
      <c r="E66" s="1"/>
      <c r="F66" s="12"/>
      <c r="G66" s="12"/>
      <c r="H66" s="105"/>
    </row>
    <row r="67" spans="1:8" ht="14.1" customHeight="1" x14ac:dyDescent="0.2">
      <c r="A67" s="1"/>
      <c r="B67" s="1"/>
      <c r="C67" s="2" t="s">
        <v>137</v>
      </c>
      <c r="D67" s="1"/>
      <c r="E67" s="1"/>
      <c r="F67" s="1"/>
      <c r="G67" s="1"/>
      <c r="H67" s="105"/>
    </row>
    <row r="68" spans="1:8" ht="14.1" customHeight="1" x14ac:dyDescent="0.2">
      <c r="A68" s="1"/>
      <c r="B68" s="1"/>
      <c r="C68" s="2" t="s">
        <v>132</v>
      </c>
      <c r="D68" s="1"/>
      <c r="E68" s="1" t="s">
        <v>133</v>
      </c>
      <c r="F68" s="13" t="s">
        <v>135</v>
      </c>
      <c r="G68" s="10">
        <v>0</v>
      </c>
      <c r="H68" s="105"/>
    </row>
    <row r="69" spans="1:8" ht="14.1" customHeight="1" x14ac:dyDescent="0.2">
      <c r="A69" s="1"/>
      <c r="B69" s="1"/>
      <c r="C69" s="11"/>
      <c r="D69" s="1"/>
      <c r="E69" s="1"/>
      <c r="F69" s="12"/>
      <c r="G69" s="12"/>
      <c r="H69" s="105"/>
    </row>
    <row r="70" spans="1:8" ht="14.1" customHeight="1" x14ac:dyDescent="0.2">
      <c r="A70" s="1"/>
      <c r="B70" s="1"/>
      <c r="C70" s="2" t="s">
        <v>138</v>
      </c>
      <c r="D70" s="1"/>
      <c r="E70" s="1"/>
      <c r="F70" s="12"/>
      <c r="G70" s="12"/>
      <c r="H70" s="105"/>
    </row>
    <row r="71" spans="1:8" ht="14.1" customHeight="1" x14ac:dyDescent="0.2">
      <c r="A71" s="1"/>
      <c r="B71" s="1"/>
      <c r="C71" s="2" t="s">
        <v>132</v>
      </c>
      <c r="D71" s="1"/>
      <c r="E71" s="1" t="s">
        <v>133</v>
      </c>
      <c r="F71" s="13" t="s">
        <v>135</v>
      </c>
      <c r="G71" s="10">
        <v>0</v>
      </c>
      <c r="H71" s="105"/>
    </row>
    <row r="72" spans="1:8" ht="14.1" customHeight="1" x14ac:dyDescent="0.2">
      <c r="A72" s="1"/>
      <c r="B72" s="1"/>
      <c r="C72" s="11"/>
      <c r="D72" s="1"/>
      <c r="E72" s="1"/>
      <c r="F72" s="12"/>
      <c r="G72" s="12"/>
      <c r="H72" s="105"/>
    </row>
    <row r="73" spans="1:8" ht="14.1" customHeight="1" x14ac:dyDescent="0.2">
      <c r="A73" s="1"/>
      <c r="B73" s="1"/>
      <c r="C73" s="2" t="s">
        <v>139</v>
      </c>
      <c r="D73" s="1"/>
      <c r="E73" s="1"/>
      <c r="F73" s="12"/>
      <c r="G73" s="12"/>
      <c r="H73" s="105"/>
    </row>
    <row r="74" spans="1:8" ht="14.1" customHeight="1" x14ac:dyDescent="0.2">
      <c r="A74" s="1"/>
      <c r="B74" s="1"/>
      <c r="C74" s="2" t="s">
        <v>132</v>
      </c>
      <c r="D74" s="1"/>
      <c r="E74" s="1" t="s">
        <v>133</v>
      </c>
      <c r="F74" s="13" t="s">
        <v>135</v>
      </c>
      <c r="G74" s="10">
        <v>0</v>
      </c>
      <c r="H74" s="105"/>
    </row>
    <row r="75" spans="1:8" ht="14.1" customHeight="1" x14ac:dyDescent="0.2">
      <c r="A75" s="1"/>
      <c r="B75" s="1"/>
      <c r="C75" s="11"/>
      <c r="D75" s="1"/>
      <c r="E75" s="1"/>
      <c r="F75" s="12"/>
      <c r="G75" s="12"/>
      <c r="H75" s="105"/>
    </row>
    <row r="76" spans="1:8" ht="18" customHeight="1" x14ac:dyDescent="0.2">
      <c r="A76" s="1"/>
      <c r="B76" s="1"/>
      <c r="C76" s="2" t="s">
        <v>140</v>
      </c>
      <c r="D76" s="1"/>
      <c r="E76" s="1"/>
      <c r="F76" s="9">
        <v>288565.97563200002</v>
      </c>
      <c r="G76" s="10">
        <v>0.98991878</v>
      </c>
      <c r="H76" s="105"/>
    </row>
    <row r="77" spans="1:8" ht="14.1" customHeight="1" x14ac:dyDescent="0.2">
      <c r="A77" s="1"/>
      <c r="B77" s="1"/>
      <c r="C77" s="11"/>
      <c r="D77" s="1"/>
      <c r="E77" s="1"/>
      <c r="F77" s="12"/>
      <c r="G77" s="12"/>
      <c r="H77" s="105"/>
    </row>
    <row r="78" spans="1:8" ht="14.1" customHeight="1" x14ac:dyDescent="0.2">
      <c r="A78" s="1"/>
      <c r="B78" s="1"/>
      <c r="C78" s="2" t="s">
        <v>141</v>
      </c>
      <c r="D78" s="1"/>
      <c r="E78" s="1"/>
      <c r="F78" s="12"/>
      <c r="G78" s="12"/>
      <c r="H78" s="105"/>
    </row>
    <row r="79" spans="1:8" ht="24" customHeight="1" x14ac:dyDescent="0.2">
      <c r="A79" s="1"/>
      <c r="B79" s="1"/>
      <c r="C79" s="2" t="s">
        <v>10</v>
      </c>
      <c r="D79" s="1"/>
      <c r="E79" s="1"/>
      <c r="F79" s="12"/>
      <c r="G79" s="12"/>
      <c r="H79" s="105"/>
    </row>
    <row r="80" spans="1:8" ht="29.1" customHeight="1" x14ac:dyDescent="0.2">
      <c r="A80" s="3">
        <v>1</v>
      </c>
      <c r="B80" s="4" t="s">
        <v>705</v>
      </c>
      <c r="C80" s="4" t="s">
        <v>706</v>
      </c>
      <c r="D80" s="4" t="s">
        <v>570</v>
      </c>
      <c r="E80" s="5">
        <v>28980</v>
      </c>
      <c r="F80" s="6">
        <v>8.2292833850000005</v>
      </c>
      <c r="G80" s="52" t="s">
        <v>131</v>
      </c>
      <c r="H80" s="105">
        <v>7.5430000000000001</v>
      </c>
    </row>
    <row r="81" spans="1:8" ht="14.1" customHeight="1" x14ac:dyDescent="0.2">
      <c r="A81" s="1"/>
      <c r="B81" s="1"/>
      <c r="C81" s="2" t="s">
        <v>132</v>
      </c>
      <c r="D81" s="1"/>
      <c r="E81" s="1" t="s">
        <v>133</v>
      </c>
      <c r="F81" s="9">
        <v>8.2292833850000005</v>
      </c>
      <c r="G81" s="10">
        <v>2.8229999999999999E-5</v>
      </c>
      <c r="H81" s="105"/>
    </row>
    <row r="82" spans="1:8" ht="14.1" customHeight="1" x14ac:dyDescent="0.2">
      <c r="A82" s="1"/>
      <c r="B82" s="1"/>
      <c r="C82" s="11"/>
      <c r="D82" s="1"/>
      <c r="E82" s="1"/>
      <c r="F82" s="12"/>
      <c r="G82" s="12"/>
      <c r="H82" s="105"/>
    </row>
    <row r="83" spans="1:8" ht="14.1" customHeight="1" x14ac:dyDescent="0.2">
      <c r="A83" s="1"/>
      <c r="B83" s="1"/>
      <c r="C83" s="2" t="s">
        <v>142</v>
      </c>
      <c r="D83" s="1"/>
      <c r="E83" s="1"/>
      <c r="F83" s="1"/>
      <c r="G83" s="1"/>
      <c r="H83" s="105"/>
    </row>
    <row r="84" spans="1:8" ht="14.1" customHeight="1" x14ac:dyDescent="0.2">
      <c r="A84" s="1"/>
      <c r="B84" s="1"/>
      <c r="C84" s="2" t="s">
        <v>132</v>
      </c>
      <c r="D84" s="1"/>
      <c r="E84" s="1" t="s">
        <v>133</v>
      </c>
      <c r="F84" s="13" t="s">
        <v>135</v>
      </c>
      <c r="G84" s="10">
        <v>0</v>
      </c>
      <c r="H84" s="105"/>
    </row>
    <row r="85" spans="1:8" ht="14.1" customHeight="1" x14ac:dyDescent="0.2">
      <c r="A85" s="1"/>
      <c r="B85" s="1"/>
      <c r="C85" s="11"/>
      <c r="D85" s="1"/>
      <c r="E85" s="1"/>
      <c r="F85" s="12"/>
      <c r="G85" s="12"/>
      <c r="H85" s="105"/>
    </row>
    <row r="86" spans="1:8" ht="14.1" customHeight="1" x14ac:dyDescent="0.2">
      <c r="A86" s="1"/>
      <c r="B86" s="1"/>
      <c r="C86" s="2" t="s">
        <v>143</v>
      </c>
      <c r="D86" s="1"/>
      <c r="E86" s="1"/>
      <c r="F86" s="1"/>
      <c r="G86" s="1"/>
      <c r="H86" s="105"/>
    </row>
    <row r="87" spans="1:8" ht="14.1" customHeight="1" x14ac:dyDescent="0.2">
      <c r="A87" s="1"/>
      <c r="B87" s="1"/>
      <c r="C87" s="2" t="s">
        <v>132</v>
      </c>
      <c r="D87" s="1"/>
      <c r="E87" s="1" t="s">
        <v>133</v>
      </c>
      <c r="F87" s="13" t="s">
        <v>135</v>
      </c>
      <c r="G87" s="10">
        <v>0</v>
      </c>
      <c r="H87" s="105"/>
    </row>
    <row r="88" spans="1:8" ht="14.1" customHeight="1" x14ac:dyDescent="0.2">
      <c r="A88" s="1"/>
      <c r="B88" s="1"/>
      <c r="C88" s="11"/>
      <c r="D88" s="1"/>
      <c r="E88" s="1"/>
      <c r="F88" s="12"/>
      <c r="G88" s="12"/>
      <c r="H88" s="105"/>
    </row>
    <row r="89" spans="1:8" ht="14.1" customHeight="1" x14ac:dyDescent="0.2">
      <c r="A89" s="1"/>
      <c r="B89" s="1"/>
      <c r="C89" s="2" t="s">
        <v>144</v>
      </c>
      <c r="D89" s="1"/>
      <c r="E89" s="1"/>
      <c r="F89" s="12"/>
      <c r="G89" s="12"/>
      <c r="H89" s="105"/>
    </row>
    <row r="90" spans="1:8" ht="14.1" customHeight="1" x14ac:dyDescent="0.2">
      <c r="A90" s="1"/>
      <c r="B90" s="1"/>
      <c r="C90" s="2" t="s">
        <v>132</v>
      </c>
      <c r="D90" s="1"/>
      <c r="E90" s="1" t="s">
        <v>133</v>
      </c>
      <c r="F90" s="13" t="s">
        <v>135</v>
      </c>
      <c r="G90" s="10">
        <v>0</v>
      </c>
      <c r="H90" s="105"/>
    </row>
    <row r="91" spans="1:8" ht="14.1" customHeight="1" x14ac:dyDescent="0.2">
      <c r="A91" s="1"/>
      <c r="B91" s="1"/>
      <c r="C91" s="11"/>
      <c r="D91" s="1"/>
      <c r="E91" s="1"/>
      <c r="F91" s="12"/>
      <c r="G91" s="12"/>
      <c r="H91" s="105"/>
    </row>
    <row r="92" spans="1:8" ht="14.1" customHeight="1" x14ac:dyDescent="0.2">
      <c r="A92" s="1"/>
      <c r="B92" s="1"/>
      <c r="C92" s="2" t="s">
        <v>145</v>
      </c>
      <c r="D92" s="1"/>
      <c r="E92" s="1"/>
      <c r="F92" s="9">
        <v>8.2292833850000005</v>
      </c>
      <c r="G92" s="10">
        <v>2.8229999999999999E-5</v>
      </c>
      <c r="H92" s="105"/>
    </row>
    <row r="93" spans="1:8" ht="14.1" customHeight="1" x14ac:dyDescent="0.2">
      <c r="A93" s="1"/>
      <c r="B93" s="1"/>
      <c r="C93" s="11"/>
      <c r="D93" s="1"/>
      <c r="E93" s="1"/>
      <c r="F93" s="12"/>
      <c r="G93" s="12"/>
      <c r="H93" s="105"/>
    </row>
    <row r="94" spans="1:8" ht="14.1" customHeight="1" x14ac:dyDescent="0.2">
      <c r="A94" s="1"/>
      <c r="B94" s="1"/>
      <c r="C94" s="2" t="s">
        <v>146</v>
      </c>
      <c r="D94" s="1"/>
      <c r="E94" s="1"/>
      <c r="F94" s="12"/>
      <c r="G94" s="12"/>
      <c r="H94" s="105"/>
    </row>
    <row r="95" spans="1:8" ht="14.1" customHeight="1" x14ac:dyDescent="0.2">
      <c r="A95" s="1"/>
      <c r="B95" s="1"/>
      <c r="C95" s="2" t="s">
        <v>147</v>
      </c>
      <c r="D95" s="1"/>
      <c r="E95" s="1"/>
      <c r="F95" s="12"/>
      <c r="G95" s="12"/>
      <c r="H95" s="105"/>
    </row>
    <row r="96" spans="1:8" ht="14.1" customHeight="1" x14ac:dyDescent="0.2">
      <c r="A96" s="1"/>
      <c r="B96" s="1"/>
      <c r="C96" s="2" t="s">
        <v>132</v>
      </c>
      <c r="D96" s="1"/>
      <c r="E96" s="1" t="s">
        <v>133</v>
      </c>
      <c r="F96" s="13" t="s">
        <v>135</v>
      </c>
      <c r="G96" s="10">
        <v>0</v>
      </c>
      <c r="H96" s="105"/>
    </row>
    <row r="97" spans="1:8" ht="14.1" customHeight="1" x14ac:dyDescent="0.2">
      <c r="A97" s="1"/>
      <c r="B97" s="1"/>
      <c r="C97" s="11"/>
      <c r="D97" s="1"/>
      <c r="E97" s="1"/>
      <c r="F97" s="12"/>
      <c r="G97" s="12"/>
      <c r="H97" s="105"/>
    </row>
    <row r="98" spans="1:8" ht="14.1" customHeight="1" x14ac:dyDescent="0.2">
      <c r="A98" s="1"/>
      <c r="B98" s="1"/>
      <c r="C98" s="2" t="s">
        <v>148</v>
      </c>
      <c r="D98" s="1"/>
      <c r="E98" s="1"/>
      <c r="F98" s="12"/>
      <c r="G98" s="12"/>
      <c r="H98" s="105"/>
    </row>
    <row r="99" spans="1:8" ht="14.1" customHeight="1" x14ac:dyDescent="0.2">
      <c r="A99" s="1"/>
      <c r="B99" s="1"/>
      <c r="C99" s="2" t="s">
        <v>132</v>
      </c>
      <c r="D99" s="1"/>
      <c r="E99" s="1" t="s">
        <v>133</v>
      </c>
      <c r="F99" s="13" t="s">
        <v>135</v>
      </c>
      <c r="G99" s="10">
        <v>0</v>
      </c>
      <c r="H99" s="105"/>
    </row>
    <row r="100" spans="1:8" ht="14.1" customHeight="1" x14ac:dyDescent="0.2">
      <c r="A100" s="1"/>
      <c r="B100" s="1"/>
      <c r="C100" s="11"/>
      <c r="D100" s="1"/>
      <c r="E100" s="1"/>
      <c r="F100" s="12"/>
      <c r="G100" s="12"/>
      <c r="H100" s="105"/>
    </row>
    <row r="101" spans="1:8" ht="14.1" customHeight="1" x14ac:dyDescent="0.2">
      <c r="A101" s="1"/>
      <c r="B101" s="1"/>
      <c r="C101" s="2" t="s">
        <v>149</v>
      </c>
      <c r="D101" s="1"/>
      <c r="E101" s="1"/>
      <c r="F101" s="12"/>
      <c r="G101" s="12"/>
      <c r="H101" s="105"/>
    </row>
    <row r="102" spans="1:8" ht="14.1" customHeight="1" x14ac:dyDescent="0.2">
      <c r="A102" s="1"/>
      <c r="B102" s="1"/>
      <c r="C102" s="2" t="s">
        <v>132</v>
      </c>
      <c r="D102" s="1"/>
      <c r="E102" s="1" t="s">
        <v>133</v>
      </c>
      <c r="F102" s="13" t="s">
        <v>135</v>
      </c>
      <c r="G102" s="10">
        <v>0</v>
      </c>
      <c r="H102" s="105"/>
    </row>
    <row r="103" spans="1:8" ht="14.1" customHeight="1" x14ac:dyDescent="0.2">
      <c r="A103" s="1"/>
      <c r="B103" s="1"/>
      <c r="C103" s="11"/>
      <c r="D103" s="1"/>
      <c r="E103" s="1"/>
      <c r="F103" s="12"/>
      <c r="G103" s="12"/>
      <c r="H103" s="105"/>
    </row>
    <row r="104" spans="1:8" ht="14.1" customHeight="1" x14ac:dyDescent="0.2">
      <c r="A104" s="1"/>
      <c r="B104" s="1"/>
      <c r="C104" s="2" t="s">
        <v>150</v>
      </c>
      <c r="D104" s="1"/>
      <c r="E104" s="1"/>
      <c r="F104" s="12"/>
      <c r="G104" s="12"/>
      <c r="H104" s="105"/>
    </row>
    <row r="105" spans="1:8" ht="17.100000000000001" customHeight="1" x14ac:dyDescent="0.2">
      <c r="A105" s="3">
        <v>1</v>
      </c>
      <c r="B105" s="4"/>
      <c r="C105" s="4" t="s">
        <v>151</v>
      </c>
      <c r="D105" s="4"/>
      <c r="E105" s="8"/>
      <c r="F105" s="6">
        <v>2593.9905555</v>
      </c>
      <c r="G105" s="7">
        <v>8.8986199999999994E-3</v>
      </c>
      <c r="H105" s="105">
        <v>6.8153352377542396</v>
      </c>
    </row>
    <row r="106" spans="1:8" ht="17.100000000000001" customHeight="1" x14ac:dyDescent="0.2">
      <c r="A106" s="3">
        <v>2</v>
      </c>
      <c r="B106" s="4"/>
      <c r="C106" s="4" t="s">
        <v>152</v>
      </c>
      <c r="D106" s="4"/>
      <c r="E106" s="8"/>
      <c r="F106" s="6">
        <v>307.81913400100001</v>
      </c>
      <c r="G106" s="7">
        <v>1.05597E-3</v>
      </c>
      <c r="H106" s="105">
        <v>6.7952403714590259</v>
      </c>
    </row>
    <row r="107" spans="1:8" ht="14.1" customHeight="1" x14ac:dyDescent="0.2">
      <c r="A107" s="1"/>
      <c r="B107" s="1"/>
      <c r="C107" s="2" t="s">
        <v>132</v>
      </c>
      <c r="D107" s="1"/>
      <c r="E107" s="1" t="s">
        <v>133</v>
      </c>
      <c r="F107" s="9">
        <v>2901.8096895009999</v>
      </c>
      <c r="G107" s="10">
        <v>9.9545899999999993E-3</v>
      </c>
      <c r="H107" s="105"/>
    </row>
    <row r="108" spans="1:8" ht="14.1" customHeight="1" x14ac:dyDescent="0.2">
      <c r="A108" s="1"/>
      <c r="B108" s="1"/>
      <c r="C108" s="11"/>
      <c r="D108" s="1"/>
      <c r="E108" s="1"/>
      <c r="F108" s="12"/>
      <c r="G108" s="12"/>
      <c r="H108" s="105"/>
    </row>
    <row r="109" spans="1:8" ht="14.1" customHeight="1" x14ac:dyDescent="0.2">
      <c r="A109" s="1"/>
      <c r="B109" s="1"/>
      <c r="C109" s="2" t="s">
        <v>153</v>
      </c>
      <c r="D109" s="1"/>
      <c r="E109" s="1"/>
      <c r="F109" s="9">
        <v>2901.8096895009999</v>
      </c>
      <c r="G109" s="10">
        <v>9.9545899999999993E-3</v>
      </c>
      <c r="H109" s="105"/>
    </row>
    <row r="110" spans="1:8" ht="14.1" customHeight="1" x14ac:dyDescent="0.2">
      <c r="A110" s="1"/>
      <c r="B110" s="1"/>
      <c r="C110" s="12"/>
      <c r="D110" s="1"/>
      <c r="E110" s="1"/>
      <c r="F110" s="1"/>
      <c r="G110" s="1"/>
      <c r="H110" s="105"/>
    </row>
    <row r="111" spans="1:8" ht="14.1" customHeight="1" x14ac:dyDescent="0.2">
      <c r="A111" s="1"/>
      <c r="B111" s="1"/>
      <c r="C111" s="2" t="s">
        <v>154</v>
      </c>
      <c r="D111" s="1"/>
      <c r="E111" s="1"/>
      <c r="F111" s="1"/>
      <c r="G111" s="1"/>
      <c r="H111" s="105"/>
    </row>
    <row r="112" spans="1:8" ht="14.1" customHeight="1" x14ac:dyDescent="0.2">
      <c r="A112" s="1"/>
      <c r="B112" s="1"/>
      <c r="C112" s="2" t="s">
        <v>155</v>
      </c>
      <c r="D112" s="1"/>
      <c r="E112" s="1"/>
      <c r="F112" s="1"/>
      <c r="G112" s="1"/>
      <c r="H112" s="105"/>
    </row>
    <row r="113" spans="1:14" ht="14.1" customHeight="1" x14ac:dyDescent="0.2">
      <c r="A113" s="1"/>
      <c r="B113" s="1"/>
      <c r="C113" s="2" t="s">
        <v>132</v>
      </c>
      <c r="D113" s="1"/>
      <c r="E113" s="1" t="s">
        <v>133</v>
      </c>
      <c r="F113" s="13" t="s">
        <v>135</v>
      </c>
      <c r="G113" s="10">
        <v>0</v>
      </c>
      <c r="H113" s="105"/>
    </row>
    <row r="114" spans="1:14" ht="14.1" customHeight="1" x14ac:dyDescent="0.2">
      <c r="A114" s="1"/>
      <c r="B114" s="1"/>
      <c r="C114" s="11"/>
      <c r="D114" s="1"/>
      <c r="E114" s="1"/>
      <c r="F114" s="12"/>
      <c r="G114" s="12"/>
      <c r="H114" s="105"/>
    </row>
    <row r="115" spans="1:14" ht="14.1" customHeight="1" x14ac:dyDescent="0.2">
      <c r="A115" s="1"/>
      <c r="B115" s="1"/>
      <c r="C115" s="2" t="s">
        <v>156</v>
      </c>
      <c r="D115" s="1"/>
      <c r="E115" s="1"/>
      <c r="F115" s="1"/>
      <c r="G115" s="1"/>
      <c r="H115" s="105"/>
    </row>
    <row r="116" spans="1:14" ht="14.1" customHeight="1" x14ac:dyDescent="0.2">
      <c r="A116" s="1"/>
      <c r="B116" s="1"/>
      <c r="C116" s="2" t="s">
        <v>157</v>
      </c>
      <c r="D116" s="1"/>
      <c r="E116" s="1"/>
      <c r="F116" s="1"/>
      <c r="G116" s="1"/>
      <c r="H116" s="105"/>
    </row>
    <row r="117" spans="1:14" ht="14.1" customHeight="1" x14ac:dyDescent="0.2">
      <c r="A117" s="1"/>
      <c r="B117" s="1"/>
      <c r="C117" s="2" t="s">
        <v>132</v>
      </c>
      <c r="D117" s="1"/>
      <c r="E117" s="1" t="s">
        <v>133</v>
      </c>
      <c r="F117" s="13" t="s">
        <v>135</v>
      </c>
      <c r="G117" s="10">
        <v>0</v>
      </c>
      <c r="H117" s="105"/>
    </row>
    <row r="118" spans="1:14" ht="14.1" customHeight="1" x14ac:dyDescent="0.2">
      <c r="A118" s="1"/>
      <c r="B118" s="1"/>
      <c r="C118" s="11"/>
      <c r="D118" s="1"/>
      <c r="E118" s="1"/>
      <c r="F118" s="12"/>
      <c r="G118" s="12"/>
      <c r="H118" s="105"/>
    </row>
    <row r="119" spans="1:14" ht="24" customHeight="1" x14ac:dyDescent="0.2">
      <c r="A119" s="1"/>
      <c r="B119" s="1"/>
      <c r="C119" s="2" t="s">
        <v>158</v>
      </c>
      <c r="D119" s="1"/>
      <c r="E119" s="1"/>
      <c r="F119" s="12"/>
      <c r="G119" s="12"/>
      <c r="H119" s="105"/>
    </row>
    <row r="120" spans="1:14" ht="14.1" customHeight="1" x14ac:dyDescent="0.2">
      <c r="A120" s="1"/>
      <c r="B120" s="1"/>
      <c r="C120" s="2" t="s">
        <v>132</v>
      </c>
      <c r="D120" s="1"/>
      <c r="E120" s="1" t="s">
        <v>133</v>
      </c>
      <c r="F120" s="13" t="s">
        <v>135</v>
      </c>
      <c r="G120" s="10">
        <v>0</v>
      </c>
      <c r="H120" s="105"/>
    </row>
    <row r="121" spans="1:14" ht="14.1" customHeight="1" x14ac:dyDescent="0.2">
      <c r="A121" s="1"/>
      <c r="B121" s="1"/>
      <c r="C121" s="11"/>
      <c r="D121" s="1"/>
      <c r="E121" s="1"/>
      <c r="F121" s="12"/>
      <c r="G121" s="12"/>
      <c r="H121" s="105"/>
    </row>
    <row r="122" spans="1:14" ht="14.1" customHeight="1" x14ac:dyDescent="0.2">
      <c r="A122" s="1"/>
      <c r="B122" s="4"/>
      <c r="C122" s="4"/>
      <c r="D122" s="2"/>
      <c r="E122" s="1"/>
      <c r="F122" s="4"/>
      <c r="G122" s="8"/>
      <c r="H122" s="105"/>
    </row>
    <row r="123" spans="1:14" ht="18" customHeight="1" x14ac:dyDescent="0.2">
      <c r="A123" s="8"/>
      <c r="B123" s="4"/>
      <c r="C123" s="40" t="s">
        <v>955</v>
      </c>
      <c r="D123" s="4"/>
      <c r="E123" s="8"/>
      <c r="F123" s="6">
        <v>28.693361230000001</v>
      </c>
      <c r="G123" s="7">
        <v>9.8430000000000005E-5</v>
      </c>
      <c r="H123" s="105"/>
    </row>
    <row r="124" spans="1:14" ht="14.1" customHeight="1" x14ac:dyDescent="0.2">
      <c r="A124" s="11"/>
      <c r="B124" s="11"/>
      <c r="C124" s="2" t="s">
        <v>160</v>
      </c>
      <c r="D124" s="12"/>
      <c r="E124" s="12"/>
      <c r="F124" s="9">
        <v>291504.70796611602</v>
      </c>
      <c r="G124" s="14">
        <v>1.00000003</v>
      </c>
      <c r="H124" s="105"/>
    </row>
    <row r="125" spans="1:14" ht="14.1" customHeight="1" x14ac:dyDescent="0.2">
      <c r="A125" s="15"/>
      <c r="B125" s="15"/>
      <c r="C125" s="15"/>
      <c r="D125" s="16"/>
      <c r="E125" s="16"/>
      <c r="F125" s="16"/>
      <c r="G125" s="16"/>
      <c r="J125" s="53"/>
      <c r="K125" s="53"/>
      <c r="L125" s="53"/>
      <c r="M125" s="53"/>
      <c r="N125" s="53"/>
    </row>
    <row r="126" spans="1:14" ht="17.100000000000001" customHeight="1" x14ac:dyDescent="0.2">
      <c r="A126" s="45"/>
      <c r="B126" s="192" t="s">
        <v>932</v>
      </c>
      <c r="C126" s="192"/>
      <c r="D126" s="192"/>
      <c r="E126" s="192"/>
      <c r="F126" s="192"/>
      <c r="G126" s="46"/>
      <c r="I126" s="53"/>
    </row>
    <row r="127" spans="1:14" ht="17.100000000000001" customHeight="1" x14ac:dyDescent="0.2">
      <c r="A127" s="45"/>
      <c r="B127" s="192" t="s">
        <v>933</v>
      </c>
      <c r="C127" s="192"/>
      <c r="D127" s="192"/>
      <c r="E127" s="192"/>
      <c r="F127" s="192"/>
      <c r="G127" s="46"/>
    </row>
    <row r="128" spans="1:14" ht="17.100000000000001" customHeight="1" x14ac:dyDescent="0.2">
      <c r="A128" s="45"/>
      <c r="B128" s="192" t="s">
        <v>161</v>
      </c>
      <c r="C128" s="192"/>
      <c r="D128" s="192"/>
      <c r="E128" s="192"/>
      <c r="F128" s="192"/>
      <c r="G128" s="46"/>
    </row>
    <row r="129" spans="1:7" ht="14.1" customHeight="1" x14ac:dyDescent="0.2">
      <c r="A129" s="17"/>
      <c r="B129" s="17"/>
      <c r="C129" s="17"/>
      <c r="D129" s="19"/>
      <c r="E129" s="19"/>
      <c r="F129" s="19"/>
      <c r="G129" s="19"/>
    </row>
    <row r="130" spans="1:7" ht="14.1" customHeight="1" x14ac:dyDescent="0.2">
      <c r="A130" s="17"/>
      <c r="B130" s="179" t="s">
        <v>162</v>
      </c>
      <c r="C130" s="180"/>
      <c r="D130" s="181"/>
      <c r="E130" s="20"/>
      <c r="F130" s="19"/>
      <c r="G130" s="19"/>
    </row>
    <row r="131" spans="1:7" ht="29.1" customHeight="1" x14ac:dyDescent="0.2">
      <c r="A131" s="17"/>
      <c r="B131" s="176" t="s">
        <v>163</v>
      </c>
      <c r="C131" s="177"/>
      <c r="D131" s="2" t="s">
        <v>164</v>
      </c>
      <c r="E131" s="20"/>
      <c r="F131" s="19"/>
      <c r="G131" s="19"/>
    </row>
    <row r="132" spans="1:7" ht="17.100000000000001" customHeight="1" x14ac:dyDescent="0.2">
      <c r="A132" s="17"/>
      <c r="B132" s="176" t="s">
        <v>165</v>
      </c>
      <c r="C132" s="177"/>
      <c r="D132" s="2" t="s">
        <v>164</v>
      </c>
      <c r="E132" s="20"/>
      <c r="F132" s="19"/>
      <c r="G132" s="19"/>
    </row>
    <row r="133" spans="1:7" ht="17.100000000000001" customHeight="1" x14ac:dyDescent="0.2">
      <c r="A133" s="17"/>
      <c r="B133" s="176" t="s">
        <v>166</v>
      </c>
      <c r="C133" s="177"/>
      <c r="D133" s="12" t="s">
        <v>133</v>
      </c>
      <c r="E133" s="20"/>
      <c r="F133" s="19"/>
      <c r="G133" s="19"/>
    </row>
    <row r="134" spans="1:7" ht="24" customHeight="1" x14ac:dyDescent="0.2">
      <c r="A134" s="21"/>
      <c r="B134" s="22" t="s">
        <v>133</v>
      </c>
      <c r="C134" s="22" t="s">
        <v>167</v>
      </c>
      <c r="D134" s="22" t="s">
        <v>168</v>
      </c>
      <c r="E134" s="21"/>
      <c r="F134" s="21"/>
      <c r="G134" s="21"/>
    </row>
    <row r="135" spans="1:7" ht="18" customHeight="1" x14ac:dyDescent="0.2">
      <c r="A135" s="21"/>
      <c r="B135" s="23" t="s">
        <v>169</v>
      </c>
      <c r="C135" s="22" t="s">
        <v>170</v>
      </c>
      <c r="D135" s="22" t="s">
        <v>171</v>
      </c>
      <c r="E135" s="21"/>
      <c r="F135" s="21"/>
      <c r="G135" s="21"/>
    </row>
    <row r="136" spans="1:7" ht="17.100000000000001" customHeight="1" x14ac:dyDescent="0.2">
      <c r="A136" s="21"/>
      <c r="B136" s="4" t="s">
        <v>172</v>
      </c>
      <c r="C136" s="24">
        <v>15.247999999999999</v>
      </c>
      <c r="D136" s="24">
        <v>15.7943</v>
      </c>
      <c r="E136" s="21"/>
      <c r="F136" s="18"/>
      <c r="G136" s="25"/>
    </row>
    <row r="137" spans="1:7" ht="17.100000000000001" customHeight="1" x14ac:dyDescent="0.2">
      <c r="A137" s="21"/>
      <c r="B137" s="4" t="s">
        <v>1006</v>
      </c>
      <c r="C137" s="24">
        <v>13.415699999999999</v>
      </c>
      <c r="D137" s="24">
        <v>13.8964</v>
      </c>
      <c r="E137" s="21"/>
      <c r="F137" s="18"/>
      <c r="G137" s="25"/>
    </row>
    <row r="138" spans="1:7" ht="17.100000000000001" customHeight="1" x14ac:dyDescent="0.2">
      <c r="A138" s="21"/>
      <c r="B138" s="4" t="s">
        <v>173</v>
      </c>
      <c r="C138" s="24">
        <v>14.630100000000001</v>
      </c>
      <c r="D138" s="24">
        <v>15.1378</v>
      </c>
      <c r="E138" s="21"/>
      <c r="F138" s="18"/>
      <c r="G138" s="25"/>
    </row>
    <row r="139" spans="1:7" ht="17.100000000000001" customHeight="1" x14ac:dyDescent="0.2">
      <c r="A139" s="21"/>
      <c r="B139" s="4" t="s">
        <v>1007</v>
      </c>
      <c r="C139" s="24">
        <v>12.860799999999999</v>
      </c>
      <c r="D139" s="24">
        <v>13.3071</v>
      </c>
      <c r="E139" s="21"/>
      <c r="F139" s="18"/>
      <c r="G139" s="25"/>
    </row>
    <row r="140" spans="1:7" ht="14.1" customHeight="1" x14ac:dyDescent="0.2">
      <c r="A140" s="21"/>
      <c r="B140" s="21"/>
      <c r="C140" s="21"/>
      <c r="D140" s="21"/>
      <c r="E140" s="21"/>
      <c r="F140" s="21"/>
      <c r="G140" s="21"/>
    </row>
    <row r="141" spans="1:7" ht="17.100000000000001" customHeight="1" x14ac:dyDescent="0.2">
      <c r="A141" s="21"/>
      <c r="B141" s="176" t="s">
        <v>1008</v>
      </c>
      <c r="C141" s="177"/>
      <c r="D141" s="2" t="s">
        <v>164</v>
      </c>
      <c r="E141" s="21"/>
      <c r="F141" s="21"/>
      <c r="G141" s="21"/>
    </row>
    <row r="142" spans="1:7" ht="18" customHeight="1" x14ac:dyDescent="0.2">
      <c r="A142" s="21"/>
      <c r="B142" s="26"/>
      <c r="C142" s="26"/>
      <c r="D142" s="26"/>
      <c r="E142" s="21"/>
      <c r="F142" s="21"/>
      <c r="G142" s="21"/>
    </row>
    <row r="143" spans="1:7" ht="29.1" customHeight="1" x14ac:dyDescent="0.2">
      <c r="A143" s="21"/>
      <c r="B143" s="176" t="s">
        <v>174</v>
      </c>
      <c r="C143" s="177"/>
      <c r="D143" s="2" t="s">
        <v>164</v>
      </c>
      <c r="E143" s="27"/>
      <c r="F143" s="21"/>
      <c r="G143" s="21"/>
    </row>
    <row r="144" spans="1:7" ht="29.1" customHeight="1" x14ac:dyDescent="0.2">
      <c r="A144" s="21"/>
      <c r="B144" s="176" t="s">
        <v>175</v>
      </c>
      <c r="C144" s="177"/>
      <c r="D144" s="2" t="s">
        <v>164</v>
      </c>
      <c r="E144" s="27"/>
      <c r="F144" s="21"/>
      <c r="G144" s="21"/>
    </row>
    <row r="145" spans="1:7" ht="17.100000000000001" customHeight="1" x14ac:dyDescent="0.2">
      <c r="A145" s="21"/>
      <c r="B145" s="176" t="s">
        <v>176</v>
      </c>
      <c r="C145" s="177"/>
      <c r="D145" s="2" t="s">
        <v>164</v>
      </c>
      <c r="E145" s="27"/>
      <c r="F145" s="21"/>
      <c r="G145" s="21"/>
    </row>
    <row r="146" spans="1:7" ht="17.100000000000001" customHeight="1" x14ac:dyDescent="0.2">
      <c r="A146" s="21"/>
      <c r="B146" s="176" t="s">
        <v>177</v>
      </c>
      <c r="C146" s="177"/>
      <c r="D146" s="60">
        <v>0.23034588436413775</v>
      </c>
      <c r="E146" s="21"/>
      <c r="F146" s="18"/>
      <c r="G146" s="25"/>
    </row>
  </sheetData>
  <mergeCells count="16">
    <mergeCell ref="J2:N2"/>
    <mergeCell ref="A1:H1"/>
    <mergeCell ref="A2:H2"/>
    <mergeCell ref="A3:H3"/>
    <mergeCell ref="B146:C146"/>
    <mergeCell ref="B132:C132"/>
    <mergeCell ref="B133:C133"/>
    <mergeCell ref="B141:C141"/>
    <mergeCell ref="B143:C143"/>
    <mergeCell ref="B144:C144"/>
    <mergeCell ref="B145:C145"/>
    <mergeCell ref="B131:C131"/>
    <mergeCell ref="B130:D130"/>
    <mergeCell ref="B126:F126"/>
    <mergeCell ref="B127:F127"/>
    <mergeCell ref="B128:F128"/>
  </mergeCells>
  <hyperlinks>
    <hyperlink ref="I1" location="Index!B33" display="Index" xr:uid="{C5D5A1E0-F4BD-43D3-B80C-CF46A3E38334}"/>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outlinePr summaryBelow="0" summaryRight="0"/>
  </sheetPr>
  <dimension ref="A1:O216"/>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9" max="9" width="9.5703125" bestFit="1" customWidth="1"/>
    <col min="10" max="10" width="12" customWidth="1"/>
  </cols>
  <sheetData>
    <row r="1" spans="1:15" ht="18" customHeight="1" x14ac:dyDescent="0.2">
      <c r="A1" s="182" t="s">
        <v>0</v>
      </c>
      <c r="B1" s="182"/>
      <c r="C1" s="182"/>
      <c r="D1" s="182"/>
      <c r="E1" s="182"/>
      <c r="F1" s="182"/>
      <c r="G1" s="182"/>
      <c r="H1" s="182"/>
      <c r="I1" s="159" t="s">
        <v>1044</v>
      </c>
      <c r="J1" s="53"/>
      <c r="K1" s="53"/>
      <c r="L1" s="53"/>
      <c r="M1" s="53"/>
      <c r="N1" s="53"/>
    </row>
    <row r="2" spans="1:15" ht="17.100000000000001" customHeight="1" x14ac:dyDescent="0.2">
      <c r="A2" s="183" t="s">
        <v>825</v>
      </c>
      <c r="B2" s="184"/>
      <c r="C2" s="184"/>
      <c r="D2" s="184"/>
      <c r="E2" s="184"/>
      <c r="F2" s="184"/>
      <c r="G2" s="184"/>
      <c r="H2" s="185"/>
      <c r="J2" s="175" t="s">
        <v>1045</v>
      </c>
      <c r="K2" s="175"/>
      <c r="L2" s="175"/>
      <c r="M2" s="175"/>
      <c r="N2" s="175"/>
    </row>
    <row r="3" spans="1:15" ht="21" customHeight="1" x14ac:dyDescent="0.2">
      <c r="A3" s="182" t="s">
        <v>1016</v>
      </c>
      <c r="B3" s="182"/>
      <c r="C3" s="182"/>
      <c r="D3" s="182"/>
      <c r="E3" s="182"/>
      <c r="F3" s="182"/>
      <c r="G3" s="182"/>
      <c r="H3" s="182"/>
      <c r="J3" s="53"/>
      <c r="K3" s="53"/>
      <c r="L3" s="53"/>
      <c r="M3" s="53"/>
      <c r="N3" s="53"/>
    </row>
    <row r="4" spans="1:15" ht="30" x14ac:dyDescent="0.2">
      <c r="A4" s="107" t="s">
        <v>2</v>
      </c>
      <c r="B4" s="107" t="s">
        <v>3</v>
      </c>
      <c r="C4" s="107" t="s">
        <v>4</v>
      </c>
      <c r="D4" s="107" t="s">
        <v>5</v>
      </c>
      <c r="E4" s="107" t="s">
        <v>6</v>
      </c>
      <c r="F4" s="107" t="s">
        <v>7</v>
      </c>
      <c r="G4" s="107" t="s">
        <v>8</v>
      </c>
      <c r="H4" s="104" t="s">
        <v>1003</v>
      </c>
      <c r="I4" s="108"/>
      <c r="J4" s="163"/>
      <c r="K4" s="163"/>
      <c r="L4" s="163"/>
      <c r="M4" s="163"/>
      <c r="N4" s="163"/>
      <c r="O4" s="108"/>
    </row>
    <row r="5" spans="1:15" ht="14.1" customHeight="1" x14ac:dyDescent="0.2">
      <c r="A5" s="1"/>
      <c r="B5" s="1"/>
      <c r="C5" s="2" t="s">
        <v>9</v>
      </c>
      <c r="D5" s="1"/>
      <c r="E5" s="1"/>
      <c r="F5" s="1"/>
      <c r="G5" s="1"/>
      <c r="H5" s="105"/>
      <c r="J5" s="53"/>
      <c r="K5" s="53"/>
      <c r="L5" s="53"/>
      <c r="M5" s="53"/>
      <c r="N5" s="53"/>
    </row>
    <row r="6" spans="1:15" ht="24" customHeight="1" x14ac:dyDescent="0.2">
      <c r="A6" s="1"/>
      <c r="B6" s="1"/>
      <c r="C6" s="2" t="s">
        <v>10</v>
      </c>
      <c r="D6" s="1"/>
      <c r="E6" s="1"/>
      <c r="F6" s="1"/>
      <c r="G6" s="1"/>
      <c r="H6" s="105"/>
      <c r="J6" s="53"/>
      <c r="K6" s="53"/>
      <c r="L6" s="53"/>
      <c r="M6" s="53"/>
      <c r="N6" s="53"/>
    </row>
    <row r="7" spans="1:15" ht="17.100000000000001" customHeight="1" x14ac:dyDescent="0.2">
      <c r="A7" s="3">
        <v>1</v>
      </c>
      <c r="B7" s="4" t="s">
        <v>17</v>
      </c>
      <c r="C7" s="4" t="s">
        <v>18</v>
      </c>
      <c r="D7" s="4" t="s">
        <v>19</v>
      </c>
      <c r="E7" s="5">
        <v>525000</v>
      </c>
      <c r="F7" s="6">
        <v>12707.625</v>
      </c>
      <c r="G7" s="7">
        <v>6.6406480000000004E-2</v>
      </c>
      <c r="H7" s="105"/>
      <c r="J7" s="53"/>
      <c r="K7" s="53"/>
      <c r="L7" s="53"/>
      <c r="M7" s="53"/>
      <c r="N7" s="53"/>
    </row>
    <row r="8" spans="1:15" ht="17.100000000000001" customHeight="1" x14ac:dyDescent="0.2">
      <c r="A8" s="3">
        <v>2</v>
      </c>
      <c r="B8" s="4" t="s">
        <v>23</v>
      </c>
      <c r="C8" s="4" t="s">
        <v>24</v>
      </c>
      <c r="D8" s="4" t="s">
        <v>25</v>
      </c>
      <c r="E8" s="5">
        <v>1308000</v>
      </c>
      <c r="F8" s="6">
        <v>12002.861999999999</v>
      </c>
      <c r="G8" s="7">
        <v>6.2723589999999996E-2</v>
      </c>
      <c r="H8" s="105"/>
      <c r="J8" s="53"/>
      <c r="K8" s="53"/>
      <c r="L8" s="53"/>
      <c r="M8" s="53"/>
      <c r="N8" s="53"/>
    </row>
    <row r="9" spans="1:15" ht="29.1" customHeight="1" x14ac:dyDescent="0.2">
      <c r="A9" s="3">
        <v>3</v>
      </c>
      <c r="B9" s="4" t="s">
        <v>308</v>
      </c>
      <c r="C9" s="4" t="s">
        <v>309</v>
      </c>
      <c r="D9" s="4" t="s">
        <v>128</v>
      </c>
      <c r="E9" s="5">
        <v>331000</v>
      </c>
      <c r="F9" s="6">
        <v>9187.2360000000008</v>
      </c>
      <c r="G9" s="7">
        <v>4.8009919999999998E-2</v>
      </c>
      <c r="H9" s="105"/>
      <c r="J9" s="53"/>
      <c r="K9" s="53"/>
      <c r="L9" s="53"/>
      <c r="M9" s="53"/>
      <c r="N9" s="53"/>
    </row>
    <row r="10" spans="1:15" ht="17.100000000000001" customHeight="1" x14ac:dyDescent="0.2">
      <c r="A10" s="3">
        <v>4</v>
      </c>
      <c r="B10" s="4" t="s">
        <v>302</v>
      </c>
      <c r="C10" s="4" t="s">
        <v>303</v>
      </c>
      <c r="D10" s="4" t="s">
        <v>953</v>
      </c>
      <c r="E10" s="5">
        <v>689000</v>
      </c>
      <c r="F10" s="6">
        <v>8631.4475000000002</v>
      </c>
      <c r="G10" s="7">
        <v>4.5105520000000003E-2</v>
      </c>
      <c r="H10" s="105"/>
      <c r="J10" s="53"/>
      <c r="K10" s="53"/>
      <c r="L10" s="53"/>
      <c r="M10" s="53"/>
      <c r="N10" s="53"/>
    </row>
    <row r="11" spans="1:15" ht="17.100000000000001" customHeight="1" x14ac:dyDescent="0.2">
      <c r="A11" s="3">
        <v>5</v>
      </c>
      <c r="B11" s="4" t="s">
        <v>29</v>
      </c>
      <c r="C11" s="4" t="s">
        <v>30</v>
      </c>
      <c r="D11" s="4" t="s">
        <v>25</v>
      </c>
      <c r="E11" s="5">
        <v>1439000</v>
      </c>
      <c r="F11" s="6">
        <v>8321.7369999999992</v>
      </c>
      <c r="G11" s="7">
        <v>4.3487060000000001E-2</v>
      </c>
      <c r="H11" s="105"/>
      <c r="J11" s="53"/>
      <c r="K11" s="53"/>
      <c r="L11" s="53"/>
      <c r="M11" s="53"/>
      <c r="N11" s="53"/>
    </row>
    <row r="12" spans="1:15" ht="17.100000000000001" customHeight="1" x14ac:dyDescent="0.2">
      <c r="A12" s="3">
        <v>6</v>
      </c>
      <c r="B12" s="4" t="s">
        <v>317</v>
      </c>
      <c r="C12" s="4" t="s">
        <v>318</v>
      </c>
      <c r="D12" s="4" t="s">
        <v>25</v>
      </c>
      <c r="E12" s="5">
        <v>466000</v>
      </c>
      <c r="F12" s="6">
        <v>7864.2160000000003</v>
      </c>
      <c r="G12" s="7">
        <v>4.1096189999999998E-2</v>
      </c>
      <c r="H12" s="105"/>
      <c r="J12" s="53"/>
      <c r="K12" s="53"/>
      <c r="L12" s="53"/>
      <c r="M12" s="53"/>
      <c r="N12" s="53"/>
    </row>
    <row r="13" spans="1:15" ht="17.100000000000001" customHeight="1" x14ac:dyDescent="0.2">
      <c r="A13" s="3">
        <v>7</v>
      </c>
      <c r="B13" s="4" t="s">
        <v>67</v>
      </c>
      <c r="C13" s="4" t="s">
        <v>68</v>
      </c>
      <c r="D13" s="4" t="s">
        <v>36</v>
      </c>
      <c r="E13" s="5">
        <v>1389000</v>
      </c>
      <c r="F13" s="6">
        <v>5074.0169999999998</v>
      </c>
      <c r="G13" s="7">
        <v>2.651539E-2</v>
      </c>
      <c r="H13" s="105"/>
      <c r="J13" s="161" t="s">
        <v>1074</v>
      </c>
      <c r="L13" s="53"/>
      <c r="M13" s="53"/>
      <c r="N13" s="53"/>
    </row>
    <row r="14" spans="1:15" ht="17.100000000000001" customHeight="1" x14ac:dyDescent="0.2">
      <c r="A14" s="3">
        <v>8</v>
      </c>
      <c r="B14" s="4" t="s">
        <v>11</v>
      </c>
      <c r="C14" s="4" t="s">
        <v>12</v>
      </c>
      <c r="D14" s="4" t="s">
        <v>13</v>
      </c>
      <c r="E14" s="5">
        <v>207000</v>
      </c>
      <c r="F14" s="6">
        <v>4894.308</v>
      </c>
      <c r="G14" s="7">
        <v>2.557628E-2</v>
      </c>
      <c r="H14" s="105"/>
      <c r="J14" s="53"/>
      <c r="K14" s="53"/>
      <c r="L14" s="53"/>
      <c r="M14" s="53"/>
      <c r="N14" s="53"/>
    </row>
    <row r="15" spans="1:15" ht="17.100000000000001" customHeight="1" x14ac:dyDescent="0.2">
      <c r="A15" s="3">
        <v>9</v>
      </c>
      <c r="B15" s="4" t="s">
        <v>343</v>
      </c>
      <c r="C15" s="4" t="s">
        <v>344</v>
      </c>
      <c r="D15" s="4" t="s">
        <v>1020</v>
      </c>
      <c r="E15" s="5">
        <v>1150000</v>
      </c>
      <c r="F15" s="6">
        <v>4893.8249999999998</v>
      </c>
      <c r="G15" s="7">
        <v>2.5573760000000001E-2</v>
      </c>
      <c r="H15" s="105"/>
      <c r="J15" s="53"/>
      <c r="K15" s="53"/>
      <c r="L15" s="53"/>
      <c r="M15" s="53"/>
      <c r="N15" s="53"/>
    </row>
    <row r="16" spans="1:15" ht="17.100000000000001" customHeight="1" x14ac:dyDescent="0.2">
      <c r="A16" s="3">
        <v>10</v>
      </c>
      <c r="B16" s="4" t="s">
        <v>319</v>
      </c>
      <c r="C16" s="4" t="s">
        <v>320</v>
      </c>
      <c r="D16" s="4" t="s">
        <v>953</v>
      </c>
      <c r="E16" s="5">
        <v>151000</v>
      </c>
      <c r="F16" s="6">
        <v>4861.0675000000001</v>
      </c>
      <c r="G16" s="7">
        <v>2.5402580000000001E-2</v>
      </c>
      <c r="H16" s="105"/>
      <c r="J16" s="53"/>
      <c r="K16" s="53"/>
      <c r="L16" s="53"/>
      <c r="M16" s="53"/>
      <c r="N16" s="53"/>
    </row>
    <row r="17" spans="1:14" ht="17.100000000000001" customHeight="1" x14ac:dyDescent="0.2">
      <c r="A17" s="3">
        <v>11</v>
      </c>
      <c r="B17" s="4" t="s">
        <v>103</v>
      </c>
      <c r="C17" s="4" t="s">
        <v>104</v>
      </c>
      <c r="D17" s="4" t="s">
        <v>105</v>
      </c>
      <c r="E17" s="5">
        <v>56000</v>
      </c>
      <c r="F17" s="6">
        <v>4810.1480000000001</v>
      </c>
      <c r="G17" s="7">
        <v>2.5136479999999999E-2</v>
      </c>
      <c r="H17" s="105"/>
      <c r="J17" s="53"/>
      <c r="K17" s="53"/>
      <c r="L17" s="53"/>
      <c r="M17" s="53"/>
      <c r="N17" s="53"/>
    </row>
    <row r="18" spans="1:14" ht="17.100000000000001" customHeight="1" x14ac:dyDescent="0.2">
      <c r="A18" s="3">
        <v>12</v>
      </c>
      <c r="B18" s="4" t="s">
        <v>203</v>
      </c>
      <c r="C18" s="4" t="s">
        <v>204</v>
      </c>
      <c r="D18" s="4" t="s">
        <v>25</v>
      </c>
      <c r="E18" s="5">
        <v>488000</v>
      </c>
      <c r="F18" s="6">
        <v>4196.8</v>
      </c>
      <c r="G18" s="7">
        <v>2.1931300000000001E-2</v>
      </c>
      <c r="H18" s="105"/>
      <c r="J18" s="53"/>
      <c r="K18" s="53"/>
      <c r="L18" s="53"/>
      <c r="M18" s="53"/>
      <c r="N18" s="53"/>
    </row>
    <row r="19" spans="1:14" ht="53.1" customHeight="1" x14ac:dyDescent="0.2">
      <c r="A19" s="3">
        <v>13</v>
      </c>
      <c r="B19" s="4" t="s">
        <v>50</v>
      </c>
      <c r="C19" s="4" t="s">
        <v>51</v>
      </c>
      <c r="D19" s="4" t="s">
        <v>52</v>
      </c>
      <c r="E19" s="5">
        <v>2710000</v>
      </c>
      <c r="F19" s="6">
        <v>3955.2449999999999</v>
      </c>
      <c r="G19" s="7">
        <v>2.0669E-2</v>
      </c>
      <c r="H19" s="105"/>
      <c r="J19" s="53"/>
      <c r="K19" s="53"/>
      <c r="L19" s="53"/>
      <c r="M19" s="53"/>
      <c r="N19" s="53"/>
    </row>
    <row r="20" spans="1:14" ht="17.100000000000001" customHeight="1" x14ac:dyDescent="0.2">
      <c r="A20" s="3">
        <v>14</v>
      </c>
      <c r="B20" s="4" t="s">
        <v>312</v>
      </c>
      <c r="C20" s="4" t="s">
        <v>313</v>
      </c>
      <c r="D20" s="4" t="s">
        <v>25</v>
      </c>
      <c r="E20" s="5">
        <v>328000</v>
      </c>
      <c r="F20" s="6">
        <v>3781.1840000000002</v>
      </c>
      <c r="G20" s="7">
        <v>1.9759410000000002E-2</v>
      </c>
      <c r="H20" s="105"/>
      <c r="J20" s="53"/>
      <c r="K20" s="53"/>
      <c r="L20" s="53"/>
      <c r="M20" s="53"/>
      <c r="N20" s="53"/>
    </row>
    <row r="21" spans="1:14" ht="17.100000000000001" customHeight="1" x14ac:dyDescent="0.2">
      <c r="A21" s="3">
        <v>15</v>
      </c>
      <c r="B21" s="4" t="s">
        <v>325</v>
      </c>
      <c r="C21" s="4" t="s">
        <v>326</v>
      </c>
      <c r="D21" s="4" t="s">
        <v>1020</v>
      </c>
      <c r="E21" s="5">
        <v>151000</v>
      </c>
      <c r="F21" s="6">
        <v>3710.5230000000001</v>
      </c>
      <c r="G21" s="7">
        <v>1.9390149999999998E-2</v>
      </c>
      <c r="H21" s="105"/>
      <c r="K21" s="53"/>
      <c r="L21" s="53"/>
      <c r="M21" s="53"/>
      <c r="N21" s="53"/>
    </row>
    <row r="22" spans="1:14" ht="17.100000000000001" customHeight="1" x14ac:dyDescent="0.2">
      <c r="A22" s="3">
        <v>16</v>
      </c>
      <c r="B22" s="4" t="s">
        <v>101</v>
      </c>
      <c r="C22" s="4" t="s">
        <v>102</v>
      </c>
      <c r="D22" s="4" t="s">
        <v>59</v>
      </c>
      <c r="E22" s="5">
        <v>152000</v>
      </c>
      <c r="F22" s="6">
        <v>3071.8440000000001</v>
      </c>
      <c r="G22" s="7">
        <v>1.60526E-2</v>
      </c>
      <c r="H22" s="105"/>
      <c r="J22" s="53"/>
      <c r="K22" s="53"/>
      <c r="L22" s="53"/>
      <c r="M22" s="53"/>
      <c r="N22" s="53"/>
    </row>
    <row r="23" spans="1:14" ht="29.1" customHeight="1" x14ac:dyDescent="0.2">
      <c r="A23" s="3">
        <v>17</v>
      </c>
      <c r="B23" s="4" t="s">
        <v>20</v>
      </c>
      <c r="C23" s="4" t="s">
        <v>21</v>
      </c>
      <c r="D23" s="4" t="s">
        <v>22</v>
      </c>
      <c r="E23" s="5">
        <v>38000</v>
      </c>
      <c r="F23" s="6">
        <v>2871.3560000000002</v>
      </c>
      <c r="G23" s="7">
        <v>1.50049E-2</v>
      </c>
      <c r="H23" s="105"/>
      <c r="J23" s="161" t="s">
        <v>1075</v>
      </c>
      <c r="K23" s="53"/>
      <c r="L23" s="53"/>
      <c r="M23" s="53"/>
      <c r="N23" s="53"/>
    </row>
    <row r="24" spans="1:14" ht="17.100000000000001" customHeight="1" x14ac:dyDescent="0.2">
      <c r="A24" s="3">
        <v>18</v>
      </c>
      <c r="B24" s="4" t="s">
        <v>349</v>
      </c>
      <c r="C24" s="4" t="s">
        <v>350</v>
      </c>
      <c r="D24" s="4" t="s">
        <v>128</v>
      </c>
      <c r="E24" s="5">
        <v>41000</v>
      </c>
      <c r="F24" s="6">
        <v>2574.8409999999999</v>
      </c>
      <c r="G24" s="7">
        <v>1.3455399999999999E-2</v>
      </c>
      <c r="H24" s="105"/>
      <c r="J24" s="53"/>
      <c r="K24" s="53"/>
      <c r="L24" s="53"/>
      <c r="M24" s="53"/>
      <c r="N24" s="53"/>
    </row>
    <row r="25" spans="1:14" ht="17.100000000000001" customHeight="1" x14ac:dyDescent="0.2">
      <c r="A25" s="3">
        <v>19</v>
      </c>
      <c r="B25" s="4" t="s">
        <v>385</v>
      </c>
      <c r="C25" s="4" t="s">
        <v>386</v>
      </c>
      <c r="D25" s="4" t="s">
        <v>128</v>
      </c>
      <c r="E25" s="5">
        <v>402000</v>
      </c>
      <c r="F25" s="6">
        <v>2479.134</v>
      </c>
      <c r="G25" s="7">
        <v>1.295526E-2</v>
      </c>
      <c r="H25" s="105"/>
      <c r="J25" s="53"/>
      <c r="K25" s="53"/>
      <c r="L25" s="53"/>
      <c r="M25" s="53"/>
      <c r="N25" s="53"/>
    </row>
    <row r="26" spans="1:14" ht="17.100000000000001" customHeight="1" x14ac:dyDescent="0.2">
      <c r="A26" s="3">
        <v>20</v>
      </c>
      <c r="B26" s="4" t="s">
        <v>510</v>
      </c>
      <c r="C26" s="4" t="s">
        <v>511</v>
      </c>
      <c r="D26" s="4" t="s">
        <v>329</v>
      </c>
      <c r="E26" s="5">
        <v>50000</v>
      </c>
      <c r="F26" s="6">
        <v>2365.6</v>
      </c>
      <c r="G26" s="7">
        <v>1.236196E-2</v>
      </c>
      <c r="H26" s="105"/>
      <c r="J26" s="53"/>
      <c r="K26" s="53"/>
      <c r="L26" s="53"/>
      <c r="M26" s="53"/>
      <c r="N26" s="53"/>
    </row>
    <row r="27" spans="1:14" ht="17.100000000000001" customHeight="1" x14ac:dyDescent="0.2">
      <c r="A27" s="3">
        <v>21</v>
      </c>
      <c r="B27" s="4" t="s">
        <v>355</v>
      </c>
      <c r="C27" s="4" t="s">
        <v>356</v>
      </c>
      <c r="D27" s="4" t="s">
        <v>953</v>
      </c>
      <c r="E27" s="5">
        <v>52000</v>
      </c>
      <c r="F27" s="6">
        <v>2298.114</v>
      </c>
      <c r="G27" s="7">
        <v>1.2009300000000001E-2</v>
      </c>
      <c r="H27" s="105"/>
      <c r="J27" s="53"/>
      <c r="K27" s="53"/>
      <c r="L27" s="53"/>
      <c r="M27" s="53"/>
      <c r="N27" s="53"/>
    </row>
    <row r="28" spans="1:14" ht="17.100000000000001" customHeight="1" x14ac:dyDescent="0.2">
      <c r="A28" s="3">
        <v>22</v>
      </c>
      <c r="B28" s="4" t="s">
        <v>353</v>
      </c>
      <c r="C28" s="4" t="s">
        <v>354</v>
      </c>
      <c r="D28" s="4" t="s">
        <v>105</v>
      </c>
      <c r="E28" s="5">
        <v>471000</v>
      </c>
      <c r="F28" s="6">
        <v>2284.1145000000001</v>
      </c>
      <c r="G28" s="7">
        <v>1.193614E-2</v>
      </c>
      <c r="H28" s="105"/>
      <c r="J28" s="53"/>
      <c r="K28" s="53"/>
      <c r="L28" s="53"/>
      <c r="M28" s="53"/>
      <c r="N28" s="53"/>
    </row>
    <row r="29" spans="1:14" ht="17.100000000000001" customHeight="1" x14ac:dyDescent="0.2">
      <c r="A29" s="3">
        <v>23</v>
      </c>
      <c r="B29" s="4" t="s">
        <v>337</v>
      </c>
      <c r="C29" s="4" t="s">
        <v>338</v>
      </c>
      <c r="D29" s="4" t="s">
        <v>223</v>
      </c>
      <c r="E29" s="5">
        <v>656000</v>
      </c>
      <c r="F29" s="6">
        <v>2224.4960000000001</v>
      </c>
      <c r="G29" s="7">
        <v>1.1624590000000001E-2</v>
      </c>
      <c r="H29" s="105"/>
    </row>
    <row r="30" spans="1:14" ht="29.1" customHeight="1" x14ac:dyDescent="0.2">
      <c r="A30" s="3">
        <v>24</v>
      </c>
      <c r="B30" s="4" t="s">
        <v>196</v>
      </c>
      <c r="C30" s="4" t="s">
        <v>197</v>
      </c>
      <c r="D30" s="4" t="s">
        <v>128</v>
      </c>
      <c r="E30" s="5">
        <v>250000</v>
      </c>
      <c r="F30" s="6">
        <v>2177.75</v>
      </c>
      <c r="G30" s="7">
        <v>1.1380309999999999E-2</v>
      </c>
      <c r="H30" s="105"/>
    </row>
    <row r="31" spans="1:14" ht="17.100000000000001" customHeight="1" x14ac:dyDescent="0.2">
      <c r="A31" s="3">
        <v>25</v>
      </c>
      <c r="B31" s="4" t="s">
        <v>339</v>
      </c>
      <c r="C31" s="4" t="s">
        <v>340</v>
      </c>
      <c r="D31" s="4" t="s">
        <v>25</v>
      </c>
      <c r="E31" s="5">
        <v>667000</v>
      </c>
      <c r="F31" s="6">
        <v>2117.3915000000002</v>
      </c>
      <c r="G31" s="7">
        <v>1.1064890000000001E-2</v>
      </c>
      <c r="H31" s="105"/>
    </row>
    <row r="32" spans="1:14" ht="17.100000000000001" customHeight="1" x14ac:dyDescent="0.2">
      <c r="A32" s="3">
        <v>26</v>
      </c>
      <c r="B32" s="4" t="s">
        <v>347</v>
      </c>
      <c r="C32" s="4" t="s">
        <v>348</v>
      </c>
      <c r="D32" s="4" t="s">
        <v>121</v>
      </c>
      <c r="E32" s="5">
        <v>77000</v>
      </c>
      <c r="F32" s="6">
        <v>2034.2245</v>
      </c>
      <c r="G32" s="7">
        <v>1.0630290000000001E-2</v>
      </c>
      <c r="H32" s="105"/>
    </row>
    <row r="33" spans="1:8" ht="17.100000000000001" customHeight="1" x14ac:dyDescent="0.2">
      <c r="A33" s="3">
        <v>27</v>
      </c>
      <c r="B33" s="4" t="s">
        <v>53</v>
      </c>
      <c r="C33" s="4" t="s">
        <v>54</v>
      </c>
      <c r="D33" s="4" t="s">
        <v>33</v>
      </c>
      <c r="E33" s="5">
        <v>63000</v>
      </c>
      <c r="F33" s="6">
        <v>2019.3705</v>
      </c>
      <c r="G33" s="7">
        <v>1.055266E-2</v>
      </c>
      <c r="H33" s="105"/>
    </row>
    <row r="34" spans="1:8" ht="17.100000000000001" customHeight="1" x14ac:dyDescent="0.2">
      <c r="A34" s="3">
        <v>28</v>
      </c>
      <c r="B34" s="4" t="s">
        <v>179</v>
      </c>
      <c r="C34" s="4" t="s">
        <v>180</v>
      </c>
      <c r="D34" s="4" t="s">
        <v>25</v>
      </c>
      <c r="E34" s="5">
        <v>1489000</v>
      </c>
      <c r="F34" s="6">
        <v>2009.4055000000001</v>
      </c>
      <c r="G34" s="7">
        <v>1.0500590000000001E-2</v>
      </c>
      <c r="H34" s="105"/>
    </row>
    <row r="35" spans="1:8" ht="29.1" customHeight="1" x14ac:dyDescent="0.2">
      <c r="A35" s="3">
        <v>29</v>
      </c>
      <c r="B35" s="4" t="s">
        <v>65</v>
      </c>
      <c r="C35" s="4" t="s">
        <v>66</v>
      </c>
      <c r="D35" s="4" t="s">
        <v>22</v>
      </c>
      <c r="E35" s="5">
        <v>100000</v>
      </c>
      <c r="F35" s="6">
        <v>1996.2</v>
      </c>
      <c r="G35" s="7">
        <v>1.0431579999999999E-2</v>
      </c>
      <c r="H35" s="105"/>
    </row>
    <row r="36" spans="1:8" ht="29.1" customHeight="1" x14ac:dyDescent="0.2">
      <c r="A36" s="3">
        <v>30</v>
      </c>
      <c r="B36" s="4" t="s">
        <v>304</v>
      </c>
      <c r="C36" s="4" t="s">
        <v>305</v>
      </c>
      <c r="D36" s="4" t="s">
        <v>212</v>
      </c>
      <c r="E36" s="5">
        <v>197398</v>
      </c>
      <c r="F36" s="6">
        <v>1949.601347</v>
      </c>
      <c r="G36" s="7">
        <v>1.018807E-2</v>
      </c>
      <c r="H36" s="105"/>
    </row>
    <row r="37" spans="1:8" ht="17.100000000000001" customHeight="1" x14ac:dyDescent="0.2">
      <c r="A37" s="3">
        <v>31</v>
      </c>
      <c r="B37" s="4" t="s">
        <v>215</v>
      </c>
      <c r="C37" s="4" t="s">
        <v>216</v>
      </c>
      <c r="D37" s="4" t="s">
        <v>217</v>
      </c>
      <c r="E37" s="5">
        <v>296000</v>
      </c>
      <c r="F37" s="6">
        <v>1893.66</v>
      </c>
      <c r="G37" s="7">
        <v>9.8957400000000001E-3</v>
      </c>
      <c r="H37" s="105"/>
    </row>
    <row r="38" spans="1:8" ht="17.100000000000001" customHeight="1" x14ac:dyDescent="0.2">
      <c r="A38" s="3">
        <v>32</v>
      </c>
      <c r="B38" s="4" t="s">
        <v>112</v>
      </c>
      <c r="C38" s="4" t="s">
        <v>113</v>
      </c>
      <c r="D38" s="4" t="s">
        <v>36</v>
      </c>
      <c r="E38" s="5">
        <v>2260000</v>
      </c>
      <c r="F38" s="6">
        <v>1771.84</v>
      </c>
      <c r="G38" s="7">
        <v>9.2591400000000008E-3</v>
      </c>
      <c r="H38" s="105"/>
    </row>
    <row r="39" spans="1:8" ht="17.100000000000001" customHeight="1" x14ac:dyDescent="0.2">
      <c r="A39" s="3">
        <v>33</v>
      </c>
      <c r="B39" s="4" t="s">
        <v>310</v>
      </c>
      <c r="C39" s="4" t="s">
        <v>311</v>
      </c>
      <c r="D39" s="4" t="s">
        <v>207</v>
      </c>
      <c r="E39" s="5">
        <v>1625000</v>
      </c>
      <c r="F39" s="6">
        <v>1754.1875</v>
      </c>
      <c r="G39" s="7">
        <v>9.1668900000000005E-3</v>
      </c>
      <c r="H39" s="105"/>
    </row>
    <row r="40" spans="1:8" ht="17.100000000000001" customHeight="1" x14ac:dyDescent="0.2">
      <c r="A40" s="3">
        <v>34</v>
      </c>
      <c r="B40" s="4" t="s">
        <v>14</v>
      </c>
      <c r="C40" s="4" t="s">
        <v>15</v>
      </c>
      <c r="D40" s="4" t="s">
        <v>16</v>
      </c>
      <c r="E40" s="5">
        <v>215000</v>
      </c>
      <c r="F40" s="6">
        <v>1718.4949999999999</v>
      </c>
      <c r="G40" s="7">
        <v>8.9803699999999997E-3</v>
      </c>
      <c r="H40" s="105"/>
    </row>
    <row r="41" spans="1:8" ht="29.1" customHeight="1" x14ac:dyDescent="0.2">
      <c r="A41" s="3">
        <v>35</v>
      </c>
      <c r="B41" s="4" t="s">
        <v>345</v>
      </c>
      <c r="C41" s="4" t="s">
        <v>346</v>
      </c>
      <c r="D41" s="4" t="s">
        <v>212</v>
      </c>
      <c r="E41" s="5">
        <v>52000</v>
      </c>
      <c r="F41" s="6">
        <v>1699.308</v>
      </c>
      <c r="G41" s="7">
        <v>8.8801100000000001E-3</v>
      </c>
      <c r="H41" s="105"/>
    </row>
    <row r="42" spans="1:8" ht="17.100000000000001" customHeight="1" x14ac:dyDescent="0.2">
      <c r="A42" s="3">
        <v>36</v>
      </c>
      <c r="B42" s="4" t="s">
        <v>533</v>
      </c>
      <c r="C42" s="4" t="s">
        <v>534</v>
      </c>
      <c r="D42" s="4" t="s">
        <v>329</v>
      </c>
      <c r="E42" s="5">
        <v>190000</v>
      </c>
      <c r="F42" s="6">
        <v>1647.9649999999999</v>
      </c>
      <c r="G42" s="7">
        <v>8.6117999999999993E-3</v>
      </c>
      <c r="H42" s="105"/>
    </row>
    <row r="43" spans="1:8" ht="29.1" customHeight="1" x14ac:dyDescent="0.2">
      <c r="A43" s="3">
        <v>37</v>
      </c>
      <c r="B43" s="4" t="s">
        <v>802</v>
      </c>
      <c r="C43" s="4" t="s">
        <v>803</v>
      </c>
      <c r="D43" s="4" t="s">
        <v>217</v>
      </c>
      <c r="E43" s="5">
        <v>152000</v>
      </c>
      <c r="F43" s="6">
        <v>1640.308</v>
      </c>
      <c r="G43" s="7">
        <v>8.5717899999999993E-3</v>
      </c>
      <c r="H43" s="105"/>
    </row>
    <row r="44" spans="1:8" ht="17.100000000000001" customHeight="1" x14ac:dyDescent="0.2">
      <c r="A44" s="3">
        <v>38</v>
      </c>
      <c r="B44" s="4" t="s">
        <v>269</v>
      </c>
      <c r="C44" s="4" t="s">
        <v>270</v>
      </c>
      <c r="D44" s="4" t="s">
        <v>271</v>
      </c>
      <c r="E44" s="5">
        <v>4000</v>
      </c>
      <c r="F44" s="6">
        <v>1612.828</v>
      </c>
      <c r="G44" s="7">
        <v>8.4281900000000003E-3</v>
      </c>
      <c r="H44" s="105"/>
    </row>
    <row r="45" spans="1:8" ht="17.100000000000001" customHeight="1" x14ac:dyDescent="0.2">
      <c r="A45" s="3">
        <v>39</v>
      </c>
      <c r="B45" s="4" t="s">
        <v>367</v>
      </c>
      <c r="C45" s="4" t="s">
        <v>368</v>
      </c>
      <c r="D45" s="4" t="s">
        <v>128</v>
      </c>
      <c r="E45" s="5">
        <v>110000</v>
      </c>
      <c r="F45" s="6">
        <v>1490.115</v>
      </c>
      <c r="G45" s="7">
        <v>7.7869200000000001E-3</v>
      </c>
      <c r="H45" s="105"/>
    </row>
    <row r="46" spans="1:8" ht="17.100000000000001" customHeight="1" x14ac:dyDescent="0.2">
      <c r="A46" s="3">
        <v>40</v>
      </c>
      <c r="B46" s="4" t="s">
        <v>371</v>
      </c>
      <c r="C46" s="4" t="s">
        <v>372</v>
      </c>
      <c r="D46" s="4" t="s">
        <v>121</v>
      </c>
      <c r="E46" s="5">
        <v>51000</v>
      </c>
      <c r="F46" s="6">
        <v>1480.1985</v>
      </c>
      <c r="G46" s="7">
        <v>7.7351E-3</v>
      </c>
      <c r="H46" s="105"/>
    </row>
    <row r="47" spans="1:8" ht="17.100000000000001" customHeight="1" x14ac:dyDescent="0.2">
      <c r="A47" s="3">
        <v>41</v>
      </c>
      <c r="B47" s="4" t="s">
        <v>57</v>
      </c>
      <c r="C47" s="4" t="s">
        <v>58</v>
      </c>
      <c r="D47" s="4" t="s">
        <v>59</v>
      </c>
      <c r="E47" s="5">
        <v>240000</v>
      </c>
      <c r="F47" s="6">
        <v>1468.08</v>
      </c>
      <c r="G47" s="7">
        <v>7.6717699999999996E-3</v>
      </c>
      <c r="H47" s="105"/>
    </row>
    <row r="48" spans="1:8" ht="17.100000000000001" customHeight="1" x14ac:dyDescent="0.2">
      <c r="A48" s="3">
        <v>42</v>
      </c>
      <c r="B48" s="4" t="s">
        <v>26</v>
      </c>
      <c r="C48" s="4" t="s">
        <v>27</v>
      </c>
      <c r="D48" s="4" t="s">
        <v>28</v>
      </c>
      <c r="E48" s="5">
        <v>840000</v>
      </c>
      <c r="F48" s="6">
        <v>1444.8</v>
      </c>
      <c r="G48" s="7">
        <v>7.5501199999999996E-3</v>
      </c>
      <c r="H48" s="105"/>
    </row>
    <row r="49" spans="1:8" ht="17.100000000000001" customHeight="1" x14ac:dyDescent="0.2">
      <c r="A49" s="3">
        <v>43</v>
      </c>
      <c r="B49" s="4" t="s">
        <v>359</v>
      </c>
      <c r="C49" s="4" t="s">
        <v>360</v>
      </c>
      <c r="D49" s="4" t="s">
        <v>195</v>
      </c>
      <c r="E49" s="5">
        <v>40000</v>
      </c>
      <c r="F49" s="6">
        <v>1404.78</v>
      </c>
      <c r="G49" s="7">
        <v>7.3409900000000004E-3</v>
      </c>
      <c r="H49" s="105"/>
    </row>
    <row r="50" spans="1:8" ht="17.100000000000001" customHeight="1" x14ac:dyDescent="0.2">
      <c r="A50" s="3">
        <v>44</v>
      </c>
      <c r="B50" s="4" t="s">
        <v>85</v>
      </c>
      <c r="C50" s="4" t="s">
        <v>86</v>
      </c>
      <c r="D50" s="4" t="s">
        <v>81</v>
      </c>
      <c r="E50" s="5">
        <v>287372</v>
      </c>
      <c r="F50" s="6">
        <v>1379.3856000000001</v>
      </c>
      <c r="G50" s="7">
        <v>7.2082800000000001E-3</v>
      </c>
      <c r="H50" s="105"/>
    </row>
    <row r="51" spans="1:8" ht="17.100000000000001" customHeight="1" x14ac:dyDescent="0.2">
      <c r="A51" s="3">
        <v>45</v>
      </c>
      <c r="B51" s="4" t="s">
        <v>314</v>
      </c>
      <c r="C51" s="4" t="s">
        <v>315</v>
      </c>
      <c r="D51" s="4" t="s">
        <v>223</v>
      </c>
      <c r="E51" s="5">
        <v>111000</v>
      </c>
      <c r="F51" s="6">
        <v>1327.3934999999999</v>
      </c>
      <c r="G51" s="7">
        <v>6.9365900000000003E-3</v>
      </c>
      <c r="H51" s="105"/>
    </row>
    <row r="52" spans="1:8" ht="17.100000000000001" customHeight="1" x14ac:dyDescent="0.2">
      <c r="A52" s="3">
        <v>46</v>
      </c>
      <c r="B52" s="4" t="s">
        <v>221</v>
      </c>
      <c r="C52" s="4" t="s">
        <v>222</v>
      </c>
      <c r="D52" s="4" t="s">
        <v>223</v>
      </c>
      <c r="E52" s="5">
        <v>285000</v>
      </c>
      <c r="F52" s="6">
        <v>1272.3824999999999</v>
      </c>
      <c r="G52" s="7">
        <v>6.6491099999999997E-3</v>
      </c>
      <c r="H52" s="105"/>
    </row>
    <row r="53" spans="1:8" ht="17.100000000000001" customHeight="1" x14ac:dyDescent="0.2">
      <c r="A53" s="3">
        <v>47</v>
      </c>
      <c r="B53" s="4" t="s">
        <v>493</v>
      </c>
      <c r="C53" s="4" t="s">
        <v>494</v>
      </c>
      <c r="D53" s="4" t="s">
        <v>953</v>
      </c>
      <c r="E53" s="5">
        <v>330000</v>
      </c>
      <c r="F53" s="6">
        <v>1270.5</v>
      </c>
      <c r="G53" s="7">
        <v>6.63928E-3</v>
      </c>
      <c r="H53" s="105"/>
    </row>
    <row r="54" spans="1:8" ht="17.100000000000001" customHeight="1" x14ac:dyDescent="0.2">
      <c r="A54" s="3">
        <v>48</v>
      </c>
      <c r="B54" s="4" t="s">
        <v>213</v>
      </c>
      <c r="C54" s="4" t="s">
        <v>214</v>
      </c>
      <c r="D54" s="4" t="s">
        <v>25</v>
      </c>
      <c r="E54" s="5">
        <v>670000</v>
      </c>
      <c r="F54" s="6">
        <v>1257.925</v>
      </c>
      <c r="G54" s="7">
        <v>6.57356E-3</v>
      </c>
      <c r="H54" s="105"/>
    </row>
    <row r="55" spans="1:8" ht="17.100000000000001" customHeight="1" x14ac:dyDescent="0.2">
      <c r="A55" s="3">
        <v>49</v>
      </c>
      <c r="B55" s="4" t="s">
        <v>502</v>
      </c>
      <c r="C55" s="4" t="s">
        <v>503</v>
      </c>
      <c r="D55" s="4" t="s">
        <v>121</v>
      </c>
      <c r="E55" s="5">
        <v>65000</v>
      </c>
      <c r="F55" s="6">
        <v>1214.2650000000001</v>
      </c>
      <c r="G55" s="7">
        <v>6.3454100000000001E-3</v>
      </c>
      <c r="H55" s="105"/>
    </row>
    <row r="56" spans="1:8" ht="17.100000000000001" customHeight="1" x14ac:dyDescent="0.2">
      <c r="A56" s="3">
        <v>50</v>
      </c>
      <c r="B56" s="4" t="s">
        <v>218</v>
      </c>
      <c r="C56" s="4" t="s">
        <v>219</v>
      </c>
      <c r="D56" s="4" t="s">
        <v>220</v>
      </c>
      <c r="E56" s="5">
        <v>82000</v>
      </c>
      <c r="F56" s="6">
        <v>1213.19</v>
      </c>
      <c r="G56" s="7">
        <v>6.3397899999999997E-3</v>
      </c>
      <c r="H56" s="105"/>
    </row>
    <row r="57" spans="1:8" ht="17.100000000000001" customHeight="1" x14ac:dyDescent="0.2">
      <c r="A57" s="3">
        <v>51</v>
      </c>
      <c r="B57" s="4" t="s">
        <v>478</v>
      </c>
      <c r="C57" s="4" t="s">
        <v>479</v>
      </c>
      <c r="D57" s="4" t="s">
        <v>121</v>
      </c>
      <c r="E57" s="5">
        <v>107009</v>
      </c>
      <c r="F57" s="6">
        <v>1174.3702705000001</v>
      </c>
      <c r="G57" s="7">
        <v>6.1369299999999996E-3</v>
      </c>
      <c r="H57" s="105"/>
    </row>
    <row r="58" spans="1:8" ht="29.1" customHeight="1" x14ac:dyDescent="0.2">
      <c r="A58" s="3">
        <v>52</v>
      </c>
      <c r="B58" s="4" t="s">
        <v>265</v>
      </c>
      <c r="C58" s="4" t="s">
        <v>266</v>
      </c>
      <c r="D58" s="4" t="s">
        <v>183</v>
      </c>
      <c r="E58" s="5">
        <v>46000</v>
      </c>
      <c r="F58" s="6">
        <v>1168.5150000000001</v>
      </c>
      <c r="G58" s="7">
        <v>6.1063300000000001E-3</v>
      </c>
      <c r="H58" s="105"/>
    </row>
    <row r="59" spans="1:8" ht="17.100000000000001" customHeight="1" x14ac:dyDescent="0.2">
      <c r="A59" s="3">
        <v>53</v>
      </c>
      <c r="B59" s="4" t="s">
        <v>708</v>
      </c>
      <c r="C59" s="4" t="s">
        <v>709</v>
      </c>
      <c r="D59" s="4" t="s">
        <v>329</v>
      </c>
      <c r="E59" s="5">
        <v>364200</v>
      </c>
      <c r="F59" s="6">
        <v>1143.7701</v>
      </c>
      <c r="G59" s="7">
        <v>5.9770200000000004E-3</v>
      </c>
      <c r="H59" s="105"/>
    </row>
    <row r="60" spans="1:8" ht="17.100000000000001" customHeight="1" x14ac:dyDescent="0.2">
      <c r="A60" s="3">
        <v>54</v>
      </c>
      <c r="B60" s="4" t="s">
        <v>69</v>
      </c>
      <c r="C60" s="4" t="s">
        <v>70</v>
      </c>
      <c r="D60" s="4" t="s">
        <v>13</v>
      </c>
      <c r="E60" s="5">
        <v>450000</v>
      </c>
      <c r="F60" s="6">
        <v>1080.9000000000001</v>
      </c>
      <c r="G60" s="7">
        <v>5.64848E-3</v>
      </c>
      <c r="H60" s="105"/>
    </row>
    <row r="61" spans="1:8" ht="17.100000000000001" customHeight="1" x14ac:dyDescent="0.2">
      <c r="A61" s="3">
        <v>55</v>
      </c>
      <c r="B61" s="4" t="s">
        <v>357</v>
      </c>
      <c r="C61" s="4" t="s">
        <v>358</v>
      </c>
      <c r="D61" s="4" t="s">
        <v>59</v>
      </c>
      <c r="E61" s="5">
        <v>69000</v>
      </c>
      <c r="F61" s="6">
        <v>1016.8875</v>
      </c>
      <c r="G61" s="7">
        <v>5.3139700000000003E-3</v>
      </c>
      <c r="H61" s="105"/>
    </row>
    <row r="62" spans="1:8" ht="17.100000000000001" customHeight="1" x14ac:dyDescent="0.2">
      <c r="A62" s="3">
        <v>56</v>
      </c>
      <c r="B62" s="4" t="s">
        <v>42</v>
      </c>
      <c r="C62" s="4" t="s">
        <v>43</v>
      </c>
      <c r="D62" s="4" t="s">
        <v>28</v>
      </c>
      <c r="E62" s="5">
        <v>420000</v>
      </c>
      <c r="F62" s="6">
        <v>996.45</v>
      </c>
      <c r="G62" s="7">
        <v>5.2071699999999997E-3</v>
      </c>
      <c r="H62" s="105"/>
    </row>
    <row r="63" spans="1:8" ht="17.100000000000001" customHeight="1" x14ac:dyDescent="0.2">
      <c r="A63" s="3">
        <v>57</v>
      </c>
      <c r="B63" s="4" t="s">
        <v>664</v>
      </c>
      <c r="C63" s="4" t="s">
        <v>665</v>
      </c>
      <c r="D63" s="4" t="s">
        <v>195</v>
      </c>
      <c r="E63" s="5">
        <v>410000</v>
      </c>
      <c r="F63" s="6">
        <v>912.86500000000001</v>
      </c>
      <c r="G63" s="7">
        <v>4.7703800000000003E-3</v>
      </c>
      <c r="H63" s="105"/>
    </row>
    <row r="64" spans="1:8" ht="29.1" customHeight="1" x14ac:dyDescent="0.2">
      <c r="A64" s="3">
        <v>58</v>
      </c>
      <c r="B64" s="4" t="s">
        <v>491</v>
      </c>
      <c r="C64" s="4" t="s">
        <v>492</v>
      </c>
      <c r="D64" s="4" t="s">
        <v>212</v>
      </c>
      <c r="E64" s="5">
        <v>100000</v>
      </c>
      <c r="F64" s="6">
        <v>908.05</v>
      </c>
      <c r="G64" s="7">
        <v>4.7452199999999996E-3</v>
      </c>
      <c r="H64" s="105"/>
    </row>
    <row r="65" spans="1:8" ht="17.100000000000001" customHeight="1" x14ac:dyDescent="0.2">
      <c r="A65" s="3">
        <v>59</v>
      </c>
      <c r="B65" s="4" t="s">
        <v>550</v>
      </c>
      <c r="C65" s="4" t="s">
        <v>551</v>
      </c>
      <c r="D65" s="4" t="s">
        <v>220</v>
      </c>
      <c r="E65" s="5">
        <v>115000</v>
      </c>
      <c r="F65" s="6">
        <v>893.72249999999997</v>
      </c>
      <c r="G65" s="7">
        <v>4.6703400000000003E-3</v>
      </c>
      <c r="H65" s="105"/>
    </row>
    <row r="66" spans="1:8" ht="17.100000000000001" customHeight="1" x14ac:dyDescent="0.2">
      <c r="A66" s="3">
        <v>60</v>
      </c>
      <c r="B66" s="4" t="s">
        <v>200</v>
      </c>
      <c r="C66" s="4" t="s">
        <v>201</v>
      </c>
      <c r="D66" s="4" t="s">
        <v>202</v>
      </c>
      <c r="E66" s="5">
        <v>342600</v>
      </c>
      <c r="F66" s="6">
        <v>893.50080000000003</v>
      </c>
      <c r="G66" s="7">
        <v>4.6691900000000001E-3</v>
      </c>
      <c r="H66" s="105"/>
    </row>
    <row r="67" spans="1:8" ht="17.100000000000001" customHeight="1" x14ac:dyDescent="0.2">
      <c r="A67" s="3">
        <v>61</v>
      </c>
      <c r="B67" s="4" t="s">
        <v>239</v>
      </c>
      <c r="C67" s="4" t="s">
        <v>240</v>
      </c>
      <c r="D67" s="4" t="s">
        <v>121</v>
      </c>
      <c r="E67" s="5">
        <v>108784</v>
      </c>
      <c r="F67" s="6">
        <v>869.23855200000003</v>
      </c>
      <c r="G67" s="7">
        <v>4.5424000000000003E-3</v>
      </c>
      <c r="H67" s="105"/>
    </row>
    <row r="68" spans="1:8" ht="53.1" customHeight="1" x14ac:dyDescent="0.2">
      <c r="A68" s="3">
        <v>62</v>
      </c>
      <c r="B68" s="4" t="s">
        <v>117</v>
      </c>
      <c r="C68" s="4" t="s">
        <v>118</v>
      </c>
      <c r="D68" s="4" t="s">
        <v>52</v>
      </c>
      <c r="E68" s="5">
        <v>71000</v>
      </c>
      <c r="F68" s="6">
        <v>863.89250000000004</v>
      </c>
      <c r="G68" s="7">
        <v>4.5144599999999997E-3</v>
      </c>
      <c r="H68" s="105"/>
    </row>
    <row r="69" spans="1:8" ht="17.100000000000001" customHeight="1" x14ac:dyDescent="0.2">
      <c r="A69" s="3">
        <v>63</v>
      </c>
      <c r="B69" s="4" t="s">
        <v>97</v>
      </c>
      <c r="C69" s="4" t="s">
        <v>98</v>
      </c>
      <c r="D69" s="4" t="s">
        <v>91</v>
      </c>
      <c r="E69" s="5">
        <v>82000</v>
      </c>
      <c r="F69" s="6">
        <v>750.38199999999995</v>
      </c>
      <c r="G69" s="7">
        <v>3.92129E-3</v>
      </c>
      <c r="H69" s="105"/>
    </row>
    <row r="70" spans="1:8" ht="29.1" customHeight="1" x14ac:dyDescent="0.2">
      <c r="A70" s="3">
        <v>64</v>
      </c>
      <c r="B70" s="4" t="s">
        <v>249</v>
      </c>
      <c r="C70" s="4" t="s">
        <v>250</v>
      </c>
      <c r="D70" s="4" t="s">
        <v>121</v>
      </c>
      <c r="E70" s="5">
        <v>294000</v>
      </c>
      <c r="F70" s="6">
        <v>749.40599999999995</v>
      </c>
      <c r="G70" s="7">
        <v>3.9161899999999999E-3</v>
      </c>
      <c r="H70" s="105"/>
    </row>
    <row r="71" spans="1:8" ht="29.1" customHeight="1" x14ac:dyDescent="0.2">
      <c r="A71" s="3">
        <v>65</v>
      </c>
      <c r="B71" s="4" t="s">
        <v>247</v>
      </c>
      <c r="C71" s="4" t="s">
        <v>248</v>
      </c>
      <c r="D71" s="4" t="s">
        <v>212</v>
      </c>
      <c r="E71" s="5">
        <v>200000</v>
      </c>
      <c r="F71" s="6">
        <v>615.20000000000005</v>
      </c>
      <c r="G71" s="7">
        <v>3.2148599999999999E-3</v>
      </c>
      <c r="H71" s="105"/>
    </row>
    <row r="72" spans="1:8" ht="17.100000000000001" customHeight="1" x14ac:dyDescent="0.2">
      <c r="A72" s="3">
        <v>66</v>
      </c>
      <c r="B72" s="4" t="s">
        <v>545</v>
      </c>
      <c r="C72" s="4" t="s">
        <v>546</v>
      </c>
      <c r="D72" s="4" t="s">
        <v>121</v>
      </c>
      <c r="E72" s="5">
        <v>78929</v>
      </c>
      <c r="F72" s="6">
        <v>468.8777245</v>
      </c>
      <c r="G72" s="7">
        <v>2.4502199999999999E-3</v>
      </c>
      <c r="H72" s="105"/>
    </row>
    <row r="73" spans="1:8" ht="17.100000000000001" customHeight="1" x14ac:dyDescent="0.2">
      <c r="A73" s="3">
        <v>67</v>
      </c>
      <c r="B73" s="4" t="s">
        <v>365</v>
      </c>
      <c r="C73" s="4" t="s">
        <v>366</v>
      </c>
      <c r="D73" s="4" t="s">
        <v>121</v>
      </c>
      <c r="E73" s="5">
        <v>14000</v>
      </c>
      <c r="F73" s="6">
        <v>408.142</v>
      </c>
      <c r="G73" s="7">
        <v>2.13284E-3</v>
      </c>
      <c r="H73" s="105"/>
    </row>
    <row r="74" spans="1:8" ht="14.1" customHeight="1" x14ac:dyDescent="0.2">
      <c r="A74" s="1"/>
      <c r="B74" s="1"/>
      <c r="C74" s="2" t="s">
        <v>132</v>
      </c>
      <c r="D74" s="1"/>
      <c r="E74" s="1" t="s">
        <v>133</v>
      </c>
      <c r="F74" s="9">
        <v>178241.46039399999</v>
      </c>
      <c r="G74" s="10">
        <v>0.93143989000000005</v>
      </c>
      <c r="H74" s="105"/>
    </row>
    <row r="75" spans="1:8" ht="14.1" customHeight="1" x14ac:dyDescent="0.2">
      <c r="A75" s="1"/>
      <c r="B75" s="1"/>
      <c r="C75" s="11"/>
      <c r="D75" s="1"/>
      <c r="E75" s="1"/>
      <c r="F75" s="12"/>
      <c r="G75" s="12"/>
      <c r="H75" s="105"/>
    </row>
    <row r="76" spans="1:8" ht="14.1" customHeight="1" x14ac:dyDescent="0.2">
      <c r="A76" s="1"/>
      <c r="B76" s="1"/>
      <c r="C76" s="2" t="s">
        <v>134</v>
      </c>
      <c r="D76" s="1"/>
      <c r="E76" s="1"/>
      <c r="F76" s="1"/>
      <c r="G76" s="1"/>
      <c r="H76" s="105"/>
    </row>
    <row r="77" spans="1:8" ht="14.1" customHeight="1" x14ac:dyDescent="0.2">
      <c r="A77" s="1"/>
      <c r="B77" s="1"/>
      <c r="C77" s="2" t="s">
        <v>132</v>
      </c>
      <c r="D77" s="1"/>
      <c r="E77" s="1" t="s">
        <v>133</v>
      </c>
      <c r="F77" s="13" t="s">
        <v>135</v>
      </c>
      <c r="G77" s="10">
        <v>0</v>
      </c>
      <c r="H77" s="105"/>
    </row>
    <row r="78" spans="1:8" ht="14.1" customHeight="1" x14ac:dyDescent="0.2">
      <c r="A78" s="1"/>
      <c r="B78" s="1"/>
      <c r="C78" s="11"/>
      <c r="D78" s="1"/>
      <c r="E78" s="1"/>
      <c r="F78" s="12"/>
      <c r="G78" s="12"/>
      <c r="H78" s="105"/>
    </row>
    <row r="79" spans="1:8" ht="14.1" customHeight="1" x14ac:dyDescent="0.2">
      <c r="A79" s="1"/>
      <c r="B79" s="1"/>
      <c r="C79" s="2" t="s">
        <v>136</v>
      </c>
      <c r="D79" s="1"/>
      <c r="E79" s="1"/>
      <c r="F79" s="1"/>
      <c r="G79" s="1"/>
      <c r="H79" s="105"/>
    </row>
    <row r="80" spans="1:8" ht="14.1" customHeight="1" x14ac:dyDescent="0.2">
      <c r="A80" s="1"/>
      <c r="B80" s="1"/>
      <c r="C80" s="2" t="s">
        <v>132</v>
      </c>
      <c r="D80" s="1"/>
      <c r="E80" s="1" t="s">
        <v>133</v>
      </c>
      <c r="F80" s="13" t="s">
        <v>135</v>
      </c>
      <c r="G80" s="10">
        <v>0</v>
      </c>
      <c r="H80" s="105"/>
    </row>
    <row r="81" spans="1:9" ht="14.1" customHeight="1" x14ac:dyDescent="0.2">
      <c r="A81" s="1"/>
      <c r="B81" s="1"/>
      <c r="C81" s="11"/>
      <c r="D81" s="1"/>
      <c r="E81" s="1"/>
      <c r="F81" s="12"/>
      <c r="G81" s="12"/>
      <c r="H81" s="105"/>
    </row>
    <row r="82" spans="1:9" ht="14.1" customHeight="1" x14ac:dyDescent="0.2">
      <c r="A82" s="1"/>
      <c r="B82" s="1"/>
      <c r="C82" s="2" t="s">
        <v>137</v>
      </c>
      <c r="D82" s="1"/>
      <c r="E82" s="1"/>
      <c r="F82" s="1"/>
      <c r="G82" s="1"/>
      <c r="H82" s="105"/>
    </row>
    <row r="83" spans="1:9" ht="14.1" customHeight="1" x14ac:dyDescent="0.2">
      <c r="A83" s="1"/>
      <c r="B83" s="1"/>
      <c r="C83" s="2" t="s">
        <v>132</v>
      </c>
      <c r="D83" s="1"/>
      <c r="E83" s="1" t="s">
        <v>133</v>
      </c>
      <c r="F83" s="13" t="s">
        <v>135</v>
      </c>
      <c r="G83" s="10">
        <v>0</v>
      </c>
      <c r="H83" s="105"/>
    </row>
    <row r="84" spans="1:9" ht="14.1" customHeight="1" x14ac:dyDescent="0.2">
      <c r="A84" s="1"/>
      <c r="B84" s="1"/>
      <c r="C84" s="11"/>
      <c r="D84" s="1"/>
      <c r="E84" s="1"/>
      <c r="F84" s="12"/>
      <c r="G84" s="12"/>
      <c r="H84" s="105"/>
    </row>
    <row r="85" spans="1:9" ht="14.1" customHeight="1" x14ac:dyDescent="0.2">
      <c r="A85" s="1"/>
      <c r="B85" s="1"/>
      <c r="C85" s="2" t="s">
        <v>138</v>
      </c>
      <c r="D85" s="1"/>
      <c r="E85" s="1"/>
      <c r="F85" s="12"/>
      <c r="G85" s="12"/>
      <c r="H85" s="105"/>
    </row>
    <row r="86" spans="1:9" ht="14.1" customHeight="1" x14ac:dyDescent="0.2">
      <c r="A86" s="1"/>
      <c r="B86" s="1"/>
      <c r="C86" s="2" t="s">
        <v>132</v>
      </c>
      <c r="D86" s="1"/>
      <c r="E86" s="1" t="s">
        <v>133</v>
      </c>
      <c r="F86" s="13" t="s">
        <v>135</v>
      </c>
      <c r="G86" s="10">
        <v>0</v>
      </c>
      <c r="H86" s="105"/>
    </row>
    <row r="87" spans="1:9" ht="14.1" customHeight="1" x14ac:dyDescent="0.2">
      <c r="A87" s="1"/>
      <c r="B87" s="1"/>
      <c r="C87" s="11"/>
      <c r="D87" s="1"/>
      <c r="E87" s="1"/>
      <c r="F87" s="12"/>
      <c r="G87" s="12"/>
      <c r="H87" s="105"/>
    </row>
    <row r="88" spans="1:9" ht="14.1" customHeight="1" x14ac:dyDescent="0.2">
      <c r="A88" s="1"/>
      <c r="B88" s="1"/>
      <c r="C88" s="2" t="s">
        <v>139</v>
      </c>
      <c r="D88" s="1"/>
      <c r="E88" s="1"/>
      <c r="F88" s="12"/>
      <c r="G88" s="12"/>
      <c r="H88" s="105"/>
      <c r="I88" s="164"/>
    </row>
    <row r="89" spans="1:9" ht="14.1" customHeight="1" x14ac:dyDescent="0.2">
      <c r="A89" s="1"/>
      <c r="B89" s="1"/>
      <c r="C89" s="2" t="s">
        <v>132</v>
      </c>
      <c r="D89" s="1"/>
      <c r="E89" s="1" t="s">
        <v>133</v>
      </c>
      <c r="F89" s="13" t="s">
        <v>135</v>
      </c>
      <c r="G89" s="10">
        <v>0</v>
      </c>
      <c r="H89" s="105"/>
    </row>
    <row r="90" spans="1:9" ht="14.1" customHeight="1" x14ac:dyDescent="0.2">
      <c r="A90" s="1"/>
      <c r="B90" s="1"/>
      <c r="C90" s="11"/>
      <c r="D90" s="1"/>
      <c r="E90" s="1"/>
      <c r="F90" s="12"/>
      <c r="G90" s="12"/>
      <c r="H90" s="105"/>
    </row>
    <row r="91" spans="1:9" ht="18" customHeight="1" x14ac:dyDescent="0.2">
      <c r="A91" s="1"/>
      <c r="B91" s="1"/>
      <c r="C91" s="2" t="s">
        <v>140</v>
      </c>
      <c r="D91" s="1"/>
      <c r="E91" s="1"/>
      <c r="F91" s="9">
        <v>178241.46039399999</v>
      </c>
      <c r="G91" s="10">
        <v>0.93143989000000005</v>
      </c>
      <c r="H91" s="105"/>
      <c r="I91" s="164"/>
    </row>
    <row r="92" spans="1:9" ht="14.1" customHeight="1" x14ac:dyDescent="0.2">
      <c r="A92" s="1"/>
      <c r="B92" s="1"/>
      <c r="C92" s="11"/>
      <c r="D92" s="1"/>
      <c r="E92" s="1"/>
      <c r="F92" s="12"/>
      <c r="G92" s="12"/>
      <c r="H92" s="105"/>
    </row>
    <row r="93" spans="1:9" ht="14.1" customHeight="1" x14ac:dyDescent="0.2">
      <c r="A93" s="1"/>
      <c r="B93" s="1"/>
      <c r="C93" s="2" t="s">
        <v>141</v>
      </c>
      <c r="D93" s="1"/>
      <c r="E93" s="1"/>
      <c r="F93" s="12"/>
      <c r="G93" s="12"/>
      <c r="H93" s="105"/>
    </row>
    <row r="94" spans="1:9" ht="24" customHeight="1" x14ac:dyDescent="0.2">
      <c r="A94" s="1"/>
      <c r="B94" s="1"/>
      <c r="C94" s="2" t="s">
        <v>10</v>
      </c>
      <c r="D94" s="1"/>
      <c r="E94" s="1"/>
      <c r="F94" s="12"/>
      <c r="G94" s="12"/>
      <c r="H94" s="105"/>
    </row>
    <row r="95" spans="1:9" ht="14.1" customHeight="1" x14ac:dyDescent="0.2">
      <c r="A95" s="1"/>
      <c r="B95" s="1"/>
      <c r="C95" s="2" t="s">
        <v>132</v>
      </c>
      <c r="D95" s="1"/>
      <c r="E95" s="1" t="s">
        <v>133</v>
      </c>
      <c r="F95" s="13" t="s">
        <v>135</v>
      </c>
      <c r="G95" s="10">
        <v>0</v>
      </c>
      <c r="H95" s="105"/>
    </row>
    <row r="96" spans="1:9" ht="14.1" customHeight="1" x14ac:dyDescent="0.2">
      <c r="A96" s="1"/>
      <c r="B96" s="1"/>
      <c r="C96" s="11"/>
      <c r="D96" s="1"/>
      <c r="E96" s="1"/>
      <c r="F96" s="12"/>
      <c r="G96" s="12"/>
      <c r="H96" s="105"/>
    </row>
    <row r="97" spans="1:8" ht="14.1" customHeight="1" x14ac:dyDescent="0.2">
      <c r="A97" s="1"/>
      <c r="B97" s="1"/>
      <c r="C97" s="2" t="s">
        <v>142</v>
      </c>
      <c r="D97" s="1"/>
      <c r="E97" s="1"/>
      <c r="F97" s="1"/>
      <c r="G97" s="1"/>
      <c r="H97" s="105"/>
    </row>
    <row r="98" spans="1:8" ht="14.1" customHeight="1" x14ac:dyDescent="0.2">
      <c r="A98" s="1"/>
      <c r="B98" s="1"/>
      <c r="C98" s="2" t="s">
        <v>132</v>
      </c>
      <c r="D98" s="1"/>
      <c r="E98" s="1" t="s">
        <v>133</v>
      </c>
      <c r="F98" s="13" t="s">
        <v>135</v>
      </c>
      <c r="G98" s="10">
        <v>0</v>
      </c>
      <c r="H98" s="105"/>
    </row>
    <row r="99" spans="1:8" ht="14.1" customHeight="1" x14ac:dyDescent="0.2">
      <c r="A99" s="1"/>
      <c r="B99" s="1"/>
      <c r="C99" s="11"/>
      <c r="D99" s="1"/>
      <c r="E99" s="1"/>
      <c r="F99" s="12"/>
      <c r="G99" s="12"/>
      <c r="H99" s="105"/>
    </row>
    <row r="100" spans="1:8" ht="14.1" customHeight="1" x14ac:dyDescent="0.2">
      <c r="A100" s="1"/>
      <c r="B100" s="1"/>
      <c r="C100" s="2" t="s">
        <v>143</v>
      </c>
      <c r="D100" s="1"/>
      <c r="E100" s="1"/>
      <c r="F100" s="1"/>
      <c r="G100" s="1"/>
      <c r="H100" s="105"/>
    </row>
    <row r="101" spans="1:8" ht="14.1" customHeight="1" x14ac:dyDescent="0.2">
      <c r="A101" s="1"/>
      <c r="B101" s="1"/>
      <c r="C101" s="2" t="s">
        <v>132</v>
      </c>
      <c r="D101" s="1"/>
      <c r="E101" s="1" t="s">
        <v>133</v>
      </c>
      <c r="F101" s="13" t="s">
        <v>135</v>
      </c>
      <c r="G101" s="10">
        <v>0</v>
      </c>
      <c r="H101" s="105"/>
    </row>
    <row r="102" spans="1:8" ht="14.1" customHeight="1" x14ac:dyDescent="0.2">
      <c r="A102" s="1"/>
      <c r="B102" s="1"/>
      <c r="C102" s="11"/>
      <c r="D102" s="1"/>
      <c r="E102" s="1"/>
      <c r="F102" s="12"/>
      <c r="G102" s="12"/>
      <c r="H102" s="105"/>
    </row>
    <row r="103" spans="1:8" ht="14.1" customHeight="1" x14ac:dyDescent="0.2">
      <c r="A103" s="1"/>
      <c r="B103" s="1"/>
      <c r="C103" s="2" t="s">
        <v>144</v>
      </c>
      <c r="D103" s="1"/>
      <c r="E103" s="1"/>
      <c r="F103" s="12"/>
      <c r="G103" s="12"/>
      <c r="H103" s="105"/>
    </row>
    <row r="104" spans="1:8" ht="14.1" customHeight="1" x14ac:dyDescent="0.2">
      <c r="A104" s="1"/>
      <c r="B104" s="1"/>
      <c r="C104" s="2" t="s">
        <v>132</v>
      </c>
      <c r="D104" s="1"/>
      <c r="E104" s="1" t="s">
        <v>133</v>
      </c>
      <c r="F104" s="13" t="s">
        <v>135</v>
      </c>
      <c r="G104" s="10">
        <v>0</v>
      </c>
      <c r="H104" s="105"/>
    </row>
    <row r="105" spans="1:8" ht="14.1" customHeight="1" x14ac:dyDescent="0.2">
      <c r="A105" s="1"/>
      <c r="B105" s="1"/>
      <c r="C105" s="11"/>
      <c r="D105" s="1"/>
      <c r="E105" s="1"/>
      <c r="F105" s="12"/>
      <c r="G105" s="12"/>
      <c r="H105" s="105"/>
    </row>
    <row r="106" spans="1:8" ht="14.1" customHeight="1" x14ac:dyDescent="0.2">
      <c r="A106" s="1"/>
      <c r="B106" s="1"/>
      <c r="C106" s="2" t="s">
        <v>145</v>
      </c>
      <c r="D106" s="1"/>
      <c r="E106" s="1"/>
      <c r="F106" s="9">
        <v>0</v>
      </c>
      <c r="G106" s="10">
        <v>0</v>
      </c>
      <c r="H106" s="105"/>
    </row>
    <row r="107" spans="1:8" ht="14.1" customHeight="1" x14ac:dyDescent="0.2">
      <c r="A107" s="1"/>
      <c r="B107" s="1"/>
      <c r="C107" s="11"/>
      <c r="D107" s="1"/>
      <c r="E107" s="1"/>
      <c r="F107" s="12"/>
      <c r="G107" s="12"/>
      <c r="H107" s="105"/>
    </row>
    <row r="108" spans="1:8" ht="14.1" customHeight="1" x14ac:dyDescent="0.2">
      <c r="A108" s="1"/>
      <c r="B108" s="1"/>
      <c r="C108" s="2" t="s">
        <v>146</v>
      </c>
      <c r="D108" s="1"/>
      <c r="E108" s="1"/>
      <c r="F108" s="12"/>
      <c r="G108" s="12"/>
      <c r="H108" s="105"/>
    </row>
    <row r="109" spans="1:8" ht="14.1" customHeight="1" x14ac:dyDescent="0.2">
      <c r="A109" s="1"/>
      <c r="B109" s="1"/>
      <c r="C109" s="2" t="s">
        <v>147</v>
      </c>
      <c r="D109" s="1"/>
      <c r="E109" s="1"/>
      <c r="F109" s="12"/>
      <c r="G109" s="12"/>
      <c r="H109" s="105"/>
    </row>
    <row r="110" spans="1:8" ht="14.1" customHeight="1" x14ac:dyDescent="0.2">
      <c r="A110" s="1"/>
      <c r="B110" s="1"/>
      <c r="C110" s="2" t="s">
        <v>132</v>
      </c>
      <c r="D110" s="1"/>
      <c r="E110" s="1" t="s">
        <v>133</v>
      </c>
      <c r="F110" s="13" t="s">
        <v>135</v>
      </c>
      <c r="G110" s="10">
        <v>0</v>
      </c>
      <c r="H110" s="105"/>
    </row>
    <row r="111" spans="1:8" ht="14.1" customHeight="1" x14ac:dyDescent="0.2">
      <c r="A111" s="1"/>
      <c r="B111" s="1"/>
      <c r="C111" s="11"/>
      <c r="D111" s="1"/>
      <c r="E111" s="1"/>
      <c r="F111" s="12"/>
      <c r="G111" s="12"/>
      <c r="H111" s="105"/>
    </row>
    <row r="112" spans="1:8" ht="14.1" customHeight="1" x14ac:dyDescent="0.2">
      <c r="A112" s="1"/>
      <c r="B112" s="1"/>
      <c r="C112" s="2" t="s">
        <v>148</v>
      </c>
      <c r="D112" s="1"/>
      <c r="E112" s="1"/>
      <c r="F112" s="12"/>
      <c r="G112" s="12"/>
      <c r="H112" s="105"/>
    </row>
    <row r="113" spans="1:8" ht="14.1" customHeight="1" x14ac:dyDescent="0.2">
      <c r="A113" s="1"/>
      <c r="B113" s="1"/>
      <c r="C113" s="2" t="s">
        <v>132</v>
      </c>
      <c r="D113" s="1"/>
      <c r="E113" s="1" t="s">
        <v>133</v>
      </c>
      <c r="F113" s="13" t="s">
        <v>135</v>
      </c>
      <c r="G113" s="10">
        <v>0</v>
      </c>
      <c r="H113" s="105"/>
    </row>
    <row r="114" spans="1:8" ht="14.1" customHeight="1" x14ac:dyDescent="0.2">
      <c r="A114" s="1"/>
      <c r="B114" s="1"/>
      <c r="C114" s="11"/>
      <c r="D114" s="1"/>
      <c r="E114" s="1"/>
      <c r="F114" s="12"/>
      <c r="G114" s="12"/>
      <c r="H114" s="105"/>
    </row>
    <row r="115" spans="1:8" ht="14.1" customHeight="1" x14ac:dyDescent="0.2">
      <c r="A115" s="1"/>
      <c r="B115" s="1"/>
      <c r="C115" s="2" t="s">
        <v>149</v>
      </c>
      <c r="D115" s="1"/>
      <c r="E115" s="1"/>
      <c r="F115" s="12"/>
      <c r="G115" s="12"/>
      <c r="H115" s="105"/>
    </row>
    <row r="116" spans="1:8" ht="14.1" customHeight="1" x14ac:dyDescent="0.2">
      <c r="A116" s="1"/>
      <c r="B116" s="1"/>
      <c r="C116" s="2" t="s">
        <v>132</v>
      </c>
      <c r="D116" s="1"/>
      <c r="E116" s="1" t="s">
        <v>133</v>
      </c>
      <c r="F116" s="13" t="s">
        <v>135</v>
      </c>
      <c r="G116" s="10">
        <v>0</v>
      </c>
      <c r="H116" s="105"/>
    </row>
    <row r="117" spans="1:8" ht="14.1" customHeight="1" x14ac:dyDescent="0.2">
      <c r="A117" s="1"/>
      <c r="B117" s="1"/>
      <c r="C117" s="11"/>
      <c r="D117" s="1"/>
      <c r="E117" s="1"/>
      <c r="F117" s="12"/>
      <c r="G117" s="12"/>
      <c r="H117" s="105"/>
    </row>
    <row r="118" spans="1:8" ht="14.1" customHeight="1" x14ac:dyDescent="0.2">
      <c r="A118" s="1"/>
      <c r="B118" s="1"/>
      <c r="C118" s="2" t="s">
        <v>150</v>
      </c>
      <c r="D118" s="1"/>
      <c r="E118" s="1"/>
      <c r="F118" s="12"/>
      <c r="G118" s="12"/>
      <c r="H118" s="105"/>
    </row>
    <row r="119" spans="1:8" ht="17.100000000000001" customHeight="1" x14ac:dyDescent="0.2">
      <c r="A119" s="3">
        <v>1</v>
      </c>
      <c r="B119" s="4"/>
      <c r="C119" s="4" t="s">
        <v>151</v>
      </c>
      <c r="D119" s="4"/>
      <c r="E119" s="8"/>
      <c r="F119" s="6">
        <v>10360.4875373</v>
      </c>
      <c r="G119" s="7">
        <v>5.4141000000000002E-2</v>
      </c>
      <c r="H119" s="105">
        <v>6.8153352377542396</v>
      </c>
    </row>
    <row r="120" spans="1:8" ht="17.100000000000001" customHeight="1" x14ac:dyDescent="0.2">
      <c r="A120" s="3">
        <v>2</v>
      </c>
      <c r="B120" s="4"/>
      <c r="C120" s="4" t="s">
        <v>152</v>
      </c>
      <c r="D120" s="4"/>
      <c r="E120" s="8"/>
      <c r="F120" s="6">
        <v>1229.4401896019999</v>
      </c>
      <c r="G120" s="7">
        <v>6.4247100000000001E-3</v>
      </c>
      <c r="H120" s="105">
        <v>6.7952403714590259</v>
      </c>
    </row>
    <row r="121" spans="1:8" ht="14.1" customHeight="1" x14ac:dyDescent="0.2">
      <c r="A121" s="1"/>
      <c r="B121" s="1"/>
      <c r="C121" s="2" t="s">
        <v>132</v>
      </c>
      <c r="D121" s="1"/>
      <c r="E121" s="1" t="s">
        <v>133</v>
      </c>
      <c r="F121" s="9">
        <v>11589.927726902</v>
      </c>
      <c r="G121" s="10">
        <v>6.0565710000000002E-2</v>
      </c>
      <c r="H121" s="105"/>
    </row>
    <row r="122" spans="1:8" ht="14.1" customHeight="1" x14ac:dyDescent="0.2">
      <c r="A122" s="1"/>
      <c r="B122" s="1"/>
      <c r="C122" s="11"/>
      <c r="D122" s="1"/>
      <c r="E122" s="1"/>
      <c r="F122" s="12"/>
      <c r="G122" s="12"/>
      <c r="H122" s="105"/>
    </row>
    <row r="123" spans="1:8" ht="14.1" customHeight="1" x14ac:dyDescent="0.2">
      <c r="A123" s="1"/>
      <c r="B123" s="1"/>
      <c r="C123" s="2" t="s">
        <v>153</v>
      </c>
      <c r="D123" s="1"/>
      <c r="E123" s="1"/>
      <c r="F123" s="9">
        <v>11589.927726902</v>
      </c>
      <c r="G123" s="10">
        <v>6.0565710000000002E-2</v>
      </c>
      <c r="H123" s="105"/>
    </row>
    <row r="124" spans="1:8" ht="14.1" customHeight="1" x14ac:dyDescent="0.2">
      <c r="A124" s="1"/>
      <c r="B124" s="1"/>
      <c r="C124" s="12"/>
      <c r="D124" s="1"/>
      <c r="E124" s="1"/>
      <c r="F124" s="1"/>
      <c r="G124" s="1"/>
      <c r="H124" s="105"/>
    </row>
    <row r="125" spans="1:8" ht="14.1" customHeight="1" x14ac:dyDescent="0.2">
      <c r="A125" s="1"/>
      <c r="B125" s="1"/>
      <c r="C125" s="2" t="s">
        <v>154</v>
      </c>
      <c r="D125" s="1"/>
      <c r="E125" s="1"/>
      <c r="F125" s="1"/>
      <c r="G125" s="1"/>
      <c r="H125" s="105"/>
    </row>
    <row r="126" spans="1:8" ht="14.1" customHeight="1" x14ac:dyDescent="0.2">
      <c r="A126" s="1"/>
      <c r="B126" s="1"/>
      <c r="C126" s="2" t="s">
        <v>155</v>
      </c>
      <c r="D126" s="1"/>
      <c r="E126" s="1"/>
      <c r="F126" s="1"/>
      <c r="G126" s="1"/>
      <c r="H126" s="105"/>
    </row>
    <row r="127" spans="1:8" ht="14.1" customHeight="1" x14ac:dyDescent="0.2">
      <c r="A127" s="1"/>
      <c r="B127" s="1"/>
      <c r="C127" s="2" t="s">
        <v>132</v>
      </c>
      <c r="D127" s="1"/>
      <c r="E127" s="1" t="s">
        <v>133</v>
      </c>
      <c r="F127" s="13" t="s">
        <v>135</v>
      </c>
      <c r="G127" s="10">
        <v>0</v>
      </c>
      <c r="H127" s="105"/>
    </row>
    <row r="128" spans="1:8" ht="14.1" customHeight="1" x14ac:dyDescent="0.2">
      <c r="A128" s="1"/>
      <c r="B128" s="1"/>
      <c r="C128" s="11"/>
      <c r="D128" s="1"/>
      <c r="E128" s="1"/>
      <c r="F128" s="12"/>
      <c r="G128" s="12"/>
      <c r="H128" s="105"/>
    </row>
    <row r="129" spans="1:8" ht="14.1" customHeight="1" x14ac:dyDescent="0.2">
      <c r="A129" s="1"/>
      <c r="B129" s="1"/>
      <c r="C129" s="2" t="s">
        <v>156</v>
      </c>
      <c r="D129" s="1"/>
      <c r="E129" s="1"/>
      <c r="F129" s="1"/>
      <c r="G129" s="1"/>
      <c r="H129" s="105"/>
    </row>
    <row r="130" spans="1:8" ht="14.1" customHeight="1" x14ac:dyDescent="0.2">
      <c r="A130" s="1"/>
      <c r="B130" s="1"/>
      <c r="C130" s="2" t="s">
        <v>157</v>
      </c>
      <c r="D130" s="1"/>
      <c r="E130" s="1"/>
      <c r="F130" s="1"/>
      <c r="G130" s="1"/>
      <c r="H130" s="105"/>
    </row>
    <row r="131" spans="1:8" ht="14.1" customHeight="1" x14ac:dyDescent="0.2">
      <c r="A131" s="1"/>
      <c r="B131" s="1"/>
      <c r="C131" s="2" t="s">
        <v>132</v>
      </c>
      <c r="D131" s="1"/>
      <c r="E131" s="1" t="s">
        <v>133</v>
      </c>
      <c r="F131" s="13" t="s">
        <v>135</v>
      </c>
      <c r="G131" s="10">
        <v>0</v>
      </c>
      <c r="H131" s="105"/>
    </row>
    <row r="132" spans="1:8" ht="14.1" customHeight="1" x14ac:dyDescent="0.2">
      <c r="A132" s="1"/>
      <c r="B132" s="1"/>
      <c r="C132" s="11"/>
      <c r="D132" s="1"/>
      <c r="E132" s="1"/>
      <c r="F132" s="12"/>
      <c r="G132" s="12"/>
      <c r="H132" s="105"/>
    </row>
    <row r="133" spans="1:8" ht="24" customHeight="1" x14ac:dyDescent="0.2">
      <c r="A133" s="1"/>
      <c r="B133" s="1"/>
      <c r="C133" s="2" t="s">
        <v>158</v>
      </c>
      <c r="D133" s="1"/>
      <c r="E133" s="1"/>
      <c r="F133" s="12"/>
      <c r="G133" s="12"/>
      <c r="H133" s="105"/>
    </row>
    <row r="134" spans="1:8" ht="14.1" customHeight="1" x14ac:dyDescent="0.2">
      <c r="A134" s="1"/>
      <c r="B134" s="1"/>
      <c r="C134" s="2" t="s">
        <v>132</v>
      </c>
      <c r="D134" s="1"/>
      <c r="E134" s="1" t="s">
        <v>133</v>
      </c>
      <c r="F134" s="13" t="s">
        <v>135</v>
      </c>
      <c r="G134" s="10">
        <v>0</v>
      </c>
      <c r="H134" s="105"/>
    </row>
    <row r="135" spans="1:8" ht="14.1" customHeight="1" x14ac:dyDescent="0.2">
      <c r="A135" s="1"/>
      <c r="B135" s="1"/>
      <c r="C135" s="11"/>
      <c r="D135" s="1"/>
      <c r="E135" s="1"/>
      <c r="F135" s="12"/>
      <c r="G135" s="12"/>
      <c r="H135" s="105"/>
    </row>
    <row r="136" spans="1:8" ht="14.1" customHeight="1" x14ac:dyDescent="0.2">
      <c r="A136" s="1"/>
      <c r="B136" s="4"/>
      <c r="C136" s="4"/>
      <c r="D136" s="2"/>
      <c r="E136" s="1"/>
      <c r="F136" s="4"/>
      <c r="G136" s="8"/>
      <c r="H136" s="105"/>
    </row>
    <row r="137" spans="1:8" ht="18" customHeight="1" x14ac:dyDescent="0.2">
      <c r="A137" s="8"/>
      <c r="B137" s="4"/>
      <c r="C137" s="4" t="s">
        <v>159</v>
      </c>
      <c r="D137" s="4"/>
      <c r="E137" s="8"/>
      <c r="F137" s="6">
        <v>1529.8211707299999</v>
      </c>
      <c r="G137" s="7">
        <v>7.9944200000000003E-3</v>
      </c>
      <c r="H137" s="105"/>
    </row>
    <row r="138" spans="1:8" ht="14.1" customHeight="1" x14ac:dyDescent="0.2">
      <c r="A138" s="11"/>
      <c r="B138" s="11"/>
      <c r="C138" s="2" t="s">
        <v>160</v>
      </c>
      <c r="D138" s="12"/>
      <c r="E138" s="12"/>
      <c r="F138" s="9">
        <v>191361.209291632</v>
      </c>
      <c r="G138" s="14">
        <v>1.0000000200000001</v>
      </c>
      <c r="H138" s="105"/>
    </row>
    <row r="139" spans="1:8" ht="14.1" customHeight="1" x14ac:dyDescent="0.2">
      <c r="A139" s="15"/>
      <c r="B139" s="15"/>
      <c r="C139" s="15"/>
      <c r="D139" s="16"/>
      <c r="E139" s="16"/>
      <c r="F139" s="16"/>
      <c r="G139" s="16"/>
    </row>
    <row r="140" spans="1:8" ht="14.1" customHeight="1" x14ac:dyDescent="0.2">
      <c r="A140" s="17"/>
      <c r="B140" s="17"/>
      <c r="C140" s="17"/>
      <c r="D140" s="19"/>
      <c r="E140" s="19"/>
      <c r="F140" s="19"/>
      <c r="G140" s="19"/>
    </row>
    <row r="141" spans="1:8" ht="14.1" customHeight="1" x14ac:dyDescent="0.2">
      <c r="A141" s="17"/>
      <c r="B141" s="179" t="s">
        <v>162</v>
      </c>
      <c r="C141" s="180"/>
      <c r="D141" s="181"/>
      <c r="E141" s="20"/>
      <c r="F141" s="19"/>
      <c r="G141" s="19"/>
    </row>
    <row r="142" spans="1:8" ht="29.1" customHeight="1" x14ac:dyDescent="0.2">
      <c r="A142" s="17"/>
      <c r="B142" s="176" t="s">
        <v>163</v>
      </c>
      <c r="C142" s="177"/>
      <c r="D142" s="2" t="s">
        <v>164</v>
      </c>
      <c r="E142" s="20"/>
      <c r="F142" s="19"/>
      <c r="G142" s="19"/>
    </row>
    <row r="143" spans="1:8" ht="17.100000000000001" customHeight="1" x14ac:dyDescent="0.2">
      <c r="A143" s="17"/>
      <c r="B143" s="176" t="s">
        <v>165</v>
      </c>
      <c r="C143" s="177"/>
      <c r="D143" s="2" t="s">
        <v>164</v>
      </c>
      <c r="E143" s="20"/>
      <c r="F143" s="19"/>
      <c r="G143" s="19"/>
    </row>
    <row r="144" spans="1:8" ht="17.100000000000001" customHeight="1" x14ac:dyDescent="0.2">
      <c r="A144" s="17"/>
      <c r="B144" s="176" t="s">
        <v>166</v>
      </c>
      <c r="C144" s="177"/>
      <c r="D144" s="12" t="s">
        <v>133</v>
      </c>
      <c r="E144" s="20"/>
      <c r="F144" s="19"/>
      <c r="G144" s="19"/>
    </row>
    <row r="145" spans="1:7" ht="24" customHeight="1" x14ac:dyDescent="0.2">
      <c r="A145" s="21"/>
      <c r="B145" s="22" t="s">
        <v>133</v>
      </c>
      <c r="C145" s="22" t="s">
        <v>167</v>
      </c>
      <c r="D145" s="22" t="s">
        <v>168</v>
      </c>
      <c r="E145" s="21"/>
      <c r="F145" s="21"/>
      <c r="G145" s="21"/>
    </row>
    <row r="146" spans="1:7" ht="18" customHeight="1" x14ac:dyDescent="0.2">
      <c r="A146" s="21"/>
      <c r="B146" s="23" t="s">
        <v>169</v>
      </c>
      <c r="C146" s="22" t="s">
        <v>170</v>
      </c>
      <c r="D146" s="22" t="s">
        <v>171</v>
      </c>
      <c r="E146" s="21"/>
      <c r="F146" s="21"/>
      <c r="G146" s="21"/>
    </row>
    <row r="147" spans="1:7" ht="17.100000000000001" customHeight="1" x14ac:dyDescent="0.2">
      <c r="A147" s="21"/>
      <c r="B147" s="4" t="s">
        <v>172</v>
      </c>
      <c r="C147" s="24">
        <v>9.6769999999999996</v>
      </c>
      <c r="D147" s="24">
        <v>10.0581</v>
      </c>
      <c r="E147" s="21"/>
      <c r="F147" s="18"/>
      <c r="G147" s="25"/>
    </row>
    <row r="148" spans="1:7" ht="17.100000000000001" customHeight="1" x14ac:dyDescent="0.2">
      <c r="A148" s="21"/>
      <c r="B148" s="4" t="s">
        <v>1006</v>
      </c>
      <c r="C148" s="24">
        <v>9.6768999999999998</v>
      </c>
      <c r="D148" s="24">
        <v>10.058</v>
      </c>
      <c r="E148" s="21"/>
      <c r="F148" s="18"/>
      <c r="G148" s="25"/>
    </row>
    <row r="149" spans="1:7" ht="17.100000000000001" customHeight="1" x14ac:dyDescent="0.2">
      <c r="A149" s="21"/>
      <c r="B149" s="4" t="s">
        <v>173</v>
      </c>
      <c r="C149" s="24">
        <v>9.5757999999999992</v>
      </c>
      <c r="D149" s="24">
        <v>9.9390000000000001</v>
      </c>
      <c r="E149" s="21"/>
      <c r="F149" s="18"/>
      <c r="G149" s="25"/>
    </row>
    <row r="150" spans="1:7" ht="17.100000000000001" customHeight="1" x14ac:dyDescent="0.2">
      <c r="A150" s="21"/>
      <c r="B150" s="4" t="s">
        <v>1007</v>
      </c>
      <c r="C150" s="24">
        <v>9.5757999999999992</v>
      </c>
      <c r="D150" s="24">
        <v>9.9390000000000001</v>
      </c>
      <c r="E150" s="21"/>
      <c r="F150" s="18"/>
      <c r="G150" s="25"/>
    </row>
    <row r="151" spans="1:7" ht="14.1" customHeight="1" x14ac:dyDescent="0.2">
      <c r="A151" s="21"/>
      <c r="B151" s="21"/>
      <c r="C151" s="21"/>
      <c r="D151" s="21"/>
      <c r="E151" s="21"/>
      <c r="F151" s="21"/>
      <c r="G151" s="21"/>
    </row>
    <row r="152" spans="1:7" ht="17.100000000000001" customHeight="1" x14ac:dyDescent="0.2">
      <c r="A152" s="21"/>
      <c r="B152" s="176" t="s">
        <v>1008</v>
      </c>
      <c r="C152" s="177"/>
      <c r="D152" s="2" t="s">
        <v>164</v>
      </c>
      <c r="E152" s="21"/>
      <c r="F152" s="21"/>
      <c r="G152" s="21"/>
    </row>
    <row r="153" spans="1:7" ht="18" customHeight="1" x14ac:dyDescent="0.2">
      <c r="A153" s="21"/>
      <c r="B153" s="26"/>
      <c r="C153" s="26"/>
      <c r="D153" s="26"/>
      <c r="E153" s="21"/>
      <c r="F153" s="21"/>
      <c r="G153" s="21"/>
    </row>
    <row r="154" spans="1:7" ht="29.1" customHeight="1" x14ac:dyDescent="0.2">
      <c r="A154" s="21"/>
      <c r="B154" s="176" t="s">
        <v>174</v>
      </c>
      <c r="C154" s="177"/>
      <c r="D154" s="2" t="s">
        <v>164</v>
      </c>
      <c r="E154" s="27"/>
      <c r="F154" s="21"/>
      <c r="G154" s="21"/>
    </row>
    <row r="155" spans="1:7" ht="29.1" customHeight="1" x14ac:dyDescent="0.2">
      <c r="A155" s="21"/>
      <c r="B155" s="176" t="s">
        <v>175</v>
      </c>
      <c r="C155" s="177"/>
      <c r="D155" s="2" t="s">
        <v>164</v>
      </c>
      <c r="E155" s="27"/>
      <c r="F155" s="21"/>
      <c r="G155" s="21"/>
    </row>
    <row r="156" spans="1:7" ht="17.100000000000001" customHeight="1" x14ac:dyDescent="0.2">
      <c r="A156" s="21"/>
      <c r="B156" s="176" t="s">
        <v>176</v>
      </c>
      <c r="C156" s="177"/>
      <c r="D156" s="2" t="s">
        <v>164</v>
      </c>
      <c r="E156" s="27"/>
      <c r="F156" s="21"/>
      <c r="G156" s="21"/>
    </row>
    <row r="157" spans="1:7" ht="17.100000000000001" customHeight="1" x14ac:dyDescent="0.2">
      <c r="A157" s="21"/>
      <c r="B157" s="176" t="s">
        <v>177</v>
      </c>
      <c r="C157" s="177"/>
      <c r="D157" s="60">
        <v>0.4538922439994203</v>
      </c>
      <c r="E157" s="21"/>
      <c r="F157" s="18"/>
      <c r="G157" s="25"/>
    </row>
    <row r="204" spans="9:9" x14ac:dyDescent="0.2">
      <c r="I204" s="53"/>
    </row>
    <row r="205" spans="9:9" x14ac:dyDescent="0.2">
      <c r="I205" s="53"/>
    </row>
    <row r="206" spans="9:9" x14ac:dyDescent="0.2">
      <c r="I206" s="53"/>
    </row>
    <row r="207" spans="9:9" x14ac:dyDescent="0.2">
      <c r="I207" s="53"/>
    </row>
    <row r="209" spans="9:9" x14ac:dyDescent="0.2">
      <c r="I209" s="164"/>
    </row>
    <row r="210" spans="9:9" x14ac:dyDescent="0.2">
      <c r="I210" s="53"/>
    </row>
    <row r="211" spans="9:9" x14ac:dyDescent="0.2">
      <c r="I211" s="53"/>
    </row>
    <row r="212" spans="9:9" x14ac:dyDescent="0.2">
      <c r="I212" s="53"/>
    </row>
    <row r="213" spans="9:9" x14ac:dyDescent="0.2">
      <c r="I213" s="53"/>
    </row>
    <row r="214" spans="9:9" ht="15" x14ac:dyDescent="0.2">
      <c r="I214" s="80"/>
    </row>
    <row r="215" spans="9:9" ht="15" x14ac:dyDescent="0.25">
      <c r="I215" s="82"/>
    </row>
    <row r="216" spans="9:9" x14ac:dyDescent="0.2">
      <c r="I216" s="53"/>
    </row>
  </sheetData>
  <mergeCells count="13">
    <mergeCell ref="B157:C157"/>
    <mergeCell ref="B143:C143"/>
    <mergeCell ref="B144:C144"/>
    <mergeCell ref="B152:C152"/>
    <mergeCell ref="B154:C154"/>
    <mergeCell ref="B155:C155"/>
    <mergeCell ref="B156:C156"/>
    <mergeCell ref="J2:N2"/>
    <mergeCell ref="B142:C142"/>
    <mergeCell ref="B141:D141"/>
    <mergeCell ref="A1:H1"/>
    <mergeCell ref="A2:H2"/>
    <mergeCell ref="A3:H3"/>
  </mergeCells>
  <hyperlinks>
    <hyperlink ref="I1" location="Index!B34" display="Index" xr:uid="{5EE31F9F-1659-4891-BBB9-6E54969EA263}"/>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outlinePr summaryBelow="0" summaryRight="0"/>
  </sheetPr>
  <dimension ref="A1:O117"/>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5" ht="18" customHeight="1" x14ac:dyDescent="0.2">
      <c r="A1" s="182" t="s">
        <v>0</v>
      </c>
      <c r="B1" s="182"/>
      <c r="C1" s="182"/>
      <c r="D1" s="182"/>
      <c r="E1" s="182"/>
      <c r="F1" s="182"/>
      <c r="G1" s="182"/>
      <c r="H1" s="182"/>
      <c r="I1" s="159" t="s">
        <v>1044</v>
      </c>
    </row>
    <row r="2" spans="1:15" ht="17.100000000000001" customHeight="1" x14ac:dyDescent="0.2">
      <c r="A2" s="183" t="s">
        <v>826</v>
      </c>
      <c r="B2" s="184"/>
      <c r="C2" s="184"/>
      <c r="D2" s="184"/>
      <c r="E2" s="184"/>
      <c r="F2" s="184"/>
      <c r="G2" s="184"/>
      <c r="H2" s="185"/>
      <c r="J2" s="175" t="s">
        <v>1045</v>
      </c>
      <c r="K2" s="175"/>
      <c r="L2" s="175"/>
      <c r="M2" s="175"/>
      <c r="N2" s="175"/>
    </row>
    <row r="3" spans="1:15" ht="21" customHeight="1" x14ac:dyDescent="0.2">
      <c r="A3" s="182" t="s">
        <v>1016</v>
      </c>
      <c r="B3" s="182"/>
      <c r="C3" s="182"/>
      <c r="D3" s="182"/>
      <c r="E3" s="182"/>
      <c r="F3" s="182"/>
      <c r="G3" s="182"/>
      <c r="H3" s="182"/>
    </row>
    <row r="4" spans="1:15" ht="30" x14ac:dyDescent="0.2">
      <c r="A4" s="107" t="s">
        <v>2</v>
      </c>
      <c r="B4" s="107" t="s">
        <v>3</v>
      </c>
      <c r="C4" s="107" t="s">
        <v>4</v>
      </c>
      <c r="D4" s="107" t="s">
        <v>5</v>
      </c>
      <c r="E4" s="107" t="s">
        <v>6</v>
      </c>
      <c r="F4" s="107" t="s">
        <v>7</v>
      </c>
      <c r="G4" s="107" t="s">
        <v>8</v>
      </c>
      <c r="H4" s="104" t="s">
        <v>1003</v>
      </c>
      <c r="I4" s="108"/>
      <c r="J4" s="108"/>
      <c r="K4" s="108"/>
      <c r="L4" s="108"/>
      <c r="M4" s="108"/>
      <c r="N4" s="108"/>
      <c r="O4" s="108"/>
    </row>
    <row r="5" spans="1:15" ht="14.1" customHeight="1" x14ac:dyDescent="0.2">
      <c r="A5" s="1"/>
      <c r="B5" s="1"/>
      <c r="C5" s="2" t="s">
        <v>9</v>
      </c>
      <c r="D5" s="1"/>
      <c r="E5" s="1"/>
      <c r="F5" s="1"/>
      <c r="G5" s="1"/>
      <c r="H5" s="105"/>
    </row>
    <row r="6" spans="1:15" ht="24" customHeight="1" x14ac:dyDescent="0.2">
      <c r="A6" s="1"/>
      <c r="B6" s="1"/>
      <c r="C6" s="2" t="s">
        <v>10</v>
      </c>
      <c r="D6" s="1"/>
      <c r="E6" s="1"/>
      <c r="F6" s="1"/>
      <c r="G6" s="1"/>
      <c r="H6" s="105"/>
    </row>
    <row r="7" spans="1:15" ht="17.100000000000001" customHeight="1" x14ac:dyDescent="0.2">
      <c r="A7" s="3">
        <v>1</v>
      </c>
      <c r="B7" s="4" t="s">
        <v>23</v>
      </c>
      <c r="C7" s="4" t="s">
        <v>24</v>
      </c>
      <c r="D7" s="4" t="s">
        <v>25</v>
      </c>
      <c r="E7" s="5">
        <v>1381374</v>
      </c>
      <c r="F7" s="6">
        <v>12676.178511</v>
      </c>
      <c r="G7" s="7">
        <v>0.19246007000000001</v>
      </c>
      <c r="H7" s="105"/>
    </row>
    <row r="8" spans="1:15" ht="17.100000000000001" customHeight="1" x14ac:dyDescent="0.2">
      <c r="A8" s="3">
        <v>2</v>
      </c>
      <c r="B8" s="4" t="s">
        <v>317</v>
      </c>
      <c r="C8" s="4" t="s">
        <v>318</v>
      </c>
      <c r="D8" s="4" t="s">
        <v>25</v>
      </c>
      <c r="E8" s="5">
        <v>593367</v>
      </c>
      <c r="F8" s="6">
        <v>10013.661491999999</v>
      </c>
      <c r="G8" s="7">
        <v>0.15203557000000001</v>
      </c>
      <c r="H8" s="105"/>
    </row>
    <row r="9" spans="1:15" ht="17.100000000000001" customHeight="1" x14ac:dyDescent="0.2">
      <c r="A9" s="3">
        <v>3</v>
      </c>
      <c r="B9" s="4" t="s">
        <v>29</v>
      </c>
      <c r="C9" s="4" t="s">
        <v>30</v>
      </c>
      <c r="D9" s="4" t="s">
        <v>25</v>
      </c>
      <c r="E9" s="5">
        <v>1057586</v>
      </c>
      <c r="F9" s="6">
        <v>6116.0198380000002</v>
      </c>
      <c r="G9" s="7">
        <v>9.2858399999999994E-2</v>
      </c>
      <c r="H9" s="105"/>
    </row>
    <row r="10" spans="1:15" ht="17.100000000000001" customHeight="1" x14ac:dyDescent="0.2">
      <c r="A10" s="3">
        <v>4</v>
      </c>
      <c r="B10" s="4" t="s">
        <v>203</v>
      </c>
      <c r="C10" s="4" t="s">
        <v>204</v>
      </c>
      <c r="D10" s="4" t="s">
        <v>25</v>
      </c>
      <c r="E10" s="5">
        <v>629252</v>
      </c>
      <c r="F10" s="6">
        <v>5411.5672000000004</v>
      </c>
      <c r="G10" s="7">
        <v>8.2162819999999998E-2</v>
      </c>
      <c r="H10" s="105"/>
    </row>
    <row r="11" spans="1:15" ht="29.1" customHeight="1" x14ac:dyDescent="0.2">
      <c r="A11" s="3">
        <v>5</v>
      </c>
      <c r="B11" s="4" t="s">
        <v>308</v>
      </c>
      <c r="C11" s="4" t="s">
        <v>309</v>
      </c>
      <c r="D11" s="4" t="s">
        <v>128</v>
      </c>
      <c r="E11" s="5">
        <v>176077</v>
      </c>
      <c r="F11" s="6">
        <v>4887.1932120000001</v>
      </c>
      <c r="G11" s="7">
        <v>7.4201349999999999E-2</v>
      </c>
      <c r="H11" s="105"/>
    </row>
    <row r="12" spans="1:15" ht="17.100000000000001" customHeight="1" x14ac:dyDescent="0.2">
      <c r="A12" s="3">
        <v>6</v>
      </c>
      <c r="B12" s="4" t="s">
        <v>339</v>
      </c>
      <c r="C12" s="4" t="s">
        <v>340</v>
      </c>
      <c r="D12" s="4" t="s">
        <v>25</v>
      </c>
      <c r="E12" s="5">
        <v>686458</v>
      </c>
      <c r="F12" s="6">
        <v>2179.1609210000001</v>
      </c>
      <c r="G12" s="7">
        <v>3.3085799999999999E-2</v>
      </c>
      <c r="H12" s="105"/>
      <c r="J12" s="161" t="s">
        <v>1076</v>
      </c>
    </row>
    <row r="13" spans="1:15" ht="17.100000000000001" customHeight="1" x14ac:dyDescent="0.2">
      <c r="A13" s="3">
        <v>7</v>
      </c>
      <c r="B13" s="4" t="s">
        <v>213</v>
      </c>
      <c r="C13" s="4" t="s">
        <v>214</v>
      </c>
      <c r="D13" s="4" t="s">
        <v>25</v>
      </c>
      <c r="E13" s="5">
        <v>1122364</v>
      </c>
      <c r="F13" s="6">
        <v>2107.2384099999999</v>
      </c>
      <c r="G13" s="7">
        <v>3.1993809999999998E-2</v>
      </c>
      <c r="H13" s="105"/>
    </row>
    <row r="14" spans="1:15" ht="17.100000000000001" customHeight="1" x14ac:dyDescent="0.2">
      <c r="A14" s="3">
        <v>8</v>
      </c>
      <c r="B14" s="4" t="s">
        <v>312</v>
      </c>
      <c r="C14" s="4" t="s">
        <v>313</v>
      </c>
      <c r="D14" s="4" t="s">
        <v>25</v>
      </c>
      <c r="E14" s="5">
        <v>171194</v>
      </c>
      <c r="F14" s="6">
        <v>1973.5244319999999</v>
      </c>
      <c r="G14" s="7">
        <v>2.996366E-2</v>
      </c>
      <c r="H14" s="105"/>
    </row>
    <row r="15" spans="1:15" ht="17.100000000000001" customHeight="1" x14ac:dyDescent="0.2">
      <c r="A15" s="3">
        <v>9</v>
      </c>
      <c r="B15" s="4" t="s">
        <v>444</v>
      </c>
      <c r="C15" s="4" t="s">
        <v>445</v>
      </c>
      <c r="D15" s="4" t="s">
        <v>25</v>
      </c>
      <c r="E15" s="5">
        <v>562730</v>
      </c>
      <c r="F15" s="6">
        <v>1572.83035</v>
      </c>
      <c r="G15" s="7">
        <v>2.387999E-2</v>
      </c>
      <c r="H15" s="105"/>
    </row>
    <row r="16" spans="1:15" ht="17.100000000000001" customHeight="1" x14ac:dyDescent="0.2">
      <c r="A16" s="3">
        <v>10</v>
      </c>
      <c r="B16" s="4" t="s">
        <v>235</v>
      </c>
      <c r="C16" s="4" t="s">
        <v>236</v>
      </c>
      <c r="D16" s="4" t="s">
        <v>128</v>
      </c>
      <c r="E16" s="5">
        <v>234902</v>
      </c>
      <c r="F16" s="6">
        <v>1425.8551399999999</v>
      </c>
      <c r="G16" s="7">
        <v>2.1648500000000001E-2</v>
      </c>
      <c r="H16" s="105"/>
    </row>
    <row r="17" spans="1:8" ht="17.100000000000001" customHeight="1" x14ac:dyDescent="0.2">
      <c r="A17" s="3">
        <v>11</v>
      </c>
      <c r="B17" s="4" t="s">
        <v>321</v>
      </c>
      <c r="C17" s="4" t="s">
        <v>322</v>
      </c>
      <c r="D17" s="4" t="s">
        <v>217</v>
      </c>
      <c r="E17" s="5">
        <v>115413</v>
      </c>
      <c r="F17" s="6">
        <v>1315.823613</v>
      </c>
      <c r="G17" s="7">
        <v>1.9977910000000002E-2</v>
      </c>
      <c r="H17" s="105"/>
    </row>
    <row r="18" spans="1:8" ht="17.100000000000001" customHeight="1" x14ac:dyDescent="0.2">
      <c r="A18" s="3">
        <v>12</v>
      </c>
      <c r="B18" s="4" t="s">
        <v>383</v>
      </c>
      <c r="C18" s="4" t="s">
        <v>384</v>
      </c>
      <c r="D18" s="4" t="s">
        <v>25</v>
      </c>
      <c r="E18" s="5">
        <v>1843406</v>
      </c>
      <c r="F18" s="6">
        <v>1271.0284369999999</v>
      </c>
      <c r="G18" s="7">
        <v>1.9297789999999999E-2</v>
      </c>
      <c r="H18" s="105"/>
    </row>
    <row r="19" spans="1:8" ht="17.100000000000001" customHeight="1" x14ac:dyDescent="0.2">
      <c r="A19" s="3">
        <v>13</v>
      </c>
      <c r="B19" s="4" t="s">
        <v>393</v>
      </c>
      <c r="C19" s="4" t="s">
        <v>394</v>
      </c>
      <c r="D19" s="4" t="s">
        <v>128</v>
      </c>
      <c r="E19" s="5">
        <v>130000</v>
      </c>
      <c r="F19" s="6">
        <v>1253.5899999999999</v>
      </c>
      <c r="G19" s="7">
        <v>1.9033029999999999E-2</v>
      </c>
      <c r="H19" s="105"/>
    </row>
    <row r="20" spans="1:8" ht="17.100000000000001" customHeight="1" x14ac:dyDescent="0.2">
      <c r="A20" s="3">
        <v>14</v>
      </c>
      <c r="B20" s="4" t="s">
        <v>525</v>
      </c>
      <c r="C20" s="4" t="s">
        <v>526</v>
      </c>
      <c r="D20" s="4" t="s">
        <v>128</v>
      </c>
      <c r="E20" s="5">
        <v>400794</v>
      </c>
      <c r="F20" s="6">
        <v>1128.4355069999999</v>
      </c>
      <c r="G20" s="7">
        <v>1.7132830000000002E-2</v>
      </c>
      <c r="H20" s="105"/>
    </row>
    <row r="21" spans="1:8" ht="17.100000000000001" customHeight="1" x14ac:dyDescent="0.2">
      <c r="A21" s="3">
        <v>15</v>
      </c>
      <c r="B21" s="4" t="s">
        <v>378</v>
      </c>
      <c r="C21" s="4" t="s">
        <v>379</v>
      </c>
      <c r="D21" s="4" t="s">
        <v>128</v>
      </c>
      <c r="E21" s="5">
        <v>140598</v>
      </c>
      <c r="F21" s="6">
        <v>1001.6904510000001</v>
      </c>
      <c r="G21" s="7">
        <v>1.520848E-2</v>
      </c>
      <c r="H21" s="105"/>
    </row>
    <row r="22" spans="1:8" ht="17.100000000000001" customHeight="1" x14ac:dyDescent="0.2">
      <c r="A22" s="3">
        <v>16</v>
      </c>
      <c r="B22" s="4" t="s">
        <v>349</v>
      </c>
      <c r="C22" s="4" t="s">
        <v>350</v>
      </c>
      <c r="D22" s="4" t="s">
        <v>128</v>
      </c>
      <c r="E22" s="5">
        <v>12878</v>
      </c>
      <c r="F22" s="6">
        <v>808.75127799999996</v>
      </c>
      <c r="G22" s="7">
        <v>1.2279119999999999E-2</v>
      </c>
      <c r="H22" s="105"/>
    </row>
    <row r="23" spans="1:8" ht="17.100000000000001" customHeight="1" x14ac:dyDescent="0.2">
      <c r="A23" s="3">
        <v>17</v>
      </c>
      <c r="B23" s="4" t="s">
        <v>327</v>
      </c>
      <c r="C23" s="4" t="s">
        <v>328</v>
      </c>
      <c r="D23" s="4" t="s">
        <v>329</v>
      </c>
      <c r="E23" s="5">
        <v>63962</v>
      </c>
      <c r="F23" s="6">
        <v>786.76458100000002</v>
      </c>
      <c r="G23" s="7">
        <v>1.1945300000000001E-2</v>
      </c>
      <c r="H23" s="105"/>
    </row>
    <row r="24" spans="1:8" ht="17.100000000000001" customHeight="1" x14ac:dyDescent="0.2">
      <c r="A24" s="3">
        <v>18</v>
      </c>
      <c r="B24" s="4" t="s">
        <v>424</v>
      </c>
      <c r="C24" s="4" t="s">
        <v>425</v>
      </c>
      <c r="D24" s="4" t="s">
        <v>329</v>
      </c>
      <c r="E24" s="5">
        <v>53776</v>
      </c>
      <c r="F24" s="6">
        <v>752.54134399999998</v>
      </c>
      <c r="G24" s="7">
        <v>1.14257E-2</v>
      </c>
      <c r="H24" s="105"/>
    </row>
    <row r="25" spans="1:8" ht="17.100000000000001" customHeight="1" x14ac:dyDescent="0.2">
      <c r="A25" s="3">
        <v>19</v>
      </c>
      <c r="B25" s="4" t="s">
        <v>272</v>
      </c>
      <c r="C25" s="4" t="s">
        <v>273</v>
      </c>
      <c r="D25" s="4" t="s">
        <v>128</v>
      </c>
      <c r="E25" s="5">
        <v>396380</v>
      </c>
      <c r="F25" s="6">
        <v>673.44961999999998</v>
      </c>
      <c r="G25" s="7">
        <v>1.0224860000000001E-2</v>
      </c>
      <c r="H25" s="105"/>
    </row>
    <row r="26" spans="1:8" ht="29.1" customHeight="1" x14ac:dyDescent="0.2">
      <c r="A26" s="3">
        <v>20</v>
      </c>
      <c r="B26" s="4" t="s">
        <v>196</v>
      </c>
      <c r="C26" s="4" t="s">
        <v>197</v>
      </c>
      <c r="D26" s="4" t="s">
        <v>128</v>
      </c>
      <c r="E26" s="5">
        <v>75948</v>
      </c>
      <c r="F26" s="6">
        <v>661.58302800000001</v>
      </c>
      <c r="G26" s="7">
        <v>1.004469E-2</v>
      </c>
      <c r="H26" s="105"/>
    </row>
    <row r="27" spans="1:8" ht="17.100000000000001" customHeight="1" x14ac:dyDescent="0.2">
      <c r="A27" s="3">
        <v>21</v>
      </c>
      <c r="B27" s="4" t="s">
        <v>827</v>
      </c>
      <c r="C27" s="4" t="s">
        <v>828</v>
      </c>
      <c r="D27" s="4" t="s">
        <v>128</v>
      </c>
      <c r="E27" s="5">
        <v>190425</v>
      </c>
      <c r="F27" s="6">
        <v>655.44285000000002</v>
      </c>
      <c r="G27" s="7">
        <v>9.9514700000000005E-3</v>
      </c>
      <c r="H27" s="105"/>
    </row>
    <row r="28" spans="1:8" ht="29.1" customHeight="1" x14ac:dyDescent="0.2">
      <c r="A28" s="3">
        <v>22</v>
      </c>
      <c r="B28" s="4" t="s">
        <v>789</v>
      </c>
      <c r="C28" s="4" t="s">
        <v>790</v>
      </c>
      <c r="D28" s="4" t="s">
        <v>217</v>
      </c>
      <c r="E28" s="5">
        <v>145828</v>
      </c>
      <c r="F28" s="6">
        <v>633.62266</v>
      </c>
      <c r="G28" s="7">
        <v>9.6201800000000007E-3</v>
      </c>
      <c r="H28" s="105"/>
    </row>
    <row r="29" spans="1:8" ht="17.100000000000001" customHeight="1" x14ac:dyDescent="0.2">
      <c r="A29" s="3">
        <v>23</v>
      </c>
      <c r="B29" s="4" t="s">
        <v>361</v>
      </c>
      <c r="C29" s="4" t="s">
        <v>362</v>
      </c>
      <c r="D29" s="4" t="s">
        <v>25</v>
      </c>
      <c r="E29" s="5">
        <v>25198</v>
      </c>
      <c r="F29" s="6">
        <v>488.34983899999997</v>
      </c>
      <c r="G29" s="7">
        <v>7.4145299999999999E-3</v>
      </c>
      <c r="H29" s="105"/>
    </row>
    <row r="30" spans="1:8" ht="29.1" customHeight="1" x14ac:dyDescent="0.2">
      <c r="A30" s="3">
        <v>24</v>
      </c>
      <c r="B30" s="4" t="s">
        <v>802</v>
      </c>
      <c r="C30" s="4" t="s">
        <v>803</v>
      </c>
      <c r="D30" s="4" t="s">
        <v>217</v>
      </c>
      <c r="E30" s="5">
        <v>32775</v>
      </c>
      <c r="F30" s="6">
        <v>353.69141250000001</v>
      </c>
      <c r="G30" s="7">
        <v>5.3700299999999996E-3</v>
      </c>
      <c r="H30" s="105"/>
    </row>
    <row r="31" spans="1:8" ht="17.100000000000001" customHeight="1" x14ac:dyDescent="0.2">
      <c r="A31" s="3">
        <v>25</v>
      </c>
      <c r="B31" s="4" t="s">
        <v>829</v>
      </c>
      <c r="C31" s="4" t="s">
        <v>830</v>
      </c>
      <c r="D31" s="4" t="s">
        <v>128</v>
      </c>
      <c r="E31" s="5">
        <v>180919</v>
      </c>
      <c r="F31" s="6">
        <v>239.08445850000001</v>
      </c>
      <c r="G31" s="7">
        <v>3.6299800000000001E-3</v>
      </c>
      <c r="H31" s="105"/>
    </row>
    <row r="32" spans="1:8" ht="14.1" customHeight="1" x14ac:dyDescent="0.2">
      <c r="A32" s="1"/>
      <c r="B32" s="1"/>
      <c r="C32" s="2" t="s">
        <v>132</v>
      </c>
      <c r="D32" s="1"/>
      <c r="E32" s="1" t="s">
        <v>133</v>
      </c>
      <c r="F32" s="9">
        <v>60387.078585000003</v>
      </c>
      <c r="G32" s="10">
        <v>0.91684586999999995</v>
      </c>
      <c r="H32" s="105"/>
    </row>
    <row r="33" spans="1:8" ht="14.1" customHeight="1" x14ac:dyDescent="0.2">
      <c r="A33" s="1"/>
      <c r="B33" s="1"/>
      <c r="C33" s="11"/>
      <c r="D33" s="1"/>
      <c r="E33" s="1"/>
      <c r="F33" s="12"/>
      <c r="G33" s="12"/>
      <c r="H33" s="105"/>
    </row>
    <row r="34" spans="1:8" ht="14.1" customHeight="1" x14ac:dyDescent="0.2">
      <c r="A34" s="1"/>
      <c r="B34" s="1"/>
      <c r="C34" s="2" t="s">
        <v>134</v>
      </c>
      <c r="D34" s="1"/>
      <c r="E34" s="1"/>
      <c r="F34" s="1"/>
      <c r="G34" s="1"/>
      <c r="H34" s="105"/>
    </row>
    <row r="35" spans="1:8" ht="14.1" customHeight="1" x14ac:dyDescent="0.2">
      <c r="A35" s="1"/>
      <c r="B35" s="1"/>
      <c r="C35" s="2" t="s">
        <v>132</v>
      </c>
      <c r="D35" s="1"/>
      <c r="E35" s="1" t="s">
        <v>133</v>
      </c>
      <c r="F35" s="13" t="s">
        <v>135</v>
      </c>
      <c r="G35" s="10">
        <v>0</v>
      </c>
      <c r="H35" s="105"/>
    </row>
    <row r="36" spans="1:8" ht="14.1" customHeight="1" x14ac:dyDescent="0.2">
      <c r="A36" s="1"/>
      <c r="B36" s="1"/>
      <c r="C36" s="11"/>
      <c r="D36" s="1"/>
      <c r="E36" s="1"/>
      <c r="F36" s="12"/>
      <c r="G36" s="12"/>
      <c r="H36" s="105"/>
    </row>
    <row r="37" spans="1:8" ht="14.1" customHeight="1" x14ac:dyDescent="0.2">
      <c r="A37" s="1"/>
      <c r="B37" s="1"/>
      <c r="C37" s="2" t="s">
        <v>136</v>
      </c>
      <c r="D37" s="1"/>
      <c r="E37" s="1"/>
      <c r="F37" s="1"/>
      <c r="G37" s="1"/>
      <c r="H37" s="105"/>
    </row>
    <row r="38" spans="1:8" ht="14.1" customHeight="1" x14ac:dyDescent="0.2">
      <c r="A38" s="1"/>
      <c r="B38" s="1"/>
      <c r="C38" s="2" t="s">
        <v>132</v>
      </c>
      <c r="D38" s="1"/>
      <c r="E38" s="1" t="s">
        <v>133</v>
      </c>
      <c r="F38" s="13" t="s">
        <v>135</v>
      </c>
      <c r="G38" s="10">
        <v>0</v>
      </c>
      <c r="H38" s="105"/>
    </row>
    <row r="39" spans="1:8" ht="14.1" customHeight="1" x14ac:dyDescent="0.2">
      <c r="A39" s="1"/>
      <c r="B39" s="1"/>
      <c r="C39" s="11"/>
      <c r="D39" s="1"/>
      <c r="E39" s="1"/>
      <c r="F39" s="12"/>
      <c r="G39" s="12"/>
      <c r="H39" s="105"/>
    </row>
    <row r="40" spans="1:8" ht="14.1" customHeight="1" x14ac:dyDescent="0.2">
      <c r="A40" s="1"/>
      <c r="B40" s="1"/>
      <c r="C40" s="2" t="s">
        <v>137</v>
      </c>
      <c r="D40" s="1"/>
      <c r="E40" s="1"/>
      <c r="F40" s="1"/>
      <c r="G40" s="1"/>
      <c r="H40" s="105"/>
    </row>
    <row r="41" spans="1:8" ht="14.1" customHeight="1" x14ac:dyDescent="0.2">
      <c r="A41" s="1"/>
      <c r="B41" s="1"/>
      <c r="C41" s="2" t="s">
        <v>132</v>
      </c>
      <c r="D41" s="1"/>
      <c r="E41" s="1" t="s">
        <v>133</v>
      </c>
      <c r="F41" s="13" t="s">
        <v>135</v>
      </c>
      <c r="G41" s="10">
        <v>0</v>
      </c>
      <c r="H41" s="105"/>
    </row>
    <row r="42" spans="1:8" ht="14.1" customHeight="1" x14ac:dyDescent="0.2">
      <c r="A42" s="1"/>
      <c r="B42" s="1"/>
      <c r="C42" s="11"/>
      <c r="D42" s="1"/>
      <c r="E42" s="1"/>
      <c r="F42" s="12"/>
      <c r="G42" s="12"/>
      <c r="H42" s="105"/>
    </row>
    <row r="43" spans="1:8" ht="14.1" customHeight="1" x14ac:dyDescent="0.2">
      <c r="A43" s="1"/>
      <c r="B43" s="1"/>
      <c r="C43" s="2" t="s">
        <v>138</v>
      </c>
      <c r="D43" s="1"/>
      <c r="E43" s="1"/>
      <c r="F43" s="12"/>
      <c r="G43" s="12"/>
      <c r="H43" s="105"/>
    </row>
    <row r="44" spans="1:8" ht="14.1" customHeight="1" x14ac:dyDescent="0.2">
      <c r="A44" s="1"/>
      <c r="B44" s="1"/>
      <c r="C44" s="2" t="s">
        <v>132</v>
      </c>
      <c r="D44" s="1"/>
      <c r="E44" s="1" t="s">
        <v>133</v>
      </c>
      <c r="F44" s="13" t="s">
        <v>135</v>
      </c>
      <c r="G44" s="10">
        <v>0</v>
      </c>
      <c r="H44" s="105"/>
    </row>
    <row r="45" spans="1:8" ht="14.1" customHeight="1" x14ac:dyDescent="0.2">
      <c r="A45" s="1"/>
      <c r="B45" s="1"/>
      <c r="C45" s="11"/>
      <c r="D45" s="1"/>
      <c r="E45" s="1"/>
      <c r="F45" s="12"/>
      <c r="G45" s="12"/>
      <c r="H45" s="105"/>
    </row>
    <row r="46" spans="1:8" ht="14.1" customHeight="1" x14ac:dyDescent="0.2">
      <c r="A46" s="1"/>
      <c r="B46" s="1"/>
      <c r="C46" s="2" t="s">
        <v>139</v>
      </c>
      <c r="D46" s="1"/>
      <c r="E46" s="1"/>
      <c r="F46" s="12"/>
      <c r="G46" s="12"/>
      <c r="H46" s="105"/>
    </row>
    <row r="47" spans="1:8" ht="14.1" customHeight="1" x14ac:dyDescent="0.2">
      <c r="A47" s="1"/>
      <c r="B47" s="1"/>
      <c r="C47" s="2" t="s">
        <v>132</v>
      </c>
      <c r="D47" s="1"/>
      <c r="E47" s="1" t="s">
        <v>133</v>
      </c>
      <c r="F47" s="13" t="s">
        <v>135</v>
      </c>
      <c r="G47" s="10">
        <v>0</v>
      </c>
      <c r="H47" s="105"/>
    </row>
    <row r="48" spans="1:8" ht="14.1" customHeight="1" x14ac:dyDescent="0.2">
      <c r="A48" s="1"/>
      <c r="B48" s="1"/>
      <c r="C48" s="11"/>
      <c r="D48" s="1"/>
      <c r="E48" s="1"/>
      <c r="F48" s="12"/>
      <c r="G48" s="12"/>
      <c r="H48" s="105"/>
    </row>
    <row r="49" spans="1:8" ht="18" customHeight="1" x14ac:dyDescent="0.2">
      <c r="A49" s="1"/>
      <c r="B49" s="1"/>
      <c r="C49" s="2" t="s">
        <v>140</v>
      </c>
      <c r="D49" s="1"/>
      <c r="E49" s="1"/>
      <c r="F49" s="9">
        <v>60387.078585000003</v>
      </c>
      <c r="G49" s="10">
        <v>0.91684586999999995</v>
      </c>
      <c r="H49" s="105"/>
    </row>
    <row r="50" spans="1:8" ht="14.1" customHeight="1" x14ac:dyDescent="0.2">
      <c r="A50" s="1"/>
      <c r="B50" s="1"/>
      <c r="C50" s="11"/>
      <c r="D50" s="1"/>
      <c r="E50" s="1"/>
      <c r="F50" s="12"/>
      <c r="G50" s="12"/>
      <c r="H50" s="105"/>
    </row>
    <row r="51" spans="1:8" ht="14.1" customHeight="1" x14ac:dyDescent="0.2">
      <c r="A51" s="1"/>
      <c r="B51" s="1"/>
      <c r="C51" s="2" t="s">
        <v>141</v>
      </c>
      <c r="D51" s="1"/>
      <c r="E51" s="1"/>
      <c r="F51" s="12"/>
      <c r="G51" s="12"/>
      <c r="H51" s="105"/>
    </row>
    <row r="52" spans="1:8" ht="24" customHeight="1" x14ac:dyDescent="0.2">
      <c r="A52" s="1"/>
      <c r="B52" s="1"/>
      <c r="C52" s="2" t="s">
        <v>10</v>
      </c>
      <c r="D52" s="1"/>
      <c r="E52" s="1"/>
      <c r="F52" s="12"/>
      <c r="G52" s="12"/>
      <c r="H52" s="105"/>
    </row>
    <row r="53" spans="1:8" ht="14.1" customHeight="1" x14ac:dyDescent="0.2">
      <c r="A53" s="1"/>
      <c r="B53" s="1"/>
      <c r="C53" s="2" t="s">
        <v>132</v>
      </c>
      <c r="D53" s="1"/>
      <c r="E53" s="1" t="s">
        <v>133</v>
      </c>
      <c r="F53" s="13" t="s">
        <v>135</v>
      </c>
      <c r="G53" s="10">
        <v>0</v>
      </c>
      <c r="H53" s="105"/>
    </row>
    <row r="54" spans="1:8" ht="14.1" customHeight="1" x14ac:dyDescent="0.2">
      <c r="A54" s="1"/>
      <c r="B54" s="1"/>
      <c r="C54" s="11"/>
      <c r="D54" s="1"/>
      <c r="E54" s="1"/>
      <c r="F54" s="12"/>
      <c r="G54" s="12"/>
      <c r="H54" s="105"/>
    </row>
    <row r="55" spans="1:8" ht="14.1" customHeight="1" x14ac:dyDescent="0.2">
      <c r="A55" s="1"/>
      <c r="B55" s="1"/>
      <c r="C55" s="2" t="s">
        <v>142</v>
      </c>
      <c r="D55" s="1"/>
      <c r="E55" s="1"/>
      <c r="F55" s="1"/>
      <c r="G55" s="1"/>
      <c r="H55" s="105"/>
    </row>
    <row r="56" spans="1:8" ht="14.1" customHeight="1" x14ac:dyDescent="0.2">
      <c r="A56" s="1"/>
      <c r="B56" s="1"/>
      <c r="C56" s="2" t="s">
        <v>132</v>
      </c>
      <c r="D56" s="1"/>
      <c r="E56" s="1" t="s">
        <v>133</v>
      </c>
      <c r="F56" s="13" t="s">
        <v>135</v>
      </c>
      <c r="G56" s="10">
        <v>0</v>
      </c>
      <c r="H56" s="105"/>
    </row>
    <row r="57" spans="1:8" ht="14.1" customHeight="1" x14ac:dyDescent="0.2">
      <c r="A57" s="1"/>
      <c r="B57" s="1"/>
      <c r="C57" s="11"/>
      <c r="D57" s="1"/>
      <c r="E57" s="1"/>
      <c r="F57" s="12"/>
      <c r="G57" s="12"/>
      <c r="H57" s="105"/>
    </row>
    <row r="58" spans="1:8" ht="14.1" customHeight="1" x14ac:dyDescent="0.2">
      <c r="A58" s="1"/>
      <c r="B58" s="1"/>
      <c r="C58" s="2" t="s">
        <v>143</v>
      </c>
      <c r="D58" s="1"/>
      <c r="E58" s="1"/>
      <c r="F58" s="1"/>
      <c r="G58" s="1"/>
      <c r="H58" s="105"/>
    </row>
    <row r="59" spans="1:8" ht="14.1" customHeight="1" x14ac:dyDescent="0.2">
      <c r="A59" s="1"/>
      <c r="B59" s="1"/>
      <c r="C59" s="2" t="s">
        <v>132</v>
      </c>
      <c r="D59" s="1"/>
      <c r="E59" s="1" t="s">
        <v>133</v>
      </c>
      <c r="F59" s="13" t="s">
        <v>135</v>
      </c>
      <c r="G59" s="10">
        <v>0</v>
      </c>
      <c r="H59" s="105"/>
    </row>
    <row r="60" spans="1:8" ht="14.1" customHeight="1" x14ac:dyDescent="0.2">
      <c r="A60" s="1"/>
      <c r="B60" s="1"/>
      <c r="C60" s="11"/>
      <c r="D60" s="1"/>
      <c r="E60" s="1"/>
      <c r="F60" s="12"/>
      <c r="G60" s="12"/>
      <c r="H60" s="105"/>
    </row>
    <row r="61" spans="1:8" ht="14.1" customHeight="1" x14ac:dyDescent="0.2">
      <c r="A61" s="1"/>
      <c r="B61" s="1"/>
      <c r="C61" s="2" t="s">
        <v>144</v>
      </c>
      <c r="D61" s="1"/>
      <c r="E61" s="1"/>
      <c r="F61" s="12"/>
      <c r="G61" s="12"/>
      <c r="H61" s="105"/>
    </row>
    <row r="62" spans="1:8" ht="14.1" customHeight="1" x14ac:dyDescent="0.2">
      <c r="A62" s="1"/>
      <c r="B62" s="1"/>
      <c r="C62" s="2" t="s">
        <v>132</v>
      </c>
      <c r="D62" s="1"/>
      <c r="E62" s="1" t="s">
        <v>133</v>
      </c>
      <c r="F62" s="13" t="s">
        <v>135</v>
      </c>
      <c r="G62" s="10">
        <v>0</v>
      </c>
      <c r="H62" s="105"/>
    </row>
    <row r="63" spans="1:8" ht="14.1" customHeight="1" x14ac:dyDescent="0.2">
      <c r="A63" s="1"/>
      <c r="B63" s="1"/>
      <c r="C63" s="11"/>
      <c r="D63" s="1"/>
      <c r="E63" s="1"/>
      <c r="F63" s="12"/>
      <c r="G63" s="12"/>
      <c r="H63" s="105"/>
    </row>
    <row r="64" spans="1:8" ht="14.1" customHeight="1" x14ac:dyDescent="0.2">
      <c r="A64" s="1"/>
      <c r="B64" s="1"/>
      <c r="C64" s="2" t="s">
        <v>145</v>
      </c>
      <c r="D64" s="1"/>
      <c r="E64" s="1"/>
      <c r="F64" s="9">
        <v>0</v>
      </c>
      <c r="G64" s="10">
        <v>0</v>
      </c>
      <c r="H64" s="105"/>
    </row>
    <row r="65" spans="1:8" ht="14.1" customHeight="1" x14ac:dyDescent="0.2">
      <c r="A65" s="1"/>
      <c r="B65" s="1"/>
      <c r="C65" s="11"/>
      <c r="D65" s="1"/>
      <c r="E65" s="1"/>
      <c r="F65" s="12"/>
      <c r="G65" s="12"/>
      <c r="H65" s="105"/>
    </row>
    <row r="66" spans="1:8" ht="14.1" customHeight="1" x14ac:dyDescent="0.2">
      <c r="A66" s="1"/>
      <c r="B66" s="1"/>
      <c r="C66" s="2" t="s">
        <v>146</v>
      </c>
      <c r="D66" s="1"/>
      <c r="E66" s="1"/>
      <c r="F66" s="12"/>
      <c r="G66" s="12"/>
      <c r="H66" s="105"/>
    </row>
    <row r="67" spans="1:8" ht="14.1" customHeight="1" x14ac:dyDescent="0.2">
      <c r="A67" s="1"/>
      <c r="B67" s="1"/>
      <c r="C67" s="2" t="s">
        <v>147</v>
      </c>
      <c r="D67" s="1"/>
      <c r="E67" s="1"/>
      <c r="F67" s="12"/>
      <c r="G67" s="12"/>
      <c r="H67" s="105"/>
    </row>
    <row r="68" spans="1:8" ht="14.1" customHeight="1" x14ac:dyDescent="0.2">
      <c r="A68" s="1"/>
      <c r="B68" s="1"/>
      <c r="C68" s="2" t="s">
        <v>132</v>
      </c>
      <c r="D68" s="1"/>
      <c r="E68" s="1" t="s">
        <v>133</v>
      </c>
      <c r="F68" s="13" t="s">
        <v>135</v>
      </c>
      <c r="G68" s="10">
        <v>0</v>
      </c>
      <c r="H68" s="105"/>
    </row>
    <row r="69" spans="1:8" ht="14.1" customHeight="1" x14ac:dyDescent="0.2">
      <c r="A69" s="1"/>
      <c r="B69" s="1"/>
      <c r="C69" s="11"/>
      <c r="D69" s="1"/>
      <c r="E69" s="1"/>
      <c r="F69" s="12"/>
      <c r="G69" s="12"/>
      <c r="H69" s="105"/>
    </row>
    <row r="70" spans="1:8" ht="14.1" customHeight="1" x14ac:dyDescent="0.2">
      <c r="A70" s="1"/>
      <c r="B70" s="1"/>
      <c r="C70" s="2" t="s">
        <v>148</v>
      </c>
      <c r="D70" s="1"/>
      <c r="E70" s="1"/>
      <c r="F70" s="12"/>
      <c r="G70" s="12"/>
      <c r="H70" s="105"/>
    </row>
    <row r="71" spans="1:8" ht="14.1" customHeight="1" x14ac:dyDescent="0.2">
      <c r="A71" s="1"/>
      <c r="B71" s="1"/>
      <c r="C71" s="2" t="s">
        <v>132</v>
      </c>
      <c r="D71" s="1"/>
      <c r="E71" s="1" t="s">
        <v>133</v>
      </c>
      <c r="F71" s="13" t="s">
        <v>135</v>
      </c>
      <c r="G71" s="10">
        <v>0</v>
      </c>
      <c r="H71" s="105"/>
    </row>
    <row r="72" spans="1:8" ht="14.1" customHeight="1" x14ac:dyDescent="0.2">
      <c r="A72" s="1"/>
      <c r="B72" s="1"/>
      <c r="C72" s="11"/>
      <c r="D72" s="1"/>
      <c r="E72" s="1"/>
      <c r="F72" s="12"/>
      <c r="G72" s="12"/>
      <c r="H72" s="105"/>
    </row>
    <row r="73" spans="1:8" ht="14.1" customHeight="1" x14ac:dyDescent="0.2">
      <c r="A73" s="1"/>
      <c r="B73" s="1"/>
      <c r="C73" s="2" t="s">
        <v>149</v>
      </c>
      <c r="D73" s="1"/>
      <c r="E73" s="1"/>
      <c r="F73" s="12"/>
      <c r="G73" s="12"/>
      <c r="H73" s="105"/>
    </row>
    <row r="74" spans="1:8" ht="14.1" customHeight="1" x14ac:dyDescent="0.2">
      <c r="A74" s="1"/>
      <c r="B74" s="1"/>
      <c r="C74" s="2" t="s">
        <v>132</v>
      </c>
      <c r="D74" s="1"/>
      <c r="E74" s="1" t="s">
        <v>133</v>
      </c>
      <c r="F74" s="13" t="s">
        <v>135</v>
      </c>
      <c r="G74" s="10">
        <v>0</v>
      </c>
      <c r="H74" s="105"/>
    </row>
    <row r="75" spans="1:8" ht="14.1" customHeight="1" x14ac:dyDescent="0.2">
      <c r="A75" s="1"/>
      <c r="B75" s="1"/>
      <c r="C75" s="11"/>
      <c r="D75" s="1"/>
      <c r="E75" s="1"/>
      <c r="F75" s="12"/>
      <c r="G75" s="12"/>
      <c r="H75" s="105"/>
    </row>
    <row r="76" spans="1:8" ht="14.1" customHeight="1" x14ac:dyDescent="0.2">
      <c r="A76" s="1"/>
      <c r="B76" s="1"/>
      <c r="C76" s="2" t="s">
        <v>150</v>
      </c>
      <c r="D76" s="1"/>
      <c r="E76" s="1"/>
      <c r="F76" s="12"/>
      <c r="G76" s="12"/>
      <c r="H76" s="105"/>
    </row>
    <row r="77" spans="1:8" ht="17.100000000000001" customHeight="1" x14ac:dyDescent="0.2">
      <c r="A77" s="3">
        <v>1</v>
      </c>
      <c r="B77" s="4"/>
      <c r="C77" s="4" t="s">
        <v>151</v>
      </c>
      <c r="D77" s="4"/>
      <c r="E77" s="8"/>
      <c r="F77" s="6">
        <v>4220.2127564000002</v>
      </c>
      <c r="G77" s="7">
        <v>6.4074710000000007E-2</v>
      </c>
      <c r="H77" s="105">
        <v>6.8153352377542396</v>
      </c>
    </row>
    <row r="78" spans="1:8" ht="17.100000000000001" customHeight="1" x14ac:dyDescent="0.2">
      <c r="A78" s="3">
        <v>2</v>
      </c>
      <c r="B78" s="4"/>
      <c r="C78" s="4" t="s">
        <v>152</v>
      </c>
      <c r="D78" s="4"/>
      <c r="E78" s="8"/>
      <c r="F78" s="6">
        <v>500.79681219999998</v>
      </c>
      <c r="G78" s="7">
        <v>7.60351E-3</v>
      </c>
      <c r="H78" s="105">
        <v>6.7952403714590259</v>
      </c>
    </row>
    <row r="79" spans="1:8" ht="14.1" customHeight="1" x14ac:dyDescent="0.2">
      <c r="A79" s="1"/>
      <c r="B79" s="1"/>
      <c r="C79" s="2" t="s">
        <v>132</v>
      </c>
      <c r="D79" s="1"/>
      <c r="E79" s="1" t="s">
        <v>133</v>
      </c>
      <c r="F79" s="9">
        <v>4721.0095686000004</v>
      </c>
      <c r="G79" s="10">
        <v>7.1678220000000001E-2</v>
      </c>
      <c r="H79" s="105"/>
    </row>
    <row r="80" spans="1:8" ht="14.1" customHeight="1" x14ac:dyDescent="0.2">
      <c r="A80" s="1"/>
      <c r="B80" s="1"/>
      <c r="C80" s="11"/>
      <c r="D80" s="1"/>
      <c r="E80" s="1"/>
      <c r="F80" s="12"/>
      <c r="G80" s="12"/>
      <c r="H80" s="105"/>
    </row>
    <row r="81" spans="1:8" ht="14.1" customHeight="1" x14ac:dyDescent="0.2">
      <c r="A81" s="1"/>
      <c r="B81" s="1"/>
      <c r="C81" s="2" t="s">
        <v>153</v>
      </c>
      <c r="D81" s="1"/>
      <c r="E81" s="1"/>
      <c r="F81" s="9">
        <v>4721.0095686000004</v>
      </c>
      <c r="G81" s="10">
        <v>7.1678220000000001E-2</v>
      </c>
      <c r="H81" s="105"/>
    </row>
    <row r="82" spans="1:8" ht="14.1" customHeight="1" x14ac:dyDescent="0.2">
      <c r="A82" s="1"/>
      <c r="B82" s="1"/>
      <c r="C82" s="12"/>
      <c r="D82" s="1"/>
      <c r="E82" s="1"/>
      <c r="F82" s="1"/>
      <c r="G82" s="1"/>
      <c r="H82" s="105"/>
    </row>
    <row r="83" spans="1:8" ht="14.1" customHeight="1" x14ac:dyDescent="0.2">
      <c r="A83" s="1"/>
      <c r="B83" s="1"/>
      <c r="C83" s="2" t="s">
        <v>154</v>
      </c>
      <c r="D83" s="1"/>
      <c r="E83" s="1"/>
      <c r="F83" s="1"/>
      <c r="G83" s="1"/>
      <c r="H83" s="105"/>
    </row>
    <row r="84" spans="1:8" ht="14.1" customHeight="1" x14ac:dyDescent="0.2">
      <c r="A84" s="1"/>
      <c r="B84" s="1"/>
      <c r="C84" s="2" t="s">
        <v>155</v>
      </c>
      <c r="D84" s="1"/>
      <c r="E84" s="1"/>
      <c r="F84" s="1"/>
      <c r="G84" s="1"/>
      <c r="H84" s="105"/>
    </row>
    <row r="85" spans="1:8" ht="14.1" customHeight="1" x14ac:dyDescent="0.2">
      <c r="A85" s="1"/>
      <c r="B85" s="1"/>
      <c r="C85" s="2" t="s">
        <v>132</v>
      </c>
      <c r="D85" s="1"/>
      <c r="E85" s="1" t="s">
        <v>133</v>
      </c>
      <c r="F85" s="13" t="s">
        <v>135</v>
      </c>
      <c r="G85" s="10">
        <v>0</v>
      </c>
      <c r="H85" s="105"/>
    </row>
    <row r="86" spans="1:8" ht="14.1" customHeight="1" x14ac:dyDescent="0.2">
      <c r="A86" s="1"/>
      <c r="B86" s="1"/>
      <c r="C86" s="11"/>
      <c r="D86" s="1"/>
      <c r="E86" s="1"/>
      <c r="F86" s="12"/>
      <c r="G86" s="12"/>
      <c r="H86" s="105"/>
    </row>
    <row r="87" spans="1:8" ht="14.1" customHeight="1" x14ac:dyDescent="0.2">
      <c r="A87" s="1"/>
      <c r="B87" s="1"/>
      <c r="C87" s="2" t="s">
        <v>156</v>
      </c>
      <c r="D87" s="1"/>
      <c r="E87" s="1"/>
      <c r="F87" s="1"/>
      <c r="G87" s="1"/>
      <c r="H87" s="105"/>
    </row>
    <row r="88" spans="1:8" ht="14.1" customHeight="1" x14ac:dyDescent="0.2">
      <c r="A88" s="1"/>
      <c r="B88" s="1"/>
      <c r="C88" s="2" t="s">
        <v>157</v>
      </c>
      <c r="D88" s="1"/>
      <c r="E88" s="1"/>
      <c r="F88" s="1"/>
      <c r="G88" s="1"/>
      <c r="H88" s="105"/>
    </row>
    <row r="89" spans="1:8" ht="14.1" customHeight="1" x14ac:dyDescent="0.2">
      <c r="A89" s="1"/>
      <c r="B89" s="1"/>
      <c r="C89" s="2" t="s">
        <v>132</v>
      </c>
      <c r="D89" s="1"/>
      <c r="E89" s="1" t="s">
        <v>133</v>
      </c>
      <c r="F89" s="13" t="s">
        <v>135</v>
      </c>
      <c r="G89" s="10">
        <v>0</v>
      </c>
      <c r="H89" s="105"/>
    </row>
    <row r="90" spans="1:8" ht="14.1" customHeight="1" x14ac:dyDescent="0.2">
      <c r="A90" s="1"/>
      <c r="B90" s="1"/>
      <c r="C90" s="11"/>
      <c r="D90" s="1"/>
      <c r="E90" s="1"/>
      <c r="F90" s="12"/>
      <c r="G90" s="12"/>
      <c r="H90" s="105"/>
    </row>
    <row r="91" spans="1:8" ht="24" customHeight="1" x14ac:dyDescent="0.2">
      <c r="A91" s="1"/>
      <c r="B91" s="1"/>
      <c r="C91" s="2" t="s">
        <v>158</v>
      </c>
      <c r="D91" s="1"/>
      <c r="E91" s="1"/>
      <c r="F91" s="12"/>
      <c r="G91" s="12"/>
      <c r="H91" s="105"/>
    </row>
    <row r="92" spans="1:8" ht="14.1" customHeight="1" x14ac:dyDescent="0.2">
      <c r="A92" s="1"/>
      <c r="B92" s="1"/>
      <c r="C92" s="2" t="s">
        <v>132</v>
      </c>
      <c r="D92" s="1"/>
      <c r="E92" s="1" t="s">
        <v>133</v>
      </c>
      <c r="F92" s="13" t="s">
        <v>135</v>
      </c>
      <c r="G92" s="10">
        <v>0</v>
      </c>
      <c r="H92" s="105"/>
    </row>
    <row r="93" spans="1:8" ht="14.1" customHeight="1" x14ac:dyDescent="0.2">
      <c r="A93" s="1"/>
      <c r="B93" s="1"/>
      <c r="C93" s="11"/>
      <c r="D93" s="1"/>
      <c r="E93" s="1"/>
      <c r="F93" s="12"/>
      <c r="G93" s="12"/>
      <c r="H93" s="105"/>
    </row>
    <row r="94" spans="1:8" ht="14.1" customHeight="1" x14ac:dyDescent="0.2">
      <c r="A94" s="1"/>
      <c r="B94" s="4"/>
      <c r="C94" s="4"/>
      <c r="D94" s="2"/>
      <c r="E94" s="1"/>
      <c r="F94" s="4"/>
      <c r="G94" s="8"/>
      <c r="H94" s="105"/>
    </row>
    <row r="95" spans="1:8" ht="18" customHeight="1" x14ac:dyDescent="0.2">
      <c r="A95" s="8"/>
      <c r="B95" s="4"/>
      <c r="C95" s="4" t="s">
        <v>159</v>
      </c>
      <c r="D95" s="4"/>
      <c r="E95" s="8"/>
      <c r="F95" s="6">
        <v>755.85083784000005</v>
      </c>
      <c r="G95" s="7">
        <v>1.147594E-2</v>
      </c>
      <c r="H95" s="105"/>
    </row>
    <row r="96" spans="1:8" ht="14.1" customHeight="1" x14ac:dyDescent="0.2">
      <c r="A96" s="11"/>
      <c r="B96" s="11"/>
      <c r="C96" s="2" t="s">
        <v>160</v>
      </c>
      <c r="D96" s="12"/>
      <c r="E96" s="12"/>
      <c r="F96" s="9">
        <v>65863.938991439994</v>
      </c>
      <c r="G96" s="14">
        <v>1.00000003</v>
      </c>
      <c r="H96" s="105"/>
    </row>
    <row r="97" spans="1:7" ht="14.1" customHeight="1" x14ac:dyDescent="0.2">
      <c r="A97" s="15"/>
      <c r="B97" s="15"/>
      <c r="C97" s="15"/>
      <c r="D97" s="16"/>
      <c r="E97" s="16"/>
      <c r="F97" s="16"/>
      <c r="G97" s="16"/>
    </row>
    <row r="98" spans="1:7" ht="14.1" customHeight="1" x14ac:dyDescent="0.2">
      <c r="A98" s="17"/>
      <c r="B98" s="17"/>
      <c r="C98" s="17"/>
      <c r="D98" s="19"/>
      <c r="E98" s="19"/>
      <c r="F98" s="19"/>
      <c r="G98" s="19"/>
    </row>
    <row r="99" spans="1:7" ht="14.1" customHeight="1" x14ac:dyDescent="0.2">
      <c r="A99" s="17"/>
      <c r="B99" s="179" t="s">
        <v>162</v>
      </c>
      <c r="C99" s="180"/>
      <c r="D99" s="181"/>
      <c r="E99" s="20"/>
      <c r="F99" s="19"/>
      <c r="G99" s="19"/>
    </row>
    <row r="100" spans="1:7" ht="29.1" customHeight="1" x14ac:dyDescent="0.2">
      <c r="A100" s="17"/>
      <c r="B100" s="176" t="s">
        <v>163</v>
      </c>
      <c r="C100" s="177"/>
      <c r="D100" s="2" t="s">
        <v>164</v>
      </c>
      <c r="E100" s="20"/>
      <c r="F100" s="19"/>
      <c r="G100" s="19"/>
    </row>
    <row r="101" spans="1:7" ht="17.100000000000001" customHeight="1" x14ac:dyDescent="0.2">
      <c r="A101" s="17"/>
      <c r="B101" s="176" t="s">
        <v>165</v>
      </c>
      <c r="C101" s="177"/>
      <c r="D101" s="2" t="s">
        <v>164</v>
      </c>
      <c r="E101" s="20"/>
      <c r="F101" s="19"/>
      <c r="G101" s="19"/>
    </row>
    <row r="102" spans="1:7" ht="17.100000000000001" customHeight="1" x14ac:dyDescent="0.2">
      <c r="A102" s="17"/>
      <c r="B102" s="176" t="s">
        <v>166</v>
      </c>
      <c r="C102" s="177"/>
      <c r="D102" s="12" t="s">
        <v>133</v>
      </c>
      <c r="E102" s="20"/>
      <c r="F102" s="19"/>
      <c r="G102" s="19"/>
    </row>
    <row r="103" spans="1:7" ht="24" customHeight="1" x14ac:dyDescent="0.2">
      <c r="A103" s="21"/>
      <c r="B103" s="22" t="s">
        <v>133</v>
      </c>
      <c r="C103" s="22" t="s">
        <v>167</v>
      </c>
      <c r="D103" s="22" t="s">
        <v>168</v>
      </c>
      <c r="E103" s="21"/>
      <c r="F103" s="21"/>
      <c r="G103" s="21"/>
    </row>
    <row r="104" spans="1:7" ht="18" customHeight="1" x14ac:dyDescent="0.2">
      <c r="A104" s="21"/>
      <c r="B104" s="23" t="s">
        <v>169</v>
      </c>
      <c r="C104" s="22" t="s">
        <v>170</v>
      </c>
      <c r="D104" s="22" t="s">
        <v>171</v>
      </c>
      <c r="E104" s="21"/>
      <c r="F104" s="21"/>
      <c r="G104" s="21"/>
    </row>
    <row r="105" spans="1:7" ht="17.100000000000001" customHeight="1" x14ac:dyDescent="0.2">
      <c r="A105" s="21"/>
      <c r="B105" s="4" t="s">
        <v>172</v>
      </c>
      <c r="C105" s="24">
        <v>69.729699999999994</v>
      </c>
      <c r="D105" s="24">
        <v>73.558899999999994</v>
      </c>
      <c r="E105" s="21"/>
      <c r="F105" s="18"/>
      <c r="G105" s="25"/>
    </row>
    <row r="106" spans="1:7" ht="17.100000000000001" customHeight="1" x14ac:dyDescent="0.2">
      <c r="A106" s="21"/>
      <c r="B106" s="4" t="s">
        <v>1006</v>
      </c>
      <c r="C106" s="24">
        <v>25.4819</v>
      </c>
      <c r="D106" s="24">
        <v>26.8812</v>
      </c>
      <c r="E106" s="21"/>
      <c r="F106" s="18"/>
      <c r="G106" s="25"/>
    </row>
    <row r="107" spans="1:7" ht="29.1" customHeight="1" x14ac:dyDescent="0.2">
      <c r="A107" s="21"/>
      <c r="B107" s="4" t="s">
        <v>831</v>
      </c>
      <c r="C107" s="24">
        <v>71.694400000000002</v>
      </c>
      <c r="D107" s="24">
        <v>75.632099999999994</v>
      </c>
      <c r="E107" s="21"/>
      <c r="F107" s="18"/>
      <c r="G107" s="25"/>
    </row>
    <row r="108" spans="1:7" ht="29.1" customHeight="1" x14ac:dyDescent="0.2">
      <c r="A108" s="21"/>
      <c r="B108" s="4" t="s">
        <v>1015</v>
      </c>
      <c r="C108" s="24">
        <v>25.924399999999999</v>
      </c>
      <c r="D108" s="24">
        <v>27.347799999999999</v>
      </c>
      <c r="E108" s="21"/>
      <c r="F108" s="18"/>
      <c r="G108" s="25"/>
    </row>
    <row r="109" spans="1:7" ht="17.100000000000001" customHeight="1" x14ac:dyDescent="0.2">
      <c r="A109" s="21"/>
      <c r="B109" s="4" t="s">
        <v>173</v>
      </c>
      <c r="C109" s="24">
        <v>63.746099999999998</v>
      </c>
      <c r="D109" s="24">
        <v>67.171000000000006</v>
      </c>
      <c r="E109" s="21"/>
      <c r="F109" s="18"/>
      <c r="G109" s="25"/>
    </row>
    <row r="110" spans="1:7" ht="17.100000000000001" customHeight="1" x14ac:dyDescent="0.2">
      <c r="A110" s="21"/>
      <c r="B110" s="4" t="s">
        <v>1007</v>
      </c>
      <c r="C110" s="24">
        <v>22.9163</v>
      </c>
      <c r="D110" s="24">
        <v>24.147500000000001</v>
      </c>
      <c r="E110" s="21"/>
      <c r="F110" s="18"/>
      <c r="G110" s="25"/>
    </row>
    <row r="111" spans="1:7" ht="14.1" customHeight="1" x14ac:dyDescent="0.2">
      <c r="A111" s="21"/>
      <c r="B111" s="21"/>
      <c r="C111" s="21"/>
      <c r="D111" s="21"/>
      <c r="E111" s="21"/>
      <c r="F111" s="21"/>
      <c r="G111" s="21"/>
    </row>
    <row r="112" spans="1:7" ht="17.100000000000001" customHeight="1" x14ac:dyDescent="0.2">
      <c r="A112" s="21"/>
      <c r="B112" s="176" t="s">
        <v>1008</v>
      </c>
      <c r="C112" s="177"/>
      <c r="D112" s="2" t="s">
        <v>164</v>
      </c>
      <c r="E112" s="21"/>
      <c r="F112" s="21"/>
      <c r="G112" s="21"/>
    </row>
    <row r="113" spans="1:7" ht="18" customHeight="1" x14ac:dyDescent="0.2">
      <c r="A113" s="21"/>
      <c r="B113" s="26"/>
      <c r="C113" s="26"/>
      <c r="D113" s="26"/>
      <c r="E113" s="21"/>
      <c r="F113" s="21"/>
      <c r="G113" s="21"/>
    </row>
    <row r="114" spans="1:7" ht="29.1" customHeight="1" x14ac:dyDescent="0.2">
      <c r="A114" s="21"/>
      <c r="B114" s="176" t="s">
        <v>174</v>
      </c>
      <c r="C114" s="177"/>
      <c r="D114" s="2" t="s">
        <v>164</v>
      </c>
      <c r="E114" s="27"/>
      <c r="F114" s="21"/>
      <c r="G114" s="21"/>
    </row>
    <row r="115" spans="1:7" ht="29.1" customHeight="1" x14ac:dyDescent="0.2">
      <c r="A115" s="21"/>
      <c r="B115" s="176" t="s">
        <v>175</v>
      </c>
      <c r="C115" s="177"/>
      <c r="D115" s="2" t="s">
        <v>164</v>
      </c>
      <c r="E115" s="27"/>
      <c r="F115" s="21"/>
      <c r="G115" s="21"/>
    </row>
    <row r="116" spans="1:7" ht="17.100000000000001" customHeight="1" x14ac:dyDescent="0.2">
      <c r="A116" s="21"/>
      <c r="B116" s="176" t="s">
        <v>176</v>
      </c>
      <c r="C116" s="177"/>
      <c r="D116" s="2" t="s">
        <v>164</v>
      </c>
      <c r="E116" s="27"/>
      <c r="F116" s="21"/>
      <c r="G116" s="21"/>
    </row>
    <row r="117" spans="1:7" ht="17.100000000000001" customHeight="1" x14ac:dyDescent="0.2">
      <c r="A117" s="21"/>
      <c r="B117" s="176" t="s">
        <v>177</v>
      </c>
      <c r="C117" s="177"/>
      <c r="D117" s="60">
        <v>0.55875198593825826</v>
      </c>
      <c r="E117" s="21"/>
      <c r="F117" s="18"/>
      <c r="G117" s="25"/>
    </row>
  </sheetData>
  <mergeCells count="13">
    <mergeCell ref="B117:C117"/>
    <mergeCell ref="B101:C101"/>
    <mergeCell ref="B102:C102"/>
    <mergeCell ref="B112:C112"/>
    <mergeCell ref="B114:C114"/>
    <mergeCell ref="B115:C115"/>
    <mergeCell ref="B116:C116"/>
    <mergeCell ref="J2:N2"/>
    <mergeCell ref="B100:C100"/>
    <mergeCell ref="B99:D99"/>
    <mergeCell ref="A1:H1"/>
    <mergeCell ref="A2:H2"/>
    <mergeCell ref="A3:H3"/>
  </mergeCells>
  <hyperlinks>
    <hyperlink ref="I1" location="Index!B35" display="Index" xr:uid="{5F0D7FB6-2233-48E0-9076-870E32A8CE20}"/>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8D44C7-EE8D-4DA3-9DF6-DE2A6F63F099}">
  <dimension ref="A1:O61"/>
  <sheetViews>
    <sheetView workbookViewId="0">
      <selection activeCell="I3" sqref="I3"/>
    </sheetView>
  </sheetViews>
  <sheetFormatPr defaultRowHeight="15" x14ac:dyDescent="0.25"/>
  <cols>
    <col min="1" max="1" width="5.42578125" style="144" bestFit="1" customWidth="1"/>
    <col min="2" max="2" width="19.7109375" style="144" bestFit="1" customWidth="1"/>
    <col min="3" max="3" width="40.28515625" style="144" bestFit="1" customWidth="1"/>
    <col min="4" max="4" width="15.28515625" style="144" bestFit="1" customWidth="1"/>
    <col min="5" max="5" width="12.42578125" style="144" bestFit="1" customWidth="1"/>
    <col min="6" max="6" width="16.42578125" style="144" bestFit="1" customWidth="1"/>
    <col min="7" max="7" width="8.5703125" style="144" bestFit="1" customWidth="1"/>
    <col min="8" max="8" width="8.42578125" style="144" bestFit="1" customWidth="1"/>
    <col min="9" max="10" width="9.140625" style="170"/>
    <col min="11" max="11" width="10.5703125" style="170" bestFit="1" customWidth="1"/>
    <col min="12" max="15" width="9.140625" style="170"/>
    <col min="16" max="242" width="9.140625" style="144"/>
    <col min="243" max="243" width="5.42578125" style="144" bestFit="1" customWidth="1"/>
    <col min="244" max="244" width="20.42578125" style="144" bestFit="1" customWidth="1"/>
    <col min="245" max="245" width="41.42578125" style="144" customWidth="1"/>
    <col min="246" max="246" width="15.28515625" style="144" bestFit="1" customWidth="1"/>
    <col min="247" max="247" width="16.7109375" style="144" bestFit="1" customWidth="1"/>
    <col min="248" max="248" width="11.28515625" style="144" bestFit="1" customWidth="1"/>
    <col min="249" max="249" width="14" style="144" bestFit="1" customWidth="1"/>
    <col min="250" max="250" width="11.85546875" style="144" bestFit="1" customWidth="1"/>
    <col min="251" max="251" width="14.85546875" style="144" bestFit="1" customWidth="1"/>
    <col min="252" max="252" width="9.7109375" style="144" customWidth="1"/>
    <col min="253" max="253" width="4.85546875" style="144" customWidth="1"/>
    <col min="254" max="498" width="9.140625" style="144"/>
    <col min="499" max="499" width="5.42578125" style="144" bestFit="1" customWidth="1"/>
    <col min="500" max="500" width="20.42578125" style="144" bestFit="1" customWidth="1"/>
    <col min="501" max="501" width="41.42578125" style="144" customWidth="1"/>
    <col min="502" max="502" width="15.28515625" style="144" bestFit="1" customWidth="1"/>
    <col min="503" max="503" width="16.7109375" style="144" bestFit="1" customWidth="1"/>
    <col min="504" max="504" width="11.28515625" style="144" bestFit="1" customWidth="1"/>
    <col min="505" max="505" width="14" style="144" bestFit="1" customWidth="1"/>
    <col min="506" max="506" width="11.85546875" style="144" bestFit="1" customWidth="1"/>
    <col min="507" max="507" width="14.85546875" style="144" bestFit="1" customWidth="1"/>
    <col min="508" max="508" width="9.7109375" style="144" customWidth="1"/>
    <col min="509" max="509" width="4.85546875" style="144" customWidth="1"/>
    <col min="510" max="754" width="9.140625" style="144"/>
    <col min="755" max="755" width="5.42578125" style="144" bestFit="1" customWidth="1"/>
    <col min="756" max="756" width="20.42578125" style="144" bestFit="1" customWidth="1"/>
    <col min="757" max="757" width="41.42578125" style="144" customWidth="1"/>
    <col min="758" max="758" width="15.28515625" style="144" bestFit="1" customWidth="1"/>
    <col min="759" max="759" width="16.7109375" style="144" bestFit="1" customWidth="1"/>
    <col min="760" max="760" width="11.28515625" style="144" bestFit="1" customWidth="1"/>
    <col min="761" max="761" width="14" style="144" bestFit="1" customWidth="1"/>
    <col min="762" max="762" width="11.85546875" style="144" bestFit="1" customWidth="1"/>
    <col min="763" max="763" width="14.85546875" style="144" bestFit="1" customWidth="1"/>
    <col min="764" max="764" width="9.7109375" style="144" customWidth="1"/>
    <col min="765" max="765" width="4.85546875" style="144" customWidth="1"/>
    <col min="766" max="1010" width="9.140625" style="144"/>
    <col min="1011" max="1011" width="5.42578125" style="144" bestFit="1" customWidth="1"/>
    <col min="1012" max="1012" width="20.42578125" style="144" bestFit="1" customWidth="1"/>
    <col min="1013" max="1013" width="41.42578125" style="144" customWidth="1"/>
    <col min="1014" max="1014" width="15.28515625" style="144" bestFit="1" customWidth="1"/>
    <col min="1015" max="1015" width="16.7109375" style="144" bestFit="1" customWidth="1"/>
    <col min="1016" max="1016" width="11.28515625" style="144" bestFit="1" customWidth="1"/>
    <col min="1017" max="1017" width="14" style="144" bestFit="1" customWidth="1"/>
    <col min="1018" max="1018" width="11.85546875" style="144" bestFit="1" customWidth="1"/>
    <col min="1019" max="1019" width="14.85546875" style="144" bestFit="1" customWidth="1"/>
    <col min="1020" max="1020" width="9.7109375" style="144" customWidth="1"/>
    <col min="1021" max="1021" width="4.85546875" style="144" customWidth="1"/>
    <col min="1022" max="1266" width="9.140625" style="144"/>
    <col min="1267" max="1267" width="5.42578125" style="144" bestFit="1" customWidth="1"/>
    <col min="1268" max="1268" width="20.42578125" style="144" bestFit="1" customWidth="1"/>
    <col min="1269" max="1269" width="41.42578125" style="144" customWidth="1"/>
    <col min="1270" max="1270" width="15.28515625" style="144" bestFit="1" customWidth="1"/>
    <col min="1271" max="1271" width="16.7109375" style="144" bestFit="1" customWidth="1"/>
    <col min="1272" max="1272" width="11.28515625" style="144" bestFit="1" customWidth="1"/>
    <col min="1273" max="1273" width="14" style="144" bestFit="1" customWidth="1"/>
    <col min="1274" max="1274" width="11.85546875" style="144" bestFit="1" customWidth="1"/>
    <col min="1275" max="1275" width="14.85546875" style="144" bestFit="1" customWidth="1"/>
    <col min="1276" max="1276" width="9.7109375" style="144" customWidth="1"/>
    <col min="1277" max="1277" width="4.85546875" style="144" customWidth="1"/>
    <col min="1278" max="1522" width="9.140625" style="144"/>
    <col min="1523" max="1523" width="5.42578125" style="144" bestFit="1" customWidth="1"/>
    <col min="1524" max="1524" width="20.42578125" style="144" bestFit="1" customWidth="1"/>
    <col min="1525" max="1525" width="41.42578125" style="144" customWidth="1"/>
    <col min="1526" max="1526" width="15.28515625" style="144" bestFit="1" customWidth="1"/>
    <col min="1527" max="1527" width="16.7109375" style="144" bestFit="1" customWidth="1"/>
    <col min="1528" max="1528" width="11.28515625" style="144" bestFit="1" customWidth="1"/>
    <col min="1529" max="1529" width="14" style="144" bestFit="1" customWidth="1"/>
    <col min="1530" max="1530" width="11.85546875" style="144" bestFit="1" customWidth="1"/>
    <col min="1531" max="1531" width="14.85546875" style="144" bestFit="1" customWidth="1"/>
    <col min="1532" max="1532" width="9.7109375" style="144" customWidth="1"/>
    <col min="1533" max="1533" width="4.85546875" style="144" customWidth="1"/>
    <col min="1534" max="1778" width="9.140625" style="144"/>
    <col min="1779" max="1779" width="5.42578125" style="144" bestFit="1" customWidth="1"/>
    <col min="1780" max="1780" width="20.42578125" style="144" bestFit="1" customWidth="1"/>
    <col min="1781" max="1781" width="41.42578125" style="144" customWidth="1"/>
    <col min="1782" max="1782" width="15.28515625" style="144" bestFit="1" customWidth="1"/>
    <col min="1783" max="1783" width="16.7109375" style="144" bestFit="1" customWidth="1"/>
    <col min="1784" max="1784" width="11.28515625" style="144" bestFit="1" customWidth="1"/>
    <col min="1785" max="1785" width="14" style="144" bestFit="1" customWidth="1"/>
    <col min="1786" max="1786" width="11.85546875" style="144" bestFit="1" customWidth="1"/>
    <col min="1787" max="1787" width="14.85546875" style="144" bestFit="1" customWidth="1"/>
    <col min="1788" max="1788" width="9.7109375" style="144" customWidth="1"/>
    <col min="1789" max="1789" width="4.85546875" style="144" customWidth="1"/>
    <col min="1790" max="2034" width="9.140625" style="144"/>
    <col min="2035" max="2035" width="5.42578125" style="144" bestFit="1" customWidth="1"/>
    <col min="2036" max="2036" width="20.42578125" style="144" bestFit="1" customWidth="1"/>
    <col min="2037" max="2037" width="41.42578125" style="144" customWidth="1"/>
    <col min="2038" max="2038" width="15.28515625" style="144" bestFit="1" customWidth="1"/>
    <col min="2039" max="2039" width="16.7109375" style="144" bestFit="1" customWidth="1"/>
    <col min="2040" max="2040" width="11.28515625" style="144" bestFit="1" customWidth="1"/>
    <col min="2041" max="2041" width="14" style="144" bestFit="1" customWidth="1"/>
    <col min="2042" max="2042" width="11.85546875" style="144" bestFit="1" customWidth="1"/>
    <col min="2043" max="2043" width="14.85546875" style="144" bestFit="1" customWidth="1"/>
    <col min="2044" max="2044" width="9.7109375" style="144" customWidth="1"/>
    <col min="2045" max="2045" width="4.85546875" style="144" customWidth="1"/>
    <col min="2046" max="2290" width="9.140625" style="144"/>
    <col min="2291" max="2291" width="5.42578125" style="144" bestFit="1" customWidth="1"/>
    <col min="2292" max="2292" width="20.42578125" style="144" bestFit="1" customWidth="1"/>
    <col min="2293" max="2293" width="41.42578125" style="144" customWidth="1"/>
    <col min="2294" max="2294" width="15.28515625" style="144" bestFit="1" customWidth="1"/>
    <col min="2295" max="2295" width="16.7109375" style="144" bestFit="1" customWidth="1"/>
    <col min="2296" max="2296" width="11.28515625" style="144" bestFit="1" customWidth="1"/>
    <col min="2297" max="2297" width="14" style="144" bestFit="1" customWidth="1"/>
    <col min="2298" max="2298" width="11.85546875" style="144" bestFit="1" customWidth="1"/>
    <col min="2299" max="2299" width="14.85546875" style="144" bestFit="1" customWidth="1"/>
    <col min="2300" max="2300" width="9.7109375" style="144" customWidth="1"/>
    <col min="2301" max="2301" width="4.85546875" style="144" customWidth="1"/>
    <col min="2302" max="2546" width="9.140625" style="144"/>
    <col min="2547" max="2547" width="5.42578125" style="144" bestFit="1" customWidth="1"/>
    <col min="2548" max="2548" width="20.42578125" style="144" bestFit="1" customWidth="1"/>
    <col min="2549" max="2549" width="41.42578125" style="144" customWidth="1"/>
    <col min="2550" max="2550" width="15.28515625" style="144" bestFit="1" customWidth="1"/>
    <col min="2551" max="2551" width="16.7109375" style="144" bestFit="1" customWidth="1"/>
    <col min="2552" max="2552" width="11.28515625" style="144" bestFit="1" customWidth="1"/>
    <col min="2553" max="2553" width="14" style="144" bestFit="1" customWidth="1"/>
    <col min="2554" max="2554" width="11.85546875" style="144" bestFit="1" customWidth="1"/>
    <col min="2555" max="2555" width="14.85546875" style="144" bestFit="1" customWidth="1"/>
    <col min="2556" max="2556" width="9.7109375" style="144" customWidth="1"/>
    <col min="2557" max="2557" width="4.85546875" style="144" customWidth="1"/>
    <col min="2558" max="2802" width="9.140625" style="144"/>
    <col min="2803" max="2803" width="5.42578125" style="144" bestFit="1" customWidth="1"/>
    <col min="2804" max="2804" width="20.42578125" style="144" bestFit="1" customWidth="1"/>
    <col min="2805" max="2805" width="41.42578125" style="144" customWidth="1"/>
    <col min="2806" max="2806" width="15.28515625" style="144" bestFit="1" customWidth="1"/>
    <col min="2807" max="2807" width="16.7109375" style="144" bestFit="1" customWidth="1"/>
    <col min="2808" max="2808" width="11.28515625" style="144" bestFit="1" customWidth="1"/>
    <col min="2809" max="2809" width="14" style="144" bestFit="1" customWidth="1"/>
    <col min="2810" max="2810" width="11.85546875" style="144" bestFit="1" customWidth="1"/>
    <col min="2811" max="2811" width="14.85546875" style="144" bestFit="1" customWidth="1"/>
    <col min="2812" max="2812" width="9.7109375" style="144" customWidth="1"/>
    <col min="2813" max="2813" width="4.85546875" style="144" customWidth="1"/>
    <col min="2814" max="3058" width="9.140625" style="144"/>
    <col min="3059" max="3059" width="5.42578125" style="144" bestFit="1" customWidth="1"/>
    <col min="3060" max="3060" width="20.42578125" style="144" bestFit="1" customWidth="1"/>
    <col min="3061" max="3061" width="41.42578125" style="144" customWidth="1"/>
    <col min="3062" max="3062" width="15.28515625" style="144" bestFit="1" customWidth="1"/>
    <col min="3063" max="3063" width="16.7109375" style="144" bestFit="1" customWidth="1"/>
    <col min="3064" max="3064" width="11.28515625" style="144" bestFit="1" customWidth="1"/>
    <col min="3065" max="3065" width="14" style="144" bestFit="1" customWidth="1"/>
    <col min="3066" max="3066" width="11.85546875" style="144" bestFit="1" customWidth="1"/>
    <col min="3067" max="3067" width="14.85546875" style="144" bestFit="1" customWidth="1"/>
    <col min="3068" max="3068" width="9.7109375" style="144" customWidth="1"/>
    <col min="3069" max="3069" width="4.85546875" style="144" customWidth="1"/>
    <col min="3070" max="3314" width="9.140625" style="144"/>
    <col min="3315" max="3315" width="5.42578125" style="144" bestFit="1" customWidth="1"/>
    <col min="3316" max="3316" width="20.42578125" style="144" bestFit="1" customWidth="1"/>
    <col min="3317" max="3317" width="41.42578125" style="144" customWidth="1"/>
    <col min="3318" max="3318" width="15.28515625" style="144" bestFit="1" customWidth="1"/>
    <col min="3319" max="3319" width="16.7109375" style="144" bestFit="1" customWidth="1"/>
    <col min="3320" max="3320" width="11.28515625" style="144" bestFit="1" customWidth="1"/>
    <col min="3321" max="3321" width="14" style="144" bestFit="1" customWidth="1"/>
    <col min="3322" max="3322" width="11.85546875" style="144" bestFit="1" customWidth="1"/>
    <col min="3323" max="3323" width="14.85546875" style="144" bestFit="1" customWidth="1"/>
    <col min="3324" max="3324" width="9.7109375" style="144" customWidth="1"/>
    <col min="3325" max="3325" width="4.85546875" style="144" customWidth="1"/>
    <col min="3326" max="3570" width="9.140625" style="144"/>
    <col min="3571" max="3571" width="5.42578125" style="144" bestFit="1" customWidth="1"/>
    <col min="3572" max="3572" width="20.42578125" style="144" bestFit="1" customWidth="1"/>
    <col min="3573" max="3573" width="41.42578125" style="144" customWidth="1"/>
    <col min="3574" max="3574" width="15.28515625" style="144" bestFit="1" customWidth="1"/>
    <col min="3575" max="3575" width="16.7109375" style="144" bestFit="1" customWidth="1"/>
    <col min="3576" max="3576" width="11.28515625" style="144" bestFit="1" customWidth="1"/>
    <col min="3577" max="3577" width="14" style="144" bestFit="1" customWidth="1"/>
    <col min="3578" max="3578" width="11.85546875" style="144" bestFit="1" customWidth="1"/>
    <col min="3579" max="3579" width="14.85546875" style="144" bestFit="1" customWidth="1"/>
    <col min="3580" max="3580" width="9.7109375" style="144" customWidth="1"/>
    <col min="3581" max="3581" width="4.85546875" style="144" customWidth="1"/>
    <col min="3582" max="3826" width="9.140625" style="144"/>
    <col min="3827" max="3827" width="5.42578125" style="144" bestFit="1" customWidth="1"/>
    <col min="3828" max="3828" width="20.42578125" style="144" bestFit="1" customWidth="1"/>
    <col min="3829" max="3829" width="41.42578125" style="144" customWidth="1"/>
    <col min="3830" max="3830" width="15.28515625" style="144" bestFit="1" customWidth="1"/>
    <col min="3831" max="3831" width="16.7109375" style="144" bestFit="1" customWidth="1"/>
    <col min="3832" max="3832" width="11.28515625" style="144" bestFit="1" customWidth="1"/>
    <col min="3833" max="3833" width="14" style="144" bestFit="1" customWidth="1"/>
    <col min="3834" max="3834" width="11.85546875" style="144" bestFit="1" customWidth="1"/>
    <col min="3835" max="3835" width="14.85546875" style="144" bestFit="1" customWidth="1"/>
    <col min="3836" max="3836" width="9.7109375" style="144" customWidth="1"/>
    <col min="3837" max="3837" width="4.85546875" style="144" customWidth="1"/>
    <col min="3838" max="4082" width="9.140625" style="144"/>
    <col min="4083" max="4083" width="5.42578125" style="144" bestFit="1" customWidth="1"/>
    <col min="4084" max="4084" width="20.42578125" style="144" bestFit="1" customWidth="1"/>
    <col min="4085" max="4085" width="41.42578125" style="144" customWidth="1"/>
    <col min="4086" max="4086" width="15.28515625" style="144" bestFit="1" customWidth="1"/>
    <col min="4087" max="4087" width="16.7109375" style="144" bestFit="1" customWidth="1"/>
    <col min="4088" max="4088" width="11.28515625" style="144" bestFit="1" customWidth="1"/>
    <col min="4089" max="4089" width="14" style="144" bestFit="1" customWidth="1"/>
    <col min="4090" max="4090" width="11.85546875" style="144" bestFit="1" customWidth="1"/>
    <col min="4091" max="4091" width="14.85546875" style="144" bestFit="1" customWidth="1"/>
    <col min="4092" max="4092" width="9.7109375" style="144" customWidth="1"/>
    <col min="4093" max="4093" width="4.85546875" style="144" customWidth="1"/>
    <col min="4094" max="4338" width="9.140625" style="144"/>
    <col min="4339" max="4339" width="5.42578125" style="144" bestFit="1" customWidth="1"/>
    <col min="4340" max="4340" width="20.42578125" style="144" bestFit="1" customWidth="1"/>
    <col min="4341" max="4341" width="41.42578125" style="144" customWidth="1"/>
    <col min="4342" max="4342" width="15.28515625" style="144" bestFit="1" customWidth="1"/>
    <col min="4343" max="4343" width="16.7109375" style="144" bestFit="1" customWidth="1"/>
    <col min="4344" max="4344" width="11.28515625" style="144" bestFit="1" customWidth="1"/>
    <col min="4345" max="4345" width="14" style="144" bestFit="1" customWidth="1"/>
    <col min="4346" max="4346" width="11.85546875" style="144" bestFit="1" customWidth="1"/>
    <col min="4347" max="4347" width="14.85546875" style="144" bestFit="1" customWidth="1"/>
    <col min="4348" max="4348" width="9.7109375" style="144" customWidth="1"/>
    <col min="4349" max="4349" width="4.85546875" style="144" customWidth="1"/>
    <col min="4350" max="4594" width="9.140625" style="144"/>
    <col min="4595" max="4595" width="5.42578125" style="144" bestFit="1" customWidth="1"/>
    <col min="4596" max="4596" width="20.42578125" style="144" bestFit="1" customWidth="1"/>
    <col min="4597" max="4597" width="41.42578125" style="144" customWidth="1"/>
    <col min="4598" max="4598" width="15.28515625" style="144" bestFit="1" customWidth="1"/>
    <col min="4599" max="4599" width="16.7109375" style="144" bestFit="1" customWidth="1"/>
    <col min="4600" max="4600" width="11.28515625" style="144" bestFit="1" customWidth="1"/>
    <col min="4601" max="4601" width="14" style="144" bestFit="1" customWidth="1"/>
    <col min="4602" max="4602" width="11.85546875" style="144" bestFit="1" customWidth="1"/>
    <col min="4603" max="4603" width="14.85546875" style="144" bestFit="1" customWidth="1"/>
    <col min="4604" max="4604" width="9.7109375" style="144" customWidth="1"/>
    <col min="4605" max="4605" width="4.85546875" style="144" customWidth="1"/>
    <col min="4606" max="4850" width="9.140625" style="144"/>
    <col min="4851" max="4851" width="5.42578125" style="144" bestFit="1" customWidth="1"/>
    <col min="4852" max="4852" width="20.42578125" style="144" bestFit="1" customWidth="1"/>
    <col min="4853" max="4853" width="41.42578125" style="144" customWidth="1"/>
    <col min="4854" max="4854" width="15.28515625" style="144" bestFit="1" customWidth="1"/>
    <col min="4855" max="4855" width="16.7109375" style="144" bestFit="1" customWidth="1"/>
    <col min="4856" max="4856" width="11.28515625" style="144" bestFit="1" customWidth="1"/>
    <col min="4857" max="4857" width="14" style="144" bestFit="1" customWidth="1"/>
    <col min="4858" max="4858" width="11.85546875" style="144" bestFit="1" customWidth="1"/>
    <col min="4859" max="4859" width="14.85546875" style="144" bestFit="1" customWidth="1"/>
    <col min="4860" max="4860" width="9.7109375" style="144" customWidth="1"/>
    <col min="4861" max="4861" width="4.85546875" style="144" customWidth="1"/>
    <col min="4862" max="5106" width="9.140625" style="144"/>
    <col min="5107" max="5107" width="5.42578125" style="144" bestFit="1" customWidth="1"/>
    <col min="5108" max="5108" width="20.42578125" style="144" bestFit="1" customWidth="1"/>
    <col min="5109" max="5109" width="41.42578125" style="144" customWidth="1"/>
    <col min="5110" max="5110" width="15.28515625" style="144" bestFit="1" customWidth="1"/>
    <col min="5111" max="5111" width="16.7109375" style="144" bestFit="1" customWidth="1"/>
    <col min="5112" max="5112" width="11.28515625" style="144" bestFit="1" customWidth="1"/>
    <col min="5113" max="5113" width="14" style="144" bestFit="1" customWidth="1"/>
    <col min="5114" max="5114" width="11.85546875" style="144" bestFit="1" customWidth="1"/>
    <col min="5115" max="5115" width="14.85546875" style="144" bestFit="1" customWidth="1"/>
    <col min="5116" max="5116" width="9.7109375" style="144" customWidth="1"/>
    <col min="5117" max="5117" width="4.85546875" style="144" customWidth="1"/>
    <col min="5118" max="5362" width="9.140625" style="144"/>
    <col min="5363" max="5363" width="5.42578125" style="144" bestFit="1" customWidth="1"/>
    <col min="5364" max="5364" width="20.42578125" style="144" bestFit="1" customWidth="1"/>
    <col min="5365" max="5365" width="41.42578125" style="144" customWidth="1"/>
    <col min="5366" max="5366" width="15.28515625" style="144" bestFit="1" customWidth="1"/>
    <col min="5367" max="5367" width="16.7109375" style="144" bestFit="1" customWidth="1"/>
    <col min="5368" max="5368" width="11.28515625" style="144" bestFit="1" customWidth="1"/>
    <col min="5369" max="5369" width="14" style="144" bestFit="1" customWidth="1"/>
    <col min="5370" max="5370" width="11.85546875" style="144" bestFit="1" customWidth="1"/>
    <col min="5371" max="5371" width="14.85546875" style="144" bestFit="1" customWidth="1"/>
    <col min="5372" max="5372" width="9.7109375" style="144" customWidth="1"/>
    <col min="5373" max="5373" width="4.85546875" style="144" customWidth="1"/>
    <col min="5374" max="5618" width="9.140625" style="144"/>
    <col min="5619" max="5619" width="5.42578125" style="144" bestFit="1" customWidth="1"/>
    <col min="5620" max="5620" width="20.42578125" style="144" bestFit="1" customWidth="1"/>
    <col min="5621" max="5621" width="41.42578125" style="144" customWidth="1"/>
    <col min="5622" max="5622" width="15.28515625" style="144" bestFit="1" customWidth="1"/>
    <col min="5623" max="5623" width="16.7109375" style="144" bestFit="1" customWidth="1"/>
    <col min="5624" max="5624" width="11.28515625" style="144" bestFit="1" customWidth="1"/>
    <col min="5625" max="5625" width="14" style="144" bestFit="1" customWidth="1"/>
    <col min="5626" max="5626" width="11.85546875" style="144" bestFit="1" customWidth="1"/>
    <col min="5627" max="5627" width="14.85546875" style="144" bestFit="1" customWidth="1"/>
    <col min="5628" max="5628" width="9.7109375" style="144" customWidth="1"/>
    <col min="5629" max="5629" width="4.85546875" style="144" customWidth="1"/>
    <col min="5630" max="5874" width="9.140625" style="144"/>
    <col min="5875" max="5875" width="5.42578125" style="144" bestFit="1" customWidth="1"/>
    <col min="5876" max="5876" width="20.42578125" style="144" bestFit="1" customWidth="1"/>
    <col min="5877" max="5877" width="41.42578125" style="144" customWidth="1"/>
    <col min="5878" max="5878" width="15.28515625" style="144" bestFit="1" customWidth="1"/>
    <col min="5879" max="5879" width="16.7109375" style="144" bestFit="1" customWidth="1"/>
    <col min="5880" max="5880" width="11.28515625" style="144" bestFit="1" customWidth="1"/>
    <col min="5881" max="5881" width="14" style="144" bestFit="1" customWidth="1"/>
    <col min="5882" max="5882" width="11.85546875" style="144" bestFit="1" customWidth="1"/>
    <col min="5883" max="5883" width="14.85546875" style="144" bestFit="1" customWidth="1"/>
    <col min="5884" max="5884" width="9.7109375" style="144" customWidth="1"/>
    <col min="5885" max="5885" width="4.85546875" style="144" customWidth="1"/>
    <col min="5886" max="6130" width="9.140625" style="144"/>
    <col min="6131" max="6131" width="5.42578125" style="144" bestFit="1" customWidth="1"/>
    <col min="6132" max="6132" width="20.42578125" style="144" bestFit="1" customWidth="1"/>
    <col min="6133" max="6133" width="41.42578125" style="144" customWidth="1"/>
    <col min="6134" max="6134" width="15.28515625" style="144" bestFit="1" customWidth="1"/>
    <col min="6135" max="6135" width="16.7109375" style="144" bestFit="1" customWidth="1"/>
    <col min="6136" max="6136" width="11.28515625" style="144" bestFit="1" customWidth="1"/>
    <col min="6137" max="6137" width="14" style="144" bestFit="1" customWidth="1"/>
    <col min="6138" max="6138" width="11.85546875" style="144" bestFit="1" customWidth="1"/>
    <col min="6139" max="6139" width="14.85546875" style="144" bestFit="1" customWidth="1"/>
    <col min="6140" max="6140" width="9.7109375" style="144" customWidth="1"/>
    <col min="6141" max="6141" width="4.85546875" style="144" customWidth="1"/>
    <col min="6142" max="6386" width="9.140625" style="144"/>
    <col min="6387" max="6387" width="5.42578125" style="144" bestFit="1" customWidth="1"/>
    <col min="6388" max="6388" width="20.42578125" style="144" bestFit="1" customWidth="1"/>
    <col min="6389" max="6389" width="41.42578125" style="144" customWidth="1"/>
    <col min="6390" max="6390" width="15.28515625" style="144" bestFit="1" customWidth="1"/>
    <col min="6391" max="6391" width="16.7109375" style="144" bestFit="1" customWidth="1"/>
    <col min="6392" max="6392" width="11.28515625" style="144" bestFit="1" customWidth="1"/>
    <col min="6393" max="6393" width="14" style="144" bestFit="1" customWidth="1"/>
    <col min="6394" max="6394" width="11.85546875" style="144" bestFit="1" customWidth="1"/>
    <col min="6395" max="6395" width="14.85546875" style="144" bestFit="1" customWidth="1"/>
    <col min="6396" max="6396" width="9.7109375" style="144" customWidth="1"/>
    <col min="6397" max="6397" width="4.85546875" style="144" customWidth="1"/>
    <col min="6398" max="6642" width="9.140625" style="144"/>
    <col min="6643" max="6643" width="5.42578125" style="144" bestFit="1" customWidth="1"/>
    <col min="6644" max="6644" width="20.42578125" style="144" bestFit="1" customWidth="1"/>
    <col min="6645" max="6645" width="41.42578125" style="144" customWidth="1"/>
    <col min="6646" max="6646" width="15.28515625" style="144" bestFit="1" customWidth="1"/>
    <col min="6647" max="6647" width="16.7109375" style="144" bestFit="1" customWidth="1"/>
    <col min="6648" max="6648" width="11.28515625" style="144" bestFit="1" customWidth="1"/>
    <col min="6649" max="6649" width="14" style="144" bestFit="1" customWidth="1"/>
    <col min="6650" max="6650" width="11.85546875" style="144" bestFit="1" customWidth="1"/>
    <col min="6651" max="6651" width="14.85546875" style="144" bestFit="1" customWidth="1"/>
    <col min="6652" max="6652" width="9.7109375" style="144" customWidth="1"/>
    <col min="6653" max="6653" width="4.85546875" style="144" customWidth="1"/>
    <col min="6654" max="6898" width="9.140625" style="144"/>
    <col min="6899" max="6899" width="5.42578125" style="144" bestFit="1" customWidth="1"/>
    <col min="6900" max="6900" width="20.42578125" style="144" bestFit="1" customWidth="1"/>
    <col min="6901" max="6901" width="41.42578125" style="144" customWidth="1"/>
    <col min="6902" max="6902" width="15.28515625" style="144" bestFit="1" customWidth="1"/>
    <col min="6903" max="6903" width="16.7109375" style="144" bestFit="1" customWidth="1"/>
    <col min="6904" max="6904" width="11.28515625" style="144" bestFit="1" customWidth="1"/>
    <col min="6905" max="6905" width="14" style="144" bestFit="1" customWidth="1"/>
    <col min="6906" max="6906" width="11.85546875" style="144" bestFit="1" customWidth="1"/>
    <col min="6907" max="6907" width="14.85546875" style="144" bestFit="1" customWidth="1"/>
    <col min="6908" max="6908" width="9.7109375" style="144" customWidth="1"/>
    <col min="6909" max="6909" width="4.85546875" style="144" customWidth="1"/>
    <col min="6910" max="7154" width="9.140625" style="144"/>
    <col min="7155" max="7155" width="5.42578125" style="144" bestFit="1" customWidth="1"/>
    <col min="7156" max="7156" width="20.42578125" style="144" bestFit="1" customWidth="1"/>
    <col min="7157" max="7157" width="41.42578125" style="144" customWidth="1"/>
    <col min="7158" max="7158" width="15.28515625" style="144" bestFit="1" customWidth="1"/>
    <col min="7159" max="7159" width="16.7109375" style="144" bestFit="1" customWidth="1"/>
    <col min="7160" max="7160" width="11.28515625" style="144" bestFit="1" customWidth="1"/>
    <col min="7161" max="7161" width="14" style="144" bestFit="1" customWidth="1"/>
    <col min="7162" max="7162" width="11.85546875" style="144" bestFit="1" customWidth="1"/>
    <col min="7163" max="7163" width="14.85546875" style="144" bestFit="1" customWidth="1"/>
    <col min="7164" max="7164" width="9.7109375" style="144" customWidth="1"/>
    <col min="7165" max="7165" width="4.85546875" style="144" customWidth="1"/>
    <col min="7166" max="7410" width="9.140625" style="144"/>
    <col min="7411" max="7411" width="5.42578125" style="144" bestFit="1" customWidth="1"/>
    <col min="7412" max="7412" width="20.42578125" style="144" bestFit="1" customWidth="1"/>
    <col min="7413" max="7413" width="41.42578125" style="144" customWidth="1"/>
    <col min="7414" max="7414" width="15.28515625" style="144" bestFit="1" customWidth="1"/>
    <col min="7415" max="7415" width="16.7109375" style="144" bestFit="1" customWidth="1"/>
    <col min="7416" max="7416" width="11.28515625" style="144" bestFit="1" customWidth="1"/>
    <col min="7417" max="7417" width="14" style="144" bestFit="1" customWidth="1"/>
    <col min="7418" max="7418" width="11.85546875" style="144" bestFit="1" customWidth="1"/>
    <col min="7419" max="7419" width="14.85546875" style="144" bestFit="1" customWidth="1"/>
    <col min="7420" max="7420" width="9.7109375" style="144" customWidth="1"/>
    <col min="7421" max="7421" width="4.85546875" style="144" customWidth="1"/>
    <col min="7422" max="7666" width="9.140625" style="144"/>
    <col min="7667" max="7667" width="5.42578125" style="144" bestFit="1" customWidth="1"/>
    <col min="7668" max="7668" width="20.42578125" style="144" bestFit="1" customWidth="1"/>
    <col min="7669" max="7669" width="41.42578125" style="144" customWidth="1"/>
    <col min="7670" max="7670" width="15.28515625" style="144" bestFit="1" customWidth="1"/>
    <col min="7671" max="7671" width="16.7109375" style="144" bestFit="1" customWidth="1"/>
    <col min="7672" max="7672" width="11.28515625" style="144" bestFit="1" customWidth="1"/>
    <col min="7673" max="7673" width="14" style="144" bestFit="1" customWidth="1"/>
    <col min="7674" max="7674" width="11.85546875" style="144" bestFit="1" customWidth="1"/>
    <col min="7675" max="7675" width="14.85546875" style="144" bestFit="1" customWidth="1"/>
    <col min="7676" max="7676" width="9.7109375" style="144" customWidth="1"/>
    <col min="7677" max="7677" width="4.85546875" style="144" customWidth="1"/>
    <col min="7678" max="7922" width="9.140625" style="144"/>
    <col min="7923" max="7923" width="5.42578125" style="144" bestFit="1" customWidth="1"/>
    <col min="7924" max="7924" width="20.42578125" style="144" bestFit="1" customWidth="1"/>
    <col min="7925" max="7925" width="41.42578125" style="144" customWidth="1"/>
    <col min="7926" max="7926" width="15.28515625" style="144" bestFit="1" customWidth="1"/>
    <col min="7927" max="7927" width="16.7109375" style="144" bestFit="1" customWidth="1"/>
    <col min="7928" max="7928" width="11.28515625" style="144" bestFit="1" customWidth="1"/>
    <col min="7929" max="7929" width="14" style="144" bestFit="1" customWidth="1"/>
    <col min="7930" max="7930" width="11.85546875" style="144" bestFit="1" customWidth="1"/>
    <col min="7931" max="7931" width="14.85546875" style="144" bestFit="1" customWidth="1"/>
    <col min="7932" max="7932" width="9.7109375" style="144" customWidth="1"/>
    <col min="7933" max="7933" width="4.85546875" style="144" customWidth="1"/>
    <col min="7934" max="8178" width="9.140625" style="144"/>
    <col min="8179" max="8179" width="5.42578125" style="144" bestFit="1" customWidth="1"/>
    <col min="8180" max="8180" width="20.42578125" style="144" bestFit="1" customWidth="1"/>
    <col min="8181" max="8181" width="41.42578125" style="144" customWidth="1"/>
    <col min="8182" max="8182" width="15.28515625" style="144" bestFit="1" customWidth="1"/>
    <col min="8183" max="8183" width="16.7109375" style="144" bestFit="1" customWidth="1"/>
    <col min="8184" max="8184" width="11.28515625" style="144" bestFit="1" customWidth="1"/>
    <col min="8185" max="8185" width="14" style="144" bestFit="1" customWidth="1"/>
    <col min="8186" max="8186" width="11.85546875" style="144" bestFit="1" customWidth="1"/>
    <col min="8187" max="8187" width="14.85546875" style="144" bestFit="1" customWidth="1"/>
    <col min="8188" max="8188" width="9.7109375" style="144" customWidth="1"/>
    <col min="8189" max="8189" width="4.85546875" style="144" customWidth="1"/>
    <col min="8190" max="8434" width="9.140625" style="144"/>
    <col min="8435" max="8435" width="5.42578125" style="144" bestFit="1" customWidth="1"/>
    <col min="8436" max="8436" width="20.42578125" style="144" bestFit="1" customWidth="1"/>
    <col min="8437" max="8437" width="41.42578125" style="144" customWidth="1"/>
    <col min="8438" max="8438" width="15.28515625" style="144" bestFit="1" customWidth="1"/>
    <col min="8439" max="8439" width="16.7109375" style="144" bestFit="1" customWidth="1"/>
    <col min="8440" max="8440" width="11.28515625" style="144" bestFit="1" customWidth="1"/>
    <col min="8441" max="8441" width="14" style="144" bestFit="1" customWidth="1"/>
    <col min="8442" max="8442" width="11.85546875" style="144" bestFit="1" customWidth="1"/>
    <col min="8443" max="8443" width="14.85546875" style="144" bestFit="1" customWidth="1"/>
    <col min="8444" max="8444" width="9.7109375" style="144" customWidth="1"/>
    <col min="8445" max="8445" width="4.85546875" style="144" customWidth="1"/>
    <col min="8446" max="8690" width="9.140625" style="144"/>
    <col min="8691" max="8691" width="5.42578125" style="144" bestFit="1" customWidth="1"/>
    <col min="8692" max="8692" width="20.42578125" style="144" bestFit="1" customWidth="1"/>
    <col min="8693" max="8693" width="41.42578125" style="144" customWidth="1"/>
    <col min="8694" max="8694" width="15.28515625" style="144" bestFit="1" customWidth="1"/>
    <col min="8695" max="8695" width="16.7109375" style="144" bestFit="1" customWidth="1"/>
    <col min="8696" max="8696" width="11.28515625" style="144" bestFit="1" customWidth="1"/>
    <col min="8697" max="8697" width="14" style="144" bestFit="1" customWidth="1"/>
    <col min="8698" max="8698" width="11.85546875" style="144" bestFit="1" customWidth="1"/>
    <col min="8699" max="8699" width="14.85546875" style="144" bestFit="1" customWidth="1"/>
    <col min="8700" max="8700" width="9.7109375" style="144" customWidth="1"/>
    <col min="8701" max="8701" width="4.85546875" style="144" customWidth="1"/>
    <col min="8702" max="8946" width="9.140625" style="144"/>
    <col min="8947" max="8947" width="5.42578125" style="144" bestFit="1" customWidth="1"/>
    <col min="8948" max="8948" width="20.42578125" style="144" bestFit="1" customWidth="1"/>
    <col min="8949" max="8949" width="41.42578125" style="144" customWidth="1"/>
    <col min="8950" max="8950" width="15.28515625" style="144" bestFit="1" customWidth="1"/>
    <col min="8951" max="8951" width="16.7109375" style="144" bestFit="1" customWidth="1"/>
    <col min="8952" max="8952" width="11.28515625" style="144" bestFit="1" customWidth="1"/>
    <col min="8953" max="8953" width="14" style="144" bestFit="1" customWidth="1"/>
    <col min="8954" max="8954" width="11.85546875" style="144" bestFit="1" customWidth="1"/>
    <col min="8955" max="8955" width="14.85546875" style="144" bestFit="1" customWidth="1"/>
    <col min="8956" max="8956" width="9.7109375" style="144" customWidth="1"/>
    <col min="8957" max="8957" width="4.85546875" style="144" customWidth="1"/>
    <col min="8958" max="9202" width="9.140625" style="144"/>
    <col min="9203" max="9203" width="5.42578125" style="144" bestFit="1" customWidth="1"/>
    <col min="9204" max="9204" width="20.42578125" style="144" bestFit="1" customWidth="1"/>
    <col min="9205" max="9205" width="41.42578125" style="144" customWidth="1"/>
    <col min="9206" max="9206" width="15.28515625" style="144" bestFit="1" customWidth="1"/>
    <col min="9207" max="9207" width="16.7109375" style="144" bestFit="1" customWidth="1"/>
    <col min="9208" max="9208" width="11.28515625" style="144" bestFit="1" customWidth="1"/>
    <col min="9209" max="9209" width="14" style="144" bestFit="1" customWidth="1"/>
    <col min="9210" max="9210" width="11.85546875" style="144" bestFit="1" customWidth="1"/>
    <col min="9211" max="9211" width="14.85546875" style="144" bestFit="1" customWidth="1"/>
    <col min="9212" max="9212" width="9.7109375" style="144" customWidth="1"/>
    <col min="9213" max="9213" width="4.85546875" style="144" customWidth="1"/>
    <col min="9214" max="9458" width="9.140625" style="144"/>
    <col min="9459" max="9459" width="5.42578125" style="144" bestFit="1" customWidth="1"/>
    <col min="9460" max="9460" width="20.42578125" style="144" bestFit="1" customWidth="1"/>
    <col min="9461" max="9461" width="41.42578125" style="144" customWidth="1"/>
    <col min="9462" max="9462" width="15.28515625" style="144" bestFit="1" customWidth="1"/>
    <col min="9463" max="9463" width="16.7109375" style="144" bestFit="1" customWidth="1"/>
    <col min="9464" max="9464" width="11.28515625" style="144" bestFit="1" customWidth="1"/>
    <col min="9465" max="9465" width="14" style="144" bestFit="1" customWidth="1"/>
    <col min="9466" max="9466" width="11.85546875" style="144" bestFit="1" customWidth="1"/>
    <col min="9467" max="9467" width="14.85546875" style="144" bestFit="1" customWidth="1"/>
    <col min="9468" max="9468" width="9.7109375" style="144" customWidth="1"/>
    <col min="9469" max="9469" width="4.85546875" style="144" customWidth="1"/>
    <col min="9470" max="9714" width="9.140625" style="144"/>
    <col min="9715" max="9715" width="5.42578125" style="144" bestFit="1" customWidth="1"/>
    <col min="9716" max="9716" width="20.42578125" style="144" bestFit="1" customWidth="1"/>
    <col min="9717" max="9717" width="41.42578125" style="144" customWidth="1"/>
    <col min="9718" max="9718" width="15.28515625" style="144" bestFit="1" customWidth="1"/>
    <col min="9719" max="9719" width="16.7109375" style="144" bestFit="1" customWidth="1"/>
    <col min="9720" max="9720" width="11.28515625" style="144" bestFit="1" customWidth="1"/>
    <col min="9721" max="9721" width="14" style="144" bestFit="1" customWidth="1"/>
    <col min="9722" max="9722" width="11.85546875" style="144" bestFit="1" customWidth="1"/>
    <col min="9723" max="9723" width="14.85546875" style="144" bestFit="1" customWidth="1"/>
    <col min="9724" max="9724" width="9.7109375" style="144" customWidth="1"/>
    <col min="9725" max="9725" width="4.85546875" style="144" customWidth="1"/>
    <col min="9726" max="9970" width="9.140625" style="144"/>
    <col min="9971" max="9971" width="5.42578125" style="144" bestFit="1" customWidth="1"/>
    <col min="9972" max="9972" width="20.42578125" style="144" bestFit="1" customWidth="1"/>
    <col min="9973" max="9973" width="41.42578125" style="144" customWidth="1"/>
    <col min="9974" max="9974" width="15.28515625" style="144" bestFit="1" customWidth="1"/>
    <col min="9975" max="9975" width="16.7109375" style="144" bestFit="1" customWidth="1"/>
    <col min="9976" max="9976" width="11.28515625" style="144" bestFit="1" customWidth="1"/>
    <col min="9977" max="9977" width="14" style="144" bestFit="1" customWidth="1"/>
    <col min="9978" max="9978" width="11.85546875" style="144" bestFit="1" customWidth="1"/>
    <col min="9979" max="9979" width="14.85546875" style="144" bestFit="1" customWidth="1"/>
    <col min="9980" max="9980" width="9.7109375" style="144" customWidth="1"/>
    <col min="9981" max="9981" width="4.85546875" style="144" customWidth="1"/>
    <col min="9982" max="10226" width="9.140625" style="144"/>
    <col min="10227" max="10227" width="5.42578125" style="144" bestFit="1" customWidth="1"/>
    <col min="10228" max="10228" width="20.42578125" style="144" bestFit="1" customWidth="1"/>
    <col min="10229" max="10229" width="41.42578125" style="144" customWidth="1"/>
    <col min="10230" max="10230" width="15.28515625" style="144" bestFit="1" customWidth="1"/>
    <col min="10231" max="10231" width="16.7109375" style="144" bestFit="1" customWidth="1"/>
    <col min="10232" max="10232" width="11.28515625" style="144" bestFit="1" customWidth="1"/>
    <col min="10233" max="10233" width="14" style="144" bestFit="1" customWidth="1"/>
    <col min="10234" max="10234" width="11.85546875" style="144" bestFit="1" customWidth="1"/>
    <col min="10235" max="10235" width="14.85546875" style="144" bestFit="1" customWidth="1"/>
    <col min="10236" max="10236" width="9.7109375" style="144" customWidth="1"/>
    <col min="10237" max="10237" width="4.85546875" style="144" customWidth="1"/>
    <col min="10238" max="10482" width="9.140625" style="144"/>
    <col min="10483" max="10483" width="5.42578125" style="144" bestFit="1" customWidth="1"/>
    <col min="10484" max="10484" width="20.42578125" style="144" bestFit="1" customWidth="1"/>
    <col min="10485" max="10485" width="41.42578125" style="144" customWidth="1"/>
    <col min="10486" max="10486" width="15.28515625" style="144" bestFit="1" customWidth="1"/>
    <col min="10487" max="10487" width="16.7109375" style="144" bestFit="1" customWidth="1"/>
    <col min="10488" max="10488" width="11.28515625" style="144" bestFit="1" customWidth="1"/>
    <col min="10489" max="10489" width="14" style="144" bestFit="1" customWidth="1"/>
    <col min="10490" max="10490" width="11.85546875" style="144" bestFit="1" customWidth="1"/>
    <col min="10491" max="10491" width="14.85546875" style="144" bestFit="1" customWidth="1"/>
    <col min="10492" max="10492" width="9.7109375" style="144" customWidth="1"/>
    <col min="10493" max="10493" width="4.85546875" style="144" customWidth="1"/>
    <col min="10494" max="10738" width="9.140625" style="144"/>
    <col min="10739" max="10739" width="5.42578125" style="144" bestFit="1" customWidth="1"/>
    <col min="10740" max="10740" width="20.42578125" style="144" bestFit="1" customWidth="1"/>
    <col min="10741" max="10741" width="41.42578125" style="144" customWidth="1"/>
    <col min="10742" max="10742" width="15.28515625" style="144" bestFit="1" customWidth="1"/>
    <col min="10743" max="10743" width="16.7109375" style="144" bestFit="1" customWidth="1"/>
    <col min="10744" max="10744" width="11.28515625" style="144" bestFit="1" customWidth="1"/>
    <col min="10745" max="10745" width="14" style="144" bestFit="1" customWidth="1"/>
    <col min="10746" max="10746" width="11.85546875" style="144" bestFit="1" customWidth="1"/>
    <col min="10747" max="10747" width="14.85546875" style="144" bestFit="1" customWidth="1"/>
    <col min="10748" max="10748" width="9.7109375" style="144" customWidth="1"/>
    <col min="10749" max="10749" width="4.85546875" style="144" customWidth="1"/>
    <col min="10750" max="10994" width="9.140625" style="144"/>
    <col min="10995" max="10995" width="5.42578125" style="144" bestFit="1" customWidth="1"/>
    <col min="10996" max="10996" width="20.42578125" style="144" bestFit="1" customWidth="1"/>
    <col min="10997" max="10997" width="41.42578125" style="144" customWidth="1"/>
    <col min="10998" max="10998" width="15.28515625" style="144" bestFit="1" customWidth="1"/>
    <col min="10999" max="10999" width="16.7109375" style="144" bestFit="1" customWidth="1"/>
    <col min="11000" max="11000" width="11.28515625" style="144" bestFit="1" customWidth="1"/>
    <col min="11001" max="11001" width="14" style="144" bestFit="1" customWidth="1"/>
    <col min="11002" max="11002" width="11.85546875" style="144" bestFit="1" customWidth="1"/>
    <col min="11003" max="11003" width="14.85546875" style="144" bestFit="1" customWidth="1"/>
    <col min="11004" max="11004" width="9.7109375" style="144" customWidth="1"/>
    <col min="11005" max="11005" width="4.85546875" style="144" customWidth="1"/>
    <col min="11006" max="11250" width="9.140625" style="144"/>
    <col min="11251" max="11251" width="5.42578125" style="144" bestFit="1" customWidth="1"/>
    <col min="11252" max="11252" width="20.42578125" style="144" bestFit="1" customWidth="1"/>
    <col min="11253" max="11253" width="41.42578125" style="144" customWidth="1"/>
    <col min="11254" max="11254" width="15.28515625" style="144" bestFit="1" customWidth="1"/>
    <col min="11255" max="11255" width="16.7109375" style="144" bestFit="1" customWidth="1"/>
    <col min="11256" max="11256" width="11.28515625" style="144" bestFit="1" customWidth="1"/>
    <col min="11257" max="11257" width="14" style="144" bestFit="1" customWidth="1"/>
    <col min="11258" max="11258" width="11.85546875" style="144" bestFit="1" customWidth="1"/>
    <col min="11259" max="11259" width="14.85546875" style="144" bestFit="1" customWidth="1"/>
    <col min="11260" max="11260" width="9.7109375" style="144" customWidth="1"/>
    <col min="11261" max="11261" width="4.85546875" style="144" customWidth="1"/>
    <col min="11262" max="11506" width="9.140625" style="144"/>
    <col min="11507" max="11507" width="5.42578125" style="144" bestFit="1" customWidth="1"/>
    <col min="11508" max="11508" width="20.42578125" style="144" bestFit="1" customWidth="1"/>
    <col min="11509" max="11509" width="41.42578125" style="144" customWidth="1"/>
    <col min="11510" max="11510" width="15.28515625" style="144" bestFit="1" customWidth="1"/>
    <col min="11511" max="11511" width="16.7109375" style="144" bestFit="1" customWidth="1"/>
    <col min="11512" max="11512" width="11.28515625" style="144" bestFit="1" customWidth="1"/>
    <col min="11513" max="11513" width="14" style="144" bestFit="1" customWidth="1"/>
    <col min="11514" max="11514" width="11.85546875" style="144" bestFit="1" customWidth="1"/>
    <col min="11515" max="11515" width="14.85546875" style="144" bestFit="1" customWidth="1"/>
    <col min="11516" max="11516" width="9.7109375" style="144" customWidth="1"/>
    <col min="11517" max="11517" width="4.85546875" style="144" customWidth="1"/>
    <col min="11518" max="11762" width="9.140625" style="144"/>
    <col min="11763" max="11763" width="5.42578125" style="144" bestFit="1" customWidth="1"/>
    <col min="11764" max="11764" width="20.42578125" style="144" bestFit="1" customWidth="1"/>
    <col min="11765" max="11765" width="41.42578125" style="144" customWidth="1"/>
    <col min="11766" max="11766" width="15.28515625" style="144" bestFit="1" customWidth="1"/>
    <col min="11767" max="11767" width="16.7109375" style="144" bestFit="1" customWidth="1"/>
    <col min="11768" max="11768" width="11.28515625" style="144" bestFit="1" customWidth="1"/>
    <col min="11769" max="11769" width="14" style="144" bestFit="1" customWidth="1"/>
    <col min="11770" max="11770" width="11.85546875" style="144" bestFit="1" customWidth="1"/>
    <col min="11771" max="11771" width="14.85546875" style="144" bestFit="1" customWidth="1"/>
    <col min="11772" max="11772" width="9.7109375" style="144" customWidth="1"/>
    <col min="11773" max="11773" width="4.85546875" style="144" customWidth="1"/>
    <col min="11774" max="12018" width="9.140625" style="144"/>
    <col min="12019" max="12019" width="5.42578125" style="144" bestFit="1" customWidth="1"/>
    <col min="12020" max="12020" width="20.42578125" style="144" bestFit="1" customWidth="1"/>
    <col min="12021" max="12021" width="41.42578125" style="144" customWidth="1"/>
    <col min="12022" max="12022" width="15.28515625" style="144" bestFit="1" customWidth="1"/>
    <col min="12023" max="12023" width="16.7109375" style="144" bestFit="1" customWidth="1"/>
    <col min="12024" max="12024" width="11.28515625" style="144" bestFit="1" customWidth="1"/>
    <col min="12025" max="12025" width="14" style="144" bestFit="1" customWidth="1"/>
    <col min="12026" max="12026" width="11.85546875" style="144" bestFit="1" customWidth="1"/>
    <col min="12027" max="12027" width="14.85546875" style="144" bestFit="1" customWidth="1"/>
    <col min="12028" max="12028" width="9.7109375" style="144" customWidth="1"/>
    <col min="12029" max="12029" width="4.85546875" style="144" customWidth="1"/>
    <col min="12030" max="12274" width="9.140625" style="144"/>
    <col min="12275" max="12275" width="5.42578125" style="144" bestFit="1" customWidth="1"/>
    <col min="12276" max="12276" width="20.42578125" style="144" bestFit="1" customWidth="1"/>
    <col min="12277" max="12277" width="41.42578125" style="144" customWidth="1"/>
    <col min="12278" max="12278" width="15.28515625" style="144" bestFit="1" customWidth="1"/>
    <col min="12279" max="12279" width="16.7109375" style="144" bestFit="1" customWidth="1"/>
    <col min="12280" max="12280" width="11.28515625" style="144" bestFit="1" customWidth="1"/>
    <col min="12281" max="12281" width="14" style="144" bestFit="1" customWidth="1"/>
    <col min="12282" max="12282" width="11.85546875" style="144" bestFit="1" customWidth="1"/>
    <col min="12283" max="12283" width="14.85546875" style="144" bestFit="1" customWidth="1"/>
    <col min="12284" max="12284" width="9.7109375" style="144" customWidth="1"/>
    <col min="12285" max="12285" width="4.85546875" style="144" customWidth="1"/>
    <col min="12286" max="12530" width="9.140625" style="144"/>
    <col min="12531" max="12531" width="5.42578125" style="144" bestFit="1" customWidth="1"/>
    <col min="12532" max="12532" width="20.42578125" style="144" bestFit="1" customWidth="1"/>
    <col min="12533" max="12533" width="41.42578125" style="144" customWidth="1"/>
    <col min="12534" max="12534" width="15.28515625" style="144" bestFit="1" customWidth="1"/>
    <col min="12535" max="12535" width="16.7109375" style="144" bestFit="1" customWidth="1"/>
    <col min="12536" max="12536" width="11.28515625" style="144" bestFit="1" customWidth="1"/>
    <col min="12537" max="12537" width="14" style="144" bestFit="1" customWidth="1"/>
    <col min="12538" max="12538" width="11.85546875" style="144" bestFit="1" customWidth="1"/>
    <col min="12539" max="12539" width="14.85546875" style="144" bestFit="1" customWidth="1"/>
    <col min="12540" max="12540" width="9.7109375" style="144" customWidth="1"/>
    <col min="12541" max="12541" width="4.85546875" style="144" customWidth="1"/>
    <col min="12542" max="12786" width="9.140625" style="144"/>
    <col min="12787" max="12787" width="5.42578125" style="144" bestFit="1" customWidth="1"/>
    <col min="12788" max="12788" width="20.42578125" style="144" bestFit="1" customWidth="1"/>
    <col min="12789" max="12789" width="41.42578125" style="144" customWidth="1"/>
    <col min="12790" max="12790" width="15.28515625" style="144" bestFit="1" customWidth="1"/>
    <col min="12791" max="12791" width="16.7109375" style="144" bestFit="1" customWidth="1"/>
    <col min="12792" max="12792" width="11.28515625" style="144" bestFit="1" customWidth="1"/>
    <col min="12793" max="12793" width="14" style="144" bestFit="1" customWidth="1"/>
    <col min="12794" max="12794" width="11.85546875" style="144" bestFit="1" customWidth="1"/>
    <col min="12795" max="12795" width="14.85546875" style="144" bestFit="1" customWidth="1"/>
    <col min="12796" max="12796" width="9.7109375" style="144" customWidth="1"/>
    <col min="12797" max="12797" width="4.85546875" style="144" customWidth="1"/>
    <col min="12798" max="13042" width="9.140625" style="144"/>
    <col min="13043" max="13043" width="5.42578125" style="144" bestFit="1" customWidth="1"/>
    <col min="13044" max="13044" width="20.42578125" style="144" bestFit="1" customWidth="1"/>
    <col min="13045" max="13045" width="41.42578125" style="144" customWidth="1"/>
    <col min="13046" max="13046" width="15.28515625" style="144" bestFit="1" customWidth="1"/>
    <col min="13047" max="13047" width="16.7109375" style="144" bestFit="1" customWidth="1"/>
    <col min="13048" max="13048" width="11.28515625" style="144" bestFit="1" customWidth="1"/>
    <col min="13049" max="13049" width="14" style="144" bestFit="1" customWidth="1"/>
    <col min="13050" max="13050" width="11.85546875" style="144" bestFit="1" customWidth="1"/>
    <col min="13051" max="13051" width="14.85546875" style="144" bestFit="1" customWidth="1"/>
    <col min="13052" max="13052" width="9.7109375" style="144" customWidth="1"/>
    <col min="13053" max="13053" width="4.85546875" style="144" customWidth="1"/>
    <col min="13054" max="13298" width="9.140625" style="144"/>
    <col min="13299" max="13299" width="5.42578125" style="144" bestFit="1" customWidth="1"/>
    <col min="13300" max="13300" width="20.42578125" style="144" bestFit="1" customWidth="1"/>
    <col min="13301" max="13301" width="41.42578125" style="144" customWidth="1"/>
    <col min="13302" max="13302" width="15.28515625" style="144" bestFit="1" customWidth="1"/>
    <col min="13303" max="13303" width="16.7109375" style="144" bestFit="1" customWidth="1"/>
    <col min="13304" max="13304" width="11.28515625" style="144" bestFit="1" customWidth="1"/>
    <col min="13305" max="13305" width="14" style="144" bestFit="1" customWidth="1"/>
    <col min="13306" max="13306" width="11.85546875" style="144" bestFit="1" customWidth="1"/>
    <col min="13307" max="13307" width="14.85546875" style="144" bestFit="1" customWidth="1"/>
    <col min="13308" max="13308" width="9.7109375" style="144" customWidth="1"/>
    <col min="13309" max="13309" width="4.85546875" style="144" customWidth="1"/>
    <col min="13310" max="13554" width="9.140625" style="144"/>
    <col min="13555" max="13555" width="5.42578125" style="144" bestFit="1" customWidth="1"/>
    <col min="13556" max="13556" width="20.42578125" style="144" bestFit="1" customWidth="1"/>
    <col min="13557" max="13557" width="41.42578125" style="144" customWidth="1"/>
    <col min="13558" max="13558" width="15.28515625" style="144" bestFit="1" customWidth="1"/>
    <col min="13559" max="13559" width="16.7109375" style="144" bestFit="1" customWidth="1"/>
    <col min="13560" max="13560" width="11.28515625" style="144" bestFit="1" customWidth="1"/>
    <col min="13561" max="13561" width="14" style="144" bestFit="1" customWidth="1"/>
    <col min="13562" max="13562" width="11.85546875" style="144" bestFit="1" customWidth="1"/>
    <col min="13563" max="13563" width="14.85546875" style="144" bestFit="1" customWidth="1"/>
    <col min="13564" max="13564" width="9.7109375" style="144" customWidth="1"/>
    <col min="13565" max="13565" width="4.85546875" style="144" customWidth="1"/>
    <col min="13566" max="13810" width="9.140625" style="144"/>
    <col min="13811" max="13811" width="5.42578125" style="144" bestFit="1" customWidth="1"/>
    <col min="13812" max="13812" width="20.42578125" style="144" bestFit="1" customWidth="1"/>
    <col min="13813" max="13813" width="41.42578125" style="144" customWidth="1"/>
    <col min="13814" max="13814" width="15.28515625" style="144" bestFit="1" customWidth="1"/>
    <col min="13815" max="13815" width="16.7109375" style="144" bestFit="1" customWidth="1"/>
    <col min="13816" max="13816" width="11.28515625" style="144" bestFit="1" customWidth="1"/>
    <col min="13817" max="13817" width="14" style="144" bestFit="1" customWidth="1"/>
    <col min="13818" max="13818" width="11.85546875" style="144" bestFit="1" customWidth="1"/>
    <col min="13819" max="13819" width="14.85546875" style="144" bestFit="1" customWidth="1"/>
    <col min="13820" max="13820" width="9.7109375" style="144" customWidth="1"/>
    <col min="13821" max="13821" width="4.85546875" style="144" customWidth="1"/>
    <col min="13822" max="14066" width="9.140625" style="144"/>
    <col min="14067" max="14067" width="5.42578125" style="144" bestFit="1" customWidth="1"/>
    <col min="14068" max="14068" width="20.42578125" style="144" bestFit="1" customWidth="1"/>
    <col min="14069" max="14069" width="41.42578125" style="144" customWidth="1"/>
    <col min="14070" max="14070" width="15.28515625" style="144" bestFit="1" customWidth="1"/>
    <col min="14071" max="14071" width="16.7109375" style="144" bestFit="1" customWidth="1"/>
    <col min="14072" max="14072" width="11.28515625" style="144" bestFit="1" customWidth="1"/>
    <col min="14073" max="14073" width="14" style="144" bestFit="1" customWidth="1"/>
    <col min="14074" max="14074" width="11.85546875" style="144" bestFit="1" customWidth="1"/>
    <col min="14075" max="14075" width="14.85546875" style="144" bestFit="1" customWidth="1"/>
    <col min="14076" max="14076" width="9.7109375" style="144" customWidth="1"/>
    <col min="14077" max="14077" width="4.85546875" style="144" customWidth="1"/>
    <col min="14078" max="14322" width="9.140625" style="144"/>
    <col min="14323" max="14323" width="5.42578125" style="144" bestFit="1" customWidth="1"/>
    <col min="14324" max="14324" width="20.42578125" style="144" bestFit="1" customWidth="1"/>
    <col min="14325" max="14325" width="41.42578125" style="144" customWidth="1"/>
    <col min="14326" max="14326" width="15.28515625" style="144" bestFit="1" customWidth="1"/>
    <col min="14327" max="14327" width="16.7109375" style="144" bestFit="1" customWidth="1"/>
    <col min="14328" max="14328" width="11.28515625" style="144" bestFit="1" customWidth="1"/>
    <col min="14329" max="14329" width="14" style="144" bestFit="1" customWidth="1"/>
    <col min="14330" max="14330" width="11.85546875" style="144" bestFit="1" customWidth="1"/>
    <col min="14331" max="14331" width="14.85546875" style="144" bestFit="1" customWidth="1"/>
    <col min="14332" max="14332" width="9.7109375" style="144" customWidth="1"/>
    <col min="14333" max="14333" width="4.85546875" style="144" customWidth="1"/>
    <col min="14334" max="14578" width="9.140625" style="144"/>
    <col min="14579" max="14579" width="5.42578125" style="144" bestFit="1" customWidth="1"/>
    <col min="14580" max="14580" width="20.42578125" style="144" bestFit="1" customWidth="1"/>
    <col min="14581" max="14581" width="41.42578125" style="144" customWidth="1"/>
    <col min="14582" max="14582" width="15.28515625" style="144" bestFit="1" customWidth="1"/>
    <col min="14583" max="14583" width="16.7109375" style="144" bestFit="1" customWidth="1"/>
    <col min="14584" max="14584" width="11.28515625" style="144" bestFit="1" customWidth="1"/>
    <col min="14585" max="14585" width="14" style="144" bestFit="1" customWidth="1"/>
    <col min="14586" max="14586" width="11.85546875" style="144" bestFit="1" customWidth="1"/>
    <col min="14587" max="14587" width="14.85546875" style="144" bestFit="1" customWidth="1"/>
    <col min="14588" max="14588" width="9.7109375" style="144" customWidth="1"/>
    <col min="14589" max="14589" width="4.85546875" style="144" customWidth="1"/>
    <col min="14590" max="14834" width="9.140625" style="144"/>
    <col min="14835" max="14835" width="5.42578125" style="144" bestFit="1" customWidth="1"/>
    <col min="14836" max="14836" width="20.42578125" style="144" bestFit="1" customWidth="1"/>
    <col min="14837" max="14837" width="41.42578125" style="144" customWidth="1"/>
    <col min="14838" max="14838" width="15.28515625" style="144" bestFit="1" customWidth="1"/>
    <col min="14839" max="14839" width="16.7109375" style="144" bestFit="1" customWidth="1"/>
    <col min="14840" max="14840" width="11.28515625" style="144" bestFit="1" customWidth="1"/>
    <col min="14841" max="14841" width="14" style="144" bestFit="1" customWidth="1"/>
    <col min="14842" max="14842" width="11.85546875" style="144" bestFit="1" customWidth="1"/>
    <col min="14843" max="14843" width="14.85546875" style="144" bestFit="1" customWidth="1"/>
    <col min="14844" max="14844" width="9.7109375" style="144" customWidth="1"/>
    <col min="14845" max="14845" width="4.85546875" style="144" customWidth="1"/>
    <col min="14846" max="15090" width="9.140625" style="144"/>
    <col min="15091" max="15091" width="5.42578125" style="144" bestFit="1" customWidth="1"/>
    <col min="15092" max="15092" width="20.42578125" style="144" bestFit="1" customWidth="1"/>
    <col min="15093" max="15093" width="41.42578125" style="144" customWidth="1"/>
    <col min="15094" max="15094" width="15.28515625" style="144" bestFit="1" customWidth="1"/>
    <col min="15095" max="15095" width="16.7109375" style="144" bestFit="1" customWidth="1"/>
    <col min="15096" max="15096" width="11.28515625" style="144" bestFit="1" customWidth="1"/>
    <col min="15097" max="15097" width="14" style="144" bestFit="1" customWidth="1"/>
    <col min="15098" max="15098" width="11.85546875" style="144" bestFit="1" customWidth="1"/>
    <col min="15099" max="15099" width="14.85546875" style="144" bestFit="1" customWidth="1"/>
    <col min="15100" max="15100" width="9.7109375" style="144" customWidth="1"/>
    <col min="15101" max="15101" width="4.85546875" style="144" customWidth="1"/>
    <col min="15102" max="15346" width="9.140625" style="144"/>
    <col min="15347" max="15347" width="5.42578125" style="144" bestFit="1" customWidth="1"/>
    <col min="15348" max="15348" width="20.42578125" style="144" bestFit="1" customWidth="1"/>
    <col min="15349" max="15349" width="41.42578125" style="144" customWidth="1"/>
    <col min="15350" max="15350" width="15.28515625" style="144" bestFit="1" customWidth="1"/>
    <col min="15351" max="15351" width="16.7109375" style="144" bestFit="1" customWidth="1"/>
    <col min="15352" max="15352" width="11.28515625" style="144" bestFit="1" customWidth="1"/>
    <col min="15353" max="15353" width="14" style="144" bestFit="1" customWidth="1"/>
    <col min="15354" max="15354" width="11.85546875" style="144" bestFit="1" customWidth="1"/>
    <col min="15355" max="15355" width="14.85546875" style="144" bestFit="1" customWidth="1"/>
    <col min="15356" max="15356" width="9.7109375" style="144" customWidth="1"/>
    <col min="15357" max="15357" width="4.85546875" style="144" customWidth="1"/>
    <col min="15358" max="15602" width="9.140625" style="144"/>
    <col min="15603" max="15603" width="5.42578125" style="144" bestFit="1" customWidth="1"/>
    <col min="15604" max="15604" width="20.42578125" style="144" bestFit="1" customWidth="1"/>
    <col min="15605" max="15605" width="41.42578125" style="144" customWidth="1"/>
    <col min="15606" max="15606" width="15.28515625" style="144" bestFit="1" customWidth="1"/>
    <col min="15607" max="15607" width="16.7109375" style="144" bestFit="1" customWidth="1"/>
    <col min="15608" max="15608" width="11.28515625" style="144" bestFit="1" customWidth="1"/>
    <col min="15609" max="15609" width="14" style="144" bestFit="1" customWidth="1"/>
    <col min="15610" max="15610" width="11.85546875" style="144" bestFit="1" customWidth="1"/>
    <col min="15611" max="15611" width="14.85546875" style="144" bestFit="1" customWidth="1"/>
    <col min="15612" max="15612" width="9.7109375" style="144" customWidth="1"/>
    <col min="15613" max="15613" width="4.85546875" style="144" customWidth="1"/>
    <col min="15614" max="15858" width="9.140625" style="144"/>
    <col min="15859" max="15859" width="5.42578125" style="144" bestFit="1" customWidth="1"/>
    <col min="15860" max="15860" width="20.42578125" style="144" bestFit="1" customWidth="1"/>
    <col min="15861" max="15861" width="41.42578125" style="144" customWidth="1"/>
    <col min="15862" max="15862" width="15.28515625" style="144" bestFit="1" customWidth="1"/>
    <col min="15863" max="15863" width="16.7109375" style="144" bestFit="1" customWidth="1"/>
    <col min="15864" max="15864" width="11.28515625" style="144" bestFit="1" customWidth="1"/>
    <col min="15865" max="15865" width="14" style="144" bestFit="1" customWidth="1"/>
    <col min="15866" max="15866" width="11.85546875" style="144" bestFit="1" customWidth="1"/>
    <col min="15867" max="15867" width="14.85546875" style="144" bestFit="1" customWidth="1"/>
    <col min="15868" max="15868" width="9.7109375" style="144" customWidth="1"/>
    <col min="15869" max="15869" width="4.85546875" style="144" customWidth="1"/>
    <col min="15870" max="16114" width="9.140625" style="144"/>
    <col min="16115" max="16115" width="5.42578125" style="144" bestFit="1" customWidth="1"/>
    <col min="16116" max="16116" width="20.42578125" style="144" bestFit="1" customWidth="1"/>
    <col min="16117" max="16117" width="41.42578125" style="144" customWidth="1"/>
    <col min="16118" max="16118" width="15.28515625" style="144" bestFit="1" customWidth="1"/>
    <col min="16119" max="16119" width="16.7109375" style="144" bestFit="1" customWidth="1"/>
    <col min="16120" max="16120" width="11.28515625" style="144" bestFit="1" customWidth="1"/>
    <col min="16121" max="16121" width="14" style="144" bestFit="1" customWidth="1"/>
    <col min="16122" max="16122" width="11.85546875" style="144" bestFit="1" customWidth="1"/>
    <col min="16123" max="16123" width="14.85546875" style="144" bestFit="1" customWidth="1"/>
    <col min="16124" max="16124" width="9.7109375" style="144" customWidth="1"/>
    <col min="16125" max="16125" width="4.85546875" style="144" customWidth="1"/>
    <col min="16126" max="16384" width="9.140625" style="144"/>
  </cols>
  <sheetData>
    <row r="1" spans="1:14" x14ac:dyDescent="0.25">
      <c r="A1" s="182" t="s">
        <v>0</v>
      </c>
      <c r="B1" s="182"/>
      <c r="C1" s="182"/>
      <c r="D1" s="182"/>
      <c r="E1" s="182"/>
      <c r="F1" s="182"/>
      <c r="G1" s="182"/>
      <c r="H1" s="182"/>
      <c r="I1" s="159" t="s">
        <v>1044</v>
      </c>
      <c r="J1" s="169"/>
      <c r="K1" s="169"/>
      <c r="L1" s="169"/>
      <c r="M1" s="169"/>
      <c r="N1" s="169"/>
    </row>
    <row r="2" spans="1:14" x14ac:dyDescent="0.25">
      <c r="A2" s="215" t="s">
        <v>879</v>
      </c>
      <c r="B2" s="215"/>
      <c r="C2" s="215"/>
      <c r="D2" s="215"/>
      <c r="E2" s="215"/>
      <c r="F2" s="215"/>
      <c r="G2" s="215"/>
      <c r="H2" s="215"/>
      <c r="J2" s="175" t="s">
        <v>1045</v>
      </c>
      <c r="K2" s="175"/>
      <c r="L2" s="175"/>
      <c r="M2" s="175"/>
      <c r="N2" s="175"/>
    </row>
    <row r="3" spans="1:14" ht="15" customHeight="1" x14ac:dyDescent="0.25">
      <c r="A3" s="182" t="s">
        <v>1016</v>
      </c>
      <c r="B3" s="182"/>
      <c r="C3" s="182"/>
      <c r="D3" s="182"/>
      <c r="E3" s="182"/>
      <c r="F3" s="182"/>
      <c r="G3" s="182"/>
      <c r="H3" s="182"/>
      <c r="J3" s="169"/>
      <c r="K3" s="169"/>
      <c r="L3" s="169"/>
      <c r="M3" s="169"/>
      <c r="N3" s="169"/>
    </row>
    <row r="4" spans="1:14" ht="30" x14ac:dyDescent="0.25">
      <c r="A4" s="109" t="s">
        <v>1021</v>
      </c>
      <c r="B4" s="109" t="s">
        <v>1022</v>
      </c>
      <c r="C4" s="109" t="s">
        <v>1023</v>
      </c>
      <c r="D4" s="109" t="s">
        <v>1024</v>
      </c>
      <c r="E4" s="109" t="s">
        <v>6</v>
      </c>
      <c r="F4" s="109" t="s">
        <v>7</v>
      </c>
      <c r="G4" s="109" t="s">
        <v>8</v>
      </c>
      <c r="H4" s="145" t="s">
        <v>1003</v>
      </c>
      <c r="I4" s="171"/>
      <c r="J4" s="172"/>
      <c r="K4" s="172"/>
      <c r="L4" s="172"/>
      <c r="M4" s="172"/>
      <c r="N4" s="172"/>
    </row>
    <row r="5" spans="1:14" ht="26.25" x14ac:dyDescent="0.25">
      <c r="A5" s="110"/>
      <c r="B5" s="110"/>
      <c r="C5" s="111" t="s">
        <v>1025</v>
      </c>
      <c r="D5" s="110"/>
      <c r="E5" s="110"/>
      <c r="F5" s="112"/>
      <c r="G5" s="112"/>
      <c r="H5" s="146"/>
      <c r="J5" s="169"/>
      <c r="K5" s="169"/>
      <c r="L5" s="169"/>
      <c r="M5" s="169"/>
      <c r="N5" s="169"/>
    </row>
    <row r="6" spans="1:14" ht="25.5" x14ac:dyDescent="0.25">
      <c r="A6" s="110">
        <v>1</v>
      </c>
      <c r="B6" s="110" t="s">
        <v>1026</v>
      </c>
      <c r="C6" s="158" t="s">
        <v>1043</v>
      </c>
      <c r="D6" s="4" t="s">
        <v>1027</v>
      </c>
      <c r="E6" s="5">
        <v>11835595.022</v>
      </c>
      <c r="F6" s="6">
        <v>11828.3402546</v>
      </c>
      <c r="G6" s="7">
        <v>0.96406817397106159</v>
      </c>
      <c r="H6" s="146"/>
      <c r="I6" s="171"/>
      <c r="J6" s="172"/>
      <c r="K6" s="173"/>
      <c r="L6" s="172"/>
      <c r="M6" s="172"/>
      <c r="N6" s="172"/>
    </row>
    <row r="7" spans="1:14" x14ac:dyDescent="0.25">
      <c r="A7" s="113"/>
      <c r="B7" s="146"/>
      <c r="C7" s="146"/>
      <c r="D7" s="146"/>
      <c r="E7" s="146"/>
      <c r="F7" s="146"/>
      <c r="G7" s="146"/>
      <c r="H7" s="147"/>
      <c r="J7" s="169"/>
      <c r="K7" s="169"/>
      <c r="L7" s="169"/>
      <c r="M7" s="169"/>
      <c r="N7" s="169"/>
    </row>
    <row r="8" spans="1:14" ht="25.5" x14ac:dyDescent="0.25">
      <c r="A8" s="114"/>
      <c r="B8" s="114"/>
      <c r="C8" s="115" t="s">
        <v>1028</v>
      </c>
      <c r="D8" s="115"/>
      <c r="E8" s="116"/>
      <c r="F8" s="9">
        <v>11828.3402546</v>
      </c>
      <c r="G8" s="10">
        <v>0.96406817397106159</v>
      </c>
      <c r="H8" s="148"/>
      <c r="J8" s="169"/>
      <c r="K8" s="169"/>
      <c r="L8" s="169"/>
      <c r="M8" s="169"/>
      <c r="N8" s="169"/>
    </row>
    <row r="9" spans="1:14" x14ac:dyDescent="0.25">
      <c r="A9" s="114"/>
      <c r="B9" s="114"/>
      <c r="C9" s="114"/>
      <c r="D9" s="114"/>
      <c r="E9" s="114"/>
      <c r="F9" s="117"/>
      <c r="G9" s="114"/>
      <c r="H9" s="146"/>
      <c r="J9" s="169"/>
      <c r="K9" s="169"/>
      <c r="L9" s="169"/>
      <c r="M9" s="169"/>
      <c r="N9" s="169"/>
    </row>
    <row r="10" spans="1:14" x14ac:dyDescent="0.25">
      <c r="A10" s="110"/>
      <c r="B10" s="110"/>
      <c r="C10" s="118" t="s">
        <v>1029</v>
      </c>
      <c r="D10" s="118"/>
      <c r="E10" s="118"/>
      <c r="F10" s="119"/>
      <c r="G10" s="114"/>
      <c r="H10" s="146"/>
      <c r="J10" s="169"/>
      <c r="K10" s="169"/>
      <c r="L10" s="169"/>
      <c r="M10" s="169"/>
      <c r="N10" s="169"/>
    </row>
    <row r="11" spans="1:14" x14ac:dyDescent="0.25">
      <c r="A11" s="110"/>
      <c r="B11" s="110"/>
      <c r="C11" s="149" t="s">
        <v>1030</v>
      </c>
      <c r="D11" s="118"/>
      <c r="E11" s="118"/>
      <c r="F11" s="119"/>
      <c r="G11" s="114"/>
      <c r="H11" s="146"/>
      <c r="J11" s="169"/>
      <c r="K11" s="169"/>
      <c r="L11" s="169"/>
      <c r="M11" s="169"/>
      <c r="N11" s="169"/>
    </row>
    <row r="12" spans="1:14" x14ac:dyDescent="0.25">
      <c r="A12" s="3"/>
      <c r="B12" s="4"/>
      <c r="C12" s="4" t="s">
        <v>1031</v>
      </c>
      <c r="D12" s="4"/>
      <c r="E12" s="8"/>
      <c r="F12" s="6">
        <v>424.87745787</v>
      </c>
      <c r="G12" s="7">
        <v>3.462961211408349E-2</v>
      </c>
      <c r="H12" s="105">
        <v>6.82</v>
      </c>
      <c r="J12" s="169"/>
      <c r="K12" s="169"/>
      <c r="L12" s="169"/>
      <c r="M12" s="169"/>
      <c r="N12" s="169"/>
    </row>
    <row r="13" spans="1:14" x14ac:dyDescent="0.25">
      <c r="A13" s="3"/>
      <c r="B13" s="4"/>
      <c r="C13" s="4" t="s">
        <v>152</v>
      </c>
      <c r="D13" s="4"/>
      <c r="E13" s="8"/>
      <c r="F13" s="6">
        <v>50.418616067000002</v>
      </c>
      <c r="G13" s="7">
        <v>4.1093663252507158E-3</v>
      </c>
      <c r="H13" s="105">
        <v>6.8</v>
      </c>
      <c r="J13" s="174" t="s">
        <v>1077</v>
      </c>
      <c r="K13" s="169"/>
      <c r="L13" s="169"/>
      <c r="M13" s="169"/>
      <c r="N13" s="169"/>
    </row>
    <row r="14" spans="1:14" x14ac:dyDescent="0.25">
      <c r="A14" s="114"/>
      <c r="B14" s="114"/>
      <c r="C14" s="120"/>
      <c r="D14" s="118"/>
      <c r="E14" s="118"/>
      <c r="F14" s="121"/>
      <c r="G14" s="122"/>
      <c r="H14" s="146"/>
      <c r="J14" s="169"/>
      <c r="K14" s="169"/>
      <c r="L14" s="169"/>
      <c r="M14" s="169"/>
      <c r="N14" s="169"/>
    </row>
    <row r="15" spans="1:14" x14ac:dyDescent="0.25">
      <c r="A15" s="114"/>
      <c r="B15" s="114"/>
      <c r="C15" s="123" t="s">
        <v>153</v>
      </c>
      <c r="D15" s="114"/>
      <c r="E15" s="114"/>
      <c r="F15" s="9">
        <v>475.29607393700002</v>
      </c>
      <c r="G15" s="10">
        <v>3.8738978439334208E-2</v>
      </c>
      <c r="H15" s="146"/>
      <c r="J15" s="169"/>
      <c r="K15" s="169"/>
      <c r="L15" s="169"/>
      <c r="M15" s="169"/>
      <c r="N15" s="169"/>
    </row>
    <row r="16" spans="1:14" x14ac:dyDescent="0.25">
      <c r="A16" s="114"/>
      <c r="B16" s="114"/>
      <c r="C16" s="114"/>
      <c r="D16" s="114"/>
      <c r="E16" s="114"/>
      <c r="F16" s="117"/>
      <c r="G16" s="114"/>
      <c r="H16" s="146"/>
      <c r="J16" s="169"/>
      <c r="K16" s="169"/>
      <c r="L16" s="169"/>
      <c r="M16" s="169"/>
      <c r="N16" s="169"/>
    </row>
    <row r="17" spans="1:14" x14ac:dyDescent="0.25">
      <c r="A17" s="114"/>
      <c r="B17" s="114"/>
      <c r="C17" s="120" t="s">
        <v>1032</v>
      </c>
      <c r="D17" s="118"/>
      <c r="E17" s="118"/>
      <c r="F17" s="6">
        <v>-34.441499836999355</v>
      </c>
      <c r="G17" s="7">
        <v>-2.8071524103956752E-3</v>
      </c>
      <c r="H17" s="150"/>
      <c r="J17" s="169"/>
      <c r="K17" s="169"/>
      <c r="L17" s="169"/>
      <c r="M17" s="169"/>
      <c r="N17" s="169"/>
    </row>
    <row r="18" spans="1:14" x14ac:dyDescent="0.25">
      <c r="A18" s="114"/>
      <c r="B18" s="114"/>
      <c r="C18" s="114"/>
      <c r="D18" s="114"/>
      <c r="E18" s="114"/>
      <c r="F18" s="117"/>
      <c r="G18" s="114"/>
      <c r="H18" s="146"/>
      <c r="J18" s="169"/>
      <c r="K18" s="169"/>
      <c r="L18" s="169"/>
      <c r="M18" s="169"/>
      <c r="N18" s="169"/>
    </row>
    <row r="19" spans="1:14" x14ac:dyDescent="0.25">
      <c r="A19" s="114"/>
      <c r="B19" s="114"/>
      <c r="C19" s="123" t="s">
        <v>160</v>
      </c>
      <c r="D19" s="114"/>
      <c r="E19" s="114"/>
      <c r="F19" s="9">
        <v>12269.1948287</v>
      </c>
      <c r="G19" s="14">
        <v>1.0000000000000002</v>
      </c>
      <c r="H19" s="151"/>
      <c r="J19" s="169"/>
      <c r="K19" s="169"/>
      <c r="L19" s="169"/>
      <c r="M19" s="169"/>
      <c r="N19" s="169"/>
    </row>
    <row r="20" spans="1:14" x14ac:dyDescent="0.25">
      <c r="F20" s="152"/>
      <c r="H20" s="153"/>
      <c r="J20" s="169"/>
      <c r="K20" s="169"/>
      <c r="L20" s="169"/>
      <c r="M20" s="169"/>
      <c r="N20" s="169"/>
    </row>
    <row r="21" spans="1:14" x14ac:dyDescent="0.25">
      <c r="B21" s="124" t="s">
        <v>162</v>
      </c>
      <c r="C21" s="125"/>
      <c r="D21" s="125"/>
      <c r="E21" s="125"/>
      <c r="F21" s="126"/>
      <c r="G21" s="125"/>
      <c r="J21" s="169"/>
      <c r="K21" s="169"/>
      <c r="L21" s="169"/>
      <c r="M21" s="169"/>
      <c r="N21" s="169"/>
    </row>
    <row r="22" spans="1:14" x14ac:dyDescent="0.25">
      <c r="B22" s="125" t="s">
        <v>1033</v>
      </c>
      <c r="C22" s="125"/>
      <c r="D22" s="125"/>
      <c r="E22" s="125"/>
      <c r="F22" s="127"/>
      <c r="G22" s="127"/>
      <c r="J22" s="169"/>
      <c r="K22" s="169"/>
      <c r="L22" s="169"/>
      <c r="M22" s="169"/>
      <c r="N22" s="169"/>
    </row>
    <row r="23" spans="1:14" x14ac:dyDescent="0.25">
      <c r="B23" s="213" t="s">
        <v>1034</v>
      </c>
      <c r="C23" s="213"/>
      <c r="D23" s="125"/>
      <c r="E23" s="125"/>
      <c r="F23" s="128"/>
      <c r="G23" s="128"/>
      <c r="J23" s="169"/>
      <c r="K23" s="169"/>
      <c r="L23" s="169"/>
      <c r="M23" s="169"/>
      <c r="N23" s="169"/>
    </row>
    <row r="24" spans="1:14" x14ac:dyDescent="0.25">
      <c r="B24" s="216" t="s">
        <v>166</v>
      </c>
      <c r="C24" s="217"/>
      <c r="D24" s="218"/>
      <c r="E24" s="129"/>
      <c r="F24" s="125" t="s">
        <v>1035</v>
      </c>
      <c r="G24" s="125"/>
      <c r="J24" s="169"/>
      <c r="K24" s="169"/>
      <c r="L24" s="169"/>
      <c r="M24" s="169"/>
      <c r="N24" s="169"/>
    </row>
    <row r="25" spans="1:14" x14ac:dyDescent="0.25">
      <c r="B25" s="130"/>
      <c r="C25" s="131" t="s">
        <v>167</v>
      </c>
      <c r="D25" s="131" t="s">
        <v>168</v>
      </c>
      <c r="E25" s="132"/>
      <c r="F25" s="132"/>
      <c r="G25" s="125"/>
      <c r="J25" s="169"/>
      <c r="K25" s="169"/>
      <c r="L25" s="169"/>
      <c r="M25" s="169"/>
      <c r="N25" s="169"/>
    </row>
    <row r="26" spans="1:14" x14ac:dyDescent="0.25">
      <c r="B26" s="133" t="s">
        <v>1036</v>
      </c>
      <c r="C26" s="134">
        <v>45016</v>
      </c>
      <c r="D26" s="134">
        <v>45046</v>
      </c>
      <c r="E26" s="135"/>
      <c r="F26" s="135"/>
      <c r="G26" s="136"/>
      <c r="J26" s="169"/>
      <c r="K26" s="169"/>
      <c r="L26" s="169"/>
      <c r="M26" s="169"/>
      <c r="N26" s="169"/>
    </row>
    <row r="27" spans="1:14" x14ac:dyDescent="0.25">
      <c r="B27" s="137" t="s">
        <v>172</v>
      </c>
      <c r="C27" s="138">
        <v>26.6891</v>
      </c>
      <c r="D27" s="138">
        <v>27.020600000000002</v>
      </c>
      <c r="E27" s="139"/>
      <c r="F27" s="140"/>
      <c r="G27" s="136"/>
      <c r="J27" s="169"/>
      <c r="K27" s="169"/>
      <c r="L27" s="169"/>
      <c r="M27" s="169"/>
      <c r="N27" s="169"/>
    </row>
    <row r="28" spans="1:14" x14ac:dyDescent="0.25">
      <c r="B28" s="154" t="s">
        <v>1037</v>
      </c>
      <c r="C28" s="138">
        <v>23.736599999999999</v>
      </c>
      <c r="D28" s="138">
        <v>24.031099999999999</v>
      </c>
      <c r="E28" s="139"/>
      <c r="F28" s="140"/>
      <c r="G28" s="136"/>
      <c r="J28" s="169"/>
      <c r="K28" s="169"/>
      <c r="L28" s="169"/>
      <c r="M28" s="169"/>
      <c r="N28" s="169"/>
    </row>
    <row r="29" spans="1:14" x14ac:dyDescent="0.25">
      <c r="B29" s="137" t="s">
        <v>173</v>
      </c>
      <c r="C29" s="138">
        <v>24.915800000000001</v>
      </c>
      <c r="D29" s="138">
        <v>25.2044</v>
      </c>
      <c r="E29" s="139"/>
      <c r="F29" s="140"/>
      <c r="G29" s="140"/>
      <c r="J29" s="169"/>
      <c r="K29" s="169"/>
      <c r="L29" s="169"/>
      <c r="M29" s="169"/>
      <c r="N29" s="169"/>
    </row>
    <row r="30" spans="1:14" x14ac:dyDescent="0.25">
      <c r="B30" s="155" t="s">
        <v>1038</v>
      </c>
      <c r="C30" s="138">
        <v>21.3508</v>
      </c>
      <c r="D30" s="138">
        <v>21.598099999999999</v>
      </c>
      <c r="E30" s="139"/>
      <c r="F30" s="140"/>
      <c r="G30" s="140"/>
      <c r="J30" s="169"/>
      <c r="K30" s="169"/>
      <c r="L30" s="169"/>
      <c r="M30" s="169"/>
      <c r="N30" s="169"/>
    </row>
    <row r="31" spans="1:14" x14ac:dyDescent="0.25">
      <c r="B31" s="156"/>
      <c r="C31" s="157"/>
      <c r="D31" s="157"/>
      <c r="E31" s="157"/>
      <c r="F31" s="157"/>
      <c r="G31" s="125"/>
      <c r="J31" s="169"/>
      <c r="K31" s="169"/>
      <c r="L31" s="169"/>
      <c r="M31" s="169"/>
      <c r="N31" s="169"/>
    </row>
    <row r="32" spans="1:14" x14ac:dyDescent="0.25">
      <c r="B32" s="219" t="s">
        <v>1039</v>
      </c>
      <c r="C32" s="219"/>
      <c r="D32" s="219"/>
      <c r="E32" s="141"/>
      <c r="F32" s="141"/>
      <c r="G32" s="136"/>
      <c r="J32" s="169"/>
      <c r="K32" s="169"/>
      <c r="L32" s="169"/>
      <c r="M32" s="169"/>
      <c r="N32" s="169"/>
    </row>
    <row r="33" spans="2:14" x14ac:dyDescent="0.25">
      <c r="B33" s="213" t="s">
        <v>1040</v>
      </c>
      <c r="C33" s="213"/>
      <c r="D33" s="213"/>
      <c r="E33" s="125"/>
      <c r="F33" s="125"/>
      <c r="G33" s="125"/>
      <c r="J33" s="169"/>
      <c r="K33" s="169"/>
      <c r="L33" s="169"/>
      <c r="M33" s="169"/>
      <c r="N33" s="169"/>
    </row>
    <row r="34" spans="2:14" x14ac:dyDescent="0.25">
      <c r="B34" s="142" t="s">
        <v>1041</v>
      </c>
      <c r="C34" s="142"/>
      <c r="D34" s="142"/>
      <c r="E34" s="143"/>
      <c r="F34" s="143"/>
      <c r="G34" s="125"/>
      <c r="J34" s="169"/>
      <c r="K34" s="169"/>
      <c r="L34" s="169"/>
      <c r="M34" s="169"/>
      <c r="N34" s="169"/>
    </row>
    <row r="35" spans="2:14" x14ac:dyDescent="0.25">
      <c r="B35" s="214" t="s">
        <v>1042</v>
      </c>
      <c r="C35" s="214"/>
      <c r="D35" s="214"/>
      <c r="E35" s="136"/>
      <c r="F35" s="136"/>
      <c r="G35" s="136"/>
      <c r="J35" s="169"/>
      <c r="K35" s="169"/>
      <c r="L35" s="169"/>
      <c r="M35" s="169"/>
      <c r="N35" s="169"/>
    </row>
    <row r="36" spans="2:14" x14ac:dyDescent="0.25">
      <c r="J36" s="169"/>
      <c r="K36" s="169"/>
      <c r="L36" s="169"/>
      <c r="M36" s="169"/>
      <c r="N36" s="169"/>
    </row>
    <row r="37" spans="2:14" x14ac:dyDescent="0.25">
      <c r="J37" s="169"/>
      <c r="K37" s="169"/>
      <c r="L37" s="169"/>
      <c r="M37" s="169"/>
      <c r="N37" s="169"/>
    </row>
    <row r="38" spans="2:14" x14ac:dyDescent="0.25">
      <c r="J38" s="169"/>
      <c r="K38" s="169"/>
      <c r="L38" s="169"/>
      <c r="M38" s="169"/>
      <c r="N38" s="169"/>
    </row>
    <row r="39" spans="2:14" x14ac:dyDescent="0.25">
      <c r="J39" s="169"/>
      <c r="K39" s="169"/>
      <c r="L39" s="169"/>
      <c r="M39" s="169"/>
      <c r="N39" s="169"/>
    </row>
    <row r="40" spans="2:14" x14ac:dyDescent="0.25">
      <c r="J40" s="169"/>
      <c r="K40" s="169"/>
      <c r="L40" s="169"/>
      <c r="M40" s="169"/>
      <c r="N40" s="169"/>
    </row>
    <row r="41" spans="2:14" x14ac:dyDescent="0.25">
      <c r="J41" s="169"/>
      <c r="K41" s="169"/>
      <c r="L41" s="169"/>
      <c r="M41" s="169"/>
      <c r="N41" s="169"/>
    </row>
    <row r="42" spans="2:14" x14ac:dyDescent="0.25">
      <c r="J42" s="169"/>
      <c r="K42" s="169"/>
      <c r="L42" s="169"/>
      <c r="M42" s="169"/>
      <c r="N42" s="169"/>
    </row>
    <row r="43" spans="2:14" x14ac:dyDescent="0.25">
      <c r="J43" s="169"/>
      <c r="K43" s="169"/>
      <c r="L43" s="169"/>
      <c r="M43" s="169"/>
      <c r="N43" s="169"/>
    </row>
    <row r="44" spans="2:14" x14ac:dyDescent="0.25">
      <c r="J44" s="169"/>
      <c r="K44" s="169"/>
      <c r="L44" s="169"/>
      <c r="M44" s="169"/>
      <c r="N44" s="169"/>
    </row>
    <row r="45" spans="2:14" x14ac:dyDescent="0.25">
      <c r="J45" s="169"/>
      <c r="K45" s="169"/>
      <c r="L45" s="169"/>
      <c r="M45" s="169"/>
      <c r="N45" s="169"/>
    </row>
    <row r="46" spans="2:14" x14ac:dyDescent="0.25">
      <c r="J46" s="169"/>
      <c r="K46" s="169"/>
      <c r="L46" s="169"/>
      <c r="M46" s="169"/>
      <c r="N46" s="169"/>
    </row>
    <row r="47" spans="2:14" x14ac:dyDescent="0.25">
      <c r="J47" s="169"/>
      <c r="K47" s="169"/>
      <c r="L47" s="169"/>
      <c r="M47" s="169"/>
      <c r="N47" s="169"/>
    </row>
    <row r="48" spans="2:14" x14ac:dyDescent="0.25">
      <c r="J48" s="169"/>
      <c r="K48" s="169"/>
      <c r="L48" s="169"/>
      <c r="M48" s="169"/>
      <c r="N48" s="169"/>
    </row>
    <row r="49" spans="10:14" x14ac:dyDescent="0.25">
      <c r="J49" s="169"/>
      <c r="K49" s="169"/>
      <c r="L49" s="169"/>
      <c r="M49" s="169"/>
      <c r="N49" s="169"/>
    </row>
    <row r="50" spans="10:14" x14ac:dyDescent="0.25">
      <c r="J50" s="169"/>
      <c r="K50" s="169"/>
      <c r="L50" s="169"/>
      <c r="M50" s="169"/>
      <c r="N50" s="169"/>
    </row>
    <row r="51" spans="10:14" x14ac:dyDescent="0.25">
      <c r="J51" s="169"/>
      <c r="K51" s="169"/>
      <c r="L51" s="169"/>
      <c r="M51" s="169"/>
      <c r="N51" s="169"/>
    </row>
    <row r="52" spans="10:14" x14ac:dyDescent="0.25">
      <c r="J52" s="169"/>
      <c r="K52" s="169"/>
      <c r="L52" s="169"/>
      <c r="M52" s="169"/>
      <c r="N52" s="169"/>
    </row>
    <row r="53" spans="10:14" x14ac:dyDescent="0.25">
      <c r="J53" s="169"/>
      <c r="K53" s="169"/>
      <c r="L53" s="169"/>
      <c r="M53" s="169"/>
      <c r="N53" s="169"/>
    </row>
    <row r="54" spans="10:14" x14ac:dyDescent="0.25">
      <c r="J54" s="169"/>
      <c r="K54" s="169"/>
      <c r="L54" s="169"/>
      <c r="M54" s="169"/>
      <c r="N54" s="169"/>
    </row>
    <row r="55" spans="10:14" x14ac:dyDescent="0.25">
      <c r="J55" s="169"/>
      <c r="K55" s="169"/>
      <c r="L55" s="169"/>
      <c r="M55" s="169"/>
      <c r="N55" s="169"/>
    </row>
    <row r="56" spans="10:14" x14ac:dyDescent="0.25">
      <c r="J56" s="169"/>
      <c r="K56" s="169"/>
      <c r="L56" s="169"/>
      <c r="M56" s="169"/>
      <c r="N56" s="169"/>
    </row>
    <row r="57" spans="10:14" x14ac:dyDescent="0.25">
      <c r="J57" s="169"/>
      <c r="K57" s="169"/>
      <c r="L57" s="169"/>
      <c r="M57" s="169"/>
      <c r="N57" s="169"/>
    </row>
    <row r="58" spans="10:14" x14ac:dyDescent="0.25">
      <c r="J58" s="169"/>
      <c r="K58" s="169"/>
      <c r="L58" s="169"/>
      <c r="M58" s="169"/>
      <c r="N58" s="169"/>
    </row>
    <row r="59" spans="10:14" x14ac:dyDescent="0.25">
      <c r="J59" s="169"/>
      <c r="K59" s="169"/>
      <c r="L59" s="169"/>
      <c r="M59" s="169"/>
      <c r="N59" s="169"/>
    </row>
    <row r="60" spans="10:14" x14ac:dyDescent="0.25">
      <c r="J60" s="169"/>
      <c r="K60" s="169"/>
      <c r="L60" s="169"/>
      <c r="M60" s="169"/>
      <c r="N60" s="169"/>
    </row>
    <row r="61" spans="10:14" x14ac:dyDescent="0.25">
      <c r="J61" s="169"/>
      <c r="K61" s="169"/>
      <c r="L61" s="169"/>
      <c r="M61" s="169"/>
      <c r="N61" s="169"/>
    </row>
  </sheetData>
  <mergeCells count="9">
    <mergeCell ref="J2:N2"/>
    <mergeCell ref="B33:D33"/>
    <mergeCell ref="B35:D35"/>
    <mergeCell ref="A1:H1"/>
    <mergeCell ref="A2:H2"/>
    <mergeCell ref="A3:H3"/>
    <mergeCell ref="B23:C23"/>
    <mergeCell ref="B24:D24"/>
    <mergeCell ref="B32:D32"/>
  </mergeCells>
  <hyperlinks>
    <hyperlink ref="I1" location="Index!B36" display="Index" xr:uid="{142E3066-E232-4201-9FC6-0414D2FB6DF1}"/>
  </hyperlinks>
  <pageMargins left="0.7" right="0.7" top="0.75" bottom="0.75" header="0.3" footer="0.3"/>
  <pageSetup orientation="portrait" r:id="rId1"/>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E787B9-2B77-484E-8E3D-2F10A46A48B6}">
  <dimension ref="B1:L173"/>
  <sheetViews>
    <sheetView workbookViewId="0"/>
  </sheetViews>
  <sheetFormatPr defaultRowHeight="12.75" x14ac:dyDescent="0.2"/>
  <cols>
    <col min="1" max="1" width="7.7109375" style="99" customWidth="1"/>
    <col min="2" max="2" width="42" style="99" customWidth="1"/>
    <col min="3" max="3" width="54.7109375" style="99" customWidth="1"/>
    <col min="4" max="4" width="17.28515625" style="99" bestFit="1" customWidth="1"/>
    <col min="5" max="5" width="20.140625" style="99" bestFit="1" customWidth="1"/>
    <col min="6" max="6" width="16.5703125" style="99" customWidth="1"/>
    <col min="7" max="7" width="18.7109375" style="99" bestFit="1" customWidth="1"/>
    <col min="8" max="8" width="17.5703125" style="99" customWidth="1"/>
    <col min="9" max="9" width="15.5703125" style="99" bestFit="1" customWidth="1"/>
    <col min="10" max="10" width="13.5703125" style="99" customWidth="1"/>
    <col min="11" max="11" width="20.5703125" style="99" customWidth="1"/>
    <col min="12" max="12" width="12.42578125" style="99" bestFit="1" customWidth="1"/>
    <col min="13" max="256" width="9.140625" style="99"/>
    <col min="257" max="257" width="23" style="99" customWidth="1"/>
    <col min="258" max="258" width="42" style="99" customWidth="1"/>
    <col min="259" max="259" width="54.7109375" style="99" customWidth="1"/>
    <col min="260" max="260" width="17.28515625" style="99" bestFit="1" customWidth="1"/>
    <col min="261" max="261" width="20.140625" style="99" bestFit="1" customWidth="1"/>
    <col min="262" max="262" width="16.5703125" style="99" customWidth="1"/>
    <col min="263" max="263" width="18.7109375" style="99" bestFit="1" customWidth="1"/>
    <col min="264" max="264" width="17.5703125" style="99" customWidth="1"/>
    <col min="265" max="265" width="15.5703125" style="99" bestFit="1" customWidth="1"/>
    <col min="266" max="266" width="13.5703125" style="99" customWidth="1"/>
    <col min="267" max="267" width="20.5703125" style="99" customWidth="1"/>
    <col min="268" max="268" width="12.42578125" style="99" bestFit="1" customWidth="1"/>
    <col min="269" max="512" width="9.140625" style="99"/>
    <col min="513" max="513" width="23" style="99" customWidth="1"/>
    <col min="514" max="514" width="42" style="99" customWidth="1"/>
    <col min="515" max="515" width="54.7109375" style="99" customWidth="1"/>
    <col min="516" max="516" width="17.28515625" style="99" bestFit="1" customWidth="1"/>
    <col min="517" max="517" width="20.140625" style="99" bestFit="1" customWidth="1"/>
    <col min="518" max="518" width="16.5703125" style="99" customWidth="1"/>
    <col min="519" max="519" width="18.7109375" style="99" bestFit="1" customWidth="1"/>
    <col min="520" max="520" width="17.5703125" style="99" customWidth="1"/>
    <col min="521" max="521" width="15.5703125" style="99" bestFit="1" customWidth="1"/>
    <col min="522" max="522" width="13.5703125" style="99" customWidth="1"/>
    <col min="523" max="523" width="20.5703125" style="99" customWidth="1"/>
    <col min="524" max="524" width="12.42578125" style="99" bestFit="1" customWidth="1"/>
    <col min="525" max="768" width="9.140625" style="99"/>
    <col min="769" max="769" width="23" style="99" customWidth="1"/>
    <col min="770" max="770" width="42" style="99" customWidth="1"/>
    <col min="771" max="771" width="54.7109375" style="99" customWidth="1"/>
    <col min="772" max="772" width="17.28515625" style="99" bestFit="1" customWidth="1"/>
    <col min="773" max="773" width="20.140625" style="99" bestFit="1" customWidth="1"/>
    <col min="774" max="774" width="16.5703125" style="99" customWidth="1"/>
    <col min="775" max="775" width="18.7109375" style="99" bestFit="1" customWidth="1"/>
    <col min="776" max="776" width="17.5703125" style="99" customWidth="1"/>
    <col min="777" max="777" width="15.5703125" style="99" bestFit="1" customWidth="1"/>
    <col min="778" max="778" width="13.5703125" style="99" customWidth="1"/>
    <col min="779" max="779" width="20.5703125" style="99" customWidth="1"/>
    <col min="780" max="780" width="12.42578125" style="99" bestFit="1" customWidth="1"/>
    <col min="781" max="1024" width="9.140625" style="99"/>
    <col min="1025" max="1025" width="23" style="99" customWidth="1"/>
    <col min="1026" max="1026" width="42" style="99" customWidth="1"/>
    <col min="1027" max="1027" width="54.7109375" style="99" customWidth="1"/>
    <col min="1028" max="1028" width="17.28515625" style="99" bestFit="1" customWidth="1"/>
    <col min="1029" max="1029" width="20.140625" style="99" bestFit="1" customWidth="1"/>
    <col min="1030" max="1030" width="16.5703125" style="99" customWidth="1"/>
    <col min="1031" max="1031" width="18.7109375" style="99" bestFit="1" customWidth="1"/>
    <col min="1032" max="1032" width="17.5703125" style="99" customWidth="1"/>
    <col min="1033" max="1033" width="15.5703125" style="99" bestFit="1" customWidth="1"/>
    <col min="1034" max="1034" width="13.5703125" style="99" customWidth="1"/>
    <col min="1035" max="1035" width="20.5703125" style="99" customWidth="1"/>
    <col min="1036" max="1036" width="12.42578125" style="99" bestFit="1" customWidth="1"/>
    <col min="1037" max="1280" width="9.140625" style="99"/>
    <col min="1281" max="1281" width="23" style="99" customWidth="1"/>
    <col min="1282" max="1282" width="42" style="99" customWidth="1"/>
    <col min="1283" max="1283" width="54.7109375" style="99" customWidth="1"/>
    <col min="1284" max="1284" width="17.28515625" style="99" bestFit="1" customWidth="1"/>
    <col min="1285" max="1285" width="20.140625" style="99" bestFit="1" customWidth="1"/>
    <col min="1286" max="1286" width="16.5703125" style="99" customWidth="1"/>
    <col min="1287" max="1287" width="18.7109375" style="99" bestFit="1" customWidth="1"/>
    <col min="1288" max="1288" width="17.5703125" style="99" customWidth="1"/>
    <col min="1289" max="1289" width="15.5703125" style="99" bestFit="1" customWidth="1"/>
    <col min="1290" max="1290" width="13.5703125" style="99" customWidth="1"/>
    <col min="1291" max="1291" width="20.5703125" style="99" customWidth="1"/>
    <col min="1292" max="1292" width="12.42578125" style="99" bestFit="1" customWidth="1"/>
    <col min="1293" max="1536" width="9.140625" style="99"/>
    <col min="1537" max="1537" width="23" style="99" customWidth="1"/>
    <col min="1538" max="1538" width="42" style="99" customWidth="1"/>
    <col min="1539" max="1539" width="54.7109375" style="99" customWidth="1"/>
    <col min="1540" max="1540" width="17.28515625" style="99" bestFit="1" customWidth="1"/>
    <col min="1541" max="1541" width="20.140625" style="99" bestFit="1" customWidth="1"/>
    <col min="1542" max="1542" width="16.5703125" style="99" customWidth="1"/>
    <col min="1543" max="1543" width="18.7109375" style="99" bestFit="1" customWidth="1"/>
    <col min="1544" max="1544" width="17.5703125" style="99" customWidth="1"/>
    <col min="1545" max="1545" width="15.5703125" style="99" bestFit="1" customWidth="1"/>
    <col min="1546" max="1546" width="13.5703125" style="99" customWidth="1"/>
    <col min="1547" max="1547" width="20.5703125" style="99" customWidth="1"/>
    <col min="1548" max="1548" width="12.42578125" style="99" bestFit="1" customWidth="1"/>
    <col min="1549" max="1792" width="9.140625" style="99"/>
    <col min="1793" max="1793" width="23" style="99" customWidth="1"/>
    <col min="1794" max="1794" width="42" style="99" customWidth="1"/>
    <col min="1795" max="1795" width="54.7109375" style="99" customWidth="1"/>
    <col min="1796" max="1796" width="17.28515625" style="99" bestFit="1" customWidth="1"/>
    <col min="1797" max="1797" width="20.140625" style="99" bestFit="1" customWidth="1"/>
    <col min="1798" max="1798" width="16.5703125" style="99" customWidth="1"/>
    <col min="1799" max="1799" width="18.7109375" style="99" bestFit="1" customWidth="1"/>
    <col min="1800" max="1800" width="17.5703125" style="99" customWidth="1"/>
    <col min="1801" max="1801" width="15.5703125" style="99" bestFit="1" customWidth="1"/>
    <col min="1802" max="1802" width="13.5703125" style="99" customWidth="1"/>
    <col min="1803" max="1803" width="20.5703125" style="99" customWidth="1"/>
    <col min="1804" max="1804" width="12.42578125" style="99" bestFit="1" customWidth="1"/>
    <col min="1805" max="2048" width="9.140625" style="99"/>
    <col min="2049" max="2049" width="23" style="99" customWidth="1"/>
    <col min="2050" max="2050" width="42" style="99" customWidth="1"/>
    <col min="2051" max="2051" width="54.7109375" style="99" customWidth="1"/>
    <col min="2052" max="2052" width="17.28515625" style="99" bestFit="1" customWidth="1"/>
    <col min="2053" max="2053" width="20.140625" style="99" bestFit="1" customWidth="1"/>
    <col min="2054" max="2054" width="16.5703125" style="99" customWidth="1"/>
    <col min="2055" max="2055" width="18.7109375" style="99" bestFit="1" customWidth="1"/>
    <col min="2056" max="2056" width="17.5703125" style="99" customWidth="1"/>
    <col min="2057" max="2057" width="15.5703125" style="99" bestFit="1" customWidth="1"/>
    <col min="2058" max="2058" width="13.5703125" style="99" customWidth="1"/>
    <col min="2059" max="2059" width="20.5703125" style="99" customWidth="1"/>
    <col min="2060" max="2060" width="12.42578125" style="99" bestFit="1" customWidth="1"/>
    <col min="2061" max="2304" width="9.140625" style="99"/>
    <col min="2305" max="2305" width="23" style="99" customWidth="1"/>
    <col min="2306" max="2306" width="42" style="99" customWidth="1"/>
    <col min="2307" max="2307" width="54.7109375" style="99" customWidth="1"/>
    <col min="2308" max="2308" width="17.28515625" style="99" bestFit="1" customWidth="1"/>
    <col min="2309" max="2309" width="20.140625" style="99" bestFit="1" customWidth="1"/>
    <col min="2310" max="2310" width="16.5703125" style="99" customWidth="1"/>
    <col min="2311" max="2311" width="18.7109375" style="99" bestFit="1" customWidth="1"/>
    <col min="2312" max="2312" width="17.5703125" style="99" customWidth="1"/>
    <col min="2313" max="2313" width="15.5703125" style="99" bestFit="1" customWidth="1"/>
    <col min="2314" max="2314" width="13.5703125" style="99" customWidth="1"/>
    <col min="2315" max="2315" width="20.5703125" style="99" customWidth="1"/>
    <col min="2316" max="2316" width="12.42578125" style="99" bestFit="1" customWidth="1"/>
    <col min="2317" max="2560" width="9.140625" style="99"/>
    <col min="2561" max="2561" width="23" style="99" customWidth="1"/>
    <col min="2562" max="2562" width="42" style="99" customWidth="1"/>
    <col min="2563" max="2563" width="54.7109375" style="99" customWidth="1"/>
    <col min="2564" max="2564" width="17.28515625" style="99" bestFit="1" customWidth="1"/>
    <col min="2565" max="2565" width="20.140625" style="99" bestFit="1" customWidth="1"/>
    <col min="2566" max="2566" width="16.5703125" style="99" customWidth="1"/>
    <col min="2567" max="2567" width="18.7109375" style="99" bestFit="1" customWidth="1"/>
    <col min="2568" max="2568" width="17.5703125" style="99" customWidth="1"/>
    <col min="2569" max="2569" width="15.5703125" style="99" bestFit="1" customWidth="1"/>
    <col min="2570" max="2570" width="13.5703125" style="99" customWidth="1"/>
    <col min="2571" max="2571" width="20.5703125" style="99" customWidth="1"/>
    <col min="2572" max="2572" width="12.42578125" style="99" bestFit="1" customWidth="1"/>
    <col min="2573" max="2816" width="9.140625" style="99"/>
    <col min="2817" max="2817" width="23" style="99" customWidth="1"/>
    <col min="2818" max="2818" width="42" style="99" customWidth="1"/>
    <col min="2819" max="2819" width="54.7109375" style="99" customWidth="1"/>
    <col min="2820" max="2820" width="17.28515625" style="99" bestFit="1" customWidth="1"/>
    <col min="2821" max="2821" width="20.140625" style="99" bestFit="1" customWidth="1"/>
    <col min="2822" max="2822" width="16.5703125" style="99" customWidth="1"/>
    <col min="2823" max="2823" width="18.7109375" style="99" bestFit="1" customWidth="1"/>
    <col min="2824" max="2824" width="17.5703125" style="99" customWidth="1"/>
    <col min="2825" max="2825" width="15.5703125" style="99" bestFit="1" customWidth="1"/>
    <col min="2826" max="2826" width="13.5703125" style="99" customWidth="1"/>
    <col min="2827" max="2827" width="20.5703125" style="99" customWidth="1"/>
    <col min="2828" max="2828" width="12.42578125" style="99" bestFit="1" customWidth="1"/>
    <col min="2829" max="3072" width="9.140625" style="99"/>
    <col min="3073" max="3073" width="23" style="99" customWidth="1"/>
    <col min="3074" max="3074" width="42" style="99" customWidth="1"/>
    <col min="3075" max="3075" width="54.7109375" style="99" customWidth="1"/>
    <col min="3076" max="3076" width="17.28515625" style="99" bestFit="1" customWidth="1"/>
    <col min="3077" max="3077" width="20.140625" style="99" bestFit="1" customWidth="1"/>
    <col min="3078" max="3078" width="16.5703125" style="99" customWidth="1"/>
    <col min="3079" max="3079" width="18.7109375" style="99" bestFit="1" customWidth="1"/>
    <col min="3080" max="3080" width="17.5703125" style="99" customWidth="1"/>
    <col min="3081" max="3081" width="15.5703125" style="99" bestFit="1" customWidth="1"/>
    <col min="3082" max="3082" width="13.5703125" style="99" customWidth="1"/>
    <col min="3083" max="3083" width="20.5703125" style="99" customWidth="1"/>
    <col min="3084" max="3084" width="12.42578125" style="99" bestFit="1" customWidth="1"/>
    <col min="3085" max="3328" width="9.140625" style="99"/>
    <col min="3329" max="3329" width="23" style="99" customWidth="1"/>
    <col min="3330" max="3330" width="42" style="99" customWidth="1"/>
    <col min="3331" max="3331" width="54.7109375" style="99" customWidth="1"/>
    <col min="3332" max="3332" width="17.28515625" style="99" bestFit="1" customWidth="1"/>
    <col min="3333" max="3333" width="20.140625" style="99" bestFit="1" customWidth="1"/>
    <col min="3334" max="3334" width="16.5703125" style="99" customWidth="1"/>
    <col min="3335" max="3335" width="18.7109375" style="99" bestFit="1" customWidth="1"/>
    <col min="3336" max="3336" width="17.5703125" style="99" customWidth="1"/>
    <col min="3337" max="3337" width="15.5703125" style="99" bestFit="1" customWidth="1"/>
    <col min="3338" max="3338" width="13.5703125" style="99" customWidth="1"/>
    <col min="3339" max="3339" width="20.5703125" style="99" customWidth="1"/>
    <col min="3340" max="3340" width="12.42578125" style="99" bestFit="1" customWidth="1"/>
    <col min="3341" max="3584" width="9.140625" style="99"/>
    <col min="3585" max="3585" width="23" style="99" customWidth="1"/>
    <col min="3586" max="3586" width="42" style="99" customWidth="1"/>
    <col min="3587" max="3587" width="54.7109375" style="99" customWidth="1"/>
    <col min="3588" max="3588" width="17.28515625" style="99" bestFit="1" customWidth="1"/>
    <col min="3589" max="3589" width="20.140625" style="99" bestFit="1" customWidth="1"/>
    <col min="3590" max="3590" width="16.5703125" style="99" customWidth="1"/>
    <col min="3591" max="3591" width="18.7109375" style="99" bestFit="1" customWidth="1"/>
    <col min="3592" max="3592" width="17.5703125" style="99" customWidth="1"/>
    <col min="3593" max="3593" width="15.5703125" style="99" bestFit="1" customWidth="1"/>
    <col min="3594" max="3594" width="13.5703125" style="99" customWidth="1"/>
    <col min="3595" max="3595" width="20.5703125" style="99" customWidth="1"/>
    <col min="3596" max="3596" width="12.42578125" style="99" bestFit="1" customWidth="1"/>
    <col min="3597" max="3840" width="9.140625" style="99"/>
    <col min="3841" max="3841" width="23" style="99" customWidth="1"/>
    <col min="3842" max="3842" width="42" style="99" customWidth="1"/>
    <col min="3843" max="3843" width="54.7109375" style="99" customWidth="1"/>
    <col min="3844" max="3844" width="17.28515625" style="99" bestFit="1" customWidth="1"/>
    <col min="3845" max="3845" width="20.140625" style="99" bestFit="1" customWidth="1"/>
    <col min="3846" max="3846" width="16.5703125" style="99" customWidth="1"/>
    <col min="3847" max="3847" width="18.7109375" style="99" bestFit="1" customWidth="1"/>
    <col min="3848" max="3848" width="17.5703125" style="99" customWidth="1"/>
    <col min="3849" max="3849" width="15.5703125" style="99" bestFit="1" customWidth="1"/>
    <col min="3850" max="3850" width="13.5703125" style="99" customWidth="1"/>
    <col min="3851" max="3851" width="20.5703125" style="99" customWidth="1"/>
    <col min="3852" max="3852" width="12.42578125" style="99" bestFit="1" customWidth="1"/>
    <col min="3853" max="4096" width="9.140625" style="99"/>
    <col min="4097" max="4097" width="23" style="99" customWidth="1"/>
    <col min="4098" max="4098" width="42" style="99" customWidth="1"/>
    <col min="4099" max="4099" width="54.7109375" style="99" customWidth="1"/>
    <col min="4100" max="4100" width="17.28515625" style="99" bestFit="1" customWidth="1"/>
    <col min="4101" max="4101" width="20.140625" style="99" bestFit="1" customWidth="1"/>
    <col min="4102" max="4102" width="16.5703125" style="99" customWidth="1"/>
    <col min="4103" max="4103" width="18.7109375" style="99" bestFit="1" customWidth="1"/>
    <col min="4104" max="4104" width="17.5703125" style="99" customWidth="1"/>
    <col min="4105" max="4105" width="15.5703125" style="99" bestFit="1" customWidth="1"/>
    <col min="4106" max="4106" width="13.5703125" style="99" customWidth="1"/>
    <col min="4107" max="4107" width="20.5703125" style="99" customWidth="1"/>
    <col min="4108" max="4108" width="12.42578125" style="99" bestFit="1" customWidth="1"/>
    <col min="4109" max="4352" width="9.140625" style="99"/>
    <col min="4353" max="4353" width="23" style="99" customWidth="1"/>
    <col min="4354" max="4354" width="42" style="99" customWidth="1"/>
    <col min="4355" max="4355" width="54.7109375" style="99" customWidth="1"/>
    <col min="4356" max="4356" width="17.28515625" style="99" bestFit="1" customWidth="1"/>
    <col min="4357" max="4357" width="20.140625" style="99" bestFit="1" customWidth="1"/>
    <col min="4358" max="4358" width="16.5703125" style="99" customWidth="1"/>
    <col min="4359" max="4359" width="18.7109375" style="99" bestFit="1" customWidth="1"/>
    <col min="4360" max="4360" width="17.5703125" style="99" customWidth="1"/>
    <col min="4361" max="4361" width="15.5703125" style="99" bestFit="1" customWidth="1"/>
    <col min="4362" max="4362" width="13.5703125" style="99" customWidth="1"/>
    <col min="4363" max="4363" width="20.5703125" style="99" customWidth="1"/>
    <col min="4364" max="4364" width="12.42578125" style="99" bestFit="1" customWidth="1"/>
    <col min="4365" max="4608" width="9.140625" style="99"/>
    <col min="4609" max="4609" width="23" style="99" customWidth="1"/>
    <col min="4610" max="4610" width="42" style="99" customWidth="1"/>
    <col min="4611" max="4611" width="54.7109375" style="99" customWidth="1"/>
    <col min="4612" max="4612" width="17.28515625" style="99" bestFit="1" customWidth="1"/>
    <col min="4613" max="4613" width="20.140625" style="99" bestFit="1" customWidth="1"/>
    <col min="4614" max="4614" width="16.5703125" style="99" customWidth="1"/>
    <col min="4615" max="4615" width="18.7109375" style="99" bestFit="1" customWidth="1"/>
    <col min="4616" max="4616" width="17.5703125" style="99" customWidth="1"/>
    <col min="4617" max="4617" width="15.5703125" style="99" bestFit="1" customWidth="1"/>
    <col min="4618" max="4618" width="13.5703125" style="99" customWidth="1"/>
    <col min="4619" max="4619" width="20.5703125" style="99" customWidth="1"/>
    <col min="4620" max="4620" width="12.42578125" style="99" bestFit="1" customWidth="1"/>
    <col min="4621" max="4864" width="9.140625" style="99"/>
    <col min="4865" max="4865" width="23" style="99" customWidth="1"/>
    <col min="4866" max="4866" width="42" style="99" customWidth="1"/>
    <col min="4867" max="4867" width="54.7109375" style="99" customWidth="1"/>
    <col min="4868" max="4868" width="17.28515625" style="99" bestFit="1" customWidth="1"/>
    <col min="4869" max="4869" width="20.140625" style="99" bestFit="1" customWidth="1"/>
    <col min="4870" max="4870" width="16.5703125" style="99" customWidth="1"/>
    <col min="4871" max="4871" width="18.7109375" style="99" bestFit="1" customWidth="1"/>
    <col min="4872" max="4872" width="17.5703125" style="99" customWidth="1"/>
    <col min="4873" max="4873" width="15.5703125" style="99" bestFit="1" customWidth="1"/>
    <col min="4874" max="4874" width="13.5703125" style="99" customWidth="1"/>
    <col min="4875" max="4875" width="20.5703125" style="99" customWidth="1"/>
    <col min="4876" max="4876" width="12.42578125" style="99" bestFit="1" customWidth="1"/>
    <col min="4877" max="5120" width="9.140625" style="99"/>
    <col min="5121" max="5121" width="23" style="99" customWidth="1"/>
    <col min="5122" max="5122" width="42" style="99" customWidth="1"/>
    <col min="5123" max="5123" width="54.7109375" style="99" customWidth="1"/>
    <col min="5124" max="5124" width="17.28515625" style="99" bestFit="1" customWidth="1"/>
    <col min="5125" max="5125" width="20.140625" style="99" bestFit="1" customWidth="1"/>
    <col min="5126" max="5126" width="16.5703125" style="99" customWidth="1"/>
    <col min="5127" max="5127" width="18.7109375" style="99" bestFit="1" customWidth="1"/>
    <col min="5128" max="5128" width="17.5703125" style="99" customWidth="1"/>
    <col min="5129" max="5129" width="15.5703125" style="99" bestFit="1" customWidth="1"/>
    <col min="5130" max="5130" width="13.5703125" style="99" customWidth="1"/>
    <col min="5131" max="5131" width="20.5703125" style="99" customWidth="1"/>
    <col min="5132" max="5132" width="12.42578125" style="99" bestFit="1" customWidth="1"/>
    <col min="5133" max="5376" width="9.140625" style="99"/>
    <col min="5377" max="5377" width="23" style="99" customWidth="1"/>
    <col min="5378" max="5378" width="42" style="99" customWidth="1"/>
    <col min="5379" max="5379" width="54.7109375" style="99" customWidth="1"/>
    <col min="5380" max="5380" width="17.28515625" style="99" bestFit="1" customWidth="1"/>
    <col min="5381" max="5381" width="20.140625" style="99" bestFit="1" customWidth="1"/>
    <col min="5382" max="5382" width="16.5703125" style="99" customWidth="1"/>
    <col min="5383" max="5383" width="18.7109375" style="99" bestFit="1" customWidth="1"/>
    <col min="5384" max="5384" width="17.5703125" style="99" customWidth="1"/>
    <col min="5385" max="5385" width="15.5703125" style="99" bestFit="1" customWidth="1"/>
    <col min="5386" max="5386" width="13.5703125" style="99" customWidth="1"/>
    <col min="5387" max="5387" width="20.5703125" style="99" customWidth="1"/>
    <col min="5388" max="5388" width="12.42578125" style="99" bestFit="1" customWidth="1"/>
    <col min="5389" max="5632" width="9.140625" style="99"/>
    <col min="5633" max="5633" width="23" style="99" customWidth="1"/>
    <col min="5634" max="5634" width="42" style="99" customWidth="1"/>
    <col min="5635" max="5635" width="54.7109375" style="99" customWidth="1"/>
    <col min="5636" max="5636" width="17.28515625" style="99" bestFit="1" customWidth="1"/>
    <col min="5637" max="5637" width="20.140625" style="99" bestFit="1" customWidth="1"/>
    <col min="5638" max="5638" width="16.5703125" style="99" customWidth="1"/>
    <col min="5639" max="5639" width="18.7109375" style="99" bestFit="1" customWidth="1"/>
    <col min="5640" max="5640" width="17.5703125" style="99" customWidth="1"/>
    <col min="5641" max="5641" width="15.5703125" style="99" bestFit="1" customWidth="1"/>
    <col min="5642" max="5642" width="13.5703125" style="99" customWidth="1"/>
    <col min="5643" max="5643" width="20.5703125" style="99" customWidth="1"/>
    <col min="5644" max="5644" width="12.42578125" style="99" bestFit="1" customWidth="1"/>
    <col min="5645" max="5888" width="9.140625" style="99"/>
    <col min="5889" max="5889" width="23" style="99" customWidth="1"/>
    <col min="5890" max="5890" width="42" style="99" customWidth="1"/>
    <col min="5891" max="5891" width="54.7109375" style="99" customWidth="1"/>
    <col min="5892" max="5892" width="17.28515625" style="99" bestFit="1" customWidth="1"/>
    <col min="5893" max="5893" width="20.140625" style="99" bestFit="1" customWidth="1"/>
    <col min="5894" max="5894" width="16.5703125" style="99" customWidth="1"/>
    <col min="5895" max="5895" width="18.7109375" style="99" bestFit="1" customWidth="1"/>
    <col min="5896" max="5896" width="17.5703125" style="99" customWidth="1"/>
    <col min="5897" max="5897" width="15.5703125" style="99" bestFit="1" customWidth="1"/>
    <col min="5898" max="5898" width="13.5703125" style="99" customWidth="1"/>
    <col min="5899" max="5899" width="20.5703125" style="99" customWidth="1"/>
    <col min="5900" max="5900" width="12.42578125" style="99" bestFit="1" customWidth="1"/>
    <col min="5901" max="6144" width="9.140625" style="99"/>
    <col min="6145" max="6145" width="23" style="99" customWidth="1"/>
    <col min="6146" max="6146" width="42" style="99" customWidth="1"/>
    <col min="6147" max="6147" width="54.7109375" style="99" customWidth="1"/>
    <col min="6148" max="6148" width="17.28515625" style="99" bestFit="1" customWidth="1"/>
    <col min="6149" max="6149" width="20.140625" style="99" bestFit="1" customWidth="1"/>
    <col min="6150" max="6150" width="16.5703125" style="99" customWidth="1"/>
    <col min="6151" max="6151" width="18.7109375" style="99" bestFit="1" customWidth="1"/>
    <col min="6152" max="6152" width="17.5703125" style="99" customWidth="1"/>
    <col min="6153" max="6153" width="15.5703125" style="99" bestFit="1" customWidth="1"/>
    <col min="6154" max="6154" width="13.5703125" style="99" customWidth="1"/>
    <col min="6155" max="6155" width="20.5703125" style="99" customWidth="1"/>
    <col min="6156" max="6156" width="12.42578125" style="99" bestFit="1" customWidth="1"/>
    <col min="6157" max="6400" width="9.140625" style="99"/>
    <col min="6401" max="6401" width="23" style="99" customWidth="1"/>
    <col min="6402" max="6402" width="42" style="99" customWidth="1"/>
    <col min="6403" max="6403" width="54.7109375" style="99" customWidth="1"/>
    <col min="6404" max="6404" width="17.28515625" style="99" bestFit="1" customWidth="1"/>
    <col min="6405" max="6405" width="20.140625" style="99" bestFit="1" customWidth="1"/>
    <col min="6406" max="6406" width="16.5703125" style="99" customWidth="1"/>
    <col min="6407" max="6407" width="18.7109375" style="99" bestFit="1" customWidth="1"/>
    <col min="6408" max="6408" width="17.5703125" style="99" customWidth="1"/>
    <col min="6409" max="6409" width="15.5703125" style="99" bestFit="1" customWidth="1"/>
    <col min="6410" max="6410" width="13.5703125" style="99" customWidth="1"/>
    <col min="6411" max="6411" width="20.5703125" style="99" customWidth="1"/>
    <col min="6412" max="6412" width="12.42578125" style="99" bestFit="1" customWidth="1"/>
    <col min="6413" max="6656" width="9.140625" style="99"/>
    <col min="6657" max="6657" width="23" style="99" customWidth="1"/>
    <col min="6658" max="6658" width="42" style="99" customWidth="1"/>
    <col min="6659" max="6659" width="54.7109375" style="99" customWidth="1"/>
    <col min="6660" max="6660" width="17.28515625" style="99" bestFit="1" customWidth="1"/>
    <col min="6661" max="6661" width="20.140625" style="99" bestFit="1" customWidth="1"/>
    <col min="6662" max="6662" width="16.5703125" style="99" customWidth="1"/>
    <col min="6663" max="6663" width="18.7109375" style="99" bestFit="1" customWidth="1"/>
    <col min="6664" max="6664" width="17.5703125" style="99" customWidth="1"/>
    <col min="6665" max="6665" width="15.5703125" style="99" bestFit="1" customWidth="1"/>
    <col min="6666" max="6666" width="13.5703125" style="99" customWidth="1"/>
    <col min="6667" max="6667" width="20.5703125" style="99" customWidth="1"/>
    <col min="6668" max="6668" width="12.42578125" style="99" bestFit="1" customWidth="1"/>
    <col min="6669" max="6912" width="9.140625" style="99"/>
    <col min="6913" max="6913" width="23" style="99" customWidth="1"/>
    <col min="6914" max="6914" width="42" style="99" customWidth="1"/>
    <col min="6915" max="6915" width="54.7109375" style="99" customWidth="1"/>
    <col min="6916" max="6916" width="17.28515625" style="99" bestFit="1" customWidth="1"/>
    <col min="6917" max="6917" width="20.140625" style="99" bestFit="1" customWidth="1"/>
    <col min="6918" max="6918" width="16.5703125" style="99" customWidth="1"/>
    <col min="6919" max="6919" width="18.7109375" style="99" bestFit="1" customWidth="1"/>
    <col min="6920" max="6920" width="17.5703125" style="99" customWidth="1"/>
    <col min="6921" max="6921" width="15.5703125" style="99" bestFit="1" customWidth="1"/>
    <col min="6922" max="6922" width="13.5703125" style="99" customWidth="1"/>
    <col min="6923" max="6923" width="20.5703125" style="99" customWidth="1"/>
    <col min="6924" max="6924" width="12.42578125" style="99" bestFit="1" customWidth="1"/>
    <col min="6925" max="7168" width="9.140625" style="99"/>
    <col min="7169" max="7169" width="23" style="99" customWidth="1"/>
    <col min="7170" max="7170" width="42" style="99" customWidth="1"/>
    <col min="7171" max="7171" width="54.7109375" style="99" customWidth="1"/>
    <col min="7172" max="7172" width="17.28515625" style="99" bestFit="1" customWidth="1"/>
    <col min="7173" max="7173" width="20.140625" style="99" bestFit="1" customWidth="1"/>
    <col min="7174" max="7174" width="16.5703125" style="99" customWidth="1"/>
    <col min="7175" max="7175" width="18.7109375" style="99" bestFit="1" customWidth="1"/>
    <col min="7176" max="7176" width="17.5703125" style="99" customWidth="1"/>
    <col min="7177" max="7177" width="15.5703125" style="99" bestFit="1" customWidth="1"/>
    <col min="7178" max="7178" width="13.5703125" style="99" customWidth="1"/>
    <col min="7179" max="7179" width="20.5703125" style="99" customWidth="1"/>
    <col min="7180" max="7180" width="12.42578125" style="99" bestFit="1" customWidth="1"/>
    <col min="7181" max="7424" width="9.140625" style="99"/>
    <col min="7425" max="7425" width="23" style="99" customWidth="1"/>
    <col min="7426" max="7426" width="42" style="99" customWidth="1"/>
    <col min="7427" max="7427" width="54.7109375" style="99" customWidth="1"/>
    <col min="7428" max="7428" width="17.28515625" style="99" bestFit="1" customWidth="1"/>
    <col min="7429" max="7429" width="20.140625" style="99" bestFit="1" customWidth="1"/>
    <col min="7430" max="7430" width="16.5703125" style="99" customWidth="1"/>
    <col min="7431" max="7431" width="18.7109375" style="99" bestFit="1" customWidth="1"/>
    <col min="7432" max="7432" width="17.5703125" style="99" customWidth="1"/>
    <col min="7433" max="7433" width="15.5703125" style="99" bestFit="1" customWidth="1"/>
    <col min="7434" max="7434" width="13.5703125" style="99" customWidth="1"/>
    <col min="7435" max="7435" width="20.5703125" style="99" customWidth="1"/>
    <col min="7436" max="7436" width="12.42578125" style="99" bestFit="1" customWidth="1"/>
    <col min="7437" max="7680" width="9.140625" style="99"/>
    <col min="7681" max="7681" width="23" style="99" customWidth="1"/>
    <col min="7682" max="7682" width="42" style="99" customWidth="1"/>
    <col min="7683" max="7683" width="54.7109375" style="99" customWidth="1"/>
    <col min="7684" max="7684" width="17.28515625" style="99" bestFit="1" customWidth="1"/>
    <col min="7685" max="7685" width="20.140625" style="99" bestFit="1" customWidth="1"/>
    <col min="7686" max="7686" width="16.5703125" style="99" customWidth="1"/>
    <col min="7687" max="7687" width="18.7109375" style="99" bestFit="1" customWidth="1"/>
    <col min="7688" max="7688" width="17.5703125" style="99" customWidth="1"/>
    <col min="7689" max="7689" width="15.5703125" style="99" bestFit="1" customWidth="1"/>
    <col min="7690" max="7690" width="13.5703125" style="99" customWidth="1"/>
    <col min="7691" max="7691" width="20.5703125" style="99" customWidth="1"/>
    <col min="7692" max="7692" width="12.42578125" style="99" bestFit="1" customWidth="1"/>
    <col min="7693" max="7936" width="9.140625" style="99"/>
    <col min="7937" max="7937" width="23" style="99" customWidth="1"/>
    <col min="7938" max="7938" width="42" style="99" customWidth="1"/>
    <col min="7939" max="7939" width="54.7109375" style="99" customWidth="1"/>
    <col min="7940" max="7940" width="17.28515625" style="99" bestFit="1" customWidth="1"/>
    <col min="7941" max="7941" width="20.140625" style="99" bestFit="1" customWidth="1"/>
    <col min="7942" max="7942" width="16.5703125" style="99" customWidth="1"/>
    <col min="7943" max="7943" width="18.7109375" style="99" bestFit="1" customWidth="1"/>
    <col min="7944" max="7944" width="17.5703125" style="99" customWidth="1"/>
    <col min="7945" max="7945" width="15.5703125" style="99" bestFit="1" customWidth="1"/>
    <col min="7946" max="7946" width="13.5703125" style="99" customWidth="1"/>
    <col min="7947" max="7947" width="20.5703125" style="99" customWidth="1"/>
    <col min="7948" max="7948" width="12.42578125" style="99" bestFit="1" customWidth="1"/>
    <col min="7949" max="8192" width="9.140625" style="99"/>
    <col min="8193" max="8193" width="23" style="99" customWidth="1"/>
    <col min="8194" max="8194" width="42" style="99" customWidth="1"/>
    <col min="8195" max="8195" width="54.7109375" style="99" customWidth="1"/>
    <col min="8196" max="8196" width="17.28515625" style="99" bestFit="1" customWidth="1"/>
    <col min="8197" max="8197" width="20.140625" style="99" bestFit="1" customWidth="1"/>
    <col min="8198" max="8198" width="16.5703125" style="99" customWidth="1"/>
    <col min="8199" max="8199" width="18.7109375" style="99" bestFit="1" customWidth="1"/>
    <col min="8200" max="8200" width="17.5703125" style="99" customWidth="1"/>
    <col min="8201" max="8201" width="15.5703125" style="99" bestFit="1" customWidth="1"/>
    <col min="8202" max="8202" width="13.5703125" style="99" customWidth="1"/>
    <col min="8203" max="8203" width="20.5703125" style="99" customWidth="1"/>
    <col min="8204" max="8204" width="12.42578125" style="99" bestFit="1" customWidth="1"/>
    <col min="8205" max="8448" width="9.140625" style="99"/>
    <col min="8449" max="8449" width="23" style="99" customWidth="1"/>
    <col min="8450" max="8450" width="42" style="99" customWidth="1"/>
    <col min="8451" max="8451" width="54.7109375" style="99" customWidth="1"/>
    <col min="8452" max="8452" width="17.28515625" style="99" bestFit="1" customWidth="1"/>
    <col min="8453" max="8453" width="20.140625" style="99" bestFit="1" customWidth="1"/>
    <col min="8454" max="8454" width="16.5703125" style="99" customWidth="1"/>
    <col min="8455" max="8455" width="18.7109375" style="99" bestFit="1" customWidth="1"/>
    <col min="8456" max="8456" width="17.5703125" style="99" customWidth="1"/>
    <col min="8457" max="8457" width="15.5703125" style="99" bestFit="1" customWidth="1"/>
    <col min="8458" max="8458" width="13.5703125" style="99" customWidth="1"/>
    <col min="8459" max="8459" width="20.5703125" style="99" customWidth="1"/>
    <col min="8460" max="8460" width="12.42578125" style="99" bestFit="1" customWidth="1"/>
    <col min="8461" max="8704" width="9.140625" style="99"/>
    <col min="8705" max="8705" width="23" style="99" customWidth="1"/>
    <col min="8706" max="8706" width="42" style="99" customWidth="1"/>
    <col min="8707" max="8707" width="54.7109375" style="99" customWidth="1"/>
    <col min="8708" max="8708" width="17.28515625" style="99" bestFit="1" customWidth="1"/>
    <col min="8709" max="8709" width="20.140625" style="99" bestFit="1" customWidth="1"/>
    <col min="8710" max="8710" width="16.5703125" style="99" customWidth="1"/>
    <col min="8711" max="8711" width="18.7109375" style="99" bestFit="1" customWidth="1"/>
    <col min="8712" max="8712" width="17.5703125" style="99" customWidth="1"/>
    <col min="8713" max="8713" width="15.5703125" style="99" bestFit="1" customWidth="1"/>
    <col min="8714" max="8714" width="13.5703125" style="99" customWidth="1"/>
    <col min="8715" max="8715" width="20.5703125" style="99" customWidth="1"/>
    <col min="8716" max="8716" width="12.42578125" style="99" bestFit="1" customWidth="1"/>
    <col min="8717" max="8960" width="9.140625" style="99"/>
    <col min="8961" max="8961" width="23" style="99" customWidth="1"/>
    <col min="8962" max="8962" width="42" style="99" customWidth="1"/>
    <col min="8963" max="8963" width="54.7109375" style="99" customWidth="1"/>
    <col min="8964" max="8964" width="17.28515625" style="99" bestFit="1" customWidth="1"/>
    <col min="8965" max="8965" width="20.140625" style="99" bestFit="1" customWidth="1"/>
    <col min="8966" max="8966" width="16.5703125" style="99" customWidth="1"/>
    <col min="8967" max="8967" width="18.7109375" style="99" bestFit="1" customWidth="1"/>
    <col min="8968" max="8968" width="17.5703125" style="99" customWidth="1"/>
    <col min="8969" max="8969" width="15.5703125" style="99" bestFit="1" customWidth="1"/>
    <col min="8970" max="8970" width="13.5703125" style="99" customWidth="1"/>
    <col min="8971" max="8971" width="20.5703125" style="99" customWidth="1"/>
    <col min="8972" max="8972" width="12.42578125" style="99" bestFit="1" customWidth="1"/>
    <col min="8973" max="9216" width="9.140625" style="99"/>
    <col min="9217" max="9217" width="23" style="99" customWidth="1"/>
    <col min="9218" max="9218" width="42" style="99" customWidth="1"/>
    <col min="9219" max="9219" width="54.7109375" style="99" customWidth="1"/>
    <col min="9220" max="9220" width="17.28515625" style="99" bestFit="1" customWidth="1"/>
    <col min="9221" max="9221" width="20.140625" style="99" bestFit="1" customWidth="1"/>
    <col min="9222" max="9222" width="16.5703125" style="99" customWidth="1"/>
    <col min="9223" max="9223" width="18.7109375" style="99" bestFit="1" customWidth="1"/>
    <col min="9224" max="9224" width="17.5703125" style="99" customWidth="1"/>
    <col min="9225" max="9225" width="15.5703125" style="99" bestFit="1" customWidth="1"/>
    <col min="9226" max="9226" width="13.5703125" style="99" customWidth="1"/>
    <col min="9227" max="9227" width="20.5703125" style="99" customWidth="1"/>
    <col min="9228" max="9228" width="12.42578125" style="99" bestFit="1" customWidth="1"/>
    <col min="9229" max="9472" width="9.140625" style="99"/>
    <col min="9473" max="9473" width="23" style="99" customWidth="1"/>
    <col min="9474" max="9474" width="42" style="99" customWidth="1"/>
    <col min="9475" max="9475" width="54.7109375" style="99" customWidth="1"/>
    <col min="9476" max="9476" width="17.28515625" style="99" bestFit="1" customWidth="1"/>
    <col min="9477" max="9477" width="20.140625" style="99" bestFit="1" customWidth="1"/>
    <col min="9478" max="9478" width="16.5703125" style="99" customWidth="1"/>
    <col min="9479" max="9479" width="18.7109375" style="99" bestFit="1" customWidth="1"/>
    <col min="9480" max="9480" width="17.5703125" style="99" customWidth="1"/>
    <col min="9481" max="9481" width="15.5703125" style="99" bestFit="1" customWidth="1"/>
    <col min="9482" max="9482" width="13.5703125" style="99" customWidth="1"/>
    <col min="9483" max="9483" width="20.5703125" style="99" customWidth="1"/>
    <col min="9484" max="9484" width="12.42578125" style="99" bestFit="1" customWidth="1"/>
    <col min="9485" max="9728" width="9.140625" style="99"/>
    <col min="9729" max="9729" width="23" style="99" customWidth="1"/>
    <col min="9730" max="9730" width="42" style="99" customWidth="1"/>
    <col min="9731" max="9731" width="54.7109375" style="99" customWidth="1"/>
    <col min="9732" max="9732" width="17.28515625" style="99" bestFit="1" customWidth="1"/>
    <col min="9733" max="9733" width="20.140625" style="99" bestFit="1" customWidth="1"/>
    <col min="9734" max="9734" width="16.5703125" style="99" customWidth="1"/>
    <col min="9735" max="9735" width="18.7109375" style="99" bestFit="1" customWidth="1"/>
    <col min="9736" max="9736" width="17.5703125" style="99" customWidth="1"/>
    <col min="9737" max="9737" width="15.5703125" style="99" bestFit="1" customWidth="1"/>
    <col min="9738" max="9738" width="13.5703125" style="99" customWidth="1"/>
    <col min="9739" max="9739" width="20.5703125" style="99" customWidth="1"/>
    <col min="9740" max="9740" width="12.42578125" style="99" bestFit="1" customWidth="1"/>
    <col min="9741" max="9984" width="9.140625" style="99"/>
    <col min="9985" max="9985" width="23" style="99" customWidth="1"/>
    <col min="9986" max="9986" width="42" style="99" customWidth="1"/>
    <col min="9987" max="9987" width="54.7109375" style="99" customWidth="1"/>
    <col min="9988" max="9988" width="17.28515625" style="99" bestFit="1" customWidth="1"/>
    <col min="9989" max="9989" width="20.140625" style="99" bestFit="1" customWidth="1"/>
    <col min="9990" max="9990" width="16.5703125" style="99" customWidth="1"/>
    <col min="9991" max="9991" width="18.7109375" style="99" bestFit="1" customWidth="1"/>
    <col min="9992" max="9992" width="17.5703125" style="99" customWidth="1"/>
    <col min="9993" max="9993" width="15.5703125" style="99" bestFit="1" customWidth="1"/>
    <col min="9994" max="9994" width="13.5703125" style="99" customWidth="1"/>
    <col min="9995" max="9995" width="20.5703125" style="99" customWidth="1"/>
    <col min="9996" max="9996" width="12.42578125" style="99" bestFit="1" customWidth="1"/>
    <col min="9997" max="10240" width="9.140625" style="99"/>
    <col min="10241" max="10241" width="23" style="99" customWidth="1"/>
    <col min="10242" max="10242" width="42" style="99" customWidth="1"/>
    <col min="10243" max="10243" width="54.7109375" style="99" customWidth="1"/>
    <col min="10244" max="10244" width="17.28515625" style="99" bestFit="1" customWidth="1"/>
    <col min="10245" max="10245" width="20.140625" style="99" bestFit="1" customWidth="1"/>
    <col min="10246" max="10246" width="16.5703125" style="99" customWidth="1"/>
    <col min="10247" max="10247" width="18.7109375" style="99" bestFit="1" customWidth="1"/>
    <col min="10248" max="10248" width="17.5703125" style="99" customWidth="1"/>
    <col min="10249" max="10249" width="15.5703125" style="99" bestFit="1" customWidth="1"/>
    <col min="10250" max="10250" width="13.5703125" style="99" customWidth="1"/>
    <col min="10251" max="10251" width="20.5703125" style="99" customWidth="1"/>
    <col min="10252" max="10252" width="12.42578125" style="99" bestFit="1" customWidth="1"/>
    <col min="10253" max="10496" width="9.140625" style="99"/>
    <col min="10497" max="10497" width="23" style="99" customWidth="1"/>
    <col min="10498" max="10498" width="42" style="99" customWidth="1"/>
    <col min="10499" max="10499" width="54.7109375" style="99" customWidth="1"/>
    <col min="10500" max="10500" width="17.28515625" style="99" bestFit="1" customWidth="1"/>
    <col min="10501" max="10501" width="20.140625" style="99" bestFit="1" customWidth="1"/>
    <col min="10502" max="10502" width="16.5703125" style="99" customWidth="1"/>
    <col min="10503" max="10503" width="18.7109375" style="99" bestFit="1" customWidth="1"/>
    <col min="10504" max="10504" width="17.5703125" style="99" customWidth="1"/>
    <col min="10505" max="10505" width="15.5703125" style="99" bestFit="1" customWidth="1"/>
    <col min="10506" max="10506" width="13.5703125" style="99" customWidth="1"/>
    <col min="10507" max="10507" width="20.5703125" style="99" customWidth="1"/>
    <col min="10508" max="10508" width="12.42578125" style="99" bestFit="1" customWidth="1"/>
    <col min="10509" max="10752" width="9.140625" style="99"/>
    <col min="10753" max="10753" width="23" style="99" customWidth="1"/>
    <col min="10754" max="10754" width="42" style="99" customWidth="1"/>
    <col min="10755" max="10755" width="54.7109375" style="99" customWidth="1"/>
    <col min="10756" max="10756" width="17.28515625" style="99" bestFit="1" customWidth="1"/>
    <col min="10757" max="10757" width="20.140625" style="99" bestFit="1" customWidth="1"/>
    <col min="10758" max="10758" width="16.5703125" style="99" customWidth="1"/>
    <col min="10759" max="10759" width="18.7109375" style="99" bestFit="1" customWidth="1"/>
    <col min="10760" max="10760" width="17.5703125" style="99" customWidth="1"/>
    <col min="10761" max="10761" width="15.5703125" style="99" bestFit="1" customWidth="1"/>
    <col min="10762" max="10762" width="13.5703125" style="99" customWidth="1"/>
    <col min="10763" max="10763" width="20.5703125" style="99" customWidth="1"/>
    <col min="10764" max="10764" width="12.42578125" style="99" bestFit="1" customWidth="1"/>
    <col min="10765" max="11008" width="9.140625" style="99"/>
    <col min="11009" max="11009" width="23" style="99" customWidth="1"/>
    <col min="11010" max="11010" width="42" style="99" customWidth="1"/>
    <col min="11011" max="11011" width="54.7109375" style="99" customWidth="1"/>
    <col min="11012" max="11012" width="17.28515625" style="99" bestFit="1" customWidth="1"/>
    <col min="11013" max="11013" width="20.140625" style="99" bestFit="1" customWidth="1"/>
    <col min="11014" max="11014" width="16.5703125" style="99" customWidth="1"/>
    <col min="11015" max="11015" width="18.7109375" style="99" bestFit="1" customWidth="1"/>
    <col min="11016" max="11016" width="17.5703125" style="99" customWidth="1"/>
    <col min="11017" max="11017" width="15.5703125" style="99" bestFit="1" customWidth="1"/>
    <col min="11018" max="11018" width="13.5703125" style="99" customWidth="1"/>
    <col min="11019" max="11019" width="20.5703125" style="99" customWidth="1"/>
    <col min="11020" max="11020" width="12.42578125" style="99" bestFit="1" customWidth="1"/>
    <col min="11021" max="11264" width="9.140625" style="99"/>
    <col min="11265" max="11265" width="23" style="99" customWidth="1"/>
    <col min="11266" max="11266" width="42" style="99" customWidth="1"/>
    <col min="11267" max="11267" width="54.7109375" style="99" customWidth="1"/>
    <col min="11268" max="11268" width="17.28515625" style="99" bestFit="1" customWidth="1"/>
    <col min="11269" max="11269" width="20.140625" style="99" bestFit="1" customWidth="1"/>
    <col min="11270" max="11270" width="16.5703125" style="99" customWidth="1"/>
    <col min="11271" max="11271" width="18.7109375" style="99" bestFit="1" customWidth="1"/>
    <col min="11272" max="11272" width="17.5703125" style="99" customWidth="1"/>
    <col min="11273" max="11273" width="15.5703125" style="99" bestFit="1" customWidth="1"/>
    <col min="11274" max="11274" width="13.5703125" style="99" customWidth="1"/>
    <col min="11275" max="11275" width="20.5703125" style="99" customWidth="1"/>
    <col min="11276" max="11276" width="12.42578125" style="99" bestFit="1" customWidth="1"/>
    <col min="11277" max="11520" width="9.140625" style="99"/>
    <col min="11521" max="11521" width="23" style="99" customWidth="1"/>
    <col min="11522" max="11522" width="42" style="99" customWidth="1"/>
    <col min="11523" max="11523" width="54.7109375" style="99" customWidth="1"/>
    <col min="11524" max="11524" width="17.28515625" style="99" bestFit="1" customWidth="1"/>
    <col min="11525" max="11525" width="20.140625" style="99" bestFit="1" customWidth="1"/>
    <col min="11526" max="11526" width="16.5703125" style="99" customWidth="1"/>
    <col min="11527" max="11527" width="18.7109375" style="99" bestFit="1" customWidth="1"/>
    <col min="11528" max="11528" width="17.5703125" style="99" customWidth="1"/>
    <col min="11529" max="11529" width="15.5703125" style="99" bestFit="1" customWidth="1"/>
    <col min="11530" max="11530" width="13.5703125" style="99" customWidth="1"/>
    <col min="11531" max="11531" width="20.5703125" style="99" customWidth="1"/>
    <col min="11532" max="11532" width="12.42578125" style="99" bestFit="1" customWidth="1"/>
    <col min="11533" max="11776" width="9.140625" style="99"/>
    <col min="11777" max="11777" width="23" style="99" customWidth="1"/>
    <col min="11778" max="11778" width="42" style="99" customWidth="1"/>
    <col min="11779" max="11779" width="54.7109375" style="99" customWidth="1"/>
    <col min="11780" max="11780" width="17.28515625" style="99" bestFit="1" customWidth="1"/>
    <col min="11781" max="11781" width="20.140625" style="99" bestFit="1" customWidth="1"/>
    <col min="11782" max="11782" width="16.5703125" style="99" customWidth="1"/>
    <col min="11783" max="11783" width="18.7109375" style="99" bestFit="1" customWidth="1"/>
    <col min="11784" max="11784" width="17.5703125" style="99" customWidth="1"/>
    <col min="11785" max="11785" width="15.5703125" style="99" bestFit="1" customWidth="1"/>
    <col min="11786" max="11786" width="13.5703125" style="99" customWidth="1"/>
    <col min="11787" max="11787" width="20.5703125" style="99" customWidth="1"/>
    <col min="11788" max="11788" width="12.42578125" style="99" bestFit="1" customWidth="1"/>
    <col min="11789" max="12032" width="9.140625" style="99"/>
    <col min="12033" max="12033" width="23" style="99" customWidth="1"/>
    <col min="12034" max="12034" width="42" style="99" customWidth="1"/>
    <col min="12035" max="12035" width="54.7109375" style="99" customWidth="1"/>
    <col min="12036" max="12036" width="17.28515625" style="99" bestFit="1" customWidth="1"/>
    <col min="12037" max="12037" width="20.140625" style="99" bestFit="1" customWidth="1"/>
    <col min="12038" max="12038" width="16.5703125" style="99" customWidth="1"/>
    <col min="12039" max="12039" width="18.7109375" style="99" bestFit="1" customWidth="1"/>
    <col min="12040" max="12040" width="17.5703125" style="99" customWidth="1"/>
    <col min="12041" max="12041" width="15.5703125" style="99" bestFit="1" customWidth="1"/>
    <col min="12042" max="12042" width="13.5703125" style="99" customWidth="1"/>
    <col min="12043" max="12043" width="20.5703125" style="99" customWidth="1"/>
    <col min="12044" max="12044" width="12.42578125" style="99" bestFit="1" customWidth="1"/>
    <col min="12045" max="12288" width="9.140625" style="99"/>
    <col min="12289" max="12289" width="23" style="99" customWidth="1"/>
    <col min="12290" max="12290" width="42" style="99" customWidth="1"/>
    <col min="12291" max="12291" width="54.7109375" style="99" customWidth="1"/>
    <col min="12292" max="12292" width="17.28515625" style="99" bestFit="1" customWidth="1"/>
    <col min="12293" max="12293" width="20.140625" style="99" bestFit="1" customWidth="1"/>
    <col min="12294" max="12294" width="16.5703125" style="99" customWidth="1"/>
    <col min="12295" max="12295" width="18.7109375" style="99" bestFit="1" customWidth="1"/>
    <col min="12296" max="12296" width="17.5703125" style="99" customWidth="1"/>
    <col min="12297" max="12297" width="15.5703125" style="99" bestFit="1" customWidth="1"/>
    <col min="12298" max="12298" width="13.5703125" style="99" customWidth="1"/>
    <col min="12299" max="12299" width="20.5703125" style="99" customWidth="1"/>
    <col min="12300" max="12300" width="12.42578125" style="99" bestFit="1" customWidth="1"/>
    <col min="12301" max="12544" width="9.140625" style="99"/>
    <col min="12545" max="12545" width="23" style="99" customWidth="1"/>
    <col min="12546" max="12546" width="42" style="99" customWidth="1"/>
    <col min="12547" max="12547" width="54.7109375" style="99" customWidth="1"/>
    <col min="12548" max="12548" width="17.28515625" style="99" bestFit="1" customWidth="1"/>
    <col min="12549" max="12549" width="20.140625" style="99" bestFit="1" customWidth="1"/>
    <col min="12550" max="12550" width="16.5703125" style="99" customWidth="1"/>
    <col min="12551" max="12551" width="18.7109375" style="99" bestFit="1" customWidth="1"/>
    <col min="12552" max="12552" width="17.5703125" style="99" customWidth="1"/>
    <col min="12553" max="12553" width="15.5703125" style="99" bestFit="1" customWidth="1"/>
    <col min="12554" max="12554" width="13.5703125" style="99" customWidth="1"/>
    <col min="12555" max="12555" width="20.5703125" style="99" customWidth="1"/>
    <col min="12556" max="12556" width="12.42578125" style="99" bestFit="1" customWidth="1"/>
    <col min="12557" max="12800" width="9.140625" style="99"/>
    <col min="12801" max="12801" width="23" style="99" customWidth="1"/>
    <col min="12802" max="12802" width="42" style="99" customWidth="1"/>
    <col min="12803" max="12803" width="54.7109375" style="99" customWidth="1"/>
    <col min="12804" max="12804" width="17.28515625" style="99" bestFit="1" customWidth="1"/>
    <col min="12805" max="12805" width="20.140625" style="99" bestFit="1" customWidth="1"/>
    <col min="12806" max="12806" width="16.5703125" style="99" customWidth="1"/>
    <col min="12807" max="12807" width="18.7109375" style="99" bestFit="1" customWidth="1"/>
    <col min="12808" max="12808" width="17.5703125" style="99" customWidth="1"/>
    <col min="12809" max="12809" width="15.5703125" style="99" bestFit="1" customWidth="1"/>
    <col min="12810" max="12810" width="13.5703125" style="99" customWidth="1"/>
    <col min="12811" max="12811" width="20.5703125" style="99" customWidth="1"/>
    <col min="12812" max="12812" width="12.42578125" style="99" bestFit="1" customWidth="1"/>
    <col min="12813" max="13056" width="9.140625" style="99"/>
    <col min="13057" max="13057" width="23" style="99" customWidth="1"/>
    <col min="13058" max="13058" width="42" style="99" customWidth="1"/>
    <col min="13059" max="13059" width="54.7109375" style="99" customWidth="1"/>
    <col min="13060" max="13060" width="17.28515625" style="99" bestFit="1" customWidth="1"/>
    <col min="13061" max="13061" width="20.140625" style="99" bestFit="1" customWidth="1"/>
    <col min="13062" max="13062" width="16.5703125" style="99" customWidth="1"/>
    <col min="13063" max="13063" width="18.7109375" style="99" bestFit="1" customWidth="1"/>
    <col min="13064" max="13064" width="17.5703125" style="99" customWidth="1"/>
    <col min="13065" max="13065" width="15.5703125" style="99" bestFit="1" customWidth="1"/>
    <col min="13066" max="13066" width="13.5703125" style="99" customWidth="1"/>
    <col min="13067" max="13067" width="20.5703125" style="99" customWidth="1"/>
    <col min="13068" max="13068" width="12.42578125" style="99" bestFit="1" customWidth="1"/>
    <col min="13069" max="13312" width="9.140625" style="99"/>
    <col min="13313" max="13313" width="23" style="99" customWidth="1"/>
    <col min="13314" max="13314" width="42" style="99" customWidth="1"/>
    <col min="13315" max="13315" width="54.7109375" style="99" customWidth="1"/>
    <col min="13316" max="13316" width="17.28515625" style="99" bestFit="1" customWidth="1"/>
    <col min="13317" max="13317" width="20.140625" style="99" bestFit="1" customWidth="1"/>
    <col min="13318" max="13318" width="16.5703125" style="99" customWidth="1"/>
    <col min="13319" max="13319" width="18.7109375" style="99" bestFit="1" customWidth="1"/>
    <col min="13320" max="13320" width="17.5703125" style="99" customWidth="1"/>
    <col min="13321" max="13321" width="15.5703125" style="99" bestFit="1" customWidth="1"/>
    <col min="13322" max="13322" width="13.5703125" style="99" customWidth="1"/>
    <col min="13323" max="13323" width="20.5703125" style="99" customWidth="1"/>
    <col min="13324" max="13324" width="12.42578125" style="99" bestFit="1" customWidth="1"/>
    <col min="13325" max="13568" width="9.140625" style="99"/>
    <col min="13569" max="13569" width="23" style="99" customWidth="1"/>
    <col min="13570" max="13570" width="42" style="99" customWidth="1"/>
    <col min="13571" max="13571" width="54.7109375" style="99" customWidth="1"/>
    <col min="13572" max="13572" width="17.28515625" style="99" bestFit="1" customWidth="1"/>
    <col min="13573" max="13573" width="20.140625" style="99" bestFit="1" customWidth="1"/>
    <col min="13574" max="13574" width="16.5703125" style="99" customWidth="1"/>
    <col min="13575" max="13575" width="18.7109375" style="99" bestFit="1" customWidth="1"/>
    <col min="13576" max="13576" width="17.5703125" style="99" customWidth="1"/>
    <col min="13577" max="13577" width="15.5703125" style="99" bestFit="1" customWidth="1"/>
    <col min="13578" max="13578" width="13.5703125" style="99" customWidth="1"/>
    <col min="13579" max="13579" width="20.5703125" style="99" customWidth="1"/>
    <col min="13580" max="13580" width="12.42578125" style="99" bestFit="1" customWidth="1"/>
    <col min="13581" max="13824" width="9.140625" style="99"/>
    <col min="13825" max="13825" width="23" style="99" customWidth="1"/>
    <col min="13826" max="13826" width="42" style="99" customWidth="1"/>
    <col min="13827" max="13827" width="54.7109375" style="99" customWidth="1"/>
    <col min="13828" max="13828" width="17.28515625" style="99" bestFit="1" customWidth="1"/>
    <col min="13829" max="13829" width="20.140625" style="99" bestFit="1" customWidth="1"/>
    <col min="13830" max="13830" width="16.5703125" style="99" customWidth="1"/>
    <col min="13831" max="13831" width="18.7109375" style="99" bestFit="1" customWidth="1"/>
    <col min="13832" max="13832" width="17.5703125" style="99" customWidth="1"/>
    <col min="13833" max="13833" width="15.5703125" style="99" bestFit="1" customWidth="1"/>
    <col min="13834" max="13834" width="13.5703125" style="99" customWidth="1"/>
    <col min="13835" max="13835" width="20.5703125" style="99" customWidth="1"/>
    <col min="13836" max="13836" width="12.42578125" style="99" bestFit="1" customWidth="1"/>
    <col min="13837" max="14080" width="9.140625" style="99"/>
    <col min="14081" max="14081" width="23" style="99" customWidth="1"/>
    <col min="14082" max="14082" width="42" style="99" customWidth="1"/>
    <col min="14083" max="14083" width="54.7109375" style="99" customWidth="1"/>
    <col min="14084" max="14084" width="17.28515625" style="99" bestFit="1" customWidth="1"/>
    <col min="14085" max="14085" width="20.140625" style="99" bestFit="1" customWidth="1"/>
    <col min="14086" max="14086" width="16.5703125" style="99" customWidth="1"/>
    <col min="14087" max="14087" width="18.7109375" style="99" bestFit="1" customWidth="1"/>
    <col min="14088" max="14088" width="17.5703125" style="99" customWidth="1"/>
    <col min="14089" max="14089" width="15.5703125" style="99" bestFit="1" customWidth="1"/>
    <col min="14090" max="14090" width="13.5703125" style="99" customWidth="1"/>
    <col min="14091" max="14091" width="20.5703125" style="99" customWidth="1"/>
    <col min="14092" max="14092" width="12.42578125" style="99" bestFit="1" customWidth="1"/>
    <col min="14093" max="14336" width="9.140625" style="99"/>
    <col min="14337" max="14337" width="23" style="99" customWidth="1"/>
    <col min="14338" max="14338" width="42" style="99" customWidth="1"/>
    <col min="14339" max="14339" width="54.7109375" style="99" customWidth="1"/>
    <col min="14340" max="14340" width="17.28515625" style="99" bestFit="1" customWidth="1"/>
    <col min="14341" max="14341" width="20.140625" style="99" bestFit="1" customWidth="1"/>
    <col min="14342" max="14342" width="16.5703125" style="99" customWidth="1"/>
    <col min="14343" max="14343" width="18.7109375" style="99" bestFit="1" customWidth="1"/>
    <col min="14344" max="14344" width="17.5703125" style="99" customWidth="1"/>
    <col min="14345" max="14345" width="15.5703125" style="99" bestFit="1" customWidth="1"/>
    <col min="14346" max="14346" width="13.5703125" style="99" customWidth="1"/>
    <col min="14347" max="14347" width="20.5703125" style="99" customWidth="1"/>
    <col min="14348" max="14348" width="12.42578125" style="99" bestFit="1" customWidth="1"/>
    <col min="14349" max="14592" width="9.140625" style="99"/>
    <col min="14593" max="14593" width="23" style="99" customWidth="1"/>
    <col min="14594" max="14594" width="42" style="99" customWidth="1"/>
    <col min="14595" max="14595" width="54.7109375" style="99" customWidth="1"/>
    <col min="14596" max="14596" width="17.28515625" style="99" bestFit="1" customWidth="1"/>
    <col min="14597" max="14597" width="20.140625" style="99" bestFit="1" customWidth="1"/>
    <col min="14598" max="14598" width="16.5703125" style="99" customWidth="1"/>
    <col min="14599" max="14599" width="18.7109375" style="99" bestFit="1" customWidth="1"/>
    <col min="14600" max="14600" width="17.5703125" style="99" customWidth="1"/>
    <col min="14601" max="14601" width="15.5703125" style="99" bestFit="1" customWidth="1"/>
    <col min="14602" max="14602" width="13.5703125" style="99" customWidth="1"/>
    <col min="14603" max="14603" width="20.5703125" style="99" customWidth="1"/>
    <col min="14604" max="14604" width="12.42578125" style="99" bestFit="1" customWidth="1"/>
    <col min="14605" max="14848" width="9.140625" style="99"/>
    <col min="14849" max="14849" width="23" style="99" customWidth="1"/>
    <col min="14850" max="14850" width="42" style="99" customWidth="1"/>
    <col min="14851" max="14851" width="54.7109375" style="99" customWidth="1"/>
    <col min="14852" max="14852" width="17.28515625" style="99" bestFit="1" customWidth="1"/>
    <col min="14853" max="14853" width="20.140625" style="99" bestFit="1" customWidth="1"/>
    <col min="14854" max="14854" width="16.5703125" style="99" customWidth="1"/>
    <col min="14855" max="14855" width="18.7109375" style="99" bestFit="1" customWidth="1"/>
    <col min="14856" max="14856" width="17.5703125" style="99" customWidth="1"/>
    <col min="14857" max="14857" width="15.5703125" style="99" bestFit="1" customWidth="1"/>
    <col min="14858" max="14858" width="13.5703125" style="99" customWidth="1"/>
    <col min="14859" max="14859" width="20.5703125" style="99" customWidth="1"/>
    <col min="14860" max="14860" width="12.42578125" style="99" bestFit="1" customWidth="1"/>
    <col min="14861" max="15104" width="9.140625" style="99"/>
    <col min="15105" max="15105" width="23" style="99" customWidth="1"/>
    <col min="15106" max="15106" width="42" style="99" customWidth="1"/>
    <col min="15107" max="15107" width="54.7109375" style="99" customWidth="1"/>
    <col min="15108" max="15108" width="17.28515625" style="99" bestFit="1" customWidth="1"/>
    <col min="15109" max="15109" width="20.140625" style="99" bestFit="1" customWidth="1"/>
    <col min="15110" max="15110" width="16.5703125" style="99" customWidth="1"/>
    <col min="15111" max="15111" width="18.7109375" style="99" bestFit="1" customWidth="1"/>
    <col min="15112" max="15112" width="17.5703125" style="99" customWidth="1"/>
    <col min="15113" max="15113" width="15.5703125" style="99" bestFit="1" customWidth="1"/>
    <col min="15114" max="15114" width="13.5703125" style="99" customWidth="1"/>
    <col min="15115" max="15115" width="20.5703125" style="99" customWidth="1"/>
    <col min="15116" max="15116" width="12.42578125" style="99" bestFit="1" customWidth="1"/>
    <col min="15117" max="15360" width="9.140625" style="99"/>
    <col min="15361" max="15361" width="23" style="99" customWidth="1"/>
    <col min="15362" max="15362" width="42" style="99" customWidth="1"/>
    <col min="15363" max="15363" width="54.7109375" style="99" customWidth="1"/>
    <col min="15364" max="15364" width="17.28515625" style="99" bestFit="1" customWidth="1"/>
    <col min="15365" max="15365" width="20.140625" style="99" bestFit="1" customWidth="1"/>
    <col min="15366" max="15366" width="16.5703125" style="99" customWidth="1"/>
    <col min="15367" max="15367" width="18.7109375" style="99" bestFit="1" customWidth="1"/>
    <col min="15368" max="15368" width="17.5703125" style="99" customWidth="1"/>
    <col min="15369" max="15369" width="15.5703125" style="99" bestFit="1" customWidth="1"/>
    <col min="15370" max="15370" width="13.5703125" style="99" customWidth="1"/>
    <col min="15371" max="15371" width="20.5703125" style="99" customWidth="1"/>
    <col min="15372" max="15372" width="12.42578125" style="99" bestFit="1" customWidth="1"/>
    <col min="15373" max="15616" width="9.140625" style="99"/>
    <col min="15617" max="15617" width="23" style="99" customWidth="1"/>
    <col min="15618" max="15618" width="42" style="99" customWidth="1"/>
    <col min="15619" max="15619" width="54.7109375" style="99" customWidth="1"/>
    <col min="15620" max="15620" width="17.28515625" style="99" bestFit="1" customWidth="1"/>
    <col min="15621" max="15621" width="20.140625" style="99" bestFit="1" customWidth="1"/>
    <col min="15622" max="15622" width="16.5703125" style="99" customWidth="1"/>
    <col min="15623" max="15623" width="18.7109375" style="99" bestFit="1" customWidth="1"/>
    <col min="15624" max="15624" width="17.5703125" style="99" customWidth="1"/>
    <col min="15625" max="15625" width="15.5703125" style="99" bestFit="1" customWidth="1"/>
    <col min="15626" max="15626" width="13.5703125" style="99" customWidth="1"/>
    <col min="15627" max="15627" width="20.5703125" style="99" customWidth="1"/>
    <col min="15628" max="15628" width="12.42578125" style="99" bestFit="1" customWidth="1"/>
    <col min="15629" max="15872" width="9.140625" style="99"/>
    <col min="15873" max="15873" width="23" style="99" customWidth="1"/>
    <col min="15874" max="15874" width="42" style="99" customWidth="1"/>
    <col min="15875" max="15875" width="54.7109375" style="99" customWidth="1"/>
    <col min="15876" max="15876" width="17.28515625" style="99" bestFit="1" customWidth="1"/>
    <col min="15877" max="15877" width="20.140625" style="99" bestFit="1" customWidth="1"/>
    <col min="15878" max="15878" width="16.5703125" style="99" customWidth="1"/>
    <col min="15879" max="15879" width="18.7109375" style="99" bestFit="1" customWidth="1"/>
    <col min="15880" max="15880" width="17.5703125" style="99" customWidth="1"/>
    <col min="15881" max="15881" width="15.5703125" style="99" bestFit="1" customWidth="1"/>
    <col min="15882" max="15882" width="13.5703125" style="99" customWidth="1"/>
    <col min="15883" max="15883" width="20.5703125" style="99" customWidth="1"/>
    <col min="15884" max="15884" width="12.42578125" style="99" bestFit="1" customWidth="1"/>
    <col min="15885" max="16128" width="9.140625" style="99"/>
    <col min="16129" max="16129" width="23" style="99" customWidth="1"/>
    <col min="16130" max="16130" width="42" style="99" customWidth="1"/>
    <col min="16131" max="16131" width="54.7109375" style="99" customWidth="1"/>
    <col min="16132" max="16132" width="17.28515625" style="99" bestFit="1" customWidth="1"/>
    <col min="16133" max="16133" width="20.140625" style="99" bestFit="1" customWidth="1"/>
    <col min="16134" max="16134" width="16.5703125" style="99" customWidth="1"/>
    <col min="16135" max="16135" width="18.7109375" style="99" bestFit="1" customWidth="1"/>
    <col min="16136" max="16136" width="17.5703125" style="99" customWidth="1"/>
    <col min="16137" max="16137" width="15.5703125" style="99" bestFit="1" customWidth="1"/>
    <col min="16138" max="16138" width="13.5703125" style="99" customWidth="1"/>
    <col min="16139" max="16139" width="20.5703125" style="99" customWidth="1"/>
    <col min="16140" max="16140" width="12.42578125" style="99" bestFit="1" customWidth="1"/>
    <col min="16141" max="16384" width="9.140625" style="99"/>
  </cols>
  <sheetData>
    <row r="1" spans="2:7" x14ac:dyDescent="0.2">
      <c r="G1" s="220" t="s">
        <v>959</v>
      </c>
    </row>
    <row r="2" spans="2:7" x14ac:dyDescent="0.2">
      <c r="B2" s="221" t="s">
        <v>1078</v>
      </c>
      <c r="C2" s="221"/>
      <c r="D2" s="221"/>
      <c r="E2" s="221"/>
      <c r="F2" s="221"/>
      <c r="G2" s="221"/>
    </row>
    <row r="3" spans="2:7" x14ac:dyDescent="0.2">
      <c r="B3" s="221" t="s">
        <v>1079</v>
      </c>
      <c r="C3" s="221"/>
      <c r="D3" s="221"/>
      <c r="E3" s="221"/>
      <c r="F3" s="221"/>
      <c r="G3" s="221"/>
    </row>
    <row r="4" spans="2:7" x14ac:dyDescent="0.2">
      <c r="B4" s="220"/>
      <c r="C4" s="220"/>
      <c r="D4" s="220"/>
      <c r="E4" s="220"/>
      <c r="F4" s="220"/>
      <c r="G4" s="220"/>
    </row>
    <row r="5" spans="2:7" x14ac:dyDescent="0.2">
      <c r="B5" s="221" t="s">
        <v>1080</v>
      </c>
      <c r="C5" s="221"/>
      <c r="D5" s="221"/>
      <c r="E5" s="221"/>
      <c r="F5" s="221"/>
      <c r="G5" s="221"/>
    </row>
    <row r="6" spans="2:7" x14ac:dyDescent="0.2">
      <c r="B6" s="220" t="s">
        <v>1081</v>
      </c>
    </row>
    <row r="8" spans="2:7" ht="25.5" x14ac:dyDescent="0.2">
      <c r="B8" s="222" t="s">
        <v>1082</v>
      </c>
      <c r="C8" s="222" t="s">
        <v>1083</v>
      </c>
      <c r="D8" s="222" t="s">
        <v>1084</v>
      </c>
      <c r="E8" s="223" t="s">
        <v>1085</v>
      </c>
      <c r="F8" s="223" t="s">
        <v>1086</v>
      </c>
      <c r="G8" s="223" t="s">
        <v>1087</v>
      </c>
    </row>
    <row r="9" spans="2:7" x14ac:dyDescent="0.2">
      <c r="B9" s="224" t="s">
        <v>653</v>
      </c>
      <c r="C9" s="224" t="s">
        <v>885</v>
      </c>
      <c r="D9" s="225" t="s">
        <v>1088</v>
      </c>
      <c r="E9" s="226">
        <v>221.35</v>
      </c>
      <c r="F9" s="226">
        <v>223.45</v>
      </c>
      <c r="G9" s="227">
        <v>11.0519955</v>
      </c>
    </row>
    <row r="10" spans="2:7" x14ac:dyDescent="0.2">
      <c r="B10" s="224" t="s">
        <v>653</v>
      </c>
      <c r="C10" s="224" t="s">
        <v>892</v>
      </c>
      <c r="D10" s="225" t="s">
        <v>1088</v>
      </c>
      <c r="E10" s="226">
        <v>380.55</v>
      </c>
      <c r="F10" s="226">
        <v>399.3</v>
      </c>
      <c r="G10" s="227">
        <v>60.192935999999996</v>
      </c>
    </row>
    <row r="11" spans="2:7" x14ac:dyDescent="0.2">
      <c r="B11" s="224" t="s">
        <v>653</v>
      </c>
      <c r="C11" s="224" t="s">
        <v>893</v>
      </c>
      <c r="D11" s="225" t="s">
        <v>1088</v>
      </c>
      <c r="E11" s="226">
        <v>2885.7</v>
      </c>
      <c r="F11" s="226">
        <v>2912.65</v>
      </c>
      <c r="G11" s="227">
        <v>36.047392500000001</v>
      </c>
    </row>
    <row r="12" spans="2:7" x14ac:dyDescent="0.2">
      <c r="B12" s="224" t="s">
        <v>653</v>
      </c>
      <c r="C12" s="228" t="s">
        <v>887</v>
      </c>
      <c r="D12" s="225" t="s">
        <v>1088</v>
      </c>
      <c r="E12" s="226">
        <v>595.24</v>
      </c>
      <c r="F12" s="226">
        <v>619.04999999999995</v>
      </c>
      <c r="G12" s="227">
        <v>14.1071425</v>
      </c>
    </row>
    <row r="13" spans="2:7" x14ac:dyDescent="0.2">
      <c r="B13" s="224" t="s">
        <v>653</v>
      </c>
      <c r="C13" s="229" t="s">
        <v>891</v>
      </c>
      <c r="D13" s="225" t="s">
        <v>1088</v>
      </c>
      <c r="E13" s="226">
        <v>876.4</v>
      </c>
      <c r="F13" s="226">
        <v>865.1</v>
      </c>
      <c r="G13" s="227">
        <v>28.198530000000002</v>
      </c>
    </row>
    <row r="14" spans="2:7" x14ac:dyDescent="0.2">
      <c r="B14" s="224" t="s">
        <v>653</v>
      </c>
      <c r="C14" s="229" t="s">
        <v>899</v>
      </c>
      <c r="D14" s="225" t="s">
        <v>1088</v>
      </c>
      <c r="E14" s="226">
        <v>6044.31</v>
      </c>
      <c r="F14" s="226">
        <v>6300.7</v>
      </c>
      <c r="G14" s="227">
        <v>81.322335600000002</v>
      </c>
    </row>
    <row r="15" spans="2:7" x14ac:dyDescent="0.2">
      <c r="B15" s="224" t="s">
        <v>653</v>
      </c>
      <c r="C15" s="229" t="s">
        <v>888</v>
      </c>
      <c r="D15" s="225" t="s">
        <v>1088</v>
      </c>
      <c r="E15" s="226">
        <v>1474.56</v>
      </c>
      <c r="F15" s="226">
        <v>1484</v>
      </c>
      <c r="G15" s="227">
        <v>12.95865</v>
      </c>
    </row>
    <row r="16" spans="2:7" x14ac:dyDescent="0.2">
      <c r="B16" s="224" t="s">
        <v>653</v>
      </c>
      <c r="C16" s="229" t="s">
        <v>895</v>
      </c>
      <c r="D16" s="225" t="s">
        <v>1088</v>
      </c>
      <c r="E16" s="226">
        <v>773.4</v>
      </c>
      <c r="F16" s="226">
        <v>801.9</v>
      </c>
      <c r="G16" s="227">
        <v>55.237733800000001</v>
      </c>
    </row>
    <row r="17" spans="2:7" x14ac:dyDescent="0.2">
      <c r="B17" s="224" t="s">
        <v>653</v>
      </c>
      <c r="C17" s="229" t="s">
        <v>890</v>
      </c>
      <c r="D17" s="225" t="s">
        <v>1088</v>
      </c>
      <c r="E17" s="226">
        <v>528.16999999999996</v>
      </c>
      <c r="F17" s="226">
        <v>534.85</v>
      </c>
      <c r="G17" s="227">
        <v>27.185928700000002</v>
      </c>
    </row>
    <row r="18" spans="2:7" x14ac:dyDescent="0.2">
      <c r="B18" s="224" t="s">
        <v>653</v>
      </c>
      <c r="C18" s="229" t="s">
        <v>898</v>
      </c>
      <c r="D18" s="225" t="s">
        <v>1088</v>
      </c>
      <c r="E18" s="226">
        <v>407.09</v>
      </c>
      <c r="F18" s="226">
        <v>427.5</v>
      </c>
      <c r="G18" s="227">
        <v>81.237587599999998</v>
      </c>
    </row>
    <row r="19" spans="2:7" x14ac:dyDescent="0.2">
      <c r="B19" s="224" t="s">
        <v>653</v>
      </c>
      <c r="C19" s="229" t="s">
        <v>900</v>
      </c>
      <c r="D19" s="225" t="s">
        <v>1088</v>
      </c>
      <c r="E19" s="226">
        <v>899.55</v>
      </c>
      <c r="F19" s="226">
        <v>923</v>
      </c>
      <c r="G19" s="227">
        <v>126.56941500000001</v>
      </c>
    </row>
    <row r="20" spans="2:7" x14ac:dyDescent="0.2">
      <c r="B20" s="224" t="s">
        <v>653</v>
      </c>
      <c r="C20" s="229" t="s">
        <v>883</v>
      </c>
      <c r="D20" s="225" t="s">
        <v>1088</v>
      </c>
      <c r="E20" s="226">
        <v>573.85</v>
      </c>
      <c r="F20" s="226">
        <v>584.70000000000005</v>
      </c>
      <c r="G20" s="227">
        <v>7.4987452000000001</v>
      </c>
    </row>
    <row r="21" spans="2:7" x14ac:dyDescent="0.2">
      <c r="B21" s="224" t="s">
        <v>653</v>
      </c>
      <c r="C21" s="229" t="s">
        <v>902</v>
      </c>
      <c r="D21" s="225" t="s">
        <v>1088</v>
      </c>
      <c r="E21" s="226">
        <v>1905.59</v>
      </c>
      <c r="F21" s="226">
        <v>1946.05</v>
      </c>
      <c r="G21" s="227">
        <v>134.81340600000001</v>
      </c>
    </row>
    <row r="22" spans="2:7" x14ac:dyDescent="0.2">
      <c r="B22" s="224" t="s">
        <v>653</v>
      </c>
      <c r="C22" s="229" t="s">
        <v>882</v>
      </c>
      <c r="D22" s="225" t="s">
        <v>1088</v>
      </c>
      <c r="E22" s="226">
        <v>87.8</v>
      </c>
      <c r="F22" s="226">
        <v>93.25</v>
      </c>
      <c r="G22" s="227">
        <v>1.9109670999999999</v>
      </c>
    </row>
    <row r="23" spans="2:7" x14ac:dyDescent="0.2">
      <c r="B23" s="224" t="s">
        <v>653</v>
      </c>
      <c r="C23" s="229" t="s">
        <v>894</v>
      </c>
      <c r="D23" s="225" t="s">
        <v>1088</v>
      </c>
      <c r="E23" s="226">
        <v>8561.9500000000007</v>
      </c>
      <c r="F23" s="226">
        <v>8648.2999999999993</v>
      </c>
      <c r="G23" s="227">
        <v>44.226174499999992</v>
      </c>
    </row>
    <row r="24" spans="2:7" x14ac:dyDescent="0.2">
      <c r="B24" s="224" t="s">
        <v>653</v>
      </c>
      <c r="C24" s="229" t="s">
        <v>901</v>
      </c>
      <c r="D24" s="225" t="s">
        <v>1088</v>
      </c>
      <c r="E24" s="226">
        <v>160.96</v>
      </c>
      <c r="F24" s="226">
        <v>159.75</v>
      </c>
      <c r="G24" s="227">
        <v>149.2892458</v>
      </c>
    </row>
    <row r="25" spans="2:7" x14ac:dyDescent="0.2">
      <c r="B25" s="224" t="s">
        <v>653</v>
      </c>
      <c r="C25" s="229" t="s">
        <v>896</v>
      </c>
      <c r="D25" s="225" t="s">
        <v>1088</v>
      </c>
      <c r="E25" s="226">
        <v>2360.04</v>
      </c>
      <c r="F25" s="226">
        <v>2430.6</v>
      </c>
      <c r="G25" s="227">
        <v>59.059412500000001</v>
      </c>
    </row>
    <row r="26" spans="2:7" x14ac:dyDescent="0.2">
      <c r="B26" s="224" t="s">
        <v>653</v>
      </c>
      <c r="C26" s="229" t="s">
        <v>889</v>
      </c>
      <c r="D26" s="225" t="s">
        <v>1088</v>
      </c>
      <c r="E26" s="226">
        <v>3271.55</v>
      </c>
      <c r="F26" s="226">
        <v>3475.4</v>
      </c>
      <c r="G26" s="227">
        <v>21.898594900000003</v>
      </c>
    </row>
    <row r="27" spans="2:7" x14ac:dyDescent="0.2">
      <c r="B27" s="224" t="s">
        <v>653</v>
      </c>
      <c r="C27" s="229" t="s">
        <v>884</v>
      </c>
      <c r="D27" s="225" t="s">
        <v>1088</v>
      </c>
      <c r="E27" s="226">
        <v>2580.86</v>
      </c>
      <c r="F27" s="226">
        <v>2649.3</v>
      </c>
      <c r="G27" s="227">
        <v>8.7876530000000006</v>
      </c>
    </row>
    <row r="28" spans="2:7" x14ac:dyDescent="0.2">
      <c r="B28" s="224" t="s">
        <v>653</v>
      </c>
      <c r="C28" s="229" t="s">
        <v>897</v>
      </c>
      <c r="D28" s="225" t="s">
        <v>1088</v>
      </c>
      <c r="E28" s="226">
        <v>198.22</v>
      </c>
      <c r="F28" s="226">
        <v>198.25</v>
      </c>
      <c r="G28" s="227">
        <v>95.559749999999994</v>
      </c>
    </row>
    <row r="29" spans="2:7" x14ac:dyDescent="0.2">
      <c r="B29" s="224" t="s">
        <v>653</v>
      </c>
      <c r="C29" s="229" t="s">
        <v>886</v>
      </c>
      <c r="D29" s="225" t="s">
        <v>1088</v>
      </c>
      <c r="E29" s="226">
        <v>521.88</v>
      </c>
      <c r="F29" s="226">
        <v>522.95000000000005</v>
      </c>
      <c r="G29" s="227">
        <v>9.9676710000000011</v>
      </c>
    </row>
    <row r="30" spans="2:7" x14ac:dyDescent="0.2">
      <c r="B30" s="224"/>
      <c r="C30" s="229"/>
      <c r="D30" s="225"/>
      <c r="E30" s="230"/>
      <c r="F30" s="226"/>
      <c r="G30" s="227"/>
    </row>
    <row r="31" spans="2:7" x14ac:dyDescent="0.2">
      <c r="B31" s="224" t="s">
        <v>674</v>
      </c>
      <c r="C31" s="229" t="s">
        <v>1089</v>
      </c>
      <c r="D31" s="225" t="s">
        <v>1088</v>
      </c>
      <c r="E31" s="226">
        <v>665.69</v>
      </c>
      <c r="F31" s="231">
        <v>685.7</v>
      </c>
      <c r="G31" s="227">
        <v>298.78485599999999</v>
      </c>
    </row>
    <row r="32" spans="2:7" x14ac:dyDescent="0.2">
      <c r="B32" s="224" t="s">
        <v>674</v>
      </c>
      <c r="C32" s="229" t="s">
        <v>1090</v>
      </c>
      <c r="D32" s="225" t="s">
        <v>1088</v>
      </c>
      <c r="E32" s="226">
        <v>876.46</v>
      </c>
      <c r="F32" s="231">
        <v>865.1</v>
      </c>
      <c r="G32" s="227">
        <v>22.558824000000005</v>
      </c>
    </row>
    <row r="33" spans="2:8" x14ac:dyDescent="0.2">
      <c r="B33" s="224" t="s">
        <v>674</v>
      </c>
      <c r="C33" s="229" t="s">
        <v>1091</v>
      </c>
      <c r="D33" s="225" t="s">
        <v>1088</v>
      </c>
      <c r="E33" s="226">
        <v>1324.32</v>
      </c>
      <c r="F33" s="231">
        <v>1360.2</v>
      </c>
      <c r="G33" s="227">
        <v>69.501750000000001</v>
      </c>
    </row>
    <row r="34" spans="2:8" x14ac:dyDescent="0.2">
      <c r="B34" s="224" t="s">
        <v>674</v>
      </c>
      <c r="C34" s="229" t="s">
        <v>1092</v>
      </c>
      <c r="D34" s="225" t="s">
        <v>1088</v>
      </c>
      <c r="E34" s="226">
        <v>5918.35</v>
      </c>
      <c r="F34" s="231">
        <v>6300.7</v>
      </c>
      <c r="G34" s="227">
        <v>156.26644879999998</v>
      </c>
    </row>
    <row r="35" spans="2:8" x14ac:dyDescent="0.2">
      <c r="B35" s="224" t="s">
        <v>674</v>
      </c>
      <c r="C35" s="229" t="s">
        <v>1093</v>
      </c>
      <c r="D35" s="225" t="s">
        <v>1088</v>
      </c>
      <c r="E35" s="226">
        <v>915.42</v>
      </c>
      <c r="F35" s="231">
        <v>913.9</v>
      </c>
      <c r="G35" s="227">
        <v>24.1003729</v>
      </c>
    </row>
    <row r="36" spans="2:8" x14ac:dyDescent="0.2">
      <c r="B36" s="224" t="s">
        <v>674</v>
      </c>
      <c r="C36" s="229" t="s">
        <v>1094</v>
      </c>
      <c r="D36" s="225" t="s">
        <v>1088</v>
      </c>
      <c r="E36" s="226">
        <v>1667.04</v>
      </c>
      <c r="F36" s="231">
        <v>1676.35</v>
      </c>
      <c r="G36" s="227">
        <v>872.73959939999997</v>
      </c>
    </row>
    <row r="37" spans="2:8" x14ac:dyDescent="0.2">
      <c r="B37" s="224" t="s">
        <v>674</v>
      </c>
      <c r="C37" s="229" t="s">
        <v>1095</v>
      </c>
      <c r="D37" s="225" t="s">
        <v>1088</v>
      </c>
      <c r="E37" s="226">
        <v>2763.02</v>
      </c>
      <c r="F37" s="231">
        <v>2780.4</v>
      </c>
      <c r="G37" s="227">
        <v>320.48990400000002</v>
      </c>
    </row>
    <row r="38" spans="2:8" x14ac:dyDescent="0.2">
      <c r="B38" s="224" t="s">
        <v>674</v>
      </c>
      <c r="C38" s="229" t="s">
        <v>1096</v>
      </c>
      <c r="D38" s="225" t="s">
        <v>1088</v>
      </c>
      <c r="E38" s="226">
        <v>905.85</v>
      </c>
      <c r="F38" s="231">
        <v>923</v>
      </c>
      <c r="G38" s="227">
        <v>302.17022500000002</v>
      </c>
    </row>
    <row r="39" spans="2:8" x14ac:dyDescent="0.2">
      <c r="B39" s="224" t="s">
        <v>674</v>
      </c>
      <c r="C39" s="229" t="s">
        <v>1097</v>
      </c>
      <c r="D39" s="225" t="s">
        <v>1088</v>
      </c>
      <c r="E39" s="226">
        <v>1902.27</v>
      </c>
      <c r="F39" s="231">
        <v>1946.05</v>
      </c>
      <c r="G39" s="227">
        <v>404.44021800000007</v>
      </c>
    </row>
    <row r="40" spans="2:8" x14ac:dyDescent="0.2">
      <c r="B40" s="224" t="s">
        <v>674</v>
      </c>
      <c r="C40" s="229" t="s">
        <v>1098</v>
      </c>
      <c r="D40" s="225" t="s">
        <v>1088</v>
      </c>
      <c r="E40" s="226">
        <v>768.11</v>
      </c>
      <c r="F40" s="231">
        <v>782.3</v>
      </c>
      <c r="G40" s="227">
        <v>95.645890999999992</v>
      </c>
    </row>
    <row r="41" spans="2:8" x14ac:dyDescent="0.2">
      <c r="B41" s="224" t="s">
        <v>674</v>
      </c>
      <c r="C41" s="229" t="s">
        <v>1099</v>
      </c>
      <c r="D41" s="225" t="s">
        <v>1088</v>
      </c>
      <c r="E41" s="226">
        <v>17858.419999999998</v>
      </c>
      <c r="F41" s="231">
        <v>18111.150000000001</v>
      </c>
      <c r="G41" s="227">
        <v>1272.0308175</v>
      </c>
    </row>
    <row r="42" spans="2:8" x14ac:dyDescent="0.2">
      <c r="B42" s="224" t="s">
        <v>674</v>
      </c>
      <c r="C42" s="229" t="s">
        <v>1100</v>
      </c>
      <c r="D42" s="225" t="s">
        <v>1088</v>
      </c>
      <c r="E42" s="226">
        <v>2361.59</v>
      </c>
      <c r="F42" s="231">
        <v>2430.6</v>
      </c>
      <c r="G42" s="227">
        <v>107.38075000000001</v>
      </c>
      <c r="H42" s="232"/>
    </row>
    <row r="43" spans="2:8" x14ac:dyDescent="0.2">
      <c r="B43" s="224" t="s">
        <v>674</v>
      </c>
      <c r="C43" s="229" t="s">
        <v>1101</v>
      </c>
      <c r="D43" s="225" t="s">
        <v>1088</v>
      </c>
      <c r="E43" s="226">
        <v>564.77</v>
      </c>
      <c r="F43" s="231">
        <v>575.95000000000005</v>
      </c>
      <c r="G43" s="227">
        <v>78.936189999999996</v>
      </c>
      <c r="H43" s="232"/>
    </row>
    <row r="44" spans="2:8" x14ac:dyDescent="0.2">
      <c r="B44" s="224" t="s">
        <v>674</v>
      </c>
      <c r="C44" s="229" t="s">
        <v>1102</v>
      </c>
      <c r="D44" s="225" t="s">
        <v>1088</v>
      </c>
      <c r="E44" s="226">
        <v>7391.35</v>
      </c>
      <c r="F44" s="231">
        <v>7602.5</v>
      </c>
      <c r="G44" s="227">
        <v>67.068875000000006</v>
      </c>
      <c r="H44" s="232"/>
    </row>
    <row r="45" spans="2:8" x14ac:dyDescent="0.2">
      <c r="B45" s="224"/>
      <c r="C45" s="229"/>
      <c r="D45" s="225"/>
      <c r="E45" s="233"/>
      <c r="F45" s="233"/>
      <c r="G45" s="227"/>
      <c r="H45" s="232"/>
    </row>
    <row r="46" spans="2:8" x14ac:dyDescent="0.2">
      <c r="B46" s="224" t="s">
        <v>707</v>
      </c>
      <c r="C46" s="40" t="s">
        <v>892</v>
      </c>
      <c r="D46" s="225" t="s">
        <v>1088</v>
      </c>
      <c r="E46" s="226">
        <v>379.15</v>
      </c>
      <c r="F46" s="231">
        <v>399.3</v>
      </c>
      <c r="G46" s="234">
        <v>12.540195000000001</v>
      </c>
      <c r="H46" s="235"/>
    </row>
    <row r="47" spans="2:8" x14ac:dyDescent="0.2">
      <c r="B47" s="224" t="s">
        <v>707</v>
      </c>
      <c r="C47" s="40" t="s">
        <v>918</v>
      </c>
      <c r="D47" s="225" t="s">
        <v>1088</v>
      </c>
      <c r="E47" s="226">
        <v>137</v>
      </c>
      <c r="F47" s="231">
        <v>146.44999999999999</v>
      </c>
      <c r="G47" s="234">
        <v>67.310649999999995</v>
      </c>
      <c r="H47" s="235"/>
    </row>
    <row r="48" spans="2:8" x14ac:dyDescent="0.2">
      <c r="B48" s="224" t="s">
        <v>707</v>
      </c>
      <c r="C48" s="40" t="s">
        <v>893</v>
      </c>
      <c r="D48" s="225" t="s">
        <v>1088</v>
      </c>
      <c r="E48" s="226">
        <v>2893.52</v>
      </c>
      <c r="F48" s="231">
        <v>2912.65</v>
      </c>
      <c r="G48" s="234">
        <v>33.987541499999999</v>
      </c>
      <c r="H48" s="235"/>
    </row>
    <row r="49" spans="2:8" x14ac:dyDescent="0.2">
      <c r="B49" s="224" t="s">
        <v>707</v>
      </c>
      <c r="C49" s="40" t="s">
        <v>891</v>
      </c>
      <c r="D49" s="225" t="s">
        <v>1088</v>
      </c>
      <c r="E49" s="226">
        <v>868.75</v>
      </c>
      <c r="F49" s="231">
        <v>865.1</v>
      </c>
      <c r="G49" s="234">
        <v>54.517158000000009</v>
      </c>
      <c r="H49" s="235"/>
    </row>
    <row r="50" spans="2:8" x14ac:dyDescent="0.2">
      <c r="B50" s="224" t="s">
        <v>707</v>
      </c>
      <c r="C50" s="40" t="s">
        <v>899</v>
      </c>
      <c r="D50" s="225" t="s">
        <v>1088</v>
      </c>
      <c r="E50" s="226">
        <v>5930.63</v>
      </c>
      <c r="F50" s="231">
        <v>6300.7</v>
      </c>
      <c r="G50" s="227">
        <v>167.428338</v>
      </c>
      <c r="H50" s="235"/>
    </row>
    <row r="51" spans="2:8" x14ac:dyDescent="0.2">
      <c r="B51" s="224" t="s">
        <v>707</v>
      </c>
      <c r="C51" s="40" t="s">
        <v>916</v>
      </c>
      <c r="D51" s="225" t="s">
        <v>1088</v>
      </c>
      <c r="E51" s="226">
        <v>179.21</v>
      </c>
      <c r="F51" s="231">
        <v>188.65</v>
      </c>
      <c r="G51" s="227">
        <v>59.359979800000005</v>
      </c>
      <c r="H51" s="235"/>
    </row>
    <row r="52" spans="2:8" x14ac:dyDescent="0.2">
      <c r="B52" s="224" t="s">
        <v>707</v>
      </c>
      <c r="C52" s="40" t="s">
        <v>910</v>
      </c>
      <c r="D52" s="225" t="s">
        <v>1088</v>
      </c>
      <c r="E52" s="226">
        <v>1663.21</v>
      </c>
      <c r="F52" s="231">
        <v>1676.35</v>
      </c>
      <c r="G52" s="227">
        <v>466.77598159999997</v>
      </c>
      <c r="H52" s="235"/>
    </row>
    <row r="53" spans="2:8" x14ac:dyDescent="0.2">
      <c r="B53" s="224" t="s">
        <v>707</v>
      </c>
      <c r="C53" s="40" t="s">
        <v>914</v>
      </c>
      <c r="D53" s="225" t="s">
        <v>1088</v>
      </c>
      <c r="E53" s="226">
        <v>521.32000000000005</v>
      </c>
      <c r="F53" s="231">
        <v>532.79999999999995</v>
      </c>
      <c r="G53" s="227">
        <v>27.286512000000002</v>
      </c>
      <c r="H53" s="235"/>
    </row>
    <row r="54" spans="2:8" x14ac:dyDescent="0.2">
      <c r="B54" s="224" t="s">
        <v>707</v>
      </c>
      <c r="C54" s="40" t="s">
        <v>909</v>
      </c>
      <c r="D54" s="225" t="s">
        <v>1088</v>
      </c>
      <c r="E54" s="226">
        <v>2766.77</v>
      </c>
      <c r="F54" s="231">
        <v>2780.4</v>
      </c>
      <c r="G54" s="227">
        <v>69.414864000000009</v>
      </c>
      <c r="H54" s="235"/>
    </row>
    <row r="55" spans="2:8" x14ac:dyDescent="0.2">
      <c r="B55" s="224" t="s">
        <v>707</v>
      </c>
      <c r="C55" s="40" t="s">
        <v>920</v>
      </c>
      <c r="D55" s="225" t="s">
        <v>1088</v>
      </c>
      <c r="E55" s="226">
        <v>2514.34</v>
      </c>
      <c r="F55" s="231">
        <v>2468.15</v>
      </c>
      <c r="G55" s="227">
        <v>185.7680636</v>
      </c>
      <c r="H55" s="235"/>
    </row>
    <row r="56" spans="2:8" x14ac:dyDescent="0.2">
      <c r="B56" s="224" t="s">
        <v>707</v>
      </c>
      <c r="C56" s="40" t="s">
        <v>912</v>
      </c>
      <c r="D56" s="225" t="s">
        <v>1088</v>
      </c>
      <c r="E56" s="226">
        <v>242.61</v>
      </c>
      <c r="F56" s="231">
        <v>252.9</v>
      </c>
      <c r="G56" s="227">
        <v>5.5794419999999993</v>
      </c>
      <c r="H56" s="235"/>
    </row>
    <row r="57" spans="2:8" x14ac:dyDescent="0.2">
      <c r="B57" s="224" t="s">
        <v>707</v>
      </c>
      <c r="C57" s="40" t="s">
        <v>900</v>
      </c>
      <c r="D57" s="225" t="s">
        <v>1088</v>
      </c>
      <c r="E57" s="226">
        <v>898.8</v>
      </c>
      <c r="F57" s="231">
        <v>923</v>
      </c>
      <c r="G57" s="227">
        <v>320.41446500000001</v>
      </c>
      <c r="H57" s="235"/>
    </row>
    <row r="58" spans="2:8" x14ac:dyDescent="0.2">
      <c r="B58" s="224" t="s">
        <v>707</v>
      </c>
      <c r="C58" s="40" t="s">
        <v>921</v>
      </c>
      <c r="D58" s="225" t="s">
        <v>1088</v>
      </c>
      <c r="E58" s="226">
        <v>1233.02</v>
      </c>
      <c r="F58" s="231">
        <v>1258.25</v>
      </c>
      <c r="G58" s="227">
        <v>197.0573</v>
      </c>
      <c r="H58" s="235"/>
    </row>
    <row r="59" spans="2:8" x14ac:dyDescent="0.2">
      <c r="B59" s="224" t="s">
        <v>707</v>
      </c>
      <c r="C59" s="40" t="s">
        <v>907</v>
      </c>
      <c r="D59" s="225" t="s">
        <v>1088</v>
      </c>
      <c r="E59" s="226">
        <v>765.14</v>
      </c>
      <c r="F59" s="231">
        <v>782.3</v>
      </c>
      <c r="G59" s="227">
        <v>55.6485184</v>
      </c>
      <c r="H59" s="235"/>
    </row>
    <row r="60" spans="2:8" x14ac:dyDescent="0.2">
      <c r="B60" s="224" t="s">
        <v>707</v>
      </c>
      <c r="C60" s="40" t="s">
        <v>913</v>
      </c>
      <c r="D60" s="225" t="s">
        <v>1088</v>
      </c>
      <c r="E60" s="226">
        <v>1218.05</v>
      </c>
      <c r="F60" s="231">
        <v>1231.4000000000001</v>
      </c>
      <c r="G60" s="227">
        <v>18.286715999999998</v>
      </c>
      <c r="H60" s="235"/>
    </row>
    <row r="61" spans="2:8" x14ac:dyDescent="0.2">
      <c r="B61" s="224" t="s">
        <v>707</v>
      </c>
      <c r="C61" s="40" t="s">
        <v>906</v>
      </c>
      <c r="D61" s="225" t="s">
        <v>1088</v>
      </c>
      <c r="E61" s="226">
        <v>552.1</v>
      </c>
      <c r="F61" s="231">
        <v>575.95000000000005</v>
      </c>
      <c r="G61" s="227">
        <v>39.468094999999998</v>
      </c>
      <c r="H61" s="235"/>
    </row>
    <row r="62" spans="2:8" x14ac:dyDescent="0.2">
      <c r="B62" s="224" t="s">
        <v>707</v>
      </c>
      <c r="C62" s="40" t="s">
        <v>915</v>
      </c>
      <c r="D62" s="225" t="s">
        <v>1088</v>
      </c>
      <c r="E62" s="226">
        <v>734.19</v>
      </c>
      <c r="F62" s="231">
        <v>757.8</v>
      </c>
      <c r="G62" s="227">
        <v>29.208167999999997</v>
      </c>
      <c r="H62" s="235"/>
    </row>
    <row r="63" spans="2:8" x14ac:dyDescent="0.2">
      <c r="B63" s="224" t="s">
        <v>707</v>
      </c>
      <c r="C63" s="40" t="s">
        <v>919</v>
      </c>
      <c r="D63" s="225" t="s">
        <v>1088</v>
      </c>
      <c r="E63" s="226">
        <v>106.28</v>
      </c>
      <c r="F63" s="231">
        <v>108.7</v>
      </c>
      <c r="G63" s="227">
        <v>96.217467499999998</v>
      </c>
      <c r="H63" s="235"/>
    </row>
    <row r="64" spans="2:8" x14ac:dyDescent="0.2">
      <c r="B64" s="224" t="s">
        <v>707</v>
      </c>
      <c r="C64" s="40" t="s">
        <v>917</v>
      </c>
      <c r="D64" s="225" t="s">
        <v>1088</v>
      </c>
      <c r="E64" s="226">
        <v>3184.42</v>
      </c>
      <c r="F64" s="231">
        <v>3229.2</v>
      </c>
      <c r="G64" s="227">
        <v>45.976011000000007</v>
      </c>
      <c r="H64" s="235"/>
    </row>
    <row r="65" spans="2:12" x14ac:dyDescent="0.2">
      <c r="B65" s="224" t="s">
        <v>707</v>
      </c>
      <c r="C65" s="40" t="s">
        <v>922</v>
      </c>
      <c r="D65" s="225" t="s">
        <v>1088</v>
      </c>
      <c r="E65" s="226">
        <v>1001.85</v>
      </c>
      <c r="F65" s="231">
        <v>1029.5999999999999</v>
      </c>
      <c r="G65" s="227">
        <v>262.052076</v>
      </c>
      <c r="H65" s="235"/>
    </row>
    <row r="66" spans="2:12" x14ac:dyDescent="0.2">
      <c r="B66" s="224" t="s">
        <v>707</v>
      </c>
      <c r="C66" s="40" t="s">
        <v>884</v>
      </c>
      <c r="D66" s="225" t="s">
        <v>1088</v>
      </c>
      <c r="E66" s="226">
        <v>2587.5300000000002</v>
      </c>
      <c r="F66" s="231">
        <v>2649.3</v>
      </c>
      <c r="G66" s="227">
        <v>33.3930814</v>
      </c>
      <c r="H66" s="235"/>
    </row>
    <row r="67" spans="2:12" x14ac:dyDescent="0.2">
      <c r="B67" s="224"/>
      <c r="C67" s="40"/>
      <c r="D67" s="225"/>
      <c r="E67" s="226"/>
      <c r="F67" s="231"/>
      <c r="G67" s="227"/>
      <c r="H67" s="235"/>
    </row>
    <row r="69" spans="2:12" x14ac:dyDescent="0.2">
      <c r="B69" s="220" t="s">
        <v>1103</v>
      </c>
      <c r="E69" s="236"/>
      <c r="F69" s="236"/>
      <c r="G69" s="236"/>
    </row>
    <row r="71" spans="2:12" x14ac:dyDescent="0.2">
      <c r="B71" s="237" t="s">
        <v>1082</v>
      </c>
      <c r="C71" s="237" t="s">
        <v>1104</v>
      </c>
    </row>
    <row r="72" spans="2:12" x14ac:dyDescent="0.2">
      <c r="B72" s="224" t="s">
        <v>653</v>
      </c>
      <c r="C72" s="238">
        <v>0.72330000000000005</v>
      </c>
    </row>
    <row r="73" spans="2:12" x14ac:dyDescent="0.2">
      <c r="B73" s="224" t="s">
        <v>674</v>
      </c>
      <c r="C73" s="239">
        <v>0.16980000000000001</v>
      </c>
    </row>
    <row r="74" spans="2:12" x14ac:dyDescent="0.2">
      <c r="B74" s="240" t="s">
        <v>707</v>
      </c>
      <c r="C74" s="239">
        <v>0.28660000000000002</v>
      </c>
    </row>
    <row r="76" spans="2:12" x14ac:dyDescent="0.2">
      <c r="B76" s="220" t="s">
        <v>1105</v>
      </c>
    </row>
    <row r="77" spans="2:12" x14ac:dyDescent="0.2">
      <c r="B77" s="220"/>
    </row>
    <row r="78" spans="2:12" ht="63.75" x14ac:dyDescent="0.2">
      <c r="B78" s="222" t="s">
        <v>1082</v>
      </c>
      <c r="C78" s="223" t="s">
        <v>1106</v>
      </c>
      <c r="D78" s="223" t="s">
        <v>1107</v>
      </c>
      <c r="E78" s="223" t="s">
        <v>1108</v>
      </c>
      <c r="F78" s="223" t="s">
        <v>1109</v>
      </c>
      <c r="G78" s="223" t="s">
        <v>1110</v>
      </c>
    </row>
    <row r="79" spans="2:12" x14ac:dyDescent="0.2">
      <c r="B79" s="224" t="s">
        <v>653</v>
      </c>
      <c r="C79" s="241">
        <v>840</v>
      </c>
      <c r="D79" s="241">
        <v>840</v>
      </c>
      <c r="E79" s="234">
        <v>5619.03</v>
      </c>
      <c r="F79" s="234">
        <v>5397.47</v>
      </c>
      <c r="G79" s="242">
        <v>-221.55999999999949</v>
      </c>
      <c r="H79" s="243"/>
      <c r="I79" s="244">
        <f>+C79-D79</f>
        <v>0</v>
      </c>
      <c r="J79" s="245"/>
      <c r="K79" s="245"/>
      <c r="L79" s="245"/>
    </row>
    <row r="80" spans="2:12" hidden="1" x14ac:dyDescent="0.2">
      <c r="B80" s="240" t="s">
        <v>178</v>
      </c>
      <c r="C80" s="241"/>
      <c r="D80" s="241"/>
      <c r="E80" s="234"/>
      <c r="F80" s="234"/>
      <c r="G80" s="246">
        <v>0</v>
      </c>
      <c r="H80" s="243"/>
      <c r="I80" s="244"/>
      <c r="J80" s="245"/>
      <c r="K80" s="245"/>
      <c r="L80" s="245"/>
    </row>
    <row r="81" spans="2:12" x14ac:dyDescent="0.2">
      <c r="B81" s="224" t="s">
        <v>674</v>
      </c>
      <c r="C81" s="247">
        <v>3484</v>
      </c>
      <c r="D81" s="247">
        <v>3484</v>
      </c>
      <c r="E81" s="248">
        <v>27078.67</v>
      </c>
      <c r="F81" s="248">
        <v>25748.6</v>
      </c>
      <c r="G81" s="242">
        <v>-1330.0699999999997</v>
      </c>
      <c r="H81" s="243"/>
      <c r="I81" s="244">
        <f>+C81-D81</f>
        <v>0</v>
      </c>
      <c r="J81" s="245"/>
      <c r="K81" s="245"/>
      <c r="L81" s="245"/>
    </row>
    <row r="82" spans="2:12" x14ac:dyDescent="0.2">
      <c r="B82" s="240" t="s">
        <v>707</v>
      </c>
      <c r="C82" s="241">
        <v>1724</v>
      </c>
      <c r="D82" s="241">
        <v>1724</v>
      </c>
      <c r="E82" s="234">
        <v>11843.13</v>
      </c>
      <c r="F82" s="234">
        <v>11788.06</v>
      </c>
      <c r="G82" s="242">
        <v>-55.069999999999709</v>
      </c>
      <c r="H82" s="243"/>
      <c r="I82" s="244">
        <f>+C82-D82</f>
        <v>0</v>
      </c>
      <c r="J82" s="245"/>
      <c r="K82" s="245"/>
      <c r="L82" s="245"/>
    </row>
    <row r="83" spans="2:12" hidden="1" x14ac:dyDescent="0.2">
      <c r="B83" s="249" t="s">
        <v>824</v>
      </c>
      <c r="C83" s="241"/>
      <c r="D83" s="241"/>
      <c r="E83" s="234"/>
      <c r="F83" s="234"/>
      <c r="G83" s="242">
        <f t="shared" ref="G79:G86" si="0">+F83-E83</f>
        <v>0</v>
      </c>
      <c r="H83" s="243"/>
      <c r="I83" s="244">
        <f>+C83-D83</f>
        <v>0</v>
      </c>
      <c r="J83" s="245"/>
      <c r="K83" s="245"/>
      <c r="L83" s="245"/>
    </row>
    <row r="84" spans="2:12" hidden="1" x14ac:dyDescent="0.2">
      <c r="B84" s="224" t="s">
        <v>549</v>
      </c>
      <c r="C84" s="247"/>
      <c r="D84" s="247"/>
      <c r="E84" s="250"/>
      <c r="F84" s="248"/>
      <c r="G84" s="242">
        <f t="shared" si="0"/>
        <v>0</v>
      </c>
      <c r="H84" s="243"/>
      <c r="I84" s="244">
        <f>+C84-D84</f>
        <v>0</v>
      </c>
      <c r="J84" s="245"/>
      <c r="K84" s="245"/>
      <c r="L84" s="245"/>
    </row>
    <row r="85" spans="2:12" hidden="1" x14ac:dyDescent="0.2">
      <c r="B85" s="224" t="s">
        <v>818</v>
      </c>
      <c r="C85" s="247"/>
      <c r="D85" s="247"/>
      <c r="E85" s="250"/>
      <c r="F85" s="248"/>
      <c r="G85" s="242">
        <f t="shared" si="0"/>
        <v>0</v>
      </c>
      <c r="H85" s="243"/>
      <c r="I85" s="244"/>
      <c r="J85" s="245"/>
      <c r="K85" s="245"/>
      <c r="L85" s="245"/>
    </row>
    <row r="86" spans="2:12" hidden="1" x14ac:dyDescent="0.2">
      <c r="B86" s="240" t="s">
        <v>826</v>
      </c>
      <c r="C86" s="247"/>
      <c r="D86" s="247"/>
      <c r="E86" s="251"/>
      <c r="F86" s="251"/>
      <c r="G86" s="252">
        <f t="shared" si="0"/>
        <v>0</v>
      </c>
      <c r="H86" s="243"/>
      <c r="I86" s="244"/>
      <c r="J86" s="245"/>
    </row>
    <row r="87" spans="2:12" x14ac:dyDescent="0.2">
      <c r="H87" s="243"/>
      <c r="I87" s="244"/>
      <c r="J87" s="245"/>
    </row>
    <row r="88" spans="2:12" x14ac:dyDescent="0.2">
      <c r="E88" s="245"/>
      <c r="F88" s="245"/>
      <c r="H88" s="243"/>
      <c r="I88" s="244"/>
      <c r="J88" s="245"/>
    </row>
    <row r="89" spans="2:12" x14ac:dyDescent="0.2">
      <c r="B89" s="220" t="s">
        <v>1111</v>
      </c>
      <c r="F89" s="245"/>
      <c r="G89" s="244"/>
      <c r="H89" s="243"/>
      <c r="I89" s="244"/>
      <c r="L89" s="243"/>
    </row>
    <row r="90" spans="2:12" x14ac:dyDescent="0.2">
      <c r="H90" s="253"/>
      <c r="L90" s="244"/>
    </row>
    <row r="91" spans="2:12" ht="25.5" x14ac:dyDescent="0.2">
      <c r="B91" s="222" t="s">
        <v>1082</v>
      </c>
      <c r="C91" s="222" t="s">
        <v>1083</v>
      </c>
      <c r="D91" s="222" t="s">
        <v>1084</v>
      </c>
      <c r="E91" s="223" t="s">
        <v>1085</v>
      </c>
      <c r="F91" s="223" t="s">
        <v>1086</v>
      </c>
      <c r="G91" s="223" t="s">
        <v>1112</v>
      </c>
    </row>
    <row r="92" spans="2:12" x14ac:dyDescent="0.2">
      <c r="B92" s="224"/>
      <c r="C92" s="224"/>
      <c r="D92" s="225"/>
      <c r="E92" s="254"/>
      <c r="F92" s="233"/>
      <c r="G92" s="227"/>
    </row>
    <row r="93" spans="2:12" x14ac:dyDescent="0.2">
      <c r="B93" s="224"/>
      <c r="C93" s="240"/>
      <c r="D93" s="225"/>
      <c r="E93" s="255"/>
      <c r="F93" s="233"/>
      <c r="G93" s="255"/>
      <c r="I93" s="244"/>
    </row>
    <row r="94" spans="2:12" x14ac:dyDescent="0.2">
      <c r="C94" s="256"/>
      <c r="D94" s="257"/>
      <c r="E94" s="258"/>
      <c r="F94" s="259"/>
      <c r="G94" s="259"/>
      <c r="I94" s="244"/>
    </row>
    <row r="95" spans="2:12" x14ac:dyDescent="0.2">
      <c r="B95" s="220" t="s">
        <v>1113</v>
      </c>
      <c r="I95" s="244"/>
    </row>
    <row r="96" spans="2:12" x14ac:dyDescent="0.2">
      <c r="I96" s="244"/>
      <c r="L96" s="245"/>
    </row>
    <row r="97" spans="2:9" x14ac:dyDescent="0.2">
      <c r="B97" s="237" t="s">
        <v>1082</v>
      </c>
      <c r="C97" s="237" t="s">
        <v>1104</v>
      </c>
    </row>
    <row r="98" spans="2:9" x14ac:dyDescent="0.2">
      <c r="B98" s="224"/>
      <c r="C98" s="260"/>
    </row>
    <row r="99" spans="2:9" x14ac:dyDescent="0.2">
      <c r="B99" s="261"/>
      <c r="C99" s="262"/>
    </row>
    <row r="100" spans="2:9" x14ac:dyDescent="0.2">
      <c r="B100" s="220" t="s">
        <v>1114</v>
      </c>
    </row>
    <row r="101" spans="2:9" x14ac:dyDescent="0.2">
      <c r="B101" s="220"/>
    </row>
    <row r="102" spans="2:9" ht="63.75" x14ac:dyDescent="0.2">
      <c r="B102" s="222" t="s">
        <v>1082</v>
      </c>
      <c r="C102" s="223" t="s">
        <v>1106</v>
      </c>
      <c r="D102" s="223" t="s">
        <v>1107</v>
      </c>
      <c r="E102" s="223" t="s">
        <v>1108</v>
      </c>
      <c r="F102" s="223" t="s">
        <v>1115</v>
      </c>
      <c r="G102" s="223" t="s">
        <v>1116</v>
      </c>
    </row>
    <row r="103" spans="2:9" x14ac:dyDescent="0.2">
      <c r="B103" s="224" t="s">
        <v>674</v>
      </c>
      <c r="C103" s="247">
        <v>60</v>
      </c>
      <c r="D103" s="247">
        <v>60</v>
      </c>
      <c r="E103" s="248">
        <v>601.42999999999995</v>
      </c>
      <c r="F103" s="248">
        <v>600.05999999999995</v>
      </c>
      <c r="G103" s="263">
        <v>-1.3700000000000045</v>
      </c>
      <c r="H103" s="243"/>
      <c r="I103" s="244">
        <f>+C103-D103</f>
        <v>0</v>
      </c>
    </row>
    <row r="104" spans="2:9" hidden="1" x14ac:dyDescent="0.2">
      <c r="B104" s="240" t="s">
        <v>178</v>
      </c>
      <c r="C104" s="264"/>
      <c r="D104" s="264"/>
      <c r="E104" s="265"/>
      <c r="F104" s="265"/>
      <c r="G104" s="263">
        <v>0</v>
      </c>
      <c r="H104" s="266"/>
      <c r="I104" s="244">
        <f>+C104-D104</f>
        <v>0</v>
      </c>
    </row>
    <row r="105" spans="2:9" hidden="1" x14ac:dyDescent="0.2">
      <c r="B105" s="240" t="s">
        <v>811</v>
      </c>
      <c r="C105" s="264"/>
      <c r="D105" s="264"/>
      <c r="E105" s="265"/>
      <c r="F105" s="265"/>
      <c r="G105" s="263">
        <v>0</v>
      </c>
      <c r="I105" s="244">
        <f>+C105-D105</f>
        <v>0</v>
      </c>
    </row>
    <row r="106" spans="2:9" hidden="1" x14ac:dyDescent="0.2">
      <c r="B106" s="224" t="s">
        <v>818</v>
      </c>
      <c r="C106" s="267"/>
      <c r="D106" s="267"/>
      <c r="E106" s="265"/>
      <c r="F106" s="265"/>
      <c r="G106" s="263">
        <v>0</v>
      </c>
      <c r="H106" s="268"/>
      <c r="I106" s="244">
        <f>+C106-D106</f>
        <v>0</v>
      </c>
    </row>
    <row r="107" spans="2:9" hidden="1" x14ac:dyDescent="0.2">
      <c r="B107" s="224" t="s">
        <v>1117</v>
      </c>
      <c r="C107" s="267"/>
      <c r="D107" s="267"/>
      <c r="E107" s="265"/>
      <c r="F107" s="265"/>
      <c r="G107" s="263">
        <v>0</v>
      </c>
      <c r="H107" s="268"/>
      <c r="I107" s="244"/>
    </row>
    <row r="108" spans="2:9" hidden="1" x14ac:dyDescent="0.2">
      <c r="B108" s="224" t="s">
        <v>825</v>
      </c>
      <c r="C108" s="247"/>
      <c r="D108" s="247"/>
      <c r="E108" s="250"/>
      <c r="F108" s="248"/>
      <c r="G108" s="242">
        <v>0</v>
      </c>
      <c r="H108" s="268"/>
      <c r="I108" s="244"/>
    </row>
    <row r="109" spans="2:9" x14ac:dyDescent="0.2">
      <c r="B109" s="224" t="s">
        <v>549</v>
      </c>
      <c r="C109" s="267">
        <v>180</v>
      </c>
      <c r="D109" s="267">
        <v>180</v>
      </c>
      <c r="E109" s="265">
        <v>1239.81</v>
      </c>
      <c r="F109" s="265">
        <v>1264.98</v>
      </c>
      <c r="G109" s="263">
        <v>25.170000000000073</v>
      </c>
      <c r="H109" s="268"/>
      <c r="I109" s="244">
        <f>+C109-D109</f>
        <v>0</v>
      </c>
    </row>
    <row r="110" spans="2:9" hidden="1" x14ac:dyDescent="0.2">
      <c r="B110" s="249"/>
      <c r="C110" s="269"/>
      <c r="D110" s="269"/>
      <c r="E110" s="251"/>
      <c r="F110" s="251"/>
      <c r="G110" s="270">
        <f>+F110-E110</f>
        <v>0</v>
      </c>
      <c r="H110" s="243"/>
      <c r="I110" s="244"/>
    </row>
    <row r="111" spans="2:9" x14ac:dyDescent="0.2">
      <c r="H111" s="243"/>
      <c r="I111" s="244"/>
    </row>
    <row r="112" spans="2:9" x14ac:dyDescent="0.2">
      <c r="B112" s="271"/>
      <c r="C112" s="272"/>
      <c r="D112" s="272"/>
      <c r="E112" s="273"/>
      <c r="F112" s="273"/>
      <c r="G112" s="273"/>
      <c r="H112" s="244"/>
    </row>
    <row r="113" spans="2:7" x14ac:dyDescent="0.2">
      <c r="B113" s="220" t="s">
        <v>1118</v>
      </c>
      <c r="D113" s="274"/>
    </row>
    <row r="115" spans="2:7" ht="25.5" x14ac:dyDescent="0.2">
      <c r="B115" s="223" t="s">
        <v>1082</v>
      </c>
      <c r="C115" s="223" t="s">
        <v>1083</v>
      </c>
      <c r="D115" s="223" t="s">
        <v>1119</v>
      </c>
      <c r="E115" s="223" t="s">
        <v>1120</v>
      </c>
      <c r="F115" s="223" t="s">
        <v>1121</v>
      </c>
      <c r="G115" s="223" t="s">
        <v>1122</v>
      </c>
    </row>
    <row r="116" spans="2:7" x14ac:dyDescent="0.2">
      <c r="B116" s="275" t="s">
        <v>686</v>
      </c>
      <c r="C116" s="275" t="s">
        <v>686</v>
      </c>
      <c r="D116" s="275" t="s">
        <v>686</v>
      </c>
      <c r="E116" s="275" t="s">
        <v>686</v>
      </c>
      <c r="F116" s="275" t="s">
        <v>686</v>
      </c>
      <c r="G116" s="275" t="s">
        <v>686</v>
      </c>
    </row>
    <row r="117" spans="2:7" x14ac:dyDescent="0.2">
      <c r="D117" s="274"/>
      <c r="E117" s="274"/>
      <c r="F117" s="276"/>
      <c r="G117" s="276"/>
    </row>
    <row r="118" spans="2:7" x14ac:dyDescent="0.2">
      <c r="D118" s="274"/>
      <c r="E118" s="274"/>
      <c r="F118" s="276"/>
      <c r="G118" s="276"/>
    </row>
    <row r="119" spans="2:7" x14ac:dyDescent="0.2">
      <c r="B119" s="220" t="s">
        <v>1123</v>
      </c>
      <c r="G119" s="99" t="s">
        <v>1035</v>
      </c>
    </row>
    <row r="120" spans="2:7" x14ac:dyDescent="0.2">
      <c r="B120" s="220"/>
    </row>
    <row r="121" spans="2:7" x14ac:dyDescent="0.2">
      <c r="B121" s="237" t="s">
        <v>1082</v>
      </c>
      <c r="C121" s="237" t="s">
        <v>1104</v>
      </c>
    </row>
    <row r="122" spans="2:7" x14ac:dyDescent="0.2">
      <c r="B122" s="275" t="s">
        <v>686</v>
      </c>
      <c r="C122" s="275" t="s">
        <v>686</v>
      </c>
    </row>
    <row r="123" spans="2:7" x14ac:dyDescent="0.2">
      <c r="C123" s="277"/>
      <c r="D123" s="262"/>
    </row>
    <row r="124" spans="2:7" x14ac:dyDescent="0.2">
      <c r="B124" s="220" t="s">
        <v>1124</v>
      </c>
    </row>
    <row r="126" spans="2:7" ht="38.25" x14ac:dyDescent="0.2">
      <c r="B126" s="222" t="s">
        <v>1082</v>
      </c>
      <c r="C126" s="223" t="s">
        <v>1125</v>
      </c>
      <c r="D126" s="223" t="s">
        <v>1126</v>
      </c>
      <c r="E126" s="223" t="s">
        <v>1127</v>
      </c>
      <c r="F126" s="223" t="s">
        <v>1128</v>
      </c>
    </row>
    <row r="127" spans="2:7" x14ac:dyDescent="0.2">
      <c r="B127" s="278"/>
      <c r="C127" s="275"/>
      <c r="D127" s="279"/>
      <c r="E127" s="263"/>
      <c r="F127" s="263">
        <f>+E127-D127</f>
        <v>0</v>
      </c>
    </row>
    <row r="128" spans="2:7" x14ac:dyDescent="0.2">
      <c r="B128" s="280"/>
      <c r="C128" s="281"/>
      <c r="D128" s="282"/>
      <c r="E128" s="282"/>
      <c r="F128" s="283"/>
    </row>
    <row r="129" spans="2:7" x14ac:dyDescent="0.2">
      <c r="B129" s="280"/>
      <c r="C129" s="281"/>
      <c r="D129" s="282"/>
      <c r="E129" s="282"/>
      <c r="F129" s="283"/>
    </row>
    <row r="131" spans="2:7" x14ac:dyDescent="0.2">
      <c r="B131" s="220" t="s">
        <v>1129</v>
      </c>
    </row>
    <row r="133" spans="2:7" ht="25.5" x14ac:dyDescent="0.2">
      <c r="B133" s="223" t="s">
        <v>1082</v>
      </c>
      <c r="C133" s="223" t="s">
        <v>1083</v>
      </c>
      <c r="D133" s="223" t="s">
        <v>1119</v>
      </c>
      <c r="E133" s="223" t="s">
        <v>1120</v>
      </c>
      <c r="F133" s="223" t="s">
        <v>1121</v>
      </c>
      <c r="G133" s="223" t="s">
        <v>1122</v>
      </c>
    </row>
    <row r="134" spans="2:7" x14ac:dyDescent="0.2">
      <c r="B134" s="224" t="s">
        <v>686</v>
      </c>
      <c r="C134" s="224" t="s">
        <v>686</v>
      </c>
      <c r="D134" s="224" t="s">
        <v>686</v>
      </c>
      <c r="E134" s="224" t="s">
        <v>686</v>
      </c>
      <c r="F134" s="224" t="s">
        <v>686</v>
      </c>
      <c r="G134" s="224" t="s">
        <v>686</v>
      </c>
    </row>
    <row r="135" spans="2:7" x14ac:dyDescent="0.2">
      <c r="C135" s="256"/>
      <c r="D135" s="284"/>
      <c r="E135" s="285"/>
      <c r="F135" s="276"/>
      <c r="G135" s="276"/>
    </row>
    <row r="136" spans="2:7" x14ac:dyDescent="0.2">
      <c r="B136" s="220" t="s">
        <v>1130</v>
      </c>
    </row>
    <row r="137" spans="2:7" x14ac:dyDescent="0.2">
      <c r="B137" s="220"/>
    </row>
    <row r="138" spans="2:7" x14ac:dyDescent="0.2">
      <c r="B138" s="237" t="s">
        <v>1082</v>
      </c>
      <c r="C138" s="237" t="s">
        <v>1104</v>
      </c>
    </row>
    <row r="139" spans="2:7" x14ac:dyDescent="0.2">
      <c r="B139" s="224" t="s">
        <v>686</v>
      </c>
      <c r="C139" s="224" t="s">
        <v>686</v>
      </c>
    </row>
    <row r="140" spans="2:7" x14ac:dyDescent="0.2">
      <c r="B140" s="261"/>
      <c r="C140" s="262"/>
    </row>
    <row r="141" spans="2:7" x14ac:dyDescent="0.2">
      <c r="B141" s="220" t="s">
        <v>1131</v>
      </c>
    </row>
    <row r="143" spans="2:7" ht="38.25" x14ac:dyDescent="0.2">
      <c r="B143" s="222" t="s">
        <v>1082</v>
      </c>
      <c r="C143" s="223" t="s">
        <v>1125</v>
      </c>
      <c r="D143" s="223" t="s">
        <v>1132</v>
      </c>
      <c r="E143" s="223" t="s">
        <v>1133</v>
      </c>
      <c r="F143" s="223" t="s">
        <v>1128</v>
      </c>
    </row>
    <row r="144" spans="2:7" x14ac:dyDescent="0.2">
      <c r="B144" s="224"/>
      <c r="C144" s="275"/>
      <c r="D144" s="279"/>
      <c r="E144" s="275"/>
      <c r="F144" s="275"/>
    </row>
    <row r="145" spans="2:7" x14ac:dyDescent="0.2">
      <c r="G145" s="286"/>
    </row>
    <row r="146" spans="2:7" x14ac:dyDescent="0.2">
      <c r="F146" s="287"/>
      <c r="G146" s="245"/>
    </row>
    <row r="147" spans="2:7" x14ac:dyDescent="0.2">
      <c r="B147" s="220" t="s">
        <v>1134</v>
      </c>
    </row>
    <row r="148" spans="2:7" x14ac:dyDescent="0.2">
      <c r="B148" s="220"/>
    </row>
    <row r="149" spans="2:7" x14ac:dyDescent="0.2">
      <c r="E149" s="245"/>
    </row>
    <row r="150" spans="2:7" x14ac:dyDescent="0.2">
      <c r="B150" s="220" t="s">
        <v>1135</v>
      </c>
      <c r="E150" s="245"/>
    </row>
    <row r="151" spans="2:7" x14ac:dyDescent="0.2">
      <c r="E151" s="245"/>
    </row>
    <row r="152" spans="2:7" ht="25.5" x14ac:dyDescent="0.2">
      <c r="B152" s="222" t="s">
        <v>1082</v>
      </c>
      <c r="C152" s="223" t="s">
        <v>1083</v>
      </c>
      <c r="D152" s="223" t="s">
        <v>1084</v>
      </c>
      <c r="E152" s="223" t="s">
        <v>1136</v>
      </c>
      <c r="F152" s="223" t="s">
        <v>1137</v>
      </c>
      <c r="G152" s="223" t="s">
        <v>1138</v>
      </c>
    </row>
    <row r="153" spans="2:7" x14ac:dyDescent="0.2">
      <c r="B153" s="240" t="s">
        <v>686</v>
      </c>
      <c r="C153" s="288" t="s">
        <v>686</v>
      </c>
      <c r="D153" s="289" t="s">
        <v>686</v>
      </c>
      <c r="E153" s="255" t="s">
        <v>686</v>
      </c>
      <c r="F153" s="255" t="s">
        <v>686</v>
      </c>
      <c r="G153" s="255" t="s">
        <v>686</v>
      </c>
    </row>
    <row r="154" spans="2:7" x14ac:dyDescent="0.2">
      <c r="E154" s="245"/>
    </row>
    <row r="155" spans="2:7" x14ac:dyDescent="0.2">
      <c r="B155" s="220" t="s">
        <v>1139</v>
      </c>
      <c r="E155" s="245"/>
    </row>
    <row r="156" spans="2:7" x14ac:dyDescent="0.2">
      <c r="B156" s="220"/>
      <c r="E156" s="245"/>
    </row>
    <row r="157" spans="2:7" x14ac:dyDescent="0.2">
      <c r="B157" s="237" t="s">
        <v>1082</v>
      </c>
      <c r="C157" s="237" t="s">
        <v>1104</v>
      </c>
      <c r="E157" s="245"/>
    </row>
    <row r="158" spans="2:7" x14ac:dyDescent="0.2">
      <c r="B158" s="275" t="s">
        <v>686</v>
      </c>
      <c r="C158" s="264" t="s">
        <v>686</v>
      </c>
      <c r="E158" s="245"/>
    </row>
    <row r="159" spans="2:7" x14ac:dyDescent="0.2">
      <c r="E159" s="245"/>
    </row>
    <row r="160" spans="2:7" x14ac:dyDescent="0.2">
      <c r="B160" s="220" t="s">
        <v>1140</v>
      </c>
      <c r="E160" s="245"/>
    </row>
    <row r="161" spans="2:10" x14ac:dyDescent="0.2">
      <c r="E161" s="245"/>
    </row>
    <row r="162" spans="2:10" ht="63.75" x14ac:dyDescent="0.2">
      <c r="B162" s="222" t="s">
        <v>1082</v>
      </c>
      <c r="C162" s="223" t="s">
        <v>1106</v>
      </c>
      <c r="D162" s="223" t="s">
        <v>1107</v>
      </c>
      <c r="E162" s="223" t="s">
        <v>1108</v>
      </c>
      <c r="F162" s="223" t="s">
        <v>1109</v>
      </c>
      <c r="G162" s="223" t="s">
        <v>1110</v>
      </c>
    </row>
    <row r="163" spans="2:10" x14ac:dyDescent="0.2">
      <c r="B163" s="264"/>
      <c r="C163" s="264"/>
      <c r="D163" s="241"/>
      <c r="E163" s="290"/>
      <c r="F163" s="291"/>
      <c r="G163" s="292"/>
      <c r="I163" s="244"/>
      <c r="J163" s="245"/>
    </row>
    <row r="164" spans="2:10" x14ac:dyDescent="0.2">
      <c r="E164" s="245"/>
    </row>
    <row r="165" spans="2:10" x14ac:dyDescent="0.2">
      <c r="E165" s="245"/>
    </row>
    <row r="166" spans="2:10" x14ac:dyDescent="0.2">
      <c r="B166" s="220" t="s">
        <v>1141</v>
      </c>
      <c r="E166" s="245"/>
    </row>
    <row r="167" spans="2:10" x14ac:dyDescent="0.2">
      <c r="E167" s="245"/>
    </row>
    <row r="168" spans="2:10" ht="63.75" x14ac:dyDescent="0.2">
      <c r="B168" s="222" t="s">
        <v>1082</v>
      </c>
      <c r="C168" s="223" t="s">
        <v>1106</v>
      </c>
      <c r="D168" s="223" t="s">
        <v>1107</v>
      </c>
      <c r="E168" s="223" t="s">
        <v>1108</v>
      </c>
      <c r="F168" s="223" t="s">
        <v>1109</v>
      </c>
      <c r="G168" s="223" t="s">
        <v>1110</v>
      </c>
    </row>
    <row r="169" spans="2:10" x14ac:dyDescent="0.2">
      <c r="B169" s="225"/>
      <c r="C169" s="275"/>
      <c r="D169" s="275"/>
      <c r="E169" s="293"/>
      <c r="F169" s="293"/>
      <c r="G169" s="293"/>
    </row>
    <row r="170" spans="2:10" x14ac:dyDescent="0.2">
      <c r="E170" s="245"/>
    </row>
    <row r="171" spans="2:10" x14ac:dyDescent="0.2">
      <c r="E171" s="245"/>
    </row>
    <row r="172" spans="2:10" x14ac:dyDescent="0.2">
      <c r="E172" s="245"/>
    </row>
    <row r="173" spans="2:10" x14ac:dyDescent="0.2">
      <c r="B173" s="99" t="s">
        <v>1142</v>
      </c>
    </row>
  </sheetData>
  <mergeCells count="3">
    <mergeCell ref="B2:G2"/>
    <mergeCell ref="B3:G3"/>
    <mergeCell ref="B5:G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37</vt:i4>
      </vt:variant>
    </vt:vector>
  </HeadingPairs>
  <TitlesOfParts>
    <vt:vector size="37" baseType="lpstr">
      <vt:lpstr>Index</vt:lpstr>
      <vt:lpstr>CAPEXG</vt:lpstr>
      <vt:lpstr>MIDCAP</vt:lpstr>
      <vt:lpstr>MULTI1</vt:lpstr>
      <vt:lpstr>MULTI2</vt:lpstr>
      <vt:lpstr>MULTIP</vt:lpstr>
      <vt:lpstr>SESCAP3</vt:lpstr>
      <vt:lpstr>SESCAP4</vt:lpstr>
      <vt:lpstr>SESCAP5</vt:lpstr>
      <vt:lpstr>SESCAP6</vt:lpstr>
      <vt:lpstr>SESCAP7</vt:lpstr>
      <vt:lpstr>SLTADV3</vt:lpstr>
      <vt:lpstr>SLTADV4</vt:lpstr>
      <vt:lpstr>SLTAX1</vt:lpstr>
      <vt:lpstr>SLTAX2</vt:lpstr>
      <vt:lpstr>SLTAX3</vt:lpstr>
      <vt:lpstr>SLTAX4</vt:lpstr>
      <vt:lpstr>SLTAX5</vt:lpstr>
      <vt:lpstr>SLTAX6</vt:lpstr>
      <vt:lpstr>SMILE</vt:lpstr>
      <vt:lpstr>SPAHF</vt:lpstr>
      <vt:lpstr>SPARF</vt:lpstr>
      <vt:lpstr>SPBAF</vt:lpstr>
      <vt:lpstr>SPDYF</vt:lpstr>
      <vt:lpstr>SPESF</vt:lpstr>
      <vt:lpstr>SPFOCUS</vt:lpstr>
      <vt:lpstr>SPMUCF</vt:lpstr>
      <vt:lpstr>SPSN100</vt:lpstr>
      <vt:lpstr>SPTAX</vt:lpstr>
      <vt:lpstr>SRURAL</vt:lpstr>
      <vt:lpstr>SSFUND</vt:lpstr>
      <vt:lpstr>STAX</vt:lpstr>
      <vt:lpstr>SUNBCF</vt:lpstr>
      <vt:lpstr>SUNFCF</vt:lpstr>
      <vt:lpstr>SUNFOP</vt:lpstr>
      <vt:lpstr>GLOB</vt:lpstr>
      <vt:lpstr>Annexure 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Boopathi V - Sundaram Fund Services</dc:creator>
  <cp:lastModifiedBy>Venkat Raman R - Sundaram Mutual</cp:lastModifiedBy>
  <dcterms:created xsi:type="dcterms:W3CDTF">2023-05-02T09:53:41Z</dcterms:created>
  <dcterms:modified xsi:type="dcterms:W3CDTF">2023-05-09T18:33:01Z</dcterms:modified>
</cp:coreProperties>
</file>