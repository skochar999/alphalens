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mc:AlternateContent xmlns:mc="http://schemas.openxmlformats.org/markup-compatibility/2006">
    <mc:Choice Requires="x15">
      <x15ac:absPath xmlns:x15ac="http://schemas.microsoft.com/office/spreadsheetml/2010/11/ac" url="Z:\Deutsche- FA\Statutory Audit\March 2025\Half Yearly Portfolio Mar 25\Half yearly financials for upload\"/>
    </mc:Choice>
  </mc:AlternateContent>
  <xr:revisionPtr revIDLastSave="0" documentId="13_ncr:8001_{AC5A3C3D-69B7-4D4D-A8F2-58EC4D352A57}" xr6:coauthVersionLast="36" xr6:coauthVersionMax="47" xr10:uidLastSave="{00000000-0000-0000-0000-000000000000}"/>
  <bookViews>
    <workbookView xWindow="-105" yWindow="-105" windowWidth="41490" windowHeight="16890" xr2:uid="{6F483852-6890-41CA-93C7-C2F077C14E98}"/>
  </bookViews>
  <sheets>
    <sheet name="IDF272" sheetId="1" r:id="rId1"/>
  </sheets>
  <definedNames>
    <definedName name="JR_PAGE_ANCHOR_0_13">'IDF272'!$A$2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F191" i="1" l="1"/>
  <c r="F188" i="1"/>
  <c r="F185" i="1"/>
  <c r="F182" i="1"/>
  <c r="F179" i="1"/>
  <c r="F176" i="1"/>
  <c r="F57" i="1"/>
</calcChain>
</file>

<file path=xl/sharedStrings.xml><?xml version="1.0" encoding="utf-8"?>
<sst xmlns="http://schemas.openxmlformats.org/spreadsheetml/2006/main" count="307" uniqueCount="179">
  <si>
    <t>IDF272</t>
  </si>
  <si>
    <t>INDEX</t>
  </si>
  <si>
    <t>Portfolio Statement as on March 31,2025</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</si>
  <si>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</si>
  <si>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</si>
  <si>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</si>
  <si>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</si>
  <si>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</si>
  <si>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</si>
  <si>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</si>
  <si>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</si>
  <si>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</si>
  <si>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</si>
  <si>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</si>
  <si>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</si>
  <si>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</si>
  <si>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</si>
  <si>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</si>
  <si>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GOI5379</t>
  </si>
  <si>
    <t>7.32% Government of India</t>
  </si>
  <si>
    <t>IN0020230135</t>
  </si>
  <si>
    <t>GOI5713</t>
  </si>
  <si>
    <t>7.1% Government of India</t>
  </si>
  <si>
    <t>IN0020240019</t>
  </si>
  <si>
    <t>GOI5081</t>
  </si>
  <si>
    <t>7.17% Government of India</t>
  </si>
  <si>
    <t>IN0020230036</t>
  </si>
  <si>
    <t>Non Convertible Debentures</t>
  </si>
  <si>
    <t>TATP41</t>
  </si>
  <si>
    <t>8.47% Tata Projects Limited **</t>
  </si>
  <si>
    <t>INE725H08162</t>
  </si>
  <si>
    <t>FITCH AA</t>
  </si>
  <si>
    <t>GOSL357</t>
  </si>
  <si>
    <t>8.4% Godrej Industries Limited **</t>
  </si>
  <si>
    <t>INE233A08113</t>
  </si>
  <si>
    <t>CRISIL AA+</t>
  </si>
  <si>
    <t>CENT244</t>
  </si>
  <si>
    <t>8.35% Aditya Birla Real Estate Limited **</t>
  </si>
  <si>
    <t>INE055A08052</t>
  </si>
  <si>
    <t>CRISIL AA</t>
  </si>
  <si>
    <t>AFPL104</t>
  </si>
  <si>
    <t>10.9% AU Small Finance Bank Limited **</t>
  </si>
  <si>
    <t>INE949L08418</t>
  </si>
  <si>
    <t>MUFL429</t>
  </si>
  <si>
    <t>8.97% Muthoot Finance Limited **</t>
  </si>
  <si>
    <t>INE414G07JH5</t>
  </si>
  <si>
    <t>GODP225</t>
  </si>
  <si>
    <t>8.3% Godrej Properties Limited **</t>
  </si>
  <si>
    <t>INE484J08055</t>
  </si>
  <si>
    <t>ICRA AA+</t>
  </si>
  <si>
    <t>AAHF88</t>
  </si>
  <si>
    <t>8.5% Aadhar Housing Finance Limited **</t>
  </si>
  <si>
    <t>INE883F07306</t>
  </si>
  <si>
    <t>CHOL1013</t>
  </si>
  <si>
    <t>8.25% Cholamandalam Investment and Finance Company Ltd **</t>
  </si>
  <si>
    <t>INE121A07RC3</t>
  </si>
  <si>
    <t>TCHF374</t>
  </si>
  <si>
    <t>7.55% Tata Capital Housing Finance Limited **</t>
  </si>
  <si>
    <t>INE033L07HT2</t>
  </si>
  <si>
    <t>CRISIL AAA</t>
  </si>
  <si>
    <t>TCHF351</t>
  </si>
  <si>
    <t>6.5% Tata Capital Housing Finance Limited **</t>
  </si>
  <si>
    <t>INE033L07HF1</t>
  </si>
  <si>
    <t>Subtotal</t>
  </si>
  <si>
    <t>(b) Privately placed / Unlisted</t>
  </si>
  <si>
    <t>NIL</t>
  </si>
  <si>
    <t>Total</t>
  </si>
  <si>
    <t>Money Market Instruments</t>
  </si>
  <si>
    <t>Certificate of Deposit</t>
  </si>
  <si>
    <t>UTIB1349</t>
  </si>
  <si>
    <t>Axis Bank Limited **</t>
  </si>
  <si>
    <t>INE238AD6AN0</t>
  </si>
  <si>
    <t>CRISIL A1+</t>
  </si>
  <si>
    <t>CANB1005</t>
  </si>
  <si>
    <t>Canara Bank **</t>
  </si>
  <si>
    <t>INE476A16ZA9</t>
  </si>
  <si>
    <t>TREPS / Reverse Repo Instrument</t>
  </si>
  <si>
    <t>TRP_020425</t>
  </si>
  <si>
    <t>Triparty Repo TRP_020425</t>
  </si>
  <si>
    <t>Derivatives</t>
  </si>
  <si>
    <t>Interest Rate Swaps</t>
  </si>
  <si>
    <t>IRS1036FL</t>
  </si>
  <si>
    <t>Interest Rate Swaps (07/04/2025) Receive Floating</t>
  </si>
  <si>
    <t>IRS1031FL</t>
  </si>
  <si>
    <t>IRS1032FL</t>
  </si>
  <si>
    <t>IRS1033FL</t>
  </si>
  <si>
    <t>IRS1034FL</t>
  </si>
  <si>
    <t>IRS1035FL</t>
  </si>
  <si>
    <t>IRS1032FX</t>
  </si>
  <si>
    <t>Interest Rate Swaps (07/04/2025) Pay Fixed</t>
  </si>
  <si>
    <t>IRS1033FX</t>
  </si>
  <si>
    <t>IRS1035FX</t>
  </si>
  <si>
    <t>IRS1031FX</t>
  </si>
  <si>
    <t>IRS1034FX</t>
  </si>
  <si>
    <t>IRS1036FX</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</si>
  <si>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</si>
  <si>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</si>
  <si>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</si>
  <si>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</si>
  <si>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</si>
  <si>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</si>
  <si>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</si>
  <si>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</si>
  <si>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</si>
  <si>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Notes:</t>
  </si>
  <si>
    <t>(1) The provision made for below investment grade or default securities as of March 31, 2025 is Rs. Nil and its percentage to Net Asset Value is Nil.</t>
  </si>
  <si>
    <t>(2)  Aggregate value of illiquid equity shares of the fund amounts to Rs.Nil and their percentage to Net Asset value is Nil.</t>
  </si>
  <si>
    <t>(3) Plan/Option wise per unit Net Asset Values (NAV) are as follows:</t>
  </si>
  <si>
    <t>Plan / Option</t>
  </si>
  <si>
    <t>NAV per unit (Rs.)</t>
  </si>
  <si>
    <t>Regular Plan</t>
  </si>
  <si>
    <t>IDF272-AG</t>
  </si>
  <si>
    <t>Growth</t>
  </si>
  <si>
    <t>IDF272-ADD</t>
  </si>
  <si>
    <t>Daily IDCW #</t>
  </si>
  <si>
    <t>IDF272-AWD</t>
  </si>
  <si>
    <t>Weekly IDCW #</t>
  </si>
  <si>
    <t>IDF272-AMD</t>
  </si>
  <si>
    <t>Monthly IDCW #</t>
  </si>
  <si>
    <t>IDF272-AQD</t>
  </si>
  <si>
    <t>Quarterly IDCW #</t>
  </si>
  <si>
    <t>IDF272-APD</t>
  </si>
  <si>
    <t>Periodic IDCW #</t>
  </si>
  <si>
    <t>IDF272-AAD</t>
  </si>
  <si>
    <t>Annual IDCW #</t>
  </si>
  <si>
    <t>Direct Plan</t>
  </si>
  <si>
    <t>IDF272-ZG</t>
  </si>
  <si>
    <t>IDF272-ZDD</t>
  </si>
  <si>
    <t>IDF272-ZW</t>
  </si>
  <si>
    <t>IDF272-ZM</t>
  </si>
  <si>
    <t>IDF272-ZQ</t>
  </si>
  <si>
    <t>IDF272-ZY</t>
  </si>
  <si>
    <t># Income Distribution cum capital withdrawal option</t>
  </si>
  <si>
    <t>(4) Details of Dividend declared per unit (In Rupees) during the period ended March 31, 2025 are as follows</t>
  </si>
  <si>
    <t>Scheme Name</t>
  </si>
  <si>
    <t>Record Date</t>
  </si>
  <si>
    <t>Dividend (Individual)</t>
  </si>
  <si>
    <t>Dividend (Corporate)</t>
  </si>
  <si>
    <t>Record Date NAV</t>
  </si>
  <si>
    <t>Bandhan Floating Rate Fund- Regular Plan-Weekly IDCW</t>
  </si>
  <si>
    <t>Bandhan Floating Rate Fund-Direct Plan-Weekly IDCW</t>
  </si>
  <si>
    <t>Bandhan Floating Rate Fund- Regular Plan-Monthly IDCW</t>
  </si>
  <si>
    <t>Bandhan Floating Rate Fund-Direct Plan-Monthly IDCW</t>
  </si>
  <si>
    <t>Bandhan Floating Rate Fund- Regular Plan-Quarterly IDCW</t>
  </si>
  <si>
    <t>Bandhan Floating Rate Fund-Direct Plan-Quarterly IDCW</t>
  </si>
  <si>
    <t>Bandhan Floating Rate Fund- Regular Plan-Annual IDCW</t>
  </si>
  <si>
    <t>Bandhan Floating Rate Fund-Direct Plan-Annual IDCW</t>
  </si>
  <si>
    <t>Bandhan Floating Rate Fund Regular Plan-Daily IDCW</t>
  </si>
  <si>
    <t>*</t>
  </si>
  <si>
    <t>Bandhan Floating Rate Fund Direct Plan-Daily IDCW</t>
  </si>
  <si>
    <t>* Various record dates from 1st October, 2024 to 31st March, 2025</t>
  </si>
  <si>
    <t>(5) Total outstanding exposure in derivative instruments as on March 31, 2025 is Rs. Nil.</t>
  </si>
  <si>
    <t>(6) Total Market value of investments in foreign securities/ADRs/GDRs as at March 31, 2025 is Rs. Nil.</t>
  </si>
  <si>
    <t>(7) The Average Maturity Period of the Portfolio has been 3.66 Years.</t>
  </si>
  <si>
    <t>(8) Bonus declared during the half-year ended March 31, 2025 : Nil</t>
  </si>
  <si>
    <t>(9) The details of repo transactions of the schemes in corporate debt securities including details of counterparties, amount involved and percentage of NAV :  Nil</t>
  </si>
  <si>
    <t>Hedging Positions through swaps as on March 31, 2025 :</t>
  </si>
  <si>
    <t>Position</t>
  </si>
  <si>
    <t>Security name</t>
  </si>
  <si>
    <t>Notional Value (Rs in lakhs)</t>
  </si>
  <si>
    <t>Maturity</t>
  </si>
  <si>
    <t>Instrument Type</t>
  </si>
  <si>
    <t>BANDHAN FLOATING RATE FUND</t>
  </si>
  <si>
    <t>Long</t>
  </si>
  <si>
    <t>Floating</t>
  </si>
  <si>
    <t>Short</t>
  </si>
  <si>
    <t>Fixed</t>
  </si>
  <si>
    <t>* Long position represents the floating leg of IRS contract and the maturity date is considered as next interest fixing date.</t>
  </si>
  <si>
    <t>* Short position represents the fixed leg of IRS contract and the maturity date is considered as the maturity date of IRS contract.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</si>
  <si>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</si>
  <si>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</si>
  <si>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</si>
  <si>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</si>
  <si>
    <t>8.35%Aditya Birla Real Est NCD OPT1(MD30/08/27)
8.40% Godrej Industries NCD Sr II (MD 27/08/2027)
7.32% GOI (MD 13/11/2030)</t>
  </si>
  <si>
    <t>8.15% Godrej Prop Ltd NCD SerA (MD 03/07/2026)
8.50% Aadhar Housing Fin Ltd NCD(MD 26/05/2026)
8.25% Cholamandalam Invt&amp;Fin Sr634 NCD(MD15/05/26)
7.1% GOI (MD 08/04/2034)</t>
  </si>
  <si>
    <t>8.30% Godrej Prop Ltd NCD Ser I (MD 19/03/2027)
8.97% Muthoot Fin Ltd Sr 36A Opt I (MD 18/01/2027)
6.50% Tata Cap Hous Fin Ltd NCD (MD 15/06/2026)</t>
  </si>
  <si>
    <t>10.9% AU Small Fin Bk Ltd NCD (30/05/25)
8.35%Aditya Birla Real Est NCD OPT1(MD30/08/27)</t>
  </si>
  <si>
    <t>6.50% Tata Cap Hous Fin Ltd NCD (MD 15/06/2026)
7.55% Tata Cap Hous Fin Ltd NCD OP I (MD 05/08/25)
7.32% GOI (MD 13/11/2030)</t>
  </si>
  <si>
    <t>7.32% GOI (MD 13/11/2030)
8.47%Tata Projects Ltd NCD SR O (MD20/11/26)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</si>
</sst>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
    <numFmt numFmtId="166" formatCode="#,##0.000"/>
    <numFmt numFmtId="167" formatCode="_ * #,##0.00_ ;_ * \-#,##0.00_ ;_ * &quot;-&quot;??_ ;_ @_ "/>
    <numFmt numFmtId="168" formatCode="_(* #,##0_);_(* \(#,##0\);_(* &quot;-&quot;??_);_(@_)"/>
    <numFmt numFmtId="169" formatCode="0.0000"/>
    <numFmt numFmtId="170" formatCode="_-* #,##0.0000_-;\-* #,##0.0000_-;_-* &quot;-&quot;??_-;_-@_-"/>
    <numFmt numFmtId="171" formatCode="_-* #,##0_-;\-* #,##0_-;_-* &quot;-&quot;??_-;_-@_-"/>
  </numFmts>
  <fonts count="20">
    <font>
      <sz val="11"/>
      <color theme="1"/>
      <name val="Aptos Narrow"/>
      <family val="2"/>
      <scheme val="minor"/>
    </font>
    <font>
      <sz val="11"/>
      <color theme="1"/>
      <name val="Aptos Narrow"/>
      <family val="2"/>
      <scheme val="minor"/>
    </font>
    <font>
      <sz val="11"/>
      <color theme="0"/>
      <name val="Arial"/>
      <family val="2"/>
    </font>
    <font>
      <sz val="11"/>
      <color theme="1"/>
      <name val="Arial"/>
      <family val="2"/>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Arial"/>
      <family val="2"/>
    </font>
    <font>
      <sz val="10"/>
      <color rgb="FF000000"/>
      <name val="Arial"/>
      <family val="2"/>
    </font>
    <font>
      <b/>
      <sz val="9"/>
      <color indexed="72"/>
      <name val="Arial"/>
      <family val="2"/>
    </font>
    <font>
      <sz val="9"/>
      <name val="Arial"/>
      <family val="2"/>
    </font>
    <font>
      <sz val="9"/>
      <color indexed="8"/>
      <name val="Arial"/>
      <family val="2"/>
    </font>
    <font>
      <sz val="9"/>
      <color indexed="72"/>
      <name val="Arial"/>
      <family val="2"/>
    </font>
    <font>
      <b/>
      <sz val="9"/>
      <name val="Arial"/>
      <family val="2"/>
    </font>
    <font>
      <b/>
      <sz val="9"/>
      <color indexed="9"/>
      <name val="Arial"/>
      <family val="2"/>
    </font>
    <font>
      <sz val="9"/>
      <color theme="1"/>
      <name val="Arial"/>
      <family val="2"/>
    </font>
    <font>
      <b/>
      <sz val="11"/>
      <color theme="1"/>
      <name val="Arial"/>
      <family val="2"/>
    </font>
    <font>
      <sz val="10"/>
      <name val="Arial"/>
      <family val="2"/>
    </font>
    <font>
      <sz val="11"/>
      <color rgb="FF000000"/>
      <name val="Arial"/>
      <family val="2"/>
    </font>
  </fonts>
  <fills count="2">
    <fill>
      <patternFill patternType="none"/>
    </fill>
    <fill>
      <patternFill patternType="gray125"/>
    </fill>
  </fills>
  <borders count="43">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6">
    <xf numFmtId="0" fontId="0" fillId="0" borderId="0"/>
    <xf numFmtId="0" fontId="1" fillId="0" borderId="0"/>
    <xf numFmtId="0" fontId="1" fillId="0" borderId="0"/>
    <xf numFmtId="0" fontId="1" fillId="0" borderId="0"/>
    <xf numFmtId="0" fontId="1" fillId="0" borderId="0"/>
    <xf numFmtId="0" fontId="18" fillId="0" borderId="0" applyNumberFormat="0" applyFont="0" applyFill="0" applyBorder="0" applyAlignment="0" applyProtection="0"/>
  </cellStyleXfs>
  <cellXfs count="117">
    <xf numFmtId="0" fontId="0" fillId="0" borderId="0" xfId="0"/>
    <xf numFmtId="0" fontId="2" fillId="0" borderId="0" xfId="0" applyFont="1"/>
    <xf numFmtId="0" fontId="3" fillId="0" borderId="0" xfId="0" applyFont="1"/>
    <xf numFmtId="0" fontId="4" fillId="0" borderId="0" xfId="0" applyFont="1" applyAlignment="1">
      <alignment horizontal="left" vertical="top" wrapText="1"/>
    </xf>
    <xf numFmtId="0" fontId="3" fillId="0" borderId="0" xfId="0" applyFont="1" applyAlignment="1" applyProtection="1">
      <alignment wrapText="1"/>
      <protection locked="0"/>
    </xf>
    <xf numFmtId="0" fontId="6" fillId="0" borderId="0" xfId="0" applyFont="1" applyAlignment="1">
      <alignment horizontal="left" vertical="top"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7" fillId="0" borderId="0" xfId="0" applyFont="1" applyAlignment="1">
      <alignment horizontal="left" vertical="top" wrapText="1"/>
    </xf>
    <xf numFmtId="0" fontId="6" fillId="0" borderId="5" xfId="0" applyFont="1" applyBorder="1" applyAlignment="1">
      <alignment horizontal="left" vertical="top" wrapText="1"/>
    </xf>
    <xf numFmtId="3" fontId="6" fillId="0" borderId="7" xfId="0" applyNumberFormat="1" applyFont="1" applyBorder="1" applyAlignment="1">
      <alignment horizontal="right" vertical="top" wrapText="1"/>
    </xf>
    <xf numFmtId="164" fontId="6" fillId="0" borderId="7" xfId="0" applyNumberFormat="1" applyFont="1" applyBorder="1" applyAlignment="1">
      <alignment horizontal="right" vertical="top" wrapText="1"/>
    </xf>
    <xf numFmtId="165" fontId="6" fillId="0" borderId="7" xfId="0" applyNumberFormat="1" applyFont="1" applyBorder="1" applyAlignment="1">
      <alignment horizontal="right" vertical="top" wrapText="1"/>
    </xf>
    <xf numFmtId="165" fontId="6" fillId="0" borderId="8" xfId="0" applyNumberFormat="1" applyFont="1" applyBorder="1" applyAlignment="1">
      <alignment horizontal="righ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164" fontId="5" fillId="0" borderId="9" xfId="0" applyNumberFormat="1" applyFont="1" applyBorder="1" applyAlignment="1">
      <alignment horizontal="right" vertical="top" wrapText="1"/>
    </xf>
    <xf numFmtId="165" fontId="5" fillId="0" borderId="9" xfId="0" applyNumberFormat="1" applyFont="1" applyBorder="1" applyAlignment="1">
      <alignment horizontal="right" vertical="top" wrapText="1"/>
    </xf>
    <xf numFmtId="0" fontId="5" fillId="0" borderId="11" xfId="0" applyFont="1" applyBorder="1" applyAlignment="1">
      <alignment horizontal="right" vertical="top" wrapText="1"/>
    </xf>
    <xf numFmtId="0" fontId="6" fillId="0" borderId="9" xfId="0" applyFont="1" applyBorder="1" applyAlignment="1">
      <alignment horizontal="left" vertical="top" wrapText="1"/>
    </xf>
    <xf numFmtId="0" fontId="5" fillId="0" borderId="9" xfId="0" applyFont="1" applyBorder="1" applyAlignment="1">
      <alignment horizontal="right" vertical="top" wrapText="1"/>
    </xf>
    <xf numFmtId="0" fontId="6" fillId="0" borderId="10" xfId="0" applyFont="1" applyBorder="1" applyAlignment="1">
      <alignment horizontal="left" vertical="top" wrapText="1"/>
    </xf>
    <xf numFmtId="0" fontId="6" fillId="0" borderId="12" xfId="0" applyFont="1" applyBorder="1" applyAlignment="1">
      <alignment horizontal="left" vertical="top" wrapText="1"/>
    </xf>
    <xf numFmtId="164" fontId="5" fillId="0" borderId="12" xfId="0" applyNumberFormat="1" applyFont="1" applyBorder="1" applyAlignment="1">
      <alignment horizontal="right" vertical="top" wrapText="1"/>
    </xf>
    <xf numFmtId="165" fontId="8" fillId="0" borderId="12" xfId="0" applyNumberFormat="1" applyFont="1" applyBorder="1" applyAlignment="1">
      <alignment horizontal="right" vertical="top" wrapText="1"/>
    </xf>
    <xf numFmtId="0" fontId="8" fillId="0" borderId="13" xfId="0" applyFont="1" applyBorder="1" applyAlignment="1">
      <alignment horizontal="right" vertical="top" wrapText="1"/>
    </xf>
    <xf numFmtId="0" fontId="8" fillId="0" borderId="9" xfId="0" applyFont="1" applyBorder="1" applyAlignment="1">
      <alignment horizontal="left" vertical="top" wrapText="1"/>
    </xf>
    <xf numFmtId="0" fontId="6" fillId="0" borderId="7" xfId="0" applyFont="1" applyBorder="1" applyAlignment="1">
      <alignment horizontal="right" vertical="top" wrapText="1"/>
    </xf>
    <xf numFmtId="166" fontId="6" fillId="0" borderId="7" xfId="0" applyNumberFormat="1" applyFont="1" applyBorder="1" applyAlignment="1">
      <alignment horizontal="right" vertical="top" wrapText="1"/>
    </xf>
    <xf numFmtId="0" fontId="9" fillId="0" borderId="10" xfId="0" applyFont="1" applyBorder="1" applyAlignment="1">
      <alignment horizontal="left" vertical="top" wrapText="1"/>
    </xf>
    <xf numFmtId="0" fontId="9" fillId="0" borderId="9" xfId="0" applyFont="1" applyBorder="1" applyAlignment="1">
      <alignment horizontal="left" vertical="top" wrapText="1"/>
    </xf>
    <xf numFmtId="0" fontId="9" fillId="0" borderId="11" xfId="0" applyFont="1" applyBorder="1" applyAlignment="1">
      <alignment horizontal="left" vertical="top" wrapText="1"/>
    </xf>
    <xf numFmtId="165" fontId="6" fillId="0" borderId="9" xfId="0" applyNumberFormat="1" applyFont="1" applyBorder="1" applyAlignment="1">
      <alignment horizontal="right" vertical="top" wrapText="1"/>
    </xf>
    <xf numFmtId="0" fontId="5" fillId="0" borderId="14" xfId="0" applyFont="1" applyBorder="1" applyAlignment="1">
      <alignment horizontal="left" vertical="top" wrapText="1"/>
    </xf>
    <xf numFmtId="0" fontId="6" fillId="0" borderId="15" xfId="0" applyFont="1" applyBorder="1" applyAlignment="1">
      <alignment horizontal="left" vertical="top" wrapText="1"/>
    </xf>
    <xf numFmtId="0" fontId="6" fillId="0" borderId="16" xfId="0" applyFont="1" applyBorder="1" applyAlignment="1">
      <alignment horizontal="left" vertical="top" wrapText="1"/>
    </xf>
    <xf numFmtId="164" fontId="5" fillId="0" borderId="17" xfId="0" applyNumberFormat="1" applyFont="1" applyBorder="1" applyAlignment="1">
      <alignment horizontal="right" vertical="top" wrapText="1"/>
    </xf>
    <xf numFmtId="165" fontId="5" fillId="0" borderId="18" xfId="0" applyNumberFormat="1" applyFont="1" applyBorder="1" applyAlignment="1">
      <alignment horizontal="right" vertical="top" wrapText="1"/>
    </xf>
    <xf numFmtId="0" fontId="9" fillId="0" borderId="19" xfId="0" applyFont="1" applyBorder="1" applyAlignment="1">
      <alignment horizontal="left" vertical="top" wrapText="1"/>
    </xf>
    <xf numFmtId="0" fontId="5" fillId="0" borderId="0" xfId="0" applyFont="1" applyAlignment="1">
      <alignment horizontal="left" vertical="top" wrapText="1"/>
    </xf>
    <xf numFmtId="0" fontId="10" fillId="0" borderId="20" xfId="1" applyFont="1" applyBorder="1"/>
    <xf numFmtId="0" fontId="11" fillId="0" borderId="21" xfId="1" applyFont="1" applyBorder="1"/>
    <xf numFmtId="167" fontId="12" fillId="0" borderId="21" xfId="1" applyNumberFormat="1" applyFont="1" applyBorder="1"/>
    <xf numFmtId="167" fontId="12" fillId="0" borderId="22" xfId="1" applyNumberFormat="1" applyFont="1" applyBorder="1"/>
    <xf numFmtId="0" fontId="13" fillId="0" borderId="23" xfId="1" applyFont="1" applyBorder="1"/>
    <xf numFmtId="0" fontId="11" fillId="0" borderId="0" xfId="1" applyFont="1"/>
    <xf numFmtId="167" fontId="11" fillId="0" borderId="24" xfId="1" applyNumberFormat="1" applyFont="1" applyBorder="1"/>
    <xf numFmtId="15" fontId="11" fillId="0" borderId="23" xfId="1" applyNumberFormat="1" applyFont="1" applyBorder="1"/>
    <xf numFmtId="167" fontId="12" fillId="0" borderId="0" xfId="1" applyNumberFormat="1" applyFont="1"/>
    <xf numFmtId="0" fontId="11" fillId="0" borderId="23" xfId="1" applyFont="1" applyBorder="1"/>
    <xf numFmtId="0" fontId="14" fillId="0" borderId="20" xfId="1" applyFont="1" applyBorder="1"/>
    <xf numFmtId="0" fontId="14" fillId="0" borderId="21" xfId="1" applyFont="1" applyBorder="1"/>
    <xf numFmtId="168" fontId="15" fillId="0" borderId="21" xfId="1" applyNumberFormat="1" applyFont="1" applyBorder="1"/>
    <xf numFmtId="10" fontId="15" fillId="0" borderId="22" xfId="1" applyNumberFormat="1" applyFont="1" applyBorder="1"/>
    <xf numFmtId="0" fontId="14" fillId="0" borderId="25" xfId="1" applyFont="1" applyBorder="1"/>
    <xf numFmtId="15" fontId="14" fillId="0" borderId="26" xfId="1" applyNumberFormat="1" applyFont="1" applyBorder="1"/>
    <xf numFmtId="168" fontId="11" fillId="0" borderId="27" xfId="1" applyNumberFormat="1" applyFont="1" applyBorder="1"/>
    <xf numFmtId="0" fontId="14" fillId="0" borderId="23" xfId="1" applyFont="1" applyBorder="1"/>
    <xf numFmtId="169" fontId="11" fillId="0" borderId="0" xfId="1" applyNumberFormat="1" applyFont="1"/>
    <xf numFmtId="0" fontId="3" fillId="0" borderId="0" xfId="1" applyFont="1"/>
    <xf numFmtId="167" fontId="12" fillId="0" borderId="24" xfId="1" applyNumberFormat="1" applyFont="1" applyBorder="1"/>
    <xf numFmtId="169" fontId="11" fillId="0" borderId="0" xfId="2" applyNumberFormat="1" applyFont="1"/>
    <xf numFmtId="170" fontId="12" fillId="0" borderId="0" xfId="1" applyNumberFormat="1" applyFont="1"/>
    <xf numFmtId="168" fontId="11" fillId="0" borderId="0" xfId="1" applyNumberFormat="1" applyFont="1"/>
    <xf numFmtId="0" fontId="14" fillId="0" borderId="28" xfId="1" applyFont="1" applyBorder="1" applyAlignment="1" applyProtection="1">
      <alignment wrapText="1"/>
      <protection locked="0"/>
    </xf>
    <xf numFmtId="15" fontId="14" fillId="0" borderId="29" xfId="1" applyNumberFormat="1" applyFont="1" applyBorder="1" applyAlignment="1" applyProtection="1">
      <alignment wrapText="1"/>
      <protection locked="0"/>
    </xf>
    <xf numFmtId="169" fontId="14" fillId="0" borderId="29" xfId="1" applyNumberFormat="1" applyFont="1" applyBorder="1" applyAlignment="1" applyProtection="1">
      <alignment wrapText="1"/>
      <protection locked="0"/>
    </xf>
    <xf numFmtId="169" fontId="14" fillId="0" borderId="30" xfId="1" applyNumberFormat="1" applyFont="1" applyBorder="1" applyAlignment="1" applyProtection="1">
      <alignment wrapText="1"/>
      <protection locked="0"/>
    </xf>
    <xf numFmtId="0" fontId="14" fillId="0" borderId="23" xfId="1" applyFont="1" applyBorder="1" applyProtection="1">
      <protection locked="0"/>
    </xf>
    <xf numFmtId="15" fontId="14" fillId="0" borderId="0" xfId="1" applyNumberFormat="1" applyFont="1" applyProtection="1">
      <protection locked="0"/>
    </xf>
    <xf numFmtId="169" fontId="14" fillId="0" borderId="0" xfId="1" applyNumberFormat="1" applyFont="1" applyProtection="1">
      <protection locked="0"/>
    </xf>
    <xf numFmtId="169" fontId="14" fillId="0" borderId="24" xfId="1" applyNumberFormat="1" applyFont="1" applyBorder="1" applyProtection="1">
      <protection locked="0"/>
    </xf>
    <xf numFmtId="0" fontId="11" fillId="0" borderId="23" xfId="3" applyFont="1" applyBorder="1"/>
    <xf numFmtId="15" fontId="11" fillId="0" borderId="0" xfId="1" applyNumberFormat="1" applyFont="1" applyProtection="1">
      <protection locked="0"/>
    </xf>
    <xf numFmtId="169" fontId="11" fillId="0" borderId="0" xfId="1" applyNumberFormat="1" applyFont="1" applyProtection="1">
      <protection locked="0"/>
    </xf>
    <xf numFmtId="169" fontId="11" fillId="0" borderId="24" xfId="1" applyNumberFormat="1" applyFont="1" applyBorder="1" applyProtection="1">
      <protection locked="0"/>
    </xf>
    <xf numFmtId="169" fontId="11" fillId="0" borderId="0" xfId="4" applyNumberFormat="1" applyFont="1" applyProtection="1">
      <protection locked="0"/>
    </xf>
    <xf numFmtId="0" fontId="11" fillId="0" borderId="23" xfId="1" applyFont="1" applyBorder="1" applyProtection="1">
      <protection locked="0"/>
    </xf>
    <xf numFmtId="168" fontId="11" fillId="0" borderId="24" xfId="1" applyNumberFormat="1" applyFont="1" applyBorder="1"/>
    <xf numFmtId="171" fontId="16" fillId="0" borderId="0" xfId="1" applyNumberFormat="1" applyFont="1"/>
    <xf numFmtId="0" fontId="11" fillId="0" borderId="23" xfId="4" applyFont="1" applyBorder="1"/>
    <xf numFmtId="0" fontId="11" fillId="0" borderId="25" xfId="1" applyFont="1" applyBorder="1"/>
    <xf numFmtId="0" fontId="11" fillId="0" borderId="26" xfId="1" applyFont="1" applyBorder="1"/>
    <xf numFmtId="167" fontId="11" fillId="0" borderId="27" xfId="1" applyNumberFormat="1" applyFont="1" applyBorder="1"/>
    <xf numFmtId="0" fontId="17" fillId="0" borderId="0" xfId="0" applyFont="1"/>
    <xf numFmtId="0" fontId="17" fillId="0" borderId="0" xfId="0" applyFont="1" applyAlignment="1">
      <alignment horizontal="left" vertical="top" wrapText="1"/>
    </xf>
    <xf numFmtId="0" fontId="5" fillId="0" borderId="38" xfId="0" applyFont="1" applyBorder="1" applyAlignment="1">
      <alignment vertical="center" wrapText="1"/>
    </xf>
    <xf numFmtId="0" fontId="5" fillId="0" borderId="39" xfId="0" applyFont="1" applyBorder="1" applyAlignment="1">
      <alignment vertical="center" wrapText="1"/>
    </xf>
    <xf numFmtId="0" fontId="5" fillId="0" borderId="40" xfId="0" applyFont="1" applyBorder="1" applyAlignment="1">
      <alignment vertical="center" wrapText="1"/>
    </xf>
    <xf numFmtId="0" fontId="6" fillId="0" borderId="41" xfId="5" applyFont="1" applyFill="1" applyBorder="1" applyAlignment="1">
      <alignment vertical="center"/>
    </xf>
    <xf numFmtId="0" fontId="6" fillId="0" borderId="34" xfId="5" applyFont="1" applyFill="1" applyBorder="1" applyAlignment="1">
      <alignment vertical="center"/>
    </xf>
    <xf numFmtId="0" fontId="6" fillId="0" borderId="42" xfId="5" applyFont="1" applyFill="1" applyBorder="1" applyAlignment="1">
      <alignment vertical="center"/>
    </xf>
    <xf numFmtId="0" fontId="19" fillId="0" borderId="31" xfId="5" applyFont="1" applyFill="1" applyBorder="1" applyAlignment="1">
      <alignment vertical="center"/>
    </xf>
    <xf numFmtId="0" fontId="19" fillId="0" borderId="32" xfId="5" applyFont="1" applyFill="1" applyBorder="1" applyAlignment="1">
      <alignment vertical="center"/>
    </xf>
    <xf numFmtId="0" fontId="19" fillId="0" borderId="32" xfId="5" applyFont="1" applyFill="1" applyBorder="1" applyAlignment="1">
      <alignment horizontal="right" vertical="center"/>
    </xf>
    <xf numFmtId="14" fontId="19" fillId="0" borderId="32" xfId="5" applyNumberFormat="1" applyFont="1" applyFill="1" applyBorder="1" applyAlignment="1">
      <alignment horizontal="right" vertical="center"/>
    </xf>
    <xf numFmtId="0" fontId="19" fillId="0" borderId="33" xfId="5" applyFont="1" applyFill="1" applyBorder="1" applyAlignment="1">
      <alignment vertical="center"/>
    </xf>
    <xf numFmtId="4" fontId="19" fillId="0" borderId="32" xfId="5" applyNumberFormat="1" applyFont="1" applyFill="1" applyBorder="1" applyAlignment="1">
      <alignment horizontal="right" vertical="center"/>
    </xf>
    <xf numFmtId="0" fontId="19" fillId="0" borderId="35" xfId="5" applyFont="1" applyFill="1" applyBorder="1" applyAlignment="1">
      <alignment vertical="center"/>
    </xf>
    <xf numFmtId="0" fontId="19" fillId="0" borderId="36" xfId="5" applyFont="1" applyFill="1" applyBorder="1" applyAlignment="1">
      <alignment vertical="center"/>
    </xf>
    <xf numFmtId="4" fontId="19" fillId="0" borderId="36" xfId="5" applyNumberFormat="1" applyFont="1" applyFill="1" applyBorder="1" applyAlignment="1">
      <alignment horizontal="right" vertical="center"/>
    </xf>
    <xf numFmtId="14" fontId="19" fillId="0" borderId="36" xfId="5" applyNumberFormat="1" applyFont="1" applyFill="1" applyBorder="1" applyAlignment="1">
      <alignment horizontal="right" vertical="center"/>
    </xf>
    <xf numFmtId="0" fontId="19" fillId="0" borderId="37" xfId="5" applyFont="1" applyFill="1" applyBorder="1" applyAlignment="1">
      <alignment vertical="center"/>
    </xf>
    <xf numFmtId="0" fontId="5" fillId="0" borderId="0" xfId="0" applyFont="1" applyAlignment="1">
      <alignment horizontal="center" vertical="top" wrapText="1"/>
    </xf>
    <xf numFmtId="0" fontId="17" fillId="0" borderId="0" xfId="0" applyFont="1" applyAlignment="1">
      <alignment horizontal="left" vertical="top" wrapText="1"/>
    </xf>
    <xf numFmtId="0" fontId="19" fillId="0" borderId="32" xfId="5" applyFont="1" applyFill="1" applyBorder="1" applyAlignment="1">
      <alignment horizontal="center" vertical="center"/>
    </xf>
    <xf numFmtId="0" fontId="19" fillId="0" borderId="32" xfId="5" applyFont="1" applyFill="1" applyBorder="1" applyAlignment="1">
      <alignment horizontal="center" vertical="center" wrapText="1"/>
    </xf>
    <xf numFmtId="0" fontId="19" fillId="0" borderId="36" xfId="5" applyFont="1" applyFill="1" applyBorder="1" applyAlignment="1">
      <alignment horizontal="center" vertical="center" wrapText="1"/>
    </xf>
    <xf numFmtId="0" fontId="5" fillId="0" borderId="39" xfId="0" applyFont="1" applyBorder="1" applyAlignment="1">
      <alignment horizontal="center" vertical="center" wrapText="1"/>
    </xf>
    <xf numFmtId="0" fontId="6" fillId="0" borderId="34" xfId="5" applyFont="1" applyFill="1" applyBorder="1" applyAlignment="1">
      <alignment horizontal="center" vertical="center"/>
    </xf>
  </cellXfs>
  <cellStyles count="6">
    <cellStyle name="Normal" xfId="0" builtinId="0"/>
    <cellStyle name="Normal 2" xfId="5" xr:uid="{5C8543B3-2BE4-4DD3-A9F3-803016775795}"/>
    <cellStyle name="Normal 3 2 2" xfId="2" xr:uid="{611B80D2-D4EF-4E93-B28A-3F9FEE9D42A5}"/>
    <cellStyle name="Normal 3 2 3" xfId="1" xr:uid="{28EC6485-905F-4A03-B886-571AF6EFCA61}"/>
    <cellStyle name="Normal 6" xfId="4" xr:uid="{326348FF-8F88-4349-A83F-E4CD5C838A3D}"/>
    <cellStyle name="Normal 7" xfId="3" xr:uid="{E0DB7C85-B625-461B-AD34-CC3C7C03CE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dbg.ads.db.com\IND-DISPL-G\RestrictedEXTN3\IDFCMF\New%20folder\FUNDADM\IDFC\Daily%20Reports\Mails%20for%20the%20Day\RiskoMeter\Moderate.png" TargetMode="External"/><Relationship Id="rId1" Type="http://schemas.openxmlformats.org/officeDocument/2006/relationships/image" Target="../media/image1.jpeg"/><Relationship Id="rId4" Type="http://schemas.openxmlformats.org/officeDocument/2006/relationships/image" Target="file:///\\dbg.ads.db.com\IND-DISPL-G\RestrictedEXTN3\IDFCMF\New%20folder\FUNDADM\IDFC\Daily%20Reports\Mails%20for%20the%20Day\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201</xdr:row>
      <xdr:rowOff>182879</xdr:rowOff>
    </xdr:from>
    <xdr:to>
      <xdr:col>1</xdr:col>
      <xdr:colOff>2857500</xdr:colOff>
      <xdr:row>212</xdr:row>
      <xdr:rowOff>152399</xdr:rowOff>
    </xdr:to>
    <xdr:pic>
      <xdr:nvPicPr>
        <xdr:cNvPr id="2" name="Picture 1">
          <a:extLst>
            <a:ext uri="{FF2B5EF4-FFF2-40B4-BE49-F238E27FC236}">
              <a16:creationId xmlns:a16="http://schemas.microsoft.com/office/drawing/2014/main" id="{7231F34D-BCDD-4C97-88E1-6D56A82A564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8600" y="37696139"/>
          <a:ext cx="2857500" cy="1905000"/>
        </a:xfrm>
        <a:prstGeom prst="rect">
          <a:avLst/>
        </a:prstGeom>
      </xdr:spPr>
    </xdr:pic>
    <xdr:clientData/>
  </xdr:twoCellAnchor>
  <xdr:twoCellAnchor editAs="oneCell">
    <xdr:from>
      <xdr:col>5</xdr:col>
      <xdr:colOff>0</xdr:colOff>
      <xdr:row>201</xdr:row>
      <xdr:rowOff>182879</xdr:rowOff>
    </xdr:from>
    <xdr:to>
      <xdr:col>7</xdr:col>
      <xdr:colOff>571500</xdr:colOff>
      <xdr:row>212</xdr:row>
      <xdr:rowOff>152399</xdr:rowOff>
    </xdr:to>
    <xdr:pic>
      <xdr:nvPicPr>
        <xdr:cNvPr id="3" name="Picture 2">
          <a:extLst>
            <a:ext uri="{FF2B5EF4-FFF2-40B4-BE49-F238E27FC236}">
              <a16:creationId xmlns:a16="http://schemas.microsoft.com/office/drawing/2014/main" id="{86D949C5-02BB-455F-AC7A-A34407FF674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503920" y="37696139"/>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B01D1-F6F5-4D09-84A5-781BA498B137}">
  <sheetPr codeName="Sheet36">
    <outlinePr summaryBelow="0"/>
  </sheetPr>
  <dimension ref="A1:H201"/>
  <sheetViews>
    <sheetView tabSelected="1" workbookViewId="0"/>
  </sheetViews>
  <sheetFormatPr defaultColWidth="8.875" defaultRowHeight="14.25"/>
  <cols>
    <col min="1" max="1" width="3.375" style="2" customWidth="1"/>
    <col min="2" max="2" width="58.875" style="2" customWidth="1"/>
    <col min="3" max="3" width="16.625" style="2" customWidth="1"/>
    <col min="4" max="4" width="28.5" style="2" customWidth="1"/>
    <col min="5" max="8" width="16.625" style="2" customWidth="1"/>
    <col min="9" max="16384" width="8.875" style="2"/>
  </cols>
  <sheetData>
    <row r="1" spans="1:8">
      <c r="A1" s="1" t="s">
        <v>0</v>
      </c>
    </row>
    <row r="2" spans="1:8" ht="15.95" customHeight="1">
      <c r="A2" s="3" t="s">
        <v>1</v>
      </c>
      <c r="B2" s="110" t="s">
        <v>2</v>
      </c>
      <c r="C2" s="110"/>
      <c r="D2" s="110"/>
      <c r="E2" s="110"/>
      <c r="F2" s="110"/>
      <c r="G2" s="110"/>
      <c r="H2" s="4"/>
    </row>
    <row r="3" spans="1:8" ht="12.95" customHeight="1">
      <c r="A3" s="4"/>
      <c r="B3" s="110" t="s">
        <v>3</v>
      </c>
      <c r="C3" s="110"/>
      <c r="D3" s="110"/>
      <c r="E3" s="110"/>
      <c r="F3" s="110"/>
      <c r="G3" s="110"/>
      <c r="H3" s="4"/>
    </row>
    <row r="4" spans="1:8" ht="12.95" customHeight="1" thickBot="1">
      <c r="A4" s="5"/>
      <c r="B4" s="4"/>
      <c r="C4" s="4"/>
      <c r="D4" s="4"/>
      <c r="E4" s="4"/>
      <c r="F4" s="4"/>
      <c r="G4" s="4"/>
      <c r="H4" s="4"/>
    </row>
    <row r="5" spans="1:8" ht="27.95" customHeight="1">
      <c r="A5" s="4"/>
      <c r="B5" s="6" t="s">
        <v>4</v>
      </c>
      <c r="C5" s="7" t="s">
        <v>5</v>
      </c>
      <c r="D5" s="8" t="s">
        <v>6</v>
      </c>
      <c r="E5" s="9" t="s">
        <v>7</v>
      </c>
      <c r="F5" s="9" t="s">
        <v>8</v>
      </c>
      <c r="G5" s="9" t="s">
        <v>9</v>
      </c>
      <c r="H5" s="10" t="s">
        <v>10</v>
      </c>
    </row>
    <row r="6" spans="1:8" ht="12.95" customHeight="1">
      <c r="A6" s="4"/>
      <c r="B6" s="11" t="s">
        <v>11</v>
      </c>
      <c r="C6" s="12"/>
      <c r="D6" s="13"/>
      <c r="E6" s="13"/>
      <c r="F6" s="13"/>
      <c r="G6" s="13"/>
      <c r="H6" s="14"/>
    </row>
    <row r="7" spans="1:8" ht="12.95" customHeight="1">
      <c r="A7" s="4"/>
      <c r="B7" s="11" t="s">
        <v>12</v>
      </c>
      <c r="C7" s="12"/>
      <c r="D7" s="13"/>
      <c r="E7" s="13"/>
      <c r="F7" s="13"/>
      <c r="G7" s="13"/>
      <c r="H7" s="14"/>
    </row>
    <row r="8" spans="1:8" ht="12.95" customHeight="1">
      <c r="A8" s="4"/>
      <c r="B8" s="11" t="s">
        <v>13</v>
      </c>
      <c r="C8" s="12"/>
      <c r="D8" s="13"/>
      <c r="E8" s="13"/>
      <c r="F8" s="13"/>
      <c r="G8" s="13"/>
      <c r="H8" s="14"/>
    </row>
    <row r="9" spans="1:8" ht="12.95" customHeight="1">
      <c r="A9" s="15" t="s">
        <v>14</v>
      </c>
      <c r="B9" s="16" t="s">
        <v>15</v>
      </c>
      <c r="C9" s="12" t="s">
        <v>16</v>
      </c>
      <c r="D9" s="13" t="s">
        <v>17</v>
      </c>
      <c r="E9" s="17">
        <v>4000000</v>
      </c>
      <c r="F9" s="18">
        <v>4145.47</v>
      </c>
      <c r="G9" s="19">
        <v>0.1613</v>
      </c>
      <c r="H9" s="20">
        <v>6.7146999999999998E-2</v>
      </c>
    </row>
    <row r="10" spans="1:8" ht="12.95" customHeight="1">
      <c r="A10" s="15" t="s">
        <v>18</v>
      </c>
      <c r="B10" s="16" t="s">
        <v>19</v>
      </c>
      <c r="C10" s="12" t="s">
        <v>20</v>
      </c>
      <c r="D10" s="13" t="s">
        <v>17</v>
      </c>
      <c r="E10" s="17">
        <v>3500000</v>
      </c>
      <c r="F10" s="18">
        <v>3633.99</v>
      </c>
      <c r="G10" s="19">
        <v>0.1414</v>
      </c>
      <c r="H10" s="20">
        <v>6.5987999999999991E-2</v>
      </c>
    </row>
    <row r="11" spans="1:8" ht="12.95" customHeight="1">
      <c r="A11" s="15" t="s">
        <v>21</v>
      </c>
      <c r="B11" s="16" t="s">
        <v>22</v>
      </c>
      <c r="C11" s="12" t="s">
        <v>23</v>
      </c>
      <c r="D11" s="13" t="s">
        <v>17</v>
      </c>
      <c r="E11" s="17">
        <v>1500000</v>
      </c>
      <c r="F11" s="18">
        <v>1548.91</v>
      </c>
      <c r="G11" s="19">
        <v>6.0299999999999999E-2</v>
      </c>
      <c r="H11" s="20">
        <v>6.7233000000000001E-2</v>
      </c>
    </row>
    <row r="12" spans="1:8" ht="12.95" customHeight="1">
      <c r="A12" s="15" t="s">
        <v>24</v>
      </c>
      <c r="B12" s="16" t="s">
        <v>25</v>
      </c>
      <c r="C12" s="12" t="s">
        <v>26</v>
      </c>
      <c r="D12" s="13" t="s">
        <v>17</v>
      </c>
      <c r="E12" s="17">
        <v>500000</v>
      </c>
      <c r="F12" s="18">
        <v>514.44000000000005</v>
      </c>
      <c r="G12" s="19">
        <v>0.02</v>
      </c>
      <c r="H12" s="20">
        <v>6.5937999999999997E-2</v>
      </c>
    </row>
    <row r="13" spans="1:8" ht="12.95" customHeight="1">
      <c r="A13" s="4"/>
      <c r="B13" s="11" t="s">
        <v>27</v>
      </c>
      <c r="C13" s="12"/>
      <c r="D13" s="13"/>
      <c r="E13" s="13"/>
      <c r="F13" s="13"/>
      <c r="G13" s="13"/>
      <c r="H13" s="14"/>
    </row>
    <row r="14" spans="1:8" ht="12.95" customHeight="1">
      <c r="A14" s="15" t="s">
        <v>28</v>
      </c>
      <c r="B14" s="16" t="s">
        <v>29</v>
      </c>
      <c r="C14" s="12" t="s">
        <v>30</v>
      </c>
      <c r="D14" s="13" t="s">
        <v>31</v>
      </c>
      <c r="E14" s="17">
        <v>1500000</v>
      </c>
      <c r="F14" s="18">
        <v>1513.48</v>
      </c>
      <c r="G14" s="19">
        <v>5.8900000000000001E-2</v>
      </c>
      <c r="H14" s="20">
        <v>7.8350000000000003E-2</v>
      </c>
    </row>
    <row r="15" spans="1:8" ht="12.95" customHeight="1">
      <c r="A15" s="15" t="s">
        <v>32</v>
      </c>
      <c r="B15" s="16" t="s">
        <v>33</v>
      </c>
      <c r="C15" s="12" t="s">
        <v>34</v>
      </c>
      <c r="D15" s="13" t="s">
        <v>35</v>
      </c>
      <c r="E15" s="17">
        <v>1500000</v>
      </c>
      <c r="F15" s="18">
        <v>1512</v>
      </c>
      <c r="G15" s="19">
        <v>5.8799999999999998E-2</v>
      </c>
      <c r="H15" s="20">
        <v>7.9850000000000004E-2</v>
      </c>
    </row>
    <row r="16" spans="1:8" ht="12.95" customHeight="1">
      <c r="A16" s="15" t="s">
        <v>36</v>
      </c>
      <c r="B16" s="16" t="s">
        <v>37</v>
      </c>
      <c r="C16" s="12" t="s">
        <v>38</v>
      </c>
      <c r="D16" s="13" t="s">
        <v>39</v>
      </c>
      <c r="E16" s="17">
        <v>1500000</v>
      </c>
      <c r="F16" s="18">
        <v>1510.29</v>
      </c>
      <c r="G16" s="19">
        <v>5.8799999999999998E-2</v>
      </c>
      <c r="H16" s="20">
        <v>7.9895999999999995E-2</v>
      </c>
    </row>
    <row r="17" spans="1:8" ht="12.95" customHeight="1">
      <c r="A17" s="15" t="s">
        <v>40</v>
      </c>
      <c r="B17" s="16" t="s">
        <v>41</v>
      </c>
      <c r="C17" s="12" t="s">
        <v>42</v>
      </c>
      <c r="D17" s="13" t="s">
        <v>39</v>
      </c>
      <c r="E17" s="17">
        <v>1500000</v>
      </c>
      <c r="F17" s="18">
        <v>1504.88</v>
      </c>
      <c r="G17" s="19">
        <v>5.8500000000000003E-2</v>
      </c>
      <c r="H17" s="20">
        <v>8.5500999999999994E-2</v>
      </c>
    </row>
    <row r="18" spans="1:8" ht="12.95" customHeight="1">
      <c r="A18" s="15" t="s">
        <v>43</v>
      </c>
      <c r="B18" s="16" t="s">
        <v>44</v>
      </c>
      <c r="C18" s="12" t="s">
        <v>45</v>
      </c>
      <c r="D18" s="13" t="s">
        <v>35</v>
      </c>
      <c r="E18" s="17">
        <v>1000000</v>
      </c>
      <c r="F18" s="18">
        <v>1009.08</v>
      </c>
      <c r="G18" s="19">
        <v>3.9300000000000002E-2</v>
      </c>
      <c r="H18" s="20">
        <v>8.3699999999999997E-2</v>
      </c>
    </row>
    <row r="19" spans="1:8" ht="12.95" customHeight="1">
      <c r="A19" s="15" t="s">
        <v>46</v>
      </c>
      <c r="B19" s="16" t="s">
        <v>47</v>
      </c>
      <c r="C19" s="12" t="s">
        <v>48</v>
      </c>
      <c r="D19" s="13" t="s">
        <v>49</v>
      </c>
      <c r="E19" s="17">
        <v>1000000</v>
      </c>
      <c r="F19" s="18">
        <v>1007.36</v>
      </c>
      <c r="G19" s="19">
        <v>3.9199999999999999E-2</v>
      </c>
      <c r="H19" s="20">
        <v>7.8750000000000001E-2</v>
      </c>
    </row>
    <row r="20" spans="1:8" ht="12.95" customHeight="1">
      <c r="A20" s="15" t="s">
        <v>50</v>
      </c>
      <c r="B20" s="16" t="s">
        <v>51</v>
      </c>
      <c r="C20" s="12" t="s">
        <v>52</v>
      </c>
      <c r="D20" s="13" t="s">
        <v>31</v>
      </c>
      <c r="E20" s="17">
        <v>1000000</v>
      </c>
      <c r="F20" s="18">
        <v>1002.84</v>
      </c>
      <c r="G20" s="19">
        <v>3.9E-2</v>
      </c>
      <c r="H20" s="20">
        <v>8.1900000000000001E-2</v>
      </c>
    </row>
    <row r="21" spans="1:8" ht="12.95" customHeight="1">
      <c r="A21" s="15" t="s">
        <v>53</v>
      </c>
      <c r="B21" s="16" t="s">
        <v>54</v>
      </c>
      <c r="C21" s="12" t="s">
        <v>55</v>
      </c>
      <c r="D21" s="13" t="s">
        <v>49</v>
      </c>
      <c r="E21" s="17">
        <v>1000000</v>
      </c>
      <c r="F21" s="18">
        <v>1001.46</v>
      </c>
      <c r="G21" s="19">
        <v>3.9E-2</v>
      </c>
      <c r="H21" s="20">
        <v>8.0750000000000002E-2</v>
      </c>
    </row>
    <row r="22" spans="1:8" ht="12.95" customHeight="1">
      <c r="A22" s="15" t="s">
        <v>56</v>
      </c>
      <c r="B22" s="16" t="s">
        <v>57</v>
      </c>
      <c r="C22" s="12" t="s">
        <v>58</v>
      </c>
      <c r="D22" s="13" t="s">
        <v>59</v>
      </c>
      <c r="E22" s="17">
        <v>1000000</v>
      </c>
      <c r="F22" s="18">
        <v>999.27</v>
      </c>
      <c r="G22" s="19">
        <v>3.8899999999999997E-2</v>
      </c>
      <c r="H22" s="20">
        <v>7.3999999999999996E-2</v>
      </c>
    </row>
    <row r="23" spans="1:8" ht="12.95" customHeight="1">
      <c r="A23" s="15" t="s">
        <v>60</v>
      </c>
      <c r="B23" s="16" t="s">
        <v>61</v>
      </c>
      <c r="C23" s="12" t="s">
        <v>62</v>
      </c>
      <c r="D23" s="13" t="s">
        <v>59</v>
      </c>
      <c r="E23" s="17">
        <v>1000000</v>
      </c>
      <c r="F23" s="18">
        <v>987.54</v>
      </c>
      <c r="G23" s="19">
        <v>3.8399999999999997E-2</v>
      </c>
      <c r="H23" s="20">
        <v>7.5850000000000001E-2</v>
      </c>
    </row>
    <row r="24" spans="1:8" ht="12.95" customHeight="1">
      <c r="A24" s="4"/>
      <c r="B24" s="21" t="s">
        <v>63</v>
      </c>
      <c r="C24" s="22"/>
      <c r="D24" s="21"/>
      <c r="E24" s="21"/>
      <c r="F24" s="23">
        <v>21891.01</v>
      </c>
      <c r="G24" s="24">
        <v>0.8518</v>
      </c>
      <c r="H24" s="25"/>
    </row>
    <row r="25" spans="1:8" ht="12.95" customHeight="1">
      <c r="A25" s="4"/>
      <c r="B25" s="11" t="s">
        <v>64</v>
      </c>
      <c r="C25" s="12"/>
      <c r="D25" s="26"/>
      <c r="E25" s="26"/>
      <c r="F25" s="27" t="s">
        <v>65</v>
      </c>
      <c r="G25" s="27" t="s">
        <v>65</v>
      </c>
      <c r="H25" s="25" t="s">
        <v>65</v>
      </c>
    </row>
    <row r="26" spans="1:8" ht="12.95" customHeight="1">
      <c r="A26" s="4"/>
      <c r="B26" s="22" t="s">
        <v>63</v>
      </c>
      <c r="C26" s="28"/>
      <c r="D26" s="26"/>
      <c r="E26" s="26"/>
      <c r="F26" s="27" t="s">
        <v>65</v>
      </c>
      <c r="G26" s="27" t="s">
        <v>65</v>
      </c>
      <c r="H26" s="25" t="s">
        <v>65</v>
      </c>
    </row>
    <row r="27" spans="1:8" ht="12.95" customHeight="1">
      <c r="A27" s="4"/>
      <c r="B27" s="21" t="s">
        <v>66</v>
      </c>
      <c r="C27" s="28"/>
      <c r="D27" s="26"/>
      <c r="E27" s="29"/>
      <c r="F27" s="30">
        <v>21891.01</v>
      </c>
      <c r="G27" s="31">
        <v>0.8518</v>
      </c>
      <c r="H27" s="32"/>
    </row>
    <row r="28" spans="1:8" ht="12.95" customHeight="1">
      <c r="A28" s="4"/>
      <c r="B28" s="11" t="s">
        <v>67</v>
      </c>
      <c r="C28" s="12"/>
      <c r="D28" s="13"/>
      <c r="E28" s="13"/>
      <c r="F28" s="13"/>
      <c r="G28" s="13"/>
      <c r="H28" s="14"/>
    </row>
    <row r="29" spans="1:8" ht="12.95" customHeight="1">
      <c r="A29" s="4"/>
      <c r="B29" s="11" t="s">
        <v>68</v>
      </c>
      <c r="C29" s="12"/>
      <c r="D29" s="13"/>
      <c r="E29" s="13"/>
      <c r="F29" s="13"/>
      <c r="G29" s="13"/>
      <c r="H29" s="14"/>
    </row>
    <row r="30" spans="1:8" ht="12.95" customHeight="1">
      <c r="A30" s="15" t="s">
        <v>69</v>
      </c>
      <c r="B30" s="16" t="s">
        <v>70</v>
      </c>
      <c r="C30" s="12" t="s">
        <v>71</v>
      </c>
      <c r="D30" s="13" t="s">
        <v>72</v>
      </c>
      <c r="E30" s="17">
        <v>2000000</v>
      </c>
      <c r="F30" s="18">
        <v>1874.93</v>
      </c>
      <c r="G30" s="19">
        <v>7.2900000000000006E-2</v>
      </c>
      <c r="H30" s="20">
        <v>7.2249999999999995E-2</v>
      </c>
    </row>
    <row r="31" spans="1:8" ht="12.95" customHeight="1">
      <c r="A31" s="15" t="s">
        <v>73</v>
      </c>
      <c r="B31" s="16" t="s">
        <v>74</v>
      </c>
      <c r="C31" s="12" t="s">
        <v>75</v>
      </c>
      <c r="D31" s="13" t="s">
        <v>72</v>
      </c>
      <c r="E31" s="17">
        <v>1100000</v>
      </c>
      <c r="F31" s="18">
        <v>1067.5</v>
      </c>
      <c r="G31" s="19">
        <v>4.1500000000000002E-2</v>
      </c>
      <c r="H31" s="20">
        <v>7.1698999999999999E-2</v>
      </c>
    </row>
    <row r="32" spans="1:8" ht="12.95" customHeight="1">
      <c r="A32" s="4"/>
      <c r="B32" s="33" t="s">
        <v>76</v>
      </c>
      <c r="C32" s="12"/>
      <c r="D32" s="13"/>
      <c r="E32" s="13"/>
      <c r="F32" s="13"/>
      <c r="G32" s="13"/>
      <c r="H32" s="14"/>
    </row>
    <row r="33" spans="1:8" ht="12.95" customHeight="1">
      <c r="A33" s="15" t="s">
        <v>77</v>
      </c>
      <c r="B33" s="16" t="s">
        <v>78</v>
      </c>
      <c r="C33" s="12"/>
      <c r="D33" s="13"/>
      <c r="E33" s="34"/>
      <c r="F33" s="18">
        <v>77.650000000000006</v>
      </c>
      <c r="G33" s="19">
        <v>3.0000000000000001E-3</v>
      </c>
      <c r="H33" s="20">
        <v>6.6807125493277025E-2</v>
      </c>
    </row>
    <row r="34" spans="1:8" ht="12.95" customHeight="1">
      <c r="A34" s="4"/>
      <c r="B34" s="21" t="s">
        <v>66</v>
      </c>
      <c r="C34" s="28"/>
      <c r="D34" s="26"/>
      <c r="E34" s="29"/>
      <c r="F34" s="30">
        <v>3020.08</v>
      </c>
      <c r="G34" s="31">
        <v>0.1174</v>
      </c>
      <c r="H34" s="32"/>
    </row>
    <row r="35" spans="1:8" ht="12.95" customHeight="1">
      <c r="A35" s="4"/>
      <c r="B35" s="11" t="s">
        <v>79</v>
      </c>
      <c r="C35" s="12"/>
      <c r="D35" s="13"/>
      <c r="E35" s="13"/>
      <c r="F35" s="13"/>
      <c r="G35" s="13"/>
      <c r="H35" s="14"/>
    </row>
    <row r="36" spans="1:8" ht="12.95" customHeight="1">
      <c r="A36" s="4"/>
      <c r="B36" s="11" t="s">
        <v>80</v>
      </c>
      <c r="C36" s="12"/>
      <c r="D36" s="13"/>
      <c r="E36" s="13"/>
      <c r="F36" s="13"/>
      <c r="G36" s="13"/>
      <c r="H36" s="14"/>
    </row>
    <row r="37" spans="1:8" ht="12.95" customHeight="1">
      <c r="A37" s="15" t="s">
        <v>81</v>
      </c>
      <c r="B37" s="16" t="s">
        <v>82</v>
      </c>
      <c r="C37" s="12"/>
      <c r="D37" s="13"/>
      <c r="E37" s="17">
        <v>3500000</v>
      </c>
      <c r="F37" s="18">
        <v>3500</v>
      </c>
      <c r="G37" s="19">
        <v>0.13619999999999999</v>
      </c>
      <c r="H37" s="20">
        <v>7.1999999999999995E-2</v>
      </c>
    </row>
    <row r="38" spans="1:8" ht="12.95" customHeight="1">
      <c r="A38" s="15" t="s">
        <v>83</v>
      </c>
      <c r="B38" s="16" t="s">
        <v>82</v>
      </c>
      <c r="C38" s="12"/>
      <c r="D38" s="13"/>
      <c r="E38" s="17">
        <v>2500000</v>
      </c>
      <c r="F38" s="18">
        <v>2500</v>
      </c>
      <c r="G38" s="19">
        <v>9.7299999999999998E-2</v>
      </c>
      <c r="H38" s="20">
        <v>7.1999999999999995E-2</v>
      </c>
    </row>
    <row r="39" spans="1:8" ht="12.95" customHeight="1">
      <c r="A39" s="15" t="s">
        <v>84</v>
      </c>
      <c r="B39" s="16" t="s">
        <v>82</v>
      </c>
      <c r="C39" s="12"/>
      <c r="D39" s="13"/>
      <c r="E39" s="17">
        <v>2500000</v>
      </c>
      <c r="F39" s="18">
        <v>2500</v>
      </c>
      <c r="G39" s="19">
        <v>9.7299999999999998E-2</v>
      </c>
      <c r="H39" s="20">
        <v>7.1999999999999995E-2</v>
      </c>
    </row>
    <row r="40" spans="1:8" ht="12.95" customHeight="1">
      <c r="A40" s="15" t="s">
        <v>85</v>
      </c>
      <c r="B40" s="16" t="s">
        <v>82</v>
      </c>
      <c r="C40" s="12"/>
      <c r="D40" s="13"/>
      <c r="E40" s="17">
        <v>2500000</v>
      </c>
      <c r="F40" s="18">
        <v>2500</v>
      </c>
      <c r="G40" s="19">
        <v>9.7299999999999998E-2</v>
      </c>
      <c r="H40" s="20">
        <v>7.1999999999999995E-2</v>
      </c>
    </row>
    <row r="41" spans="1:8" ht="12.95" customHeight="1">
      <c r="A41" s="15" t="s">
        <v>86</v>
      </c>
      <c r="B41" s="16" t="s">
        <v>82</v>
      </c>
      <c r="C41" s="12"/>
      <c r="D41" s="13"/>
      <c r="E41" s="17">
        <v>2500000</v>
      </c>
      <c r="F41" s="18">
        <v>2500</v>
      </c>
      <c r="G41" s="19">
        <v>9.7299999999999998E-2</v>
      </c>
      <c r="H41" s="20">
        <v>7.1999999999999995E-2</v>
      </c>
    </row>
    <row r="42" spans="1:8" ht="12.95" customHeight="1">
      <c r="A42" s="15" t="s">
        <v>87</v>
      </c>
      <c r="B42" s="16" t="s">
        <v>82</v>
      </c>
      <c r="C42" s="12"/>
      <c r="D42" s="13"/>
      <c r="E42" s="17">
        <v>2500000</v>
      </c>
      <c r="F42" s="18">
        <v>2500</v>
      </c>
      <c r="G42" s="19">
        <v>9.7299999999999998E-2</v>
      </c>
      <c r="H42" s="20">
        <v>7.1999999999999995E-2</v>
      </c>
    </row>
    <row r="43" spans="1:8" ht="12.95" customHeight="1">
      <c r="A43" s="15" t="s">
        <v>88</v>
      </c>
      <c r="B43" s="16" t="s">
        <v>89</v>
      </c>
      <c r="C43" s="12"/>
      <c r="D43" s="13"/>
      <c r="E43" s="17">
        <v>-2500000</v>
      </c>
      <c r="F43" s="18">
        <v>-2500</v>
      </c>
      <c r="G43" s="19">
        <v>-9.7299999999999998E-2</v>
      </c>
      <c r="H43" s="20">
        <v>6.5074000000000007E-2</v>
      </c>
    </row>
    <row r="44" spans="1:8" ht="12.95" customHeight="1">
      <c r="A44" s="15" t="s">
        <v>90</v>
      </c>
      <c r="B44" s="16" t="s">
        <v>89</v>
      </c>
      <c r="C44" s="12"/>
      <c r="D44" s="13"/>
      <c r="E44" s="17">
        <v>-2500000</v>
      </c>
      <c r="F44" s="18">
        <v>-2500</v>
      </c>
      <c r="G44" s="19">
        <v>-9.7299999999999998E-2</v>
      </c>
      <c r="H44" s="20">
        <v>6.5074000000000007E-2</v>
      </c>
    </row>
    <row r="45" spans="1:8" ht="12.95" customHeight="1">
      <c r="A45" s="15" t="s">
        <v>91</v>
      </c>
      <c r="B45" s="16" t="s">
        <v>89</v>
      </c>
      <c r="C45" s="12"/>
      <c r="D45" s="13"/>
      <c r="E45" s="17">
        <v>-2500000</v>
      </c>
      <c r="F45" s="18">
        <v>-2500.0100000000002</v>
      </c>
      <c r="G45" s="19">
        <v>-9.7299999999999998E-2</v>
      </c>
      <c r="H45" s="20">
        <v>6.5092999999999998E-2</v>
      </c>
    </row>
    <row r="46" spans="1:8" ht="12.95" customHeight="1">
      <c r="A46" s="15" t="s">
        <v>92</v>
      </c>
      <c r="B46" s="16" t="s">
        <v>89</v>
      </c>
      <c r="C46" s="12"/>
      <c r="D46" s="13"/>
      <c r="E46" s="17">
        <v>-2500000</v>
      </c>
      <c r="F46" s="18">
        <v>-2500.0100000000002</v>
      </c>
      <c r="G46" s="19">
        <v>-9.7299999999999998E-2</v>
      </c>
      <c r="H46" s="20">
        <v>6.5082000000000001E-2</v>
      </c>
    </row>
    <row r="47" spans="1:8" ht="12.95" customHeight="1">
      <c r="A47" s="15" t="s">
        <v>93</v>
      </c>
      <c r="B47" s="16" t="s">
        <v>89</v>
      </c>
      <c r="C47" s="12"/>
      <c r="D47" s="13"/>
      <c r="E47" s="17">
        <v>-2500000</v>
      </c>
      <c r="F47" s="18">
        <v>-2500.0100000000002</v>
      </c>
      <c r="G47" s="19">
        <v>-9.7299999999999998E-2</v>
      </c>
      <c r="H47" s="20">
        <v>6.5082000000000001E-2</v>
      </c>
    </row>
    <row r="48" spans="1:8" ht="12.95" customHeight="1">
      <c r="A48" s="15" t="s">
        <v>94</v>
      </c>
      <c r="B48" s="16" t="s">
        <v>89</v>
      </c>
      <c r="C48" s="12"/>
      <c r="D48" s="13"/>
      <c r="E48" s="17">
        <v>-3500000</v>
      </c>
      <c r="F48" s="18">
        <v>-3500</v>
      </c>
      <c r="G48" s="19">
        <v>-0.13619999999999999</v>
      </c>
      <c r="H48" s="20">
        <v>6.5074000000000007E-2</v>
      </c>
    </row>
    <row r="49" spans="1:8" ht="12.95" customHeight="1">
      <c r="A49" s="4"/>
      <c r="B49" s="21" t="s">
        <v>66</v>
      </c>
      <c r="C49" s="28"/>
      <c r="D49" s="26"/>
      <c r="E49" s="29"/>
      <c r="F49" s="30">
        <v>-0.03</v>
      </c>
      <c r="G49" s="31">
        <v>0</v>
      </c>
      <c r="H49" s="32"/>
    </row>
    <row r="50" spans="1:8" ht="12.95" customHeight="1">
      <c r="A50" s="4"/>
      <c r="B50" s="11" t="s">
        <v>95</v>
      </c>
      <c r="C50" s="12"/>
      <c r="D50" s="13"/>
      <c r="E50" s="13"/>
      <c r="F50" s="13"/>
      <c r="G50" s="13"/>
      <c r="H50" s="14"/>
    </row>
    <row r="51" spans="1:8" ht="12.95" customHeight="1">
      <c r="A51" s="15" t="s">
        <v>96</v>
      </c>
      <c r="B51" s="16" t="s">
        <v>97</v>
      </c>
      <c r="C51" s="12" t="s">
        <v>98</v>
      </c>
      <c r="D51" s="13"/>
      <c r="E51" s="35">
        <v>872.45600000000002</v>
      </c>
      <c r="F51" s="18">
        <v>96.27</v>
      </c>
      <c r="G51" s="19">
        <v>3.7000000000000002E-3</v>
      </c>
      <c r="H51" s="20"/>
    </row>
    <row r="52" spans="1:8" ht="12.95" customHeight="1">
      <c r="A52" s="4"/>
      <c r="B52" s="21" t="s">
        <v>66</v>
      </c>
      <c r="C52" s="28"/>
      <c r="D52" s="26"/>
      <c r="E52" s="29"/>
      <c r="F52" s="30">
        <v>96.27</v>
      </c>
      <c r="G52" s="31">
        <v>3.7000000000000002E-3</v>
      </c>
      <c r="H52" s="32"/>
    </row>
    <row r="53" spans="1:8" ht="12.95" customHeight="1">
      <c r="A53" s="4"/>
      <c r="B53" s="33" t="s">
        <v>99</v>
      </c>
      <c r="C53" s="36"/>
      <c r="D53" s="37"/>
      <c r="E53" s="37"/>
      <c r="F53" s="37"/>
      <c r="G53" s="37"/>
      <c r="H53" s="38"/>
    </row>
    <row r="54" spans="1:8" ht="12.95" customHeight="1">
      <c r="A54" s="4"/>
      <c r="B54" s="26" t="s">
        <v>100</v>
      </c>
      <c r="C54" s="28"/>
      <c r="D54" s="26"/>
      <c r="E54" s="26"/>
      <c r="F54" s="23">
        <v>12.41</v>
      </c>
      <c r="G54" s="24">
        <v>5.0000000000000001E-4</v>
      </c>
      <c r="H54" s="38"/>
    </row>
    <row r="55" spans="1:8" ht="12.95" customHeight="1">
      <c r="A55" s="4"/>
      <c r="B55" s="21" t="s">
        <v>63</v>
      </c>
      <c r="C55" s="22"/>
      <c r="D55" s="21"/>
      <c r="E55" s="21"/>
      <c r="F55" s="23">
        <v>12.41</v>
      </c>
      <c r="G55" s="24">
        <v>5.0000000000000001E-4</v>
      </c>
      <c r="H55" s="38"/>
    </row>
    <row r="56" spans="1:8" ht="12.95" customHeight="1">
      <c r="A56" s="4"/>
      <c r="B56" s="21" t="s">
        <v>101</v>
      </c>
      <c r="C56" s="28"/>
      <c r="D56" s="26"/>
      <c r="E56" s="26"/>
      <c r="F56" s="23">
        <v>685.3</v>
      </c>
      <c r="G56" s="39">
        <v>2.6599999999999999E-2</v>
      </c>
      <c r="H56" s="38"/>
    </row>
    <row r="57" spans="1:8" ht="12.95" customHeight="1" thickBot="1">
      <c r="A57" s="4"/>
      <c r="B57" s="40" t="s">
        <v>102</v>
      </c>
      <c r="C57" s="41"/>
      <c r="D57" s="42"/>
      <c r="E57" s="42"/>
      <c r="F57" s="43">
        <f>25705.0747638-0.03</f>
        <v>25705.044763800001</v>
      </c>
      <c r="G57" s="44">
        <v>1</v>
      </c>
      <c r="H57" s="45"/>
    </row>
    <row r="58" spans="1:8" ht="12.95" customHeight="1">
      <c r="A58" s="4"/>
      <c r="B58" s="46"/>
      <c r="C58" s="4"/>
      <c r="D58" s="4"/>
      <c r="E58" s="4"/>
      <c r="F58" s="4"/>
      <c r="G58" s="4"/>
      <c r="H58" s="4"/>
    </row>
    <row r="59" spans="1:8" ht="12.95" customHeight="1">
      <c r="A59" s="4"/>
      <c r="B59" s="46" t="s">
        <v>103</v>
      </c>
      <c r="C59" s="4"/>
      <c r="D59" s="4"/>
      <c r="E59" s="4"/>
      <c r="F59" s="4"/>
      <c r="G59" s="4"/>
      <c r="H59" s="4"/>
    </row>
    <row r="60" spans="1:8" ht="12.95" customHeight="1" thickBot="1">
      <c r="A60" s="4"/>
      <c r="B60" s="46"/>
      <c r="C60" s="4"/>
      <c r="D60" s="4"/>
      <c r="E60" s="4"/>
      <c r="F60" s="4"/>
      <c r="G60" s="4"/>
      <c r="H60" s="4"/>
    </row>
    <row r="61" spans="1:8">
      <c r="A61" s="1"/>
      <c r="B61" s="47" t="s">
        <v>104</v>
      </c>
      <c r="C61" s="48"/>
      <c r="D61" s="48"/>
      <c r="E61" s="49"/>
      <c r="F61" s="50"/>
    </row>
    <row r="62" spans="1:8">
      <c r="A62" s="1"/>
      <c r="B62" s="51" t="s">
        <v>105</v>
      </c>
      <c r="C62" s="52"/>
      <c r="D62" s="52"/>
      <c r="E62" s="52"/>
      <c r="F62" s="53"/>
    </row>
    <row r="63" spans="1:8">
      <c r="A63" s="1"/>
      <c r="B63" s="54" t="s">
        <v>106</v>
      </c>
      <c r="C63" s="52"/>
      <c r="D63" s="52"/>
      <c r="E63" s="55"/>
      <c r="F63" s="53"/>
    </row>
    <row r="64" spans="1:8" ht="15" thickBot="1">
      <c r="A64" s="1"/>
      <c r="B64" s="56" t="s">
        <v>107</v>
      </c>
      <c r="C64" s="52"/>
      <c r="D64" s="52"/>
      <c r="E64" s="52"/>
      <c r="F64" s="53"/>
    </row>
    <row r="65" spans="1:6">
      <c r="A65" s="1"/>
      <c r="B65" s="57" t="s">
        <v>108</v>
      </c>
      <c r="C65" s="58" t="s">
        <v>109</v>
      </c>
      <c r="D65" s="58"/>
      <c r="E65" s="59"/>
      <c r="F65" s="60"/>
    </row>
    <row r="66" spans="1:6" ht="15" thickBot="1">
      <c r="A66" s="1"/>
      <c r="B66" s="61"/>
      <c r="C66" s="62">
        <v>45747</v>
      </c>
      <c r="D66" s="62">
        <v>45565</v>
      </c>
      <c r="E66" s="62"/>
      <c r="F66" s="63"/>
    </row>
    <row r="67" spans="1:6">
      <c r="A67" s="1"/>
      <c r="B67" s="64" t="s">
        <v>110</v>
      </c>
      <c r="C67" s="65"/>
      <c r="D67" s="65"/>
      <c r="E67" s="66"/>
      <c r="F67" s="67"/>
    </row>
    <row r="68" spans="1:6">
      <c r="A68" s="1" t="s">
        <v>111</v>
      </c>
      <c r="B68" s="56" t="s">
        <v>112</v>
      </c>
      <c r="C68" s="68">
        <v>12.609400000000001</v>
      </c>
      <c r="D68" s="68">
        <v>12.1281</v>
      </c>
      <c r="E68" s="66"/>
      <c r="F68" s="67"/>
    </row>
    <row r="69" spans="1:6">
      <c r="A69" s="1" t="s">
        <v>113</v>
      </c>
      <c r="B69" s="56" t="s">
        <v>114</v>
      </c>
      <c r="C69" s="68">
        <v>10.0876</v>
      </c>
      <c r="D69" s="68">
        <v>10.0671</v>
      </c>
      <c r="E69" s="66"/>
      <c r="F69" s="67"/>
    </row>
    <row r="70" spans="1:6">
      <c r="A70" s="1" t="s">
        <v>115</v>
      </c>
      <c r="B70" s="56" t="s">
        <v>116</v>
      </c>
      <c r="C70" s="68">
        <v>10.0878</v>
      </c>
      <c r="D70" s="68">
        <v>10.0701</v>
      </c>
      <c r="E70" s="66"/>
      <c r="F70" s="67"/>
    </row>
    <row r="71" spans="1:6">
      <c r="A71" s="1" t="s">
        <v>117</v>
      </c>
      <c r="B71" s="56" t="s">
        <v>118</v>
      </c>
      <c r="C71" s="68">
        <v>10.096299999999999</v>
      </c>
      <c r="D71" s="68">
        <v>10.070399999999999</v>
      </c>
      <c r="E71" s="66"/>
      <c r="F71" s="67"/>
    </row>
    <row r="72" spans="1:6">
      <c r="A72" s="1" t="s">
        <v>119</v>
      </c>
      <c r="B72" s="56" t="s">
        <v>120</v>
      </c>
      <c r="C72" s="68">
        <v>10.292299999999999</v>
      </c>
      <c r="D72" s="68">
        <v>10.1989</v>
      </c>
      <c r="E72" s="66"/>
      <c r="F72" s="67"/>
    </row>
    <row r="73" spans="1:6">
      <c r="A73" s="1" t="s">
        <v>121</v>
      </c>
      <c r="B73" s="56" t="s">
        <v>122</v>
      </c>
      <c r="C73" s="68">
        <v>12.6106</v>
      </c>
      <c r="D73" s="68">
        <v>12.129300000000001</v>
      </c>
      <c r="E73" s="66"/>
      <c r="F73" s="67"/>
    </row>
    <row r="74" spans="1:6">
      <c r="A74" s="1" t="s">
        <v>123</v>
      </c>
      <c r="B74" s="56" t="s">
        <v>124</v>
      </c>
      <c r="C74" s="68">
        <v>10.1683</v>
      </c>
      <c r="D74" s="68">
        <v>10.5304</v>
      </c>
      <c r="E74" s="66"/>
      <c r="F74" s="67"/>
    </row>
    <row r="75" spans="1:6">
      <c r="A75" s="1"/>
      <c r="B75" s="56"/>
      <c r="C75" s="68"/>
      <c r="D75" s="68"/>
      <c r="E75" s="66"/>
      <c r="F75" s="67"/>
    </row>
    <row r="76" spans="1:6">
      <c r="A76" s="1"/>
      <c r="B76" s="64" t="s">
        <v>125</v>
      </c>
      <c r="C76" s="68"/>
      <c r="D76" s="68"/>
      <c r="E76" s="66"/>
      <c r="F76" s="67"/>
    </row>
    <row r="77" spans="1:6">
      <c r="A77" s="1" t="s">
        <v>126</v>
      </c>
      <c r="B77" s="56" t="s">
        <v>112</v>
      </c>
      <c r="C77" s="68">
        <v>12.863099999999999</v>
      </c>
      <c r="D77" s="68">
        <v>12.3423</v>
      </c>
      <c r="E77" s="66"/>
      <c r="F77" s="67"/>
    </row>
    <row r="78" spans="1:6">
      <c r="A78" s="1" t="s">
        <v>127</v>
      </c>
      <c r="B78" s="56" t="s">
        <v>114</v>
      </c>
      <c r="C78" s="68">
        <v>10.087999999999999</v>
      </c>
      <c r="D78" s="68">
        <v>10.0671</v>
      </c>
      <c r="E78" s="66"/>
      <c r="F78" s="67"/>
    </row>
    <row r="79" spans="1:6">
      <c r="A79" s="1" t="s">
        <v>128</v>
      </c>
      <c r="B79" s="56" t="s">
        <v>116</v>
      </c>
      <c r="C79" s="68">
        <v>10.090400000000001</v>
      </c>
      <c r="D79" s="68">
        <v>10.071300000000001</v>
      </c>
      <c r="E79" s="66"/>
      <c r="F79" s="67"/>
    </row>
    <row r="80" spans="1:6">
      <c r="A80" s="1" t="s">
        <v>129</v>
      </c>
      <c r="B80" s="56" t="s">
        <v>118</v>
      </c>
      <c r="C80" s="68">
        <v>10.1151</v>
      </c>
      <c r="D80" s="68">
        <v>10.088699999999999</v>
      </c>
      <c r="E80" s="66"/>
      <c r="F80" s="67"/>
    </row>
    <row r="81" spans="1:6">
      <c r="A81" s="1" t="s">
        <v>130</v>
      </c>
      <c r="B81" s="56" t="s">
        <v>120</v>
      </c>
      <c r="C81" s="68">
        <v>10.324199999999999</v>
      </c>
      <c r="D81" s="68">
        <v>10.231</v>
      </c>
      <c r="E81" s="66"/>
      <c r="F81" s="67"/>
    </row>
    <row r="82" spans="1:6">
      <c r="A82" s="1" t="s">
        <v>131</v>
      </c>
      <c r="B82" s="56" t="s">
        <v>124</v>
      </c>
      <c r="C82" s="68">
        <v>10.1776</v>
      </c>
      <c r="D82" s="68">
        <v>10.5625</v>
      </c>
      <c r="E82" s="66"/>
      <c r="F82" s="67"/>
    </row>
    <row r="83" spans="1:6">
      <c r="A83" s="1"/>
      <c r="B83" s="56"/>
      <c r="C83" s="68"/>
      <c r="D83" s="65"/>
      <c r="E83" s="69"/>
      <c r="F83" s="67"/>
    </row>
    <row r="84" spans="1:6">
      <c r="A84" s="1"/>
      <c r="B84" s="56" t="s">
        <v>132</v>
      </c>
      <c r="C84" s="65"/>
      <c r="D84" s="65"/>
      <c r="E84" s="69"/>
      <c r="F84" s="67"/>
    </row>
    <row r="85" spans="1:6" ht="15" thickBot="1">
      <c r="A85" s="1"/>
      <c r="B85" s="56" t="s">
        <v>133</v>
      </c>
      <c r="C85" s="65"/>
      <c r="D85" s="65"/>
      <c r="E85" s="70"/>
      <c r="F85" s="53"/>
    </row>
    <row r="86" spans="1:6" ht="15" thickBot="1">
      <c r="A86" s="1"/>
      <c r="B86" s="71" t="s">
        <v>134</v>
      </c>
      <c r="C86" s="72" t="s">
        <v>135</v>
      </c>
      <c r="D86" s="73" t="s">
        <v>136</v>
      </c>
      <c r="E86" s="73" t="s">
        <v>137</v>
      </c>
      <c r="F86" s="74" t="s">
        <v>138</v>
      </c>
    </row>
    <row r="87" spans="1:6">
      <c r="A87" s="1"/>
      <c r="B87" s="75"/>
      <c r="C87" s="76"/>
      <c r="D87" s="77"/>
      <c r="E87" s="77"/>
      <c r="F87" s="78"/>
    </row>
    <row r="88" spans="1:6">
      <c r="A88" s="1"/>
      <c r="B88" s="79" t="s">
        <v>139</v>
      </c>
      <c r="C88" s="80">
        <v>45569</v>
      </c>
      <c r="D88" s="81">
        <v>2.0951400000000001E-3</v>
      </c>
      <c r="E88" s="81">
        <v>2.0951400000000001E-3</v>
      </c>
      <c r="F88" s="82">
        <v>10.0639</v>
      </c>
    </row>
    <row r="89" spans="1:6">
      <c r="A89" s="1"/>
      <c r="B89" s="79" t="s">
        <v>140</v>
      </c>
      <c r="C89" s="80">
        <v>45569</v>
      </c>
      <c r="D89" s="81">
        <v>2.9861599999999999E-3</v>
      </c>
      <c r="E89" s="81">
        <v>2.9861599999999999E-3</v>
      </c>
      <c r="F89" s="82">
        <v>10.0656</v>
      </c>
    </row>
    <row r="90" spans="1:6">
      <c r="A90" s="1"/>
      <c r="B90" s="79" t="s">
        <v>139</v>
      </c>
      <c r="C90" s="80">
        <v>45576</v>
      </c>
      <c r="D90" s="81">
        <v>2.5172219999999999E-2</v>
      </c>
      <c r="E90" s="81">
        <v>2.5172219999999999E-2</v>
      </c>
      <c r="F90" s="82">
        <v>10.0871</v>
      </c>
    </row>
    <row r="91" spans="1:6">
      <c r="A91" s="1"/>
      <c r="B91" s="79" t="s">
        <v>140</v>
      </c>
      <c r="C91" s="80">
        <v>45576</v>
      </c>
      <c r="D91" s="81">
        <v>2.600856E-2</v>
      </c>
      <c r="E91" s="81">
        <v>2.600856E-2</v>
      </c>
      <c r="F91" s="82">
        <v>10.088800000000001</v>
      </c>
    </row>
    <row r="92" spans="1:6">
      <c r="A92" s="1"/>
      <c r="B92" s="79" t="s">
        <v>139</v>
      </c>
      <c r="C92" s="80">
        <v>45583</v>
      </c>
      <c r="D92" s="81">
        <v>6.7206599999999998E-3</v>
      </c>
      <c r="E92" s="81">
        <v>6.7206599999999998E-3</v>
      </c>
      <c r="F92" s="82">
        <v>10.0686</v>
      </c>
    </row>
    <row r="93" spans="1:6">
      <c r="A93" s="1"/>
      <c r="B93" s="79" t="s">
        <v>140</v>
      </c>
      <c r="C93" s="80">
        <v>45583</v>
      </c>
      <c r="D93" s="81">
        <v>7.5877200000000001E-3</v>
      </c>
      <c r="E93" s="81">
        <v>7.5877200000000001E-3</v>
      </c>
      <c r="F93" s="82">
        <v>10.070399999999999</v>
      </c>
    </row>
    <row r="94" spans="1:6">
      <c r="A94" s="1"/>
      <c r="B94" s="79" t="s">
        <v>139</v>
      </c>
      <c r="C94" s="80">
        <v>45590</v>
      </c>
      <c r="D94" s="81">
        <v>7.01623E-3</v>
      </c>
      <c r="E94" s="81">
        <v>7.01623E-3</v>
      </c>
      <c r="F94" s="82">
        <v>10.068899999999999</v>
      </c>
    </row>
    <row r="95" spans="1:6">
      <c r="A95" s="1"/>
      <c r="B95" s="79" t="s">
        <v>140</v>
      </c>
      <c r="C95" s="80">
        <v>45590</v>
      </c>
      <c r="D95" s="81">
        <v>7.9149700000000003E-3</v>
      </c>
      <c r="E95" s="81">
        <v>7.9149700000000003E-3</v>
      </c>
      <c r="F95" s="82">
        <v>10.0707</v>
      </c>
    </row>
    <row r="96" spans="1:6">
      <c r="A96" s="1"/>
      <c r="B96" s="79" t="s">
        <v>141</v>
      </c>
      <c r="C96" s="80">
        <v>45595</v>
      </c>
      <c r="D96" s="81">
        <v>5.418601E-2</v>
      </c>
      <c r="E96" s="81">
        <v>5.418601E-2</v>
      </c>
      <c r="F96" s="82">
        <v>10.116300000000001</v>
      </c>
    </row>
    <row r="97" spans="1:6">
      <c r="A97" s="1"/>
      <c r="B97" s="79" t="s">
        <v>142</v>
      </c>
      <c r="C97" s="80">
        <v>45595</v>
      </c>
      <c r="D97" s="81">
        <v>5.866648E-2</v>
      </c>
      <c r="E97" s="81">
        <v>5.866648E-2</v>
      </c>
      <c r="F97" s="82">
        <v>10.1386</v>
      </c>
    </row>
    <row r="98" spans="1:6">
      <c r="A98" s="1"/>
      <c r="B98" s="79" t="s">
        <v>139</v>
      </c>
      <c r="C98" s="80">
        <v>45596</v>
      </c>
      <c r="D98" s="81">
        <v>1.193461E-2</v>
      </c>
      <c r="E98" s="81">
        <v>1.193461E-2</v>
      </c>
      <c r="F98" s="82">
        <v>10.0738</v>
      </c>
    </row>
    <row r="99" spans="1:6">
      <c r="A99" s="1"/>
      <c r="B99" s="79" t="s">
        <v>140</v>
      </c>
      <c r="C99" s="80">
        <v>45596</v>
      </c>
      <c r="D99" s="81">
        <v>1.269545E-2</v>
      </c>
      <c r="E99" s="81">
        <v>1.269545E-2</v>
      </c>
      <c r="F99" s="82">
        <v>10.0755</v>
      </c>
    </row>
    <row r="100" spans="1:6">
      <c r="A100" s="1"/>
      <c r="B100" s="79" t="s">
        <v>139</v>
      </c>
      <c r="C100" s="80">
        <v>45604</v>
      </c>
      <c r="D100" s="81">
        <v>1.9171279999999999E-2</v>
      </c>
      <c r="E100" s="81">
        <v>1.9171279999999999E-2</v>
      </c>
      <c r="F100" s="82">
        <v>10.081099999999999</v>
      </c>
    </row>
    <row r="101" spans="1:6">
      <c r="A101" s="1"/>
      <c r="B101" s="79" t="s">
        <v>140</v>
      </c>
      <c r="C101" s="80">
        <v>45604</v>
      </c>
      <c r="D101" s="81">
        <v>2.0200429999999998E-2</v>
      </c>
      <c r="E101" s="81">
        <v>2.0200429999999998E-2</v>
      </c>
      <c r="F101" s="82">
        <v>10.083</v>
      </c>
    </row>
    <row r="102" spans="1:6">
      <c r="A102" s="1"/>
      <c r="B102" s="79" t="s">
        <v>140</v>
      </c>
      <c r="C102" s="80">
        <v>45610</v>
      </c>
      <c r="D102" s="81">
        <v>5.9701999999999997E-4</v>
      </c>
      <c r="E102" s="81">
        <v>5.9701999999999997E-4</v>
      </c>
      <c r="F102" s="82">
        <v>10.0634</v>
      </c>
    </row>
    <row r="103" spans="1:6">
      <c r="A103" s="1"/>
      <c r="B103" s="79" t="s">
        <v>139</v>
      </c>
      <c r="C103" s="80">
        <v>45618</v>
      </c>
      <c r="D103" s="81">
        <v>1.3719719999999999E-2</v>
      </c>
      <c r="E103" s="81">
        <v>1.3719719999999999E-2</v>
      </c>
      <c r="F103" s="82">
        <v>10.0756</v>
      </c>
    </row>
    <row r="104" spans="1:6">
      <c r="A104" s="1"/>
      <c r="B104" s="79" t="s">
        <v>140</v>
      </c>
      <c r="C104" s="80">
        <v>45618</v>
      </c>
      <c r="D104" s="81">
        <v>1.493178E-2</v>
      </c>
      <c r="E104" s="81">
        <v>1.493178E-2</v>
      </c>
      <c r="F104" s="82">
        <v>10.0777</v>
      </c>
    </row>
    <row r="105" spans="1:6">
      <c r="A105" s="1"/>
      <c r="B105" s="79" t="s">
        <v>141</v>
      </c>
      <c r="C105" s="80">
        <v>45624</v>
      </c>
      <c r="D105" s="81">
        <v>4.6536290000000001E-2</v>
      </c>
      <c r="E105" s="81">
        <v>4.6536290000000001E-2</v>
      </c>
      <c r="F105" s="82">
        <v>10.108599999999999</v>
      </c>
    </row>
    <row r="106" spans="1:6">
      <c r="A106" s="1"/>
      <c r="B106" s="79" t="s">
        <v>142</v>
      </c>
      <c r="C106" s="80">
        <v>45624</v>
      </c>
      <c r="D106" s="81">
        <v>5.044539E-2</v>
      </c>
      <c r="E106" s="81">
        <v>5.044539E-2</v>
      </c>
      <c r="F106" s="82">
        <v>10.1303</v>
      </c>
    </row>
    <row r="107" spans="1:6">
      <c r="A107" s="1"/>
      <c r="B107" s="79" t="s">
        <v>139</v>
      </c>
      <c r="C107" s="80">
        <v>45625</v>
      </c>
      <c r="D107" s="81">
        <v>2.947497E-2</v>
      </c>
      <c r="E107" s="81">
        <v>2.947497E-2</v>
      </c>
      <c r="F107" s="82">
        <v>10.0914</v>
      </c>
    </row>
    <row r="108" spans="1:6">
      <c r="A108" s="1"/>
      <c r="B108" s="79" t="s">
        <v>140</v>
      </c>
      <c r="C108" s="80">
        <v>45625</v>
      </c>
      <c r="D108" s="81">
        <v>3.038563E-2</v>
      </c>
      <c r="E108" s="81">
        <v>3.038563E-2</v>
      </c>
      <c r="F108" s="82">
        <v>10.0932</v>
      </c>
    </row>
    <row r="109" spans="1:6">
      <c r="A109" s="1"/>
      <c r="B109" s="79" t="s">
        <v>139</v>
      </c>
      <c r="C109" s="80">
        <v>45632</v>
      </c>
      <c r="D109" s="81">
        <v>2.0305790000000001E-2</v>
      </c>
      <c r="E109" s="81">
        <v>2.0305790000000001E-2</v>
      </c>
      <c r="F109" s="82">
        <v>10.0822</v>
      </c>
    </row>
    <row r="110" spans="1:6">
      <c r="A110" s="1"/>
      <c r="B110" s="79" t="s">
        <v>140</v>
      </c>
      <c r="C110" s="80">
        <v>45632</v>
      </c>
      <c r="D110" s="81">
        <v>2.1213989999999999E-2</v>
      </c>
      <c r="E110" s="81">
        <v>2.1213989999999999E-2</v>
      </c>
      <c r="F110" s="82">
        <v>10.084</v>
      </c>
    </row>
    <row r="111" spans="1:6">
      <c r="A111" s="1"/>
      <c r="B111" s="79" t="s">
        <v>139</v>
      </c>
      <c r="C111" s="80">
        <v>45639</v>
      </c>
      <c r="D111" s="81">
        <v>1.5394649999999999E-2</v>
      </c>
      <c r="E111" s="81">
        <v>1.5394649999999999E-2</v>
      </c>
      <c r="F111" s="82">
        <v>10.077299999999999</v>
      </c>
    </row>
    <row r="112" spans="1:6">
      <c r="A112" s="1"/>
      <c r="B112" s="79" t="s">
        <v>140</v>
      </c>
      <c r="C112" s="80">
        <v>45639</v>
      </c>
      <c r="D112" s="81">
        <v>1.6301300000000001E-2</v>
      </c>
      <c r="E112" s="81">
        <v>1.6301300000000001E-2</v>
      </c>
      <c r="F112" s="82">
        <v>10.0791</v>
      </c>
    </row>
    <row r="113" spans="1:6">
      <c r="A113" s="1"/>
      <c r="B113" s="79" t="s">
        <v>140</v>
      </c>
      <c r="C113" s="80">
        <v>45646</v>
      </c>
      <c r="D113" s="81">
        <v>6.4464999999999998E-4</v>
      </c>
      <c r="E113" s="81">
        <v>6.4464999999999998E-4</v>
      </c>
      <c r="F113" s="82">
        <v>10.0634</v>
      </c>
    </row>
    <row r="114" spans="1:6">
      <c r="A114" s="1"/>
      <c r="B114" s="79" t="s">
        <v>139</v>
      </c>
      <c r="C114" s="80">
        <v>45653</v>
      </c>
      <c r="D114" s="81">
        <v>7.15702E-3</v>
      </c>
      <c r="E114" s="81">
        <v>7.15702E-3</v>
      </c>
      <c r="F114" s="82">
        <v>10.069100000000001</v>
      </c>
    </row>
    <row r="115" spans="1:6">
      <c r="A115" s="1"/>
      <c r="B115" s="79" t="s">
        <v>140</v>
      </c>
      <c r="C115" s="80">
        <v>45653</v>
      </c>
      <c r="D115" s="81">
        <v>8.3271200000000004E-3</v>
      </c>
      <c r="E115" s="81">
        <v>8.3271200000000004E-3</v>
      </c>
      <c r="F115" s="82">
        <v>10.071099999999999</v>
      </c>
    </row>
    <row r="116" spans="1:6">
      <c r="A116" s="1"/>
      <c r="B116" s="79" t="s">
        <v>141</v>
      </c>
      <c r="C116" s="80">
        <v>45656</v>
      </c>
      <c r="D116" s="81">
        <v>6.4615149999999996E-2</v>
      </c>
      <c r="E116" s="81">
        <v>6.4615149999999996E-2</v>
      </c>
      <c r="F116" s="82">
        <v>10.1267</v>
      </c>
    </row>
    <row r="117" spans="1:6">
      <c r="A117" s="1"/>
      <c r="B117" s="79" t="s">
        <v>143</v>
      </c>
      <c r="C117" s="80">
        <v>45656</v>
      </c>
      <c r="D117" s="81">
        <v>0.16170000000000001</v>
      </c>
      <c r="E117" s="81">
        <v>0.16170000000000001</v>
      </c>
      <c r="F117" s="82">
        <v>10.3589</v>
      </c>
    </row>
    <row r="118" spans="1:6">
      <c r="A118" s="1"/>
      <c r="B118" s="79" t="s">
        <v>142</v>
      </c>
      <c r="C118" s="80">
        <v>45656</v>
      </c>
      <c r="D118" s="81">
        <v>6.8948229999999999E-2</v>
      </c>
      <c r="E118" s="81">
        <v>6.8948229999999999E-2</v>
      </c>
      <c r="F118" s="82">
        <v>10.1488</v>
      </c>
    </row>
    <row r="119" spans="1:6">
      <c r="A119" s="1"/>
      <c r="B119" s="79" t="s">
        <v>144</v>
      </c>
      <c r="C119" s="80">
        <v>45656</v>
      </c>
      <c r="D119" s="81">
        <v>0.1729</v>
      </c>
      <c r="E119" s="81">
        <v>0.1729</v>
      </c>
      <c r="F119" s="82">
        <v>10.4034</v>
      </c>
    </row>
    <row r="120" spans="1:6">
      <c r="A120" s="1"/>
      <c r="B120" s="79" t="s">
        <v>139</v>
      </c>
      <c r="C120" s="80">
        <v>45660</v>
      </c>
      <c r="D120" s="81">
        <v>2.0151120000000002E-2</v>
      </c>
      <c r="E120" s="81">
        <v>2.0151120000000002E-2</v>
      </c>
      <c r="F120" s="82">
        <v>10.082100000000001</v>
      </c>
    </row>
    <row r="121" spans="1:6">
      <c r="A121" s="1"/>
      <c r="B121" s="79" t="s">
        <v>140</v>
      </c>
      <c r="C121" s="80">
        <v>45660</v>
      </c>
      <c r="D121" s="81">
        <v>2.1061940000000001E-2</v>
      </c>
      <c r="E121" s="81">
        <v>2.1061940000000001E-2</v>
      </c>
      <c r="F121" s="82">
        <v>10.0839</v>
      </c>
    </row>
    <row r="122" spans="1:6">
      <c r="A122" s="1"/>
      <c r="B122" s="79" t="s">
        <v>139</v>
      </c>
      <c r="C122" s="80">
        <v>45667</v>
      </c>
      <c r="D122" s="81">
        <v>1.245536E-2</v>
      </c>
      <c r="E122" s="81">
        <v>1.245536E-2</v>
      </c>
      <c r="F122" s="82">
        <v>10.074400000000001</v>
      </c>
    </row>
    <row r="123" spans="1:6">
      <c r="A123" s="1"/>
      <c r="B123" s="79" t="s">
        <v>140</v>
      </c>
      <c r="C123" s="80">
        <v>45667</v>
      </c>
      <c r="D123" s="81">
        <v>1.335882E-2</v>
      </c>
      <c r="E123" s="81">
        <v>1.335882E-2</v>
      </c>
      <c r="F123" s="82">
        <v>10.0762</v>
      </c>
    </row>
    <row r="124" spans="1:6">
      <c r="A124" s="1"/>
      <c r="B124" s="79" t="s">
        <v>139</v>
      </c>
      <c r="C124" s="80">
        <v>45674</v>
      </c>
      <c r="D124" s="81">
        <v>1.059355E-2</v>
      </c>
      <c r="E124" s="81">
        <v>1.059355E-2</v>
      </c>
      <c r="F124" s="82">
        <v>10.0725</v>
      </c>
    </row>
    <row r="125" spans="1:6">
      <c r="A125" s="1"/>
      <c r="B125" s="79" t="s">
        <v>140</v>
      </c>
      <c r="C125" s="80">
        <v>45674</v>
      </c>
      <c r="D125" s="81">
        <v>1.150987E-2</v>
      </c>
      <c r="E125" s="81">
        <v>1.150987E-2</v>
      </c>
      <c r="F125" s="82">
        <v>10.074299999999999</v>
      </c>
    </row>
    <row r="126" spans="1:6">
      <c r="A126" s="1"/>
      <c r="B126" s="79" t="s">
        <v>139</v>
      </c>
      <c r="C126" s="80">
        <v>45681</v>
      </c>
      <c r="D126" s="81">
        <v>2.3021139999999999E-2</v>
      </c>
      <c r="E126" s="81">
        <v>2.3021139999999999E-2</v>
      </c>
      <c r="F126" s="82">
        <v>10.084899999999999</v>
      </c>
    </row>
    <row r="127" spans="1:6">
      <c r="A127" s="1"/>
      <c r="B127" s="79" t="s">
        <v>140</v>
      </c>
      <c r="C127" s="80">
        <v>45681</v>
      </c>
      <c r="D127" s="81">
        <v>2.3928640000000001E-2</v>
      </c>
      <c r="E127" s="81">
        <v>2.3928640000000001E-2</v>
      </c>
      <c r="F127" s="82">
        <v>10.0867</v>
      </c>
    </row>
    <row r="128" spans="1:6">
      <c r="A128" s="1"/>
      <c r="B128" s="79" t="s">
        <v>141</v>
      </c>
      <c r="C128" s="80">
        <v>45687</v>
      </c>
      <c r="D128" s="81">
        <v>7.7067739999999996E-2</v>
      </c>
      <c r="E128" s="81">
        <v>7.7067739999999996E-2</v>
      </c>
      <c r="F128" s="82">
        <v>10.139200000000001</v>
      </c>
    </row>
    <row r="129" spans="1:6">
      <c r="A129" s="1"/>
      <c r="B129" s="79" t="s">
        <v>142</v>
      </c>
      <c r="C129" s="80">
        <v>45687</v>
      </c>
      <c r="D129" s="81">
        <v>8.1313209999999997E-2</v>
      </c>
      <c r="E129" s="81">
        <v>8.1313209999999997E-2</v>
      </c>
      <c r="F129" s="82">
        <v>10.161199999999999</v>
      </c>
    </row>
    <row r="130" spans="1:6">
      <c r="A130" s="1"/>
      <c r="B130" s="79" t="s">
        <v>139</v>
      </c>
      <c r="C130" s="80">
        <v>45688</v>
      </c>
      <c r="D130" s="81">
        <v>1.791127E-2</v>
      </c>
      <c r="E130" s="81">
        <v>1.791127E-2</v>
      </c>
      <c r="F130" s="82">
        <v>10.079800000000001</v>
      </c>
    </row>
    <row r="131" spans="1:6">
      <c r="A131" s="1"/>
      <c r="B131" s="79" t="s">
        <v>140</v>
      </c>
      <c r="C131" s="80">
        <v>45688</v>
      </c>
      <c r="D131" s="81">
        <v>1.8824190000000001E-2</v>
      </c>
      <c r="E131" s="81">
        <v>1.8824190000000001E-2</v>
      </c>
      <c r="F131" s="82">
        <v>10.0816</v>
      </c>
    </row>
    <row r="132" spans="1:6">
      <c r="A132" s="1"/>
      <c r="B132" s="79" t="s">
        <v>139</v>
      </c>
      <c r="C132" s="80">
        <v>45695</v>
      </c>
      <c r="D132" s="81">
        <v>1.3556729999999999E-2</v>
      </c>
      <c r="E132" s="81">
        <v>1.3556729999999999E-2</v>
      </c>
      <c r="F132" s="82">
        <v>10.0755</v>
      </c>
    </row>
    <row r="133" spans="1:6">
      <c r="A133" s="1"/>
      <c r="B133" s="79" t="s">
        <v>140</v>
      </c>
      <c r="C133" s="80">
        <v>45695</v>
      </c>
      <c r="D133" s="81">
        <v>1.4470490000000001E-2</v>
      </c>
      <c r="E133" s="81">
        <v>1.4470490000000001E-2</v>
      </c>
      <c r="F133" s="82">
        <v>10.077299999999999</v>
      </c>
    </row>
    <row r="134" spans="1:6">
      <c r="A134" s="1"/>
      <c r="B134" s="79" t="s">
        <v>139</v>
      </c>
      <c r="C134" s="80">
        <v>45702</v>
      </c>
      <c r="D134" s="81">
        <v>9.7647900000000006E-3</v>
      </c>
      <c r="E134" s="81">
        <v>9.7647900000000006E-3</v>
      </c>
      <c r="F134" s="82">
        <v>10.0717</v>
      </c>
    </row>
    <row r="135" spans="1:6">
      <c r="A135" s="1"/>
      <c r="B135" s="79" t="s">
        <v>140</v>
      </c>
      <c r="C135" s="80">
        <v>45702</v>
      </c>
      <c r="D135" s="81">
        <v>1.0680729999999999E-2</v>
      </c>
      <c r="E135" s="81">
        <v>1.0680729999999999E-2</v>
      </c>
      <c r="F135" s="82">
        <v>10.073499999999999</v>
      </c>
    </row>
    <row r="136" spans="1:6">
      <c r="A136" s="1"/>
      <c r="B136" s="79" t="s">
        <v>139</v>
      </c>
      <c r="C136" s="80">
        <v>45709</v>
      </c>
      <c r="D136" s="81">
        <v>1.020454E-2</v>
      </c>
      <c r="E136" s="81">
        <v>1.020454E-2</v>
      </c>
      <c r="F136" s="82">
        <v>10.072100000000001</v>
      </c>
    </row>
    <row r="137" spans="1:6">
      <c r="A137" s="1"/>
      <c r="B137" s="79" t="s">
        <v>140</v>
      </c>
      <c r="C137" s="80">
        <v>45709</v>
      </c>
      <c r="D137" s="81">
        <v>1.111874E-2</v>
      </c>
      <c r="E137" s="81">
        <v>1.111874E-2</v>
      </c>
      <c r="F137" s="82">
        <v>10.0739</v>
      </c>
    </row>
    <row r="138" spans="1:6">
      <c r="A138" s="1"/>
      <c r="B138" s="79" t="s">
        <v>141</v>
      </c>
      <c r="C138" s="80">
        <v>45715</v>
      </c>
      <c r="D138" s="81">
        <v>4.6394360000000003E-2</v>
      </c>
      <c r="E138" s="81">
        <v>4.6394360000000003E-2</v>
      </c>
      <c r="F138" s="82">
        <v>10.108499999999999</v>
      </c>
    </row>
    <row r="139" spans="1:6">
      <c r="A139" s="1"/>
      <c r="B139" s="79" t="s">
        <v>142</v>
      </c>
      <c r="C139" s="80">
        <v>45715</v>
      </c>
      <c r="D139" s="81">
        <v>5.0167879999999998E-2</v>
      </c>
      <c r="E139" s="81">
        <v>5.0167879999999998E-2</v>
      </c>
      <c r="F139" s="82">
        <v>10.130100000000001</v>
      </c>
    </row>
    <row r="140" spans="1:6">
      <c r="A140" s="1"/>
      <c r="B140" s="79" t="s">
        <v>139</v>
      </c>
      <c r="C140" s="80">
        <v>45716</v>
      </c>
      <c r="D140" s="81">
        <v>1.283611E-2</v>
      </c>
      <c r="E140" s="81">
        <v>1.283611E-2</v>
      </c>
      <c r="F140" s="82">
        <v>10.0747</v>
      </c>
    </row>
    <row r="141" spans="1:6">
      <c r="A141" s="1"/>
      <c r="B141" s="79" t="s">
        <v>140</v>
      </c>
      <c r="C141" s="80">
        <v>45716</v>
      </c>
      <c r="D141" s="81">
        <v>1.3748669999999999E-2</v>
      </c>
      <c r="E141" s="81">
        <v>1.3748669999999999E-2</v>
      </c>
      <c r="F141" s="82">
        <v>10.076499999999999</v>
      </c>
    </row>
    <row r="142" spans="1:6">
      <c r="A142" s="1"/>
      <c r="B142" s="79" t="s">
        <v>139</v>
      </c>
      <c r="C142" s="80">
        <v>45723</v>
      </c>
      <c r="D142" s="81">
        <v>1.622446E-2</v>
      </c>
      <c r="E142" s="81">
        <v>1.622446E-2</v>
      </c>
      <c r="F142" s="82">
        <v>10.078099999999999</v>
      </c>
    </row>
    <row r="143" spans="1:6">
      <c r="A143" s="1"/>
      <c r="B143" s="79" t="s">
        <v>140</v>
      </c>
      <c r="C143" s="80">
        <v>45723</v>
      </c>
      <c r="D143" s="81">
        <v>1.712203E-2</v>
      </c>
      <c r="E143" s="81">
        <v>1.712203E-2</v>
      </c>
      <c r="F143" s="82">
        <v>10.0799</v>
      </c>
    </row>
    <row r="144" spans="1:6">
      <c r="A144" s="1"/>
      <c r="B144" s="79" t="s">
        <v>139</v>
      </c>
      <c r="C144" s="80">
        <v>45729</v>
      </c>
      <c r="D144" s="81">
        <v>1.195391E-2</v>
      </c>
      <c r="E144" s="81">
        <v>1.195391E-2</v>
      </c>
      <c r="F144" s="82">
        <v>10.0739</v>
      </c>
    </row>
    <row r="145" spans="1:6">
      <c r="A145" s="1"/>
      <c r="B145" s="79" t="s">
        <v>140</v>
      </c>
      <c r="C145" s="80">
        <v>45729</v>
      </c>
      <c r="D145" s="81">
        <v>1.272595E-2</v>
      </c>
      <c r="E145" s="81">
        <v>1.272595E-2</v>
      </c>
      <c r="F145" s="82">
        <v>10.0755</v>
      </c>
    </row>
    <row r="146" spans="1:6">
      <c r="A146" s="1"/>
      <c r="B146" s="79" t="s">
        <v>139</v>
      </c>
      <c r="C146" s="80">
        <v>45737</v>
      </c>
      <c r="D146" s="81">
        <v>4.2137500000000001E-2</v>
      </c>
      <c r="E146" s="81">
        <v>4.2137500000000001E-2</v>
      </c>
      <c r="F146" s="82">
        <v>10.103999999999999</v>
      </c>
    </row>
    <row r="147" spans="1:6">
      <c r="A147" s="1"/>
      <c r="B147" s="79" t="s">
        <v>140</v>
      </c>
      <c r="C147" s="80">
        <v>45737</v>
      </c>
      <c r="D147" s="81">
        <v>4.3123670000000003E-2</v>
      </c>
      <c r="E147" s="81">
        <v>4.3123670000000003E-2</v>
      </c>
      <c r="F147" s="82">
        <v>10.1059</v>
      </c>
    </row>
    <row r="148" spans="1:6">
      <c r="A148" s="1"/>
      <c r="B148" s="79" t="s">
        <v>145</v>
      </c>
      <c r="C148" s="80">
        <v>45740</v>
      </c>
      <c r="D148" s="81">
        <v>0.77749999999999997</v>
      </c>
      <c r="E148" s="81">
        <v>0.77749999999999997</v>
      </c>
      <c r="F148" s="82">
        <v>10.911300000000001</v>
      </c>
    </row>
    <row r="149" spans="1:6">
      <c r="A149" s="1"/>
      <c r="B149" s="79" t="s">
        <v>141</v>
      </c>
      <c r="C149" s="80">
        <v>45740</v>
      </c>
      <c r="D149" s="81">
        <v>7.8296420000000005E-2</v>
      </c>
      <c r="E149" s="81">
        <v>7.8296420000000005E-2</v>
      </c>
      <c r="F149" s="82">
        <v>10.1404</v>
      </c>
    </row>
    <row r="150" spans="1:6">
      <c r="A150" s="1"/>
      <c r="B150" s="79" t="s">
        <v>143</v>
      </c>
      <c r="C150" s="80">
        <v>45740</v>
      </c>
      <c r="D150" s="81">
        <v>0.14580000000000001</v>
      </c>
      <c r="E150" s="81">
        <v>0.14580000000000001</v>
      </c>
      <c r="F150" s="82">
        <v>10.4032</v>
      </c>
    </row>
    <row r="151" spans="1:6">
      <c r="A151" s="1"/>
      <c r="B151" s="79" t="s">
        <v>146</v>
      </c>
      <c r="C151" s="80">
        <v>45740</v>
      </c>
      <c r="D151" s="81">
        <v>0.82740000000000002</v>
      </c>
      <c r="E151" s="81">
        <v>0.82740000000000002</v>
      </c>
      <c r="F151" s="82">
        <v>10.9695</v>
      </c>
    </row>
    <row r="152" spans="1:6">
      <c r="A152" s="1"/>
      <c r="B152" s="79" t="s">
        <v>142</v>
      </c>
      <c r="C152" s="80">
        <v>45740</v>
      </c>
      <c r="D152" s="81">
        <v>8.1736370000000003E-2</v>
      </c>
      <c r="E152" s="81">
        <v>8.1736370000000003E-2</v>
      </c>
      <c r="F152" s="82">
        <v>10.1616</v>
      </c>
    </row>
    <row r="153" spans="1:6">
      <c r="A153" s="1"/>
      <c r="B153" s="79" t="s">
        <v>144</v>
      </c>
      <c r="C153" s="80">
        <v>45740</v>
      </c>
      <c r="D153" s="81">
        <v>0.13589999999999999</v>
      </c>
      <c r="E153" s="81">
        <v>0.13589999999999999</v>
      </c>
      <c r="F153" s="82">
        <v>10.4253</v>
      </c>
    </row>
    <row r="154" spans="1:6">
      <c r="A154" s="1"/>
      <c r="B154" s="79" t="s">
        <v>139</v>
      </c>
      <c r="C154" s="80">
        <v>45744</v>
      </c>
      <c r="D154" s="81">
        <v>1.559722E-2</v>
      </c>
      <c r="E154" s="81">
        <v>1.559722E-2</v>
      </c>
      <c r="F154" s="82">
        <v>10.0984</v>
      </c>
    </row>
    <row r="155" spans="1:6">
      <c r="A155" s="1"/>
      <c r="B155" s="79" t="s">
        <v>140</v>
      </c>
      <c r="C155" s="80">
        <v>45744</v>
      </c>
      <c r="D155" s="81">
        <v>1.515087E-2</v>
      </c>
      <c r="E155" s="81">
        <v>1.515087E-2</v>
      </c>
      <c r="F155" s="82">
        <v>10.100199999999999</v>
      </c>
    </row>
    <row r="156" spans="1:6">
      <c r="A156" s="1"/>
      <c r="B156" s="79"/>
      <c r="C156" s="80"/>
      <c r="D156" s="81"/>
      <c r="E156" s="81"/>
      <c r="F156" s="82"/>
    </row>
    <row r="157" spans="1:6">
      <c r="A157" s="1"/>
      <c r="B157" s="79"/>
      <c r="C157" s="80"/>
      <c r="D157" s="81"/>
      <c r="E157" s="81"/>
      <c r="F157" s="82"/>
    </row>
    <row r="158" spans="1:6">
      <c r="A158" s="1"/>
      <c r="B158" s="79"/>
      <c r="C158" s="80"/>
      <c r="D158" s="81"/>
      <c r="E158" s="81"/>
      <c r="F158" s="82"/>
    </row>
    <row r="159" spans="1:6">
      <c r="A159" s="1"/>
      <c r="B159" s="79" t="s">
        <v>147</v>
      </c>
      <c r="C159" s="80" t="s">
        <v>148</v>
      </c>
      <c r="D159" s="83">
        <v>0.37174922999999993</v>
      </c>
      <c r="E159" s="83">
        <v>0.37174922999999993</v>
      </c>
      <c r="F159" s="82">
        <v>10.082700000000001</v>
      </c>
    </row>
    <row r="160" spans="1:6">
      <c r="A160" s="1"/>
      <c r="B160" s="79" t="s">
        <v>149</v>
      </c>
      <c r="C160" s="80" t="s">
        <v>148</v>
      </c>
      <c r="D160" s="83">
        <v>0.39467797999999998</v>
      </c>
      <c r="E160" s="83">
        <v>0.39467797999999998</v>
      </c>
      <c r="F160" s="82">
        <v>10.082700000000001</v>
      </c>
    </row>
    <row r="161" spans="1:8">
      <c r="A161" s="1"/>
      <c r="B161" s="84"/>
      <c r="C161" s="80"/>
      <c r="D161" s="81"/>
      <c r="E161" s="81"/>
      <c r="F161" s="82"/>
    </row>
    <row r="162" spans="1:8">
      <c r="A162" s="1"/>
      <c r="B162" s="84" t="s">
        <v>150</v>
      </c>
      <c r="C162" s="80"/>
      <c r="D162" s="81"/>
      <c r="E162" s="81"/>
      <c r="F162" s="82"/>
    </row>
    <row r="163" spans="1:8">
      <c r="A163" s="1"/>
      <c r="B163" s="84"/>
      <c r="C163" s="52"/>
      <c r="D163" s="70"/>
      <c r="E163" s="52"/>
      <c r="F163" s="85"/>
    </row>
    <row r="164" spans="1:8">
      <c r="A164" s="1"/>
      <c r="B164" s="56" t="s">
        <v>151</v>
      </c>
      <c r="C164" s="52"/>
      <c r="D164" s="65"/>
      <c r="E164" s="55"/>
      <c r="F164" s="67"/>
    </row>
    <row r="165" spans="1:8">
      <c r="A165" s="1"/>
      <c r="B165" s="56" t="s">
        <v>152</v>
      </c>
      <c r="C165" s="52"/>
      <c r="D165" s="86"/>
      <c r="E165" s="55"/>
      <c r="F165" s="67"/>
    </row>
    <row r="166" spans="1:8">
      <c r="A166" s="1"/>
      <c r="B166" s="87" t="s">
        <v>153</v>
      </c>
      <c r="C166" s="52"/>
      <c r="D166" s="86"/>
      <c r="E166" s="55"/>
      <c r="F166" s="67"/>
    </row>
    <row r="167" spans="1:8">
      <c r="A167" s="1"/>
      <c r="B167" s="56" t="s">
        <v>154</v>
      </c>
      <c r="C167" s="52"/>
      <c r="D167" s="52"/>
      <c r="E167" s="52"/>
      <c r="F167" s="53"/>
    </row>
    <row r="168" spans="1:8">
      <c r="A168" s="1"/>
      <c r="B168" s="56" t="s">
        <v>155</v>
      </c>
      <c r="C168" s="52"/>
      <c r="D168" s="52"/>
      <c r="E168" s="52"/>
      <c r="F168" s="53"/>
    </row>
    <row r="169" spans="1:8" ht="15" thickBot="1">
      <c r="A169" s="1"/>
      <c r="B169" s="88"/>
      <c r="C169" s="89"/>
      <c r="D169" s="89"/>
      <c r="E169" s="89"/>
      <c r="F169" s="90"/>
    </row>
    <row r="170" spans="1:8">
      <c r="A170" s="1"/>
    </row>
    <row r="171" spans="1:8" ht="15">
      <c r="A171" s="1"/>
      <c r="B171" s="91" t="s">
        <v>156</v>
      </c>
    </row>
    <row r="172" spans="1:8" ht="15" thickBot="1">
      <c r="A172" s="1"/>
    </row>
    <row r="173" spans="1:8" ht="24.75" thickBot="1">
      <c r="A173" s="1"/>
      <c r="B173" s="93" t="s">
        <v>134</v>
      </c>
      <c r="C173" s="94" t="s">
        <v>157</v>
      </c>
      <c r="D173" s="115" t="s">
        <v>158</v>
      </c>
      <c r="E173" s="115"/>
      <c r="F173" s="94" t="s">
        <v>159</v>
      </c>
      <c r="G173" s="94" t="s">
        <v>160</v>
      </c>
      <c r="H173" s="95" t="s">
        <v>161</v>
      </c>
    </row>
    <row r="174" spans="1:8">
      <c r="A174" s="1"/>
      <c r="B174" s="96"/>
      <c r="C174" s="97"/>
      <c r="D174" s="116"/>
      <c r="E174" s="116"/>
      <c r="F174" s="97"/>
      <c r="G174" s="97"/>
      <c r="H174" s="98"/>
    </row>
    <row r="175" spans="1:8" ht="31.15" customHeight="1">
      <c r="A175" s="1"/>
      <c r="B175" s="99" t="s">
        <v>162</v>
      </c>
      <c r="C175" s="100" t="s">
        <v>163</v>
      </c>
      <c r="D175" s="113" t="s">
        <v>173</v>
      </c>
      <c r="E175" s="113"/>
      <c r="F175" s="101">
        <v>2500</v>
      </c>
      <c r="G175" s="102">
        <v>45749</v>
      </c>
      <c r="H175" s="103" t="s">
        <v>164</v>
      </c>
    </row>
    <row r="176" spans="1:8" ht="46.15" customHeight="1">
      <c r="A176" s="1"/>
      <c r="B176" s="99" t="s">
        <v>162</v>
      </c>
      <c r="C176" s="100" t="s">
        <v>165</v>
      </c>
      <c r="D176" s="113"/>
      <c r="E176" s="113"/>
      <c r="F176" s="101">
        <f>-F175</f>
        <v>-2500</v>
      </c>
      <c r="G176" s="102">
        <v>45754</v>
      </c>
      <c r="H176" s="103" t="s">
        <v>166</v>
      </c>
    </row>
    <row r="177" spans="1:8">
      <c r="A177" s="1"/>
      <c r="B177" s="99"/>
      <c r="C177" s="100"/>
      <c r="D177" s="112"/>
      <c r="E177" s="112"/>
      <c r="F177" s="101"/>
      <c r="G177" s="101"/>
      <c r="H177" s="103"/>
    </row>
    <row r="178" spans="1:8" ht="39.6" customHeight="1">
      <c r="A178" s="1"/>
      <c r="B178" s="99" t="s">
        <v>162</v>
      </c>
      <c r="C178" s="100" t="s">
        <v>163</v>
      </c>
      <c r="D178" s="113" t="s">
        <v>174</v>
      </c>
      <c r="E178" s="113"/>
      <c r="F178" s="101">
        <v>2500</v>
      </c>
      <c r="G178" s="102">
        <v>45749</v>
      </c>
      <c r="H178" s="103" t="s">
        <v>164</v>
      </c>
    </row>
    <row r="179" spans="1:8" ht="42" customHeight="1">
      <c r="A179" s="1"/>
      <c r="B179" s="99" t="s">
        <v>162</v>
      </c>
      <c r="C179" s="100" t="s">
        <v>165</v>
      </c>
      <c r="D179" s="113"/>
      <c r="E179" s="113"/>
      <c r="F179" s="101">
        <f>-F178</f>
        <v>-2500</v>
      </c>
      <c r="G179" s="102">
        <v>45754</v>
      </c>
      <c r="H179" s="103" t="s">
        <v>166</v>
      </c>
    </row>
    <row r="180" spans="1:8">
      <c r="A180" s="1"/>
      <c r="B180" s="99"/>
      <c r="C180" s="100"/>
      <c r="D180" s="112"/>
      <c r="E180" s="112"/>
      <c r="F180" s="100"/>
      <c r="G180" s="101"/>
      <c r="H180" s="103"/>
    </row>
    <row r="181" spans="1:8" ht="39.6" customHeight="1">
      <c r="A181" s="1"/>
      <c r="B181" s="99" t="s">
        <v>162</v>
      </c>
      <c r="C181" s="100" t="s">
        <v>163</v>
      </c>
      <c r="D181" s="113" t="s">
        <v>175</v>
      </c>
      <c r="E181" s="113"/>
      <c r="F181" s="101">
        <v>2500</v>
      </c>
      <c r="G181" s="102">
        <v>45749</v>
      </c>
      <c r="H181" s="103" t="s">
        <v>164</v>
      </c>
    </row>
    <row r="182" spans="1:8" ht="37.15" customHeight="1">
      <c r="A182" s="1"/>
      <c r="B182" s="99" t="s">
        <v>162</v>
      </c>
      <c r="C182" s="100" t="s">
        <v>165</v>
      </c>
      <c r="D182" s="113"/>
      <c r="E182" s="113"/>
      <c r="F182" s="101">
        <f>-F181</f>
        <v>-2500</v>
      </c>
      <c r="G182" s="102">
        <v>45754</v>
      </c>
      <c r="H182" s="103" t="s">
        <v>166</v>
      </c>
    </row>
    <row r="183" spans="1:8">
      <c r="A183" s="1"/>
      <c r="B183" s="99"/>
      <c r="C183" s="100"/>
      <c r="D183" s="112"/>
      <c r="E183" s="112"/>
      <c r="F183" s="101"/>
      <c r="G183" s="101"/>
      <c r="H183" s="103"/>
    </row>
    <row r="184" spans="1:8" ht="32.450000000000003" customHeight="1">
      <c r="A184" s="1"/>
      <c r="B184" s="99" t="s">
        <v>162</v>
      </c>
      <c r="C184" s="100" t="s">
        <v>163</v>
      </c>
      <c r="D184" s="113" t="s">
        <v>176</v>
      </c>
      <c r="E184" s="113"/>
      <c r="F184" s="101">
        <v>2500</v>
      </c>
      <c r="G184" s="102">
        <v>45749</v>
      </c>
      <c r="H184" s="103" t="s">
        <v>164</v>
      </c>
    </row>
    <row r="185" spans="1:8" ht="39" customHeight="1">
      <c r="A185" s="1"/>
      <c r="B185" s="99" t="s">
        <v>162</v>
      </c>
      <c r="C185" s="100" t="s">
        <v>165</v>
      </c>
      <c r="D185" s="113"/>
      <c r="E185" s="113"/>
      <c r="F185" s="101">
        <f>-F184</f>
        <v>-2500</v>
      </c>
      <c r="G185" s="102">
        <v>45754</v>
      </c>
      <c r="H185" s="103" t="s">
        <v>166</v>
      </c>
    </row>
    <row r="186" spans="1:8">
      <c r="A186" s="1"/>
      <c r="B186" s="99"/>
      <c r="C186" s="100"/>
      <c r="D186" s="112"/>
      <c r="E186" s="112"/>
      <c r="F186" s="101"/>
      <c r="G186" s="101"/>
      <c r="H186" s="103"/>
    </row>
    <row r="187" spans="1:8" ht="36.6" customHeight="1">
      <c r="A187" s="1"/>
      <c r="B187" s="99" t="s">
        <v>162</v>
      </c>
      <c r="C187" s="100" t="s">
        <v>163</v>
      </c>
      <c r="D187" s="113" t="s">
        <v>177</v>
      </c>
      <c r="E187" s="113"/>
      <c r="F187" s="101">
        <v>2500</v>
      </c>
      <c r="G187" s="102">
        <v>45749</v>
      </c>
      <c r="H187" s="103" t="s">
        <v>164</v>
      </c>
    </row>
    <row r="188" spans="1:8" ht="53.45" customHeight="1">
      <c r="A188" s="1"/>
      <c r="B188" s="99" t="s">
        <v>162</v>
      </c>
      <c r="C188" s="100" t="s">
        <v>165</v>
      </c>
      <c r="D188" s="113"/>
      <c r="E188" s="113"/>
      <c r="F188" s="101">
        <f>-F187</f>
        <v>-2500</v>
      </c>
      <c r="G188" s="102">
        <v>45754</v>
      </c>
      <c r="H188" s="103" t="s">
        <v>166</v>
      </c>
    </row>
    <row r="189" spans="1:8">
      <c r="A189" s="1"/>
      <c r="B189" s="99"/>
      <c r="C189" s="100"/>
      <c r="D189" s="112"/>
      <c r="E189" s="112"/>
      <c r="F189" s="101"/>
      <c r="G189" s="101"/>
      <c r="H189" s="103"/>
    </row>
    <row r="190" spans="1:8" ht="33" customHeight="1">
      <c r="A190" s="1"/>
      <c r="B190" s="99" t="s">
        <v>162</v>
      </c>
      <c r="C190" s="100" t="s">
        <v>163</v>
      </c>
      <c r="D190" s="113" t="s">
        <v>178</v>
      </c>
      <c r="E190" s="113"/>
      <c r="F190" s="104">
        <v>3500</v>
      </c>
      <c r="G190" s="102">
        <v>45749</v>
      </c>
      <c r="H190" s="103" t="s">
        <v>164</v>
      </c>
    </row>
    <row r="191" spans="1:8" ht="33" customHeight="1" thickBot="1">
      <c r="A191" s="1"/>
      <c r="B191" s="105" t="s">
        <v>162</v>
      </c>
      <c r="C191" s="106" t="s">
        <v>165</v>
      </c>
      <c r="D191" s="114"/>
      <c r="E191" s="114"/>
      <c r="F191" s="107">
        <f>-F190</f>
        <v>-3500</v>
      </c>
      <c r="G191" s="108">
        <v>45754</v>
      </c>
      <c r="H191" s="109" t="s">
        <v>166</v>
      </c>
    </row>
    <row r="192" spans="1:8">
      <c r="A192" s="1"/>
    </row>
    <row r="193" spans="1:8">
      <c r="A193" s="1"/>
    </row>
    <row r="194" spans="1:8">
      <c r="A194" s="1"/>
      <c r="B194" s="2" t="s">
        <v>167</v>
      </c>
    </row>
    <row r="195" spans="1:8">
      <c r="A195" s="1"/>
      <c r="B195" s="2" t="s">
        <v>168</v>
      </c>
    </row>
    <row r="197" spans="1:8" ht="61.15" customHeight="1">
      <c r="B197" s="111" t="s">
        <v>169</v>
      </c>
      <c r="C197" s="111"/>
      <c r="D197" s="111"/>
      <c r="E197" s="111"/>
      <c r="F197" s="111"/>
      <c r="G197" s="111"/>
      <c r="H197" s="111"/>
    </row>
    <row r="198" spans="1:8" ht="15" customHeight="1">
      <c r="B198" s="92"/>
      <c r="C198" s="92"/>
      <c r="D198" s="92"/>
      <c r="E198" s="92"/>
      <c r="F198" s="92"/>
      <c r="G198" s="92"/>
      <c r="H198" s="92"/>
    </row>
    <row r="199" spans="1:8" ht="15" customHeight="1">
      <c r="B199" s="92"/>
      <c r="C199" s="92"/>
      <c r="D199" s="92"/>
      <c r="E199" s="92"/>
      <c r="F199" s="92"/>
      <c r="G199" s="92"/>
      <c r="H199" s="92"/>
    </row>
    <row r="200" spans="1:8" ht="15">
      <c r="F200" s="91" t="s">
        <v>170</v>
      </c>
    </row>
    <row r="201" spans="1:8" ht="15">
      <c r="B201" s="91" t="s">
        <v>171</v>
      </c>
      <c r="F201" s="91" t="s">
        <v>172</v>
      </c>
    </row>
  </sheetData>
  <mergeCells count="16">
    <mergeCell ref="B2:G2"/>
    <mergeCell ref="B3:G3"/>
    <mergeCell ref="B197:H197"/>
    <mergeCell ref="D186:E186"/>
    <mergeCell ref="D187:E188"/>
    <mergeCell ref="D189:E189"/>
    <mergeCell ref="D190:E191"/>
    <mergeCell ref="D173:E173"/>
    <mergeCell ref="D174:E174"/>
    <mergeCell ref="D175:E176"/>
    <mergeCell ref="D177:E177"/>
    <mergeCell ref="D178:E179"/>
    <mergeCell ref="D180:E180"/>
    <mergeCell ref="D181:E182"/>
    <mergeCell ref="D183:E183"/>
    <mergeCell ref="D184:E185"/>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Sakshi Panchamia</cp:lastModifiedBy>
  <dcterms:created xsi:type="dcterms:W3CDTF">2025-04-07T18:45:18Z</dcterms:created>
  <dcterms:modified xsi:type="dcterms:W3CDTF">2025-04-08T13:07:52Z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2025-04-07T18:45:18Z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46a5114e-f34c-4c8e-b0a1-d62ae7fc9b77</vt:lpwstr>
  </property>
  <property fmtid="{D5CDD505-2E9C-101B-9397-08002B2CF9AE}" pid="8" name="MSIP_Label_af1741f6-9e47-426e-a683-937c37d4ebc5_ContentBits">
    <vt:lpwstr>3</vt:lpwstr>
  </property>
</Properties>
</file>