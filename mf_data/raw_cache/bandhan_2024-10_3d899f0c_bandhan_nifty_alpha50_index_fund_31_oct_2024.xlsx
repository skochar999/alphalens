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1274554E-DF73-4812-A877-D6AF783E58BA}" xr6:coauthVersionLast="47" xr6:coauthVersionMax="47" xr10:uidLastSave="{00000000-0000-0000-0000-000000000000}"/>
  <bookViews>
    <workbookView xWindow="-108" yWindow="-108" windowWidth="41496" windowHeight="16896" xr2:uid="{0C8E02BD-1B6D-4A50-BC00-59288C4BC984}"/>
  </bookViews>
  <sheets>
    <sheet name="IDF295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5">'IDF295'!$A$2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<sst xmlns="http://schemas.openxmlformats.org/spreadsheetml/2006/main" count="259" uniqueCount="221">
  <si>
    <t>IDF295</t>
  </si>
  <si>
    <t>INDEX</t>
  </si>
  <si>
    <t>Portfolio Statement as on October 31,2024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</si>
  <si>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</si>
  <si>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</si>
  <si>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</si>
  <si>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</si>
  <si>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</si>
  <si>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</si>
  <si>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</si>
  <si>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</si>
  <si>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</si>
  <si>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</si>
  <si>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RVNL01</t>
  </si>
  <si>
    <t>Rail Vikas Nigam Limited</t>
  </si>
  <si>
    <t>INE415G01027</t>
  </si>
  <si>
    <t>Construction</t>
  </si>
  <si>
    <t>INOW01</t>
  </si>
  <si>
    <t>Inox Wind Limited</t>
  </si>
  <si>
    <t>INE066P01011</t>
  </si>
  <si>
    <t>Electrical Equipment</t>
  </si>
  <si>
    <t>LAKM02</t>
  </si>
  <si>
    <t>Trent Limited</t>
  </si>
  <si>
    <t>INE849A01020</t>
  </si>
  <si>
    <t>Retailing</t>
  </si>
  <si>
    <t>COCH02</t>
  </si>
  <si>
    <t>Cochin Shipyard Limited</t>
  </si>
  <si>
    <t>INE704P01025</t>
  </si>
  <si>
    <t>Industrial Manufacturing</t>
  </si>
  <si>
    <t>OIIL01</t>
  </si>
  <si>
    <t>Oil India Limited</t>
  </si>
  <si>
    <t>INE274J01014</t>
  </si>
  <si>
    <t>Oil</t>
  </si>
  <si>
    <t>BSEL02</t>
  </si>
  <si>
    <t>BSE Limited</t>
  </si>
  <si>
    <t>INE118H01025</t>
  </si>
  <si>
    <t>Capital Markets</t>
  </si>
  <si>
    <t>MCEX01</t>
  </si>
  <si>
    <t>Multi Commodity Exchange of India Limited</t>
  </si>
  <si>
    <t>INE745G01035</t>
  </si>
  <si>
    <t>IRLY01</t>
  </si>
  <si>
    <t>Indian Railway Finance Corporation Limited</t>
  </si>
  <si>
    <t>INE053F01010</t>
  </si>
  <si>
    <t>Finance</t>
  </si>
  <si>
    <t>HURD01</t>
  </si>
  <si>
    <t>Housing &amp; Urban Development Corporation Limited</t>
  </si>
  <si>
    <t>INE031A01017</t>
  </si>
  <si>
    <t>NBCC03</t>
  </si>
  <si>
    <t>NBCC (India) Limited</t>
  </si>
  <si>
    <t>INE095N01031</t>
  </si>
  <si>
    <t>ABBP01</t>
  </si>
  <si>
    <t>Hitachi Energy India Limited</t>
  </si>
  <si>
    <t>INE07Y701011</t>
  </si>
  <si>
    <t>SUZE02</t>
  </si>
  <si>
    <t>Suzlon Energy Limited</t>
  </si>
  <si>
    <t>INE040H01021</t>
  </si>
  <si>
    <t>TOPL01</t>
  </si>
  <si>
    <t>Torrent Power Limited</t>
  </si>
  <si>
    <t>INE813H01021</t>
  </si>
  <si>
    <t>Power</t>
  </si>
  <si>
    <t>IFEL01</t>
  </si>
  <si>
    <t>Oracle Financial Services Software Limited</t>
  </si>
  <si>
    <t>INE881D01027</t>
  </si>
  <si>
    <t>IT - Software</t>
  </si>
  <si>
    <t>CDSL01</t>
  </si>
  <si>
    <t>Central Depository Services (India) Limited</t>
  </si>
  <si>
    <t>INE736A01011</t>
  </si>
  <si>
    <t>DIXO02</t>
  </si>
  <si>
    <t>Dixon Technologies (India) Limited</t>
  </si>
  <si>
    <t>INE935N01020</t>
  </si>
  <si>
    <t>Consumer Durables</t>
  </si>
  <si>
    <t>KALJ01</t>
  </si>
  <si>
    <t>Kalyan Jewellers India Limited</t>
  </si>
  <si>
    <t>INE303R01014</t>
  </si>
  <si>
    <t>PREP01</t>
  </si>
  <si>
    <t>Prestige Estates Projects Limited</t>
  </si>
  <si>
    <t>INE811K01011</t>
  </si>
  <si>
    <t>Realty</t>
  </si>
  <si>
    <t>ZMPL01</t>
  </si>
  <si>
    <t>Zomato Limited</t>
  </si>
  <si>
    <t>INE758T01015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</si>
  <si>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</si>
  <si>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</si>
  <si>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</si>
  <si>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</si>
  <si>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</si>
  <si>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</si>
  <si>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</si>
  <si>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Pharmaceuticals &amp; Biotechnology</t>
  </si>
  <si>
    <t>GLPH03</t>
  </si>
  <si>
    <t>Glenmark Pharmaceuticals Limited</t>
  </si>
  <si>
    <t>INE935A01035</t>
  </si>
  <si>
    <t>BALN01</t>
  </si>
  <si>
    <t>Bajaj Auto Limited</t>
  </si>
  <si>
    <t>INE917I01010</t>
  </si>
  <si>
    <t>Automobiles</t>
  </si>
  <si>
    <t>AMRA03</t>
  </si>
  <si>
    <t>Amara Raja Energy &amp; Mobility Ltd</t>
  </si>
  <si>
    <t>INE885A01032</t>
  </si>
  <si>
    <t>Auto Components</t>
  </si>
  <si>
    <t>BHDY02</t>
  </si>
  <si>
    <t>Bharat Dynamics Limited</t>
  </si>
  <si>
    <t>INE171Z01026</t>
  </si>
  <si>
    <t>Aerospace &amp; Defense</t>
  </si>
  <si>
    <t>CENT02</t>
  </si>
  <si>
    <t>Aditya Birla Real Estate Limited</t>
  </si>
  <si>
    <t>INE055A01016</t>
  </si>
  <si>
    <t>Paper, Forest &amp; Jute Products</t>
  </si>
  <si>
    <t>HPEC01</t>
  </si>
  <si>
    <t>Hindustan Petroleum Corporation Limited</t>
  </si>
  <si>
    <t>INE094A01015</t>
  </si>
  <si>
    <t>Petroleum Products</t>
  </si>
  <si>
    <t>BINL01</t>
  </si>
  <si>
    <t>Indus Towers Limited</t>
  </si>
  <si>
    <t>INE121J01017</t>
  </si>
  <si>
    <t>Telecom - Services</t>
  </si>
  <si>
    <t>SOEL02</t>
  </si>
  <si>
    <t>Solar Industries India Limited</t>
  </si>
  <si>
    <t>INE343H01029</t>
  </si>
  <si>
    <t>Chemicals &amp; Petrochemicals</t>
  </si>
  <si>
    <t>HALT02</t>
  </si>
  <si>
    <t>Hindustan Aeronautics Limited</t>
  </si>
  <si>
    <t>INE066F01020</t>
  </si>
  <si>
    <t>PHMI02</t>
  </si>
  <si>
    <t>The Phoenix Mills Limited</t>
  </si>
  <si>
    <t>INE211B01039</t>
  </si>
  <si>
    <t>KCUL02</t>
  </si>
  <si>
    <t>Cummins India Limited</t>
  </si>
  <si>
    <t>INE298A01020</t>
  </si>
  <si>
    <t>Industrial Products</t>
  </si>
  <si>
    <t>COLG02</t>
  </si>
  <si>
    <t>Colgate Palmolive (India) Limited</t>
  </si>
  <si>
    <t>INE259A01022</t>
  </si>
  <si>
    <t>Personal Products</t>
  </si>
  <si>
    <t>SAEL02</t>
  </si>
  <si>
    <t>TVS Motor Company Limited</t>
  </si>
  <si>
    <t>INE494B01023</t>
  </si>
  <si>
    <t>AUPH03</t>
  </si>
  <si>
    <t>Aurobindo Pharma Limited</t>
  </si>
  <si>
    <t>INE406A01037</t>
  </si>
  <si>
    <t>GAPA02</t>
  </si>
  <si>
    <t>Apar Industries Limited</t>
  </si>
  <si>
    <t>INE372A01015</t>
  </si>
  <si>
    <t>CHEL02</t>
  </si>
  <si>
    <t>Zydus Lifesciences Limited</t>
  </si>
  <si>
    <t>INE010B01027</t>
  </si>
  <si>
    <t>PFCL01</t>
  </si>
  <si>
    <t>Power Finance Corporation Limited</t>
  </si>
  <si>
    <t>INE134E01011</t>
  </si>
  <si>
    <t>RELC01</t>
  </si>
  <si>
    <t>REC Limited</t>
  </si>
  <si>
    <t>INE020B01018</t>
  </si>
  <si>
    <t>BHEL02</t>
  </si>
  <si>
    <t>Bharat Electronics Limited</t>
  </si>
  <si>
    <t>INE263A01024</t>
  </si>
  <si>
    <t>BHAH02</t>
  </si>
  <si>
    <t>Bharat Heavy Electricals Limited</t>
  </si>
  <si>
    <t>INE257A01026</t>
  </si>
  <si>
    <t>VNBL03</t>
  </si>
  <si>
    <t>Varun Beverages Limited</t>
  </si>
  <si>
    <t>INE200M01039</t>
  </si>
  <si>
    <t>Beverages</t>
  </si>
  <si>
    <t>KEII02</t>
  </si>
  <si>
    <t>KEI Industries Limited</t>
  </si>
  <si>
    <t>INE878B01027</t>
  </si>
  <si>
    <t>ASEA02</t>
  </si>
  <si>
    <t>ABB India Limited</t>
  </si>
  <si>
    <t>INE117A01022</t>
  </si>
  <si>
    <t>MACR01</t>
  </si>
  <si>
    <t>Macrotech Developers Limited</t>
  </si>
  <si>
    <t>INE670K01029</t>
  </si>
  <si>
    <t>JSTA02</t>
  </si>
  <si>
    <t>Jindal Stainless Limited</t>
  </si>
  <si>
    <t>INE220G01021</t>
  </si>
  <si>
    <t>Ferrous Metals</t>
  </si>
  <si>
    <t>SJVN01</t>
  </si>
  <si>
    <t>SJVN Limited</t>
  </si>
  <si>
    <t>INE002L01015</t>
  </si>
  <si>
    <t>NHPC01</t>
  </si>
  <si>
    <t>NHPC Limited</t>
  </si>
  <si>
    <t>INE848E01016</t>
  </si>
  <si>
    <t>ADAP01</t>
  </si>
  <si>
    <t>Adani Power Limited</t>
  </si>
  <si>
    <t>INE814H01011</t>
  </si>
  <si>
    <t>HICO02</t>
  </si>
  <si>
    <t>Hindustan Copper Limited</t>
  </si>
  <si>
    <t>INE531E01026</t>
  </si>
  <si>
    <t>Non - Ferrous Metals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</si>
  <si>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</si>
  <si>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</si>
  <si>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</si>
  <si>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</si>
  <si>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</si>
  <si>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</si>
  <si>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</si>
  <si>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</si>
  <si>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</si>
  <si>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</si>
  <si>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</si>
  <si>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</si>
  <si>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</si>
  <si>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</si>
  <si>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</si>
  <si>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</si>
  <si>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</si>
  <si>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</si>
  <si>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</si>
  <si>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Rail Vikas Nigam Group</t>
  </si>
  <si>
    <t>Vivek Kumar Jain Group</t>
  </si>
  <si>
    <t>Tata Group</t>
  </si>
  <si>
    <t>Cochin Shipyard Group</t>
  </si>
  <si>
    <t>BSE Group</t>
  </si>
  <si>
    <t>Multi Commodity Exchange of India Group</t>
  </si>
  <si>
    <t>Name and exposure to top 4 Sectors</t>
  </si>
  <si>
    <t>Name of the Sector</t>
  </si>
  <si>
    <t>Capital Goods</t>
  </si>
  <si>
    <t>Financial Services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</si>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</sst>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100964</xdr:rowOff>
    </xdr:from>
    <xdr:to>
      <xdr:col>2</xdr:col>
      <xdr:colOff>19050</xdr:colOff>
      <xdr:row>112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F9469-6B8E-4817-A860-3AA7283CF7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54524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101</xdr:row>
      <xdr:rowOff>100964</xdr:rowOff>
    </xdr:from>
    <xdr:to>
      <xdr:col>7</xdr:col>
      <xdr:colOff>579120</xdr:colOff>
      <xdr:row>112</xdr:row>
      <xdr:rowOff>15239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329A21-E9E0-4654-9A5F-B39A26B66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7154524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D7C2-E415-40EB-86BA-37E21BDC7628}">
  <sheetPr codeName="Sheet56">
    <outlinePr summaryBelow="0"/>
  </sheetPr>
  <dimension ref="A1:H101"/>
  <sheetViews>
    <sheetView tabSelected="1" topLeftCell="A72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237136</v>
      </c>
      <c r="F8" s="18">
        <v>1118.81</v>
      </c>
      <c r="G8" s="19">
        <v>3.78E-2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493637</v>
      </c>
      <c r="F9" s="18">
        <v>1104.76</v>
      </c>
      <c r="G9" s="19">
        <v>3.73E-2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14997</v>
      </c>
      <c r="F10" s="18">
        <v>1069.04</v>
      </c>
      <c r="G10" s="19">
        <v>3.61E-2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67577</v>
      </c>
      <c r="F11" s="18">
        <v>1011.76</v>
      </c>
      <c r="G11" s="19">
        <v>3.4200000000000001E-2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204307</v>
      </c>
      <c r="F12" s="18">
        <v>963.82</v>
      </c>
      <c r="G12" s="19">
        <v>3.2500000000000001E-2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21426</v>
      </c>
      <c r="F13" s="18">
        <v>956.8</v>
      </c>
      <c r="G13" s="19">
        <v>3.2300000000000002E-2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36</v>
      </c>
      <c r="E14" s="17">
        <v>14379</v>
      </c>
      <c r="F14" s="18">
        <v>936.92</v>
      </c>
      <c r="G14" s="19">
        <v>3.1600000000000003E-2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563553</v>
      </c>
      <c r="F15" s="18">
        <v>878.92</v>
      </c>
      <c r="G15" s="19">
        <v>2.9700000000000001E-2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43</v>
      </c>
      <c r="E16" s="17">
        <v>373984</v>
      </c>
      <c r="F16" s="18">
        <v>812.41</v>
      </c>
      <c r="G16" s="19">
        <v>2.7400000000000001E-2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16</v>
      </c>
      <c r="E17" s="17">
        <v>818692</v>
      </c>
      <c r="F17" s="18">
        <v>795.69</v>
      </c>
      <c r="G17" s="19">
        <v>2.69E-2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20</v>
      </c>
      <c r="E18" s="17">
        <v>5756</v>
      </c>
      <c r="F18" s="18">
        <v>795.42</v>
      </c>
      <c r="G18" s="19">
        <v>2.69E-2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20</v>
      </c>
      <c r="E19" s="17">
        <v>1185538</v>
      </c>
      <c r="F19" s="18">
        <v>793.72</v>
      </c>
      <c r="G19" s="19">
        <v>2.6800000000000001E-2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42750</v>
      </c>
      <c r="F20" s="18">
        <v>778.8</v>
      </c>
      <c r="G20" s="19">
        <v>2.63E-2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7040</v>
      </c>
      <c r="F21" s="18">
        <v>766.41</v>
      </c>
      <c r="G21" s="19">
        <v>2.5899999999999999E-2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36</v>
      </c>
      <c r="E22" s="17">
        <v>46989</v>
      </c>
      <c r="F22" s="18">
        <v>726.36</v>
      </c>
      <c r="G22" s="19">
        <v>2.4500000000000001E-2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4983</v>
      </c>
      <c r="F23" s="18">
        <v>700.69</v>
      </c>
      <c r="G23" s="19">
        <v>2.3699999999999999E-2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70</v>
      </c>
      <c r="E24" s="17">
        <v>106218</v>
      </c>
      <c r="F24" s="18">
        <v>698.01</v>
      </c>
      <c r="G24" s="19">
        <v>2.3599999999999999E-2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42047</v>
      </c>
      <c r="F25" s="18">
        <v>688.08</v>
      </c>
      <c r="G25" s="19">
        <v>2.3199999999999998E-2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24</v>
      </c>
      <c r="E26" s="17">
        <v>279995</v>
      </c>
      <c r="F26" s="18">
        <v>676.89</v>
      </c>
      <c r="G26" s="19">
        <v>2.29E-2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38443</v>
      </c>
      <c r="F27" s="18">
        <v>653.97</v>
      </c>
      <c r="G27" s="19">
        <v>2.2100000000000002E-2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28959</v>
      </c>
      <c r="F28" s="18">
        <v>633.32000000000005</v>
      </c>
      <c r="G28" s="19">
        <v>2.1399999999999999E-2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88</v>
      </c>
      <c r="E29" s="17">
        <v>36962</v>
      </c>
      <c r="F29" s="18">
        <v>626.34</v>
      </c>
      <c r="G29" s="19">
        <v>2.1100000000000001E-2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6228</v>
      </c>
      <c r="F30" s="18">
        <v>612.6</v>
      </c>
      <c r="G30" s="19">
        <v>2.07E-2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41768</v>
      </c>
      <c r="F31" s="18">
        <v>580.83000000000004</v>
      </c>
      <c r="G31" s="19">
        <v>1.9599999999999999E-2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53213</v>
      </c>
      <c r="F32" s="18">
        <v>577.52</v>
      </c>
      <c r="G32" s="19">
        <v>1.95E-2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20400</v>
      </c>
      <c r="F33" s="18">
        <v>559.53</v>
      </c>
      <c r="G33" s="19">
        <v>1.89E-2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137385</v>
      </c>
      <c r="F34" s="18">
        <v>523.29999999999995</v>
      </c>
      <c r="G34" s="19">
        <v>1.77E-2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153009</v>
      </c>
      <c r="F35" s="18">
        <v>521.07000000000005</v>
      </c>
      <c r="G35" s="19">
        <v>1.7600000000000001E-2</v>
      </c>
      <c r="H35" s="20"/>
    </row>
    <row r="36" spans="1:8" ht="13.05" customHeight="1">
      <c r="A36" s="15" t="s">
        <v>116</v>
      </c>
      <c r="B36" s="16" t="s">
        <v>117</v>
      </c>
      <c r="C36" s="12" t="s">
        <v>118</v>
      </c>
      <c r="D36" s="13" t="s">
        <v>119</v>
      </c>
      <c r="E36" s="17">
        <v>5011</v>
      </c>
      <c r="F36" s="18">
        <v>512.63</v>
      </c>
      <c r="G36" s="19">
        <v>1.7299999999999999E-2</v>
      </c>
      <c r="H36" s="20"/>
    </row>
    <row r="37" spans="1:8" ht="13.05" customHeight="1">
      <c r="A37" s="15" t="s">
        <v>120</v>
      </c>
      <c r="B37" s="16" t="s">
        <v>121</v>
      </c>
      <c r="C37" s="12" t="s">
        <v>122</v>
      </c>
      <c r="D37" s="13" t="s">
        <v>103</v>
      </c>
      <c r="E37" s="17">
        <v>11715</v>
      </c>
      <c r="F37" s="18">
        <v>497.5</v>
      </c>
      <c r="G37" s="19">
        <v>1.6799999999999999E-2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77</v>
      </c>
      <c r="E38" s="17">
        <v>32278</v>
      </c>
      <c r="F38" s="18">
        <v>491.32</v>
      </c>
      <c r="G38" s="19">
        <v>1.66E-2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129</v>
      </c>
      <c r="E39" s="17">
        <v>13495</v>
      </c>
      <c r="F39" s="18">
        <v>472.41</v>
      </c>
      <c r="G39" s="19">
        <v>1.5900000000000001E-2</v>
      </c>
      <c r="H39" s="20"/>
    </row>
    <row r="40" spans="1:8" ht="13.05" customHeight="1">
      <c r="A40" s="15" t="s">
        <v>130</v>
      </c>
      <c r="B40" s="16" t="s">
        <v>131</v>
      </c>
      <c r="C40" s="12" t="s">
        <v>132</v>
      </c>
      <c r="D40" s="13" t="s">
        <v>133</v>
      </c>
      <c r="E40" s="17">
        <v>15098</v>
      </c>
      <c r="F40" s="18">
        <v>462.38</v>
      </c>
      <c r="G40" s="19">
        <v>1.5599999999999999E-2</v>
      </c>
      <c r="H40" s="20"/>
    </row>
    <row r="41" spans="1:8" ht="13.05" customHeight="1">
      <c r="A41" s="15" t="s">
        <v>134</v>
      </c>
      <c r="B41" s="16" t="s">
        <v>135</v>
      </c>
      <c r="C41" s="12" t="s">
        <v>136</v>
      </c>
      <c r="D41" s="13" t="s">
        <v>95</v>
      </c>
      <c r="E41" s="17">
        <v>18474</v>
      </c>
      <c r="F41" s="18">
        <v>460.69</v>
      </c>
      <c r="G41" s="19">
        <v>1.5599999999999999E-2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88</v>
      </c>
      <c r="E42" s="17">
        <v>32945</v>
      </c>
      <c r="F42" s="18">
        <v>460.08</v>
      </c>
      <c r="G42" s="19">
        <v>1.55E-2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20</v>
      </c>
      <c r="E43" s="17">
        <v>4151</v>
      </c>
      <c r="F43" s="18">
        <v>417.69</v>
      </c>
      <c r="G43" s="19">
        <v>1.41E-2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88</v>
      </c>
      <c r="E44" s="17">
        <v>41452</v>
      </c>
      <c r="F44" s="18">
        <v>415.04</v>
      </c>
      <c r="G44" s="19">
        <v>1.4E-2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43</v>
      </c>
      <c r="E45" s="17">
        <v>89138</v>
      </c>
      <c r="F45" s="18">
        <v>405.53</v>
      </c>
      <c r="G45" s="19">
        <v>1.37E-2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43</v>
      </c>
      <c r="E46" s="17">
        <v>74486</v>
      </c>
      <c r="F46" s="18">
        <v>389.26</v>
      </c>
      <c r="G46" s="19">
        <v>1.3100000000000001E-2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103</v>
      </c>
      <c r="E47" s="17">
        <v>136029</v>
      </c>
      <c r="F47" s="18">
        <v>387.55</v>
      </c>
      <c r="G47" s="19">
        <v>1.3100000000000001E-2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20</v>
      </c>
      <c r="E48" s="17">
        <v>147902</v>
      </c>
      <c r="F48" s="18">
        <v>353.49</v>
      </c>
      <c r="G48" s="19">
        <v>1.1900000000000001E-2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54378</v>
      </c>
      <c r="F49" s="18">
        <v>325.04000000000002</v>
      </c>
      <c r="G49" s="19">
        <v>1.0999999999999999E-2</v>
      </c>
      <c r="H49" s="20"/>
    </row>
    <row r="50" spans="1:8" ht="13.05" customHeight="1">
      <c r="A50" s="15" t="s">
        <v>162</v>
      </c>
      <c r="B50" s="16" t="s">
        <v>163</v>
      </c>
      <c r="C50" s="12" t="s">
        <v>164</v>
      </c>
      <c r="D50" s="13" t="s">
        <v>129</v>
      </c>
      <c r="E50" s="17">
        <v>7905</v>
      </c>
      <c r="F50" s="18">
        <v>320.29000000000002</v>
      </c>
      <c r="G50" s="19">
        <v>1.0800000000000001E-2</v>
      </c>
      <c r="H50" s="20"/>
    </row>
    <row r="51" spans="1:8" ht="13.05" customHeight="1">
      <c r="A51" s="15" t="s">
        <v>165</v>
      </c>
      <c r="B51" s="16" t="s">
        <v>166</v>
      </c>
      <c r="C51" s="12" t="s">
        <v>167</v>
      </c>
      <c r="D51" s="13" t="s">
        <v>20</v>
      </c>
      <c r="E51" s="17">
        <v>3609</v>
      </c>
      <c r="F51" s="18">
        <v>268.13</v>
      </c>
      <c r="G51" s="19">
        <v>9.1000000000000004E-3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77</v>
      </c>
      <c r="E52" s="17">
        <v>21162</v>
      </c>
      <c r="F52" s="18">
        <v>255.27</v>
      </c>
      <c r="G52" s="19">
        <v>8.6E-3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37463</v>
      </c>
      <c r="F53" s="18">
        <v>252.99</v>
      </c>
      <c r="G53" s="19">
        <v>8.5000000000000006E-3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59</v>
      </c>
      <c r="E54" s="17">
        <v>217796</v>
      </c>
      <c r="F54" s="18">
        <v>246.83</v>
      </c>
      <c r="G54" s="19">
        <v>8.3000000000000001E-3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59</v>
      </c>
      <c r="E55" s="17">
        <v>271743</v>
      </c>
      <c r="F55" s="18">
        <v>224.46</v>
      </c>
      <c r="G55" s="19">
        <v>7.6E-3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59</v>
      </c>
      <c r="E56" s="17">
        <v>35790</v>
      </c>
      <c r="F56" s="18">
        <v>212.13</v>
      </c>
      <c r="G56" s="19">
        <v>7.1999999999999998E-3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63400</v>
      </c>
      <c r="F57" s="18">
        <v>186.52</v>
      </c>
      <c r="G57" s="19">
        <v>6.3E-3</v>
      </c>
      <c r="H57" s="20"/>
    </row>
    <row r="58" spans="1:8" ht="13.05" customHeight="1">
      <c r="A58" s="4"/>
      <c r="B58" s="21" t="s">
        <v>188</v>
      </c>
      <c r="C58" s="22"/>
      <c r="D58" s="21"/>
      <c r="E58" s="21"/>
      <c r="F58" s="23">
        <v>29579.02</v>
      </c>
      <c r="G58" s="24">
        <v>0.99880000000000002</v>
      </c>
      <c r="H58" s="25"/>
    </row>
    <row r="59" spans="1:8" ht="13.05" customHeight="1">
      <c r="A59" s="4"/>
      <c r="B59" s="11" t="s">
        <v>189</v>
      </c>
      <c r="C59" s="26"/>
      <c r="D59" s="27"/>
      <c r="E59" s="27"/>
      <c r="F59" s="28" t="s">
        <v>190</v>
      </c>
      <c r="G59" s="28" t="s">
        <v>190</v>
      </c>
      <c r="H59" s="25" t="s">
        <v>190</v>
      </c>
    </row>
    <row r="60" spans="1:8" ht="13.05" customHeight="1">
      <c r="A60" s="4"/>
      <c r="B60" s="21" t="s">
        <v>188</v>
      </c>
      <c r="C60" s="26"/>
      <c r="D60" s="27"/>
      <c r="E60" s="27"/>
      <c r="F60" s="28" t="s">
        <v>190</v>
      </c>
      <c r="G60" s="28" t="s">
        <v>190</v>
      </c>
      <c r="H60" s="25" t="s">
        <v>190</v>
      </c>
    </row>
    <row r="61" spans="1:8" ht="13.05" customHeight="1">
      <c r="A61" s="4"/>
      <c r="B61" s="21" t="s">
        <v>191</v>
      </c>
      <c r="C61" s="26"/>
      <c r="D61" s="27"/>
      <c r="E61" s="29"/>
      <c r="F61" s="30">
        <v>29579.02</v>
      </c>
      <c r="G61" s="31">
        <v>0.99880000000000002</v>
      </c>
      <c r="H61" s="32"/>
    </row>
    <row r="62" spans="1:8" ht="13.05" customHeight="1">
      <c r="A62" s="4"/>
      <c r="B62" s="11" t="s">
        <v>192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193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194</v>
      </c>
      <c r="B64" s="16" t="s">
        <v>195</v>
      </c>
      <c r="C64" s="12"/>
      <c r="D64" s="13"/>
      <c r="E64" s="34"/>
      <c r="F64" s="18">
        <v>140.47999999999999</v>
      </c>
      <c r="G64" s="19">
        <v>4.7000000000000002E-3</v>
      </c>
      <c r="H64" s="20">
        <v>6.2559754117690825E-2</v>
      </c>
    </row>
    <row r="65" spans="1:8" ht="13.05" customHeight="1">
      <c r="A65" s="4"/>
      <c r="B65" s="21" t="s">
        <v>191</v>
      </c>
      <c r="C65" s="26"/>
      <c r="D65" s="27"/>
      <c r="E65" s="29"/>
      <c r="F65" s="30">
        <v>140.47999999999999</v>
      </c>
      <c r="G65" s="31">
        <v>4.7000000000000002E-3</v>
      </c>
      <c r="H65" s="32"/>
    </row>
    <row r="66" spans="1:8" ht="13.05" customHeight="1">
      <c r="A66" s="4"/>
      <c r="B66" s="33" t="s">
        <v>196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197</v>
      </c>
      <c r="C67" s="26"/>
      <c r="D67" s="27"/>
      <c r="E67" s="27"/>
      <c r="F67" s="23">
        <v>0.8</v>
      </c>
      <c r="G67" s="38" t="s">
        <v>198</v>
      </c>
      <c r="H67" s="37"/>
    </row>
    <row r="68" spans="1:8" ht="13.05" customHeight="1">
      <c r="A68" s="4"/>
      <c r="B68" s="21" t="s">
        <v>188</v>
      </c>
      <c r="C68" s="22"/>
      <c r="D68" s="21"/>
      <c r="E68" s="21"/>
      <c r="F68" s="23">
        <v>0.8</v>
      </c>
      <c r="G68" s="38" t="s">
        <v>198</v>
      </c>
      <c r="H68" s="37"/>
    </row>
    <row r="69" spans="1:8" ht="13.05" customHeight="1">
      <c r="A69" s="4"/>
      <c r="B69" s="21" t="s">
        <v>199</v>
      </c>
      <c r="C69" s="26"/>
      <c r="D69" s="27"/>
      <c r="E69" s="27"/>
      <c r="F69" s="23">
        <v>-98.9</v>
      </c>
      <c r="G69" s="39">
        <v>-3.5000000000000001E-3</v>
      </c>
      <c r="H69" s="37"/>
    </row>
    <row r="70" spans="1:8" ht="13.05" customHeight="1" thickBot="1">
      <c r="A70" s="4"/>
      <c r="B70" s="40" t="s">
        <v>200</v>
      </c>
      <c r="C70" s="41"/>
      <c r="D70" s="42"/>
      <c r="E70" s="42"/>
      <c r="F70" s="43">
        <v>29621.401826231187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201</v>
      </c>
      <c r="C72" s="4"/>
      <c r="D72" s="4"/>
      <c r="E72" s="4"/>
      <c r="F72" s="4"/>
      <c r="G72" s="4"/>
      <c r="H72" s="4"/>
    </row>
    <row r="73" spans="1:8" ht="13.05" customHeigh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202</v>
      </c>
      <c r="C74" s="4"/>
    </row>
    <row r="75" spans="1:8">
      <c r="B75" s="48" t="s">
        <v>203</v>
      </c>
      <c r="C75" s="48" t="s">
        <v>9</v>
      </c>
    </row>
    <row r="76" spans="1:8">
      <c r="B76" s="49" t="str">
        <f>+B8</f>
        <v>Rail Vikas Nigam Limited</v>
      </c>
      <c r="C76" s="50">
        <f>+G8</f>
        <v>3.78E-2</v>
      </c>
    </row>
    <row r="77" spans="1:8">
      <c r="B77" s="49" t="str">
        <f t="shared" ref="B77:B82" si="0">+B9</f>
        <v>Inox Wind Limited</v>
      </c>
      <c r="C77" s="50">
        <f t="shared" ref="C77:C82" si="1">+G9</f>
        <v>3.73E-2</v>
      </c>
    </row>
    <row r="78" spans="1:8">
      <c r="B78" s="49" t="str">
        <f t="shared" si="0"/>
        <v>Trent Limited</v>
      </c>
      <c r="C78" s="50">
        <f t="shared" si="1"/>
        <v>3.61E-2</v>
      </c>
    </row>
    <row r="79" spans="1:8">
      <c r="B79" s="49" t="str">
        <f t="shared" si="0"/>
        <v>Cochin Shipyard Limited</v>
      </c>
      <c r="C79" s="50">
        <f t="shared" si="1"/>
        <v>3.4200000000000001E-2</v>
      </c>
    </row>
    <row r="80" spans="1:8">
      <c r="B80" s="49" t="str">
        <f t="shared" si="0"/>
        <v>Oil India Limited</v>
      </c>
      <c r="C80" s="50">
        <f t="shared" si="1"/>
        <v>3.2500000000000001E-2</v>
      </c>
    </row>
    <row r="81" spans="2:3">
      <c r="B81" s="49" t="str">
        <f t="shared" si="0"/>
        <v>BSE Limited</v>
      </c>
      <c r="C81" s="50">
        <f t="shared" si="1"/>
        <v>3.2300000000000002E-2</v>
      </c>
    </row>
    <row r="82" spans="2:3">
      <c r="B82" s="49" t="str">
        <f t="shared" si="0"/>
        <v>Multi Commodity Exchange of India Limited</v>
      </c>
      <c r="C82" s="50">
        <f t="shared" si="1"/>
        <v>3.1600000000000003E-2</v>
      </c>
    </row>
    <row r="84" spans="2:3">
      <c r="B84" s="47" t="s">
        <v>204</v>
      </c>
    </row>
    <row r="85" spans="2:3">
      <c r="B85" s="48" t="s">
        <v>205</v>
      </c>
      <c r="C85" s="48" t="s">
        <v>9</v>
      </c>
    </row>
    <row r="86" spans="2:3">
      <c r="B86" s="49" t="s">
        <v>206</v>
      </c>
      <c r="C86" s="50">
        <v>0.15610000000000002</v>
      </c>
    </row>
    <row r="87" spans="2:3">
      <c r="B87" s="49" t="s">
        <v>207</v>
      </c>
      <c r="C87" s="50">
        <v>3.78E-2</v>
      </c>
    </row>
    <row r="88" spans="2:3">
      <c r="B88" s="49" t="s">
        <v>208</v>
      </c>
      <c r="C88" s="50">
        <v>3.73E-2</v>
      </c>
    </row>
    <row r="89" spans="2:3">
      <c r="B89" s="49" t="s">
        <v>209</v>
      </c>
      <c r="C89" s="50">
        <v>3.61E-2</v>
      </c>
    </row>
    <row r="90" spans="2:3">
      <c r="B90" s="49" t="s">
        <v>210</v>
      </c>
      <c r="C90" s="50">
        <v>3.4200000000000001E-2</v>
      </c>
    </row>
    <row r="91" spans="2:3">
      <c r="B91" s="49" t="s">
        <v>211</v>
      </c>
      <c r="C91" s="50">
        <v>3.2300000000000002E-2</v>
      </c>
    </row>
    <row r="92" spans="2:3">
      <c r="B92" s="49" t="s">
        <v>212</v>
      </c>
      <c r="C92" s="50">
        <v>3.1600000000000003E-2</v>
      </c>
    </row>
    <row r="94" spans="2:3">
      <c r="B94" s="47" t="s">
        <v>213</v>
      </c>
    </row>
    <row r="95" spans="2:3">
      <c r="B95" s="48" t="s">
        <v>214</v>
      </c>
      <c r="C95" s="48" t="s">
        <v>9</v>
      </c>
    </row>
    <row r="96" spans="2:3">
      <c r="B96" s="49" t="s">
        <v>215</v>
      </c>
      <c r="C96" s="50">
        <v>0.2364</v>
      </c>
    </row>
    <row r="97" spans="2:6">
      <c r="B97" s="49" t="s">
        <v>216</v>
      </c>
      <c r="C97" s="50">
        <v>0.19440000000000002</v>
      </c>
    </row>
    <row r="98" spans="2:6">
      <c r="B98" s="49" t="s">
        <v>217</v>
      </c>
      <c r="C98" s="50">
        <v>7.1999999999999995E-2</v>
      </c>
    </row>
    <row r="99" spans="2:6">
      <c r="B99" s="49" t="s">
        <v>16</v>
      </c>
      <c r="C99" s="50">
        <v>6.4700000000000008E-2</v>
      </c>
    </row>
    <row r="100" spans="2:6">
      <c r="F100" s="51" t="s">
        <v>218</v>
      </c>
    </row>
    <row r="101" spans="2:6">
      <c r="B101" s="51" t="s">
        <v>219</v>
      </c>
      <c r="F101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2024-11-07T13:00:41Z</dcterms:created>
  <dcterms:modified xsi:type="dcterms:W3CDTF">2024-11-07T13:00:43Z</dcterms:modified>
</cp:coreProperties>
</file>