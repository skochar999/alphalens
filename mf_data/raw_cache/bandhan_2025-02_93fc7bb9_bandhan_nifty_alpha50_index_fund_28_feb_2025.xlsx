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A50E096C-0581-4685-A0BD-F16532FA0B9E}" xr6:coauthVersionLast="47" xr6:coauthVersionMax="47" xr10:uidLastSave="{00000000-0000-0000-0000-000000000000}"/>
  <bookViews>
    <workbookView xWindow="-108" yWindow="-108" windowWidth="41496" windowHeight="16896" xr2:uid="{77E67495-6BF8-45C1-93EB-42F3BBF93089}"/>
  </bookViews>
  <sheets>
    <sheet name="IDF295" sheetId="1" r:id="rId1"/>
  </sheets>
  <definedNames>
    <definedName name="JR_PAGE_ANCHOR_0_56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<sst xmlns="http://schemas.openxmlformats.org/spreadsheetml/2006/main" count="256" uniqueCount="218">
  <si>
    <t>IDF295</t>
  </si>
  <si>
    <t>INDEX</t>
  </si>
  <si>
    <t>Portfolio Statement as on February 28,2025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</si>
  <si>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</si>
  <si>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</si>
  <si>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</si>
  <si>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</si>
  <si>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</si>
  <si>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</si>
  <si>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</si>
  <si>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</si>
  <si>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</si>
  <si>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</si>
  <si>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IREA01</t>
  </si>
  <si>
    <t>Indian Renewable Energy Development Agency Limited</t>
  </si>
  <si>
    <t>INE202E01016</t>
  </si>
  <si>
    <t>Finance</t>
  </si>
  <si>
    <t>COCH02</t>
  </si>
  <si>
    <t>Cochin Shipyard Limited</t>
  </si>
  <si>
    <t>INE704P01025</t>
  </si>
  <si>
    <t>Industrial Manufacturing</t>
  </si>
  <si>
    <t>DIXO02</t>
  </si>
  <si>
    <t>Dixon Technologies (India) Limited</t>
  </si>
  <si>
    <t>INE935N01020</t>
  </si>
  <si>
    <t>Consumer Durables</t>
  </si>
  <si>
    <t>INOW01</t>
  </si>
  <si>
    <t>Inox Wind Limited</t>
  </si>
  <si>
    <t>INE066P01011</t>
  </si>
  <si>
    <t>Electrical Equipment</t>
  </si>
  <si>
    <t>ZMPL01</t>
  </si>
  <si>
    <t>Zomato Limited</t>
  </si>
  <si>
    <t>INE758T01015</t>
  </si>
  <si>
    <t>Retailing</t>
  </si>
  <si>
    <t>RVNL01</t>
  </si>
  <si>
    <t>Rail Vikas Nigam Limited</t>
  </si>
  <si>
    <t>INE415G01027</t>
  </si>
  <si>
    <t>Construction</t>
  </si>
  <si>
    <t>IFEL01</t>
  </si>
  <si>
    <t>Oracle Financial Services Software Limited</t>
  </si>
  <si>
    <t>INE881D01027</t>
  </si>
  <si>
    <t>IT - Software</t>
  </si>
  <si>
    <t>MOFS03</t>
  </si>
  <si>
    <t>Motilal Oswal Financial Services Limited</t>
  </si>
  <si>
    <t>INE338I01027</t>
  </si>
  <si>
    <t>Capital Markets</t>
  </si>
  <si>
    <t>NACL03</t>
  </si>
  <si>
    <t>National Aluminium Company Limited</t>
  </si>
  <si>
    <t>INE139A01034</t>
  </si>
  <si>
    <t>Non - Ferrous Metals</t>
  </si>
  <si>
    <t>OIIL01</t>
  </si>
  <si>
    <t>Oil India Limited</t>
  </si>
  <si>
    <t>INE274J01014</t>
  </si>
  <si>
    <t>Oil</t>
  </si>
  <si>
    <t>MAZG02</t>
  </si>
  <si>
    <t>Mazagon Dock Shipbuilders Limited</t>
  </si>
  <si>
    <t>INE249Z01020</t>
  </si>
  <si>
    <t>HURD01</t>
  </si>
  <si>
    <t>Housing &amp; Urban Development Corporation Limited</t>
  </si>
  <si>
    <t>INE031A01017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</si>
  <si>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</si>
  <si>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</si>
  <si>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</si>
  <si>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</si>
  <si>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</si>
  <si>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</si>
  <si>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</si>
  <si>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PPHA01</t>
  </si>
  <si>
    <t>Piramal Pharma Limited</t>
  </si>
  <si>
    <t>INE0DK501011</t>
  </si>
  <si>
    <t>Pharmaceuticals &amp; Biotechnology</t>
  </si>
  <si>
    <t>KALJ01</t>
  </si>
  <si>
    <t>Kalyan Jewellers India Limited</t>
  </si>
  <si>
    <t>INE303R01014</t>
  </si>
  <si>
    <t>GLPH03</t>
  </si>
  <si>
    <t>Glenmark Pharmaceuticals Limited</t>
  </si>
  <si>
    <t>INE935A01035</t>
  </si>
  <si>
    <t>VOLT02</t>
  </si>
  <si>
    <t>Voltas Limited</t>
  </si>
  <si>
    <t>INE226A01021</t>
  </si>
  <si>
    <t>CENT02</t>
  </si>
  <si>
    <t>Aditya Birla Real Estate Limited</t>
  </si>
  <si>
    <t>INE055A01016</t>
  </si>
  <si>
    <t>Paper, Forest &amp; Jute Products</t>
  </si>
  <si>
    <t>BSEL02</t>
  </si>
  <si>
    <t>BSE Limited</t>
  </si>
  <si>
    <t>INE118H01025</t>
  </si>
  <si>
    <t>BHDY02</t>
  </si>
  <si>
    <t>Bharat Dynamics Limited</t>
  </si>
  <si>
    <t>INE171Z01026</t>
  </si>
  <si>
    <t>Aerospace &amp; Defense</t>
  </si>
  <si>
    <t>BHEL02</t>
  </si>
  <si>
    <t>Bharat Electronics Limited</t>
  </si>
  <si>
    <t>INE263A01024</t>
  </si>
  <si>
    <t>KAYN01</t>
  </si>
  <si>
    <t>Kaynes Technology India Limited</t>
  </si>
  <si>
    <t>INE918Z01012</t>
  </si>
  <si>
    <t>BINL01</t>
  </si>
  <si>
    <t>Indus Towers Limited</t>
  </si>
  <si>
    <t>INE121J01017</t>
  </si>
  <si>
    <t>Telecom - Services</t>
  </si>
  <si>
    <t>SIEM02</t>
  </si>
  <si>
    <t>Siemens Limited</t>
  </si>
  <si>
    <t>INE003A01024</t>
  </si>
  <si>
    <t>HIMC02</t>
  </si>
  <si>
    <t>Himadri Speciality Chemical Limited</t>
  </si>
  <si>
    <t>INE019C01026</t>
  </si>
  <si>
    <t>Chemicals &amp; Petrochemicals</t>
  </si>
  <si>
    <t>MCEX01</t>
  </si>
  <si>
    <t>Multi Commodity Exchange of India Limited</t>
  </si>
  <si>
    <t>INE745G01035</t>
  </si>
  <si>
    <t>IRLY01</t>
  </si>
  <si>
    <t>Indian Railway Finance Corporation Limited</t>
  </si>
  <si>
    <t>INE053F01010</t>
  </si>
  <si>
    <t>LUPL02</t>
  </si>
  <si>
    <t>Lupin Limited</t>
  </si>
  <si>
    <t>INE326A01037</t>
  </si>
  <si>
    <t>NBCC03</t>
  </si>
  <si>
    <t>NBCC (India) Limited</t>
  </si>
  <si>
    <t>INE095N01031</t>
  </si>
  <si>
    <t>KFIN01</t>
  </si>
  <si>
    <t>KFin Technologies Limited</t>
  </si>
  <si>
    <t>INE138Y01010</t>
  </si>
  <si>
    <t>KCUL02</t>
  </si>
  <si>
    <t>Cummins India Limited</t>
  </si>
  <si>
    <t>INE298A01020</t>
  </si>
  <si>
    <t>Industrial Products</t>
  </si>
  <si>
    <t>SOEL02</t>
  </si>
  <si>
    <t>Solar Industries India Limited</t>
  </si>
  <si>
    <t>INE343H01029</t>
  </si>
  <si>
    <t>AMRA03</t>
  </si>
  <si>
    <t>Amara Raja Energy &amp; Mobility Ltd</t>
  </si>
  <si>
    <t>INE885A01032</t>
  </si>
  <si>
    <t>Auto Components</t>
  </si>
  <si>
    <t>HALT02</t>
  </si>
  <si>
    <t>Hindustan Aeronautics Limited</t>
  </si>
  <si>
    <t>INE066F01020</t>
  </si>
  <si>
    <t>CHEL02</t>
  </si>
  <si>
    <t>Zydus Lifesciences Limited</t>
  </si>
  <si>
    <t>INE010B01027</t>
  </si>
  <si>
    <t>TOPL01</t>
  </si>
  <si>
    <t>Torrent Power Limited</t>
  </si>
  <si>
    <t>INE813H01021</t>
  </si>
  <si>
    <t>Power</t>
  </si>
  <si>
    <t>GAPA02</t>
  </si>
  <si>
    <t>Apar Industries Limited</t>
  </si>
  <si>
    <t>INE372A01015</t>
  </si>
  <si>
    <t>BALN01</t>
  </si>
  <si>
    <t>Bajaj Auto Limited</t>
  </si>
  <si>
    <t>INE917I01010</t>
  </si>
  <si>
    <t>Automobiles</t>
  </si>
  <si>
    <t>CDSL01</t>
  </si>
  <si>
    <t>Central Depository Services (India) Limited</t>
  </si>
  <si>
    <t>INE736A01011</t>
  </si>
  <si>
    <t>ASEA02</t>
  </si>
  <si>
    <t>ABB India Limited</t>
  </si>
  <si>
    <t>INE117A01022</t>
  </si>
  <si>
    <t>SUZE02</t>
  </si>
  <si>
    <t>Suzlon Energy Limited</t>
  </si>
  <si>
    <t>INE040H01021</t>
  </si>
  <si>
    <t>KEII02</t>
  </si>
  <si>
    <t>KEI Industries Limited</t>
  </si>
  <si>
    <t>INE878B01027</t>
  </si>
  <si>
    <t>PREP01</t>
  </si>
  <si>
    <t>Prestige Estates Projects Limited</t>
  </si>
  <si>
    <t>INE811K01011</t>
  </si>
  <si>
    <t>Realty</t>
  </si>
  <si>
    <t>HPEC01</t>
  </si>
  <si>
    <t>Hindustan Petroleum Corporation Limited</t>
  </si>
  <si>
    <t>INE094A01015</t>
  </si>
  <si>
    <t>Petroleum Products</t>
  </si>
  <si>
    <t>PHMI02</t>
  </si>
  <si>
    <t>The Phoenix Mills Limited</t>
  </si>
  <si>
    <t>INE211B01039</t>
  </si>
  <si>
    <t>COLG02</t>
  </si>
  <si>
    <t>Colgate Palmolive (India) Limited</t>
  </si>
  <si>
    <t>INE259A01022</t>
  </si>
  <si>
    <t>Personal Products</t>
  </si>
  <si>
    <t>VNBL03</t>
  </si>
  <si>
    <t>Varun Beverages Limited</t>
  </si>
  <si>
    <t>INE200M01039</t>
  </si>
  <si>
    <t>Beverages</t>
  </si>
  <si>
    <t>NHPC01</t>
  </si>
  <si>
    <t>NHPC Limited</t>
  </si>
  <si>
    <t>INE848E01016</t>
  </si>
  <si>
    <t>HICO02</t>
  </si>
  <si>
    <t>Hindustan Copper Limited</t>
  </si>
  <si>
    <t>INE531E01026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</si>
  <si>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</si>
  <si>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</si>
  <si>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</si>
  <si>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</si>
  <si>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</si>
  <si>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</si>
  <si>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</si>
  <si>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</si>
  <si>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</si>
  <si>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</si>
  <si>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</si>
  <si>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</si>
  <si>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</si>
  <si>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</si>
  <si>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</si>
  <si>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</si>
  <si>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</si>
  <si>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Indian Renewable Energy Development Agency Group</t>
  </si>
  <si>
    <t>Cochin Shipyard Group</t>
  </si>
  <si>
    <t>Dixon Technologies Group</t>
  </si>
  <si>
    <t>Vivek Kumar Jain Group</t>
  </si>
  <si>
    <t>Infoedge Group</t>
  </si>
  <si>
    <t>Rail Vikas Nigam Group</t>
  </si>
  <si>
    <t>Name and exposure to top 4 Sectors</t>
  </si>
  <si>
    <t>Name of the Sector</t>
  </si>
  <si>
    <t>Capital Goods</t>
  </si>
  <si>
    <t>Financial Services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</si>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</sst>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182879</xdr:rowOff>
    </xdr:from>
    <xdr:to>
      <xdr:col>1</xdr:col>
      <xdr:colOff>2857500</xdr:colOff>
      <xdr:row>112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71FC0-DA30-469F-B4E6-39323462D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22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182879</xdr:rowOff>
    </xdr:from>
    <xdr:to>
      <xdr:col>7</xdr:col>
      <xdr:colOff>571500</xdr:colOff>
      <xdr:row>112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9E429-EB3E-4AA8-84E7-C556F4BCF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7122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759A-733C-4375-B9AA-9CF570990DC6}">
  <sheetPr codeName="Sheet56">
    <outlinePr summaryBelow="0"/>
  </sheetPr>
  <dimension ref="A1:H101"/>
  <sheetViews>
    <sheetView tabSelected="1" topLeftCell="A100" workbookViewId="0">
      <selection activeCell="B100" sqref="B100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769550</v>
      </c>
      <c r="F8" s="18">
        <v>1200.6500000000001</v>
      </c>
      <c r="G8" s="19">
        <v>3.8899999999999997E-2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86101</v>
      </c>
      <c r="F9" s="18">
        <v>1092.23</v>
      </c>
      <c r="G9" s="19">
        <v>3.5400000000000001E-2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7712</v>
      </c>
      <c r="F10" s="18">
        <v>1074.73</v>
      </c>
      <c r="G10" s="19">
        <v>3.4799999999999998E-2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700953</v>
      </c>
      <c r="F11" s="18">
        <v>1052.76</v>
      </c>
      <c r="G11" s="19">
        <v>3.4099999999999998E-2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444235</v>
      </c>
      <c r="F12" s="18">
        <v>986.65</v>
      </c>
      <c r="G12" s="19">
        <v>3.2000000000000001E-2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289026</v>
      </c>
      <c r="F13" s="18">
        <v>960.72</v>
      </c>
      <c r="G13" s="19">
        <v>3.1199999999999999E-2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12090</v>
      </c>
      <c r="F14" s="18">
        <v>938.66</v>
      </c>
      <c r="G14" s="19">
        <v>3.04E-2</v>
      </c>
      <c r="H14" s="20"/>
    </row>
    <row r="15" spans="1:8" ht="12.9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158199</v>
      </c>
      <c r="F15" s="18">
        <v>931</v>
      </c>
      <c r="G15" s="19">
        <v>3.0200000000000001E-2</v>
      </c>
      <c r="H15" s="20"/>
    </row>
    <row r="16" spans="1:8" ht="12.9" customHeight="1">
      <c r="A16" s="15" t="s">
        <v>45</v>
      </c>
      <c r="B16" s="16" t="s">
        <v>46</v>
      </c>
      <c r="C16" s="12" t="s">
        <v>47</v>
      </c>
      <c r="D16" s="13" t="s">
        <v>48</v>
      </c>
      <c r="E16" s="17">
        <v>495644</v>
      </c>
      <c r="F16" s="18">
        <v>880.26</v>
      </c>
      <c r="G16" s="19">
        <v>2.8500000000000001E-2</v>
      </c>
      <c r="H16" s="20"/>
    </row>
    <row r="17" spans="1:8" ht="12.9" customHeight="1">
      <c r="A17" s="15" t="s">
        <v>49</v>
      </c>
      <c r="B17" s="16" t="s">
        <v>50</v>
      </c>
      <c r="C17" s="12" t="s">
        <v>51</v>
      </c>
      <c r="D17" s="13" t="s">
        <v>52</v>
      </c>
      <c r="E17" s="17">
        <v>256296</v>
      </c>
      <c r="F17" s="18">
        <v>878.33</v>
      </c>
      <c r="G17" s="19">
        <v>2.8500000000000001E-2</v>
      </c>
      <c r="H17" s="20"/>
    </row>
    <row r="18" spans="1:8" ht="12.9" customHeight="1">
      <c r="A18" s="15" t="s">
        <v>53</v>
      </c>
      <c r="B18" s="16" t="s">
        <v>54</v>
      </c>
      <c r="C18" s="12" t="s">
        <v>55</v>
      </c>
      <c r="D18" s="13" t="s">
        <v>20</v>
      </c>
      <c r="E18" s="17">
        <v>40116</v>
      </c>
      <c r="F18" s="18">
        <v>854.89</v>
      </c>
      <c r="G18" s="19">
        <v>2.7699999999999999E-2</v>
      </c>
      <c r="H18" s="20"/>
    </row>
    <row r="19" spans="1:8" ht="12.9" customHeight="1">
      <c r="A19" s="15" t="s">
        <v>56</v>
      </c>
      <c r="B19" s="16" t="s">
        <v>57</v>
      </c>
      <c r="C19" s="12" t="s">
        <v>58</v>
      </c>
      <c r="D19" s="13" t="s">
        <v>16</v>
      </c>
      <c r="E19" s="17">
        <v>509856</v>
      </c>
      <c r="F19" s="18">
        <v>841.98</v>
      </c>
      <c r="G19" s="19">
        <v>2.7300000000000001E-2</v>
      </c>
      <c r="H19" s="20"/>
    </row>
    <row r="20" spans="1:8" ht="12.9" customHeight="1">
      <c r="A20" s="15" t="s">
        <v>59</v>
      </c>
      <c r="B20" s="16" t="s">
        <v>60</v>
      </c>
      <c r="C20" s="12" t="s">
        <v>61</v>
      </c>
      <c r="D20" s="13" t="s">
        <v>32</v>
      </c>
      <c r="E20" s="17">
        <v>17143</v>
      </c>
      <c r="F20" s="18">
        <v>831.7</v>
      </c>
      <c r="G20" s="19">
        <v>2.7E-2</v>
      </c>
      <c r="H20" s="20"/>
    </row>
    <row r="21" spans="1:8" ht="12.9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56256</v>
      </c>
      <c r="F21" s="18">
        <v>823.36</v>
      </c>
      <c r="G21" s="19">
        <v>2.6700000000000002E-2</v>
      </c>
      <c r="H21" s="20"/>
    </row>
    <row r="22" spans="1:8" ht="12.9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407993</v>
      </c>
      <c r="F22" s="18">
        <v>774.74</v>
      </c>
      <c r="G22" s="19">
        <v>2.5100000000000001E-2</v>
      </c>
      <c r="H22" s="20"/>
    </row>
    <row r="23" spans="1:8" ht="12.9" customHeight="1">
      <c r="A23" s="15" t="s">
        <v>70</v>
      </c>
      <c r="B23" s="16" t="s">
        <v>71</v>
      </c>
      <c r="C23" s="12" t="s">
        <v>72</v>
      </c>
      <c r="D23" s="13" t="s">
        <v>24</v>
      </c>
      <c r="E23" s="17">
        <v>158664</v>
      </c>
      <c r="F23" s="18">
        <v>733.42</v>
      </c>
      <c r="G23" s="19">
        <v>2.3800000000000002E-2</v>
      </c>
      <c r="H23" s="20"/>
    </row>
    <row r="24" spans="1:8" ht="12.9" customHeight="1">
      <c r="A24" s="15" t="s">
        <v>73</v>
      </c>
      <c r="B24" s="16" t="s">
        <v>74</v>
      </c>
      <c r="C24" s="12" t="s">
        <v>75</v>
      </c>
      <c r="D24" s="13" t="s">
        <v>69</v>
      </c>
      <c r="E24" s="17">
        <v>55350</v>
      </c>
      <c r="F24" s="18">
        <v>707.9</v>
      </c>
      <c r="G24" s="19">
        <v>2.3E-2</v>
      </c>
      <c r="H24" s="20"/>
    </row>
    <row r="25" spans="1:8" ht="12.9" customHeight="1">
      <c r="A25" s="15" t="s">
        <v>76</v>
      </c>
      <c r="B25" s="16" t="s">
        <v>77</v>
      </c>
      <c r="C25" s="12" t="s">
        <v>78</v>
      </c>
      <c r="D25" s="13" t="s">
        <v>24</v>
      </c>
      <c r="E25" s="17">
        <v>53191</v>
      </c>
      <c r="F25" s="18">
        <v>702.17</v>
      </c>
      <c r="G25" s="19">
        <v>2.2800000000000001E-2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37483</v>
      </c>
      <c r="F26" s="18">
        <v>698.35</v>
      </c>
      <c r="G26" s="19">
        <v>2.2599999999999999E-2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44</v>
      </c>
      <c r="E27" s="17">
        <v>14788</v>
      </c>
      <c r="F27" s="18">
        <v>685.23</v>
      </c>
      <c r="G27" s="19">
        <v>2.2200000000000001E-2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68497</v>
      </c>
      <c r="F28" s="18">
        <v>668.12</v>
      </c>
      <c r="G28" s="19">
        <v>2.1700000000000001E-2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89</v>
      </c>
      <c r="E29" s="17">
        <v>262789</v>
      </c>
      <c r="F29" s="18">
        <v>647.12</v>
      </c>
      <c r="G29" s="19">
        <v>2.1000000000000001E-2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20</v>
      </c>
      <c r="E30" s="17">
        <v>15299</v>
      </c>
      <c r="F30" s="18">
        <v>634.01</v>
      </c>
      <c r="G30" s="19">
        <v>2.06E-2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192733</v>
      </c>
      <c r="F31" s="18">
        <v>623.20000000000005</v>
      </c>
      <c r="G31" s="19">
        <v>2.0199999999999999E-2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28</v>
      </c>
      <c r="E32" s="17">
        <v>12836</v>
      </c>
      <c r="F32" s="18">
        <v>593.47</v>
      </c>
      <c r="G32" s="19">
        <v>1.9199999999999998E-2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142066</v>
      </c>
      <c r="F33" s="18">
        <v>579.98</v>
      </c>
      <c r="G33" s="19">
        <v>1.8800000000000001E-2</v>
      </c>
      <c r="H33" s="20"/>
    </row>
    <row r="34" spans="1:8" ht="12.9" customHeight="1">
      <c r="A34" s="15" t="s">
        <v>107</v>
      </c>
      <c r="B34" s="16" t="s">
        <v>108</v>
      </c>
      <c r="C34" s="12" t="s">
        <v>109</v>
      </c>
      <c r="D34" s="13" t="s">
        <v>44</v>
      </c>
      <c r="E34" s="17">
        <v>11497</v>
      </c>
      <c r="F34" s="18">
        <v>573.89</v>
      </c>
      <c r="G34" s="19">
        <v>1.8599999999999998E-2</v>
      </c>
      <c r="H34" s="20"/>
    </row>
    <row r="35" spans="1:8" ht="12.9" customHeight="1">
      <c r="A35" s="15" t="s">
        <v>110</v>
      </c>
      <c r="B35" s="16" t="s">
        <v>111</v>
      </c>
      <c r="C35" s="12" t="s">
        <v>112</v>
      </c>
      <c r="D35" s="13" t="s">
        <v>16</v>
      </c>
      <c r="E35" s="17">
        <v>490320</v>
      </c>
      <c r="F35" s="18">
        <v>551.22</v>
      </c>
      <c r="G35" s="19">
        <v>1.7899999999999999E-2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69</v>
      </c>
      <c r="E36" s="17">
        <v>28564</v>
      </c>
      <c r="F36" s="18">
        <v>544.04</v>
      </c>
      <c r="G36" s="19">
        <v>1.7600000000000001E-2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36</v>
      </c>
      <c r="E37" s="17">
        <v>738126</v>
      </c>
      <c r="F37" s="18">
        <v>537.79999999999995</v>
      </c>
      <c r="G37" s="19">
        <v>1.7399999999999999E-2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44</v>
      </c>
      <c r="E38" s="17">
        <v>61021</v>
      </c>
      <c r="F38" s="18">
        <v>531.28</v>
      </c>
      <c r="G38" s="19">
        <v>1.72E-2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18794</v>
      </c>
      <c r="F39" s="18">
        <v>510.81</v>
      </c>
      <c r="G39" s="19">
        <v>1.66E-2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106</v>
      </c>
      <c r="E40" s="17">
        <v>5655</v>
      </c>
      <c r="F40" s="18">
        <v>492.58</v>
      </c>
      <c r="G40" s="19">
        <v>1.6E-2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49994</v>
      </c>
      <c r="F41" s="18">
        <v>489.52</v>
      </c>
      <c r="G41" s="19">
        <v>1.5900000000000001E-2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89</v>
      </c>
      <c r="E42" s="17">
        <v>14526</v>
      </c>
      <c r="F42" s="18">
        <v>448.59</v>
      </c>
      <c r="G42" s="19">
        <v>1.4500000000000001E-2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69</v>
      </c>
      <c r="E43" s="17">
        <v>50455</v>
      </c>
      <c r="F43" s="18">
        <v>442.29</v>
      </c>
      <c r="G43" s="19">
        <v>1.43E-2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33747</v>
      </c>
      <c r="F44" s="18">
        <v>426.21</v>
      </c>
      <c r="G44" s="19">
        <v>1.38E-2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28</v>
      </c>
      <c r="E45" s="17">
        <v>7324</v>
      </c>
      <c r="F45" s="18">
        <v>424.6</v>
      </c>
      <c r="G45" s="19">
        <v>1.38E-2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4916</v>
      </c>
      <c r="F46" s="18">
        <v>388.51</v>
      </c>
      <c r="G46" s="19">
        <v>1.26E-2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44</v>
      </c>
      <c r="E47" s="17">
        <v>34065</v>
      </c>
      <c r="F47" s="18">
        <v>377.41</v>
      </c>
      <c r="G47" s="19">
        <v>1.2200000000000001E-2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28</v>
      </c>
      <c r="E48" s="17">
        <v>7282</v>
      </c>
      <c r="F48" s="18">
        <v>359.4</v>
      </c>
      <c r="G48" s="19">
        <v>1.17E-2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28</v>
      </c>
      <c r="E49" s="17">
        <v>651502</v>
      </c>
      <c r="F49" s="18">
        <v>323.86</v>
      </c>
      <c r="G49" s="19">
        <v>1.0500000000000001E-2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125</v>
      </c>
      <c r="E50" s="17">
        <v>9886</v>
      </c>
      <c r="F50" s="18">
        <v>303.52</v>
      </c>
      <c r="G50" s="19">
        <v>9.7999999999999997E-3</v>
      </c>
      <c r="H50" s="20"/>
    </row>
    <row r="51" spans="1:8" ht="12.9" customHeight="1">
      <c r="A51" s="15" t="s">
        <v>162</v>
      </c>
      <c r="B51" s="16" t="s">
        <v>163</v>
      </c>
      <c r="C51" s="12" t="s">
        <v>164</v>
      </c>
      <c r="D51" s="13" t="s">
        <v>165</v>
      </c>
      <c r="E51" s="17">
        <v>26728</v>
      </c>
      <c r="F51" s="18">
        <v>301.12</v>
      </c>
      <c r="G51" s="19">
        <v>9.7999999999999997E-3</v>
      </c>
      <c r="H51" s="20"/>
    </row>
    <row r="52" spans="1:8" ht="12.9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96250</v>
      </c>
      <c r="F52" s="18">
        <v>282.73</v>
      </c>
      <c r="G52" s="19">
        <v>9.1999999999999998E-3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165</v>
      </c>
      <c r="E53" s="17">
        <v>17760</v>
      </c>
      <c r="F53" s="18">
        <v>274.94</v>
      </c>
      <c r="G53" s="19">
        <v>8.8999999999999999E-3</v>
      </c>
      <c r="H53" s="20"/>
    </row>
    <row r="54" spans="1:8" ht="12.9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10606</v>
      </c>
      <c r="F54" s="18">
        <v>261.39999999999998</v>
      </c>
      <c r="G54" s="19">
        <v>8.5000000000000006E-3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55644</v>
      </c>
      <c r="F55" s="18">
        <v>242.64</v>
      </c>
      <c r="G55" s="19">
        <v>7.9000000000000008E-3</v>
      </c>
      <c r="H55" s="20"/>
    </row>
    <row r="56" spans="1:8" ht="12.9" customHeight="1">
      <c r="A56" s="15" t="s">
        <v>181</v>
      </c>
      <c r="B56" s="16" t="s">
        <v>182</v>
      </c>
      <c r="C56" s="12" t="s">
        <v>183</v>
      </c>
      <c r="D56" s="13" t="s">
        <v>142</v>
      </c>
      <c r="E56" s="17">
        <v>300181</v>
      </c>
      <c r="F56" s="18">
        <v>218.83</v>
      </c>
      <c r="G56" s="19">
        <v>7.1000000000000004E-3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48</v>
      </c>
      <c r="E57" s="17">
        <v>84977</v>
      </c>
      <c r="F57" s="18">
        <v>171.93</v>
      </c>
      <c r="G57" s="19">
        <v>5.5999999999999999E-3</v>
      </c>
      <c r="H57" s="20"/>
    </row>
    <row r="58" spans="1:8" ht="12.9" customHeight="1">
      <c r="A58" s="4"/>
      <c r="B58" s="21" t="s">
        <v>187</v>
      </c>
      <c r="C58" s="22"/>
      <c r="D58" s="21"/>
      <c r="E58" s="21"/>
      <c r="F58" s="23">
        <v>30874.75</v>
      </c>
      <c r="G58" s="24">
        <v>1.0011000000000001</v>
      </c>
      <c r="H58" s="25"/>
    </row>
    <row r="59" spans="1:8" ht="12.9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" customHeight="1">
      <c r="A61" s="4"/>
      <c r="B61" s="21" t="s">
        <v>190</v>
      </c>
      <c r="C61" s="26"/>
      <c r="D61" s="27"/>
      <c r="E61" s="29"/>
      <c r="F61" s="30">
        <v>30874.75</v>
      </c>
      <c r="G61" s="31">
        <v>1.0011000000000001</v>
      </c>
      <c r="H61" s="32"/>
    </row>
    <row r="62" spans="1:8" ht="12.9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" customHeight="1">
      <c r="A64" s="15" t="s">
        <v>193</v>
      </c>
      <c r="B64" s="16" t="s">
        <v>194</v>
      </c>
      <c r="C64" s="12"/>
      <c r="D64" s="13"/>
      <c r="E64" s="34"/>
      <c r="F64" s="18">
        <v>402.62</v>
      </c>
      <c r="G64" s="19">
        <v>1.3100000000000001E-2</v>
      </c>
      <c r="H64" s="20">
        <v>6.2618999999999994E-2</v>
      </c>
    </row>
    <row r="65" spans="1:8" ht="12.9" customHeight="1">
      <c r="A65" s="4"/>
      <c r="B65" s="21" t="s">
        <v>190</v>
      </c>
      <c r="C65" s="26"/>
      <c r="D65" s="27"/>
      <c r="E65" s="29"/>
      <c r="F65" s="30">
        <v>402.62</v>
      </c>
      <c r="G65" s="31">
        <v>1.3100000000000001E-2</v>
      </c>
      <c r="H65" s="32"/>
    </row>
    <row r="66" spans="1:8" ht="12.9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2.9" customHeight="1">
      <c r="A67" s="4"/>
      <c r="B67" s="27" t="s">
        <v>196</v>
      </c>
      <c r="C67" s="26"/>
      <c r="D67" s="27"/>
      <c r="E67" s="27"/>
      <c r="F67" s="23">
        <v>2.83</v>
      </c>
      <c r="G67" s="24">
        <v>1E-4</v>
      </c>
      <c r="H67" s="37"/>
    </row>
    <row r="68" spans="1:8" ht="12.9" customHeight="1">
      <c r="A68" s="4"/>
      <c r="B68" s="21" t="s">
        <v>187</v>
      </c>
      <c r="C68" s="22"/>
      <c r="D68" s="21"/>
      <c r="E68" s="21"/>
      <c r="F68" s="23">
        <v>2.83</v>
      </c>
      <c r="G68" s="24">
        <v>1E-4</v>
      </c>
      <c r="H68" s="37"/>
    </row>
    <row r="69" spans="1:8" ht="12.9" customHeight="1">
      <c r="A69" s="4"/>
      <c r="B69" s="21" t="s">
        <v>197</v>
      </c>
      <c r="C69" s="26"/>
      <c r="D69" s="27"/>
      <c r="E69" s="27"/>
      <c r="F69" s="23">
        <v>-440.57</v>
      </c>
      <c r="G69" s="38">
        <v>-1.43E-2</v>
      </c>
      <c r="H69" s="37"/>
    </row>
    <row r="70" spans="1:8" ht="12.9" customHeight="1" thickBot="1">
      <c r="A70" s="4"/>
      <c r="B70" s="39" t="s">
        <v>198</v>
      </c>
      <c r="C70" s="40"/>
      <c r="D70" s="41"/>
      <c r="E70" s="41"/>
      <c r="F70" s="42">
        <v>30839.628225894881</v>
      </c>
      <c r="G70" s="43">
        <v>1</v>
      </c>
      <c r="H70" s="44"/>
    </row>
    <row r="71" spans="1:8" ht="12.9" customHeight="1">
      <c r="A71" s="4"/>
      <c r="B71" s="45"/>
      <c r="C71" s="4"/>
      <c r="D71" s="4"/>
      <c r="E71" s="4"/>
      <c r="F71" s="4"/>
      <c r="G71" s="4"/>
      <c r="H71" s="4"/>
    </row>
    <row r="72" spans="1:8" ht="12.9" customHeight="1">
      <c r="A72" s="4"/>
      <c r="B72" s="45"/>
      <c r="C72" s="4"/>
      <c r="D72" s="4"/>
      <c r="E72" s="4"/>
      <c r="F72" s="4"/>
      <c r="G72" s="4"/>
      <c r="H72" s="4"/>
    </row>
    <row r="73" spans="1:8" ht="12.9" customHeight="1">
      <c r="A73" s="4"/>
      <c r="B73" s="45"/>
      <c r="C73" s="4"/>
      <c r="D73" s="4"/>
      <c r="E73" s="4"/>
      <c r="F73" s="4"/>
      <c r="G73" s="4"/>
      <c r="H73" s="4"/>
    </row>
    <row r="74" spans="1:8">
      <c r="A74" s="4"/>
      <c r="B74" s="46" t="s">
        <v>199</v>
      </c>
      <c r="C74" s="4"/>
      <c r="D74" s="4"/>
      <c r="E74" s="4"/>
      <c r="F74" s="4"/>
      <c r="G74" s="4"/>
      <c r="H74" s="4"/>
    </row>
    <row r="75" spans="1:8" ht="12.9" customHeight="1">
      <c r="A75" s="4"/>
      <c r="B75" s="47" t="s">
        <v>200</v>
      </c>
      <c r="C75" s="47" t="s">
        <v>9</v>
      </c>
      <c r="D75" s="4"/>
      <c r="E75" s="4"/>
      <c r="F75" s="4"/>
      <c r="G75" s="4"/>
      <c r="H75" s="4"/>
    </row>
    <row r="76" spans="1:8" ht="12.9" customHeight="1">
      <c r="A76" s="4"/>
      <c r="B76" s="48" t="str">
        <f>+B8</f>
        <v>Indian Renewable Energy Development Agency Limited</v>
      </c>
      <c r="C76" s="49">
        <f t="shared" ref="C76:C82" si="0">+G8</f>
        <v>3.8899999999999997E-2</v>
      </c>
      <c r="D76" s="4"/>
      <c r="E76" s="4"/>
      <c r="F76" s="4"/>
      <c r="G76" s="4"/>
      <c r="H76" s="4"/>
    </row>
    <row r="77" spans="1:8" ht="12.9" customHeight="1">
      <c r="A77" s="4"/>
      <c r="B77" s="48" t="str">
        <f t="shared" ref="B77:B82" si="1">+B9</f>
        <v>Cochin Shipyard Limited</v>
      </c>
      <c r="C77" s="49">
        <f t="shared" si="0"/>
        <v>3.5400000000000001E-2</v>
      </c>
      <c r="D77" s="4"/>
      <c r="E77" s="4"/>
      <c r="F77" s="4"/>
      <c r="G77" s="4"/>
      <c r="H77" s="4"/>
    </row>
    <row r="78" spans="1:8" ht="12.9" customHeight="1">
      <c r="A78" s="4"/>
      <c r="B78" s="48" t="str">
        <f t="shared" si="1"/>
        <v>Dixon Technologies (India) Limited</v>
      </c>
      <c r="C78" s="49">
        <f t="shared" si="0"/>
        <v>3.4799999999999998E-2</v>
      </c>
      <c r="D78" s="4"/>
      <c r="E78" s="4"/>
      <c r="F78" s="4"/>
      <c r="G78" s="4"/>
      <c r="H78" s="4"/>
    </row>
    <row r="79" spans="1:8" ht="12.9" customHeight="1">
      <c r="A79" s="4"/>
      <c r="B79" s="48" t="str">
        <f t="shared" si="1"/>
        <v>Inox Wind Limited</v>
      </c>
      <c r="C79" s="49">
        <f t="shared" si="0"/>
        <v>3.4099999999999998E-2</v>
      </c>
      <c r="D79" s="4"/>
      <c r="E79" s="4"/>
      <c r="F79" s="4"/>
      <c r="G79" s="4"/>
      <c r="H79" s="4"/>
    </row>
    <row r="80" spans="1:8">
      <c r="B80" s="48" t="str">
        <f t="shared" si="1"/>
        <v>Zomato Limited</v>
      </c>
      <c r="C80" s="49">
        <f t="shared" si="0"/>
        <v>3.2000000000000001E-2</v>
      </c>
    </row>
    <row r="81" spans="2:3">
      <c r="B81" s="48" t="str">
        <f t="shared" si="1"/>
        <v>Rail Vikas Nigam Limited</v>
      </c>
      <c r="C81" s="49">
        <f t="shared" si="0"/>
        <v>3.1199999999999999E-2</v>
      </c>
    </row>
    <row r="82" spans="2:3">
      <c r="B82" s="48" t="str">
        <f t="shared" si="1"/>
        <v>Oracle Financial Services Software Limited</v>
      </c>
      <c r="C82" s="49">
        <f t="shared" si="0"/>
        <v>3.04E-2</v>
      </c>
    </row>
    <row r="84" spans="2:3">
      <c r="B84" s="46" t="s">
        <v>201</v>
      </c>
    </row>
    <row r="85" spans="2:3">
      <c r="B85" s="47" t="s">
        <v>202</v>
      </c>
      <c r="C85" s="47" t="s">
        <v>9</v>
      </c>
    </row>
    <row r="86" spans="2:3">
      <c r="B86" s="48" t="s">
        <v>203</v>
      </c>
      <c r="C86" s="49">
        <v>9.820000000000001E-2</v>
      </c>
    </row>
    <row r="87" spans="2:3">
      <c r="B87" s="48" t="s">
        <v>204</v>
      </c>
      <c r="C87" s="49">
        <v>3.8899999999999997E-2</v>
      </c>
    </row>
    <row r="88" spans="2:3">
      <c r="B88" s="48" t="s">
        <v>205</v>
      </c>
      <c r="C88" s="49">
        <v>3.5400000000000001E-2</v>
      </c>
    </row>
    <row r="89" spans="2:3">
      <c r="B89" s="48" t="s">
        <v>206</v>
      </c>
      <c r="C89" s="49">
        <v>3.4799999999999998E-2</v>
      </c>
    </row>
    <row r="90" spans="2:3">
      <c r="B90" s="48" t="s">
        <v>207</v>
      </c>
      <c r="C90" s="49">
        <v>3.4099999999999998E-2</v>
      </c>
    </row>
    <row r="91" spans="2:3">
      <c r="B91" s="48" t="s">
        <v>208</v>
      </c>
      <c r="C91" s="49">
        <v>3.2000000000000001E-2</v>
      </c>
    </row>
    <row r="92" spans="2:3">
      <c r="B92" s="48" t="s">
        <v>209</v>
      </c>
      <c r="C92" s="49">
        <v>3.1199999999999999E-2</v>
      </c>
    </row>
    <row r="94" spans="2:3">
      <c r="B94" s="46" t="s">
        <v>210</v>
      </c>
    </row>
    <row r="95" spans="2:3">
      <c r="B95" s="47" t="s">
        <v>211</v>
      </c>
      <c r="C95" s="47" t="s">
        <v>9</v>
      </c>
    </row>
    <row r="96" spans="2:3">
      <c r="B96" s="48" t="s">
        <v>212</v>
      </c>
      <c r="C96" s="49">
        <v>0.25659999999999999</v>
      </c>
    </row>
    <row r="97" spans="2:6">
      <c r="B97" s="48" t="s">
        <v>213</v>
      </c>
      <c r="C97" s="49">
        <v>0.21119999999999997</v>
      </c>
    </row>
    <row r="98" spans="2:6">
      <c r="B98" s="48" t="s">
        <v>24</v>
      </c>
      <c r="C98" s="49">
        <v>8.14E-2</v>
      </c>
    </row>
    <row r="99" spans="2:6">
      <c r="B99" s="48" t="s">
        <v>214</v>
      </c>
      <c r="C99" s="49">
        <v>8.0000000000000016E-2</v>
      </c>
    </row>
    <row r="100" spans="2:6">
      <c r="F100" s="50" t="s">
        <v>215</v>
      </c>
    </row>
    <row r="101" spans="2:6">
      <c r="B101" s="50" t="s">
        <v>216</v>
      </c>
      <c r="F101" s="50" t="s">
        <v>217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2025-03-06T13:13:41Z</dcterms:created>
  <dcterms:modified xsi:type="dcterms:W3CDTF">2025-03-06T13:13:42Z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648cf76e-66e4-41aa-a0fa-838685dac494</vt:lpwstr>
  </property>
  <property fmtid="{D5CDD505-2E9C-101B-9397-08002B2CF9AE}" pid="8" name="MSIP_Label_af1741f6-9e47-426e-a683-937c37d4ebc5_ContentBits">
    <vt:lpwstr>3</vt:lpwstr>
  </property>
</Properties>
</file>