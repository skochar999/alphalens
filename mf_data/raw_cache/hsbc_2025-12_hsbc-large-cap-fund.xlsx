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X:\SCB\REPORTS\Portfolios\2025\Dec 2025\Monthly\Equity\"/>
    </mc:Choice>
  </mc:AlternateContent>
  <xr:revisionPtr revIDLastSave="0" documentId="13_ncr:1_{422A3EF8-4F17-429C-B267-3A3F2E4CD82A}" xr6:coauthVersionLast="47" xr6:coauthVersionMax="47" xr10:uidLastSave="{00000000-0000-0000-0000-000000000000}"/>
  <bookViews>
    <workbookView xWindow="-108" yWindow="-108" windowWidth="20376" windowHeight="12096" xr2:uid="{4D702C6C-7A9E-4823-87DF-AF24364396E3}"/>
  </bookViews>
  <sheets>
    <sheet name="HEEQ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5" i="5" l="1"/>
  <c r="E45" i="5"/>
</calcChain>
</file>

<file path=xl/sharedStrings.xml><?xml version="1.0" encoding="utf-8"?>
<sst xmlns="http://schemas.openxmlformats.org/spreadsheetml/2006/main" count="173" uniqueCount="155">
  <si>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</si>
  <si>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</si>
  <si>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</si>
  <si>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</si>
  <si>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</si>
  <si>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</si>
  <si>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</si>
  <si>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</si>
  <si>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</si>
  <si>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</si>
  <si>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</si>
  <si>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</si>
  <si>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</si>
  <si>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</si>
  <si>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</si>
  <si>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</si>
  <si>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</si>
  <si>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</si>
  <si>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</si>
  <si>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</si>
  <si>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</si>
  <si>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</si>
  <si>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</si>
  <si>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</si>
  <si>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</si>
  <si>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</si>
  <si>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</si>
  <si>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</si>
  <si>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</si>
  <si>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</si>
  <si>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</si>
  <si>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</si>
  <si>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</si>
  <si>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State Bank of India</t>
  </si>
  <si>
    <t>INE062A01020</t>
  </si>
  <si>
    <t>Shriram Finance Limited</t>
  </si>
  <si>
    <t>INE721A01047</t>
  </si>
  <si>
    <t>Finance</t>
  </si>
  <si>
    <t>Bharti Airtel Limited</t>
  </si>
  <si>
    <t>INE397D01024</t>
  </si>
  <si>
    <t>Telecom - Services</t>
  </si>
  <si>
    <t>Eternal Limited</t>
  </si>
  <si>
    <t>INE758T01015</t>
  </si>
  <si>
    <t>Retailing</t>
  </si>
  <si>
    <t>Larsen &amp; Toubro Limited</t>
  </si>
  <si>
    <t>INE018A01030</t>
  </si>
  <si>
    <t>Construction</t>
  </si>
  <si>
    <t>Polycab India Limited</t>
  </si>
  <si>
    <t>INE455K01017</t>
  </si>
  <si>
    <t>Industrial Products</t>
  </si>
  <si>
    <t>Kotak Mahindra Bank Limited</t>
  </si>
  <si>
    <t>INE237A01028</t>
  </si>
  <si>
    <t>Axis Bank Limited</t>
  </si>
  <si>
    <t>INE238A01034</t>
  </si>
  <si>
    <t>TVS Motor Company Limited</t>
  </si>
  <si>
    <t>INE494B01023</t>
  </si>
  <si>
    <t>Automobiles</t>
  </si>
  <si>
    <t>Mahindra &amp; Mahindra Limited</t>
  </si>
  <si>
    <t>INE101A01026</t>
  </si>
  <si>
    <t>Tech Mahindra Limited</t>
  </si>
  <si>
    <t>INE669C01036</t>
  </si>
  <si>
    <t>Apollo Hospitals Enterprise Limited</t>
  </si>
  <si>
    <t>INE437A01024</t>
  </si>
  <si>
    <t>Healthcare Services</t>
  </si>
  <si>
    <t>HCL Technologies Limited</t>
  </si>
  <si>
    <t>INE860A01027</t>
  </si>
  <si>
    <t>Delhivery Limited</t>
  </si>
  <si>
    <t>INE148O01028</t>
  </si>
  <si>
    <t>Transport Services</t>
  </si>
  <si>
    <t>SWIGGY LIMITED</t>
  </si>
  <si>
    <t>INE00H001014</t>
  </si>
  <si>
    <t>Varun Beverages Limited</t>
  </si>
  <si>
    <t>INE200M01039</t>
  </si>
  <si>
    <t>Beverages</t>
  </si>
  <si>
    <t>UltraTech Cement Limited</t>
  </si>
  <si>
    <t>INE481G01011</t>
  </si>
  <si>
    <t>Cement &amp; Cement Products</t>
  </si>
  <si>
    <t>Titan Company Limited</t>
  </si>
  <si>
    <t>INE280A01028</t>
  </si>
  <si>
    <t>Consumer Durables</t>
  </si>
  <si>
    <t>Mankind Pharma Limited</t>
  </si>
  <si>
    <t>INE634S01028</t>
  </si>
  <si>
    <t>Pharmaceuticals &amp; Biotechnology</t>
  </si>
  <si>
    <t>Lupin Limited</t>
  </si>
  <si>
    <t>INE326A01037</t>
  </si>
  <si>
    <t>Britannia Industries Limited</t>
  </si>
  <si>
    <t>INE216A01030</t>
  </si>
  <si>
    <t>Food Products</t>
  </si>
  <si>
    <t>Maruti Suzuki India Limited</t>
  </si>
  <si>
    <t>INE585B01010</t>
  </si>
  <si>
    <t>ICICI Prudential AMC Ltd</t>
  </si>
  <si>
    <t>INE346A01027</t>
  </si>
  <si>
    <t>Capital Markets</t>
  </si>
  <si>
    <t>Sun Pharmaceutical Industries Limited</t>
  </si>
  <si>
    <t>INE044A01036</t>
  </si>
  <si>
    <t>Ashok Leyland Limited</t>
  </si>
  <si>
    <t>INE208A01029</t>
  </si>
  <si>
    <t>Agricultural, Commercial &amp; Construction Vehicles</t>
  </si>
  <si>
    <t>Eicher Motors Limited</t>
  </si>
  <si>
    <t>INE066A01021</t>
  </si>
  <si>
    <t>NTPC Limited</t>
  </si>
  <si>
    <t>INE733E01010</t>
  </si>
  <si>
    <t>Power</t>
  </si>
  <si>
    <t>Godrej Consumer Products Limited</t>
  </si>
  <si>
    <t>INE102D01028</t>
  </si>
  <si>
    <t>Personal Products</t>
  </si>
  <si>
    <t>Hindustan Aeronautics Limited</t>
  </si>
  <si>
    <t>INE066F01020</t>
  </si>
  <si>
    <t>Aerospace &amp; Defense</t>
  </si>
  <si>
    <t>Total</t>
  </si>
  <si>
    <t>Preference Shares</t>
  </si>
  <si>
    <t>INE494B04019</t>
  </si>
  <si>
    <t>Treps</t>
  </si>
  <si>
    <t>Net Current Assets (including cash &amp; bank balances)</t>
  </si>
  <si>
    <t>Total Net Assets as on 31-December-2025</t>
  </si>
  <si>
    <t>Aggregate value of investments made by other schemes of HSBC Mutual Fund are amounting to Rs. 1621.16 Lakhs.</t>
  </si>
  <si>
    <t>This product is suitable for investors who are seeking*:• To create wealth over long term • Investment in predominantly large cap equity and equity related securities.</t>
  </si>
  <si>
    <t>Scheme Benchmark: Nifty 100 TRI</t>
  </si>
  <si>
    <t>Notes: HSBC Large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</si>
  <si>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</si>
  <si>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</si>
  <si>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</si>
  <si>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</si>
  <si>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</si>
  <si>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</si>
  <si>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</si>
  <si>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</si>
  <si>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</si>
  <si>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</si>
  <si>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</si>
  <si>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</si>
  <si>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</si>
  <si>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</si>
  <si>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</si>
  <si>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</si>
  <si>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</si>
  <si>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</si>
  <si>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</si>
  <si>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The dividends declared during the month ended DEC 31,2025 under the Income Distribution cum Capital Withdrawal (IDCW) Options of the Scheme are as follows:</t>
  </si>
  <si>
    <t>Rate of dividend per Unit</t>
  </si>
  <si>
    <t>Individuals &amp; HUF</t>
  </si>
  <si>
    <t>Others</t>
  </si>
  <si>
    <t>Direct Plan IDCW</t>
  </si>
  <si>
    <t>Regular Plan IDCW</t>
  </si>
  <si>
    <t>(6) No bonus was declared  during the month ended  DEC 31,2025.</t>
  </si>
  <si>
    <t>(7) The total market value of investments in foreign securities / American Depositary Receipts / Global Depositary Receipts as on DEC 31,2025   is Nil.</t>
  </si>
  <si>
    <t>(8) The portfolio turnover ratio of the Scheme for the month ended DEC 31,2025  is 0.59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</si>
  <si>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</si>
  <si>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</si>
  <si>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</si>
  <si>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</si>
  <si>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</si>
  <si>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Kwality Wall’s (India) Limited#</t>
  </si>
  <si>
    <t>INE2KCE01013</t>
  </si>
  <si>
    <t>#Awaiting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</si>
</sst>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bottom style="thin">
        <color rgb="FFDDDDDD"/>
      </bottom>
      <diagonal/>
    </border>
  </borders>
  <cellStyleXfs count="5">
    <xf numFmtId="0" fontId="0" fillId="0" borderId="0"/>
    <xf numFmtId="0" fontId="2" fillId="0" borderId="0"/>
    <xf numFmtId="0" fontId="15" fillId="0" borderId="0"/>
    <xf numFmtId="0" fontId="6" fillId="0" borderId="0"/>
    <xf numFmtId="0" fontId="6" fillId="0" borderId="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11" fillId="2" borderId="14" xfId="1" applyNumberFormat="1" applyFont="1" applyFill="1" applyBorder="1"/>
    <xf numFmtId="0" fontId="12" fillId="2" borderId="0" xfId="1" applyFont="1" applyFill="1" applyAlignment="1">
      <alignment horizontal="left"/>
    </xf>
    <xf numFmtId="0" fontId="13" fillId="0" borderId="0" xfId="0" applyFont="1"/>
    <xf numFmtId="0" fontId="14"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49" fontId="7" fillId="2" borderId="14" xfId="3" applyNumberFormat="1" applyFont="1" applyFill="1" applyBorder="1" applyAlignment="1">
      <alignment horizontal="left"/>
    </xf>
    <xf numFmtId="49" fontId="8" fillId="2" borderId="21" xfId="1" applyNumberFormat="1" applyFont="1" applyFill="1" applyBorder="1" applyAlignment="1">
      <alignment horizontal="left"/>
    </xf>
    <xf numFmtId="0" fontId="8" fillId="2" borderId="16" xfId="1" applyFont="1" applyFill="1" applyBorder="1" applyAlignment="1">
      <alignment horizontal="left"/>
    </xf>
    <xf numFmtId="49" fontId="7" fillId="2" borderId="10" xfId="1" applyNumberFormat="1" applyFont="1" applyFill="1" applyBorder="1" applyAlignment="1">
      <alignment horizontal="left"/>
    </xf>
    <xf numFmtId="49" fontId="7" fillId="2" borderId="10" xfId="1" applyNumberFormat="1" applyFont="1" applyFill="1" applyBorder="1" applyAlignment="1">
      <alignment horizontal="center" vertical="center"/>
    </xf>
    <xf numFmtId="49" fontId="7" fillId="2" borderId="11" xfId="1" applyNumberFormat="1" applyFont="1" applyFill="1" applyBorder="1" applyAlignment="1">
      <alignment horizontal="left"/>
    </xf>
    <xf numFmtId="49" fontId="7" fillId="2" borderId="11" xfId="1" applyNumberFormat="1" applyFont="1" applyFill="1" applyBorder="1" applyAlignment="1">
      <alignment horizontal="center" vertical="center"/>
    </xf>
    <xf numFmtId="49" fontId="7" fillId="2" borderId="24" xfId="1"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8" fillId="2" borderId="22" xfId="1" applyNumberFormat="1" applyFont="1" applyFill="1" applyBorder="1" applyAlignment="1">
      <alignment horizontal="center" wrapText="1"/>
    </xf>
    <xf numFmtId="49" fontId="8" fillId="2" borderId="23" xfId="1" applyNumberFormat="1" applyFont="1" applyFill="1" applyBorder="1" applyAlignment="1">
      <alignment horizontal="center" wrapText="1"/>
    </xf>
  </cellXfs>
  <cellStyles count="5">
    <cellStyle name="Normal" xfId="0" builtinId="0"/>
    <cellStyle name="Normal 2" xfId="1" xr:uid="{9545D71E-0987-4B00-97F1-389554566F88}"/>
    <cellStyle name="Normal 2 2" xfId="2" xr:uid="{D346D122-9974-4122-A8B4-8DF784EC12D4}"/>
    <cellStyle name="Normal 3 2" xfId="4" xr:uid="{EA3862B9-5C76-4FDD-89A4-0815226A4B01}"/>
    <cellStyle name="Normal 4" xfId="3" xr:uid="{47BD5FA8-04A4-408E-A6A9-EC3E51CB08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59</xdr:row>
      <xdr:rowOff>127000</xdr:rowOff>
    </xdr:from>
    <xdr:to>
      <xdr:col>3</xdr:col>
      <xdr:colOff>1244600</xdr:colOff>
      <xdr:row>67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030200"/>
          <a:ext cx="3816350" cy="2032000"/>
        </a:xfrm>
        <a:prstGeom prst="rect">
          <a:avLst/>
        </a:prstGeom>
      </xdr:spPr>
    </xdr:pic>
    <xdr:clientData/>
  </xdr:twoCellAnchor>
  <xdr:twoCellAnchor editAs="oneCell">
    <xdr:from>
      <xdr:col>4</xdr:col>
      <xdr:colOff>127000</xdr:colOff>
      <xdr:row>59</xdr:row>
      <xdr:rowOff>127000</xdr:rowOff>
    </xdr:from>
    <xdr:to>
      <xdr:col>6</xdr:col>
      <xdr:colOff>1244600</xdr:colOff>
      <xdr:row>67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030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74"/>
  <sheetViews>
    <sheetView showGridLines="0" tabSelected="1" zoomScale="75" zoomScaleNormal="75" workbookViewId="0">
      <selection sqref="A1:I1"/>
    </sheetView>
  </sheetViews>
  <sheetFormatPr defaultColWidth="8.6640625" defaultRowHeight="11.4" x14ac:dyDescent="0.2"/>
  <cols>
    <col min="1" max="1" width="54.109375" style="11" customWidth="1"/>
    <col min="2" max="2" width="19.5546875" style="11" customWidth="1"/>
    <col min="3" max="3" width="38.5546875" style="11" customWidth="1"/>
    <col min="4" max="7" width="19.5546875" style="11" customWidth="1"/>
    <col min="8" max="9" width="10.109375" style="11" customWidth="1"/>
    <col min="10" max="16384" width="8.6640625" style="11"/>
  </cols>
  <sheetData>
    <row r="1" spans="1:10" ht="24" customHeight="1" x14ac:dyDescent="0.3">
      <c r="A1" s="54" t="s">
        <v>5</v>
      </c>
      <c r="B1" s="55"/>
      <c r="C1" s="55"/>
      <c r="D1" s="55"/>
      <c r="E1" s="55"/>
      <c r="F1" s="55"/>
      <c r="G1" s="55"/>
      <c r="H1" s="55"/>
      <c r="I1" s="55"/>
    </row>
    <row r="2" spans="1:10" ht="24" customHeight="1" x14ac:dyDescent="0.3">
      <c r="A2" s="54" t="s">
        <v>6</v>
      </c>
      <c r="B2" s="55"/>
      <c r="C2" s="55"/>
      <c r="D2" s="55"/>
      <c r="E2" s="55"/>
      <c r="F2" s="55"/>
      <c r="G2" s="55"/>
      <c r="H2" s="55"/>
      <c r="I2" s="55"/>
    </row>
    <row r="3" spans="1:10" ht="24" customHeight="1" x14ac:dyDescent="0.3">
      <c r="A3" s="54" t="s">
        <v>7</v>
      </c>
      <c r="B3" s="55"/>
      <c r="C3" s="55"/>
      <c r="D3" s="55"/>
      <c r="E3" s="55"/>
      <c r="F3" s="55"/>
      <c r="G3" s="55"/>
      <c r="H3" s="55"/>
      <c r="I3" s="55"/>
    </row>
    <row r="4" spans="1:10" ht="18.149999999999999" customHeight="1" x14ac:dyDescent="0.3">
      <c r="A4" s="54" t="s">
        <v>8</v>
      </c>
      <c r="B4" s="55"/>
      <c r="C4" s="55"/>
      <c r="D4" s="55"/>
      <c r="E4" s="55"/>
      <c r="F4" s="55"/>
      <c r="G4" s="55"/>
      <c r="H4" s="55"/>
      <c r="I4" s="55"/>
    </row>
    <row r="5" spans="1:10" ht="18.149999999999999" customHeight="1" x14ac:dyDescent="0.3">
      <c r="A5" s="56"/>
      <c r="B5" s="57"/>
      <c r="C5" s="57"/>
      <c r="D5" s="57"/>
      <c r="E5" s="57"/>
      <c r="F5" s="57"/>
      <c r="G5" s="57"/>
      <c r="H5" s="57"/>
      <c r="I5" s="57"/>
    </row>
    <row r="6" spans="1:10" ht="18.149999999999999" customHeight="1" x14ac:dyDescent="0.25">
      <c r="A6" s="54" t="s">
        <v>9</v>
      </c>
      <c r="B6" s="54" t="s">
        <v>10</v>
      </c>
      <c r="C6" s="54" t="s">
        <v>11</v>
      </c>
      <c r="D6" s="54" t="s">
        <v>12</v>
      </c>
      <c r="E6" s="79" t="s">
        <v>13</v>
      </c>
      <c r="F6" s="79" t="s">
        <v>14</v>
      </c>
      <c r="G6" s="79" t="s">
        <v>15</v>
      </c>
      <c r="H6" s="19" t="s">
        <v>16</v>
      </c>
      <c r="I6" s="20"/>
      <c r="J6" s="13"/>
    </row>
    <row r="7" spans="1:10" ht="18.149999999999999" customHeight="1" x14ac:dyDescent="0.25">
      <c r="A7" s="55"/>
      <c r="B7" s="55"/>
      <c r="C7" s="55"/>
      <c r="D7" s="55"/>
      <c r="E7" s="80"/>
      <c r="F7" s="80"/>
      <c r="G7" s="80"/>
      <c r="H7" s="21" t="s">
        <v>17</v>
      </c>
      <c r="I7" s="22" t="s">
        <v>18</v>
      </c>
      <c r="J7" s="13"/>
    </row>
    <row r="8" spans="1:10" ht="18.149999999999999" customHeight="1" x14ac:dyDescent="0.25">
      <c r="A8" s="14" t="s">
        <v>19</v>
      </c>
      <c r="B8" s="15"/>
      <c r="C8" s="15"/>
      <c r="D8" s="27"/>
      <c r="E8" s="27"/>
      <c r="F8" s="17"/>
      <c r="G8" s="15"/>
      <c r="H8" s="25"/>
      <c r="I8" s="23"/>
    </row>
    <row r="9" spans="1:10" ht="18.149999999999999" customHeight="1" x14ac:dyDescent="0.25">
      <c r="A9" s="14" t="s">
        <v>20</v>
      </c>
      <c r="B9" s="15"/>
      <c r="C9" s="15"/>
      <c r="D9" s="27"/>
      <c r="E9" s="27"/>
      <c r="F9" s="17"/>
      <c r="G9" s="15"/>
      <c r="H9" s="25"/>
      <c r="I9" s="23"/>
    </row>
    <row r="10" spans="1:10" ht="18.149999999999999" customHeight="1" x14ac:dyDescent="0.25">
      <c r="A10" s="16" t="s">
        <v>21</v>
      </c>
      <c r="B10" s="15"/>
      <c r="C10" s="15"/>
      <c r="D10" s="27"/>
      <c r="E10" s="27"/>
      <c r="F10" s="17"/>
      <c r="G10" s="15"/>
      <c r="H10" s="25"/>
      <c r="I10" s="23"/>
    </row>
    <row r="11" spans="1:10" ht="18.149999999999999" customHeight="1" x14ac:dyDescent="0.2">
      <c r="A11" s="15" t="s">
        <v>22</v>
      </c>
      <c r="B11" s="15" t="s">
        <v>23</v>
      </c>
      <c r="C11" s="15" t="s">
        <v>24</v>
      </c>
      <c r="D11" s="27">
        <v>1800000</v>
      </c>
      <c r="E11" s="27">
        <v>17841.599999999999</v>
      </c>
      <c r="F11" s="17">
        <v>9.3299999999999994E-2</v>
      </c>
      <c r="G11" s="15"/>
      <c r="H11" s="25"/>
      <c r="I11" s="23"/>
    </row>
    <row r="12" spans="1:10" ht="18.149999999999999" customHeight="1" x14ac:dyDescent="0.2">
      <c r="A12" s="15" t="s">
        <v>25</v>
      </c>
      <c r="B12" s="15" t="s">
        <v>26</v>
      </c>
      <c r="C12" s="15" t="s">
        <v>24</v>
      </c>
      <c r="D12" s="27">
        <v>1250000</v>
      </c>
      <c r="E12" s="27">
        <v>16786.25</v>
      </c>
      <c r="F12" s="17">
        <v>8.7800000000000003E-2</v>
      </c>
      <c r="G12" s="15"/>
      <c r="H12" s="25"/>
      <c r="I12" s="23"/>
    </row>
    <row r="13" spans="1:10" ht="18.149999999999999" customHeight="1" x14ac:dyDescent="0.2">
      <c r="A13" s="15" t="s">
        <v>27</v>
      </c>
      <c r="B13" s="15" t="s">
        <v>28</v>
      </c>
      <c r="C13" s="15" t="s">
        <v>29</v>
      </c>
      <c r="D13" s="27">
        <v>800000</v>
      </c>
      <c r="E13" s="27">
        <v>12563.2</v>
      </c>
      <c r="F13" s="17">
        <v>6.5699999999999995E-2</v>
      </c>
      <c r="G13" s="15"/>
      <c r="H13" s="25"/>
      <c r="I13" s="23"/>
    </row>
    <row r="14" spans="1:10" ht="18.149999999999999" customHeight="1" x14ac:dyDescent="0.2">
      <c r="A14" s="15" t="s">
        <v>30</v>
      </c>
      <c r="B14" s="15" t="s">
        <v>31</v>
      </c>
      <c r="C14" s="15" t="s">
        <v>32</v>
      </c>
      <c r="D14" s="27">
        <v>700000</v>
      </c>
      <c r="E14" s="27">
        <v>11307.8</v>
      </c>
      <c r="F14" s="17">
        <v>5.91E-2</v>
      </c>
      <c r="G14" s="15"/>
      <c r="H14" s="25"/>
      <c r="I14" s="23"/>
    </row>
    <row r="15" spans="1:10" ht="18.149999999999999" customHeight="1" x14ac:dyDescent="0.2">
      <c r="A15" s="15" t="s">
        <v>33</v>
      </c>
      <c r="B15" s="15" t="s">
        <v>34</v>
      </c>
      <c r="C15" s="15" t="s">
        <v>24</v>
      </c>
      <c r="D15" s="27">
        <v>1000000</v>
      </c>
      <c r="E15" s="27">
        <v>9822</v>
      </c>
      <c r="F15" s="17">
        <v>5.1400000000000001E-2</v>
      </c>
      <c r="G15" s="15"/>
      <c r="H15" s="25"/>
      <c r="I15" s="23"/>
    </row>
    <row r="16" spans="1:10" ht="18.149999999999999" customHeight="1" x14ac:dyDescent="0.2">
      <c r="A16" s="15" t="s">
        <v>35</v>
      </c>
      <c r="B16" s="15" t="s">
        <v>36</v>
      </c>
      <c r="C16" s="15" t="s">
        <v>37</v>
      </c>
      <c r="D16" s="27">
        <v>900000</v>
      </c>
      <c r="E16" s="27">
        <v>8965.7999999999993</v>
      </c>
      <c r="F16" s="17">
        <v>4.6899999999999997E-2</v>
      </c>
      <c r="G16" s="15"/>
      <c r="H16" s="25"/>
      <c r="I16" s="23"/>
    </row>
    <row r="17" spans="1:9" ht="18.149999999999999" customHeight="1" x14ac:dyDescent="0.2">
      <c r="A17" s="15" t="s">
        <v>38</v>
      </c>
      <c r="B17" s="15" t="s">
        <v>39</v>
      </c>
      <c r="C17" s="15" t="s">
        <v>40</v>
      </c>
      <c r="D17" s="27">
        <v>350000</v>
      </c>
      <c r="E17" s="27">
        <v>7369.6</v>
      </c>
      <c r="F17" s="17">
        <v>3.85E-2</v>
      </c>
      <c r="G17" s="15"/>
      <c r="H17" s="25"/>
      <c r="I17" s="23"/>
    </row>
    <row r="18" spans="1:9" ht="18.149999999999999" customHeight="1" x14ac:dyDescent="0.2">
      <c r="A18" s="15" t="s">
        <v>41</v>
      </c>
      <c r="B18" s="15" t="s">
        <v>42</v>
      </c>
      <c r="C18" s="15" t="s">
        <v>43</v>
      </c>
      <c r="D18" s="27">
        <v>2500000</v>
      </c>
      <c r="E18" s="27">
        <v>6951.25</v>
      </c>
      <c r="F18" s="17">
        <v>3.6400000000000002E-2</v>
      </c>
      <c r="G18" s="15"/>
      <c r="H18" s="25"/>
      <c r="I18" s="23"/>
    </row>
    <row r="19" spans="1:9" ht="18.149999999999999" customHeight="1" x14ac:dyDescent="0.2">
      <c r="A19" s="15" t="s">
        <v>44</v>
      </c>
      <c r="B19" s="15" t="s">
        <v>45</v>
      </c>
      <c r="C19" s="15" t="s">
        <v>46</v>
      </c>
      <c r="D19" s="27">
        <v>160000</v>
      </c>
      <c r="E19" s="27">
        <v>6533.6</v>
      </c>
      <c r="F19" s="17">
        <v>3.4200000000000001E-2</v>
      </c>
      <c r="G19" s="15"/>
      <c r="H19" s="25"/>
      <c r="I19" s="23"/>
    </row>
    <row r="20" spans="1:9" ht="18.149999999999999" customHeight="1" x14ac:dyDescent="0.2">
      <c r="A20" s="15" t="s">
        <v>47</v>
      </c>
      <c r="B20" s="15" t="s">
        <v>48</v>
      </c>
      <c r="C20" s="15" t="s">
        <v>49</v>
      </c>
      <c r="D20" s="27">
        <v>75000</v>
      </c>
      <c r="E20" s="27">
        <v>5714.25</v>
      </c>
      <c r="F20" s="17">
        <v>2.9899999999999999E-2</v>
      </c>
      <c r="G20" s="15"/>
      <c r="H20" s="25"/>
      <c r="I20" s="23"/>
    </row>
    <row r="21" spans="1:9" ht="18.149999999999999" customHeight="1" x14ac:dyDescent="0.2">
      <c r="A21" s="15" t="s">
        <v>50</v>
      </c>
      <c r="B21" s="15" t="s">
        <v>51</v>
      </c>
      <c r="C21" s="15" t="s">
        <v>24</v>
      </c>
      <c r="D21" s="27">
        <v>250000</v>
      </c>
      <c r="E21" s="27">
        <v>5502.75</v>
      </c>
      <c r="F21" s="17">
        <v>2.8799999999999999E-2</v>
      </c>
      <c r="G21" s="15"/>
      <c r="H21" s="25"/>
      <c r="I21" s="23"/>
    </row>
    <row r="22" spans="1:9" ht="18.149999999999999" customHeight="1" x14ac:dyDescent="0.2">
      <c r="A22" s="15" t="s">
        <v>52</v>
      </c>
      <c r="B22" s="15" t="s">
        <v>53</v>
      </c>
      <c r="C22" s="15" t="s">
        <v>24</v>
      </c>
      <c r="D22" s="27">
        <v>400000</v>
      </c>
      <c r="E22" s="27">
        <v>5077.6000000000004</v>
      </c>
      <c r="F22" s="17">
        <v>2.6599999999999999E-2</v>
      </c>
      <c r="G22" s="15"/>
      <c r="H22" s="25"/>
      <c r="I22" s="23"/>
    </row>
    <row r="23" spans="1:9" ht="18.149999999999999" customHeight="1" x14ac:dyDescent="0.2">
      <c r="A23" s="15" t="s">
        <v>54</v>
      </c>
      <c r="B23" s="15" t="s">
        <v>55</v>
      </c>
      <c r="C23" s="15" t="s">
        <v>56</v>
      </c>
      <c r="D23" s="27">
        <v>125000</v>
      </c>
      <c r="E23" s="27">
        <v>4649.75</v>
      </c>
      <c r="F23" s="17">
        <v>2.4299999999999999E-2</v>
      </c>
      <c r="G23" s="15"/>
      <c r="H23" s="25"/>
      <c r="I23" s="23"/>
    </row>
    <row r="24" spans="1:9" ht="18.149999999999999" customHeight="1" x14ac:dyDescent="0.2">
      <c r="A24" s="15" t="s">
        <v>57</v>
      </c>
      <c r="B24" s="15" t="s">
        <v>58</v>
      </c>
      <c r="C24" s="15" t="s">
        <v>56</v>
      </c>
      <c r="D24" s="27">
        <v>125000</v>
      </c>
      <c r="E24" s="27">
        <v>4636.5</v>
      </c>
      <c r="F24" s="17">
        <v>2.4199999999999999E-2</v>
      </c>
      <c r="G24" s="15"/>
      <c r="H24" s="25"/>
      <c r="I24" s="23"/>
    </row>
    <row r="25" spans="1:9" ht="18.149999999999999" customHeight="1" x14ac:dyDescent="0.2">
      <c r="A25" s="15" t="s">
        <v>59</v>
      </c>
      <c r="B25" s="15" t="s">
        <v>60</v>
      </c>
      <c r="C25" s="15" t="s">
        <v>32</v>
      </c>
      <c r="D25" s="27">
        <v>275000</v>
      </c>
      <c r="E25" s="27">
        <v>4374.9799999999996</v>
      </c>
      <c r="F25" s="17">
        <v>2.29E-2</v>
      </c>
      <c r="G25" s="15"/>
      <c r="H25" s="25"/>
      <c r="I25" s="23"/>
    </row>
    <row r="26" spans="1:9" ht="18.149999999999999" customHeight="1" x14ac:dyDescent="0.2">
      <c r="A26" s="15" t="s">
        <v>61</v>
      </c>
      <c r="B26" s="15" t="s">
        <v>62</v>
      </c>
      <c r="C26" s="15" t="s">
        <v>63</v>
      </c>
      <c r="D26" s="27">
        <v>60000</v>
      </c>
      <c r="E26" s="27">
        <v>4225.5</v>
      </c>
      <c r="F26" s="17">
        <v>2.2100000000000002E-2</v>
      </c>
      <c r="G26" s="15"/>
      <c r="H26" s="25"/>
      <c r="I26" s="23"/>
    </row>
    <row r="27" spans="1:9" ht="18.149999999999999" customHeight="1" x14ac:dyDescent="0.2">
      <c r="A27" s="15" t="s">
        <v>64</v>
      </c>
      <c r="B27" s="15" t="s">
        <v>65</v>
      </c>
      <c r="C27" s="15" t="s">
        <v>32</v>
      </c>
      <c r="D27" s="27">
        <v>250000</v>
      </c>
      <c r="E27" s="27">
        <v>4058.25</v>
      </c>
      <c r="F27" s="17">
        <v>2.12E-2</v>
      </c>
      <c r="G27" s="15"/>
      <c r="H27" s="25"/>
      <c r="I27" s="23"/>
    </row>
    <row r="28" spans="1:9" ht="18.149999999999999" customHeight="1" x14ac:dyDescent="0.2">
      <c r="A28" s="15" t="s">
        <v>66</v>
      </c>
      <c r="B28" s="15" t="s">
        <v>67</v>
      </c>
      <c r="C28" s="15" t="s">
        <v>68</v>
      </c>
      <c r="D28" s="27">
        <v>1000000</v>
      </c>
      <c r="E28" s="27">
        <v>4038.5</v>
      </c>
      <c r="F28" s="17">
        <v>2.1100000000000001E-2</v>
      </c>
      <c r="G28" s="15"/>
      <c r="H28" s="25"/>
      <c r="I28" s="23"/>
    </row>
    <row r="29" spans="1:9" ht="18.149999999999999" customHeight="1" x14ac:dyDescent="0.2">
      <c r="A29" s="15" t="s">
        <v>69</v>
      </c>
      <c r="B29" s="15" t="s">
        <v>70</v>
      </c>
      <c r="C29" s="15" t="s">
        <v>43</v>
      </c>
      <c r="D29" s="27">
        <v>1000000</v>
      </c>
      <c r="E29" s="27">
        <v>3862.5</v>
      </c>
      <c r="F29" s="17">
        <v>2.0199999999999999E-2</v>
      </c>
      <c r="G29" s="15"/>
      <c r="H29" s="25"/>
      <c r="I29" s="23"/>
    </row>
    <row r="30" spans="1:9" ht="18.149999999999999" customHeight="1" x14ac:dyDescent="0.2">
      <c r="A30" s="15" t="s">
        <v>71</v>
      </c>
      <c r="B30" s="15" t="s">
        <v>72</v>
      </c>
      <c r="C30" s="15" t="s">
        <v>73</v>
      </c>
      <c r="D30" s="27">
        <v>750000</v>
      </c>
      <c r="E30" s="27">
        <v>3673.88</v>
      </c>
      <c r="F30" s="17">
        <v>1.9199999999999998E-2</v>
      </c>
      <c r="G30" s="15"/>
      <c r="H30" s="25"/>
      <c r="I30" s="23"/>
    </row>
    <row r="31" spans="1:9" ht="18.149999999999999" customHeight="1" x14ac:dyDescent="0.2">
      <c r="A31" s="15" t="s">
        <v>74</v>
      </c>
      <c r="B31" s="15" t="s">
        <v>75</v>
      </c>
      <c r="C31" s="15" t="s">
        <v>76</v>
      </c>
      <c r="D31" s="27">
        <v>30000</v>
      </c>
      <c r="E31" s="27">
        <v>3535.2</v>
      </c>
      <c r="F31" s="17">
        <v>1.8499999999999999E-2</v>
      </c>
      <c r="G31" s="15"/>
      <c r="H31" s="25"/>
      <c r="I31" s="23"/>
    </row>
    <row r="32" spans="1:9" ht="18.149999999999999" customHeight="1" x14ac:dyDescent="0.2">
      <c r="A32" s="15" t="s">
        <v>77</v>
      </c>
      <c r="B32" s="15" t="s">
        <v>78</v>
      </c>
      <c r="C32" s="15" t="s">
        <v>79</v>
      </c>
      <c r="D32" s="27">
        <v>85000</v>
      </c>
      <c r="E32" s="27">
        <v>3443.78</v>
      </c>
      <c r="F32" s="17">
        <v>1.7999999999999999E-2</v>
      </c>
      <c r="G32" s="15"/>
      <c r="H32" s="25"/>
      <c r="I32" s="23"/>
    </row>
    <row r="33" spans="1:10" ht="18.149999999999999" customHeight="1" x14ac:dyDescent="0.2">
      <c r="A33" s="15" t="s">
        <v>80</v>
      </c>
      <c r="B33" s="15" t="s">
        <v>81</v>
      </c>
      <c r="C33" s="15" t="s">
        <v>82</v>
      </c>
      <c r="D33" s="27">
        <v>150000</v>
      </c>
      <c r="E33" s="27">
        <v>3294.75</v>
      </c>
      <c r="F33" s="17">
        <v>1.72E-2</v>
      </c>
      <c r="G33" s="15"/>
      <c r="H33" s="25"/>
      <c r="I33" s="23"/>
    </row>
    <row r="34" spans="1:10" ht="18.149999999999999" customHeight="1" x14ac:dyDescent="0.2">
      <c r="A34" s="15" t="s">
        <v>83</v>
      </c>
      <c r="B34" s="15" t="s">
        <v>84</v>
      </c>
      <c r="C34" s="15" t="s">
        <v>82</v>
      </c>
      <c r="D34" s="27">
        <v>150000</v>
      </c>
      <c r="E34" s="27">
        <v>3164.25</v>
      </c>
      <c r="F34" s="17">
        <v>1.6500000000000001E-2</v>
      </c>
      <c r="G34" s="15"/>
      <c r="H34" s="25"/>
      <c r="I34" s="23"/>
    </row>
    <row r="35" spans="1:10" ht="18.149999999999999" customHeight="1" x14ac:dyDescent="0.2">
      <c r="A35" s="15" t="s">
        <v>85</v>
      </c>
      <c r="B35" s="15" t="s">
        <v>86</v>
      </c>
      <c r="C35" s="15" t="s">
        <v>87</v>
      </c>
      <c r="D35" s="27">
        <v>50000</v>
      </c>
      <c r="E35" s="27">
        <v>3015.5</v>
      </c>
      <c r="F35" s="17">
        <v>1.5800000000000002E-2</v>
      </c>
      <c r="G35" s="15"/>
      <c r="H35" s="25"/>
      <c r="I35" s="23"/>
    </row>
    <row r="36" spans="1:10" ht="18.149999999999999" customHeight="1" x14ac:dyDescent="0.2">
      <c r="A36" s="15" t="s">
        <v>88</v>
      </c>
      <c r="B36" s="15" t="s">
        <v>89</v>
      </c>
      <c r="C36" s="15" t="s">
        <v>56</v>
      </c>
      <c r="D36" s="27">
        <v>18000</v>
      </c>
      <c r="E36" s="27">
        <v>3005.46</v>
      </c>
      <c r="F36" s="17">
        <v>1.5699999999999999E-2</v>
      </c>
      <c r="G36" s="15"/>
      <c r="H36" s="25"/>
      <c r="I36" s="23"/>
    </row>
    <row r="37" spans="1:10" ht="18.149999999999999" customHeight="1" x14ac:dyDescent="0.2">
      <c r="A37" s="15" t="s">
        <v>90</v>
      </c>
      <c r="B37" s="15" t="s">
        <v>91</v>
      </c>
      <c r="C37" s="15" t="s">
        <v>92</v>
      </c>
      <c r="D37" s="27">
        <v>100000</v>
      </c>
      <c r="E37" s="27">
        <v>2661.1</v>
      </c>
      <c r="F37" s="17">
        <v>1.3899999999999999E-2</v>
      </c>
      <c r="G37" s="15"/>
      <c r="H37" s="25"/>
      <c r="I37" s="23"/>
    </row>
    <row r="38" spans="1:10" ht="18.149999999999999" customHeight="1" x14ac:dyDescent="0.2">
      <c r="A38" s="15" t="s">
        <v>93</v>
      </c>
      <c r="B38" s="15" t="s">
        <v>94</v>
      </c>
      <c r="C38" s="15" t="s">
        <v>82</v>
      </c>
      <c r="D38" s="27">
        <v>150000</v>
      </c>
      <c r="E38" s="27">
        <v>2579.5500000000002</v>
      </c>
      <c r="F38" s="17">
        <v>1.35E-2</v>
      </c>
      <c r="G38" s="15"/>
      <c r="H38" s="25"/>
      <c r="I38" s="23"/>
    </row>
    <row r="39" spans="1:10" ht="18.149999999999999" customHeight="1" x14ac:dyDescent="0.2">
      <c r="A39" s="15" t="s">
        <v>95</v>
      </c>
      <c r="B39" s="15" t="s">
        <v>96</v>
      </c>
      <c r="C39" s="15" t="s">
        <v>97</v>
      </c>
      <c r="D39" s="27">
        <v>1250000</v>
      </c>
      <c r="E39" s="27">
        <v>2239.88</v>
      </c>
      <c r="F39" s="17">
        <v>1.17E-2</v>
      </c>
      <c r="G39" s="15"/>
      <c r="H39" s="25"/>
      <c r="I39" s="23"/>
    </row>
    <row r="40" spans="1:10" ht="18.149999999999999" customHeight="1" x14ac:dyDescent="0.2">
      <c r="A40" s="15" t="s">
        <v>98</v>
      </c>
      <c r="B40" s="15" t="s">
        <v>99</v>
      </c>
      <c r="C40" s="15" t="s">
        <v>56</v>
      </c>
      <c r="D40" s="27">
        <v>30000</v>
      </c>
      <c r="E40" s="27">
        <v>2193.75</v>
      </c>
      <c r="F40" s="17">
        <v>1.15E-2</v>
      </c>
      <c r="G40" s="15"/>
      <c r="H40" s="25"/>
      <c r="I40" s="23"/>
    </row>
    <row r="41" spans="1:10" ht="18.149999999999999" customHeight="1" x14ac:dyDescent="0.2">
      <c r="A41" s="15" t="s">
        <v>100</v>
      </c>
      <c r="B41" s="15" t="s">
        <v>101</v>
      </c>
      <c r="C41" s="15" t="s">
        <v>102</v>
      </c>
      <c r="D41" s="27">
        <v>650000</v>
      </c>
      <c r="E41" s="27">
        <v>2142.08</v>
      </c>
      <c r="F41" s="17">
        <v>1.12E-2</v>
      </c>
      <c r="G41" s="15"/>
      <c r="H41" s="25"/>
      <c r="I41" s="23"/>
    </row>
    <row r="42" spans="1:10" ht="18.149999999999999" customHeight="1" x14ac:dyDescent="0.2">
      <c r="A42" s="15" t="s">
        <v>103</v>
      </c>
      <c r="B42" s="15" t="s">
        <v>104</v>
      </c>
      <c r="C42" s="15" t="s">
        <v>105</v>
      </c>
      <c r="D42" s="27">
        <v>175000</v>
      </c>
      <c r="E42" s="27">
        <v>2138.85</v>
      </c>
      <c r="F42" s="17">
        <v>1.12E-2</v>
      </c>
      <c r="G42" s="15"/>
      <c r="H42" s="25"/>
      <c r="I42" s="23"/>
    </row>
    <row r="43" spans="1:10" ht="18.149999999999999" customHeight="1" x14ac:dyDescent="0.2">
      <c r="A43" s="15" t="s">
        <v>106</v>
      </c>
      <c r="B43" s="15" t="s">
        <v>107</v>
      </c>
      <c r="C43" s="15" t="s">
        <v>108</v>
      </c>
      <c r="D43" s="27">
        <v>25000</v>
      </c>
      <c r="E43" s="27">
        <v>1097.18</v>
      </c>
      <c r="F43" s="17">
        <v>5.7000000000000002E-3</v>
      </c>
      <c r="G43" s="15"/>
      <c r="H43" s="25"/>
      <c r="I43" s="23"/>
    </row>
    <row r="44" spans="1:10" ht="18.149999999999999" customHeight="1" x14ac:dyDescent="0.2">
      <c r="A44" s="15" t="s">
        <v>152</v>
      </c>
      <c r="B44" s="15" t="s">
        <v>153</v>
      </c>
      <c r="C44" s="15" t="s">
        <v>87</v>
      </c>
      <c r="D44" s="27">
        <v>125000</v>
      </c>
      <c r="E44" s="27">
        <v>45.23</v>
      </c>
      <c r="F44" s="17">
        <v>2.3650979963040021E-4</v>
      </c>
      <c r="G44" s="15"/>
      <c r="H44" s="25"/>
      <c r="I44" s="23"/>
    </row>
    <row r="45" spans="1:10" ht="18" customHeight="1" x14ac:dyDescent="0.25">
      <c r="A45" s="16" t="s">
        <v>109</v>
      </c>
      <c r="B45" s="16"/>
      <c r="C45" s="16"/>
      <c r="D45" s="28"/>
      <c r="E45" s="28">
        <f>SUM(E11:E44)</f>
        <v>182512.12000000002</v>
      </c>
      <c r="F45" s="18">
        <f>SUM(F11:F44)</f>
        <v>0.95443650979963035</v>
      </c>
      <c r="G45" s="16"/>
      <c r="H45" s="26"/>
      <c r="I45" s="24"/>
      <c r="J45" s="12"/>
    </row>
    <row r="46" spans="1:10" ht="18.149999999999999" customHeight="1" x14ac:dyDescent="0.25">
      <c r="A46" s="16" t="s">
        <v>110</v>
      </c>
      <c r="B46" s="15"/>
      <c r="C46" s="15"/>
      <c r="D46" s="27"/>
      <c r="E46" s="27"/>
      <c r="F46" s="17"/>
      <c r="G46" s="15"/>
      <c r="H46" s="25"/>
      <c r="I46" s="23"/>
    </row>
    <row r="47" spans="1:10" ht="18.149999999999999" customHeight="1" x14ac:dyDescent="0.2">
      <c r="A47" s="15" t="s">
        <v>54</v>
      </c>
      <c r="B47" s="15" t="s">
        <v>111</v>
      </c>
      <c r="C47" s="15" t="s">
        <v>56</v>
      </c>
      <c r="D47" s="27">
        <v>800000</v>
      </c>
      <c r="E47" s="27">
        <v>81.489999999999995</v>
      </c>
      <c r="F47" s="17">
        <v>4.0000000000000002E-4</v>
      </c>
      <c r="G47" s="15">
        <v>6.1</v>
      </c>
      <c r="H47" s="25"/>
      <c r="I47" s="23"/>
    </row>
    <row r="48" spans="1:10" ht="18.149999999999999" customHeight="1" x14ac:dyDescent="0.25">
      <c r="A48" s="16" t="s">
        <v>109</v>
      </c>
      <c r="B48" s="16"/>
      <c r="C48" s="16"/>
      <c r="D48" s="28"/>
      <c r="E48" s="28">
        <v>81.489999999999995</v>
      </c>
      <c r="F48" s="18">
        <v>4.0000000000000002E-4</v>
      </c>
      <c r="G48" s="16"/>
      <c r="H48" s="26"/>
      <c r="I48" s="24"/>
      <c r="J48" s="12"/>
    </row>
    <row r="49" spans="1:10" ht="18.149999999999999" customHeight="1" x14ac:dyDescent="0.25">
      <c r="A49" s="16" t="s">
        <v>112</v>
      </c>
      <c r="B49" s="16"/>
      <c r="C49" s="16"/>
      <c r="D49" s="28"/>
      <c r="E49" s="28">
        <v>6014.08</v>
      </c>
      <c r="F49" s="18">
        <v>3.15E-2</v>
      </c>
      <c r="G49" s="16">
        <v>5.37</v>
      </c>
      <c r="H49" s="26"/>
      <c r="I49" s="24"/>
      <c r="J49" s="12"/>
    </row>
    <row r="50" spans="1:10" ht="18.149999999999999" customHeight="1" x14ac:dyDescent="0.2">
      <c r="A50" s="15" t="s">
        <v>113</v>
      </c>
      <c r="B50" s="15"/>
      <c r="C50" s="15"/>
      <c r="D50" s="27"/>
      <c r="E50" s="27">
        <v>2610.6000000000058</v>
      </c>
      <c r="F50" s="17">
        <v>1.3663490200369721E-2</v>
      </c>
      <c r="G50" s="15">
        <v>5.37</v>
      </c>
      <c r="H50" s="25"/>
      <c r="I50" s="23"/>
    </row>
    <row r="51" spans="1:10" ht="18.149999999999999" customHeight="1" x14ac:dyDescent="0.25">
      <c r="A51" s="16" t="s">
        <v>114</v>
      </c>
      <c r="B51" s="16"/>
      <c r="C51" s="16"/>
      <c r="D51" s="28"/>
      <c r="E51" s="28">
        <v>191218.29</v>
      </c>
      <c r="F51" s="18">
        <v>1</v>
      </c>
      <c r="G51" s="16"/>
      <c r="H51" s="26"/>
      <c r="I51" s="23"/>
    </row>
    <row r="52" spans="1:10" x14ac:dyDescent="0.2">
      <c r="A52" s="11" t="s">
        <v>115</v>
      </c>
    </row>
    <row r="53" spans="1:10" x14ac:dyDescent="0.2">
      <c r="A53" s="11" t="s">
        <v>154</v>
      </c>
    </row>
    <row r="58" spans="1:10" ht="14.4" customHeight="1" x14ac:dyDescent="0.2">
      <c r="A58" s="81" t="s">
        <v>6</v>
      </c>
      <c r="B58" s="82"/>
      <c r="C58" s="81" t="s">
        <v>0</v>
      </c>
      <c r="D58" s="82"/>
      <c r="E58" s="81" t="s">
        <v>1</v>
      </c>
      <c r="F58" s="85"/>
      <c r="G58" s="82"/>
    </row>
    <row r="59" spans="1:10" ht="14.4" customHeight="1" x14ac:dyDescent="0.2">
      <c r="A59" s="83"/>
      <c r="B59" s="84"/>
      <c r="C59" s="83"/>
      <c r="D59" s="84"/>
      <c r="E59" s="83"/>
      <c r="F59" s="86"/>
      <c r="G59" s="84"/>
    </row>
    <row r="60" spans="1:10" ht="20.100000000000001" customHeight="1" x14ac:dyDescent="0.3">
      <c r="A60" s="87" t="s">
        <v>116</v>
      </c>
      <c r="B60" s="88"/>
      <c r="C60" s="1"/>
      <c r="D60" s="2"/>
      <c r="E60" s="1"/>
      <c r="F60" s="3"/>
      <c r="G60" s="2"/>
    </row>
    <row r="61" spans="1:10" ht="20.100000000000001" customHeight="1" x14ac:dyDescent="0.3">
      <c r="A61" s="89"/>
      <c r="B61" s="90"/>
      <c r="C61" s="4"/>
      <c r="D61" s="5"/>
      <c r="E61" s="4"/>
      <c r="F61" s="6"/>
      <c r="G61" s="5"/>
    </row>
    <row r="62" spans="1:10" ht="20.100000000000001" customHeight="1" x14ac:dyDescent="0.3">
      <c r="A62" s="89"/>
      <c r="B62" s="90"/>
      <c r="C62" s="4"/>
      <c r="D62" s="5"/>
      <c r="E62" s="4"/>
      <c r="F62" s="6"/>
      <c r="G62" s="5"/>
    </row>
    <row r="63" spans="1:10" ht="20.100000000000001" customHeight="1" x14ac:dyDescent="0.3">
      <c r="A63" s="89"/>
      <c r="B63" s="90"/>
      <c r="C63" s="4"/>
      <c r="D63" s="5"/>
      <c r="E63" s="4"/>
      <c r="F63" s="6"/>
      <c r="G63" s="5"/>
    </row>
    <row r="64" spans="1:10" ht="20.100000000000001" customHeight="1" x14ac:dyDescent="0.3">
      <c r="A64" s="89"/>
      <c r="B64" s="90"/>
      <c r="C64" s="4"/>
      <c r="D64" s="5"/>
      <c r="E64" s="4"/>
      <c r="F64" s="6"/>
      <c r="G64" s="5"/>
    </row>
    <row r="65" spans="1:7" ht="20.100000000000001" customHeight="1" x14ac:dyDescent="0.3">
      <c r="A65" s="89"/>
      <c r="B65" s="90"/>
      <c r="C65" s="4"/>
      <c r="D65" s="5"/>
      <c r="E65" s="4"/>
      <c r="F65" s="6"/>
      <c r="G65" s="5"/>
    </row>
    <row r="66" spans="1:7" ht="20.100000000000001" customHeight="1" x14ac:dyDescent="0.3">
      <c r="A66" s="89"/>
      <c r="B66" s="90"/>
      <c r="C66" s="4"/>
      <c r="D66" s="5"/>
      <c r="E66" s="4"/>
      <c r="F66" s="6"/>
      <c r="G66" s="5"/>
    </row>
    <row r="67" spans="1:7" ht="20.100000000000001" customHeight="1" x14ac:dyDescent="0.3">
      <c r="A67" s="58" t="s">
        <v>4</v>
      </c>
      <c r="B67" s="59"/>
      <c r="C67" s="4"/>
      <c r="D67" s="5"/>
      <c r="E67" s="4"/>
      <c r="F67" s="6"/>
      <c r="G67" s="5"/>
    </row>
    <row r="68" spans="1:7" ht="20.100000000000001" customHeight="1" x14ac:dyDescent="0.3">
      <c r="A68" s="60"/>
      <c r="B68" s="61"/>
      <c r="C68" s="7"/>
      <c r="D68" s="5"/>
      <c r="E68" s="7"/>
      <c r="F68" s="9"/>
      <c r="G68" s="8"/>
    </row>
    <row r="69" spans="1:7" ht="14.4" customHeight="1" x14ac:dyDescent="0.2">
      <c r="A69" s="62" t="s">
        <v>2</v>
      </c>
      <c r="B69" s="63"/>
      <c r="C69" s="64"/>
      <c r="D69" s="68" t="s">
        <v>117</v>
      </c>
      <c r="E69" s="68"/>
      <c r="F69" s="68"/>
      <c r="G69" s="68"/>
    </row>
    <row r="70" spans="1:7" ht="14.4" customHeight="1" x14ac:dyDescent="0.2">
      <c r="A70" s="65"/>
      <c r="B70" s="66"/>
      <c r="C70" s="67"/>
      <c r="D70" s="69"/>
      <c r="E70" s="69"/>
      <c r="F70" s="69"/>
      <c r="G70" s="69"/>
    </row>
    <row r="71" spans="1:7" ht="14.4" customHeight="1" x14ac:dyDescent="0.2">
      <c r="A71" s="70" t="s">
        <v>3</v>
      </c>
      <c r="B71" s="71"/>
      <c r="C71" s="71"/>
      <c r="D71" s="71"/>
      <c r="E71" s="71"/>
      <c r="F71" s="71"/>
      <c r="G71" s="72"/>
    </row>
    <row r="72" spans="1:7" ht="14.4" customHeight="1" x14ac:dyDescent="0.2">
      <c r="A72" s="73"/>
      <c r="B72" s="74"/>
      <c r="C72" s="74"/>
      <c r="D72" s="74"/>
      <c r="E72" s="74"/>
      <c r="F72" s="74"/>
      <c r="G72" s="75"/>
    </row>
    <row r="73" spans="1:7" ht="14.4" customHeight="1" x14ac:dyDescent="0.2">
      <c r="A73" s="73"/>
      <c r="B73" s="74"/>
      <c r="C73" s="74"/>
      <c r="D73" s="74"/>
      <c r="E73" s="74"/>
      <c r="F73" s="74"/>
      <c r="G73" s="75"/>
    </row>
    <row r="74" spans="1:7" ht="14.4" customHeight="1" x14ac:dyDescent="0.2">
      <c r="A74" s="76"/>
      <c r="B74" s="77"/>
      <c r="C74" s="77"/>
      <c r="D74" s="77"/>
      <c r="E74" s="77"/>
      <c r="F74" s="77"/>
      <c r="G74" s="78"/>
    </row>
  </sheetData>
  <mergeCells count="20">
    <mergeCell ref="A67:B68"/>
    <mergeCell ref="A69:C70"/>
    <mergeCell ref="D69:G70"/>
    <mergeCell ref="A71:G74"/>
    <mergeCell ref="F6:F7"/>
    <mergeCell ref="G6:G7"/>
    <mergeCell ref="A58:B59"/>
    <mergeCell ref="C58:D59"/>
    <mergeCell ref="E58:G59"/>
    <mergeCell ref="A60:B66"/>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75762-8B43-4153-B8B8-3FFD8024BFB6}">
  <dimension ref="A1:W31"/>
  <sheetViews>
    <sheetView showGridLines="0" zoomScaleNormal="100" workbookViewId="0">
      <selection activeCell="B6" sqref="B6:C9"/>
    </sheetView>
  </sheetViews>
  <sheetFormatPr defaultColWidth="8.88671875" defaultRowHeight="13.8" x14ac:dyDescent="0.3"/>
  <cols>
    <col min="1" max="1" width="27.88671875" style="32" customWidth="1"/>
    <col min="2" max="3" width="26.88671875" style="32" customWidth="1"/>
    <col min="4" max="16384" width="8.88671875" style="32"/>
  </cols>
  <sheetData>
    <row r="1" spans="1:23" x14ac:dyDescent="0.3">
      <c r="A1" s="29" t="s">
        <v>118</v>
      </c>
      <c r="B1" s="30"/>
      <c r="C1" s="30"/>
      <c r="D1" s="30"/>
      <c r="E1" s="30"/>
      <c r="F1" s="30"/>
      <c r="G1" s="30"/>
      <c r="H1" s="30"/>
      <c r="I1" s="30"/>
      <c r="J1" s="31"/>
      <c r="K1" s="31"/>
      <c r="L1" s="31"/>
      <c r="M1" s="31"/>
      <c r="N1" s="31"/>
      <c r="O1" s="31"/>
      <c r="P1" s="31"/>
      <c r="Q1" s="31"/>
      <c r="R1" s="31"/>
      <c r="S1" s="31"/>
      <c r="T1" s="31"/>
      <c r="U1" s="31"/>
      <c r="V1" s="31"/>
      <c r="W1" s="31"/>
    </row>
    <row r="2" spans="1:23" x14ac:dyDescent="0.3">
      <c r="A2" s="33" t="s">
        <v>119</v>
      </c>
      <c r="B2" s="34"/>
      <c r="C2" s="34"/>
      <c r="D2" s="34"/>
      <c r="E2" s="34"/>
    </row>
    <row r="3" spans="1:23" x14ac:dyDescent="0.3">
      <c r="A3" s="33" t="s">
        <v>120</v>
      </c>
      <c r="B3" s="34"/>
      <c r="C3" s="34"/>
      <c r="D3" s="34"/>
      <c r="E3" s="34"/>
    </row>
    <row r="4" spans="1:23" x14ac:dyDescent="0.3">
      <c r="A4" s="33" t="s">
        <v>121</v>
      </c>
      <c r="B4" s="34"/>
      <c r="C4" s="34"/>
      <c r="D4" s="34"/>
      <c r="E4" s="34"/>
    </row>
    <row r="5" spans="1:23" x14ac:dyDescent="0.3">
      <c r="A5" s="35" t="s">
        <v>122</v>
      </c>
      <c r="B5" s="36" t="s">
        <v>123</v>
      </c>
      <c r="C5" s="36" t="s">
        <v>124</v>
      </c>
      <c r="D5" s="34"/>
      <c r="E5" s="34"/>
    </row>
    <row r="6" spans="1:23" x14ac:dyDescent="0.3">
      <c r="A6" s="37" t="s">
        <v>125</v>
      </c>
      <c r="B6" s="38">
        <v>551.1309</v>
      </c>
      <c r="C6" s="39">
        <v>547.47900000000004</v>
      </c>
      <c r="D6" s="40"/>
      <c r="E6" s="34"/>
    </row>
    <row r="7" spans="1:23" x14ac:dyDescent="0.3">
      <c r="A7" s="37" t="s">
        <v>126</v>
      </c>
      <c r="B7" s="41">
        <v>41.236600000000003</v>
      </c>
      <c r="C7" s="39">
        <v>45.2151</v>
      </c>
      <c r="D7" s="40"/>
      <c r="E7" s="34"/>
    </row>
    <row r="8" spans="1:23" x14ac:dyDescent="0.3">
      <c r="A8" s="37" t="s">
        <v>127</v>
      </c>
      <c r="B8" s="41">
        <v>494.37849999999997</v>
      </c>
      <c r="C8" s="39">
        <v>491.48910000000001</v>
      </c>
      <c r="D8" s="40"/>
      <c r="E8" s="34"/>
    </row>
    <row r="9" spans="1:23" x14ac:dyDescent="0.3">
      <c r="A9" s="42" t="s">
        <v>128</v>
      </c>
      <c r="B9" s="43">
        <v>43.7941</v>
      </c>
      <c r="C9" s="44">
        <v>47.792999999999999</v>
      </c>
      <c r="D9" s="40"/>
      <c r="E9" s="34"/>
    </row>
    <row r="10" spans="1:23" x14ac:dyDescent="0.3">
      <c r="A10" s="45" t="s">
        <v>129</v>
      </c>
      <c r="B10" s="34"/>
      <c r="C10" s="34"/>
      <c r="D10" s="34"/>
      <c r="E10" s="34"/>
    </row>
    <row r="11" spans="1:23" x14ac:dyDescent="0.3">
      <c r="A11" s="33" t="s">
        <v>130</v>
      </c>
      <c r="B11" s="34"/>
      <c r="C11" s="34"/>
      <c r="D11" s="34"/>
      <c r="E11" s="34"/>
    </row>
    <row r="12" spans="1:23" x14ac:dyDescent="0.3">
      <c r="A12" s="33" t="s">
        <v>131</v>
      </c>
      <c r="B12" s="34"/>
      <c r="C12" s="34"/>
      <c r="D12" s="34"/>
      <c r="E12" s="34"/>
    </row>
    <row r="13" spans="1:23" x14ac:dyDescent="0.3">
      <c r="A13" s="33" t="s">
        <v>132</v>
      </c>
      <c r="B13" s="34"/>
      <c r="C13" s="34"/>
      <c r="D13" s="34"/>
      <c r="E13" s="34"/>
    </row>
    <row r="14" spans="1:23" x14ac:dyDescent="0.3">
      <c r="A14" s="33" t="s">
        <v>133</v>
      </c>
      <c r="B14" s="34"/>
      <c r="C14" s="34"/>
      <c r="D14" s="34"/>
      <c r="E14" s="34"/>
    </row>
    <row r="15" spans="1:23" x14ac:dyDescent="0.3">
      <c r="A15" s="33" t="s">
        <v>134</v>
      </c>
      <c r="B15" s="34"/>
      <c r="C15" s="34"/>
      <c r="D15" s="34"/>
      <c r="E15" s="34"/>
    </row>
    <row r="16" spans="1:23" x14ac:dyDescent="0.3">
      <c r="A16" s="33" t="s">
        <v>135</v>
      </c>
      <c r="B16" s="34"/>
      <c r="C16" s="34"/>
      <c r="D16" s="34"/>
      <c r="E16" s="34"/>
    </row>
    <row r="17" spans="1:5" x14ac:dyDescent="0.3">
      <c r="A17" s="33" t="s">
        <v>136</v>
      </c>
      <c r="B17" s="34"/>
      <c r="C17" s="34"/>
      <c r="D17" s="34"/>
      <c r="E17" s="34"/>
    </row>
    <row r="18" spans="1:5" x14ac:dyDescent="0.3">
      <c r="A18" s="33" t="s">
        <v>137</v>
      </c>
      <c r="B18" s="34"/>
      <c r="C18" s="34"/>
      <c r="D18" s="34"/>
      <c r="E18" s="34"/>
    </row>
    <row r="19" spans="1:5" x14ac:dyDescent="0.3">
      <c r="A19" s="46" t="s">
        <v>138</v>
      </c>
      <c r="B19" s="34"/>
      <c r="C19" s="34"/>
      <c r="D19" s="34"/>
      <c r="E19" s="34"/>
    </row>
    <row r="20" spans="1:5" x14ac:dyDescent="0.3">
      <c r="A20" s="47" t="s">
        <v>122</v>
      </c>
      <c r="B20" s="91" t="s">
        <v>139</v>
      </c>
      <c r="C20" s="92"/>
      <c r="D20" s="34"/>
      <c r="E20" s="34"/>
    </row>
    <row r="21" spans="1:5" x14ac:dyDescent="0.3">
      <c r="A21" s="48"/>
      <c r="B21" s="47" t="s">
        <v>140</v>
      </c>
      <c r="C21" s="47" t="s">
        <v>141</v>
      </c>
      <c r="D21" s="34"/>
      <c r="E21" s="34"/>
    </row>
    <row r="22" spans="1:5" x14ac:dyDescent="0.3">
      <c r="A22" s="49" t="s">
        <v>142</v>
      </c>
      <c r="B22" s="50">
        <v>4.25</v>
      </c>
      <c r="C22" s="50">
        <v>4.25</v>
      </c>
      <c r="D22" s="34"/>
      <c r="E22" s="34"/>
    </row>
    <row r="23" spans="1:5" x14ac:dyDescent="0.3">
      <c r="A23" s="51" t="s">
        <v>143</v>
      </c>
      <c r="B23" s="52">
        <v>4.25</v>
      </c>
      <c r="C23" s="52">
        <v>4.25</v>
      </c>
      <c r="D23" s="34"/>
      <c r="E23" s="34"/>
    </row>
    <row r="24" spans="1:5" x14ac:dyDescent="0.3">
      <c r="A24" s="53" t="s">
        <v>144</v>
      </c>
      <c r="B24" s="34"/>
      <c r="C24" s="34"/>
      <c r="D24" s="34"/>
      <c r="E24" s="34"/>
    </row>
    <row r="25" spans="1:5" x14ac:dyDescent="0.3">
      <c r="A25" s="33" t="s">
        <v>145</v>
      </c>
      <c r="B25" s="34"/>
      <c r="C25" s="34"/>
      <c r="D25" s="34"/>
      <c r="E25" s="34"/>
    </row>
    <row r="26" spans="1:5" x14ac:dyDescent="0.3">
      <c r="A26" s="33" t="s">
        <v>146</v>
      </c>
      <c r="B26" s="34"/>
      <c r="C26" s="34"/>
      <c r="D26" s="34"/>
      <c r="E26" s="34"/>
    </row>
    <row r="27" spans="1:5" x14ac:dyDescent="0.3">
      <c r="A27" s="33" t="s">
        <v>147</v>
      </c>
      <c r="B27" s="34"/>
      <c r="C27" s="34"/>
      <c r="D27" s="34"/>
      <c r="E27" s="34"/>
    </row>
    <row r="28" spans="1:5" x14ac:dyDescent="0.3">
      <c r="A28" s="33" t="s">
        <v>148</v>
      </c>
      <c r="B28" s="34"/>
      <c r="C28" s="34"/>
      <c r="D28" s="34"/>
      <c r="E28" s="34"/>
    </row>
    <row r="29" spans="1:5" x14ac:dyDescent="0.3">
      <c r="A29" s="33" t="s">
        <v>149</v>
      </c>
      <c r="B29" s="34"/>
      <c r="C29" s="34"/>
      <c r="D29" s="34"/>
      <c r="E29" s="34"/>
    </row>
    <row r="30" spans="1:5" x14ac:dyDescent="0.3">
      <c r="A30" s="33" t="s">
        <v>150</v>
      </c>
      <c r="B30" s="34"/>
      <c r="C30" s="34"/>
      <c r="D30" s="34"/>
      <c r="E30" s="34"/>
    </row>
    <row r="31" spans="1:5" x14ac:dyDescent="0.3">
      <c r="A31" s="33" t="s">
        <v>151</v>
      </c>
      <c r="B31" s="34"/>
      <c r="C31" s="34"/>
      <c r="D31" s="34"/>
      <c r="E31" s="34"/>
    </row>
  </sheetData>
  <mergeCells count="1">
    <mergeCell ref="B20:C20"/>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10" bestFit="1" customWidth="1"/>
    <col min="2" max="16384" width="8.88671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31122025</dc:title>
  <dc:subject>HSBC Large Cap Fund 31122025</dc:subject>
  <dc:creator>HSBC MUTUAL FUND</dc:creator>
  <cp:keywords>HSBC Large Cap Fund 31122025</cp:keywords>
  <dcterms:created xsi:type="dcterms:W3CDTF">2024-07-30T07:26:03Z</dcterms:created>
  <dcterms:modified xsi:type="dcterms:W3CDTF">2026-01-29T12:22:03Z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2026-01-06T15:12:12Z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36d9ef82-d5ae-4b4b-9ee7-1b5686c0a1f6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