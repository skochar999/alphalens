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ops/Shared Documents/FA/Compliance/2022-23/Monthly/Mar 2023/Half Yearly Portfolio/Upload Files/"/>
    </mc:Choice>
  </mc:AlternateContent>
  <xr:revisionPtr revIDLastSave="12" documentId="13_ncr:1_{DD303121-10B0-4092-AD49-47FE36E0040F}" xr6:coauthVersionLast="47" xr6:coauthVersionMax="47" xr10:uidLastSave="{5F694AB3-0560-460B-9A02-D41AA058D45E}"/>
  <bookViews>
    <workbookView xWindow="-120" yWindow="-120" windowWidth="20730" windowHeight="11160" xr2:uid="{00000000-000D-0000-FFFF-FFFF00000000}"/>
  </bookViews>
  <sheets>
    <sheet name="WOBAF" sheetId="1" r:id="rId1"/>
  </sheets>
  <externalReferences>
    <externalReference r:id="rId2"/>
  </externalReferences>
  <definedNames>
    <definedName name="JR_PAGE_ANCHOR_0_1">WOBAF!#REF!</definedName>
    <definedName name="JR_PAGE_ANCHOR_0_2">[1]YM002!#REF!</definedName>
    <definedName name="JR_PAGE_ANCHOR_0_3">[1]YM003!#REF!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5" i="1" l="1"/>
  <c r="F105" i="1"/>
  <c r="G102" i="1"/>
  <c r="G106" i="1" s="1"/>
  <c r="F102" i="1"/>
  <c r="F106" i="1" s="1"/>
  <c r="G93" i="1"/>
  <c r="G96" i="1" s="1"/>
  <c r="F93" i="1"/>
  <c r="F96" i="1" s="1"/>
  <c r="G82" i="1"/>
  <c r="G85" i="1" s="1"/>
  <c r="F82" i="1"/>
  <c r="F85" i="1" s="1"/>
  <c r="G109" i="1" l="1"/>
  <c r="G110" i="1" s="1"/>
  <c r="G112" i="1" s="1"/>
  <c r="F109" i="1"/>
  <c r="F110" i="1" s="1"/>
  <c r="F112" i="1" s="1"/>
</calcChain>
</file>

<file path=xl/sharedStrings.xml><?xml version="1.0" encoding="utf-8"?>
<sst xmlns="http://schemas.openxmlformats.org/spreadsheetml/2006/main" count="459" uniqueCount="352">
  <si>
    <t>Name of the Instrument</t>
  </si>
  <si>
    <t>ISIN</t>
  </si>
  <si>
    <t>Quantity</t>
  </si>
  <si>
    <t>Market/Fair Value (Rs. in Lakhs)</t>
  </si>
  <si>
    <t>% to Net Assets</t>
  </si>
  <si>
    <t>YTM</t>
  </si>
  <si>
    <t>Sub Total</t>
  </si>
  <si>
    <t>Total</t>
  </si>
  <si>
    <t>Net Receivables / (Payables)</t>
  </si>
  <si>
    <t>GRAND TOTAL</t>
  </si>
  <si>
    <t>TRP_031022</t>
  </si>
  <si>
    <t>Equity &amp; Equity related</t>
  </si>
  <si>
    <t>(a) Listed / awaiting listing on Stock Exchanges</t>
  </si>
  <si>
    <t>PAGE01</t>
  </si>
  <si>
    <t>Page Industries Limited</t>
  </si>
  <si>
    <t>INE761H01022</t>
  </si>
  <si>
    <t>Textiles &amp; Apparels</t>
  </si>
  <si>
    <t>PSYL01</t>
  </si>
  <si>
    <t>Persistent Systems Limited</t>
  </si>
  <si>
    <t>INE262H01013</t>
  </si>
  <si>
    <t>IT - Software</t>
  </si>
  <si>
    <t>PRRC03</t>
  </si>
  <si>
    <t>Navin Fluorine International Limited</t>
  </si>
  <si>
    <t>INE048G01026</t>
  </si>
  <si>
    <t>Chemicals &amp; Petrochemicals</t>
  </si>
  <si>
    <t>VEDF01</t>
  </si>
  <si>
    <t>Vedant Fashions Limited</t>
  </si>
  <si>
    <t>INE825V01034</t>
  </si>
  <si>
    <t>Retailing</t>
  </si>
  <si>
    <t>NITL01</t>
  </si>
  <si>
    <t>Coforge Limited</t>
  </si>
  <si>
    <t>INE591G01017</t>
  </si>
  <si>
    <t>DIXO02</t>
  </si>
  <si>
    <t>Dixon Technologies (India) Limited</t>
  </si>
  <si>
    <t>INE935N01020</t>
  </si>
  <si>
    <t>Consumer Durables</t>
  </si>
  <si>
    <t>PHMI02</t>
  </si>
  <si>
    <t>The Phoenix Mills Limited</t>
  </si>
  <si>
    <t>INE211B01039</t>
  </si>
  <si>
    <t>Realty</t>
  </si>
  <si>
    <t>FEBA02</t>
  </si>
  <si>
    <t>Banks</t>
  </si>
  <si>
    <t>PROG01</t>
  </si>
  <si>
    <t>Procter &amp; Gamble Hygiene and Health Care Limited</t>
  </si>
  <si>
    <t>INE179A01014</t>
  </si>
  <si>
    <t>Personal Products</t>
  </si>
  <si>
    <t>CROM02</t>
  </si>
  <si>
    <t>CG Power and Industrial Solutions Limited</t>
  </si>
  <si>
    <t>INE067A01029</t>
  </si>
  <si>
    <t>Electrical Equipment</t>
  </si>
  <si>
    <t>HARS01</t>
  </si>
  <si>
    <t>Industrial Products</t>
  </si>
  <si>
    <t>SUMI01</t>
  </si>
  <si>
    <t>Sumitomo Chemical India Limited</t>
  </si>
  <si>
    <t>INE258G01013</t>
  </si>
  <si>
    <t>Fertilizers &amp; Agrochemicals</t>
  </si>
  <si>
    <t>THER02</t>
  </si>
  <si>
    <t>Thermax Limited</t>
  </si>
  <si>
    <t>INE152A01029</t>
  </si>
  <si>
    <t>CHOL02</t>
  </si>
  <si>
    <t>INE121A01024</t>
  </si>
  <si>
    <t>Finance</t>
  </si>
  <si>
    <t>ASTP04</t>
  </si>
  <si>
    <t>Astral Limited</t>
  </si>
  <si>
    <t>INE006I01046</t>
  </si>
  <si>
    <t>GUAM02</t>
  </si>
  <si>
    <t>Ambuja Cements Limited</t>
  </si>
  <si>
    <t>INE079A01024</t>
  </si>
  <si>
    <t>Cement &amp; Cement Products</t>
  </si>
  <si>
    <t>IIFM01</t>
  </si>
  <si>
    <t>SYNI01</t>
  </si>
  <si>
    <t>Syngene International Limited</t>
  </si>
  <si>
    <t>INE398R01022</t>
  </si>
  <si>
    <t>Healthcare Services</t>
  </si>
  <si>
    <t>BOOT01</t>
  </si>
  <si>
    <t>Abbott India Limited</t>
  </si>
  <si>
    <t>INE358A01014</t>
  </si>
  <si>
    <t>Pharmaceuticals &amp; Biotechnology</t>
  </si>
  <si>
    <t>LAKM02</t>
  </si>
  <si>
    <t>Trent Limited</t>
  </si>
  <si>
    <t>INE849A01020</t>
  </si>
  <si>
    <t>DLPL01</t>
  </si>
  <si>
    <t>GRIN02</t>
  </si>
  <si>
    <t>Grindwell Norton Limited</t>
  </si>
  <si>
    <t>INE536A01023</t>
  </si>
  <si>
    <t>SSNL02</t>
  </si>
  <si>
    <t>AJPH03</t>
  </si>
  <si>
    <t>Ajanta Pharma Limited</t>
  </si>
  <si>
    <t>INE031B01049</t>
  </si>
  <si>
    <t>GRCO02</t>
  </si>
  <si>
    <t>Saregama India Limited</t>
  </si>
  <si>
    <t>INE979A01025</t>
  </si>
  <si>
    <t>Entertainment</t>
  </si>
  <si>
    <t>GAWA01</t>
  </si>
  <si>
    <t>Garware Technical Fibres Limited</t>
  </si>
  <si>
    <t>INE276A01018</t>
  </si>
  <si>
    <t>CAMP01</t>
  </si>
  <si>
    <t>Campus Activewear Limited</t>
  </si>
  <si>
    <t>INE278Y01022</t>
  </si>
  <si>
    <t>IINF02</t>
  </si>
  <si>
    <t>IIFL Finance Limited</t>
  </si>
  <si>
    <t>INE530B01024</t>
  </si>
  <si>
    <t>SUFA02</t>
  </si>
  <si>
    <t>Auto Components</t>
  </si>
  <si>
    <t>DEVY01</t>
  </si>
  <si>
    <t>PIIN03</t>
  </si>
  <si>
    <t>TAHO01</t>
  </si>
  <si>
    <t>Honeywell Automation India Limited</t>
  </si>
  <si>
    <t>INE671A01010</t>
  </si>
  <si>
    <t>Industrial Manufacturing</t>
  </si>
  <si>
    <t>State Bank of India</t>
  </si>
  <si>
    <t>INE062A01020</t>
  </si>
  <si>
    <t>Balkrishna Industries Limited</t>
  </si>
  <si>
    <t>INE787D01026</t>
  </si>
  <si>
    <t>Gujarat Gas Limited</t>
  </si>
  <si>
    <t>INE844O01030</t>
  </si>
  <si>
    <t>Gas</t>
  </si>
  <si>
    <t>Safari Industries (India) Limited</t>
  </si>
  <si>
    <t>INE429E01023</t>
  </si>
  <si>
    <t>ICICI Bank Limited</t>
  </si>
  <si>
    <t>INE090A01021</t>
  </si>
  <si>
    <t>Food Products</t>
  </si>
  <si>
    <t>RHI Magnesita India Limited</t>
  </si>
  <si>
    <t>INE743M01012</t>
  </si>
  <si>
    <t>Data Patterns (India) Limited</t>
  </si>
  <si>
    <t>INE0IX101010</t>
  </si>
  <si>
    <t>Aerospace &amp; Defense</t>
  </si>
  <si>
    <t>Info Edge (India) Limited</t>
  </si>
  <si>
    <t>INE663F01024</t>
  </si>
  <si>
    <t>Hindalco Industries Limited</t>
  </si>
  <si>
    <t>INE038A01020</t>
  </si>
  <si>
    <t>Non - Ferrous Metals</t>
  </si>
  <si>
    <t>KNR Constructions Limited</t>
  </si>
  <si>
    <t>INE634I01029</t>
  </si>
  <si>
    <t>Construction</t>
  </si>
  <si>
    <t>HDFC Bank Limited</t>
  </si>
  <si>
    <t>INE040A01034</t>
  </si>
  <si>
    <t>Poly Medicure Limited</t>
  </si>
  <si>
    <t>INE205C01021</t>
  </si>
  <si>
    <t>Healthcare Equipment &amp; Supplies</t>
  </si>
  <si>
    <t>(b) Unlisted</t>
  </si>
  <si>
    <t>Notes :</t>
  </si>
  <si>
    <t>(3)  Plan/Option wise Net Assets Value per unit (in Rupees) is as follows:</t>
  </si>
  <si>
    <t>Plan/Option</t>
  </si>
  <si>
    <t>Direct Plan - Growth</t>
  </si>
  <si>
    <t>Regular Plan - Growth</t>
  </si>
  <si>
    <t>Place : Mumbai</t>
  </si>
  <si>
    <t xml:space="preserve">Date :  </t>
  </si>
  <si>
    <t>Portfolio disclosure for derivative positions.</t>
  </si>
  <si>
    <t>Scheme Name</t>
  </si>
  <si>
    <t>Underlying</t>
  </si>
  <si>
    <t>Long / Short</t>
  </si>
  <si>
    <t>Futures Price when purchased (Rs.)</t>
  </si>
  <si>
    <t>Current price of the contract (Rs.)</t>
  </si>
  <si>
    <t>Margin 
maintained 
(Rs. in Lakhs)</t>
  </si>
  <si>
    <t>Total number of contracts where futures were bought</t>
  </si>
  <si>
    <t>Total number of contracts where futures were sold</t>
  </si>
  <si>
    <t>Gross Notional Value of contracts where futures were bought (in Rs.)</t>
  </si>
  <si>
    <t>Gross Notional Value of contracts where futures were sold (in Rs.)</t>
  </si>
  <si>
    <t>Net Profit/(Loss) value on all contracts 
combined (in Rs.)</t>
  </si>
  <si>
    <t>Futures Price when purchased (Rs)</t>
  </si>
  <si>
    <t>Current price of the contract (Rs)</t>
  </si>
  <si>
    <t>Margin maintained (Rs. Lakhs)</t>
  </si>
  <si>
    <t>Nil</t>
  </si>
  <si>
    <t>Total Number of contracts where futures were bought</t>
  </si>
  <si>
    <t>Total Number of contracts where futures were sold</t>
  </si>
  <si>
    <t>Net Profit/(Loss) 
value on all contracts combined (in Rs.)</t>
  </si>
  <si>
    <t xml:space="preserve"> </t>
  </si>
  <si>
    <t>Number of Contracts</t>
  </si>
  <si>
    <t>Option Price when purchased</t>
  </si>
  <si>
    <t>Current Option Price</t>
  </si>
  <si>
    <t>Total Number of contracts entered into</t>
  </si>
  <si>
    <t>Gross Notional Value of contracts (in Rs.)</t>
  </si>
  <si>
    <t>Net Profit/(Loss) value on all contracts ( in Rs.)</t>
  </si>
  <si>
    <t>Call / put</t>
  </si>
  <si>
    <t>Number of contracts</t>
  </si>
  <si>
    <t>Current Price</t>
  </si>
  <si>
    <t>% of underlying shares</t>
  </si>
  <si>
    <t>Option Price when sold</t>
  </si>
  <si>
    <t>Margin maintained in Rs. Lakhs</t>
  </si>
  <si>
    <t xml:space="preserve">Total number of contracts entered into </t>
  </si>
  <si>
    <t>Net Profit/(Loss) value on all contracts (in Rs.)</t>
  </si>
  <si>
    <t>#  Unlisted Security</t>
  </si>
  <si>
    <t>**  Thinly Traded / Non Traded Security</t>
  </si>
  <si>
    <t>Total Exposure through options as a %age of net assets : Nil</t>
  </si>
  <si>
    <t>Industry*</t>
  </si>
  <si>
    <t>*  Industry Classification is as recommended by AMFI</t>
  </si>
  <si>
    <t>Scheme Name &amp; Type of the Scheme</t>
  </si>
  <si>
    <t>Product Labelling</t>
  </si>
  <si>
    <t>Scheme Risk-o-meter</t>
  </si>
  <si>
    <t>* Investors should consult their financial advisers if in doubt about whether the product is suitable for them</t>
  </si>
  <si>
    <t>Half Yearly Portfolio Statement as on March 31, 2023</t>
  </si>
  <si>
    <t>Kaynes Technology India Limited</t>
  </si>
  <si>
    <t>360 One WAM Limited</t>
  </si>
  <si>
    <t>Varun Beverages Limited</t>
  </si>
  <si>
    <t>IPCA Laboratories Limited</t>
  </si>
  <si>
    <t>BIKAJI FOODS INTERNATIONAL LIMITED</t>
  </si>
  <si>
    <t>Global Health Limited</t>
  </si>
  <si>
    <t>Rainbow Childrens Medicare Limited</t>
  </si>
  <si>
    <t>Cholamandalam Investment and Finance Company Ltd</t>
  </si>
  <si>
    <t>Electronics Mart India Limited</t>
  </si>
  <si>
    <t>Blue Star Limited</t>
  </si>
  <si>
    <t>Gokaldas Exports Limited</t>
  </si>
  <si>
    <t>La Opala RG Limited</t>
  </si>
  <si>
    <t>INE918Z01012</t>
  </si>
  <si>
    <t>INE466L01038</t>
  </si>
  <si>
    <t>INE200M01013</t>
  </si>
  <si>
    <t>Beverages</t>
  </si>
  <si>
    <t>INE571A01038</t>
  </si>
  <si>
    <t>INE00E101023</t>
  </si>
  <si>
    <t>INE474Q01031</t>
  </si>
  <si>
    <t>INE961O01016</t>
  </si>
  <si>
    <t>INE02YR01019</t>
  </si>
  <si>
    <t>INE472A01039</t>
  </si>
  <si>
    <t>INE887G01027</t>
  </si>
  <si>
    <t>INE059D01020</t>
  </si>
  <si>
    <t>NIL</t>
  </si>
  <si>
    <t>Reverse Repo / TREPS</t>
  </si>
  <si>
    <t>Clearing Corporation of India Ltd</t>
  </si>
  <si>
    <t>As on March 31, 2023</t>
  </si>
  <si>
    <t>Housing Development Finance Corporation Limited</t>
  </si>
  <si>
    <t>Nestle India Limited</t>
  </si>
  <si>
    <t>Reliance Industries Limited</t>
  </si>
  <si>
    <t>Titan Company Limited</t>
  </si>
  <si>
    <t>Infosys Limited</t>
  </si>
  <si>
    <t>Kotak Mahindra Bank Limited</t>
  </si>
  <si>
    <t>Maruti Suzuki India Limited</t>
  </si>
  <si>
    <t>Larsen &amp; Toubro Limited</t>
  </si>
  <si>
    <t>Hindustan Unilever Limited</t>
  </si>
  <si>
    <t>Asian Paints Limited</t>
  </si>
  <si>
    <t>Eicher Motors Limited</t>
  </si>
  <si>
    <t>Tata Consultancy Services Limited</t>
  </si>
  <si>
    <t>Bajaj Finance Limited</t>
  </si>
  <si>
    <t>JB Chemicals &amp; Pharmaceuticals Limited</t>
  </si>
  <si>
    <t>LTIMindtree Limited</t>
  </si>
  <si>
    <t>Bharat Electronics Limited</t>
  </si>
  <si>
    <t>Cipla Limited</t>
  </si>
  <si>
    <t>Power Grid Corporation of India Limited</t>
  </si>
  <si>
    <t>Axis Bank Limited</t>
  </si>
  <si>
    <t>Indiamart Intermesh Limited</t>
  </si>
  <si>
    <t>Bajaj Finserv Limited</t>
  </si>
  <si>
    <t>Muthoot Finance Limited</t>
  </si>
  <si>
    <t>Tata Steel Limited</t>
  </si>
  <si>
    <t>Five Star Business Finance Limited</t>
  </si>
  <si>
    <t>INE001A01036</t>
  </si>
  <si>
    <t>INE239A01016</t>
  </si>
  <si>
    <t>INE002A01018</t>
  </si>
  <si>
    <t>Petroleum Products</t>
  </si>
  <si>
    <t>INE280A01028</t>
  </si>
  <si>
    <t>INE009A01021</t>
  </si>
  <si>
    <t>INE237A01028</t>
  </si>
  <si>
    <t>INE585B01010</t>
  </si>
  <si>
    <t>Automobiles</t>
  </si>
  <si>
    <t>INE018A01030</t>
  </si>
  <si>
    <t>INE030A01027</t>
  </si>
  <si>
    <t>Diversified FMCG</t>
  </si>
  <si>
    <t>INE021A01026</t>
  </si>
  <si>
    <t>INE066A01021</t>
  </si>
  <si>
    <t>INE467B01029</t>
  </si>
  <si>
    <t>INE296A01024</t>
  </si>
  <si>
    <t>INE572A01028</t>
  </si>
  <si>
    <t>INE214T01019</t>
  </si>
  <si>
    <t>INE263A01024</t>
  </si>
  <si>
    <t>INE059A01026</t>
  </si>
  <si>
    <t>INE752E01010</t>
  </si>
  <si>
    <t>Power</t>
  </si>
  <si>
    <t>INE238A01034</t>
  </si>
  <si>
    <t>INE933S01016</t>
  </si>
  <si>
    <t>INE918I01026</t>
  </si>
  <si>
    <t>INE414G01012</t>
  </si>
  <si>
    <t>INE081A01020</t>
  </si>
  <si>
    <t>Ferrous Metals</t>
  </si>
  <si>
    <t>INE128S01021</t>
  </si>
  <si>
    <t>NA</t>
  </si>
  <si>
    <t>WhiteOak Capital Balanced Advantage Fund</t>
  </si>
  <si>
    <t>(An Open Ended Dynamic Asset Allocation Fund)</t>
  </si>
  <si>
    <t>UltraTech Cement Limited</t>
  </si>
  <si>
    <t>ABB India Limited</t>
  </si>
  <si>
    <t>Sun Pharmaceutical Industries Limited</t>
  </si>
  <si>
    <t>INE481G01011</t>
  </si>
  <si>
    <t>INE117A01022</t>
  </si>
  <si>
    <t>INE044A01036</t>
  </si>
  <si>
    <t>Debt Instruments</t>
  </si>
  <si>
    <t>(a) Listed / awaiting listing on Stock Exchange</t>
  </si>
  <si>
    <t>5.63% Government of India (12/04/2026)</t>
  </si>
  <si>
    <t>7.25% Larsen &amp; Toubro Limited (06/05/2024) **</t>
  </si>
  <si>
    <t xml:space="preserve">5.32% National Housing Bank (01/09/2023) </t>
  </si>
  <si>
    <t>5.27% National Bank For Agriculture and Rural Development (29/04/2024) **</t>
  </si>
  <si>
    <t>6.89% Government of India (16/01/2025)</t>
  </si>
  <si>
    <t>(b) Privately placed / Unlisted</t>
  </si>
  <si>
    <t>Money Market Instruments</t>
  </si>
  <si>
    <t>Certificate of Deposit</t>
  </si>
  <si>
    <t>ICICI Bank Limited (17/11/2023) ** #</t>
  </si>
  <si>
    <t>IndusInd Bank Limited (31/05/2023) ** #</t>
  </si>
  <si>
    <t>HDFC Bank Limited (15/05/2023)  #</t>
  </si>
  <si>
    <t>Commercial Paper</t>
  </si>
  <si>
    <t>Aditya Birla Finance Limited (07/06/2023) **</t>
  </si>
  <si>
    <t>IN0020210012</t>
  </si>
  <si>
    <t>Sovereign</t>
  </si>
  <si>
    <t>INE018A08BB5</t>
  </si>
  <si>
    <t>CRISIL AAA</t>
  </si>
  <si>
    <t>INE557F08FK3</t>
  </si>
  <si>
    <t>INE261F08DD2</t>
  </si>
  <si>
    <t>ICRA AAA</t>
  </si>
  <si>
    <t>IN0020220128</t>
  </si>
  <si>
    <t>INE090A169Y6</t>
  </si>
  <si>
    <t>ICRA A1+</t>
  </si>
  <si>
    <t>INE095A16P93</t>
  </si>
  <si>
    <t>CRISIL A1+</t>
  </si>
  <si>
    <t>INE040A16DF9</t>
  </si>
  <si>
    <t>CARE A1+</t>
  </si>
  <si>
    <t>INE860H14Z40</t>
  </si>
  <si>
    <t>(1) The provision made for securities classified as below investment grade or default as of March 31, 2023 is Rs.Nil and its percentage to Net Asset Value is Nil.</t>
  </si>
  <si>
    <t>(2)  Aggregate value of illiquid securities of the scheme and their percentage to NAV as on March 31, 2023 is Nil.</t>
  </si>
  <si>
    <t>(4) The Scheme did not declare any Income Distribution cum Capital Withdrawal during the half year ended March 31, 2023.</t>
  </si>
  <si>
    <t>(5) The Scheme did not declare any bonus during the half year ended March 31, 2023.</t>
  </si>
  <si>
    <t>(9) The scheme had no Repo transaction in Corporate Debt Securities during half year ended March 31, 2023.</t>
  </si>
  <si>
    <t>(8) Portfolio Turnover ratio is 0.35 times.</t>
  </si>
  <si>
    <t>A .   Hedging Positions through Futures as on March 31, 2023</t>
  </si>
  <si>
    <t>For the period ended March 31, 2023 details of hedging transactions through futures which have been squared off/expired are as under.</t>
  </si>
  <si>
    <t>B.   Other than Hedging Positions through Futures as on March 31, 2023</t>
  </si>
  <si>
    <t>For the period ended March 31, 2023 details of non-hedging transactions through futures which have been squared off/expired are as under.</t>
  </si>
  <si>
    <t>C.  Hedging Positions through Put Options as on March 31, 2023</t>
  </si>
  <si>
    <t>For the period ended March 31, 2023, details of hedging transactions through options which have already been exercised/expired are as under.</t>
  </si>
  <si>
    <t>D.  Other than Hedging Positions through Options as on March 31, 2023</t>
  </si>
  <si>
    <t>For the period ended March 31, 2023 details of non-hedging transactions through options which have already been exercised/expired are as under.</t>
  </si>
  <si>
    <t>F.  Hedging Positions through writing of Covered Call Options as on March 31, 2023</t>
  </si>
  <si>
    <t>For the period ended March 31, 2023 details of covered call options written which have been exercised / expired are as under.</t>
  </si>
  <si>
    <t xml:space="preserve">Call options written as %age to total market value of equity shares held in the scheme : </t>
  </si>
  <si>
    <t>$ -The date of allotment of the Scheme is February 10, 2023, therefore the Net Asset Values as on September 30, 2022 are not available.</t>
  </si>
  <si>
    <t>(6) Total outstanding exposure in derivative instruments as on March 31, 2023 is Rs. 2,867.06 Lacs.</t>
  </si>
  <si>
    <t>(7) Total investments in Foreign Securities / Overseas ETFs / ADRs / GDRs as on March 31, 2023 is -Nil</t>
  </si>
  <si>
    <t>CIPLA</t>
  </si>
  <si>
    <t>HDFC</t>
  </si>
  <si>
    <t>HINDUNILVR</t>
  </si>
  <si>
    <t>MARUTI</t>
  </si>
  <si>
    <t>SUNPHARMA</t>
  </si>
  <si>
    <t>ULTRACEMCO</t>
  </si>
  <si>
    <t>AXISBANK</t>
  </si>
  <si>
    <t>Short</t>
  </si>
  <si>
    <t>Total %age of existing assets hedged through futures : 8.6957%</t>
  </si>
  <si>
    <t>Total exposure due to futures (non hedging positions) as a %age of net assets : Nil</t>
  </si>
  <si>
    <t>Total %age of existing assets hedged through put options : Nil</t>
  </si>
  <si>
    <t>E.  Hedging Positions through swaps as on March 31, 2023 - Nil</t>
  </si>
  <si>
    <t>As on September 30, 2022 $</t>
  </si>
  <si>
    <t>Benchamrk Risk-o-meter</t>
  </si>
  <si>
    <t xml:space="preserve">WhiteOak Capital Balanced Advantage Fund </t>
  </si>
  <si>
    <r>
      <rPr>
        <b/>
        <sz val="9"/>
        <color rgb="FF000000"/>
        <rFont val="Arial"/>
        <family val="2"/>
      </rPr>
      <t>This Product is suitable for investors who are seeking *</t>
    </r>
    <r>
      <rPr>
        <sz val="9"/>
        <color rgb="FF000000"/>
        <rFont val="Arial"/>
        <family val="2"/>
      </rPr>
      <t xml:space="preserve"> </t>
    </r>
  </si>
  <si>
    <t>An Open Ended Dynamic Asset Allocation Fund</t>
  </si>
  <si>
    <t xml:space="preserve">◦Capital Appreciation &amp; Income Generation over Medium to Long term 
◦Investment in a dynamically managed portfolio of equity &amp; equity related instruments and debt &amp; money market securities
</t>
  </si>
  <si>
    <t>Benchmark</t>
  </si>
  <si>
    <t>CRISIL Hybrid 50+50- Moderate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</si>
</sst>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_(* #,##0.00_);_(* \(#,##0.00\);_(* &quot;-&quot;??_);_(@_)"/>
    <numFmt numFmtId="165" formatCode="#,##0.00;\(#,##0.00\)"/>
    <numFmt numFmtId="166" formatCode="#,##0.00%;\(#,##0.00\)%"/>
    <numFmt numFmtId="167" formatCode="#,##0.00%"/>
    <numFmt numFmtId="168" formatCode="0.0000"/>
  </numFmts>
  <fonts count="19">
    <font>
      <sz val="11"/>
      <color theme="1"/>
      <name val="Calibri"/>
      <family val="2"/>
      <scheme val="minor"/>
    </font>
    <font>
      <b/>
      <sz val="12"/>
      <name val="Arial"/>
      <family val="2"/>
    </font>
    <font>
      <sz val="1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9"/>
      <color indexed="72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9"/>
      <name val="Arial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sz val="9"/>
      <color indexed="72"/>
      <name val="Arial"/>
      <family val="2"/>
    </font>
    <font>
      <sz val="9"/>
      <color rgb="FFFF0000"/>
      <name val="Arial"/>
      <family val="2"/>
    </font>
    <font>
      <sz val="9"/>
      <name val="Arial"/>
      <family val="2"/>
    </font>
    <font>
      <sz val="10"/>
      <color indexed="8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6" fillId="0" borderId="0" applyNumberFormat="0" applyFont="0" applyFill="0" applyBorder="0" applyAlignment="0" applyProtection="0"/>
    <xf numFmtId="9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164" fontId="7" fillId="0" borderId="0" applyFont="0" applyFill="0" applyBorder="0" applyAlignment="0" applyProtection="0"/>
  </cellStyleXfs>
  <cellXfs count="147">
    <xf numFmtId="0" fontId="0" fillId="0" borderId="0" xfId="0"/>
    <xf numFmtId="0" fontId="0" fillId="2" borderId="0" xfId="0" applyFill="1"/>
    <xf numFmtId="0" fontId="4" fillId="2" borderId="1" xfId="0" applyFont="1" applyFill="1" applyBorder="1" applyAlignment="1">
      <alignment horizontal="left" vertical="top" wrapText="1"/>
    </xf>
    <xf numFmtId="165" fontId="3" fillId="2" borderId="3" xfId="0" applyNumberFormat="1" applyFont="1" applyFill="1" applyBorder="1" applyAlignment="1">
      <alignment horizontal="right" vertical="top" wrapText="1"/>
    </xf>
    <xf numFmtId="166" fontId="3" fillId="2" borderId="4" xfId="0" applyNumberFormat="1" applyFont="1" applyFill="1" applyBorder="1" applyAlignment="1">
      <alignment horizontal="right" vertical="top" wrapText="1"/>
    </xf>
    <xf numFmtId="0" fontId="4" fillId="2" borderId="5" xfId="0" applyFont="1" applyFill="1" applyBorder="1" applyAlignment="1">
      <alignment horizontal="left" vertical="top" wrapText="1"/>
    </xf>
    <xf numFmtId="0" fontId="4" fillId="2" borderId="4" xfId="0" applyFont="1" applyFill="1" applyBorder="1" applyAlignment="1">
      <alignment horizontal="left" vertical="top" wrapText="1"/>
    </xf>
    <xf numFmtId="165" fontId="3" fillId="2" borderId="4" xfId="0" applyNumberFormat="1" applyFont="1" applyFill="1" applyBorder="1" applyAlignment="1">
      <alignment horizontal="right" vertical="top" wrapText="1"/>
    </xf>
    <xf numFmtId="0" fontId="3" fillId="2" borderId="0" xfId="0" applyFont="1" applyFill="1" applyAlignment="1">
      <alignment horizontal="left" vertical="top" wrapText="1"/>
    </xf>
    <xf numFmtId="0" fontId="4" fillId="2" borderId="0" xfId="0" applyFont="1" applyFill="1" applyAlignment="1">
      <alignment horizontal="left" vertical="top" wrapText="1"/>
    </xf>
    <xf numFmtId="165" fontId="3" fillId="2" borderId="0" xfId="0" applyNumberFormat="1" applyFont="1" applyFill="1" applyAlignment="1">
      <alignment horizontal="right" vertical="top" wrapText="1"/>
    </xf>
    <xf numFmtId="167" fontId="3" fillId="2" borderId="0" xfId="0" applyNumberFormat="1" applyFont="1" applyFill="1" applyAlignment="1">
      <alignment horizontal="right" vertical="top" wrapText="1"/>
    </xf>
    <xf numFmtId="0" fontId="3" fillId="2" borderId="0" xfId="0" applyFont="1" applyFill="1" applyAlignment="1">
      <alignment horizontal="right" vertical="top" wrapText="1"/>
    </xf>
    <xf numFmtId="0" fontId="0" fillId="2" borderId="0" xfId="0" applyFill="1" applyAlignment="1">
      <alignment wrapText="1"/>
    </xf>
    <xf numFmtId="0" fontId="0" fillId="2" borderId="0" xfId="0" applyFill="1" applyProtection="1">
      <protection locked="0"/>
    </xf>
    <xf numFmtId="0" fontId="0" fillId="0" borderId="0" xfId="0" applyAlignment="1" applyProtection="1">
      <alignment wrapText="1"/>
      <protection locked="0"/>
    </xf>
    <xf numFmtId="0" fontId="4" fillId="0" borderId="1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1" xfId="0" applyFont="1" applyBorder="1" applyAlignment="1">
      <alignment vertical="top" wrapText="1"/>
    </xf>
    <xf numFmtId="0" fontId="4" fillId="0" borderId="4" xfId="0" applyFont="1" applyBorder="1" applyAlignment="1">
      <alignment vertical="top" wrapText="1"/>
    </xf>
    <xf numFmtId="0" fontId="4" fillId="0" borderId="5" xfId="0" applyFont="1" applyBorder="1" applyAlignment="1">
      <alignment vertical="top" wrapText="1"/>
    </xf>
    <xf numFmtId="0" fontId="4" fillId="2" borderId="1" xfId="0" applyFont="1" applyFill="1" applyBorder="1" applyAlignment="1">
      <alignment vertical="top" wrapText="1"/>
    </xf>
    <xf numFmtId="3" fontId="4" fillId="2" borderId="1" xfId="0" applyNumberFormat="1" applyFont="1" applyFill="1" applyBorder="1" applyAlignment="1">
      <alignment vertical="top" wrapText="1"/>
    </xf>
    <xf numFmtId="0" fontId="4" fillId="2" borderId="5" xfId="0" applyFont="1" applyFill="1" applyBorder="1" applyAlignment="1">
      <alignment vertical="top" wrapText="1"/>
    </xf>
    <xf numFmtId="0" fontId="4" fillId="2" borderId="0" xfId="0" applyFont="1" applyFill="1" applyAlignment="1">
      <alignment vertical="top" wrapText="1"/>
    </xf>
    <xf numFmtId="0" fontId="5" fillId="0" borderId="0" xfId="0" applyFont="1" applyAlignment="1">
      <alignment horizontal="left" vertical="top"/>
    </xf>
    <xf numFmtId="0" fontId="2" fillId="0" borderId="0" xfId="0" applyFont="1"/>
    <xf numFmtId="0" fontId="0" fillId="0" borderId="0" xfId="0" applyProtection="1">
      <protection locked="0"/>
    </xf>
    <xf numFmtId="166" fontId="3" fillId="0" borderId="5" xfId="0" applyNumberFormat="1" applyFont="1" applyBorder="1" applyAlignment="1">
      <alignment horizontal="right" vertical="top" wrapText="1"/>
    </xf>
    <xf numFmtId="165" fontId="3" fillId="0" borderId="7" xfId="0" applyNumberFormat="1" applyFont="1" applyBorder="1" applyAlignment="1">
      <alignment horizontal="right" vertical="top" wrapText="1"/>
    </xf>
    <xf numFmtId="0" fontId="3" fillId="0" borderId="8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right" vertical="top" wrapText="1"/>
    </xf>
    <xf numFmtId="0" fontId="3" fillId="0" borderId="12" xfId="0" applyFont="1" applyBorder="1" applyAlignment="1">
      <alignment horizontal="left" vertical="top" wrapText="1"/>
    </xf>
    <xf numFmtId="0" fontId="3" fillId="2" borderId="9" xfId="0" applyFont="1" applyFill="1" applyBorder="1" applyAlignment="1">
      <alignment horizontal="left" vertical="top" wrapText="1"/>
    </xf>
    <xf numFmtId="0" fontId="4" fillId="2" borderId="9" xfId="0" applyFont="1" applyFill="1" applyBorder="1" applyAlignment="1">
      <alignment horizontal="left" vertical="top" wrapText="1"/>
    </xf>
    <xf numFmtId="0" fontId="3" fillId="2" borderId="11" xfId="0" applyFont="1" applyFill="1" applyBorder="1" applyAlignment="1">
      <alignment horizontal="right" vertical="top" wrapText="1"/>
    </xf>
    <xf numFmtId="0" fontId="3" fillId="2" borderId="12" xfId="0" applyFont="1" applyFill="1" applyBorder="1" applyAlignment="1">
      <alignment horizontal="left" vertical="top" wrapText="1"/>
    </xf>
    <xf numFmtId="0" fontId="3" fillId="2" borderId="13" xfId="0" applyFont="1" applyFill="1" applyBorder="1" applyAlignment="1">
      <alignment horizontal="left" vertical="top" wrapText="1"/>
    </xf>
    <xf numFmtId="0" fontId="4" fillId="2" borderId="14" xfId="0" applyFont="1" applyFill="1" applyBorder="1" applyAlignment="1">
      <alignment horizontal="left" vertical="top" wrapText="1"/>
    </xf>
    <xf numFmtId="0" fontId="4" fillId="2" borderId="14" xfId="0" applyFont="1" applyFill="1" applyBorder="1" applyAlignment="1">
      <alignment vertical="top" wrapText="1"/>
    </xf>
    <xf numFmtId="165" fontId="3" fillId="2" borderId="15" xfId="0" applyNumberFormat="1" applyFont="1" applyFill="1" applyBorder="1" applyAlignment="1">
      <alignment horizontal="right" vertical="top" wrapText="1"/>
    </xf>
    <xf numFmtId="0" fontId="3" fillId="2" borderId="16" xfId="0" applyFont="1" applyFill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/>
    </xf>
    <xf numFmtId="10" fontId="3" fillId="0" borderId="11" xfId="2" applyNumberFormat="1" applyFont="1" applyFill="1" applyBorder="1" applyAlignment="1" applyProtection="1">
      <alignment horizontal="right" vertical="top" wrapText="1"/>
    </xf>
    <xf numFmtId="9" fontId="3" fillId="2" borderId="15" xfId="2" applyFont="1" applyFill="1" applyBorder="1" applyAlignment="1">
      <alignment horizontal="right" vertical="top" wrapText="1"/>
    </xf>
    <xf numFmtId="0" fontId="3" fillId="0" borderId="18" xfId="0" applyFont="1" applyBorder="1" applyAlignment="1">
      <alignment horizontal="left" vertical="top" wrapText="1"/>
    </xf>
    <xf numFmtId="0" fontId="8" fillId="2" borderId="0" xfId="0" applyFont="1" applyFill="1" applyAlignment="1">
      <alignment horizontal="left" vertical="top"/>
    </xf>
    <xf numFmtId="0" fontId="10" fillId="0" borderId="19" xfId="0" applyFont="1" applyBorder="1" applyAlignment="1">
      <alignment horizontal="left" vertical="top" wrapText="1"/>
    </xf>
    <xf numFmtId="0" fontId="10" fillId="0" borderId="19" xfId="0" applyFont="1" applyBorder="1" applyAlignment="1">
      <alignment horizontal="center" vertical="top" wrapText="1"/>
    </xf>
    <xf numFmtId="0" fontId="10" fillId="0" borderId="0" xfId="0" applyFont="1" applyAlignment="1">
      <alignment horizontal="center" vertical="top" wrapText="1"/>
    </xf>
    <xf numFmtId="168" fontId="9" fillId="0" borderId="19" xfId="0" applyNumberFormat="1" applyFont="1" applyBorder="1" applyAlignment="1">
      <alignment horizontal="right" vertical="top" wrapText="1"/>
    </xf>
    <xf numFmtId="0" fontId="9" fillId="0" borderId="0" xfId="0" applyFont="1" applyAlignment="1">
      <alignment vertical="top"/>
    </xf>
    <xf numFmtId="0" fontId="11" fillId="0" borderId="0" xfId="0" applyFont="1"/>
    <xf numFmtId="0" fontId="9" fillId="0" borderId="19" xfId="0" applyFont="1" applyBorder="1" applyAlignment="1">
      <alignment horizontal="left" vertical="top" wrapText="1"/>
    </xf>
    <xf numFmtId="0" fontId="9" fillId="0" borderId="0" xfId="4" applyFont="1" applyAlignment="1">
      <alignment vertical="top"/>
    </xf>
    <xf numFmtId="0" fontId="3" fillId="0" borderId="0" xfId="0" applyFont="1" applyAlignment="1">
      <alignment horizontal="right" vertical="top" wrapText="1"/>
    </xf>
    <xf numFmtId="0" fontId="3" fillId="0" borderId="25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9" fontId="3" fillId="2" borderId="0" xfId="2" applyFont="1" applyFill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12" fillId="0" borderId="0" xfId="0" applyFont="1"/>
    <xf numFmtId="0" fontId="13" fillId="0" borderId="0" xfId="0" applyFont="1"/>
    <xf numFmtId="0" fontId="14" fillId="0" borderId="0" xfId="0" applyFont="1" applyAlignment="1">
      <alignment vertical="top"/>
    </xf>
    <xf numFmtId="0" fontId="14" fillId="0" borderId="0" xfId="0" applyFont="1" applyAlignment="1">
      <alignment horizontal="left" vertical="top"/>
    </xf>
    <xf numFmtId="43" fontId="9" fillId="0" borderId="6" xfId="3" applyFont="1" applyFill="1" applyBorder="1" applyAlignment="1" applyProtection="1">
      <alignment wrapText="1"/>
      <protection locked="0"/>
    </xf>
    <xf numFmtId="0" fontId="4" fillId="0" borderId="17" xfId="0" applyFont="1" applyBorder="1" applyAlignment="1">
      <alignment horizontal="right" vertical="top" wrapText="1"/>
    </xf>
    <xf numFmtId="4" fontId="10" fillId="2" borderId="6" xfId="0" applyNumberFormat="1" applyFont="1" applyFill="1" applyBorder="1" applyAlignment="1" applyProtection="1">
      <alignment wrapText="1"/>
      <protection locked="0"/>
    </xf>
    <xf numFmtId="10" fontId="3" fillId="2" borderId="1" xfId="0" applyNumberFormat="1" applyFont="1" applyFill="1" applyBorder="1" applyAlignment="1">
      <alignment horizontal="right" vertical="top" wrapText="1"/>
    </xf>
    <xf numFmtId="0" fontId="4" fillId="2" borderId="10" xfId="0" applyFont="1" applyFill="1" applyBorder="1" applyAlignment="1">
      <alignment horizontal="right" vertical="top" wrapText="1"/>
    </xf>
    <xf numFmtId="0" fontId="9" fillId="0" borderId="0" xfId="0" applyFont="1"/>
    <xf numFmtId="0" fontId="15" fillId="0" borderId="0" xfId="0" applyFont="1"/>
    <xf numFmtId="168" fontId="9" fillId="0" borderId="0" xfId="0" applyNumberFormat="1" applyFont="1" applyAlignment="1">
      <alignment horizontal="left" vertical="top" wrapText="1"/>
    </xf>
    <xf numFmtId="0" fontId="16" fillId="0" borderId="0" xfId="0" applyFont="1"/>
    <xf numFmtId="0" fontId="9" fillId="2" borderId="0" xfId="0" applyFont="1" applyFill="1" applyAlignment="1" applyProtection="1">
      <alignment wrapText="1"/>
      <protection locked="0"/>
    </xf>
    <xf numFmtId="0" fontId="9" fillId="2" borderId="0" xfId="0" applyFont="1" applyFill="1"/>
    <xf numFmtId="0" fontId="12" fillId="0" borderId="19" xfId="0" applyFont="1" applyBorder="1" applyAlignment="1">
      <alignment horizontal="center" vertical="top" wrapText="1"/>
    </xf>
    <xf numFmtId="0" fontId="13" fillId="0" borderId="0" xfId="0" applyFont="1" applyAlignment="1">
      <alignment horizontal="center"/>
    </xf>
    <xf numFmtId="164" fontId="16" fillId="0" borderId="0" xfId="0" applyNumberFormat="1" applyFont="1"/>
    <xf numFmtId="0" fontId="12" fillId="0" borderId="19" xfId="0" applyFont="1" applyBorder="1" applyAlignment="1">
      <alignment wrapText="1"/>
    </xf>
    <xf numFmtId="0" fontId="12" fillId="0" borderId="19" xfId="0" applyFont="1" applyBorder="1" applyAlignment="1">
      <alignment horizontal="center" vertical="center" wrapText="1"/>
    </xf>
    <xf numFmtId="0" fontId="12" fillId="0" borderId="0" xfId="0" applyFont="1" applyAlignment="1">
      <alignment horizontal="right"/>
    </xf>
    <xf numFmtId="0" fontId="16" fillId="0" borderId="0" xfId="0" applyFont="1" applyAlignment="1">
      <alignment wrapText="1"/>
    </xf>
    <xf numFmtId="0" fontId="12" fillId="0" borderId="19" xfId="0" applyFont="1" applyBorder="1" applyAlignment="1">
      <alignment horizontal="center"/>
    </xf>
    <xf numFmtId="0" fontId="12" fillId="0" borderId="19" xfId="0" applyFont="1" applyBorder="1" applyAlignment="1">
      <alignment horizontal="center" wrapText="1"/>
    </xf>
    <xf numFmtId="0" fontId="12" fillId="0" borderId="19" xfId="0" applyFont="1" applyBorder="1" applyAlignment="1">
      <alignment vertical="top" wrapText="1"/>
    </xf>
    <xf numFmtId="3" fontId="4" fillId="0" borderId="1" xfId="0" applyNumberFormat="1" applyFont="1" applyBorder="1" applyAlignment="1">
      <alignment horizontal="right" vertical="top" wrapText="1"/>
    </xf>
    <xf numFmtId="165" fontId="4" fillId="0" borderId="2" xfId="0" applyNumberFormat="1" applyFont="1" applyBorder="1" applyAlignment="1">
      <alignment horizontal="right" vertical="top" wrapText="1"/>
    </xf>
    <xf numFmtId="166" fontId="4" fillId="0" borderId="1" xfId="0" applyNumberFormat="1" applyFont="1" applyBorder="1" applyAlignment="1">
      <alignment horizontal="right" vertical="top" wrapText="1"/>
    </xf>
    <xf numFmtId="0" fontId="3" fillId="0" borderId="4" xfId="0" applyFont="1" applyBorder="1" applyAlignment="1">
      <alignment horizontal="right" vertical="top" wrapText="1"/>
    </xf>
    <xf numFmtId="165" fontId="3" fillId="0" borderId="0" xfId="0" applyNumberFormat="1" applyFont="1" applyAlignment="1">
      <alignment horizontal="right" vertical="top" wrapText="1"/>
    </xf>
    <xf numFmtId="166" fontId="3" fillId="0" borderId="1" xfId="0" applyNumberFormat="1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167" fontId="4" fillId="0" borderId="10" xfId="0" applyNumberFormat="1" applyFont="1" applyBorder="1" applyAlignment="1">
      <alignment horizontal="right" vertical="top" wrapText="1"/>
    </xf>
    <xf numFmtId="0" fontId="3" fillId="0" borderId="10" xfId="0" applyFont="1" applyBorder="1" applyAlignment="1">
      <alignment horizontal="right" vertical="top" wrapText="1"/>
    </xf>
    <xf numFmtId="0" fontId="18" fillId="0" borderId="2" xfId="0" applyFont="1" applyBorder="1" applyAlignment="1">
      <alignment horizontal="right" vertical="top" wrapText="1"/>
    </xf>
    <xf numFmtId="165" fontId="3" fillId="0" borderId="3" xfId="0" applyNumberFormat="1" applyFont="1" applyBorder="1" applyAlignment="1">
      <alignment horizontal="right" vertical="top" wrapText="1"/>
    </xf>
    <xf numFmtId="166" fontId="3" fillId="0" borderId="4" xfId="0" applyNumberFormat="1" applyFont="1" applyBorder="1" applyAlignment="1">
      <alignment horizontal="right" vertical="top" wrapText="1"/>
    </xf>
    <xf numFmtId="0" fontId="18" fillId="0" borderId="10" xfId="0" applyFont="1" applyBorder="1" applyAlignment="1">
      <alignment horizontal="right" vertical="top" wrapText="1"/>
    </xf>
    <xf numFmtId="0" fontId="2" fillId="0" borderId="0" xfId="0" applyFont="1" applyProtection="1">
      <protection locked="0"/>
    </xf>
    <xf numFmtId="0" fontId="11" fillId="0" borderId="0" xfId="0" applyFont="1" applyAlignment="1">
      <alignment horizontal="right" vertical="top" wrapText="1"/>
    </xf>
    <xf numFmtId="0" fontId="13" fillId="0" borderId="21" xfId="0" applyFont="1" applyBorder="1"/>
    <xf numFmtId="0" fontId="13" fillId="0" borderId="22" xfId="0" applyFont="1" applyBorder="1"/>
    <xf numFmtId="0" fontId="13" fillId="0" borderId="19" xfId="0" applyFont="1" applyBorder="1" applyAlignment="1">
      <alignment horizontal="center" vertical="top" wrapText="1"/>
    </xf>
    <xf numFmtId="0" fontId="9" fillId="2" borderId="0" xfId="0" applyFont="1" applyFill="1" applyAlignment="1">
      <alignment horizontal="center"/>
    </xf>
    <xf numFmtId="0" fontId="13" fillId="0" borderId="19" xfId="0" applyFont="1" applyBorder="1" applyAlignment="1">
      <alignment horizontal="center"/>
    </xf>
    <xf numFmtId="0" fontId="0" fillId="2" borderId="0" xfId="0" applyFill="1" applyAlignment="1">
      <alignment horizontal="center"/>
    </xf>
    <xf numFmtId="4" fontId="13" fillId="0" borderId="19" xfId="0" applyNumberFormat="1" applyFont="1" applyBorder="1" applyAlignment="1">
      <alignment horizontal="center" vertical="top" wrapText="1"/>
    </xf>
    <xf numFmtId="4" fontId="13" fillId="0" borderId="19" xfId="0" applyNumberFormat="1" applyFont="1" applyBorder="1" applyAlignment="1">
      <alignment horizontal="center"/>
    </xf>
    <xf numFmtId="4" fontId="13" fillId="0" borderId="22" xfId="0" applyNumberFormat="1" applyFont="1" applyBorder="1"/>
    <xf numFmtId="4" fontId="13" fillId="0" borderId="23" xfId="0" applyNumberFormat="1" applyFont="1" applyBorder="1"/>
    <xf numFmtId="0" fontId="13" fillId="0" borderId="21" xfId="0" applyFont="1" applyBorder="1" applyAlignment="1">
      <alignment horizontal="center" wrapText="1"/>
    </xf>
    <xf numFmtId="0" fontId="13" fillId="0" borderId="22" xfId="0" applyFont="1" applyBorder="1" applyAlignment="1">
      <alignment horizontal="center" wrapText="1"/>
    </xf>
    <xf numFmtId="0" fontId="13" fillId="0" borderId="23" xfId="0" applyFont="1" applyBorder="1" applyAlignment="1">
      <alignment horizontal="center" wrapText="1"/>
    </xf>
    <xf numFmtId="0" fontId="13" fillId="0" borderId="21" xfId="0" applyFont="1" applyBorder="1" applyAlignment="1">
      <alignment horizontal="center"/>
    </xf>
    <xf numFmtId="0" fontId="13" fillId="0" borderId="22" xfId="0" applyFont="1" applyBorder="1" applyAlignment="1">
      <alignment horizontal="center"/>
    </xf>
    <xf numFmtId="0" fontId="13" fillId="0" borderId="23" xfId="0" applyFont="1" applyBorder="1" applyAlignment="1">
      <alignment horizontal="center"/>
    </xf>
    <xf numFmtId="0" fontId="16" fillId="0" borderId="0" xfId="0" applyFont="1" applyAlignment="1">
      <alignment horizontal="left"/>
    </xf>
    <xf numFmtId="0" fontId="12" fillId="0" borderId="0" xfId="0" applyFont="1"/>
    <xf numFmtId="0" fontId="16" fillId="0" borderId="20" xfId="0" applyFont="1" applyBorder="1" applyAlignment="1">
      <alignment horizontal="left"/>
    </xf>
    <xf numFmtId="0" fontId="11" fillId="0" borderId="20" xfId="0" applyFont="1" applyBorder="1" applyAlignment="1">
      <alignment horizontal="left"/>
    </xf>
    <xf numFmtId="0" fontId="17" fillId="0" borderId="21" xfId="0" applyFont="1" applyBorder="1" applyAlignment="1">
      <alignment horizontal="center"/>
    </xf>
    <xf numFmtId="0" fontId="17" fillId="0" borderId="22" xfId="0" applyFont="1" applyBorder="1" applyAlignment="1">
      <alignment horizontal="center"/>
    </xf>
    <xf numFmtId="0" fontId="17" fillId="0" borderId="23" xfId="0" applyFont="1" applyBorder="1" applyAlignment="1">
      <alignment horizontal="center"/>
    </xf>
    <xf numFmtId="0" fontId="9" fillId="0" borderId="0" xfId="0" applyFont="1" applyAlignment="1">
      <alignment horizontal="left" vertical="top" wrapText="1"/>
    </xf>
    <xf numFmtId="0" fontId="9" fillId="0" borderId="0" xfId="4" applyFont="1" applyAlignment="1">
      <alignment horizontal="left" vertical="top" wrapText="1"/>
    </xf>
    <xf numFmtId="0" fontId="16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3" fillId="2" borderId="26" xfId="0" applyFont="1" applyFill="1" applyBorder="1" applyAlignment="1">
      <alignment horizontal="center" wrapText="1" readingOrder="1"/>
    </xf>
    <xf numFmtId="0" fontId="3" fillId="2" borderId="27" xfId="0" applyFont="1" applyFill="1" applyBorder="1" applyAlignment="1">
      <alignment horizontal="center" wrapText="1" readingOrder="1"/>
    </xf>
    <xf numFmtId="0" fontId="3" fillId="2" borderId="28" xfId="0" applyFont="1" applyFill="1" applyBorder="1" applyAlignment="1">
      <alignment horizontal="center" wrapText="1" readingOrder="1"/>
    </xf>
    <xf numFmtId="0" fontId="3" fillId="2" borderId="29" xfId="0" applyFont="1" applyFill="1" applyBorder="1" applyAlignment="1">
      <alignment horizontal="justify" wrapText="1" readingOrder="1"/>
    </xf>
    <xf numFmtId="0" fontId="4" fillId="2" borderId="0" xfId="0" applyFont="1" applyFill="1" applyAlignment="1">
      <alignment horizontal="justify" wrapText="1" readingOrder="1"/>
    </xf>
    <xf numFmtId="0" fontId="4" fillId="2" borderId="0" xfId="0" applyFont="1" applyFill="1" applyAlignment="1">
      <alignment horizontal="justify" wrapText="1" readingOrder="1"/>
    </xf>
    <xf numFmtId="0" fontId="9" fillId="2" borderId="30" xfId="0" applyFont="1" applyFill="1" applyBorder="1" applyAlignment="1">
      <alignment wrapText="1"/>
    </xf>
    <xf numFmtId="0" fontId="4" fillId="2" borderId="29" xfId="0" applyFont="1" applyFill="1" applyBorder="1" applyAlignment="1">
      <alignment horizontal="justify" vertical="center" wrapText="1" readingOrder="1"/>
    </xf>
    <xf numFmtId="0" fontId="9" fillId="2" borderId="0" xfId="0" applyFont="1" applyFill="1" applyAlignment="1">
      <alignment horizontal="justify" wrapText="1" readingOrder="1"/>
    </xf>
    <xf numFmtId="0" fontId="4" fillId="2" borderId="29" xfId="0" applyFont="1" applyFill="1" applyBorder="1" applyAlignment="1">
      <alignment horizontal="justify" wrapText="1" readingOrder="1"/>
    </xf>
    <xf numFmtId="0" fontId="3" fillId="2" borderId="0" xfId="0" applyFont="1" applyFill="1" applyAlignment="1">
      <alignment horizontal="justify" wrapText="1" readingOrder="1"/>
    </xf>
    <xf numFmtId="0" fontId="9" fillId="2" borderId="29" xfId="0" applyFont="1" applyFill="1" applyBorder="1"/>
    <xf numFmtId="0" fontId="10" fillId="2" borderId="30" xfId="0" applyFont="1" applyFill="1" applyBorder="1"/>
    <xf numFmtId="0" fontId="9" fillId="2" borderId="31" xfId="0" applyFont="1" applyFill="1" applyBorder="1"/>
    <xf numFmtId="0" fontId="9" fillId="2" borderId="20" xfId="0" applyFont="1" applyFill="1" applyBorder="1"/>
    <xf numFmtId="0" fontId="9" fillId="2" borderId="32" xfId="0" applyFont="1" applyFill="1" applyBorder="1"/>
  </cellXfs>
  <cellStyles count="6">
    <cellStyle name="Comma" xfId="3" builtinId="3"/>
    <cellStyle name="Comma 2" xfId="5" xr:uid="{00000000-0005-0000-0000-000001000000}"/>
    <cellStyle name="Normal" xfId="0" builtinId="0"/>
    <cellStyle name="Normal 2" xfId="1" xr:uid="{00000000-0005-0000-0000-000003000000}"/>
    <cellStyle name="Normal 3" xfId="4" xr:uid="{00000000-0005-0000-0000-000004000000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127709</xdr:colOff>
      <xdr:row>199</xdr:row>
      <xdr:rowOff>169332</xdr:rowOff>
    </xdr:from>
    <xdr:to>
      <xdr:col>10</xdr:col>
      <xdr:colOff>95250</xdr:colOff>
      <xdr:row>201</xdr:row>
      <xdr:rowOff>492672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35B250E-7560-4179-9CFB-B21FEF9278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19959" y="46037499"/>
          <a:ext cx="1904291" cy="20166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63499</xdr:colOff>
      <xdr:row>199</xdr:row>
      <xdr:rowOff>437370</xdr:rowOff>
    </xdr:from>
    <xdr:to>
      <xdr:col>11</xdr:col>
      <xdr:colOff>310588</xdr:colOff>
      <xdr:row>201</xdr:row>
      <xdr:rowOff>508000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230394B-7694-4CD1-86FC-3AA8D7BF13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92499" y="46305537"/>
          <a:ext cx="2162672" cy="1763963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s/Products/Shared%20Documents/Product/Scheme%20Portfolio/Half%20Yearly/WOCMF_HALF%20YEARLY_PORTFOLI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YM001"/>
      <sheetName val="YM002"/>
      <sheetName val="YM003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K204"/>
  <sheetViews>
    <sheetView tabSelected="1" zoomScale="90" zoomScaleNormal="90" workbookViewId="0">
      <selection activeCell="B1" sqref="B1:H1"/>
    </sheetView>
  </sheetViews>
  <sheetFormatPr defaultColWidth="8.85546875" defaultRowHeight="15"/>
  <cols>
    <col min="1" max="1" width="3.42578125" style="1" customWidth="1"/>
    <col min="2" max="2" width="48.85546875" style="1" customWidth="1"/>
    <col min="3" max="3" width="12.85546875" style="1" customWidth="1"/>
    <col min="4" max="4" width="25.5703125" style="1" customWidth="1"/>
    <col min="5" max="5" width="15.5703125" style="1" customWidth="1"/>
    <col min="6" max="6" width="27.42578125" style="1" customWidth="1"/>
    <col min="7" max="7" width="27.5703125" style="1" customWidth="1"/>
    <col min="8" max="8" width="21.140625" style="1" customWidth="1"/>
    <col min="9" max="9" width="30.28515625" style="1" customWidth="1"/>
    <col min="10" max="10" width="29" style="1" customWidth="1"/>
    <col min="11" max="11" width="28.7109375" style="1" customWidth="1"/>
    <col min="12" max="12" width="30.7109375" style="1" customWidth="1"/>
    <col min="13" max="13" width="15.85546875" style="1" customWidth="1"/>
    <col min="14" max="16384" width="8.85546875" style="1"/>
  </cols>
  <sheetData>
    <row r="1" spans="1:8" ht="15.75">
      <c r="B1" s="130" t="s">
        <v>274</v>
      </c>
      <c r="C1" s="130"/>
      <c r="D1" s="130"/>
      <c r="E1" s="130"/>
      <c r="F1" s="130"/>
      <c r="G1" s="130"/>
      <c r="H1" s="130"/>
    </row>
    <row r="2" spans="1:8" ht="15.75">
      <c r="B2" s="130" t="s">
        <v>275</v>
      </c>
      <c r="C2" s="130"/>
      <c r="D2" s="130"/>
      <c r="E2" s="130"/>
      <c r="F2" s="130"/>
      <c r="G2" s="130"/>
      <c r="H2" s="130"/>
    </row>
    <row r="3" spans="1:8" ht="15.75">
      <c r="B3" s="130" t="s">
        <v>191</v>
      </c>
      <c r="C3" s="130"/>
      <c r="D3" s="130"/>
      <c r="E3" s="130"/>
      <c r="F3" s="130"/>
      <c r="G3" s="130"/>
      <c r="H3" s="130"/>
    </row>
    <row r="4" spans="1:8" ht="15.75" thickBot="1">
      <c r="B4" s="28"/>
      <c r="C4" s="28"/>
      <c r="D4" s="28"/>
      <c r="E4" s="28"/>
      <c r="F4" s="28"/>
      <c r="G4" s="28"/>
      <c r="H4" s="28"/>
    </row>
    <row r="5" spans="1:8" ht="29.25" customHeight="1">
      <c r="A5" s="14"/>
      <c r="B5" s="32" t="s">
        <v>0</v>
      </c>
      <c r="C5" s="60" t="s">
        <v>1</v>
      </c>
      <c r="D5" s="60" t="s">
        <v>185</v>
      </c>
      <c r="E5" s="60" t="s">
        <v>2</v>
      </c>
      <c r="F5" s="60" t="s">
        <v>3</v>
      </c>
      <c r="G5" s="60" t="s">
        <v>4</v>
      </c>
      <c r="H5" s="61" t="s">
        <v>5</v>
      </c>
    </row>
    <row r="6" spans="1:8">
      <c r="A6" s="15"/>
      <c r="B6" s="49" t="s">
        <v>11</v>
      </c>
      <c r="C6" s="68"/>
      <c r="D6" s="68"/>
      <c r="E6" s="68"/>
      <c r="F6" s="68"/>
      <c r="G6" s="68"/>
      <c r="H6" s="69"/>
    </row>
    <row r="7" spans="1:8">
      <c r="A7" s="15"/>
      <c r="B7" s="49" t="s">
        <v>12</v>
      </c>
      <c r="C7" s="68"/>
      <c r="D7" s="68"/>
      <c r="E7" s="68"/>
      <c r="F7" s="68"/>
      <c r="G7" s="68"/>
      <c r="H7" s="69"/>
    </row>
    <row r="8" spans="1:8">
      <c r="A8" s="27" t="s">
        <v>13</v>
      </c>
      <c r="B8" s="46" t="s">
        <v>119</v>
      </c>
      <c r="C8" s="16" t="s">
        <v>120</v>
      </c>
      <c r="D8" s="16" t="s">
        <v>41</v>
      </c>
      <c r="E8" s="89">
        <v>209685</v>
      </c>
      <c r="F8" s="90">
        <v>1839.46</v>
      </c>
      <c r="G8" s="91">
        <v>5.5800000000000002E-2</v>
      </c>
      <c r="H8" s="95"/>
    </row>
    <row r="9" spans="1:8">
      <c r="A9" s="27" t="s">
        <v>17</v>
      </c>
      <c r="B9" s="46" t="s">
        <v>220</v>
      </c>
      <c r="C9" s="16" t="s">
        <v>244</v>
      </c>
      <c r="D9" s="16" t="s">
        <v>61</v>
      </c>
      <c r="E9" s="89">
        <v>66974</v>
      </c>
      <c r="F9" s="90">
        <v>1758.4</v>
      </c>
      <c r="G9" s="91">
        <v>5.33E-2</v>
      </c>
      <c r="H9" s="95"/>
    </row>
    <row r="10" spans="1:8">
      <c r="A10" s="27"/>
      <c r="B10" s="46" t="s">
        <v>228</v>
      </c>
      <c r="C10" s="16" t="s">
        <v>254</v>
      </c>
      <c r="D10" s="16" t="s">
        <v>255</v>
      </c>
      <c r="E10" s="89">
        <v>41676</v>
      </c>
      <c r="F10" s="90">
        <v>1067.05</v>
      </c>
      <c r="G10" s="91">
        <v>3.2399999999999998E-2</v>
      </c>
      <c r="H10" s="95"/>
    </row>
    <row r="11" spans="1:8" ht="24">
      <c r="A11" s="27"/>
      <c r="B11" s="46" t="s">
        <v>226</v>
      </c>
      <c r="C11" s="16" t="s">
        <v>251</v>
      </c>
      <c r="D11" s="16" t="s">
        <v>252</v>
      </c>
      <c r="E11" s="89">
        <v>12550</v>
      </c>
      <c r="F11" s="90">
        <v>1040.6600000000001</v>
      </c>
      <c r="G11" s="91">
        <v>3.1600000000000003E-2</v>
      </c>
      <c r="H11" s="95"/>
    </row>
    <row r="12" spans="1:8">
      <c r="A12" s="27"/>
      <c r="B12" s="46" t="s">
        <v>221</v>
      </c>
      <c r="C12" s="16" t="s">
        <v>245</v>
      </c>
      <c r="D12" s="16" t="s">
        <v>121</v>
      </c>
      <c r="E12" s="89">
        <v>4979</v>
      </c>
      <c r="F12" s="90">
        <v>981.09</v>
      </c>
      <c r="G12" s="91">
        <v>2.98E-2</v>
      </c>
      <c r="H12" s="95"/>
    </row>
    <row r="13" spans="1:8">
      <c r="A13" s="27"/>
      <c r="B13" s="46" t="s">
        <v>222</v>
      </c>
      <c r="C13" s="16" t="s">
        <v>246</v>
      </c>
      <c r="D13" s="16" t="s">
        <v>247</v>
      </c>
      <c r="E13" s="89">
        <v>39076</v>
      </c>
      <c r="F13" s="90">
        <v>910.88</v>
      </c>
      <c r="G13" s="91">
        <v>2.76E-2</v>
      </c>
      <c r="H13" s="95"/>
    </row>
    <row r="14" spans="1:8">
      <c r="A14" s="27"/>
      <c r="B14" s="46" t="s">
        <v>224</v>
      </c>
      <c r="C14" s="16" t="s">
        <v>249</v>
      </c>
      <c r="D14" s="16" t="s">
        <v>20</v>
      </c>
      <c r="E14" s="89">
        <v>56624</v>
      </c>
      <c r="F14" s="90">
        <v>808.56</v>
      </c>
      <c r="G14" s="91">
        <v>2.4500000000000001E-2</v>
      </c>
      <c r="H14" s="95"/>
    </row>
    <row r="15" spans="1:8">
      <c r="A15" s="27"/>
      <c r="B15" s="46" t="s">
        <v>238</v>
      </c>
      <c r="C15" s="16" t="s">
        <v>266</v>
      </c>
      <c r="D15" s="16" t="s">
        <v>41</v>
      </c>
      <c r="E15" s="89">
        <v>88510</v>
      </c>
      <c r="F15" s="90">
        <v>759.86</v>
      </c>
      <c r="G15" s="91">
        <v>2.3E-2</v>
      </c>
      <c r="H15" s="95"/>
    </row>
    <row r="16" spans="1:8">
      <c r="A16" s="27"/>
      <c r="B16" s="46" t="s">
        <v>223</v>
      </c>
      <c r="C16" s="16" t="s">
        <v>248</v>
      </c>
      <c r="D16" s="16" t="s">
        <v>35</v>
      </c>
      <c r="E16" s="89">
        <v>25598</v>
      </c>
      <c r="F16" s="90">
        <v>643.76</v>
      </c>
      <c r="G16" s="91">
        <v>1.95E-2</v>
      </c>
      <c r="H16" s="95"/>
    </row>
    <row r="17" spans="1:8">
      <c r="A17" s="27"/>
      <c r="B17" s="46" t="s">
        <v>227</v>
      </c>
      <c r="C17" s="16" t="s">
        <v>253</v>
      </c>
      <c r="D17" s="16" t="s">
        <v>134</v>
      </c>
      <c r="E17" s="89">
        <v>29480</v>
      </c>
      <c r="F17" s="90">
        <v>638.01</v>
      </c>
      <c r="G17" s="91">
        <v>1.9400000000000001E-2</v>
      </c>
      <c r="H17" s="95"/>
    </row>
    <row r="18" spans="1:8">
      <c r="A18" s="27"/>
      <c r="B18" s="46" t="s">
        <v>225</v>
      </c>
      <c r="C18" s="16" t="s">
        <v>250</v>
      </c>
      <c r="D18" s="16" t="s">
        <v>41</v>
      </c>
      <c r="E18" s="89">
        <v>36270</v>
      </c>
      <c r="F18" s="90">
        <v>628.5</v>
      </c>
      <c r="G18" s="91">
        <v>1.9099999999999999E-2</v>
      </c>
      <c r="H18" s="95"/>
    </row>
    <row r="19" spans="1:8" ht="24">
      <c r="A19" s="27"/>
      <c r="B19" s="46" t="s">
        <v>236</v>
      </c>
      <c r="C19" s="16" t="s">
        <v>263</v>
      </c>
      <c r="D19" s="16" t="s">
        <v>77</v>
      </c>
      <c r="E19" s="89">
        <v>60900</v>
      </c>
      <c r="F19" s="90">
        <v>548.4</v>
      </c>
      <c r="G19" s="91">
        <v>1.66E-2</v>
      </c>
      <c r="H19" s="95"/>
    </row>
    <row r="20" spans="1:8">
      <c r="A20" s="27"/>
      <c r="B20" s="46" t="s">
        <v>135</v>
      </c>
      <c r="C20" s="16" t="s">
        <v>136</v>
      </c>
      <c r="D20" s="16" t="s">
        <v>41</v>
      </c>
      <c r="E20" s="89">
        <v>31283</v>
      </c>
      <c r="F20" s="90">
        <v>503.52</v>
      </c>
      <c r="G20" s="91">
        <v>1.5299999999999999E-2</v>
      </c>
      <c r="H20" s="95"/>
    </row>
    <row r="21" spans="1:8" ht="24">
      <c r="A21" s="27"/>
      <c r="B21" s="46" t="s">
        <v>276</v>
      </c>
      <c r="C21" s="16" t="s">
        <v>279</v>
      </c>
      <c r="D21" s="16" t="s">
        <v>68</v>
      </c>
      <c r="E21" s="89">
        <v>6000</v>
      </c>
      <c r="F21" s="90">
        <v>457.33</v>
      </c>
      <c r="G21" s="91">
        <v>1.3899999999999999E-2</v>
      </c>
      <c r="H21" s="95"/>
    </row>
    <row r="22" spans="1:8">
      <c r="A22" s="27"/>
      <c r="B22" s="46" t="s">
        <v>199</v>
      </c>
      <c r="C22" s="16" t="s">
        <v>60</v>
      </c>
      <c r="D22" s="16" t="s">
        <v>61</v>
      </c>
      <c r="E22" s="89">
        <v>55696</v>
      </c>
      <c r="F22" s="90">
        <v>424.01</v>
      </c>
      <c r="G22" s="91">
        <v>1.29E-2</v>
      </c>
      <c r="H22" s="95"/>
    </row>
    <row r="23" spans="1:8" ht="24">
      <c r="A23" s="27"/>
      <c r="B23" s="46" t="s">
        <v>18</v>
      </c>
      <c r="C23" s="16" t="s">
        <v>19</v>
      </c>
      <c r="D23" s="16" t="s">
        <v>20</v>
      </c>
      <c r="E23" s="89">
        <v>7952</v>
      </c>
      <c r="F23" s="90">
        <v>366.55</v>
      </c>
      <c r="G23" s="91">
        <v>1.11E-2</v>
      </c>
      <c r="H23" s="95"/>
    </row>
    <row r="24" spans="1:8" ht="24">
      <c r="A24" s="27"/>
      <c r="B24" s="46" t="s">
        <v>231</v>
      </c>
      <c r="C24" s="16" t="s">
        <v>258</v>
      </c>
      <c r="D24" s="16" t="s">
        <v>20</v>
      </c>
      <c r="E24" s="89">
        <v>11042</v>
      </c>
      <c r="F24" s="90">
        <v>354</v>
      </c>
      <c r="G24" s="91">
        <v>1.0699999999999999E-2</v>
      </c>
      <c r="H24" s="95"/>
    </row>
    <row r="25" spans="1:8">
      <c r="A25" s="27"/>
      <c r="B25" s="46" t="s">
        <v>110</v>
      </c>
      <c r="C25" s="16" t="s">
        <v>111</v>
      </c>
      <c r="D25" s="16" t="s">
        <v>41</v>
      </c>
      <c r="E25" s="89">
        <v>67583</v>
      </c>
      <c r="F25" s="90">
        <v>353.97</v>
      </c>
      <c r="G25" s="91">
        <v>1.0699999999999999E-2</v>
      </c>
      <c r="H25" s="95"/>
    </row>
    <row r="26" spans="1:8" ht="24">
      <c r="A26" s="27"/>
      <c r="B26" s="46" t="s">
        <v>194</v>
      </c>
      <c r="C26" s="16" t="s">
        <v>206</v>
      </c>
      <c r="D26" s="16" t="s">
        <v>207</v>
      </c>
      <c r="E26" s="89">
        <v>22135</v>
      </c>
      <c r="F26" s="90">
        <v>307.01</v>
      </c>
      <c r="G26" s="91">
        <v>9.2999999999999992E-3</v>
      </c>
      <c r="H26" s="95"/>
    </row>
    <row r="27" spans="1:8">
      <c r="A27" s="27"/>
      <c r="B27" s="46" t="s">
        <v>230</v>
      </c>
      <c r="C27" s="16" t="s">
        <v>257</v>
      </c>
      <c r="D27" s="16" t="s">
        <v>252</v>
      </c>
      <c r="E27" s="89">
        <v>10091</v>
      </c>
      <c r="F27" s="90">
        <v>297.57</v>
      </c>
      <c r="G27" s="91">
        <v>8.9999999999999993E-3</v>
      </c>
      <c r="H27" s="95"/>
    </row>
    <row r="28" spans="1:8" ht="24">
      <c r="A28" s="27"/>
      <c r="B28" s="46" t="s">
        <v>30</v>
      </c>
      <c r="C28" s="16" t="s">
        <v>31</v>
      </c>
      <c r="D28" s="16" t="s">
        <v>20</v>
      </c>
      <c r="E28" s="89">
        <v>7704</v>
      </c>
      <c r="F28" s="90">
        <v>293.83999999999997</v>
      </c>
      <c r="G28" s="91">
        <v>8.8999999999999999E-3</v>
      </c>
      <c r="H28" s="95"/>
    </row>
    <row r="29" spans="1:8">
      <c r="A29" s="27"/>
      <c r="B29" s="46" t="s">
        <v>232</v>
      </c>
      <c r="C29" s="16" t="s">
        <v>259</v>
      </c>
      <c r="D29" s="16" t="s">
        <v>61</v>
      </c>
      <c r="E29" s="89">
        <v>5034</v>
      </c>
      <c r="F29" s="90">
        <v>282.75</v>
      </c>
      <c r="G29" s="91">
        <v>8.6E-3</v>
      </c>
      <c r="H29" s="95"/>
    </row>
    <row r="30" spans="1:8">
      <c r="A30" s="27"/>
      <c r="B30" s="46" t="s">
        <v>229</v>
      </c>
      <c r="C30" s="16" t="s">
        <v>256</v>
      </c>
      <c r="D30" s="16" t="s">
        <v>35</v>
      </c>
      <c r="E30" s="89">
        <v>9749</v>
      </c>
      <c r="F30" s="90">
        <v>269.23</v>
      </c>
      <c r="G30" s="91">
        <v>8.2000000000000007E-3</v>
      </c>
      <c r="H30" s="95"/>
    </row>
    <row r="31" spans="1:8">
      <c r="A31" s="27"/>
      <c r="B31" s="46" t="s">
        <v>79</v>
      </c>
      <c r="C31" s="16" t="s">
        <v>80</v>
      </c>
      <c r="D31" s="16" t="s">
        <v>28</v>
      </c>
      <c r="E31" s="89">
        <v>18072</v>
      </c>
      <c r="F31" s="90">
        <v>248.48</v>
      </c>
      <c r="G31" s="91">
        <v>7.4999999999999997E-3</v>
      </c>
      <c r="H31" s="95"/>
    </row>
    <row r="32" spans="1:8">
      <c r="A32" s="27"/>
      <c r="B32" s="46" t="s">
        <v>47</v>
      </c>
      <c r="C32" s="16" t="s">
        <v>48</v>
      </c>
      <c r="D32" s="16" t="s">
        <v>49</v>
      </c>
      <c r="E32" s="89">
        <v>80960</v>
      </c>
      <c r="F32" s="90">
        <v>242.92</v>
      </c>
      <c r="G32" s="91">
        <v>7.4000000000000003E-3</v>
      </c>
      <c r="H32" s="95"/>
    </row>
    <row r="33" spans="1:8" ht="24">
      <c r="A33" s="27"/>
      <c r="B33" s="46" t="s">
        <v>22</v>
      </c>
      <c r="C33" s="16" t="s">
        <v>23</v>
      </c>
      <c r="D33" s="16" t="s">
        <v>24</v>
      </c>
      <c r="E33" s="89">
        <v>5231</v>
      </c>
      <c r="F33" s="90">
        <v>223.4</v>
      </c>
      <c r="G33" s="91">
        <v>6.7999999999999996E-3</v>
      </c>
      <c r="H33" s="95"/>
    </row>
    <row r="34" spans="1:8">
      <c r="A34" s="27"/>
      <c r="B34" s="46" t="s">
        <v>235</v>
      </c>
      <c r="C34" s="16" t="s">
        <v>262</v>
      </c>
      <c r="D34" s="16" t="s">
        <v>126</v>
      </c>
      <c r="E34" s="89">
        <v>225552</v>
      </c>
      <c r="F34" s="90">
        <v>220.03</v>
      </c>
      <c r="G34" s="91">
        <v>6.7000000000000002E-3</v>
      </c>
      <c r="H34" s="95"/>
    </row>
    <row r="35" spans="1:8">
      <c r="A35" s="27"/>
      <c r="B35" s="46" t="s">
        <v>129</v>
      </c>
      <c r="C35" s="16" t="s">
        <v>130</v>
      </c>
      <c r="D35" s="16" t="s">
        <v>131</v>
      </c>
      <c r="E35" s="89">
        <v>53438</v>
      </c>
      <c r="F35" s="90">
        <v>216.61</v>
      </c>
      <c r="G35" s="91">
        <v>6.6E-3</v>
      </c>
      <c r="H35" s="95"/>
    </row>
    <row r="36" spans="1:8" ht="24">
      <c r="A36" s="27"/>
      <c r="B36" s="46" t="s">
        <v>237</v>
      </c>
      <c r="C36" s="16" t="s">
        <v>264</v>
      </c>
      <c r="D36" s="16" t="s">
        <v>265</v>
      </c>
      <c r="E36" s="89">
        <v>95485</v>
      </c>
      <c r="F36" s="90">
        <v>215.51</v>
      </c>
      <c r="G36" s="91">
        <v>6.4999999999999997E-3</v>
      </c>
      <c r="H36" s="95"/>
    </row>
    <row r="37" spans="1:8" ht="24">
      <c r="A37" s="27"/>
      <c r="B37" s="46" t="s">
        <v>100</v>
      </c>
      <c r="C37" s="16" t="s">
        <v>101</v>
      </c>
      <c r="D37" s="16" t="s">
        <v>61</v>
      </c>
      <c r="E37" s="89">
        <v>42532</v>
      </c>
      <c r="F37" s="90">
        <v>207.6</v>
      </c>
      <c r="G37" s="91">
        <v>6.3E-3</v>
      </c>
      <c r="H37" s="95"/>
    </row>
    <row r="38" spans="1:8">
      <c r="A38" s="27"/>
      <c r="B38" s="46" t="s">
        <v>242</v>
      </c>
      <c r="C38" s="16" t="s">
        <v>270</v>
      </c>
      <c r="D38" s="16" t="s">
        <v>271</v>
      </c>
      <c r="E38" s="89">
        <v>180077</v>
      </c>
      <c r="F38" s="90">
        <v>188.18</v>
      </c>
      <c r="G38" s="91">
        <v>5.7000000000000002E-3</v>
      </c>
      <c r="H38" s="95"/>
    </row>
    <row r="39" spans="1:8" ht="24">
      <c r="A39" s="27"/>
      <c r="B39" s="46" t="s">
        <v>14</v>
      </c>
      <c r="C39" s="16" t="s">
        <v>15</v>
      </c>
      <c r="D39" s="16" t="s">
        <v>16</v>
      </c>
      <c r="E39" s="89">
        <v>496</v>
      </c>
      <c r="F39" s="90">
        <v>188</v>
      </c>
      <c r="G39" s="91">
        <v>5.7000000000000002E-3</v>
      </c>
      <c r="H39" s="95"/>
    </row>
    <row r="40" spans="1:8" ht="24">
      <c r="A40" s="27"/>
      <c r="B40" s="46" t="s">
        <v>197</v>
      </c>
      <c r="C40" s="16" t="s">
        <v>210</v>
      </c>
      <c r="D40" s="16" t="s">
        <v>73</v>
      </c>
      <c r="E40" s="89">
        <v>33391</v>
      </c>
      <c r="F40" s="90">
        <v>175.95</v>
      </c>
      <c r="G40" s="91">
        <v>5.3E-3</v>
      </c>
      <c r="H40" s="95"/>
    </row>
    <row r="41" spans="1:8">
      <c r="A41" s="27"/>
      <c r="B41" s="46" t="s">
        <v>277</v>
      </c>
      <c r="C41" s="16" t="s">
        <v>280</v>
      </c>
      <c r="D41" s="16" t="s">
        <v>49</v>
      </c>
      <c r="E41" s="89">
        <v>5060</v>
      </c>
      <c r="F41" s="90">
        <v>170.28</v>
      </c>
      <c r="G41" s="91">
        <v>5.1999999999999998E-3</v>
      </c>
      <c r="H41" s="95"/>
    </row>
    <row r="42" spans="1:8" ht="24">
      <c r="A42" s="27"/>
      <c r="B42" s="46" t="s">
        <v>198</v>
      </c>
      <c r="C42" s="16" t="s">
        <v>211</v>
      </c>
      <c r="D42" s="16" t="s">
        <v>73</v>
      </c>
      <c r="E42" s="89">
        <v>23084</v>
      </c>
      <c r="F42" s="90">
        <v>168.63</v>
      </c>
      <c r="G42" s="91">
        <v>5.1000000000000004E-3</v>
      </c>
      <c r="H42" s="95"/>
    </row>
    <row r="43" spans="1:8">
      <c r="A43" s="27"/>
      <c r="B43" s="46" t="s">
        <v>97</v>
      </c>
      <c r="C43" s="16" t="s">
        <v>98</v>
      </c>
      <c r="D43" s="16" t="s">
        <v>35</v>
      </c>
      <c r="E43" s="89">
        <v>49979</v>
      </c>
      <c r="F43" s="90">
        <v>166.58</v>
      </c>
      <c r="G43" s="91">
        <v>5.1000000000000004E-3</v>
      </c>
      <c r="H43" s="95"/>
    </row>
    <row r="44" spans="1:8">
      <c r="A44" s="27"/>
      <c r="B44" s="46" t="s">
        <v>234</v>
      </c>
      <c r="C44" s="16" t="s">
        <v>261</v>
      </c>
      <c r="D44" s="16" t="s">
        <v>20</v>
      </c>
      <c r="E44" s="89">
        <v>3439</v>
      </c>
      <c r="F44" s="90">
        <v>163.68</v>
      </c>
      <c r="G44" s="91">
        <v>5.0000000000000001E-3</v>
      </c>
      <c r="H44" s="95"/>
    </row>
    <row r="45" spans="1:8" ht="24">
      <c r="A45" s="27"/>
      <c r="B45" s="46" t="s">
        <v>233</v>
      </c>
      <c r="C45" s="16" t="s">
        <v>260</v>
      </c>
      <c r="D45" s="16" t="s">
        <v>77</v>
      </c>
      <c r="E45" s="89">
        <v>8147</v>
      </c>
      <c r="F45" s="90">
        <v>161.01</v>
      </c>
      <c r="G45" s="91">
        <v>4.8999999999999998E-3</v>
      </c>
      <c r="H45" s="95"/>
    </row>
    <row r="46" spans="1:8">
      <c r="A46" s="27"/>
      <c r="B46" s="46" t="s">
        <v>240</v>
      </c>
      <c r="C46" s="16" t="s">
        <v>268</v>
      </c>
      <c r="D46" s="16" t="s">
        <v>61</v>
      </c>
      <c r="E46" s="89">
        <v>11501</v>
      </c>
      <c r="F46" s="90">
        <v>145.66</v>
      </c>
      <c r="G46" s="91">
        <v>4.4000000000000003E-3</v>
      </c>
      <c r="H46" s="95"/>
    </row>
    <row r="47" spans="1:8" ht="24">
      <c r="A47" s="27"/>
      <c r="B47" s="46" t="s">
        <v>87</v>
      </c>
      <c r="C47" s="16" t="s">
        <v>88</v>
      </c>
      <c r="D47" s="16" t="s">
        <v>77</v>
      </c>
      <c r="E47" s="89">
        <v>11857</v>
      </c>
      <c r="F47" s="90">
        <v>143.33000000000001</v>
      </c>
      <c r="G47" s="91">
        <v>4.3E-3</v>
      </c>
      <c r="H47" s="95"/>
    </row>
    <row r="48" spans="1:8">
      <c r="A48" s="27"/>
      <c r="B48" s="46" t="s">
        <v>57</v>
      </c>
      <c r="C48" s="16" t="s">
        <v>58</v>
      </c>
      <c r="D48" s="16" t="s">
        <v>49</v>
      </c>
      <c r="E48" s="89">
        <v>6178</v>
      </c>
      <c r="F48" s="90">
        <v>141.63999999999999</v>
      </c>
      <c r="G48" s="91">
        <v>4.3E-3</v>
      </c>
      <c r="H48" s="95"/>
    </row>
    <row r="49" spans="1:8">
      <c r="A49" s="27"/>
      <c r="B49" s="46" t="s">
        <v>63</v>
      </c>
      <c r="C49" s="16" t="s">
        <v>64</v>
      </c>
      <c r="D49" s="16" t="s">
        <v>51</v>
      </c>
      <c r="E49" s="89">
        <v>10487</v>
      </c>
      <c r="F49" s="90">
        <v>140.21</v>
      </c>
      <c r="G49" s="91">
        <v>4.3E-3</v>
      </c>
      <c r="H49" s="95"/>
    </row>
    <row r="50" spans="1:8">
      <c r="A50" s="27"/>
      <c r="B50" s="46" t="s">
        <v>124</v>
      </c>
      <c r="C50" s="16" t="s">
        <v>125</v>
      </c>
      <c r="D50" s="16" t="s">
        <v>126</v>
      </c>
      <c r="E50" s="89">
        <v>10084</v>
      </c>
      <c r="F50" s="90">
        <v>138.72999999999999</v>
      </c>
      <c r="G50" s="91">
        <v>4.1999999999999997E-3</v>
      </c>
      <c r="H50" s="95"/>
    </row>
    <row r="51" spans="1:8" ht="24">
      <c r="A51" s="27"/>
      <c r="B51" s="46" t="s">
        <v>112</v>
      </c>
      <c r="C51" s="16" t="s">
        <v>113</v>
      </c>
      <c r="D51" s="16" t="s">
        <v>103</v>
      </c>
      <c r="E51" s="89">
        <v>7092</v>
      </c>
      <c r="F51" s="90">
        <v>138.4</v>
      </c>
      <c r="G51" s="91">
        <v>4.1999999999999997E-3</v>
      </c>
      <c r="H51" s="95"/>
    </row>
    <row r="52" spans="1:8" ht="24">
      <c r="A52" s="27" t="s">
        <v>21</v>
      </c>
      <c r="B52" s="46" t="s">
        <v>75</v>
      </c>
      <c r="C52" s="16" t="s">
        <v>76</v>
      </c>
      <c r="D52" s="16" t="s">
        <v>77</v>
      </c>
      <c r="E52" s="89">
        <v>623</v>
      </c>
      <c r="F52" s="90">
        <v>137.46</v>
      </c>
      <c r="G52" s="91">
        <v>4.1999999999999997E-3</v>
      </c>
      <c r="H52" s="95"/>
    </row>
    <row r="53" spans="1:8">
      <c r="A53" s="27" t="s">
        <v>25</v>
      </c>
      <c r="B53" s="46" t="s">
        <v>83</v>
      </c>
      <c r="C53" s="16" t="s">
        <v>84</v>
      </c>
      <c r="D53" s="16" t="s">
        <v>51</v>
      </c>
      <c r="E53" s="89">
        <v>7233</v>
      </c>
      <c r="F53" s="90">
        <v>135.86000000000001</v>
      </c>
      <c r="G53" s="91">
        <v>4.1000000000000003E-3</v>
      </c>
      <c r="H53" s="95"/>
    </row>
    <row r="54" spans="1:8">
      <c r="A54" s="27" t="s">
        <v>29</v>
      </c>
      <c r="B54" s="46" t="s">
        <v>26</v>
      </c>
      <c r="C54" s="16" t="s">
        <v>27</v>
      </c>
      <c r="D54" s="16" t="s">
        <v>28</v>
      </c>
      <c r="E54" s="89">
        <v>11835</v>
      </c>
      <c r="F54" s="90">
        <v>134.82</v>
      </c>
      <c r="G54" s="91">
        <v>4.1000000000000003E-3</v>
      </c>
      <c r="H54" s="95"/>
    </row>
    <row r="55" spans="1:8" ht="24">
      <c r="A55" s="27" t="s">
        <v>32</v>
      </c>
      <c r="B55" s="46" t="s">
        <v>71</v>
      </c>
      <c r="C55" s="16" t="s">
        <v>72</v>
      </c>
      <c r="D55" s="16" t="s">
        <v>73</v>
      </c>
      <c r="E55" s="89">
        <v>22440</v>
      </c>
      <c r="F55" s="90">
        <v>133.41</v>
      </c>
      <c r="G55" s="91">
        <v>4.0000000000000001E-3</v>
      </c>
      <c r="H55" s="95"/>
    </row>
    <row r="56" spans="1:8">
      <c r="A56" s="27" t="s">
        <v>36</v>
      </c>
      <c r="B56" s="46" t="s">
        <v>193</v>
      </c>
      <c r="C56" s="16" t="s">
        <v>205</v>
      </c>
      <c r="D56" s="16" t="s">
        <v>61</v>
      </c>
      <c r="E56" s="89">
        <v>30754</v>
      </c>
      <c r="F56" s="90">
        <v>132.46</v>
      </c>
      <c r="G56" s="91">
        <v>4.0000000000000001E-3</v>
      </c>
      <c r="H56" s="95"/>
    </row>
    <row r="57" spans="1:8" ht="24">
      <c r="A57" s="27" t="s">
        <v>40</v>
      </c>
      <c r="B57" s="46" t="s">
        <v>117</v>
      </c>
      <c r="C57" s="16" t="s">
        <v>118</v>
      </c>
      <c r="D57" s="16" t="s">
        <v>35</v>
      </c>
      <c r="E57" s="89">
        <v>6376</v>
      </c>
      <c r="F57" s="90">
        <v>130.57</v>
      </c>
      <c r="G57" s="91">
        <v>4.0000000000000001E-3</v>
      </c>
      <c r="H57" s="95"/>
    </row>
    <row r="58" spans="1:8">
      <c r="A58" s="27" t="s">
        <v>42</v>
      </c>
      <c r="B58" s="46" t="s">
        <v>43</v>
      </c>
      <c r="C58" s="16" t="s">
        <v>44</v>
      </c>
      <c r="D58" s="16" t="s">
        <v>45</v>
      </c>
      <c r="E58" s="89">
        <v>971</v>
      </c>
      <c r="F58" s="90">
        <v>129.53</v>
      </c>
      <c r="G58" s="91">
        <v>3.8999999999999998E-3</v>
      </c>
      <c r="H58" s="95"/>
    </row>
    <row r="59" spans="1:8">
      <c r="A59" s="27" t="s">
        <v>46</v>
      </c>
      <c r="B59" s="46" t="s">
        <v>94</v>
      </c>
      <c r="C59" s="16" t="s">
        <v>95</v>
      </c>
      <c r="D59" s="16" t="s">
        <v>16</v>
      </c>
      <c r="E59" s="89">
        <v>4341</v>
      </c>
      <c r="F59" s="90">
        <v>126.33</v>
      </c>
      <c r="G59" s="91">
        <v>3.8E-3</v>
      </c>
      <c r="H59" s="95"/>
    </row>
    <row r="60" spans="1:8" ht="24">
      <c r="A60" s="27" t="s">
        <v>50</v>
      </c>
      <c r="B60" s="46" t="s">
        <v>241</v>
      </c>
      <c r="C60" s="16" t="s">
        <v>269</v>
      </c>
      <c r="D60" s="16" t="s">
        <v>61</v>
      </c>
      <c r="E60" s="89">
        <v>12888</v>
      </c>
      <c r="F60" s="90">
        <v>126.3</v>
      </c>
      <c r="G60" s="91">
        <v>3.8E-3</v>
      </c>
      <c r="H60" s="95"/>
    </row>
    <row r="61" spans="1:8" ht="24">
      <c r="A61" s="27" t="s">
        <v>52</v>
      </c>
      <c r="B61" s="46" t="s">
        <v>200</v>
      </c>
      <c r="C61" s="16" t="s">
        <v>212</v>
      </c>
      <c r="D61" s="16" t="s">
        <v>28</v>
      </c>
      <c r="E61" s="89">
        <v>189836</v>
      </c>
      <c r="F61" s="90">
        <v>125.77</v>
      </c>
      <c r="G61" s="91">
        <v>3.8E-3</v>
      </c>
      <c r="H61" s="95"/>
    </row>
    <row r="62" spans="1:8">
      <c r="A62" s="27" t="s">
        <v>56</v>
      </c>
      <c r="B62" s="46" t="s">
        <v>192</v>
      </c>
      <c r="C62" s="16" t="s">
        <v>204</v>
      </c>
      <c r="D62" s="16" t="s">
        <v>109</v>
      </c>
      <c r="E62" s="89">
        <v>12693</v>
      </c>
      <c r="F62" s="90">
        <v>122.21</v>
      </c>
      <c r="G62" s="91">
        <v>3.7000000000000002E-3</v>
      </c>
      <c r="H62" s="95"/>
    </row>
    <row r="63" spans="1:8" ht="24">
      <c r="A63" s="27" t="s">
        <v>59</v>
      </c>
      <c r="B63" s="46" t="s">
        <v>195</v>
      </c>
      <c r="C63" s="16" t="s">
        <v>208</v>
      </c>
      <c r="D63" s="16" t="s">
        <v>77</v>
      </c>
      <c r="E63" s="89">
        <v>14965</v>
      </c>
      <c r="F63" s="90">
        <v>121.27</v>
      </c>
      <c r="G63" s="91">
        <v>3.7000000000000002E-3</v>
      </c>
      <c r="H63" s="95"/>
    </row>
    <row r="64" spans="1:8" ht="24">
      <c r="A64" s="27" t="s">
        <v>62</v>
      </c>
      <c r="B64" s="46" t="s">
        <v>203</v>
      </c>
      <c r="C64" s="16" t="s">
        <v>215</v>
      </c>
      <c r="D64" s="16" t="s">
        <v>35</v>
      </c>
      <c r="E64" s="89">
        <v>34461</v>
      </c>
      <c r="F64" s="90">
        <v>117</v>
      </c>
      <c r="G64" s="91">
        <v>3.5000000000000001E-3</v>
      </c>
      <c r="H64" s="95"/>
    </row>
    <row r="65" spans="1:8" ht="24">
      <c r="A65" s="27" t="s">
        <v>65</v>
      </c>
      <c r="B65" s="46" t="s">
        <v>137</v>
      </c>
      <c r="C65" s="16" t="s">
        <v>138</v>
      </c>
      <c r="D65" s="16" t="s">
        <v>139</v>
      </c>
      <c r="E65" s="89">
        <v>12141</v>
      </c>
      <c r="F65" s="90">
        <v>115.66</v>
      </c>
      <c r="G65" s="91">
        <v>3.5000000000000001E-3</v>
      </c>
      <c r="H65" s="95"/>
    </row>
    <row r="66" spans="1:8" ht="24">
      <c r="A66" s="27" t="s">
        <v>69</v>
      </c>
      <c r="B66" s="46" t="s">
        <v>53</v>
      </c>
      <c r="C66" s="16" t="s">
        <v>54</v>
      </c>
      <c r="D66" s="16" t="s">
        <v>55</v>
      </c>
      <c r="E66" s="89">
        <v>27117</v>
      </c>
      <c r="F66" s="90">
        <v>115.55</v>
      </c>
      <c r="G66" s="91">
        <v>3.5000000000000001E-3</v>
      </c>
      <c r="H66" s="95"/>
    </row>
    <row r="67" spans="1:8">
      <c r="A67" s="27" t="s">
        <v>70</v>
      </c>
      <c r="B67" s="46" t="s">
        <v>201</v>
      </c>
      <c r="C67" s="16" t="s">
        <v>213</v>
      </c>
      <c r="D67" s="16" t="s">
        <v>35</v>
      </c>
      <c r="E67" s="89">
        <v>8103</v>
      </c>
      <c r="F67" s="90">
        <v>111.75</v>
      </c>
      <c r="G67" s="91">
        <v>3.3999999999999998E-3</v>
      </c>
      <c r="H67" s="95"/>
    </row>
    <row r="68" spans="1:8" ht="24">
      <c r="A68" s="27" t="s">
        <v>74</v>
      </c>
      <c r="B68" s="46" t="s">
        <v>122</v>
      </c>
      <c r="C68" s="16" t="s">
        <v>123</v>
      </c>
      <c r="D68" s="16" t="s">
        <v>51</v>
      </c>
      <c r="E68" s="89">
        <v>17217</v>
      </c>
      <c r="F68" s="90">
        <v>108.52</v>
      </c>
      <c r="G68" s="91">
        <v>3.3E-3</v>
      </c>
      <c r="H68" s="95"/>
    </row>
    <row r="69" spans="1:8">
      <c r="A69" s="27" t="s">
        <v>78</v>
      </c>
      <c r="B69" s="46" t="s">
        <v>132</v>
      </c>
      <c r="C69" s="16" t="s">
        <v>133</v>
      </c>
      <c r="D69" s="16" t="s">
        <v>134</v>
      </c>
      <c r="E69" s="89">
        <v>42614</v>
      </c>
      <c r="F69" s="90">
        <v>108.11</v>
      </c>
      <c r="G69" s="91">
        <v>3.3E-3</v>
      </c>
      <c r="H69" s="95"/>
    </row>
    <row r="70" spans="1:8" ht="24">
      <c r="A70" s="27" t="s">
        <v>81</v>
      </c>
      <c r="B70" s="34" t="s">
        <v>196</v>
      </c>
      <c r="C70" s="16" t="s">
        <v>209</v>
      </c>
      <c r="D70" s="16" t="s">
        <v>121</v>
      </c>
      <c r="E70" s="89">
        <v>29521</v>
      </c>
      <c r="F70" s="90">
        <v>107.04</v>
      </c>
      <c r="G70" s="91">
        <v>3.2000000000000002E-3</v>
      </c>
      <c r="H70" s="95"/>
    </row>
    <row r="71" spans="1:8">
      <c r="A71" s="27" t="s">
        <v>82</v>
      </c>
      <c r="B71" s="34" t="s">
        <v>90</v>
      </c>
      <c r="C71" s="16" t="s">
        <v>91</v>
      </c>
      <c r="D71" s="16" t="s">
        <v>92</v>
      </c>
      <c r="E71" s="89">
        <v>32262</v>
      </c>
      <c r="F71" s="90">
        <v>106.84</v>
      </c>
      <c r="G71" s="91">
        <v>3.2000000000000002E-3</v>
      </c>
      <c r="H71" s="95"/>
    </row>
    <row r="72" spans="1:8" ht="24">
      <c r="A72" s="27" t="s">
        <v>85</v>
      </c>
      <c r="B72" s="34" t="s">
        <v>114</v>
      </c>
      <c r="C72" s="16" t="s">
        <v>115</v>
      </c>
      <c r="D72" s="16" t="s">
        <v>116</v>
      </c>
      <c r="E72" s="89">
        <v>23014</v>
      </c>
      <c r="F72" s="90">
        <v>105.77</v>
      </c>
      <c r="G72" s="91">
        <v>3.2000000000000002E-3</v>
      </c>
      <c r="H72" s="95"/>
    </row>
    <row r="73" spans="1:8" ht="24">
      <c r="A73" s="27" t="s">
        <v>86</v>
      </c>
      <c r="B73" s="34" t="s">
        <v>239</v>
      </c>
      <c r="C73" s="16" t="s">
        <v>267</v>
      </c>
      <c r="D73" s="16" t="s">
        <v>28</v>
      </c>
      <c r="E73" s="89">
        <v>2076</v>
      </c>
      <c r="F73" s="90">
        <v>104.21</v>
      </c>
      <c r="G73" s="91">
        <v>3.2000000000000002E-3</v>
      </c>
      <c r="H73" s="95"/>
    </row>
    <row r="74" spans="1:8" ht="24">
      <c r="A74" s="27" t="s">
        <v>89</v>
      </c>
      <c r="B74" s="34" t="s">
        <v>243</v>
      </c>
      <c r="C74" s="16" t="s">
        <v>272</v>
      </c>
      <c r="D74" s="16" t="s">
        <v>61</v>
      </c>
      <c r="E74" s="89">
        <v>18582</v>
      </c>
      <c r="F74" s="90">
        <v>100.45</v>
      </c>
      <c r="G74" s="91">
        <v>3.0000000000000001E-3</v>
      </c>
      <c r="H74" s="95"/>
    </row>
    <row r="75" spans="1:8">
      <c r="A75" s="27" t="s">
        <v>93</v>
      </c>
      <c r="B75" s="34" t="s">
        <v>66</v>
      </c>
      <c r="C75" s="16" t="s">
        <v>67</v>
      </c>
      <c r="D75" s="16" t="s">
        <v>68</v>
      </c>
      <c r="E75" s="89">
        <v>27200</v>
      </c>
      <c r="F75" s="90">
        <v>99.43</v>
      </c>
      <c r="G75" s="91">
        <v>3.0000000000000001E-3</v>
      </c>
      <c r="H75" s="95"/>
    </row>
    <row r="76" spans="1:8">
      <c r="A76" s="27" t="s">
        <v>96</v>
      </c>
      <c r="B76" s="34" t="s">
        <v>127</v>
      </c>
      <c r="C76" s="16" t="s">
        <v>128</v>
      </c>
      <c r="D76" s="16" t="s">
        <v>28</v>
      </c>
      <c r="E76" s="89">
        <v>2592</v>
      </c>
      <c r="F76" s="90">
        <v>96.51</v>
      </c>
      <c r="G76" s="91">
        <v>2.8999999999999998E-3</v>
      </c>
      <c r="H76" s="95"/>
    </row>
    <row r="77" spans="1:8" ht="24">
      <c r="A77" s="27" t="s">
        <v>99</v>
      </c>
      <c r="B77" s="34" t="s">
        <v>278</v>
      </c>
      <c r="C77" s="16" t="s">
        <v>281</v>
      </c>
      <c r="D77" s="16" t="s">
        <v>77</v>
      </c>
      <c r="E77" s="89">
        <v>9800</v>
      </c>
      <c r="F77" s="90">
        <v>96.34</v>
      </c>
      <c r="G77" s="91">
        <v>2.8999999999999998E-3</v>
      </c>
      <c r="H77" s="95"/>
    </row>
    <row r="78" spans="1:8" ht="24">
      <c r="A78" s="27" t="s">
        <v>102</v>
      </c>
      <c r="B78" s="34" t="s">
        <v>33</v>
      </c>
      <c r="C78" s="16" t="s">
        <v>34</v>
      </c>
      <c r="D78" s="16" t="s">
        <v>35</v>
      </c>
      <c r="E78" s="89">
        <v>3009</v>
      </c>
      <c r="F78" s="90">
        <v>86.1</v>
      </c>
      <c r="G78" s="91">
        <v>2.5999999999999999E-3</v>
      </c>
      <c r="H78" s="95"/>
    </row>
    <row r="79" spans="1:8" ht="24">
      <c r="A79" s="27" t="s">
        <v>104</v>
      </c>
      <c r="B79" s="34" t="s">
        <v>202</v>
      </c>
      <c r="C79" s="16" t="s">
        <v>214</v>
      </c>
      <c r="D79" s="16" t="s">
        <v>16</v>
      </c>
      <c r="E79" s="89">
        <v>23365</v>
      </c>
      <c r="F79" s="90">
        <v>83.18</v>
      </c>
      <c r="G79" s="91">
        <v>2.5000000000000001E-3</v>
      </c>
      <c r="H79" s="95"/>
    </row>
    <row r="80" spans="1:8" ht="24">
      <c r="A80" s="27" t="s">
        <v>105</v>
      </c>
      <c r="B80" s="34" t="s">
        <v>37</v>
      </c>
      <c r="C80" s="16" t="s">
        <v>38</v>
      </c>
      <c r="D80" s="16" t="s">
        <v>39</v>
      </c>
      <c r="E80" s="89">
        <v>5791</v>
      </c>
      <c r="F80" s="90">
        <v>75.34</v>
      </c>
      <c r="G80" s="91">
        <v>2.3E-3</v>
      </c>
      <c r="H80" s="95"/>
    </row>
    <row r="81" spans="1:8">
      <c r="A81" s="27" t="s">
        <v>106</v>
      </c>
      <c r="B81" s="34" t="s">
        <v>107</v>
      </c>
      <c r="C81" s="16" t="s">
        <v>108</v>
      </c>
      <c r="D81" s="16" t="s">
        <v>109</v>
      </c>
      <c r="E81" s="89">
        <v>167</v>
      </c>
      <c r="F81" s="90">
        <v>60.76</v>
      </c>
      <c r="G81" s="91">
        <v>1.8E-3</v>
      </c>
      <c r="H81" s="95"/>
    </row>
    <row r="82" spans="1:8">
      <c r="A82" s="15"/>
      <c r="B82" s="33" t="s">
        <v>6</v>
      </c>
      <c r="C82" s="16"/>
      <c r="D82" s="16"/>
      <c r="E82" s="20"/>
      <c r="F82" s="31">
        <f>SUM(F8:F81)</f>
        <v>22693.789999999994</v>
      </c>
      <c r="G82" s="30">
        <f>SUM(G8:G81)</f>
        <v>0.68809999999999971</v>
      </c>
      <c r="H82" s="47"/>
    </row>
    <row r="83" spans="1:8">
      <c r="A83" s="29"/>
      <c r="B83" s="36" t="s">
        <v>140</v>
      </c>
      <c r="C83" s="18"/>
      <c r="D83" s="18"/>
      <c r="E83" s="21"/>
      <c r="F83" s="92" t="s">
        <v>216</v>
      </c>
      <c r="G83" s="92" t="s">
        <v>216</v>
      </c>
      <c r="H83" s="35"/>
    </row>
    <row r="84" spans="1:8">
      <c r="A84" s="29"/>
      <c r="B84" s="36" t="s">
        <v>6</v>
      </c>
      <c r="C84" s="19"/>
      <c r="D84" s="18"/>
      <c r="E84" s="22"/>
      <c r="F84" s="31" t="s">
        <v>216</v>
      </c>
      <c r="G84" s="30" t="s">
        <v>216</v>
      </c>
      <c r="H84" s="35"/>
    </row>
    <row r="85" spans="1:8">
      <c r="A85" s="14"/>
      <c r="B85" s="37" t="s">
        <v>7</v>
      </c>
      <c r="C85" s="2"/>
      <c r="D85" s="2"/>
      <c r="E85" s="23"/>
      <c r="F85" s="70">
        <f>+F82</f>
        <v>22693.789999999994</v>
      </c>
      <c r="G85" s="71">
        <f>+G82</f>
        <v>0.68809999999999971</v>
      </c>
      <c r="H85" s="72"/>
    </row>
    <row r="86" spans="1:8">
      <c r="A86" s="14"/>
      <c r="B86" s="33" t="s">
        <v>282</v>
      </c>
      <c r="C86" s="16"/>
      <c r="D86" s="16"/>
      <c r="E86" s="16"/>
      <c r="F86" s="16"/>
      <c r="G86" s="16"/>
      <c r="H86" s="101"/>
    </row>
    <row r="87" spans="1:8">
      <c r="A87" s="14"/>
      <c r="B87" s="33" t="s">
        <v>283</v>
      </c>
      <c r="C87" s="16"/>
      <c r="D87" s="16"/>
      <c r="E87" s="16"/>
      <c r="F87" s="15"/>
      <c r="G87" s="98"/>
      <c r="H87" s="101"/>
    </row>
    <row r="88" spans="1:8">
      <c r="A88" s="14"/>
      <c r="B88" s="34" t="s">
        <v>284</v>
      </c>
      <c r="C88" s="16" t="s">
        <v>297</v>
      </c>
      <c r="D88" s="16" t="s">
        <v>298</v>
      </c>
      <c r="E88" s="89">
        <v>1500000</v>
      </c>
      <c r="F88" s="90">
        <v>1438.6</v>
      </c>
      <c r="G88" s="91">
        <v>4.36E-2</v>
      </c>
      <c r="H88" s="96">
        <v>7.1554000000000006E-2</v>
      </c>
    </row>
    <row r="89" spans="1:8" ht="24">
      <c r="A89" s="14"/>
      <c r="B89" s="34" t="s">
        <v>285</v>
      </c>
      <c r="C89" s="16" t="s">
        <v>299</v>
      </c>
      <c r="D89" s="16" t="s">
        <v>300</v>
      </c>
      <c r="E89" s="89">
        <v>130</v>
      </c>
      <c r="F89" s="90">
        <v>1292.6400000000001</v>
      </c>
      <c r="G89" s="91">
        <v>3.9199999999999999E-2</v>
      </c>
      <c r="H89" s="96">
        <v>7.7853000000000006E-2</v>
      </c>
    </row>
    <row r="90" spans="1:8" ht="24">
      <c r="A90" s="14"/>
      <c r="B90" s="34" t="s">
        <v>286</v>
      </c>
      <c r="C90" s="16" t="s">
        <v>301</v>
      </c>
      <c r="D90" s="16" t="s">
        <v>300</v>
      </c>
      <c r="E90" s="89">
        <v>100</v>
      </c>
      <c r="F90" s="90">
        <v>991.75</v>
      </c>
      <c r="G90" s="91">
        <v>3.0099999999999998E-2</v>
      </c>
      <c r="H90" s="96">
        <v>7.4119000000000004E-2</v>
      </c>
    </row>
    <row r="91" spans="1:8" ht="24">
      <c r="A91" s="14"/>
      <c r="B91" s="34" t="s">
        <v>287</v>
      </c>
      <c r="C91" s="16" t="s">
        <v>302</v>
      </c>
      <c r="D91" s="16" t="s">
        <v>303</v>
      </c>
      <c r="E91" s="89">
        <v>100</v>
      </c>
      <c r="F91" s="90">
        <v>974.08</v>
      </c>
      <c r="G91" s="91">
        <v>2.9499999999999998E-2</v>
      </c>
      <c r="H91" s="96">
        <v>7.8600000000000003E-2</v>
      </c>
    </row>
    <row r="92" spans="1:8">
      <c r="A92" s="14"/>
      <c r="B92" s="34" t="s">
        <v>288</v>
      </c>
      <c r="C92" s="16" t="s">
        <v>304</v>
      </c>
      <c r="D92" s="16" t="s">
        <v>298</v>
      </c>
      <c r="E92" s="89">
        <v>500000</v>
      </c>
      <c r="F92" s="90">
        <v>498.62</v>
      </c>
      <c r="G92" s="91">
        <v>1.5100000000000001E-2</v>
      </c>
      <c r="H92" s="96">
        <v>7.0480000000000001E-2</v>
      </c>
    </row>
    <row r="93" spans="1:8">
      <c r="A93" s="14"/>
      <c r="B93" s="33" t="s">
        <v>6</v>
      </c>
      <c r="C93" s="16"/>
      <c r="D93" s="16"/>
      <c r="E93" s="16"/>
      <c r="F93" s="99">
        <f>SUM(F88:F92)</f>
        <v>5195.6899999999996</v>
      </c>
      <c r="G93" s="100">
        <f>SUM(G88:G92)</f>
        <v>0.1575</v>
      </c>
      <c r="H93" s="35"/>
    </row>
    <row r="94" spans="1:8">
      <c r="A94" s="14"/>
      <c r="B94" s="36" t="s">
        <v>289</v>
      </c>
      <c r="C94" s="18"/>
      <c r="D94" s="18"/>
      <c r="E94" s="18"/>
      <c r="F94" s="92" t="s">
        <v>216</v>
      </c>
      <c r="G94" s="92" t="s">
        <v>216</v>
      </c>
      <c r="H94" s="35"/>
    </row>
    <row r="95" spans="1:8">
      <c r="A95" s="14"/>
      <c r="B95" s="36" t="s">
        <v>6</v>
      </c>
      <c r="C95" s="18"/>
      <c r="D95" s="18"/>
      <c r="E95" s="18"/>
      <c r="F95" s="92" t="s">
        <v>216</v>
      </c>
      <c r="G95" s="92" t="s">
        <v>216</v>
      </c>
      <c r="H95" s="35"/>
    </row>
    <row r="96" spans="1:8">
      <c r="A96" s="14"/>
      <c r="B96" s="36" t="s">
        <v>7</v>
      </c>
      <c r="C96" s="19"/>
      <c r="D96" s="18"/>
      <c r="E96" s="19"/>
      <c r="F96" s="99">
        <f>+F93</f>
        <v>5195.6899999999996</v>
      </c>
      <c r="G96" s="100">
        <f>+G93</f>
        <v>0.1575</v>
      </c>
      <c r="H96" s="35"/>
    </row>
    <row r="97" spans="1:8">
      <c r="A97" s="14"/>
      <c r="B97" s="33" t="s">
        <v>290</v>
      </c>
      <c r="C97" s="16"/>
      <c r="D97" s="16"/>
      <c r="E97" s="16"/>
      <c r="F97" s="16"/>
      <c r="G97" s="16"/>
      <c r="H97" s="101"/>
    </row>
    <row r="98" spans="1:8">
      <c r="A98" s="14"/>
      <c r="B98" s="33" t="s">
        <v>291</v>
      </c>
      <c r="C98" s="16"/>
      <c r="D98" s="16"/>
      <c r="E98" s="16"/>
      <c r="F98" s="15"/>
      <c r="G98" s="98"/>
      <c r="H98" s="101"/>
    </row>
    <row r="99" spans="1:8">
      <c r="A99" s="14"/>
      <c r="B99" s="34" t="s">
        <v>292</v>
      </c>
      <c r="C99" s="16" t="s">
        <v>305</v>
      </c>
      <c r="D99" s="16" t="s">
        <v>306</v>
      </c>
      <c r="E99" s="89">
        <v>500</v>
      </c>
      <c r="F99" s="90">
        <v>2388.04</v>
      </c>
      <c r="G99" s="91">
        <v>7.2400000000000006E-2</v>
      </c>
      <c r="H99" s="96">
        <v>7.4399999999999994E-2</v>
      </c>
    </row>
    <row r="100" spans="1:8" ht="24">
      <c r="A100" s="14"/>
      <c r="B100" s="34" t="s">
        <v>293</v>
      </c>
      <c r="C100" s="16" t="s">
        <v>307</v>
      </c>
      <c r="D100" s="16" t="s">
        <v>308</v>
      </c>
      <c r="E100" s="89">
        <v>100</v>
      </c>
      <c r="F100" s="90">
        <v>494.23</v>
      </c>
      <c r="G100" s="91">
        <v>1.4999999999999999E-2</v>
      </c>
      <c r="H100" s="96">
        <v>7.0999999999999994E-2</v>
      </c>
    </row>
    <row r="101" spans="1:8" ht="24">
      <c r="A101" s="14"/>
      <c r="B101" s="34" t="s">
        <v>294</v>
      </c>
      <c r="C101" s="16" t="s">
        <v>309</v>
      </c>
      <c r="D101" s="16" t="s">
        <v>310</v>
      </c>
      <c r="E101" s="89">
        <v>40</v>
      </c>
      <c r="F101" s="90">
        <v>198.32</v>
      </c>
      <c r="G101" s="91">
        <v>6.0000000000000001E-3</v>
      </c>
      <c r="H101" s="96">
        <v>7.0380999999999999E-2</v>
      </c>
    </row>
    <row r="102" spans="1:8">
      <c r="A102" s="14"/>
      <c r="B102" s="33" t="s">
        <v>6</v>
      </c>
      <c r="C102" s="16"/>
      <c r="D102" s="16"/>
      <c r="E102" s="16"/>
      <c r="F102" s="99">
        <f>SUM(F99:F101)</f>
        <v>3080.59</v>
      </c>
      <c r="G102" s="100">
        <f>SUM(G99:G101)</f>
        <v>9.3400000000000011E-2</v>
      </c>
      <c r="H102" s="35"/>
    </row>
    <row r="103" spans="1:8">
      <c r="A103" s="14"/>
      <c r="B103" s="33" t="s">
        <v>295</v>
      </c>
      <c r="C103" s="16"/>
      <c r="D103" s="16"/>
      <c r="E103" s="16"/>
      <c r="F103" s="15"/>
      <c r="G103" s="98"/>
      <c r="H103" s="101"/>
    </row>
    <row r="104" spans="1:8" ht="24">
      <c r="A104" s="14"/>
      <c r="B104" s="34" t="s">
        <v>296</v>
      </c>
      <c r="C104" s="16" t="s">
        <v>311</v>
      </c>
      <c r="D104" s="16" t="s">
        <v>306</v>
      </c>
      <c r="E104" s="89">
        <v>20</v>
      </c>
      <c r="F104" s="90">
        <v>98.66</v>
      </c>
      <c r="G104" s="91">
        <v>3.0000000000000001E-3</v>
      </c>
      <c r="H104" s="96">
        <v>7.3952000000000004E-2</v>
      </c>
    </row>
    <row r="105" spans="1:8">
      <c r="A105" s="14"/>
      <c r="B105" s="33" t="s">
        <v>6</v>
      </c>
      <c r="C105" s="16"/>
      <c r="D105" s="16"/>
      <c r="E105" s="16"/>
      <c r="F105" s="99">
        <f>+F104</f>
        <v>98.66</v>
      </c>
      <c r="G105" s="100">
        <f>+G104</f>
        <v>3.0000000000000001E-3</v>
      </c>
      <c r="H105" s="35"/>
    </row>
    <row r="106" spans="1:8">
      <c r="A106" s="14"/>
      <c r="B106" s="36" t="s">
        <v>7</v>
      </c>
      <c r="C106" s="19"/>
      <c r="D106" s="18"/>
      <c r="E106" s="19"/>
      <c r="F106" s="99">
        <f>+F102+F105</f>
        <v>3179.25</v>
      </c>
      <c r="G106" s="100">
        <f>+G102+G105</f>
        <v>9.6400000000000013E-2</v>
      </c>
      <c r="H106" s="35"/>
    </row>
    <row r="107" spans="1:8">
      <c r="A107" s="27"/>
      <c r="B107" s="33" t="s">
        <v>217</v>
      </c>
      <c r="C107" s="16"/>
      <c r="D107" s="16"/>
      <c r="E107" s="16"/>
      <c r="F107" s="93"/>
      <c r="G107" s="94"/>
      <c r="H107" s="97"/>
    </row>
    <row r="108" spans="1:8" s="13" customFormat="1">
      <c r="A108" s="27" t="s">
        <v>10</v>
      </c>
      <c r="B108" s="38" t="s">
        <v>218</v>
      </c>
      <c r="C108" s="2"/>
      <c r="D108" s="2"/>
      <c r="E108" s="24"/>
      <c r="F108" s="90">
        <v>1455.98</v>
      </c>
      <c r="G108" s="91">
        <v>4.4200000000000003E-2</v>
      </c>
      <c r="H108" s="96">
        <v>7.0627220752770462E-2</v>
      </c>
    </row>
    <row r="109" spans="1:8">
      <c r="A109" s="17"/>
      <c r="B109" s="37" t="s">
        <v>6</v>
      </c>
      <c r="C109" s="2"/>
      <c r="D109" s="2"/>
      <c r="E109" s="23"/>
      <c r="F109" s="3">
        <f>F108</f>
        <v>1455.98</v>
      </c>
      <c r="G109" s="4">
        <f>G108</f>
        <v>4.4200000000000003E-2</v>
      </c>
      <c r="H109" s="39"/>
    </row>
    <row r="110" spans="1:8">
      <c r="A110" s="17"/>
      <c r="B110" s="40" t="s">
        <v>7</v>
      </c>
      <c r="C110" s="5"/>
      <c r="D110" s="6"/>
      <c r="E110" s="25"/>
      <c r="F110" s="3">
        <f>F109</f>
        <v>1455.98</v>
      </c>
      <c r="G110" s="4">
        <f>G109</f>
        <v>4.4200000000000003E-2</v>
      </c>
      <c r="H110" s="39"/>
    </row>
    <row r="111" spans="1:8">
      <c r="A111" s="17"/>
      <c r="B111" s="40" t="s">
        <v>8</v>
      </c>
      <c r="C111" s="2"/>
      <c r="D111" s="6"/>
      <c r="E111" s="23"/>
      <c r="F111" s="7">
        <v>446.16</v>
      </c>
      <c r="G111" s="4">
        <v>1.38E-2</v>
      </c>
      <c r="H111" s="39"/>
    </row>
    <row r="112" spans="1:8" ht="15.75" thickBot="1">
      <c r="A112" s="17"/>
      <c r="B112" s="41" t="s">
        <v>9</v>
      </c>
      <c r="C112" s="42"/>
      <c r="D112" s="42"/>
      <c r="E112" s="43"/>
      <c r="F112" s="44">
        <f>+F111+F110+F85+F96+F106</f>
        <v>32970.869999999995</v>
      </c>
      <c r="G112" s="48">
        <f>+G111+G110+G85+G96+G106</f>
        <v>0.99999999999999978</v>
      </c>
      <c r="H112" s="45"/>
    </row>
    <row r="113" spans="1:8">
      <c r="A113" s="17"/>
      <c r="B113" s="8"/>
      <c r="C113" s="9"/>
      <c r="D113" s="9"/>
      <c r="E113" s="26"/>
      <c r="F113" s="10"/>
      <c r="G113" s="62"/>
      <c r="H113" s="12"/>
    </row>
    <row r="114" spans="1:8">
      <c r="A114" s="17"/>
      <c r="B114" s="8" t="s">
        <v>186</v>
      </c>
      <c r="C114" s="9"/>
      <c r="D114" s="9"/>
      <c r="E114" s="26"/>
      <c r="F114" s="10"/>
      <c r="G114" s="62"/>
      <c r="H114" s="12"/>
    </row>
    <row r="115" spans="1:8">
      <c r="A115" s="17"/>
      <c r="B115" s="8" t="s">
        <v>183</v>
      </c>
      <c r="C115" s="9"/>
      <c r="D115" s="9"/>
      <c r="E115" s="26"/>
      <c r="F115" s="10"/>
      <c r="G115" s="62"/>
      <c r="H115" s="12"/>
    </row>
    <row r="116" spans="1:8">
      <c r="A116" s="17"/>
      <c r="B116" s="8" t="s">
        <v>182</v>
      </c>
      <c r="C116" s="9"/>
      <c r="D116" s="9"/>
      <c r="E116" s="26"/>
      <c r="F116" s="10"/>
      <c r="G116" s="62"/>
      <c r="H116" s="12"/>
    </row>
    <row r="117" spans="1:8">
      <c r="A117" s="14"/>
      <c r="B117" s="8"/>
      <c r="C117" s="9"/>
      <c r="D117" s="9"/>
      <c r="E117" s="26"/>
      <c r="F117" s="10"/>
      <c r="G117" s="11"/>
      <c r="H117" s="12"/>
    </row>
    <row r="118" spans="1:8">
      <c r="A118" s="14"/>
      <c r="B118" s="50" t="s">
        <v>141</v>
      </c>
      <c r="C118" s="9"/>
      <c r="D118" s="9"/>
      <c r="E118" s="26"/>
      <c r="F118" s="10"/>
      <c r="G118" s="11"/>
      <c r="H118" s="12"/>
    </row>
    <row r="119" spans="1:8">
      <c r="A119" s="14"/>
      <c r="B119" s="8"/>
      <c r="C119" s="9"/>
      <c r="D119" s="9"/>
      <c r="E119" s="26"/>
      <c r="F119" s="10"/>
      <c r="G119" s="11"/>
      <c r="H119" s="12"/>
    </row>
    <row r="120" spans="1:8" customFormat="1">
      <c r="A120" s="29"/>
      <c r="B120" s="127" t="s">
        <v>312</v>
      </c>
      <c r="C120" s="127"/>
      <c r="D120" s="127"/>
      <c r="E120" s="127"/>
      <c r="F120" s="127"/>
      <c r="G120" s="127"/>
      <c r="H120" s="59"/>
    </row>
    <row r="121" spans="1:8" customFormat="1">
      <c r="A121" s="29"/>
      <c r="B121" s="127" t="s">
        <v>313</v>
      </c>
      <c r="C121" s="127"/>
      <c r="D121" s="127"/>
      <c r="E121" s="127"/>
      <c r="F121" s="73"/>
      <c r="G121" s="74"/>
      <c r="H121" s="59"/>
    </row>
    <row r="122" spans="1:8">
      <c r="A122" s="14"/>
      <c r="B122" s="127" t="s">
        <v>142</v>
      </c>
      <c r="C122" s="127"/>
      <c r="D122" s="127"/>
      <c r="E122" s="127"/>
      <c r="F122" s="73"/>
      <c r="G122" s="74"/>
      <c r="H122" s="12"/>
    </row>
    <row r="123" spans="1:8">
      <c r="A123" s="14"/>
      <c r="B123" s="63"/>
      <c r="C123" s="73"/>
      <c r="D123" s="73"/>
      <c r="E123" s="73"/>
      <c r="F123" s="73"/>
      <c r="G123" s="74"/>
      <c r="H123" s="12"/>
    </row>
    <row r="124" spans="1:8" ht="24">
      <c r="A124" s="14"/>
      <c r="B124" s="51" t="s">
        <v>143</v>
      </c>
      <c r="C124" s="52" t="s">
        <v>219</v>
      </c>
      <c r="D124" s="52" t="s">
        <v>344</v>
      </c>
      <c r="E124" s="63"/>
      <c r="F124" s="53"/>
      <c r="G124" s="74"/>
      <c r="H124" s="12"/>
    </row>
    <row r="125" spans="1:8">
      <c r="A125" s="14"/>
      <c r="B125" s="57" t="s">
        <v>144</v>
      </c>
      <c r="C125" s="54">
        <v>9.8829999999999991</v>
      </c>
      <c r="D125" s="54" t="s">
        <v>273</v>
      </c>
      <c r="E125" s="75"/>
      <c r="F125" s="73"/>
      <c r="G125" s="76"/>
      <c r="H125" s="12"/>
    </row>
    <row r="126" spans="1:8">
      <c r="A126" s="14"/>
      <c r="B126" s="57" t="s">
        <v>145</v>
      </c>
      <c r="C126" s="54">
        <v>9.8610000000000007</v>
      </c>
      <c r="D126" s="54" t="s">
        <v>273</v>
      </c>
      <c r="E126" s="63"/>
      <c r="F126" s="73"/>
      <c r="G126" s="73"/>
      <c r="H126" s="12"/>
    </row>
    <row r="127" spans="1:8" s="28" customFormat="1">
      <c r="A127" s="102"/>
      <c r="B127" s="129" t="s">
        <v>329</v>
      </c>
      <c r="C127" s="129"/>
      <c r="D127" s="129"/>
      <c r="E127" s="129"/>
      <c r="F127" s="129"/>
      <c r="G127" s="76"/>
      <c r="H127" s="103"/>
    </row>
    <row r="128" spans="1:8">
      <c r="A128" s="14"/>
      <c r="B128" s="63"/>
      <c r="C128" s="73"/>
      <c r="D128" s="73"/>
      <c r="E128" s="73"/>
      <c r="F128" s="73"/>
      <c r="G128" s="74"/>
      <c r="H128" s="77"/>
    </row>
    <row r="129" spans="2:8" customFormat="1">
      <c r="B129" s="58" t="s">
        <v>314</v>
      </c>
      <c r="C129" s="73"/>
      <c r="D129" s="73"/>
      <c r="E129" s="73"/>
      <c r="F129" s="73"/>
      <c r="G129" s="74"/>
      <c r="H129" s="73"/>
    </row>
    <row r="130" spans="2:8">
      <c r="B130" s="127" t="s">
        <v>315</v>
      </c>
      <c r="C130" s="127"/>
      <c r="D130" s="127"/>
      <c r="E130" s="63"/>
      <c r="F130" s="73"/>
      <c r="G130" s="74"/>
      <c r="H130" s="78"/>
    </row>
    <row r="131" spans="2:8" customFormat="1">
      <c r="B131" s="128" t="s">
        <v>330</v>
      </c>
      <c r="C131" s="128"/>
      <c r="D131" s="128"/>
      <c r="E131" s="63"/>
      <c r="F131" s="63"/>
      <c r="G131" s="63"/>
      <c r="H131" s="73"/>
    </row>
    <row r="132" spans="2:8">
      <c r="B132" s="127" t="s">
        <v>331</v>
      </c>
      <c r="C132" s="127"/>
      <c r="D132" s="127"/>
      <c r="E132" s="63"/>
      <c r="F132" s="73"/>
      <c r="G132" s="74"/>
      <c r="H132" s="78"/>
    </row>
    <row r="133" spans="2:8">
      <c r="B133" s="55" t="s">
        <v>317</v>
      </c>
      <c r="C133" s="55"/>
      <c r="D133" s="55"/>
      <c r="E133" s="63"/>
      <c r="F133" s="73"/>
      <c r="G133" s="74"/>
      <c r="H133" s="78"/>
    </row>
    <row r="134" spans="2:8">
      <c r="B134" s="127" t="s">
        <v>316</v>
      </c>
      <c r="C134" s="127"/>
      <c r="D134" s="127"/>
      <c r="E134" s="63"/>
      <c r="F134" s="73"/>
      <c r="G134" s="74"/>
      <c r="H134" s="78"/>
    </row>
    <row r="135" spans="2:8">
      <c r="B135" s="73"/>
      <c r="C135" s="73"/>
      <c r="D135" s="73"/>
      <c r="E135" s="73"/>
      <c r="F135" s="73"/>
      <c r="G135" s="73"/>
      <c r="H135" s="78"/>
    </row>
    <row r="136" spans="2:8">
      <c r="B136" s="56" t="s">
        <v>146</v>
      </c>
      <c r="C136" s="73"/>
      <c r="D136" s="73"/>
      <c r="E136" s="73"/>
      <c r="F136" s="73"/>
      <c r="G136" s="73"/>
      <c r="H136" s="78"/>
    </row>
    <row r="137" spans="2:8">
      <c r="B137" s="56" t="s">
        <v>147</v>
      </c>
      <c r="C137" s="73"/>
      <c r="D137" s="73"/>
      <c r="E137" s="73"/>
      <c r="F137" s="73"/>
      <c r="G137" s="73"/>
      <c r="H137" s="78"/>
    </row>
    <row r="138" spans="2:8">
      <c r="B138" s="73"/>
      <c r="C138" s="73"/>
      <c r="D138" s="73"/>
      <c r="E138" s="73"/>
      <c r="F138" s="73"/>
      <c r="G138" s="73"/>
      <c r="H138" s="78"/>
    </row>
    <row r="139" spans="2:8">
      <c r="B139" s="121" t="s">
        <v>148</v>
      </c>
      <c r="C139" s="121"/>
      <c r="D139" s="121"/>
      <c r="E139" s="121"/>
      <c r="F139" s="121"/>
      <c r="G139" s="121"/>
      <c r="H139" s="78"/>
    </row>
    <row r="140" spans="2:8">
      <c r="B140" s="73"/>
      <c r="C140" s="73"/>
      <c r="D140" s="73"/>
      <c r="E140" s="73"/>
      <c r="F140" s="73"/>
      <c r="G140" s="73"/>
      <c r="H140" s="78"/>
    </row>
    <row r="141" spans="2:8">
      <c r="B141" s="64" t="s">
        <v>318</v>
      </c>
      <c r="C141" s="73"/>
      <c r="D141" s="73"/>
      <c r="E141" s="73"/>
      <c r="F141" s="73"/>
      <c r="G141" s="73"/>
      <c r="H141" s="78"/>
    </row>
    <row r="142" spans="2:8">
      <c r="B142" s="64"/>
      <c r="C142" s="73"/>
      <c r="D142" s="73"/>
      <c r="E142" s="73"/>
      <c r="F142" s="73"/>
      <c r="G142" s="73"/>
      <c r="H142" s="78"/>
    </row>
    <row r="143" spans="2:8" ht="36">
      <c r="B143" s="79" t="s">
        <v>149</v>
      </c>
      <c r="C143" s="79" t="s">
        <v>150</v>
      </c>
      <c r="D143" s="79" t="s">
        <v>151</v>
      </c>
      <c r="E143" s="79" t="s">
        <v>152</v>
      </c>
      <c r="F143" s="79" t="s">
        <v>153</v>
      </c>
      <c r="G143" s="79" t="s">
        <v>154</v>
      </c>
      <c r="H143" s="78"/>
    </row>
    <row r="144" spans="2:8" s="109" customFormat="1">
      <c r="B144" s="106" t="s">
        <v>274</v>
      </c>
      <c r="C144" s="106" t="s">
        <v>332</v>
      </c>
      <c r="D144" s="106" t="s">
        <v>339</v>
      </c>
      <c r="E144" s="110">
        <v>882.14118348416287</v>
      </c>
      <c r="F144" s="110">
        <v>906.1</v>
      </c>
      <c r="G144" s="110">
        <v>70.502425500000001</v>
      </c>
      <c r="H144" s="107"/>
    </row>
    <row r="145" spans="2:8" s="109" customFormat="1">
      <c r="B145" s="106" t="s">
        <v>274</v>
      </c>
      <c r="C145" s="106" t="s">
        <v>333</v>
      </c>
      <c r="D145" s="106" t="s">
        <v>339</v>
      </c>
      <c r="E145" s="110">
        <v>2584.1990893617021</v>
      </c>
      <c r="F145" s="110">
        <v>2638.8</v>
      </c>
      <c r="G145" s="110">
        <v>65.620518799999999</v>
      </c>
      <c r="H145" s="107"/>
    </row>
    <row r="146" spans="2:8" s="109" customFormat="1">
      <c r="B146" s="106" t="s">
        <v>274</v>
      </c>
      <c r="C146" s="106" t="s">
        <v>334</v>
      </c>
      <c r="D146" s="106" t="s">
        <v>339</v>
      </c>
      <c r="E146" s="110">
        <v>2495.8461087431692</v>
      </c>
      <c r="F146" s="110">
        <v>2570.25</v>
      </c>
      <c r="G146" s="110">
        <v>82.982585299999997</v>
      </c>
      <c r="H146" s="107"/>
    </row>
    <row r="147" spans="2:8" s="109" customFormat="1">
      <c r="B147" s="106" t="s">
        <v>274</v>
      </c>
      <c r="C147" s="106" t="s">
        <v>335</v>
      </c>
      <c r="D147" s="106" t="s">
        <v>339</v>
      </c>
      <c r="E147" s="110">
        <v>8370.0505868852451</v>
      </c>
      <c r="F147" s="110">
        <v>8350.35</v>
      </c>
      <c r="G147" s="110">
        <v>89.821889999999996</v>
      </c>
      <c r="H147" s="107"/>
    </row>
    <row r="148" spans="2:8" s="109" customFormat="1">
      <c r="B148" s="106" t="s">
        <v>274</v>
      </c>
      <c r="C148" s="106" t="s">
        <v>336</v>
      </c>
      <c r="D148" s="106" t="s">
        <v>339</v>
      </c>
      <c r="E148" s="110">
        <v>975.82142448979596</v>
      </c>
      <c r="F148" s="110">
        <v>989.65</v>
      </c>
      <c r="G148" s="110">
        <v>17.133119499999999</v>
      </c>
      <c r="H148" s="107"/>
    </row>
    <row r="149" spans="2:8" s="109" customFormat="1">
      <c r="B149" s="106" t="s">
        <v>274</v>
      </c>
      <c r="C149" s="106" t="s">
        <v>337</v>
      </c>
      <c r="D149" s="106" t="s">
        <v>339</v>
      </c>
      <c r="E149" s="110">
        <v>7399.6636566666666</v>
      </c>
      <c r="F149" s="110">
        <v>7650.7</v>
      </c>
      <c r="G149" s="110">
        <v>81.088155</v>
      </c>
      <c r="H149" s="107"/>
    </row>
    <row r="150" spans="2:8" s="109" customFormat="1">
      <c r="B150" s="108" t="s">
        <v>274</v>
      </c>
      <c r="C150" s="108" t="s">
        <v>338</v>
      </c>
      <c r="D150" s="106" t="s">
        <v>339</v>
      </c>
      <c r="E150" s="111">
        <v>856.02001188271606</v>
      </c>
      <c r="F150" s="111">
        <v>862.25</v>
      </c>
      <c r="G150" s="110">
        <v>103.232394</v>
      </c>
      <c r="H150" s="107"/>
    </row>
    <row r="151" spans="2:8">
      <c r="B151" s="73"/>
      <c r="C151" s="65"/>
      <c r="D151" s="73"/>
      <c r="E151" s="73"/>
      <c r="F151" s="73"/>
      <c r="G151" s="73"/>
      <c r="H151" s="78"/>
    </row>
    <row r="152" spans="2:8">
      <c r="B152" s="66" t="s">
        <v>340</v>
      </c>
      <c r="C152" s="65"/>
      <c r="D152" s="73"/>
      <c r="E152" s="73"/>
      <c r="F152" s="73"/>
      <c r="G152" s="73"/>
      <c r="H152" s="78"/>
    </row>
    <row r="153" spans="2:8">
      <c r="B153" s="66"/>
      <c r="C153" s="73"/>
      <c r="D153" s="73"/>
      <c r="E153" s="73"/>
      <c r="F153" s="73"/>
      <c r="G153" s="73"/>
      <c r="H153" s="78"/>
    </row>
    <row r="154" spans="2:8">
      <c r="B154" s="122" t="s">
        <v>319</v>
      </c>
      <c r="C154" s="122"/>
      <c r="D154" s="122"/>
      <c r="E154" s="122"/>
      <c r="F154" s="122"/>
      <c r="G154" s="122"/>
      <c r="H154" s="78"/>
    </row>
    <row r="155" spans="2:8" ht="60">
      <c r="B155" s="79" t="s">
        <v>149</v>
      </c>
      <c r="C155" s="79" t="s">
        <v>155</v>
      </c>
      <c r="D155" s="79" t="s">
        <v>156</v>
      </c>
      <c r="E155" s="79" t="s">
        <v>157</v>
      </c>
      <c r="F155" s="79" t="s">
        <v>158</v>
      </c>
      <c r="G155" s="79" t="s">
        <v>159</v>
      </c>
      <c r="H155" s="78"/>
    </row>
    <row r="156" spans="2:8">
      <c r="B156" s="104" t="s">
        <v>274</v>
      </c>
      <c r="C156" s="105">
        <v>573</v>
      </c>
      <c r="D156" s="105">
        <v>573</v>
      </c>
      <c r="E156" s="112">
        <v>424666309.34999996</v>
      </c>
      <c r="F156" s="112">
        <v>450733512.56999999</v>
      </c>
      <c r="G156" s="113">
        <v>25847051.289999999</v>
      </c>
      <c r="H156" s="78"/>
    </row>
    <row r="157" spans="2:8">
      <c r="B157" s="73"/>
      <c r="C157" s="73"/>
      <c r="D157" s="73"/>
      <c r="E157" s="73"/>
      <c r="F157" s="73"/>
      <c r="G157" s="73"/>
      <c r="H157" s="78"/>
    </row>
    <row r="158" spans="2:8">
      <c r="B158" s="123" t="s">
        <v>320</v>
      </c>
      <c r="C158" s="123"/>
      <c r="D158" s="123"/>
      <c r="E158" s="123"/>
      <c r="F158" s="123"/>
      <c r="G158" s="123"/>
      <c r="H158" s="78"/>
    </row>
    <row r="159" spans="2:8" ht="36">
      <c r="B159" s="79" t="s">
        <v>149</v>
      </c>
      <c r="C159" s="79" t="s">
        <v>150</v>
      </c>
      <c r="D159" s="79" t="s">
        <v>151</v>
      </c>
      <c r="E159" s="79" t="s">
        <v>160</v>
      </c>
      <c r="F159" s="79" t="s">
        <v>161</v>
      </c>
      <c r="G159" s="79" t="s">
        <v>162</v>
      </c>
      <c r="H159" s="78"/>
    </row>
    <row r="160" spans="2:8">
      <c r="B160" s="117" t="s">
        <v>163</v>
      </c>
      <c r="C160" s="118"/>
      <c r="D160" s="118"/>
      <c r="E160" s="118"/>
      <c r="F160" s="118"/>
      <c r="G160" s="119"/>
      <c r="H160" s="78"/>
    </row>
    <row r="161" spans="2:8" customFormat="1">
      <c r="B161" s="66" t="s">
        <v>341</v>
      </c>
      <c r="C161" s="73"/>
      <c r="D161" s="73"/>
      <c r="E161" s="73"/>
      <c r="F161" s="73"/>
      <c r="G161" s="73"/>
      <c r="H161" s="73"/>
    </row>
    <row r="162" spans="2:8">
      <c r="B162" s="76"/>
      <c r="C162" s="76"/>
      <c r="D162" s="76"/>
      <c r="E162" s="76"/>
      <c r="F162" s="76"/>
      <c r="G162" s="76"/>
      <c r="H162" s="78"/>
    </row>
    <row r="163" spans="2:8">
      <c r="B163" s="122" t="s">
        <v>321</v>
      </c>
      <c r="C163" s="122"/>
      <c r="D163" s="122"/>
      <c r="E163" s="122"/>
      <c r="F163" s="122"/>
      <c r="G163" s="122"/>
      <c r="H163" s="78"/>
    </row>
    <row r="164" spans="2:8" ht="60">
      <c r="B164" s="79" t="s">
        <v>149</v>
      </c>
      <c r="C164" s="79" t="s">
        <v>164</v>
      </c>
      <c r="D164" s="79" t="s">
        <v>165</v>
      </c>
      <c r="E164" s="79" t="s">
        <v>157</v>
      </c>
      <c r="F164" s="79" t="s">
        <v>158</v>
      </c>
      <c r="G164" s="79" t="s">
        <v>166</v>
      </c>
      <c r="H164" s="78"/>
    </row>
    <row r="165" spans="2:8">
      <c r="B165" s="124" t="s">
        <v>163</v>
      </c>
      <c r="C165" s="125"/>
      <c r="D165" s="125"/>
      <c r="E165" s="125"/>
      <c r="F165" s="125"/>
      <c r="G165" s="126"/>
      <c r="H165" s="78"/>
    </row>
    <row r="166" spans="2:8">
      <c r="B166" s="80"/>
      <c r="C166" s="80"/>
      <c r="D166" s="80"/>
      <c r="E166" s="80"/>
      <c r="F166" s="80"/>
      <c r="G166" s="80"/>
      <c r="H166" s="78"/>
    </row>
    <row r="167" spans="2:8">
      <c r="B167" s="76"/>
      <c r="C167" s="76" t="s">
        <v>167</v>
      </c>
      <c r="D167" s="76"/>
      <c r="E167" s="76"/>
      <c r="F167" s="76"/>
      <c r="G167" s="76"/>
      <c r="H167" s="78"/>
    </row>
    <row r="168" spans="2:8">
      <c r="B168" s="64" t="s">
        <v>322</v>
      </c>
      <c r="C168" s="64"/>
      <c r="D168" s="64"/>
      <c r="E168" s="64"/>
      <c r="F168" s="76"/>
      <c r="G168" s="81"/>
      <c r="H168" s="78"/>
    </row>
    <row r="169" spans="2:8" ht="24">
      <c r="B169" s="82" t="s">
        <v>149</v>
      </c>
      <c r="C169" s="83" t="s">
        <v>150</v>
      </c>
      <c r="D169" s="83" t="s">
        <v>168</v>
      </c>
      <c r="E169" s="83" t="s">
        <v>169</v>
      </c>
      <c r="F169" s="83" t="s">
        <v>170</v>
      </c>
      <c r="G169" s="84"/>
      <c r="H169" s="78"/>
    </row>
    <row r="170" spans="2:8">
      <c r="B170" s="117" t="s">
        <v>163</v>
      </c>
      <c r="C170" s="118"/>
      <c r="D170" s="118"/>
      <c r="E170" s="118"/>
      <c r="F170" s="119"/>
      <c r="G170" s="76"/>
      <c r="H170" s="78"/>
    </row>
    <row r="171" spans="2:8">
      <c r="B171" s="66" t="s">
        <v>342</v>
      </c>
      <c r="C171" s="73"/>
      <c r="D171" s="73"/>
      <c r="E171" s="73"/>
      <c r="F171" s="73"/>
      <c r="G171" s="73"/>
      <c r="H171" s="78"/>
    </row>
    <row r="172" spans="2:8">
      <c r="B172" s="76"/>
      <c r="C172" s="76"/>
      <c r="D172" s="76"/>
      <c r="E172" s="76"/>
      <c r="F172" s="76"/>
      <c r="G172" s="76"/>
      <c r="H172" s="78"/>
    </row>
    <row r="173" spans="2:8">
      <c r="B173" s="120" t="s">
        <v>323</v>
      </c>
      <c r="C173" s="120"/>
      <c r="D173" s="120"/>
      <c r="E173" s="120"/>
      <c r="F173" s="120"/>
      <c r="G173" s="76"/>
      <c r="H173" s="78"/>
    </row>
    <row r="174" spans="2:8" ht="36">
      <c r="B174" s="83" t="s">
        <v>149</v>
      </c>
      <c r="C174" s="83" t="s">
        <v>171</v>
      </c>
      <c r="D174" s="83" t="s">
        <v>172</v>
      </c>
      <c r="E174" s="83" t="s">
        <v>173</v>
      </c>
      <c r="F174" s="85"/>
      <c r="G174" s="76"/>
      <c r="H174" s="78"/>
    </row>
    <row r="175" spans="2:8">
      <c r="B175" s="117" t="s">
        <v>163</v>
      </c>
      <c r="C175" s="118"/>
      <c r="D175" s="118"/>
      <c r="E175" s="119"/>
      <c r="F175" s="76"/>
      <c r="G175" s="76"/>
      <c r="H175" s="78"/>
    </row>
    <row r="176" spans="2:8">
      <c r="B176" s="76"/>
      <c r="C176" s="76"/>
      <c r="D176" s="76"/>
      <c r="E176" s="76"/>
      <c r="F176" s="76"/>
      <c r="G176" s="76"/>
      <c r="H176" s="78"/>
    </row>
    <row r="177" spans="2:8">
      <c r="B177" s="76"/>
      <c r="C177" s="76"/>
      <c r="D177" s="76"/>
      <c r="E177" s="76"/>
      <c r="F177" s="76"/>
      <c r="G177" s="76"/>
      <c r="H177" s="78"/>
    </row>
    <row r="178" spans="2:8">
      <c r="B178" s="64" t="s">
        <v>324</v>
      </c>
      <c r="C178" s="64"/>
      <c r="D178" s="64"/>
      <c r="E178" s="64"/>
      <c r="F178" s="64"/>
      <c r="G178" s="76"/>
      <c r="H178" s="78"/>
    </row>
    <row r="179" spans="2:8" ht="24">
      <c r="B179" s="82" t="s">
        <v>149</v>
      </c>
      <c r="C179" s="83" t="s">
        <v>150</v>
      </c>
      <c r="D179" s="83" t="s">
        <v>174</v>
      </c>
      <c r="E179" s="83" t="s">
        <v>175</v>
      </c>
      <c r="F179" s="83" t="s">
        <v>169</v>
      </c>
      <c r="G179" s="83" t="s">
        <v>176</v>
      </c>
      <c r="H179" s="78"/>
    </row>
    <row r="180" spans="2:8">
      <c r="B180" s="117" t="s">
        <v>163</v>
      </c>
      <c r="C180" s="118"/>
      <c r="D180" s="118"/>
      <c r="E180" s="118"/>
      <c r="F180" s="118"/>
      <c r="G180" s="119"/>
      <c r="H180" s="78"/>
    </row>
    <row r="181" spans="2:8">
      <c r="B181" s="76" t="s">
        <v>184</v>
      </c>
      <c r="C181" s="76"/>
      <c r="D181" s="76"/>
      <c r="E181" s="76"/>
      <c r="F181" s="76"/>
      <c r="G181" s="76"/>
      <c r="H181" s="78"/>
    </row>
    <row r="182" spans="2:8">
      <c r="B182" s="76"/>
      <c r="C182" s="76"/>
      <c r="D182" s="76"/>
      <c r="E182" s="76"/>
      <c r="F182" s="76"/>
      <c r="G182" s="76"/>
      <c r="H182" s="78"/>
    </row>
    <row r="183" spans="2:8">
      <c r="B183" s="120" t="s">
        <v>325</v>
      </c>
      <c r="C183" s="120"/>
      <c r="D183" s="120"/>
      <c r="E183" s="120"/>
      <c r="F183" s="120"/>
      <c r="G183" s="76"/>
      <c r="H183" s="78"/>
    </row>
    <row r="184" spans="2:8" ht="36.75">
      <c r="B184" s="86" t="s">
        <v>149</v>
      </c>
      <c r="C184" s="87" t="s">
        <v>171</v>
      </c>
      <c r="D184" s="87" t="s">
        <v>172</v>
      </c>
      <c r="E184" s="87" t="s">
        <v>173</v>
      </c>
      <c r="F184" s="76"/>
      <c r="G184" s="76"/>
      <c r="H184" s="78"/>
    </row>
    <row r="185" spans="2:8">
      <c r="B185" s="114" t="s">
        <v>163</v>
      </c>
      <c r="C185" s="115"/>
      <c r="D185" s="115"/>
      <c r="E185" s="116"/>
      <c r="F185" s="76"/>
      <c r="G185" s="76"/>
      <c r="H185" s="78"/>
    </row>
    <row r="186" spans="2:8">
      <c r="B186" s="76"/>
      <c r="C186" s="76"/>
      <c r="D186" s="76"/>
      <c r="E186" s="76"/>
      <c r="F186" s="76"/>
      <c r="G186" s="76"/>
      <c r="H186" s="78"/>
    </row>
    <row r="187" spans="2:8">
      <c r="B187" s="76"/>
      <c r="C187" s="76"/>
      <c r="D187" s="76"/>
      <c r="E187" s="76"/>
      <c r="F187" s="76"/>
      <c r="G187" s="76"/>
      <c r="H187" s="78"/>
    </row>
    <row r="188" spans="2:8">
      <c r="B188" s="64" t="s">
        <v>343</v>
      </c>
      <c r="C188" s="64"/>
      <c r="D188" s="64"/>
      <c r="E188" s="76"/>
      <c r="F188" s="76"/>
      <c r="G188" s="76"/>
      <c r="H188" s="78"/>
    </row>
    <row r="189" spans="2:8">
      <c r="B189" s="67"/>
      <c r="C189" s="67"/>
      <c r="D189" s="67"/>
      <c r="E189" s="73"/>
      <c r="F189" s="73"/>
      <c r="G189" s="73"/>
      <c r="H189" s="78"/>
    </row>
    <row r="190" spans="2:8">
      <c r="B190" s="64" t="s">
        <v>326</v>
      </c>
      <c r="C190" s="64"/>
      <c r="D190" s="64"/>
      <c r="E190" s="64"/>
      <c r="F190" s="76"/>
      <c r="G190" s="73"/>
      <c r="H190" s="78"/>
    </row>
    <row r="191" spans="2:8" ht="24">
      <c r="B191" s="88" t="s">
        <v>149</v>
      </c>
      <c r="C191" s="79" t="s">
        <v>150</v>
      </c>
      <c r="D191" s="79" t="s">
        <v>168</v>
      </c>
      <c r="E191" s="79" t="s">
        <v>177</v>
      </c>
      <c r="F191" s="79" t="s">
        <v>178</v>
      </c>
      <c r="G191" s="79" t="s">
        <v>179</v>
      </c>
      <c r="H191" s="78"/>
    </row>
    <row r="192" spans="2:8">
      <c r="B192" s="117" t="s">
        <v>163</v>
      </c>
      <c r="C192" s="118"/>
      <c r="D192" s="118"/>
      <c r="E192" s="118"/>
      <c r="F192" s="118"/>
      <c r="G192" s="119"/>
      <c r="H192" s="78"/>
    </row>
    <row r="193" spans="2:11">
      <c r="B193" s="66" t="s">
        <v>328</v>
      </c>
      <c r="C193" s="73"/>
      <c r="D193" s="73"/>
      <c r="E193" s="73"/>
      <c r="F193" s="73"/>
      <c r="G193" s="73"/>
      <c r="H193" s="78"/>
    </row>
    <row r="194" spans="2:11">
      <c r="B194" s="73"/>
      <c r="C194" s="73"/>
      <c r="D194" s="73"/>
      <c r="E194" s="73"/>
      <c r="F194" s="73"/>
      <c r="G194" s="73"/>
      <c r="H194" s="78"/>
    </row>
    <row r="195" spans="2:11">
      <c r="B195" s="120" t="s">
        <v>327</v>
      </c>
      <c r="C195" s="120"/>
      <c r="D195" s="120"/>
      <c r="E195" s="120"/>
      <c r="F195" s="120"/>
      <c r="G195" s="120"/>
      <c r="H195" s="78"/>
    </row>
    <row r="196" spans="2:11" ht="36">
      <c r="B196" s="88" t="s">
        <v>149</v>
      </c>
      <c r="C196" s="88" t="s">
        <v>180</v>
      </c>
      <c r="D196" s="88" t="s">
        <v>172</v>
      </c>
      <c r="E196" s="88" t="s">
        <v>181</v>
      </c>
      <c r="F196" s="73"/>
      <c r="G196" s="73"/>
      <c r="H196" s="78"/>
    </row>
    <row r="197" spans="2:11">
      <c r="B197" s="117" t="s">
        <v>163</v>
      </c>
      <c r="C197" s="118"/>
      <c r="D197" s="118"/>
      <c r="E197" s="119"/>
      <c r="F197" s="73"/>
      <c r="G197" s="73"/>
      <c r="H197" s="78"/>
    </row>
    <row r="198" spans="2:11">
      <c r="B198" s="73"/>
      <c r="C198" s="73"/>
      <c r="D198" s="73"/>
      <c r="E198" s="73"/>
      <c r="F198" s="73"/>
      <c r="G198" s="73"/>
      <c r="H198" s="78"/>
    </row>
    <row r="199" spans="2:11" ht="24.75">
      <c r="B199" s="78"/>
      <c r="C199" s="78"/>
      <c r="D199" s="78"/>
      <c r="E199" s="78"/>
      <c r="F199" s="78"/>
      <c r="G199" s="78"/>
      <c r="H199" s="131" t="s">
        <v>187</v>
      </c>
      <c r="I199" s="132" t="s">
        <v>188</v>
      </c>
      <c r="J199" s="132" t="s">
        <v>189</v>
      </c>
      <c r="K199" s="133" t="s">
        <v>345</v>
      </c>
    </row>
    <row r="200" spans="2:11" ht="36.75">
      <c r="H200" s="134" t="s">
        <v>346</v>
      </c>
      <c r="I200" s="135" t="s">
        <v>347</v>
      </c>
      <c r="J200" s="136"/>
      <c r="K200" s="137"/>
    </row>
    <row r="201" spans="2:11" ht="96.75">
      <c r="H201" s="138" t="s">
        <v>348</v>
      </c>
      <c r="I201" s="135" t="s">
        <v>349</v>
      </c>
      <c r="J201" s="139"/>
      <c r="K201" s="137"/>
    </row>
    <row r="202" spans="2:11" ht="48.75">
      <c r="H202" s="140"/>
      <c r="I202" s="141" t="s">
        <v>190</v>
      </c>
      <c r="J202" s="139"/>
      <c r="K202" s="137"/>
    </row>
    <row r="203" spans="2:11">
      <c r="H203" s="142"/>
      <c r="I203" s="78"/>
      <c r="J203" s="78"/>
      <c r="K203" s="143" t="s">
        <v>350</v>
      </c>
    </row>
    <row r="204" spans="2:11">
      <c r="H204" s="144"/>
      <c r="I204" s="145"/>
      <c r="J204" s="145"/>
      <c r="K204" s="146" t="s">
        <v>351</v>
      </c>
    </row>
  </sheetData>
  <mergeCells count="28">
    <mergeCell ref="B1:H1"/>
    <mergeCell ref="B2:H2"/>
    <mergeCell ref="B3:H3"/>
    <mergeCell ref="B120:G120"/>
    <mergeCell ref="B121:E121"/>
    <mergeCell ref="B122:E122"/>
    <mergeCell ref="B130:D130"/>
    <mergeCell ref="B132:D132"/>
    <mergeCell ref="B134:D134"/>
    <mergeCell ref="B131:D131"/>
    <mergeCell ref="B127:F127"/>
    <mergeCell ref="B139:G139"/>
    <mergeCell ref="B154:G154"/>
    <mergeCell ref="B158:G158"/>
    <mergeCell ref="B183:F183"/>
    <mergeCell ref="B163:G163"/>
    <mergeCell ref="B170:F170"/>
    <mergeCell ref="B173:F173"/>
    <mergeCell ref="B175:E175"/>
    <mergeCell ref="B180:G180"/>
    <mergeCell ref="B160:G160"/>
    <mergeCell ref="B165:G165"/>
    <mergeCell ref="B185:E185"/>
    <mergeCell ref="B192:G192"/>
    <mergeCell ref="B195:G195"/>
    <mergeCell ref="B197:E197"/>
    <mergeCell ref="J200:J202"/>
    <mergeCell ref="K200:K202"/>
  </mergeCells>
  <pageMargins left="0.25" right="0.25" top="0.75" bottom="0.75" header="0.3" footer="0.3"/>
  <pageSetup paperSize="8" scale="75" orientation="portrait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4" ma:contentTypeDescription="Create a new document." ma:contentTypeScope="" ma:versionID="e3296b6279f512b9ea2bef7f8991d7ea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5b1ee7df8ad418105669629e47facbab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69392EE-65A8-45C1-9368-CD2CC4B9D03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693D2AF-3447-46CC-9D0C-9FA01D58692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WOBAF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Paralikar</dc:creator>
  <cp:lastModifiedBy>Shivam Vajpeyee</cp:lastModifiedBy>
  <cp:lastPrinted>2022-10-06T16:32:42Z</cp:lastPrinted>
  <dcterms:created xsi:type="dcterms:W3CDTF">2022-04-08T12:18:39Z</dcterms:created>
  <dcterms:modified xsi:type="dcterms:W3CDTF">2023-04-07T14:57:24Z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2023-04-07T07:06:28Z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063b8784-89f3-4566-9072-3604d6faa588</vt:lpwstr>
  </property>
  <property fmtid="{D5CDD505-2E9C-101B-9397-08002B2CF9AE}" pid="8" name="MSIP_Label_af1741f6-9e47-426e-a683-937c37d4ebc5_ContentBits">
    <vt:lpwstr>3</vt:lpwstr>
  </property>
  <property fmtid="{D5CDD505-2E9C-101B-9397-08002B2CF9AE}" pid="9" name="db.comClassification">
    <vt:lpwstr>For internal use only</vt:lpwstr>
  </property>
</Properties>
</file>