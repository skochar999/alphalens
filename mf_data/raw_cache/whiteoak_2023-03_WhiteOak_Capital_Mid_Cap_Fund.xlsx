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Mar 2023/Half Yearly Portfolio/Upload Files/"/>
    </mc:Choice>
  </mc:AlternateContent>
  <xr:revisionPtr revIDLastSave="12" documentId="13_ncr:1_{02E942A3-DBD6-4E7B-B38D-6A55B94861F5}" xr6:coauthVersionLast="47" xr6:coauthVersionMax="47" xr10:uidLastSave="{FAD0438B-6681-4560-ACD5-DDC46CD1EB88}"/>
  <bookViews>
    <workbookView xWindow="-120" yWindow="-120" windowWidth="20730" windowHeight="11160" xr2:uid="{00000000-000D-0000-FFFF-FFFF00000000}"/>
  </bookViews>
  <sheets>
    <sheet name="WOMID" sheetId="1" r:id="rId1"/>
  </sheets>
  <externalReferences>
    <externalReference r:id="rId2"/>
  </externalReferences>
  <definedNames>
    <definedName name="JR_PAGE_ANCHOR_0_1">WOMID!#REF!</definedName>
    <definedName name="JR_PAGE_ANCHOR_0_2">[1]YM002!#REF!</definedName>
    <definedName name="JR_PAGE_ANCHOR_0_3">[1]YM003!#REF!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1" l="1"/>
  <c r="G89" i="1" s="1"/>
  <c r="F86" i="1"/>
  <c r="F89" i="1" s="1"/>
  <c r="G81" i="1"/>
  <c r="F81" i="1"/>
  <c r="G78" i="1"/>
  <c r="F78" i="1"/>
  <c r="F82" i="1" l="1"/>
  <c r="G82" i="1"/>
  <c r="G92" i="1"/>
  <c r="G93" i="1" s="1"/>
  <c r="G95" i="1" s="1"/>
  <c r="F92" i="1"/>
  <c r="F93" i="1" s="1"/>
  <c r="F95" i="1" l="1"/>
</calcChain>
</file>

<file path=xl/sharedStrings.xml><?xml version="1.0" encoding="utf-8"?>
<sst xmlns="http://schemas.openxmlformats.org/spreadsheetml/2006/main" count="440" uniqueCount="344">
  <si>
    <t>Name of the Instrument</t>
  </si>
  <si>
    <t>ISIN</t>
  </si>
  <si>
    <t>Quantity</t>
  </si>
  <si>
    <t>Market/Fair Value (Rs. in Lakhs)</t>
  </si>
  <si>
    <t>% to Net Assets</t>
  </si>
  <si>
    <t>YTM</t>
  </si>
  <si>
    <t>Sub Total</t>
  </si>
  <si>
    <t>Total</t>
  </si>
  <si>
    <t>Net Receivables / (Payables)</t>
  </si>
  <si>
    <t>GRAND TOTAL</t>
  </si>
  <si>
    <t>TRP_031022</t>
  </si>
  <si>
    <t>WhiteOak Capital Mid Cap Fund</t>
  </si>
  <si>
    <t>Equity &amp; Equity related</t>
  </si>
  <si>
    <t>(a) Listed / awaiting listing on Stock Exchanges</t>
  </si>
  <si>
    <t>PAGE01</t>
  </si>
  <si>
    <t>Page Industries Limited</t>
  </si>
  <si>
    <t>INE761H01022</t>
  </si>
  <si>
    <t>Textiles &amp; Apparels</t>
  </si>
  <si>
    <t>PSYL01</t>
  </si>
  <si>
    <t>Persistent Systems Limited</t>
  </si>
  <si>
    <t>INE262H01013</t>
  </si>
  <si>
    <t>IT - Software</t>
  </si>
  <si>
    <t>PRRC03</t>
  </si>
  <si>
    <t>Navin Fluorine International Limited</t>
  </si>
  <si>
    <t>INE048G01026</t>
  </si>
  <si>
    <t>Chemicals &amp; Petrochemicals</t>
  </si>
  <si>
    <t>VEDF01</t>
  </si>
  <si>
    <t>Vedant Fashions Limited</t>
  </si>
  <si>
    <t>INE825V01034</t>
  </si>
  <si>
    <t>Retailing</t>
  </si>
  <si>
    <t>NITL01</t>
  </si>
  <si>
    <t>Coforge Limited</t>
  </si>
  <si>
    <t>INE591G01017</t>
  </si>
  <si>
    <t>DIXO02</t>
  </si>
  <si>
    <t>Dixon Technologies (India) Limited</t>
  </si>
  <si>
    <t>INE935N01020</t>
  </si>
  <si>
    <t>Consumer Durables</t>
  </si>
  <si>
    <t>PHMI02</t>
  </si>
  <si>
    <t>The Phoenix Mills Limited</t>
  </si>
  <si>
    <t>INE211B01039</t>
  </si>
  <si>
    <t>Realty</t>
  </si>
  <si>
    <t>FEBA02</t>
  </si>
  <si>
    <t>INE171A01029</t>
  </si>
  <si>
    <t>Banks</t>
  </si>
  <si>
    <t>PROG01</t>
  </si>
  <si>
    <t>Procter &amp; Gamble Hygiene and Health Care Limited</t>
  </si>
  <si>
    <t>INE179A01014</t>
  </si>
  <si>
    <t>Personal Products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</si>
  <si>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</si>
  <si>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</si>
  <si>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</si>
  <si>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</si>
  <si>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</si>
  <si>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</si>
  <si>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</si>
  <si>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</si>
  <si>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SUMI01</t>
  </si>
  <si>
    <t>Sumitomo Chemical India Limited</t>
  </si>
  <si>
    <t>INE258G01013</t>
  </si>
  <si>
    <t>Fertilizers &amp; Agrochemicals</t>
  </si>
  <si>
    <t>THER02</t>
  </si>
  <si>
    <t>Thermax Limited</t>
  </si>
  <si>
    <t>INE152A01029</t>
  </si>
  <si>
    <t>CHOL02</t>
  </si>
  <si>
    <t>INE121A01024</t>
  </si>
  <si>
    <t>Finance</t>
  </si>
  <si>
    <t>ASTP04</t>
  </si>
  <si>
    <t>Astral Limited</t>
  </si>
  <si>
    <t>INE006I01046</t>
  </si>
  <si>
    <t>GUAM02</t>
  </si>
  <si>
    <t>Ambuja Cements Limited</t>
  </si>
  <si>
    <t>INE079A01024</t>
  </si>
  <si>
    <t>Cement &amp; Cement Products</t>
  </si>
  <si>
    <t>IIFM01</t>
  </si>
  <si>
    <t>SYNI01</t>
  </si>
  <si>
    <t>Syngene International Limited</t>
  </si>
  <si>
    <t>INE398R01022</t>
  </si>
  <si>
    <t>Healthcare Services</t>
  </si>
  <si>
    <t>BOOT01</t>
  </si>
  <si>
    <t>Abbott India Limited</t>
  </si>
  <si>
    <t>INE358A01014</t>
  </si>
  <si>
    <t>Pharmaceuticals &amp; Biotechnology</t>
  </si>
  <si>
    <t>LAKM02</t>
  </si>
  <si>
    <t>Trent Limited</t>
  </si>
  <si>
    <t>INE849A01020</t>
  </si>
  <si>
    <t>DLPL01</t>
  </si>
  <si>
    <t>GRIN02</t>
  </si>
  <si>
    <t>Grindwell Norton Limited</t>
  </si>
  <si>
    <t>INE536A01023</t>
  </si>
  <si>
    <t>SSNL02</t>
  </si>
  <si>
    <t>AJPH03</t>
  </si>
  <si>
    <t>Ajanta Pharma Limited</t>
  </si>
  <si>
    <t>INE031B01049</t>
  </si>
  <si>
    <t>GRCO02</t>
  </si>
  <si>
    <t>Saregama India Limited</t>
  </si>
  <si>
    <t>INE979A01025</t>
  </si>
  <si>
    <t>Entertainment</t>
  </si>
  <si>
    <t>GAWA01</t>
  </si>
  <si>
    <t>Garware Technical Fibres Limited</t>
  </si>
  <si>
    <t>INE276A01018</t>
  </si>
  <si>
    <t>CAMP01</t>
  </si>
  <si>
    <t>Campus Activewear Limited</t>
  </si>
  <si>
    <t>INE278Y01022</t>
  </si>
  <si>
    <t>IINF02</t>
  </si>
  <si>
    <t>IIFL Finance Limited</t>
  </si>
  <si>
    <t>INE530B01024</t>
  </si>
  <si>
    <t>SUFA02</t>
  </si>
  <si>
    <t>Sundram Fasteners Limited</t>
  </si>
  <si>
    <t>INE387A01021</t>
  </si>
  <si>
    <t>Auto Components</t>
  </si>
  <si>
    <t>DEVY01</t>
  </si>
  <si>
    <t>Devyani International Limited</t>
  </si>
  <si>
    <t>INE872J01023</t>
  </si>
  <si>
    <t>Leisure Services</t>
  </si>
  <si>
    <t>PIIN03</t>
  </si>
  <si>
    <t>PI Industries Limited</t>
  </si>
  <si>
    <t>INE603J01030</t>
  </si>
  <si>
    <t>TAHO01</t>
  </si>
  <si>
    <t>Honeywell Automation India Limited</t>
  </si>
  <si>
    <t>INE671A01010</t>
  </si>
  <si>
    <t>Industrial Manufacturing</t>
  </si>
  <si>
    <t>AUHF01</t>
  </si>
  <si>
    <t>SBAI02</t>
  </si>
  <si>
    <t>State Bank of India</t>
  </si>
  <si>
    <t>INE062A01020</t>
  </si>
  <si>
    <t>LTTS01</t>
  </si>
  <si>
    <t>BALI02</t>
  </si>
  <si>
    <t>Balkrishna Industries Limited</t>
  </si>
  <si>
    <t>INE787D01026</t>
  </si>
  <si>
    <t>GGLT02</t>
  </si>
  <si>
    <t>Gujarat Gas Limited</t>
  </si>
  <si>
    <t>INE844O01030</t>
  </si>
  <si>
    <t>Gas</t>
  </si>
  <si>
    <t>SAFI02</t>
  </si>
  <si>
    <t>Safari Industries (India) Limited</t>
  </si>
  <si>
    <t>INE429E01023</t>
  </si>
  <si>
    <t>ASEA02</t>
  </si>
  <si>
    <t>ABB India Limited</t>
  </si>
  <si>
    <t>INE117A01022</t>
  </si>
  <si>
    <t>AFPL02</t>
  </si>
  <si>
    <t>IBCL05</t>
  </si>
  <si>
    <t>ICICI Bank Limited</t>
  </si>
  <si>
    <t>INE090A01021</t>
  </si>
  <si>
    <t>DODL01</t>
  </si>
  <si>
    <t>Dodla Dairy Limited</t>
  </si>
  <si>
    <t>INE021O01019</t>
  </si>
  <si>
    <t>Food Products</t>
  </si>
  <si>
    <t>BHAE01</t>
  </si>
  <si>
    <t>BEML Limited</t>
  </si>
  <si>
    <t>INE258A01016</t>
  </si>
  <si>
    <t>Agricultural, Commercial &amp; Construction Vehicles</t>
  </si>
  <si>
    <t>ORRE01</t>
  </si>
  <si>
    <t>RHI Magnesita India Limited</t>
  </si>
  <si>
    <t>INE743M01012</t>
  </si>
  <si>
    <t>BIRM01</t>
  </si>
  <si>
    <t>3M India Limited</t>
  </si>
  <si>
    <t>INE470A01017</t>
  </si>
  <si>
    <t>Diversified</t>
  </si>
  <si>
    <t>DPIL01</t>
  </si>
  <si>
    <t>Data Patterns (India) Limited</t>
  </si>
  <si>
    <t>INE0IX101010</t>
  </si>
  <si>
    <t>Aerospace &amp; Defense</t>
  </si>
  <si>
    <t>IEIN01</t>
  </si>
  <si>
    <t>Info Edge (India) Limited</t>
  </si>
  <si>
    <t>INE663F01024</t>
  </si>
  <si>
    <t>HINI02</t>
  </si>
  <si>
    <t>Hindalco Industries Limited</t>
  </si>
  <si>
    <t>INE038A01020</t>
  </si>
  <si>
    <t>Non - Ferrous Metals</t>
  </si>
  <si>
    <t>KNRC02</t>
  </si>
  <si>
    <t>KNR Constructions Limited</t>
  </si>
  <si>
    <t>INE634I01029</t>
  </si>
  <si>
    <t>Construction</t>
  </si>
  <si>
    <t>SHEP01</t>
  </si>
  <si>
    <t>Shaily Engineering Plastics Limited</t>
  </si>
  <si>
    <t>INE151G01010</t>
  </si>
  <si>
    <t>HDFB03</t>
  </si>
  <si>
    <t>HDFC Bank Limited</t>
  </si>
  <si>
    <t>INE040A01034</t>
  </si>
  <si>
    <t>HDLI01</t>
  </si>
  <si>
    <t>POME02</t>
  </si>
  <si>
    <t>Poly Medicure Limited</t>
  </si>
  <si>
    <t>INE205C01021</t>
  </si>
  <si>
    <t>Healthcare Equipment &amp; Supplies</t>
  </si>
  <si>
    <t>GFPL01</t>
  </si>
  <si>
    <t>Go Fashion (India) Limited</t>
  </si>
  <si>
    <t>INE0BJS01011</t>
  </si>
  <si>
    <t>Fine Organic Industries Limited</t>
  </si>
  <si>
    <t>INE686Y01026</t>
  </si>
  <si>
    <t>Bayer Cropscience Limited</t>
  </si>
  <si>
    <t>INE462A01022</t>
  </si>
  <si>
    <t>(b) Unlisted</t>
  </si>
  <si>
    <t>BELA01</t>
  </si>
  <si>
    <t>BEML LAND ASSETS LIMITED ** #</t>
  </si>
  <si>
    <t>Notes :</t>
  </si>
  <si>
    <t>(3)  Plan/Option wise Net Assets Value per unit (in Rupees) is as follows:</t>
  </si>
  <si>
    <t>Plan/Option</t>
  </si>
  <si>
    <t>As on September 30, 2022</t>
  </si>
  <si>
    <t>Direct Plan - Growth</t>
  </si>
  <si>
    <t>Direct Plan - IDCW</t>
  </si>
  <si>
    <t>Regular Plan - Growth</t>
  </si>
  <si>
    <t>Regular Plan - IDCW</t>
  </si>
  <si>
    <t>Place : Mumbai</t>
  </si>
  <si>
    <t xml:space="preserve">Date :  </t>
  </si>
  <si>
    <t>Portfolio disclosure for derivative positions.</t>
  </si>
  <si>
    <t>Scheme Name</t>
  </si>
  <si>
    <t>Underlying</t>
  </si>
  <si>
    <t>Long / Short</t>
  </si>
  <si>
    <t>Futures Price when purchased (Rs.)</t>
  </si>
  <si>
    <t>Current price of the contract (Rs.)</t>
  </si>
  <si>
    <t>Margin 
maintained 
(Rs. in Lakhs)</t>
  </si>
  <si>
    <t>Total number of contracts where futures were bought</t>
  </si>
  <si>
    <t>Total number of contracts where futures were sold</t>
  </si>
  <si>
    <t>Gross Notional Value of contracts where futures were bought (in Rs.)</t>
  </si>
  <si>
    <t>Gross Notional Value of contracts where futures were sold (in Rs.)</t>
  </si>
  <si>
    <t>Net Profit/(Loss) value on all contracts 
combined (in Rs.)</t>
  </si>
  <si>
    <t>Futures Price when purchased (Rs)</t>
  </si>
  <si>
    <t>Current price of the contract (Rs)</t>
  </si>
  <si>
    <t>Margin maintained (Rs. Lakhs)</t>
  </si>
  <si>
    <t>Nil</t>
  </si>
  <si>
    <t>Total Number of contracts where futures were bought</t>
  </si>
  <si>
    <t>Total Number of contracts where futures were sold</t>
  </si>
  <si>
    <t>Net Profit/(Loss) 
value on all contracts combined (in Rs.)</t>
  </si>
  <si>
    <t xml:space="preserve"> </t>
  </si>
  <si>
    <t>Number of Contracts</t>
  </si>
  <si>
    <t>Option Price when purchased</t>
  </si>
  <si>
    <t>Current Option Price</t>
  </si>
  <si>
    <t>Total Number of contracts entered into</t>
  </si>
  <si>
    <t>Gross Notional Value of contracts (in Rs.)</t>
  </si>
  <si>
    <t>Net Profit/(Loss) value on all contracts ( in Rs.)</t>
  </si>
  <si>
    <t>Call / put</t>
  </si>
  <si>
    <t>Number of contracts</t>
  </si>
  <si>
    <t>Current Price</t>
  </si>
  <si>
    <t>% of underlying shares</t>
  </si>
  <si>
    <t>Option Price when sold</t>
  </si>
  <si>
    <t>Margin maintained in Rs. Lakhs</t>
  </si>
  <si>
    <t xml:space="preserve">Total number of contracts entered into </t>
  </si>
  <si>
    <t>Net Profit/(Loss) value on all contracts (in Rs.)</t>
  </si>
  <si>
    <t>(An Open Ended Equity Scheme Predominantly Investing In Mid-Cap Stocks)</t>
  </si>
  <si>
    <t>#  Unlisted Security</t>
  </si>
  <si>
    <t>**  Thinly Traded / Non Traded Security</t>
  </si>
  <si>
    <t>Total Exposure through options as a %age of net assets : Nil</t>
  </si>
  <si>
    <t>Industry*</t>
  </si>
  <si>
    <t>*  Industry Classification is as recommended by AMFI</t>
  </si>
  <si>
    <t>Total %age of existing assets hedged through futures : Nil</t>
  </si>
  <si>
    <t>Total %age of existing assets hedged through put options : Nil</t>
  </si>
  <si>
    <t>Call options written as %age to total market value of equity shares held in the scheme : Nil</t>
  </si>
  <si>
    <t>Scheme Name &amp; Type of the Scheme</t>
  </si>
  <si>
    <t>Product Labelling</t>
  </si>
  <si>
    <t>Scheme Risk-o-meter</t>
  </si>
  <si>
    <t>Benchmark Risk-o-meter</t>
  </si>
  <si>
    <t>An Open Ended Equity Scheme Predominantly Investing In Mid-Cap Stocks</t>
  </si>
  <si>
    <t xml:space="preserve">◦Long term capital appreciation
◦Investment in a diversified portfolio of equity and equity-related securities of companies primarily selected from the mid-cap segment of the Indian markets
</t>
  </si>
  <si>
    <t>* Investors should consult their financial advisers if in doubt about whether the product is suitable for them</t>
  </si>
  <si>
    <t xml:space="preserve">Scheme Benchmark </t>
  </si>
  <si>
    <t>S&amp;P BSE Midcap 150 TRI</t>
  </si>
  <si>
    <t>Half Yearly Portfolio Statement as on March 31, 2023</t>
  </si>
  <si>
    <t>The Federal Bank Limited</t>
  </si>
  <si>
    <t>Mahindra &amp; Mahindra Financial Services Limited</t>
  </si>
  <si>
    <t>AIA Engineering Limited</t>
  </si>
  <si>
    <t>Kaynes Technology India Limited</t>
  </si>
  <si>
    <t>HDFC Asset Management Company Limited</t>
  </si>
  <si>
    <t>Power Finance Corporation Limited</t>
  </si>
  <si>
    <t>Max Healthcare Institute Limited</t>
  </si>
  <si>
    <t>Metro Brands Limited</t>
  </si>
  <si>
    <t>Fortis Healthcare Limited</t>
  </si>
  <si>
    <t>360 One WAM Limited</t>
  </si>
  <si>
    <t>Varun Beverages Limited</t>
  </si>
  <si>
    <t>IPCA Laboratories Limited</t>
  </si>
  <si>
    <t>BIKAJI FOODS INTERNATIONAL LIMITED</t>
  </si>
  <si>
    <t>Global Health Limited</t>
  </si>
  <si>
    <t>Rainbow Childrens Medicare Limited</t>
  </si>
  <si>
    <t>Cholamandalam Investment and Finance Company Ltd</t>
  </si>
  <si>
    <t>Electronics Mart India Limited</t>
  </si>
  <si>
    <t>Blue Star Limited</t>
  </si>
  <si>
    <t>Gokaldas Exports Limited</t>
  </si>
  <si>
    <t>La Opala RG Limited</t>
  </si>
  <si>
    <t>Vesuvius India Limited</t>
  </si>
  <si>
    <t>Tega Industries Limited</t>
  </si>
  <si>
    <t>Tracxn Technologies Limited</t>
  </si>
  <si>
    <t>INE774D01024</t>
  </si>
  <si>
    <t>INE212H01026</t>
  </si>
  <si>
    <t>INE918Z01012</t>
  </si>
  <si>
    <t>INE127D01025</t>
  </si>
  <si>
    <t>Capital Markets</t>
  </si>
  <si>
    <t>INE134E01011</t>
  </si>
  <si>
    <t>INE027H01010</t>
  </si>
  <si>
    <t>INE317I01021</t>
  </si>
  <si>
    <t>INE061F01013</t>
  </si>
  <si>
    <t>INE466L01038</t>
  </si>
  <si>
    <t>INE200M01013</t>
  </si>
  <si>
    <t>Beverages</t>
  </si>
  <si>
    <t>INE571A01038</t>
  </si>
  <si>
    <t>INE00E101023</t>
  </si>
  <si>
    <t>INE474Q01031</t>
  </si>
  <si>
    <t>INE961O01016</t>
  </si>
  <si>
    <t>INE02YR01019</t>
  </si>
  <si>
    <t>INE472A01039</t>
  </si>
  <si>
    <t>INE887G01027</t>
  </si>
  <si>
    <t>INE059D01020</t>
  </si>
  <si>
    <t>INE386A01015</t>
  </si>
  <si>
    <t>INE011K01018</t>
  </si>
  <si>
    <t>INE0HMF01019</t>
  </si>
  <si>
    <t>Commercial Services &amp; Supplies</t>
  </si>
  <si>
    <t>Debt Instruments</t>
  </si>
  <si>
    <t>(a) Listed / awaiting listing on Stock Exchange</t>
  </si>
  <si>
    <t>6.89% Government of India (16/01/2025)</t>
  </si>
  <si>
    <t>(b) Privately placed / Unlisted</t>
  </si>
  <si>
    <t>IN0020220128</t>
  </si>
  <si>
    <t>Sovereign</t>
  </si>
  <si>
    <t>NIL</t>
  </si>
  <si>
    <t>Reverse Repo / TREPS</t>
  </si>
  <si>
    <t>Clearing Corporation of India Ltd</t>
  </si>
  <si>
    <t>As on March 31, 2023</t>
  </si>
  <si>
    <t>(1) The provision made for securities classified as below investment grade or default as of March 31, 2023 is Rs.Nil and its percentage to Net Asset Value is Nil.</t>
  </si>
  <si>
    <t>(2)  Aggregate value of illiquid securities of the scheme and their percentage to NAV as on March 31, 2023 is Nil.</t>
  </si>
  <si>
    <t>(4) The Scheme did not declare any Income Distribution cum Capital Withdrawal during the half year ended March 31, 2023.</t>
  </si>
  <si>
    <t>(5) The Scheme did not declare any bonus during the half year ended March 31, 2023.</t>
  </si>
  <si>
    <t>(7) Total investments in Foreign Securities / Overseas ETFs / ADRs / GDRs as on March 31, 2023 is Nil.</t>
  </si>
  <si>
    <t>(9) The scheme had no Repo transaction in Corporate Debt Securities during half year ended March 31, 2023.</t>
  </si>
  <si>
    <t>(8) Portfolio Turnover ratio is 0.47 times.</t>
  </si>
  <si>
    <t>A .   Hedging Positions through Futures as on March 31, 2023</t>
  </si>
  <si>
    <t>For the period ended March 31, 2023 details of hedging transactions through futures which have been squared off/expired are as under.</t>
  </si>
  <si>
    <t>B.   Other than Hedging Positions through Futures as on March 31, 2023</t>
  </si>
  <si>
    <t>For the period ended March 31, 2023 details of non-hedging transactions through futures which have been squared off/expired are as under.</t>
  </si>
  <si>
    <t>C.  Hedging Positions through Put Options as on March 31, 2023</t>
  </si>
  <si>
    <t>For the period ended March 31, 2023, details of hedging transactions through options which have already been exercised/expired are as under.</t>
  </si>
  <si>
    <t>D.  Other than Hedging Positions through Options as on March 31, 2023</t>
  </si>
  <si>
    <t>For the period ended March 31, 2023 details of non-hedging transactions through options which have already been exercised/expired are as under.</t>
  </si>
  <si>
    <t>E.  Hedging Positions through swaps as on March 31, 2023 - Nil</t>
  </si>
  <si>
    <t>F.  Hedging Positions through writing of Covered Call Options as on March 31, 2023</t>
  </si>
  <si>
    <t>For the period ended March 31, 2023 details of covered call options written which have been exercised / expired are as under.</t>
  </si>
  <si>
    <t>(6) Total outstanding exposure in derivative instruments as on March 31, 2023 is Rs. - 4599.34 Lacs.</t>
  </si>
  <si>
    <t>AUBANK</t>
  </si>
  <si>
    <t>LALPATHLAB</t>
  </si>
  <si>
    <t>INDIAMART</t>
  </si>
  <si>
    <t>IPCALAB</t>
  </si>
  <si>
    <t>LTTS</t>
  </si>
  <si>
    <t>MUTHOOTFIN</t>
  </si>
  <si>
    <t>NIFTY</t>
  </si>
  <si>
    <t>PERSISTENT</t>
  </si>
  <si>
    <t>Long</t>
  </si>
  <si>
    <t>Total exposure due to futures (non hedging positions) as a %age of net assets : 8.8050%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</si>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</sst>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0.0000"/>
  </numFmts>
  <fonts count="18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6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164" fontId="7" fillId="0" borderId="0" applyFont="0" applyFill="0" applyBorder="0" applyAlignment="0" applyProtection="0"/>
  </cellStyleXfs>
  <cellXfs count="146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left" vertical="top" wrapText="1"/>
    </xf>
    <xf numFmtId="165" fontId="4" fillId="2" borderId="2" xfId="0" applyNumberFormat="1" applyFont="1" applyFill="1" applyBorder="1" applyAlignment="1">
      <alignment horizontal="right" vertical="top" wrapText="1"/>
    </xf>
    <xf numFmtId="166" fontId="4" fillId="2" borderId="1" xfId="0" applyNumberFormat="1" applyFont="1" applyFill="1" applyBorder="1" applyAlignment="1">
      <alignment horizontal="right" vertical="top" wrapText="1"/>
    </xf>
    <xf numFmtId="165" fontId="3" fillId="2" borderId="3" xfId="0" applyNumberFormat="1" applyFont="1" applyFill="1" applyBorder="1" applyAlignment="1">
      <alignment horizontal="right" vertical="top" wrapText="1"/>
    </xf>
    <xf numFmtId="166" fontId="3" fillId="2" borderId="4" xfId="0" applyNumberFormat="1" applyFont="1" applyFill="1" applyBorder="1" applyAlignment="1">
      <alignment horizontal="righ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0" fontId="3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5" fontId="3" fillId="2" borderId="0" xfId="0" applyNumberFormat="1" applyFont="1" applyFill="1" applyAlignment="1">
      <alignment horizontal="right" vertical="top" wrapText="1"/>
    </xf>
    <xf numFmtId="167" fontId="3" fillId="2" borderId="0" xfId="0" applyNumberFormat="1" applyFont="1" applyFill="1" applyAlignment="1">
      <alignment horizontal="right" vertical="top" wrapText="1"/>
    </xf>
    <xf numFmtId="0" fontId="3" fillId="2" borderId="0" xfId="0" applyFont="1" applyFill="1" applyAlignment="1">
      <alignment horizontal="right" vertical="top" wrapText="1"/>
    </xf>
    <xf numFmtId="0" fontId="0" fillId="2" borderId="0" xfId="0" applyFill="1" applyAlignment="1">
      <alignment wrapText="1"/>
    </xf>
    <xf numFmtId="0" fontId="0" fillId="2" borderId="0" xfId="0" applyFill="1" applyProtection="1">
      <protection locked="0"/>
    </xf>
    <xf numFmtId="0" fontId="0" fillId="0" borderId="0" xfId="0" applyAlignment="1" applyProtection="1">
      <alignment wrapText="1"/>
      <protection locked="0"/>
    </xf>
    <xf numFmtId="0" fontId="4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horizontal="left" vertical="top"/>
    </xf>
    <xf numFmtId="0" fontId="2" fillId="0" borderId="0" xfId="0" applyFont="1"/>
    <xf numFmtId="0" fontId="0" fillId="0" borderId="0" xfId="0" applyProtection="1">
      <protection locked="0"/>
    </xf>
    <xf numFmtId="166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3" fillId="2" borderId="11" xfId="0" applyFont="1" applyFill="1" applyBorder="1" applyAlignment="1">
      <alignment horizontal="right" vertical="top" wrapText="1"/>
    </xf>
    <xf numFmtId="0" fontId="3" fillId="2" borderId="12" xfId="0" applyFont="1" applyFill="1" applyBorder="1" applyAlignment="1">
      <alignment horizontal="left" vertical="top" wrapText="1"/>
    </xf>
    <xf numFmtId="0" fontId="3" fillId="2" borderId="13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vertical="top" wrapText="1"/>
    </xf>
    <xf numFmtId="165" fontId="3" fillId="2" borderId="15" xfId="0" applyNumberFormat="1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10" fontId="3" fillId="0" borderId="11" xfId="2" applyNumberFormat="1" applyFont="1" applyFill="1" applyBorder="1" applyAlignment="1" applyProtection="1">
      <alignment horizontal="right" vertical="top" wrapText="1"/>
    </xf>
    <xf numFmtId="9" fontId="3" fillId="2" borderId="15" xfId="2" applyFont="1" applyFill="1" applyBorder="1" applyAlignment="1">
      <alignment horizontal="right" vertical="top" wrapText="1"/>
    </xf>
    <xf numFmtId="0" fontId="3" fillId="0" borderId="18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168" fontId="9" fillId="0" borderId="19" xfId="0" applyNumberFormat="1" applyFont="1" applyBorder="1" applyAlignment="1">
      <alignment horizontal="right" vertical="top" wrapText="1"/>
    </xf>
    <xf numFmtId="0" fontId="9" fillId="0" borderId="0" xfId="0" applyFont="1" applyAlignment="1">
      <alignment vertical="top"/>
    </xf>
    <xf numFmtId="0" fontId="11" fillId="0" borderId="0" xfId="0" applyFont="1"/>
    <xf numFmtId="0" fontId="9" fillId="0" borderId="19" xfId="0" applyFont="1" applyBorder="1" applyAlignment="1">
      <alignment horizontal="left" vertical="top" wrapText="1"/>
    </xf>
    <xf numFmtId="0" fontId="9" fillId="0" borderId="19" xfId="0" applyFont="1" applyBorder="1" applyAlignment="1">
      <alignment horizontal="left" wrapText="1"/>
    </xf>
    <xf numFmtId="0" fontId="9" fillId="0" borderId="0" xfId="4" applyFont="1" applyAlignment="1">
      <alignment vertical="top"/>
    </xf>
    <xf numFmtId="0" fontId="3" fillId="0" borderId="0" xfId="0" applyFont="1" applyAlignment="1">
      <alignment horizontal="right" vertical="top" wrapText="1"/>
    </xf>
    <xf numFmtId="0" fontId="3" fillId="0" borderId="25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9" fontId="3" fillId="2" borderId="0" xfId="2" applyFont="1" applyFill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43" fontId="9" fillId="0" borderId="6" xfId="3" applyFont="1" applyFill="1" applyBorder="1" applyAlignment="1" applyProtection="1">
      <alignment wrapText="1"/>
      <protection locked="0"/>
    </xf>
    <xf numFmtId="0" fontId="4" fillId="0" borderId="17" xfId="0" applyFont="1" applyBorder="1" applyAlignment="1">
      <alignment horizontal="right" vertical="top" wrapText="1"/>
    </xf>
    <xf numFmtId="4" fontId="10" fillId="2" borderId="6" xfId="0" applyNumberFormat="1" applyFont="1" applyFill="1" applyBorder="1" applyAlignment="1" applyProtection="1">
      <alignment wrapText="1"/>
      <protection locked="0"/>
    </xf>
    <xf numFmtId="10" fontId="3" fillId="2" borderId="1" xfId="0" applyNumberFormat="1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right" vertical="top" wrapText="1"/>
    </xf>
    <xf numFmtId="167" fontId="4" fillId="2" borderId="10" xfId="0" applyNumberFormat="1" applyFont="1" applyFill="1" applyBorder="1" applyAlignment="1">
      <alignment horizontal="right" vertical="top" wrapText="1"/>
    </xf>
    <xf numFmtId="0" fontId="9" fillId="0" borderId="0" xfId="0" applyFont="1"/>
    <xf numFmtId="0" fontId="15" fillId="0" borderId="0" xfId="0" applyFont="1"/>
    <xf numFmtId="168" fontId="9" fillId="0" borderId="0" xfId="0" applyNumberFormat="1" applyFont="1" applyAlignment="1">
      <alignment horizontal="left" vertical="top" wrapText="1"/>
    </xf>
    <xf numFmtId="0" fontId="16" fillId="0" borderId="0" xfId="0" applyFont="1"/>
    <xf numFmtId="0" fontId="9" fillId="2" borderId="0" xfId="0" applyFont="1" applyFill="1" applyAlignment="1" applyProtection="1">
      <alignment wrapText="1"/>
      <protection locked="0"/>
    </xf>
    <xf numFmtId="0" fontId="9" fillId="2" borderId="0" xfId="0" applyFont="1" applyFill="1"/>
    <xf numFmtId="0" fontId="12" fillId="0" borderId="19" xfId="0" applyFont="1" applyBorder="1" applyAlignment="1">
      <alignment horizontal="center" vertical="top" wrapText="1"/>
    </xf>
    <xf numFmtId="0" fontId="13" fillId="0" borderId="0" xfId="0" applyFont="1" applyAlignment="1">
      <alignment horizontal="center"/>
    </xf>
    <xf numFmtId="164" fontId="16" fillId="0" borderId="0" xfId="0" applyNumberFormat="1" applyFont="1"/>
    <xf numFmtId="0" fontId="12" fillId="0" borderId="19" xfId="0" applyFont="1" applyBorder="1" applyAlignment="1">
      <alignment wrapText="1"/>
    </xf>
    <xf numFmtId="0" fontId="12" fillId="0" borderId="19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6" fillId="0" borderId="0" xfId="0" applyFont="1" applyAlignment="1">
      <alignment wrapText="1"/>
    </xf>
    <xf numFmtId="0" fontId="12" fillId="0" borderId="19" xfId="0" applyFont="1" applyBorder="1" applyAlignment="1">
      <alignment horizontal="center"/>
    </xf>
    <xf numFmtId="0" fontId="12" fillId="0" borderId="19" xfId="0" applyFont="1" applyBorder="1" applyAlignment="1">
      <alignment horizontal="center" wrapText="1"/>
    </xf>
    <xf numFmtId="0" fontId="12" fillId="0" borderId="19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vertical="top" wrapText="1"/>
    </xf>
    <xf numFmtId="165" fontId="4" fillId="0" borderId="2" xfId="0" applyNumberFormat="1" applyFont="1" applyBorder="1" applyAlignment="1">
      <alignment horizontal="right" vertical="top" wrapText="1"/>
    </xf>
    <xf numFmtId="166" fontId="4" fillId="0" borderId="1" xfId="0" applyNumberFormat="1" applyFont="1" applyBorder="1" applyAlignment="1">
      <alignment horizontal="right" vertical="top" wrapText="1"/>
    </xf>
    <xf numFmtId="0" fontId="17" fillId="0" borderId="2" xfId="0" applyFont="1" applyBorder="1" applyAlignment="1">
      <alignment horizontal="right" vertical="top" wrapText="1"/>
    </xf>
    <xf numFmtId="165" fontId="3" fillId="0" borderId="3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65" fontId="3" fillId="0" borderId="0" xfId="0" applyNumberFormat="1" applyFont="1" applyAlignment="1">
      <alignment horizontal="right" vertical="top" wrapText="1"/>
    </xf>
    <xf numFmtId="166" fontId="3" fillId="0" borderId="1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17" fillId="0" borderId="10" xfId="0" applyFont="1" applyBorder="1" applyAlignment="1">
      <alignment horizontal="right" vertical="top" wrapText="1"/>
    </xf>
    <xf numFmtId="167" fontId="4" fillId="0" borderId="10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13" fillId="0" borderId="19" xfId="0" applyFont="1" applyBorder="1" applyAlignment="1">
      <alignment horizontal="center" vertical="top" wrapText="1"/>
    </xf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center"/>
    </xf>
    <xf numFmtId="0" fontId="13" fillId="0" borderId="19" xfId="0" applyFont="1" applyBorder="1" applyAlignment="1">
      <alignment horizontal="center"/>
    </xf>
    <xf numFmtId="4" fontId="13" fillId="0" borderId="19" xfId="0" applyNumberFormat="1" applyFont="1" applyBorder="1" applyAlignment="1">
      <alignment horizontal="center" vertical="top" wrapText="1"/>
    </xf>
    <xf numFmtId="4" fontId="13" fillId="0" borderId="19" xfId="5" applyNumberFormat="1" applyFont="1" applyBorder="1" applyAlignment="1">
      <alignment horizontal="center"/>
    </xf>
    <xf numFmtId="0" fontId="13" fillId="0" borderId="21" xfId="0" applyFont="1" applyBorder="1" applyAlignment="1">
      <alignment horizontal="center" wrapText="1"/>
    </xf>
    <xf numFmtId="0" fontId="13" fillId="0" borderId="22" xfId="0" applyFont="1" applyBorder="1" applyAlignment="1">
      <alignment horizontal="center" wrapText="1"/>
    </xf>
    <xf numFmtId="0" fontId="13" fillId="0" borderId="23" xfId="0" applyFont="1" applyBorder="1" applyAlignment="1">
      <alignment horizontal="center" wrapText="1"/>
    </xf>
    <xf numFmtId="0" fontId="13" fillId="0" borderId="21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12" fillId="0" borderId="0" xfId="0" applyFont="1"/>
    <xf numFmtId="0" fontId="16" fillId="0" borderId="20" xfId="0" applyFont="1" applyBorder="1" applyAlignment="1">
      <alignment horizontal="left"/>
    </xf>
    <xf numFmtId="0" fontId="11" fillId="0" borderId="20" xfId="0" applyFont="1" applyBorder="1" applyAlignment="1">
      <alignment horizontal="left"/>
    </xf>
    <xf numFmtId="0" fontId="9" fillId="0" borderId="0" xfId="0" applyFont="1" applyAlignment="1">
      <alignment horizontal="left" vertical="top" wrapText="1"/>
    </xf>
    <xf numFmtId="0" fontId="9" fillId="0" borderId="0" xfId="4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2" borderId="26" xfId="0" applyFont="1" applyFill="1" applyBorder="1" applyAlignment="1">
      <alignment horizontal="center" wrapText="1" readingOrder="1"/>
    </xf>
    <xf numFmtId="0" fontId="3" fillId="2" borderId="27" xfId="0" applyFont="1" applyFill="1" applyBorder="1" applyAlignment="1">
      <alignment horizontal="center" wrapText="1" readingOrder="1"/>
    </xf>
    <xf numFmtId="0" fontId="3" fillId="2" borderId="28" xfId="0" applyFont="1" applyFill="1" applyBorder="1" applyAlignment="1">
      <alignment horizontal="center" wrapText="1" readingOrder="1"/>
    </xf>
    <xf numFmtId="0" fontId="3" fillId="2" borderId="29" xfId="0" applyFont="1" applyFill="1" applyBorder="1" applyAlignment="1">
      <alignment horizontal="justify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30" xfId="0" applyFont="1" applyFill="1" applyBorder="1" applyAlignment="1">
      <alignment horizontal="justify" wrapText="1" readingOrder="1"/>
    </xf>
    <xf numFmtId="0" fontId="4" fillId="2" borderId="29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justify" wrapText="1" readingOrder="1"/>
    </xf>
    <xf numFmtId="0" fontId="4" fillId="2" borderId="30" xfId="0" applyFont="1" applyFill="1" applyBorder="1" applyAlignment="1">
      <alignment horizontal="justify" wrapText="1" readingOrder="1"/>
    </xf>
    <xf numFmtId="0" fontId="4" fillId="2" borderId="29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9" fillId="2" borderId="0" xfId="0" applyFont="1" applyFill="1" applyAlignment="1">
      <alignment horizontal="justify" wrapText="1" readingOrder="1"/>
    </xf>
    <xf numFmtId="0" fontId="9" fillId="2" borderId="30" xfId="0" applyFont="1" applyFill="1" applyBorder="1" applyAlignment="1">
      <alignment horizontal="justify" wrapText="1" readingOrder="1"/>
    </xf>
    <xf numFmtId="0" fontId="3" fillId="2" borderId="30" xfId="0" applyFont="1" applyFill="1" applyBorder="1" applyAlignment="1">
      <alignment horizontal="justify" wrapText="1" readingOrder="1"/>
    </xf>
    <xf numFmtId="0" fontId="4" fillId="2" borderId="31" xfId="0" applyFont="1" applyFill="1" applyBorder="1" applyAlignment="1">
      <alignment horizontal="justify" wrapText="1" readingOrder="1"/>
    </xf>
    <xf numFmtId="0" fontId="4" fillId="2" borderId="20" xfId="0" applyFont="1" applyFill="1" applyBorder="1" applyAlignment="1">
      <alignment horizontal="justify" wrapText="1" readingOrder="1"/>
    </xf>
    <xf numFmtId="0" fontId="4" fillId="2" borderId="32" xfId="0" applyFont="1" applyFill="1" applyBorder="1" applyAlignment="1">
      <alignment horizontal="justify" wrapText="1" readingOrder="1"/>
    </xf>
  </cellXfs>
  <cellStyles count="6">
    <cellStyle name="Comma" xfId="3" builtinId="3"/>
    <cellStyle name="Comma 2" xfId="5" xr:uid="{00000000-0005-0000-0000-000001000000}"/>
    <cellStyle name="Normal" xfId="0" builtinId="0"/>
    <cellStyle name="Normal 2" xfId="1" xr:uid="{00000000-0005-0000-0000-000003000000}"/>
    <cellStyle name="Normal 3" xfId="4" xr:uid="{00000000-0005-0000-0000-000004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217001</xdr:colOff>
      <xdr:row>184</xdr:row>
      <xdr:rowOff>109322</xdr:rowOff>
    </xdr:from>
    <xdr:to>
      <xdr:col>9</xdr:col>
      <xdr:colOff>2333625</xdr:colOff>
      <xdr:row>186</xdr:row>
      <xdr:rowOff>508000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197BA85-D8D6-4977-ABBE-BB0307AE3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9251" y="42654322"/>
          <a:ext cx="2116624" cy="1795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363007</xdr:colOff>
      <xdr:row>184</xdr:row>
      <xdr:rowOff>274109</xdr:rowOff>
    </xdr:from>
    <xdr:to>
      <xdr:col>10</xdr:col>
      <xdr:colOff>2653354</xdr:colOff>
      <xdr:row>186</xdr:row>
      <xdr:rowOff>402167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E227DB-A3CC-4B35-8636-D6D1CD1CC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58757" y="42819109"/>
          <a:ext cx="2290347" cy="15250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s/Products/Shared%20Documents/Product/Scheme%20Portfolio/Half%20Yearly/WOCMF_HALF%20YEARLY_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YM001"/>
      <sheetName val="YM002"/>
      <sheetName val="YM00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89"/>
  <sheetViews>
    <sheetView tabSelected="1" zoomScale="90" zoomScaleNormal="90" workbookViewId="0">
      <selection activeCell="B1" sqref="B1:H1"/>
    </sheetView>
  </sheetViews>
  <sheetFormatPr defaultColWidth="8.85546875" defaultRowHeight="15"/>
  <cols>
    <col min="1" max="1" width="3.42578125" style="1" customWidth="1"/>
    <col min="2" max="2" width="48.85546875" style="1" customWidth="1"/>
    <col min="3" max="3" width="12.85546875" style="1" customWidth="1"/>
    <col min="4" max="4" width="25.5703125" style="1" customWidth="1"/>
    <col min="5" max="5" width="15.5703125" style="1" customWidth="1"/>
    <col min="6" max="6" width="27.42578125" style="1" customWidth="1"/>
    <col min="7" max="7" width="27.5703125" style="1" customWidth="1"/>
    <col min="8" max="8" width="21.140625" style="1" customWidth="1"/>
    <col min="9" max="9" width="30.28515625" style="1" customWidth="1"/>
    <col min="10" max="10" width="39" style="1" customWidth="1"/>
    <col min="11" max="11" width="44.42578125" style="1" customWidth="1"/>
    <col min="12" max="12" width="30.7109375" style="1" customWidth="1"/>
    <col min="13" max="13" width="15.85546875" style="1" customWidth="1"/>
    <col min="14" max="16384" width="8.85546875" style="1"/>
  </cols>
  <sheetData>
    <row r="1" spans="1:8" ht="15.75">
      <c r="B1" s="128" t="s">
        <v>11</v>
      </c>
      <c r="C1" s="128"/>
      <c r="D1" s="128"/>
      <c r="E1" s="128"/>
      <c r="F1" s="128"/>
      <c r="G1" s="128"/>
      <c r="H1" s="128"/>
    </row>
    <row r="2" spans="1:8" ht="15.75">
      <c r="B2" s="128" t="s">
        <v>238</v>
      </c>
      <c r="C2" s="128"/>
      <c r="D2" s="128"/>
      <c r="E2" s="128"/>
      <c r="F2" s="128"/>
      <c r="G2" s="128"/>
      <c r="H2" s="128"/>
    </row>
    <row r="3" spans="1:8" ht="15.75">
      <c r="B3" s="128" t="s">
        <v>256</v>
      </c>
      <c r="C3" s="128"/>
      <c r="D3" s="128"/>
      <c r="E3" s="128"/>
      <c r="F3" s="128"/>
      <c r="G3" s="128"/>
      <c r="H3" s="128"/>
    </row>
    <row r="4" spans="1:8" ht="15.75" thickBot="1">
      <c r="B4" s="30"/>
      <c r="C4" s="30"/>
      <c r="D4" s="30"/>
      <c r="E4" s="30"/>
      <c r="F4" s="30"/>
      <c r="G4" s="30"/>
      <c r="H4" s="30"/>
    </row>
    <row r="5" spans="1:8" ht="29.25" customHeight="1">
      <c r="A5" s="16"/>
      <c r="B5" s="36" t="s">
        <v>0</v>
      </c>
      <c r="C5" s="67" t="s">
        <v>1</v>
      </c>
      <c r="D5" s="67" t="s">
        <v>242</v>
      </c>
      <c r="E5" s="67" t="s">
        <v>2</v>
      </c>
      <c r="F5" s="67" t="s">
        <v>3</v>
      </c>
      <c r="G5" s="67" t="s">
        <v>4</v>
      </c>
      <c r="H5" s="68" t="s">
        <v>5</v>
      </c>
    </row>
    <row r="6" spans="1:8">
      <c r="A6" s="17"/>
      <c r="B6" s="55" t="s">
        <v>12</v>
      </c>
      <c r="C6" s="75"/>
      <c r="D6" s="75"/>
      <c r="E6" s="75"/>
      <c r="F6" s="75"/>
      <c r="G6" s="75"/>
      <c r="H6" s="76"/>
    </row>
    <row r="7" spans="1:8">
      <c r="A7" s="17"/>
      <c r="B7" s="55" t="s">
        <v>13</v>
      </c>
      <c r="C7" s="75"/>
      <c r="D7" s="75"/>
      <c r="E7" s="75"/>
      <c r="F7" s="75"/>
      <c r="G7" s="75"/>
      <c r="H7" s="76"/>
    </row>
    <row r="8" spans="1:8">
      <c r="A8" s="29" t="s">
        <v>14</v>
      </c>
      <c r="B8" s="50" t="s">
        <v>49</v>
      </c>
      <c r="C8" s="18" t="s">
        <v>50</v>
      </c>
      <c r="D8" s="18" t="s">
        <v>51</v>
      </c>
      <c r="E8" s="97">
        <v>666499</v>
      </c>
      <c r="F8" s="98">
        <v>1999.83</v>
      </c>
      <c r="G8" s="99">
        <v>3.8300000000000001E-2</v>
      </c>
      <c r="H8" s="106"/>
    </row>
    <row r="9" spans="1:8" ht="24">
      <c r="A9" s="29" t="s">
        <v>18</v>
      </c>
      <c r="B9" s="50" t="s">
        <v>23</v>
      </c>
      <c r="C9" s="18" t="s">
        <v>24</v>
      </c>
      <c r="D9" s="18" t="s">
        <v>25</v>
      </c>
      <c r="E9" s="97">
        <v>42634</v>
      </c>
      <c r="F9" s="98">
        <v>1820.73</v>
      </c>
      <c r="G9" s="99">
        <v>3.49E-2</v>
      </c>
      <c r="H9" s="106"/>
    </row>
    <row r="10" spans="1:8">
      <c r="A10" s="29"/>
      <c r="B10" s="50" t="s">
        <v>257</v>
      </c>
      <c r="C10" s="18" t="s">
        <v>42</v>
      </c>
      <c r="D10" s="18" t="s">
        <v>43</v>
      </c>
      <c r="E10" s="97">
        <v>1122109</v>
      </c>
      <c r="F10" s="98">
        <v>1484.55</v>
      </c>
      <c r="G10" s="99">
        <v>2.8400000000000002E-2</v>
      </c>
      <c r="H10" s="106"/>
    </row>
    <row r="11" spans="1:8" ht="24">
      <c r="A11" s="29"/>
      <c r="B11" s="50" t="s">
        <v>258</v>
      </c>
      <c r="C11" s="18" t="s">
        <v>280</v>
      </c>
      <c r="D11" s="18" t="s">
        <v>65</v>
      </c>
      <c r="E11" s="97">
        <v>623841</v>
      </c>
      <c r="F11" s="98">
        <v>1445.13</v>
      </c>
      <c r="G11" s="99">
        <v>2.7699999999999999E-2</v>
      </c>
      <c r="H11" s="106"/>
    </row>
    <row r="12" spans="1:8">
      <c r="A12" s="29"/>
      <c r="B12" s="50" t="s">
        <v>45</v>
      </c>
      <c r="C12" s="18" t="s">
        <v>46</v>
      </c>
      <c r="D12" s="18" t="s">
        <v>47</v>
      </c>
      <c r="E12" s="97">
        <v>10259</v>
      </c>
      <c r="F12" s="98">
        <v>1368.51</v>
      </c>
      <c r="G12" s="99">
        <v>2.6200000000000001E-2</v>
      </c>
      <c r="H12" s="106"/>
    </row>
    <row r="13" spans="1:8" ht="24">
      <c r="A13" s="29"/>
      <c r="B13" s="50" t="s">
        <v>19</v>
      </c>
      <c r="C13" s="18" t="s">
        <v>20</v>
      </c>
      <c r="D13" s="18" t="s">
        <v>21</v>
      </c>
      <c r="E13" s="97">
        <v>29414</v>
      </c>
      <c r="F13" s="98">
        <v>1355.84</v>
      </c>
      <c r="G13" s="99">
        <v>2.5999999999999999E-2</v>
      </c>
      <c r="H13" s="106"/>
    </row>
    <row r="14" spans="1:8">
      <c r="A14" s="29"/>
      <c r="B14" s="50" t="s">
        <v>27</v>
      </c>
      <c r="C14" s="18" t="s">
        <v>28</v>
      </c>
      <c r="D14" s="18" t="s">
        <v>29</v>
      </c>
      <c r="E14" s="97">
        <v>115888</v>
      </c>
      <c r="F14" s="98">
        <v>1320.14</v>
      </c>
      <c r="G14" s="99">
        <v>2.53E-2</v>
      </c>
      <c r="H14" s="106"/>
    </row>
    <row r="15" spans="1:8" ht="24">
      <c r="A15" s="29"/>
      <c r="B15" s="50" t="s">
        <v>79</v>
      </c>
      <c r="C15" s="18" t="s">
        <v>80</v>
      </c>
      <c r="D15" s="18" t="s">
        <v>81</v>
      </c>
      <c r="E15" s="97">
        <v>5554</v>
      </c>
      <c r="F15" s="98">
        <v>1225.48</v>
      </c>
      <c r="G15" s="99">
        <v>2.35E-2</v>
      </c>
      <c r="H15" s="106"/>
    </row>
    <row r="16" spans="1:8" ht="24">
      <c r="A16" s="29"/>
      <c r="B16" s="50" t="s">
        <v>31</v>
      </c>
      <c r="C16" s="18" t="s">
        <v>32</v>
      </c>
      <c r="D16" s="18" t="s">
        <v>21</v>
      </c>
      <c r="E16" s="97">
        <v>31989</v>
      </c>
      <c r="F16" s="98">
        <v>1220.0899999999999</v>
      </c>
      <c r="G16" s="99">
        <v>2.3400000000000001E-2</v>
      </c>
      <c r="H16" s="106"/>
    </row>
    <row r="17" spans="1:8" ht="24">
      <c r="A17" s="29"/>
      <c r="B17" s="50" t="s">
        <v>75</v>
      </c>
      <c r="C17" s="18" t="s">
        <v>76</v>
      </c>
      <c r="D17" s="18" t="s">
        <v>77</v>
      </c>
      <c r="E17" s="97">
        <v>192031</v>
      </c>
      <c r="F17" s="98">
        <v>1141.6199999999999</v>
      </c>
      <c r="G17" s="99">
        <v>2.1899999999999999E-2</v>
      </c>
      <c r="H17" s="106"/>
    </row>
    <row r="18" spans="1:8">
      <c r="A18" s="29"/>
      <c r="B18" s="50" t="s">
        <v>61</v>
      </c>
      <c r="C18" s="18" t="s">
        <v>62</v>
      </c>
      <c r="D18" s="18" t="s">
        <v>51</v>
      </c>
      <c r="E18" s="97">
        <v>49698</v>
      </c>
      <c r="F18" s="98">
        <v>1139.43</v>
      </c>
      <c r="G18" s="99">
        <v>2.18E-2</v>
      </c>
      <c r="H18" s="106"/>
    </row>
    <row r="19" spans="1:8">
      <c r="A19" s="29"/>
      <c r="B19" s="50" t="s">
        <v>87</v>
      </c>
      <c r="C19" s="18" t="s">
        <v>88</v>
      </c>
      <c r="D19" s="18" t="s">
        <v>55</v>
      </c>
      <c r="E19" s="97">
        <v>59431</v>
      </c>
      <c r="F19" s="98">
        <v>1116.3499999999999</v>
      </c>
      <c r="G19" s="99">
        <v>2.1399999999999999E-2</v>
      </c>
      <c r="H19" s="106"/>
    </row>
    <row r="20" spans="1:8" ht="24">
      <c r="A20" s="29"/>
      <c r="B20" s="50" t="s">
        <v>259</v>
      </c>
      <c r="C20" s="18" t="s">
        <v>281</v>
      </c>
      <c r="D20" s="18" t="s">
        <v>55</v>
      </c>
      <c r="E20" s="97">
        <v>37894</v>
      </c>
      <c r="F20" s="98">
        <v>1100.0999999999999</v>
      </c>
      <c r="G20" s="99">
        <v>2.1100000000000001E-2</v>
      </c>
      <c r="H20" s="106"/>
    </row>
    <row r="21" spans="1:8" ht="24">
      <c r="A21" s="29"/>
      <c r="B21" s="50" t="s">
        <v>38</v>
      </c>
      <c r="C21" s="18" t="s">
        <v>39</v>
      </c>
      <c r="D21" s="18" t="s">
        <v>40</v>
      </c>
      <c r="E21" s="97">
        <v>81538</v>
      </c>
      <c r="F21" s="98">
        <v>1060.77</v>
      </c>
      <c r="G21" s="99">
        <v>2.0299999999999999E-2</v>
      </c>
      <c r="H21" s="106"/>
    </row>
    <row r="22" spans="1:8" ht="24">
      <c r="A22" s="29"/>
      <c r="B22" s="50" t="s">
        <v>34</v>
      </c>
      <c r="C22" s="18" t="s">
        <v>35</v>
      </c>
      <c r="D22" s="18" t="s">
        <v>36</v>
      </c>
      <c r="E22" s="97">
        <v>36723</v>
      </c>
      <c r="F22" s="98">
        <v>1050.76</v>
      </c>
      <c r="G22" s="99">
        <v>2.01E-2</v>
      </c>
      <c r="H22" s="106"/>
    </row>
    <row r="23" spans="1:8">
      <c r="A23" s="29"/>
      <c r="B23" s="50" t="s">
        <v>67</v>
      </c>
      <c r="C23" s="18" t="s">
        <v>68</v>
      </c>
      <c r="D23" s="18" t="s">
        <v>55</v>
      </c>
      <c r="E23" s="97">
        <v>75935</v>
      </c>
      <c r="F23" s="98">
        <v>1015.25</v>
      </c>
      <c r="G23" s="99">
        <v>1.9400000000000001E-2</v>
      </c>
      <c r="H23" s="106"/>
    </row>
    <row r="24" spans="1:8">
      <c r="A24" s="29"/>
      <c r="B24" s="50" t="s">
        <v>260</v>
      </c>
      <c r="C24" s="18" t="s">
        <v>282</v>
      </c>
      <c r="D24" s="18" t="s">
        <v>120</v>
      </c>
      <c r="E24" s="97">
        <v>99825</v>
      </c>
      <c r="F24" s="98">
        <v>961.12</v>
      </c>
      <c r="G24" s="99">
        <v>1.84E-2</v>
      </c>
      <c r="H24" s="106"/>
    </row>
    <row r="25" spans="1:8">
      <c r="A25" s="29"/>
      <c r="B25" s="50" t="s">
        <v>118</v>
      </c>
      <c r="C25" s="18" t="s">
        <v>119</v>
      </c>
      <c r="D25" s="18" t="s">
        <v>120</v>
      </c>
      <c r="E25" s="97">
        <v>2509</v>
      </c>
      <c r="F25" s="98">
        <v>912.9</v>
      </c>
      <c r="G25" s="99">
        <v>1.7500000000000002E-2</v>
      </c>
      <c r="H25" s="106"/>
    </row>
    <row r="26" spans="1:8" ht="24">
      <c r="A26" s="29" t="s">
        <v>22</v>
      </c>
      <c r="B26" s="50" t="s">
        <v>127</v>
      </c>
      <c r="C26" s="18" t="s">
        <v>128</v>
      </c>
      <c r="D26" s="18" t="s">
        <v>109</v>
      </c>
      <c r="E26" s="97">
        <v>45483</v>
      </c>
      <c r="F26" s="98">
        <v>887.58</v>
      </c>
      <c r="G26" s="99">
        <v>1.7000000000000001E-2</v>
      </c>
      <c r="H26" s="106"/>
    </row>
    <row r="27" spans="1:8" ht="24">
      <c r="A27" s="29" t="s">
        <v>26</v>
      </c>
      <c r="B27" s="50" t="s">
        <v>261</v>
      </c>
      <c r="C27" s="18" t="s">
        <v>283</v>
      </c>
      <c r="D27" s="18" t="s">
        <v>284</v>
      </c>
      <c r="E27" s="97">
        <v>51679</v>
      </c>
      <c r="F27" s="98">
        <v>882.6</v>
      </c>
      <c r="G27" s="99">
        <v>1.6899999999999998E-2</v>
      </c>
      <c r="H27" s="106"/>
    </row>
    <row r="28" spans="1:8" ht="24">
      <c r="A28" s="29" t="s">
        <v>30</v>
      </c>
      <c r="B28" s="50" t="s">
        <v>57</v>
      </c>
      <c r="C28" s="18" t="s">
        <v>58</v>
      </c>
      <c r="D28" s="18" t="s">
        <v>59</v>
      </c>
      <c r="E28" s="97">
        <v>191983</v>
      </c>
      <c r="F28" s="98">
        <v>818.04</v>
      </c>
      <c r="G28" s="99">
        <v>1.5699999999999999E-2</v>
      </c>
      <c r="H28" s="106"/>
    </row>
    <row r="29" spans="1:8" ht="24">
      <c r="A29" s="29" t="s">
        <v>33</v>
      </c>
      <c r="B29" s="50" t="s">
        <v>104</v>
      </c>
      <c r="C29" s="18" t="s">
        <v>105</v>
      </c>
      <c r="D29" s="18" t="s">
        <v>65</v>
      </c>
      <c r="E29" s="97">
        <v>161649</v>
      </c>
      <c r="F29" s="98">
        <v>789.01</v>
      </c>
      <c r="G29" s="99">
        <v>1.5100000000000001E-2</v>
      </c>
      <c r="H29" s="106"/>
    </row>
    <row r="30" spans="1:8" ht="24">
      <c r="A30" s="29" t="s">
        <v>37</v>
      </c>
      <c r="B30" s="50" t="s">
        <v>262</v>
      </c>
      <c r="C30" s="18" t="s">
        <v>285</v>
      </c>
      <c r="D30" s="18" t="s">
        <v>65</v>
      </c>
      <c r="E30" s="97">
        <v>487803</v>
      </c>
      <c r="F30" s="98">
        <v>740.24</v>
      </c>
      <c r="G30" s="99">
        <v>1.4200000000000001E-2</v>
      </c>
      <c r="H30" s="106"/>
    </row>
    <row r="31" spans="1:8">
      <c r="A31" s="29" t="s">
        <v>41</v>
      </c>
      <c r="B31" s="50" t="s">
        <v>107</v>
      </c>
      <c r="C31" s="18" t="s">
        <v>108</v>
      </c>
      <c r="D31" s="18" t="s">
        <v>109</v>
      </c>
      <c r="E31" s="97">
        <v>74441</v>
      </c>
      <c r="F31" s="98">
        <v>728.03</v>
      </c>
      <c r="G31" s="99">
        <v>1.3899999999999999E-2</v>
      </c>
      <c r="H31" s="106"/>
    </row>
    <row r="32" spans="1:8" ht="24">
      <c r="A32" s="29" t="s">
        <v>44</v>
      </c>
      <c r="B32" s="50" t="s">
        <v>263</v>
      </c>
      <c r="C32" s="18" t="s">
        <v>286</v>
      </c>
      <c r="D32" s="18" t="s">
        <v>77</v>
      </c>
      <c r="E32" s="97">
        <v>162437</v>
      </c>
      <c r="F32" s="98">
        <v>716.51</v>
      </c>
      <c r="G32" s="99">
        <v>1.37E-2</v>
      </c>
      <c r="H32" s="106"/>
    </row>
    <row r="33" spans="1:8">
      <c r="A33" s="29" t="s">
        <v>48</v>
      </c>
      <c r="B33" s="50" t="s">
        <v>264</v>
      </c>
      <c r="C33" s="18" t="s">
        <v>287</v>
      </c>
      <c r="D33" s="18" t="s">
        <v>36</v>
      </c>
      <c r="E33" s="97">
        <v>89252</v>
      </c>
      <c r="F33" s="98">
        <v>709.24</v>
      </c>
      <c r="G33" s="99">
        <v>1.3599999999999999E-2</v>
      </c>
      <c r="H33" s="106"/>
    </row>
    <row r="34" spans="1:8">
      <c r="A34" s="29" t="s">
        <v>52</v>
      </c>
      <c r="B34" s="50" t="s">
        <v>265</v>
      </c>
      <c r="C34" s="18" t="s">
        <v>288</v>
      </c>
      <c r="D34" s="18" t="s">
        <v>77</v>
      </c>
      <c r="E34" s="97">
        <v>266138</v>
      </c>
      <c r="F34" s="98">
        <v>691.69</v>
      </c>
      <c r="G34" s="99">
        <v>1.32E-2</v>
      </c>
      <c r="H34" s="106"/>
    </row>
    <row r="35" spans="1:8" ht="24">
      <c r="A35" s="29" t="s">
        <v>56</v>
      </c>
      <c r="B35" s="50" t="s">
        <v>130</v>
      </c>
      <c r="C35" s="18" t="s">
        <v>131</v>
      </c>
      <c r="D35" s="18" t="s">
        <v>132</v>
      </c>
      <c r="E35" s="97">
        <v>148516</v>
      </c>
      <c r="F35" s="98">
        <v>682.58</v>
      </c>
      <c r="G35" s="99">
        <v>1.3100000000000001E-2</v>
      </c>
      <c r="H35" s="106"/>
    </row>
    <row r="36" spans="1:8">
      <c r="A36" s="29" t="s">
        <v>60</v>
      </c>
      <c r="B36" s="50" t="s">
        <v>266</v>
      </c>
      <c r="C36" s="18" t="s">
        <v>289</v>
      </c>
      <c r="D36" s="18" t="s">
        <v>65</v>
      </c>
      <c r="E36" s="97">
        <v>155376</v>
      </c>
      <c r="F36" s="98">
        <v>669.2</v>
      </c>
      <c r="G36" s="99">
        <v>1.2800000000000001E-2</v>
      </c>
      <c r="H36" s="106"/>
    </row>
    <row r="37" spans="1:8" ht="24">
      <c r="A37" s="29" t="s">
        <v>63</v>
      </c>
      <c r="B37" s="50" t="s">
        <v>91</v>
      </c>
      <c r="C37" s="18" t="s">
        <v>92</v>
      </c>
      <c r="D37" s="18" t="s">
        <v>81</v>
      </c>
      <c r="E37" s="97">
        <v>51189</v>
      </c>
      <c r="F37" s="98">
        <v>618.77</v>
      </c>
      <c r="G37" s="99">
        <v>1.18E-2</v>
      </c>
      <c r="H37" s="106"/>
    </row>
    <row r="38" spans="1:8" ht="24">
      <c r="A38" s="29" t="s">
        <v>66</v>
      </c>
      <c r="B38" s="50" t="s">
        <v>53</v>
      </c>
      <c r="C38" s="18" t="s">
        <v>54</v>
      </c>
      <c r="D38" s="18" t="s">
        <v>55</v>
      </c>
      <c r="E38" s="97">
        <v>180908</v>
      </c>
      <c r="F38" s="98">
        <v>606.13</v>
      </c>
      <c r="G38" s="99">
        <v>1.1599999999999999E-2</v>
      </c>
      <c r="H38" s="106"/>
    </row>
    <row r="39" spans="1:8" ht="24">
      <c r="A39" s="29" t="s">
        <v>69</v>
      </c>
      <c r="B39" s="50" t="s">
        <v>267</v>
      </c>
      <c r="C39" s="18" t="s">
        <v>290</v>
      </c>
      <c r="D39" s="18" t="s">
        <v>291</v>
      </c>
      <c r="E39" s="97">
        <v>43413</v>
      </c>
      <c r="F39" s="98">
        <v>602.14</v>
      </c>
      <c r="G39" s="99">
        <v>1.15E-2</v>
      </c>
      <c r="H39" s="106"/>
    </row>
    <row r="40" spans="1:8">
      <c r="A40" s="29" t="s">
        <v>73</v>
      </c>
      <c r="B40" s="50" t="s">
        <v>83</v>
      </c>
      <c r="C40" s="18" t="s">
        <v>84</v>
      </c>
      <c r="D40" s="18" t="s">
        <v>29</v>
      </c>
      <c r="E40" s="97">
        <v>43538</v>
      </c>
      <c r="F40" s="98">
        <v>598.63</v>
      </c>
      <c r="G40" s="99">
        <v>1.15E-2</v>
      </c>
      <c r="H40" s="106"/>
    </row>
    <row r="41" spans="1:8" ht="24">
      <c r="A41" s="29" t="s">
        <v>74</v>
      </c>
      <c r="B41" s="50" t="s">
        <v>15</v>
      </c>
      <c r="C41" s="18" t="s">
        <v>16</v>
      </c>
      <c r="D41" s="18" t="s">
        <v>17</v>
      </c>
      <c r="E41" s="97">
        <v>1557</v>
      </c>
      <c r="F41" s="98">
        <v>590.15</v>
      </c>
      <c r="G41" s="99">
        <v>1.1299999999999999E-2</v>
      </c>
      <c r="H41" s="106"/>
    </row>
    <row r="42" spans="1:8">
      <c r="A42" s="29" t="s">
        <v>78</v>
      </c>
      <c r="B42" s="50" t="s">
        <v>155</v>
      </c>
      <c r="C42" s="18" t="s">
        <v>156</v>
      </c>
      <c r="D42" s="18" t="s">
        <v>157</v>
      </c>
      <c r="E42" s="97">
        <v>2512</v>
      </c>
      <c r="F42" s="98">
        <v>576.85</v>
      </c>
      <c r="G42" s="99">
        <v>1.0999999999999999E-2</v>
      </c>
      <c r="H42" s="106"/>
    </row>
    <row r="43" spans="1:8">
      <c r="A43" s="29" t="s">
        <v>82</v>
      </c>
      <c r="B43" s="50" t="s">
        <v>94</v>
      </c>
      <c r="C43" s="18" t="s">
        <v>95</v>
      </c>
      <c r="D43" s="18" t="s">
        <v>96</v>
      </c>
      <c r="E43" s="97">
        <v>174130</v>
      </c>
      <c r="F43" s="98">
        <v>576.63</v>
      </c>
      <c r="G43" s="99">
        <v>1.0999999999999999E-2</v>
      </c>
      <c r="H43" s="106"/>
    </row>
    <row r="44" spans="1:8">
      <c r="A44" s="29" t="s">
        <v>85</v>
      </c>
      <c r="B44" s="38" t="s">
        <v>189</v>
      </c>
      <c r="C44" s="18" t="s">
        <v>190</v>
      </c>
      <c r="D44" s="18" t="s">
        <v>59</v>
      </c>
      <c r="E44" s="97">
        <v>14065</v>
      </c>
      <c r="F44" s="98">
        <v>573.52</v>
      </c>
      <c r="G44" s="99">
        <v>1.0999999999999999E-2</v>
      </c>
      <c r="H44" s="106"/>
    </row>
    <row r="45" spans="1:8" ht="24">
      <c r="A45" s="29" t="s">
        <v>86</v>
      </c>
      <c r="B45" s="38" t="s">
        <v>268</v>
      </c>
      <c r="C45" s="18" t="s">
        <v>292</v>
      </c>
      <c r="D45" s="18" t="s">
        <v>81</v>
      </c>
      <c r="E45" s="97">
        <v>70763</v>
      </c>
      <c r="F45" s="98">
        <v>573.42999999999995</v>
      </c>
      <c r="G45" s="99">
        <v>1.0999999999999999E-2</v>
      </c>
      <c r="H45" s="106"/>
    </row>
    <row r="46" spans="1:8" ht="24">
      <c r="A46" s="29" t="s">
        <v>89</v>
      </c>
      <c r="B46" s="38" t="s">
        <v>269</v>
      </c>
      <c r="C46" s="18" t="s">
        <v>293</v>
      </c>
      <c r="D46" s="18" t="s">
        <v>146</v>
      </c>
      <c r="E46" s="97">
        <v>153250</v>
      </c>
      <c r="F46" s="98">
        <v>555.67999999999995</v>
      </c>
      <c r="G46" s="99">
        <v>1.06E-2</v>
      </c>
      <c r="H46" s="106"/>
    </row>
    <row r="47" spans="1:8" ht="24">
      <c r="A47" s="29" t="s">
        <v>90</v>
      </c>
      <c r="B47" s="38" t="s">
        <v>134</v>
      </c>
      <c r="C47" s="18" t="s">
        <v>135</v>
      </c>
      <c r="D47" s="18" t="s">
        <v>36</v>
      </c>
      <c r="E47" s="97">
        <v>25979</v>
      </c>
      <c r="F47" s="98">
        <v>532.01</v>
      </c>
      <c r="G47" s="99">
        <v>1.0200000000000001E-2</v>
      </c>
      <c r="H47" s="106"/>
    </row>
    <row r="48" spans="1:8" ht="24">
      <c r="A48" s="29" t="s">
        <v>93</v>
      </c>
      <c r="B48" s="38" t="s">
        <v>270</v>
      </c>
      <c r="C48" s="18" t="s">
        <v>294</v>
      </c>
      <c r="D48" s="18" t="s">
        <v>77</v>
      </c>
      <c r="E48" s="97">
        <v>96008</v>
      </c>
      <c r="F48" s="98">
        <v>505.91</v>
      </c>
      <c r="G48" s="99">
        <v>9.7000000000000003E-3</v>
      </c>
      <c r="H48" s="106"/>
    </row>
    <row r="49" spans="1:8">
      <c r="A49" s="29" t="s">
        <v>97</v>
      </c>
      <c r="B49" s="38" t="s">
        <v>98</v>
      </c>
      <c r="C49" s="18" t="s">
        <v>99</v>
      </c>
      <c r="D49" s="18" t="s">
        <v>17</v>
      </c>
      <c r="E49" s="97">
        <v>17358</v>
      </c>
      <c r="F49" s="98">
        <v>505.14</v>
      </c>
      <c r="G49" s="99">
        <v>9.7000000000000003E-3</v>
      </c>
      <c r="H49" s="106"/>
    </row>
    <row r="50" spans="1:8">
      <c r="A50" s="29" t="s">
        <v>100</v>
      </c>
      <c r="B50" s="38" t="s">
        <v>115</v>
      </c>
      <c r="C50" s="18" t="s">
        <v>116</v>
      </c>
      <c r="D50" s="18" t="s">
        <v>59</v>
      </c>
      <c r="E50" s="97">
        <v>16215</v>
      </c>
      <c r="F50" s="98">
        <v>491.35</v>
      </c>
      <c r="G50" s="99">
        <v>9.4000000000000004E-3</v>
      </c>
      <c r="H50" s="106"/>
    </row>
    <row r="51" spans="1:8" ht="24">
      <c r="A51" s="29" t="s">
        <v>103</v>
      </c>
      <c r="B51" s="38" t="s">
        <v>271</v>
      </c>
      <c r="C51" s="18" t="s">
        <v>295</v>
      </c>
      <c r="D51" s="18" t="s">
        <v>77</v>
      </c>
      <c r="E51" s="97">
        <v>66038</v>
      </c>
      <c r="F51" s="98">
        <v>482.41</v>
      </c>
      <c r="G51" s="99">
        <v>9.1999999999999998E-3</v>
      </c>
      <c r="H51" s="106"/>
    </row>
    <row r="52" spans="1:8">
      <c r="A52" s="29" t="s">
        <v>106</v>
      </c>
      <c r="B52" s="38" t="s">
        <v>123</v>
      </c>
      <c r="C52" s="18" t="s">
        <v>124</v>
      </c>
      <c r="D52" s="18" t="s">
        <v>43</v>
      </c>
      <c r="E52" s="97">
        <v>83365</v>
      </c>
      <c r="F52" s="98">
        <v>436.62</v>
      </c>
      <c r="G52" s="99">
        <v>8.3999999999999995E-3</v>
      </c>
      <c r="H52" s="106"/>
    </row>
    <row r="53" spans="1:8">
      <c r="A53" s="29" t="s">
        <v>110</v>
      </c>
      <c r="B53" s="38" t="s">
        <v>159</v>
      </c>
      <c r="C53" s="18" t="s">
        <v>160</v>
      </c>
      <c r="D53" s="18" t="s">
        <v>161</v>
      </c>
      <c r="E53" s="97">
        <v>30998</v>
      </c>
      <c r="F53" s="98">
        <v>426.44</v>
      </c>
      <c r="G53" s="99">
        <v>8.2000000000000007E-3</v>
      </c>
      <c r="H53" s="106"/>
    </row>
    <row r="54" spans="1:8">
      <c r="A54" s="29" t="s">
        <v>114</v>
      </c>
      <c r="B54" s="38" t="s">
        <v>101</v>
      </c>
      <c r="C54" s="18" t="s">
        <v>102</v>
      </c>
      <c r="D54" s="18" t="s">
        <v>36</v>
      </c>
      <c r="E54" s="97">
        <v>119846</v>
      </c>
      <c r="F54" s="98">
        <v>399.45</v>
      </c>
      <c r="G54" s="99">
        <v>7.6E-3</v>
      </c>
      <c r="H54" s="106"/>
    </row>
    <row r="55" spans="1:8">
      <c r="A55" s="29" t="s">
        <v>117</v>
      </c>
      <c r="B55" s="38" t="s">
        <v>272</v>
      </c>
      <c r="C55" s="18" t="s">
        <v>64</v>
      </c>
      <c r="D55" s="18" t="s">
        <v>65</v>
      </c>
      <c r="E55" s="97">
        <v>50708</v>
      </c>
      <c r="F55" s="98">
        <v>386.04</v>
      </c>
      <c r="G55" s="99">
        <v>7.4000000000000003E-3</v>
      </c>
      <c r="H55" s="106"/>
    </row>
    <row r="56" spans="1:8" ht="24">
      <c r="A56" s="29" t="s">
        <v>121</v>
      </c>
      <c r="B56" s="38" t="s">
        <v>273</v>
      </c>
      <c r="C56" s="18" t="s">
        <v>296</v>
      </c>
      <c r="D56" s="18" t="s">
        <v>29</v>
      </c>
      <c r="E56" s="97">
        <v>551180</v>
      </c>
      <c r="F56" s="98">
        <v>365.16</v>
      </c>
      <c r="G56" s="99">
        <v>7.0000000000000001E-3</v>
      </c>
      <c r="H56" s="106"/>
    </row>
    <row r="57" spans="1:8">
      <c r="A57" s="29" t="s">
        <v>122</v>
      </c>
      <c r="B57" s="38" t="s">
        <v>141</v>
      </c>
      <c r="C57" s="18" t="s">
        <v>142</v>
      </c>
      <c r="D57" s="18" t="s">
        <v>43</v>
      </c>
      <c r="E57" s="97">
        <v>40675</v>
      </c>
      <c r="F57" s="98">
        <v>356.82</v>
      </c>
      <c r="G57" s="99">
        <v>6.7999999999999996E-3</v>
      </c>
      <c r="H57" s="106"/>
    </row>
    <row r="58" spans="1:8" ht="24">
      <c r="A58" s="29" t="s">
        <v>125</v>
      </c>
      <c r="B58" s="38" t="s">
        <v>152</v>
      </c>
      <c r="C58" s="18" t="s">
        <v>153</v>
      </c>
      <c r="D58" s="18" t="s">
        <v>55</v>
      </c>
      <c r="E58" s="97">
        <v>54466</v>
      </c>
      <c r="F58" s="98">
        <v>343.3</v>
      </c>
      <c r="G58" s="99">
        <v>6.6E-3</v>
      </c>
      <c r="H58" s="106"/>
    </row>
    <row r="59" spans="1:8">
      <c r="A59" s="29" t="s">
        <v>126</v>
      </c>
      <c r="B59" s="38" t="s">
        <v>166</v>
      </c>
      <c r="C59" s="18" t="s">
        <v>167</v>
      </c>
      <c r="D59" s="18" t="s">
        <v>168</v>
      </c>
      <c r="E59" s="97">
        <v>77039</v>
      </c>
      <c r="F59" s="98">
        <v>312.27999999999997</v>
      </c>
      <c r="G59" s="99">
        <v>6.0000000000000001E-3</v>
      </c>
      <c r="H59" s="106"/>
    </row>
    <row r="60" spans="1:8">
      <c r="A60" s="29" t="s">
        <v>129</v>
      </c>
      <c r="B60" s="38" t="s">
        <v>170</v>
      </c>
      <c r="C60" s="18" t="s">
        <v>171</v>
      </c>
      <c r="D60" s="18" t="s">
        <v>172</v>
      </c>
      <c r="E60" s="97">
        <v>120615</v>
      </c>
      <c r="F60" s="98">
        <v>306</v>
      </c>
      <c r="G60" s="99">
        <v>5.8999999999999999E-3</v>
      </c>
      <c r="H60" s="106"/>
    </row>
    <row r="61" spans="1:8">
      <c r="A61" s="29" t="s">
        <v>133</v>
      </c>
      <c r="B61" s="38" t="s">
        <v>137</v>
      </c>
      <c r="C61" s="18" t="s">
        <v>138</v>
      </c>
      <c r="D61" s="18" t="s">
        <v>51</v>
      </c>
      <c r="E61" s="97">
        <v>8556</v>
      </c>
      <c r="F61" s="98">
        <v>287.92</v>
      </c>
      <c r="G61" s="99">
        <v>5.4999999999999997E-3</v>
      </c>
      <c r="H61" s="106"/>
    </row>
    <row r="62" spans="1:8">
      <c r="A62" s="29" t="s">
        <v>136</v>
      </c>
      <c r="B62" s="38" t="s">
        <v>274</v>
      </c>
      <c r="C62" s="18" t="s">
        <v>297</v>
      </c>
      <c r="D62" s="18" t="s">
        <v>36</v>
      </c>
      <c r="E62" s="97">
        <v>20725</v>
      </c>
      <c r="F62" s="98">
        <v>285.83</v>
      </c>
      <c r="G62" s="99">
        <v>5.4999999999999997E-3</v>
      </c>
      <c r="H62" s="106"/>
    </row>
    <row r="63" spans="1:8" ht="24">
      <c r="A63" s="29" t="s">
        <v>139</v>
      </c>
      <c r="B63" s="38" t="s">
        <v>275</v>
      </c>
      <c r="C63" s="18" t="s">
        <v>298</v>
      </c>
      <c r="D63" s="18" t="s">
        <v>17</v>
      </c>
      <c r="E63" s="97">
        <v>76458</v>
      </c>
      <c r="F63" s="98">
        <v>272.19</v>
      </c>
      <c r="G63" s="99">
        <v>5.1999999999999998E-3</v>
      </c>
      <c r="H63" s="106"/>
    </row>
    <row r="64" spans="1:8">
      <c r="A64" s="29" t="s">
        <v>140</v>
      </c>
      <c r="B64" s="38" t="s">
        <v>70</v>
      </c>
      <c r="C64" s="18" t="s">
        <v>71</v>
      </c>
      <c r="D64" s="18" t="s">
        <v>72</v>
      </c>
      <c r="E64" s="97">
        <v>71972</v>
      </c>
      <c r="F64" s="98">
        <v>263.08999999999997</v>
      </c>
      <c r="G64" s="99">
        <v>5.0000000000000001E-3</v>
      </c>
      <c r="H64" s="106"/>
    </row>
    <row r="65" spans="1:8" ht="24">
      <c r="A65" s="29" t="s">
        <v>143</v>
      </c>
      <c r="B65" s="38" t="s">
        <v>276</v>
      </c>
      <c r="C65" s="18" t="s">
        <v>299</v>
      </c>
      <c r="D65" s="18" t="s">
        <v>36</v>
      </c>
      <c r="E65" s="97">
        <v>76138</v>
      </c>
      <c r="F65" s="98">
        <v>258.49</v>
      </c>
      <c r="G65" s="99">
        <v>4.8999999999999998E-3</v>
      </c>
      <c r="H65" s="106"/>
    </row>
    <row r="66" spans="1:8">
      <c r="A66" s="29" t="s">
        <v>147</v>
      </c>
      <c r="B66" s="38" t="s">
        <v>277</v>
      </c>
      <c r="C66" s="18" t="s">
        <v>300</v>
      </c>
      <c r="D66" s="18" t="s">
        <v>55</v>
      </c>
      <c r="E66" s="97">
        <v>15631</v>
      </c>
      <c r="F66" s="98">
        <v>255.96</v>
      </c>
      <c r="G66" s="99">
        <v>4.8999999999999998E-3</v>
      </c>
      <c r="H66" s="106"/>
    </row>
    <row r="67" spans="1:8" ht="24">
      <c r="A67" s="29" t="s">
        <v>151</v>
      </c>
      <c r="B67" s="38" t="s">
        <v>181</v>
      </c>
      <c r="C67" s="18" t="s">
        <v>182</v>
      </c>
      <c r="D67" s="18" t="s">
        <v>183</v>
      </c>
      <c r="E67" s="97">
        <v>26183</v>
      </c>
      <c r="F67" s="98">
        <v>249.43</v>
      </c>
      <c r="G67" s="99">
        <v>4.7999999999999996E-3</v>
      </c>
      <c r="H67" s="106"/>
    </row>
    <row r="68" spans="1:8" ht="24">
      <c r="A68" s="29" t="s">
        <v>154</v>
      </c>
      <c r="B68" s="38" t="s">
        <v>278</v>
      </c>
      <c r="C68" s="18" t="s">
        <v>301</v>
      </c>
      <c r="D68" s="18" t="s">
        <v>120</v>
      </c>
      <c r="E68" s="97">
        <v>35264</v>
      </c>
      <c r="F68" s="98">
        <v>247.36</v>
      </c>
      <c r="G68" s="99">
        <v>4.7000000000000002E-3</v>
      </c>
      <c r="H68" s="106"/>
    </row>
    <row r="69" spans="1:8" ht="24">
      <c r="A69" s="29" t="s">
        <v>158</v>
      </c>
      <c r="B69" s="38" t="s">
        <v>144</v>
      </c>
      <c r="C69" s="18" t="s">
        <v>145</v>
      </c>
      <c r="D69" s="18" t="s">
        <v>146</v>
      </c>
      <c r="E69" s="97">
        <v>39691</v>
      </c>
      <c r="F69" s="98">
        <v>184.07</v>
      </c>
      <c r="G69" s="99">
        <v>3.5000000000000001E-3</v>
      </c>
      <c r="H69" s="106"/>
    </row>
    <row r="70" spans="1:8">
      <c r="A70" s="29" t="s">
        <v>162</v>
      </c>
      <c r="B70" s="38" t="s">
        <v>177</v>
      </c>
      <c r="C70" s="18" t="s">
        <v>178</v>
      </c>
      <c r="D70" s="18" t="s">
        <v>43</v>
      </c>
      <c r="E70" s="97">
        <v>11321</v>
      </c>
      <c r="F70" s="98">
        <v>182.22</v>
      </c>
      <c r="G70" s="99">
        <v>3.5000000000000001E-3</v>
      </c>
      <c r="H70" s="106"/>
    </row>
    <row r="71" spans="1:8" ht="24">
      <c r="A71" s="29" t="s">
        <v>165</v>
      </c>
      <c r="B71" s="38" t="s">
        <v>148</v>
      </c>
      <c r="C71" s="18" t="s">
        <v>149</v>
      </c>
      <c r="D71" s="18" t="s">
        <v>150</v>
      </c>
      <c r="E71" s="97">
        <v>13721</v>
      </c>
      <c r="F71" s="98">
        <v>172.53</v>
      </c>
      <c r="G71" s="99">
        <v>3.3E-3</v>
      </c>
      <c r="H71" s="106"/>
    </row>
    <row r="72" spans="1:8" ht="24">
      <c r="A72" s="29" t="s">
        <v>169</v>
      </c>
      <c r="B72" s="38" t="s">
        <v>185</v>
      </c>
      <c r="C72" s="18" t="s">
        <v>186</v>
      </c>
      <c r="D72" s="18" t="s">
        <v>29</v>
      </c>
      <c r="E72" s="97">
        <v>16447</v>
      </c>
      <c r="F72" s="98">
        <v>165.23</v>
      </c>
      <c r="G72" s="99">
        <v>3.2000000000000002E-3</v>
      </c>
      <c r="H72" s="106"/>
    </row>
    <row r="73" spans="1:8" ht="24">
      <c r="A73" s="29" t="s">
        <v>173</v>
      </c>
      <c r="B73" s="38" t="s">
        <v>279</v>
      </c>
      <c r="C73" s="18" t="s">
        <v>302</v>
      </c>
      <c r="D73" s="18" t="s">
        <v>303</v>
      </c>
      <c r="E73" s="97">
        <v>242165</v>
      </c>
      <c r="F73" s="98">
        <v>157.65</v>
      </c>
      <c r="G73" s="99">
        <v>3.0000000000000001E-3</v>
      </c>
      <c r="H73" s="106"/>
    </row>
    <row r="74" spans="1:8">
      <c r="A74" s="29" t="s">
        <v>176</v>
      </c>
      <c r="B74" s="38" t="s">
        <v>111</v>
      </c>
      <c r="C74" s="18" t="s">
        <v>112</v>
      </c>
      <c r="D74" s="18" t="s">
        <v>113</v>
      </c>
      <c r="E74" s="97">
        <v>107521</v>
      </c>
      <c r="F74" s="98">
        <v>155.53</v>
      </c>
      <c r="G74" s="99">
        <v>3.0000000000000001E-3</v>
      </c>
      <c r="H74" s="106"/>
    </row>
    <row r="75" spans="1:8">
      <c r="A75" s="29" t="s">
        <v>179</v>
      </c>
      <c r="B75" s="38" t="s">
        <v>163</v>
      </c>
      <c r="C75" s="18" t="s">
        <v>164</v>
      </c>
      <c r="D75" s="18" t="s">
        <v>29</v>
      </c>
      <c r="E75" s="97">
        <v>3957</v>
      </c>
      <c r="F75" s="98">
        <v>147.34</v>
      </c>
      <c r="G75" s="99">
        <v>2.8E-3</v>
      </c>
      <c r="H75" s="106"/>
    </row>
    <row r="76" spans="1:8" ht="24">
      <c r="A76" s="29" t="s">
        <v>180</v>
      </c>
      <c r="B76" s="38" t="s">
        <v>174</v>
      </c>
      <c r="C76" s="18" t="s">
        <v>175</v>
      </c>
      <c r="D76" s="18" t="s">
        <v>55</v>
      </c>
      <c r="E76" s="97">
        <v>12702</v>
      </c>
      <c r="F76" s="98">
        <v>130.63</v>
      </c>
      <c r="G76" s="99">
        <v>2.5000000000000001E-3</v>
      </c>
      <c r="H76" s="106"/>
    </row>
    <row r="77" spans="1:8">
      <c r="A77" s="29" t="s">
        <v>184</v>
      </c>
      <c r="B77" s="38" t="s">
        <v>187</v>
      </c>
      <c r="C77" s="18" t="s">
        <v>188</v>
      </c>
      <c r="D77" s="18" t="s">
        <v>25</v>
      </c>
      <c r="E77" s="97">
        <v>2649</v>
      </c>
      <c r="F77" s="98">
        <v>114.09</v>
      </c>
      <c r="G77" s="99">
        <v>2.2000000000000001E-3</v>
      </c>
      <c r="H77" s="106"/>
    </row>
    <row r="78" spans="1:8">
      <c r="A78" s="17"/>
      <c r="B78" s="37" t="s">
        <v>6</v>
      </c>
      <c r="C78" s="18"/>
      <c r="D78" s="18"/>
      <c r="E78" s="22"/>
      <c r="F78" s="34">
        <f>SUM(F8:F77)</f>
        <v>46303.74</v>
      </c>
      <c r="G78" s="32">
        <f>SUM(G8:G77)</f>
        <v>0.88669999999999971</v>
      </c>
      <c r="H78" s="53"/>
    </row>
    <row r="79" spans="1:8">
      <c r="A79" s="31"/>
      <c r="B79" s="40" t="s">
        <v>191</v>
      </c>
      <c r="C79" s="20"/>
      <c r="D79" s="20"/>
      <c r="E79" s="23"/>
      <c r="F79" s="35"/>
      <c r="G79" s="33"/>
      <c r="H79" s="39"/>
    </row>
    <row r="80" spans="1:8">
      <c r="A80" s="29" t="s">
        <v>192</v>
      </c>
      <c r="B80" s="51" t="s">
        <v>193</v>
      </c>
      <c r="C80" s="20"/>
      <c r="D80" s="18" t="s">
        <v>65</v>
      </c>
      <c r="E80" s="97">
        <v>22732</v>
      </c>
      <c r="F80" s="98">
        <v>61.73</v>
      </c>
      <c r="G80" s="99">
        <v>1.1999999999999999E-3</v>
      </c>
      <c r="H80" s="52"/>
    </row>
    <row r="81" spans="1:8">
      <c r="A81" s="31"/>
      <c r="B81" s="40" t="s">
        <v>6</v>
      </c>
      <c r="C81" s="21"/>
      <c r="D81" s="20"/>
      <c r="E81" s="24"/>
      <c r="F81" s="34">
        <f>SUM(F80)</f>
        <v>61.73</v>
      </c>
      <c r="G81" s="32">
        <f>SUM(G80)</f>
        <v>1.1999999999999999E-3</v>
      </c>
      <c r="H81" s="39"/>
    </row>
    <row r="82" spans="1:8">
      <c r="A82" s="16"/>
      <c r="B82" s="41" t="s">
        <v>7</v>
      </c>
      <c r="C82" s="2"/>
      <c r="D82" s="2"/>
      <c r="E82" s="25"/>
      <c r="F82" s="77">
        <f>F81+F78</f>
        <v>46365.47</v>
      </c>
      <c r="G82" s="78">
        <f>G81+G78</f>
        <v>0.88789999999999969</v>
      </c>
      <c r="H82" s="79"/>
    </row>
    <row r="83" spans="1:8">
      <c r="A83" s="16"/>
      <c r="B83" s="37" t="s">
        <v>304</v>
      </c>
      <c r="C83" s="18"/>
      <c r="D83" s="18"/>
      <c r="E83" s="18"/>
      <c r="F83" s="18"/>
      <c r="G83" s="18"/>
      <c r="H83" s="107"/>
    </row>
    <row r="84" spans="1:8">
      <c r="A84" s="16"/>
      <c r="B84" s="37" t="s">
        <v>305</v>
      </c>
      <c r="C84" s="18"/>
      <c r="D84" s="18"/>
      <c r="E84" s="18"/>
      <c r="F84" s="17"/>
      <c r="G84" s="100"/>
      <c r="H84" s="107"/>
    </row>
    <row r="85" spans="1:8">
      <c r="A85" s="16"/>
      <c r="B85" s="38" t="s">
        <v>306</v>
      </c>
      <c r="C85" s="18" t="s">
        <v>308</v>
      </c>
      <c r="D85" s="18" t="s">
        <v>309</v>
      </c>
      <c r="E85" s="97">
        <v>275000</v>
      </c>
      <c r="F85" s="98">
        <v>274.24</v>
      </c>
      <c r="G85" s="99">
        <v>5.3E-3</v>
      </c>
      <c r="H85" s="108">
        <v>7.0480000000000001E-2</v>
      </c>
    </row>
    <row r="86" spans="1:8">
      <c r="A86" s="16"/>
      <c r="B86" s="37" t="s">
        <v>6</v>
      </c>
      <c r="C86" s="18"/>
      <c r="D86" s="18"/>
      <c r="E86" s="18"/>
      <c r="F86" s="101">
        <f>+F85</f>
        <v>274.24</v>
      </c>
      <c r="G86" s="102">
        <f>+G85</f>
        <v>5.3E-3</v>
      </c>
      <c r="H86" s="39"/>
    </row>
    <row r="87" spans="1:8">
      <c r="A87" s="16"/>
      <c r="B87" s="40" t="s">
        <v>307</v>
      </c>
      <c r="C87" s="20"/>
      <c r="D87" s="20"/>
      <c r="E87" s="20"/>
      <c r="F87" s="103" t="s">
        <v>310</v>
      </c>
      <c r="G87" s="103" t="s">
        <v>310</v>
      </c>
      <c r="H87" s="39"/>
    </row>
    <row r="88" spans="1:8">
      <c r="A88" s="16"/>
      <c r="B88" s="40" t="s">
        <v>6</v>
      </c>
      <c r="C88" s="20"/>
      <c r="D88" s="20"/>
      <c r="E88" s="20"/>
      <c r="F88" s="103" t="s">
        <v>310</v>
      </c>
      <c r="G88" s="103" t="s">
        <v>310</v>
      </c>
      <c r="H88" s="39"/>
    </row>
    <row r="89" spans="1:8">
      <c r="A89" s="29"/>
      <c r="B89" s="40" t="s">
        <v>7</v>
      </c>
      <c r="C89" s="21"/>
      <c r="D89" s="20"/>
      <c r="E89" s="21"/>
      <c r="F89" s="101">
        <f>+F86</f>
        <v>274.24</v>
      </c>
      <c r="G89" s="102">
        <f>+G86</f>
        <v>5.3E-3</v>
      </c>
      <c r="H89" s="39"/>
    </row>
    <row r="90" spans="1:8">
      <c r="A90" s="29"/>
      <c r="B90" s="37" t="s">
        <v>311</v>
      </c>
      <c r="C90" s="18"/>
      <c r="D90" s="18"/>
      <c r="E90" s="18"/>
      <c r="F90" s="104"/>
      <c r="G90" s="105"/>
      <c r="H90" s="109"/>
    </row>
    <row r="91" spans="1:8" s="15" customFormat="1">
      <c r="A91" s="29" t="s">
        <v>10</v>
      </c>
      <c r="B91" s="42" t="s">
        <v>312</v>
      </c>
      <c r="C91" s="2"/>
      <c r="D91" s="2"/>
      <c r="E91" s="26"/>
      <c r="F91" s="3">
        <v>3933.01</v>
      </c>
      <c r="G91" s="4">
        <v>7.5300000000000006E-2</v>
      </c>
      <c r="H91" s="80">
        <v>7.0627213447119183E-2</v>
      </c>
    </row>
    <row r="92" spans="1:8">
      <c r="A92" s="19"/>
      <c r="B92" s="41" t="s">
        <v>6</v>
      </c>
      <c r="C92" s="2"/>
      <c r="D92" s="2"/>
      <c r="E92" s="25"/>
      <c r="F92" s="5">
        <f>F91</f>
        <v>3933.01</v>
      </c>
      <c r="G92" s="6">
        <f>G91</f>
        <v>7.5300000000000006E-2</v>
      </c>
      <c r="H92" s="43"/>
    </row>
    <row r="93" spans="1:8">
      <c r="A93" s="19"/>
      <c r="B93" s="44" t="s">
        <v>7</v>
      </c>
      <c r="C93" s="7"/>
      <c r="D93" s="8"/>
      <c r="E93" s="27"/>
      <c r="F93" s="5">
        <f>F92</f>
        <v>3933.01</v>
      </c>
      <c r="G93" s="6">
        <f>G92</f>
        <v>7.5300000000000006E-2</v>
      </c>
      <c r="H93" s="43"/>
    </row>
    <row r="94" spans="1:8">
      <c r="A94" s="19"/>
      <c r="B94" s="44" t="s">
        <v>8</v>
      </c>
      <c r="C94" s="2"/>
      <c r="D94" s="8"/>
      <c r="E94" s="25"/>
      <c r="F94" s="9">
        <v>1662.88</v>
      </c>
      <c r="G94" s="6">
        <v>3.15E-2</v>
      </c>
      <c r="H94" s="43"/>
    </row>
    <row r="95" spans="1:8" ht="15.75" thickBot="1">
      <c r="A95" s="19"/>
      <c r="B95" s="45" t="s">
        <v>9</v>
      </c>
      <c r="C95" s="46"/>
      <c r="D95" s="46"/>
      <c r="E95" s="47"/>
      <c r="F95" s="48">
        <f>+F94+F93+F82+F89</f>
        <v>52235.6</v>
      </c>
      <c r="G95" s="54">
        <f>+G94+G93+G82+G89</f>
        <v>0.99999999999999967</v>
      </c>
      <c r="H95" s="49"/>
    </row>
    <row r="96" spans="1:8">
      <c r="A96" s="19"/>
      <c r="B96" s="10"/>
      <c r="C96" s="11"/>
      <c r="D96" s="11"/>
      <c r="E96" s="28"/>
      <c r="F96" s="12"/>
      <c r="G96" s="69"/>
      <c r="H96" s="14"/>
    </row>
    <row r="97" spans="1:8">
      <c r="A97" s="19"/>
      <c r="B97" s="10" t="s">
        <v>243</v>
      </c>
      <c r="C97" s="11"/>
      <c r="D97" s="11"/>
      <c r="E97" s="28"/>
      <c r="F97" s="12"/>
      <c r="G97" s="69"/>
      <c r="H97" s="14"/>
    </row>
    <row r="98" spans="1:8">
      <c r="A98" s="19"/>
      <c r="B98" s="10" t="s">
        <v>240</v>
      </c>
      <c r="C98" s="11"/>
      <c r="D98" s="11"/>
      <c r="E98" s="28"/>
      <c r="F98" s="12"/>
      <c r="G98" s="69"/>
      <c r="H98" s="14"/>
    </row>
    <row r="99" spans="1:8">
      <c r="A99" s="19"/>
      <c r="B99" s="10" t="s">
        <v>239</v>
      </c>
      <c r="C99" s="11"/>
      <c r="D99" s="11"/>
      <c r="E99" s="28"/>
      <c r="F99" s="12"/>
      <c r="G99" s="69"/>
      <c r="H99" s="14"/>
    </row>
    <row r="100" spans="1:8">
      <c r="A100" s="16"/>
      <c r="B100" s="10"/>
      <c r="C100" s="11"/>
      <c r="D100" s="11"/>
      <c r="E100" s="28"/>
      <c r="F100" s="12"/>
      <c r="G100" s="13"/>
      <c r="H100" s="14"/>
    </row>
    <row r="101" spans="1:8">
      <c r="A101" s="16"/>
      <c r="B101" s="56" t="s">
        <v>194</v>
      </c>
      <c r="C101" s="11"/>
      <c r="D101" s="11"/>
      <c r="E101" s="28"/>
      <c r="F101" s="12"/>
      <c r="G101" s="13"/>
      <c r="H101" s="14"/>
    </row>
    <row r="102" spans="1:8">
      <c r="A102" s="16"/>
      <c r="B102" s="10"/>
      <c r="C102" s="11"/>
      <c r="D102" s="11"/>
      <c r="E102" s="28"/>
      <c r="F102" s="12"/>
      <c r="G102" s="13"/>
      <c r="H102" s="14"/>
    </row>
    <row r="103" spans="1:8" customFormat="1">
      <c r="A103" s="31"/>
      <c r="B103" s="126" t="s">
        <v>314</v>
      </c>
      <c r="C103" s="126"/>
      <c r="D103" s="126"/>
      <c r="E103" s="126"/>
      <c r="F103" s="126"/>
      <c r="G103" s="126"/>
      <c r="H103" s="66"/>
    </row>
    <row r="104" spans="1:8" customFormat="1">
      <c r="A104" s="31"/>
      <c r="B104" s="126" t="s">
        <v>315</v>
      </c>
      <c r="C104" s="126"/>
      <c r="D104" s="126"/>
      <c r="E104" s="126"/>
      <c r="F104" s="81"/>
      <c r="G104" s="82"/>
      <c r="H104" s="66"/>
    </row>
    <row r="105" spans="1:8">
      <c r="A105" s="16"/>
      <c r="B105" s="126" t="s">
        <v>195</v>
      </c>
      <c r="C105" s="126"/>
      <c r="D105" s="126"/>
      <c r="E105" s="126"/>
      <c r="F105" s="81"/>
      <c r="G105" s="82"/>
      <c r="H105" s="14"/>
    </row>
    <row r="106" spans="1:8">
      <c r="A106" s="16"/>
      <c r="B106" s="70"/>
      <c r="C106" s="81"/>
      <c r="D106" s="81"/>
      <c r="E106" s="81"/>
      <c r="F106" s="81"/>
      <c r="G106" s="82"/>
      <c r="H106" s="14"/>
    </row>
    <row r="107" spans="1:8" ht="24">
      <c r="A107" s="16"/>
      <c r="B107" s="57" t="s">
        <v>196</v>
      </c>
      <c r="C107" s="58" t="s">
        <v>313</v>
      </c>
      <c r="D107" s="58" t="s">
        <v>197</v>
      </c>
      <c r="E107" s="70"/>
      <c r="F107" s="59"/>
      <c r="G107" s="82"/>
      <c r="H107" s="14"/>
    </row>
    <row r="108" spans="1:8">
      <c r="A108" s="16"/>
      <c r="B108" s="63" t="s">
        <v>198</v>
      </c>
      <c r="C108" s="60">
        <v>9.6950000000000003</v>
      </c>
      <c r="D108" s="60">
        <v>9.9849999999999994</v>
      </c>
      <c r="E108" s="83"/>
      <c r="F108" s="81"/>
      <c r="G108" s="84"/>
      <c r="H108" s="14"/>
    </row>
    <row r="109" spans="1:8">
      <c r="A109" s="16"/>
      <c r="B109" s="64" t="s">
        <v>199</v>
      </c>
      <c r="C109" s="60">
        <v>9.6950000000000003</v>
      </c>
      <c r="D109" s="60">
        <v>9.9849999999999994</v>
      </c>
      <c r="E109" s="70"/>
      <c r="F109" s="81"/>
      <c r="G109" s="84"/>
      <c r="H109" s="14"/>
    </row>
    <row r="110" spans="1:8">
      <c r="A110" s="16"/>
      <c r="B110" s="63" t="s">
        <v>200</v>
      </c>
      <c r="C110" s="60">
        <v>9.5950000000000006</v>
      </c>
      <c r="D110" s="60">
        <v>9.9749999999999996</v>
      </c>
      <c r="E110" s="70"/>
      <c r="F110" s="81"/>
      <c r="G110" s="81"/>
      <c r="H110" s="14"/>
    </row>
    <row r="111" spans="1:8">
      <c r="A111" s="16"/>
      <c r="B111" s="63" t="s">
        <v>201</v>
      </c>
      <c r="C111" s="60">
        <v>9.5950000000000006</v>
      </c>
      <c r="D111" s="60">
        <v>9.9749999999999996</v>
      </c>
      <c r="E111" s="83"/>
      <c r="F111" s="81"/>
      <c r="G111" s="81"/>
      <c r="H111" s="14"/>
    </row>
    <row r="112" spans="1:8">
      <c r="A112" s="16"/>
      <c r="B112" s="70"/>
      <c r="C112" s="81"/>
      <c r="D112" s="81"/>
      <c r="E112" s="81"/>
      <c r="F112" s="81"/>
      <c r="G112" s="82"/>
      <c r="H112" s="85"/>
    </row>
    <row r="113" spans="2:8" customFormat="1">
      <c r="B113" s="65" t="s">
        <v>316</v>
      </c>
      <c r="C113" s="81"/>
      <c r="D113" s="81"/>
      <c r="E113" s="81"/>
      <c r="F113" s="81"/>
      <c r="G113" s="82"/>
      <c r="H113" s="81"/>
    </row>
    <row r="114" spans="2:8">
      <c r="B114" s="126" t="s">
        <v>317</v>
      </c>
      <c r="C114" s="126"/>
      <c r="D114" s="126"/>
      <c r="E114" s="70"/>
      <c r="F114" s="81"/>
      <c r="G114" s="82"/>
      <c r="H114" s="86"/>
    </row>
    <row r="115" spans="2:8" customFormat="1">
      <c r="B115" s="127" t="s">
        <v>332</v>
      </c>
      <c r="C115" s="127"/>
      <c r="D115" s="127"/>
      <c r="E115" s="70"/>
      <c r="F115" s="70"/>
      <c r="G115" s="70"/>
      <c r="H115" s="81"/>
    </row>
    <row r="116" spans="2:8">
      <c r="B116" s="126" t="s">
        <v>318</v>
      </c>
      <c r="C116" s="126"/>
      <c r="D116" s="126"/>
      <c r="E116" s="70"/>
      <c r="F116" s="81"/>
      <c r="G116" s="82"/>
      <c r="H116" s="86"/>
    </row>
    <row r="117" spans="2:8">
      <c r="B117" s="61" t="s">
        <v>320</v>
      </c>
      <c r="C117" s="61"/>
      <c r="D117" s="61"/>
      <c r="E117" s="70"/>
      <c r="F117" s="81"/>
      <c r="G117" s="82"/>
      <c r="H117" s="86"/>
    </row>
    <row r="118" spans="2:8">
      <c r="B118" s="126" t="s">
        <v>319</v>
      </c>
      <c r="C118" s="126"/>
      <c r="D118" s="126"/>
      <c r="E118" s="70"/>
      <c r="F118" s="81"/>
      <c r="G118" s="82"/>
      <c r="H118" s="86"/>
    </row>
    <row r="119" spans="2:8">
      <c r="B119" s="81"/>
      <c r="C119" s="81"/>
      <c r="D119" s="81"/>
      <c r="E119" s="81"/>
      <c r="F119" s="81"/>
      <c r="G119" s="81"/>
      <c r="H119" s="86"/>
    </row>
    <row r="120" spans="2:8">
      <c r="B120" s="62" t="s">
        <v>202</v>
      </c>
      <c r="C120" s="81"/>
      <c r="D120" s="81"/>
      <c r="E120" s="81"/>
      <c r="F120" s="81"/>
      <c r="G120" s="81"/>
      <c r="H120" s="86"/>
    </row>
    <row r="121" spans="2:8">
      <c r="B121" s="62" t="s">
        <v>203</v>
      </c>
      <c r="C121" s="81"/>
      <c r="D121" s="81"/>
      <c r="E121" s="81"/>
      <c r="F121" s="81"/>
      <c r="G121" s="81"/>
      <c r="H121" s="86"/>
    </row>
    <row r="122" spans="2:8">
      <c r="B122" s="81"/>
      <c r="C122" s="81"/>
      <c r="D122" s="81"/>
      <c r="E122" s="81"/>
      <c r="F122" s="81"/>
      <c r="G122" s="81"/>
      <c r="H122" s="86"/>
    </row>
    <row r="123" spans="2:8">
      <c r="B123" s="123" t="s">
        <v>204</v>
      </c>
      <c r="C123" s="123"/>
      <c r="D123" s="123"/>
      <c r="E123" s="123"/>
      <c r="F123" s="123"/>
      <c r="G123" s="123"/>
      <c r="H123" s="86"/>
    </row>
    <row r="124" spans="2:8">
      <c r="B124" s="81"/>
      <c r="C124" s="81"/>
      <c r="D124" s="81"/>
      <c r="E124" s="81"/>
      <c r="F124" s="81"/>
      <c r="G124" s="81"/>
      <c r="H124" s="86"/>
    </row>
    <row r="125" spans="2:8">
      <c r="B125" s="71" t="s">
        <v>321</v>
      </c>
      <c r="C125" s="81"/>
      <c r="D125" s="81"/>
      <c r="E125" s="81"/>
      <c r="F125" s="81"/>
      <c r="G125" s="81"/>
      <c r="H125" s="86"/>
    </row>
    <row r="126" spans="2:8">
      <c r="B126" s="71"/>
      <c r="C126" s="81"/>
      <c r="D126" s="81"/>
      <c r="E126" s="81"/>
      <c r="F126" s="81"/>
      <c r="G126" s="81"/>
      <c r="H126" s="86"/>
    </row>
    <row r="127" spans="2:8" ht="36">
      <c r="B127" s="87" t="s">
        <v>205</v>
      </c>
      <c r="C127" s="87" t="s">
        <v>206</v>
      </c>
      <c r="D127" s="87" t="s">
        <v>207</v>
      </c>
      <c r="E127" s="87" t="s">
        <v>208</v>
      </c>
      <c r="F127" s="87" t="s">
        <v>209</v>
      </c>
      <c r="G127" s="87" t="s">
        <v>210</v>
      </c>
      <c r="H127" s="86"/>
    </row>
    <row r="128" spans="2:8">
      <c r="B128" s="119" t="s">
        <v>219</v>
      </c>
      <c r="C128" s="120"/>
      <c r="D128" s="120"/>
      <c r="E128" s="120"/>
      <c r="F128" s="120"/>
      <c r="G128" s="121"/>
      <c r="H128" s="86"/>
    </row>
    <row r="129" spans="2:8">
      <c r="B129" s="81"/>
      <c r="C129" s="72"/>
      <c r="D129" s="81"/>
      <c r="E129" s="81"/>
      <c r="F129" s="81"/>
      <c r="G129" s="81"/>
      <c r="H129" s="86"/>
    </row>
    <row r="130" spans="2:8">
      <c r="B130" s="73" t="s">
        <v>244</v>
      </c>
      <c r="C130" s="72"/>
      <c r="D130" s="81"/>
      <c r="E130" s="81"/>
      <c r="F130" s="81"/>
      <c r="G130" s="81"/>
      <c r="H130" s="86"/>
    </row>
    <row r="131" spans="2:8">
      <c r="B131" s="73"/>
      <c r="C131" s="81"/>
      <c r="D131" s="81"/>
      <c r="E131" s="81"/>
      <c r="F131" s="81"/>
      <c r="G131" s="81"/>
      <c r="H131" s="86"/>
    </row>
    <row r="132" spans="2:8">
      <c r="B132" s="124" t="s">
        <v>322</v>
      </c>
      <c r="C132" s="124"/>
      <c r="D132" s="124"/>
      <c r="E132" s="124"/>
      <c r="F132" s="124"/>
      <c r="G132" s="124"/>
      <c r="H132" s="86"/>
    </row>
    <row r="133" spans="2:8" ht="60">
      <c r="B133" s="87" t="s">
        <v>205</v>
      </c>
      <c r="C133" s="87" t="s">
        <v>211</v>
      </c>
      <c r="D133" s="87" t="s">
        <v>212</v>
      </c>
      <c r="E133" s="87" t="s">
        <v>213</v>
      </c>
      <c r="F133" s="87" t="s">
        <v>214</v>
      </c>
      <c r="G133" s="87" t="s">
        <v>215</v>
      </c>
      <c r="H133" s="86"/>
    </row>
    <row r="134" spans="2:8">
      <c r="B134" s="119" t="s">
        <v>219</v>
      </c>
      <c r="C134" s="120"/>
      <c r="D134" s="120"/>
      <c r="E134" s="120"/>
      <c r="F134" s="120"/>
      <c r="G134" s="121"/>
      <c r="H134" s="86"/>
    </row>
    <row r="135" spans="2:8">
      <c r="B135" s="81"/>
      <c r="C135" s="81"/>
      <c r="D135" s="81"/>
      <c r="E135" s="81"/>
      <c r="F135" s="81"/>
      <c r="G135" s="81"/>
      <c r="H135" s="86"/>
    </row>
    <row r="136" spans="2:8">
      <c r="B136" s="125" t="s">
        <v>323</v>
      </c>
      <c r="C136" s="125"/>
      <c r="D136" s="125"/>
      <c r="E136" s="125"/>
      <c r="F136" s="125"/>
      <c r="G136" s="125"/>
      <c r="H136" s="86"/>
    </row>
    <row r="137" spans="2:8" ht="36">
      <c r="B137" s="87" t="s">
        <v>205</v>
      </c>
      <c r="C137" s="87" t="s">
        <v>206</v>
      </c>
      <c r="D137" s="87" t="s">
        <v>207</v>
      </c>
      <c r="E137" s="87" t="s">
        <v>216</v>
      </c>
      <c r="F137" s="87" t="s">
        <v>217</v>
      </c>
      <c r="G137" s="87" t="s">
        <v>218</v>
      </c>
      <c r="H137" s="86"/>
    </row>
    <row r="138" spans="2:8" s="111" customFormat="1">
      <c r="B138" s="110" t="s">
        <v>11</v>
      </c>
      <c r="C138" s="110" t="s">
        <v>333</v>
      </c>
      <c r="D138" s="110" t="s">
        <v>341</v>
      </c>
      <c r="E138" s="114">
        <v>544.71349999999995</v>
      </c>
      <c r="F138" s="114">
        <v>567.25</v>
      </c>
      <c r="G138" s="114">
        <v>111.37239750000001</v>
      </c>
      <c r="H138" s="112"/>
    </row>
    <row r="139" spans="2:8" s="111" customFormat="1">
      <c r="B139" s="110" t="s">
        <v>11</v>
      </c>
      <c r="C139" s="110" t="s">
        <v>334</v>
      </c>
      <c r="D139" s="110" t="s">
        <v>341</v>
      </c>
      <c r="E139" s="114">
        <v>1813.155</v>
      </c>
      <c r="F139" s="114">
        <v>1840.75</v>
      </c>
      <c r="G139" s="114">
        <v>70.894436299999995</v>
      </c>
      <c r="H139" s="112"/>
    </row>
    <row r="140" spans="2:8" s="111" customFormat="1">
      <c r="B140" s="110" t="s">
        <v>11</v>
      </c>
      <c r="C140" s="110" t="s">
        <v>335</v>
      </c>
      <c r="D140" s="110" t="s">
        <v>341</v>
      </c>
      <c r="E140" s="114">
        <v>4995.0988209523812</v>
      </c>
      <c r="F140" s="114">
        <v>5045.8999999999996</v>
      </c>
      <c r="G140" s="114">
        <v>64.056528099999994</v>
      </c>
      <c r="H140" s="112"/>
    </row>
    <row r="141" spans="2:8" s="111" customFormat="1">
      <c r="B141" s="110" t="s">
        <v>11</v>
      </c>
      <c r="C141" s="110" t="s">
        <v>336</v>
      </c>
      <c r="D141" s="110" t="s">
        <v>341</v>
      </c>
      <c r="E141" s="114">
        <v>785.69420000000002</v>
      </c>
      <c r="F141" s="114">
        <v>815.1</v>
      </c>
      <c r="G141" s="114">
        <v>65.397604999999999</v>
      </c>
      <c r="H141" s="112"/>
    </row>
    <row r="142" spans="2:8" s="111" customFormat="1">
      <c r="B142" s="110" t="s">
        <v>11</v>
      </c>
      <c r="C142" s="110" t="s">
        <v>337</v>
      </c>
      <c r="D142" s="110" t="s">
        <v>341</v>
      </c>
      <c r="E142" s="114">
        <v>3306.8336350746267</v>
      </c>
      <c r="F142" s="114">
        <v>3314.6</v>
      </c>
      <c r="G142" s="114">
        <v>104.159875</v>
      </c>
      <c r="H142" s="112"/>
    </row>
    <row r="143" spans="2:8" s="111" customFormat="1">
      <c r="B143" s="110" t="s">
        <v>11</v>
      </c>
      <c r="C143" s="110" t="s">
        <v>338</v>
      </c>
      <c r="D143" s="110" t="s">
        <v>341</v>
      </c>
      <c r="E143" s="114">
        <v>944.88765058957779</v>
      </c>
      <c r="F143" s="114">
        <v>965.2</v>
      </c>
      <c r="G143" s="114">
        <v>254.36265609999998</v>
      </c>
      <c r="H143" s="112"/>
    </row>
    <row r="144" spans="2:8" s="111" customFormat="1">
      <c r="B144" s="110" t="s">
        <v>11</v>
      </c>
      <c r="C144" s="110" t="s">
        <v>339</v>
      </c>
      <c r="D144" s="110" t="s">
        <v>341</v>
      </c>
      <c r="E144" s="114">
        <v>17140.420699999999</v>
      </c>
      <c r="F144" s="114">
        <v>17442.650000000001</v>
      </c>
      <c r="G144" s="114">
        <v>98.704099999999997</v>
      </c>
      <c r="H144" s="112"/>
    </row>
    <row r="145" spans="2:8" s="111" customFormat="1">
      <c r="B145" s="113" t="s">
        <v>11</v>
      </c>
      <c r="C145" s="113" t="s">
        <v>340</v>
      </c>
      <c r="D145" s="110" t="s">
        <v>341</v>
      </c>
      <c r="E145" s="115">
        <v>4410.1275999999998</v>
      </c>
      <c r="F145" s="115">
        <v>4613.3500000000004</v>
      </c>
      <c r="G145" s="114">
        <v>133.22380050000001</v>
      </c>
      <c r="H145" s="112"/>
    </row>
    <row r="146" spans="2:8">
      <c r="B146" s="73" t="s">
        <v>342</v>
      </c>
      <c r="C146" s="81"/>
      <c r="D146" s="81"/>
      <c r="E146" s="81"/>
      <c r="F146" s="81"/>
      <c r="G146" s="81"/>
      <c r="H146" s="86"/>
    </row>
    <row r="147" spans="2:8">
      <c r="B147" s="84"/>
      <c r="C147" s="84"/>
      <c r="D147" s="84"/>
      <c r="E147" s="84"/>
      <c r="F147" s="84"/>
      <c r="G147" s="84"/>
      <c r="H147" s="86"/>
    </row>
    <row r="148" spans="2:8">
      <c r="B148" s="124" t="s">
        <v>324</v>
      </c>
      <c r="C148" s="124"/>
      <c r="D148" s="124"/>
      <c r="E148" s="124"/>
      <c r="F148" s="124"/>
      <c r="G148" s="124"/>
      <c r="H148" s="86"/>
    </row>
    <row r="149" spans="2:8" ht="60">
      <c r="B149" s="87" t="s">
        <v>205</v>
      </c>
      <c r="C149" s="87" t="s">
        <v>220</v>
      </c>
      <c r="D149" s="87" t="s">
        <v>221</v>
      </c>
      <c r="E149" s="87" t="s">
        <v>213</v>
      </c>
      <c r="F149" s="87" t="s">
        <v>214</v>
      </c>
      <c r="G149" s="87" t="s">
        <v>222</v>
      </c>
      <c r="H149" s="86"/>
    </row>
    <row r="150" spans="2:8" s="111" customFormat="1">
      <c r="B150" s="110" t="s">
        <v>11</v>
      </c>
      <c r="C150" s="110">
        <v>1490</v>
      </c>
      <c r="D150" s="110">
        <v>1566</v>
      </c>
      <c r="E150" s="114">
        <v>1021001416.2100003</v>
      </c>
      <c r="F150" s="114">
        <v>1061777279.65</v>
      </c>
      <c r="G150" s="114">
        <v>-24037776.949999996</v>
      </c>
      <c r="H150" s="112"/>
    </row>
    <row r="151" spans="2:8">
      <c r="B151" s="88"/>
      <c r="C151" s="88"/>
      <c r="D151" s="88"/>
      <c r="E151" s="88"/>
      <c r="F151" s="88"/>
      <c r="G151" s="88"/>
      <c r="H151" s="86"/>
    </row>
    <row r="152" spans="2:8">
      <c r="B152" s="84"/>
      <c r="C152" s="84" t="s">
        <v>223</v>
      </c>
      <c r="D152" s="84"/>
      <c r="E152" s="84"/>
      <c r="F152" s="84"/>
      <c r="G152" s="84"/>
      <c r="H152" s="86"/>
    </row>
    <row r="153" spans="2:8">
      <c r="B153" s="71" t="s">
        <v>325</v>
      </c>
      <c r="C153" s="71"/>
      <c r="D153" s="71"/>
      <c r="E153" s="71"/>
      <c r="F153" s="84"/>
      <c r="G153" s="89"/>
      <c r="H153" s="86"/>
    </row>
    <row r="154" spans="2:8" ht="24">
      <c r="B154" s="90" t="s">
        <v>205</v>
      </c>
      <c r="C154" s="91" t="s">
        <v>206</v>
      </c>
      <c r="D154" s="91" t="s">
        <v>224</v>
      </c>
      <c r="E154" s="91" t="s">
        <v>225</v>
      </c>
      <c r="F154" s="91" t="s">
        <v>226</v>
      </c>
      <c r="G154" s="92"/>
      <c r="H154" s="86"/>
    </row>
    <row r="155" spans="2:8">
      <c r="B155" s="119" t="s">
        <v>219</v>
      </c>
      <c r="C155" s="120"/>
      <c r="D155" s="120"/>
      <c r="E155" s="120"/>
      <c r="F155" s="121"/>
      <c r="G155" s="84"/>
      <c r="H155" s="86"/>
    </row>
    <row r="156" spans="2:8">
      <c r="B156" s="73" t="s">
        <v>245</v>
      </c>
      <c r="C156" s="81"/>
      <c r="D156" s="81"/>
      <c r="E156" s="81"/>
      <c r="F156" s="81"/>
      <c r="G156" s="81"/>
      <c r="H156" s="86"/>
    </row>
    <row r="157" spans="2:8">
      <c r="B157" s="84"/>
      <c r="C157" s="84"/>
      <c r="D157" s="84"/>
      <c r="E157" s="84"/>
      <c r="F157" s="84"/>
      <c r="G157" s="84"/>
      <c r="H157" s="86"/>
    </row>
    <row r="158" spans="2:8">
      <c r="B158" s="122" t="s">
        <v>326</v>
      </c>
      <c r="C158" s="122"/>
      <c r="D158" s="122"/>
      <c r="E158" s="122"/>
      <c r="F158" s="122"/>
      <c r="G158" s="84"/>
      <c r="H158" s="86"/>
    </row>
    <row r="159" spans="2:8" ht="36">
      <c r="B159" s="91" t="s">
        <v>205</v>
      </c>
      <c r="C159" s="91" t="s">
        <v>227</v>
      </c>
      <c r="D159" s="91" t="s">
        <v>228</v>
      </c>
      <c r="E159" s="91" t="s">
        <v>229</v>
      </c>
      <c r="F159" s="93"/>
      <c r="G159" s="84"/>
      <c r="H159" s="86"/>
    </row>
    <row r="160" spans="2:8">
      <c r="B160" s="119" t="s">
        <v>219</v>
      </c>
      <c r="C160" s="120"/>
      <c r="D160" s="120"/>
      <c r="E160" s="121"/>
      <c r="F160" s="84"/>
      <c r="G160" s="84"/>
      <c r="H160" s="86"/>
    </row>
    <row r="161" spans="2:8">
      <c r="B161" s="84"/>
      <c r="C161" s="84"/>
      <c r="D161" s="84"/>
      <c r="E161" s="84"/>
      <c r="F161" s="84"/>
      <c r="G161" s="84"/>
      <c r="H161" s="86"/>
    </row>
    <row r="162" spans="2:8">
      <c r="B162" s="84"/>
      <c r="C162" s="84"/>
      <c r="D162" s="84"/>
      <c r="E162" s="84"/>
      <c r="F162" s="84"/>
      <c r="G162" s="84"/>
      <c r="H162" s="86"/>
    </row>
    <row r="163" spans="2:8">
      <c r="B163" s="71" t="s">
        <v>327</v>
      </c>
      <c r="C163" s="71"/>
      <c r="D163" s="71"/>
      <c r="E163" s="71"/>
      <c r="F163" s="71"/>
      <c r="G163" s="84"/>
      <c r="H163" s="86"/>
    </row>
    <row r="164" spans="2:8" ht="24">
      <c r="B164" s="90" t="s">
        <v>205</v>
      </c>
      <c r="C164" s="91" t="s">
        <v>206</v>
      </c>
      <c r="D164" s="91" t="s">
        <v>230</v>
      </c>
      <c r="E164" s="91" t="s">
        <v>231</v>
      </c>
      <c r="F164" s="91" t="s">
        <v>225</v>
      </c>
      <c r="G164" s="91" t="s">
        <v>232</v>
      </c>
      <c r="H164" s="86"/>
    </row>
    <row r="165" spans="2:8">
      <c r="B165" s="119" t="s">
        <v>219</v>
      </c>
      <c r="C165" s="120"/>
      <c r="D165" s="120"/>
      <c r="E165" s="120"/>
      <c r="F165" s="120"/>
      <c r="G165" s="121"/>
      <c r="H165" s="86"/>
    </row>
    <row r="166" spans="2:8">
      <c r="B166" s="84" t="s">
        <v>241</v>
      </c>
      <c r="C166" s="84"/>
      <c r="D166" s="84"/>
      <c r="E166" s="84"/>
      <c r="F166" s="84"/>
      <c r="G166" s="84"/>
      <c r="H166" s="86"/>
    </row>
    <row r="167" spans="2:8">
      <c r="B167" s="84"/>
      <c r="C167" s="84"/>
      <c r="D167" s="84"/>
      <c r="E167" s="84"/>
      <c r="F167" s="84"/>
      <c r="G167" s="84"/>
      <c r="H167" s="86"/>
    </row>
    <row r="168" spans="2:8">
      <c r="B168" s="122" t="s">
        <v>328</v>
      </c>
      <c r="C168" s="122"/>
      <c r="D168" s="122"/>
      <c r="E168" s="122"/>
      <c r="F168" s="122"/>
      <c r="G168" s="84"/>
      <c r="H168" s="86"/>
    </row>
    <row r="169" spans="2:8" ht="36.75">
      <c r="B169" s="94" t="s">
        <v>205</v>
      </c>
      <c r="C169" s="95" t="s">
        <v>227</v>
      </c>
      <c r="D169" s="95" t="s">
        <v>228</v>
      </c>
      <c r="E169" s="95" t="s">
        <v>229</v>
      </c>
      <c r="F169" s="84"/>
      <c r="G169" s="84"/>
      <c r="H169" s="86"/>
    </row>
    <row r="170" spans="2:8">
      <c r="B170" s="116" t="s">
        <v>219</v>
      </c>
      <c r="C170" s="117"/>
      <c r="D170" s="117"/>
      <c r="E170" s="118"/>
      <c r="F170" s="84"/>
      <c r="G170" s="84"/>
      <c r="H170" s="86"/>
    </row>
    <row r="171" spans="2:8">
      <c r="B171" s="84"/>
      <c r="C171" s="84"/>
      <c r="D171" s="84"/>
      <c r="E171" s="84"/>
      <c r="F171" s="84"/>
      <c r="G171" s="84"/>
      <c r="H171" s="86"/>
    </row>
    <row r="172" spans="2:8">
      <c r="B172" s="84"/>
      <c r="C172" s="84"/>
      <c r="D172" s="84"/>
      <c r="E172" s="84"/>
      <c r="F172" s="84"/>
      <c r="G172" s="84"/>
      <c r="H172" s="86"/>
    </row>
    <row r="173" spans="2:8">
      <c r="B173" s="71" t="s">
        <v>329</v>
      </c>
      <c r="C173" s="71"/>
      <c r="D173" s="71"/>
      <c r="E173" s="84"/>
      <c r="F173" s="84"/>
      <c r="G173" s="84"/>
      <c r="H173" s="86"/>
    </row>
    <row r="174" spans="2:8">
      <c r="B174" s="74"/>
      <c r="C174" s="74"/>
      <c r="D174" s="74"/>
      <c r="E174" s="81"/>
      <c r="F174" s="81"/>
      <c r="G174" s="81"/>
      <c r="H174" s="86"/>
    </row>
    <row r="175" spans="2:8">
      <c r="B175" s="71" t="s">
        <v>330</v>
      </c>
      <c r="C175" s="71"/>
      <c r="D175" s="71"/>
      <c r="E175" s="71"/>
      <c r="F175" s="84"/>
      <c r="G175" s="81"/>
      <c r="H175" s="86"/>
    </row>
    <row r="176" spans="2:8" ht="24">
      <c r="B176" s="96" t="s">
        <v>205</v>
      </c>
      <c r="C176" s="87" t="s">
        <v>206</v>
      </c>
      <c r="D176" s="87" t="s">
        <v>224</v>
      </c>
      <c r="E176" s="87" t="s">
        <v>233</v>
      </c>
      <c r="F176" s="87" t="s">
        <v>234</v>
      </c>
      <c r="G176" s="87" t="s">
        <v>235</v>
      </c>
      <c r="H176" s="86"/>
    </row>
    <row r="177" spans="2:11">
      <c r="B177" s="119" t="s">
        <v>219</v>
      </c>
      <c r="C177" s="120"/>
      <c r="D177" s="120"/>
      <c r="E177" s="120"/>
      <c r="F177" s="120"/>
      <c r="G177" s="121"/>
      <c r="H177" s="86"/>
    </row>
    <row r="178" spans="2:11">
      <c r="B178" s="73" t="s">
        <v>246</v>
      </c>
      <c r="C178" s="81"/>
      <c r="D178" s="81"/>
      <c r="E178" s="81"/>
      <c r="F178" s="81"/>
      <c r="G178" s="81"/>
      <c r="H178" s="86"/>
    </row>
    <row r="179" spans="2:11">
      <c r="B179" s="81"/>
      <c r="C179" s="81"/>
      <c r="D179" s="81"/>
      <c r="E179" s="81"/>
      <c r="F179" s="81"/>
      <c r="G179" s="81"/>
      <c r="H179" s="86"/>
    </row>
    <row r="180" spans="2:11">
      <c r="B180" s="122" t="s">
        <v>331</v>
      </c>
      <c r="C180" s="122"/>
      <c r="D180" s="122"/>
      <c r="E180" s="122"/>
      <c r="F180" s="122"/>
      <c r="G180" s="122"/>
      <c r="H180" s="86"/>
    </row>
    <row r="181" spans="2:11" ht="36">
      <c r="B181" s="96" t="s">
        <v>205</v>
      </c>
      <c r="C181" s="96" t="s">
        <v>236</v>
      </c>
      <c r="D181" s="96" t="s">
        <v>228</v>
      </c>
      <c r="E181" s="96" t="s">
        <v>237</v>
      </c>
      <c r="F181" s="81"/>
      <c r="G181" s="81"/>
      <c r="H181" s="86"/>
    </row>
    <row r="182" spans="2:11">
      <c r="B182" s="119" t="s">
        <v>219</v>
      </c>
      <c r="C182" s="120"/>
      <c r="D182" s="120"/>
      <c r="E182" s="121"/>
      <c r="F182" s="81"/>
      <c r="G182" s="81"/>
      <c r="H182" s="86"/>
    </row>
    <row r="183" spans="2:11">
      <c r="B183" s="81"/>
      <c r="C183" s="81"/>
      <c r="D183" s="81"/>
      <c r="E183" s="81"/>
      <c r="F183" s="81"/>
      <c r="G183" s="81"/>
      <c r="H183" s="86"/>
    </row>
    <row r="184" spans="2:11" ht="24.75">
      <c r="B184" s="86"/>
      <c r="C184" s="86"/>
      <c r="D184" s="86"/>
      <c r="E184" s="86"/>
      <c r="F184" s="86"/>
      <c r="G184" s="86"/>
      <c r="H184" s="129" t="s">
        <v>247</v>
      </c>
      <c r="I184" s="130" t="s">
        <v>248</v>
      </c>
      <c r="J184" s="130" t="s">
        <v>249</v>
      </c>
      <c r="K184" s="131" t="s">
        <v>250</v>
      </c>
    </row>
    <row r="185" spans="2:11" ht="24.75">
      <c r="H185" s="132" t="s">
        <v>11</v>
      </c>
      <c r="I185" s="133" t="s">
        <v>343</v>
      </c>
      <c r="J185" s="133"/>
      <c r="K185" s="134"/>
    </row>
    <row r="186" spans="2:11" ht="84.75">
      <c r="H186" s="135" t="s">
        <v>251</v>
      </c>
      <c r="I186" s="133" t="s">
        <v>252</v>
      </c>
      <c r="J186" s="136"/>
      <c r="K186" s="137"/>
    </row>
    <row r="187" spans="2:11" ht="48.75">
      <c r="H187" s="138"/>
      <c r="I187" s="139" t="s">
        <v>253</v>
      </c>
      <c r="J187" s="140"/>
      <c r="K187" s="141"/>
    </row>
    <row r="188" spans="2:11">
      <c r="H188" s="138"/>
      <c r="I188" s="133"/>
      <c r="J188" s="133"/>
      <c r="K188" s="142" t="s">
        <v>254</v>
      </c>
    </row>
    <row r="189" spans="2:11">
      <c r="H189" s="143"/>
      <c r="I189" s="144"/>
      <c r="J189" s="144"/>
      <c r="K189" s="145" t="s">
        <v>255</v>
      </c>
    </row>
  </sheetData>
  <mergeCells count="27">
    <mergeCell ref="B1:H1"/>
    <mergeCell ref="B2:H2"/>
    <mergeCell ref="B3:H3"/>
    <mergeCell ref="B103:G103"/>
    <mergeCell ref="B104:E104"/>
    <mergeCell ref="B105:E105"/>
    <mergeCell ref="B114:D114"/>
    <mergeCell ref="B116:D116"/>
    <mergeCell ref="B118:D118"/>
    <mergeCell ref="B115:D115"/>
    <mergeCell ref="B168:F168"/>
    <mergeCell ref="B148:G148"/>
    <mergeCell ref="B155:F155"/>
    <mergeCell ref="B158:F158"/>
    <mergeCell ref="B160:E160"/>
    <mergeCell ref="B165:G165"/>
    <mergeCell ref="B123:G123"/>
    <mergeCell ref="B128:G128"/>
    <mergeCell ref="B132:G132"/>
    <mergeCell ref="B134:G134"/>
    <mergeCell ref="B136:G136"/>
    <mergeCell ref="J186:J187"/>
    <mergeCell ref="K186:K187"/>
    <mergeCell ref="B170:E170"/>
    <mergeCell ref="B177:G177"/>
    <mergeCell ref="B180:G180"/>
    <mergeCell ref="B182:E182"/>
  </mergeCells>
  <pageMargins left="0.25" right="0.25" top="0.75" bottom="0.75" header="0.3" footer="0.3"/>
  <pageSetup paperSize="8" scale="75"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392EE-65A8-45C1-9368-CD2CC4B9D0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2C76DC-90F8-4842-8F66-4C9F13DCC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Shivam Vajpeyee</cp:lastModifiedBy>
  <cp:lastPrinted>2022-10-06T16:32:42Z</cp:lastPrinted>
  <dcterms:created xsi:type="dcterms:W3CDTF">2022-04-08T12:18:39Z</dcterms:created>
  <dcterms:modified xsi:type="dcterms:W3CDTF">2023-04-07T16:10:17Z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2023-04-07T14:04:56Z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b7368df9-d60e-496f-a3a1-0bb7463f83ab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