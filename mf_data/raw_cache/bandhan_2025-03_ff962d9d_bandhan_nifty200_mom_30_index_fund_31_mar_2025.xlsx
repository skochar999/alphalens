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A00ADCD5-50E7-4030-ABFB-381438405319}" xr6:coauthVersionLast="47" xr6:coauthVersionMax="47" xr10:uidLastSave="{00000000-0000-0000-0000-000000000000}"/>
  <bookViews>
    <workbookView xWindow="-108" yWindow="-108" windowWidth="41496" windowHeight="16896" xr2:uid="{A6EB265B-4E77-463D-8A6B-708FFEB79723}"/>
  </bookViews>
  <sheets>
    <sheet name="IDF282" sheetId="1" r:id="rId1"/>
  </sheets>
  <definedNames>
    <definedName name="JR_PAGE_ANCHOR_0_49">'IDF282'!$A$2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" i="1" l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</calcChain>
</file>

<file path=xl/sharedStrings.xml><?xml version="1.0" encoding="utf-8"?>
<sst xmlns="http://schemas.openxmlformats.org/spreadsheetml/2006/main" count="199" uniqueCount="172">
  <si>
    <t>IDF282</t>
  </si>
  <si>
    <t>INDEX</t>
  </si>
  <si>
    <t>Portfolio Statement as on March 31,2025</t>
  </si>
  <si>
    <t>Bandhan Nifty200 Momentum 30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</si>
  <si>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</si>
  <si>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</si>
  <si>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</si>
  <si>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</si>
  <si>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</si>
  <si>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</si>
  <si>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</si>
  <si>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</si>
  <si>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</si>
  <si>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</si>
  <si>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</si>
  <si>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</si>
  <si>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</si>
  <si>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</si>
  <si>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</si>
  <si>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</si>
  <si>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</si>
  <si>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</si>
  <si>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</si>
  <si>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</si>
  <si>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Automobiles</t>
  </si>
  <si>
    <t>DIVI02</t>
  </si>
  <si>
    <t>Divi's Laboratories Limited</t>
  </si>
  <si>
    <t>INE361B01024</t>
  </si>
  <si>
    <t>HCLT02</t>
  </si>
  <si>
    <t>HCL Technologies Limited</t>
  </si>
  <si>
    <t>INE860A01027</t>
  </si>
  <si>
    <t>IT - Software</t>
  </si>
  <si>
    <t>TEMA02</t>
  </si>
  <si>
    <t>Tech Mahindra Limited</t>
  </si>
  <si>
    <t>INE669C01036</t>
  </si>
  <si>
    <t>INFS02</t>
  </si>
  <si>
    <t>Infosys Limited</t>
  </si>
  <si>
    <t>INE009A01021</t>
  </si>
  <si>
    <t>BHEL02</t>
  </si>
  <si>
    <t>Bharat Electronics Limited</t>
  </si>
  <si>
    <t>INE263A01024</t>
  </si>
  <si>
    <t>Aerospace &amp; Defense</t>
  </si>
  <si>
    <t>PSYL02</t>
  </si>
  <si>
    <t>Persistent Systems Limited</t>
  </si>
  <si>
    <t>INE262H01021</t>
  </si>
  <si>
    <t>IHOT02</t>
  </si>
  <si>
    <t>The Indian Hotels Company Limited</t>
  </si>
  <si>
    <t>INE053A01029</t>
  </si>
  <si>
    <t>Leisure Services</t>
  </si>
  <si>
    <t>LAKM02</t>
  </si>
  <si>
    <t>Trent Limited</t>
  </si>
  <si>
    <t>INE849A01020</t>
  </si>
  <si>
    <t>Retailing</t>
  </si>
  <si>
    <t>ZMPL01</t>
  </si>
  <si>
    <t>Zomato Limited</t>
  </si>
  <si>
    <t>INE758T01015</t>
  </si>
  <si>
    <t>DIXO02</t>
  </si>
  <si>
    <t>Dixon Technologies (India) Limited</t>
  </si>
  <si>
    <t>INE935N01020</t>
  </si>
  <si>
    <t>Consumer Durables</t>
  </si>
  <si>
    <t>BSEL02</t>
  </si>
  <si>
    <t>BSE Limited</t>
  </si>
  <si>
    <t>INE118H01025</t>
  </si>
  <si>
    <t>Capital Markets</t>
  </si>
  <si>
    <t>NITL01</t>
  </si>
  <si>
    <t>Coforge Limited</t>
  </si>
  <si>
    <t>INE591G01017</t>
  </si>
  <si>
    <t>IEIN01</t>
  </si>
  <si>
    <t>Info Edge (India) Limited</t>
  </si>
  <si>
    <t>INE663F01024</t>
  </si>
  <si>
    <t>ESMC02</t>
  </si>
  <si>
    <t>PB Fintech Limited</t>
  </si>
  <si>
    <t>INE417T01026</t>
  </si>
  <si>
    <t>Financial Technology (Fintech)</t>
  </si>
  <si>
    <t>SESA02</t>
  </si>
  <si>
    <t>Vedanta Limited</t>
  </si>
  <si>
    <t>INE205A01025</t>
  </si>
  <si>
    <t>Diversified Metals</t>
  </si>
  <si>
    <t>LUPL02</t>
  </si>
  <si>
    <t>Lupin Limited</t>
  </si>
  <si>
    <t>INE326A01037</t>
  </si>
  <si>
    <t>SIEM02</t>
  </si>
  <si>
    <t>Siemens Limited</t>
  </si>
  <si>
    <t>INE003A01024</t>
  </si>
  <si>
    <t>Electrical Equipment</t>
  </si>
  <si>
    <t>MCSP02</t>
  </si>
  <si>
    <t>United Spirits Limited</t>
  </si>
  <si>
    <t>INE854D01024</t>
  </si>
  <si>
    <t>Beverages</t>
  </si>
  <si>
    <t>FEBA02</t>
  </si>
  <si>
    <t>The Federal Bank Limited</t>
  </si>
  <si>
    <t>INE171A01029</t>
  </si>
  <si>
    <t>Banks</t>
  </si>
  <si>
    <t>VOLT02</t>
  </si>
  <si>
    <t>Voltas Limited</t>
  </si>
  <si>
    <t>INE226A01021</t>
  </si>
  <si>
    <t>TOPH02</t>
  </si>
  <si>
    <t>Torrent Pharmaceuticals Limited</t>
  </si>
  <si>
    <t>INE685A01028</t>
  </si>
  <si>
    <t>KALJ01</t>
  </si>
  <si>
    <t>Kalyan Jewellers India Limited</t>
  </si>
  <si>
    <t>INE303R01014</t>
  </si>
  <si>
    <t>MOSU03</t>
  </si>
  <si>
    <t>Samvardhana Motherson International Limited</t>
  </si>
  <si>
    <t>INE775A01035</t>
  </si>
  <si>
    <t>Auto Components</t>
  </si>
  <si>
    <t>IFEL01</t>
  </si>
  <si>
    <t>Oracle Financial Services Software Limited</t>
  </si>
  <si>
    <t>INE881D01027</t>
  </si>
  <si>
    <t>ONCO02</t>
  </si>
  <si>
    <t>One 97 Communications Limited</t>
  </si>
  <si>
    <t>INE982J01020</t>
  </si>
  <si>
    <t>MOTI02</t>
  </si>
  <si>
    <t>Bosch Limited</t>
  </si>
  <si>
    <t>INE323A01026</t>
  </si>
  <si>
    <t>OIIL01</t>
  </si>
  <si>
    <t>Oil India Limited</t>
  </si>
  <si>
    <t>INE274J01014</t>
  </si>
  <si>
    <t>Oil</t>
  </si>
  <si>
    <t>Subtotal</t>
  </si>
  <si>
    <t>(b) UNLISTED</t>
  </si>
  <si>
    <t>NIL</t>
  </si>
  <si>
    <t>Total</t>
  </si>
  <si>
    <t>Money Market Instruments</t>
  </si>
  <si>
    <t>TREPS / Reverse Repo Instrument</t>
  </si>
  <si>
    <t>TRP_020425</t>
  </si>
  <si>
    <t>Triparty Repo TRP_020425</t>
  </si>
  <si>
    <t>OTHERS</t>
  </si>
  <si>
    <t>Cash Margin - CCIL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</si>
  <si>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</si>
  <si>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</si>
  <si>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</si>
  <si>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</si>
  <si>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</si>
  <si>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</si>
  <si>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Mahindra Group</t>
  </si>
  <si>
    <t>Tata Group</t>
  </si>
  <si>
    <t>Infoedge Group</t>
  </si>
  <si>
    <t>Bharti Group</t>
  </si>
  <si>
    <t>Government of India</t>
  </si>
  <si>
    <t>Sun Pharma Group</t>
  </si>
  <si>
    <t>Divi's</t>
  </si>
  <si>
    <t>Name and exposure to top 4 Sectors</t>
  </si>
  <si>
    <t>Name of the Sector</t>
  </si>
  <si>
    <t>Information Technology</t>
  </si>
  <si>
    <t>Consumer Services</t>
  </si>
  <si>
    <t>Healthcare</t>
  </si>
  <si>
    <t>Financial Services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</si>
  <si>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</si>
  <si>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</si>
  <si>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</si>
  <si>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</si>
  <si>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</si>
  <si>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</si>
  <si>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</si>
  <si>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IDF282-AG</t>
  </si>
  <si>
    <t>Growth</t>
  </si>
  <si>
    <t>IDF282-AD</t>
  </si>
  <si>
    <t>IDCW #</t>
  </si>
  <si>
    <t>Direct Plan</t>
  </si>
  <si>
    <t>IDF282-ZG</t>
  </si>
  <si>
    <t>IDF282-ZD</t>
  </si>
  <si>
    <t># Income Distribution cum capital withdrawal option</t>
  </si>
  <si>
    <t>(4) No Dividend declared during the period ended March 31, 2025.</t>
  </si>
  <si>
    <t>(5) Total outstanding exposure in derivative instruments as on March 31, 2025 is Rs. Nil.</t>
  </si>
  <si>
    <t>(6) Total Market value of investments in foreign securities/ADRs/GDRs as at March 31, 2025 is Rs. Nil.</t>
  </si>
  <si>
    <t>(7) During the period, the portfolio turnover ratio - For Equity Securities is 0.79 times and aggregate for all asset category is 0.79 times.</t>
  </si>
  <si>
    <t>(8) Bonus declared during the half-year ended March 31, 2025 : Nil</t>
  </si>
  <si>
    <t>(9) The details of repo transactions of the schemes in corporate debt securities including details of counterparties, amount involved and percentage of NAV :  Nil</t>
  </si>
  <si>
    <t>BENCHMARK NAME - NIFTY200 MOMENTUM 30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</si>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</sst>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_-* #,##0.0000_-;\-* #,##0.0000_-;_-* &quot;-&quot;??_-;_-@_-"/>
    <numFmt numFmtId="170" formatCode="_-* #,##0_-;\-* #,##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0" borderId="20" xfId="0" applyFont="1" applyBorder="1"/>
    <xf numFmtId="0" fontId="3" fillId="0" borderId="20" xfId="0" applyFont="1" applyBorder="1"/>
    <xf numFmtId="165" fontId="3" fillId="0" borderId="20" xfId="0" applyNumberFormat="1" applyFont="1" applyBorder="1"/>
    <xf numFmtId="0" fontId="2" fillId="0" borderId="0" xfId="0" applyFont="1" applyProtection="1">
      <protection locked="0"/>
    </xf>
    <xf numFmtId="0" fontId="12" fillId="0" borderId="21" xfId="1" applyFont="1" applyBorder="1"/>
    <xf numFmtId="0" fontId="13" fillId="0" borderId="22" xfId="1" applyFont="1" applyBorder="1"/>
    <xf numFmtId="166" fontId="14" fillId="0" borderId="22" xfId="1" applyNumberFormat="1" applyFont="1" applyBorder="1"/>
    <xf numFmtId="166" fontId="14" fillId="0" borderId="23" xfId="1" applyNumberFormat="1" applyFont="1" applyBorder="1"/>
    <xf numFmtId="0" fontId="15" fillId="0" borderId="24" xfId="1" applyFont="1" applyBorder="1"/>
    <xf numFmtId="0" fontId="13" fillId="0" borderId="0" xfId="1" applyFont="1"/>
    <xf numFmtId="166" fontId="13" fillId="0" borderId="25" xfId="1" applyNumberFormat="1" applyFont="1" applyBorder="1"/>
    <xf numFmtId="15" fontId="13" fillId="0" borderId="24" xfId="1" applyNumberFormat="1" applyFont="1" applyBorder="1"/>
    <xf numFmtId="166" fontId="14" fillId="0" borderId="0" xfId="1" applyNumberFormat="1" applyFont="1"/>
    <xf numFmtId="0" fontId="13" fillId="0" borderId="26" xfId="1" applyFont="1" applyBorder="1"/>
    <xf numFmtId="0" fontId="13" fillId="0" borderId="27" xfId="1" applyFont="1" applyBorder="1"/>
    <xf numFmtId="166" fontId="13" fillId="0" borderId="28" xfId="1" applyNumberFormat="1" applyFont="1" applyBorder="1"/>
    <xf numFmtId="0" fontId="16" fillId="0" borderId="21" xfId="1" applyFont="1" applyBorder="1"/>
    <xf numFmtId="0" fontId="16" fillId="0" borderId="22" xfId="1" applyFont="1" applyBorder="1"/>
    <xf numFmtId="167" fontId="17" fillId="0" borderId="22" xfId="1" applyNumberFormat="1" applyFont="1" applyBorder="1"/>
    <xf numFmtId="10" fontId="17" fillId="0" borderId="23" xfId="1" applyNumberFormat="1" applyFont="1" applyBorder="1"/>
    <xf numFmtId="0" fontId="16" fillId="0" borderId="26" xfId="1" applyFont="1" applyBorder="1"/>
    <xf numFmtId="15" fontId="16" fillId="0" borderId="27" xfId="1" applyNumberFormat="1" applyFont="1" applyBorder="1"/>
    <xf numFmtId="167" fontId="13" fillId="0" borderId="28" xfId="1" applyNumberFormat="1" applyFont="1" applyBorder="1"/>
    <xf numFmtId="0" fontId="16" fillId="0" borderId="24" xfId="1" applyFont="1" applyBorder="1"/>
    <xf numFmtId="168" fontId="13" fillId="0" borderId="0" xfId="1" applyNumberFormat="1" applyFont="1"/>
    <xf numFmtId="0" fontId="3" fillId="0" borderId="0" xfId="1" applyFont="1"/>
    <xf numFmtId="166" fontId="14" fillId="0" borderId="25" xfId="1" applyNumberFormat="1" applyFont="1" applyBorder="1"/>
    <xf numFmtId="0" fontId="13" fillId="0" borderId="24" xfId="1" applyFont="1" applyBorder="1"/>
    <xf numFmtId="168" fontId="13" fillId="0" borderId="0" xfId="2" applyNumberFormat="1" applyFont="1"/>
    <xf numFmtId="168" fontId="13" fillId="0" borderId="0" xfId="3" applyNumberFormat="1" applyFont="1"/>
    <xf numFmtId="4" fontId="13" fillId="0" borderId="0" xfId="1" applyNumberFormat="1" applyFont="1"/>
    <xf numFmtId="169" fontId="14" fillId="0" borderId="0" xfId="1" applyNumberFormat="1" applyFont="1"/>
    <xf numFmtId="168" fontId="13" fillId="0" borderId="27" xfId="1" applyNumberFormat="1" applyFont="1" applyBorder="1"/>
    <xf numFmtId="169" fontId="14" fillId="0" borderId="27" xfId="1" applyNumberFormat="1" applyFont="1" applyBorder="1"/>
    <xf numFmtId="166" fontId="14" fillId="0" borderId="28" xfId="1" applyNumberFormat="1" applyFont="1" applyBorder="1"/>
    <xf numFmtId="168" fontId="13" fillId="0" borderId="0" xfId="4" applyNumberFormat="1" applyFont="1" applyFill="1" applyBorder="1" applyAlignment="1"/>
    <xf numFmtId="167" fontId="13" fillId="0" borderId="0" xfId="4" applyNumberFormat="1" applyFont="1" applyFill="1" applyBorder="1" applyAlignment="1"/>
    <xf numFmtId="0" fontId="13" fillId="0" borderId="25" xfId="1" applyFont="1" applyBorder="1"/>
    <xf numFmtId="170" fontId="18" fillId="0" borderId="0" xfId="1" applyNumberFormat="1" applyFont="1"/>
    <xf numFmtId="0" fontId="13" fillId="0" borderId="24" xfId="2" applyFont="1" applyBorder="1"/>
    <xf numFmtId="0" fontId="11" fillId="0" borderId="0" xfId="0" applyFont="1"/>
  </cellXfs>
  <cellStyles count="5">
    <cellStyle name="Comma 5" xfId="4" xr:uid="{1CBE987C-1622-4077-93A4-5E47ABDDF096}"/>
    <cellStyle name="Normal" xfId="0" builtinId="0"/>
    <cellStyle name="Normal 3 2 2" xfId="2" xr:uid="{35243416-0F56-48DC-B6ED-A519872B2D06}"/>
    <cellStyle name="Normal 3 2 3" xfId="3" xr:uid="{14D5B636-4157-410D-B7F8-C69D02B023D0}"/>
    <cellStyle name="Normal 7" xfId="1" xr:uid="{C98C8A02-BA02-4E3B-8200-9AB29B26CF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182879</xdr:rowOff>
    </xdr:from>
    <xdr:to>
      <xdr:col>1</xdr:col>
      <xdr:colOff>2857500</xdr:colOff>
      <xdr:row>114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D8D32A-1C02-456D-B3AC-2F7069B574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70887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103</xdr:row>
      <xdr:rowOff>182879</xdr:rowOff>
    </xdr:from>
    <xdr:to>
      <xdr:col>7</xdr:col>
      <xdr:colOff>571500</xdr:colOff>
      <xdr:row>114</xdr:row>
      <xdr:rowOff>152399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D34635-3C3B-4314-ACD9-39559B58A3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1770887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E157-80A7-499F-AA2B-E6F6E86DB730}">
  <sheetPr codeName="Sheet43">
    <outlinePr summaryBelow="0"/>
  </sheetPr>
  <dimension ref="A1:H103"/>
  <sheetViews>
    <sheetView tabSelected="1" topLeftCell="A94" workbookViewId="0">
      <selection activeCell="E94" sqref="E94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42521</v>
      </c>
      <c r="F8" s="19">
        <v>737.06</v>
      </c>
      <c r="G8" s="20">
        <v>6.25E-2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20</v>
      </c>
      <c r="E9" s="18">
        <v>36936</v>
      </c>
      <c r="F9" s="19">
        <v>640.73</v>
      </c>
      <c r="G9" s="20">
        <v>5.4300000000000001E-2</v>
      </c>
      <c r="H9" s="21"/>
    </row>
    <row r="10" spans="1:8" ht="12.9" customHeight="1" x14ac:dyDescent="0.25">
      <c r="A10" s="16" t="s">
        <v>21</v>
      </c>
      <c r="B10" s="17" t="s">
        <v>22</v>
      </c>
      <c r="C10" s="13" t="s">
        <v>23</v>
      </c>
      <c r="D10" s="14" t="s">
        <v>24</v>
      </c>
      <c r="E10" s="18">
        <v>22856</v>
      </c>
      <c r="F10" s="19">
        <v>609.29999999999995</v>
      </c>
      <c r="G10" s="20">
        <v>5.1700000000000003E-2</v>
      </c>
      <c r="H10" s="21"/>
    </row>
    <row r="11" spans="1:8" ht="12.9" customHeight="1" x14ac:dyDescent="0.25">
      <c r="A11" s="16" t="s">
        <v>25</v>
      </c>
      <c r="B11" s="17" t="s">
        <v>26</v>
      </c>
      <c r="C11" s="13" t="s">
        <v>27</v>
      </c>
      <c r="D11" s="14" t="s">
        <v>20</v>
      </c>
      <c r="E11" s="18">
        <v>10248</v>
      </c>
      <c r="F11" s="19">
        <v>591.87</v>
      </c>
      <c r="G11" s="20">
        <v>5.0200000000000002E-2</v>
      </c>
      <c r="H11" s="21"/>
    </row>
    <row r="12" spans="1:8" ht="12.9" customHeight="1" x14ac:dyDescent="0.25">
      <c r="A12" s="16" t="s">
        <v>28</v>
      </c>
      <c r="B12" s="17" t="s">
        <v>29</v>
      </c>
      <c r="C12" s="13" t="s">
        <v>30</v>
      </c>
      <c r="D12" s="14" t="s">
        <v>31</v>
      </c>
      <c r="E12" s="18">
        <v>35782</v>
      </c>
      <c r="F12" s="19">
        <v>569.83000000000004</v>
      </c>
      <c r="G12" s="20">
        <v>4.8300000000000003E-2</v>
      </c>
      <c r="H12" s="21"/>
    </row>
    <row r="13" spans="1:8" ht="12.9" customHeight="1" x14ac:dyDescent="0.25">
      <c r="A13" s="16" t="s">
        <v>32</v>
      </c>
      <c r="B13" s="17" t="s">
        <v>33</v>
      </c>
      <c r="C13" s="13" t="s">
        <v>34</v>
      </c>
      <c r="D13" s="14" t="s">
        <v>31</v>
      </c>
      <c r="E13" s="18">
        <v>39555</v>
      </c>
      <c r="F13" s="19">
        <v>560.99</v>
      </c>
      <c r="G13" s="20">
        <v>4.7600000000000003E-2</v>
      </c>
      <c r="H13" s="21"/>
    </row>
    <row r="14" spans="1:8" ht="12.9" customHeight="1" x14ac:dyDescent="0.25">
      <c r="A14" s="16" t="s">
        <v>35</v>
      </c>
      <c r="B14" s="17" t="s">
        <v>36</v>
      </c>
      <c r="C14" s="13" t="s">
        <v>37</v>
      </c>
      <c r="D14" s="14" t="s">
        <v>31</v>
      </c>
      <c r="E14" s="18">
        <v>35657</v>
      </c>
      <c r="F14" s="19">
        <v>560.04999999999995</v>
      </c>
      <c r="G14" s="20">
        <v>4.7500000000000001E-2</v>
      </c>
      <c r="H14" s="21"/>
    </row>
    <row r="15" spans="1:8" ht="12.9" customHeight="1" x14ac:dyDescent="0.25">
      <c r="A15" s="16" t="s">
        <v>38</v>
      </c>
      <c r="B15" s="17" t="s">
        <v>39</v>
      </c>
      <c r="C15" s="13" t="s">
        <v>40</v>
      </c>
      <c r="D15" s="14" t="s">
        <v>41</v>
      </c>
      <c r="E15" s="18">
        <v>175781</v>
      </c>
      <c r="F15" s="19">
        <v>529.66</v>
      </c>
      <c r="G15" s="20">
        <v>4.4900000000000002E-2</v>
      </c>
      <c r="H15" s="21"/>
    </row>
    <row r="16" spans="1:8" ht="12.9" customHeight="1" x14ac:dyDescent="0.25">
      <c r="A16" s="16" t="s">
        <v>42</v>
      </c>
      <c r="B16" s="17" t="s">
        <v>43</v>
      </c>
      <c r="C16" s="13" t="s">
        <v>44</v>
      </c>
      <c r="D16" s="14" t="s">
        <v>31</v>
      </c>
      <c r="E16" s="18">
        <v>9514</v>
      </c>
      <c r="F16" s="19">
        <v>524.58000000000004</v>
      </c>
      <c r="G16" s="20">
        <v>4.4499999999999998E-2</v>
      </c>
      <c r="H16" s="21"/>
    </row>
    <row r="17" spans="1:8" ht="12.9" customHeight="1" x14ac:dyDescent="0.25">
      <c r="A17" s="16" t="s">
        <v>45</v>
      </c>
      <c r="B17" s="17" t="s">
        <v>46</v>
      </c>
      <c r="C17" s="13" t="s">
        <v>47</v>
      </c>
      <c r="D17" s="14" t="s">
        <v>48</v>
      </c>
      <c r="E17" s="18">
        <v>65614</v>
      </c>
      <c r="F17" s="19">
        <v>516.74</v>
      </c>
      <c r="G17" s="20">
        <v>4.3799999999999999E-2</v>
      </c>
      <c r="H17" s="21"/>
    </row>
    <row r="18" spans="1:8" ht="12.9" customHeight="1" x14ac:dyDescent="0.25">
      <c r="A18" s="16" t="s">
        <v>49</v>
      </c>
      <c r="B18" s="17" t="s">
        <v>50</v>
      </c>
      <c r="C18" s="13" t="s">
        <v>51</v>
      </c>
      <c r="D18" s="14" t="s">
        <v>52</v>
      </c>
      <c r="E18" s="18">
        <v>9628</v>
      </c>
      <c r="F18" s="19">
        <v>512.71</v>
      </c>
      <c r="G18" s="20">
        <v>4.3499999999999997E-2</v>
      </c>
      <c r="H18" s="21"/>
    </row>
    <row r="19" spans="1:8" ht="12.9" customHeight="1" x14ac:dyDescent="0.25">
      <c r="A19" s="16" t="s">
        <v>53</v>
      </c>
      <c r="B19" s="17" t="s">
        <v>54</v>
      </c>
      <c r="C19" s="13" t="s">
        <v>55</v>
      </c>
      <c r="D19" s="14" t="s">
        <v>52</v>
      </c>
      <c r="E19" s="18">
        <v>248945</v>
      </c>
      <c r="F19" s="19">
        <v>502.12</v>
      </c>
      <c r="G19" s="20">
        <v>4.2599999999999999E-2</v>
      </c>
      <c r="H19" s="21"/>
    </row>
    <row r="20" spans="1:8" ht="12.9" customHeight="1" x14ac:dyDescent="0.25">
      <c r="A20" s="16" t="s">
        <v>56</v>
      </c>
      <c r="B20" s="17" t="s">
        <v>57</v>
      </c>
      <c r="C20" s="13" t="s">
        <v>58</v>
      </c>
      <c r="D20" s="14" t="s">
        <v>59</v>
      </c>
      <c r="E20" s="18">
        <v>3770</v>
      </c>
      <c r="F20" s="19">
        <v>496.87</v>
      </c>
      <c r="G20" s="20">
        <v>4.2099999999999999E-2</v>
      </c>
      <c r="H20" s="21"/>
    </row>
    <row r="21" spans="1:8" ht="12.9" customHeight="1" x14ac:dyDescent="0.25">
      <c r="A21" s="16" t="s">
        <v>60</v>
      </c>
      <c r="B21" s="17" t="s">
        <v>61</v>
      </c>
      <c r="C21" s="13" t="s">
        <v>62</v>
      </c>
      <c r="D21" s="14" t="s">
        <v>63</v>
      </c>
      <c r="E21" s="18">
        <v>8048</v>
      </c>
      <c r="F21" s="19">
        <v>441.01</v>
      </c>
      <c r="G21" s="20">
        <v>3.7400000000000003E-2</v>
      </c>
      <c r="H21" s="21"/>
    </row>
    <row r="22" spans="1:8" ht="12.9" customHeight="1" x14ac:dyDescent="0.25">
      <c r="A22" s="16" t="s">
        <v>64</v>
      </c>
      <c r="B22" s="17" t="s">
        <v>65</v>
      </c>
      <c r="C22" s="13" t="s">
        <v>66</v>
      </c>
      <c r="D22" s="14" t="s">
        <v>31</v>
      </c>
      <c r="E22" s="18">
        <v>5214</v>
      </c>
      <c r="F22" s="19">
        <v>422.81</v>
      </c>
      <c r="G22" s="20">
        <v>3.5900000000000001E-2</v>
      </c>
      <c r="H22" s="21"/>
    </row>
    <row r="23" spans="1:8" ht="12.9" customHeight="1" x14ac:dyDescent="0.25">
      <c r="A23" s="16" t="s">
        <v>67</v>
      </c>
      <c r="B23" s="17" t="s">
        <v>68</v>
      </c>
      <c r="C23" s="13" t="s">
        <v>69</v>
      </c>
      <c r="D23" s="14" t="s">
        <v>52</v>
      </c>
      <c r="E23" s="18">
        <v>5795</v>
      </c>
      <c r="F23" s="19">
        <v>416.16</v>
      </c>
      <c r="G23" s="20">
        <v>3.5299999999999998E-2</v>
      </c>
      <c r="H23" s="21"/>
    </row>
    <row r="24" spans="1:8" ht="12.9" customHeight="1" x14ac:dyDescent="0.25">
      <c r="A24" s="16" t="s">
        <v>70</v>
      </c>
      <c r="B24" s="17" t="s">
        <v>71</v>
      </c>
      <c r="C24" s="13" t="s">
        <v>72</v>
      </c>
      <c r="D24" s="14" t="s">
        <v>73</v>
      </c>
      <c r="E24" s="18">
        <v>23872</v>
      </c>
      <c r="F24" s="19">
        <v>379.51</v>
      </c>
      <c r="G24" s="20">
        <v>3.2199999999999999E-2</v>
      </c>
      <c r="H24" s="21"/>
    </row>
    <row r="25" spans="1:8" ht="12.9" customHeight="1" x14ac:dyDescent="0.25">
      <c r="A25" s="16" t="s">
        <v>74</v>
      </c>
      <c r="B25" s="17" t="s">
        <v>75</v>
      </c>
      <c r="C25" s="13" t="s">
        <v>76</v>
      </c>
      <c r="D25" s="14" t="s">
        <v>77</v>
      </c>
      <c r="E25" s="18">
        <v>77094</v>
      </c>
      <c r="F25" s="19">
        <v>357.25</v>
      </c>
      <c r="G25" s="20">
        <v>3.0300000000000001E-2</v>
      </c>
      <c r="H25" s="21"/>
    </row>
    <row r="26" spans="1:8" ht="12.9" customHeight="1" x14ac:dyDescent="0.25">
      <c r="A26" s="16" t="s">
        <v>78</v>
      </c>
      <c r="B26" s="17" t="s">
        <v>79</v>
      </c>
      <c r="C26" s="13" t="s">
        <v>80</v>
      </c>
      <c r="D26" s="14" t="s">
        <v>20</v>
      </c>
      <c r="E26" s="18">
        <v>15279</v>
      </c>
      <c r="F26" s="19">
        <v>309.85000000000002</v>
      </c>
      <c r="G26" s="20">
        <v>2.63E-2</v>
      </c>
      <c r="H26" s="21"/>
    </row>
    <row r="27" spans="1:8" ht="12.9" customHeight="1" x14ac:dyDescent="0.25">
      <c r="A27" s="16" t="s">
        <v>81</v>
      </c>
      <c r="B27" s="17" t="s">
        <v>82</v>
      </c>
      <c r="C27" s="13" t="s">
        <v>83</v>
      </c>
      <c r="D27" s="14" t="s">
        <v>84</v>
      </c>
      <c r="E27" s="18">
        <v>5028</v>
      </c>
      <c r="F27" s="19">
        <v>265.24</v>
      </c>
      <c r="G27" s="20">
        <v>2.2499999999999999E-2</v>
      </c>
      <c r="H27" s="21"/>
    </row>
    <row r="28" spans="1:8" ht="12.9" customHeight="1" x14ac:dyDescent="0.25">
      <c r="A28" s="16" t="s">
        <v>85</v>
      </c>
      <c r="B28" s="17" t="s">
        <v>86</v>
      </c>
      <c r="C28" s="13" t="s">
        <v>87</v>
      </c>
      <c r="D28" s="14" t="s">
        <v>88</v>
      </c>
      <c r="E28" s="18">
        <v>18732</v>
      </c>
      <c r="F28" s="19">
        <v>262.49</v>
      </c>
      <c r="G28" s="20">
        <v>2.23E-2</v>
      </c>
      <c r="H28" s="21"/>
    </row>
    <row r="29" spans="1:8" ht="12.9" customHeight="1" x14ac:dyDescent="0.25">
      <c r="A29" s="16" t="s">
        <v>89</v>
      </c>
      <c r="B29" s="17" t="s">
        <v>90</v>
      </c>
      <c r="C29" s="13" t="s">
        <v>91</v>
      </c>
      <c r="D29" s="14" t="s">
        <v>92</v>
      </c>
      <c r="E29" s="18">
        <v>133473</v>
      </c>
      <c r="F29" s="19">
        <v>257.24</v>
      </c>
      <c r="G29" s="20">
        <v>2.18E-2</v>
      </c>
      <c r="H29" s="21"/>
    </row>
    <row r="30" spans="1:8" ht="12.9" customHeight="1" x14ac:dyDescent="0.25">
      <c r="A30" s="16" t="s">
        <v>93</v>
      </c>
      <c r="B30" s="17" t="s">
        <v>94</v>
      </c>
      <c r="C30" s="13" t="s">
        <v>95</v>
      </c>
      <c r="D30" s="14" t="s">
        <v>59</v>
      </c>
      <c r="E30" s="18">
        <v>14911</v>
      </c>
      <c r="F30" s="19">
        <v>217.51</v>
      </c>
      <c r="G30" s="20">
        <v>1.84E-2</v>
      </c>
      <c r="H30" s="21"/>
    </row>
    <row r="31" spans="1:8" ht="12.9" customHeight="1" x14ac:dyDescent="0.25">
      <c r="A31" s="16" t="s">
        <v>96</v>
      </c>
      <c r="B31" s="17" t="s">
        <v>97</v>
      </c>
      <c r="C31" s="13" t="s">
        <v>98</v>
      </c>
      <c r="D31" s="14" t="s">
        <v>20</v>
      </c>
      <c r="E31" s="18">
        <v>5724</v>
      </c>
      <c r="F31" s="19">
        <v>184.77</v>
      </c>
      <c r="G31" s="20">
        <v>1.5699999999999999E-2</v>
      </c>
      <c r="H31" s="21"/>
    </row>
    <row r="32" spans="1:8" ht="12.9" customHeight="1" x14ac:dyDescent="0.25">
      <c r="A32" s="16" t="s">
        <v>99</v>
      </c>
      <c r="B32" s="17" t="s">
        <v>100</v>
      </c>
      <c r="C32" s="13" t="s">
        <v>101</v>
      </c>
      <c r="D32" s="14" t="s">
        <v>59</v>
      </c>
      <c r="E32" s="18">
        <v>38536</v>
      </c>
      <c r="F32" s="19">
        <v>180.06</v>
      </c>
      <c r="G32" s="20">
        <v>1.5299999999999999E-2</v>
      </c>
      <c r="H32" s="21"/>
    </row>
    <row r="33" spans="1:8" ht="12.9" customHeight="1" x14ac:dyDescent="0.25">
      <c r="A33" s="16" t="s">
        <v>102</v>
      </c>
      <c r="B33" s="17" t="s">
        <v>103</v>
      </c>
      <c r="C33" s="13" t="s">
        <v>104</v>
      </c>
      <c r="D33" s="14" t="s">
        <v>105</v>
      </c>
      <c r="E33" s="18">
        <v>132497</v>
      </c>
      <c r="F33" s="19">
        <v>173.52</v>
      </c>
      <c r="G33" s="20">
        <v>1.47E-2</v>
      </c>
      <c r="H33" s="21"/>
    </row>
    <row r="34" spans="1:8" ht="12.9" customHeight="1" x14ac:dyDescent="0.25">
      <c r="A34" s="16" t="s">
        <v>106</v>
      </c>
      <c r="B34" s="17" t="s">
        <v>107</v>
      </c>
      <c r="C34" s="13" t="s">
        <v>108</v>
      </c>
      <c r="D34" s="14" t="s">
        <v>31</v>
      </c>
      <c r="E34" s="18">
        <v>2150</v>
      </c>
      <c r="F34" s="19">
        <v>168.79</v>
      </c>
      <c r="G34" s="20">
        <v>1.43E-2</v>
      </c>
      <c r="H34" s="21"/>
    </row>
    <row r="35" spans="1:8" ht="12.9" customHeight="1" x14ac:dyDescent="0.25">
      <c r="A35" s="16" t="s">
        <v>109</v>
      </c>
      <c r="B35" s="17" t="s">
        <v>110</v>
      </c>
      <c r="C35" s="13" t="s">
        <v>111</v>
      </c>
      <c r="D35" s="14" t="s">
        <v>73</v>
      </c>
      <c r="E35" s="18">
        <v>19224</v>
      </c>
      <c r="F35" s="19">
        <v>150.61000000000001</v>
      </c>
      <c r="G35" s="20">
        <v>1.2800000000000001E-2</v>
      </c>
      <c r="H35" s="21"/>
    </row>
    <row r="36" spans="1:8" ht="12.9" customHeight="1" x14ac:dyDescent="0.25">
      <c r="A36" s="16" t="s">
        <v>112</v>
      </c>
      <c r="B36" s="17" t="s">
        <v>113</v>
      </c>
      <c r="C36" s="13" t="s">
        <v>114</v>
      </c>
      <c r="D36" s="14" t="s">
        <v>105</v>
      </c>
      <c r="E36" s="18">
        <v>476</v>
      </c>
      <c r="F36" s="19">
        <v>134.99</v>
      </c>
      <c r="G36" s="20">
        <v>1.14E-2</v>
      </c>
      <c r="H36" s="21"/>
    </row>
    <row r="37" spans="1:8" ht="12.9" customHeight="1" x14ac:dyDescent="0.25">
      <c r="A37" s="16" t="s">
        <v>115</v>
      </c>
      <c r="B37" s="17" t="s">
        <v>116</v>
      </c>
      <c r="C37" s="13" t="s">
        <v>117</v>
      </c>
      <c r="D37" s="14" t="s">
        <v>118</v>
      </c>
      <c r="E37" s="18">
        <v>29726</v>
      </c>
      <c r="F37" s="19">
        <v>114.97</v>
      </c>
      <c r="G37" s="20">
        <v>9.7999999999999997E-3</v>
      </c>
      <c r="H37" s="21"/>
    </row>
    <row r="38" spans="1:8" ht="12.9" customHeight="1" x14ac:dyDescent="0.25">
      <c r="A38" s="5"/>
      <c r="B38" s="22" t="s">
        <v>119</v>
      </c>
      <c r="C38" s="23"/>
      <c r="D38" s="22"/>
      <c r="E38" s="22"/>
      <c r="F38" s="24">
        <v>11789.29</v>
      </c>
      <c r="G38" s="25">
        <v>0.99990000000000001</v>
      </c>
      <c r="H38" s="26"/>
    </row>
    <row r="39" spans="1:8" ht="12.9" customHeight="1" x14ac:dyDescent="0.25">
      <c r="A39" s="5"/>
      <c r="B39" s="12" t="s">
        <v>120</v>
      </c>
      <c r="C39" s="27"/>
      <c r="D39" s="28"/>
      <c r="E39" s="28"/>
      <c r="F39" s="29" t="s">
        <v>121</v>
      </c>
      <c r="G39" s="29" t="s">
        <v>121</v>
      </c>
      <c r="H39" s="26" t="s">
        <v>121</v>
      </c>
    </row>
    <row r="40" spans="1:8" ht="12.9" customHeight="1" x14ac:dyDescent="0.25">
      <c r="A40" s="5"/>
      <c r="B40" s="22" t="s">
        <v>119</v>
      </c>
      <c r="C40" s="27"/>
      <c r="D40" s="28"/>
      <c r="E40" s="28"/>
      <c r="F40" s="29" t="s">
        <v>121</v>
      </c>
      <c r="G40" s="29" t="s">
        <v>121</v>
      </c>
      <c r="H40" s="26" t="s">
        <v>121</v>
      </c>
    </row>
    <row r="41" spans="1:8" ht="12.9" customHeight="1" x14ac:dyDescent="0.25">
      <c r="A41" s="5"/>
      <c r="B41" s="22" t="s">
        <v>122</v>
      </c>
      <c r="C41" s="27"/>
      <c r="D41" s="28"/>
      <c r="E41" s="30"/>
      <c r="F41" s="31">
        <v>11789.29</v>
      </c>
      <c r="G41" s="32">
        <v>0.99990000000000001</v>
      </c>
      <c r="H41" s="33"/>
    </row>
    <row r="42" spans="1:8" ht="12.9" customHeight="1" x14ac:dyDescent="0.25">
      <c r="A42" s="5"/>
      <c r="B42" s="12" t="s">
        <v>123</v>
      </c>
      <c r="C42" s="13"/>
      <c r="D42" s="14"/>
      <c r="E42" s="14"/>
      <c r="F42" s="14"/>
      <c r="G42" s="14"/>
      <c r="H42" s="15"/>
    </row>
    <row r="43" spans="1:8" ht="12.9" customHeight="1" x14ac:dyDescent="0.25">
      <c r="A43" s="5"/>
      <c r="B43" s="34" t="s">
        <v>124</v>
      </c>
      <c r="C43" s="13"/>
      <c r="D43" s="14"/>
      <c r="E43" s="14"/>
      <c r="F43" s="14"/>
      <c r="G43" s="14"/>
      <c r="H43" s="15"/>
    </row>
    <row r="44" spans="1:8" ht="12.9" customHeight="1" x14ac:dyDescent="0.25">
      <c r="A44" s="16" t="s">
        <v>125</v>
      </c>
      <c r="B44" s="17" t="s">
        <v>126</v>
      </c>
      <c r="C44" s="13"/>
      <c r="D44" s="14"/>
      <c r="E44" s="35"/>
      <c r="F44" s="19">
        <v>126.49</v>
      </c>
      <c r="G44" s="20">
        <v>1.0699999999999999E-2</v>
      </c>
      <c r="H44" s="21">
        <v>6.6807143534480265E-2</v>
      </c>
    </row>
    <row r="45" spans="1:8" ht="12.9" customHeight="1" x14ac:dyDescent="0.25">
      <c r="A45" s="5"/>
      <c r="B45" s="22" t="s">
        <v>122</v>
      </c>
      <c r="C45" s="27"/>
      <c r="D45" s="28"/>
      <c r="E45" s="30"/>
      <c r="F45" s="31">
        <v>126.49</v>
      </c>
      <c r="G45" s="32">
        <v>1.0699999999999999E-2</v>
      </c>
      <c r="H45" s="33"/>
    </row>
    <row r="46" spans="1:8" ht="12.9" customHeight="1" x14ac:dyDescent="0.25">
      <c r="A46" s="5"/>
      <c r="B46" s="34" t="s">
        <v>127</v>
      </c>
      <c r="C46" s="36"/>
      <c r="D46" s="37"/>
      <c r="E46" s="37"/>
      <c r="F46" s="37"/>
      <c r="G46" s="37"/>
      <c r="H46" s="38"/>
    </row>
    <row r="47" spans="1:8" ht="12.9" customHeight="1" x14ac:dyDescent="0.25">
      <c r="A47" s="5"/>
      <c r="B47" s="28" t="s">
        <v>128</v>
      </c>
      <c r="C47" s="27"/>
      <c r="D47" s="28"/>
      <c r="E47" s="28"/>
      <c r="F47" s="24">
        <v>0.72</v>
      </c>
      <c r="G47" s="25">
        <v>1E-4</v>
      </c>
      <c r="H47" s="38"/>
    </row>
    <row r="48" spans="1:8" ht="12.9" customHeight="1" x14ac:dyDescent="0.25">
      <c r="A48" s="5"/>
      <c r="B48" s="22" t="s">
        <v>119</v>
      </c>
      <c r="C48" s="23"/>
      <c r="D48" s="22"/>
      <c r="E48" s="22"/>
      <c r="F48" s="24">
        <v>0.72</v>
      </c>
      <c r="G48" s="25">
        <v>1E-4</v>
      </c>
      <c r="H48" s="38"/>
    </row>
    <row r="49" spans="1:8" ht="12.9" customHeight="1" x14ac:dyDescent="0.25">
      <c r="A49" s="5"/>
      <c r="B49" s="22" t="s">
        <v>129</v>
      </c>
      <c r="C49" s="27"/>
      <c r="D49" s="28"/>
      <c r="E49" s="28"/>
      <c r="F49" s="24">
        <v>-126.95</v>
      </c>
      <c r="G49" s="39">
        <v>-1.0699999999999999E-2</v>
      </c>
      <c r="H49" s="38"/>
    </row>
    <row r="50" spans="1:8" ht="12.9" customHeight="1" thickBot="1" x14ac:dyDescent="0.3">
      <c r="A50" s="5"/>
      <c r="B50" s="40" t="s">
        <v>130</v>
      </c>
      <c r="C50" s="41"/>
      <c r="D50" s="42"/>
      <c r="E50" s="42"/>
      <c r="F50" s="43">
        <v>11789.5457850109</v>
      </c>
      <c r="G50" s="44">
        <v>1</v>
      </c>
      <c r="H50" s="45"/>
    </row>
    <row r="51" spans="1:8" ht="12.9" customHeight="1" x14ac:dyDescent="0.25">
      <c r="A51" s="5"/>
      <c r="B51" s="46"/>
      <c r="C51" s="5"/>
      <c r="D51" s="5"/>
      <c r="E51" s="5"/>
      <c r="F51" s="5"/>
      <c r="G51" s="5"/>
      <c r="H51" s="5"/>
    </row>
    <row r="52" spans="1:8" x14ac:dyDescent="0.25">
      <c r="B52" s="47" t="s">
        <v>131</v>
      </c>
      <c r="C52" s="5"/>
    </row>
    <row r="53" spans="1:8" x14ac:dyDescent="0.25">
      <c r="B53" s="48" t="s">
        <v>132</v>
      </c>
      <c r="C53" s="48" t="s">
        <v>9</v>
      </c>
    </row>
    <row r="54" spans="1:8" x14ac:dyDescent="0.25">
      <c r="B54" s="49" t="str">
        <f t="shared" ref="B54:B60" si="0">+B8</f>
        <v>Bharti Airtel Limited</v>
      </c>
      <c r="C54" s="50">
        <f>+G8</f>
        <v>6.25E-2</v>
      </c>
    </row>
    <row r="55" spans="1:8" x14ac:dyDescent="0.25">
      <c r="B55" s="49" t="str">
        <f t="shared" si="0"/>
        <v>Sun Pharmaceutical Industries Limited</v>
      </c>
      <c r="C55" s="50">
        <f>+G9</f>
        <v>5.4300000000000001E-2</v>
      </c>
    </row>
    <row r="56" spans="1:8" x14ac:dyDescent="0.25">
      <c r="B56" s="49" t="str">
        <f t="shared" si="0"/>
        <v>Mahindra &amp; Mahindra Limited</v>
      </c>
      <c r="C56" s="50">
        <f>+G10</f>
        <v>5.1700000000000003E-2</v>
      </c>
    </row>
    <row r="57" spans="1:8" x14ac:dyDescent="0.25">
      <c r="B57" s="49" t="str">
        <f t="shared" si="0"/>
        <v>Divi's Laboratories Limited</v>
      </c>
      <c r="C57" s="50">
        <f>+G11</f>
        <v>5.0200000000000002E-2</v>
      </c>
    </row>
    <row r="58" spans="1:8" x14ac:dyDescent="0.25">
      <c r="B58" s="49" t="str">
        <f t="shared" si="0"/>
        <v>HCL Technologies Limited</v>
      </c>
      <c r="C58" s="50">
        <f>+G12</f>
        <v>4.8300000000000003E-2</v>
      </c>
    </row>
    <row r="59" spans="1:8" x14ac:dyDescent="0.25">
      <c r="B59" s="49" t="str">
        <f t="shared" si="0"/>
        <v>Tech Mahindra Limited</v>
      </c>
      <c r="C59" s="50">
        <f t="shared" ref="C59" si="1">+G13</f>
        <v>4.7600000000000003E-2</v>
      </c>
    </row>
    <row r="60" spans="1:8" x14ac:dyDescent="0.25">
      <c r="B60" s="49" t="str">
        <f t="shared" si="0"/>
        <v>Infosys Limited</v>
      </c>
      <c r="C60" s="50">
        <f>+G14</f>
        <v>4.7500000000000001E-2</v>
      </c>
    </row>
    <row r="62" spans="1:8" x14ac:dyDescent="0.25">
      <c r="B62" s="47" t="s">
        <v>133</v>
      </c>
    </row>
    <row r="63" spans="1:8" x14ac:dyDescent="0.25">
      <c r="B63" s="48" t="s">
        <v>134</v>
      </c>
      <c r="C63" s="48" t="s">
        <v>9</v>
      </c>
    </row>
    <row r="64" spans="1:8" x14ac:dyDescent="0.25">
      <c r="B64" s="49" t="s">
        <v>135</v>
      </c>
      <c r="C64" s="50">
        <v>9.9299999999999999E-2</v>
      </c>
    </row>
    <row r="65" spans="1:8" x14ac:dyDescent="0.25">
      <c r="B65" s="49" t="s">
        <v>136</v>
      </c>
      <c r="C65" s="50">
        <v>8.7299999999999989E-2</v>
      </c>
    </row>
    <row r="66" spans="1:8" x14ac:dyDescent="0.25">
      <c r="B66" s="49" t="s">
        <v>137</v>
      </c>
      <c r="C66" s="50">
        <v>7.7899999999999997E-2</v>
      </c>
    </row>
    <row r="67" spans="1:8" x14ac:dyDescent="0.25">
      <c r="B67" s="49" t="s">
        <v>138</v>
      </c>
      <c r="C67" s="50">
        <v>6.25E-2</v>
      </c>
    </row>
    <row r="68" spans="1:8" x14ac:dyDescent="0.25">
      <c r="B68" s="49" t="s">
        <v>139</v>
      </c>
      <c r="C68" s="50">
        <v>5.4699999999999999E-2</v>
      </c>
    </row>
    <row r="69" spans="1:8" x14ac:dyDescent="0.25">
      <c r="B69" s="49" t="s">
        <v>140</v>
      </c>
      <c r="C69" s="50">
        <v>5.4300000000000001E-2</v>
      </c>
    </row>
    <row r="70" spans="1:8" x14ac:dyDescent="0.25">
      <c r="B70" s="49" t="s">
        <v>141</v>
      </c>
      <c r="C70" s="50">
        <v>5.0200000000000002E-2</v>
      </c>
    </row>
    <row r="72" spans="1:8" x14ac:dyDescent="0.25">
      <c r="B72" s="47" t="s">
        <v>142</v>
      </c>
    </row>
    <row r="73" spans="1:8" x14ac:dyDescent="0.25">
      <c r="B73" s="48" t="s">
        <v>143</v>
      </c>
      <c r="C73" s="48" t="s">
        <v>9</v>
      </c>
    </row>
    <row r="74" spans="1:8" x14ac:dyDescent="0.25">
      <c r="B74" s="49" t="s">
        <v>144</v>
      </c>
      <c r="C74" s="50">
        <v>0.23810000000000001</v>
      </c>
    </row>
    <row r="75" spans="1:8" x14ac:dyDescent="0.25">
      <c r="B75" s="49" t="s">
        <v>145</v>
      </c>
      <c r="C75" s="50">
        <v>0.16519999999999999</v>
      </c>
    </row>
    <row r="76" spans="1:8" x14ac:dyDescent="0.25">
      <c r="B76" s="49" t="s">
        <v>146</v>
      </c>
      <c r="C76" s="50">
        <v>0.14650000000000002</v>
      </c>
    </row>
    <row r="77" spans="1:8" x14ac:dyDescent="0.25">
      <c r="B77" s="49" t="s">
        <v>147</v>
      </c>
      <c r="C77" s="50">
        <v>0.1042</v>
      </c>
    </row>
    <row r="78" spans="1:8" ht="12.9" customHeight="1" thickBot="1" x14ac:dyDescent="0.3">
      <c r="A78" s="5"/>
      <c r="B78" s="46"/>
      <c r="C78" s="5"/>
      <c r="D78" s="5"/>
      <c r="E78" s="5"/>
      <c r="F78" s="5"/>
      <c r="G78" s="5"/>
      <c r="H78" s="5"/>
    </row>
    <row r="79" spans="1:8" x14ac:dyDescent="0.25">
      <c r="A79" s="51"/>
      <c r="B79" s="52" t="s">
        <v>148</v>
      </c>
      <c r="C79" s="53"/>
      <c r="D79" s="53"/>
      <c r="E79" s="54"/>
      <c r="F79" s="55"/>
    </row>
    <row r="80" spans="1:8" x14ac:dyDescent="0.25">
      <c r="A80" s="51"/>
      <c r="B80" s="56" t="s">
        <v>149</v>
      </c>
      <c r="C80" s="57"/>
      <c r="D80" s="57"/>
      <c r="E80" s="57"/>
      <c r="F80" s="58"/>
    </row>
    <row r="81" spans="1:6" x14ac:dyDescent="0.25">
      <c r="A81" s="51"/>
      <c r="B81" s="59" t="s">
        <v>150</v>
      </c>
      <c r="C81" s="57"/>
      <c r="D81" s="57"/>
      <c r="E81" s="60"/>
      <c r="F81" s="58"/>
    </row>
    <row r="82" spans="1:6" ht="14.4" thickBot="1" x14ac:dyDescent="0.3">
      <c r="A82" s="51"/>
      <c r="B82" s="61" t="s">
        <v>151</v>
      </c>
      <c r="C82" s="62"/>
      <c r="D82" s="62"/>
      <c r="E82" s="62"/>
      <c r="F82" s="63"/>
    </row>
    <row r="83" spans="1:6" x14ac:dyDescent="0.25">
      <c r="A83" s="51"/>
      <c r="B83" s="64" t="s">
        <v>152</v>
      </c>
      <c r="C83" s="65" t="s">
        <v>153</v>
      </c>
      <c r="D83" s="65"/>
      <c r="E83" s="66"/>
      <c r="F83" s="67"/>
    </row>
    <row r="84" spans="1:6" ht="14.4" thickBot="1" x14ac:dyDescent="0.3">
      <c r="A84" s="51"/>
      <c r="B84" s="68"/>
      <c r="C84" s="69">
        <v>45747</v>
      </c>
      <c r="D84" s="69">
        <v>45565</v>
      </c>
      <c r="E84" s="69"/>
      <c r="F84" s="70"/>
    </row>
    <row r="85" spans="1:6" x14ac:dyDescent="0.25">
      <c r="A85" s="51"/>
      <c r="B85" s="71" t="s">
        <v>154</v>
      </c>
      <c r="C85" s="72"/>
      <c r="D85" s="72"/>
      <c r="E85" s="73"/>
      <c r="F85" s="74"/>
    </row>
    <row r="86" spans="1:6" x14ac:dyDescent="0.25">
      <c r="A86" s="51" t="s">
        <v>155</v>
      </c>
      <c r="B86" s="75" t="s">
        <v>156</v>
      </c>
      <c r="C86" s="76">
        <v>14.2044</v>
      </c>
      <c r="D86" s="76">
        <v>19.000499999999999</v>
      </c>
      <c r="E86" s="73"/>
      <c r="F86" s="74"/>
    </row>
    <row r="87" spans="1:6" x14ac:dyDescent="0.25">
      <c r="A87" s="51" t="s">
        <v>157</v>
      </c>
      <c r="B87" s="75" t="s">
        <v>158</v>
      </c>
      <c r="C87" s="76">
        <v>14.203900000000001</v>
      </c>
      <c r="D87" s="76">
        <v>18.999700000000001</v>
      </c>
      <c r="E87" s="73"/>
      <c r="F87" s="74"/>
    </row>
    <row r="88" spans="1:6" x14ac:dyDescent="0.25">
      <c r="A88" s="51"/>
      <c r="B88" s="75"/>
      <c r="C88" s="77"/>
      <c r="D88" s="77"/>
      <c r="E88" s="73"/>
      <c r="F88" s="74"/>
    </row>
    <row r="89" spans="1:6" x14ac:dyDescent="0.25">
      <c r="A89" s="51"/>
      <c r="B89" s="71" t="s">
        <v>159</v>
      </c>
      <c r="C89" s="77"/>
      <c r="D89" s="77"/>
      <c r="E89" s="73"/>
      <c r="F89" s="74"/>
    </row>
    <row r="90" spans="1:6" x14ac:dyDescent="0.25">
      <c r="A90" s="51" t="s">
        <v>160</v>
      </c>
      <c r="B90" s="75" t="s">
        <v>156</v>
      </c>
      <c r="C90" s="76">
        <v>14.430400000000001</v>
      </c>
      <c r="D90" s="76">
        <v>19.240300000000001</v>
      </c>
      <c r="E90" s="73"/>
      <c r="F90" s="74"/>
    </row>
    <row r="91" spans="1:6" x14ac:dyDescent="0.25">
      <c r="A91" s="51" t="s">
        <v>161</v>
      </c>
      <c r="B91" s="75" t="s">
        <v>158</v>
      </c>
      <c r="C91" s="76">
        <v>14.4177</v>
      </c>
      <c r="D91" s="76">
        <v>19.23</v>
      </c>
      <c r="E91" s="73"/>
      <c r="F91" s="74"/>
    </row>
    <row r="92" spans="1:6" x14ac:dyDescent="0.25">
      <c r="A92" s="51"/>
      <c r="B92" s="75" t="s">
        <v>162</v>
      </c>
      <c r="C92" s="78"/>
      <c r="D92" s="78"/>
      <c r="E92" s="79"/>
      <c r="F92" s="74"/>
    </row>
    <row r="93" spans="1:6" ht="14.4" thickBot="1" x14ac:dyDescent="0.3">
      <c r="A93" s="51"/>
      <c r="B93" s="61"/>
      <c r="C93" s="80"/>
      <c r="D93" s="80"/>
      <c r="E93" s="81"/>
      <c r="F93" s="82"/>
    </row>
    <row r="94" spans="1:6" x14ac:dyDescent="0.25">
      <c r="A94" s="51"/>
      <c r="B94" s="75" t="s">
        <v>163</v>
      </c>
      <c r="C94" s="83"/>
      <c r="D94" s="72"/>
      <c r="E94" s="84"/>
      <c r="F94" s="85"/>
    </row>
    <row r="95" spans="1:6" x14ac:dyDescent="0.25">
      <c r="A95" s="51"/>
      <c r="B95" s="75" t="s">
        <v>164</v>
      </c>
      <c r="C95" s="57"/>
      <c r="D95" s="72"/>
      <c r="E95" s="60"/>
      <c r="F95" s="74"/>
    </row>
    <row r="96" spans="1:6" x14ac:dyDescent="0.25">
      <c r="A96" s="51"/>
      <c r="B96" s="75" t="s">
        <v>165</v>
      </c>
      <c r="C96" s="57"/>
      <c r="D96" s="86"/>
      <c r="E96" s="60"/>
      <c r="F96" s="74"/>
    </row>
    <row r="97" spans="1:6" x14ac:dyDescent="0.25">
      <c r="A97" s="51"/>
      <c r="B97" s="87" t="s">
        <v>166</v>
      </c>
      <c r="C97" s="57"/>
      <c r="D97" s="86"/>
      <c r="E97" s="60"/>
      <c r="F97" s="74"/>
    </row>
    <row r="98" spans="1:6" x14ac:dyDescent="0.25">
      <c r="A98" s="51"/>
      <c r="B98" s="75" t="s">
        <v>167</v>
      </c>
      <c r="C98" s="57"/>
      <c r="D98" s="57"/>
      <c r="E98" s="57"/>
      <c r="F98" s="58"/>
    </row>
    <row r="99" spans="1:6" x14ac:dyDescent="0.25">
      <c r="A99" s="51"/>
      <c r="B99" s="75" t="s">
        <v>168</v>
      </c>
      <c r="C99" s="57"/>
      <c r="D99" s="57"/>
      <c r="E99" s="57"/>
      <c r="F99" s="58"/>
    </row>
    <row r="100" spans="1:6" ht="14.4" thickBot="1" x14ac:dyDescent="0.3">
      <c r="A100" s="51"/>
      <c r="B100" s="61"/>
      <c r="C100" s="62"/>
      <c r="D100" s="62"/>
      <c r="E100" s="62"/>
      <c r="F100" s="63"/>
    </row>
    <row r="101" spans="1:6" x14ac:dyDescent="0.25">
      <c r="B101" s="46"/>
      <c r="C101" s="5"/>
      <c r="D101" s="5"/>
      <c r="E101" s="5"/>
      <c r="F101" s="5"/>
    </row>
    <row r="102" spans="1:6" x14ac:dyDescent="0.25">
      <c r="F102" s="88" t="s">
        <v>169</v>
      </c>
    </row>
    <row r="103" spans="1:6" x14ac:dyDescent="0.25">
      <c r="B103" s="88" t="s">
        <v>170</v>
      </c>
      <c r="F103" s="88" t="s">
        <v>171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IDF282</vt:lpstr>
      <vt:lpstr>JR_PAGE_ANCHOR_0_49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2025-04-07T18:45:24Z</dcterms:created>
  <dcterms:modified xsi:type="dcterms:W3CDTF">2025-04-07T18:45:24Z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2025-04-07T18:45:24Z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4e0839f4-429c-44d2-a5cf-1796473bbea6</vt:lpwstr>
  </property>
  <property fmtid="{D5CDD505-2E9C-101B-9397-08002B2CF9AE}" pid="8" name="MSIP_Label_af1741f6-9e47-426e-a683-937c37d4ebc5_ContentBits">
    <vt:lpwstr>3</vt:lpwstr>
  </property>
</Properties>
</file>